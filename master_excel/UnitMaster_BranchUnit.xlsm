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6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gaminesusumutakashi/BULL_data/master_excel/"/>
    </mc:Choice>
  </mc:AlternateContent>
  <bookViews>
    <workbookView xWindow="1100" yWindow="460" windowWidth="27700" windowHeight="16100" tabRatio="963" activeTab="11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fork_awake_units" sheetId="58" r:id="rId6"/>
    <sheet name="awake_materials" sheetId="59" r:id="rId7"/>
    <sheet name="abilities" sheetId="56" r:id="rId8"/>
    <sheet name="unit_abilities" sheetId="57" r:id="rId9"/>
    <sheet name="→base値" sheetId="51" r:id="rId10"/>
    <sheet name="ghosts_label" sheetId="60" r:id="rId11"/>
    <sheet name="コスト" sheetId="13" r:id="rId12"/>
    <sheet name="レベル" sheetId="12" r:id="rId13"/>
    <sheet name="経験値" sheetId="10" r:id="rId14"/>
    <sheet name="RC6SV" sheetId="11" r:id="rId15"/>
    <sheet name="ビット" sheetId="15" r:id="rId16"/>
    <sheet name="チェックシート" sheetId="55" r:id="rId17"/>
  </sheets>
  <externalReferences>
    <externalReference r:id="rId18"/>
    <externalReference r:id="rId19"/>
  </externalReferences>
  <definedNames>
    <definedName name="_xlnm._FilterDatabase" localSheetId="6" hidden="1">awake_materials!$B$1:$L$1</definedName>
    <definedName name="_xlnm._FilterDatabase" localSheetId="3" hidden="1">crash_skills!$A$1:$I$1</definedName>
    <definedName name="_xlnm._FilterDatabase" localSheetId="5" hidden="1">fork_awake_units!$A$1:$U$2</definedName>
    <definedName name="_xlnm._FilterDatabase" localSheetId="2" hidden="1">unit_skills!$A$1:$S$1</definedName>
    <definedName name="_xlnm._FilterDatabase" localSheetId="1" hidden="1">units!$A$1:$BQ$1</definedName>
    <definedName name="base_character_id" localSheetId="4">#REF!</definedName>
    <definedName name="base_character_id">#REF!</definedName>
    <definedName name="character_id" localSheetId="5">fork_awake_units!$A$1</definedName>
    <definedName name="character_id" localSheetId="4">#REF!</definedName>
    <definedName name="character_id">units!$A$1</definedName>
    <definedName name="COLORS">[1]属性!$A$2:$A$6</definedName>
    <definedName name="LIMIT">INDIRECT("Definitions.xlsm!LIMIT")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2" i="57" l="1"/>
  <c r="F12" i="57"/>
  <c r="E13" i="57"/>
  <c r="F13" i="57"/>
  <c r="E14" i="57"/>
  <c r="F14" i="57"/>
  <c r="E15" i="57"/>
  <c r="F15" i="57"/>
  <c r="E16" i="57"/>
  <c r="F16" i="57"/>
  <c r="E17" i="57"/>
  <c r="F17" i="57"/>
  <c r="E18" i="57"/>
  <c r="F18" i="57"/>
  <c r="E19" i="57"/>
  <c r="F19" i="57"/>
  <c r="E20" i="57"/>
  <c r="F20" i="57"/>
  <c r="E21" i="57"/>
  <c r="F21" i="57"/>
  <c r="E22" i="57"/>
  <c r="F22" i="57"/>
  <c r="E23" i="57"/>
  <c r="F23" i="57"/>
  <c r="E24" i="57"/>
  <c r="F24" i="57"/>
  <c r="E25" i="57"/>
  <c r="F25" i="57"/>
  <c r="E26" i="57"/>
  <c r="F26" i="57"/>
  <c r="E27" i="57"/>
  <c r="F27" i="57"/>
  <c r="E10" i="57"/>
  <c r="F10" i="57"/>
  <c r="E11" i="57"/>
  <c r="F11" i="57"/>
  <c r="B11" i="57"/>
  <c r="K94" i="59"/>
  <c r="F9" i="57"/>
  <c r="E9" i="57"/>
  <c r="B9" i="57"/>
  <c r="F5" i="57"/>
  <c r="E5" i="57"/>
  <c r="B5" i="57"/>
  <c r="F7" i="57"/>
  <c r="E7" i="57"/>
  <c r="B7" i="57"/>
  <c r="F3" i="57"/>
  <c r="E3" i="57"/>
  <c r="B3" i="57"/>
  <c r="AP3" i="23"/>
  <c r="A3" i="52"/>
  <c r="A4" i="52"/>
  <c r="A5" i="52"/>
  <c r="AW3" i="23"/>
  <c r="AP4" i="23"/>
  <c r="AW4" i="23"/>
  <c r="AP5" i="23"/>
  <c r="AW5" i="23"/>
  <c r="AP6" i="23"/>
  <c r="AW6" i="23"/>
  <c r="AW7" i="23"/>
  <c r="AW8" i="23"/>
  <c r="AW9" i="23"/>
  <c r="AW10" i="23"/>
  <c r="AP11" i="23"/>
  <c r="AW11" i="23"/>
  <c r="AP12" i="23"/>
  <c r="AW12" i="23"/>
  <c r="AP13" i="23"/>
  <c r="AW13" i="23"/>
  <c r="AP14" i="23"/>
  <c r="AW14" i="23"/>
  <c r="AW15" i="23"/>
  <c r="AP2" i="23"/>
  <c r="AW2" i="23"/>
  <c r="A3" i="53"/>
  <c r="A4" i="53"/>
  <c r="A5" i="53"/>
  <c r="AV7" i="23"/>
  <c r="H12" i="23"/>
  <c r="BR12" i="23"/>
  <c r="H3" i="23"/>
  <c r="BR3" i="23"/>
  <c r="H4" i="23"/>
  <c r="BR4" i="23"/>
  <c r="H5" i="23"/>
  <c r="BR5" i="23"/>
  <c r="H6" i="23"/>
  <c r="BR6" i="23"/>
  <c r="H7" i="23"/>
  <c r="BR7" i="23"/>
  <c r="H8" i="23"/>
  <c r="BR8" i="23"/>
  <c r="H9" i="23"/>
  <c r="BR9" i="23"/>
  <c r="H10" i="23"/>
  <c r="BR10" i="23"/>
  <c r="H11" i="23"/>
  <c r="BR11" i="23"/>
  <c r="H13" i="23"/>
  <c r="H14" i="23"/>
  <c r="BR14" i="23"/>
  <c r="H15" i="23"/>
  <c r="BR15" i="23"/>
  <c r="H2" i="23"/>
  <c r="BR2" i="23"/>
  <c r="G15" i="23"/>
  <c r="AL15" i="23"/>
  <c r="G14" i="23"/>
  <c r="AL14" i="23"/>
  <c r="G8" i="23"/>
  <c r="O8" i="23"/>
  <c r="G9" i="23"/>
  <c r="O9" i="23"/>
  <c r="G10" i="23"/>
  <c r="O10" i="23"/>
  <c r="G11" i="23"/>
  <c r="O11" i="23"/>
  <c r="G12" i="23"/>
  <c r="O12" i="23"/>
  <c r="G13" i="23"/>
  <c r="O13" i="23"/>
  <c r="O14" i="23"/>
  <c r="O15" i="23"/>
  <c r="G4" i="13"/>
  <c r="N9" i="23"/>
  <c r="G8" i="13"/>
  <c r="N10" i="23"/>
  <c r="N11" i="23"/>
  <c r="N12" i="23"/>
  <c r="N13" i="23"/>
  <c r="N14" i="23"/>
  <c r="G3" i="13"/>
  <c r="N15" i="23"/>
  <c r="K113" i="59"/>
  <c r="I113" i="59"/>
  <c r="G113" i="59"/>
  <c r="C113" i="59"/>
  <c r="F113" i="59"/>
  <c r="E113" i="59"/>
  <c r="D113" i="59"/>
  <c r="A113" i="59"/>
  <c r="K112" i="59"/>
  <c r="I112" i="59"/>
  <c r="G112" i="59"/>
  <c r="C112" i="59"/>
  <c r="F112" i="59"/>
  <c r="E112" i="59"/>
  <c r="D112" i="59"/>
  <c r="A112" i="59"/>
  <c r="K111" i="59"/>
  <c r="I111" i="59"/>
  <c r="G111" i="59"/>
  <c r="C111" i="59"/>
  <c r="F111" i="59"/>
  <c r="E111" i="59"/>
  <c r="D111" i="59"/>
  <c r="A111" i="59"/>
  <c r="K110" i="59"/>
  <c r="I110" i="59"/>
  <c r="G110" i="59"/>
  <c r="C110" i="59"/>
  <c r="F110" i="59"/>
  <c r="E110" i="59"/>
  <c r="D110" i="59"/>
  <c r="A110" i="59"/>
  <c r="K109" i="59"/>
  <c r="I109" i="59"/>
  <c r="G109" i="59"/>
  <c r="C109" i="59"/>
  <c r="F109" i="59"/>
  <c r="E109" i="59"/>
  <c r="D109" i="59"/>
  <c r="A109" i="59"/>
  <c r="K108" i="59"/>
  <c r="I108" i="59"/>
  <c r="G108" i="59"/>
  <c r="C108" i="59"/>
  <c r="F108" i="59"/>
  <c r="E108" i="59"/>
  <c r="D108" i="59"/>
  <c r="A108" i="59"/>
  <c r="K107" i="59"/>
  <c r="I107" i="59"/>
  <c r="G107" i="59"/>
  <c r="C107" i="59"/>
  <c r="F107" i="59"/>
  <c r="E107" i="59"/>
  <c r="D107" i="59"/>
  <c r="A107" i="59"/>
  <c r="K106" i="59"/>
  <c r="I106" i="59"/>
  <c r="G106" i="59"/>
  <c r="C106" i="59"/>
  <c r="F106" i="59"/>
  <c r="E106" i="59"/>
  <c r="D106" i="59"/>
  <c r="A106" i="59"/>
  <c r="K105" i="59"/>
  <c r="I105" i="59"/>
  <c r="G105" i="59"/>
  <c r="C105" i="59"/>
  <c r="F105" i="59"/>
  <c r="E105" i="59"/>
  <c r="D105" i="59"/>
  <c r="A105" i="59"/>
  <c r="K104" i="59"/>
  <c r="I104" i="59"/>
  <c r="G104" i="59"/>
  <c r="C104" i="59"/>
  <c r="F104" i="59"/>
  <c r="E104" i="59"/>
  <c r="D104" i="59"/>
  <c r="A104" i="59"/>
  <c r="K103" i="59"/>
  <c r="I103" i="59"/>
  <c r="G103" i="59"/>
  <c r="C103" i="59"/>
  <c r="F103" i="59"/>
  <c r="E103" i="59"/>
  <c r="D103" i="59"/>
  <c r="A103" i="59"/>
  <c r="K102" i="59"/>
  <c r="I102" i="59"/>
  <c r="G102" i="59"/>
  <c r="C102" i="59"/>
  <c r="F102" i="59"/>
  <c r="E102" i="59"/>
  <c r="D102" i="59"/>
  <c r="A102" i="59"/>
  <c r="K101" i="59"/>
  <c r="I101" i="59"/>
  <c r="G101" i="59"/>
  <c r="C101" i="59"/>
  <c r="F101" i="59"/>
  <c r="E101" i="59"/>
  <c r="D101" i="59"/>
  <c r="A101" i="59"/>
  <c r="K100" i="59"/>
  <c r="I100" i="59"/>
  <c r="G100" i="59"/>
  <c r="C100" i="59"/>
  <c r="F100" i="59"/>
  <c r="E100" i="59"/>
  <c r="D100" i="59"/>
  <c r="A100" i="59"/>
  <c r="K99" i="59"/>
  <c r="I99" i="59"/>
  <c r="G99" i="59"/>
  <c r="C99" i="59"/>
  <c r="F99" i="59"/>
  <c r="E99" i="59"/>
  <c r="D99" i="59"/>
  <c r="A99" i="59"/>
  <c r="K98" i="59"/>
  <c r="I98" i="59"/>
  <c r="G98" i="59"/>
  <c r="C98" i="59"/>
  <c r="F98" i="59"/>
  <c r="E98" i="59"/>
  <c r="D98" i="59"/>
  <c r="A98" i="59"/>
  <c r="S41" i="58"/>
  <c r="S43" i="58"/>
  <c r="T43" i="58"/>
  <c r="R43" i="58"/>
  <c r="P43" i="58"/>
  <c r="O43" i="58"/>
  <c r="N43" i="58"/>
  <c r="M43" i="58"/>
  <c r="L43" i="58"/>
  <c r="J43" i="58"/>
  <c r="K43" i="58"/>
  <c r="I43" i="58"/>
  <c r="H43" i="58"/>
  <c r="G43" i="58"/>
  <c r="F43" i="58"/>
  <c r="E43" i="58"/>
  <c r="D43" i="58"/>
  <c r="C43" i="58"/>
  <c r="B43" i="58"/>
  <c r="S42" i="58"/>
  <c r="T42" i="58"/>
  <c r="R42" i="58"/>
  <c r="P42" i="58"/>
  <c r="O42" i="58"/>
  <c r="N42" i="58"/>
  <c r="M42" i="58"/>
  <c r="L42" i="58"/>
  <c r="J42" i="58"/>
  <c r="K42" i="58"/>
  <c r="I42" i="58"/>
  <c r="H42" i="58"/>
  <c r="G42" i="58"/>
  <c r="F42" i="58"/>
  <c r="E42" i="58"/>
  <c r="D42" i="58"/>
  <c r="C42" i="58"/>
  <c r="B42" i="58"/>
  <c r="T41" i="58"/>
  <c r="R41" i="58"/>
  <c r="P41" i="58"/>
  <c r="O41" i="58"/>
  <c r="N41" i="58"/>
  <c r="M41" i="58"/>
  <c r="L41" i="58"/>
  <c r="J41" i="58"/>
  <c r="K41" i="58"/>
  <c r="I41" i="58"/>
  <c r="H41" i="58"/>
  <c r="G41" i="58"/>
  <c r="F41" i="58"/>
  <c r="E41" i="58"/>
  <c r="D41" i="58"/>
  <c r="C41" i="58"/>
  <c r="B41" i="58"/>
  <c r="B39" i="58"/>
  <c r="S38" i="58"/>
  <c r="S40" i="58"/>
  <c r="T40" i="58"/>
  <c r="R40" i="58"/>
  <c r="P40" i="58"/>
  <c r="O40" i="58"/>
  <c r="N40" i="58"/>
  <c r="M40" i="58"/>
  <c r="L40" i="58"/>
  <c r="J40" i="58"/>
  <c r="K40" i="58"/>
  <c r="I40" i="58"/>
  <c r="H40" i="58"/>
  <c r="G40" i="58"/>
  <c r="F40" i="58"/>
  <c r="E40" i="58"/>
  <c r="D40" i="58"/>
  <c r="C40" i="58"/>
  <c r="B40" i="58"/>
  <c r="S39" i="58"/>
  <c r="T39" i="58"/>
  <c r="R39" i="58"/>
  <c r="P39" i="58"/>
  <c r="O39" i="58"/>
  <c r="N39" i="58"/>
  <c r="M39" i="58"/>
  <c r="L39" i="58"/>
  <c r="J39" i="58"/>
  <c r="K39" i="58"/>
  <c r="I39" i="58"/>
  <c r="H39" i="58"/>
  <c r="G39" i="58"/>
  <c r="F39" i="58"/>
  <c r="E39" i="58"/>
  <c r="D39" i="58"/>
  <c r="C39" i="58"/>
  <c r="T38" i="58"/>
  <c r="R38" i="58"/>
  <c r="P38" i="58"/>
  <c r="O38" i="58"/>
  <c r="N38" i="58"/>
  <c r="M38" i="58"/>
  <c r="L38" i="58"/>
  <c r="J38" i="58"/>
  <c r="K38" i="58"/>
  <c r="I38" i="58"/>
  <c r="H38" i="58"/>
  <c r="G38" i="58"/>
  <c r="F38" i="58"/>
  <c r="E38" i="58"/>
  <c r="D38" i="58"/>
  <c r="C38" i="58"/>
  <c r="B38" i="58"/>
  <c r="E71" i="54"/>
  <c r="B71" i="54"/>
  <c r="E70" i="54"/>
  <c r="B70" i="54"/>
  <c r="E69" i="54"/>
  <c r="B69" i="54"/>
  <c r="E68" i="54"/>
  <c r="B68" i="54"/>
  <c r="E67" i="54"/>
  <c r="B67" i="54"/>
  <c r="E66" i="54"/>
  <c r="B66" i="54"/>
  <c r="E65" i="54"/>
  <c r="B65" i="54"/>
  <c r="E64" i="54"/>
  <c r="B64" i="54"/>
  <c r="E63" i="54"/>
  <c r="B63" i="54"/>
  <c r="E62" i="54"/>
  <c r="B62" i="54"/>
  <c r="AH15" i="23"/>
  <c r="AH14" i="23"/>
  <c r="Q14" i="23"/>
  <c r="Q15" i="23"/>
  <c r="Q13" i="23"/>
  <c r="R15" i="23"/>
  <c r="P11" i="56"/>
  <c r="I11" i="56"/>
  <c r="G11" i="56"/>
  <c r="B27" i="57"/>
  <c r="B26" i="57"/>
  <c r="B25" i="57"/>
  <c r="P10" i="56"/>
  <c r="I10" i="56"/>
  <c r="G10" i="56"/>
  <c r="I14" i="23"/>
  <c r="G15" i="53"/>
  <c r="E15" i="53"/>
  <c r="G14" i="53"/>
  <c r="E14" i="53"/>
  <c r="J14" i="52"/>
  <c r="H14" i="52"/>
  <c r="E14" i="52"/>
  <c r="J15" i="52"/>
  <c r="H15" i="52"/>
  <c r="E15" i="52"/>
  <c r="B15" i="23"/>
  <c r="B14" i="23"/>
  <c r="BD15" i="23"/>
  <c r="V15" i="23"/>
  <c r="W15" i="23"/>
  <c r="AD15" i="23"/>
  <c r="I15" i="23"/>
  <c r="M15" i="23"/>
  <c r="BN15" i="23"/>
  <c r="U15" i="23"/>
  <c r="AC15" i="23"/>
  <c r="L15" i="23"/>
  <c r="BM15" i="23"/>
  <c r="T15" i="23"/>
  <c r="AB15" i="23"/>
  <c r="K15" i="23"/>
  <c r="BL15" i="23"/>
  <c r="S15" i="23"/>
  <c r="AA15" i="23"/>
  <c r="J15" i="23"/>
  <c r="BK15" i="23"/>
  <c r="BE15" i="23"/>
  <c r="BJ15" i="23"/>
  <c r="BI15" i="23"/>
  <c r="BH15" i="23"/>
  <c r="BG15" i="23"/>
  <c r="BF15" i="23"/>
  <c r="AX15" i="23"/>
  <c r="AV15" i="23"/>
  <c r="AU15" i="23"/>
  <c r="AS15" i="23"/>
  <c r="AR15" i="23"/>
  <c r="AQ15" i="23"/>
  <c r="AK15" i="23"/>
  <c r="AF15" i="23"/>
  <c r="Y15" i="23"/>
  <c r="Z15" i="23"/>
  <c r="X15" i="23"/>
  <c r="P15" i="23"/>
  <c r="F15" i="23"/>
  <c r="E15" i="23"/>
  <c r="D15" i="23"/>
  <c r="C15" i="23"/>
  <c r="BD14" i="23"/>
  <c r="V14" i="23"/>
  <c r="W14" i="23"/>
  <c r="AD14" i="23"/>
  <c r="M14" i="23"/>
  <c r="BN14" i="23"/>
  <c r="U14" i="23"/>
  <c r="AC14" i="23"/>
  <c r="L14" i="23"/>
  <c r="BM14" i="23"/>
  <c r="T14" i="23"/>
  <c r="AB14" i="23"/>
  <c r="K14" i="23"/>
  <c r="BL14" i="23"/>
  <c r="S14" i="23"/>
  <c r="AA14" i="23"/>
  <c r="J14" i="23"/>
  <c r="BK14" i="23"/>
  <c r="BE14" i="23"/>
  <c r="BJ14" i="23"/>
  <c r="BI14" i="23"/>
  <c r="BH14" i="23"/>
  <c r="BG14" i="23"/>
  <c r="BF14" i="23"/>
  <c r="AX14" i="23"/>
  <c r="AT14" i="23"/>
  <c r="AV14" i="23"/>
  <c r="AU14" i="23"/>
  <c r="AS14" i="23"/>
  <c r="AR14" i="23"/>
  <c r="AQ14" i="23"/>
  <c r="AK14" i="23"/>
  <c r="AF14" i="23"/>
  <c r="Y14" i="23"/>
  <c r="Z14" i="23"/>
  <c r="X14" i="23"/>
  <c r="R14" i="23"/>
  <c r="P14" i="23"/>
  <c r="F14" i="23"/>
  <c r="E14" i="23"/>
  <c r="D14" i="23"/>
  <c r="C14" i="23"/>
  <c r="I13" i="23"/>
  <c r="J13" i="23"/>
  <c r="E9" i="52"/>
  <c r="AT13" i="23"/>
  <c r="E61" i="54"/>
  <c r="B61" i="54"/>
  <c r="E60" i="54"/>
  <c r="B60" i="54"/>
  <c r="E59" i="54"/>
  <c r="B59" i="54"/>
  <c r="E58" i="54"/>
  <c r="B58" i="54"/>
  <c r="E57" i="54"/>
  <c r="B57" i="54"/>
  <c r="AH13" i="23"/>
  <c r="K97" i="59"/>
  <c r="I97" i="59"/>
  <c r="G97" i="59"/>
  <c r="C97" i="59"/>
  <c r="F97" i="59"/>
  <c r="E97" i="59"/>
  <c r="D97" i="59"/>
  <c r="A97" i="59"/>
  <c r="K96" i="59"/>
  <c r="I96" i="59"/>
  <c r="G96" i="59"/>
  <c r="C96" i="59"/>
  <c r="F96" i="59"/>
  <c r="E96" i="59"/>
  <c r="D96" i="59"/>
  <c r="A96" i="59"/>
  <c r="K95" i="59"/>
  <c r="I95" i="59"/>
  <c r="G95" i="59"/>
  <c r="C95" i="59"/>
  <c r="F95" i="59"/>
  <c r="E95" i="59"/>
  <c r="D95" i="59"/>
  <c r="A95" i="59"/>
  <c r="I94" i="59"/>
  <c r="G94" i="59"/>
  <c r="C94" i="59"/>
  <c r="F94" i="59"/>
  <c r="E94" i="59"/>
  <c r="D94" i="59"/>
  <c r="A94" i="59"/>
  <c r="K93" i="59"/>
  <c r="I93" i="59"/>
  <c r="G93" i="59"/>
  <c r="C93" i="59"/>
  <c r="F93" i="59"/>
  <c r="E93" i="59"/>
  <c r="D93" i="59"/>
  <c r="A93" i="59"/>
  <c r="K92" i="59"/>
  <c r="I92" i="59"/>
  <c r="G92" i="59"/>
  <c r="C92" i="59"/>
  <c r="F92" i="59"/>
  <c r="E92" i="59"/>
  <c r="D92" i="59"/>
  <c r="A92" i="59"/>
  <c r="K91" i="59"/>
  <c r="I91" i="59"/>
  <c r="G91" i="59"/>
  <c r="C91" i="59"/>
  <c r="F91" i="59"/>
  <c r="E91" i="59"/>
  <c r="D91" i="59"/>
  <c r="A91" i="59"/>
  <c r="K90" i="59"/>
  <c r="I90" i="59"/>
  <c r="G90" i="59"/>
  <c r="C90" i="59"/>
  <c r="F90" i="59"/>
  <c r="E90" i="59"/>
  <c r="D90" i="59"/>
  <c r="A90" i="59"/>
  <c r="C51" i="59"/>
  <c r="C52" i="59"/>
  <c r="C53" i="59"/>
  <c r="C54" i="59"/>
  <c r="C55" i="59"/>
  <c r="C56" i="59"/>
  <c r="C57" i="59"/>
  <c r="C83" i="59"/>
  <c r="C84" i="59"/>
  <c r="C85" i="59"/>
  <c r="C86" i="59"/>
  <c r="C87" i="59"/>
  <c r="C88" i="59"/>
  <c r="C89" i="59"/>
  <c r="S35" i="58"/>
  <c r="S37" i="58"/>
  <c r="S36" i="58"/>
  <c r="T37" i="58"/>
  <c r="R37" i="58"/>
  <c r="P37" i="58"/>
  <c r="O37" i="58"/>
  <c r="N37" i="58"/>
  <c r="M37" i="58"/>
  <c r="L37" i="58"/>
  <c r="J37" i="58"/>
  <c r="K37" i="58"/>
  <c r="I37" i="58"/>
  <c r="H37" i="58"/>
  <c r="G37" i="58"/>
  <c r="F37" i="58"/>
  <c r="E37" i="58"/>
  <c r="D37" i="58"/>
  <c r="C37" i="58"/>
  <c r="B37" i="58"/>
  <c r="T36" i="58"/>
  <c r="R36" i="58"/>
  <c r="P36" i="58"/>
  <c r="O36" i="58"/>
  <c r="N36" i="58"/>
  <c r="M36" i="58"/>
  <c r="L36" i="58"/>
  <c r="J36" i="58"/>
  <c r="K36" i="58"/>
  <c r="I36" i="58"/>
  <c r="H36" i="58"/>
  <c r="G36" i="58"/>
  <c r="F36" i="58"/>
  <c r="E36" i="58"/>
  <c r="D36" i="58"/>
  <c r="C36" i="58"/>
  <c r="B36" i="58"/>
  <c r="T35" i="58"/>
  <c r="R35" i="58"/>
  <c r="P35" i="58"/>
  <c r="O35" i="58"/>
  <c r="N35" i="58"/>
  <c r="M35" i="58"/>
  <c r="L35" i="58"/>
  <c r="J35" i="58"/>
  <c r="K35" i="58"/>
  <c r="I35" i="58"/>
  <c r="H35" i="58"/>
  <c r="G35" i="58"/>
  <c r="F35" i="58"/>
  <c r="E35" i="58"/>
  <c r="D35" i="58"/>
  <c r="C35" i="58"/>
  <c r="B35" i="58"/>
  <c r="K89" i="59"/>
  <c r="K88" i="59"/>
  <c r="K87" i="59"/>
  <c r="I82" i="59"/>
  <c r="C82" i="59"/>
  <c r="D82" i="59"/>
  <c r="I87" i="59"/>
  <c r="I89" i="59"/>
  <c r="G89" i="59"/>
  <c r="F89" i="59"/>
  <c r="E89" i="59"/>
  <c r="D89" i="59"/>
  <c r="A89" i="59"/>
  <c r="I88" i="59"/>
  <c r="G88" i="59"/>
  <c r="F88" i="59"/>
  <c r="E88" i="59"/>
  <c r="D88" i="59"/>
  <c r="A88" i="59"/>
  <c r="G87" i="59"/>
  <c r="F87" i="59"/>
  <c r="E87" i="59"/>
  <c r="D87" i="59"/>
  <c r="A87" i="59"/>
  <c r="K86" i="59"/>
  <c r="I86" i="59"/>
  <c r="G86" i="59"/>
  <c r="F86" i="59"/>
  <c r="E86" i="59"/>
  <c r="D86" i="59"/>
  <c r="A86" i="59"/>
  <c r="K85" i="59"/>
  <c r="I85" i="59"/>
  <c r="G85" i="59"/>
  <c r="F85" i="59"/>
  <c r="E85" i="59"/>
  <c r="D85" i="59"/>
  <c r="A85" i="59"/>
  <c r="K84" i="59"/>
  <c r="I84" i="59"/>
  <c r="G84" i="59"/>
  <c r="F84" i="59"/>
  <c r="E84" i="59"/>
  <c r="D84" i="59"/>
  <c r="A84" i="59"/>
  <c r="K83" i="59"/>
  <c r="I83" i="59"/>
  <c r="G83" i="59"/>
  <c r="F83" i="59"/>
  <c r="E83" i="59"/>
  <c r="D83" i="59"/>
  <c r="A83" i="59"/>
  <c r="K82" i="59"/>
  <c r="G82" i="59"/>
  <c r="F82" i="59"/>
  <c r="E82" i="59"/>
  <c r="A82" i="59"/>
  <c r="T34" i="58"/>
  <c r="R34" i="58"/>
  <c r="P34" i="58"/>
  <c r="O34" i="58"/>
  <c r="N34" i="58"/>
  <c r="M34" i="58"/>
  <c r="L34" i="58"/>
  <c r="J34" i="58"/>
  <c r="K34" i="58"/>
  <c r="I34" i="58"/>
  <c r="H34" i="58"/>
  <c r="G34" i="58"/>
  <c r="F34" i="58"/>
  <c r="E34" i="58"/>
  <c r="D34" i="58"/>
  <c r="C34" i="58"/>
  <c r="B34" i="58"/>
  <c r="T33" i="58"/>
  <c r="R33" i="58"/>
  <c r="P33" i="58"/>
  <c r="O33" i="58"/>
  <c r="N33" i="58"/>
  <c r="M33" i="58"/>
  <c r="L33" i="58"/>
  <c r="J33" i="58"/>
  <c r="K33" i="58"/>
  <c r="I33" i="58"/>
  <c r="H33" i="58"/>
  <c r="G33" i="58"/>
  <c r="F33" i="58"/>
  <c r="E33" i="58"/>
  <c r="D33" i="58"/>
  <c r="C33" i="58"/>
  <c r="B33" i="58"/>
  <c r="T32" i="58"/>
  <c r="R32" i="58"/>
  <c r="P32" i="58"/>
  <c r="O32" i="58"/>
  <c r="N32" i="58"/>
  <c r="M32" i="58"/>
  <c r="L32" i="58"/>
  <c r="J32" i="58"/>
  <c r="K32" i="58"/>
  <c r="I32" i="58"/>
  <c r="H32" i="58"/>
  <c r="G32" i="58"/>
  <c r="F32" i="58"/>
  <c r="E32" i="58"/>
  <c r="D32" i="58"/>
  <c r="C32" i="58"/>
  <c r="B32" i="58"/>
  <c r="E56" i="54"/>
  <c r="B56" i="54"/>
  <c r="E55" i="54"/>
  <c r="B55" i="54"/>
  <c r="E54" i="54"/>
  <c r="B54" i="54"/>
  <c r="E53" i="54"/>
  <c r="B53" i="54"/>
  <c r="E52" i="54"/>
  <c r="B52" i="54"/>
  <c r="P7" i="56"/>
  <c r="I7" i="56"/>
  <c r="G7" i="56"/>
  <c r="G13" i="53"/>
  <c r="E13" i="53"/>
  <c r="B18" i="57"/>
  <c r="B17" i="57"/>
  <c r="J13" i="52"/>
  <c r="H13" i="52"/>
  <c r="E13" i="52"/>
  <c r="BD13" i="23"/>
  <c r="V13" i="23"/>
  <c r="W13" i="23"/>
  <c r="AD13" i="23"/>
  <c r="M13" i="23"/>
  <c r="BN13" i="23"/>
  <c r="U13" i="23"/>
  <c r="AC13" i="23"/>
  <c r="L13" i="23"/>
  <c r="BM13" i="23"/>
  <c r="T13" i="23"/>
  <c r="AB13" i="23"/>
  <c r="K13" i="23"/>
  <c r="BL13" i="23"/>
  <c r="S13" i="23"/>
  <c r="AA13" i="23"/>
  <c r="BK13" i="23"/>
  <c r="BE13" i="23"/>
  <c r="BJ13" i="23"/>
  <c r="BI13" i="23"/>
  <c r="BH13" i="23"/>
  <c r="BG13" i="23"/>
  <c r="BF13" i="23"/>
  <c r="AX13" i="23"/>
  <c r="AV13" i="23"/>
  <c r="AU13" i="23"/>
  <c r="AS13" i="23"/>
  <c r="AR13" i="23"/>
  <c r="AQ13" i="23"/>
  <c r="AK13" i="23"/>
  <c r="AF13" i="23"/>
  <c r="Y13" i="23"/>
  <c r="Z13" i="23"/>
  <c r="X13" i="23"/>
  <c r="R13" i="23"/>
  <c r="P13" i="23"/>
  <c r="F13" i="23"/>
  <c r="E13" i="23"/>
  <c r="D13" i="23"/>
  <c r="C13" i="23"/>
  <c r="B13" i="23"/>
  <c r="G9" i="56"/>
  <c r="I9" i="56"/>
  <c r="P9" i="56"/>
  <c r="B12" i="57"/>
  <c r="AN8" i="23"/>
  <c r="AN9" i="23"/>
  <c r="AM8" i="23"/>
  <c r="AM9" i="23"/>
  <c r="AL8" i="23"/>
  <c r="AL9" i="23"/>
  <c r="AH9" i="23"/>
  <c r="N8" i="23"/>
  <c r="AR8" i="23"/>
  <c r="AV8" i="23"/>
  <c r="AU8" i="23"/>
  <c r="BC8" i="23"/>
  <c r="BC9" i="23"/>
  <c r="BD9" i="23"/>
  <c r="Q9" i="23"/>
  <c r="V9" i="23"/>
  <c r="W9" i="23"/>
  <c r="AD9" i="23"/>
  <c r="I9" i="23"/>
  <c r="M9" i="23"/>
  <c r="BN9" i="23"/>
  <c r="BE9" i="23"/>
  <c r="S9" i="23"/>
  <c r="AA9" i="23"/>
  <c r="J9" i="23"/>
  <c r="BK9" i="23"/>
  <c r="BG9" i="23"/>
  <c r="G9" i="53"/>
  <c r="E9" i="53"/>
  <c r="J9" i="52"/>
  <c r="H9" i="52"/>
  <c r="U9" i="23"/>
  <c r="AC9" i="23"/>
  <c r="L9" i="23"/>
  <c r="BM9" i="23"/>
  <c r="T9" i="23"/>
  <c r="AB9" i="23"/>
  <c r="K9" i="23"/>
  <c r="BL9" i="23"/>
  <c r="BJ9" i="23"/>
  <c r="BI9" i="23"/>
  <c r="BH9" i="23"/>
  <c r="BF9" i="23"/>
  <c r="AX9" i="23"/>
  <c r="AV9" i="23"/>
  <c r="AU9" i="23"/>
  <c r="AS9" i="23"/>
  <c r="AR9" i="23"/>
  <c r="AQ9" i="23"/>
  <c r="AK9" i="23"/>
  <c r="AF9" i="23"/>
  <c r="Y9" i="23"/>
  <c r="Z9" i="23"/>
  <c r="X9" i="23"/>
  <c r="R9" i="23"/>
  <c r="P9" i="23"/>
  <c r="F9" i="23"/>
  <c r="E9" i="23"/>
  <c r="D9" i="23"/>
  <c r="C9" i="23"/>
  <c r="B9" i="23"/>
  <c r="C18" i="59"/>
  <c r="E18" i="59"/>
  <c r="F18" i="59"/>
  <c r="G18" i="59"/>
  <c r="C19" i="59"/>
  <c r="E19" i="59"/>
  <c r="F19" i="59"/>
  <c r="G19" i="59"/>
  <c r="C20" i="59"/>
  <c r="E20" i="59"/>
  <c r="F20" i="59"/>
  <c r="G20" i="59"/>
  <c r="C21" i="59"/>
  <c r="E21" i="59"/>
  <c r="F21" i="59"/>
  <c r="G21" i="59"/>
  <c r="C22" i="59"/>
  <c r="E22" i="59"/>
  <c r="F22" i="59"/>
  <c r="G22" i="59"/>
  <c r="C23" i="59"/>
  <c r="E23" i="59"/>
  <c r="F23" i="59"/>
  <c r="G23" i="59"/>
  <c r="C24" i="59"/>
  <c r="E24" i="59"/>
  <c r="F24" i="59"/>
  <c r="G24" i="59"/>
  <c r="C25" i="59"/>
  <c r="E25" i="59"/>
  <c r="F25" i="59"/>
  <c r="G25" i="59"/>
  <c r="C26" i="59"/>
  <c r="E26" i="59"/>
  <c r="F26" i="59"/>
  <c r="G26" i="59"/>
  <c r="C27" i="59"/>
  <c r="E27" i="59"/>
  <c r="F27" i="59"/>
  <c r="G27" i="59"/>
  <c r="C28" i="59"/>
  <c r="E28" i="59"/>
  <c r="F28" i="59"/>
  <c r="G28" i="59"/>
  <c r="C29" i="59"/>
  <c r="E29" i="59"/>
  <c r="F29" i="59"/>
  <c r="G29" i="59"/>
  <c r="C30" i="59"/>
  <c r="E30" i="59"/>
  <c r="F30" i="59"/>
  <c r="G30" i="59"/>
  <c r="C31" i="59"/>
  <c r="E31" i="59"/>
  <c r="F31" i="59"/>
  <c r="G31" i="59"/>
  <c r="C32" i="59"/>
  <c r="E32" i="59"/>
  <c r="F32" i="59"/>
  <c r="G32" i="59"/>
  <c r="C33" i="59"/>
  <c r="E33" i="59"/>
  <c r="F33" i="59"/>
  <c r="G33" i="59"/>
  <c r="C34" i="59"/>
  <c r="E34" i="59"/>
  <c r="F34" i="59"/>
  <c r="H34" i="59"/>
  <c r="G34" i="59"/>
  <c r="C35" i="59"/>
  <c r="E35" i="59"/>
  <c r="F35" i="59"/>
  <c r="H35" i="59"/>
  <c r="G35" i="59"/>
  <c r="C36" i="59"/>
  <c r="E36" i="59"/>
  <c r="F36" i="59"/>
  <c r="H36" i="59"/>
  <c r="G36" i="59"/>
  <c r="C37" i="59"/>
  <c r="E37" i="59"/>
  <c r="F37" i="59"/>
  <c r="H37" i="59"/>
  <c r="G37" i="59"/>
  <c r="C38" i="59"/>
  <c r="E38" i="59"/>
  <c r="F38" i="59"/>
  <c r="H38" i="59"/>
  <c r="G38" i="59"/>
  <c r="C39" i="59"/>
  <c r="E39" i="59"/>
  <c r="F39" i="59"/>
  <c r="H39" i="59"/>
  <c r="G39" i="59"/>
  <c r="C40" i="59"/>
  <c r="E40" i="59"/>
  <c r="F40" i="59"/>
  <c r="H40" i="59"/>
  <c r="G40" i="59"/>
  <c r="C41" i="59"/>
  <c r="E41" i="59"/>
  <c r="F41" i="59"/>
  <c r="H41" i="59"/>
  <c r="G41" i="59"/>
  <c r="C42" i="59"/>
  <c r="E42" i="59"/>
  <c r="F42" i="59"/>
  <c r="H42" i="59"/>
  <c r="G42" i="59"/>
  <c r="C43" i="59"/>
  <c r="E43" i="59"/>
  <c r="F43" i="59"/>
  <c r="H43" i="59"/>
  <c r="G43" i="59"/>
  <c r="C44" i="59"/>
  <c r="E44" i="59"/>
  <c r="F44" i="59"/>
  <c r="H44" i="59"/>
  <c r="G44" i="59"/>
  <c r="C45" i="59"/>
  <c r="E45" i="59"/>
  <c r="F45" i="59"/>
  <c r="H45" i="59"/>
  <c r="G45" i="59"/>
  <c r="C46" i="59"/>
  <c r="E46" i="59"/>
  <c r="F46" i="59"/>
  <c r="H46" i="59"/>
  <c r="G46" i="59"/>
  <c r="E47" i="59"/>
  <c r="F47" i="59"/>
  <c r="G47" i="59"/>
  <c r="C48" i="59"/>
  <c r="E48" i="59"/>
  <c r="F48" i="59"/>
  <c r="G48" i="59"/>
  <c r="C49" i="59"/>
  <c r="E49" i="59"/>
  <c r="F49" i="59"/>
  <c r="G49" i="59"/>
  <c r="C50" i="59"/>
  <c r="E50" i="59"/>
  <c r="F50" i="59"/>
  <c r="G50" i="59"/>
  <c r="E51" i="59"/>
  <c r="F51" i="59"/>
  <c r="G51" i="59"/>
  <c r="E52" i="59"/>
  <c r="F52" i="59"/>
  <c r="G52" i="59"/>
  <c r="E53" i="59"/>
  <c r="F53" i="59"/>
  <c r="G53" i="59"/>
  <c r="E54" i="59"/>
  <c r="F54" i="59"/>
  <c r="G54" i="59"/>
  <c r="E55" i="59"/>
  <c r="F55" i="59"/>
  <c r="G55" i="59"/>
  <c r="E56" i="59"/>
  <c r="F56" i="59"/>
  <c r="G56" i="59"/>
  <c r="E57" i="59"/>
  <c r="F57" i="59"/>
  <c r="G57" i="59"/>
  <c r="C58" i="59"/>
  <c r="E58" i="59"/>
  <c r="F58" i="59"/>
  <c r="H58" i="59"/>
  <c r="G58" i="59"/>
  <c r="C59" i="59"/>
  <c r="E59" i="59"/>
  <c r="F59" i="59"/>
  <c r="H59" i="59"/>
  <c r="G59" i="59"/>
  <c r="C60" i="59"/>
  <c r="E60" i="59"/>
  <c r="F60" i="59"/>
  <c r="H60" i="59"/>
  <c r="G60" i="59"/>
  <c r="C61" i="59"/>
  <c r="E61" i="59"/>
  <c r="F61" i="59"/>
  <c r="H61" i="59"/>
  <c r="G61" i="59"/>
  <c r="C62" i="59"/>
  <c r="E62" i="59"/>
  <c r="F62" i="59"/>
  <c r="H62" i="59"/>
  <c r="G62" i="59"/>
  <c r="C63" i="59"/>
  <c r="E63" i="59"/>
  <c r="F63" i="59"/>
  <c r="H63" i="59"/>
  <c r="G63" i="59"/>
  <c r="C64" i="59"/>
  <c r="E64" i="59"/>
  <c r="F64" i="59"/>
  <c r="H64" i="59"/>
  <c r="G64" i="59"/>
  <c r="C65" i="59"/>
  <c r="E65" i="59"/>
  <c r="F65" i="59"/>
  <c r="H65" i="59"/>
  <c r="G65" i="59"/>
  <c r="C66" i="59"/>
  <c r="E66" i="59"/>
  <c r="F66" i="59"/>
  <c r="H66" i="59"/>
  <c r="G66" i="59"/>
  <c r="C67" i="59"/>
  <c r="E67" i="59"/>
  <c r="F67" i="59"/>
  <c r="H67" i="59"/>
  <c r="G67" i="59"/>
  <c r="C68" i="59"/>
  <c r="E68" i="59"/>
  <c r="F68" i="59"/>
  <c r="H68" i="59"/>
  <c r="G68" i="59"/>
  <c r="C69" i="59"/>
  <c r="E69" i="59"/>
  <c r="F69" i="59"/>
  <c r="H69" i="59"/>
  <c r="G69" i="59"/>
  <c r="C70" i="59"/>
  <c r="E70" i="59"/>
  <c r="F70" i="59"/>
  <c r="H70" i="59"/>
  <c r="G70" i="59"/>
  <c r="C71" i="59"/>
  <c r="E71" i="59"/>
  <c r="F71" i="59"/>
  <c r="H71" i="59"/>
  <c r="G71" i="59"/>
  <c r="C72" i="59"/>
  <c r="E72" i="59"/>
  <c r="F72" i="59"/>
  <c r="H72" i="59"/>
  <c r="G72" i="59"/>
  <c r="C73" i="59"/>
  <c r="E73" i="59"/>
  <c r="F73" i="59"/>
  <c r="H73" i="59"/>
  <c r="G73" i="59"/>
  <c r="C74" i="59"/>
  <c r="E74" i="59"/>
  <c r="F74" i="59"/>
  <c r="H74" i="59"/>
  <c r="G74" i="59"/>
  <c r="C75" i="59"/>
  <c r="E75" i="59"/>
  <c r="F75" i="59"/>
  <c r="H75" i="59"/>
  <c r="G75" i="59"/>
  <c r="C76" i="59"/>
  <c r="E76" i="59"/>
  <c r="F76" i="59"/>
  <c r="H76" i="59"/>
  <c r="G76" i="59"/>
  <c r="C77" i="59"/>
  <c r="E77" i="59"/>
  <c r="F77" i="59"/>
  <c r="H77" i="59"/>
  <c r="G77" i="59"/>
  <c r="C78" i="59"/>
  <c r="E78" i="59"/>
  <c r="F78" i="59"/>
  <c r="H78" i="59"/>
  <c r="G78" i="59"/>
  <c r="C79" i="59"/>
  <c r="E79" i="59"/>
  <c r="F79" i="59"/>
  <c r="H79" i="59"/>
  <c r="G79" i="59"/>
  <c r="C80" i="59"/>
  <c r="E80" i="59"/>
  <c r="F80" i="59"/>
  <c r="H80" i="59"/>
  <c r="G80" i="59"/>
  <c r="C81" i="59"/>
  <c r="E81" i="59"/>
  <c r="F81" i="59"/>
  <c r="H81" i="59"/>
  <c r="G81" i="59"/>
  <c r="C3" i="59"/>
  <c r="D3" i="59"/>
  <c r="C4" i="59"/>
  <c r="D4" i="59"/>
  <c r="C5" i="59"/>
  <c r="D5" i="59"/>
  <c r="C6" i="59"/>
  <c r="D6" i="59"/>
  <c r="C7" i="59"/>
  <c r="D7" i="59"/>
  <c r="C8" i="59"/>
  <c r="D8" i="59"/>
  <c r="C9" i="59"/>
  <c r="D9" i="59"/>
  <c r="C10" i="59"/>
  <c r="D10" i="59"/>
  <c r="C11" i="59"/>
  <c r="D11" i="59"/>
  <c r="C12" i="59"/>
  <c r="D12" i="59"/>
  <c r="C13" i="59"/>
  <c r="D13" i="59"/>
  <c r="C14" i="59"/>
  <c r="D14" i="59"/>
  <c r="C15" i="59"/>
  <c r="D15" i="59"/>
  <c r="C16" i="59"/>
  <c r="D16" i="59"/>
  <c r="C17" i="59"/>
  <c r="D17" i="59"/>
  <c r="D18" i="59"/>
  <c r="D19" i="59"/>
  <c r="D20" i="59"/>
  <c r="D21" i="59"/>
  <c r="D22" i="59"/>
  <c r="D23" i="59"/>
  <c r="D24" i="59"/>
  <c r="D25" i="59"/>
  <c r="D26" i="59"/>
  <c r="D27" i="59"/>
  <c r="D28" i="59"/>
  <c r="D29" i="59"/>
  <c r="D30" i="59"/>
  <c r="D31" i="59"/>
  <c r="D32" i="59"/>
  <c r="D33" i="59"/>
  <c r="D34" i="59"/>
  <c r="D35" i="59"/>
  <c r="D36" i="59"/>
  <c r="D37" i="59"/>
  <c r="D38" i="59"/>
  <c r="D39" i="59"/>
  <c r="D40" i="59"/>
  <c r="D41" i="59"/>
  <c r="D42" i="59"/>
  <c r="D43" i="59"/>
  <c r="D44" i="59"/>
  <c r="D45" i="59"/>
  <c r="D46" i="59"/>
  <c r="D47" i="59"/>
  <c r="D48" i="59"/>
  <c r="D49" i="59"/>
  <c r="D50" i="59"/>
  <c r="D51" i="59"/>
  <c r="D52" i="59"/>
  <c r="D53" i="59"/>
  <c r="D54" i="59"/>
  <c r="D55" i="59"/>
  <c r="D56" i="59"/>
  <c r="D57" i="59"/>
  <c r="D58" i="59"/>
  <c r="D59" i="59"/>
  <c r="D60" i="59"/>
  <c r="D61" i="59"/>
  <c r="D62" i="59"/>
  <c r="D63" i="59"/>
  <c r="D64" i="59"/>
  <c r="D65" i="59"/>
  <c r="D66" i="59"/>
  <c r="D67" i="59"/>
  <c r="D68" i="59"/>
  <c r="D69" i="59"/>
  <c r="D70" i="59"/>
  <c r="D71" i="59"/>
  <c r="D72" i="59"/>
  <c r="D73" i="59"/>
  <c r="D74" i="59"/>
  <c r="D75" i="59"/>
  <c r="D76" i="59"/>
  <c r="D77" i="59"/>
  <c r="D78" i="59"/>
  <c r="D79" i="59"/>
  <c r="D80" i="59"/>
  <c r="D81" i="59"/>
  <c r="I2" i="59"/>
  <c r="I47" i="59"/>
  <c r="I3" i="59"/>
  <c r="I4" i="59"/>
  <c r="I5" i="59"/>
  <c r="I6" i="59"/>
  <c r="I7" i="59"/>
  <c r="I8" i="59"/>
  <c r="I9" i="59"/>
  <c r="I10" i="59"/>
  <c r="I11" i="59"/>
  <c r="I12" i="59"/>
  <c r="I13" i="59"/>
  <c r="I14" i="59"/>
  <c r="I15" i="59"/>
  <c r="I16" i="59"/>
  <c r="I17" i="59"/>
  <c r="I18" i="59"/>
  <c r="I19" i="59"/>
  <c r="I20" i="59"/>
  <c r="I21" i="59"/>
  <c r="I22" i="59"/>
  <c r="I23" i="59"/>
  <c r="I24" i="59"/>
  <c r="I25" i="59"/>
  <c r="I26" i="59"/>
  <c r="I27" i="59"/>
  <c r="I28" i="59"/>
  <c r="I29" i="59"/>
  <c r="I30" i="59"/>
  <c r="I31" i="59"/>
  <c r="I32" i="59"/>
  <c r="I33" i="59"/>
  <c r="I34" i="59"/>
  <c r="I35" i="59"/>
  <c r="I36" i="59"/>
  <c r="I37" i="59"/>
  <c r="I38" i="59"/>
  <c r="I39" i="59"/>
  <c r="I40" i="59"/>
  <c r="I41" i="59"/>
  <c r="I42" i="59"/>
  <c r="I43" i="59"/>
  <c r="I44" i="59"/>
  <c r="I45" i="59"/>
  <c r="I46" i="59"/>
  <c r="I48" i="59"/>
  <c r="I49" i="59"/>
  <c r="I50" i="59"/>
  <c r="I51" i="59"/>
  <c r="I52" i="59"/>
  <c r="I53" i="59"/>
  <c r="I54" i="59"/>
  <c r="I55" i="59"/>
  <c r="I56" i="59"/>
  <c r="I57" i="59"/>
  <c r="I58" i="59"/>
  <c r="I59" i="59"/>
  <c r="I60" i="59"/>
  <c r="I61" i="59"/>
  <c r="I62" i="59"/>
  <c r="I63" i="59"/>
  <c r="I64" i="59"/>
  <c r="I65" i="59"/>
  <c r="I66" i="59"/>
  <c r="I67" i="59"/>
  <c r="I68" i="59"/>
  <c r="I69" i="59"/>
  <c r="I70" i="59"/>
  <c r="I71" i="59"/>
  <c r="I72" i="59"/>
  <c r="I73" i="59"/>
  <c r="I74" i="59"/>
  <c r="I75" i="59"/>
  <c r="I76" i="59"/>
  <c r="I77" i="59"/>
  <c r="I78" i="59"/>
  <c r="I79" i="59"/>
  <c r="I80" i="59"/>
  <c r="I81" i="59"/>
  <c r="K65" i="59"/>
  <c r="K64" i="59"/>
  <c r="K63" i="59"/>
  <c r="E51" i="54"/>
  <c r="B51" i="54"/>
  <c r="E50" i="54"/>
  <c r="B50" i="54"/>
  <c r="E49" i="54"/>
  <c r="B49" i="54"/>
  <c r="E48" i="54"/>
  <c r="B48" i="54"/>
  <c r="E47" i="54"/>
  <c r="B47" i="54"/>
  <c r="E46" i="54"/>
  <c r="B46" i="54"/>
  <c r="E45" i="54"/>
  <c r="B45" i="54"/>
  <c r="E44" i="54"/>
  <c r="B44" i="54"/>
  <c r="E43" i="54"/>
  <c r="B43" i="54"/>
  <c r="E42" i="54"/>
  <c r="B42" i="54"/>
  <c r="E41" i="54"/>
  <c r="B41" i="54"/>
  <c r="E40" i="54"/>
  <c r="B40" i="54"/>
  <c r="E39" i="54"/>
  <c r="B39" i="54"/>
  <c r="E38" i="54"/>
  <c r="B38" i="54"/>
  <c r="E37" i="54"/>
  <c r="B37" i="54"/>
  <c r="T23" i="58"/>
  <c r="AH10" i="23"/>
  <c r="AH12" i="23"/>
  <c r="T24" i="58"/>
  <c r="T25" i="58"/>
  <c r="K59" i="59"/>
  <c r="K81" i="59"/>
  <c r="A81" i="59"/>
  <c r="K80" i="59"/>
  <c r="A80" i="59"/>
  <c r="K79" i="59"/>
  <c r="A79" i="59"/>
  <c r="K78" i="59"/>
  <c r="A78" i="59"/>
  <c r="K77" i="59"/>
  <c r="A77" i="59"/>
  <c r="K76" i="59"/>
  <c r="A76" i="59"/>
  <c r="K75" i="59"/>
  <c r="A75" i="59"/>
  <c r="K74" i="59"/>
  <c r="A74" i="59"/>
  <c r="F17" i="59"/>
  <c r="E17" i="59"/>
  <c r="F16" i="59"/>
  <c r="E16" i="59"/>
  <c r="F15" i="59"/>
  <c r="E15" i="59"/>
  <c r="F14" i="59"/>
  <c r="E14" i="59"/>
  <c r="F13" i="59"/>
  <c r="E13" i="59"/>
  <c r="F12" i="59"/>
  <c r="E12" i="59"/>
  <c r="F11" i="59"/>
  <c r="E11" i="59"/>
  <c r="F10" i="59"/>
  <c r="E10" i="59"/>
  <c r="F9" i="59"/>
  <c r="E9" i="59"/>
  <c r="F8" i="59"/>
  <c r="E8" i="59"/>
  <c r="F7" i="59"/>
  <c r="E7" i="59"/>
  <c r="F6" i="59"/>
  <c r="E6" i="59"/>
  <c r="F5" i="59"/>
  <c r="E5" i="59"/>
  <c r="F4" i="59"/>
  <c r="E4" i="59"/>
  <c r="F3" i="59"/>
  <c r="E3" i="59"/>
  <c r="C2" i="59"/>
  <c r="F2" i="59"/>
  <c r="E2" i="59"/>
  <c r="D2" i="59"/>
  <c r="F8" i="23"/>
  <c r="F10" i="23"/>
  <c r="F11" i="23"/>
  <c r="F12" i="23"/>
  <c r="F2" i="23"/>
  <c r="G2" i="23"/>
  <c r="F3" i="23"/>
  <c r="G3" i="23"/>
  <c r="F4" i="23"/>
  <c r="G4" i="23"/>
  <c r="F5" i="23"/>
  <c r="G5" i="23"/>
  <c r="F6" i="23"/>
  <c r="G6" i="23"/>
  <c r="F7" i="23"/>
  <c r="G7" i="23"/>
  <c r="K73" i="59"/>
  <c r="B10" i="23"/>
  <c r="A73" i="59"/>
  <c r="K72" i="59"/>
  <c r="A72" i="59"/>
  <c r="K71" i="59"/>
  <c r="A71" i="59"/>
  <c r="K70" i="59"/>
  <c r="A70" i="59"/>
  <c r="K69" i="59"/>
  <c r="A69" i="59"/>
  <c r="K68" i="59"/>
  <c r="A68" i="59"/>
  <c r="K67" i="59"/>
  <c r="A67" i="59"/>
  <c r="K66" i="59"/>
  <c r="A66" i="59"/>
  <c r="B8" i="23"/>
  <c r="I10" i="23"/>
  <c r="A65" i="59"/>
  <c r="A64" i="59"/>
  <c r="A63" i="59"/>
  <c r="K62" i="59"/>
  <c r="A62" i="59"/>
  <c r="K61" i="59"/>
  <c r="A61" i="59"/>
  <c r="K60" i="59"/>
  <c r="A60" i="59"/>
  <c r="A59" i="59"/>
  <c r="K58" i="59"/>
  <c r="A58" i="59"/>
  <c r="A42" i="59"/>
  <c r="P9" i="58"/>
  <c r="B31" i="58"/>
  <c r="S29" i="58"/>
  <c r="S31" i="58"/>
  <c r="T31" i="58"/>
  <c r="R31" i="58"/>
  <c r="P31" i="58"/>
  <c r="O31" i="58"/>
  <c r="N31" i="58"/>
  <c r="M31" i="58"/>
  <c r="L31" i="58"/>
  <c r="J31" i="58"/>
  <c r="K31" i="58"/>
  <c r="I31" i="58"/>
  <c r="H31" i="58"/>
  <c r="G31" i="58"/>
  <c r="F31" i="58"/>
  <c r="E31" i="58"/>
  <c r="D31" i="58"/>
  <c r="C31" i="58"/>
  <c r="S30" i="58"/>
  <c r="T30" i="58"/>
  <c r="R30" i="58"/>
  <c r="P30" i="58"/>
  <c r="O30" i="58"/>
  <c r="N30" i="58"/>
  <c r="M30" i="58"/>
  <c r="L30" i="58"/>
  <c r="J30" i="58"/>
  <c r="K30" i="58"/>
  <c r="I30" i="58"/>
  <c r="H30" i="58"/>
  <c r="G30" i="58"/>
  <c r="F30" i="58"/>
  <c r="E30" i="58"/>
  <c r="D30" i="58"/>
  <c r="C30" i="58"/>
  <c r="B30" i="58"/>
  <c r="T29" i="58"/>
  <c r="R29" i="58"/>
  <c r="P29" i="58"/>
  <c r="O29" i="58"/>
  <c r="N29" i="58"/>
  <c r="M29" i="58"/>
  <c r="L29" i="58"/>
  <c r="J29" i="58"/>
  <c r="K29" i="58"/>
  <c r="I29" i="58"/>
  <c r="H29" i="58"/>
  <c r="G29" i="58"/>
  <c r="F29" i="58"/>
  <c r="E29" i="58"/>
  <c r="D29" i="58"/>
  <c r="C29" i="58"/>
  <c r="B29" i="58"/>
  <c r="R26" i="58"/>
  <c r="S26" i="58"/>
  <c r="S28" i="58"/>
  <c r="T28" i="58"/>
  <c r="R28" i="58"/>
  <c r="P28" i="58"/>
  <c r="O28" i="58"/>
  <c r="N28" i="58"/>
  <c r="M28" i="58"/>
  <c r="L28" i="58"/>
  <c r="J28" i="58"/>
  <c r="K28" i="58"/>
  <c r="I28" i="58"/>
  <c r="H28" i="58"/>
  <c r="G28" i="58"/>
  <c r="F28" i="58"/>
  <c r="E28" i="58"/>
  <c r="D28" i="58"/>
  <c r="C28" i="58"/>
  <c r="B28" i="58"/>
  <c r="S27" i="58"/>
  <c r="T27" i="58"/>
  <c r="R27" i="58"/>
  <c r="P27" i="58"/>
  <c r="O27" i="58"/>
  <c r="N27" i="58"/>
  <c r="M27" i="58"/>
  <c r="L27" i="58"/>
  <c r="J27" i="58"/>
  <c r="K27" i="58"/>
  <c r="I27" i="58"/>
  <c r="H27" i="58"/>
  <c r="G27" i="58"/>
  <c r="F27" i="58"/>
  <c r="E27" i="58"/>
  <c r="D27" i="58"/>
  <c r="C27" i="58"/>
  <c r="B27" i="58"/>
  <c r="T26" i="58"/>
  <c r="P26" i="58"/>
  <c r="O26" i="58"/>
  <c r="N26" i="58"/>
  <c r="M26" i="58"/>
  <c r="L26" i="58"/>
  <c r="J26" i="58"/>
  <c r="K26" i="58"/>
  <c r="I26" i="58"/>
  <c r="H26" i="58"/>
  <c r="G26" i="58"/>
  <c r="F26" i="58"/>
  <c r="E26" i="58"/>
  <c r="D26" i="58"/>
  <c r="C26" i="58"/>
  <c r="B26" i="58"/>
  <c r="P6" i="56"/>
  <c r="I6" i="56"/>
  <c r="G6" i="56"/>
  <c r="B16" i="57"/>
  <c r="B15" i="57"/>
  <c r="W12" i="23"/>
  <c r="AD12" i="23"/>
  <c r="AC12" i="23"/>
  <c r="AB12" i="23"/>
  <c r="AA12" i="23"/>
  <c r="W5" i="23"/>
  <c r="AC5" i="23"/>
  <c r="W6" i="23"/>
  <c r="AC6" i="23"/>
  <c r="W7" i="23"/>
  <c r="AC7" i="23"/>
  <c r="W8" i="23"/>
  <c r="AC8" i="23"/>
  <c r="W10" i="23"/>
  <c r="AC10" i="23"/>
  <c r="W11" i="23"/>
  <c r="AC11" i="23"/>
  <c r="AD10" i="23"/>
  <c r="R23" i="58"/>
  <c r="R25" i="58"/>
  <c r="P25" i="58"/>
  <c r="O25" i="58"/>
  <c r="N25" i="58"/>
  <c r="M25" i="58"/>
  <c r="L25" i="58"/>
  <c r="J25" i="58"/>
  <c r="K25" i="58"/>
  <c r="I25" i="58"/>
  <c r="H25" i="58"/>
  <c r="G25" i="58"/>
  <c r="F25" i="58"/>
  <c r="E25" i="58"/>
  <c r="D25" i="58"/>
  <c r="C25" i="58"/>
  <c r="B25" i="58"/>
  <c r="R24" i="58"/>
  <c r="P24" i="58"/>
  <c r="O24" i="58"/>
  <c r="N24" i="58"/>
  <c r="M24" i="58"/>
  <c r="L24" i="58"/>
  <c r="J24" i="58"/>
  <c r="K24" i="58"/>
  <c r="I24" i="58"/>
  <c r="H24" i="58"/>
  <c r="G24" i="58"/>
  <c r="F24" i="58"/>
  <c r="E24" i="58"/>
  <c r="D24" i="58"/>
  <c r="C24" i="58"/>
  <c r="B24" i="58"/>
  <c r="P23" i="58"/>
  <c r="O23" i="58"/>
  <c r="N23" i="58"/>
  <c r="M23" i="58"/>
  <c r="L23" i="58"/>
  <c r="J23" i="58"/>
  <c r="K23" i="58"/>
  <c r="I23" i="58"/>
  <c r="H23" i="58"/>
  <c r="G23" i="58"/>
  <c r="F23" i="58"/>
  <c r="E23" i="58"/>
  <c r="D23" i="58"/>
  <c r="C23" i="58"/>
  <c r="B23" i="58"/>
  <c r="G12" i="53"/>
  <c r="E12" i="53"/>
  <c r="J12" i="52"/>
  <c r="H12" i="52"/>
  <c r="E12" i="52"/>
  <c r="B12" i="23"/>
  <c r="BD12" i="23"/>
  <c r="Q12" i="23"/>
  <c r="V12" i="23"/>
  <c r="I12" i="23"/>
  <c r="M12" i="23"/>
  <c r="BN12" i="23"/>
  <c r="U12" i="23"/>
  <c r="L12" i="23"/>
  <c r="BM12" i="23"/>
  <c r="T12" i="23"/>
  <c r="K12" i="23"/>
  <c r="BL12" i="23"/>
  <c r="S12" i="23"/>
  <c r="J12" i="23"/>
  <c r="BK12" i="23"/>
  <c r="BE12" i="23"/>
  <c r="BJ12" i="23"/>
  <c r="BI12" i="23"/>
  <c r="BH12" i="23"/>
  <c r="BG12" i="23"/>
  <c r="BF12" i="23"/>
  <c r="AX12" i="23"/>
  <c r="AT12" i="23"/>
  <c r="AV12" i="23"/>
  <c r="AU12" i="23"/>
  <c r="AS12" i="23"/>
  <c r="AR12" i="23"/>
  <c r="AQ12" i="23"/>
  <c r="AK12" i="23"/>
  <c r="AF12" i="23"/>
  <c r="Y12" i="23"/>
  <c r="Z12" i="23"/>
  <c r="X12" i="23"/>
  <c r="R12" i="23"/>
  <c r="P12" i="23"/>
  <c r="E12" i="23"/>
  <c r="D12" i="23"/>
  <c r="C12" i="23"/>
  <c r="P8" i="56"/>
  <c r="I8" i="56"/>
  <c r="G8" i="56"/>
  <c r="B22" i="57"/>
  <c r="B21" i="57"/>
  <c r="G8" i="53"/>
  <c r="G10" i="53"/>
  <c r="G11" i="53"/>
  <c r="E10" i="53"/>
  <c r="J11" i="52"/>
  <c r="J10" i="52"/>
  <c r="H10" i="52"/>
  <c r="E10" i="52"/>
  <c r="B11" i="23"/>
  <c r="C11" i="23"/>
  <c r="D11" i="23"/>
  <c r="E11" i="23"/>
  <c r="I11" i="23"/>
  <c r="J11" i="23"/>
  <c r="K11" i="23"/>
  <c r="L11" i="23"/>
  <c r="M11" i="23"/>
  <c r="P11" i="23"/>
  <c r="Q11" i="23"/>
  <c r="R11" i="23"/>
  <c r="S11" i="23"/>
  <c r="T11" i="23"/>
  <c r="U11" i="23"/>
  <c r="V11" i="23"/>
  <c r="X11" i="23"/>
  <c r="Y11" i="23"/>
  <c r="Z11" i="23"/>
  <c r="AA11" i="23"/>
  <c r="AB11" i="23"/>
  <c r="AD11" i="23"/>
  <c r="AF11" i="23"/>
  <c r="AH11" i="23"/>
  <c r="AK11" i="23"/>
  <c r="AQ11" i="23"/>
  <c r="AR11" i="23"/>
  <c r="AS11" i="23"/>
  <c r="AT11" i="23"/>
  <c r="AU11" i="23"/>
  <c r="AV11" i="23"/>
  <c r="AX11" i="23"/>
  <c r="BD11" i="23"/>
  <c r="BE11" i="23"/>
  <c r="BF11" i="23"/>
  <c r="BK11" i="23"/>
  <c r="BG11" i="23"/>
  <c r="BL11" i="23"/>
  <c r="BH11" i="23"/>
  <c r="BM11" i="23"/>
  <c r="BI11" i="23"/>
  <c r="BN11" i="23"/>
  <c r="BJ11" i="23"/>
  <c r="B24" i="57"/>
  <c r="AX10" i="23"/>
  <c r="AX7" i="23"/>
  <c r="AV10" i="23"/>
  <c r="AU10" i="23"/>
  <c r="AS10" i="23"/>
  <c r="AR10" i="23"/>
  <c r="AQ10" i="23"/>
  <c r="B23" i="57"/>
  <c r="E11" i="53"/>
  <c r="H11" i="52"/>
  <c r="E11" i="52"/>
  <c r="BD10" i="23"/>
  <c r="Q10" i="23"/>
  <c r="V10" i="23"/>
  <c r="M10" i="23"/>
  <c r="BN10" i="23"/>
  <c r="U10" i="23"/>
  <c r="L10" i="23"/>
  <c r="BM10" i="23"/>
  <c r="T10" i="23"/>
  <c r="AB10" i="23"/>
  <c r="K10" i="23"/>
  <c r="BL10" i="23"/>
  <c r="S10" i="23"/>
  <c r="AA10" i="23"/>
  <c r="J10" i="23"/>
  <c r="BK10" i="23"/>
  <c r="BE10" i="23"/>
  <c r="BJ10" i="23"/>
  <c r="BI10" i="23"/>
  <c r="BH10" i="23"/>
  <c r="BG10" i="23"/>
  <c r="BF10" i="23"/>
  <c r="AK10" i="23"/>
  <c r="AF10" i="23"/>
  <c r="Y10" i="23"/>
  <c r="Z10" i="23"/>
  <c r="X10" i="23"/>
  <c r="R10" i="23"/>
  <c r="P10" i="23"/>
  <c r="E10" i="23"/>
  <c r="D10" i="23"/>
  <c r="C10" i="23"/>
  <c r="B10" i="57"/>
  <c r="K57" i="59"/>
  <c r="A57" i="59"/>
  <c r="K56" i="59"/>
  <c r="A56" i="59"/>
  <c r="K55" i="59"/>
  <c r="A55" i="59"/>
  <c r="K54" i="59"/>
  <c r="A54" i="59"/>
  <c r="K53" i="59"/>
  <c r="A53" i="59"/>
  <c r="K52" i="59"/>
  <c r="A52" i="59"/>
  <c r="K51" i="59"/>
  <c r="A51" i="59"/>
  <c r="K50" i="59"/>
  <c r="A50" i="59"/>
  <c r="G22" i="58"/>
  <c r="S20" i="58"/>
  <c r="S22" i="58"/>
  <c r="T22" i="58"/>
  <c r="R22" i="58"/>
  <c r="P22" i="58"/>
  <c r="O22" i="58"/>
  <c r="N22" i="58"/>
  <c r="M22" i="58"/>
  <c r="L22" i="58"/>
  <c r="J22" i="58"/>
  <c r="K22" i="58"/>
  <c r="I22" i="58"/>
  <c r="H22" i="58"/>
  <c r="F22" i="58"/>
  <c r="E22" i="58"/>
  <c r="D22" i="58"/>
  <c r="C22" i="58"/>
  <c r="B22" i="58"/>
  <c r="G21" i="58"/>
  <c r="S21" i="58"/>
  <c r="T21" i="58"/>
  <c r="R21" i="58"/>
  <c r="P21" i="58"/>
  <c r="O21" i="58"/>
  <c r="N21" i="58"/>
  <c r="M21" i="58"/>
  <c r="L21" i="58"/>
  <c r="J21" i="58"/>
  <c r="K21" i="58"/>
  <c r="I21" i="58"/>
  <c r="H21" i="58"/>
  <c r="F21" i="58"/>
  <c r="E21" i="58"/>
  <c r="D21" i="58"/>
  <c r="C21" i="58"/>
  <c r="B21" i="58"/>
  <c r="G20" i="58"/>
  <c r="T20" i="58"/>
  <c r="R20" i="58"/>
  <c r="P20" i="58"/>
  <c r="O20" i="58"/>
  <c r="N20" i="58"/>
  <c r="M20" i="58"/>
  <c r="L20" i="58"/>
  <c r="J20" i="58"/>
  <c r="K20" i="58"/>
  <c r="I20" i="58"/>
  <c r="H20" i="58"/>
  <c r="F20" i="58"/>
  <c r="E20" i="58"/>
  <c r="D20" i="58"/>
  <c r="C20" i="58"/>
  <c r="B20" i="58"/>
  <c r="E36" i="54"/>
  <c r="B36" i="54"/>
  <c r="E35" i="54"/>
  <c r="B35" i="54"/>
  <c r="E34" i="54"/>
  <c r="B34" i="54"/>
  <c r="E33" i="54"/>
  <c r="B33" i="54"/>
  <c r="E32" i="54"/>
  <c r="B32" i="54"/>
  <c r="E8" i="53"/>
  <c r="J8" i="52"/>
  <c r="H8" i="52"/>
  <c r="E8" i="52"/>
  <c r="BD8" i="23"/>
  <c r="Q8" i="23"/>
  <c r="V8" i="23"/>
  <c r="AD8" i="23"/>
  <c r="I8" i="23"/>
  <c r="M8" i="23"/>
  <c r="BN8" i="23"/>
  <c r="U8" i="23"/>
  <c r="L8" i="23"/>
  <c r="BM8" i="23"/>
  <c r="T8" i="23"/>
  <c r="AB8" i="23"/>
  <c r="K8" i="23"/>
  <c r="BL8" i="23"/>
  <c r="S8" i="23"/>
  <c r="AA8" i="23"/>
  <c r="J8" i="23"/>
  <c r="BK8" i="23"/>
  <c r="BE8" i="23"/>
  <c r="BJ8" i="23"/>
  <c r="BI8" i="23"/>
  <c r="BH8" i="23"/>
  <c r="BG8" i="23"/>
  <c r="BF8" i="23"/>
  <c r="AX8" i="23"/>
  <c r="AK8" i="23"/>
  <c r="AH8" i="23"/>
  <c r="AF8" i="23"/>
  <c r="Y8" i="23"/>
  <c r="Z8" i="23"/>
  <c r="X8" i="23"/>
  <c r="R8" i="23"/>
  <c r="P8" i="23"/>
  <c r="E8" i="23"/>
  <c r="D8" i="23"/>
  <c r="C8" i="23"/>
  <c r="K6" i="52"/>
  <c r="K7" i="52"/>
  <c r="K47" i="59"/>
  <c r="K49" i="59"/>
  <c r="B7" i="23"/>
  <c r="A49" i="59"/>
  <c r="K48" i="59"/>
  <c r="A48" i="59"/>
  <c r="A47" i="59"/>
  <c r="K46" i="59"/>
  <c r="A46" i="59"/>
  <c r="K45" i="59"/>
  <c r="A45" i="59"/>
  <c r="G19" i="58"/>
  <c r="S17" i="58"/>
  <c r="S19" i="58"/>
  <c r="T19" i="58"/>
  <c r="R19" i="58"/>
  <c r="P19" i="58"/>
  <c r="O19" i="58"/>
  <c r="N19" i="58"/>
  <c r="M19" i="58"/>
  <c r="L19" i="58"/>
  <c r="J19" i="58"/>
  <c r="K19" i="58"/>
  <c r="I19" i="58"/>
  <c r="H19" i="58"/>
  <c r="F19" i="58"/>
  <c r="E19" i="58"/>
  <c r="D19" i="58"/>
  <c r="C19" i="58"/>
  <c r="B19" i="58"/>
  <c r="G18" i="58"/>
  <c r="S18" i="58"/>
  <c r="T18" i="58"/>
  <c r="R18" i="58"/>
  <c r="P18" i="58"/>
  <c r="O18" i="58"/>
  <c r="N18" i="58"/>
  <c r="M18" i="58"/>
  <c r="L18" i="58"/>
  <c r="J18" i="58"/>
  <c r="K18" i="58"/>
  <c r="I18" i="58"/>
  <c r="H18" i="58"/>
  <c r="F18" i="58"/>
  <c r="E18" i="58"/>
  <c r="D18" i="58"/>
  <c r="C18" i="58"/>
  <c r="B18" i="58"/>
  <c r="G17" i="58"/>
  <c r="T17" i="58"/>
  <c r="R17" i="58"/>
  <c r="P17" i="58"/>
  <c r="O17" i="58"/>
  <c r="N17" i="58"/>
  <c r="M17" i="58"/>
  <c r="L17" i="58"/>
  <c r="J17" i="58"/>
  <c r="K17" i="58"/>
  <c r="I17" i="58"/>
  <c r="H17" i="58"/>
  <c r="F17" i="58"/>
  <c r="E17" i="58"/>
  <c r="D17" i="58"/>
  <c r="C17" i="58"/>
  <c r="B17" i="58"/>
  <c r="K44" i="59"/>
  <c r="A44" i="59"/>
  <c r="K43" i="59"/>
  <c r="A43" i="59"/>
  <c r="K42" i="59"/>
  <c r="E31" i="54"/>
  <c r="B31" i="54"/>
  <c r="E30" i="54"/>
  <c r="B30" i="54"/>
  <c r="E29" i="54"/>
  <c r="B29" i="54"/>
  <c r="E28" i="54"/>
  <c r="B28" i="54"/>
  <c r="E27" i="54"/>
  <c r="B27" i="54"/>
  <c r="B20" i="57"/>
  <c r="B19" i="57"/>
  <c r="E7" i="53"/>
  <c r="G7" i="53"/>
  <c r="J7" i="52"/>
  <c r="H7" i="52"/>
  <c r="E7" i="52"/>
  <c r="BC7" i="23"/>
  <c r="BD7" i="23"/>
  <c r="Q7" i="23"/>
  <c r="V7" i="23"/>
  <c r="AD7" i="23"/>
  <c r="I7" i="23"/>
  <c r="M7" i="23"/>
  <c r="BN7" i="23"/>
  <c r="U7" i="23"/>
  <c r="L7" i="23"/>
  <c r="BM7" i="23"/>
  <c r="T7" i="23"/>
  <c r="AB7" i="23"/>
  <c r="K7" i="23"/>
  <c r="BL7" i="23"/>
  <c r="S7" i="23"/>
  <c r="AA7" i="23"/>
  <c r="J7" i="23"/>
  <c r="BK7" i="23"/>
  <c r="BE7" i="23"/>
  <c r="BJ7" i="23"/>
  <c r="BI7" i="23"/>
  <c r="BH7" i="23"/>
  <c r="BG7" i="23"/>
  <c r="BF7" i="23"/>
  <c r="AU7" i="23"/>
  <c r="AS7" i="23"/>
  <c r="AR7" i="23"/>
  <c r="AQ7" i="23"/>
  <c r="AN7" i="23"/>
  <c r="AM7" i="23"/>
  <c r="AL7" i="23"/>
  <c r="AK7" i="23"/>
  <c r="AI7" i="23"/>
  <c r="AH7" i="23"/>
  <c r="AF7" i="23"/>
  <c r="Y7" i="23"/>
  <c r="Z7" i="23"/>
  <c r="X7" i="23"/>
  <c r="R7" i="23"/>
  <c r="P7" i="23"/>
  <c r="O7" i="23"/>
  <c r="N7" i="23"/>
  <c r="E7" i="23"/>
  <c r="D7" i="23"/>
  <c r="C7" i="23"/>
  <c r="K37" i="59"/>
  <c r="K34" i="59"/>
  <c r="K41" i="59"/>
  <c r="B5" i="23"/>
  <c r="B6" i="23"/>
  <c r="A41" i="59"/>
  <c r="K40" i="59"/>
  <c r="A40" i="59"/>
  <c r="K39" i="59"/>
  <c r="A39" i="59"/>
  <c r="K38" i="59"/>
  <c r="A38" i="59"/>
  <c r="A37" i="59"/>
  <c r="K36" i="59"/>
  <c r="A36" i="59"/>
  <c r="K35" i="59"/>
  <c r="A35" i="59"/>
  <c r="B4" i="23"/>
  <c r="A34" i="59"/>
  <c r="E26" i="54"/>
  <c r="B26" i="54"/>
  <c r="E25" i="54"/>
  <c r="B25" i="54"/>
  <c r="E24" i="54"/>
  <c r="B24" i="54"/>
  <c r="E23" i="54"/>
  <c r="B23" i="54"/>
  <c r="E22" i="54"/>
  <c r="B22" i="54"/>
  <c r="H3" i="53"/>
  <c r="H4" i="53"/>
  <c r="H5" i="53"/>
  <c r="H2" i="53"/>
  <c r="K3" i="52"/>
  <c r="K4" i="52"/>
  <c r="K5" i="52"/>
  <c r="K2" i="52"/>
  <c r="B14" i="57"/>
  <c r="B13" i="57"/>
  <c r="G16" i="58"/>
  <c r="S14" i="58"/>
  <c r="S16" i="58"/>
  <c r="T16" i="58"/>
  <c r="R16" i="58"/>
  <c r="P16" i="58"/>
  <c r="O16" i="58"/>
  <c r="N16" i="58"/>
  <c r="M16" i="58"/>
  <c r="L16" i="58"/>
  <c r="J16" i="58"/>
  <c r="K16" i="58"/>
  <c r="I16" i="58"/>
  <c r="H16" i="58"/>
  <c r="F16" i="58"/>
  <c r="E16" i="58"/>
  <c r="D16" i="58"/>
  <c r="C16" i="58"/>
  <c r="B16" i="58"/>
  <c r="G15" i="58"/>
  <c r="S15" i="58"/>
  <c r="T15" i="58"/>
  <c r="R15" i="58"/>
  <c r="P15" i="58"/>
  <c r="O15" i="58"/>
  <c r="N15" i="58"/>
  <c r="M15" i="58"/>
  <c r="L15" i="58"/>
  <c r="J15" i="58"/>
  <c r="K15" i="58"/>
  <c r="I15" i="58"/>
  <c r="H15" i="58"/>
  <c r="F15" i="58"/>
  <c r="E15" i="58"/>
  <c r="D15" i="58"/>
  <c r="C15" i="58"/>
  <c r="B15" i="58"/>
  <c r="G14" i="58"/>
  <c r="T14" i="58"/>
  <c r="R14" i="58"/>
  <c r="P14" i="58"/>
  <c r="O14" i="58"/>
  <c r="N14" i="58"/>
  <c r="M14" i="58"/>
  <c r="L14" i="58"/>
  <c r="J14" i="58"/>
  <c r="K14" i="58"/>
  <c r="I14" i="58"/>
  <c r="H14" i="58"/>
  <c r="F14" i="58"/>
  <c r="E14" i="58"/>
  <c r="D14" i="58"/>
  <c r="C14" i="58"/>
  <c r="B14" i="58"/>
  <c r="G6" i="53"/>
  <c r="E6" i="53"/>
  <c r="J6" i="52"/>
  <c r="H6" i="52"/>
  <c r="E6" i="52"/>
  <c r="BC6" i="23"/>
  <c r="BD6" i="23"/>
  <c r="Q6" i="23"/>
  <c r="V6" i="23"/>
  <c r="AD6" i="23"/>
  <c r="I6" i="23"/>
  <c r="M6" i="23"/>
  <c r="BN6" i="23"/>
  <c r="U6" i="23"/>
  <c r="L6" i="23"/>
  <c r="BM6" i="23"/>
  <c r="T6" i="23"/>
  <c r="AB6" i="23"/>
  <c r="K6" i="23"/>
  <c r="BL6" i="23"/>
  <c r="S6" i="23"/>
  <c r="AA6" i="23"/>
  <c r="J6" i="23"/>
  <c r="BK6" i="23"/>
  <c r="BE6" i="23"/>
  <c r="BJ6" i="23"/>
  <c r="BI6" i="23"/>
  <c r="BH6" i="23"/>
  <c r="BG6" i="23"/>
  <c r="BF6" i="23"/>
  <c r="AX6" i="23"/>
  <c r="AT6" i="23"/>
  <c r="AV6" i="23"/>
  <c r="AU6" i="23"/>
  <c r="AS6" i="23"/>
  <c r="AR6" i="23"/>
  <c r="AQ6" i="23"/>
  <c r="AN6" i="23"/>
  <c r="AM6" i="23"/>
  <c r="AL6" i="23"/>
  <c r="AK6" i="23"/>
  <c r="AI6" i="23"/>
  <c r="AH6" i="23"/>
  <c r="AF6" i="23"/>
  <c r="Y6" i="23"/>
  <c r="Z6" i="23"/>
  <c r="X6" i="23"/>
  <c r="R6" i="23"/>
  <c r="P6" i="23"/>
  <c r="O6" i="23"/>
  <c r="N6" i="23"/>
  <c r="E6" i="23"/>
  <c r="D6" i="23"/>
  <c r="C6" i="23"/>
  <c r="F8" i="57"/>
  <c r="E8" i="57"/>
  <c r="B3" i="23"/>
  <c r="B18" i="54"/>
  <c r="E21" i="54"/>
  <c r="B21" i="54"/>
  <c r="E20" i="54"/>
  <c r="B20" i="54"/>
  <c r="E19" i="54"/>
  <c r="B19" i="54"/>
  <c r="E18" i="54"/>
  <c r="E17" i="54"/>
  <c r="B17" i="54"/>
  <c r="E16" i="54"/>
  <c r="B16" i="54"/>
  <c r="E15" i="54"/>
  <c r="B15" i="54"/>
  <c r="E14" i="54"/>
  <c r="B14" i="54"/>
  <c r="E13" i="54"/>
  <c r="B13" i="54"/>
  <c r="E12" i="54"/>
  <c r="B12" i="54"/>
  <c r="E11" i="54"/>
  <c r="B11" i="54"/>
  <c r="E10" i="54"/>
  <c r="B10" i="54"/>
  <c r="E9" i="54"/>
  <c r="B9" i="54"/>
  <c r="E8" i="54"/>
  <c r="B8" i="54"/>
  <c r="E7" i="54"/>
  <c r="B7" i="54"/>
  <c r="E6" i="54"/>
  <c r="B6" i="54"/>
  <c r="E5" i="54"/>
  <c r="B5" i="54"/>
  <c r="E4" i="54"/>
  <c r="B4" i="54"/>
  <c r="E3" i="54"/>
  <c r="B3" i="54"/>
  <c r="E2" i="54"/>
  <c r="B2" i="54"/>
  <c r="BC3" i="23"/>
  <c r="BD3" i="23"/>
  <c r="Q3" i="23"/>
  <c r="T3" i="23"/>
  <c r="W3" i="23"/>
  <c r="I3" i="23"/>
  <c r="K3" i="23"/>
  <c r="BL3" i="23"/>
  <c r="G4" i="56"/>
  <c r="F6" i="57"/>
  <c r="E6" i="57"/>
  <c r="BC5" i="23"/>
  <c r="BD5" i="23"/>
  <c r="Q5" i="23"/>
  <c r="T5" i="23"/>
  <c r="AB5" i="23"/>
  <c r="I5" i="23"/>
  <c r="K5" i="23"/>
  <c r="BL5" i="23"/>
  <c r="J4" i="52"/>
  <c r="J5" i="52"/>
  <c r="J3" i="52"/>
  <c r="F2" i="57"/>
  <c r="E2" i="57"/>
  <c r="G2" i="56"/>
  <c r="I5" i="56"/>
  <c r="I4" i="56"/>
  <c r="I3" i="56"/>
  <c r="I2" i="56"/>
  <c r="L2" i="56"/>
  <c r="K2" i="56"/>
  <c r="J2" i="56"/>
  <c r="G3" i="56"/>
  <c r="G5" i="56"/>
  <c r="P3" i="56"/>
  <c r="P4" i="56"/>
  <c r="P5" i="56"/>
  <c r="P2" i="56"/>
  <c r="G13" i="58"/>
  <c r="S11" i="58"/>
  <c r="S12" i="58"/>
  <c r="S13" i="58"/>
  <c r="T13" i="58"/>
  <c r="R13" i="58"/>
  <c r="P13" i="58"/>
  <c r="O13" i="58"/>
  <c r="N13" i="58"/>
  <c r="M13" i="58"/>
  <c r="L13" i="58"/>
  <c r="J13" i="58"/>
  <c r="K13" i="58"/>
  <c r="I13" i="58"/>
  <c r="H13" i="58"/>
  <c r="F13" i="58"/>
  <c r="E13" i="58"/>
  <c r="D13" i="58"/>
  <c r="C13" i="58"/>
  <c r="B13" i="58"/>
  <c r="G12" i="58"/>
  <c r="T12" i="58"/>
  <c r="R12" i="58"/>
  <c r="P12" i="58"/>
  <c r="O12" i="58"/>
  <c r="N12" i="58"/>
  <c r="M12" i="58"/>
  <c r="L12" i="58"/>
  <c r="J12" i="58"/>
  <c r="K12" i="58"/>
  <c r="I12" i="58"/>
  <c r="H12" i="58"/>
  <c r="F12" i="58"/>
  <c r="E12" i="58"/>
  <c r="D12" i="58"/>
  <c r="C12" i="58"/>
  <c r="B12" i="58"/>
  <c r="G11" i="58"/>
  <c r="T11" i="58"/>
  <c r="R11" i="58"/>
  <c r="P11" i="58"/>
  <c r="O11" i="58"/>
  <c r="N11" i="58"/>
  <c r="M11" i="58"/>
  <c r="L11" i="58"/>
  <c r="J11" i="58"/>
  <c r="K11" i="58"/>
  <c r="I11" i="58"/>
  <c r="H11" i="58"/>
  <c r="F11" i="58"/>
  <c r="E11" i="58"/>
  <c r="D11" i="58"/>
  <c r="C11" i="58"/>
  <c r="B11" i="58"/>
  <c r="G10" i="58"/>
  <c r="S8" i="58"/>
  <c r="S9" i="58"/>
  <c r="S10" i="58"/>
  <c r="T10" i="58"/>
  <c r="R10" i="58"/>
  <c r="P10" i="58"/>
  <c r="O10" i="58"/>
  <c r="N10" i="58"/>
  <c r="M10" i="58"/>
  <c r="L10" i="58"/>
  <c r="J10" i="58"/>
  <c r="K10" i="58"/>
  <c r="I10" i="58"/>
  <c r="H10" i="58"/>
  <c r="F10" i="58"/>
  <c r="E10" i="58"/>
  <c r="D10" i="58"/>
  <c r="C10" i="58"/>
  <c r="B10" i="58"/>
  <c r="G9" i="58"/>
  <c r="T9" i="58"/>
  <c r="R9" i="58"/>
  <c r="O9" i="58"/>
  <c r="N9" i="58"/>
  <c r="M9" i="58"/>
  <c r="L9" i="58"/>
  <c r="J9" i="58"/>
  <c r="K9" i="58"/>
  <c r="I9" i="58"/>
  <c r="H9" i="58"/>
  <c r="F9" i="58"/>
  <c r="E9" i="58"/>
  <c r="D9" i="58"/>
  <c r="C9" i="58"/>
  <c r="B9" i="58"/>
  <c r="G8" i="58"/>
  <c r="T8" i="58"/>
  <c r="R8" i="58"/>
  <c r="P8" i="58"/>
  <c r="O8" i="58"/>
  <c r="N8" i="58"/>
  <c r="M8" i="58"/>
  <c r="L8" i="58"/>
  <c r="J8" i="58"/>
  <c r="K8" i="58"/>
  <c r="I8" i="58"/>
  <c r="H8" i="58"/>
  <c r="F8" i="58"/>
  <c r="E8" i="58"/>
  <c r="D8" i="58"/>
  <c r="C8" i="58"/>
  <c r="B8" i="58"/>
  <c r="G7" i="58"/>
  <c r="S5" i="58"/>
  <c r="S6" i="58"/>
  <c r="S7" i="58"/>
  <c r="T7" i="58"/>
  <c r="R7" i="58"/>
  <c r="P7" i="58"/>
  <c r="O7" i="58"/>
  <c r="N7" i="58"/>
  <c r="M7" i="58"/>
  <c r="L7" i="58"/>
  <c r="J7" i="58"/>
  <c r="K7" i="58"/>
  <c r="I7" i="58"/>
  <c r="H7" i="58"/>
  <c r="F7" i="58"/>
  <c r="E7" i="58"/>
  <c r="D7" i="58"/>
  <c r="C7" i="58"/>
  <c r="B7" i="58"/>
  <c r="G6" i="58"/>
  <c r="T6" i="58"/>
  <c r="R6" i="58"/>
  <c r="P6" i="58"/>
  <c r="O6" i="58"/>
  <c r="N6" i="58"/>
  <c r="M6" i="58"/>
  <c r="L6" i="58"/>
  <c r="J6" i="58"/>
  <c r="K6" i="58"/>
  <c r="I6" i="58"/>
  <c r="H6" i="58"/>
  <c r="F6" i="58"/>
  <c r="E6" i="58"/>
  <c r="D6" i="58"/>
  <c r="C6" i="58"/>
  <c r="B6" i="58"/>
  <c r="G5" i="58"/>
  <c r="T5" i="58"/>
  <c r="R5" i="58"/>
  <c r="P5" i="58"/>
  <c r="O5" i="58"/>
  <c r="N5" i="58"/>
  <c r="M5" i="58"/>
  <c r="L5" i="58"/>
  <c r="J5" i="58"/>
  <c r="K5" i="58"/>
  <c r="I5" i="58"/>
  <c r="H5" i="58"/>
  <c r="F5" i="58"/>
  <c r="E5" i="58"/>
  <c r="D5" i="58"/>
  <c r="C5" i="58"/>
  <c r="B5" i="58"/>
  <c r="K28" i="59"/>
  <c r="K27" i="59"/>
  <c r="K30" i="59"/>
  <c r="K29" i="59"/>
  <c r="G3" i="59"/>
  <c r="G4" i="59"/>
  <c r="G5" i="59"/>
  <c r="G6" i="59"/>
  <c r="G7" i="59"/>
  <c r="G8" i="59"/>
  <c r="G9" i="59"/>
  <c r="G10" i="59"/>
  <c r="G11" i="59"/>
  <c r="G12" i="59"/>
  <c r="G13" i="59"/>
  <c r="G14" i="59"/>
  <c r="G15" i="59"/>
  <c r="G16" i="59"/>
  <c r="G17" i="59"/>
  <c r="G2" i="59"/>
  <c r="P2" i="58"/>
  <c r="K33" i="59"/>
  <c r="A33" i="59"/>
  <c r="K32" i="59"/>
  <c r="A32" i="59"/>
  <c r="K31" i="59"/>
  <c r="A31" i="59"/>
  <c r="A30" i="59"/>
  <c r="A29" i="59"/>
  <c r="A28" i="59"/>
  <c r="A27" i="59"/>
  <c r="K26" i="59"/>
  <c r="A26" i="59"/>
  <c r="K18" i="59"/>
  <c r="K22" i="59"/>
  <c r="K21" i="59"/>
  <c r="K20" i="59"/>
  <c r="K19" i="59"/>
  <c r="K25" i="59"/>
  <c r="A25" i="59"/>
  <c r="K24" i="59"/>
  <c r="A24" i="59"/>
  <c r="K23" i="59"/>
  <c r="A23" i="59"/>
  <c r="A22" i="59"/>
  <c r="A21" i="59"/>
  <c r="A20" i="59"/>
  <c r="A19" i="59"/>
  <c r="A18" i="59"/>
  <c r="K10" i="59"/>
  <c r="K17" i="59"/>
  <c r="B2" i="23"/>
  <c r="A17" i="59"/>
  <c r="K16" i="59"/>
  <c r="A16" i="59"/>
  <c r="K15" i="59"/>
  <c r="A15" i="59"/>
  <c r="K14" i="59"/>
  <c r="A14" i="59"/>
  <c r="K13" i="59"/>
  <c r="A13" i="59"/>
  <c r="K12" i="59"/>
  <c r="A12" i="59"/>
  <c r="K11" i="59"/>
  <c r="A11" i="59"/>
  <c r="A10" i="59"/>
  <c r="K9" i="59"/>
  <c r="A9" i="59"/>
  <c r="K8" i="59"/>
  <c r="A8" i="59"/>
  <c r="BC2" i="23"/>
  <c r="BD2" i="23"/>
  <c r="Q2" i="23"/>
  <c r="S2" i="23"/>
  <c r="W2" i="23"/>
  <c r="AA2" i="23"/>
  <c r="I2" i="23"/>
  <c r="J2" i="23"/>
  <c r="BK2" i="23"/>
  <c r="V2" i="23"/>
  <c r="AD2" i="23"/>
  <c r="M2" i="23"/>
  <c r="BN2" i="23"/>
  <c r="T2" i="23"/>
  <c r="AB2" i="23"/>
  <c r="K2" i="23"/>
  <c r="BL2" i="23"/>
  <c r="K6" i="59"/>
  <c r="A6" i="59"/>
  <c r="K2" i="59"/>
  <c r="K3" i="59"/>
  <c r="K4" i="59"/>
  <c r="A4" i="59"/>
  <c r="A3" i="59"/>
  <c r="E2" i="52"/>
  <c r="K7" i="59"/>
  <c r="A7" i="59"/>
  <c r="G4" i="58"/>
  <c r="S2" i="58"/>
  <c r="S3" i="58"/>
  <c r="S4" i="58"/>
  <c r="T4" i="58"/>
  <c r="R4" i="58"/>
  <c r="P4" i="58"/>
  <c r="O4" i="58"/>
  <c r="N4" i="58"/>
  <c r="M4" i="58"/>
  <c r="L4" i="58"/>
  <c r="J4" i="58"/>
  <c r="K4" i="58"/>
  <c r="I4" i="58"/>
  <c r="H4" i="58"/>
  <c r="F4" i="58"/>
  <c r="E4" i="58"/>
  <c r="D4" i="58"/>
  <c r="C4" i="58"/>
  <c r="B4" i="58"/>
  <c r="G3" i="58"/>
  <c r="T3" i="58"/>
  <c r="R3" i="58"/>
  <c r="P3" i="58"/>
  <c r="O3" i="58"/>
  <c r="N3" i="58"/>
  <c r="M3" i="58"/>
  <c r="L3" i="58"/>
  <c r="J3" i="58"/>
  <c r="K3" i="58"/>
  <c r="I3" i="58"/>
  <c r="H3" i="58"/>
  <c r="F3" i="58"/>
  <c r="E3" i="58"/>
  <c r="D3" i="58"/>
  <c r="C3" i="58"/>
  <c r="B3" i="58"/>
  <c r="K5" i="59"/>
  <c r="A5" i="59"/>
  <c r="AH2" i="23"/>
  <c r="F4" i="57"/>
  <c r="E4" i="57"/>
  <c r="B8" i="57"/>
  <c r="B6" i="57"/>
  <c r="B4" i="57"/>
  <c r="B2" i="57"/>
  <c r="E4" i="49"/>
  <c r="E5" i="49"/>
  <c r="E3" i="49"/>
  <c r="R2" i="58"/>
  <c r="H2" i="58"/>
  <c r="G2" i="58"/>
  <c r="B2" i="58"/>
  <c r="AF2" i="23"/>
  <c r="A2" i="59"/>
  <c r="T2" i="58"/>
  <c r="O2" i="58"/>
  <c r="N2" i="58"/>
  <c r="M2" i="58"/>
  <c r="L2" i="58"/>
  <c r="J2" i="58"/>
  <c r="K2" i="58"/>
  <c r="I2" i="58"/>
  <c r="F2" i="58"/>
  <c r="E2" i="58"/>
  <c r="D2" i="58"/>
  <c r="C2" i="58"/>
  <c r="E15" i="49"/>
  <c r="E14" i="49"/>
  <c r="E13" i="49"/>
  <c r="G3" i="53"/>
  <c r="E3" i="53"/>
  <c r="G4" i="53"/>
  <c r="E4" i="53"/>
  <c r="G5" i="53"/>
  <c r="E5" i="53"/>
  <c r="E4" i="52"/>
  <c r="H4" i="52"/>
  <c r="E5" i="52"/>
  <c r="H5" i="52"/>
  <c r="H3" i="52"/>
  <c r="E3" i="52"/>
  <c r="AT5" i="23"/>
  <c r="AT4" i="23"/>
  <c r="AT3" i="23"/>
  <c r="AT2" i="23"/>
  <c r="AU4" i="23"/>
  <c r="AU3" i="23"/>
  <c r="G2" i="53"/>
  <c r="AU2" i="23"/>
  <c r="J2" i="52"/>
  <c r="C2" i="23"/>
  <c r="D2" i="23"/>
  <c r="E2" i="23"/>
  <c r="L2" i="23"/>
  <c r="G10" i="13"/>
  <c r="N2" i="23"/>
  <c r="O2" i="23"/>
  <c r="P2" i="23"/>
  <c r="R2" i="23"/>
  <c r="U2" i="23"/>
  <c r="X2" i="23"/>
  <c r="Y2" i="23"/>
  <c r="Z2" i="23"/>
  <c r="AI2" i="23"/>
  <c r="AK2" i="23"/>
  <c r="AL2" i="23"/>
  <c r="AM2" i="23"/>
  <c r="AN2" i="23"/>
  <c r="AQ2" i="23"/>
  <c r="AR2" i="23"/>
  <c r="AS2" i="23"/>
  <c r="AV2" i="23"/>
  <c r="AX2" i="23"/>
  <c r="BE2" i="23"/>
  <c r="BF2" i="23"/>
  <c r="BG2" i="23"/>
  <c r="BH2" i="23"/>
  <c r="BM2" i="23"/>
  <c r="BI2" i="23"/>
  <c r="BJ2" i="23"/>
  <c r="C3" i="23"/>
  <c r="D3" i="23"/>
  <c r="E3" i="23"/>
  <c r="J3" i="23"/>
  <c r="L3" i="23"/>
  <c r="M3" i="23"/>
  <c r="N3" i="23"/>
  <c r="O3" i="23"/>
  <c r="P3" i="23"/>
  <c r="R3" i="23"/>
  <c r="S3" i="23"/>
  <c r="U3" i="23"/>
  <c r="V3" i="23"/>
  <c r="X3" i="23"/>
  <c r="Y3" i="23"/>
  <c r="Z3" i="23"/>
  <c r="AF3" i="23"/>
  <c r="AH3" i="23"/>
  <c r="AI3" i="23"/>
  <c r="AK3" i="23"/>
  <c r="AL3" i="23"/>
  <c r="AM3" i="23"/>
  <c r="AN3" i="23"/>
  <c r="AQ3" i="23"/>
  <c r="AR3" i="23"/>
  <c r="AS3" i="23"/>
  <c r="AV3" i="23"/>
  <c r="AX3" i="23"/>
  <c r="BE3" i="23"/>
  <c r="BF3" i="23"/>
  <c r="BK3" i="23"/>
  <c r="BG3" i="23"/>
  <c r="BH3" i="23"/>
  <c r="BM3" i="23"/>
  <c r="BI3" i="23"/>
  <c r="BN3" i="23"/>
  <c r="BJ3" i="23"/>
  <c r="C4" i="23"/>
  <c r="D4" i="23"/>
  <c r="E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W4" i="23"/>
  <c r="X4" i="23"/>
  <c r="Y4" i="23"/>
  <c r="Z4" i="23"/>
  <c r="AF4" i="23"/>
  <c r="AH4" i="23"/>
  <c r="AI4" i="23"/>
  <c r="AK4" i="23"/>
  <c r="AL4" i="23"/>
  <c r="AM4" i="23"/>
  <c r="AN4" i="23"/>
  <c r="AQ4" i="23"/>
  <c r="AR4" i="23"/>
  <c r="AS4" i="23"/>
  <c r="AV4" i="23"/>
  <c r="AX4" i="23"/>
  <c r="BC4" i="23"/>
  <c r="BD4" i="23"/>
  <c r="BE4" i="23"/>
  <c r="BF4" i="23"/>
  <c r="BK4" i="23"/>
  <c r="BG4" i="23"/>
  <c r="BL4" i="23"/>
  <c r="BH4" i="23"/>
  <c r="BM4" i="23"/>
  <c r="BI4" i="23"/>
  <c r="BN4" i="23"/>
  <c r="BJ4" i="23"/>
  <c r="C5" i="23"/>
  <c r="D5" i="23"/>
  <c r="E5" i="23"/>
  <c r="J5" i="23"/>
  <c r="L5" i="23"/>
  <c r="M5" i="23"/>
  <c r="N5" i="23"/>
  <c r="O5" i="23"/>
  <c r="P5" i="23"/>
  <c r="R5" i="23"/>
  <c r="S5" i="23"/>
  <c r="U5" i="23"/>
  <c r="V5" i="23"/>
  <c r="X5" i="23"/>
  <c r="Y5" i="23"/>
  <c r="Z5" i="23"/>
  <c r="AA5" i="23"/>
  <c r="AD5" i="23"/>
  <c r="AF5" i="23"/>
  <c r="AH5" i="23"/>
  <c r="AI5" i="23"/>
  <c r="AK5" i="23"/>
  <c r="AL5" i="23"/>
  <c r="AM5" i="23"/>
  <c r="AN5" i="23"/>
  <c r="AQ5" i="23"/>
  <c r="AR5" i="23"/>
  <c r="AS5" i="23"/>
  <c r="AU5" i="23"/>
  <c r="AV5" i="23"/>
  <c r="AX5" i="23"/>
  <c r="BE5" i="23"/>
  <c r="BF5" i="23"/>
  <c r="BK5" i="23"/>
  <c r="BG5" i="23"/>
  <c r="BH5" i="23"/>
  <c r="BM5" i="23"/>
  <c r="BI5" i="23"/>
  <c r="BN5" i="23"/>
  <c r="BJ5" i="23"/>
  <c r="G9" i="13"/>
  <c r="G2" i="13"/>
  <c r="B15" i="55"/>
  <c r="C15" i="55"/>
  <c r="D15" i="55"/>
  <c r="B16" i="55"/>
  <c r="C16" i="55"/>
  <c r="D16" i="55"/>
  <c r="D14" i="55"/>
  <c r="C14" i="55"/>
  <c r="B14" i="55"/>
  <c r="A21" i="55"/>
  <c r="A26" i="55"/>
  <c r="A53" i="55"/>
  <c r="A52" i="55"/>
  <c r="A51" i="55"/>
  <c r="A50" i="55"/>
  <c r="A49" i="55"/>
  <c r="A46" i="55"/>
  <c r="A45" i="55"/>
  <c r="A44" i="55"/>
  <c r="A42" i="55"/>
  <c r="A41" i="55"/>
  <c r="A40" i="55"/>
  <c r="A38" i="55"/>
  <c r="A37" i="55"/>
  <c r="A36" i="55"/>
  <c r="A33" i="55"/>
  <c r="A32" i="55"/>
  <c r="A31" i="55"/>
  <c r="A30" i="55"/>
  <c r="A28" i="55"/>
  <c r="A27" i="55"/>
  <c r="A25" i="55"/>
  <c r="A23" i="55"/>
  <c r="A22" i="55"/>
  <c r="A20" i="55"/>
  <c r="A10" i="55"/>
  <c r="A9" i="55"/>
  <c r="A8" i="55"/>
  <c r="E2" i="53"/>
  <c r="H2" i="52"/>
  <c r="E10" i="49"/>
  <c r="E9" i="49"/>
  <c r="E8" i="49"/>
  <c r="E7" i="49"/>
  <c r="E11" i="49"/>
  <c r="E12" i="49"/>
  <c r="E6" i="49"/>
  <c r="E2" i="49"/>
</calcChain>
</file>

<file path=xl/sharedStrings.xml><?xml version="1.0" encoding="utf-8"?>
<sst xmlns="http://schemas.openxmlformats.org/spreadsheetml/2006/main" count="1370" uniqueCount="594">
  <si>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</si>
  <si>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</si>
  <si>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</si>
  <si>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</si>
  <si>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</si>
  <si>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</si>
  <si>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</si>
  <si>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</si>
  <si>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</si>
  <si>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</si>
  <si>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</si>
  <si>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</si>
  <si>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</si>
  <si>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</si>
  <si>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</si>
  <si>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</si>
  <si>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</si>
  <si>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</si>
  <si>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</si>
  <si>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</si>
  <si>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</si>
  <si>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</si>
  <si>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</si>
  <si>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</si>
  <si>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</si>
  <si>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</si>
  <si>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</si>
  <si>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</si>
  <si>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</si>
  <si>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</si>
  <si>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</si>
  <si>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</si>
  <si>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</si>
  <si>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</si>
  <si>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</si>
  <si>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使用せず</t>
    <rPh sb="0" eb="2">
      <t>シヨウ</t>
    </rPh>
    <phoneticPr fontId="9"/>
  </si>
  <si>
    <t>material_character_id</t>
  </si>
  <si>
    <t>material_count</t>
  </si>
  <si>
    <t>awake_price</t>
    <phoneticPr fontId="11"/>
  </si>
  <si>
    <t>name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</si>
  <si>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</si>
  <si>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</si>
  <si>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</si>
  <si>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</si>
  <si>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</si>
  <si>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</si>
  <si>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</si>
  <si>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</si>
  <si>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</si>
  <si>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</si>
  <si>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</si>
  <si>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</si>
  <si>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</si>
  <si>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</si>
  <si>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</si>
  <si>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</si>
  <si>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</si>
  <si>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</si>
  <si>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</si>
  <si>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</si>
  <si>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</si>
  <si>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</si>
  <si>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</si>
  <si>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</si>
  <si>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</si>
  <si>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</si>
  <si>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</si>
  <si>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</si>
  <si>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</si>
  <si>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</si>
  <si>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</si>
  <si>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</si>
  <si>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</si>
  <si>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</si>
  <si>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</si>
  <si>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</si>
  <si>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</si>
  <si>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</si>
  <si>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</si>
  <si>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</si>
  <si>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</si>
  <si>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</si>
  <si>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</si>
  <si>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</si>
  <si>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</si>
  <si>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</si>
  <si>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</si>
  <si>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</si>
  <si>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</si>
  <si>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</si>
  <si>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</si>
  <si>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</si>
  <si>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</si>
  <si>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</si>
  <si>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</si>
  <si>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</si>
  <si>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</si>
  <si>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</si>
  <si>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</si>
  <si>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</si>
  <si>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</si>
  <si>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</si>
  <si>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comment</t>
    <phoneticPr fontId="10"/>
  </si>
  <si>
    <t>character_id</t>
    <phoneticPr fontId="10"/>
  </si>
  <si>
    <t>-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</si>
  <si>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</si>
  <si>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</si>
  <si>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</si>
  <si>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</si>
  <si>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</si>
  <si>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</si>
  <si>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</si>
  <si>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</si>
  <si>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</si>
  <si>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</si>
  <si>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</si>
  <si>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</si>
  <si>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</si>
  <si>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</si>
  <si>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</si>
  <si>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</si>
  <si>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.tmp</t>
    <phoneticPr fontId="22"/>
  </si>
  <si>
    <t>units_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</si>
  <si>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</si>
  <si>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</si>
  <si>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</si>
  <si>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</si>
  <si>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</si>
  <si>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</si>
  <si>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</si>
  <si>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</si>
  <si>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</si>
  <si>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</si>
  <si>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</si>
  <si>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</si>
  <si>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</si>
  <si>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</si>
  <si>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</si>
  <si>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</si>
  <si>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</si>
  <si>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</si>
  <si>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</si>
  <si>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</si>
  <si>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</si>
  <si>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</si>
  <si>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</si>
  <si>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</si>
  <si>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</si>
  <si>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</si>
  <si>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</si>
  <si>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</si>
  <si>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</si>
  <si>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</si>
  <si>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</si>
  <si>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</si>
  <si>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</si>
  <si>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</si>
  <si>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</si>
  <si>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</si>
  <si>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</si>
  <si>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</si>
  <si>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</si>
  <si>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</si>
  <si>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</si>
  <si>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</si>
  <si>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</si>
  <si>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</si>
  <si>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</si>
  <si>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</si>
  <si>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</si>
  <si>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</si>
  <si>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</si>
  <si>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</si>
  <si>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</si>
  <si>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</si>
  <si>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NULL</t>
    <phoneticPr fontId="9"/>
  </si>
  <si>
    <t>対象ユニット</t>
    <rPh sb="0" eb="6">
      <t>タイショ</t>
    </rPh>
    <phoneticPr fontId="22"/>
  </si>
  <si>
    <t>ja</t>
    <phoneticPr fontId="22"/>
  </si>
  <si>
    <t>ja</t>
    <phoneticPr fontId="22"/>
  </si>
  <si>
    <t>character_id</t>
    <phoneticPr fontId="22"/>
  </si>
  <si>
    <t>name</t>
    <phoneticPr fontId="22"/>
  </si>
  <si>
    <t>serif_type</t>
    <phoneticPr fontId="22"/>
  </si>
  <si>
    <t>frame_type</t>
  </si>
  <si>
    <t>temp</t>
    <phoneticPr fontId="22"/>
  </si>
  <si>
    <t>serif_id</t>
    <phoneticPr fontId="22"/>
  </si>
  <si>
    <t>language</t>
    <phoneticPr fontId="22"/>
  </si>
  <si>
    <t>serif</t>
    <phoneticPr fontId="22"/>
  </si>
  <si>
    <t>ja</t>
    <phoneticPr fontId="22"/>
  </si>
  <si>
    <t>R3</t>
  </si>
  <si>
    <t>R4</t>
  </si>
  <si>
    <t>R5</t>
  </si>
  <si>
    <t>ユニット名</t>
  </si>
  <si>
    <t>スキル</t>
  </si>
  <si>
    <t>Cスキル</t>
  </si>
  <si>
    <t>覚醒素材</t>
  </si>
  <si>
    <t>PremiumW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</si>
  <si>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</si>
  <si>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</si>
  <si>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</si>
  <si>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</si>
  <si>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Drop2S</t>
    <phoneticPr fontId="9"/>
  </si>
  <si>
    <t>Drop2N</t>
    <phoneticPr fontId="9"/>
  </si>
  <si>
    <t>Drop1S</t>
    <phoneticPr fontId="9"/>
  </si>
  <si>
    <t>Drop1T</t>
    <phoneticPr fontId="9"/>
  </si>
  <si>
    <t>Material</t>
    <phoneticPr fontId="9"/>
  </si>
  <si>
    <t>-</t>
    <phoneticPr fontId="9"/>
  </si>
  <si>
    <t>-</t>
    <phoneticPr fontId="9"/>
  </si>
  <si>
    <t>required_exp_300</t>
    <phoneticPr fontId="9"/>
  </si>
  <si>
    <t>-</t>
    <phoneticPr fontId="9"/>
  </si>
  <si>
    <t>required_exp_250</t>
    <phoneticPr fontId="9"/>
  </si>
  <si>
    <t>ステータス</t>
    <phoneticPr fontId="22"/>
  </si>
  <si>
    <t>R5</t>
    <phoneticPr fontId="22"/>
  </si>
  <si>
    <t>R3</t>
    <phoneticPr fontId="22"/>
  </si>
  <si>
    <t>R4</t>
    <phoneticPr fontId="22"/>
  </si>
  <si>
    <t>HP</t>
    <phoneticPr fontId="22"/>
  </si>
  <si>
    <t>Attack</t>
    <phoneticPr fontId="22"/>
  </si>
  <si>
    <t>Heal</t>
    <phoneticPr fontId="22"/>
  </si>
  <si>
    <t>DropWizSSS</t>
    <phoneticPr fontId="9"/>
  </si>
  <si>
    <t>DropWizSS</t>
    <phoneticPr fontId="9"/>
  </si>
  <si>
    <t>required_exp_250</t>
    <phoneticPr fontId="9"/>
  </si>
  <si>
    <t>DropWizS</t>
    <phoneticPr fontId="9"/>
  </si>
  <si>
    <t>DropWizN</t>
    <phoneticPr fontId="9"/>
  </si>
  <si>
    <t>DropWizW</t>
    <phoneticPr fontId="9"/>
  </si>
  <si>
    <t>ラベル/レアリティ</t>
    <phoneticPr fontId="9"/>
  </si>
  <si>
    <t>DropWizSSS</t>
    <phoneticPr fontId="9"/>
  </si>
  <si>
    <t>-</t>
    <phoneticPr fontId="9"/>
  </si>
  <si>
    <t>DropWizSS</t>
    <phoneticPr fontId="9"/>
  </si>
  <si>
    <t>DropWizS</t>
    <phoneticPr fontId="9"/>
  </si>
  <si>
    <t>DropWizN</t>
    <phoneticPr fontId="9"/>
  </si>
  <si>
    <t>DropWizW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</si>
  <si>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</si>
  <si>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</si>
  <si>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</si>
  <si>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</si>
  <si>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</si>
  <si>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</si>
  <si>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Drop2N</t>
    <phoneticPr fontId="9"/>
  </si>
  <si>
    <t>Drop2W</t>
    <phoneticPr fontId="9"/>
  </si>
  <si>
    <t>Drop1S</t>
    <phoneticPr fontId="9"/>
  </si>
  <si>
    <t>Drop1T</t>
    <phoneticPr fontId="9"/>
  </si>
  <si>
    <t>Material</t>
    <phoneticPr fontId="9"/>
  </si>
  <si>
    <t>required_exp_300</t>
    <phoneticPr fontId="9"/>
  </si>
  <si>
    <t>branchunit</t>
    <phoneticPr fontId="22"/>
  </si>
  <si>
    <t>old</t>
    <phoneticPr fontId="22"/>
  </si>
  <si>
    <t>ability_id</t>
    <phoneticPr fontId="22"/>
  </si>
  <si>
    <t>name</t>
    <phoneticPr fontId="9"/>
  </si>
  <si>
    <t>ability_param</t>
    <phoneticPr fontId="22"/>
  </si>
  <si>
    <t>valid_flg</t>
    <phoneticPr fontId="22"/>
  </si>
  <si>
    <t>character_id</t>
    <phoneticPr fontId="22"/>
  </si>
  <si>
    <t>名前</t>
    <rPh sb="0" eb="2">
      <t>ナマ</t>
    </rPh>
    <phoneticPr fontId="22"/>
  </si>
  <si>
    <t>ability_slot</t>
    <phoneticPr fontId="22"/>
  </si>
  <si>
    <t>ability_id</t>
    <phoneticPr fontId="9"/>
  </si>
  <si>
    <t>　アビリティ名</t>
    <phoneticPr fontId="22"/>
  </si>
  <si>
    <t>効果</t>
    <rPh sb="0" eb="2">
      <t>コウk</t>
    </rPh>
    <phoneticPr fontId="22"/>
  </si>
  <si>
    <t>unlock_type</t>
    <phoneticPr fontId="9"/>
  </si>
  <si>
    <t>unlock_value</t>
    <phoneticPr fontId="22"/>
  </si>
  <si>
    <t>bug</t>
    <phoneticPr fontId="22"/>
  </si>
  <si>
    <t>1</t>
    <phoneticPr fontId="22"/>
  </si>
  <si>
    <t>abilities_i18n_</t>
    <phoneticPr fontId="22"/>
  </si>
  <si>
    <t>abilities</t>
    <phoneticPr fontId="22"/>
  </si>
  <si>
    <t>unit_abilities_</t>
    <phoneticPr fontId="22"/>
  </si>
  <si>
    <t>unit_abilities</t>
    <phoneticPr fontId="22"/>
  </si>
  <si>
    <t>ability_slot</t>
    <phoneticPr fontId="22"/>
  </si>
  <si>
    <t>ability_id</t>
    <phoneticPr fontId="9"/>
  </si>
  <si>
    <t>unlock_type</t>
    <phoneticPr fontId="9"/>
  </si>
  <si>
    <t>unlock_value</t>
    <phoneticPr fontId="22"/>
  </si>
  <si>
    <t>abilities_tmp_</t>
    <phoneticPr fontId="22"/>
  </si>
  <si>
    <t>character_id</t>
    <phoneticPr fontId="9"/>
  </si>
  <si>
    <t>character_id</t>
    <phoneticPr fontId="9"/>
  </si>
  <si>
    <t>name</t>
    <phoneticPr fontId="9"/>
  </si>
  <si>
    <t>特徴</t>
    <rPh sb="0" eb="2">
      <t>トクチョウ</t>
    </rPh>
    <phoneticPr fontId="9"/>
  </si>
  <si>
    <t>勢力</t>
    <rPh sb="0" eb="2">
      <t>セイリョク</t>
    </rPh>
    <phoneticPr fontId="9"/>
  </si>
  <si>
    <t>訴求軸</t>
    <phoneticPr fontId="9"/>
  </si>
  <si>
    <t>性別</t>
    <phoneticPr fontId="9"/>
  </si>
  <si>
    <t>character_sub_tribe_id</t>
    <phoneticPr fontId="9"/>
  </si>
  <si>
    <t>防御係数</t>
    <rPh sb="0" eb="2">
      <t>ボウギョ</t>
    </rPh>
    <rPh sb="2" eb="4">
      <t>ケイスウ</t>
    </rPh>
    <phoneticPr fontId="9"/>
  </si>
  <si>
    <t>回復係数</t>
    <rPh sb="0" eb="2">
      <t>カイフク</t>
    </rPh>
    <rPh sb="2" eb="4">
      <t>ケイスウ</t>
    </rPh>
    <phoneticPr fontId="9"/>
  </si>
  <si>
    <t>awake_character_id</t>
    <phoneticPr fontId="9"/>
  </si>
  <si>
    <t>base_character_id</t>
    <phoneticPr fontId="9"/>
  </si>
  <si>
    <t>awake_cost</t>
    <phoneticPr fontId="9"/>
  </si>
  <si>
    <t>temp_awake</t>
    <phoneticPr fontId="9"/>
  </si>
  <si>
    <t>character_id</t>
    <phoneticPr fontId="9"/>
  </si>
  <si>
    <t>rare</t>
    <phoneticPr fontId="9"/>
  </si>
  <si>
    <t>drop_label</t>
    <phoneticPr fontId="9"/>
  </si>
  <si>
    <t>material_bug</t>
    <phoneticPr fontId="9"/>
  </si>
  <si>
    <t>priority</t>
    <phoneticPr fontId="9"/>
  </si>
  <si>
    <t>fork_awake_units_</t>
    <phoneticPr fontId="22"/>
  </si>
  <si>
    <t>.tmp</t>
    <phoneticPr fontId="22"/>
  </si>
  <si>
    <t>awake_character_id</t>
    <phoneticPr fontId="22"/>
  </si>
  <si>
    <t>awake_cost</t>
    <phoneticPr fontId="22"/>
  </si>
  <si>
    <t>awake_type</t>
    <phoneticPr fontId="22"/>
  </si>
  <si>
    <t>awake_materials_</t>
    <phoneticPr fontId="22"/>
  </si>
  <si>
    <t>.tmp</t>
    <phoneticPr fontId="22"/>
  </si>
  <si>
    <t>base_character_id</t>
    <phoneticPr fontId="9"/>
  </si>
  <si>
    <t>material_bug</t>
    <phoneticPr fontId="22"/>
  </si>
  <si>
    <t>fork_awake_materials_</t>
    <phoneticPr fontId="22"/>
  </si>
  <si>
    <t>material_character_id</t>
    <phoneticPr fontId="22"/>
  </si>
  <si>
    <t>material_bug</t>
    <phoneticPr fontId="22"/>
  </si>
  <si>
    <t>priority</t>
    <phoneticPr fontId="22"/>
  </si>
  <si>
    <t>awake_materials</t>
    <phoneticPr fontId="22"/>
  </si>
  <si>
    <t>old</t>
    <phoneticPr fontId="22"/>
  </si>
  <si>
    <t>NULL</t>
    <phoneticPr fontId="10"/>
  </si>
  <si>
    <t>skip</t>
    <phoneticPr fontId="22"/>
  </si>
  <si>
    <t>[effect:damage, target:enemy_one, color:red, val:2.25, animation:damage_one_red04]</t>
    <phoneticPr fontId="22"/>
  </si>
  <si>
    <t>awake_type</t>
    <phoneticPr fontId="9"/>
  </si>
  <si>
    <t>awake_type</t>
    <phoneticPr fontId="22"/>
  </si>
  <si>
    <t>fork_awake_units</t>
    <phoneticPr fontId="22"/>
  </si>
  <si>
    <t>ver</t>
    <phoneticPr fontId="22"/>
  </si>
  <si>
    <t>priority</t>
    <phoneticPr fontId="22"/>
  </si>
  <si>
    <t>1.7.0</t>
    <phoneticPr fontId="22"/>
  </si>
  <si>
    <t>effects</t>
    <phoneticPr fontId="22"/>
  </si>
  <si>
    <t>0</t>
    <phoneticPr fontId="22"/>
  </si>
  <si>
    <t>0</t>
    <phoneticPr fontId="22"/>
  </si>
  <si>
    <t>0</t>
    <phoneticPr fontId="22"/>
  </si>
  <si>
    <t>0</t>
    <phoneticPr fontId="22"/>
  </si>
  <si>
    <t>conditions</t>
    <phoneticPr fontId="22"/>
  </si>
  <si>
    <t>血炎豪逆 ･ 天限到達</t>
    <phoneticPr fontId="22"/>
  </si>
  <si>
    <t>裂火狩撃･逆鱗</t>
    <phoneticPr fontId="22"/>
  </si>
  <si>
    <t>文言テスト</t>
    <phoneticPr fontId="22"/>
  </si>
  <si>
    <t>効果A</t>
    <phoneticPr fontId="22"/>
  </si>
  <si>
    <t>効果1終了位置</t>
    <rPh sb="0" eb="2">
      <t>コウカ</t>
    </rPh>
    <rPh sb="3" eb="5">
      <t>シュウリョウ</t>
    </rPh>
    <rPh sb="5" eb="7">
      <t>イチ</t>
    </rPh>
    <phoneticPr fontId="22"/>
  </si>
  <si>
    <t>効果１target位置</t>
    <rPh sb="0" eb="2">
      <t>コウカ</t>
    </rPh>
    <rPh sb="9" eb="11">
      <t>イチ</t>
    </rPh>
    <phoneticPr fontId="22"/>
  </si>
  <si>
    <t>効果1target終了位置</t>
    <rPh sb="0" eb="2">
      <t>コウカ</t>
    </rPh>
    <rPh sb="9" eb="11">
      <t>シュウリョウ</t>
    </rPh>
    <rPh sb="11" eb="13">
      <t>イチ</t>
    </rPh>
    <phoneticPr fontId="22"/>
  </si>
  <si>
    <t>効果１簡易デコード</t>
    <rPh sb="0" eb="2">
      <t>コウカ</t>
    </rPh>
    <rPh sb="3" eb="5">
      <t>カンイ</t>
    </rPh>
    <phoneticPr fontId="22"/>
  </si>
  <si>
    <t>中間文字列１</t>
    <rPh sb="0" eb="2">
      <t>チュウカン</t>
    </rPh>
    <rPh sb="2" eb="5">
      <t>モジレツ</t>
    </rPh>
    <phoneticPr fontId="22"/>
  </si>
  <si>
    <t>[effect:enhance_unit, target:myself, turn:1, status:attack, val:0.2, calc:mul, animation:enhance_unit_all_attack03]</t>
    <phoneticPr fontId="22"/>
  </si>
  <si>
    <t xml:space="preserve">[condition:active_unit]    </t>
    <phoneticPr fontId="22"/>
  </si>
  <si>
    <t>自身が攻撃する対象の種族がゴッドの場合通常攻撃の威力をUP</t>
    <phoneticPr fontId="22"/>
  </si>
  <si>
    <t>対ゴッド ダメージUP</t>
    <phoneticPr fontId="22"/>
  </si>
  <si>
    <t>[condition:enclose,[condition:active_unit],[condition:panel_chain,count:12],logic:and]</t>
    <phoneticPr fontId="22"/>
  </si>
  <si>
    <t>[effect:enhance_unit, target:myself, turn:1, status:attack, val:0.2, calc:mul, animation:enhance_unit_all_attack03]</t>
    <phoneticPr fontId="22"/>
  </si>
  <si>
    <t>[effect:enhance_unit, target:myself, turn:1, status:attack, val:0.2, calc:mul, animation:enhance_unit_all_attack03]</t>
    <phoneticPr fontId="22"/>
  </si>
  <si>
    <t xml:space="preserve">[condition:fever_gauge,lower:50]    </t>
    <phoneticPr fontId="22"/>
  </si>
  <si>
    <t>自身が先頭の時、1タップで12チェインをした時に自身の攻撃力UP(1ターンに1度だけ発動)</t>
    <phoneticPr fontId="22"/>
  </si>
  <si>
    <t>Cパネル生成短縮</t>
    <phoneticPr fontId="22"/>
  </si>
  <si>
    <t>フィーバーゲージが50％以上の時、自身の攻撃力UP</t>
    <phoneticPr fontId="22"/>
  </si>
  <si>
    <t>フィーバー50 攻撃力UP</t>
    <phoneticPr fontId="22"/>
  </si>
  <si>
    <t>[effect:crash_condition, target:myself, val:-1, turn:1]</t>
    <phoneticPr fontId="22"/>
  </si>
  <si>
    <t>テラリノベーション･オーシャン</t>
    <phoneticPr fontId="22"/>
  </si>
  <si>
    <t>智壊のターゲット･フィナーレ</t>
    <phoneticPr fontId="22"/>
  </si>
  <si>
    <t>黄泉の霊砲</t>
    <phoneticPr fontId="22"/>
  </si>
  <si>
    <t>絶体絶滅誓約</t>
    <phoneticPr fontId="22"/>
  </si>
  <si>
    <t>エメラルド･ブレイクカノン</t>
    <phoneticPr fontId="22"/>
  </si>
  <si>
    <t>skill</t>
    <phoneticPr fontId="22"/>
  </si>
  <si>
    <t>ja</t>
    <phoneticPr fontId="22"/>
  </si>
  <si>
    <t>giza</t>
    <phoneticPr fontId="22"/>
  </si>
  <si>
    <t>giza</t>
    <phoneticPr fontId="22"/>
  </si>
  <si>
    <t>cskill</t>
    <phoneticPr fontId="22"/>
  </si>
  <si>
    <t>ja</t>
    <phoneticPr fontId="22"/>
  </si>
  <si>
    <t>派手に抗ってやるぜッ！</t>
    <rPh sb="0" eb="2">
      <t>ハデ</t>
    </rPh>
    <rPh sb="3" eb="4">
      <t>アラガ</t>
    </rPh>
    <phoneticPr fontId="22"/>
  </si>
  <si>
    <t>cskill</t>
    <phoneticPr fontId="22"/>
  </si>
  <si>
    <t>これがオレの生き方だッ！</t>
    <rPh sb="6" eb="7">
      <t>イ</t>
    </rPh>
    <rPh sb="8" eb="9">
      <t>カタ</t>
    </rPh>
    <phoneticPr fontId="22"/>
  </si>
  <si>
    <t>待ってたぜ、この時をな！</t>
    <rPh sb="0" eb="1">
      <t>マ</t>
    </rPh>
    <rPh sb="8" eb="9">
      <t>トキ</t>
    </rPh>
    <phoneticPr fontId="22"/>
  </si>
  <si>
    <t>skill</t>
    <phoneticPr fontId="22"/>
  </si>
  <si>
    <t>maru</t>
    <phoneticPr fontId="22"/>
  </si>
  <si>
    <t>ja</t>
    <phoneticPr fontId="22"/>
  </si>
  <si>
    <t>maru</t>
    <phoneticPr fontId="22"/>
  </si>
  <si>
    <t>揺さぶってやるんだから！</t>
    <rPh sb="0" eb="1">
      <t>ユ</t>
    </rPh>
    <phoneticPr fontId="22"/>
  </si>
  <si>
    <t>ja</t>
    <phoneticPr fontId="22"/>
  </si>
  <si>
    <t>maru</t>
    <phoneticPr fontId="22"/>
  </si>
  <si>
    <t>形勢逆転しちゃうわよ…！</t>
    <rPh sb="0" eb="4">
      <t>ケイセイギャクテン</t>
    </rPh>
    <phoneticPr fontId="22"/>
  </si>
  <si>
    <t>cskill</t>
    <phoneticPr fontId="22"/>
  </si>
  <si>
    <t>照準に誤差はないわ！</t>
    <phoneticPr fontId="22"/>
  </si>
  <si>
    <t>skill</t>
    <phoneticPr fontId="22"/>
  </si>
  <si>
    <t>大波ざばーんといくよー！</t>
    <rPh sb="0" eb="2">
      <t>オオナミ</t>
    </rPh>
    <phoneticPr fontId="22"/>
  </si>
  <si>
    <t>藻屑になっちゃいなさい！</t>
    <rPh sb="0" eb="2">
      <t>モクズ</t>
    </rPh>
    <phoneticPr fontId="22"/>
  </si>
  <si>
    <t>後には退けないよー！</t>
  </si>
  <si>
    <t>ja</t>
    <phoneticPr fontId="22"/>
  </si>
  <si>
    <t>maru</t>
    <phoneticPr fontId="22"/>
  </si>
  <si>
    <t>これを待ってたんでしょ？</t>
    <rPh sb="3" eb="4">
      <t>マ</t>
    </rPh>
    <phoneticPr fontId="22"/>
  </si>
  <si>
    <t>cskill</t>
    <phoneticPr fontId="22"/>
  </si>
  <si>
    <t>cskill</t>
    <phoneticPr fontId="22"/>
  </si>
  <si>
    <t>暴れなさい子どもたち！</t>
    <rPh sb="0" eb="1">
      <t>アバ</t>
    </rPh>
    <rPh sb="5" eb="6">
      <t>コ</t>
    </rPh>
    <phoneticPr fontId="22"/>
  </si>
  <si>
    <t>cskill</t>
    <phoneticPr fontId="22"/>
  </si>
  <si>
    <t>ja</t>
    <phoneticPr fontId="22"/>
  </si>
  <si>
    <t>maru</t>
    <phoneticPr fontId="22"/>
  </si>
  <si>
    <t>あたしを怒らせたわね</t>
    <phoneticPr fontId="22"/>
  </si>
  <si>
    <t>自身が先頭の時、Cパネル生成に必要なチェイン数を1短縮する</t>
    <phoneticPr fontId="22"/>
  </si>
  <si>
    <t>何度でも堕としてやるよ！</t>
    <phoneticPr fontId="22"/>
  </si>
  <si>
    <t>迎輝の戯貫連弾</t>
    <phoneticPr fontId="22"/>
  </si>
  <si>
    <t>さあ、その瞬間がきたわ！</t>
  </si>
  <si>
    <t>どこまでも追いかけるわ…</t>
  </si>
  <si>
    <t>欲しいだけくらいなさい！</t>
  </si>
  <si>
    <t>さあ… フィナーレよ！！</t>
  </si>
  <si>
    <t>母なる海に還りなさいー！！</t>
  </si>
  <si>
    <t>呑まれちゃったら大変！</t>
  </si>
  <si>
    <t>爆炎に呑まれなッ！！</t>
  </si>
  <si>
    <t xml:space="preserve">[condition:active_unit]    </t>
    <phoneticPr fontId="22"/>
  </si>
  <si>
    <t>1</t>
    <phoneticPr fontId="22"/>
  </si>
  <si>
    <t>煌式律華・アングルスカッド</t>
  </si>
  <si>
    <t>嵐竜波狼・エンドレスブレード</t>
    <phoneticPr fontId="22"/>
  </si>
  <si>
    <t>耐えてごらんなさい</t>
  </si>
  <si>
    <t>全員そこに並びなさい</t>
  </si>
  <si>
    <t>手加減できないのよね</t>
  </si>
  <si>
    <t>kumo</t>
    <phoneticPr fontId="22"/>
  </si>
  <si>
    <t>この刃受け止められる？</t>
  </si>
  <si>
    <t>パーティは終わりよ…！！</t>
  </si>
  <si>
    <t>1体に超大ダメージ</t>
    <rPh sb="1" eb="3">
      <t>タンタ</t>
    </rPh>
    <rPh sb="3" eb="4">
      <t>チョ</t>
    </rPh>
    <rPh sb="4" eb="5">
      <t>トk</t>
    </rPh>
    <phoneticPr fontId="22"/>
  </si>
  <si>
    <t>確信増極・マルティプライヤー</t>
    <rPh sb="0" eb="2">
      <t>カクシン</t>
    </rPh>
    <rPh sb="2" eb="3">
      <t>ゾウショク</t>
    </rPh>
    <rPh sb="3" eb="4">
      <t>キワ</t>
    </rPh>
    <phoneticPr fontId="22"/>
  </si>
  <si>
    <t>群発墜星・ミリオンテイル</t>
    <rPh sb="0" eb="2">
      <t>グンパツ</t>
    </rPh>
    <rPh sb="2" eb="3">
      <t>ツイラク</t>
    </rPh>
    <rPh sb="3" eb="4">
      <t>☆</t>
    </rPh>
    <phoneticPr fontId="22"/>
  </si>
  <si>
    <t>これがエントロピーの最大</t>
  </si>
  <si>
    <t>燃え尽きなさい</t>
  </si>
  <si>
    <t>星の声が聞こえる？</t>
  </si>
  <si>
    <t>未知の領域…覚悟はいい？</t>
  </si>
  <si>
    <t>逃げ場はもう…ないわ</t>
  </si>
  <si>
    <t>NULL</t>
    <phoneticPr fontId="9"/>
  </si>
  <si>
    <t>ja</t>
    <phoneticPr fontId="22"/>
  </si>
  <si>
    <t>skill</t>
    <phoneticPr fontId="22"/>
  </si>
  <si>
    <t>maru</t>
    <phoneticPr fontId="22"/>
  </si>
  <si>
    <t>cskill</t>
    <phoneticPr fontId="22"/>
  </si>
  <si>
    <t>kumo</t>
    <phoneticPr fontId="22"/>
  </si>
  <si>
    <t>超覚醒アマテラス　スキル</t>
  </si>
  <si>
    <t>自身の回復力に比例して
単体に特大ダメージ+HP大回復</t>
    <rPh sb="0" eb="2">
      <t>ジシn</t>
    </rPh>
    <rPh sb="3" eb="6">
      <t>カイフk</t>
    </rPh>
    <rPh sb="7" eb="9">
      <t>ヒレイシt</t>
    </rPh>
    <rPh sb="12" eb="14">
      <t>タンタ</t>
    </rPh>
    <rPh sb="15" eb="17">
      <t>トクダ</t>
    </rPh>
    <rPh sb="24" eb="27">
      <t>ダ</t>
    </rPh>
    <phoneticPr fontId="22"/>
  </si>
  <si>
    <t>30</t>
    <phoneticPr fontId="22"/>
  </si>
  <si>
    <t>[effect:damage, target:enemy_one, color:green, val:2.25, animation:damage_one_green05]</t>
    <phoneticPr fontId="22"/>
  </si>
  <si>
    <t>パネルブレイク20 攻撃力UP</t>
    <phoneticPr fontId="22"/>
  </si>
  <si>
    <t>自身が先頭の時、1ターンの間に合計20個以上パネルを破壊した場合に攻撃力UP</t>
    <phoneticPr fontId="22"/>
  </si>
  <si>
    <t>[effect:enhance_unit, target:myself, turn:1, status:attack, val:0.2, calc:mul, animation:enhance_unit_all_attack03]</t>
    <phoneticPr fontId="22"/>
  </si>
  <si>
    <t>[condition:enclose,[condition:active_unit],[condition:panel_total,count:20],logic:and]</t>
    <phoneticPr fontId="22"/>
  </si>
  <si>
    <t>ja</t>
    <phoneticPr fontId="22"/>
  </si>
  <si>
    <t>1体に特大ダメージ</t>
    <rPh sb="1" eb="2">
      <t>タ</t>
    </rPh>
    <rPh sb="4" eb="5">
      <t>トk</t>
    </rPh>
    <phoneticPr fontId="22"/>
  </si>
  <si>
    <t>[effect:enhance_unit, target:myself, turn:1, status:heal, val:0.2, calc:mul, animation:enhance_unit_all_heal03]</t>
    <phoneticPr fontId="22"/>
  </si>
  <si>
    <t>自身が先頭の時、1タップで12チェイン以上をした時に自身の回復力UP(1ターンに1度だけ発動)</t>
    <phoneticPr fontId="22"/>
  </si>
  <si>
    <t>信じてください、私を</t>
    <phoneticPr fontId="22"/>
  </si>
  <si>
    <t>maru</t>
    <phoneticPr fontId="22"/>
  </si>
  <si>
    <t>調整完了、放ちます</t>
    <phoneticPr fontId="22"/>
  </si>
  <si>
    <t>giza</t>
    <phoneticPr fontId="22"/>
  </si>
  <si>
    <t>星の脈動…受け取って！</t>
    <phoneticPr fontId="22"/>
  </si>
  <si>
    <t>最高潮だよ！聴いて！</t>
    <phoneticPr fontId="22"/>
  </si>
  <si>
    <t>限界まで出力アーップ！！</t>
    <phoneticPr fontId="22"/>
  </si>
  <si>
    <t>全炉全力許可を出ーす！</t>
    <phoneticPr fontId="22"/>
  </si>
  <si>
    <t>反消極性オリエンタビリティ</t>
    <phoneticPr fontId="22"/>
  </si>
  <si>
    <t>クワァンタム・マトリックス</t>
  </si>
  <si>
    <t>綺羅星スペクトル</t>
  </si>
  <si>
    <t>あなた達も覗いてみる？</t>
  </si>
  <si>
    <t>星々に祈るのよ…！</t>
  </si>
  <si>
    <t>見える…あなたの運命が！</t>
    <phoneticPr fontId="22"/>
  </si>
  <si>
    <t>giza</t>
    <phoneticPr fontId="22"/>
  </si>
  <si>
    <t>溶かし尽くしちゃうよ！</t>
  </si>
  <si>
    <t>あっつーい！！やり過ぎ？</t>
  </si>
  <si>
    <t>当たる…かな？？</t>
  </si>
  <si>
    <t>散りばめます</t>
  </si>
  <si>
    <t>全てを集めました</t>
  </si>
  <si>
    <t>収束します</t>
  </si>
  <si>
    <t>[effect:damage, target:enemy_one, color:red, val:0.63, animation:damage_one_red03],[effect:damage, target:enemy_one, color:green, val:0.63, animation:damage_one_green03],[effect:damage, target:enemy_one, color:blue, val:0.63, animation:damage_one_blue03],[effect:damage, target:enemy_one, color:yellow, val:0.63, animation:damage_one_yellow03],[effect:heal_ratio, val:0.18, animation:heal_unit, animation:heal_unit01]</t>
    <phoneticPr fontId="22"/>
  </si>
  <si>
    <t>Cパネルブレイク10 攻撃力UP</t>
    <phoneticPr fontId="22"/>
  </si>
  <si>
    <t>自身が先頭の時、1ターンの間に合計10個以上Cパネルを破壊した場合に攻撃力UP</t>
    <phoneticPr fontId="22"/>
  </si>
  <si>
    <t>[effect:enhance_unit, target:myself, turn:1, status:attack, val:0.2, calc:mul, animation:enhance_unit_all_attack03]</t>
    <phoneticPr fontId="22"/>
  </si>
  <si>
    <t>[condition:enclose,[condition:active_unit],[condition:panel_total,count:10,type:crash],logic:and]</t>
    <phoneticPr fontId="22"/>
  </si>
  <si>
    <t>四色拡散チェーンリアクション</t>
  </si>
  <si>
    <t xml:space="preserve"> [effect:change_panel_ratio, turn:2, block_type:green, val:0.6,animation:block_incidence04], [effect:change_panel_ratio, turn:2, block_type:red, val:0.05],[effect:change_panel_ratio, turn:2, block_type:blue, val:0.05],[effect:break_attack, val:0.46, lowest_val:0, count:-1, block01:block_blue, block02:block_red,color:green, target:enemy_one, animation:damage_one_green06]</t>
    <phoneticPr fontId="22"/>
  </si>
  <si>
    <t>赤・青パネルを吸収して大ダメージ+2ターン緑パネルの出現率大UP+赤・青パネルの出現率大DOWN</t>
    <rPh sb="0" eb="1">
      <t>アk</t>
    </rPh>
    <rPh sb="2" eb="3">
      <t>アオパネr</t>
    </rPh>
    <rPh sb="7" eb="9">
      <t>9sy</t>
    </rPh>
    <rPh sb="11" eb="12">
      <t>トk</t>
    </rPh>
    <rPh sb="21" eb="22">
      <t>ミドr</t>
    </rPh>
    <rPh sb="26" eb="29">
      <t>sy</t>
    </rPh>
    <rPh sb="29" eb="30">
      <t>ダ</t>
    </rPh>
    <rPh sb="33" eb="34">
      <t>アk</t>
    </rPh>
    <rPh sb="35" eb="36">
      <t>ア</t>
    </rPh>
    <rPh sb="40" eb="43">
      <t>sy</t>
    </rPh>
    <phoneticPr fontId="22"/>
  </si>
  <si>
    <t>ハートパネルをCパネルに変換+3ターンHP大回復+全ユニットの回復力特大UP</t>
    <rPh sb="25" eb="26">
      <t>ゼn</t>
    </rPh>
    <rPh sb="31" eb="34">
      <t>カイフk</t>
    </rPh>
    <rPh sb="34" eb="36">
      <t>トクダイ</t>
    </rPh>
    <phoneticPr fontId="22"/>
  </si>
  <si>
    <t>[effect:regenerate, turn:3, val:1, animation:heal_unit],[effect:enhance_unit, target:unit_all, turn:3, status:heal, val:0.45, calc:mul, animation:enhance_unit_all_heal04_unit01], [effect:force_change_block, new_block:crash, target:block_heart,color:block_red, count:0, val:8, animation:change_block]</t>
    <phoneticPr fontId="22"/>
  </si>
  <si>
    <t>永煌雲のフルオーケストラ</t>
  </si>
  <si>
    <t>不可避衝突シンクロトロン</t>
    <phoneticPr fontId="22"/>
  </si>
  <si>
    <t>激昂・岩戸界放</t>
    <phoneticPr fontId="22"/>
  </si>
  <si>
    <t>蒼穹灼き尽くす荒神の怒炎</t>
    <phoneticPr fontId="22"/>
  </si>
  <si>
    <t>3ターンの間赤属性のユニットの攻撃力を超大UPし、防御力と回復力を大UP</t>
    <phoneticPr fontId="22"/>
  </si>
  <si>
    <t>1体に特大ダメージ</t>
    <phoneticPr fontId="22"/>
  </si>
  <si>
    <t>待たせてしまいましたね…！</t>
    <phoneticPr fontId="22"/>
  </si>
  <si>
    <t>身の程を知りなさい…！</t>
    <phoneticPr fontId="22"/>
  </si>
  <si>
    <t>器が違うのです…！！</t>
    <phoneticPr fontId="22"/>
  </si>
  <si>
    <t>なんと愚かな…</t>
    <phoneticPr fontId="22"/>
  </si>
  <si>
    <t>近づけるとでも？</t>
    <phoneticPr fontId="22"/>
  </si>
  <si>
    <t>giza</t>
  </si>
  <si>
    <t>kumo</t>
  </si>
  <si>
    <t>1体に大ダメージ+
HPを大回復</t>
    <phoneticPr fontId="22"/>
  </si>
  <si>
    <t>30</t>
    <phoneticPr fontId="22"/>
  </si>
  <si>
    <t>神速・ドップラーハイウェイ</t>
    <phoneticPr fontId="22"/>
  </si>
  <si>
    <t>カタラクト・ジャッジメント</t>
  </si>
  <si>
    <t>[condition:every_floor]</t>
  </si>
  <si>
    <t>[effect:regenerate, turn:-1, target:unit_all, val:0.2, type:hp_ratio, animation:heal01_unit01]</t>
  </si>
  <si>
    <t>フロア 回復</t>
  </si>
  <si>
    <t>全フロアの1ターン目終了時にパーティの合計HPの20％を回復する</t>
  </si>
  <si>
    <t>皆、私を信じてくれ！</t>
  </si>
  <si>
    <t>神に代わって裁く！</t>
  </si>
  <si>
    <t>giza</t>
    <phoneticPr fontId="22"/>
  </si>
  <si>
    <t>これがフルスロットルだ！</t>
    <phoneticPr fontId="22"/>
  </si>
  <si>
    <t>giza</t>
    <phoneticPr fontId="22"/>
  </si>
  <si>
    <t>皆の怒り、受け取ったぞ</t>
    <phoneticPr fontId="22"/>
  </si>
  <si>
    <t>祝福をこの手に！</t>
  </si>
  <si>
    <t>[effect:damage, target:enemy_one, color:blue, val:1.2, animation:damage_one_blue04],
[effect:heal_ratio, val:0.3, animation:heal_unit, animation:heal02_unit01]</t>
    <phoneticPr fontId="22"/>
  </si>
  <si>
    <t>[effect:enhance_unit, target:unit_all, turn:1, status:action, val:2.0, animation:enhance_unit_one_action02],[effect:crash_condition, target:unit_all, val:-4, turn:3, animation:crash_panel_reduce03],[effect:attack_break, target:myself, turn:3, val:0.6, calc:mul, animation:null],[effect:enhance_unit, target:unit_all, turn:3, status:heal, val:0.45, calc:mul, animation:enhance_unit_all_heal04_unit01]</t>
    <phoneticPr fontId="22"/>
  </si>
  <si>
    <t>燦翼のロジカルグランド</t>
  </si>
  <si>
    <t>アルゲブラ・リライフ</t>
  </si>
  <si>
    <t>笑顔は元気の源だよっ！</t>
  </si>
  <si>
    <t>kumo</t>
    <phoneticPr fontId="22"/>
  </si>
  <si>
    <t>さぁ覚悟はできてるかな？</t>
  </si>
  <si>
    <t>maru</t>
    <phoneticPr fontId="22"/>
  </si>
  <si>
    <t>天まで連れて行ってあげる！</t>
  </si>
  <si>
    <t>giza</t>
    <phoneticPr fontId="22"/>
  </si>
  <si>
    <t>キミの心を浄化してあげる♪</t>
  </si>
  <si>
    <t>kumo</t>
    <phoneticPr fontId="22"/>
  </si>
  <si>
    <t>数字の加護がありますように</t>
  </si>
  <si>
    <t>required_exp_300</t>
  </si>
  <si>
    <t>ja</t>
    <phoneticPr fontId="22"/>
  </si>
  <si>
    <t>ja</t>
    <phoneticPr fontId="22"/>
  </si>
  <si>
    <t>自身の攻撃対象が種族ヒューマンか、ドラゴンの場合全ての攻撃の威力をUP</t>
    <phoneticPr fontId="22"/>
  </si>
  <si>
    <t>[condition:enclose,[condition:unit_attack_target,tribe:dragon],[condition:unit_attack_target,tribe:human],logic:or]</t>
    <phoneticPr fontId="22"/>
  </si>
  <si>
    <t>30</t>
    <phoneticPr fontId="22"/>
  </si>
  <si>
    <t>15</t>
    <phoneticPr fontId="22"/>
  </si>
  <si>
    <t>1</t>
    <phoneticPr fontId="22"/>
  </si>
  <si>
    <t>[condition:always]</t>
  </si>
  <si>
    <t>裏五輪封印奥義 屠龍滅心</t>
  </si>
  <si>
    <t>独尊雷陣・ボルテックメティア</t>
  </si>
  <si>
    <t>巌流断・真裏</t>
  </si>
  <si>
    <t>雷光掌儀・無双</t>
  </si>
  <si>
    <t>maru</t>
  </si>
  <si>
    <t>…抜かせるか、この刀を</t>
  </si>
  <si>
    <t>何人も妾に触れるでない…！</t>
  </si>
  <si>
    <t>…いつもとは違う</t>
  </si>
  <si>
    <t>妾と張り合うか…笑止！</t>
  </si>
  <si>
    <t>…仕留める</t>
  </si>
  <si>
    <t>…これも宿命か</t>
  </si>
  <si>
    <t>…斬！</t>
  </si>
  <si>
    <t>kumo</t>
    <phoneticPr fontId="22"/>
  </si>
  <si>
    <t>見たことを後悔せよ！</t>
  </si>
  <si>
    <t>妾の角は荒いぞ…？</t>
  </si>
  <si>
    <t>怒らせたか…妾を！！</t>
  </si>
  <si>
    <t>1体に特大ダメージ</t>
    <rPh sb="3" eb="4">
      <t>トk</t>
    </rPh>
    <phoneticPr fontId="22"/>
  </si>
  <si>
    <t>3ターン自身の攻撃力をUP(青・お邪魔パネルを吸収し効果大UP)+ランダムで1つSCパネル(大)に変換する</t>
    <rPh sb="4" eb="6">
      <t>ジシn</t>
    </rPh>
    <rPh sb="14" eb="15">
      <t>ア</t>
    </rPh>
    <rPh sb="26" eb="29">
      <t>コウk</t>
    </rPh>
    <phoneticPr fontId="22"/>
  </si>
  <si>
    <t>赤・青属性耐性10</t>
    <rPh sb="0" eb="1">
      <t>アk</t>
    </rPh>
    <phoneticPr fontId="22"/>
  </si>
  <si>
    <t>自身に対する赤・青属性の敵からの攻撃を10％軽減</t>
    <rPh sb="6" eb="7">
      <t>アk</t>
    </rPh>
    <phoneticPr fontId="22"/>
  </si>
  <si>
    <t>[effect:reduction, target:myself, turn:-1, color:blue, val:0.1, animation:reduction_one01],[effect:reduction, target:myself, turn:-1, color:red, val:0.1, animation:reduction_one01]</t>
    <phoneticPr fontId="22"/>
  </si>
  <si>
    <t>[effect:damage_up, target:myself, val:1.3, turn:1, type01:all,option:killer]</t>
    <phoneticPr fontId="22"/>
  </si>
  <si>
    <t>[effect:damage, target:enemy_one, color:yellow, val:2.25, animation:damage_one_yellow04]</t>
    <phoneticPr fontId="22"/>
  </si>
  <si>
    <t>[effect:damage, target:enemy_one, color:yellow, val:1.35, animation:damage_one_yellow03],[effect:damage, target:enemy_one, color:yellow, val:1.35, animation:damage_one_yellow03]</t>
    <phoneticPr fontId="22"/>
  </si>
  <si>
    <t>対ヒューマン・ドラゴン ダメージUP</t>
    <phoneticPr fontId="22"/>
  </si>
  <si>
    <t>[effect:damage_gravity, target:enemy_one, val:0.4, animation:damage_gravity_one05]</t>
    <phoneticPr fontId="22"/>
  </si>
  <si>
    <t>label</t>
    <phoneticPr fontId="22"/>
  </si>
  <si>
    <t>sell_ghosts</t>
    <phoneticPr fontId="22"/>
  </si>
  <si>
    <t>Drop1T</t>
    <phoneticPr fontId="22"/>
  </si>
  <si>
    <t>Drop1W</t>
    <phoneticPr fontId="22"/>
  </si>
  <si>
    <t>Drop1N</t>
    <phoneticPr fontId="22"/>
  </si>
  <si>
    <t>Drop1S</t>
    <phoneticPr fontId="22"/>
  </si>
  <si>
    <t>Drop2N</t>
    <phoneticPr fontId="22"/>
  </si>
  <si>
    <t>Drop2W</t>
    <phoneticPr fontId="22"/>
  </si>
  <si>
    <t>DropWizW</t>
    <phoneticPr fontId="22"/>
  </si>
  <si>
    <t>DropWizN</t>
    <phoneticPr fontId="22"/>
  </si>
  <si>
    <t>DropWizS</t>
    <phoneticPr fontId="22"/>
  </si>
  <si>
    <t>DropWizSS</t>
    <phoneticPr fontId="22"/>
  </si>
  <si>
    <t>DropWizSSS</t>
    <phoneticPr fontId="22"/>
  </si>
  <si>
    <t>Material</t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</si>
  <si>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</si>
  <si>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</si>
  <si>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</si>
  <si>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</si>
  <si>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PremiumSSw</t>
    <phoneticPr fontId="22"/>
  </si>
  <si>
    <t>PremiumSSS</t>
    <phoneticPr fontId="22"/>
  </si>
  <si>
    <t>sell_ghosts</t>
  </si>
  <si>
    <t>sell_ghosts</t>
    <phoneticPr fontId="22"/>
  </si>
  <si>
    <t>パネルを2つランダムでSCパネルに変換する</t>
    <phoneticPr fontId="22"/>
  </si>
  <si>
    <t>[effect:special_block,val:12, count:2, animation:change_block]</t>
    <phoneticPr fontId="22"/>
  </si>
  <si>
    <t>1体に超大ダメージ+
全体に小ダメージ</t>
    <phoneticPr fontId="22"/>
  </si>
  <si>
    <t>3ターン自身の攻撃力を60%DOWN+1ターン味方全体のタップ数を2増やし3ターンCパネル生成短縮(効果特大)+回復力特大UP</t>
    <phoneticPr fontId="22"/>
  </si>
  <si>
    <t>ランダムでパネルを3つSCパネル(大)に変換+3ターン自身が先頭以外でも通常攻撃に参加し、全ユニットの攻撃力超大UP</t>
    <phoneticPr fontId="22"/>
  </si>
  <si>
    <t>敵単体の残りHPを40％減らす</t>
    <phoneticPr fontId="22"/>
  </si>
  <si>
    <t>[effect:force_change_block, new_block:crash, target:block_all, ignore01:crack_bomb,ignore02:crash ,count:3, val:24, animation:change_block],[effect:attack_command, turn:3, target:myself, val:1.0, animation:unit_all_attack_command05],[effect:enhance_unit, target:unit_all, turn:3, status:attack, val:0.25, calc:mul, animation:enhance_unit_all_attack04_unit01]</t>
    <phoneticPr fontId="22"/>
  </si>
  <si>
    <t>[effect:break_enchance_unit, target:myself, val:0.01, lowest_val:0.2, count :-1, status:attack, turn:3, block01:jammer, block02:block_blue, calc:mul, animation:enhance_unit_all_attack02],[effect:special_block,val:24, count:1, animation:change_block]</t>
    <phoneticPr fontId="22"/>
  </si>
  <si>
    <t>1体に超大ダメージ</t>
    <phoneticPr fontId="22"/>
  </si>
  <si>
    <t>単体に2回大ダメージ</t>
    <phoneticPr fontId="22"/>
  </si>
  <si>
    <t>1体に超大ダメージ+
1ターン全ユニットの回復力UP</t>
    <phoneticPr fontId="22"/>
  </si>
  <si>
    <t>[effect:damage, target:enemy_one, color:green, val:2.5, animation:damage_one_green05]</t>
    <phoneticPr fontId="22"/>
  </si>
  <si>
    <t>[effect:damage, target:enemy_one, color:red, val:2.5, animation:damage_one_red05]</t>
    <phoneticPr fontId="22"/>
  </si>
  <si>
    <t>[effect:damage_heal, target:enemy_one, color:yellow, val:1.5, animation:damage_one_yellow04],[effect:heal_ratio, val:0.3, animation:heal_unit, animation:heal02_unit01]</t>
    <phoneticPr fontId="22"/>
  </si>
  <si>
    <t>[effect:damage, target:enemy_one, color:blue, val:2.5, animation:damage_one_blue04],[effect:enhance_unit, target:unit_all, turn:1, status:heal, val:0.03, calc:mul, animation:enhance_unit_all_heal02_unit01]</t>
    <phoneticPr fontId="22"/>
  </si>
  <si>
    <t>[effect:drop_block, block_type:crack_bomb, block_color:block_green, color:block_red, val:12, rate:1.0, turn:1, animation:bomb_influence04],[effect:force_change_block, new_block:crack_bomb, target:block_red,color:block_green, count:0, val:12, animation:change_block],[effect:force_change_block, new_block:crack_bomb, target:block_blue,color:block_green, count:0, val:12, animation:change_block],[effect:force_change_block, new_block:crash, target:block_heart, count:0, val:6, animation:change_block],[effect:force_change_block, new_block:crash, target:time_bomb, count:0, val:6, animation:change_block],[effect:force_change_block, new_block:crash, target:damage, count:0, val:6, animation:change_block]</t>
    <phoneticPr fontId="22"/>
  </si>
  <si>
    <t>ハート･ダメージ･時限式ダメージをCパネルに、赤･青パネルを緑ボムパネルに変換+1ターン赤パネルを緑ボムパネルでドロップ</t>
    <phoneticPr fontId="22"/>
  </si>
  <si>
    <t>単体に大ダメージ+
全体に大ダメージ</t>
    <phoneticPr fontId="22"/>
  </si>
  <si>
    <t>[effect:damage, target:enemy_all, color:blue, val:1, animation:damage_all_blue04],[effect:damage, target:enemy_one, color:blue, val:1.4, animation:damage_one_blue04]</t>
    <phoneticPr fontId="22"/>
  </si>
  <si>
    <t>[effect:damage, target:enemy_all, color:green, val:0.75, animation:damage_all_green04],
[effect:damage, target:enemy_one, color:green, val:1.9, animation:damage_one_green04]</t>
    <phoneticPr fontId="22"/>
  </si>
  <si>
    <t>チェイン12 攻撃力UP</t>
    <phoneticPr fontId="22"/>
  </si>
  <si>
    <t>チェイン12 回復力UP</t>
    <phoneticPr fontId="22"/>
  </si>
  <si>
    <t>60</t>
    <phoneticPr fontId="22"/>
  </si>
  <si>
    <t>[effect:enhance_unit, target:unit_red, turn:3, status:attack, val:0.245, calc:mul, animation:enhance_unit_all_attack04_unit01],[effect:enhance_unit, target:unit_red, turn:3, status:defense, val:720, calc:add, animation:enhance_unit_all_defense04_unit01],[effect:enhance_unit, target:unit_red, turn:3, status:heal, val:0.315, calc:mul, animation:enhance_unit_all_heal04_unit01]</t>
    <phoneticPr fontId="22"/>
  </si>
  <si>
    <t>緑を赤パネル変換+1ターン赤・青パネル出現率特大UP、全ユニット攻撃力UP(赤・青・C・CB・Mパネル以外を吸収し効果UP)</t>
    <phoneticPr fontId="22"/>
  </si>
  <si>
    <t>[effect:force_change_block, new_block:block_red, target:block_green,  count:0, val:0, animation:change_block],[effect:change_panel_ratio, turn:1, block_type:red, val:0.92],[effect:change_panel_ratio, turn:1, block_type:blue, val:0.92],[effect:break_enchance_unit, target:unit_all, val:0.005, lowest_val:0.2, count :-1, status:attack, turn:1, block01:block_all, calc:mul, ignore01:block_blue, ignore02:block_red, ignore03:crash, ignore04:color_break, ignore05:magnet, animation:enhance_unit_all_attack04]</t>
    <phoneticPr fontId="22"/>
  </si>
  <si>
    <t>category</t>
    <phoneticPr fontId="22"/>
  </si>
  <si>
    <t>キラー</t>
    <phoneticPr fontId="22"/>
  </si>
  <si>
    <t>Cパネル生成短縮</t>
    <phoneticPr fontId="22"/>
  </si>
  <si>
    <t>攻撃力UP</t>
    <phoneticPr fontId="22"/>
  </si>
  <si>
    <t>HP回復</t>
    <phoneticPr fontId="22"/>
  </si>
  <si>
    <t>回復力UP</t>
    <phoneticPr fontId="22"/>
  </si>
  <si>
    <t>その他</t>
    <phoneticPr fontId="22"/>
  </si>
  <si>
    <t>1体に赤属性の超大ダメージ+黄パネルを赤パネルに変換+3ターン全ユニットの攻撃力をUP(緑パネルを吸収し効果UP)</t>
    <phoneticPr fontId="22"/>
  </si>
  <si>
    <t>[effect:force_change_block, new_block:crash, target:block_all, ignore01:crash, ignore02:crack_bomb, ignore03:color_break, ignore04:magnet, ignore05:block_yellow, count:6, val:8, animation:change_block],[effect:enhance_unit, target:unit_all, turn:1, status:defense, val:250, calc:add, animation:enhance_unit_all_defense01]</t>
    <phoneticPr fontId="22"/>
  </si>
  <si>
    <t>C・CB・マグネット・ボム・黄パネル以外をランダムで最大6個Cパネルに変換+1ターン全ユニットの防御力250UP</t>
    <phoneticPr fontId="22"/>
  </si>
  <si>
    <t>[effect:damage, target:enemy_one, color:red, val:9.0, animation:damage_one_red05],[effect:force_change_block, new_block:block_red, target:block_yellow, count:0, val:0, animation:change_block],[effect:break_enchance_unit, val:0.005, lowest_val:0.2, count :-1, status:attack, turn:3, block:block_green, target:unit_all, calc:mul, animation:enhance_unit_all_attack04]</t>
    <phoneticPr fontId="22"/>
  </si>
  <si>
    <t>ランダムで最大20個CPに変換+3ターン種族マシン･アニマル･Unknown･ウェポンと攻撃タイプの攻撃力と回復力と防御力を大UP</t>
    <phoneticPr fontId="22"/>
  </si>
  <si>
    <t>[effect:force_change_block, new_block:crash, target:block_all, ignore01:crash, ignore02:crack_bomb, ignore03:color_break, ignore04:magnet, count:20, val:8, animation:change_block],[effect:enhance_unit, target:unit_machine/unit_animal/unit_unknown/unit_weapon/unit_attack/or, turn:3, status:attack, val:0.175, calc:mul, animation:enhance_unit_all_attack03],[effect:enhance_unit, target:unit_machine/unit_animal/unit_unknown/unit_weapon/unit_attack/or, turn:3, status:heal, val:0.315, calc:mul, animation:enhance_unit_all_heal03],[effect:enhance_unit, target:unit_machine/unit_animal/unit_unknown/unit_weapon/unit_attack/or, turn:3, status:defense, val:720, calc:add, animation:enhance_unit_all_defense03]</t>
    <phoneticPr fontId="22"/>
  </si>
  <si>
    <t>赤・緑・青・黄属性で
単体に4連続ダメージ+HP小回復</t>
    <phoneticPr fontId="22"/>
  </si>
  <si>
    <t>[effect:break_attack, val:0.54, lowest_val:0, count:-1, block01:block_yellow,block02:block_red, color:blue, target:enemy_one, animation:damage_one_blue05],[effect:change_panel_ratio, turn:1, block_type:red, val:0.1],[effect:change_panel_ratio, turn:1, block_type:yellow, val:0.1, animation:block_incidence04],[effect:enhance_unit, target:unit_all, turn:1, status:heal, val:500, calc:add, animation:enhance_unit_all_heal01]</t>
    <phoneticPr fontId="22"/>
  </si>
  <si>
    <t>1体にダメージ(赤・黄パネルを吸収し効果超大UP)+1ターン赤・黄パネルの出現率をDOWNし、全ユニットの回復力を500UP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</si>
</sst>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1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2"/>
      <color indexed="206"/>
      <name val="ＭＳ Ｐゴシック"/>
      <family val="2"/>
      <charset val="128"/>
    </font>
    <font>
      <sz val="10"/>
      <color rgb="FF222222"/>
      <name val="Arial Unicode MS"/>
    </font>
    <font>
      <sz val="12"/>
      <color theme="1"/>
      <name val="MS PGothic"/>
      <family val="3"/>
      <charset val="128"/>
    </font>
  </fonts>
  <fills count="37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0.14999847407452621"/>
        <bgColor indexed="5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27"/>
      </patternFill>
    </fill>
    <fill>
      <patternFill patternType="solid">
        <fgColor theme="9" tint="0.79998168889431442"/>
        <bgColor indexed="59"/>
      </patternFill>
    </fill>
    <fill>
      <patternFill patternType="solid">
        <fgColor theme="4" tint="0.79998168889431442"/>
        <bgColor indexed="59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3" tint="0.79998168889431442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</fills>
  <borders count="32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8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</borders>
  <cellStyleXfs count="4744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241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0" borderId="4" xfId="0" applyFont="1" applyFill="1" applyBorder="1" applyAlignment="1">
      <alignment horizontal="right" vertical="center" wrapText="1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13" borderId="4" xfId="0" applyFont="1" applyFill="1" applyBorder="1"/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8" fillId="14" borderId="10" xfId="0" applyFont="1" applyFill="1" applyBorder="1" applyAlignment="1">
      <alignment vertical="center"/>
    </xf>
    <xf numFmtId="0" fontId="16" fillId="14" borderId="4" xfId="0" applyFont="1" applyFill="1" applyBorder="1" applyAlignment="1">
      <alignment vertical="center"/>
    </xf>
    <xf numFmtId="0" fontId="13" fillId="0" borderId="4" xfId="0" applyFont="1" applyBorder="1" applyAlignment="1">
      <alignment horizontal="right" vertical="center" wrapText="1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4" fillId="0" borderId="4" xfId="0" applyFont="1" applyBorder="1" applyAlignment="1">
      <alignment horizontal="right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4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9" borderId="0" xfId="0" applyFont="1" applyFill="1"/>
    <xf numFmtId="0" fontId="16" fillId="0" borderId="4" xfId="0" applyFont="1" applyFill="1" applyBorder="1" applyAlignment="1">
      <alignment vertical="center"/>
    </xf>
    <xf numFmtId="0" fontId="13" fillId="15" borderId="4" xfId="0" applyFont="1" applyFill="1" applyBorder="1" applyAlignment="1">
      <alignment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4" borderId="21" xfId="0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6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7" borderId="16" xfId="0" applyFont="1" applyFill="1" applyBorder="1" applyAlignment="1">
      <alignment horizontal="left" vertical="center"/>
    </xf>
    <xf numFmtId="0" fontId="19" fillId="18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7" borderId="17" xfId="0" applyFont="1" applyFill="1" applyBorder="1" applyAlignment="1">
      <alignment horizontal="left" vertical="center"/>
    </xf>
    <xf numFmtId="0" fontId="19" fillId="16" borderId="11" xfId="0" applyFont="1" applyFill="1" applyBorder="1" applyAlignment="1">
      <alignment horizontal="left" vertical="center"/>
    </xf>
    <xf numFmtId="0" fontId="19" fillId="16" borderId="12" xfId="0" applyFont="1" applyFill="1" applyBorder="1" applyAlignment="1">
      <alignment horizontal="left" vertical="center"/>
    </xf>
    <xf numFmtId="0" fontId="8" fillId="20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1" borderId="4" xfId="0" applyFont="1" applyFill="1" applyBorder="1"/>
    <xf numFmtId="0" fontId="0" fillId="21" borderId="4" xfId="0" applyFill="1" applyBorder="1"/>
    <xf numFmtId="0" fontId="0" fillId="0" borderId="4" xfId="0" applyBorder="1"/>
    <xf numFmtId="0" fontId="0" fillId="0" borderId="4" xfId="0" applyFill="1" applyBorder="1"/>
    <xf numFmtId="0" fontId="0" fillId="8" borderId="4" xfId="0" applyFill="1" applyBorder="1"/>
    <xf numFmtId="0" fontId="0" fillId="0" borderId="4" xfId="0" applyFont="1" applyBorder="1"/>
    <xf numFmtId="0" fontId="0" fillId="22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20" borderId="4" xfId="0" applyFont="1" applyFill="1" applyBorder="1" applyAlignment="1">
      <alignment horizontal="left"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0" fillId="23" borderId="4" xfId="0" applyFill="1" applyBorder="1"/>
    <xf numFmtId="0" fontId="0" fillId="23" borderId="0" xfId="0" applyFill="1"/>
    <xf numFmtId="0" fontId="28" fillId="0" borderId="0" xfId="0" applyFont="1"/>
    <xf numFmtId="0" fontId="16" fillId="24" borderId="3" xfId="0" applyFont="1" applyFill="1" applyBorder="1" applyAlignment="1">
      <alignment horizontal="center" vertical="center"/>
    </xf>
    <xf numFmtId="0" fontId="8" fillId="24" borderId="20" xfId="0" applyFont="1" applyFill="1" applyBorder="1" applyAlignment="1">
      <alignment horizontal="center" vertical="center"/>
    </xf>
    <xf numFmtId="0" fontId="8" fillId="24" borderId="10" xfId="0" applyFont="1" applyFill="1" applyBorder="1" applyAlignment="1">
      <alignment horizontal="center" vertical="center"/>
    </xf>
    <xf numFmtId="0" fontId="8" fillId="25" borderId="10" xfId="0" applyFont="1" applyFill="1" applyBorder="1" applyAlignment="1">
      <alignment vertical="center"/>
    </xf>
    <xf numFmtId="0" fontId="8" fillId="24" borderId="19" xfId="0" applyFont="1" applyFill="1" applyBorder="1" applyAlignment="1">
      <alignment horizontal="center" vertical="center"/>
    </xf>
    <xf numFmtId="0" fontId="8" fillId="24" borderId="4" xfId="0" applyFont="1" applyFill="1" applyBorder="1" applyAlignment="1">
      <alignment horizontal="center" vertical="center"/>
    </xf>
    <xf numFmtId="0" fontId="8" fillId="25" borderId="4" xfId="0" applyFont="1" applyFill="1" applyBorder="1" applyAlignment="1">
      <alignment vertical="center"/>
    </xf>
    <xf numFmtId="0" fontId="8" fillId="24" borderId="23" xfId="0" applyFont="1" applyFill="1" applyBorder="1" applyAlignment="1">
      <alignment horizontal="center" vertical="center"/>
    </xf>
    <xf numFmtId="0" fontId="8" fillId="24" borderId="24" xfId="0" applyFont="1" applyFill="1" applyBorder="1" applyAlignment="1">
      <alignment horizontal="center" vertical="center"/>
    </xf>
    <xf numFmtId="0" fontId="8" fillId="25" borderId="24" xfId="0" applyFont="1" applyFill="1" applyBorder="1" applyAlignment="1">
      <alignment vertical="center"/>
    </xf>
    <xf numFmtId="0" fontId="16" fillId="25" borderId="4" xfId="0" applyFont="1" applyFill="1" applyBorder="1" applyAlignment="1">
      <alignment vertical="center"/>
    </xf>
    <xf numFmtId="0" fontId="18" fillId="25" borderId="4" xfId="0" applyFont="1" applyFill="1" applyBorder="1" applyAlignment="1">
      <alignment horizontal="center" vertical="center"/>
    </xf>
    <xf numFmtId="0" fontId="17" fillId="25" borderId="4" xfId="0" applyFont="1" applyFill="1" applyBorder="1" applyAlignment="1">
      <alignment horizontal="center" vertical="center" wrapText="1"/>
    </xf>
    <xf numFmtId="0" fontId="8" fillId="25" borderId="1" xfId="0" applyFont="1" applyFill="1" applyBorder="1" applyAlignment="1">
      <alignment vertical="center"/>
    </xf>
    <xf numFmtId="0" fontId="8" fillId="24" borderId="25" xfId="0" applyFont="1" applyFill="1" applyBorder="1" applyAlignment="1">
      <alignment horizontal="center" vertical="center"/>
    </xf>
    <xf numFmtId="0" fontId="8" fillId="24" borderId="12" xfId="0" applyFont="1" applyFill="1" applyBorder="1" applyAlignment="1">
      <alignment horizontal="center" vertical="center"/>
    </xf>
    <xf numFmtId="0" fontId="8" fillId="24" borderId="26" xfId="0" applyFont="1" applyFill="1" applyBorder="1" applyAlignment="1">
      <alignment horizontal="center" vertical="center"/>
    </xf>
    <xf numFmtId="0" fontId="8" fillId="24" borderId="6" xfId="0" applyFont="1" applyFill="1" applyBorder="1" applyAlignment="1">
      <alignment horizontal="center" vertical="center"/>
    </xf>
    <xf numFmtId="0" fontId="8" fillId="24" borderId="27" xfId="0" applyFont="1" applyFill="1" applyBorder="1" applyAlignment="1">
      <alignment horizontal="center" vertical="center"/>
    </xf>
    <xf numFmtId="0" fontId="16" fillId="24" borderId="21" xfId="0" applyFont="1" applyFill="1" applyBorder="1" applyAlignment="1">
      <alignment horizontal="center" vertical="center"/>
    </xf>
    <xf numFmtId="0" fontId="17" fillId="25" borderId="12" xfId="0" applyFont="1" applyFill="1" applyBorder="1" applyAlignment="1">
      <alignment horizontal="center" vertical="center" wrapText="1"/>
    </xf>
    <xf numFmtId="0" fontId="0" fillId="15" borderId="4" xfId="0" applyFill="1" applyBorder="1"/>
    <xf numFmtId="0" fontId="13" fillId="0" borderId="4" xfId="0" applyFont="1" applyFill="1" applyBorder="1" applyAlignment="1">
      <alignment vertical="center" wrapText="1"/>
    </xf>
    <xf numFmtId="0" fontId="29" fillId="0" borderId="4" xfId="0" applyFont="1" applyBorder="1"/>
    <xf numFmtId="0" fontId="16" fillId="11" borderId="4" xfId="0" applyFont="1" applyFill="1" applyBorder="1" applyAlignment="1">
      <alignment horizontal="center" vertical="center"/>
    </xf>
    <xf numFmtId="0" fontId="16" fillId="25" borderId="4" xfId="0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horizontal="center" vertical="center"/>
    </xf>
    <xf numFmtId="49" fontId="12" fillId="0" borderId="4" xfId="0" applyNumberFormat="1" applyFont="1" applyFill="1" applyBorder="1" applyAlignment="1">
      <alignment vertical="center"/>
    </xf>
    <xf numFmtId="0" fontId="12" fillId="0" borderId="4" xfId="0" applyFont="1" applyFill="1" applyBorder="1" applyAlignment="1">
      <alignment vertical="center"/>
    </xf>
    <xf numFmtId="0" fontId="16" fillId="23" borderId="15" xfId="0" applyFont="1" applyFill="1" applyBorder="1" applyAlignment="1">
      <alignment horizontal="center" vertical="center"/>
    </xf>
    <xf numFmtId="0" fontId="13" fillId="23" borderId="15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0" fontId="16" fillId="23" borderId="4" xfId="0" applyFont="1" applyFill="1" applyBorder="1" applyAlignment="1">
      <alignment horizontal="center" vertical="center"/>
    </xf>
    <xf numFmtId="49" fontId="12" fillId="0" borderId="4" xfId="0" applyNumberFormat="1" applyFont="1" applyFill="1" applyBorder="1" applyAlignment="1">
      <alignment horizontal="center" vertical="center"/>
    </xf>
    <xf numFmtId="0" fontId="16" fillId="26" borderId="4" xfId="0" applyFont="1" applyFill="1" applyBorder="1" applyAlignment="1">
      <alignment horizontal="center" vertical="center"/>
    </xf>
    <xf numFmtId="0" fontId="0" fillId="26" borderId="4" xfId="0" applyFill="1" applyBorder="1"/>
    <xf numFmtId="0" fontId="13" fillId="26" borderId="15" xfId="0" applyFont="1" applyFill="1" applyBorder="1" applyAlignment="1">
      <alignment horizontal="center" vertical="center"/>
    </xf>
    <xf numFmtId="0" fontId="13" fillId="26" borderId="22" xfId="0" applyFont="1" applyFill="1" applyBorder="1" applyAlignment="1">
      <alignment horizontal="center" vertical="center"/>
    </xf>
    <xf numFmtId="0" fontId="3" fillId="0" borderId="4" xfId="6" applyBorder="1" applyAlignment="1"/>
    <xf numFmtId="0" fontId="15" fillId="8" borderId="28" xfId="0" applyFont="1" applyFill="1" applyBorder="1" applyAlignment="1">
      <alignment horizontal="left" vertical="center"/>
    </xf>
    <xf numFmtId="0" fontId="15" fillId="7" borderId="0" xfId="0" applyFont="1" applyFill="1" applyBorder="1" applyAlignment="1">
      <alignment horizontal="left" vertical="center"/>
    </xf>
    <xf numFmtId="0" fontId="15" fillId="7" borderId="28" xfId="0" applyFont="1" applyFill="1" applyBorder="1" applyAlignment="1">
      <alignment horizontal="left" vertical="center"/>
    </xf>
    <xf numFmtId="0" fontId="12" fillId="7" borderId="28" xfId="0" applyFont="1" applyFill="1" applyBorder="1" applyAlignment="1">
      <alignment horizontal="left" vertical="center"/>
    </xf>
    <xf numFmtId="0" fontId="15" fillId="11" borderId="28" xfId="0" applyFont="1" applyFill="1" applyBorder="1" applyAlignment="1">
      <alignment horizontal="left" vertical="center"/>
    </xf>
    <xf numFmtId="0" fontId="12" fillId="9" borderId="29" xfId="0" applyFont="1" applyFill="1" applyBorder="1" applyAlignment="1">
      <alignment horizontal="left" vertical="center"/>
    </xf>
    <xf numFmtId="0" fontId="15" fillId="8" borderId="30" xfId="0" applyFont="1" applyFill="1" applyBorder="1" applyAlignment="1">
      <alignment horizontal="left" vertical="center"/>
    </xf>
    <xf numFmtId="0" fontId="15" fillId="8" borderId="12" xfId="0" applyFont="1" applyFill="1" applyBorder="1" applyAlignment="1">
      <alignment horizontal="left" vertical="center"/>
    </xf>
    <xf numFmtId="0" fontId="15" fillId="7" borderId="12" xfId="0" applyFont="1" applyFill="1" applyBorder="1" applyAlignment="1">
      <alignment horizontal="left" vertical="center"/>
    </xf>
    <xf numFmtId="0" fontId="16" fillId="0" borderId="4" xfId="0" applyFont="1" applyFill="1" applyBorder="1" applyAlignment="1">
      <alignment horizontal="right" vertical="center"/>
    </xf>
    <xf numFmtId="0" fontId="13" fillId="27" borderId="4" xfId="0" applyFont="1" applyFill="1" applyBorder="1" applyAlignment="1">
      <alignment horizontal="center" vertical="center" wrapText="1"/>
    </xf>
    <xf numFmtId="0" fontId="12" fillId="28" borderId="4" xfId="0" applyFont="1" applyFill="1" applyBorder="1" applyAlignment="1">
      <alignment horizontal="center"/>
    </xf>
    <xf numFmtId="0" fontId="12" fillId="29" borderId="4" xfId="0" applyFont="1" applyFill="1" applyBorder="1" applyAlignment="1">
      <alignment horizontal="center"/>
    </xf>
    <xf numFmtId="0" fontId="14" fillId="7" borderId="4" xfId="0" applyFont="1" applyFill="1" applyBorder="1" applyAlignment="1">
      <alignment horizontal="right" vertical="center" wrapText="1"/>
    </xf>
    <xf numFmtId="0" fontId="13" fillId="8" borderId="4" xfId="0" applyFont="1" applyFill="1" applyBorder="1" applyAlignment="1">
      <alignment horizontal="center" vertical="center"/>
    </xf>
    <xf numFmtId="0" fontId="16" fillId="8" borderId="4" xfId="0" applyFont="1" applyFill="1" applyBorder="1" applyAlignment="1">
      <alignment horizontal="center" vertical="center"/>
    </xf>
    <xf numFmtId="0" fontId="0" fillId="0" borderId="6" xfId="0" applyFill="1" applyBorder="1"/>
    <xf numFmtId="0" fontId="15" fillId="25" borderId="30" xfId="0" applyFont="1" applyFill="1" applyBorder="1" applyAlignment="1">
      <alignment horizontal="left" vertical="center"/>
    </xf>
    <xf numFmtId="0" fontId="29" fillId="0" borderId="4" xfId="0" applyFont="1" applyBorder="1" applyAlignment="1">
      <alignment wrapText="1"/>
    </xf>
    <xf numFmtId="0" fontId="12" fillId="23" borderId="4" xfId="0" applyNumberFormat="1" applyFont="1" applyFill="1" applyBorder="1" applyAlignment="1">
      <alignment vertical="center"/>
    </xf>
    <xf numFmtId="0" fontId="13" fillId="30" borderId="22" xfId="0" applyFont="1" applyFill="1" applyBorder="1" applyAlignment="1">
      <alignment horizontal="center" vertical="center"/>
    </xf>
    <xf numFmtId="49" fontId="12" fillId="30" borderId="4" xfId="0" applyNumberFormat="1" applyFont="1" applyFill="1" applyBorder="1" applyAlignment="1">
      <alignment vertical="center"/>
    </xf>
    <xf numFmtId="0" fontId="12" fillId="30" borderId="4" xfId="0" applyNumberFormat="1" applyFont="1" applyFill="1" applyBorder="1" applyAlignment="1">
      <alignment vertical="center"/>
    </xf>
    <xf numFmtId="0" fontId="13" fillId="30" borderId="4" xfId="0" applyFont="1" applyFill="1" applyBorder="1" applyAlignment="1">
      <alignment horizontal="center" vertical="center"/>
    </xf>
    <xf numFmtId="0" fontId="13" fillId="20" borderId="4" xfId="0" applyFont="1" applyFill="1" applyBorder="1" applyAlignment="1">
      <alignment horizontal="left" vertical="center" wrapText="1"/>
    </xf>
    <xf numFmtId="0" fontId="13" fillId="0" borderId="4" xfId="0" applyFont="1" applyBorder="1" applyAlignment="1">
      <alignment horizontal="left"/>
    </xf>
    <xf numFmtId="0" fontId="13" fillId="0" borderId="4" xfId="0" applyFont="1" applyFill="1" applyBorder="1" applyAlignment="1">
      <alignment horizontal="left"/>
    </xf>
    <xf numFmtId="0" fontId="26" fillId="0" borderId="4" xfId="0" applyFont="1" applyFill="1" applyBorder="1" applyAlignment="1">
      <alignment horizontal="left" vertical="center" wrapText="1"/>
    </xf>
    <xf numFmtId="0" fontId="16" fillId="15" borderId="4" xfId="0" applyFont="1" applyFill="1" applyBorder="1" applyAlignment="1">
      <alignment horizontal="right" vertical="center"/>
    </xf>
    <xf numFmtId="49" fontId="12" fillId="0" borderId="4" xfId="0" applyNumberFormat="1" applyFont="1" applyFill="1" applyBorder="1" applyAlignment="1">
      <alignment vertical="center" wrapText="1"/>
    </xf>
    <xf numFmtId="0" fontId="25" fillId="0" borderId="7" xfId="0" applyFont="1" applyFill="1" applyBorder="1" applyAlignment="1">
      <alignment vertical="center" wrapText="1"/>
    </xf>
    <xf numFmtId="0" fontId="12" fillId="31" borderId="4" xfId="0" applyFont="1" applyFill="1" applyBorder="1" applyAlignment="1">
      <alignment horizontal="left" vertical="center" wrapText="1"/>
    </xf>
    <xf numFmtId="0" fontId="12" fillId="32" borderId="4" xfId="0" applyFont="1" applyFill="1" applyBorder="1" applyAlignment="1">
      <alignment horizontal="left" vertical="center" wrapText="1"/>
    </xf>
    <xf numFmtId="0" fontId="0" fillId="32" borderId="4" xfId="0" applyFill="1" applyBorder="1"/>
    <xf numFmtId="0" fontId="13" fillId="32" borderId="4" xfId="0" applyFont="1" applyFill="1" applyBorder="1" applyAlignment="1">
      <alignment horizontal="left"/>
    </xf>
    <xf numFmtId="0" fontId="26" fillId="32" borderId="4" xfId="0" applyFont="1" applyFill="1" applyBorder="1" applyAlignment="1">
      <alignment horizontal="left" vertical="center" wrapText="1"/>
    </xf>
    <xf numFmtId="0" fontId="14" fillId="32" borderId="4" xfId="0" applyFont="1" applyFill="1" applyBorder="1" applyAlignment="1">
      <alignment horizontal="right" vertical="center" wrapText="1"/>
    </xf>
    <xf numFmtId="0" fontId="14" fillId="33" borderId="31" xfId="0" applyFont="1" applyFill="1" applyBorder="1" applyAlignment="1">
      <alignment horizontal="left" vertical="center"/>
    </xf>
    <xf numFmtId="0" fontId="16" fillId="7" borderId="18" xfId="0" applyFont="1" applyFill="1" applyBorder="1" applyAlignment="1">
      <alignment horizontal="left" vertical="center"/>
    </xf>
    <xf numFmtId="0" fontId="16" fillId="15" borderId="0" xfId="0" applyFont="1" applyFill="1" applyAlignment="1">
      <alignment horizontal="left" vertical="center"/>
    </xf>
    <xf numFmtId="0" fontId="16" fillId="0" borderId="4" xfId="0" applyFont="1" applyFill="1" applyBorder="1" applyAlignment="1">
      <alignment horizontal="left" vertical="center"/>
    </xf>
    <xf numFmtId="0" fontId="13" fillId="0" borderId="4" xfId="0" applyFont="1" applyBorder="1" applyAlignment="1">
      <alignment vertical="center"/>
    </xf>
    <xf numFmtId="0" fontId="26" fillId="0" borderId="4" xfId="0" applyFont="1" applyFill="1" applyBorder="1" applyAlignment="1">
      <alignment horizontal="right" vertical="center" wrapText="1"/>
    </xf>
    <xf numFmtId="0" fontId="26" fillId="0" borderId="8" xfId="0" applyFont="1" applyFill="1" applyBorder="1" applyAlignment="1">
      <alignment vertical="top" wrapText="1"/>
    </xf>
    <xf numFmtId="0" fontId="14" fillId="34" borderId="31" xfId="0" applyFont="1" applyFill="1" applyBorder="1" applyAlignment="1">
      <alignment horizontal="left" vertical="center"/>
    </xf>
    <xf numFmtId="0" fontId="14" fillId="0" borderId="4" xfId="0" applyFont="1" applyBorder="1" applyAlignment="1">
      <alignment horizontal="left" vertical="center" wrapText="1"/>
    </xf>
    <xf numFmtId="0" fontId="0" fillId="0" borderId="4" xfId="0" applyFill="1" applyBorder="1" applyAlignment="1">
      <alignment vertical="top"/>
    </xf>
    <xf numFmtId="0" fontId="16" fillId="15" borderId="4" xfId="0" applyFont="1" applyFill="1" applyBorder="1" applyAlignment="1">
      <alignment horizontal="left" vertical="center"/>
    </xf>
    <xf numFmtId="0" fontId="16" fillId="31" borderId="4" xfId="0" applyFont="1" applyFill="1" applyBorder="1" applyAlignment="1">
      <alignment horizontal="left" vertical="center" wrapText="1"/>
    </xf>
    <xf numFmtId="0" fontId="12" fillId="35" borderId="4" xfId="0" applyFont="1" applyFill="1" applyBorder="1" applyAlignment="1">
      <alignment horizontal="left" vertical="center" wrapText="1"/>
    </xf>
    <xf numFmtId="0" fontId="12" fillId="35" borderId="4" xfId="0" applyFont="1" applyFill="1" applyBorder="1" applyAlignment="1">
      <alignment vertical="center" wrapText="1"/>
    </xf>
    <xf numFmtId="0" fontId="30" fillId="0" borderId="0" xfId="0" applyFont="1"/>
    <xf numFmtId="0" fontId="30" fillId="0" borderId="4" xfId="0" applyFont="1" applyBorder="1"/>
    <xf numFmtId="0" fontId="12" fillId="0" borderId="4" xfId="0" applyNumberFormat="1" applyFont="1" applyFill="1" applyBorder="1" applyAlignment="1">
      <alignment vertical="center"/>
    </xf>
    <xf numFmtId="0" fontId="16" fillId="15" borderId="10" xfId="0" applyFont="1" applyFill="1" applyBorder="1" applyAlignment="1">
      <alignment horizontal="right" vertical="center"/>
    </xf>
    <xf numFmtId="0" fontId="29" fillId="36" borderId="0" xfId="0" applyFont="1" applyFill="1" applyAlignment="1">
      <alignment wrapText="1"/>
    </xf>
    <xf numFmtId="0" fontId="13" fillId="36" borderId="4" xfId="0" applyFont="1" applyFill="1" applyBorder="1" applyAlignment="1">
      <alignment vertical="center" wrapText="1"/>
    </xf>
    <xf numFmtId="0" fontId="0" fillId="26" borderId="4" xfId="0" applyFill="1" applyBorder="1" applyAlignment="1">
      <alignment horizontal="center"/>
    </xf>
    <xf numFmtId="0" fontId="12" fillId="20" borderId="4" xfId="0" applyNumberFormat="1" applyFont="1" applyFill="1" applyBorder="1" applyAlignment="1">
      <alignment vertical="center"/>
    </xf>
  </cellXfs>
  <cellStyles count="4744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ハイパーリンク" xfId="4582" builtinId="8" hidden="1"/>
    <cellStyle name="ハイパーリンク" xfId="4584" builtinId="8" hidden="1"/>
    <cellStyle name="ハイパーリンク" xfId="4586" builtinId="8" hidden="1"/>
    <cellStyle name="ハイパーリンク" xfId="4588" builtinId="8" hidden="1"/>
    <cellStyle name="ハイパーリンク" xfId="4590" builtinId="8" hidden="1"/>
    <cellStyle name="ハイパーリンク" xfId="4592" builtinId="8" hidden="1"/>
    <cellStyle name="ハイパーリンク" xfId="4594" builtinId="8" hidden="1"/>
    <cellStyle name="ハイパーリンク" xfId="4596" builtinId="8" hidden="1"/>
    <cellStyle name="ハイパーリンク" xfId="4598" builtinId="8" hidden="1"/>
    <cellStyle name="ハイパーリンク" xfId="4600" builtinId="8" hidden="1"/>
    <cellStyle name="ハイパーリンク" xfId="4602" builtinId="8" hidden="1"/>
    <cellStyle name="ハイパーリンク" xfId="4604" builtinId="8" hidden="1"/>
    <cellStyle name="ハイパーリンク" xfId="4606" builtinId="8" hidden="1"/>
    <cellStyle name="ハイパーリンク" xfId="4608" builtinId="8" hidden="1"/>
    <cellStyle name="ハイパーリンク" xfId="4610" builtinId="8" hidden="1"/>
    <cellStyle name="ハイパーリンク" xfId="4612" builtinId="8" hidden="1"/>
    <cellStyle name="ハイパーリンク" xfId="4614" builtinId="8" hidden="1"/>
    <cellStyle name="ハイパーリンク" xfId="4616" builtinId="8" hidden="1"/>
    <cellStyle name="ハイパーリンク" xfId="4618" builtinId="8" hidden="1"/>
    <cellStyle name="ハイパーリンク" xfId="4620" builtinId="8" hidden="1"/>
    <cellStyle name="ハイパーリンク" xfId="4622" builtinId="8" hidden="1"/>
    <cellStyle name="ハイパーリンク" xfId="4624" builtinId="8" hidden="1"/>
    <cellStyle name="ハイパーリンク" xfId="4626" builtinId="8" hidden="1"/>
    <cellStyle name="ハイパーリンク" xfId="4628" builtinId="8" hidden="1"/>
    <cellStyle name="ハイパーリンク" xfId="4630" builtinId="8" hidden="1"/>
    <cellStyle name="ハイパーリンク" xfId="4632" builtinId="8" hidden="1"/>
    <cellStyle name="ハイパーリンク" xfId="4634" builtinId="8" hidden="1"/>
    <cellStyle name="ハイパーリンク" xfId="4636" builtinId="8" hidden="1"/>
    <cellStyle name="ハイパーリンク" xfId="4638" builtinId="8" hidden="1"/>
    <cellStyle name="ハイパーリンク" xfId="4640" builtinId="8" hidden="1"/>
    <cellStyle name="ハイパーリンク" xfId="4642" builtinId="8" hidden="1"/>
    <cellStyle name="ハイパーリンク" xfId="4644" builtinId="8" hidden="1"/>
    <cellStyle name="ハイパーリンク" xfId="4646" builtinId="8" hidden="1"/>
    <cellStyle name="ハイパーリンク" xfId="4648" builtinId="8" hidden="1"/>
    <cellStyle name="ハイパーリンク" xfId="4650" builtinId="8" hidden="1"/>
    <cellStyle name="ハイパーリンク" xfId="4652" builtinId="8" hidden="1"/>
    <cellStyle name="ハイパーリンク" xfId="4654" builtinId="8" hidden="1"/>
    <cellStyle name="ハイパーリンク" xfId="4656" builtinId="8" hidden="1"/>
    <cellStyle name="ハイパーリンク" xfId="4658" builtinId="8" hidden="1"/>
    <cellStyle name="ハイパーリンク" xfId="4660" builtinId="8" hidden="1"/>
    <cellStyle name="ハイパーリンク" xfId="4662" builtinId="8" hidden="1"/>
    <cellStyle name="ハイパーリンク" xfId="4664" builtinId="8" hidden="1"/>
    <cellStyle name="ハイパーリンク" xfId="4666" builtinId="8" hidden="1"/>
    <cellStyle name="ハイパーリンク" xfId="4668" builtinId="8" hidden="1"/>
    <cellStyle name="ハイパーリンク" xfId="4670" builtinId="8" hidden="1"/>
    <cellStyle name="ハイパーリンク" xfId="4672" builtinId="8" hidden="1"/>
    <cellStyle name="ハイパーリンク" xfId="4674" builtinId="8" hidden="1"/>
    <cellStyle name="ハイパーリンク" xfId="4676" builtinId="8" hidden="1"/>
    <cellStyle name="ハイパーリンク" xfId="4678" builtinId="8" hidden="1"/>
    <cellStyle name="ハイパーリンク" xfId="4680" builtinId="8" hidden="1"/>
    <cellStyle name="ハイパーリンク" xfId="4682" builtinId="8" hidden="1"/>
    <cellStyle name="ハイパーリンク" xfId="4684" builtinId="8" hidden="1"/>
    <cellStyle name="ハイパーリンク" xfId="4686" builtinId="8" hidden="1"/>
    <cellStyle name="ハイパーリンク" xfId="4688" builtinId="8" hidden="1"/>
    <cellStyle name="ハイパーリンク" xfId="4690" builtinId="8" hidden="1"/>
    <cellStyle name="ハイパーリンク" xfId="4692" builtinId="8" hidden="1"/>
    <cellStyle name="ハイパーリンク" xfId="4694" builtinId="8" hidden="1"/>
    <cellStyle name="ハイパーリンク" xfId="4696" builtinId="8" hidden="1"/>
    <cellStyle name="ハイパーリンク" xfId="4698" builtinId="8" hidden="1"/>
    <cellStyle name="ハイパーリンク" xfId="4700" builtinId="8" hidden="1"/>
    <cellStyle name="ハイパーリンク" xfId="4702" builtinId="8" hidden="1"/>
    <cellStyle name="ハイパーリンク" xfId="4704" builtinId="8" hidden="1"/>
    <cellStyle name="ハイパーリンク" xfId="4706" builtinId="8" hidden="1"/>
    <cellStyle name="ハイパーリンク" xfId="4708" builtinId="8" hidden="1"/>
    <cellStyle name="ハイパーリンク" xfId="4710" builtinId="8" hidden="1"/>
    <cellStyle name="ハイパーリンク" xfId="4712" builtinId="8" hidden="1"/>
    <cellStyle name="ハイパーリンク" xfId="4714" builtinId="8" hidden="1"/>
    <cellStyle name="ハイパーリンク" xfId="4716" builtinId="8" hidden="1"/>
    <cellStyle name="ハイパーリンク" xfId="4718" builtinId="8" hidden="1"/>
    <cellStyle name="ハイパーリンク" xfId="4720" builtinId="8" hidden="1"/>
    <cellStyle name="ハイパーリンク" xfId="4722" builtinId="8" hidden="1"/>
    <cellStyle name="ハイパーリンク" xfId="4724" builtinId="8" hidden="1"/>
    <cellStyle name="ハイパーリンク" xfId="4726" builtinId="8" hidden="1"/>
    <cellStyle name="ハイパーリンク" xfId="4728" builtinId="8" hidden="1"/>
    <cellStyle name="ハイパーリンク" xfId="4730" builtinId="8" hidden="1"/>
    <cellStyle name="ハイパーリンク" xfId="4732" builtinId="8" hidden="1"/>
    <cellStyle name="ハイパーリンク" xfId="4734" builtinId="8" hidden="1"/>
    <cellStyle name="ハイパーリンク" xfId="4736" builtinId="8" hidden="1"/>
    <cellStyle name="ハイパーリンク" xfId="4738" builtinId="8" hidden="1"/>
    <cellStyle name="ハイパーリンク" xfId="4740" builtinId="8" hidden="1"/>
    <cellStyle name="ハイパーリンク" xfId="4742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表示済みのハイパーリンク" xfId="4583" builtinId="9" hidden="1"/>
    <cellStyle name="表示済みのハイパーリンク" xfId="4585" builtinId="9" hidden="1"/>
    <cellStyle name="表示済みのハイパーリンク" xfId="4587" builtinId="9" hidden="1"/>
    <cellStyle name="表示済みのハイパーリンク" xfId="4589" builtinId="9" hidden="1"/>
    <cellStyle name="表示済みのハイパーリンク" xfId="4591" builtinId="9" hidden="1"/>
    <cellStyle name="表示済みのハイパーリンク" xfId="4593" builtinId="9" hidden="1"/>
    <cellStyle name="表示済みのハイパーリンク" xfId="4595" builtinId="9" hidden="1"/>
    <cellStyle name="表示済みのハイパーリンク" xfId="4597" builtinId="9" hidden="1"/>
    <cellStyle name="表示済みのハイパーリンク" xfId="4599" builtinId="9" hidden="1"/>
    <cellStyle name="表示済みのハイパーリンク" xfId="4601" builtinId="9" hidden="1"/>
    <cellStyle name="表示済みのハイパーリンク" xfId="4603" builtinId="9" hidden="1"/>
    <cellStyle name="表示済みのハイパーリンク" xfId="4605" builtinId="9" hidden="1"/>
    <cellStyle name="表示済みのハイパーリンク" xfId="4607" builtinId="9" hidden="1"/>
    <cellStyle name="表示済みのハイパーリンク" xfId="4609" builtinId="9" hidden="1"/>
    <cellStyle name="表示済みのハイパーリンク" xfId="4611" builtinId="9" hidden="1"/>
    <cellStyle name="表示済みのハイパーリンク" xfId="4613" builtinId="9" hidden="1"/>
    <cellStyle name="表示済みのハイパーリンク" xfId="4615" builtinId="9" hidden="1"/>
    <cellStyle name="表示済みのハイパーリンク" xfId="4617" builtinId="9" hidden="1"/>
    <cellStyle name="表示済みのハイパーリンク" xfId="4619" builtinId="9" hidden="1"/>
    <cellStyle name="表示済みのハイパーリンク" xfId="4621" builtinId="9" hidden="1"/>
    <cellStyle name="表示済みのハイパーリンク" xfId="4623" builtinId="9" hidden="1"/>
    <cellStyle name="表示済みのハイパーリンク" xfId="4625" builtinId="9" hidden="1"/>
    <cellStyle name="表示済みのハイパーリンク" xfId="4627" builtinId="9" hidden="1"/>
    <cellStyle name="表示済みのハイパーリンク" xfId="4629" builtinId="9" hidden="1"/>
    <cellStyle name="表示済みのハイパーリンク" xfId="4631" builtinId="9" hidden="1"/>
    <cellStyle name="表示済みのハイパーリンク" xfId="4633" builtinId="9" hidden="1"/>
    <cellStyle name="表示済みのハイパーリンク" xfId="4635" builtinId="9" hidden="1"/>
    <cellStyle name="表示済みのハイパーリンク" xfId="4637" builtinId="9" hidden="1"/>
    <cellStyle name="表示済みのハイパーリンク" xfId="4639" builtinId="9" hidden="1"/>
    <cellStyle name="表示済みのハイパーリンク" xfId="4641" builtinId="9" hidden="1"/>
    <cellStyle name="表示済みのハイパーリンク" xfId="4643" builtinId="9" hidden="1"/>
    <cellStyle name="表示済みのハイパーリンク" xfId="4645" builtinId="9" hidden="1"/>
    <cellStyle name="表示済みのハイパーリンク" xfId="4647" builtinId="9" hidden="1"/>
    <cellStyle name="表示済みのハイパーリンク" xfId="4649" builtinId="9" hidden="1"/>
    <cellStyle name="表示済みのハイパーリンク" xfId="4651" builtinId="9" hidden="1"/>
    <cellStyle name="表示済みのハイパーリンク" xfId="4653" builtinId="9" hidden="1"/>
    <cellStyle name="表示済みのハイパーリンク" xfId="4655" builtinId="9" hidden="1"/>
    <cellStyle name="表示済みのハイパーリンク" xfId="4657" builtinId="9" hidden="1"/>
    <cellStyle name="表示済みのハイパーリンク" xfId="4659" builtinId="9" hidden="1"/>
    <cellStyle name="表示済みのハイパーリンク" xfId="4661" builtinId="9" hidden="1"/>
    <cellStyle name="表示済みのハイパーリンク" xfId="4663" builtinId="9" hidden="1"/>
    <cellStyle name="表示済みのハイパーリンク" xfId="4665" builtinId="9" hidden="1"/>
    <cellStyle name="表示済みのハイパーリンク" xfId="4667" builtinId="9" hidden="1"/>
    <cellStyle name="表示済みのハイパーリンク" xfId="4669" builtinId="9" hidden="1"/>
    <cellStyle name="表示済みのハイパーリンク" xfId="4671" builtinId="9" hidden="1"/>
    <cellStyle name="表示済みのハイパーリンク" xfId="4673" builtinId="9" hidden="1"/>
    <cellStyle name="表示済みのハイパーリンク" xfId="4675" builtinId="9" hidden="1"/>
    <cellStyle name="表示済みのハイパーリンク" xfId="4677" builtinId="9" hidden="1"/>
    <cellStyle name="表示済みのハイパーリンク" xfId="4679" builtinId="9" hidden="1"/>
    <cellStyle name="表示済みのハイパーリンク" xfId="4681" builtinId="9" hidden="1"/>
    <cellStyle name="表示済みのハイパーリンク" xfId="4683" builtinId="9" hidden="1"/>
    <cellStyle name="表示済みのハイパーリンク" xfId="4685" builtinId="9" hidden="1"/>
    <cellStyle name="表示済みのハイパーリンク" xfId="4687" builtinId="9" hidden="1"/>
    <cellStyle name="表示済みのハイパーリンク" xfId="4689" builtinId="9" hidden="1"/>
    <cellStyle name="表示済みのハイパーリンク" xfId="4691" builtinId="9" hidden="1"/>
    <cellStyle name="表示済みのハイパーリンク" xfId="4693" builtinId="9" hidden="1"/>
    <cellStyle name="表示済みのハイパーリンク" xfId="4695" builtinId="9" hidden="1"/>
    <cellStyle name="表示済みのハイパーリンク" xfId="4697" builtinId="9" hidden="1"/>
    <cellStyle name="表示済みのハイパーリンク" xfId="4699" builtinId="9" hidden="1"/>
    <cellStyle name="表示済みのハイパーリンク" xfId="4701" builtinId="9" hidden="1"/>
    <cellStyle name="表示済みのハイパーリンク" xfId="4703" builtinId="9" hidden="1"/>
    <cellStyle name="表示済みのハイパーリンク" xfId="4705" builtinId="9" hidden="1"/>
    <cellStyle name="表示済みのハイパーリンク" xfId="4707" builtinId="9" hidden="1"/>
    <cellStyle name="表示済みのハイパーリンク" xfId="4709" builtinId="9" hidden="1"/>
    <cellStyle name="表示済みのハイパーリンク" xfId="4711" builtinId="9" hidden="1"/>
    <cellStyle name="表示済みのハイパーリンク" xfId="4713" builtinId="9" hidden="1"/>
    <cellStyle name="表示済みのハイパーリンク" xfId="4715" builtinId="9" hidden="1"/>
    <cellStyle name="表示済みのハイパーリンク" xfId="4717" builtinId="9" hidden="1"/>
    <cellStyle name="表示済みのハイパーリンク" xfId="4719" builtinId="9" hidden="1"/>
    <cellStyle name="表示済みのハイパーリンク" xfId="4721" builtinId="9" hidden="1"/>
    <cellStyle name="表示済みのハイパーリンク" xfId="4723" builtinId="9" hidden="1"/>
    <cellStyle name="表示済みのハイパーリンク" xfId="4725" builtinId="9" hidden="1"/>
    <cellStyle name="表示済みのハイパーリンク" xfId="4727" builtinId="9" hidden="1"/>
    <cellStyle name="表示済みのハイパーリンク" xfId="4729" builtinId="9" hidden="1"/>
    <cellStyle name="表示済みのハイパーリンク" xfId="4731" builtinId="9" hidden="1"/>
    <cellStyle name="表示済みのハイパーリンク" xfId="4733" builtinId="9" hidden="1"/>
    <cellStyle name="表示済みのハイパーリンク" xfId="4735" builtinId="9" hidden="1"/>
    <cellStyle name="表示済みのハイパーリンク" xfId="4737" builtinId="9" hidden="1"/>
    <cellStyle name="表示済みのハイパーリンク" xfId="4739" builtinId="9" hidden="1"/>
    <cellStyle name="表示済みのハイパーリンク" xfId="4741" builtinId="9" hidden="1"/>
    <cellStyle name="表示済みのハイパーリンク" xfId="4743" builtinId="9" hidden="1"/>
    <cellStyle name="赤字強調" xfId="4"/>
    <cellStyle name="青字強調" xfId="3"/>
  </cellStyles>
  <dxfs count="95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 patternType="solid">
          <fgColor indexed="64"/>
          <bgColor theme="3" tint="0.39997558519241921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theme" Target="theme/theme1.xml"/><Relationship Id="rId21" Type="http://schemas.openxmlformats.org/officeDocument/2006/relationships/styles" Target="styles.xml"/><Relationship Id="rId22" Type="http://schemas.openxmlformats.org/officeDocument/2006/relationships/sharedStrings" Target="sharedStrings.xml"/><Relationship Id="rId23" Type="http://schemas.openxmlformats.org/officeDocument/2006/relationships/calcChain" Target="calcChain.xml"/><Relationship Id="rId24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bility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  <cell r="N2" t="str">
            <v>Unknown</v>
          </cell>
          <cell r="O2" t="str">
            <v>none</v>
          </cell>
          <cell r="P2" t="str">
            <v>種族なし</v>
          </cell>
          <cell r="Q2" t="str">
            <v>アタッカー</v>
          </cell>
          <cell r="R2">
            <v>3</v>
          </cell>
          <cell r="S2" t="str">
            <v>NULL</v>
          </cell>
          <cell r="T2" t="str">
            <v>normal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  <cell r="N3" t="str">
            <v>Unknown</v>
          </cell>
          <cell r="O3" t="str">
            <v>none</v>
          </cell>
          <cell r="P3" t="str">
            <v>種族なし</v>
          </cell>
          <cell r="Q3" t="str">
            <v>アタッカー</v>
          </cell>
          <cell r="R3">
            <v>3</v>
          </cell>
          <cell r="S3" t="str">
            <v>NULL</v>
          </cell>
          <cell r="T3" t="str">
            <v>normal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  <cell r="N4" t="str">
            <v>Unknown</v>
          </cell>
          <cell r="O4" t="str">
            <v>none</v>
          </cell>
          <cell r="P4" t="str">
            <v>種族なし</v>
          </cell>
          <cell r="Q4" t="str">
            <v>バッファー</v>
          </cell>
          <cell r="R4">
            <v>3</v>
          </cell>
          <cell r="S4" t="str">
            <v>NULL</v>
          </cell>
          <cell r="T4" t="str">
            <v>normal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  <cell r="N5" t="str">
            <v>Unknown</v>
          </cell>
          <cell r="O5" t="str">
            <v>none</v>
          </cell>
          <cell r="P5" t="str">
            <v>種族なし</v>
          </cell>
          <cell r="Q5" t="str">
            <v>バッファー</v>
          </cell>
          <cell r="R5">
            <v>3</v>
          </cell>
          <cell r="S5" t="str">
            <v>NULL</v>
          </cell>
          <cell r="T5" t="str">
            <v>normal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  <cell r="N6" t="str">
            <v>Unknown</v>
          </cell>
          <cell r="O6" t="str">
            <v>none</v>
          </cell>
          <cell r="P6" t="str">
            <v>種族なし</v>
          </cell>
          <cell r="Q6" t="str">
            <v>ヒーラー</v>
          </cell>
          <cell r="R6">
            <v>3</v>
          </cell>
          <cell r="S6" t="str">
            <v>NULL</v>
          </cell>
          <cell r="T6" t="str">
            <v>normal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  <cell r="N7" t="str">
            <v>Unknown</v>
          </cell>
          <cell r="O7" t="str">
            <v>none</v>
          </cell>
          <cell r="P7" t="str">
            <v>種族なし</v>
          </cell>
          <cell r="Q7" t="str">
            <v>ヒーラー</v>
          </cell>
          <cell r="R7">
            <v>3</v>
          </cell>
          <cell r="S7" t="str">
            <v>NULL</v>
          </cell>
          <cell r="T7" t="str">
            <v>normal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  <cell r="N8" t="str">
            <v>Unknown</v>
          </cell>
          <cell r="O8" t="str">
            <v>none</v>
          </cell>
          <cell r="P8" t="str">
            <v>種族なし</v>
          </cell>
          <cell r="Q8" t="str">
            <v>アタッカー</v>
          </cell>
          <cell r="R8">
            <v>3</v>
          </cell>
          <cell r="S8" t="str">
            <v>NULL</v>
          </cell>
          <cell r="T8" t="str">
            <v>normal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  <cell r="N9" t="str">
            <v>Unknown</v>
          </cell>
          <cell r="O9" t="str">
            <v>none</v>
          </cell>
          <cell r="P9" t="str">
            <v>種族なし</v>
          </cell>
          <cell r="Q9" t="str">
            <v>アタッカー</v>
          </cell>
          <cell r="R9">
            <v>3</v>
          </cell>
          <cell r="S9" t="str">
            <v>NULL</v>
          </cell>
          <cell r="T9" t="str">
            <v>normal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  <cell r="N10" t="str">
            <v>アニマル</v>
          </cell>
          <cell r="O10" t="str">
            <v>none</v>
          </cell>
          <cell r="P10" t="str">
            <v>種族なし</v>
          </cell>
          <cell r="Q10" t="str">
            <v>アタッカー</v>
          </cell>
          <cell r="R10">
            <v>3</v>
          </cell>
          <cell r="S10" t="str">
            <v>NULL</v>
          </cell>
          <cell r="T10" t="str">
            <v>normal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  <cell r="N11" t="str">
            <v>アニマル</v>
          </cell>
          <cell r="O11" t="str">
            <v>none</v>
          </cell>
          <cell r="P11" t="str">
            <v>種族なし</v>
          </cell>
          <cell r="Q11" t="str">
            <v>アタッカー</v>
          </cell>
          <cell r="R11">
            <v>3</v>
          </cell>
          <cell r="S11" t="str">
            <v>NULL</v>
          </cell>
          <cell r="T11" t="str">
            <v>normal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  <cell r="N12" t="str">
            <v>アニマル</v>
          </cell>
          <cell r="O12" t="str">
            <v>none</v>
          </cell>
          <cell r="P12" t="str">
            <v>種族なし</v>
          </cell>
          <cell r="Q12" t="str">
            <v>ヒーラー</v>
          </cell>
          <cell r="R12">
            <v>3</v>
          </cell>
          <cell r="S12" t="str">
            <v>NULL</v>
          </cell>
          <cell r="T12" t="str">
            <v>normal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  <cell r="N13" t="str">
            <v>アニマル</v>
          </cell>
          <cell r="O13" t="str">
            <v>none</v>
          </cell>
          <cell r="P13" t="str">
            <v>種族なし</v>
          </cell>
          <cell r="Q13" t="str">
            <v>ヒーラー</v>
          </cell>
          <cell r="R13">
            <v>3</v>
          </cell>
          <cell r="S13" t="str">
            <v>NULL</v>
          </cell>
          <cell r="T13" t="str">
            <v>normal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  <cell r="N14" t="str">
            <v>アニマル</v>
          </cell>
          <cell r="O14" t="str">
            <v>none</v>
          </cell>
          <cell r="P14" t="str">
            <v>種族なし</v>
          </cell>
          <cell r="Q14" t="str">
            <v>アタッカー</v>
          </cell>
          <cell r="R14">
            <v>3</v>
          </cell>
          <cell r="S14" t="str">
            <v>NULL</v>
          </cell>
          <cell r="T14" t="str">
            <v>normal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  <cell r="N15" t="str">
            <v>アニマル</v>
          </cell>
          <cell r="O15" t="str">
            <v>none</v>
          </cell>
          <cell r="P15" t="str">
            <v>種族なし</v>
          </cell>
          <cell r="Q15" t="str">
            <v>アタッカー</v>
          </cell>
          <cell r="R15">
            <v>3</v>
          </cell>
          <cell r="S15" t="str">
            <v>NULL</v>
          </cell>
          <cell r="T15" t="str">
            <v>normal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  <cell r="N16" t="str">
            <v>ヒューマン</v>
          </cell>
          <cell r="O16" t="str">
            <v>none</v>
          </cell>
          <cell r="P16" t="str">
            <v>種族なし</v>
          </cell>
          <cell r="Q16" t="str">
            <v>バッファー</v>
          </cell>
          <cell r="R16">
            <v>3</v>
          </cell>
          <cell r="S16" t="str">
            <v>NULL</v>
          </cell>
          <cell r="T16" t="str">
            <v>normal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  <cell r="N17" t="str">
            <v>ヒューマン</v>
          </cell>
          <cell r="O17" t="str">
            <v>none</v>
          </cell>
          <cell r="P17" t="str">
            <v>種族なし</v>
          </cell>
          <cell r="Q17" t="str">
            <v>バッファー</v>
          </cell>
          <cell r="R17">
            <v>3</v>
          </cell>
          <cell r="S17" t="str">
            <v>NULL</v>
          </cell>
          <cell r="T17" t="str">
            <v>normal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  <cell r="N18" t="str">
            <v>ヒューマン</v>
          </cell>
          <cell r="O18" t="str">
            <v>machine</v>
          </cell>
          <cell r="P18" t="str">
            <v>マシン</v>
          </cell>
          <cell r="Q18" t="str">
            <v>バッファー</v>
          </cell>
          <cell r="R18">
            <v>3</v>
          </cell>
          <cell r="S18" t="str">
            <v>NULL</v>
          </cell>
          <cell r="T18" t="str">
            <v>normal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  <cell r="N19" t="str">
            <v>ヒューマン</v>
          </cell>
          <cell r="O19" t="str">
            <v>machine</v>
          </cell>
          <cell r="P19" t="str">
            <v>マシン</v>
          </cell>
          <cell r="Q19" t="str">
            <v>バッファー</v>
          </cell>
          <cell r="R19">
            <v>3</v>
          </cell>
          <cell r="S19" t="str">
            <v>NULL</v>
          </cell>
          <cell r="T19" t="str">
            <v>normal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  <cell r="N20" t="str">
            <v>ヒューマン</v>
          </cell>
          <cell r="O20" t="str">
            <v>none</v>
          </cell>
          <cell r="P20" t="str">
            <v>種族なし</v>
          </cell>
          <cell r="Q20" t="str">
            <v>バッファー</v>
          </cell>
          <cell r="R20">
            <v>3</v>
          </cell>
          <cell r="S20" t="str">
            <v>NULL</v>
          </cell>
          <cell r="T20" t="str">
            <v>normal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  <cell r="N21" t="str">
            <v>ヒューマン</v>
          </cell>
          <cell r="O21" t="str">
            <v>none</v>
          </cell>
          <cell r="P21" t="str">
            <v>種族なし</v>
          </cell>
          <cell r="Q21" t="str">
            <v>バッファー</v>
          </cell>
          <cell r="R21">
            <v>3</v>
          </cell>
          <cell r="S21" t="str">
            <v>NULL</v>
          </cell>
          <cell r="T21" t="str">
            <v>normal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  <cell r="N22" t="str">
            <v>ドラゴン</v>
          </cell>
          <cell r="O22" t="str">
            <v>none</v>
          </cell>
          <cell r="P22" t="str">
            <v>種族なし</v>
          </cell>
          <cell r="Q22" t="str">
            <v>アタッカー</v>
          </cell>
          <cell r="R22">
            <v>3</v>
          </cell>
          <cell r="S22" t="str">
            <v>NULL</v>
          </cell>
          <cell r="T22" t="str">
            <v>normal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  <cell r="N23" t="str">
            <v>ドラゴン</v>
          </cell>
          <cell r="O23" t="str">
            <v>none</v>
          </cell>
          <cell r="P23" t="str">
            <v>種族なし</v>
          </cell>
          <cell r="Q23" t="str">
            <v>アタッカー</v>
          </cell>
          <cell r="R23">
            <v>3</v>
          </cell>
          <cell r="S23" t="str">
            <v>NULL</v>
          </cell>
          <cell r="T23" t="str">
            <v>normal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  <cell r="N24" t="str">
            <v>アニマル</v>
          </cell>
          <cell r="O24" t="str">
            <v>none</v>
          </cell>
          <cell r="P24" t="str">
            <v>種族なし</v>
          </cell>
          <cell r="Q24" t="str">
            <v>アタッカー</v>
          </cell>
          <cell r="R24">
            <v>3</v>
          </cell>
          <cell r="S24" t="str">
            <v>NULL</v>
          </cell>
          <cell r="T24" t="str">
            <v>normal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  <cell r="N25" t="str">
            <v>アニマル</v>
          </cell>
          <cell r="O25" t="str">
            <v>none</v>
          </cell>
          <cell r="P25" t="str">
            <v>種族なし</v>
          </cell>
          <cell r="Q25" t="str">
            <v>アタッカー</v>
          </cell>
          <cell r="R25">
            <v>3</v>
          </cell>
          <cell r="S25" t="str">
            <v>NULL</v>
          </cell>
          <cell r="T25" t="str">
            <v>normal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  <cell r="N26" t="str">
            <v>アニマル</v>
          </cell>
          <cell r="O26" t="str">
            <v>none</v>
          </cell>
          <cell r="P26" t="str">
            <v>種族なし</v>
          </cell>
          <cell r="Q26" t="str">
            <v>アタッカー</v>
          </cell>
          <cell r="R26">
            <v>3</v>
          </cell>
          <cell r="S26" t="str">
            <v>NULL</v>
          </cell>
          <cell r="T26" t="str">
            <v>normal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  <cell r="N27" t="str">
            <v>アニマル</v>
          </cell>
          <cell r="O27" t="str">
            <v>none</v>
          </cell>
          <cell r="P27" t="str">
            <v>種族なし</v>
          </cell>
          <cell r="Q27" t="str">
            <v>アタッカー</v>
          </cell>
          <cell r="R27">
            <v>3</v>
          </cell>
          <cell r="S27" t="str">
            <v>NULL</v>
          </cell>
          <cell r="T27" t="str">
            <v>normal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  <cell r="N28" t="str">
            <v>マシン</v>
          </cell>
          <cell r="O28" t="str">
            <v>none</v>
          </cell>
          <cell r="P28" t="str">
            <v>種族なし</v>
          </cell>
          <cell r="Q28" t="str">
            <v>アタッカー</v>
          </cell>
          <cell r="R28">
            <v>3</v>
          </cell>
          <cell r="S28" t="str">
            <v>NULL</v>
          </cell>
          <cell r="T28" t="str">
            <v>normal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  <cell r="N29" t="str">
            <v>マシン</v>
          </cell>
          <cell r="O29" t="str">
            <v>none</v>
          </cell>
          <cell r="P29" t="str">
            <v>種族なし</v>
          </cell>
          <cell r="Q29" t="str">
            <v>アタッカー</v>
          </cell>
          <cell r="R29">
            <v>3</v>
          </cell>
          <cell r="S29" t="str">
            <v>NULL</v>
          </cell>
          <cell r="T29" t="str">
            <v>normal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  <cell r="N30" t="str">
            <v>マシン</v>
          </cell>
          <cell r="O30" t="str">
            <v>none</v>
          </cell>
          <cell r="P30" t="str">
            <v>種族なし</v>
          </cell>
          <cell r="Q30" t="str">
            <v>ヒーラー</v>
          </cell>
          <cell r="R30">
            <v>3</v>
          </cell>
          <cell r="S30" t="str">
            <v>NULL</v>
          </cell>
          <cell r="T30" t="str">
            <v>normal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  <cell r="N31" t="str">
            <v>マシン</v>
          </cell>
          <cell r="O31" t="str">
            <v>none</v>
          </cell>
          <cell r="P31" t="str">
            <v>種族なし</v>
          </cell>
          <cell r="Q31" t="str">
            <v>ヒーラー</v>
          </cell>
          <cell r="R31">
            <v>3</v>
          </cell>
          <cell r="S31" t="str">
            <v>NULL</v>
          </cell>
          <cell r="T31" t="str">
            <v>normal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  <cell r="N32" t="str">
            <v>マシン</v>
          </cell>
          <cell r="O32" t="str">
            <v>none</v>
          </cell>
          <cell r="P32" t="str">
            <v>種族なし</v>
          </cell>
          <cell r="Q32" t="str">
            <v>ハングアッパー</v>
          </cell>
          <cell r="R32">
            <v>3</v>
          </cell>
          <cell r="S32" t="str">
            <v>NULL</v>
          </cell>
          <cell r="T32" t="str">
            <v>normal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  <cell r="N33" t="str">
            <v>マシン</v>
          </cell>
          <cell r="O33" t="str">
            <v>none</v>
          </cell>
          <cell r="P33" t="str">
            <v>種族なし</v>
          </cell>
          <cell r="Q33" t="str">
            <v>ハングアッパー</v>
          </cell>
          <cell r="R33">
            <v>3</v>
          </cell>
          <cell r="S33" t="str">
            <v>NULL</v>
          </cell>
          <cell r="T33" t="str">
            <v>normal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  <cell r="N34" t="str">
            <v>アニマル</v>
          </cell>
          <cell r="O34" t="str">
            <v>none</v>
          </cell>
          <cell r="P34" t="str">
            <v>種族なし</v>
          </cell>
          <cell r="Q34" t="str">
            <v>バッファー</v>
          </cell>
          <cell r="R34">
            <v>3</v>
          </cell>
          <cell r="S34" t="str">
            <v>NULL</v>
          </cell>
          <cell r="T34" t="str">
            <v>normal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  <cell r="N35" t="str">
            <v>アニマル</v>
          </cell>
          <cell r="O35" t="str">
            <v>none</v>
          </cell>
          <cell r="P35" t="str">
            <v>種族なし</v>
          </cell>
          <cell r="Q35" t="str">
            <v>バッファー</v>
          </cell>
          <cell r="R35">
            <v>3</v>
          </cell>
          <cell r="S35" t="str">
            <v>NULL</v>
          </cell>
          <cell r="T35" t="str">
            <v>normal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  <cell r="N36" t="str">
            <v>マシン</v>
          </cell>
          <cell r="O36" t="str">
            <v>none</v>
          </cell>
          <cell r="P36" t="str">
            <v>種族なし</v>
          </cell>
          <cell r="Q36" t="str">
            <v>バッファー</v>
          </cell>
          <cell r="R36">
            <v>3</v>
          </cell>
          <cell r="S36" t="str">
            <v>NULL</v>
          </cell>
          <cell r="T36" t="str">
            <v>normal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  <cell r="N37" t="str">
            <v>マシン</v>
          </cell>
          <cell r="O37" t="str">
            <v>none</v>
          </cell>
          <cell r="P37" t="str">
            <v>種族なし</v>
          </cell>
          <cell r="Q37" t="str">
            <v>バッファー</v>
          </cell>
          <cell r="R37">
            <v>3</v>
          </cell>
          <cell r="S37" t="str">
            <v>NULL</v>
          </cell>
          <cell r="T37" t="str">
            <v>normal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  <cell r="N38" t="str">
            <v>アニマル</v>
          </cell>
          <cell r="O38" t="str">
            <v>none</v>
          </cell>
          <cell r="P38" t="str">
            <v>種族なし</v>
          </cell>
          <cell r="Q38" t="str">
            <v>アタッカー</v>
          </cell>
          <cell r="R38">
            <v>3</v>
          </cell>
          <cell r="S38" t="str">
            <v>NULL</v>
          </cell>
          <cell r="T38" t="str">
            <v>normal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  <cell r="N39" t="str">
            <v>アニマル</v>
          </cell>
          <cell r="O39" t="str">
            <v>none</v>
          </cell>
          <cell r="P39" t="str">
            <v>種族なし</v>
          </cell>
          <cell r="Q39" t="str">
            <v>アタッカー</v>
          </cell>
          <cell r="R39">
            <v>3</v>
          </cell>
          <cell r="S39" t="str">
            <v>NULL</v>
          </cell>
          <cell r="T39" t="str">
            <v>normal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  <cell r="N40" t="str">
            <v>ヒューマン</v>
          </cell>
          <cell r="O40" t="str">
            <v>none</v>
          </cell>
          <cell r="P40" t="str">
            <v>種族なし</v>
          </cell>
          <cell r="Q40" t="str">
            <v>スリーパー</v>
          </cell>
          <cell r="R40">
            <v>3</v>
          </cell>
          <cell r="S40" t="str">
            <v>NULL</v>
          </cell>
          <cell r="T40" t="str">
            <v>normal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  <cell r="N41" t="str">
            <v>ヒューマン</v>
          </cell>
          <cell r="O41" t="str">
            <v>none</v>
          </cell>
          <cell r="P41" t="str">
            <v>種族なし</v>
          </cell>
          <cell r="Q41" t="str">
            <v>スリーパー</v>
          </cell>
          <cell r="R41">
            <v>3</v>
          </cell>
          <cell r="S41" t="str">
            <v>NULL</v>
          </cell>
          <cell r="T41" t="str">
            <v>normal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  <cell r="N42" t="str">
            <v>ドラゴン</v>
          </cell>
          <cell r="O42" t="str">
            <v>none</v>
          </cell>
          <cell r="P42" t="str">
            <v>種族なし</v>
          </cell>
          <cell r="Q42" t="str">
            <v>アタッカー</v>
          </cell>
          <cell r="R42">
            <v>3</v>
          </cell>
          <cell r="S42" t="str">
            <v>NULL</v>
          </cell>
          <cell r="T42" t="str">
            <v>normal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  <cell r="N43" t="str">
            <v>ドラゴン</v>
          </cell>
          <cell r="O43" t="str">
            <v>none</v>
          </cell>
          <cell r="P43" t="str">
            <v>種族なし</v>
          </cell>
          <cell r="Q43" t="str">
            <v>アタッカー</v>
          </cell>
          <cell r="R43">
            <v>3</v>
          </cell>
          <cell r="S43" t="str">
            <v>NULL</v>
          </cell>
          <cell r="T43" t="str">
            <v>normal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  <cell r="N44" t="str">
            <v>ドラゴン</v>
          </cell>
          <cell r="O44" t="str">
            <v>human</v>
          </cell>
          <cell r="P44" t="str">
            <v>ヒューマン</v>
          </cell>
          <cell r="Q44" t="str">
            <v>アタッカー</v>
          </cell>
          <cell r="R44">
            <v>3</v>
          </cell>
          <cell r="S44" t="str">
            <v>NULL</v>
          </cell>
          <cell r="T44" t="str">
            <v>normal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  <cell r="N45" t="str">
            <v>ドラゴン</v>
          </cell>
          <cell r="O45" t="str">
            <v>human</v>
          </cell>
          <cell r="P45" t="str">
            <v>ヒューマン</v>
          </cell>
          <cell r="Q45" t="str">
            <v>アタッカー</v>
          </cell>
          <cell r="R45">
            <v>3</v>
          </cell>
          <cell r="S45" t="str">
            <v>NULL</v>
          </cell>
          <cell r="T45" t="str">
            <v>normal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  <cell r="N46" t="str">
            <v>アニマル</v>
          </cell>
          <cell r="O46" t="str">
            <v>none</v>
          </cell>
          <cell r="P46" t="str">
            <v>種族なし</v>
          </cell>
          <cell r="Q46" t="str">
            <v>アタッカー</v>
          </cell>
          <cell r="R46">
            <v>3</v>
          </cell>
          <cell r="S46" t="str">
            <v>NULL</v>
          </cell>
          <cell r="T46" t="str">
            <v>normal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  <cell r="N47" t="str">
            <v>アニマル</v>
          </cell>
          <cell r="O47" t="str">
            <v>none</v>
          </cell>
          <cell r="P47" t="str">
            <v>種族なし</v>
          </cell>
          <cell r="Q47" t="str">
            <v>アタッカー</v>
          </cell>
          <cell r="R47">
            <v>3</v>
          </cell>
          <cell r="S47" t="str">
            <v>NULL</v>
          </cell>
          <cell r="T47" t="str">
            <v>normal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  <cell r="N48" t="str">
            <v>アニマル</v>
          </cell>
          <cell r="O48" t="str">
            <v>none</v>
          </cell>
          <cell r="P48" t="str">
            <v>種族なし</v>
          </cell>
          <cell r="Q48" t="str">
            <v>アタッカー</v>
          </cell>
          <cell r="R48">
            <v>3</v>
          </cell>
          <cell r="S48" t="str">
            <v>NULL</v>
          </cell>
          <cell r="T48" t="str">
            <v>normal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  <cell r="N49" t="str">
            <v>アニマル</v>
          </cell>
          <cell r="O49" t="str">
            <v>none</v>
          </cell>
          <cell r="P49" t="str">
            <v>種族なし</v>
          </cell>
          <cell r="Q49" t="str">
            <v>アタッカー</v>
          </cell>
          <cell r="R49">
            <v>3</v>
          </cell>
          <cell r="S49" t="str">
            <v>NULL</v>
          </cell>
          <cell r="T49" t="str">
            <v>normal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  <cell r="N50" t="str">
            <v>ヒューマン</v>
          </cell>
          <cell r="O50" t="str">
            <v>none</v>
          </cell>
          <cell r="P50" t="str">
            <v>種族なし</v>
          </cell>
          <cell r="Q50" t="str">
            <v>バッファー</v>
          </cell>
          <cell r="R50">
            <v>3</v>
          </cell>
          <cell r="S50" t="str">
            <v>NULL</v>
          </cell>
          <cell r="T50" t="str">
            <v>normal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  <cell r="N51" t="str">
            <v>ヒューマン</v>
          </cell>
          <cell r="O51" t="str">
            <v>none</v>
          </cell>
          <cell r="P51" t="str">
            <v>種族なし</v>
          </cell>
          <cell r="Q51" t="str">
            <v>バッファー</v>
          </cell>
          <cell r="R51">
            <v>3</v>
          </cell>
          <cell r="S51" t="str">
            <v>NULL</v>
          </cell>
          <cell r="T51" t="str">
            <v>normal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  <cell r="N52" t="str">
            <v>ヒューマン</v>
          </cell>
          <cell r="O52" t="str">
            <v>none</v>
          </cell>
          <cell r="P52" t="str">
            <v>種族なし</v>
          </cell>
          <cell r="Q52" t="str">
            <v>バッファー</v>
          </cell>
          <cell r="R52">
            <v>3</v>
          </cell>
          <cell r="S52" t="str">
            <v>NULL</v>
          </cell>
          <cell r="T52" t="str">
            <v>normal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  <cell r="N53" t="str">
            <v>ヒューマン</v>
          </cell>
          <cell r="O53" t="str">
            <v>none</v>
          </cell>
          <cell r="P53" t="str">
            <v>種族なし</v>
          </cell>
          <cell r="Q53" t="str">
            <v>バッファー</v>
          </cell>
          <cell r="R53">
            <v>3</v>
          </cell>
          <cell r="S53" t="str">
            <v>NULL</v>
          </cell>
          <cell r="T53" t="str">
            <v>normal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  <cell r="N54" t="str">
            <v>ヒューマン</v>
          </cell>
          <cell r="O54" t="str">
            <v>none</v>
          </cell>
          <cell r="P54" t="str">
            <v>種族なし</v>
          </cell>
          <cell r="Q54" t="str">
            <v>バッファー</v>
          </cell>
          <cell r="R54">
            <v>3</v>
          </cell>
          <cell r="S54" t="str">
            <v>NULL</v>
          </cell>
          <cell r="T54" t="str">
            <v>normal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  <cell r="N55" t="str">
            <v>ヒューマン</v>
          </cell>
          <cell r="O55" t="str">
            <v>none</v>
          </cell>
          <cell r="P55" t="str">
            <v>種族なし</v>
          </cell>
          <cell r="Q55" t="str">
            <v>バッファー</v>
          </cell>
          <cell r="R55">
            <v>3</v>
          </cell>
          <cell r="S55" t="str">
            <v>NULL</v>
          </cell>
          <cell r="T55" t="str">
            <v>normal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  <cell r="N56" t="str">
            <v>ヒューマン</v>
          </cell>
          <cell r="O56" t="str">
            <v>none</v>
          </cell>
          <cell r="P56" t="str">
            <v>種族なし</v>
          </cell>
          <cell r="Q56" t="str">
            <v>バッファー</v>
          </cell>
          <cell r="R56">
            <v>3</v>
          </cell>
          <cell r="S56" t="str">
            <v>NULL</v>
          </cell>
          <cell r="T56" t="str">
            <v>normal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  <cell r="N57" t="str">
            <v>ヒューマン</v>
          </cell>
          <cell r="O57" t="str">
            <v>none</v>
          </cell>
          <cell r="P57" t="str">
            <v>種族なし</v>
          </cell>
          <cell r="Q57" t="str">
            <v>バッファー</v>
          </cell>
          <cell r="R57">
            <v>3</v>
          </cell>
          <cell r="S57" t="str">
            <v>NULL</v>
          </cell>
          <cell r="T57" t="str">
            <v>normal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  <cell r="N58" t="str">
            <v>アニマル</v>
          </cell>
          <cell r="O58" t="str">
            <v>none</v>
          </cell>
          <cell r="P58" t="str">
            <v>種族なし</v>
          </cell>
          <cell r="Q58" t="str">
            <v>アタッカーバッファー</v>
          </cell>
          <cell r="R58">
            <v>3</v>
          </cell>
          <cell r="S58" t="str">
            <v>NULL</v>
          </cell>
          <cell r="T58" t="str">
            <v>normal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  <cell r="N59" t="str">
            <v>アニマル</v>
          </cell>
          <cell r="O59" t="str">
            <v>none</v>
          </cell>
          <cell r="P59" t="str">
            <v>種族なし</v>
          </cell>
          <cell r="Q59" t="str">
            <v>アタッカーバッファー</v>
          </cell>
          <cell r="R59">
            <v>3</v>
          </cell>
          <cell r="S59" t="str">
            <v>NULL</v>
          </cell>
          <cell r="T59" t="str">
            <v>normal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  <cell r="N60" t="str">
            <v>アニマル</v>
          </cell>
          <cell r="O60" t="str">
            <v>none</v>
          </cell>
          <cell r="P60" t="str">
            <v>種族なし</v>
          </cell>
          <cell r="Q60" t="str">
            <v>ヒーラー</v>
          </cell>
          <cell r="R60">
            <v>3</v>
          </cell>
          <cell r="S60" t="str">
            <v>NULL</v>
          </cell>
          <cell r="T60" t="str">
            <v>normal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  <cell r="N61" t="str">
            <v>アニマル</v>
          </cell>
          <cell r="O61" t="str">
            <v>none</v>
          </cell>
          <cell r="P61" t="str">
            <v>種族なし</v>
          </cell>
          <cell r="Q61" t="str">
            <v>ヒーラー</v>
          </cell>
          <cell r="R61">
            <v>3</v>
          </cell>
          <cell r="S61" t="str">
            <v>NULL</v>
          </cell>
          <cell r="T61" t="str">
            <v>normal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  <cell r="N62" t="str">
            <v>アニマル</v>
          </cell>
          <cell r="O62" t="str">
            <v>none</v>
          </cell>
          <cell r="P62" t="str">
            <v>種族なし</v>
          </cell>
          <cell r="Q62" t="str">
            <v>ヒーラー</v>
          </cell>
          <cell r="R62">
            <v>3</v>
          </cell>
          <cell r="S62" t="str">
            <v>NULL</v>
          </cell>
          <cell r="T62" t="str">
            <v>normal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  <cell r="N63" t="str">
            <v>アニマル</v>
          </cell>
          <cell r="O63" t="str">
            <v>none</v>
          </cell>
          <cell r="P63" t="str">
            <v>種族なし</v>
          </cell>
          <cell r="Q63" t="str">
            <v>ヒーラー</v>
          </cell>
          <cell r="R63">
            <v>3</v>
          </cell>
          <cell r="S63" t="str">
            <v>NULL</v>
          </cell>
          <cell r="T63" t="str">
            <v>normal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  <cell r="N64" t="str">
            <v>アニマル</v>
          </cell>
          <cell r="O64" t="str">
            <v>none</v>
          </cell>
          <cell r="P64" t="str">
            <v>種族なし</v>
          </cell>
          <cell r="Q64" t="str">
            <v>アタッカーバッファー</v>
          </cell>
          <cell r="R64">
            <v>3</v>
          </cell>
          <cell r="S64" t="str">
            <v>NULL</v>
          </cell>
          <cell r="T64" t="str">
            <v>normal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  <cell r="N65" t="str">
            <v>アニマル</v>
          </cell>
          <cell r="O65" t="str">
            <v>none</v>
          </cell>
          <cell r="P65" t="str">
            <v>種族なし</v>
          </cell>
          <cell r="Q65" t="str">
            <v>アタッカーバッファー</v>
          </cell>
          <cell r="R65">
            <v>3</v>
          </cell>
          <cell r="S65" t="str">
            <v>NULL</v>
          </cell>
          <cell r="T65" t="str">
            <v>normal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  <cell r="N66" t="str">
            <v>アニマル</v>
          </cell>
          <cell r="O66" t="str">
            <v>none</v>
          </cell>
          <cell r="P66" t="str">
            <v>種族なし</v>
          </cell>
          <cell r="Q66" t="str">
            <v>アタッカー</v>
          </cell>
          <cell r="R66">
            <v>3</v>
          </cell>
          <cell r="S66" t="str">
            <v>NULL</v>
          </cell>
          <cell r="T66" t="str">
            <v>normal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  <cell r="N67" t="str">
            <v>アニマル</v>
          </cell>
          <cell r="O67" t="str">
            <v>none</v>
          </cell>
          <cell r="P67" t="str">
            <v>種族なし</v>
          </cell>
          <cell r="Q67" t="str">
            <v>アタッカー</v>
          </cell>
          <cell r="R67">
            <v>3</v>
          </cell>
          <cell r="S67" t="str">
            <v>NULL</v>
          </cell>
          <cell r="T67" t="str">
            <v>normal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  <cell r="N68" t="str">
            <v>アニマル</v>
          </cell>
          <cell r="O68" t="str">
            <v>none</v>
          </cell>
          <cell r="P68" t="str">
            <v>種族なし</v>
          </cell>
          <cell r="Q68" t="str">
            <v>アタッカー</v>
          </cell>
          <cell r="R68">
            <v>3</v>
          </cell>
          <cell r="S68" t="str">
            <v>NULL</v>
          </cell>
          <cell r="T68" t="str">
            <v>normal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  <cell r="N69" t="str">
            <v>アニマル</v>
          </cell>
          <cell r="O69" t="str">
            <v>none</v>
          </cell>
          <cell r="P69" t="str">
            <v>種族なし</v>
          </cell>
          <cell r="Q69" t="str">
            <v>リダクター</v>
          </cell>
          <cell r="R69">
            <v>3</v>
          </cell>
          <cell r="S69" t="str">
            <v>NULL</v>
          </cell>
          <cell r="T69" t="str">
            <v>normal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  <cell r="N70" t="str">
            <v>アニマル</v>
          </cell>
          <cell r="O70" t="str">
            <v>none</v>
          </cell>
          <cell r="P70" t="str">
            <v>種族なし</v>
          </cell>
          <cell r="Q70" t="str">
            <v>リダクター</v>
          </cell>
          <cell r="R70">
            <v>3</v>
          </cell>
          <cell r="S70" t="str">
            <v>NULL</v>
          </cell>
          <cell r="T70" t="str">
            <v>normal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  <cell r="N71" t="str">
            <v>アニマル</v>
          </cell>
          <cell r="O71" t="str">
            <v>none</v>
          </cell>
          <cell r="P71" t="str">
            <v>種族なし</v>
          </cell>
          <cell r="Q71" t="str">
            <v>リダクター</v>
          </cell>
          <cell r="R71">
            <v>3</v>
          </cell>
          <cell r="S71" t="str">
            <v>NULL</v>
          </cell>
          <cell r="T71" t="str">
            <v>normal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  <cell r="N72" t="str">
            <v>アニマル</v>
          </cell>
          <cell r="O72" t="str">
            <v>none</v>
          </cell>
          <cell r="P72" t="str">
            <v>種族なし</v>
          </cell>
          <cell r="Q72" t="str">
            <v>バッファー</v>
          </cell>
          <cell r="R72">
            <v>3</v>
          </cell>
          <cell r="S72" t="str">
            <v>NULL</v>
          </cell>
          <cell r="T72" t="str">
            <v>normal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  <cell r="N73" t="str">
            <v>アニマル</v>
          </cell>
          <cell r="O73" t="str">
            <v>none</v>
          </cell>
          <cell r="P73" t="str">
            <v>種族なし</v>
          </cell>
          <cell r="Q73" t="str">
            <v>バッファー</v>
          </cell>
          <cell r="R73">
            <v>3</v>
          </cell>
          <cell r="S73" t="str">
            <v>NULL</v>
          </cell>
          <cell r="T73" t="str">
            <v>normal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  <cell r="N74" t="str">
            <v>アニマル</v>
          </cell>
          <cell r="O74" t="str">
            <v>none</v>
          </cell>
          <cell r="P74" t="str">
            <v>種族なし</v>
          </cell>
          <cell r="Q74" t="str">
            <v>バッファー</v>
          </cell>
          <cell r="R74">
            <v>3</v>
          </cell>
          <cell r="S74" t="str">
            <v>NULL</v>
          </cell>
          <cell r="T74" t="str">
            <v>normal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  <cell r="N75" t="str">
            <v>アニマル</v>
          </cell>
          <cell r="O75" t="str">
            <v>none</v>
          </cell>
          <cell r="P75" t="str">
            <v>種族なし</v>
          </cell>
          <cell r="Q75" t="str">
            <v>アタッカー</v>
          </cell>
          <cell r="R75">
            <v>3</v>
          </cell>
          <cell r="S75" t="str">
            <v>NULL</v>
          </cell>
          <cell r="T75" t="str">
            <v>normal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  <cell r="N76" t="str">
            <v>アニマル</v>
          </cell>
          <cell r="O76" t="str">
            <v>none</v>
          </cell>
          <cell r="P76" t="str">
            <v>種族なし</v>
          </cell>
          <cell r="Q76" t="str">
            <v>アタッカー</v>
          </cell>
          <cell r="R76">
            <v>3</v>
          </cell>
          <cell r="S76" t="str">
            <v>NULL</v>
          </cell>
          <cell r="T76" t="str">
            <v>normal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  <cell r="N77" t="str">
            <v>アニマル</v>
          </cell>
          <cell r="O77" t="str">
            <v>none</v>
          </cell>
          <cell r="P77" t="str">
            <v>種族なし</v>
          </cell>
          <cell r="Q77" t="str">
            <v>アタッカー</v>
          </cell>
          <cell r="R77">
            <v>3</v>
          </cell>
          <cell r="S77" t="str">
            <v>NULL</v>
          </cell>
          <cell r="T77" t="str">
            <v>normal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  <cell r="N78" t="str">
            <v>Unknown</v>
          </cell>
          <cell r="O78" t="str">
            <v>none</v>
          </cell>
          <cell r="P78" t="str">
            <v>種族なし</v>
          </cell>
          <cell r="Q78" t="str">
            <v>ハングアッパー</v>
          </cell>
          <cell r="R78">
            <v>3</v>
          </cell>
          <cell r="S78" t="str">
            <v>NULL</v>
          </cell>
          <cell r="T78" t="str">
            <v>normal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  <cell r="N79" t="str">
            <v>Unknown</v>
          </cell>
          <cell r="O79" t="str">
            <v>none</v>
          </cell>
          <cell r="P79" t="str">
            <v>種族なし</v>
          </cell>
          <cell r="Q79" t="str">
            <v>ハングアッパー</v>
          </cell>
          <cell r="R79">
            <v>3</v>
          </cell>
          <cell r="S79" t="str">
            <v>NULL</v>
          </cell>
          <cell r="T79" t="str">
            <v>normal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  <cell r="N80" t="str">
            <v>Unknown</v>
          </cell>
          <cell r="O80" t="str">
            <v>none</v>
          </cell>
          <cell r="P80" t="str">
            <v>種族なし</v>
          </cell>
          <cell r="Q80" t="str">
            <v>タップブースター</v>
          </cell>
          <cell r="R80">
            <v>3</v>
          </cell>
          <cell r="S80" t="str">
            <v>NULL</v>
          </cell>
          <cell r="T80" t="str">
            <v>normal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  <cell r="N81" t="str">
            <v>Unknown</v>
          </cell>
          <cell r="O81" t="str">
            <v>none</v>
          </cell>
          <cell r="P81" t="str">
            <v>種族なし</v>
          </cell>
          <cell r="Q81" t="str">
            <v>タップブースター</v>
          </cell>
          <cell r="R81">
            <v>3</v>
          </cell>
          <cell r="S81" t="str">
            <v>NULL</v>
          </cell>
          <cell r="T81" t="str">
            <v>normal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  <cell r="N82" t="str">
            <v>Unknown</v>
          </cell>
          <cell r="O82" t="str">
            <v>none</v>
          </cell>
          <cell r="P82" t="str">
            <v>種族なし</v>
          </cell>
          <cell r="Q82" t="str">
            <v>ボマー</v>
          </cell>
          <cell r="R82">
            <v>3</v>
          </cell>
          <cell r="S82" t="str">
            <v>NULL</v>
          </cell>
          <cell r="T82" t="str">
            <v>normal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  <cell r="N83" t="str">
            <v>Unknown</v>
          </cell>
          <cell r="O83" t="str">
            <v>none</v>
          </cell>
          <cell r="P83" t="str">
            <v>種族なし</v>
          </cell>
          <cell r="Q83" t="str">
            <v>ボマー</v>
          </cell>
          <cell r="R83">
            <v>3</v>
          </cell>
          <cell r="S83" t="str">
            <v>NULL</v>
          </cell>
          <cell r="T83" t="str">
            <v>normal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  <cell r="N84" t="str">
            <v>Unknown</v>
          </cell>
          <cell r="O84" t="str">
            <v>none</v>
          </cell>
          <cell r="P84" t="str">
            <v>種族なし</v>
          </cell>
          <cell r="Q84" t="str">
            <v>ウイルサー</v>
          </cell>
          <cell r="R84">
            <v>3</v>
          </cell>
          <cell r="S84" t="str">
            <v>NULL</v>
          </cell>
          <cell r="T84" t="str">
            <v>normal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  <cell r="N85" t="str">
            <v>Unknown</v>
          </cell>
          <cell r="O85" t="str">
            <v>none</v>
          </cell>
          <cell r="P85" t="str">
            <v>種族なし</v>
          </cell>
          <cell r="Q85" t="str">
            <v>ウイルサー</v>
          </cell>
          <cell r="R85">
            <v>3</v>
          </cell>
          <cell r="S85" t="str">
            <v>NULL</v>
          </cell>
          <cell r="T85" t="str">
            <v>normal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  <cell r="N86" t="str">
            <v>アニマル</v>
          </cell>
          <cell r="O86" t="str">
            <v>god</v>
          </cell>
          <cell r="P86" t="str">
            <v>ゴッド</v>
          </cell>
          <cell r="Q86" t="str">
            <v>アタッカー</v>
          </cell>
          <cell r="R86">
            <v>3</v>
          </cell>
          <cell r="S86" t="str">
            <v>NULL</v>
          </cell>
          <cell r="T86" t="str">
            <v>normal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  <cell r="N87" t="str">
            <v>アニマル</v>
          </cell>
          <cell r="O87" t="str">
            <v>god</v>
          </cell>
          <cell r="P87" t="str">
            <v>ゴッド</v>
          </cell>
          <cell r="Q87" t="str">
            <v>アタッカー</v>
          </cell>
          <cell r="R87">
            <v>3</v>
          </cell>
          <cell r="S87" t="str">
            <v>NULL</v>
          </cell>
          <cell r="T87" t="str">
            <v>normal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  <cell r="N88" t="str">
            <v>アニマル</v>
          </cell>
          <cell r="O88" t="str">
            <v>god</v>
          </cell>
          <cell r="P88" t="str">
            <v>ゴッド</v>
          </cell>
          <cell r="Q88" t="str">
            <v>アタッカー</v>
          </cell>
          <cell r="R88">
            <v>3</v>
          </cell>
          <cell r="S88" t="str">
            <v>NULL</v>
          </cell>
          <cell r="T88" t="str">
            <v>normal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  <cell r="N89" t="str">
            <v>ドラゴン</v>
          </cell>
          <cell r="O89" t="str">
            <v>god</v>
          </cell>
          <cell r="P89" t="str">
            <v>ゴッド</v>
          </cell>
          <cell r="Q89" t="str">
            <v>バッファー</v>
          </cell>
          <cell r="R89">
            <v>3</v>
          </cell>
          <cell r="S89" t="str">
            <v>NULL</v>
          </cell>
          <cell r="T89" t="str">
            <v>normal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  <cell r="N90" t="str">
            <v>ドラゴン</v>
          </cell>
          <cell r="O90" t="str">
            <v>god</v>
          </cell>
          <cell r="P90" t="str">
            <v>ゴッド</v>
          </cell>
          <cell r="Q90" t="str">
            <v>バッファー</v>
          </cell>
          <cell r="R90">
            <v>3</v>
          </cell>
          <cell r="S90" t="str">
            <v>NULL</v>
          </cell>
          <cell r="T90" t="str">
            <v>normal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  <cell r="N91" t="str">
            <v>ドラゴン</v>
          </cell>
          <cell r="O91" t="str">
            <v>god</v>
          </cell>
          <cell r="P91" t="str">
            <v>ゴッド</v>
          </cell>
          <cell r="Q91" t="str">
            <v>バッファー</v>
          </cell>
          <cell r="R91">
            <v>3</v>
          </cell>
          <cell r="S91" t="str">
            <v>NULL</v>
          </cell>
          <cell r="T91" t="str">
            <v>normal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  <cell r="N92" t="str">
            <v>ドラゴン</v>
          </cell>
          <cell r="O92" t="str">
            <v>god</v>
          </cell>
          <cell r="P92" t="str">
            <v>ゴッド</v>
          </cell>
          <cell r="Q92" t="str">
            <v>バッファー</v>
          </cell>
          <cell r="R92">
            <v>3</v>
          </cell>
          <cell r="S92" t="str">
            <v>NULL</v>
          </cell>
          <cell r="T92" t="str">
            <v>normal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  <cell r="N93" t="str">
            <v>ドラゴン</v>
          </cell>
          <cell r="O93" t="str">
            <v>god</v>
          </cell>
          <cell r="P93" t="str">
            <v>ゴッド</v>
          </cell>
          <cell r="Q93" t="str">
            <v>バッファー</v>
          </cell>
          <cell r="R93">
            <v>3</v>
          </cell>
          <cell r="S93" t="str">
            <v>NULL</v>
          </cell>
          <cell r="T93" t="str">
            <v>normal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  <cell r="N94" t="str">
            <v>ドラゴン</v>
          </cell>
          <cell r="O94" t="str">
            <v>god</v>
          </cell>
          <cell r="P94" t="str">
            <v>ゴッド</v>
          </cell>
          <cell r="Q94" t="str">
            <v>バッファー</v>
          </cell>
          <cell r="R94">
            <v>3</v>
          </cell>
          <cell r="S94" t="str">
            <v>NULL</v>
          </cell>
          <cell r="T94" t="str">
            <v>normal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  <cell r="N95" t="str">
            <v>アニマル</v>
          </cell>
          <cell r="O95" t="str">
            <v>god</v>
          </cell>
          <cell r="P95" t="str">
            <v>ゴッド</v>
          </cell>
          <cell r="Q95" t="str">
            <v>アタッカー</v>
          </cell>
          <cell r="R95">
            <v>3</v>
          </cell>
          <cell r="S95" t="str">
            <v>NULL</v>
          </cell>
          <cell r="T95" t="str">
            <v>normal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  <cell r="N96" t="str">
            <v>アニマル</v>
          </cell>
          <cell r="O96" t="str">
            <v>god</v>
          </cell>
          <cell r="P96" t="str">
            <v>ゴッド</v>
          </cell>
          <cell r="Q96" t="str">
            <v>アタッカー</v>
          </cell>
          <cell r="R96">
            <v>3</v>
          </cell>
          <cell r="S96" t="str">
            <v>NULL</v>
          </cell>
          <cell r="T96" t="str">
            <v>normal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  <cell r="N97" t="str">
            <v>アニマル</v>
          </cell>
          <cell r="O97" t="str">
            <v>god</v>
          </cell>
          <cell r="P97" t="str">
            <v>ゴッド</v>
          </cell>
          <cell r="Q97" t="str">
            <v>アタッカー</v>
          </cell>
          <cell r="R97">
            <v>3</v>
          </cell>
          <cell r="S97" t="str">
            <v>NULL</v>
          </cell>
          <cell r="T97" t="str">
            <v>normal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  <cell r="N98" t="str">
            <v>Unknown</v>
          </cell>
          <cell r="O98" t="str">
            <v>none</v>
          </cell>
          <cell r="P98" t="str">
            <v>種族なし</v>
          </cell>
          <cell r="Q98" t="str">
            <v>強化素材</v>
          </cell>
          <cell r="R98">
            <v>3</v>
          </cell>
          <cell r="S98" t="str">
            <v>NULL</v>
          </cell>
          <cell r="T98" t="str">
            <v>normal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  <cell r="N99" t="str">
            <v>Unknown</v>
          </cell>
          <cell r="O99" t="str">
            <v>none</v>
          </cell>
          <cell r="P99" t="str">
            <v>種族なし</v>
          </cell>
          <cell r="Q99" t="str">
            <v>強化素材</v>
          </cell>
          <cell r="R99">
            <v>3</v>
          </cell>
          <cell r="S99" t="str">
            <v>NULL</v>
          </cell>
          <cell r="T99" t="str">
            <v>normal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  <cell r="N100" t="str">
            <v>Unknown</v>
          </cell>
          <cell r="O100" t="str">
            <v>none</v>
          </cell>
          <cell r="P100" t="str">
            <v>種族なし</v>
          </cell>
          <cell r="Q100" t="str">
            <v>強化素材</v>
          </cell>
          <cell r="R100">
            <v>3</v>
          </cell>
          <cell r="S100" t="str">
            <v>NULL</v>
          </cell>
          <cell r="T100" t="str">
            <v>normal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  <cell r="N101" t="str">
            <v>Unknown</v>
          </cell>
          <cell r="O101" t="str">
            <v>none</v>
          </cell>
          <cell r="P101" t="str">
            <v>種族なし</v>
          </cell>
          <cell r="Q101" t="str">
            <v>強化素材</v>
          </cell>
          <cell r="R101">
            <v>3</v>
          </cell>
          <cell r="S101" t="str">
            <v>NULL</v>
          </cell>
          <cell r="T101" t="str">
            <v>normal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  <cell r="N102" t="str">
            <v>Unknown</v>
          </cell>
          <cell r="O102" t="str">
            <v>none</v>
          </cell>
          <cell r="P102" t="str">
            <v>種族なし</v>
          </cell>
          <cell r="Q102" t="str">
            <v>進化素材</v>
          </cell>
          <cell r="R102">
            <v>3</v>
          </cell>
          <cell r="S102" t="str">
            <v>NULL</v>
          </cell>
          <cell r="T102" t="str">
            <v>normal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  <cell r="N103" t="str">
            <v>Unknown</v>
          </cell>
          <cell r="O103" t="str">
            <v>none</v>
          </cell>
          <cell r="P103" t="str">
            <v>種族なし</v>
          </cell>
          <cell r="Q103" t="str">
            <v>進化素材</v>
          </cell>
          <cell r="R103">
            <v>3</v>
          </cell>
          <cell r="S103" t="str">
            <v>NULL</v>
          </cell>
          <cell r="T103" t="str">
            <v>normal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  <cell r="N104" t="str">
            <v>Unknown</v>
          </cell>
          <cell r="O104" t="str">
            <v>none</v>
          </cell>
          <cell r="P104" t="str">
            <v>種族なし</v>
          </cell>
          <cell r="Q104" t="str">
            <v>進化素材</v>
          </cell>
          <cell r="R104">
            <v>3</v>
          </cell>
          <cell r="S104" t="str">
            <v>NULL</v>
          </cell>
          <cell r="T104" t="str">
            <v>normal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  <cell r="N105" t="str">
            <v>Unknown</v>
          </cell>
          <cell r="O105" t="str">
            <v>none</v>
          </cell>
          <cell r="P105" t="str">
            <v>種族なし</v>
          </cell>
          <cell r="Q105" t="str">
            <v>進化素材</v>
          </cell>
          <cell r="R105">
            <v>3</v>
          </cell>
          <cell r="S105" t="str">
            <v>NULL</v>
          </cell>
          <cell r="T105" t="str">
            <v>normal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  <cell r="N106" t="str">
            <v>Unknown</v>
          </cell>
          <cell r="O106" t="str">
            <v>none</v>
          </cell>
          <cell r="P106" t="str">
            <v>種族なし</v>
          </cell>
          <cell r="Q106" t="str">
            <v>進化素材</v>
          </cell>
          <cell r="R106">
            <v>3</v>
          </cell>
          <cell r="S106" t="str">
            <v>NULL</v>
          </cell>
          <cell r="T106" t="str">
            <v>normal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  <cell r="N107" t="str">
            <v>Unknown</v>
          </cell>
          <cell r="O107" t="str">
            <v>none</v>
          </cell>
          <cell r="P107" t="str">
            <v>種族なし</v>
          </cell>
          <cell r="Q107" t="str">
            <v>進化素材</v>
          </cell>
          <cell r="R107">
            <v>3</v>
          </cell>
          <cell r="S107" t="str">
            <v>NULL</v>
          </cell>
          <cell r="T107" t="str">
            <v>normal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  <cell r="N108" t="str">
            <v>Unknown</v>
          </cell>
          <cell r="O108" t="str">
            <v>none</v>
          </cell>
          <cell r="P108" t="str">
            <v>種族なし</v>
          </cell>
          <cell r="Q108" t="str">
            <v>進化素材</v>
          </cell>
          <cell r="R108">
            <v>3</v>
          </cell>
          <cell r="S108" t="str">
            <v>NULL</v>
          </cell>
          <cell r="T108" t="str">
            <v>normal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  <cell r="N109" t="str">
            <v>Unknown</v>
          </cell>
          <cell r="O109" t="str">
            <v>none</v>
          </cell>
          <cell r="P109" t="str">
            <v>種族なし</v>
          </cell>
          <cell r="Q109" t="str">
            <v>進化素材</v>
          </cell>
          <cell r="R109">
            <v>3</v>
          </cell>
          <cell r="S109" t="str">
            <v>NULL</v>
          </cell>
          <cell r="T109" t="str">
            <v>normal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  <cell r="N110" t="str">
            <v>Unknown</v>
          </cell>
          <cell r="O110" t="str">
            <v>none</v>
          </cell>
          <cell r="P110" t="str">
            <v>種族なし</v>
          </cell>
          <cell r="Q110" t="str">
            <v>進化素材</v>
          </cell>
          <cell r="R110">
            <v>3</v>
          </cell>
          <cell r="S110" t="str">
            <v>NULL</v>
          </cell>
          <cell r="T110" t="str">
            <v>normal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  <cell r="N111" t="str">
            <v>Unknown</v>
          </cell>
          <cell r="O111" t="str">
            <v>none</v>
          </cell>
          <cell r="P111" t="str">
            <v>種族なし</v>
          </cell>
          <cell r="Q111" t="str">
            <v>進化素材</v>
          </cell>
          <cell r="R111">
            <v>3</v>
          </cell>
          <cell r="S111" t="str">
            <v>NULL</v>
          </cell>
          <cell r="T111" t="str">
            <v>normal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  <cell r="N112" t="str">
            <v>Unknown</v>
          </cell>
          <cell r="O112" t="str">
            <v>none</v>
          </cell>
          <cell r="P112" t="str">
            <v>種族なし</v>
          </cell>
          <cell r="Q112" t="str">
            <v>進化素材</v>
          </cell>
          <cell r="R112">
            <v>3</v>
          </cell>
          <cell r="S112" t="str">
            <v>NULL</v>
          </cell>
          <cell r="T112" t="str">
            <v>normal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  <cell r="N113" t="str">
            <v>Unknown</v>
          </cell>
          <cell r="O113" t="str">
            <v>none</v>
          </cell>
          <cell r="P113" t="str">
            <v>種族なし</v>
          </cell>
          <cell r="Q113" t="str">
            <v>進化素材</v>
          </cell>
          <cell r="R113">
            <v>3</v>
          </cell>
          <cell r="S113" t="str">
            <v>NULL</v>
          </cell>
          <cell r="T113" t="str">
            <v>normal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  <cell r="N114" t="str">
            <v>Unknown</v>
          </cell>
          <cell r="O114" t="str">
            <v>none</v>
          </cell>
          <cell r="P114" t="str">
            <v>種族なし</v>
          </cell>
          <cell r="Q114" t="str">
            <v>進化素材</v>
          </cell>
          <cell r="R114">
            <v>3</v>
          </cell>
          <cell r="S114" t="str">
            <v>NULL</v>
          </cell>
          <cell r="T114" t="str">
            <v>normal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  <cell r="N115" t="str">
            <v>Unknown</v>
          </cell>
          <cell r="O115" t="str">
            <v>none</v>
          </cell>
          <cell r="P115" t="str">
            <v>種族なし</v>
          </cell>
          <cell r="Q115" t="str">
            <v>進化素材</v>
          </cell>
          <cell r="R115">
            <v>3</v>
          </cell>
          <cell r="S115" t="str">
            <v>NULL</v>
          </cell>
          <cell r="T115" t="str">
            <v>normal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  <cell r="N116" t="str">
            <v>Unknown</v>
          </cell>
          <cell r="O116" t="str">
            <v>none</v>
          </cell>
          <cell r="P116" t="str">
            <v>種族なし</v>
          </cell>
          <cell r="Q116" t="str">
            <v>進化素材</v>
          </cell>
          <cell r="R116">
            <v>3</v>
          </cell>
          <cell r="S116" t="str">
            <v>NULL</v>
          </cell>
          <cell r="T116" t="str">
            <v>normal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  <cell r="N117" t="str">
            <v>Unknown</v>
          </cell>
          <cell r="O117" t="str">
            <v>none</v>
          </cell>
          <cell r="P117" t="str">
            <v>種族なし</v>
          </cell>
          <cell r="Q117" t="str">
            <v>進化素材</v>
          </cell>
          <cell r="R117">
            <v>3</v>
          </cell>
          <cell r="S117" t="str">
            <v>NULL</v>
          </cell>
          <cell r="T117" t="str">
            <v>normal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  <cell r="N118" t="str">
            <v>Unknown</v>
          </cell>
          <cell r="O118" t="str">
            <v>none</v>
          </cell>
          <cell r="P118" t="str">
            <v>種族なし</v>
          </cell>
          <cell r="Q118" t="str">
            <v>売却素材</v>
          </cell>
          <cell r="R118">
            <v>3</v>
          </cell>
          <cell r="S118" t="str">
            <v>NULL</v>
          </cell>
          <cell r="T118" t="str">
            <v>normal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  <cell r="N119" t="str">
            <v>Unknown</v>
          </cell>
          <cell r="O119" t="str">
            <v>none</v>
          </cell>
          <cell r="P119" t="str">
            <v>種族なし</v>
          </cell>
          <cell r="Q119" t="str">
            <v>売却素材</v>
          </cell>
          <cell r="R119">
            <v>3</v>
          </cell>
          <cell r="S119" t="str">
            <v>NULL</v>
          </cell>
          <cell r="T119" t="str">
            <v>normal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  <cell r="N120" t="str">
            <v>Unknown</v>
          </cell>
          <cell r="O120" t="str">
            <v>none</v>
          </cell>
          <cell r="P120" t="str">
            <v>種族なし</v>
          </cell>
          <cell r="Q120" t="str">
            <v>売却素材</v>
          </cell>
          <cell r="R120">
            <v>3</v>
          </cell>
          <cell r="S120" t="str">
            <v>NULL</v>
          </cell>
          <cell r="T120" t="str">
            <v>normal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  <cell r="N121" t="str">
            <v>Unknown</v>
          </cell>
          <cell r="O121" t="str">
            <v>none</v>
          </cell>
          <cell r="P121" t="str">
            <v>種族なし</v>
          </cell>
          <cell r="Q121" t="str">
            <v>売却素材</v>
          </cell>
          <cell r="R121">
            <v>3</v>
          </cell>
          <cell r="S121" t="str">
            <v>NULL</v>
          </cell>
          <cell r="T121" t="str">
            <v>normal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  <cell r="N122" t="str">
            <v>Unknown</v>
          </cell>
          <cell r="O122" t="str">
            <v>none</v>
          </cell>
          <cell r="P122" t="str">
            <v>種族なし</v>
          </cell>
          <cell r="Q122" t="str">
            <v>限界突破素材</v>
          </cell>
          <cell r="R122">
            <v>3</v>
          </cell>
          <cell r="S122" t="str">
            <v>NULL</v>
          </cell>
          <cell r="T122" t="str">
            <v>normal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  <cell r="N123" t="str">
            <v>Unknown</v>
          </cell>
          <cell r="O123" t="str">
            <v>none</v>
          </cell>
          <cell r="P123" t="str">
            <v>種族なし</v>
          </cell>
          <cell r="Q123" t="str">
            <v>限界突破素材</v>
          </cell>
          <cell r="R123">
            <v>3</v>
          </cell>
          <cell r="S123" t="str">
            <v>NULL</v>
          </cell>
          <cell r="T123" t="str">
            <v>normal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  <cell r="N124" t="str">
            <v>Unknown</v>
          </cell>
          <cell r="O124" t="str">
            <v>none</v>
          </cell>
          <cell r="P124" t="str">
            <v>種族なし</v>
          </cell>
          <cell r="Q124" t="str">
            <v>限界突破素材</v>
          </cell>
          <cell r="R124">
            <v>3</v>
          </cell>
          <cell r="S124" t="str">
            <v>NULL</v>
          </cell>
          <cell r="T124" t="str">
            <v>normal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  <cell r="N125" t="str">
            <v>Unknown</v>
          </cell>
          <cell r="O125" t="str">
            <v>none</v>
          </cell>
          <cell r="P125" t="str">
            <v>種族なし</v>
          </cell>
          <cell r="Q125" t="str">
            <v>ドロップビットエネミー</v>
          </cell>
          <cell r="R125">
            <v>3</v>
          </cell>
          <cell r="S125" t="str">
            <v>NULL</v>
          </cell>
          <cell r="T125" t="str">
            <v>normal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  <cell r="N126" t="str">
            <v>Unknown</v>
          </cell>
          <cell r="O126" t="str">
            <v>none</v>
          </cell>
          <cell r="P126" t="str">
            <v>種族なし</v>
          </cell>
          <cell r="Q126" t="str">
            <v>スキル進化素材</v>
          </cell>
          <cell r="R126">
            <v>3</v>
          </cell>
          <cell r="S126" t="str">
            <v>NULL</v>
          </cell>
          <cell r="T126" t="str">
            <v>normal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  <cell r="N127" t="str">
            <v>ヒューマン</v>
          </cell>
          <cell r="O127" t="str">
            <v>animal</v>
          </cell>
          <cell r="P127" t="str">
            <v>アニマル</v>
          </cell>
          <cell r="Q127" t="str">
            <v>バッファー</v>
          </cell>
          <cell r="R127">
            <v>3</v>
          </cell>
          <cell r="S127" t="str">
            <v>NULL</v>
          </cell>
          <cell r="T127" t="str">
            <v>normal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  <cell r="N128" t="str">
            <v>ヒューマン</v>
          </cell>
          <cell r="O128" t="str">
            <v>animal</v>
          </cell>
          <cell r="P128" t="str">
            <v>アニマル</v>
          </cell>
          <cell r="Q128" t="str">
            <v>バッファー</v>
          </cell>
          <cell r="R128">
            <v>3</v>
          </cell>
          <cell r="S128" t="str">
            <v>NULL</v>
          </cell>
          <cell r="T128" t="str">
            <v>normal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  <cell r="N129" t="str">
            <v>ヒューマン</v>
          </cell>
          <cell r="O129" t="str">
            <v>animal</v>
          </cell>
          <cell r="P129" t="str">
            <v>アニマル</v>
          </cell>
          <cell r="Q129" t="str">
            <v>バッファー</v>
          </cell>
          <cell r="R129">
            <v>3</v>
          </cell>
          <cell r="S129" t="str">
            <v>NULL</v>
          </cell>
          <cell r="T129" t="str">
            <v>normal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  <cell r="N130" t="str">
            <v>ヒューマン</v>
          </cell>
          <cell r="O130" t="str">
            <v>animal</v>
          </cell>
          <cell r="P130" t="str">
            <v>アニマル</v>
          </cell>
          <cell r="Q130" t="str">
            <v>バッファー</v>
          </cell>
          <cell r="R130">
            <v>3</v>
          </cell>
          <cell r="S130" t="str">
            <v>NULL</v>
          </cell>
          <cell r="T130" t="str">
            <v>normal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  <cell r="N131" t="str">
            <v>アニマル</v>
          </cell>
          <cell r="O131" t="str">
            <v>none</v>
          </cell>
          <cell r="P131" t="str">
            <v>種族なし</v>
          </cell>
          <cell r="Q131" t="str">
            <v>バッファー</v>
          </cell>
          <cell r="R131">
            <v>3</v>
          </cell>
          <cell r="S131" t="str">
            <v>NULL</v>
          </cell>
          <cell r="T131" t="str">
            <v>normal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  <cell r="N132" t="str">
            <v>アニマル</v>
          </cell>
          <cell r="O132" t="str">
            <v>none</v>
          </cell>
          <cell r="P132" t="str">
            <v>種族なし</v>
          </cell>
          <cell r="Q132" t="str">
            <v>バッファー</v>
          </cell>
          <cell r="R132">
            <v>3</v>
          </cell>
          <cell r="S132" t="str">
            <v>NULL</v>
          </cell>
          <cell r="T132" t="str">
            <v>normal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  <cell r="N133" t="str">
            <v>ヒューマン</v>
          </cell>
          <cell r="O133" t="str">
            <v>animal</v>
          </cell>
          <cell r="P133" t="str">
            <v>アニマル</v>
          </cell>
          <cell r="Q133" t="str">
            <v>バッファー</v>
          </cell>
          <cell r="R133">
            <v>3</v>
          </cell>
          <cell r="S133" t="str">
            <v>NULL</v>
          </cell>
          <cell r="T133" t="str">
            <v>normal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  <cell r="N134" t="str">
            <v>ヒューマン</v>
          </cell>
          <cell r="O134" t="str">
            <v>animal</v>
          </cell>
          <cell r="P134" t="str">
            <v>アニマル</v>
          </cell>
          <cell r="Q134" t="str">
            <v>バッファー</v>
          </cell>
          <cell r="R134">
            <v>3</v>
          </cell>
          <cell r="S134" t="str">
            <v>NULL</v>
          </cell>
          <cell r="T134" t="str">
            <v>normal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  <cell r="N135" t="str">
            <v>ヒューマン</v>
          </cell>
          <cell r="O135" t="str">
            <v>none</v>
          </cell>
          <cell r="P135" t="str">
            <v>種族なし</v>
          </cell>
          <cell r="Q135" t="str">
            <v>パネルコンバーター</v>
          </cell>
          <cell r="R135">
            <v>3</v>
          </cell>
          <cell r="S135" t="str">
            <v>NULL</v>
          </cell>
          <cell r="T135" t="str">
            <v>normal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  <cell r="N136" t="str">
            <v>ヒューマン</v>
          </cell>
          <cell r="O136" t="str">
            <v>none</v>
          </cell>
          <cell r="P136" t="str">
            <v>種族なし</v>
          </cell>
          <cell r="Q136" t="str">
            <v>パネルコンバーター</v>
          </cell>
          <cell r="R136">
            <v>3</v>
          </cell>
          <cell r="S136" t="str">
            <v>NULL</v>
          </cell>
          <cell r="T136" t="str">
            <v>normal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  <cell r="N137" t="str">
            <v>ヒューマン</v>
          </cell>
          <cell r="O137" t="str">
            <v>none</v>
          </cell>
          <cell r="P137" t="str">
            <v>種族なし</v>
          </cell>
          <cell r="Q137" t="str">
            <v>パネルコンバーター</v>
          </cell>
          <cell r="R137">
            <v>3</v>
          </cell>
          <cell r="S137" t="str">
            <v>NULL</v>
          </cell>
          <cell r="T137" t="str">
            <v>normal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  <cell r="N138" t="str">
            <v>ヒューマン</v>
          </cell>
          <cell r="O138" t="str">
            <v>none</v>
          </cell>
          <cell r="P138" t="str">
            <v>種族なし</v>
          </cell>
          <cell r="Q138" t="str">
            <v>パネルコンバーター</v>
          </cell>
          <cell r="R138">
            <v>3</v>
          </cell>
          <cell r="S138" t="str">
            <v>NULL</v>
          </cell>
          <cell r="T138" t="str">
            <v>normal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  <cell r="N139" t="str">
            <v>ヒューマン</v>
          </cell>
          <cell r="O139" t="str">
            <v>none</v>
          </cell>
          <cell r="P139" t="str">
            <v>種族なし</v>
          </cell>
          <cell r="Q139" t="str">
            <v>パネルコンバーター</v>
          </cell>
          <cell r="R139">
            <v>3</v>
          </cell>
          <cell r="S139" t="str">
            <v>NULL</v>
          </cell>
          <cell r="T139" t="str">
            <v>normal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  <cell r="N140" t="str">
            <v>ヒューマン</v>
          </cell>
          <cell r="O140" t="str">
            <v>none</v>
          </cell>
          <cell r="P140" t="str">
            <v>種族なし</v>
          </cell>
          <cell r="Q140" t="str">
            <v>パネルコンバーター</v>
          </cell>
          <cell r="R140">
            <v>3</v>
          </cell>
          <cell r="S140" t="str">
            <v>NULL</v>
          </cell>
          <cell r="T140" t="str">
            <v>normal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  <cell r="N141" t="str">
            <v>アニマル</v>
          </cell>
          <cell r="O141" t="str">
            <v>none</v>
          </cell>
          <cell r="P141" t="str">
            <v>種族なし</v>
          </cell>
          <cell r="Q141" t="str">
            <v>パネルコンバーター</v>
          </cell>
          <cell r="R141">
            <v>3</v>
          </cell>
          <cell r="S141" t="str">
            <v>NULL</v>
          </cell>
          <cell r="T141" t="str">
            <v>normal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  <cell r="N142" t="str">
            <v>アニマル</v>
          </cell>
          <cell r="O142" t="str">
            <v>none</v>
          </cell>
          <cell r="P142" t="str">
            <v>種族なし</v>
          </cell>
          <cell r="Q142" t="str">
            <v>パネルコンバーター</v>
          </cell>
          <cell r="R142">
            <v>3</v>
          </cell>
          <cell r="S142" t="str">
            <v>NULL</v>
          </cell>
          <cell r="T142" t="str">
            <v>normal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  <cell r="N143" t="str">
            <v>ヒューマン</v>
          </cell>
          <cell r="O143" t="str">
            <v>none</v>
          </cell>
          <cell r="P143" t="str">
            <v>種族なし</v>
          </cell>
          <cell r="Q143" t="str">
            <v>バッファー</v>
          </cell>
          <cell r="R143">
            <v>3</v>
          </cell>
          <cell r="S143" t="str">
            <v>NULL</v>
          </cell>
          <cell r="T143" t="str">
            <v>normal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  <cell r="N144" t="str">
            <v>ヒューマン</v>
          </cell>
          <cell r="O144" t="str">
            <v>none</v>
          </cell>
          <cell r="P144" t="str">
            <v>種族なし</v>
          </cell>
          <cell r="Q144" t="str">
            <v>バッファー</v>
          </cell>
          <cell r="R144">
            <v>3</v>
          </cell>
          <cell r="S144" t="str">
            <v>NULL</v>
          </cell>
          <cell r="T144" t="str">
            <v>normal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  <cell r="N145" t="str">
            <v>ヒューマン</v>
          </cell>
          <cell r="O145" t="str">
            <v>none</v>
          </cell>
          <cell r="P145" t="str">
            <v>種族なし</v>
          </cell>
          <cell r="Q145" t="str">
            <v>バッファー</v>
          </cell>
          <cell r="R145">
            <v>3</v>
          </cell>
          <cell r="S145" t="str">
            <v>NULL</v>
          </cell>
          <cell r="T145" t="str">
            <v>normal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  <cell r="N146" t="str">
            <v>ヒューマン</v>
          </cell>
          <cell r="O146" t="str">
            <v>none</v>
          </cell>
          <cell r="P146" t="str">
            <v>種族なし</v>
          </cell>
          <cell r="Q146" t="str">
            <v>バッファー</v>
          </cell>
          <cell r="R146">
            <v>3</v>
          </cell>
          <cell r="S146" t="str">
            <v>NULL</v>
          </cell>
          <cell r="T146" t="str">
            <v>normal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  <cell r="N147" t="str">
            <v>ヒューマン</v>
          </cell>
          <cell r="O147" t="str">
            <v>none</v>
          </cell>
          <cell r="P147" t="str">
            <v>種族なし</v>
          </cell>
          <cell r="Q147" t="str">
            <v>デバッファー</v>
          </cell>
          <cell r="R147">
            <v>3</v>
          </cell>
          <cell r="S147" t="str">
            <v>NULL</v>
          </cell>
          <cell r="T147" t="str">
            <v>normal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  <cell r="N148" t="str">
            <v>ヒューマン</v>
          </cell>
          <cell r="O148" t="str">
            <v>none</v>
          </cell>
          <cell r="P148" t="str">
            <v>種族なし</v>
          </cell>
          <cell r="Q148" t="str">
            <v>デバッファー</v>
          </cell>
          <cell r="R148">
            <v>3</v>
          </cell>
          <cell r="S148" t="str">
            <v>NULL</v>
          </cell>
          <cell r="T148" t="str">
            <v>normal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  <cell r="N149" t="str">
            <v>ヒューマン</v>
          </cell>
          <cell r="O149" t="str">
            <v>none</v>
          </cell>
          <cell r="P149" t="str">
            <v>種族なし</v>
          </cell>
          <cell r="Q149" t="str">
            <v>パネルコンバーター</v>
          </cell>
          <cell r="R149">
            <v>3</v>
          </cell>
          <cell r="S149" t="str">
            <v>NULL</v>
          </cell>
          <cell r="T149" t="str">
            <v>normal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  <cell r="N150" t="str">
            <v>ヒューマン</v>
          </cell>
          <cell r="O150" t="str">
            <v>none</v>
          </cell>
          <cell r="P150" t="str">
            <v>種族なし</v>
          </cell>
          <cell r="Q150" t="str">
            <v>パネルコンバーター</v>
          </cell>
          <cell r="R150">
            <v>3</v>
          </cell>
          <cell r="S150" t="str">
            <v>NULL</v>
          </cell>
          <cell r="T150" t="str">
            <v>normal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  <cell r="N151" t="str">
            <v>ヒューマン</v>
          </cell>
          <cell r="O151" t="str">
            <v>none</v>
          </cell>
          <cell r="P151" t="str">
            <v>種族なし</v>
          </cell>
          <cell r="Q151" t="str">
            <v>デバッファー</v>
          </cell>
          <cell r="R151">
            <v>3</v>
          </cell>
          <cell r="S151" t="str">
            <v>NULL</v>
          </cell>
          <cell r="T151" t="str">
            <v>normal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  <cell r="N152" t="str">
            <v>ヒューマン</v>
          </cell>
          <cell r="O152" t="str">
            <v>none</v>
          </cell>
          <cell r="P152" t="str">
            <v>種族なし</v>
          </cell>
          <cell r="Q152" t="str">
            <v>デバッファー</v>
          </cell>
          <cell r="R152">
            <v>3</v>
          </cell>
          <cell r="S152" t="str">
            <v>NULL</v>
          </cell>
          <cell r="T152" t="str">
            <v>normal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  <cell r="N153" t="str">
            <v>ヒューマン</v>
          </cell>
          <cell r="O153" t="str">
            <v>none</v>
          </cell>
          <cell r="P153" t="str">
            <v>種族なし</v>
          </cell>
          <cell r="Q153" t="str">
            <v>ヒーラー</v>
          </cell>
          <cell r="R153">
            <v>3</v>
          </cell>
          <cell r="S153" t="str">
            <v>NULL</v>
          </cell>
          <cell r="T153" t="str">
            <v>normal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  <cell r="N154" t="str">
            <v>ヒューマン</v>
          </cell>
          <cell r="O154" t="str">
            <v>none</v>
          </cell>
          <cell r="P154" t="str">
            <v>種族なし</v>
          </cell>
          <cell r="Q154" t="str">
            <v>ヒーラー</v>
          </cell>
          <cell r="R154">
            <v>3</v>
          </cell>
          <cell r="S154" t="str">
            <v>NULL</v>
          </cell>
          <cell r="T154" t="str">
            <v>normal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  <cell r="N155" t="str">
            <v>ヒューマン</v>
          </cell>
          <cell r="O155" t="str">
            <v>none</v>
          </cell>
          <cell r="P155" t="str">
            <v>種族なし</v>
          </cell>
          <cell r="Q155" t="str">
            <v>ヒーラー</v>
          </cell>
          <cell r="R155">
            <v>3</v>
          </cell>
          <cell r="S155" t="str">
            <v>NULL</v>
          </cell>
          <cell r="T155" t="str">
            <v>normal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  <cell r="N156" t="str">
            <v>ヒューマン</v>
          </cell>
          <cell r="O156" t="str">
            <v>none</v>
          </cell>
          <cell r="P156" t="str">
            <v>種族なし</v>
          </cell>
          <cell r="Q156" t="str">
            <v>ヒーラー</v>
          </cell>
          <cell r="R156">
            <v>3</v>
          </cell>
          <cell r="S156" t="str">
            <v>NULL</v>
          </cell>
          <cell r="T156" t="str">
            <v>normal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  <cell r="N157" t="str">
            <v>ヒューマン</v>
          </cell>
          <cell r="O157" t="str">
            <v>none</v>
          </cell>
          <cell r="P157" t="str">
            <v>種族なし</v>
          </cell>
          <cell r="Q157" t="str">
            <v>デバッファー</v>
          </cell>
          <cell r="R157">
            <v>3</v>
          </cell>
          <cell r="S157" t="str">
            <v>NULL</v>
          </cell>
          <cell r="T157" t="str">
            <v>normal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  <cell r="N158" t="str">
            <v>ヒューマン</v>
          </cell>
          <cell r="O158" t="str">
            <v>none</v>
          </cell>
          <cell r="P158" t="str">
            <v>種族なし</v>
          </cell>
          <cell r="Q158" t="str">
            <v>デバッファー</v>
          </cell>
          <cell r="R158">
            <v>3</v>
          </cell>
          <cell r="S158" t="str">
            <v>NULL</v>
          </cell>
          <cell r="T158" t="str">
            <v>normal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  <cell r="N159" t="str">
            <v>ヒューマン</v>
          </cell>
          <cell r="O159" t="str">
            <v>none</v>
          </cell>
          <cell r="P159" t="str">
            <v>種族なし</v>
          </cell>
          <cell r="Q159" t="str">
            <v>アタッカー</v>
          </cell>
          <cell r="R159">
            <v>3</v>
          </cell>
          <cell r="S159" t="str">
            <v>NULL</v>
          </cell>
          <cell r="T159" t="str">
            <v>normal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  <cell r="N160" t="str">
            <v>ヒューマン</v>
          </cell>
          <cell r="O160" t="str">
            <v>none</v>
          </cell>
          <cell r="P160" t="str">
            <v>種族なし</v>
          </cell>
          <cell r="Q160" t="str">
            <v>アタッカー</v>
          </cell>
          <cell r="R160">
            <v>3</v>
          </cell>
          <cell r="S160" t="str">
            <v>NULL</v>
          </cell>
          <cell r="T160" t="str">
            <v>normal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  <cell r="N161" t="str">
            <v>ヒューマン</v>
          </cell>
          <cell r="O161" t="str">
            <v>none</v>
          </cell>
          <cell r="P161" t="str">
            <v>種族なし</v>
          </cell>
          <cell r="Q161" t="str">
            <v>バッファー</v>
          </cell>
          <cell r="R161">
            <v>3</v>
          </cell>
          <cell r="S161" t="str">
            <v>NULL</v>
          </cell>
          <cell r="T161" t="str">
            <v>normal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  <cell r="N162" t="str">
            <v>ヒューマン</v>
          </cell>
          <cell r="O162" t="str">
            <v>none</v>
          </cell>
          <cell r="P162" t="str">
            <v>種族なし</v>
          </cell>
          <cell r="Q162" t="str">
            <v>バッファー</v>
          </cell>
          <cell r="R162">
            <v>3</v>
          </cell>
          <cell r="S162" t="str">
            <v>NULL</v>
          </cell>
          <cell r="T162" t="str">
            <v>normal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  <cell r="N163" t="str">
            <v>ヒューマン</v>
          </cell>
          <cell r="O163" t="str">
            <v>none</v>
          </cell>
          <cell r="P163" t="str">
            <v>種族なし</v>
          </cell>
          <cell r="Q163" t="str">
            <v>デバッファー</v>
          </cell>
          <cell r="R163">
            <v>3</v>
          </cell>
          <cell r="S163" t="str">
            <v>NULL</v>
          </cell>
          <cell r="T163" t="str">
            <v>normal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  <cell r="N164" t="str">
            <v>ヒューマン</v>
          </cell>
          <cell r="O164" t="str">
            <v>none</v>
          </cell>
          <cell r="P164" t="str">
            <v>種族なし</v>
          </cell>
          <cell r="Q164" t="str">
            <v>デバッファー</v>
          </cell>
          <cell r="R164">
            <v>3</v>
          </cell>
          <cell r="S164" t="str">
            <v>NULL</v>
          </cell>
          <cell r="T164" t="str">
            <v>normal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  <cell r="N165" t="str">
            <v>ヒューマン</v>
          </cell>
          <cell r="O165" t="str">
            <v>unknown</v>
          </cell>
          <cell r="P165" t="str">
            <v>Unknown</v>
          </cell>
          <cell r="Q165" t="str">
            <v>デバッファー</v>
          </cell>
          <cell r="R165">
            <v>3</v>
          </cell>
          <cell r="S165" t="str">
            <v>NULL</v>
          </cell>
          <cell r="T165" t="str">
            <v>normal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  <cell r="N166" t="str">
            <v>ヒューマン</v>
          </cell>
          <cell r="O166" t="str">
            <v>unknown</v>
          </cell>
          <cell r="P166" t="str">
            <v>Unknown</v>
          </cell>
          <cell r="Q166" t="str">
            <v>デバッファー</v>
          </cell>
          <cell r="R166">
            <v>3</v>
          </cell>
          <cell r="S166" t="str">
            <v>NULL</v>
          </cell>
          <cell r="T166" t="str">
            <v>normal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  <cell r="N167" t="str">
            <v>ゴッド</v>
          </cell>
          <cell r="O167" t="str">
            <v>none</v>
          </cell>
          <cell r="P167" t="str">
            <v>種族なし</v>
          </cell>
          <cell r="Q167" t="str">
            <v>アタッカー</v>
          </cell>
          <cell r="R167">
            <v>3</v>
          </cell>
          <cell r="S167" t="str">
            <v>NULL</v>
          </cell>
          <cell r="T167" t="str">
            <v>normal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  <cell r="N168" t="str">
            <v>ゴッド</v>
          </cell>
          <cell r="O168" t="str">
            <v>none</v>
          </cell>
          <cell r="P168" t="str">
            <v>種族なし</v>
          </cell>
          <cell r="Q168" t="str">
            <v>アタッカー</v>
          </cell>
          <cell r="R168">
            <v>3</v>
          </cell>
          <cell r="S168" t="str">
            <v>NULL</v>
          </cell>
          <cell r="T168" t="str">
            <v>normal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  <cell r="N169" t="str">
            <v>ゴッド</v>
          </cell>
          <cell r="O169" t="str">
            <v>none</v>
          </cell>
          <cell r="P169" t="str">
            <v>種族なし</v>
          </cell>
          <cell r="Q169" t="str">
            <v>アタッカー</v>
          </cell>
          <cell r="R169">
            <v>3</v>
          </cell>
          <cell r="S169" t="str">
            <v>NULL</v>
          </cell>
          <cell r="T169" t="str">
            <v>normal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  <cell r="N170" t="str">
            <v>ゴッド</v>
          </cell>
          <cell r="O170" t="str">
            <v>none</v>
          </cell>
          <cell r="P170" t="str">
            <v>種族なし</v>
          </cell>
          <cell r="Q170" t="str">
            <v>アタッカー</v>
          </cell>
          <cell r="R170">
            <v>3</v>
          </cell>
          <cell r="S170" t="str">
            <v>NULL</v>
          </cell>
          <cell r="T170" t="str">
            <v>normal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  <cell r="N171" t="str">
            <v>ゴッド</v>
          </cell>
          <cell r="O171" t="str">
            <v>none</v>
          </cell>
          <cell r="P171" t="str">
            <v>種族なし</v>
          </cell>
          <cell r="Q171" t="str">
            <v>アタッカー</v>
          </cell>
          <cell r="R171">
            <v>3</v>
          </cell>
          <cell r="S171" t="str">
            <v>NULL</v>
          </cell>
          <cell r="T171" t="str">
            <v>normal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  <cell r="N172" t="str">
            <v>ゴッド</v>
          </cell>
          <cell r="O172" t="str">
            <v>none</v>
          </cell>
          <cell r="P172" t="str">
            <v>種族なし</v>
          </cell>
          <cell r="Q172" t="str">
            <v>アタッカー</v>
          </cell>
          <cell r="R172">
            <v>3</v>
          </cell>
          <cell r="S172" t="str">
            <v>NULL</v>
          </cell>
          <cell r="T172" t="str">
            <v>normal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  <cell r="N173" t="str">
            <v>ゴッド</v>
          </cell>
          <cell r="O173" t="str">
            <v>none</v>
          </cell>
          <cell r="P173" t="str">
            <v>種族なし</v>
          </cell>
          <cell r="Q173" t="str">
            <v>アタッカー</v>
          </cell>
          <cell r="R173">
            <v>3</v>
          </cell>
          <cell r="S173" t="str">
            <v>NULL</v>
          </cell>
          <cell r="T173" t="str">
            <v>normal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  <cell r="N174" t="str">
            <v>ゴッド</v>
          </cell>
          <cell r="O174" t="str">
            <v>none</v>
          </cell>
          <cell r="P174" t="str">
            <v>種族なし</v>
          </cell>
          <cell r="Q174" t="str">
            <v>アタッカー</v>
          </cell>
          <cell r="R174">
            <v>3</v>
          </cell>
          <cell r="S174" t="str">
            <v>NULL</v>
          </cell>
          <cell r="T174" t="str">
            <v>normal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  <cell r="N175" t="str">
            <v>ゴッド</v>
          </cell>
          <cell r="O175" t="str">
            <v>none</v>
          </cell>
          <cell r="P175" t="str">
            <v>種族なし</v>
          </cell>
          <cell r="Q175" t="str">
            <v>アタッカー</v>
          </cell>
          <cell r="R175">
            <v>3</v>
          </cell>
          <cell r="S175" t="str">
            <v>NULL</v>
          </cell>
          <cell r="T175" t="str">
            <v>normal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  <cell r="N176" t="str">
            <v>ゴッド</v>
          </cell>
          <cell r="O176" t="str">
            <v>none</v>
          </cell>
          <cell r="P176" t="str">
            <v>種族なし</v>
          </cell>
          <cell r="Q176" t="str">
            <v>アタッカー</v>
          </cell>
          <cell r="R176">
            <v>3</v>
          </cell>
          <cell r="S176" t="str">
            <v>NULL</v>
          </cell>
          <cell r="T176" t="str">
            <v>normal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  <cell r="N177" t="str">
            <v>ゴッド</v>
          </cell>
          <cell r="O177" t="str">
            <v>none</v>
          </cell>
          <cell r="P177" t="str">
            <v>種族なし</v>
          </cell>
          <cell r="Q177" t="str">
            <v>アタッカー</v>
          </cell>
          <cell r="R177">
            <v>3</v>
          </cell>
          <cell r="S177" t="str">
            <v>NULL</v>
          </cell>
          <cell r="T177" t="str">
            <v>normal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  <cell r="N178" t="str">
            <v>ゴッド</v>
          </cell>
          <cell r="O178" t="str">
            <v>none</v>
          </cell>
          <cell r="P178" t="str">
            <v>種族なし</v>
          </cell>
          <cell r="Q178" t="str">
            <v>アタッカー</v>
          </cell>
          <cell r="R178">
            <v>3</v>
          </cell>
          <cell r="S178" t="str">
            <v>NULL</v>
          </cell>
          <cell r="T178" t="str">
            <v>normal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  <cell r="N179" t="str">
            <v>アニマル</v>
          </cell>
          <cell r="O179" t="str">
            <v>none</v>
          </cell>
          <cell r="P179" t="str">
            <v>種族なし</v>
          </cell>
          <cell r="Q179" t="str">
            <v>バッファー</v>
          </cell>
          <cell r="R179">
            <v>3</v>
          </cell>
          <cell r="S179" t="str">
            <v>NULL</v>
          </cell>
          <cell r="T179" t="str">
            <v>normal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  <cell r="N180" t="str">
            <v>アニマル</v>
          </cell>
          <cell r="O180" t="str">
            <v>none</v>
          </cell>
          <cell r="P180" t="str">
            <v>種族なし</v>
          </cell>
          <cell r="Q180" t="str">
            <v>バッファー</v>
          </cell>
          <cell r="R180">
            <v>3</v>
          </cell>
          <cell r="S180" t="str">
            <v>NULL</v>
          </cell>
          <cell r="T180" t="str">
            <v>normal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  <cell r="N181" t="str">
            <v>アニマル</v>
          </cell>
          <cell r="O181" t="str">
            <v>none</v>
          </cell>
          <cell r="P181" t="str">
            <v>種族なし</v>
          </cell>
          <cell r="Q181" t="str">
            <v>バッファー</v>
          </cell>
          <cell r="R181">
            <v>3</v>
          </cell>
          <cell r="S181" t="str">
            <v>NULL</v>
          </cell>
          <cell r="T181" t="str">
            <v>normal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  <cell r="N182" t="str">
            <v>アニマル</v>
          </cell>
          <cell r="O182" t="str">
            <v>none</v>
          </cell>
          <cell r="P182" t="str">
            <v>種族なし</v>
          </cell>
          <cell r="Q182" t="str">
            <v>バッファー</v>
          </cell>
          <cell r="R182">
            <v>3</v>
          </cell>
          <cell r="S182" t="str">
            <v>NULL</v>
          </cell>
          <cell r="T182" t="str">
            <v>normal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  <cell r="N183" t="str">
            <v>アニマル</v>
          </cell>
          <cell r="O183" t="str">
            <v>none</v>
          </cell>
          <cell r="P183" t="str">
            <v>種族なし</v>
          </cell>
          <cell r="Q183" t="str">
            <v>バッファー</v>
          </cell>
          <cell r="R183">
            <v>3</v>
          </cell>
          <cell r="S183" t="str">
            <v>NULL</v>
          </cell>
          <cell r="T183" t="str">
            <v>normal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  <cell r="N184" t="str">
            <v>アニマル</v>
          </cell>
          <cell r="O184" t="str">
            <v>none</v>
          </cell>
          <cell r="P184" t="str">
            <v>種族なし</v>
          </cell>
          <cell r="Q184" t="str">
            <v>バッファー</v>
          </cell>
          <cell r="R184">
            <v>3</v>
          </cell>
          <cell r="S184" t="str">
            <v>NULL</v>
          </cell>
          <cell r="T184" t="str">
            <v>normal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  <cell r="N185" t="str">
            <v>アニマル</v>
          </cell>
          <cell r="O185" t="str">
            <v>none</v>
          </cell>
          <cell r="P185" t="str">
            <v>種族なし</v>
          </cell>
          <cell r="Q185" t="str">
            <v>バッファー</v>
          </cell>
          <cell r="R185">
            <v>3</v>
          </cell>
          <cell r="S185" t="str">
            <v>NULL</v>
          </cell>
          <cell r="T185" t="str">
            <v>normal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  <cell r="N186" t="str">
            <v>アニマル</v>
          </cell>
          <cell r="O186" t="str">
            <v>none</v>
          </cell>
          <cell r="P186" t="str">
            <v>種族なし</v>
          </cell>
          <cell r="Q186" t="str">
            <v>バッファー</v>
          </cell>
          <cell r="R186">
            <v>3</v>
          </cell>
          <cell r="S186" t="str">
            <v>NULL</v>
          </cell>
          <cell r="T186" t="str">
            <v>normal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  <cell r="N187" t="str">
            <v>アニマル</v>
          </cell>
          <cell r="O187" t="str">
            <v>none</v>
          </cell>
          <cell r="P187" t="str">
            <v>種族なし</v>
          </cell>
          <cell r="Q187" t="str">
            <v>バッファー</v>
          </cell>
          <cell r="R187">
            <v>3</v>
          </cell>
          <cell r="S187" t="str">
            <v>NULL</v>
          </cell>
          <cell r="T187" t="str">
            <v>normal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  <cell r="N188" t="str">
            <v>アニマル</v>
          </cell>
          <cell r="O188" t="str">
            <v>none</v>
          </cell>
          <cell r="P188" t="str">
            <v>種族なし</v>
          </cell>
          <cell r="Q188" t="str">
            <v>バッファー</v>
          </cell>
          <cell r="R188">
            <v>3</v>
          </cell>
          <cell r="S188" t="str">
            <v>NULL</v>
          </cell>
          <cell r="T188" t="str">
            <v>normal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  <cell r="N189" t="str">
            <v>アニマル</v>
          </cell>
          <cell r="O189" t="str">
            <v>none</v>
          </cell>
          <cell r="P189" t="str">
            <v>種族なし</v>
          </cell>
          <cell r="Q189" t="str">
            <v>バッファー</v>
          </cell>
          <cell r="R189">
            <v>3</v>
          </cell>
          <cell r="S189" t="str">
            <v>NULL</v>
          </cell>
          <cell r="T189" t="str">
            <v>normal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  <cell r="N190" t="str">
            <v>アニマル</v>
          </cell>
          <cell r="O190" t="str">
            <v>none</v>
          </cell>
          <cell r="P190" t="str">
            <v>種族なし</v>
          </cell>
          <cell r="Q190" t="str">
            <v>バッファー</v>
          </cell>
          <cell r="R190">
            <v>3</v>
          </cell>
          <cell r="S190" t="str">
            <v>NULL</v>
          </cell>
          <cell r="T190" t="str">
            <v>normal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  <cell r="N191" t="str">
            <v>ヒューマン</v>
          </cell>
          <cell r="O191" t="str">
            <v>none</v>
          </cell>
          <cell r="P191" t="str">
            <v>種族なし</v>
          </cell>
          <cell r="Q191" t="str">
            <v>バッファー</v>
          </cell>
          <cell r="R191">
            <v>3</v>
          </cell>
          <cell r="S191" t="str">
            <v>NULL</v>
          </cell>
          <cell r="T191" t="str">
            <v>normal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  <cell r="N192" t="str">
            <v>ヒューマン</v>
          </cell>
          <cell r="O192" t="str">
            <v>none</v>
          </cell>
          <cell r="P192" t="str">
            <v>種族なし</v>
          </cell>
          <cell r="Q192" t="str">
            <v>バッファー</v>
          </cell>
          <cell r="R192">
            <v>3</v>
          </cell>
          <cell r="S192" t="str">
            <v>NULL</v>
          </cell>
          <cell r="T192" t="str">
            <v>normal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  <cell r="N193" t="str">
            <v>ヒューマン</v>
          </cell>
          <cell r="O193" t="str">
            <v>none</v>
          </cell>
          <cell r="P193" t="str">
            <v>種族なし</v>
          </cell>
          <cell r="Q193" t="str">
            <v>バッファー</v>
          </cell>
          <cell r="R193">
            <v>3</v>
          </cell>
          <cell r="S193" t="str">
            <v>NULL</v>
          </cell>
          <cell r="T193" t="str">
            <v>normal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  <cell r="N194" t="str">
            <v>ヒューマン</v>
          </cell>
          <cell r="O194" t="str">
            <v>none</v>
          </cell>
          <cell r="P194" t="str">
            <v>種族なし</v>
          </cell>
          <cell r="Q194" t="str">
            <v>バッファー</v>
          </cell>
          <cell r="R194">
            <v>3</v>
          </cell>
          <cell r="S194" t="str">
            <v>NULL</v>
          </cell>
          <cell r="T194" t="str">
            <v>normal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  <cell r="N195" t="str">
            <v>ヒューマン</v>
          </cell>
          <cell r="O195" t="str">
            <v>none</v>
          </cell>
          <cell r="P195" t="str">
            <v>種族なし</v>
          </cell>
          <cell r="Q195" t="str">
            <v>バッファー</v>
          </cell>
          <cell r="R195">
            <v>3</v>
          </cell>
          <cell r="S195" t="str">
            <v>NULL</v>
          </cell>
          <cell r="T195" t="str">
            <v>normal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  <cell r="N196" t="str">
            <v>ヒューマン</v>
          </cell>
          <cell r="O196" t="str">
            <v>none</v>
          </cell>
          <cell r="P196" t="str">
            <v>種族なし</v>
          </cell>
          <cell r="Q196" t="str">
            <v>バッファー</v>
          </cell>
          <cell r="R196">
            <v>3</v>
          </cell>
          <cell r="S196" t="str">
            <v>NULL</v>
          </cell>
          <cell r="T196" t="str">
            <v>normal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  <cell r="N197" t="str">
            <v>ヒューマン</v>
          </cell>
          <cell r="O197" t="str">
            <v>none</v>
          </cell>
          <cell r="P197" t="str">
            <v>種族なし</v>
          </cell>
          <cell r="Q197" t="str">
            <v>バッファー</v>
          </cell>
          <cell r="R197">
            <v>3</v>
          </cell>
          <cell r="S197" t="str">
            <v>NULL</v>
          </cell>
          <cell r="T197" t="str">
            <v>normal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  <cell r="N198" t="str">
            <v>ヒューマン</v>
          </cell>
          <cell r="O198" t="str">
            <v>none</v>
          </cell>
          <cell r="P198" t="str">
            <v>種族なし</v>
          </cell>
          <cell r="Q198" t="str">
            <v>バッファー</v>
          </cell>
          <cell r="R198">
            <v>3</v>
          </cell>
          <cell r="S198" t="str">
            <v>NULL</v>
          </cell>
          <cell r="T198" t="str">
            <v>normal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  <cell r="N199" t="str">
            <v>ヒューマン</v>
          </cell>
          <cell r="O199" t="str">
            <v>none</v>
          </cell>
          <cell r="P199" t="str">
            <v>種族なし</v>
          </cell>
          <cell r="Q199" t="str">
            <v>バッファー</v>
          </cell>
          <cell r="R199">
            <v>3</v>
          </cell>
          <cell r="S199" t="str">
            <v>NULL</v>
          </cell>
          <cell r="T199" t="str">
            <v>normal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  <cell r="N200" t="str">
            <v>ヒューマン</v>
          </cell>
          <cell r="O200" t="str">
            <v>none</v>
          </cell>
          <cell r="P200" t="str">
            <v>種族なし</v>
          </cell>
          <cell r="Q200" t="str">
            <v>バッファー</v>
          </cell>
          <cell r="R200">
            <v>3</v>
          </cell>
          <cell r="S200" t="str">
            <v>NULL</v>
          </cell>
          <cell r="T200" t="str">
            <v>normal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  <cell r="N201" t="str">
            <v>ヒューマン</v>
          </cell>
          <cell r="O201" t="str">
            <v>none</v>
          </cell>
          <cell r="P201" t="str">
            <v>種族なし</v>
          </cell>
          <cell r="Q201" t="str">
            <v>バッファー</v>
          </cell>
          <cell r="R201">
            <v>3</v>
          </cell>
          <cell r="S201" t="str">
            <v>NULL</v>
          </cell>
          <cell r="T201" t="str">
            <v>normal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  <cell r="N202" t="str">
            <v>ヒューマン</v>
          </cell>
          <cell r="O202" t="str">
            <v>none</v>
          </cell>
          <cell r="P202" t="str">
            <v>種族なし</v>
          </cell>
          <cell r="Q202" t="str">
            <v>バッファー</v>
          </cell>
          <cell r="R202">
            <v>3</v>
          </cell>
          <cell r="S202" t="str">
            <v>NULL</v>
          </cell>
          <cell r="T202" t="str">
            <v>normal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  <cell r="N203" t="str">
            <v>ゴッド</v>
          </cell>
          <cell r="O203" t="str">
            <v>none</v>
          </cell>
          <cell r="P203" t="str">
            <v>種族なし</v>
          </cell>
          <cell r="Q203" t="str">
            <v>アタッカー</v>
          </cell>
          <cell r="R203">
            <v>3</v>
          </cell>
          <cell r="S203" t="str">
            <v>NULL</v>
          </cell>
          <cell r="T203" t="str">
            <v>normal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  <cell r="N204" t="str">
            <v>ゴッド</v>
          </cell>
          <cell r="O204" t="str">
            <v>none</v>
          </cell>
          <cell r="P204" t="str">
            <v>種族なし</v>
          </cell>
          <cell r="Q204" t="str">
            <v>アタッカー</v>
          </cell>
          <cell r="R204">
            <v>3</v>
          </cell>
          <cell r="S204" t="str">
            <v>NULL</v>
          </cell>
          <cell r="T204" t="str">
            <v>normal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  <cell r="N205" t="str">
            <v>ゴッド</v>
          </cell>
          <cell r="O205" t="str">
            <v>none</v>
          </cell>
          <cell r="P205" t="str">
            <v>種族なし</v>
          </cell>
          <cell r="Q205" t="str">
            <v>アタッカー</v>
          </cell>
          <cell r="R205">
            <v>3</v>
          </cell>
          <cell r="S205" t="str">
            <v>NULL</v>
          </cell>
          <cell r="T205" t="str">
            <v>normal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  <cell r="N206" t="str">
            <v>ゴッド</v>
          </cell>
          <cell r="O206" t="str">
            <v>none</v>
          </cell>
          <cell r="P206" t="str">
            <v>種族なし</v>
          </cell>
          <cell r="Q206" t="str">
            <v>アタッカー</v>
          </cell>
          <cell r="R206">
            <v>3</v>
          </cell>
          <cell r="S206" t="str">
            <v>NULL</v>
          </cell>
          <cell r="T206" t="str">
            <v>normal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  <cell r="N207" t="str">
            <v>ゴッド</v>
          </cell>
          <cell r="O207" t="str">
            <v>none</v>
          </cell>
          <cell r="P207" t="str">
            <v>種族なし</v>
          </cell>
          <cell r="Q207" t="str">
            <v>アタッカー</v>
          </cell>
          <cell r="R207">
            <v>3</v>
          </cell>
          <cell r="S207" t="str">
            <v>NULL</v>
          </cell>
          <cell r="T207" t="str">
            <v>normal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  <cell r="N208" t="str">
            <v>ゴッド</v>
          </cell>
          <cell r="O208" t="str">
            <v>none</v>
          </cell>
          <cell r="P208" t="str">
            <v>種族なし</v>
          </cell>
          <cell r="Q208" t="str">
            <v>アタッカー</v>
          </cell>
          <cell r="R208">
            <v>3</v>
          </cell>
          <cell r="S208" t="str">
            <v>NULL</v>
          </cell>
          <cell r="T208" t="str">
            <v>normal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  <cell r="N209" t="str">
            <v>ゴッド</v>
          </cell>
          <cell r="O209" t="str">
            <v>none</v>
          </cell>
          <cell r="P209" t="str">
            <v>種族なし</v>
          </cell>
          <cell r="Q209" t="str">
            <v>アタッカー</v>
          </cell>
          <cell r="R209">
            <v>3</v>
          </cell>
          <cell r="S209" t="str">
            <v>NULL</v>
          </cell>
          <cell r="T209" t="str">
            <v>normal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  <cell r="N210" t="str">
            <v>ゴッド</v>
          </cell>
          <cell r="O210" t="str">
            <v>none</v>
          </cell>
          <cell r="P210" t="str">
            <v>種族なし</v>
          </cell>
          <cell r="Q210" t="str">
            <v>アタッカー</v>
          </cell>
          <cell r="R210">
            <v>3</v>
          </cell>
          <cell r="S210" t="str">
            <v>NULL</v>
          </cell>
          <cell r="T210" t="str">
            <v>normal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  <cell r="N211" t="str">
            <v>ゴッド</v>
          </cell>
          <cell r="O211" t="str">
            <v>none</v>
          </cell>
          <cell r="P211" t="str">
            <v>種族なし</v>
          </cell>
          <cell r="Q211" t="str">
            <v>アタッカー</v>
          </cell>
          <cell r="R211">
            <v>3</v>
          </cell>
          <cell r="S211" t="str">
            <v>NULL</v>
          </cell>
          <cell r="T211" t="str">
            <v>normal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  <cell r="N212" t="str">
            <v>ゴッド</v>
          </cell>
          <cell r="O212" t="str">
            <v>none</v>
          </cell>
          <cell r="P212" t="str">
            <v>種族なし</v>
          </cell>
          <cell r="Q212" t="str">
            <v>アタッカー</v>
          </cell>
          <cell r="R212">
            <v>3</v>
          </cell>
          <cell r="S212" t="str">
            <v>NULL</v>
          </cell>
          <cell r="T212" t="str">
            <v>normal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  <cell r="N213" t="str">
            <v>ゴッド</v>
          </cell>
          <cell r="O213" t="str">
            <v>none</v>
          </cell>
          <cell r="P213" t="str">
            <v>種族なし</v>
          </cell>
          <cell r="Q213" t="str">
            <v>アタッカー</v>
          </cell>
          <cell r="R213">
            <v>3</v>
          </cell>
          <cell r="S213" t="str">
            <v>NULL</v>
          </cell>
          <cell r="T213" t="str">
            <v>normal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  <cell r="N214" t="str">
            <v>ゴッド</v>
          </cell>
          <cell r="O214" t="str">
            <v>none</v>
          </cell>
          <cell r="P214" t="str">
            <v>種族なし</v>
          </cell>
          <cell r="Q214" t="str">
            <v>アタッカー</v>
          </cell>
          <cell r="R214">
            <v>3</v>
          </cell>
          <cell r="S214" t="str">
            <v>NULL</v>
          </cell>
          <cell r="T214" t="str">
            <v>normal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  <cell r="N215" t="str">
            <v>ゴッド</v>
          </cell>
          <cell r="O215" t="str">
            <v>none</v>
          </cell>
          <cell r="P215" t="str">
            <v>種族なし</v>
          </cell>
          <cell r="Q215" t="str">
            <v>バッファー</v>
          </cell>
          <cell r="R215">
            <v>3</v>
          </cell>
          <cell r="S215" t="str">
            <v>NULL</v>
          </cell>
          <cell r="T215" t="str">
            <v>normal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  <cell r="N216" t="str">
            <v>ゴッド</v>
          </cell>
          <cell r="O216" t="str">
            <v>none</v>
          </cell>
          <cell r="P216" t="str">
            <v>種族なし</v>
          </cell>
          <cell r="Q216" t="str">
            <v>バッファー</v>
          </cell>
          <cell r="R216">
            <v>3</v>
          </cell>
          <cell r="S216" t="str">
            <v>NULL</v>
          </cell>
          <cell r="T216" t="str">
            <v>normal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  <cell r="N217" t="str">
            <v>ゴッド</v>
          </cell>
          <cell r="O217" t="str">
            <v>none</v>
          </cell>
          <cell r="P217" t="str">
            <v>種族なし</v>
          </cell>
          <cell r="Q217" t="str">
            <v>バッファー</v>
          </cell>
          <cell r="R217">
            <v>3</v>
          </cell>
          <cell r="S217" t="str">
            <v>NULL</v>
          </cell>
          <cell r="T217" t="str">
            <v>normal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  <cell r="N218" t="str">
            <v>ドラゴン</v>
          </cell>
          <cell r="O218" t="str">
            <v>none</v>
          </cell>
          <cell r="P218" t="str">
            <v>種族なし</v>
          </cell>
          <cell r="Q218" t="str">
            <v>バッファー</v>
          </cell>
          <cell r="R218">
            <v>3</v>
          </cell>
          <cell r="S218" t="str">
            <v>NULL</v>
          </cell>
          <cell r="T218" t="str">
            <v>normal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  <cell r="N219" t="str">
            <v>ドラゴン</v>
          </cell>
          <cell r="O219" t="str">
            <v>none</v>
          </cell>
          <cell r="P219" t="str">
            <v>種族なし</v>
          </cell>
          <cell r="Q219" t="str">
            <v>バッファー</v>
          </cell>
          <cell r="R219">
            <v>3</v>
          </cell>
          <cell r="S219" t="str">
            <v>NULL</v>
          </cell>
          <cell r="T219" t="str">
            <v>normal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  <cell r="N220" t="str">
            <v>ドラゴン</v>
          </cell>
          <cell r="O220" t="str">
            <v>none</v>
          </cell>
          <cell r="P220" t="str">
            <v>種族なし</v>
          </cell>
          <cell r="Q220" t="str">
            <v>バッファー</v>
          </cell>
          <cell r="R220">
            <v>3</v>
          </cell>
          <cell r="S220" t="str">
            <v>NULL</v>
          </cell>
          <cell r="T220" t="str">
            <v>normal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  <cell r="N221" t="str">
            <v>ゴッド</v>
          </cell>
          <cell r="O221" t="str">
            <v>none</v>
          </cell>
          <cell r="P221" t="str">
            <v>種族なし</v>
          </cell>
          <cell r="Q221" t="str">
            <v>アタッカー</v>
          </cell>
          <cell r="R221">
            <v>3</v>
          </cell>
          <cell r="S221" t="str">
            <v>NULL</v>
          </cell>
          <cell r="T221" t="str">
            <v>normal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  <cell r="N222" t="str">
            <v>ゴッド</v>
          </cell>
          <cell r="O222" t="str">
            <v>none</v>
          </cell>
          <cell r="P222" t="str">
            <v>種族なし</v>
          </cell>
          <cell r="Q222" t="str">
            <v>アタッカー</v>
          </cell>
          <cell r="R222">
            <v>3</v>
          </cell>
          <cell r="S222" t="str">
            <v>NULL</v>
          </cell>
          <cell r="T222" t="str">
            <v>normal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  <cell r="N223" t="str">
            <v>ゴッド</v>
          </cell>
          <cell r="O223" t="str">
            <v>none</v>
          </cell>
          <cell r="P223" t="str">
            <v>種族なし</v>
          </cell>
          <cell r="Q223" t="str">
            <v>アタッカー</v>
          </cell>
          <cell r="R223">
            <v>3</v>
          </cell>
          <cell r="S223" t="str">
            <v>NULL</v>
          </cell>
          <cell r="T223" t="str">
            <v>normal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  <cell r="N224" t="str">
            <v>ヒューマン</v>
          </cell>
          <cell r="O224" t="str">
            <v>none</v>
          </cell>
          <cell r="P224" t="str">
            <v>種族なし</v>
          </cell>
          <cell r="Q224" t="str">
            <v>バッファー</v>
          </cell>
          <cell r="R224">
            <v>3</v>
          </cell>
          <cell r="S224" t="str">
            <v>NULL</v>
          </cell>
          <cell r="T224" t="str">
            <v>normal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  <cell r="N225" t="str">
            <v>ヒューマン</v>
          </cell>
          <cell r="O225" t="str">
            <v>none</v>
          </cell>
          <cell r="P225" t="str">
            <v>種族なし</v>
          </cell>
          <cell r="Q225" t="str">
            <v>バッファー</v>
          </cell>
          <cell r="R225">
            <v>3</v>
          </cell>
          <cell r="S225" t="str">
            <v>NULL</v>
          </cell>
          <cell r="T225" t="str">
            <v>normal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  <cell r="N226" t="str">
            <v>ヒューマン</v>
          </cell>
          <cell r="O226" t="str">
            <v>none</v>
          </cell>
          <cell r="P226" t="str">
            <v>種族なし</v>
          </cell>
          <cell r="Q226" t="str">
            <v>バッファー</v>
          </cell>
          <cell r="R226">
            <v>3</v>
          </cell>
          <cell r="S226" t="str">
            <v>NULL</v>
          </cell>
          <cell r="T226" t="str">
            <v>normal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  <cell r="N227" t="str">
            <v>ゴッド</v>
          </cell>
          <cell r="O227" t="str">
            <v>none</v>
          </cell>
          <cell r="P227" t="str">
            <v>種族なし</v>
          </cell>
          <cell r="Q227" t="str">
            <v>アタッカー</v>
          </cell>
          <cell r="R227">
            <v>3</v>
          </cell>
          <cell r="S227" t="str">
            <v>NULL</v>
          </cell>
          <cell r="T227" t="str">
            <v>normal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  <cell r="N228" t="str">
            <v>ゴッド</v>
          </cell>
          <cell r="O228" t="str">
            <v>none</v>
          </cell>
          <cell r="P228" t="str">
            <v>種族なし</v>
          </cell>
          <cell r="Q228" t="str">
            <v>アタッカー</v>
          </cell>
          <cell r="R228">
            <v>3</v>
          </cell>
          <cell r="S228" t="str">
            <v>NULL</v>
          </cell>
          <cell r="T228" t="str">
            <v>normal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  <cell r="N229" t="str">
            <v>ゴッド</v>
          </cell>
          <cell r="O229" t="str">
            <v>none</v>
          </cell>
          <cell r="P229" t="str">
            <v>種族なし</v>
          </cell>
          <cell r="Q229" t="str">
            <v>アタッカー</v>
          </cell>
          <cell r="R229">
            <v>3</v>
          </cell>
          <cell r="S229" t="str">
            <v>NULL</v>
          </cell>
          <cell r="T229" t="str">
            <v>normal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  <cell r="N230" t="str">
            <v>ドラゴン</v>
          </cell>
          <cell r="O230" t="str">
            <v>none</v>
          </cell>
          <cell r="P230" t="str">
            <v>種族なし</v>
          </cell>
          <cell r="Q230" t="str">
            <v>バッファー</v>
          </cell>
          <cell r="R230">
            <v>3</v>
          </cell>
          <cell r="S230" t="str">
            <v>NULL</v>
          </cell>
          <cell r="T230" t="str">
            <v>normal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  <cell r="N231" t="str">
            <v>ドラゴン</v>
          </cell>
          <cell r="O231" t="str">
            <v>none</v>
          </cell>
          <cell r="P231" t="str">
            <v>種族なし</v>
          </cell>
          <cell r="Q231" t="str">
            <v>バッファー</v>
          </cell>
          <cell r="R231">
            <v>3</v>
          </cell>
          <cell r="S231" t="str">
            <v>NULL</v>
          </cell>
          <cell r="T231" t="str">
            <v>normal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  <cell r="N232" t="str">
            <v>ドラゴン</v>
          </cell>
          <cell r="O232" t="str">
            <v>none</v>
          </cell>
          <cell r="P232" t="str">
            <v>種族なし</v>
          </cell>
          <cell r="Q232" t="str">
            <v>バッファー</v>
          </cell>
          <cell r="R232">
            <v>3</v>
          </cell>
          <cell r="S232" t="str">
            <v>NULL</v>
          </cell>
          <cell r="T232" t="str">
            <v>normal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  <cell r="N233" t="str">
            <v>ヒューマン</v>
          </cell>
          <cell r="O233" t="str">
            <v>none</v>
          </cell>
          <cell r="P233" t="str">
            <v>種族なし</v>
          </cell>
          <cell r="Q233" t="str">
            <v>デバッファー</v>
          </cell>
          <cell r="R233">
            <v>3</v>
          </cell>
          <cell r="S233" t="str">
            <v>NULL</v>
          </cell>
          <cell r="T233" t="str">
            <v>normal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  <cell r="N234" t="str">
            <v>ヒューマン</v>
          </cell>
          <cell r="O234" t="str">
            <v>none</v>
          </cell>
          <cell r="P234" t="str">
            <v>種族なし</v>
          </cell>
          <cell r="Q234" t="str">
            <v>デバッファー</v>
          </cell>
          <cell r="R234">
            <v>3</v>
          </cell>
          <cell r="S234" t="str">
            <v>NULL</v>
          </cell>
          <cell r="T234" t="str">
            <v>normal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  <cell r="N235" t="str">
            <v>ヒューマン</v>
          </cell>
          <cell r="O235" t="str">
            <v>none</v>
          </cell>
          <cell r="P235" t="str">
            <v>種族なし</v>
          </cell>
          <cell r="Q235" t="str">
            <v>デバッファー</v>
          </cell>
          <cell r="R235">
            <v>3</v>
          </cell>
          <cell r="S235" t="str">
            <v>NULL</v>
          </cell>
          <cell r="T235" t="str">
            <v>normal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  <cell r="N236" t="str">
            <v>ゴッド</v>
          </cell>
          <cell r="O236" t="str">
            <v>none</v>
          </cell>
          <cell r="P236" t="str">
            <v>種族なし</v>
          </cell>
          <cell r="Q236" t="str">
            <v>アタッカー</v>
          </cell>
          <cell r="R236">
            <v>3</v>
          </cell>
          <cell r="S236" t="str">
            <v>NULL</v>
          </cell>
          <cell r="T236" t="str">
            <v>normal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  <cell r="N237" t="str">
            <v>ゴッド</v>
          </cell>
          <cell r="O237" t="str">
            <v>none</v>
          </cell>
          <cell r="P237" t="str">
            <v>種族なし</v>
          </cell>
          <cell r="Q237" t="str">
            <v>アタッカー</v>
          </cell>
          <cell r="R237">
            <v>3</v>
          </cell>
          <cell r="S237" t="str">
            <v>NULL</v>
          </cell>
          <cell r="T237" t="str">
            <v>normal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  <cell r="N238" t="str">
            <v>ゴッド</v>
          </cell>
          <cell r="O238" t="str">
            <v>none</v>
          </cell>
          <cell r="P238" t="str">
            <v>種族なし</v>
          </cell>
          <cell r="Q238" t="str">
            <v>アタッカー</v>
          </cell>
          <cell r="R238">
            <v>3</v>
          </cell>
          <cell r="S238" t="str">
            <v>NULL</v>
          </cell>
          <cell r="T238" t="str">
            <v>normal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  <cell r="N239" t="str">
            <v>マシン</v>
          </cell>
          <cell r="O239" t="str">
            <v>god</v>
          </cell>
          <cell r="P239" t="str">
            <v>ゴッド</v>
          </cell>
          <cell r="Q239" t="str">
            <v>パネルコンバーター</v>
          </cell>
          <cell r="R239">
            <v>3</v>
          </cell>
          <cell r="S239" t="str">
            <v>NULL</v>
          </cell>
          <cell r="T239" t="str">
            <v>normal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  <cell r="N240" t="str">
            <v>マシン</v>
          </cell>
          <cell r="O240" t="str">
            <v>god</v>
          </cell>
          <cell r="P240" t="str">
            <v>ゴッド</v>
          </cell>
          <cell r="Q240" t="str">
            <v>パネルコンバーター</v>
          </cell>
          <cell r="R240">
            <v>3</v>
          </cell>
          <cell r="S240" t="str">
            <v>NULL</v>
          </cell>
          <cell r="T240" t="str">
            <v>normal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  <cell r="N241" t="str">
            <v>マシン</v>
          </cell>
          <cell r="O241" t="str">
            <v>god</v>
          </cell>
          <cell r="P241" t="str">
            <v>ゴッド</v>
          </cell>
          <cell r="Q241" t="str">
            <v>パネルコンバーター</v>
          </cell>
          <cell r="R241">
            <v>3</v>
          </cell>
          <cell r="S241" t="str">
            <v>NULL</v>
          </cell>
          <cell r="T241" t="str">
            <v>normal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  <cell r="N242" t="str">
            <v>マシン</v>
          </cell>
          <cell r="O242" t="str">
            <v>god</v>
          </cell>
          <cell r="P242" t="str">
            <v>ゴッド</v>
          </cell>
          <cell r="Q242" t="str">
            <v>アタッカー</v>
          </cell>
          <cell r="R242">
            <v>3</v>
          </cell>
          <cell r="S242" t="str">
            <v>NULL</v>
          </cell>
          <cell r="T242" t="str">
            <v>normal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  <cell r="N243" t="str">
            <v>マシン</v>
          </cell>
          <cell r="O243" t="str">
            <v>god</v>
          </cell>
          <cell r="P243" t="str">
            <v>ゴッド</v>
          </cell>
          <cell r="Q243" t="str">
            <v>アタッカー</v>
          </cell>
          <cell r="R243">
            <v>3</v>
          </cell>
          <cell r="S243" t="str">
            <v>NULL</v>
          </cell>
          <cell r="T243" t="str">
            <v>normal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  <cell r="N244" t="str">
            <v>マシン</v>
          </cell>
          <cell r="O244" t="str">
            <v>god</v>
          </cell>
          <cell r="P244" t="str">
            <v>ゴッド</v>
          </cell>
          <cell r="Q244" t="str">
            <v>アタッカー</v>
          </cell>
          <cell r="R244">
            <v>3</v>
          </cell>
          <cell r="S244" t="str">
            <v>NULL</v>
          </cell>
          <cell r="T244" t="str">
            <v>normal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  <cell r="N245" t="str">
            <v>マシン</v>
          </cell>
          <cell r="O245" t="str">
            <v>god</v>
          </cell>
          <cell r="P245" t="str">
            <v>ゴッド</v>
          </cell>
          <cell r="Q245" t="str">
            <v>バッファー</v>
          </cell>
          <cell r="R245">
            <v>3</v>
          </cell>
          <cell r="S245" t="str">
            <v>NULL</v>
          </cell>
          <cell r="T245" t="str">
            <v>normal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  <cell r="N246" t="str">
            <v>マシン</v>
          </cell>
          <cell r="O246" t="str">
            <v>god</v>
          </cell>
          <cell r="P246" t="str">
            <v>ゴッド</v>
          </cell>
          <cell r="Q246" t="str">
            <v>バッファー</v>
          </cell>
          <cell r="R246">
            <v>3</v>
          </cell>
          <cell r="S246" t="str">
            <v>NULL</v>
          </cell>
          <cell r="T246" t="str">
            <v>normal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  <cell r="N247" t="str">
            <v>マシン</v>
          </cell>
          <cell r="O247" t="str">
            <v>god</v>
          </cell>
          <cell r="P247" t="str">
            <v>ゴッド</v>
          </cell>
          <cell r="Q247" t="str">
            <v>バッファー</v>
          </cell>
          <cell r="R247">
            <v>3</v>
          </cell>
          <cell r="S247" t="str">
            <v>NULL</v>
          </cell>
          <cell r="T247" t="str">
            <v>normal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  <cell r="N248" t="str">
            <v>マシン</v>
          </cell>
          <cell r="O248" t="str">
            <v>god</v>
          </cell>
          <cell r="P248" t="str">
            <v>ゴッド</v>
          </cell>
          <cell r="Q248" t="str">
            <v>アタッカー</v>
          </cell>
          <cell r="R248">
            <v>3</v>
          </cell>
          <cell r="S248" t="str">
            <v>NULL</v>
          </cell>
          <cell r="T248" t="str">
            <v>normal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  <cell r="N249" t="str">
            <v>マシン</v>
          </cell>
          <cell r="O249" t="str">
            <v>god</v>
          </cell>
          <cell r="P249" t="str">
            <v>ゴッド</v>
          </cell>
          <cell r="Q249" t="str">
            <v>アタッカー</v>
          </cell>
          <cell r="R249">
            <v>3</v>
          </cell>
          <cell r="S249" t="str">
            <v>NULL</v>
          </cell>
          <cell r="T249" t="str">
            <v>normal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  <cell r="N250" t="str">
            <v>マシン</v>
          </cell>
          <cell r="O250" t="str">
            <v>god</v>
          </cell>
          <cell r="P250" t="str">
            <v>ゴッド</v>
          </cell>
          <cell r="Q250" t="str">
            <v>アタッカー</v>
          </cell>
          <cell r="R250">
            <v>3</v>
          </cell>
          <cell r="S250" t="str">
            <v>NULL</v>
          </cell>
          <cell r="T250" t="str">
            <v>normal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  <cell r="N251" t="str">
            <v>ゴッド</v>
          </cell>
          <cell r="O251" t="str">
            <v>none</v>
          </cell>
          <cell r="P251" t="str">
            <v>種族なし</v>
          </cell>
          <cell r="Q251" t="str">
            <v>アタッカー</v>
          </cell>
          <cell r="R251">
            <v>3</v>
          </cell>
          <cell r="S251" t="str">
            <v>NULL</v>
          </cell>
          <cell r="T251" t="str">
            <v>normal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  <cell r="N252" t="str">
            <v>ゴッド</v>
          </cell>
          <cell r="O252" t="str">
            <v>none</v>
          </cell>
          <cell r="P252" t="str">
            <v>種族なし</v>
          </cell>
          <cell r="Q252" t="str">
            <v>アタッカー</v>
          </cell>
          <cell r="R252">
            <v>3</v>
          </cell>
          <cell r="S252" t="str">
            <v>NULL</v>
          </cell>
          <cell r="T252" t="str">
            <v>normal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  <cell r="N253" t="str">
            <v>ゴッド</v>
          </cell>
          <cell r="O253" t="str">
            <v>none</v>
          </cell>
          <cell r="P253" t="str">
            <v>種族なし</v>
          </cell>
          <cell r="Q253" t="str">
            <v>アタッカー</v>
          </cell>
          <cell r="R253">
            <v>3</v>
          </cell>
          <cell r="S253" t="str">
            <v>NULL</v>
          </cell>
          <cell r="T253" t="str">
            <v>normal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  <cell r="N254" t="str">
            <v>ゴッド</v>
          </cell>
          <cell r="O254" t="str">
            <v>none</v>
          </cell>
          <cell r="P254" t="str">
            <v>種族なし</v>
          </cell>
          <cell r="Q254" t="str">
            <v>デバッファー</v>
          </cell>
          <cell r="R254">
            <v>3</v>
          </cell>
          <cell r="S254" t="str">
            <v>NULL</v>
          </cell>
          <cell r="T254" t="str">
            <v>normal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  <cell r="N255" t="str">
            <v>ゴッド</v>
          </cell>
          <cell r="O255" t="str">
            <v>none</v>
          </cell>
          <cell r="P255" t="str">
            <v>種族なし</v>
          </cell>
          <cell r="Q255" t="str">
            <v>デバッファー</v>
          </cell>
          <cell r="R255">
            <v>3</v>
          </cell>
          <cell r="S255" t="str">
            <v>NULL</v>
          </cell>
          <cell r="T255" t="str">
            <v>normal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  <cell r="N256" t="str">
            <v>ゴッド</v>
          </cell>
          <cell r="O256" t="str">
            <v>none</v>
          </cell>
          <cell r="P256" t="str">
            <v>種族なし</v>
          </cell>
          <cell r="Q256" t="str">
            <v>デバッファー</v>
          </cell>
          <cell r="R256">
            <v>3</v>
          </cell>
          <cell r="S256" t="str">
            <v>NULL</v>
          </cell>
          <cell r="T256" t="str">
            <v>normal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  <cell r="N257" t="str">
            <v>ゴッド</v>
          </cell>
          <cell r="O257" t="str">
            <v>none</v>
          </cell>
          <cell r="P257" t="str">
            <v>種族なし</v>
          </cell>
          <cell r="Q257" t="str">
            <v>アタッカー</v>
          </cell>
          <cell r="R257">
            <v>3</v>
          </cell>
          <cell r="S257" t="str">
            <v>NULL</v>
          </cell>
          <cell r="T257" t="str">
            <v>normal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  <cell r="N258" t="str">
            <v>ゴッド</v>
          </cell>
          <cell r="O258" t="str">
            <v>none</v>
          </cell>
          <cell r="P258" t="str">
            <v>種族なし</v>
          </cell>
          <cell r="Q258" t="str">
            <v>アタッカー</v>
          </cell>
          <cell r="R258">
            <v>3</v>
          </cell>
          <cell r="S258" t="str">
            <v>NULL</v>
          </cell>
          <cell r="T258" t="str">
            <v>normal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  <cell r="N259" t="str">
            <v>ゴッド</v>
          </cell>
          <cell r="O259" t="str">
            <v>none</v>
          </cell>
          <cell r="P259" t="str">
            <v>種族なし</v>
          </cell>
          <cell r="Q259" t="str">
            <v>アタッカー</v>
          </cell>
          <cell r="R259">
            <v>3</v>
          </cell>
          <cell r="S259" t="str">
            <v>NULL</v>
          </cell>
          <cell r="T259" t="str">
            <v>normal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  <cell r="N260" t="str">
            <v>ドラゴン</v>
          </cell>
          <cell r="O260" t="str">
            <v>none</v>
          </cell>
          <cell r="P260" t="str">
            <v>種族なし</v>
          </cell>
          <cell r="Q260" t="str">
            <v>アタッカー</v>
          </cell>
          <cell r="R260">
            <v>3</v>
          </cell>
          <cell r="S260" t="str">
            <v>NULL</v>
          </cell>
          <cell r="T260" t="str">
            <v>normal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  <cell r="N261" t="str">
            <v>ドラゴン</v>
          </cell>
          <cell r="O261" t="str">
            <v>none</v>
          </cell>
          <cell r="P261" t="str">
            <v>種族なし</v>
          </cell>
          <cell r="Q261" t="str">
            <v>アタッカー</v>
          </cell>
          <cell r="R261">
            <v>3</v>
          </cell>
          <cell r="S261" t="str">
            <v>NULL</v>
          </cell>
          <cell r="T261" t="str">
            <v>normal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  <cell r="N262" t="str">
            <v>ドラゴン</v>
          </cell>
          <cell r="O262" t="str">
            <v>none</v>
          </cell>
          <cell r="P262" t="str">
            <v>種族なし</v>
          </cell>
          <cell r="Q262" t="str">
            <v>アタッカー</v>
          </cell>
          <cell r="R262">
            <v>3</v>
          </cell>
          <cell r="S262" t="str">
            <v>NULL</v>
          </cell>
          <cell r="T262" t="str">
            <v>normal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  <cell r="N263" t="str">
            <v>アニマル</v>
          </cell>
          <cell r="O263" t="str">
            <v>none</v>
          </cell>
          <cell r="P263" t="str">
            <v>種族なし</v>
          </cell>
          <cell r="R263">
            <v>3</v>
          </cell>
          <cell r="S263" t="str">
            <v>NULL</v>
          </cell>
          <cell r="T263" t="str">
            <v>normal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  <cell r="N264" t="str">
            <v>アニマル</v>
          </cell>
          <cell r="O264" t="str">
            <v>none</v>
          </cell>
          <cell r="P264" t="str">
            <v>種族なし</v>
          </cell>
          <cell r="R264">
            <v>3</v>
          </cell>
          <cell r="S264" t="str">
            <v>NULL</v>
          </cell>
          <cell r="T264" t="str">
            <v>normal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  <cell r="N265" t="str">
            <v>アニマル</v>
          </cell>
          <cell r="O265" t="str">
            <v>none</v>
          </cell>
          <cell r="P265" t="str">
            <v>種族なし</v>
          </cell>
          <cell r="Q265" t="str">
            <v>ヒーラー</v>
          </cell>
          <cell r="R265">
            <v>3</v>
          </cell>
          <cell r="S265" t="str">
            <v>NULL</v>
          </cell>
          <cell r="T265" t="str">
            <v>normal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  <cell r="N266" t="str">
            <v>アニマル</v>
          </cell>
          <cell r="O266" t="str">
            <v>none</v>
          </cell>
          <cell r="P266" t="str">
            <v>種族なし</v>
          </cell>
          <cell r="Q266" t="str">
            <v>ヒーラー</v>
          </cell>
          <cell r="R266">
            <v>3</v>
          </cell>
          <cell r="S266" t="str">
            <v>NULL</v>
          </cell>
          <cell r="T266" t="str">
            <v>normal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  <cell r="N267" t="str">
            <v>アニマル</v>
          </cell>
          <cell r="O267" t="str">
            <v>none</v>
          </cell>
          <cell r="P267" t="str">
            <v>種族なし</v>
          </cell>
          <cell r="R267">
            <v>3</v>
          </cell>
          <cell r="S267" t="str">
            <v>NULL</v>
          </cell>
          <cell r="T267" t="str">
            <v>normal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  <cell r="N268" t="str">
            <v>アニマル</v>
          </cell>
          <cell r="O268" t="str">
            <v>none</v>
          </cell>
          <cell r="P268" t="str">
            <v>種族なし</v>
          </cell>
          <cell r="R268">
            <v>3</v>
          </cell>
          <cell r="S268" t="str">
            <v>NULL</v>
          </cell>
          <cell r="T268" t="str">
            <v>normal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  <cell r="N269" t="str">
            <v>アニマル</v>
          </cell>
          <cell r="O269" t="str">
            <v>none</v>
          </cell>
          <cell r="P269" t="str">
            <v>種族なし</v>
          </cell>
          <cell r="Q269" t="str">
            <v>パネルコンバーター</v>
          </cell>
          <cell r="R269">
            <v>3</v>
          </cell>
          <cell r="S269" t="str">
            <v>NULL</v>
          </cell>
          <cell r="T269" t="str">
            <v>normal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  <cell r="N270" t="str">
            <v>アニマル</v>
          </cell>
          <cell r="O270" t="str">
            <v>none</v>
          </cell>
          <cell r="P270" t="str">
            <v>種族なし</v>
          </cell>
          <cell r="Q270" t="str">
            <v>パネルコンバーター</v>
          </cell>
          <cell r="R270">
            <v>3</v>
          </cell>
          <cell r="S270" t="str">
            <v>NULL</v>
          </cell>
          <cell r="T270" t="str">
            <v>normal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  <cell r="N271" t="str">
            <v>ヒューマン</v>
          </cell>
          <cell r="O271" t="str">
            <v>animal</v>
          </cell>
          <cell r="P271" t="str">
            <v>アニマル</v>
          </cell>
          <cell r="Q271" t="str">
            <v>バッファー</v>
          </cell>
          <cell r="R271">
            <v>3</v>
          </cell>
          <cell r="S271" t="str">
            <v>NULL</v>
          </cell>
          <cell r="T271" t="str">
            <v>normal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  <cell r="N272" t="str">
            <v>ヒューマン</v>
          </cell>
          <cell r="O272" t="str">
            <v>animal</v>
          </cell>
          <cell r="P272" t="str">
            <v>アニマル</v>
          </cell>
          <cell r="Q272" t="str">
            <v>バッファー</v>
          </cell>
          <cell r="R272">
            <v>3</v>
          </cell>
          <cell r="S272" t="str">
            <v>NULL</v>
          </cell>
          <cell r="T272" t="str">
            <v>normal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  <cell r="N273" t="str">
            <v>ヒューマン</v>
          </cell>
          <cell r="O273" t="str">
            <v>none</v>
          </cell>
          <cell r="P273" t="str">
            <v>種族なし</v>
          </cell>
          <cell r="Q273" t="str">
            <v>バッファー</v>
          </cell>
          <cell r="R273">
            <v>3</v>
          </cell>
          <cell r="S273" t="str">
            <v>NULL</v>
          </cell>
          <cell r="T273" t="str">
            <v>normal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  <cell r="N274" t="str">
            <v>ヒューマン</v>
          </cell>
          <cell r="O274" t="str">
            <v>none</v>
          </cell>
          <cell r="P274" t="str">
            <v>種族なし</v>
          </cell>
          <cell r="Q274" t="str">
            <v>バッファー</v>
          </cell>
          <cell r="R274">
            <v>3</v>
          </cell>
          <cell r="S274" t="str">
            <v>NULL</v>
          </cell>
          <cell r="T274" t="str">
            <v>normal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  <cell r="N275" t="str">
            <v>ヒューマン</v>
          </cell>
          <cell r="O275" t="str">
            <v>animal</v>
          </cell>
          <cell r="P275" t="str">
            <v>アニマル</v>
          </cell>
          <cell r="Q275" t="str">
            <v>バッファー</v>
          </cell>
          <cell r="R275">
            <v>3</v>
          </cell>
          <cell r="S275" t="str">
            <v>NULL</v>
          </cell>
          <cell r="T275" t="str">
            <v>normal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  <cell r="N276" t="str">
            <v>ヒューマン</v>
          </cell>
          <cell r="O276" t="str">
            <v>animal</v>
          </cell>
          <cell r="P276" t="str">
            <v>アニマル</v>
          </cell>
          <cell r="Q276" t="str">
            <v>バッファー</v>
          </cell>
          <cell r="R276">
            <v>3</v>
          </cell>
          <cell r="S276" t="str">
            <v>NULL</v>
          </cell>
          <cell r="T276" t="str">
            <v>normal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  <cell r="N277" t="str">
            <v>ヒューマン</v>
          </cell>
          <cell r="O277" t="str">
            <v>machine</v>
          </cell>
          <cell r="P277" t="str">
            <v>マシン</v>
          </cell>
          <cell r="Q277" t="str">
            <v>バッファー</v>
          </cell>
          <cell r="R277">
            <v>3</v>
          </cell>
          <cell r="S277" t="str">
            <v>NULL</v>
          </cell>
          <cell r="T277" t="str">
            <v>normal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  <cell r="N278" t="str">
            <v>ヒューマン</v>
          </cell>
          <cell r="O278" t="str">
            <v>machine</v>
          </cell>
          <cell r="P278" t="str">
            <v>マシン</v>
          </cell>
          <cell r="Q278" t="str">
            <v>バッファー</v>
          </cell>
          <cell r="R278">
            <v>3</v>
          </cell>
          <cell r="S278" t="str">
            <v>NULL</v>
          </cell>
          <cell r="T278" t="str">
            <v>normal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  <cell r="N279" t="str">
            <v>ゴッド</v>
          </cell>
          <cell r="O279" t="str">
            <v>none</v>
          </cell>
          <cell r="P279" t="str">
            <v>種族なし</v>
          </cell>
          <cell r="Q279" t="str">
            <v>アタッカー</v>
          </cell>
          <cell r="R279">
            <v>3</v>
          </cell>
          <cell r="S279" t="str">
            <v>NULL</v>
          </cell>
          <cell r="T279" t="str">
            <v>normal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  <cell r="N280" t="str">
            <v>ゴッド</v>
          </cell>
          <cell r="O280" t="str">
            <v>none</v>
          </cell>
          <cell r="P280" t="str">
            <v>種族なし</v>
          </cell>
          <cell r="Q280" t="str">
            <v>アタッカー</v>
          </cell>
          <cell r="R280">
            <v>3</v>
          </cell>
          <cell r="S280" t="str">
            <v>NULL</v>
          </cell>
          <cell r="T280" t="str">
            <v>normal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  <cell r="N281" t="str">
            <v>ドラゴン</v>
          </cell>
          <cell r="O281" t="str">
            <v>machine</v>
          </cell>
          <cell r="P281" t="str">
            <v>マシン</v>
          </cell>
          <cell r="R281">
            <v>3</v>
          </cell>
          <cell r="S281" t="str">
            <v>NULL</v>
          </cell>
          <cell r="T281" t="str">
            <v>normal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  <cell r="N282" t="str">
            <v>ドラゴン</v>
          </cell>
          <cell r="O282" t="str">
            <v>machine</v>
          </cell>
          <cell r="P282" t="str">
            <v>マシン</v>
          </cell>
          <cell r="R282">
            <v>3</v>
          </cell>
          <cell r="S282" t="str">
            <v>NULL</v>
          </cell>
          <cell r="T282" t="str">
            <v>normal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  <cell r="N283" t="str">
            <v>ドラゴン</v>
          </cell>
          <cell r="O283" t="str">
            <v>machine</v>
          </cell>
          <cell r="P283" t="str">
            <v>マシン</v>
          </cell>
          <cell r="Q283" t="str">
            <v>スキルサポーター</v>
          </cell>
          <cell r="R283">
            <v>3</v>
          </cell>
          <cell r="S283" t="str">
            <v>NULL</v>
          </cell>
          <cell r="T283" t="str">
            <v>normal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  <cell r="N284" t="str">
            <v>ドラゴン</v>
          </cell>
          <cell r="O284" t="str">
            <v>machine</v>
          </cell>
          <cell r="P284" t="str">
            <v>マシン</v>
          </cell>
          <cell r="Q284" t="str">
            <v>スキルサポーター</v>
          </cell>
          <cell r="R284">
            <v>3</v>
          </cell>
          <cell r="S284" t="str">
            <v>NULL</v>
          </cell>
          <cell r="T284" t="str">
            <v>normal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  <cell r="N285" t="str">
            <v>ドラゴン</v>
          </cell>
          <cell r="O285" t="str">
            <v>machine</v>
          </cell>
          <cell r="P285" t="str">
            <v>マシン</v>
          </cell>
          <cell r="Q285" t="str">
            <v>バッファー</v>
          </cell>
          <cell r="R285">
            <v>3</v>
          </cell>
          <cell r="S285" t="str">
            <v>NULL</v>
          </cell>
          <cell r="T285" t="str">
            <v>normal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  <cell r="N286" t="str">
            <v>ドラゴン</v>
          </cell>
          <cell r="O286" t="str">
            <v>machine</v>
          </cell>
          <cell r="P286" t="str">
            <v>マシン</v>
          </cell>
          <cell r="Q286" t="str">
            <v>バッファー</v>
          </cell>
          <cell r="R286">
            <v>3</v>
          </cell>
          <cell r="S286" t="str">
            <v>NULL</v>
          </cell>
          <cell r="T286" t="str">
            <v>normal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  <cell r="N287" t="str">
            <v>ドラゴン</v>
          </cell>
          <cell r="O287" t="str">
            <v>machine</v>
          </cell>
          <cell r="P287" t="str">
            <v>マシン</v>
          </cell>
          <cell r="R287">
            <v>3</v>
          </cell>
          <cell r="S287" t="str">
            <v>NULL</v>
          </cell>
          <cell r="T287" t="str">
            <v>normal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  <cell r="N288" t="str">
            <v>ドラゴン</v>
          </cell>
          <cell r="O288" t="str">
            <v>machine</v>
          </cell>
          <cell r="P288" t="str">
            <v>マシン</v>
          </cell>
          <cell r="R288">
            <v>3</v>
          </cell>
          <cell r="S288" t="str">
            <v>NULL</v>
          </cell>
          <cell r="T288" t="str">
            <v>normal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  <cell r="N289" t="str">
            <v>ヒューマン</v>
          </cell>
          <cell r="O289" t="str">
            <v>none</v>
          </cell>
          <cell r="P289" t="str">
            <v>種族なし</v>
          </cell>
          <cell r="Q289" t="str">
            <v>アタッカー</v>
          </cell>
          <cell r="R289">
            <v>3</v>
          </cell>
          <cell r="S289" t="str">
            <v>NULL</v>
          </cell>
          <cell r="T289" t="str">
            <v>normal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  <cell r="N290" t="str">
            <v>ヒューマン</v>
          </cell>
          <cell r="O290" t="str">
            <v>none</v>
          </cell>
          <cell r="P290" t="str">
            <v>種族なし</v>
          </cell>
          <cell r="Q290" t="str">
            <v>アタッカー</v>
          </cell>
          <cell r="R290">
            <v>3</v>
          </cell>
          <cell r="S290" t="str">
            <v>NULL</v>
          </cell>
          <cell r="T290" t="str">
            <v>normal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  <cell r="N291" t="str">
            <v>ヒューマン</v>
          </cell>
          <cell r="O291" t="str">
            <v>none</v>
          </cell>
          <cell r="P291" t="str">
            <v>種族なし</v>
          </cell>
          <cell r="Q291" t="str">
            <v>アタッカー</v>
          </cell>
          <cell r="R291">
            <v>3</v>
          </cell>
          <cell r="S291" t="str">
            <v>NULL</v>
          </cell>
          <cell r="T291" t="str">
            <v>normal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  <cell r="N292" t="str">
            <v>ヒューマン</v>
          </cell>
          <cell r="O292" t="str">
            <v>none</v>
          </cell>
          <cell r="P292" t="str">
            <v>種族なし</v>
          </cell>
          <cell r="Q292" t="str">
            <v>アタッカー</v>
          </cell>
          <cell r="R292">
            <v>3</v>
          </cell>
          <cell r="S292" t="str">
            <v>NULL</v>
          </cell>
          <cell r="T292" t="str">
            <v>normal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  <cell r="N293" t="str">
            <v>ヒューマン</v>
          </cell>
          <cell r="O293" t="str">
            <v>none</v>
          </cell>
          <cell r="P293" t="str">
            <v>種族なし</v>
          </cell>
          <cell r="Q293" t="str">
            <v>アタッカー</v>
          </cell>
          <cell r="R293">
            <v>3</v>
          </cell>
          <cell r="S293" t="str">
            <v>NULL</v>
          </cell>
          <cell r="T293" t="str">
            <v>normal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  <cell r="N294" t="str">
            <v>ヒューマン</v>
          </cell>
          <cell r="O294" t="str">
            <v>none</v>
          </cell>
          <cell r="P294" t="str">
            <v>種族なし</v>
          </cell>
          <cell r="Q294" t="str">
            <v>アタッカー</v>
          </cell>
          <cell r="R294">
            <v>3</v>
          </cell>
          <cell r="S294" t="str">
            <v>NULL</v>
          </cell>
          <cell r="T294" t="str">
            <v>normal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  <cell r="N295" t="str">
            <v>アニマル</v>
          </cell>
          <cell r="O295" t="str">
            <v>none</v>
          </cell>
          <cell r="P295" t="str">
            <v>種族なし</v>
          </cell>
          <cell r="Q295" t="str">
            <v>アタッカー</v>
          </cell>
          <cell r="R295">
            <v>3</v>
          </cell>
          <cell r="S295" t="str">
            <v>NULL</v>
          </cell>
          <cell r="T295" t="str">
            <v>normal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  <cell r="N296" t="str">
            <v>アニマル</v>
          </cell>
          <cell r="O296" t="str">
            <v>none</v>
          </cell>
          <cell r="P296" t="str">
            <v>種族なし</v>
          </cell>
          <cell r="Q296" t="str">
            <v>アタッカー</v>
          </cell>
          <cell r="R296">
            <v>3</v>
          </cell>
          <cell r="S296" t="str">
            <v>NULL</v>
          </cell>
          <cell r="T296" t="str">
            <v>normal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  <cell r="N297" t="str">
            <v>ゴッド</v>
          </cell>
          <cell r="O297" t="str">
            <v>none</v>
          </cell>
          <cell r="P297" t="str">
            <v>種族なし</v>
          </cell>
          <cell r="R297">
            <v>3</v>
          </cell>
          <cell r="S297" t="str">
            <v>NULL</v>
          </cell>
          <cell r="T297" t="str">
            <v>normal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  <cell r="N298" t="str">
            <v>ゴッド</v>
          </cell>
          <cell r="O298" t="str">
            <v>none</v>
          </cell>
          <cell r="P298" t="str">
            <v>種族なし</v>
          </cell>
          <cell r="R298">
            <v>3</v>
          </cell>
          <cell r="S298" t="str">
            <v>NULL</v>
          </cell>
          <cell r="T298" t="str">
            <v>normal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  <cell r="N299" t="str">
            <v>ヒューマン</v>
          </cell>
          <cell r="O299" t="str">
            <v>none</v>
          </cell>
          <cell r="P299" t="str">
            <v>種族なし</v>
          </cell>
          <cell r="Q299" t="str">
            <v>アタッカー</v>
          </cell>
          <cell r="R299">
            <v>3</v>
          </cell>
          <cell r="S299" t="str">
            <v>NULL</v>
          </cell>
          <cell r="T299" t="str">
            <v>normal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  <cell r="N300" t="str">
            <v>ヒューマン</v>
          </cell>
          <cell r="O300" t="str">
            <v>none</v>
          </cell>
          <cell r="P300" t="str">
            <v>種族なし</v>
          </cell>
          <cell r="Q300" t="str">
            <v>アタッカー</v>
          </cell>
          <cell r="R300">
            <v>3</v>
          </cell>
          <cell r="S300" t="str">
            <v>NULL</v>
          </cell>
          <cell r="T300" t="str">
            <v>normal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  <cell r="N301" t="str">
            <v>ヒューマン</v>
          </cell>
          <cell r="O301" t="str">
            <v>none</v>
          </cell>
          <cell r="P301" t="str">
            <v>種族なし</v>
          </cell>
          <cell r="Q301" t="str">
            <v>デバッファー</v>
          </cell>
          <cell r="R301">
            <v>3</v>
          </cell>
          <cell r="S301" t="str">
            <v>NULL</v>
          </cell>
          <cell r="T301" t="str">
            <v>normal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  <cell r="N302" t="str">
            <v>ヒューマン</v>
          </cell>
          <cell r="O302" t="str">
            <v>none</v>
          </cell>
          <cell r="P302" t="str">
            <v>種族なし</v>
          </cell>
          <cell r="Q302" t="str">
            <v>デバッファー</v>
          </cell>
          <cell r="R302">
            <v>3</v>
          </cell>
          <cell r="S302" t="str">
            <v>NULL</v>
          </cell>
          <cell r="T302" t="str">
            <v>normal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  <cell r="N303" t="str">
            <v>ヒューマン</v>
          </cell>
          <cell r="O303" t="str">
            <v>none</v>
          </cell>
          <cell r="P303" t="str">
            <v>種族なし</v>
          </cell>
          <cell r="Q303" t="str">
            <v>アタッカー</v>
          </cell>
          <cell r="R303">
            <v>3</v>
          </cell>
          <cell r="S303" t="str">
            <v>NULL</v>
          </cell>
          <cell r="T303" t="str">
            <v>normal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  <cell r="N304" t="str">
            <v>ヒューマン</v>
          </cell>
          <cell r="O304" t="str">
            <v>none</v>
          </cell>
          <cell r="P304" t="str">
            <v>種族なし</v>
          </cell>
          <cell r="Q304" t="str">
            <v>アタッカー</v>
          </cell>
          <cell r="R304">
            <v>3</v>
          </cell>
          <cell r="S304" t="str">
            <v>NULL</v>
          </cell>
          <cell r="T304" t="str">
            <v>normal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  <cell r="N305" t="str">
            <v>ヒューマン</v>
          </cell>
          <cell r="O305" t="str">
            <v>none</v>
          </cell>
          <cell r="P305" t="str">
            <v>種族なし</v>
          </cell>
          <cell r="Q305" t="str">
            <v>アタッカー</v>
          </cell>
          <cell r="R305">
            <v>3</v>
          </cell>
          <cell r="S305" t="str">
            <v>NULL</v>
          </cell>
          <cell r="T305" t="str">
            <v>normal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  <cell r="N306" t="str">
            <v>ヒューマン</v>
          </cell>
          <cell r="O306" t="str">
            <v>none</v>
          </cell>
          <cell r="P306" t="str">
            <v>種族なし</v>
          </cell>
          <cell r="Q306" t="str">
            <v>アタッカー</v>
          </cell>
          <cell r="R306">
            <v>3</v>
          </cell>
          <cell r="S306" t="str">
            <v>NULL</v>
          </cell>
          <cell r="T306" t="str">
            <v>normal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  <cell r="N307" t="str">
            <v>アニマル</v>
          </cell>
          <cell r="O307" t="str">
            <v>none</v>
          </cell>
          <cell r="P307" t="str">
            <v>種族なし</v>
          </cell>
          <cell r="Q307" t="str">
            <v>アタッカー</v>
          </cell>
          <cell r="R307">
            <v>3</v>
          </cell>
          <cell r="S307" t="str">
            <v>NULL</v>
          </cell>
          <cell r="T307" t="str">
            <v>normal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  <cell r="N308" t="str">
            <v>アニマル</v>
          </cell>
          <cell r="O308" t="str">
            <v>none</v>
          </cell>
          <cell r="P308" t="str">
            <v>種族なし</v>
          </cell>
          <cell r="Q308" t="str">
            <v>アタッカー</v>
          </cell>
          <cell r="R308">
            <v>3</v>
          </cell>
          <cell r="S308" t="str">
            <v>NULL</v>
          </cell>
          <cell r="T308" t="str">
            <v>normal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  <cell r="N309" t="str">
            <v>アニマル</v>
          </cell>
          <cell r="O309" t="str">
            <v>none</v>
          </cell>
          <cell r="P309" t="str">
            <v>種族なし</v>
          </cell>
          <cell r="Q309" t="str">
            <v>バッファー</v>
          </cell>
          <cell r="R309">
            <v>3</v>
          </cell>
          <cell r="S309" t="str">
            <v>NULL</v>
          </cell>
          <cell r="T309" t="str">
            <v>normal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  <cell r="N310" t="str">
            <v>アニマル</v>
          </cell>
          <cell r="O310" t="str">
            <v>none</v>
          </cell>
          <cell r="P310" t="str">
            <v>種族なし</v>
          </cell>
          <cell r="Q310" t="str">
            <v>バッファー</v>
          </cell>
          <cell r="R310">
            <v>3</v>
          </cell>
          <cell r="S310" t="str">
            <v>NULL</v>
          </cell>
          <cell r="T310" t="str">
            <v>normal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  <cell r="N311" t="str">
            <v>アニマル</v>
          </cell>
          <cell r="O311" t="str">
            <v>none</v>
          </cell>
          <cell r="P311" t="str">
            <v>種族なし</v>
          </cell>
          <cell r="Q311" t="str">
            <v>ヒーラー</v>
          </cell>
          <cell r="R311">
            <v>3</v>
          </cell>
          <cell r="S311" t="str">
            <v>NULL</v>
          </cell>
          <cell r="T311" t="str">
            <v>normal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  <cell r="N312" t="str">
            <v>アニマル</v>
          </cell>
          <cell r="O312" t="str">
            <v>none</v>
          </cell>
          <cell r="P312" t="str">
            <v>種族なし</v>
          </cell>
          <cell r="Q312" t="str">
            <v>ヒーラー</v>
          </cell>
          <cell r="R312">
            <v>3</v>
          </cell>
          <cell r="S312" t="str">
            <v>NULL</v>
          </cell>
          <cell r="T312" t="str">
            <v>normal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  <cell r="N313" t="str">
            <v>アニマル</v>
          </cell>
          <cell r="O313" t="str">
            <v>none</v>
          </cell>
          <cell r="P313" t="str">
            <v>種族なし</v>
          </cell>
          <cell r="Q313" t="str">
            <v>バッファー</v>
          </cell>
          <cell r="R313">
            <v>3</v>
          </cell>
          <cell r="S313" t="str">
            <v>NULL</v>
          </cell>
          <cell r="T313" t="str">
            <v>normal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  <cell r="N314" t="str">
            <v>アニマル</v>
          </cell>
          <cell r="O314" t="str">
            <v>none</v>
          </cell>
          <cell r="P314" t="str">
            <v>種族なし</v>
          </cell>
          <cell r="Q314" t="str">
            <v>バッファー</v>
          </cell>
          <cell r="R314">
            <v>3</v>
          </cell>
          <cell r="S314" t="str">
            <v>NULL</v>
          </cell>
          <cell r="T314" t="str">
            <v>normal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  <cell r="N315" t="str">
            <v>ヒューマン</v>
          </cell>
          <cell r="O315" t="str">
            <v>none</v>
          </cell>
          <cell r="P315" t="str">
            <v>種族なし</v>
          </cell>
          <cell r="R315">
            <v>3</v>
          </cell>
          <cell r="S315" t="str">
            <v>NULL</v>
          </cell>
          <cell r="T315" t="str">
            <v>normal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  <cell r="N316" t="str">
            <v>ヒューマン</v>
          </cell>
          <cell r="O316" t="str">
            <v>none</v>
          </cell>
          <cell r="P316" t="str">
            <v>種族なし</v>
          </cell>
          <cell r="R316">
            <v>3</v>
          </cell>
          <cell r="S316" t="str">
            <v>NULL</v>
          </cell>
          <cell r="T316" t="str">
            <v>normal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  <cell r="N317" t="str">
            <v>ヒューマン</v>
          </cell>
          <cell r="O317" t="str">
            <v>none</v>
          </cell>
          <cell r="P317" t="str">
            <v>種族なし</v>
          </cell>
          <cell r="R317">
            <v>3</v>
          </cell>
          <cell r="S317" t="str">
            <v>NULL</v>
          </cell>
          <cell r="T317" t="str">
            <v>normal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  <cell r="N318" t="str">
            <v>ヒューマン</v>
          </cell>
          <cell r="O318" t="str">
            <v>none</v>
          </cell>
          <cell r="P318" t="str">
            <v>種族なし</v>
          </cell>
          <cell r="R318">
            <v>3</v>
          </cell>
          <cell r="S318" t="str">
            <v>NULL</v>
          </cell>
          <cell r="T318" t="str">
            <v>normal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  <cell r="N319" t="str">
            <v>ヒューマン</v>
          </cell>
          <cell r="O319" t="str">
            <v>none</v>
          </cell>
          <cell r="P319" t="str">
            <v>種族なし</v>
          </cell>
          <cell r="Q319" t="str">
            <v>ヒーラー</v>
          </cell>
          <cell r="R319">
            <v>3</v>
          </cell>
          <cell r="S319" t="str">
            <v>NULL</v>
          </cell>
          <cell r="T319" t="str">
            <v>normal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  <cell r="N320" t="str">
            <v>ヒューマン</v>
          </cell>
          <cell r="O320" t="str">
            <v>none</v>
          </cell>
          <cell r="P320" t="str">
            <v>種族なし</v>
          </cell>
          <cell r="Q320" t="str">
            <v>ヒーラー</v>
          </cell>
          <cell r="R320">
            <v>3</v>
          </cell>
          <cell r="S320" t="str">
            <v>NULL</v>
          </cell>
          <cell r="T320" t="str">
            <v>normal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  <cell r="N321" t="str">
            <v>ヒューマン</v>
          </cell>
          <cell r="O321" t="str">
            <v>none</v>
          </cell>
          <cell r="P321" t="str">
            <v>種族なし</v>
          </cell>
          <cell r="R321">
            <v>3</v>
          </cell>
          <cell r="S321" t="str">
            <v>NULL</v>
          </cell>
          <cell r="T321" t="str">
            <v>normal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  <cell r="N322" t="str">
            <v>ヒューマン</v>
          </cell>
          <cell r="O322" t="str">
            <v>none</v>
          </cell>
          <cell r="P322" t="str">
            <v>種族なし</v>
          </cell>
          <cell r="R322">
            <v>3</v>
          </cell>
          <cell r="S322" t="str">
            <v>NULL</v>
          </cell>
          <cell r="T322" t="str">
            <v>normal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  <cell r="N323" t="str">
            <v>ヒューマン</v>
          </cell>
          <cell r="O323" t="str">
            <v>none</v>
          </cell>
          <cell r="P323" t="str">
            <v>種族なし</v>
          </cell>
          <cell r="R323">
            <v>3</v>
          </cell>
          <cell r="S323" t="str">
            <v>NULL</v>
          </cell>
          <cell r="T323" t="str">
            <v>normal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  <cell r="N324" t="str">
            <v>ヒューマン</v>
          </cell>
          <cell r="O324" t="str">
            <v>none</v>
          </cell>
          <cell r="P324" t="str">
            <v>種族なし</v>
          </cell>
          <cell r="R324">
            <v>3</v>
          </cell>
          <cell r="S324" t="str">
            <v>NULL</v>
          </cell>
          <cell r="T324" t="str">
            <v>normal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  <cell r="N325" t="str">
            <v>ヒューマン</v>
          </cell>
          <cell r="O325" t="str">
            <v>none</v>
          </cell>
          <cell r="P325" t="str">
            <v>種族なし</v>
          </cell>
          <cell r="Q325" t="str">
            <v>アタッカー</v>
          </cell>
          <cell r="R325">
            <v>3</v>
          </cell>
          <cell r="S325" t="str">
            <v>NULL</v>
          </cell>
          <cell r="T325" t="str">
            <v>normal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  <cell r="N326" t="str">
            <v>ヒューマン</v>
          </cell>
          <cell r="O326" t="str">
            <v>none</v>
          </cell>
          <cell r="P326" t="str">
            <v>種族なし</v>
          </cell>
          <cell r="Q326" t="str">
            <v>アタッカー</v>
          </cell>
          <cell r="R326">
            <v>3</v>
          </cell>
          <cell r="S326" t="str">
            <v>NULL</v>
          </cell>
          <cell r="T326" t="str">
            <v>normal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  <cell r="N327" t="str">
            <v>ヒューマン</v>
          </cell>
          <cell r="O327" t="str">
            <v>none</v>
          </cell>
          <cell r="P327" t="str">
            <v>種族なし</v>
          </cell>
          <cell r="R327">
            <v>3</v>
          </cell>
          <cell r="S327" t="str">
            <v>NULL</v>
          </cell>
          <cell r="T327" t="str">
            <v>normal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  <cell r="N328" t="str">
            <v>ヒューマン</v>
          </cell>
          <cell r="O328" t="str">
            <v>none</v>
          </cell>
          <cell r="P328" t="str">
            <v>種族なし</v>
          </cell>
          <cell r="R328">
            <v>3</v>
          </cell>
          <cell r="S328" t="str">
            <v>NULL</v>
          </cell>
          <cell r="T328" t="str">
            <v>normal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  <cell r="N329" t="str">
            <v>ヒューマン</v>
          </cell>
          <cell r="O329" t="str">
            <v>none</v>
          </cell>
          <cell r="P329" t="str">
            <v>種族なし</v>
          </cell>
          <cell r="R329">
            <v>3</v>
          </cell>
          <cell r="S329" t="str">
            <v>NULL</v>
          </cell>
          <cell r="T329" t="str">
            <v>normal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  <cell r="N330" t="str">
            <v>ヒューマン</v>
          </cell>
          <cell r="O330" t="str">
            <v>none</v>
          </cell>
          <cell r="P330" t="str">
            <v>種族なし</v>
          </cell>
          <cell r="R330">
            <v>1</v>
          </cell>
          <cell r="S330" t="str">
            <v>NULL</v>
          </cell>
          <cell r="T330" t="str">
            <v>normal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  <cell r="N331" t="str">
            <v>マシン</v>
          </cell>
          <cell r="O331" t="str">
            <v>god</v>
          </cell>
          <cell r="P331" t="str">
            <v>ゴッド</v>
          </cell>
          <cell r="R331">
            <v>3</v>
          </cell>
          <cell r="S331" t="str">
            <v>NULL</v>
          </cell>
          <cell r="T331" t="str">
            <v>normal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  <cell r="N332" t="str">
            <v>Unknown</v>
          </cell>
          <cell r="O332" t="str">
            <v>none</v>
          </cell>
          <cell r="P332" t="str">
            <v>種族なし</v>
          </cell>
          <cell r="R332">
            <v>3</v>
          </cell>
          <cell r="S332" t="str">
            <v>NULL</v>
          </cell>
          <cell r="T332" t="str">
            <v>normal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  <cell r="N333" t="str">
            <v>Unknown</v>
          </cell>
          <cell r="O333" t="str">
            <v>none</v>
          </cell>
          <cell r="P333" t="str">
            <v>種族なし</v>
          </cell>
          <cell r="Q333" t="str">
            <v>強化素材</v>
          </cell>
          <cell r="R333">
            <v>3</v>
          </cell>
          <cell r="S333" t="str">
            <v>NULL</v>
          </cell>
          <cell r="T333" t="str">
            <v>normal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  <cell r="N334" t="str">
            <v>Unknown</v>
          </cell>
          <cell r="O334" t="str">
            <v>none</v>
          </cell>
          <cell r="P334" t="str">
            <v>種族なし</v>
          </cell>
          <cell r="Q334" t="str">
            <v>強化素材</v>
          </cell>
          <cell r="R334">
            <v>3</v>
          </cell>
          <cell r="S334" t="str">
            <v>NULL</v>
          </cell>
          <cell r="T334" t="str">
            <v>normal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  <cell r="N335" t="str">
            <v>Unknown</v>
          </cell>
          <cell r="O335" t="str">
            <v>none</v>
          </cell>
          <cell r="P335" t="str">
            <v>種族なし</v>
          </cell>
          <cell r="Q335" t="str">
            <v>強化素材</v>
          </cell>
          <cell r="R335">
            <v>3</v>
          </cell>
          <cell r="S335" t="str">
            <v>NULL</v>
          </cell>
          <cell r="T335" t="str">
            <v>normal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  <cell r="N336" t="str">
            <v>Unknown</v>
          </cell>
          <cell r="O336" t="str">
            <v>none</v>
          </cell>
          <cell r="P336" t="str">
            <v>種族なし</v>
          </cell>
          <cell r="Q336" t="str">
            <v>強化素材</v>
          </cell>
          <cell r="R336">
            <v>3</v>
          </cell>
          <cell r="S336" t="str">
            <v>NULL</v>
          </cell>
          <cell r="T336" t="str">
            <v>normal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  <cell r="N337" t="str">
            <v>Unknown</v>
          </cell>
          <cell r="O337" t="str">
            <v>none</v>
          </cell>
          <cell r="P337" t="str">
            <v>種族なし</v>
          </cell>
          <cell r="Q337" t="str">
            <v>強化素材</v>
          </cell>
          <cell r="R337">
            <v>3</v>
          </cell>
          <cell r="S337" t="str">
            <v>NULL</v>
          </cell>
          <cell r="T337" t="str">
            <v>normal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  <cell r="N338" t="str">
            <v>Unknown</v>
          </cell>
          <cell r="O338" t="str">
            <v>none</v>
          </cell>
          <cell r="P338" t="str">
            <v>種族なし</v>
          </cell>
          <cell r="Q338" t="str">
            <v>強化素材</v>
          </cell>
          <cell r="R338">
            <v>3</v>
          </cell>
          <cell r="S338" t="str">
            <v>NULL</v>
          </cell>
          <cell r="T338" t="str">
            <v>normal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  <cell r="N339" t="str">
            <v>Unknown</v>
          </cell>
          <cell r="O339" t="str">
            <v>none</v>
          </cell>
          <cell r="P339" t="str">
            <v>種族なし</v>
          </cell>
          <cell r="Q339" t="str">
            <v>強化素材</v>
          </cell>
          <cell r="R339">
            <v>3</v>
          </cell>
          <cell r="S339" t="str">
            <v>NULL</v>
          </cell>
          <cell r="T339" t="str">
            <v>normal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  <cell r="N340" t="str">
            <v>Unknown</v>
          </cell>
          <cell r="O340" t="str">
            <v>none</v>
          </cell>
          <cell r="P340" t="str">
            <v>種族なし</v>
          </cell>
          <cell r="Q340" t="str">
            <v>強化素材</v>
          </cell>
          <cell r="R340">
            <v>3</v>
          </cell>
          <cell r="S340" t="str">
            <v>NULL</v>
          </cell>
          <cell r="T340" t="str">
            <v>normal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  <cell r="N341" t="str">
            <v>Unknown</v>
          </cell>
          <cell r="O341" t="str">
            <v>none</v>
          </cell>
          <cell r="P341" t="str">
            <v>種族なし</v>
          </cell>
          <cell r="Q341" t="str">
            <v>強化素材</v>
          </cell>
          <cell r="R341">
            <v>3</v>
          </cell>
          <cell r="S341" t="str">
            <v>NULL</v>
          </cell>
          <cell r="T341" t="str">
            <v>normal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  <cell r="N342" t="str">
            <v>Unknown</v>
          </cell>
          <cell r="O342" t="str">
            <v>none</v>
          </cell>
          <cell r="P342" t="str">
            <v>種族なし</v>
          </cell>
          <cell r="Q342" t="str">
            <v>強化素材</v>
          </cell>
          <cell r="R342">
            <v>3</v>
          </cell>
          <cell r="S342" t="str">
            <v>NULL</v>
          </cell>
          <cell r="T342" t="str">
            <v>normal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  <cell r="N343" t="str">
            <v>Unknown</v>
          </cell>
          <cell r="O343" t="str">
            <v>none</v>
          </cell>
          <cell r="P343" t="str">
            <v>種族なし</v>
          </cell>
          <cell r="Q343" t="str">
            <v>強化素材</v>
          </cell>
          <cell r="R343">
            <v>3</v>
          </cell>
          <cell r="S343" t="str">
            <v>NULL</v>
          </cell>
          <cell r="T343" t="str">
            <v>normal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  <cell r="N344" t="str">
            <v>Unknown</v>
          </cell>
          <cell r="O344" t="str">
            <v>none</v>
          </cell>
          <cell r="P344" t="str">
            <v>種族なし</v>
          </cell>
          <cell r="Q344" t="str">
            <v>強化素材</v>
          </cell>
          <cell r="R344">
            <v>3</v>
          </cell>
          <cell r="S344" t="str">
            <v>NULL</v>
          </cell>
          <cell r="T344" t="str">
            <v>normal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  <cell r="N345" t="str">
            <v>Unknown</v>
          </cell>
          <cell r="O345" t="str">
            <v>none</v>
          </cell>
          <cell r="P345" t="str">
            <v>種族なし</v>
          </cell>
          <cell r="Q345" t="str">
            <v>強化素材</v>
          </cell>
          <cell r="R345">
            <v>3</v>
          </cell>
          <cell r="S345" t="str">
            <v>NULL</v>
          </cell>
          <cell r="T345" t="str">
            <v>normal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  <cell r="N346" t="str">
            <v>Unknown</v>
          </cell>
          <cell r="O346" t="str">
            <v>none</v>
          </cell>
          <cell r="P346" t="str">
            <v>種族なし</v>
          </cell>
          <cell r="Q346" t="str">
            <v>強化素材</v>
          </cell>
          <cell r="R346">
            <v>3</v>
          </cell>
          <cell r="S346" t="str">
            <v>NULL</v>
          </cell>
          <cell r="T346" t="str">
            <v>normal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  <cell r="N347" t="str">
            <v>Unknown</v>
          </cell>
          <cell r="O347" t="str">
            <v>none</v>
          </cell>
          <cell r="P347" t="str">
            <v>種族なし</v>
          </cell>
          <cell r="Q347" t="str">
            <v>強化素材</v>
          </cell>
          <cell r="R347">
            <v>3</v>
          </cell>
          <cell r="S347" t="str">
            <v>NULL</v>
          </cell>
          <cell r="T347" t="str">
            <v>normal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  <cell r="N348" t="str">
            <v>Unknown</v>
          </cell>
          <cell r="O348" t="str">
            <v>none</v>
          </cell>
          <cell r="P348" t="str">
            <v>種族なし</v>
          </cell>
          <cell r="Q348" t="str">
            <v>強化素材</v>
          </cell>
          <cell r="R348">
            <v>3</v>
          </cell>
          <cell r="S348" t="str">
            <v>NULL</v>
          </cell>
          <cell r="T348" t="str">
            <v>normal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  <cell r="N349" t="str">
            <v>Unknown</v>
          </cell>
          <cell r="O349" t="str">
            <v>none</v>
          </cell>
          <cell r="P349" t="str">
            <v>種族なし</v>
          </cell>
          <cell r="Q349" t="str">
            <v>強化素材</v>
          </cell>
          <cell r="R349">
            <v>3</v>
          </cell>
          <cell r="S349" t="str">
            <v>NULL</v>
          </cell>
          <cell r="T349" t="str">
            <v>normal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  <cell r="N350" t="str">
            <v>Unknown</v>
          </cell>
          <cell r="O350" t="str">
            <v>none</v>
          </cell>
          <cell r="P350" t="str">
            <v>種族なし</v>
          </cell>
          <cell r="Q350" t="str">
            <v>強化素材</v>
          </cell>
          <cell r="R350">
            <v>3</v>
          </cell>
          <cell r="S350" t="str">
            <v>NULL</v>
          </cell>
          <cell r="T350" t="str">
            <v>normal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  <cell r="N351" t="str">
            <v>Unknown</v>
          </cell>
          <cell r="O351" t="str">
            <v>none</v>
          </cell>
          <cell r="P351" t="str">
            <v>種族なし</v>
          </cell>
          <cell r="Q351" t="str">
            <v>強化素材</v>
          </cell>
          <cell r="R351">
            <v>3</v>
          </cell>
          <cell r="S351" t="str">
            <v>NULL</v>
          </cell>
          <cell r="T351" t="str">
            <v>normal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  <cell r="N352" t="str">
            <v>Unknown</v>
          </cell>
          <cell r="O352" t="str">
            <v>none</v>
          </cell>
          <cell r="P352" t="str">
            <v>種族なし</v>
          </cell>
          <cell r="Q352" t="str">
            <v>強化素材</v>
          </cell>
          <cell r="R352">
            <v>3</v>
          </cell>
          <cell r="S352" t="str">
            <v>NULL</v>
          </cell>
          <cell r="T352" t="str">
            <v>normal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  <cell r="N353" t="str">
            <v>Unknown</v>
          </cell>
          <cell r="O353" t="str">
            <v>none</v>
          </cell>
          <cell r="P353" t="str">
            <v>種族なし</v>
          </cell>
          <cell r="Q353" t="str">
            <v>強化素材</v>
          </cell>
          <cell r="R353">
            <v>3</v>
          </cell>
          <cell r="S353" t="str">
            <v>NULL</v>
          </cell>
          <cell r="T353" t="str">
            <v>normal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  <cell r="N354" t="str">
            <v>Unknown</v>
          </cell>
          <cell r="O354" t="str">
            <v>none</v>
          </cell>
          <cell r="P354" t="str">
            <v>種族なし</v>
          </cell>
          <cell r="Q354" t="str">
            <v>強化素材</v>
          </cell>
          <cell r="R354">
            <v>3</v>
          </cell>
          <cell r="S354" t="str">
            <v>NULL</v>
          </cell>
          <cell r="T354" t="str">
            <v>normal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  <cell r="N355" t="str">
            <v>Unknown</v>
          </cell>
          <cell r="O355" t="str">
            <v>none</v>
          </cell>
          <cell r="P355" t="str">
            <v>種族なし</v>
          </cell>
          <cell r="Q355" t="str">
            <v>強化素材</v>
          </cell>
          <cell r="R355">
            <v>3</v>
          </cell>
          <cell r="S355" t="str">
            <v>NULL</v>
          </cell>
          <cell r="T355" t="str">
            <v>normal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  <cell r="N356" t="str">
            <v>Unknown</v>
          </cell>
          <cell r="O356" t="str">
            <v>none</v>
          </cell>
          <cell r="P356" t="str">
            <v>種族なし</v>
          </cell>
          <cell r="Q356" t="str">
            <v>強化素材</v>
          </cell>
          <cell r="R356">
            <v>3</v>
          </cell>
          <cell r="S356" t="str">
            <v>NULL</v>
          </cell>
          <cell r="T356" t="str">
            <v>normal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  <cell r="N357" t="str">
            <v>Unknown</v>
          </cell>
          <cell r="O357" t="str">
            <v>none</v>
          </cell>
          <cell r="P357" t="str">
            <v>種族なし</v>
          </cell>
          <cell r="Q357" t="str">
            <v>進化素材</v>
          </cell>
          <cell r="R357">
            <v>3</v>
          </cell>
          <cell r="S357" t="str">
            <v>NULL</v>
          </cell>
          <cell r="T357" t="str">
            <v>normal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  <cell r="N358" t="str">
            <v>Unknown</v>
          </cell>
          <cell r="O358" t="str">
            <v>none</v>
          </cell>
          <cell r="P358" t="str">
            <v>種族なし</v>
          </cell>
          <cell r="Q358" t="str">
            <v>進化素材</v>
          </cell>
          <cell r="R358">
            <v>3</v>
          </cell>
          <cell r="S358" t="str">
            <v>NULL</v>
          </cell>
          <cell r="T358" t="str">
            <v>normal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  <cell r="N359" t="str">
            <v>Unknown</v>
          </cell>
          <cell r="O359" t="str">
            <v>none</v>
          </cell>
          <cell r="P359" t="str">
            <v>種族なし</v>
          </cell>
          <cell r="Q359" t="str">
            <v>進化素材</v>
          </cell>
          <cell r="R359">
            <v>3</v>
          </cell>
          <cell r="S359" t="str">
            <v>NULL</v>
          </cell>
          <cell r="T359" t="str">
            <v>normal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  <cell r="N360" t="str">
            <v>Unknown</v>
          </cell>
          <cell r="O360" t="str">
            <v>none</v>
          </cell>
          <cell r="P360" t="str">
            <v>種族なし</v>
          </cell>
          <cell r="Q360" t="str">
            <v>進化素材</v>
          </cell>
          <cell r="R360">
            <v>3</v>
          </cell>
          <cell r="S360" t="str">
            <v>NULL</v>
          </cell>
          <cell r="T360" t="str">
            <v>normal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  <cell r="N361" t="str">
            <v>アニマル</v>
          </cell>
          <cell r="O361" t="str">
            <v>none</v>
          </cell>
          <cell r="P361" t="str">
            <v>種族なし</v>
          </cell>
          <cell r="R361">
            <v>3</v>
          </cell>
          <cell r="S361" t="str">
            <v>NULL</v>
          </cell>
          <cell r="T361" t="str">
            <v>normal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  <cell r="N362" t="str">
            <v>アニマル</v>
          </cell>
          <cell r="O362" t="str">
            <v>none</v>
          </cell>
          <cell r="P362" t="str">
            <v>種族なし</v>
          </cell>
          <cell r="R362">
            <v>3</v>
          </cell>
          <cell r="S362" t="str">
            <v>NULL</v>
          </cell>
          <cell r="T362" t="str">
            <v>normal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  <cell r="N363" t="str">
            <v>アニマル</v>
          </cell>
          <cell r="O363" t="str">
            <v>human</v>
          </cell>
          <cell r="P363" t="str">
            <v>ヒューマン</v>
          </cell>
          <cell r="R363">
            <v>3</v>
          </cell>
          <cell r="S363" t="str">
            <v>NULL</v>
          </cell>
          <cell r="T363" t="str">
            <v>normal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  <cell r="N364" t="str">
            <v>アニマル</v>
          </cell>
          <cell r="O364" t="str">
            <v>human</v>
          </cell>
          <cell r="P364" t="str">
            <v>ヒューマン</v>
          </cell>
          <cell r="R364">
            <v>3</v>
          </cell>
          <cell r="S364" t="str">
            <v>NULL</v>
          </cell>
          <cell r="T364" t="str">
            <v>normal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  <cell r="N365" t="str">
            <v>アニマル</v>
          </cell>
          <cell r="O365" t="str">
            <v>none</v>
          </cell>
          <cell r="P365" t="str">
            <v>種族なし</v>
          </cell>
          <cell r="R365">
            <v>3</v>
          </cell>
          <cell r="S365" t="str">
            <v>NULL</v>
          </cell>
          <cell r="T365" t="str">
            <v>normal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  <cell r="N366" t="str">
            <v>アニマル</v>
          </cell>
          <cell r="O366" t="str">
            <v>none</v>
          </cell>
          <cell r="P366" t="str">
            <v>種族なし</v>
          </cell>
          <cell r="R366">
            <v>3</v>
          </cell>
          <cell r="S366" t="str">
            <v>NULL</v>
          </cell>
          <cell r="T366" t="str">
            <v>normal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  <cell r="N367" t="str">
            <v>アニマル</v>
          </cell>
          <cell r="O367" t="str">
            <v>none</v>
          </cell>
          <cell r="P367" t="str">
            <v>種族なし</v>
          </cell>
          <cell r="R367">
            <v>3</v>
          </cell>
          <cell r="S367" t="str">
            <v>NULL</v>
          </cell>
          <cell r="T367" t="str">
            <v>normal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  <cell r="N368" t="str">
            <v>アニマル</v>
          </cell>
          <cell r="O368" t="str">
            <v>none</v>
          </cell>
          <cell r="P368" t="str">
            <v>種族なし</v>
          </cell>
          <cell r="R368">
            <v>3</v>
          </cell>
          <cell r="S368" t="str">
            <v>NULL</v>
          </cell>
          <cell r="T368" t="str">
            <v>normal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  <cell r="N369" t="str">
            <v>ヒューマン</v>
          </cell>
          <cell r="O369" t="str">
            <v>machine</v>
          </cell>
          <cell r="P369" t="str">
            <v>マシン</v>
          </cell>
          <cell r="R369">
            <v>3</v>
          </cell>
          <cell r="S369" t="str">
            <v>NULL</v>
          </cell>
          <cell r="T369" t="str">
            <v>normal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  <cell r="N370" t="str">
            <v>ヒューマン</v>
          </cell>
          <cell r="O370" t="str">
            <v>machine</v>
          </cell>
          <cell r="P370" t="str">
            <v>マシン</v>
          </cell>
          <cell r="R370">
            <v>3</v>
          </cell>
          <cell r="S370" t="str">
            <v>NULL</v>
          </cell>
          <cell r="T370" t="str">
            <v>normal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  <cell r="N371" t="str">
            <v>Unknown</v>
          </cell>
          <cell r="O371" t="str">
            <v>none</v>
          </cell>
          <cell r="P371" t="str">
            <v>種族なし</v>
          </cell>
          <cell r="R371">
            <v>3</v>
          </cell>
          <cell r="S371" t="str">
            <v>NULL</v>
          </cell>
          <cell r="T371" t="str">
            <v>normal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  <cell r="N372" t="str">
            <v>Unknown</v>
          </cell>
          <cell r="O372" t="str">
            <v>none</v>
          </cell>
          <cell r="P372" t="str">
            <v>種族なし</v>
          </cell>
          <cell r="R372">
            <v>3</v>
          </cell>
          <cell r="S372" t="str">
            <v>NULL</v>
          </cell>
          <cell r="T372" t="str">
            <v>normal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  <cell r="N373" t="str">
            <v>Unknown</v>
          </cell>
          <cell r="O373" t="str">
            <v>none</v>
          </cell>
          <cell r="P373" t="str">
            <v>種族なし</v>
          </cell>
          <cell r="R373">
            <v>3</v>
          </cell>
          <cell r="S373" t="str">
            <v>NULL</v>
          </cell>
          <cell r="T373" t="str">
            <v>normal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  <cell r="N374" t="str">
            <v>Unknown</v>
          </cell>
          <cell r="O374" t="str">
            <v>none</v>
          </cell>
          <cell r="P374" t="str">
            <v>種族なし</v>
          </cell>
          <cell r="R374">
            <v>3</v>
          </cell>
          <cell r="S374" t="str">
            <v>NULL</v>
          </cell>
          <cell r="T374" t="str">
            <v>normal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  <cell r="N375" t="str">
            <v>アニマル</v>
          </cell>
          <cell r="O375" t="str">
            <v>none</v>
          </cell>
          <cell r="P375" t="str">
            <v>種族なし</v>
          </cell>
          <cell r="R375">
            <v>3</v>
          </cell>
          <cell r="S375" t="str">
            <v>NULL</v>
          </cell>
          <cell r="T375" t="str">
            <v>normal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  <cell r="N376" t="str">
            <v>アニマル</v>
          </cell>
          <cell r="O376" t="str">
            <v>none</v>
          </cell>
          <cell r="P376" t="str">
            <v>種族なし</v>
          </cell>
          <cell r="R376">
            <v>3</v>
          </cell>
          <cell r="S376" t="str">
            <v>NULL</v>
          </cell>
          <cell r="T376" t="str">
            <v>normal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  <cell r="N377" t="str">
            <v>アニマル</v>
          </cell>
          <cell r="O377" t="str">
            <v>none</v>
          </cell>
          <cell r="P377" t="str">
            <v>種族なし</v>
          </cell>
          <cell r="R377">
            <v>3</v>
          </cell>
          <cell r="S377" t="str">
            <v>NULL</v>
          </cell>
          <cell r="T377" t="str">
            <v>normal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  <cell r="N378" t="str">
            <v>アニマル</v>
          </cell>
          <cell r="O378" t="str">
            <v>none</v>
          </cell>
          <cell r="P378" t="str">
            <v>種族なし</v>
          </cell>
          <cell r="R378">
            <v>3</v>
          </cell>
          <cell r="S378" t="str">
            <v>NULL</v>
          </cell>
          <cell r="T378" t="str">
            <v>normal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  <cell r="N379" t="str">
            <v>ヒューマン</v>
          </cell>
          <cell r="O379" t="str">
            <v>none</v>
          </cell>
          <cell r="P379" t="str">
            <v>種族なし</v>
          </cell>
          <cell r="R379">
            <v>3</v>
          </cell>
          <cell r="S379" t="str">
            <v>NULL</v>
          </cell>
          <cell r="T379" t="str">
            <v>normal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  <cell r="N380" t="str">
            <v>ヒューマン</v>
          </cell>
          <cell r="O380" t="str">
            <v>none</v>
          </cell>
          <cell r="P380" t="str">
            <v>種族なし</v>
          </cell>
          <cell r="R380">
            <v>3</v>
          </cell>
          <cell r="S380" t="str">
            <v>NULL</v>
          </cell>
          <cell r="T380" t="str">
            <v>normal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  <cell r="N381" t="str">
            <v>ドラゴン</v>
          </cell>
          <cell r="O381" t="str">
            <v>none</v>
          </cell>
          <cell r="P381" t="str">
            <v>種族なし</v>
          </cell>
          <cell r="R381">
            <v>3</v>
          </cell>
          <cell r="S381" t="str">
            <v>NULL</v>
          </cell>
          <cell r="T381" t="str">
            <v>normal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  <cell r="N382" t="str">
            <v>ドラゴン</v>
          </cell>
          <cell r="O382" t="str">
            <v>none</v>
          </cell>
          <cell r="P382" t="str">
            <v>種族なし</v>
          </cell>
          <cell r="R382">
            <v>3</v>
          </cell>
          <cell r="S382" t="str">
            <v>NULL</v>
          </cell>
          <cell r="T382" t="str">
            <v>normal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  <cell r="N383" t="str">
            <v>ドラゴン</v>
          </cell>
          <cell r="O383" t="str">
            <v>none</v>
          </cell>
          <cell r="P383" t="str">
            <v>種族なし</v>
          </cell>
          <cell r="R383">
            <v>3</v>
          </cell>
          <cell r="S383" t="str">
            <v>NULL</v>
          </cell>
          <cell r="T383" t="str">
            <v>normal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  <cell r="N384" t="str">
            <v>ドラゴン</v>
          </cell>
          <cell r="O384" t="str">
            <v>none</v>
          </cell>
          <cell r="P384" t="str">
            <v>種族なし</v>
          </cell>
          <cell r="R384">
            <v>3</v>
          </cell>
          <cell r="S384" t="str">
            <v>NULL</v>
          </cell>
          <cell r="T384" t="str">
            <v>normal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  <cell r="N385" t="str">
            <v>ドラゴン</v>
          </cell>
          <cell r="O385" t="str">
            <v>none</v>
          </cell>
          <cell r="P385" t="str">
            <v>種族なし</v>
          </cell>
          <cell r="R385">
            <v>3</v>
          </cell>
          <cell r="S385" t="str">
            <v>NULL</v>
          </cell>
          <cell r="T385" t="str">
            <v>normal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  <cell r="N386" t="str">
            <v>ドラゴン</v>
          </cell>
          <cell r="O386" t="str">
            <v>none</v>
          </cell>
          <cell r="P386" t="str">
            <v>種族なし</v>
          </cell>
          <cell r="R386">
            <v>3</v>
          </cell>
          <cell r="S386" t="str">
            <v>NULL</v>
          </cell>
          <cell r="T386" t="str">
            <v>normal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  <cell r="N387" t="str">
            <v>ドラゴン</v>
          </cell>
          <cell r="O387" t="str">
            <v>none</v>
          </cell>
          <cell r="P387" t="str">
            <v>種族なし</v>
          </cell>
          <cell r="R387">
            <v>3</v>
          </cell>
          <cell r="S387" t="str">
            <v>NULL</v>
          </cell>
          <cell r="T387" t="str">
            <v>normal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  <cell r="N388" t="str">
            <v>アニマル</v>
          </cell>
          <cell r="O388" t="str">
            <v>none</v>
          </cell>
          <cell r="P388" t="str">
            <v>種族なし</v>
          </cell>
          <cell r="R388">
            <v>3</v>
          </cell>
          <cell r="S388" t="str">
            <v>NULL</v>
          </cell>
          <cell r="T388" t="str">
            <v>normal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  <cell r="N389" t="str">
            <v>アニマル</v>
          </cell>
          <cell r="O389" t="str">
            <v>none</v>
          </cell>
          <cell r="P389" t="str">
            <v>種族なし</v>
          </cell>
          <cell r="Q389" t="str">
            <v>アタッカー</v>
          </cell>
          <cell r="R389">
            <v>3</v>
          </cell>
          <cell r="S389" t="str">
            <v>NULL</v>
          </cell>
          <cell r="T389" t="str">
            <v>normal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  <cell r="N390" t="str">
            <v>アニマル</v>
          </cell>
          <cell r="O390" t="str">
            <v>none</v>
          </cell>
          <cell r="P390" t="str">
            <v>種族なし</v>
          </cell>
          <cell r="Q390" t="str">
            <v>アタッカー</v>
          </cell>
          <cell r="R390">
            <v>3</v>
          </cell>
          <cell r="S390" t="str">
            <v>NULL</v>
          </cell>
          <cell r="T390" t="str">
            <v>normal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  <cell r="N391" t="str">
            <v>ヒューマン</v>
          </cell>
          <cell r="O391" t="str">
            <v>machine</v>
          </cell>
          <cell r="P391" t="str">
            <v>マシン</v>
          </cell>
          <cell r="Q391" t="str">
            <v>アタッカー</v>
          </cell>
          <cell r="R391">
            <v>3</v>
          </cell>
          <cell r="S391" t="str">
            <v>NULL</v>
          </cell>
          <cell r="T391" t="str">
            <v>normal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  <cell r="N392" t="str">
            <v>ヒューマン</v>
          </cell>
          <cell r="O392" t="str">
            <v>machine</v>
          </cell>
          <cell r="P392" t="str">
            <v>マシン</v>
          </cell>
          <cell r="Q392" t="str">
            <v>アタッカー</v>
          </cell>
          <cell r="R392">
            <v>3</v>
          </cell>
          <cell r="S392" t="str">
            <v>NULL</v>
          </cell>
          <cell r="T392" t="str">
            <v>normal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  <cell r="N393" t="str">
            <v>ヒューマン</v>
          </cell>
          <cell r="O393" t="str">
            <v>machine</v>
          </cell>
          <cell r="P393" t="str">
            <v>マシン</v>
          </cell>
          <cell r="Q393" t="str">
            <v>アタッカー</v>
          </cell>
          <cell r="R393">
            <v>3</v>
          </cell>
          <cell r="S393" t="str">
            <v>NULL</v>
          </cell>
          <cell r="T393" t="str">
            <v>normal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  <cell r="N394" t="str">
            <v>ヒューマン</v>
          </cell>
          <cell r="O394" t="str">
            <v>machine</v>
          </cell>
          <cell r="P394" t="str">
            <v>マシン</v>
          </cell>
          <cell r="Q394" t="str">
            <v>アタッカー</v>
          </cell>
          <cell r="R394">
            <v>3</v>
          </cell>
          <cell r="S394" t="str">
            <v>NULL</v>
          </cell>
          <cell r="T394" t="str">
            <v>normal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  <cell r="N395" t="str">
            <v>ヒューマン</v>
          </cell>
          <cell r="O395" t="str">
            <v>machine</v>
          </cell>
          <cell r="P395" t="str">
            <v>マシン</v>
          </cell>
          <cell r="Q395" t="str">
            <v>アタッカー</v>
          </cell>
          <cell r="R395">
            <v>3</v>
          </cell>
          <cell r="S395" t="str">
            <v>NULL</v>
          </cell>
          <cell r="T395" t="str">
            <v>normal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  <cell r="N396" t="str">
            <v>ヒューマン</v>
          </cell>
          <cell r="O396" t="str">
            <v>machine</v>
          </cell>
          <cell r="P396" t="str">
            <v>マシン</v>
          </cell>
          <cell r="Q396" t="str">
            <v>アタッカー</v>
          </cell>
          <cell r="R396">
            <v>3</v>
          </cell>
          <cell r="S396" t="str">
            <v>NULL</v>
          </cell>
          <cell r="T396" t="str">
            <v>normal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  <cell r="N397" t="str">
            <v>ヒューマン</v>
          </cell>
          <cell r="O397" t="str">
            <v>machine</v>
          </cell>
          <cell r="P397" t="str">
            <v>マシン</v>
          </cell>
          <cell r="Q397" t="str">
            <v>アタッカー</v>
          </cell>
          <cell r="R397">
            <v>3</v>
          </cell>
          <cell r="S397" t="str">
            <v>NULL</v>
          </cell>
          <cell r="T397" t="str">
            <v>normal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  <cell r="N398" t="str">
            <v>ヒューマン</v>
          </cell>
          <cell r="O398" t="str">
            <v>machine</v>
          </cell>
          <cell r="P398" t="str">
            <v>マシン</v>
          </cell>
          <cell r="Q398" t="str">
            <v>アタッカー</v>
          </cell>
          <cell r="R398">
            <v>3</v>
          </cell>
          <cell r="S398" t="str">
            <v>NULL</v>
          </cell>
          <cell r="T398" t="str">
            <v>normal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  <cell r="N399" t="str">
            <v>ヒューマン</v>
          </cell>
          <cell r="O399" t="str">
            <v>machine</v>
          </cell>
          <cell r="P399" t="str">
            <v>マシン</v>
          </cell>
          <cell r="Q399" t="str">
            <v>アタッカー</v>
          </cell>
          <cell r="R399">
            <v>3</v>
          </cell>
          <cell r="S399" t="str">
            <v>NULL</v>
          </cell>
          <cell r="T399" t="str">
            <v>normal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  <cell r="N400" t="str">
            <v>ヒューマン</v>
          </cell>
          <cell r="O400" t="str">
            <v>machine</v>
          </cell>
          <cell r="P400" t="str">
            <v>マシン</v>
          </cell>
          <cell r="Q400" t="str">
            <v>アタッカー</v>
          </cell>
          <cell r="R400">
            <v>3</v>
          </cell>
          <cell r="S400" t="str">
            <v>NULL</v>
          </cell>
          <cell r="T400" t="str">
            <v>normal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  <cell r="N401" t="str">
            <v>アニマル</v>
          </cell>
          <cell r="O401" t="str">
            <v>none</v>
          </cell>
          <cell r="P401" t="str">
            <v>種族なし</v>
          </cell>
          <cell r="Q401" t="str">
            <v>アタッカー</v>
          </cell>
          <cell r="R401">
            <v>3</v>
          </cell>
          <cell r="S401" t="str">
            <v>NULL</v>
          </cell>
          <cell r="T401" t="str">
            <v>normal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  <cell r="N402" t="str">
            <v>アニマル</v>
          </cell>
          <cell r="O402" t="str">
            <v>none</v>
          </cell>
          <cell r="P402" t="str">
            <v>種族なし</v>
          </cell>
          <cell r="Q402" t="str">
            <v>アタッカー</v>
          </cell>
          <cell r="R402">
            <v>3</v>
          </cell>
          <cell r="S402" t="str">
            <v>NULL</v>
          </cell>
          <cell r="T402" t="str">
            <v>normal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  <cell r="N403" t="str">
            <v>アニマル</v>
          </cell>
          <cell r="O403" t="str">
            <v>none</v>
          </cell>
          <cell r="P403" t="str">
            <v>種族なし</v>
          </cell>
          <cell r="Q403" t="str">
            <v>アタッカー</v>
          </cell>
          <cell r="R403">
            <v>3</v>
          </cell>
          <cell r="S403" t="str">
            <v>NULL</v>
          </cell>
          <cell r="T403" t="str">
            <v>normal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  <cell r="N404" t="str">
            <v>アニマル</v>
          </cell>
          <cell r="O404" t="str">
            <v>none</v>
          </cell>
          <cell r="P404" t="str">
            <v>種族なし</v>
          </cell>
          <cell r="Q404" t="str">
            <v>アタッカー</v>
          </cell>
          <cell r="R404">
            <v>3</v>
          </cell>
          <cell r="S404" t="str">
            <v>NULL</v>
          </cell>
          <cell r="T404" t="str">
            <v>normal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  <cell r="N405" t="str">
            <v>アニマル</v>
          </cell>
          <cell r="O405" t="str">
            <v>none</v>
          </cell>
          <cell r="P405" t="str">
            <v>種族なし</v>
          </cell>
          <cell r="Q405" t="str">
            <v>アタッカー</v>
          </cell>
          <cell r="R405">
            <v>3</v>
          </cell>
          <cell r="S405" t="str">
            <v>NULL</v>
          </cell>
          <cell r="T405" t="str">
            <v>normal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  <cell r="N406" t="str">
            <v>アニマル</v>
          </cell>
          <cell r="O406" t="str">
            <v>none</v>
          </cell>
          <cell r="P406" t="str">
            <v>種族なし</v>
          </cell>
          <cell r="Q406" t="str">
            <v>アタッカー</v>
          </cell>
          <cell r="R406">
            <v>3</v>
          </cell>
          <cell r="S406" t="str">
            <v>NULL</v>
          </cell>
          <cell r="T406" t="str">
            <v>normal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  <cell r="N407" t="str">
            <v>アニマル</v>
          </cell>
          <cell r="O407" t="str">
            <v>none</v>
          </cell>
          <cell r="P407" t="str">
            <v>種族なし</v>
          </cell>
          <cell r="Q407" t="str">
            <v>アタッカー</v>
          </cell>
          <cell r="R407">
            <v>3</v>
          </cell>
          <cell r="S407" t="str">
            <v>NULL</v>
          </cell>
          <cell r="T407" t="str">
            <v>normal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  <cell r="N408" t="str">
            <v>アニマル</v>
          </cell>
          <cell r="O408" t="str">
            <v>none</v>
          </cell>
          <cell r="P408" t="str">
            <v>種族なし</v>
          </cell>
          <cell r="Q408" t="str">
            <v>アタッカー</v>
          </cell>
          <cell r="R408">
            <v>3</v>
          </cell>
          <cell r="S408" t="str">
            <v>NULL</v>
          </cell>
          <cell r="T408" t="str">
            <v>normal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  <cell r="N409" t="str">
            <v>ゴッド</v>
          </cell>
          <cell r="O409" t="str">
            <v>none</v>
          </cell>
          <cell r="P409" t="str">
            <v>種族なし</v>
          </cell>
          <cell r="Q409" t="str">
            <v>アタッカー</v>
          </cell>
          <cell r="R409">
            <v>3</v>
          </cell>
          <cell r="S409" t="str">
            <v>NULL</v>
          </cell>
          <cell r="T409" t="str">
            <v>normal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  <cell r="N410" t="str">
            <v>ゴッド</v>
          </cell>
          <cell r="O410" t="str">
            <v>none</v>
          </cell>
          <cell r="P410" t="str">
            <v>種族なし</v>
          </cell>
          <cell r="Q410" t="str">
            <v>アタッカー</v>
          </cell>
          <cell r="R410">
            <v>3</v>
          </cell>
          <cell r="S410" t="str">
            <v>NULL</v>
          </cell>
          <cell r="T410" t="str">
            <v>normal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  <cell r="N411" t="str">
            <v>ヒューマン</v>
          </cell>
          <cell r="O411" t="str">
            <v>none</v>
          </cell>
          <cell r="P411" t="str">
            <v>種族なし</v>
          </cell>
          <cell r="Q411" t="str">
            <v>アタッカー</v>
          </cell>
          <cell r="R411">
            <v>3</v>
          </cell>
          <cell r="S411" t="str">
            <v>NULL</v>
          </cell>
          <cell r="T411" t="str">
            <v>normal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  <cell r="N412" t="str">
            <v>ヒューマン</v>
          </cell>
          <cell r="O412" t="str">
            <v>none</v>
          </cell>
          <cell r="P412" t="str">
            <v>種族なし</v>
          </cell>
          <cell r="Q412" t="str">
            <v>アタッカー</v>
          </cell>
          <cell r="R412">
            <v>3</v>
          </cell>
          <cell r="S412" t="str">
            <v>NULL</v>
          </cell>
          <cell r="T412" t="str">
            <v>normal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  <cell r="N413" t="str">
            <v>Unknown</v>
          </cell>
          <cell r="O413" t="str">
            <v>none</v>
          </cell>
          <cell r="P413" t="str">
            <v>種族なし</v>
          </cell>
          <cell r="Q413" t="str">
            <v>アタッカー</v>
          </cell>
          <cell r="R413">
            <v>3</v>
          </cell>
          <cell r="S413" t="str">
            <v>NULL</v>
          </cell>
          <cell r="T413" t="str">
            <v>normal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  <cell r="N414" t="str">
            <v>Unknown</v>
          </cell>
          <cell r="O414" t="str">
            <v>none</v>
          </cell>
          <cell r="P414" t="str">
            <v>種族なし</v>
          </cell>
          <cell r="Q414" t="str">
            <v>アタッカー</v>
          </cell>
          <cell r="R414">
            <v>3</v>
          </cell>
          <cell r="S414" t="str">
            <v>NULL</v>
          </cell>
          <cell r="T414" t="str">
            <v>normal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  <cell r="N415" t="str">
            <v>Unknown</v>
          </cell>
          <cell r="O415" t="str">
            <v>none</v>
          </cell>
          <cell r="P415" t="str">
            <v>種族なし</v>
          </cell>
          <cell r="Q415" t="str">
            <v>強化素材</v>
          </cell>
          <cell r="R415">
            <v>3</v>
          </cell>
          <cell r="S415" t="str">
            <v>NULL</v>
          </cell>
          <cell r="T415" t="str">
            <v>normal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  <cell r="N416" t="str">
            <v>Unknown</v>
          </cell>
          <cell r="O416" t="str">
            <v>none</v>
          </cell>
          <cell r="P416" t="str">
            <v>種族なし</v>
          </cell>
          <cell r="Q416" t="str">
            <v>強化素材</v>
          </cell>
          <cell r="R416">
            <v>3</v>
          </cell>
          <cell r="S416" t="str">
            <v>NULL</v>
          </cell>
          <cell r="T416" t="str">
            <v>normal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  <cell r="N417" t="str">
            <v>Unknown</v>
          </cell>
          <cell r="O417" t="str">
            <v>none</v>
          </cell>
          <cell r="P417" t="str">
            <v>種族なし</v>
          </cell>
          <cell r="Q417" t="str">
            <v>強化素材</v>
          </cell>
          <cell r="R417">
            <v>3</v>
          </cell>
          <cell r="S417" t="str">
            <v>NULL</v>
          </cell>
          <cell r="T417" t="str">
            <v>normal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  <cell r="N418" t="str">
            <v>Unknown</v>
          </cell>
          <cell r="O418" t="str">
            <v>none</v>
          </cell>
          <cell r="P418" t="str">
            <v>種族なし</v>
          </cell>
          <cell r="Q418" t="str">
            <v>強化素材</v>
          </cell>
          <cell r="R418">
            <v>3</v>
          </cell>
          <cell r="S418" t="str">
            <v>NULL</v>
          </cell>
          <cell r="T418" t="str">
            <v>normal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  <cell r="N419" t="str">
            <v>ヒューマン</v>
          </cell>
          <cell r="O419" t="str">
            <v>none</v>
          </cell>
          <cell r="P419" t="str">
            <v>種族なし</v>
          </cell>
          <cell r="Q419" t="str">
            <v>アタッカー</v>
          </cell>
          <cell r="R419">
            <v>3</v>
          </cell>
          <cell r="S419" t="str">
            <v>NULL</v>
          </cell>
          <cell r="T419" t="str">
            <v>normal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  <cell r="N420" t="str">
            <v>ヒューマン</v>
          </cell>
          <cell r="O420" t="str">
            <v>none</v>
          </cell>
          <cell r="P420" t="str">
            <v>種族なし</v>
          </cell>
          <cell r="Q420" t="str">
            <v>アタッカー</v>
          </cell>
          <cell r="R420">
            <v>3</v>
          </cell>
          <cell r="S420" t="str">
            <v>NULL</v>
          </cell>
          <cell r="T420" t="str">
            <v>normal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  <cell r="N421" t="str">
            <v>ヒューマン</v>
          </cell>
          <cell r="O421" t="str">
            <v>none</v>
          </cell>
          <cell r="P421" t="str">
            <v>種族なし</v>
          </cell>
          <cell r="Q421" t="str">
            <v>アタッカー</v>
          </cell>
          <cell r="R421">
            <v>3</v>
          </cell>
          <cell r="S421" t="str">
            <v>NULL</v>
          </cell>
          <cell r="T421" t="str">
            <v>normal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  <cell r="N422" t="str">
            <v>ヒューマン</v>
          </cell>
          <cell r="O422" t="str">
            <v>none</v>
          </cell>
          <cell r="P422" t="str">
            <v>種族なし</v>
          </cell>
          <cell r="Q422" t="str">
            <v>アタッカー</v>
          </cell>
          <cell r="R422">
            <v>3</v>
          </cell>
          <cell r="S422" t="str">
            <v>NULL</v>
          </cell>
          <cell r="T422" t="str">
            <v>normal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  <cell r="N423" t="str">
            <v>ヒューマン</v>
          </cell>
          <cell r="O423" t="str">
            <v>none</v>
          </cell>
          <cell r="P423" t="str">
            <v>種族なし</v>
          </cell>
          <cell r="Q423" t="str">
            <v>アタッカー</v>
          </cell>
          <cell r="R423">
            <v>3</v>
          </cell>
          <cell r="S423" t="str">
            <v>NULL</v>
          </cell>
          <cell r="T423" t="str">
            <v>normal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  <cell r="N424" t="str">
            <v>ヒューマン</v>
          </cell>
          <cell r="O424" t="str">
            <v>none</v>
          </cell>
          <cell r="P424" t="str">
            <v>種族なし</v>
          </cell>
          <cell r="Q424" t="str">
            <v>アタッカー</v>
          </cell>
          <cell r="R424">
            <v>3</v>
          </cell>
          <cell r="S424" t="str">
            <v>NULL</v>
          </cell>
          <cell r="T424" t="str">
            <v>normal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  <cell r="N425" t="str">
            <v>ヒューマン</v>
          </cell>
          <cell r="O425" t="str">
            <v>none</v>
          </cell>
          <cell r="P425" t="str">
            <v>種族なし</v>
          </cell>
          <cell r="Q425" t="str">
            <v>アタッカー</v>
          </cell>
          <cell r="R425">
            <v>3</v>
          </cell>
          <cell r="S425" t="str">
            <v>NULL</v>
          </cell>
          <cell r="T425" t="str">
            <v>normal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  <cell r="N426" t="str">
            <v>ヒューマン</v>
          </cell>
          <cell r="O426" t="str">
            <v>none</v>
          </cell>
          <cell r="P426" t="str">
            <v>種族なし</v>
          </cell>
          <cell r="Q426" t="str">
            <v>アタッカー</v>
          </cell>
          <cell r="R426">
            <v>3</v>
          </cell>
          <cell r="S426" t="str">
            <v>NULL</v>
          </cell>
          <cell r="T426" t="str">
            <v>normal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  <cell r="N427" t="str">
            <v>ヒューマン</v>
          </cell>
          <cell r="O427" t="str">
            <v>none</v>
          </cell>
          <cell r="P427" t="str">
            <v>種族なし</v>
          </cell>
          <cell r="Q427" t="str">
            <v>アタッカー</v>
          </cell>
          <cell r="R427">
            <v>3</v>
          </cell>
          <cell r="S427" t="str">
            <v>NULL</v>
          </cell>
          <cell r="T427" t="str">
            <v>normal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  <cell r="N428" t="str">
            <v>ヒューマン</v>
          </cell>
          <cell r="O428" t="str">
            <v>none</v>
          </cell>
          <cell r="P428" t="str">
            <v>種族なし</v>
          </cell>
          <cell r="Q428" t="str">
            <v>アタッカー</v>
          </cell>
          <cell r="R428">
            <v>3</v>
          </cell>
          <cell r="S428" t="str">
            <v>NULL</v>
          </cell>
          <cell r="T428" t="str">
            <v>normal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  <cell r="N429" t="str">
            <v>Unknown</v>
          </cell>
          <cell r="O429" t="str">
            <v>none</v>
          </cell>
          <cell r="P429" t="str">
            <v>種族なし</v>
          </cell>
          <cell r="Q429" t="str">
            <v>アタッカー</v>
          </cell>
          <cell r="R429">
            <v>1</v>
          </cell>
          <cell r="S429" t="str">
            <v>NULL</v>
          </cell>
          <cell r="T429" t="str">
            <v>normal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  <cell r="N430" t="str">
            <v>Unknown</v>
          </cell>
          <cell r="O430" t="str">
            <v>none</v>
          </cell>
          <cell r="P430" t="str">
            <v>種族なし</v>
          </cell>
          <cell r="Q430" t="str">
            <v>アタッカー</v>
          </cell>
          <cell r="R430">
            <v>1</v>
          </cell>
          <cell r="S430" t="str">
            <v>NULL</v>
          </cell>
          <cell r="T430" t="str">
            <v>normal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  <cell r="N431" t="str">
            <v>Unknown</v>
          </cell>
          <cell r="O431" t="str">
            <v>none</v>
          </cell>
          <cell r="P431" t="str">
            <v>種族なし</v>
          </cell>
          <cell r="Q431" t="str">
            <v>アタッカー</v>
          </cell>
          <cell r="R431">
            <v>3</v>
          </cell>
          <cell r="S431" t="str">
            <v>NULL</v>
          </cell>
          <cell r="T431" t="str">
            <v>normal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  <cell r="N432" t="str">
            <v>Unknown</v>
          </cell>
          <cell r="O432" t="str">
            <v>none</v>
          </cell>
          <cell r="P432" t="str">
            <v>種族なし</v>
          </cell>
          <cell r="Q432" t="str">
            <v>アタッカー</v>
          </cell>
          <cell r="R432">
            <v>3</v>
          </cell>
          <cell r="S432" t="str">
            <v>NULL</v>
          </cell>
          <cell r="T432" t="str">
            <v>normal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  <cell r="N433" t="str">
            <v>ゴッド</v>
          </cell>
          <cell r="O433" t="str">
            <v>none</v>
          </cell>
          <cell r="P433" t="str">
            <v>種族なし</v>
          </cell>
          <cell r="Q433" t="str">
            <v>アタッカー</v>
          </cell>
          <cell r="R433">
            <v>3</v>
          </cell>
          <cell r="S433" t="str">
            <v>NULL</v>
          </cell>
          <cell r="T433" t="str">
            <v>normal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  <cell r="N434" t="str">
            <v>ゴッド</v>
          </cell>
          <cell r="O434" t="str">
            <v>none</v>
          </cell>
          <cell r="P434" t="str">
            <v>種族なし</v>
          </cell>
          <cell r="Q434" t="str">
            <v>アタッカー</v>
          </cell>
          <cell r="R434">
            <v>3</v>
          </cell>
          <cell r="S434" t="str">
            <v>NULL</v>
          </cell>
          <cell r="T434" t="str">
            <v>normal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  <cell r="N435" t="str">
            <v>ヒューマン</v>
          </cell>
          <cell r="O435" t="str">
            <v>none</v>
          </cell>
          <cell r="P435" t="str">
            <v>種族なし</v>
          </cell>
          <cell r="Q435" t="str">
            <v>アタッカー</v>
          </cell>
          <cell r="R435">
            <v>3</v>
          </cell>
          <cell r="S435" t="str">
            <v>NULL</v>
          </cell>
          <cell r="T435" t="str">
            <v>normal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  <cell r="N436" t="str">
            <v>ヒューマン</v>
          </cell>
          <cell r="O436" t="str">
            <v>none</v>
          </cell>
          <cell r="P436" t="str">
            <v>種族なし</v>
          </cell>
          <cell r="Q436" t="str">
            <v>アタッカー</v>
          </cell>
          <cell r="R436">
            <v>3</v>
          </cell>
          <cell r="S436" t="str">
            <v>NULL</v>
          </cell>
          <cell r="T436" t="str">
            <v>normal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  <cell r="N437" t="str">
            <v>ヒューマン</v>
          </cell>
          <cell r="O437" t="str">
            <v>machine</v>
          </cell>
          <cell r="P437" t="str">
            <v>マシン</v>
          </cell>
          <cell r="Q437" t="str">
            <v>アタッカー</v>
          </cell>
          <cell r="R437">
            <v>3</v>
          </cell>
          <cell r="S437" t="str">
            <v>NULL</v>
          </cell>
          <cell r="T437" t="str">
            <v>normal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  <cell r="N438" t="str">
            <v>ヒューマン</v>
          </cell>
          <cell r="O438" t="str">
            <v>machine</v>
          </cell>
          <cell r="P438" t="str">
            <v>マシン</v>
          </cell>
          <cell r="Q438" t="str">
            <v>アタッカー</v>
          </cell>
          <cell r="R438">
            <v>3</v>
          </cell>
          <cell r="S438" t="str">
            <v>NULL</v>
          </cell>
          <cell r="T438" t="str">
            <v>normal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  <cell r="N439" t="str">
            <v>ヒューマン</v>
          </cell>
          <cell r="O439" t="str">
            <v>machine</v>
          </cell>
          <cell r="P439" t="str">
            <v>マシン</v>
          </cell>
          <cell r="Q439" t="str">
            <v>アタッカー</v>
          </cell>
          <cell r="R439">
            <v>3</v>
          </cell>
          <cell r="S439" t="str">
            <v>NULL</v>
          </cell>
          <cell r="T439" t="str">
            <v>normal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  <cell r="N440" t="str">
            <v>マシン</v>
          </cell>
          <cell r="O440" t="str">
            <v>none</v>
          </cell>
          <cell r="P440" t="str">
            <v>種族なし</v>
          </cell>
          <cell r="Q440" t="str">
            <v>アタッカー</v>
          </cell>
          <cell r="R440">
            <v>3</v>
          </cell>
          <cell r="S440" t="str">
            <v>NULL</v>
          </cell>
          <cell r="T440" t="str">
            <v>normal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  <cell r="N441" t="str">
            <v>マシン</v>
          </cell>
          <cell r="O441" t="str">
            <v>none</v>
          </cell>
          <cell r="P441" t="str">
            <v>種族なし</v>
          </cell>
          <cell r="Q441" t="str">
            <v>アタッカー</v>
          </cell>
          <cell r="R441">
            <v>3</v>
          </cell>
          <cell r="S441" t="str">
            <v>NULL</v>
          </cell>
          <cell r="T441" t="str">
            <v>normal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  <cell r="N442" t="str">
            <v>マシン</v>
          </cell>
          <cell r="O442" t="str">
            <v>none</v>
          </cell>
          <cell r="P442" t="str">
            <v>種族なし</v>
          </cell>
          <cell r="Q442" t="str">
            <v>アタッカー</v>
          </cell>
          <cell r="R442">
            <v>3</v>
          </cell>
          <cell r="S442" t="str">
            <v>NULL</v>
          </cell>
          <cell r="T442" t="str">
            <v>normal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  <cell r="N443" t="str">
            <v>アニマル</v>
          </cell>
          <cell r="O443" t="str">
            <v>none</v>
          </cell>
          <cell r="P443" t="str">
            <v>種族なし</v>
          </cell>
          <cell r="Q443" t="str">
            <v>アタッカー</v>
          </cell>
          <cell r="R443">
            <v>3</v>
          </cell>
          <cell r="S443" t="str">
            <v>NULL</v>
          </cell>
          <cell r="T443" t="str">
            <v>normal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  <cell r="N444" t="str">
            <v>アニマル</v>
          </cell>
          <cell r="O444" t="str">
            <v>none</v>
          </cell>
          <cell r="P444" t="str">
            <v>種族なし</v>
          </cell>
          <cell r="Q444" t="str">
            <v>アタッカー</v>
          </cell>
          <cell r="R444">
            <v>3</v>
          </cell>
          <cell r="S444" t="str">
            <v>NULL</v>
          </cell>
          <cell r="T444" t="str">
            <v>normal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  <cell r="N445" t="str">
            <v>Unknown</v>
          </cell>
          <cell r="O445" t="str">
            <v>none</v>
          </cell>
          <cell r="P445" t="str">
            <v>種族なし</v>
          </cell>
          <cell r="Q445" t="str">
            <v>強化素材</v>
          </cell>
          <cell r="R445">
            <v>3</v>
          </cell>
          <cell r="S445" t="str">
            <v>NULL</v>
          </cell>
          <cell r="T445" t="str">
            <v>normal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  <cell r="N446" t="str">
            <v>Unknown</v>
          </cell>
          <cell r="O446" t="str">
            <v>none</v>
          </cell>
          <cell r="P446" t="str">
            <v>種族なし</v>
          </cell>
          <cell r="Q446" t="str">
            <v>強化素材</v>
          </cell>
          <cell r="R446">
            <v>3</v>
          </cell>
          <cell r="S446" t="str">
            <v>NULL</v>
          </cell>
          <cell r="T446" t="str">
            <v>normal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  <cell r="N447" t="str">
            <v>Unknown</v>
          </cell>
          <cell r="O447" t="str">
            <v>none</v>
          </cell>
          <cell r="P447" t="str">
            <v>種族なし</v>
          </cell>
          <cell r="Q447" t="str">
            <v>強化素材</v>
          </cell>
          <cell r="R447">
            <v>3</v>
          </cell>
          <cell r="S447" t="str">
            <v>NULL</v>
          </cell>
          <cell r="T447" t="str">
            <v>normal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  <cell r="N448" t="str">
            <v>Unknown</v>
          </cell>
          <cell r="O448" t="str">
            <v>none</v>
          </cell>
          <cell r="P448" t="str">
            <v>種族なし</v>
          </cell>
          <cell r="Q448" t="str">
            <v>強化素材</v>
          </cell>
          <cell r="R448">
            <v>3</v>
          </cell>
          <cell r="S448" t="str">
            <v>NULL</v>
          </cell>
          <cell r="T448" t="str">
            <v>normal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  <cell r="N449" t="str">
            <v>ヒューマン</v>
          </cell>
          <cell r="O449" t="str">
            <v>none</v>
          </cell>
          <cell r="P449" t="str">
            <v>種族なし</v>
          </cell>
          <cell r="Q449" t="str">
            <v>アタッカー</v>
          </cell>
          <cell r="R449">
            <v>3</v>
          </cell>
          <cell r="S449" t="str">
            <v>NULL</v>
          </cell>
          <cell r="T449" t="str">
            <v>normal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  <cell r="N450" t="str">
            <v>ヒューマン</v>
          </cell>
          <cell r="O450" t="str">
            <v>none</v>
          </cell>
          <cell r="P450" t="str">
            <v>種族なし</v>
          </cell>
          <cell r="Q450" t="str">
            <v>アタッカー</v>
          </cell>
          <cell r="R450">
            <v>1</v>
          </cell>
          <cell r="S450" t="str">
            <v>NULL</v>
          </cell>
          <cell r="T450" t="str">
            <v>normal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  <cell r="N451" t="str">
            <v>ヒューマン</v>
          </cell>
          <cell r="O451" t="str">
            <v>none</v>
          </cell>
          <cell r="P451" t="str">
            <v>種族なし</v>
          </cell>
          <cell r="Q451" t="str">
            <v>アタッカー</v>
          </cell>
          <cell r="R451">
            <v>1</v>
          </cell>
          <cell r="S451" t="str">
            <v>NULL</v>
          </cell>
          <cell r="T451" t="str">
            <v>normal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  <cell r="N452" t="str">
            <v>ヒューマン</v>
          </cell>
          <cell r="O452" t="str">
            <v>none</v>
          </cell>
          <cell r="P452" t="str">
            <v>種族なし</v>
          </cell>
          <cell r="Q452" t="str">
            <v>アタッカー</v>
          </cell>
          <cell r="R452">
            <v>3</v>
          </cell>
          <cell r="S452" t="str">
            <v>NULL</v>
          </cell>
          <cell r="T452" t="str">
            <v>normal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  <cell r="N453" t="str">
            <v>アニマル</v>
          </cell>
          <cell r="O453" t="str">
            <v>none</v>
          </cell>
          <cell r="P453" t="str">
            <v>種族なし</v>
          </cell>
          <cell r="Q453" t="str">
            <v>アタッカー</v>
          </cell>
          <cell r="R453">
            <v>3</v>
          </cell>
          <cell r="S453" t="str">
            <v>NULL</v>
          </cell>
          <cell r="T453" t="str">
            <v>normal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  <cell r="N454" t="str">
            <v>アニマル</v>
          </cell>
          <cell r="O454" t="str">
            <v>none</v>
          </cell>
          <cell r="P454" t="str">
            <v>種族なし</v>
          </cell>
          <cell r="Q454" t="str">
            <v>アタッカー</v>
          </cell>
          <cell r="R454">
            <v>3</v>
          </cell>
          <cell r="S454" t="str">
            <v>NULL</v>
          </cell>
          <cell r="T454" t="str">
            <v>normal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  <cell r="N455" t="str">
            <v>ヒューマン</v>
          </cell>
          <cell r="O455" t="str">
            <v>machine</v>
          </cell>
          <cell r="P455" t="str">
            <v>マシン</v>
          </cell>
          <cell r="Q455" t="str">
            <v>アタッカー</v>
          </cell>
          <cell r="R455">
            <v>3</v>
          </cell>
          <cell r="S455" t="str">
            <v>NULL</v>
          </cell>
          <cell r="T455" t="str">
            <v>normal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  <cell r="N456" t="str">
            <v>ヒューマン</v>
          </cell>
          <cell r="O456" t="str">
            <v>machine</v>
          </cell>
          <cell r="P456" t="str">
            <v>マシン</v>
          </cell>
          <cell r="Q456" t="str">
            <v>アタッカー</v>
          </cell>
          <cell r="R456">
            <v>3</v>
          </cell>
          <cell r="S456" t="str">
            <v>NULL</v>
          </cell>
          <cell r="T456" t="str">
            <v>normal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  <cell r="N457" t="str">
            <v>ヒューマン</v>
          </cell>
          <cell r="O457" t="str">
            <v>none</v>
          </cell>
          <cell r="P457" t="str">
            <v>種族なし</v>
          </cell>
          <cell r="Q457" t="str">
            <v>アタッカー</v>
          </cell>
          <cell r="R457">
            <v>3</v>
          </cell>
          <cell r="S457" t="str">
            <v>NULL</v>
          </cell>
          <cell r="T457" t="str">
            <v>normal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  <cell r="N458" t="str">
            <v>ヒューマン</v>
          </cell>
          <cell r="O458" t="str">
            <v>none</v>
          </cell>
          <cell r="P458" t="str">
            <v>種族なし</v>
          </cell>
          <cell r="Q458" t="str">
            <v>アタッカー</v>
          </cell>
          <cell r="R458">
            <v>3</v>
          </cell>
          <cell r="S458" t="str">
            <v>NULL</v>
          </cell>
          <cell r="T458" t="str">
            <v>normal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  <cell r="N459" t="str">
            <v>ドラゴン</v>
          </cell>
          <cell r="O459" t="str">
            <v>none</v>
          </cell>
          <cell r="P459" t="str">
            <v>種族なし</v>
          </cell>
          <cell r="Q459" t="str">
            <v>アタッカー</v>
          </cell>
          <cell r="R459">
            <v>3</v>
          </cell>
          <cell r="S459" t="str">
            <v>NULL</v>
          </cell>
          <cell r="T459" t="str">
            <v>normal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  <cell r="N460" t="str">
            <v>ドラゴン</v>
          </cell>
          <cell r="O460" t="str">
            <v>none</v>
          </cell>
          <cell r="P460" t="str">
            <v>種族なし</v>
          </cell>
          <cell r="Q460" t="str">
            <v>アタッカー</v>
          </cell>
          <cell r="R460">
            <v>3</v>
          </cell>
          <cell r="S460" t="str">
            <v>NULL</v>
          </cell>
          <cell r="T460" t="str">
            <v>normal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  <cell r="N461" t="str">
            <v>ヒューマン</v>
          </cell>
          <cell r="O461" t="str">
            <v>none</v>
          </cell>
          <cell r="P461" t="str">
            <v>種族なし</v>
          </cell>
          <cell r="Q461" t="str">
            <v>アタッカー</v>
          </cell>
          <cell r="R461">
            <v>3</v>
          </cell>
          <cell r="S461" t="str">
            <v>NULL</v>
          </cell>
          <cell r="T461" t="str">
            <v>normal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  <cell r="N462" t="str">
            <v>ヒューマン</v>
          </cell>
          <cell r="O462" t="str">
            <v>none</v>
          </cell>
          <cell r="P462" t="str">
            <v>種族なし</v>
          </cell>
          <cell r="Q462" t="str">
            <v>アタッカー</v>
          </cell>
          <cell r="R462">
            <v>3</v>
          </cell>
          <cell r="S462" t="str">
            <v>NULL</v>
          </cell>
          <cell r="T462" t="str">
            <v>normal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  <cell r="N463" t="str">
            <v>ヒューマン</v>
          </cell>
          <cell r="O463" t="str">
            <v>none</v>
          </cell>
          <cell r="P463" t="str">
            <v>種族なし</v>
          </cell>
          <cell r="Q463" t="str">
            <v>アタッカー</v>
          </cell>
          <cell r="R463">
            <v>3</v>
          </cell>
          <cell r="S463" t="str">
            <v>NULL</v>
          </cell>
          <cell r="T463" t="str">
            <v>normal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  <cell r="N464" t="str">
            <v>ヒューマン</v>
          </cell>
          <cell r="O464" t="str">
            <v>none</v>
          </cell>
          <cell r="P464" t="str">
            <v>種族なし</v>
          </cell>
          <cell r="Q464" t="str">
            <v>アタッカー</v>
          </cell>
          <cell r="R464">
            <v>3</v>
          </cell>
          <cell r="S464" t="str">
            <v>NULL</v>
          </cell>
          <cell r="T464" t="str">
            <v>normal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  <cell r="N465" t="str">
            <v>ヒューマン</v>
          </cell>
          <cell r="O465" t="str">
            <v>none</v>
          </cell>
          <cell r="P465" t="str">
            <v>種族なし</v>
          </cell>
          <cell r="Q465" t="str">
            <v>アタッカー</v>
          </cell>
          <cell r="R465">
            <v>3</v>
          </cell>
          <cell r="S465" t="str">
            <v>NULL</v>
          </cell>
          <cell r="T465" t="str">
            <v>normal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  <cell r="N466" t="str">
            <v>ヒューマン</v>
          </cell>
          <cell r="O466" t="str">
            <v>none</v>
          </cell>
          <cell r="P466" t="str">
            <v>種族なし</v>
          </cell>
          <cell r="Q466" t="str">
            <v>アタッカー</v>
          </cell>
          <cell r="R466">
            <v>3</v>
          </cell>
          <cell r="S466" t="str">
            <v>NULL</v>
          </cell>
          <cell r="T466" t="str">
            <v>normal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  <cell r="N467" t="str">
            <v>ヒューマン</v>
          </cell>
          <cell r="O467" t="str">
            <v>none</v>
          </cell>
          <cell r="P467" t="str">
            <v>種族なし</v>
          </cell>
          <cell r="Q467" t="str">
            <v>アタッカー</v>
          </cell>
          <cell r="R467">
            <v>3</v>
          </cell>
          <cell r="S467" t="str">
            <v>NULL</v>
          </cell>
          <cell r="T467" t="str">
            <v>normal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  <cell r="N468" t="str">
            <v>ヒューマン</v>
          </cell>
          <cell r="O468" t="str">
            <v>none</v>
          </cell>
          <cell r="P468" t="str">
            <v>種族なし</v>
          </cell>
          <cell r="Q468" t="str">
            <v>アタッカー</v>
          </cell>
          <cell r="R468">
            <v>3</v>
          </cell>
          <cell r="S468" t="str">
            <v>NULL</v>
          </cell>
          <cell r="T468" t="str">
            <v>normal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  <cell r="N469" t="str">
            <v>ヒューマン</v>
          </cell>
          <cell r="O469" t="str">
            <v>none</v>
          </cell>
          <cell r="P469" t="str">
            <v>種族なし</v>
          </cell>
          <cell r="Q469" t="str">
            <v>アタッカー</v>
          </cell>
          <cell r="R469">
            <v>3</v>
          </cell>
          <cell r="S469" t="str">
            <v>NULL</v>
          </cell>
          <cell r="T469" t="str">
            <v>normal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  <cell r="N470" t="str">
            <v>ヒューマン</v>
          </cell>
          <cell r="O470" t="str">
            <v>none</v>
          </cell>
          <cell r="P470" t="str">
            <v>種族なし</v>
          </cell>
          <cell r="Q470" t="str">
            <v>アタッカー</v>
          </cell>
          <cell r="R470">
            <v>3</v>
          </cell>
          <cell r="S470" t="str">
            <v>NULL</v>
          </cell>
          <cell r="T470" t="str">
            <v>normal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  <cell r="N471" t="str">
            <v>ヒューマン</v>
          </cell>
          <cell r="O471" t="str">
            <v>none</v>
          </cell>
          <cell r="P471" t="str">
            <v>種族なし</v>
          </cell>
          <cell r="Q471" t="str">
            <v>アタッカー</v>
          </cell>
          <cell r="R471">
            <v>3</v>
          </cell>
          <cell r="S471" t="str">
            <v>NULL</v>
          </cell>
          <cell r="T471" t="str">
            <v>normal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  <cell r="N472" t="str">
            <v>ヒューマン</v>
          </cell>
          <cell r="O472" t="str">
            <v>none</v>
          </cell>
          <cell r="P472" t="str">
            <v>種族なし</v>
          </cell>
          <cell r="Q472" t="str">
            <v>アタッカー</v>
          </cell>
          <cell r="R472">
            <v>3</v>
          </cell>
          <cell r="S472" t="str">
            <v>NULL</v>
          </cell>
          <cell r="T472" t="str">
            <v>normal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  <cell r="N473" t="str">
            <v>ヒューマン</v>
          </cell>
          <cell r="O473" t="str">
            <v>none</v>
          </cell>
          <cell r="P473" t="str">
            <v>種族なし</v>
          </cell>
          <cell r="Q473" t="str">
            <v>アタッカー</v>
          </cell>
          <cell r="R473">
            <v>3</v>
          </cell>
          <cell r="S473" t="str">
            <v>NULL</v>
          </cell>
          <cell r="T473" t="str">
            <v>normal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  <cell r="N474" t="str">
            <v>ヒューマン</v>
          </cell>
          <cell r="O474" t="str">
            <v>none</v>
          </cell>
          <cell r="P474" t="str">
            <v>種族なし</v>
          </cell>
          <cell r="Q474" t="str">
            <v>アタッカー</v>
          </cell>
          <cell r="R474">
            <v>3</v>
          </cell>
          <cell r="S474" t="str">
            <v>NULL</v>
          </cell>
          <cell r="T474" t="str">
            <v>normal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  <cell r="N475" t="str">
            <v>ドラゴン</v>
          </cell>
          <cell r="O475" t="str">
            <v>none</v>
          </cell>
          <cell r="P475" t="str">
            <v>種族なし</v>
          </cell>
          <cell r="Q475" t="str">
            <v>アタッカー</v>
          </cell>
          <cell r="R475">
            <v>3</v>
          </cell>
          <cell r="S475" t="str">
            <v>NULL</v>
          </cell>
          <cell r="T475" t="str">
            <v>normal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  <cell r="N476" t="str">
            <v>ドラゴン</v>
          </cell>
          <cell r="O476" t="str">
            <v>none</v>
          </cell>
          <cell r="P476" t="str">
            <v>種族なし</v>
          </cell>
          <cell r="Q476" t="str">
            <v>アタッカー</v>
          </cell>
          <cell r="R476">
            <v>3</v>
          </cell>
          <cell r="S476" t="str">
            <v>NULL</v>
          </cell>
          <cell r="T476" t="str">
            <v>normal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  <cell r="N477" t="str">
            <v>Unknown</v>
          </cell>
          <cell r="O477" t="str">
            <v>none</v>
          </cell>
          <cell r="P477" t="str">
            <v>種族なし</v>
          </cell>
          <cell r="Q477" t="str">
            <v>アタッカー</v>
          </cell>
          <cell r="R477">
            <v>3</v>
          </cell>
          <cell r="S477" t="str">
            <v>NULL</v>
          </cell>
          <cell r="T477" t="str">
            <v>normal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  <cell r="N478" t="str">
            <v>Unknown</v>
          </cell>
          <cell r="O478" t="str">
            <v>none</v>
          </cell>
          <cell r="P478" t="str">
            <v>種族なし</v>
          </cell>
          <cell r="Q478" t="str">
            <v>アタッカー</v>
          </cell>
          <cell r="R478">
            <v>3</v>
          </cell>
          <cell r="S478" t="str">
            <v>NULL</v>
          </cell>
          <cell r="T478" t="str">
            <v>normal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  <cell r="N479" t="str">
            <v>Unknown</v>
          </cell>
          <cell r="O479" t="str">
            <v>none</v>
          </cell>
          <cell r="P479" t="str">
            <v>種族なし</v>
          </cell>
          <cell r="Q479" t="str">
            <v>アタッカー</v>
          </cell>
          <cell r="R479">
            <v>3</v>
          </cell>
          <cell r="S479" t="str">
            <v>NULL</v>
          </cell>
          <cell r="T479" t="str">
            <v>normal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  <cell r="N480" t="str">
            <v>ゴッド</v>
          </cell>
          <cell r="O480" t="str">
            <v>none</v>
          </cell>
          <cell r="P480" t="str">
            <v>種族なし</v>
          </cell>
          <cell r="Q480" t="str">
            <v>アタッカー</v>
          </cell>
          <cell r="R480">
            <v>3</v>
          </cell>
          <cell r="S480" t="str">
            <v>NULL</v>
          </cell>
          <cell r="T480" t="str">
            <v>normal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  <cell r="N481" t="str">
            <v>ゴッド</v>
          </cell>
          <cell r="O481" t="str">
            <v>none</v>
          </cell>
          <cell r="P481" t="str">
            <v>種族なし</v>
          </cell>
          <cell r="Q481" t="str">
            <v>アタッカー</v>
          </cell>
          <cell r="R481">
            <v>3</v>
          </cell>
          <cell r="S481" t="str">
            <v>NULL</v>
          </cell>
          <cell r="T481" t="str">
            <v>normal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  <cell r="N482" t="str">
            <v>ヒューマン</v>
          </cell>
          <cell r="O482" t="str">
            <v>none</v>
          </cell>
          <cell r="P482" t="str">
            <v>種族なし</v>
          </cell>
          <cell r="Q482" t="str">
            <v>アタッカー</v>
          </cell>
          <cell r="R482">
            <v>3</v>
          </cell>
          <cell r="S482" t="str">
            <v>NULL</v>
          </cell>
          <cell r="T482" t="str">
            <v>normal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  <cell r="N483" t="str">
            <v>ヒューマン</v>
          </cell>
          <cell r="O483" t="str">
            <v>none</v>
          </cell>
          <cell r="P483" t="str">
            <v>種族なし</v>
          </cell>
          <cell r="Q483" t="str">
            <v>アタッカー</v>
          </cell>
          <cell r="R483">
            <v>3</v>
          </cell>
          <cell r="S483" t="str">
            <v>NULL</v>
          </cell>
          <cell r="T483" t="str">
            <v>normal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  <cell r="N484" t="str">
            <v>ヒューマン</v>
          </cell>
          <cell r="O484" t="str">
            <v>none</v>
          </cell>
          <cell r="P484" t="str">
            <v>種族なし</v>
          </cell>
          <cell r="Q484" t="str">
            <v>アタッカー</v>
          </cell>
          <cell r="R484">
            <v>3</v>
          </cell>
          <cell r="S484" t="str">
            <v>NULL</v>
          </cell>
          <cell r="T484" t="str">
            <v>normal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  <cell r="N485" t="str">
            <v>ヒューマン</v>
          </cell>
          <cell r="O485" t="str">
            <v>none</v>
          </cell>
          <cell r="P485" t="str">
            <v>種族なし</v>
          </cell>
          <cell r="Q485" t="str">
            <v>アタッカー</v>
          </cell>
          <cell r="R485">
            <v>3</v>
          </cell>
          <cell r="S485" t="str">
            <v>NULL</v>
          </cell>
          <cell r="T485" t="str">
            <v>normal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  <cell r="N486" t="str">
            <v>ヒューマン</v>
          </cell>
          <cell r="O486" t="str">
            <v>none</v>
          </cell>
          <cell r="P486" t="str">
            <v>種族なし</v>
          </cell>
          <cell r="Q486" t="str">
            <v>アタッカー</v>
          </cell>
          <cell r="R486">
            <v>3</v>
          </cell>
          <cell r="S486" t="str">
            <v>NULL</v>
          </cell>
          <cell r="T486" t="str">
            <v>normal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  <cell r="N487" t="str">
            <v>アニマル</v>
          </cell>
          <cell r="O487" t="str">
            <v>none</v>
          </cell>
          <cell r="P487" t="str">
            <v>種族なし</v>
          </cell>
          <cell r="Q487" t="str">
            <v>アタッカー</v>
          </cell>
          <cell r="R487">
            <v>3</v>
          </cell>
          <cell r="S487" t="str">
            <v>NULL</v>
          </cell>
          <cell r="T487" t="str">
            <v>normal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  <cell r="N488" t="str">
            <v>ヒューマン</v>
          </cell>
          <cell r="O488" t="str">
            <v>machine</v>
          </cell>
          <cell r="P488" t="str">
            <v>マシン</v>
          </cell>
          <cell r="Q488" t="str">
            <v>アタッカー</v>
          </cell>
          <cell r="R488">
            <v>3</v>
          </cell>
          <cell r="S488" t="str">
            <v>NULL</v>
          </cell>
          <cell r="T488" t="str">
            <v>normal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  <cell r="N489" t="str">
            <v>ヒューマン</v>
          </cell>
          <cell r="O489" t="str">
            <v>none</v>
          </cell>
          <cell r="P489" t="str">
            <v>種族なし</v>
          </cell>
          <cell r="Q489" t="str">
            <v>アタッカー</v>
          </cell>
          <cell r="R489">
            <v>3</v>
          </cell>
          <cell r="S489" t="str">
            <v>NULL</v>
          </cell>
          <cell r="T489" t="str">
            <v>normal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  <cell r="N490" t="str">
            <v>ヒューマン</v>
          </cell>
          <cell r="O490" t="str">
            <v>none</v>
          </cell>
          <cell r="P490" t="str">
            <v>種族なし</v>
          </cell>
          <cell r="Q490" t="str">
            <v>アタッカー</v>
          </cell>
          <cell r="R490">
            <v>3</v>
          </cell>
          <cell r="S490" t="str">
            <v>NULL</v>
          </cell>
          <cell r="T490" t="str">
            <v>normal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  <cell r="N491" t="str">
            <v>ヒューマン</v>
          </cell>
          <cell r="O491" t="str">
            <v>unknown</v>
          </cell>
          <cell r="P491" t="str">
            <v>Unknown</v>
          </cell>
          <cell r="Q491" t="str">
            <v>アタッカー</v>
          </cell>
          <cell r="R491">
            <v>3</v>
          </cell>
          <cell r="S491" t="str">
            <v>NULL</v>
          </cell>
          <cell r="T491" t="str">
            <v>normal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  <cell r="N492" t="str">
            <v>ヒューマン</v>
          </cell>
          <cell r="O492" t="str">
            <v>unknown</v>
          </cell>
          <cell r="P492" t="str">
            <v>Unknown</v>
          </cell>
          <cell r="Q492" t="str">
            <v>アタッカー</v>
          </cell>
          <cell r="R492">
            <v>3</v>
          </cell>
          <cell r="S492" t="str">
            <v>NULL</v>
          </cell>
          <cell r="T492" t="str">
            <v>normal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  <cell r="N493" t="str">
            <v>アニマル</v>
          </cell>
          <cell r="O493" t="str">
            <v>machine</v>
          </cell>
          <cell r="P493" t="str">
            <v>マシン</v>
          </cell>
          <cell r="Q493" t="str">
            <v>アタッカー</v>
          </cell>
          <cell r="R493">
            <v>3</v>
          </cell>
          <cell r="S493" t="str">
            <v>NULL</v>
          </cell>
          <cell r="T493" t="str">
            <v>normal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  <cell r="N494" t="str">
            <v>アニマル</v>
          </cell>
          <cell r="O494" t="str">
            <v>machine</v>
          </cell>
          <cell r="P494" t="str">
            <v>マシン</v>
          </cell>
          <cell r="Q494" t="str">
            <v>アタッカー</v>
          </cell>
          <cell r="R494">
            <v>3</v>
          </cell>
          <cell r="S494" t="str">
            <v>NULL</v>
          </cell>
          <cell r="T494" t="str">
            <v>normal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  <cell r="N495" t="str">
            <v>ヒューマン</v>
          </cell>
          <cell r="O495" t="str">
            <v>none</v>
          </cell>
          <cell r="P495" t="str">
            <v>種族なし</v>
          </cell>
          <cell r="Q495" t="str">
            <v>アタッカー</v>
          </cell>
          <cell r="R495">
            <v>3</v>
          </cell>
          <cell r="S495" t="str">
            <v>NULL</v>
          </cell>
          <cell r="T495" t="str">
            <v>normal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  <cell r="N496" t="str">
            <v>ヒューマン</v>
          </cell>
          <cell r="O496" t="str">
            <v>none</v>
          </cell>
          <cell r="P496" t="str">
            <v>種族なし</v>
          </cell>
          <cell r="Q496" t="str">
            <v>アタッカー</v>
          </cell>
          <cell r="R496">
            <v>3</v>
          </cell>
          <cell r="S496" t="str">
            <v>NULL</v>
          </cell>
          <cell r="T496" t="str">
            <v>normal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  <cell r="N497" t="str">
            <v>ヒューマン</v>
          </cell>
          <cell r="O497" t="str">
            <v>animal</v>
          </cell>
          <cell r="P497" t="str">
            <v>アニマル</v>
          </cell>
          <cell r="Q497" t="str">
            <v>アタッカー</v>
          </cell>
          <cell r="R497">
            <v>3</v>
          </cell>
          <cell r="S497" t="str">
            <v>NULL</v>
          </cell>
          <cell r="T497" t="str">
            <v>normal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  <cell r="N498" t="str">
            <v>ヒューマン</v>
          </cell>
          <cell r="O498" t="str">
            <v>animal</v>
          </cell>
          <cell r="P498" t="str">
            <v>アニマル</v>
          </cell>
          <cell r="Q498" t="str">
            <v>アタッカー</v>
          </cell>
          <cell r="R498">
            <v>3</v>
          </cell>
          <cell r="S498" t="str">
            <v>NULL</v>
          </cell>
          <cell r="T498" t="str">
            <v>normal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  <cell r="N499" t="str">
            <v>ヒューマン</v>
          </cell>
          <cell r="O499" t="str">
            <v>animal</v>
          </cell>
          <cell r="P499" t="str">
            <v>アニマル</v>
          </cell>
          <cell r="Q499" t="str">
            <v>アタッカー</v>
          </cell>
          <cell r="R499">
            <v>3</v>
          </cell>
          <cell r="S499" t="str">
            <v>NULL</v>
          </cell>
          <cell r="T499" t="str">
            <v>normal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  <cell r="N500" t="str">
            <v>ヒューマン</v>
          </cell>
          <cell r="O500" t="str">
            <v>none</v>
          </cell>
          <cell r="P500" t="str">
            <v>種族なし</v>
          </cell>
          <cell r="Q500" t="str">
            <v>アタッカー</v>
          </cell>
          <cell r="R500">
            <v>3</v>
          </cell>
          <cell r="S500" t="str">
            <v>NULL</v>
          </cell>
          <cell r="T500" t="str">
            <v>normal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  <cell r="N501" t="str">
            <v>ヒューマン</v>
          </cell>
          <cell r="O501" t="str">
            <v>none</v>
          </cell>
          <cell r="P501" t="str">
            <v>種族なし</v>
          </cell>
          <cell r="Q501" t="str">
            <v>アタッカー</v>
          </cell>
          <cell r="R501">
            <v>3</v>
          </cell>
          <cell r="S501" t="str">
            <v>NULL</v>
          </cell>
          <cell r="T501" t="str">
            <v>normal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  <cell r="N502" t="str">
            <v>ヒューマン</v>
          </cell>
          <cell r="O502" t="str">
            <v>none</v>
          </cell>
          <cell r="P502" t="str">
            <v>種族なし</v>
          </cell>
          <cell r="Q502" t="str">
            <v>アタッカー</v>
          </cell>
          <cell r="R502">
            <v>0</v>
          </cell>
          <cell r="S502" t="str">
            <v>NULL</v>
          </cell>
          <cell r="T502" t="str">
            <v>normal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  <cell r="N503" t="str">
            <v>ヒューマン</v>
          </cell>
          <cell r="O503" t="str">
            <v>machine</v>
          </cell>
          <cell r="P503" t="str">
            <v>マシン</v>
          </cell>
          <cell r="Q503" t="str">
            <v>アタッカー</v>
          </cell>
          <cell r="R503">
            <v>3</v>
          </cell>
          <cell r="S503" t="str">
            <v>NULL</v>
          </cell>
          <cell r="T503" t="str">
            <v>normal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  <cell r="N504" t="str">
            <v>ヒューマン</v>
          </cell>
          <cell r="O504" t="str">
            <v>machine</v>
          </cell>
          <cell r="P504" t="str">
            <v>マシン</v>
          </cell>
          <cell r="Q504" t="str">
            <v>アタッカー</v>
          </cell>
          <cell r="R504">
            <v>3</v>
          </cell>
          <cell r="S504" t="str">
            <v>NULL</v>
          </cell>
          <cell r="T504" t="str">
            <v>normal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  <cell r="N505" t="str">
            <v>アニマル</v>
          </cell>
          <cell r="O505" t="str">
            <v>unknown</v>
          </cell>
          <cell r="P505" t="str">
            <v>Unknown</v>
          </cell>
          <cell r="Q505" t="str">
            <v>アタッカー</v>
          </cell>
          <cell r="R505">
            <v>3</v>
          </cell>
          <cell r="S505" t="str">
            <v>NULL</v>
          </cell>
          <cell r="T505" t="str">
            <v>normal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  <cell r="N506" t="str">
            <v>アニマル</v>
          </cell>
          <cell r="O506" t="str">
            <v>unknown</v>
          </cell>
          <cell r="P506" t="str">
            <v>Unknown</v>
          </cell>
          <cell r="Q506" t="str">
            <v>アタッカー</v>
          </cell>
          <cell r="R506">
            <v>3</v>
          </cell>
          <cell r="S506" t="str">
            <v>NULL</v>
          </cell>
          <cell r="T506" t="str">
            <v>normal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  <cell r="N507" t="str">
            <v>ヒューマン</v>
          </cell>
          <cell r="O507" t="str">
            <v>machine</v>
          </cell>
          <cell r="P507" t="str">
            <v>マシン</v>
          </cell>
          <cell r="Q507" t="str">
            <v>アタッカー</v>
          </cell>
          <cell r="R507">
            <v>3</v>
          </cell>
          <cell r="S507" t="str">
            <v>NULL</v>
          </cell>
          <cell r="T507" t="str">
            <v>normal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  <cell r="N508" t="str">
            <v>ヒューマン</v>
          </cell>
          <cell r="O508" t="str">
            <v>machine</v>
          </cell>
          <cell r="P508" t="str">
            <v>マシン</v>
          </cell>
          <cell r="Q508" t="str">
            <v>アタッカー</v>
          </cell>
          <cell r="R508">
            <v>3</v>
          </cell>
          <cell r="S508" t="str">
            <v>NULL</v>
          </cell>
          <cell r="T508" t="str">
            <v>normal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  <cell r="N509" t="str">
            <v>Unknown</v>
          </cell>
          <cell r="O509" t="str">
            <v>none</v>
          </cell>
          <cell r="P509" t="str">
            <v>種族なし</v>
          </cell>
          <cell r="Q509" t="str">
            <v>アタッカー</v>
          </cell>
          <cell r="R509">
            <v>3</v>
          </cell>
          <cell r="S509" t="str">
            <v>NULL</v>
          </cell>
          <cell r="T509" t="str">
            <v>normal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  <cell r="N510" t="str">
            <v>Unknown</v>
          </cell>
          <cell r="O510" t="str">
            <v>none</v>
          </cell>
          <cell r="P510" t="str">
            <v>種族なし</v>
          </cell>
          <cell r="Q510" t="str">
            <v>アタッカー</v>
          </cell>
          <cell r="R510">
            <v>3</v>
          </cell>
          <cell r="S510" t="str">
            <v>NULL</v>
          </cell>
          <cell r="T510" t="str">
            <v>normal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  <cell r="N511" t="str">
            <v>ドラゴン</v>
          </cell>
          <cell r="O511" t="str">
            <v>none</v>
          </cell>
          <cell r="P511" t="str">
            <v>種族なし</v>
          </cell>
          <cell r="Q511" t="str">
            <v>アタッカー</v>
          </cell>
          <cell r="R511">
            <v>3</v>
          </cell>
          <cell r="S511" t="str">
            <v>NULL</v>
          </cell>
          <cell r="T511" t="str">
            <v>normal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  <cell r="N512" t="str">
            <v>ドラゴン</v>
          </cell>
          <cell r="O512" t="str">
            <v>none</v>
          </cell>
          <cell r="P512" t="str">
            <v>種族なし</v>
          </cell>
          <cell r="Q512" t="str">
            <v>アタッカー</v>
          </cell>
          <cell r="R512">
            <v>3</v>
          </cell>
          <cell r="S512" t="str">
            <v>NULL</v>
          </cell>
          <cell r="T512" t="str">
            <v>normal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  <cell r="N513" t="str">
            <v>ゴッド</v>
          </cell>
          <cell r="O513" t="str">
            <v>none</v>
          </cell>
          <cell r="P513" t="str">
            <v>種族なし</v>
          </cell>
          <cell r="Q513" t="str">
            <v>アタッカー</v>
          </cell>
          <cell r="R513">
            <v>3</v>
          </cell>
          <cell r="S513" t="str">
            <v>NULL</v>
          </cell>
          <cell r="T513" t="str">
            <v>normal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  <cell r="N514" t="str">
            <v>ゴッド</v>
          </cell>
          <cell r="O514" t="str">
            <v>none</v>
          </cell>
          <cell r="P514" t="str">
            <v>種族なし</v>
          </cell>
          <cell r="Q514" t="str">
            <v>アタッカー</v>
          </cell>
          <cell r="R514">
            <v>3</v>
          </cell>
          <cell r="S514" t="str">
            <v>NULL</v>
          </cell>
          <cell r="T514" t="str">
            <v>normal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  <cell r="N515" t="str">
            <v>ゴッド</v>
          </cell>
          <cell r="O515" t="str">
            <v>none</v>
          </cell>
          <cell r="P515" t="str">
            <v>種族なし</v>
          </cell>
          <cell r="Q515" t="str">
            <v>アタッカー</v>
          </cell>
          <cell r="R515">
            <v>3</v>
          </cell>
          <cell r="S515" t="str">
            <v>NULL</v>
          </cell>
          <cell r="T515" t="str">
            <v>normal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  <cell r="N516" t="str">
            <v>ゴッド</v>
          </cell>
          <cell r="O516" t="str">
            <v>none</v>
          </cell>
          <cell r="P516" t="str">
            <v>種族なし</v>
          </cell>
          <cell r="Q516" t="str">
            <v>アタッカー</v>
          </cell>
          <cell r="R516">
            <v>3</v>
          </cell>
          <cell r="S516" t="str">
            <v>NULL</v>
          </cell>
          <cell r="T516" t="str">
            <v>normal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  <cell r="N517" t="str">
            <v>ヒューマン</v>
          </cell>
          <cell r="O517" t="str">
            <v>none</v>
          </cell>
          <cell r="P517" t="str">
            <v>種族なし</v>
          </cell>
          <cell r="Q517" t="str">
            <v>アタッカー</v>
          </cell>
          <cell r="R517">
            <v>3</v>
          </cell>
          <cell r="S517" t="str">
            <v>NULL</v>
          </cell>
          <cell r="T517" t="str">
            <v>normal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  <cell r="N518" t="str">
            <v>ヒューマン</v>
          </cell>
          <cell r="O518" t="str">
            <v>none</v>
          </cell>
          <cell r="P518" t="str">
            <v>種族なし</v>
          </cell>
          <cell r="Q518" t="str">
            <v>アタッカー</v>
          </cell>
          <cell r="R518">
            <v>3</v>
          </cell>
          <cell r="S518" t="str">
            <v>NULL</v>
          </cell>
          <cell r="T518" t="str">
            <v>normal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  <cell r="N519" t="str">
            <v>ゴッド</v>
          </cell>
          <cell r="O519" t="str">
            <v>machine</v>
          </cell>
          <cell r="P519" t="str">
            <v>マシン</v>
          </cell>
          <cell r="Q519" t="str">
            <v>アタッカー</v>
          </cell>
          <cell r="R519">
            <v>3</v>
          </cell>
          <cell r="S519" t="str">
            <v>NULL</v>
          </cell>
          <cell r="T519" t="str">
            <v>normal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  <cell r="N520" t="str">
            <v>ゴッド</v>
          </cell>
          <cell r="O520" t="str">
            <v>machine</v>
          </cell>
          <cell r="P520" t="str">
            <v>マシン</v>
          </cell>
          <cell r="Q520" t="str">
            <v>アタッカー</v>
          </cell>
          <cell r="R520">
            <v>3</v>
          </cell>
          <cell r="S520" t="str">
            <v>NULL</v>
          </cell>
          <cell r="T520" t="str">
            <v>normal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  <cell r="N521" t="str">
            <v>Unknown</v>
          </cell>
          <cell r="O521" t="str">
            <v>none</v>
          </cell>
          <cell r="P521" t="str">
            <v>種族なし</v>
          </cell>
          <cell r="Q521" t="str">
            <v>アタッカー</v>
          </cell>
          <cell r="R521">
            <v>3</v>
          </cell>
          <cell r="S521" t="str">
            <v>NULL</v>
          </cell>
          <cell r="T521" t="str">
            <v>normal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  <cell r="N522" t="str">
            <v>Unknown</v>
          </cell>
          <cell r="O522" t="str">
            <v>none</v>
          </cell>
          <cell r="P522" t="str">
            <v>種族なし</v>
          </cell>
          <cell r="Q522" t="str">
            <v>アタッカー</v>
          </cell>
          <cell r="R522">
            <v>3</v>
          </cell>
          <cell r="S522" t="str">
            <v>NULL</v>
          </cell>
          <cell r="T522" t="str">
            <v>normal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  <cell r="N523" t="str">
            <v>Unknown</v>
          </cell>
          <cell r="O523" t="str">
            <v>none</v>
          </cell>
          <cell r="P523" t="str">
            <v>種族なし</v>
          </cell>
          <cell r="Q523" t="str">
            <v>アタッカー</v>
          </cell>
          <cell r="R523">
            <v>3</v>
          </cell>
          <cell r="S523" t="str">
            <v>NULL</v>
          </cell>
          <cell r="T523" t="str">
            <v>normal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  <cell r="N524" t="str">
            <v>Unknown</v>
          </cell>
          <cell r="O524" t="str">
            <v>none</v>
          </cell>
          <cell r="P524" t="str">
            <v>種族なし</v>
          </cell>
          <cell r="Q524" t="str">
            <v>アタッカー</v>
          </cell>
          <cell r="R524">
            <v>3</v>
          </cell>
          <cell r="S524" t="str">
            <v>NULL</v>
          </cell>
          <cell r="T524" t="str">
            <v>normal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  <cell r="N525" t="str">
            <v>Unknown</v>
          </cell>
          <cell r="O525" t="str">
            <v>none</v>
          </cell>
          <cell r="P525" t="str">
            <v>種族なし</v>
          </cell>
          <cell r="Q525" t="str">
            <v>アタッカー</v>
          </cell>
          <cell r="R525">
            <v>3</v>
          </cell>
          <cell r="S525" t="str">
            <v>NULL</v>
          </cell>
          <cell r="T525" t="str">
            <v>normal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  <cell r="N526" t="str">
            <v>Unknown</v>
          </cell>
          <cell r="O526" t="str">
            <v>none</v>
          </cell>
          <cell r="P526" t="str">
            <v>種族なし</v>
          </cell>
          <cell r="Q526" t="str">
            <v>アタッカー</v>
          </cell>
          <cell r="R526">
            <v>3</v>
          </cell>
          <cell r="S526" t="str">
            <v>NULL</v>
          </cell>
          <cell r="T526" t="str">
            <v>normal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  <cell r="N527" t="str">
            <v>Unknown</v>
          </cell>
          <cell r="O527" t="str">
            <v>none</v>
          </cell>
          <cell r="P527" t="str">
            <v>種族なし</v>
          </cell>
          <cell r="Q527" t="str">
            <v>アタッカー</v>
          </cell>
          <cell r="R527">
            <v>3</v>
          </cell>
          <cell r="S527" t="str">
            <v>NULL</v>
          </cell>
          <cell r="T527" t="str">
            <v>normal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  <cell r="N528" t="str">
            <v>Unknown</v>
          </cell>
          <cell r="O528" t="str">
            <v>none</v>
          </cell>
          <cell r="P528" t="str">
            <v>種族なし</v>
          </cell>
          <cell r="Q528" t="str">
            <v>アタッカー</v>
          </cell>
          <cell r="R528">
            <v>3</v>
          </cell>
          <cell r="S528" t="str">
            <v>NULL</v>
          </cell>
          <cell r="T528" t="str">
            <v>normal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  <cell r="N529" t="str">
            <v>Unknown</v>
          </cell>
          <cell r="O529" t="str">
            <v>none</v>
          </cell>
          <cell r="P529" t="str">
            <v>種族なし</v>
          </cell>
          <cell r="Q529" t="str">
            <v>アタッカー</v>
          </cell>
          <cell r="R529">
            <v>3</v>
          </cell>
          <cell r="S529" t="str">
            <v>NULL</v>
          </cell>
          <cell r="T529" t="str">
            <v>normal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  <cell r="N530" t="str">
            <v>Unknown</v>
          </cell>
          <cell r="O530" t="str">
            <v>none</v>
          </cell>
          <cell r="P530" t="str">
            <v>種族なし</v>
          </cell>
          <cell r="Q530" t="str">
            <v>アタッカー</v>
          </cell>
          <cell r="R530">
            <v>3</v>
          </cell>
          <cell r="S530" t="str">
            <v>NULL</v>
          </cell>
          <cell r="T530" t="str">
            <v>normal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  <cell r="N531" t="str">
            <v>Unknown</v>
          </cell>
          <cell r="O531" t="str">
            <v>none</v>
          </cell>
          <cell r="P531" t="str">
            <v>種族なし</v>
          </cell>
          <cell r="Q531" t="str">
            <v>アタッカー</v>
          </cell>
          <cell r="R531">
            <v>3</v>
          </cell>
          <cell r="S531" t="str">
            <v>NULL</v>
          </cell>
          <cell r="T531" t="str">
            <v>normal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  <cell r="N532" t="str">
            <v>Unknown</v>
          </cell>
          <cell r="O532" t="str">
            <v>none</v>
          </cell>
          <cell r="P532" t="str">
            <v>種族なし</v>
          </cell>
          <cell r="Q532" t="str">
            <v>アタッカー</v>
          </cell>
          <cell r="R532">
            <v>3</v>
          </cell>
          <cell r="S532" t="str">
            <v>NULL</v>
          </cell>
          <cell r="T532" t="str">
            <v>normal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  <cell r="N533" t="str">
            <v>Unknown</v>
          </cell>
          <cell r="O533" t="str">
            <v>none</v>
          </cell>
          <cell r="P533" t="str">
            <v>種族なし</v>
          </cell>
          <cell r="Q533" t="str">
            <v>アタッカー</v>
          </cell>
          <cell r="R533">
            <v>3</v>
          </cell>
          <cell r="S533" t="str">
            <v>NULL</v>
          </cell>
          <cell r="T533" t="str">
            <v>normal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  <cell r="N534" t="str">
            <v>ヒューマン</v>
          </cell>
          <cell r="O534" t="str">
            <v>none</v>
          </cell>
          <cell r="P534" t="str">
            <v>種族なし</v>
          </cell>
          <cell r="Q534" t="str">
            <v>アタッカー</v>
          </cell>
          <cell r="R534">
            <v>3</v>
          </cell>
          <cell r="S534" t="str">
            <v>NULL</v>
          </cell>
          <cell r="T534" t="str">
            <v>normal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  <cell r="N535" t="str">
            <v>マシン</v>
          </cell>
          <cell r="O535" t="str">
            <v>none</v>
          </cell>
          <cell r="P535" t="str">
            <v>種族なし</v>
          </cell>
          <cell r="Q535" t="str">
            <v>アタッカー</v>
          </cell>
          <cell r="R535">
            <v>3</v>
          </cell>
          <cell r="S535" t="str">
            <v>NULL</v>
          </cell>
          <cell r="T535" t="str">
            <v>normal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  <cell r="N536" t="str">
            <v>ヒューマン</v>
          </cell>
          <cell r="O536" t="str">
            <v>machine</v>
          </cell>
          <cell r="P536" t="str">
            <v>マシン</v>
          </cell>
          <cell r="Q536" t="str">
            <v>アタッカー</v>
          </cell>
          <cell r="R536">
            <v>3</v>
          </cell>
          <cell r="S536" t="str">
            <v>NULL</v>
          </cell>
          <cell r="T536" t="str">
            <v>normal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  <cell r="N537" t="str">
            <v>アニマル</v>
          </cell>
          <cell r="O537" t="str">
            <v>none</v>
          </cell>
          <cell r="P537" t="str">
            <v>種族なし</v>
          </cell>
          <cell r="Q537" t="str">
            <v>アタッカー</v>
          </cell>
          <cell r="R537">
            <v>3</v>
          </cell>
          <cell r="S537" t="str">
            <v>NULL</v>
          </cell>
          <cell r="T537" t="str">
            <v>normal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  <cell r="N538" t="str">
            <v>Unknown</v>
          </cell>
          <cell r="O538" t="str">
            <v>none</v>
          </cell>
          <cell r="P538" t="str">
            <v>種族なし</v>
          </cell>
          <cell r="Q538" t="str">
            <v>アタッカー</v>
          </cell>
          <cell r="R538">
            <v>3</v>
          </cell>
          <cell r="S538" t="str">
            <v>NULL</v>
          </cell>
          <cell r="T538" t="str">
            <v>normal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  <cell r="N539" t="str">
            <v>Unknown</v>
          </cell>
          <cell r="O539" t="str">
            <v>none</v>
          </cell>
          <cell r="P539" t="str">
            <v>種族なし</v>
          </cell>
          <cell r="Q539" t="str">
            <v>アタッカー</v>
          </cell>
          <cell r="R539">
            <v>3</v>
          </cell>
          <cell r="S539" t="str">
            <v>NULL</v>
          </cell>
          <cell r="T539" t="str">
            <v>normal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  <cell r="N540" t="str">
            <v>Unknown</v>
          </cell>
          <cell r="O540" t="str">
            <v>none</v>
          </cell>
          <cell r="P540" t="str">
            <v>種族なし</v>
          </cell>
          <cell r="Q540" t="str">
            <v>アタッカー</v>
          </cell>
          <cell r="R540">
            <v>3</v>
          </cell>
          <cell r="S540" t="str">
            <v>NULL</v>
          </cell>
          <cell r="T540" t="str">
            <v>normal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  <cell r="N541" t="str">
            <v>Unknown</v>
          </cell>
          <cell r="O541" t="str">
            <v>none</v>
          </cell>
          <cell r="P541" t="str">
            <v>種族なし</v>
          </cell>
          <cell r="Q541" t="str">
            <v>アタッカー</v>
          </cell>
          <cell r="R541">
            <v>3</v>
          </cell>
          <cell r="S541" t="str">
            <v>NULL</v>
          </cell>
          <cell r="T541" t="str">
            <v>normal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  <cell r="N542" t="str">
            <v>Unknown</v>
          </cell>
          <cell r="O542" t="str">
            <v>none</v>
          </cell>
          <cell r="P542" t="str">
            <v>種族なし</v>
          </cell>
          <cell r="Q542" t="str">
            <v>アタッカー</v>
          </cell>
          <cell r="R542">
            <v>3</v>
          </cell>
          <cell r="S542" t="str">
            <v>NULL</v>
          </cell>
          <cell r="T542" t="str">
            <v>normal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  <cell r="N543" t="str">
            <v>Unknown</v>
          </cell>
          <cell r="O543" t="str">
            <v>none</v>
          </cell>
          <cell r="P543" t="str">
            <v>種族なし</v>
          </cell>
          <cell r="Q543" t="str">
            <v>アタッカー</v>
          </cell>
          <cell r="R543">
            <v>3</v>
          </cell>
          <cell r="S543" t="str">
            <v>NULL</v>
          </cell>
          <cell r="T543" t="str">
            <v>normal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  <cell r="N544" t="str">
            <v>Unknown</v>
          </cell>
          <cell r="O544" t="str">
            <v>none</v>
          </cell>
          <cell r="P544" t="str">
            <v>種族なし</v>
          </cell>
          <cell r="Q544" t="str">
            <v>アタッカー</v>
          </cell>
          <cell r="R544">
            <v>3</v>
          </cell>
          <cell r="S544" t="str">
            <v>NULL</v>
          </cell>
          <cell r="T544" t="str">
            <v>normal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  <cell r="N545" t="str">
            <v>Unknown</v>
          </cell>
          <cell r="O545" t="str">
            <v>none</v>
          </cell>
          <cell r="P545" t="str">
            <v>種族なし</v>
          </cell>
          <cell r="Q545" t="str">
            <v>アタッカー</v>
          </cell>
          <cell r="R545">
            <v>3</v>
          </cell>
          <cell r="S545" t="str">
            <v>NULL</v>
          </cell>
          <cell r="T545" t="str">
            <v>normal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  <cell r="N546" t="str">
            <v>Unknown</v>
          </cell>
          <cell r="O546" t="str">
            <v>none</v>
          </cell>
          <cell r="P546" t="str">
            <v>種族なし</v>
          </cell>
          <cell r="Q546" t="str">
            <v>アタッカー</v>
          </cell>
          <cell r="R546">
            <v>3</v>
          </cell>
          <cell r="S546" t="str">
            <v>NULL</v>
          </cell>
          <cell r="T546" t="str">
            <v>normal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  <cell r="N547" t="str">
            <v>Unknown</v>
          </cell>
          <cell r="O547" t="str">
            <v>none</v>
          </cell>
          <cell r="P547" t="str">
            <v>種族なし</v>
          </cell>
          <cell r="Q547" t="str">
            <v>アタッカー</v>
          </cell>
          <cell r="R547">
            <v>3</v>
          </cell>
          <cell r="S547" t="str">
            <v>NULL</v>
          </cell>
          <cell r="T547" t="str">
            <v>normal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  <cell r="N548" t="str">
            <v>Unknown</v>
          </cell>
          <cell r="O548" t="str">
            <v>none</v>
          </cell>
          <cell r="P548" t="str">
            <v>種族なし</v>
          </cell>
          <cell r="Q548" t="str">
            <v>アタッカー</v>
          </cell>
          <cell r="R548">
            <v>3</v>
          </cell>
          <cell r="S548" t="str">
            <v>NULL</v>
          </cell>
          <cell r="T548" t="str">
            <v>normal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  <cell r="N549" t="str">
            <v>Unknown</v>
          </cell>
          <cell r="O549" t="str">
            <v>none</v>
          </cell>
          <cell r="P549" t="str">
            <v>種族なし</v>
          </cell>
          <cell r="Q549" t="str">
            <v>アタッカー</v>
          </cell>
          <cell r="R549">
            <v>3</v>
          </cell>
          <cell r="S549" t="str">
            <v>NULL</v>
          </cell>
          <cell r="T549" t="str">
            <v>normal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  <cell r="N550" t="str">
            <v>Unknown</v>
          </cell>
          <cell r="O550" t="str">
            <v>none</v>
          </cell>
          <cell r="P550" t="str">
            <v>種族なし</v>
          </cell>
          <cell r="Q550" t="str">
            <v>アタッカー</v>
          </cell>
          <cell r="R550">
            <v>3</v>
          </cell>
          <cell r="S550" t="str">
            <v>NULL</v>
          </cell>
          <cell r="T550" t="str">
            <v>normal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  <cell r="N551" t="str">
            <v>Unknown</v>
          </cell>
          <cell r="O551" t="str">
            <v>none</v>
          </cell>
          <cell r="P551" t="str">
            <v>種族なし</v>
          </cell>
          <cell r="Q551" t="str">
            <v>アタッカー</v>
          </cell>
          <cell r="R551">
            <v>3</v>
          </cell>
          <cell r="S551" t="str">
            <v>NULL</v>
          </cell>
          <cell r="T551" t="str">
            <v>normal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  <cell r="N552" t="str">
            <v>Unknown</v>
          </cell>
          <cell r="O552" t="str">
            <v>none</v>
          </cell>
          <cell r="P552" t="str">
            <v>種族なし</v>
          </cell>
          <cell r="Q552" t="str">
            <v>アタッカー</v>
          </cell>
          <cell r="R552">
            <v>3</v>
          </cell>
          <cell r="S552" t="str">
            <v>NULL</v>
          </cell>
          <cell r="T552" t="str">
            <v>normal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  <cell r="N553" t="str">
            <v>Unknown</v>
          </cell>
          <cell r="O553" t="str">
            <v>none</v>
          </cell>
          <cell r="P553" t="str">
            <v>種族なし</v>
          </cell>
          <cell r="Q553" t="str">
            <v>アタッカー</v>
          </cell>
          <cell r="R553">
            <v>3</v>
          </cell>
          <cell r="S553" t="str">
            <v>NULL</v>
          </cell>
          <cell r="T553" t="str">
            <v>normal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  <cell r="N554" t="str">
            <v>Unknown</v>
          </cell>
          <cell r="O554" t="str">
            <v>none</v>
          </cell>
          <cell r="P554" t="str">
            <v>種族なし</v>
          </cell>
          <cell r="Q554" t="str">
            <v>アタッカー</v>
          </cell>
          <cell r="R554">
            <v>3</v>
          </cell>
          <cell r="S554" t="str">
            <v>NULL</v>
          </cell>
          <cell r="T554" t="str">
            <v>normal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  <cell r="N555" t="str">
            <v>Unknown</v>
          </cell>
          <cell r="O555" t="str">
            <v>none</v>
          </cell>
          <cell r="P555" t="str">
            <v>種族なし</v>
          </cell>
          <cell r="Q555" t="str">
            <v>アタッカー</v>
          </cell>
          <cell r="R555">
            <v>3</v>
          </cell>
          <cell r="S555" t="str">
            <v>NULL</v>
          </cell>
          <cell r="T555" t="str">
            <v>normal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  <cell r="N556" t="str">
            <v>Unknown</v>
          </cell>
          <cell r="O556" t="str">
            <v>none</v>
          </cell>
          <cell r="P556" t="str">
            <v>種族なし</v>
          </cell>
          <cell r="Q556" t="str">
            <v>アタッカー</v>
          </cell>
          <cell r="R556">
            <v>3</v>
          </cell>
          <cell r="S556" t="str">
            <v>NULL</v>
          </cell>
          <cell r="T556" t="str">
            <v>normal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  <cell r="N557" t="str">
            <v>Unknown</v>
          </cell>
          <cell r="O557" t="str">
            <v>none</v>
          </cell>
          <cell r="P557" t="str">
            <v>種族なし</v>
          </cell>
          <cell r="Q557" t="str">
            <v>アタッカー</v>
          </cell>
          <cell r="R557">
            <v>3</v>
          </cell>
          <cell r="S557" t="str">
            <v>NULL</v>
          </cell>
          <cell r="T557" t="str">
            <v>normal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  <cell r="N558" t="str">
            <v>Unknown</v>
          </cell>
          <cell r="O558" t="str">
            <v>none</v>
          </cell>
          <cell r="P558" t="str">
            <v>種族なし</v>
          </cell>
          <cell r="Q558" t="str">
            <v>アタッカー</v>
          </cell>
          <cell r="R558">
            <v>3</v>
          </cell>
          <cell r="S558" t="str">
            <v>NULL</v>
          </cell>
          <cell r="T558" t="str">
            <v>normal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  <cell r="N559" t="str">
            <v>Unknown</v>
          </cell>
          <cell r="O559" t="str">
            <v>none</v>
          </cell>
          <cell r="P559" t="str">
            <v>種族なし</v>
          </cell>
          <cell r="Q559" t="str">
            <v>アタッカー</v>
          </cell>
          <cell r="R559">
            <v>3</v>
          </cell>
          <cell r="S559" t="str">
            <v>NULL</v>
          </cell>
          <cell r="T559" t="str">
            <v>normal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  <cell r="N560" t="str">
            <v>Unknown</v>
          </cell>
          <cell r="O560" t="str">
            <v>none</v>
          </cell>
          <cell r="P560" t="str">
            <v>種族なし</v>
          </cell>
          <cell r="Q560" t="str">
            <v>アタッカー</v>
          </cell>
          <cell r="R560">
            <v>3</v>
          </cell>
          <cell r="S560" t="str">
            <v>NULL</v>
          </cell>
          <cell r="T560" t="str">
            <v>normal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  <cell r="N561" t="str">
            <v>ヒューマン</v>
          </cell>
          <cell r="O561" t="str">
            <v>animal</v>
          </cell>
          <cell r="P561" t="str">
            <v>アニマル</v>
          </cell>
          <cell r="Q561" t="str">
            <v>バッファー</v>
          </cell>
          <cell r="R561">
            <v>3</v>
          </cell>
          <cell r="S561" t="str">
            <v>NULL</v>
          </cell>
          <cell r="T561" t="str">
            <v>normal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  <cell r="N562" t="str">
            <v>ヒューマン</v>
          </cell>
          <cell r="O562" t="str">
            <v>animal</v>
          </cell>
          <cell r="P562" t="str">
            <v>アニマル</v>
          </cell>
          <cell r="Q562" t="str">
            <v>バッファー</v>
          </cell>
          <cell r="R562">
            <v>3</v>
          </cell>
          <cell r="S562" t="str">
            <v>NULL</v>
          </cell>
          <cell r="T562" t="str">
            <v>normal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  <cell r="N563" t="str">
            <v>アニマル</v>
          </cell>
          <cell r="O563" t="str">
            <v>none</v>
          </cell>
          <cell r="P563" t="str">
            <v>種族なし</v>
          </cell>
          <cell r="Q563" t="str">
            <v>バッファー</v>
          </cell>
          <cell r="R563">
            <v>3</v>
          </cell>
          <cell r="S563" t="str">
            <v>NULL</v>
          </cell>
          <cell r="T563" t="str">
            <v>normal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  <cell r="N564" t="str">
            <v>ヒューマン</v>
          </cell>
          <cell r="O564" t="str">
            <v>animal</v>
          </cell>
          <cell r="P564" t="str">
            <v>アニマル</v>
          </cell>
          <cell r="Q564" t="str">
            <v>バッファー</v>
          </cell>
          <cell r="R564">
            <v>3</v>
          </cell>
          <cell r="S564" t="str">
            <v>NULL</v>
          </cell>
          <cell r="T564" t="str">
            <v>normal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  <cell r="N565" t="str">
            <v>ヒューマン</v>
          </cell>
          <cell r="O565" t="str">
            <v>none</v>
          </cell>
          <cell r="P565" t="str">
            <v>種族なし</v>
          </cell>
          <cell r="Q565" t="str">
            <v>アタッカー</v>
          </cell>
          <cell r="R565">
            <v>1</v>
          </cell>
          <cell r="S565" t="str">
            <v>NULL</v>
          </cell>
          <cell r="T565" t="str">
            <v>normal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  <cell r="N566" t="str">
            <v>ヒューマン</v>
          </cell>
          <cell r="O566" t="str">
            <v>none</v>
          </cell>
          <cell r="P566" t="str">
            <v>種族なし</v>
          </cell>
          <cell r="Q566" t="str">
            <v>アタッカー</v>
          </cell>
          <cell r="R566">
            <v>1</v>
          </cell>
          <cell r="S566" t="str">
            <v>NULL</v>
          </cell>
          <cell r="T566" t="str">
            <v>normal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  <cell r="N567" t="str">
            <v>ヒューマン</v>
          </cell>
          <cell r="O567" t="str">
            <v>animal</v>
          </cell>
          <cell r="P567" t="str">
            <v>アニマル</v>
          </cell>
          <cell r="Q567" t="str">
            <v>アタッカー</v>
          </cell>
          <cell r="R567">
            <v>3</v>
          </cell>
          <cell r="S567" t="str">
            <v>NULL</v>
          </cell>
          <cell r="T567" t="str">
            <v>normal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  <cell r="N568" t="str">
            <v>アニマル</v>
          </cell>
          <cell r="O568" t="str">
            <v>none</v>
          </cell>
          <cell r="P568" t="str">
            <v>種族なし</v>
          </cell>
          <cell r="Q568" t="str">
            <v>アタッカー</v>
          </cell>
          <cell r="R568">
            <v>3</v>
          </cell>
          <cell r="S568" t="str">
            <v>NULL</v>
          </cell>
          <cell r="T568" t="str">
            <v>normal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  <cell r="N569" t="str">
            <v>ヒューマン</v>
          </cell>
          <cell r="O569" t="str">
            <v>machine</v>
          </cell>
          <cell r="P569" t="str">
            <v>マシン</v>
          </cell>
          <cell r="Q569" t="str">
            <v>アタッカー</v>
          </cell>
          <cell r="R569">
            <v>3</v>
          </cell>
          <cell r="S569" t="str">
            <v>NULL</v>
          </cell>
          <cell r="T569" t="str">
            <v>normal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  <cell r="N570" t="str">
            <v>Unknown</v>
          </cell>
          <cell r="O570" t="str">
            <v>none</v>
          </cell>
          <cell r="P570" t="str">
            <v>種族なし</v>
          </cell>
          <cell r="Q570" t="str">
            <v>アタッカー</v>
          </cell>
          <cell r="R570">
            <v>3</v>
          </cell>
          <cell r="S570" t="str">
            <v>NULL</v>
          </cell>
          <cell r="T570" t="str">
            <v>normal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  <cell r="N571" t="str">
            <v>Unknown</v>
          </cell>
          <cell r="O571" t="str">
            <v>none</v>
          </cell>
          <cell r="P571" t="str">
            <v>種族なし</v>
          </cell>
          <cell r="Q571" t="str">
            <v>アタッカー</v>
          </cell>
          <cell r="R571">
            <v>3</v>
          </cell>
          <cell r="S571" t="str">
            <v>NULL</v>
          </cell>
          <cell r="T571" t="str">
            <v>normal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  <cell r="N572" t="str">
            <v>Unknown</v>
          </cell>
          <cell r="O572" t="str">
            <v>none</v>
          </cell>
          <cell r="P572" t="str">
            <v>種族なし</v>
          </cell>
          <cell r="Q572" t="str">
            <v>タップブースター</v>
          </cell>
          <cell r="R572">
            <v>3</v>
          </cell>
          <cell r="S572" t="str">
            <v>NULL</v>
          </cell>
          <cell r="T572" t="str">
            <v>normal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  <cell r="N573" t="str">
            <v>Unknown</v>
          </cell>
          <cell r="O573" t="str">
            <v>none</v>
          </cell>
          <cell r="P573" t="str">
            <v>種族なし</v>
          </cell>
          <cell r="Q573" t="str">
            <v>スキル進化素材</v>
          </cell>
          <cell r="R573">
            <v>3</v>
          </cell>
          <cell r="S573" t="str">
            <v>NULL</v>
          </cell>
          <cell r="T573" t="str">
            <v>normal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  <cell r="N574" t="str">
            <v>マシン</v>
          </cell>
          <cell r="O574" t="str">
            <v>god</v>
          </cell>
          <cell r="P574" t="str">
            <v>ゴッド</v>
          </cell>
          <cell r="Q574" t="str">
            <v>アタッカー</v>
          </cell>
          <cell r="R574">
            <v>3</v>
          </cell>
          <cell r="S574" t="str">
            <v>NULL</v>
          </cell>
          <cell r="T574" t="str">
            <v>normal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  <cell r="N575" t="str">
            <v>マシン</v>
          </cell>
          <cell r="O575" t="str">
            <v>god</v>
          </cell>
          <cell r="P575" t="str">
            <v>ゴッド</v>
          </cell>
          <cell r="Q575" t="str">
            <v>アタッカー</v>
          </cell>
          <cell r="R575">
            <v>3</v>
          </cell>
          <cell r="S575" t="str">
            <v>NULL</v>
          </cell>
          <cell r="T575" t="str">
            <v>normal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  <cell r="N576" t="str">
            <v>アニマル</v>
          </cell>
          <cell r="O576" t="str">
            <v>none</v>
          </cell>
          <cell r="P576" t="str">
            <v>種族なし</v>
          </cell>
          <cell r="Q576" t="str">
            <v>アタッカー</v>
          </cell>
          <cell r="R576">
            <v>3</v>
          </cell>
          <cell r="S576" t="str">
            <v>NULL</v>
          </cell>
          <cell r="T576" t="str">
            <v>normal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  <cell r="N577" t="str">
            <v>アニマル</v>
          </cell>
          <cell r="O577" t="str">
            <v>none</v>
          </cell>
          <cell r="P577" t="str">
            <v>種族なし</v>
          </cell>
          <cell r="Q577" t="str">
            <v>アタッカー</v>
          </cell>
          <cell r="R577">
            <v>3</v>
          </cell>
          <cell r="S577" t="str">
            <v>NULL</v>
          </cell>
          <cell r="T577" t="str">
            <v>normal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  <cell r="N578" t="str">
            <v>Unknown</v>
          </cell>
          <cell r="O578" t="str">
            <v>none</v>
          </cell>
          <cell r="P578" t="str">
            <v>種族なし</v>
          </cell>
          <cell r="Q578" t="str">
            <v>アタッカー</v>
          </cell>
          <cell r="R578">
            <v>3</v>
          </cell>
          <cell r="S578" t="str">
            <v>NULL</v>
          </cell>
          <cell r="T578" t="str">
            <v>normal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  <cell r="N579" t="str">
            <v>Unknown</v>
          </cell>
          <cell r="O579" t="str">
            <v>none</v>
          </cell>
          <cell r="P579" t="str">
            <v>種族なし</v>
          </cell>
          <cell r="Q579" t="str">
            <v>アタッカー</v>
          </cell>
          <cell r="R579">
            <v>3</v>
          </cell>
          <cell r="S579" t="str">
            <v>NULL</v>
          </cell>
          <cell r="T579" t="str">
            <v>normal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  <cell r="N580" t="str">
            <v>ゴッド</v>
          </cell>
          <cell r="O580" t="str">
            <v>none</v>
          </cell>
          <cell r="P580" t="str">
            <v>種族なし</v>
          </cell>
          <cell r="Q580" t="str">
            <v>アタッカー</v>
          </cell>
          <cell r="R580">
            <v>3</v>
          </cell>
          <cell r="S580" t="str">
            <v>NULL</v>
          </cell>
          <cell r="T580" t="str">
            <v>normal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  <cell r="N581" t="str">
            <v>ゴッド</v>
          </cell>
          <cell r="O581" t="str">
            <v>none</v>
          </cell>
          <cell r="P581" t="str">
            <v>種族なし</v>
          </cell>
          <cell r="Q581" t="str">
            <v>アタッカー</v>
          </cell>
          <cell r="R581">
            <v>3</v>
          </cell>
          <cell r="S581" t="str">
            <v>NULL</v>
          </cell>
          <cell r="T581" t="str">
            <v>normal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  <cell r="N582" t="str">
            <v>マシン</v>
          </cell>
          <cell r="O582" t="str">
            <v>animal</v>
          </cell>
          <cell r="P582" t="str">
            <v>アニマル</v>
          </cell>
          <cell r="Q582" t="str">
            <v>アタッカー</v>
          </cell>
          <cell r="R582">
            <v>3</v>
          </cell>
          <cell r="S582" t="str">
            <v>NULL</v>
          </cell>
          <cell r="T582" t="str">
            <v>normal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  <cell r="N583" t="str">
            <v>マシン</v>
          </cell>
          <cell r="O583" t="str">
            <v>animal</v>
          </cell>
          <cell r="P583" t="str">
            <v>アニマル</v>
          </cell>
          <cell r="Q583" t="str">
            <v>アタッカー</v>
          </cell>
          <cell r="R583">
            <v>3</v>
          </cell>
          <cell r="S583" t="str">
            <v>NULL</v>
          </cell>
          <cell r="T583" t="str">
            <v>normal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  <cell r="N584" t="str">
            <v>マシン</v>
          </cell>
          <cell r="O584" t="str">
            <v>none</v>
          </cell>
          <cell r="P584" t="str">
            <v>種族なし</v>
          </cell>
          <cell r="Q584" t="str">
            <v>アタッカー</v>
          </cell>
          <cell r="R584">
            <v>3</v>
          </cell>
          <cell r="S584" t="str">
            <v>NULL</v>
          </cell>
          <cell r="T584" t="str">
            <v>normal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  <cell r="N585" t="str">
            <v>マシン</v>
          </cell>
          <cell r="O585" t="str">
            <v>none</v>
          </cell>
          <cell r="P585" t="str">
            <v>種族なし</v>
          </cell>
          <cell r="Q585" t="str">
            <v>アタッカー</v>
          </cell>
          <cell r="R585">
            <v>3</v>
          </cell>
          <cell r="S585" t="str">
            <v>NULL</v>
          </cell>
          <cell r="T585" t="str">
            <v>normal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  <cell r="N586" t="str">
            <v>マシン</v>
          </cell>
          <cell r="O586" t="str">
            <v>none</v>
          </cell>
          <cell r="P586" t="str">
            <v>種族なし</v>
          </cell>
          <cell r="Q586" t="str">
            <v>アタッカー</v>
          </cell>
          <cell r="R586">
            <v>0</v>
          </cell>
          <cell r="S586" t="str">
            <v>NULL</v>
          </cell>
          <cell r="T586" t="str">
            <v>normal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  <cell r="N587" t="str">
            <v>マシン</v>
          </cell>
          <cell r="O587" t="str">
            <v>none</v>
          </cell>
          <cell r="P587" t="str">
            <v>種族なし</v>
          </cell>
          <cell r="Q587" t="str">
            <v>アタッカー</v>
          </cell>
          <cell r="R587">
            <v>3</v>
          </cell>
          <cell r="S587" t="str">
            <v>NULL</v>
          </cell>
          <cell r="T587" t="str">
            <v>normal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  <cell r="N588" t="str">
            <v>マシン</v>
          </cell>
          <cell r="O588" t="str">
            <v>none</v>
          </cell>
          <cell r="P588" t="str">
            <v>種族なし</v>
          </cell>
          <cell r="Q588" t="str">
            <v>アタッカー</v>
          </cell>
          <cell r="R588">
            <v>3</v>
          </cell>
          <cell r="S588" t="str">
            <v>NULL</v>
          </cell>
          <cell r="T588" t="str">
            <v>normal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  <cell r="N589" t="str">
            <v>Unknown</v>
          </cell>
          <cell r="O589" t="str">
            <v>none</v>
          </cell>
          <cell r="P589" t="str">
            <v>種族なし</v>
          </cell>
          <cell r="Q589" t="str">
            <v>アタッカー</v>
          </cell>
          <cell r="R589">
            <v>3</v>
          </cell>
          <cell r="S589" t="str">
            <v>NULL</v>
          </cell>
          <cell r="T589" t="str">
            <v>normal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  <cell r="N590" t="str">
            <v>Unknown</v>
          </cell>
          <cell r="O590" t="str">
            <v>none</v>
          </cell>
          <cell r="P590" t="str">
            <v>種族なし</v>
          </cell>
          <cell r="Q590" t="str">
            <v>アタッカー</v>
          </cell>
          <cell r="R590">
            <v>3</v>
          </cell>
          <cell r="S590" t="str">
            <v>NULL</v>
          </cell>
          <cell r="T590" t="str">
            <v>normal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  <cell r="N591" t="str">
            <v>Unknown</v>
          </cell>
          <cell r="O591" t="str">
            <v>none</v>
          </cell>
          <cell r="P591" t="str">
            <v>種族なし</v>
          </cell>
          <cell r="Q591" t="str">
            <v>アタッカー</v>
          </cell>
          <cell r="R591">
            <v>3</v>
          </cell>
          <cell r="S591" t="str">
            <v>NULL</v>
          </cell>
          <cell r="T591" t="str">
            <v>normal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  <cell r="N592" t="str">
            <v>ドラゴン</v>
          </cell>
          <cell r="O592" t="str">
            <v>none</v>
          </cell>
          <cell r="P592" t="str">
            <v>種族なし</v>
          </cell>
          <cell r="Q592" t="str">
            <v>アタッカー</v>
          </cell>
          <cell r="R592">
            <v>3</v>
          </cell>
          <cell r="S592" t="str">
            <v>NULL</v>
          </cell>
          <cell r="T592" t="str">
            <v>normal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  <cell r="N593" t="str">
            <v>ドラゴン</v>
          </cell>
          <cell r="O593" t="str">
            <v>none</v>
          </cell>
          <cell r="P593" t="str">
            <v>種族なし</v>
          </cell>
          <cell r="Q593" t="str">
            <v>アタッカー</v>
          </cell>
          <cell r="R593">
            <v>3</v>
          </cell>
          <cell r="S593" t="str">
            <v>NULL</v>
          </cell>
          <cell r="T593" t="str">
            <v>normal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  <cell r="N594" t="str">
            <v>ドラゴン</v>
          </cell>
          <cell r="O594" t="str">
            <v>none</v>
          </cell>
          <cell r="P594" t="str">
            <v>種族なし</v>
          </cell>
          <cell r="Q594" t="str">
            <v>アタッカー</v>
          </cell>
          <cell r="R594">
            <v>3</v>
          </cell>
          <cell r="S594" t="str">
            <v>NULL</v>
          </cell>
          <cell r="T594" t="str">
            <v>normal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  <cell r="N595" t="str">
            <v>ドラゴン</v>
          </cell>
          <cell r="O595" t="str">
            <v>none</v>
          </cell>
          <cell r="P595" t="str">
            <v>種族なし</v>
          </cell>
          <cell r="Q595" t="str">
            <v>アタッカー</v>
          </cell>
          <cell r="R595">
            <v>3</v>
          </cell>
          <cell r="S595" t="str">
            <v>NULL</v>
          </cell>
          <cell r="T595" t="str">
            <v>normal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  <cell r="N596" t="str">
            <v>ドラゴン</v>
          </cell>
          <cell r="O596" t="str">
            <v>none</v>
          </cell>
          <cell r="P596" t="str">
            <v>種族なし</v>
          </cell>
          <cell r="Q596" t="str">
            <v>アタッカー</v>
          </cell>
          <cell r="R596">
            <v>3</v>
          </cell>
          <cell r="S596" t="str">
            <v>NULL</v>
          </cell>
          <cell r="T596" t="str">
            <v>normal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  <cell r="N597" t="str">
            <v>ヒューマン</v>
          </cell>
          <cell r="O597" t="str">
            <v>machine</v>
          </cell>
          <cell r="P597" t="str">
            <v>マシン</v>
          </cell>
          <cell r="Q597" t="str">
            <v>アタッカー</v>
          </cell>
          <cell r="R597">
            <v>3</v>
          </cell>
          <cell r="S597" t="str">
            <v>NULL</v>
          </cell>
          <cell r="T597" t="str">
            <v>normal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  <cell r="N598" t="str">
            <v>ヒューマン</v>
          </cell>
          <cell r="O598" t="str">
            <v>machine</v>
          </cell>
          <cell r="P598" t="str">
            <v>マシン</v>
          </cell>
          <cell r="Q598" t="str">
            <v>アタッカー</v>
          </cell>
          <cell r="R598">
            <v>3</v>
          </cell>
          <cell r="S598" t="str">
            <v>NULL</v>
          </cell>
          <cell r="T598" t="str">
            <v>normal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  <cell r="N599" t="str">
            <v>ヒューマン</v>
          </cell>
          <cell r="O599" t="str">
            <v>machine</v>
          </cell>
          <cell r="P599" t="str">
            <v>マシン</v>
          </cell>
          <cell r="Q599" t="str">
            <v>アタッカー</v>
          </cell>
          <cell r="R599">
            <v>3</v>
          </cell>
          <cell r="S599" t="str">
            <v>NULL</v>
          </cell>
          <cell r="T599" t="str">
            <v>normal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  <cell r="N600" t="str">
            <v>ドラゴン</v>
          </cell>
          <cell r="O600" t="str">
            <v>none</v>
          </cell>
          <cell r="P600" t="str">
            <v>種族なし</v>
          </cell>
          <cell r="Q600" t="str">
            <v>アタッカー</v>
          </cell>
          <cell r="R600">
            <v>3</v>
          </cell>
          <cell r="S600" t="str">
            <v>NULL</v>
          </cell>
          <cell r="T600" t="str">
            <v>normal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  <cell r="N601" t="str">
            <v>ドラゴン</v>
          </cell>
          <cell r="O601" t="str">
            <v>none</v>
          </cell>
          <cell r="P601" t="str">
            <v>種族なし</v>
          </cell>
          <cell r="Q601" t="str">
            <v>アタッカー</v>
          </cell>
          <cell r="R601">
            <v>3</v>
          </cell>
          <cell r="S601" t="str">
            <v>NULL</v>
          </cell>
          <cell r="T601" t="str">
            <v>normal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  <cell r="N602" t="str">
            <v>ドラゴン</v>
          </cell>
          <cell r="O602" t="str">
            <v>none</v>
          </cell>
          <cell r="P602" t="str">
            <v>種族なし</v>
          </cell>
          <cell r="Q602" t="str">
            <v>アタッカー</v>
          </cell>
          <cell r="R602">
            <v>3</v>
          </cell>
          <cell r="S602" t="str">
            <v>NULL</v>
          </cell>
          <cell r="T602" t="str">
            <v>normal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  <cell r="N603" t="str">
            <v>アニマル</v>
          </cell>
          <cell r="O603" t="str">
            <v>none</v>
          </cell>
          <cell r="P603" t="str">
            <v>種族なし</v>
          </cell>
          <cell r="Q603" t="str">
            <v>アタッカー</v>
          </cell>
          <cell r="R603">
            <v>3</v>
          </cell>
          <cell r="S603" t="str">
            <v>NULL</v>
          </cell>
          <cell r="T603" t="str">
            <v>normal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  <cell r="N604" t="str">
            <v>アニマル</v>
          </cell>
          <cell r="O604" t="str">
            <v>none</v>
          </cell>
          <cell r="P604" t="str">
            <v>種族なし</v>
          </cell>
          <cell r="Q604" t="str">
            <v>アタッカー</v>
          </cell>
          <cell r="R604">
            <v>3</v>
          </cell>
          <cell r="S604" t="str">
            <v>NULL</v>
          </cell>
          <cell r="T604" t="str">
            <v>normal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  <cell r="N605" t="str">
            <v>ゴッド</v>
          </cell>
          <cell r="O605" t="str">
            <v>none</v>
          </cell>
          <cell r="P605" t="str">
            <v>種族なし</v>
          </cell>
          <cell r="Q605" t="str">
            <v>アタッカー</v>
          </cell>
          <cell r="R605">
            <v>3</v>
          </cell>
          <cell r="S605" t="str">
            <v>NULL</v>
          </cell>
          <cell r="T605" t="str">
            <v>normal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  <cell r="N606" t="str">
            <v>ゴッド</v>
          </cell>
          <cell r="O606" t="str">
            <v>none</v>
          </cell>
          <cell r="P606" t="str">
            <v>種族なし</v>
          </cell>
          <cell r="Q606" t="str">
            <v>アタッカー</v>
          </cell>
          <cell r="R606">
            <v>3</v>
          </cell>
          <cell r="S606" t="str">
            <v>NULL</v>
          </cell>
          <cell r="T606" t="str">
            <v>normal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  <cell r="N607" t="str">
            <v>ゴッド</v>
          </cell>
          <cell r="O607" t="str">
            <v>none</v>
          </cell>
          <cell r="P607" t="str">
            <v>種族なし</v>
          </cell>
          <cell r="Q607" t="str">
            <v>アタッカー</v>
          </cell>
          <cell r="R607">
            <v>3</v>
          </cell>
          <cell r="S607" t="str">
            <v>NULL</v>
          </cell>
          <cell r="T607" t="str">
            <v>normal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  <cell r="N608" t="str">
            <v>Unknown</v>
          </cell>
          <cell r="O608" t="str">
            <v>none</v>
          </cell>
          <cell r="P608" t="str">
            <v>種族なし</v>
          </cell>
          <cell r="Q608" t="str">
            <v>アタッカー</v>
          </cell>
          <cell r="R608">
            <v>3</v>
          </cell>
          <cell r="S608" t="str">
            <v>NULL</v>
          </cell>
          <cell r="T608" t="str">
            <v>normal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  <cell r="N609" t="str">
            <v>Unknown</v>
          </cell>
          <cell r="O609" t="str">
            <v>none</v>
          </cell>
          <cell r="P609" t="str">
            <v>種族なし</v>
          </cell>
          <cell r="Q609" t="str">
            <v>アタッカー</v>
          </cell>
          <cell r="R609">
            <v>3</v>
          </cell>
          <cell r="S609" t="str">
            <v>NULL</v>
          </cell>
          <cell r="T609" t="str">
            <v>normal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  <cell r="N610" t="str">
            <v>Unknown</v>
          </cell>
          <cell r="O610" t="str">
            <v>none</v>
          </cell>
          <cell r="P610" t="str">
            <v>種族なし</v>
          </cell>
          <cell r="Q610" t="str">
            <v>アタッカー</v>
          </cell>
          <cell r="R610">
            <v>3</v>
          </cell>
          <cell r="S610" t="str">
            <v>NULL</v>
          </cell>
          <cell r="T610" t="str">
            <v>normal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  <cell r="N611" t="str">
            <v>Unknown</v>
          </cell>
          <cell r="O611" t="str">
            <v>none</v>
          </cell>
          <cell r="P611" t="str">
            <v>種族なし</v>
          </cell>
          <cell r="Q611" t="str">
            <v>アタッカー</v>
          </cell>
          <cell r="R611">
            <v>3</v>
          </cell>
          <cell r="S611" t="str">
            <v>NULL</v>
          </cell>
          <cell r="T611" t="str">
            <v>normal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  <cell r="N612" t="str">
            <v>Unknown</v>
          </cell>
          <cell r="O612" t="str">
            <v>none</v>
          </cell>
          <cell r="P612" t="str">
            <v>種族なし</v>
          </cell>
          <cell r="Q612" t="str">
            <v>アタッカー</v>
          </cell>
          <cell r="R612">
            <v>3</v>
          </cell>
          <cell r="S612" t="str">
            <v>NULL</v>
          </cell>
          <cell r="T612" t="str">
            <v>normal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  <cell r="N613" t="str">
            <v>Unknown</v>
          </cell>
          <cell r="O613" t="str">
            <v>none</v>
          </cell>
          <cell r="P613" t="str">
            <v>種族なし</v>
          </cell>
          <cell r="Q613" t="str">
            <v>アタッカー</v>
          </cell>
          <cell r="R613">
            <v>3</v>
          </cell>
          <cell r="S613" t="str">
            <v>NULL</v>
          </cell>
          <cell r="T613" t="str">
            <v>normal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  <cell r="N614" t="str">
            <v>Unknown</v>
          </cell>
          <cell r="O614" t="str">
            <v>none</v>
          </cell>
          <cell r="P614" t="str">
            <v>種族なし</v>
          </cell>
          <cell r="Q614" t="str">
            <v>アタッカー</v>
          </cell>
          <cell r="R614">
            <v>3</v>
          </cell>
          <cell r="S614" t="str">
            <v>NULL</v>
          </cell>
          <cell r="T614" t="str">
            <v>normal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  <cell r="N615" t="str">
            <v>Unknown</v>
          </cell>
          <cell r="O615" t="str">
            <v>none</v>
          </cell>
          <cell r="P615" t="str">
            <v>種族なし</v>
          </cell>
          <cell r="Q615" t="str">
            <v>アタッカー</v>
          </cell>
          <cell r="R615">
            <v>3</v>
          </cell>
          <cell r="S615" t="str">
            <v>NULL</v>
          </cell>
          <cell r="T615" t="str">
            <v>normal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  <cell r="N616" t="str">
            <v>ドラゴン</v>
          </cell>
          <cell r="O616" t="str">
            <v>machine</v>
          </cell>
          <cell r="P616" t="str">
            <v>マシン</v>
          </cell>
          <cell r="Q616" t="str">
            <v>アタッカー</v>
          </cell>
          <cell r="R616">
            <v>3</v>
          </cell>
          <cell r="S616" t="str">
            <v>NULL</v>
          </cell>
          <cell r="T616" t="str">
            <v>normal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  <cell r="N617" t="str">
            <v>ドラゴン</v>
          </cell>
          <cell r="O617" t="str">
            <v>machine</v>
          </cell>
          <cell r="P617" t="str">
            <v>マシン</v>
          </cell>
          <cell r="Q617" t="str">
            <v>アタッカー</v>
          </cell>
          <cell r="R617">
            <v>3</v>
          </cell>
          <cell r="S617" t="str">
            <v>NULL</v>
          </cell>
          <cell r="T617" t="str">
            <v>normal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  <cell r="N618" t="str">
            <v>ドラゴン</v>
          </cell>
          <cell r="O618" t="str">
            <v>machine</v>
          </cell>
          <cell r="P618" t="str">
            <v>マシン</v>
          </cell>
          <cell r="Q618" t="str">
            <v>アタッカー</v>
          </cell>
          <cell r="R618">
            <v>3</v>
          </cell>
          <cell r="S618" t="str">
            <v>NULL</v>
          </cell>
          <cell r="T618" t="str">
            <v>normal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  <cell r="N619" t="str">
            <v>ドラゴン</v>
          </cell>
          <cell r="O619" t="str">
            <v>machine</v>
          </cell>
          <cell r="P619" t="str">
            <v>マシン</v>
          </cell>
          <cell r="Q619" t="str">
            <v>アタッカー</v>
          </cell>
          <cell r="R619">
            <v>3</v>
          </cell>
          <cell r="S619" t="str">
            <v>NULL</v>
          </cell>
          <cell r="T619" t="str">
            <v>normal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  <cell r="N620" t="str">
            <v>ヒューマン</v>
          </cell>
          <cell r="O620" t="str">
            <v>machine</v>
          </cell>
          <cell r="P620" t="str">
            <v>マシン</v>
          </cell>
          <cell r="Q620" t="str">
            <v>アタッカー</v>
          </cell>
          <cell r="R620">
            <v>3</v>
          </cell>
          <cell r="S620" t="str">
            <v>NULL</v>
          </cell>
          <cell r="T620" t="str">
            <v>normal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  <cell r="N621" t="str">
            <v>ヒューマン</v>
          </cell>
          <cell r="O621" t="str">
            <v>machine</v>
          </cell>
          <cell r="P621" t="str">
            <v>マシン</v>
          </cell>
          <cell r="Q621" t="str">
            <v>アタッカー</v>
          </cell>
          <cell r="R621">
            <v>3</v>
          </cell>
          <cell r="S621" t="str">
            <v>NULL</v>
          </cell>
          <cell r="T621" t="str">
            <v>normal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  <cell r="N622" t="str">
            <v>ヒューマン</v>
          </cell>
          <cell r="O622" t="str">
            <v>machine</v>
          </cell>
          <cell r="P622" t="str">
            <v>マシン</v>
          </cell>
          <cell r="Q622" t="str">
            <v>アタッカー</v>
          </cell>
          <cell r="R622">
            <v>3</v>
          </cell>
          <cell r="S622" t="str">
            <v>NULL</v>
          </cell>
          <cell r="T622" t="str">
            <v>normal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  <cell r="N623" t="str">
            <v>ヒューマン</v>
          </cell>
          <cell r="O623" t="str">
            <v>none</v>
          </cell>
          <cell r="P623" t="str">
            <v>種族なし</v>
          </cell>
          <cell r="Q623" t="str">
            <v>アタッカー</v>
          </cell>
          <cell r="R623">
            <v>1</v>
          </cell>
          <cell r="S623" t="str">
            <v>NULL</v>
          </cell>
          <cell r="T623" t="str">
            <v>normal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  <cell r="N624" t="str">
            <v>アカデミア</v>
          </cell>
          <cell r="O624" t="str">
            <v>machine</v>
          </cell>
          <cell r="P624" t="str">
            <v>マシン</v>
          </cell>
          <cell r="Q624" t="str">
            <v>アタッカー</v>
          </cell>
          <cell r="R624">
            <v>3</v>
          </cell>
          <cell r="S624" t="str">
            <v>NULL</v>
          </cell>
          <cell r="T624" t="str">
            <v>normal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  <cell r="N625" t="str">
            <v>アカデミア</v>
          </cell>
          <cell r="O625" t="str">
            <v>machine</v>
          </cell>
          <cell r="P625" t="str">
            <v>マシン</v>
          </cell>
          <cell r="Q625" t="str">
            <v>アタッカー</v>
          </cell>
          <cell r="R625">
            <v>3</v>
          </cell>
          <cell r="S625" t="str">
            <v>NULL</v>
          </cell>
          <cell r="T625" t="str">
            <v>normal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  <cell r="N626" t="str">
            <v>ヒューマン</v>
          </cell>
          <cell r="O626" t="str">
            <v>none</v>
          </cell>
          <cell r="P626" t="str">
            <v>種族なし</v>
          </cell>
          <cell r="Q626" t="str">
            <v>アタッカー</v>
          </cell>
          <cell r="R626">
            <v>1</v>
          </cell>
          <cell r="S626" t="str">
            <v>NULL</v>
          </cell>
          <cell r="T626" t="str">
            <v>normal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  <cell r="N627" t="str">
            <v>ヒューマン</v>
          </cell>
          <cell r="O627" t="str">
            <v>none</v>
          </cell>
          <cell r="P627" t="str">
            <v>種族なし</v>
          </cell>
          <cell r="Q627" t="str">
            <v>アタッカー</v>
          </cell>
          <cell r="R627">
            <v>1</v>
          </cell>
          <cell r="S627" t="str">
            <v>NULL</v>
          </cell>
          <cell r="T627" t="str">
            <v>normal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  <cell r="N628" t="str">
            <v>アニマル</v>
          </cell>
          <cell r="O628" t="str">
            <v>unknown</v>
          </cell>
          <cell r="P628" t="str">
            <v>Unknown</v>
          </cell>
          <cell r="Q628" t="str">
            <v>アタッカー</v>
          </cell>
          <cell r="R628">
            <v>3</v>
          </cell>
          <cell r="S628" t="str">
            <v>NULL</v>
          </cell>
          <cell r="T628" t="str">
            <v>normal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  <cell r="N629" t="str">
            <v>アニマル</v>
          </cell>
          <cell r="O629" t="str">
            <v>unknown</v>
          </cell>
          <cell r="P629" t="str">
            <v>Unknown</v>
          </cell>
          <cell r="Q629" t="str">
            <v>アタッカー</v>
          </cell>
          <cell r="R629">
            <v>3</v>
          </cell>
          <cell r="S629" t="str">
            <v>NULL</v>
          </cell>
          <cell r="T629" t="str">
            <v>normal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  <cell r="N630" t="str">
            <v>ゴッド</v>
          </cell>
          <cell r="O630" t="str">
            <v>animal</v>
          </cell>
          <cell r="P630" t="str">
            <v>アニマル</v>
          </cell>
          <cell r="Q630" t="str">
            <v>アタッカー</v>
          </cell>
          <cell r="R630">
            <v>3</v>
          </cell>
          <cell r="S630" t="str">
            <v>NULL</v>
          </cell>
          <cell r="T630" t="str">
            <v>normal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  <cell r="N631" t="str">
            <v>ゴッド</v>
          </cell>
          <cell r="O631" t="str">
            <v>animal</v>
          </cell>
          <cell r="P631" t="str">
            <v>アニマル</v>
          </cell>
          <cell r="Q631" t="str">
            <v>アタッカー</v>
          </cell>
          <cell r="R631">
            <v>3</v>
          </cell>
          <cell r="S631" t="str">
            <v>NULL</v>
          </cell>
          <cell r="T631" t="str">
            <v>normal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  <cell r="N632" t="str">
            <v>ヒューマン</v>
          </cell>
          <cell r="O632" t="str">
            <v>none</v>
          </cell>
          <cell r="P632" t="str">
            <v>種族なし</v>
          </cell>
          <cell r="Q632" t="str">
            <v>アタッカー</v>
          </cell>
          <cell r="R632">
            <v>3</v>
          </cell>
          <cell r="S632" t="str">
            <v>NULL</v>
          </cell>
          <cell r="T632" t="str">
            <v>normal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  <cell r="N633" t="str">
            <v>ゴッド</v>
          </cell>
          <cell r="O633" t="str">
            <v>none</v>
          </cell>
          <cell r="P633" t="str">
            <v>種族なし</v>
          </cell>
          <cell r="Q633" t="str">
            <v>アタッカー</v>
          </cell>
          <cell r="R633">
            <v>3</v>
          </cell>
          <cell r="S633" t="str">
            <v>NULL</v>
          </cell>
          <cell r="T633" t="str">
            <v>normal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  <cell r="N634" t="str">
            <v>Unknown</v>
          </cell>
          <cell r="O634" t="str">
            <v>none</v>
          </cell>
          <cell r="P634" t="str">
            <v>種族なし</v>
          </cell>
          <cell r="Q634" t="str">
            <v>アタッカー</v>
          </cell>
          <cell r="R634">
            <v>3</v>
          </cell>
          <cell r="S634" t="str">
            <v>NULL</v>
          </cell>
          <cell r="T634" t="str">
            <v>normal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  <cell r="N635" t="str">
            <v>ドラゴン</v>
          </cell>
          <cell r="O635" t="str">
            <v>none</v>
          </cell>
          <cell r="P635" t="str">
            <v>種族なし</v>
          </cell>
          <cell r="Q635" t="str">
            <v>アタッカー</v>
          </cell>
          <cell r="R635">
            <v>1</v>
          </cell>
          <cell r="S635" t="str">
            <v>NULL</v>
          </cell>
          <cell r="T635" t="str">
            <v>normal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  <cell r="N636" t="str">
            <v>ドラゴン</v>
          </cell>
          <cell r="O636" t="str">
            <v>none</v>
          </cell>
          <cell r="P636" t="str">
            <v>種族なし</v>
          </cell>
          <cell r="Q636" t="str">
            <v>アタッカー</v>
          </cell>
          <cell r="R636">
            <v>1</v>
          </cell>
          <cell r="S636" t="str">
            <v>NULL</v>
          </cell>
          <cell r="T636" t="str">
            <v>normal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  <cell r="N637" t="str">
            <v>QUEEN</v>
          </cell>
          <cell r="O637" t="str">
            <v>demon</v>
          </cell>
          <cell r="P637" t="str">
            <v>デーモン</v>
          </cell>
          <cell r="Q637" t="str">
            <v>アタッカー</v>
          </cell>
          <cell r="R637">
            <v>1</v>
          </cell>
          <cell r="S637" t="str">
            <v>NULL</v>
          </cell>
          <cell r="T637" t="str">
            <v>normal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  <cell r="N638" t="str">
            <v>QUEEN</v>
          </cell>
          <cell r="O638" t="str">
            <v>demon</v>
          </cell>
          <cell r="P638" t="str">
            <v>デーモン</v>
          </cell>
          <cell r="Q638" t="str">
            <v>アタッカー</v>
          </cell>
          <cell r="R638">
            <v>1</v>
          </cell>
          <cell r="S638" t="str">
            <v>NULL</v>
          </cell>
          <cell r="T638" t="str">
            <v>normal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  <cell r="N639" t="str">
            <v>ゴッド</v>
          </cell>
          <cell r="O639" t="str">
            <v>none</v>
          </cell>
          <cell r="P639" t="str">
            <v>種族なし</v>
          </cell>
          <cell r="Q639" t="str">
            <v>アタッカー</v>
          </cell>
          <cell r="R639">
            <v>3</v>
          </cell>
          <cell r="S639" t="str">
            <v>NULL</v>
          </cell>
          <cell r="T639" t="str">
            <v>normal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  <cell r="N640" t="str">
            <v>ヒューマン</v>
          </cell>
          <cell r="O640" t="str">
            <v>unknown</v>
          </cell>
          <cell r="P640" t="str">
            <v>Unknown</v>
          </cell>
          <cell r="Q640" t="str">
            <v>アタッカー</v>
          </cell>
          <cell r="R640">
            <v>3</v>
          </cell>
          <cell r="S640" t="str">
            <v>NULL</v>
          </cell>
          <cell r="T640" t="str">
            <v>normal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  <cell r="N641" t="str">
            <v>アニマル</v>
          </cell>
          <cell r="O641" t="str">
            <v>none</v>
          </cell>
          <cell r="P641" t="str">
            <v>種族なし</v>
          </cell>
          <cell r="Q641" t="str">
            <v>アタッカー</v>
          </cell>
          <cell r="R641">
            <v>3</v>
          </cell>
          <cell r="S641" t="str">
            <v>NULL</v>
          </cell>
          <cell r="T641" t="str">
            <v>normal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  <cell r="N642" t="str">
            <v>Unknown</v>
          </cell>
          <cell r="O642" t="str">
            <v>none</v>
          </cell>
          <cell r="P642" t="str">
            <v>種族なし</v>
          </cell>
          <cell r="Q642" t="str">
            <v>アタッカー</v>
          </cell>
          <cell r="R642">
            <v>3</v>
          </cell>
          <cell r="S642" t="str">
            <v>NULL</v>
          </cell>
          <cell r="T642" t="str">
            <v>normal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  <cell r="N643" t="str">
            <v>ゴッド</v>
          </cell>
          <cell r="O643" t="str">
            <v>none</v>
          </cell>
          <cell r="P643" t="str">
            <v>種族なし</v>
          </cell>
          <cell r="Q643" t="str">
            <v>アタッカー</v>
          </cell>
          <cell r="R643">
            <v>3</v>
          </cell>
          <cell r="S643" t="str">
            <v>NULL</v>
          </cell>
          <cell r="T643" t="str">
            <v>normal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  <cell r="N644" t="str">
            <v>ゴッド</v>
          </cell>
          <cell r="O644" t="str">
            <v>none</v>
          </cell>
          <cell r="P644" t="str">
            <v>種族なし</v>
          </cell>
          <cell r="Q644" t="str">
            <v>アタッカー</v>
          </cell>
          <cell r="R644">
            <v>3</v>
          </cell>
          <cell r="S644" t="str">
            <v>NULL</v>
          </cell>
          <cell r="T644" t="str">
            <v>normal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  <cell r="N645" t="str">
            <v>ヒューマン</v>
          </cell>
          <cell r="O645" t="str">
            <v>unknown</v>
          </cell>
          <cell r="P645" t="str">
            <v>Unknown</v>
          </cell>
          <cell r="Q645" t="str">
            <v>アタッカー</v>
          </cell>
          <cell r="R645">
            <v>3</v>
          </cell>
          <cell r="S645" t="str">
            <v>NULL</v>
          </cell>
          <cell r="T645" t="str">
            <v>normal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  <cell r="N646" t="str">
            <v>ヒューマン</v>
          </cell>
          <cell r="O646" t="str">
            <v>unknown</v>
          </cell>
          <cell r="P646" t="str">
            <v>Unknown</v>
          </cell>
          <cell r="Q646" t="str">
            <v>アタッカー</v>
          </cell>
          <cell r="R646">
            <v>3</v>
          </cell>
          <cell r="S646" t="str">
            <v>NULL</v>
          </cell>
          <cell r="T646" t="str">
            <v>normal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  <cell r="N647" t="str">
            <v>Unknown</v>
          </cell>
          <cell r="O647" t="str">
            <v>none</v>
          </cell>
          <cell r="P647" t="str">
            <v>種族なし</v>
          </cell>
          <cell r="Q647" t="str">
            <v>アタッカー</v>
          </cell>
          <cell r="R647">
            <v>3</v>
          </cell>
          <cell r="S647" t="str">
            <v>NULL</v>
          </cell>
          <cell r="T647" t="str">
            <v>normal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  <cell r="N648" t="str">
            <v>Unknown</v>
          </cell>
          <cell r="O648" t="str">
            <v>none</v>
          </cell>
          <cell r="P648" t="str">
            <v>種族なし</v>
          </cell>
          <cell r="Q648" t="str">
            <v>アタッカー</v>
          </cell>
          <cell r="R648">
            <v>3</v>
          </cell>
          <cell r="S648" t="str">
            <v>NULL</v>
          </cell>
          <cell r="T648" t="str">
            <v>normal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  <cell r="N649" t="str">
            <v>ゴッド</v>
          </cell>
          <cell r="O649" t="str">
            <v>none</v>
          </cell>
          <cell r="P649" t="str">
            <v>種族なし</v>
          </cell>
          <cell r="Q649" t="str">
            <v>アタッカー</v>
          </cell>
          <cell r="R649">
            <v>3</v>
          </cell>
          <cell r="S649" t="str">
            <v>NULL</v>
          </cell>
          <cell r="T649" t="str">
            <v>normal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  <cell r="N650" t="str">
            <v>ゴッド</v>
          </cell>
          <cell r="O650" t="str">
            <v>none</v>
          </cell>
          <cell r="P650" t="str">
            <v>種族なし</v>
          </cell>
          <cell r="Q650" t="str">
            <v>アタッカー</v>
          </cell>
          <cell r="R650">
            <v>3</v>
          </cell>
          <cell r="S650" t="str">
            <v>NULL</v>
          </cell>
          <cell r="T650" t="str">
            <v>normal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  <cell r="N651" t="str">
            <v>アニマル</v>
          </cell>
          <cell r="O651" t="str">
            <v>unknown</v>
          </cell>
          <cell r="P651" t="str">
            <v>Unknown</v>
          </cell>
          <cell r="Q651" t="str">
            <v>アタッカー</v>
          </cell>
          <cell r="R651">
            <v>3</v>
          </cell>
          <cell r="S651" t="str">
            <v>NULL</v>
          </cell>
          <cell r="T651" t="str">
            <v>normal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  <cell r="N652" t="str">
            <v>アニマル</v>
          </cell>
          <cell r="O652" t="str">
            <v>unknown</v>
          </cell>
          <cell r="P652" t="str">
            <v>Unknown</v>
          </cell>
          <cell r="Q652" t="str">
            <v>アタッカー</v>
          </cell>
          <cell r="R652">
            <v>3</v>
          </cell>
          <cell r="S652" t="str">
            <v>NULL</v>
          </cell>
          <cell r="T652" t="str">
            <v>normal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  <cell r="N653" t="str">
            <v>ドラゴン</v>
          </cell>
          <cell r="O653" t="str">
            <v>none</v>
          </cell>
          <cell r="P653" t="str">
            <v>種族なし</v>
          </cell>
          <cell r="Q653" t="str">
            <v>アタッカー</v>
          </cell>
          <cell r="R653">
            <v>3</v>
          </cell>
          <cell r="S653" t="str">
            <v>NULL</v>
          </cell>
          <cell r="T653" t="str">
            <v>normal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  <cell r="N654" t="str">
            <v>ドラゴン</v>
          </cell>
          <cell r="O654" t="str">
            <v>none</v>
          </cell>
          <cell r="P654" t="str">
            <v>種族なし</v>
          </cell>
          <cell r="Q654" t="str">
            <v>アタッカー</v>
          </cell>
          <cell r="R654">
            <v>3</v>
          </cell>
          <cell r="S654" t="str">
            <v>NULL</v>
          </cell>
          <cell r="T654" t="str">
            <v>normal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  <cell r="N655" t="str">
            <v>ゴッド</v>
          </cell>
          <cell r="O655" t="str">
            <v>unknown</v>
          </cell>
          <cell r="P655" t="str">
            <v>Unknown</v>
          </cell>
          <cell r="Q655" t="str">
            <v>アタッカー</v>
          </cell>
          <cell r="R655">
            <v>3</v>
          </cell>
          <cell r="S655" t="str">
            <v>NULL</v>
          </cell>
          <cell r="T655" t="str">
            <v>normal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  <cell r="N656" t="str">
            <v>ゴッド</v>
          </cell>
          <cell r="O656" t="str">
            <v>unknown</v>
          </cell>
          <cell r="P656" t="str">
            <v>Unknown</v>
          </cell>
          <cell r="Q656" t="str">
            <v>アタッカー</v>
          </cell>
          <cell r="R656">
            <v>3</v>
          </cell>
          <cell r="S656" t="str">
            <v>NULL</v>
          </cell>
          <cell r="T656" t="str">
            <v>normal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  <cell r="N657" t="str">
            <v>ゴッド</v>
          </cell>
          <cell r="O657" t="str">
            <v>none</v>
          </cell>
          <cell r="P657" t="str">
            <v>種族なし</v>
          </cell>
          <cell r="Q657" t="str">
            <v>アタッカー</v>
          </cell>
          <cell r="R657">
            <v>3</v>
          </cell>
          <cell r="S657" t="str">
            <v>NULL</v>
          </cell>
          <cell r="T657" t="str">
            <v>normal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  <cell r="N658" t="str">
            <v>ゴッド</v>
          </cell>
          <cell r="O658" t="str">
            <v>none</v>
          </cell>
          <cell r="P658" t="str">
            <v>種族なし</v>
          </cell>
          <cell r="Q658" t="str">
            <v>アタッカー</v>
          </cell>
          <cell r="R658">
            <v>3</v>
          </cell>
          <cell r="S658" t="str">
            <v>NULL</v>
          </cell>
          <cell r="T658" t="str">
            <v>normal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  <cell r="N659" t="str">
            <v>アニマル</v>
          </cell>
          <cell r="O659" t="str">
            <v>unknown</v>
          </cell>
          <cell r="P659" t="str">
            <v>Unknown</v>
          </cell>
          <cell r="Q659" t="str">
            <v>アタッカー</v>
          </cell>
          <cell r="R659">
            <v>3</v>
          </cell>
          <cell r="S659" t="str">
            <v>NULL</v>
          </cell>
          <cell r="T659" t="str">
            <v>normal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  <cell r="N660" t="str">
            <v>アニマル</v>
          </cell>
          <cell r="O660" t="str">
            <v>unknown</v>
          </cell>
          <cell r="P660" t="str">
            <v>Unknown</v>
          </cell>
          <cell r="Q660" t="str">
            <v>アタッカー</v>
          </cell>
          <cell r="R660">
            <v>3</v>
          </cell>
          <cell r="S660" t="str">
            <v>NULL</v>
          </cell>
          <cell r="T660" t="str">
            <v>normal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  <cell r="N661" t="str">
            <v>アニマル</v>
          </cell>
          <cell r="O661" t="str">
            <v>unknown</v>
          </cell>
          <cell r="P661" t="str">
            <v>Unknown</v>
          </cell>
          <cell r="Q661" t="str">
            <v>アタッカー</v>
          </cell>
          <cell r="R661">
            <v>3</v>
          </cell>
          <cell r="S661" t="str">
            <v>NULL</v>
          </cell>
          <cell r="T661" t="str">
            <v>normal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  <cell r="N662" t="str">
            <v>アニマル</v>
          </cell>
          <cell r="O662" t="str">
            <v>unknown</v>
          </cell>
          <cell r="P662" t="str">
            <v>Unknown</v>
          </cell>
          <cell r="Q662" t="str">
            <v>アタッカー</v>
          </cell>
          <cell r="R662">
            <v>3</v>
          </cell>
          <cell r="S662" t="str">
            <v>NULL</v>
          </cell>
          <cell r="T662" t="str">
            <v>normal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  <cell r="N663" t="str">
            <v>Unknown</v>
          </cell>
          <cell r="O663" t="str">
            <v>none</v>
          </cell>
          <cell r="P663" t="str">
            <v>種族なし</v>
          </cell>
          <cell r="Q663" t="str">
            <v>アタッカー</v>
          </cell>
          <cell r="R663">
            <v>3</v>
          </cell>
          <cell r="S663" t="str">
            <v>NULL</v>
          </cell>
          <cell r="T663" t="str">
            <v>normal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  <cell r="N664" t="str">
            <v>Unknown</v>
          </cell>
          <cell r="O664" t="str">
            <v>none</v>
          </cell>
          <cell r="P664" t="str">
            <v>種族なし</v>
          </cell>
          <cell r="Q664" t="str">
            <v>アタッカー</v>
          </cell>
          <cell r="R664">
            <v>3</v>
          </cell>
          <cell r="S664" t="str">
            <v>NULL</v>
          </cell>
          <cell r="T664" t="str">
            <v>normal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  <cell r="N665" t="str">
            <v>Unknown</v>
          </cell>
          <cell r="O665" t="str">
            <v>none</v>
          </cell>
          <cell r="P665" t="str">
            <v>種族なし</v>
          </cell>
          <cell r="Q665" t="str">
            <v>アタッカー</v>
          </cell>
          <cell r="R665">
            <v>3</v>
          </cell>
          <cell r="S665" t="str">
            <v>NULL</v>
          </cell>
          <cell r="T665" t="str">
            <v>normal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  <cell r="N666" t="str">
            <v>Unknown</v>
          </cell>
          <cell r="O666" t="str">
            <v>none</v>
          </cell>
          <cell r="P666" t="str">
            <v>種族なし</v>
          </cell>
          <cell r="Q666" t="str">
            <v>アタッカー</v>
          </cell>
          <cell r="R666">
            <v>3</v>
          </cell>
          <cell r="S666" t="str">
            <v>NULL</v>
          </cell>
          <cell r="T666" t="str">
            <v>normal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  <cell r="N667" t="str">
            <v>Unknown</v>
          </cell>
          <cell r="O667" t="str">
            <v>none</v>
          </cell>
          <cell r="P667" t="str">
            <v>種族なし</v>
          </cell>
          <cell r="Q667" t="str">
            <v>アタッカー</v>
          </cell>
          <cell r="R667">
            <v>3</v>
          </cell>
          <cell r="S667" t="str">
            <v>NULL</v>
          </cell>
          <cell r="T667" t="str">
            <v>normal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  <cell r="N668" t="str">
            <v>Unknown</v>
          </cell>
          <cell r="O668" t="str">
            <v>none</v>
          </cell>
          <cell r="P668" t="str">
            <v>種族なし</v>
          </cell>
          <cell r="Q668" t="str">
            <v>アタッカー</v>
          </cell>
          <cell r="R668">
            <v>3</v>
          </cell>
          <cell r="S668" t="str">
            <v>NULL</v>
          </cell>
          <cell r="T668" t="str">
            <v>normal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  <cell r="N669" t="str">
            <v>ゴッド</v>
          </cell>
          <cell r="O669" t="str">
            <v>none</v>
          </cell>
          <cell r="P669" t="str">
            <v>種族なし</v>
          </cell>
          <cell r="Q669" t="str">
            <v>アタッカー</v>
          </cell>
          <cell r="R669">
            <v>3</v>
          </cell>
          <cell r="S669" t="str">
            <v>NULL</v>
          </cell>
          <cell r="T669" t="str">
            <v>normal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  <cell r="N670" t="str">
            <v>ゴッド</v>
          </cell>
          <cell r="O670" t="str">
            <v>none</v>
          </cell>
          <cell r="P670" t="str">
            <v>種族なし</v>
          </cell>
          <cell r="Q670" t="str">
            <v>アタッカー</v>
          </cell>
          <cell r="R670">
            <v>3</v>
          </cell>
          <cell r="S670" t="str">
            <v>NULL</v>
          </cell>
          <cell r="T670" t="str">
            <v>normal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  <cell r="N671" t="str">
            <v>ゴッド</v>
          </cell>
          <cell r="O671" t="str">
            <v>none</v>
          </cell>
          <cell r="P671" t="str">
            <v>種族なし</v>
          </cell>
          <cell r="Q671" t="str">
            <v>アタッカー</v>
          </cell>
          <cell r="R671">
            <v>3</v>
          </cell>
          <cell r="S671" t="str">
            <v>NULL</v>
          </cell>
          <cell r="T671" t="str">
            <v>normal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  <cell r="N672" t="str">
            <v>アニマル</v>
          </cell>
          <cell r="O672" t="str">
            <v>none</v>
          </cell>
          <cell r="P672" t="str">
            <v>種族なし</v>
          </cell>
          <cell r="Q672" t="str">
            <v>アタッカー</v>
          </cell>
          <cell r="R672">
            <v>3</v>
          </cell>
          <cell r="S672" t="str">
            <v>NULL</v>
          </cell>
          <cell r="T672" t="str">
            <v>normal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  <cell r="N673" t="str">
            <v>アニマル</v>
          </cell>
          <cell r="O673" t="str">
            <v>none</v>
          </cell>
          <cell r="P673" t="str">
            <v>種族なし</v>
          </cell>
          <cell r="Q673" t="str">
            <v>アタッカー</v>
          </cell>
          <cell r="R673">
            <v>3</v>
          </cell>
          <cell r="S673" t="str">
            <v>NULL</v>
          </cell>
          <cell r="T673" t="str">
            <v>normal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  <cell r="N674" t="str">
            <v>アニマル</v>
          </cell>
          <cell r="O674" t="str">
            <v>none</v>
          </cell>
          <cell r="P674" t="str">
            <v>種族なし</v>
          </cell>
          <cell r="Q674" t="str">
            <v>アタッカー</v>
          </cell>
          <cell r="R674">
            <v>3</v>
          </cell>
          <cell r="S674" t="str">
            <v>NULL</v>
          </cell>
          <cell r="T674" t="str">
            <v>normal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  <cell r="N675" t="str">
            <v>ゴッド</v>
          </cell>
          <cell r="O675" t="str">
            <v>none</v>
          </cell>
          <cell r="P675" t="str">
            <v>種族なし</v>
          </cell>
          <cell r="Q675" t="str">
            <v>アタッカー</v>
          </cell>
          <cell r="R675">
            <v>3</v>
          </cell>
          <cell r="S675" t="str">
            <v>NULL</v>
          </cell>
          <cell r="T675" t="str">
            <v>normal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  <cell r="N676" t="str">
            <v>ゴッド</v>
          </cell>
          <cell r="O676" t="str">
            <v>none</v>
          </cell>
          <cell r="P676" t="str">
            <v>種族なし</v>
          </cell>
          <cell r="Q676" t="str">
            <v>アタッカー</v>
          </cell>
          <cell r="R676">
            <v>3</v>
          </cell>
          <cell r="S676" t="str">
            <v>NULL</v>
          </cell>
          <cell r="T676" t="str">
            <v>normal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  <cell r="N677" t="str">
            <v>ゴッド</v>
          </cell>
          <cell r="O677" t="str">
            <v>none</v>
          </cell>
          <cell r="P677" t="str">
            <v>種族なし</v>
          </cell>
          <cell r="Q677" t="str">
            <v>アタッカー</v>
          </cell>
          <cell r="R677">
            <v>3</v>
          </cell>
          <cell r="S677" t="str">
            <v>NULL</v>
          </cell>
          <cell r="T677" t="str">
            <v>normal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  <cell r="N678" t="str">
            <v>ゴッド</v>
          </cell>
          <cell r="O678" t="str">
            <v>none</v>
          </cell>
          <cell r="P678" t="str">
            <v>種族なし</v>
          </cell>
          <cell r="Q678" t="str">
            <v>アタッカー</v>
          </cell>
          <cell r="R678">
            <v>3</v>
          </cell>
          <cell r="S678" t="str">
            <v>NULL</v>
          </cell>
          <cell r="T678" t="str">
            <v>normal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  <cell r="N679" t="str">
            <v>ヒューマン</v>
          </cell>
          <cell r="O679" t="str">
            <v>none</v>
          </cell>
          <cell r="P679" t="str">
            <v>種族なし</v>
          </cell>
          <cell r="Q679" t="str">
            <v>アタッカー</v>
          </cell>
          <cell r="R679">
            <v>3</v>
          </cell>
          <cell r="S679" t="str">
            <v>NULL</v>
          </cell>
          <cell r="T679" t="str">
            <v>normal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  <cell r="N680" t="str">
            <v>ヒューマン</v>
          </cell>
          <cell r="O680" t="str">
            <v>none</v>
          </cell>
          <cell r="P680" t="str">
            <v>種族なし</v>
          </cell>
          <cell r="Q680" t="str">
            <v>アタッカー</v>
          </cell>
          <cell r="R680">
            <v>3</v>
          </cell>
          <cell r="S680" t="str">
            <v>NULL</v>
          </cell>
          <cell r="T680" t="str">
            <v>normal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  <cell r="N681" t="str">
            <v>Unknown</v>
          </cell>
          <cell r="O681" t="str">
            <v>none</v>
          </cell>
          <cell r="P681" t="str">
            <v>種族なし</v>
          </cell>
          <cell r="Q681" t="str">
            <v>経験値素材</v>
          </cell>
          <cell r="R681">
            <v>3</v>
          </cell>
          <cell r="S681" t="str">
            <v>NULL</v>
          </cell>
          <cell r="T681" t="str">
            <v>normal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  <cell r="N682" t="str">
            <v>Unknown</v>
          </cell>
          <cell r="O682" t="str">
            <v>none</v>
          </cell>
          <cell r="P682" t="str">
            <v>種族なし</v>
          </cell>
          <cell r="Q682" t="str">
            <v>経験値素材</v>
          </cell>
          <cell r="R682">
            <v>3</v>
          </cell>
          <cell r="S682" t="str">
            <v>NULL</v>
          </cell>
          <cell r="T682" t="str">
            <v>normal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  <cell r="N683" t="str">
            <v>Unknown</v>
          </cell>
          <cell r="O683" t="str">
            <v>none</v>
          </cell>
          <cell r="P683" t="str">
            <v>種族なし</v>
          </cell>
          <cell r="Q683" t="str">
            <v>経験値素材</v>
          </cell>
          <cell r="R683">
            <v>3</v>
          </cell>
          <cell r="S683" t="str">
            <v>NULL</v>
          </cell>
          <cell r="T683" t="str">
            <v>normal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  <cell r="N684" t="str">
            <v>Unknown</v>
          </cell>
          <cell r="O684" t="str">
            <v>none</v>
          </cell>
          <cell r="P684" t="str">
            <v>種族なし</v>
          </cell>
          <cell r="Q684" t="str">
            <v>経験値素材</v>
          </cell>
          <cell r="R684">
            <v>3</v>
          </cell>
          <cell r="S684" t="str">
            <v>NULL</v>
          </cell>
          <cell r="T684" t="str">
            <v>normal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  <cell r="N685" t="str">
            <v>Unknown</v>
          </cell>
          <cell r="O685" t="str">
            <v>none</v>
          </cell>
          <cell r="P685" t="str">
            <v>種族なし</v>
          </cell>
          <cell r="Q685" t="str">
            <v>経験値素材</v>
          </cell>
          <cell r="R685">
            <v>3</v>
          </cell>
          <cell r="S685" t="str">
            <v>NULL</v>
          </cell>
          <cell r="T685" t="str">
            <v>normal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  <cell r="N686" t="str">
            <v>Unknown</v>
          </cell>
          <cell r="O686" t="str">
            <v>none</v>
          </cell>
          <cell r="P686" t="str">
            <v>種族なし</v>
          </cell>
          <cell r="Q686" t="str">
            <v>経験値素材</v>
          </cell>
          <cell r="R686">
            <v>3</v>
          </cell>
          <cell r="S686" t="str">
            <v>NULL</v>
          </cell>
          <cell r="T686" t="str">
            <v>normal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  <cell r="N687" t="str">
            <v>Unknown</v>
          </cell>
          <cell r="O687" t="str">
            <v>none</v>
          </cell>
          <cell r="P687" t="str">
            <v>種族なし</v>
          </cell>
          <cell r="Q687" t="str">
            <v>経験値素材</v>
          </cell>
          <cell r="R687">
            <v>3</v>
          </cell>
          <cell r="S687" t="str">
            <v>NULL</v>
          </cell>
          <cell r="T687" t="str">
            <v>normal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  <cell r="N688" t="str">
            <v>Unknown</v>
          </cell>
          <cell r="O688" t="str">
            <v>none</v>
          </cell>
          <cell r="P688" t="str">
            <v>種族なし</v>
          </cell>
          <cell r="Q688" t="str">
            <v>経験値素材</v>
          </cell>
          <cell r="R688">
            <v>3</v>
          </cell>
          <cell r="S688" t="str">
            <v>NULL</v>
          </cell>
          <cell r="T688" t="str">
            <v>normal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  <cell r="N689" t="str">
            <v>ヒューマン</v>
          </cell>
          <cell r="O689" t="str">
            <v>none</v>
          </cell>
          <cell r="P689" t="str">
            <v>種族なし</v>
          </cell>
          <cell r="Q689" t="str">
            <v>アタッカー</v>
          </cell>
          <cell r="R689">
            <v>3</v>
          </cell>
          <cell r="S689" t="str">
            <v>NULL</v>
          </cell>
          <cell r="T689" t="str">
            <v>normal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  <cell r="N690" t="str">
            <v>ヒューマン</v>
          </cell>
          <cell r="O690" t="str">
            <v>none</v>
          </cell>
          <cell r="P690" t="str">
            <v>種族なし</v>
          </cell>
          <cell r="Q690" t="str">
            <v>アタッカー</v>
          </cell>
          <cell r="R690">
            <v>3</v>
          </cell>
          <cell r="S690" t="str">
            <v>NULL</v>
          </cell>
          <cell r="T690" t="str">
            <v>normal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  <cell r="N691" t="str">
            <v>ヒューマン</v>
          </cell>
          <cell r="O691" t="str">
            <v>none</v>
          </cell>
          <cell r="P691" t="str">
            <v>種族なし</v>
          </cell>
          <cell r="Q691" t="str">
            <v>アタッカー</v>
          </cell>
          <cell r="R691">
            <v>3</v>
          </cell>
          <cell r="S691" t="str">
            <v>NULL</v>
          </cell>
          <cell r="T691" t="str">
            <v>normal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  <cell r="N692" t="str">
            <v>ヒューマン</v>
          </cell>
          <cell r="O692" t="str">
            <v>none</v>
          </cell>
          <cell r="P692" t="str">
            <v>種族なし</v>
          </cell>
          <cell r="Q692" t="str">
            <v>アタッカー</v>
          </cell>
          <cell r="R692">
            <v>3</v>
          </cell>
          <cell r="S692" t="str">
            <v>NULL</v>
          </cell>
          <cell r="T692" t="str">
            <v>normal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  <cell r="N693" t="str">
            <v>ヒューマン</v>
          </cell>
          <cell r="O693" t="str">
            <v>none</v>
          </cell>
          <cell r="P693" t="str">
            <v>種族なし</v>
          </cell>
          <cell r="Q693" t="str">
            <v>アタッカー</v>
          </cell>
          <cell r="R693">
            <v>3</v>
          </cell>
          <cell r="S693" t="str">
            <v>NULL</v>
          </cell>
          <cell r="T693" t="str">
            <v>normal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  <cell r="N694" t="str">
            <v>ヒューマン</v>
          </cell>
          <cell r="O694" t="str">
            <v>none</v>
          </cell>
          <cell r="P694" t="str">
            <v>種族なし</v>
          </cell>
          <cell r="Q694" t="str">
            <v>アタッカー</v>
          </cell>
          <cell r="R694">
            <v>3</v>
          </cell>
          <cell r="S694" t="str">
            <v>NULL</v>
          </cell>
          <cell r="T694" t="str">
            <v>normal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  <cell r="N695" t="str">
            <v>ヒューマン</v>
          </cell>
          <cell r="O695" t="str">
            <v>none</v>
          </cell>
          <cell r="P695" t="str">
            <v>種族なし</v>
          </cell>
          <cell r="Q695" t="str">
            <v>アタッカー</v>
          </cell>
          <cell r="R695">
            <v>3</v>
          </cell>
          <cell r="S695" t="str">
            <v>NULL</v>
          </cell>
          <cell r="T695" t="str">
            <v>normal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  <cell r="N696" t="str">
            <v>Unknown</v>
          </cell>
          <cell r="O696" t="str">
            <v>none</v>
          </cell>
          <cell r="P696" t="str">
            <v>種族なし</v>
          </cell>
          <cell r="Q696" t="str">
            <v>アタッカー</v>
          </cell>
          <cell r="R696">
            <v>3</v>
          </cell>
          <cell r="S696" t="str">
            <v>NULL</v>
          </cell>
          <cell r="T696" t="str">
            <v>normal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  <cell r="N697" t="str">
            <v>Unknown</v>
          </cell>
          <cell r="O697" t="str">
            <v>none</v>
          </cell>
          <cell r="P697" t="str">
            <v>種族なし</v>
          </cell>
          <cell r="Q697" t="str">
            <v>アタッカー</v>
          </cell>
          <cell r="R697">
            <v>3</v>
          </cell>
          <cell r="S697" t="str">
            <v>NULL</v>
          </cell>
          <cell r="T697" t="str">
            <v>normal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  <cell r="N698" t="str">
            <v>Unknown</v>
          </cell>
          <cell r="O698" t="str">
            <v>none</v>
          </cell>
          <cell r="P698" t="str">
            <v>種族なし</v>
          </cell>
          <cell r="Q698" t="str">
            <v>アタッカー</v>
          </cell>
          <cell r="R698">
            <v>3</v>
          </cell>
          <cell r="S698" t="str">
            <v>NULL</v>
          </cell>
          <cell r="T698" t="str">
            <v>normal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  <cell r="N699" t="str">
            <v>ヒューマン</v>
          </cell>
          <cell r="O699" t="str">
            <v>unknown</v>
          </cell>
          <cell r="P699" t="str">
            <v>Unknown</v>
          </cell>
          <cell r="Q699" t="str">
            <v>アタッカー</v>
          </cell>
          <cell r="R699">
            <v>3</v>
          </cell>
          <cell r="S699" t="str">
            <v>NULL</v>
          </cell>
          <cell r="T699" t="str">
            <v>normal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  <cell r="N700" t="str">
            <v>ヒューマン</v>
          </cell>
          <cell r="O700" t="str">
            <v>unknown</v>
          </cell>
          <cell r="P700" t="str">
            <v>Unknown</v>
          </cell>
          <cell r="Q700" t="str">
            <v>アタッカー</v>
          </cell>
          <cell r="R700">
            <v>3</v>
          </cell>
          <cell r="S700" t="str">
            <v>NULL</v>
          </cell>
          <cell r="T700" t="str">
            <v>normal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  <cell r="N701" t="str">
            <v>ヒューマン</v>
          </cell>
          <cell r="O701" t="str">
            <v>none</v>
          </cell>
          <cell r="P701" t="str">
            <v>種族なし</v>
          </cell>
          <cell r="Q701" t="str">
            <v>アタッカー</v>
          </cell>
          <cell r="R701">
            <v>3</v>
          </cell>
          <cell r="S701" t="str">
            <v>NULL</v>
          </cell>
          <cell r="T701" t="str">
            <v>normal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  <cell r="N702" t="str">
            <v>ヒューマン</v>
          </cell>
          <cell r="O702" t="str">
            <v>none</v>
          </cell>
          <cell r="P702" t="str">
            <v>種族なし</v>
          </cell>
          <cell r="Q702" t="str">
            <v>アタッカー</v>
          </cell>
          <cell r="R702">
            <v>3</v>
          </cell>
          <cell r="S702" t="str">
            <v>NULL</v>
          </cell>
          <cell r="T702" t="str">
            <v>normal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  <cell r="N703" t="str">
            <v>ヒューマン</v>
          </cell>
          <cell r="O703" t="str">
            <v>none</v>
          </cell>
          <cell r="P703" t="str">
            <v>種族なし</v>
          </cell>
          <cell r="Q703" t="str">
            <v>アタッカー</v>
          </cell>
          <cell r="R703">
            <v>3</v>
          </cell>
          <cell r="S703" t="str">
            <v>NULL</v>
          </cell>
          <cell r="T703" t="str">
            <v>normal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  <cell r="N704" t="str">
            <v>ヒューマン</v>
          </cell>
          <cell r="O704" t="str">
            <v>none</v>
          </cell>
          <cell r="P704" t="str">
            <v>種族なし</v>
          </cell>
          <cell r="Q704" t="str">
            <v>アタッカー</v>
          </cell>
          <cell r="R704">
            <v>3</v>
          </cell>
          <cell r="S704" t="str">
            <v>NULL</v>
          </cell>
          <cell r="T704" t="str">
            <v>normal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  <cell r="N705" t="str">
            <v>ヒューマン</v>
          </cell>
          <cell r="O705" t="str">
            <v>none</v>
          </cell>
          <cell r="P705" t="str">
            <v>種族なし</v>
          </cell>
          <cell r="Q705" t="str">
            <v>アタッカー</v>
          </cell>
          <cell r="R705">
            <v>3</v>
          </cell>
          <cell r="S705" t="str">
            <v>NULL</v>
          </cell>
          <cell r="T705" t="str">
            <v>normal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  <cell r="N706" t="str">
            <v>ヒューマン</v>
          </cell>
          <cell r="O706" t="str">
            <v>none</v>
          </cell>
          <cell r="P706" t="str">
            <v>種族なし</v>
          </cell>
          <cell r="Q706" t="str">
            <v>アタッカー</v>
          </cell>
          <cell r="R706">
            <v>3</v>
          </cell>
          <cell r="S706" t="str">
            <v>NULL</v>
          </cell>
          <cell r="T706" t="str">
            <v>normal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  <cell r="N707" t="str">
            <v>ヒューマン</v>
          </cell>
          <cell r="O707" t="str">
            <v>none</v>
          </cell>
          <cell r="P707" t="str">
            <v>種族なし</v>
          </cell>
          <cell r="Q707" t="str">
            <v>アタッカー</v>
          </cell>
          <cell r="R707">
            <v>3</v>
          </cell>
          <cell r="S707" t="str">
            <v>NULL</v>
          </cell>
          <cell r="T707" t="str">
            <v>normal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  <cell r="N708" t="str">
            <v>ヒューマン</v>
          </cell>
          <cell r="O708" t="str">
            <v>none</v>
          </cell>
          <cell r="P708" t="str">
            <v>種族なし</v>
          </cell>
          <cell r="Q708" t="str">
            <v>アタッカー</v>
          </cell>
          <cell r="R708">
            <v>3</v>
          </cell>
          <cell r="S708" t="str">
            <v>NULL</v>
          </cell>
          <cell r="T708" t="str">
            <v>normal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  <cell r="N709" t="str">
            <v>ヒューマン</v>
          </cell>
          <cell r="O709" t="str">
            <v>none</v>
          </cell>
          <cell r="P709" t="str">
            <v>種族なし</v>
          </cell>
          <cell r="Q709" t="str">
            <v>アタッカー</v>
          </cell>
          <cell r="R709">
            <v>3</v>
          </cell>
          <cell r="S709" t="str">
            <v>NULL</v>
          </cell>
          <cell r="T709" t="str">
            <v>normal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  <cell r="N710" t="str">
            <v>ヒューマン</v>
          </cell>
          <cell r="O710" t="str">
            <v>none</v>
          </cell>
          <cell r="P710" t="str">
            <v>種族なし</v>
          </cell>
          <cell r="Q710" t="str">
            <v>アタッカー</v>
          </cell>
          <cell r="R710">
            <v>3</v>
          </cell>
          <cell r="S710" t="str">
            <v>NULL</v>
          </cell>
          <cell r="T710" t="str">
            <v>normal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  <cell r="N711" t="str">
            <v>ヒューマン</v>
          </cell>
          <cell r="O711" t="str">
            <v>none</v>
          </cell>
          <cell r="P711" t="str">
            <v>種族なし</v>
          </cell>
          <cell r="Q711" t="str">
            <v>アタッカー</v>
          </cell>
          <cell r="R711">
            <v>3</v>
          </cell>
          <cell r="S711" t="str">
            <v>NULL</v>
          </cell>
          <cell r="T711" t="str">
            <v>normal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  <cell r="N712" t="str">
            <v>ヒューマン</v>
          </cell>
          <cell r="O712" t="str">
            <v>none</v>
          </cell>
          <cell r="P712" t="str">
            <v>種族なし</v>
          </cell>
          <cell r="Q712" t="str">
            <v>アタッカー</v>
          </cell>
          <cell r="R712">
            <v>3</v>
          </cell>
          <cell r="S712" t="str">
            <v>NULL</v>
          </cell>
          <cell r="T712" t="str">
            <v>normal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  <cell r="N713" t="str">
            <v>ヒューマン</v>
          </cell>
          <cell r="O713" t="str">
            <v>none</v>
          </cell>
          <cell r="P713" t="str">
            <v>種族なし</v>
          </cell>
          <cell r="Q713" t="str">
            <v>アタッカー</v>
          </cell>
          <cell r="R713">
            <v>3</v>
          </cell>
          <cell r="S713" t="str">
            <v>NULL</v>
          </cell>
          <cell r="T713" t="str">
            <v>normal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  <cell r="N714" t="str">
            <v>ヒューマン</v>
          </cell>
          <cell r="O714" t="str">
            <v>none</v>
          </cell>
          <cell r="P714" t="str">
            <v>種族なし</v>
          </cell>
          <cell r="Q714" t="str">
            <v>アタッカー</v>
          </cell>
          <cell r="R714">
            <v>3</v>
          </cell>
          <cell r="S714" t="str">
            <v>NULL</v>
          </cell>
          <cell r="T714" t="str">
            <v>normal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  <cell r="N715" t="str">
            <v>ヒューマン</v>
          </cell>
          <cell r="O715" t="str">
            <v>none</v>
          </cell>
          <cell r="P715" t="str">
            <v>種族なし</v>
          </cell>
          <cell r="Q715" t="str">
            <v>アタッカー</v>
          </cell>
          <cell r="R715">
            <v>3</v>
          </cell>
          <cell r="S715" t="str">
            <v>NULL</v>
          </cell>
          <cell r="T715" t="str">
            <v>normal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  <cell r="N716" t="str">
            <v>ヒューマン</v>
          </cell>
          <cell r="O716" t="str">
            <v>none</v>
          </cell>
          <cell r="P716" t="str">
            <v>種族なし</v>
          </cell>
          <cell r="Q716" t="str">
            <v>アタッカー</v>
          </cell>
          <cell r="R716">
            <v>3</v>
          </cell>
          <cell r="S716" t="str">
            <v>NULL</v>
          </cell>
          <cell r="T716" t="str">
            <v>normal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  <cell r="N717" t="str">
            <v>ヒューマン</v>
          </cell>
          <cell r="O717" t="str">
            <v>none</v>
          </cell>
          <cell r="P717" t="str">
            <v>種族なし</v>
          </cell>
          <cell r="Q717" t="str">
            <v>アタッカー</v>
          </cell>
          <cell r="R717">
            <v>3</v>
          </cell>
          <cell r="S717" t="str">
            <v>NULL</v>
          </cell>
          <cell r="T717" t="str">
            <v>normal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  <cell r="N718" t="str">
            <v>ヒューマン</v>
          </cell>
          <cell r="O718" t="str">
            <v>none</v>
          </cell>
          <cell r="P718" t="str">
            <v>種族なし</v>
          </cell>
          <cell r="Q718" t="str">
            <v>アタッカー</v>
          </cell>
          <cell r="R718">
            <v>3</v>
          </cell>
          <cell r="S718" t="str">
            <v>NULL</v>
          </cell>
          <cell r="T718" t="str">
            <v>normal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  <cell r="N719" t="str">
            <v>ヒューマン</v>
          </cell>
          <cell r="O719" t="str">
            <v>none</v>
          </cell>
          <cell r="P719" t="str">
            <v>種族なし</v>
          </cell>
          <cell r="Q719" t="str">
            <v>アタッカー</v>
          </cell>
          <cell r="R719">
            <v>3</v>
          </cell>
          <cell r="S719" t="str">
            <v>NULL</v>
          </cell>
          <cell r="T719" t="str">
            <v>normal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  <cell r="N720" t="str">
            <v>ヒューマン</v>
          </cell>
          <cell r="O720" t="str">
            <v>none</v>
          </cell>
          <cell r="P720" t="str">
            <v>種族なし</v>
          </cell>
          <cell r="Q720" t="str">
            <v>アタッカー</v>
          </cell>
          <cell r="R720">
            <v>3</v>
          </cell>
          <cell r="S720" t="str">
            <v>NULL</v>
          </cell>
          <cell r="T720" t="str">
            <v>normal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  <cell r="N721" t="str">
            <v>ヒューマン</v>
          </cell>
          <cell r="O721" t="str">
            <v>samurai</v>
          </cell>
          <cell r="P721" t="str">
            <v>サムライ</v>
          </cell>
          <cell r="Q721" t="str">
            <v>アタッカー</v>
          </cell>
          <cell r="R721">
            <v>3</v>
          </cell>
          <cell r="S721" t="str">
            <v>NULL</v>
          </cell>
          <cell r="T721" t="str">
            <v>normal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  <cell r="N722" t="str">
            <v>ヒューマン</v>
          </cell>
          <cell r="O722" t="str">
            <v>samurai</v>
          </cell>
          <cell r="P722" t="str">
            <v>サムライ</v>
          </cell>
          <cell r="Q722" t="str">
            <v>アタッカー</v>
          </cell>
          <cell r="R722">
            <v>3</v>
          </cell>
          <cell r="S722" t="str">
            <v>NULL</v>
          </cell>
          <cell r="T722" t="str">
            <v>normal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  <cell r="N723" t="str">
            <v>ヒューマン</v>
          </cell>
          <cell r="O723" t="str">
            <v>samurai</v>
          </cell>
          <cell r="P723" t="str">
            <v>サムライ</v>
          </cell>
          <cell r="Q723" t="str">
            <v>アタッカー</v>
          </cell>
          <cell r="R723">
            <v>3</v>
          </cell>
          <cell r="S723" t="str">
            <v>NULL</v>
          </cell>
          <cell r="T723" t="str">
            <v>normal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  <cell r="N724" t="str">
            <v>ヒューマン</v>
          </cell>
          <cell r="O724" t="str">
            <v>samurai</v>
          </cell>
          <cell r="P724" t="str">
            <v>サムライ</v>
          </cell>
          <cell r="Q724" t="str">
            <v>アタッカー</v>
          </cell>
          <cell r="R724">
            <v>3</v>
          </cell>
          <cell r="S724" t="str">
            <v>NULL</v>
          </cell>
          <cell r="T724" t="str">
            <v>normal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  <cell r="N725" t="str">
            <v>ヒューマン</v>
          </cell>
          <cell r="O725" t="str">
            <v>samurai</v>
          </cell>
          <cell r="P725" t="str">
            <v>サムライ</v>
          </cell>
          <cell r="Q725" t="str">
            <v>アタッカー</v>
          </cell>
          <cell r="R725">
            <v>3</v>
          </cell>
          <cell r="S725" t="str">
            <v>NULL</v>
          </cell>
          <cell r="T725" t="str">
            <v>normal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  <cell r="N726" t="str">
            <v>ヒューマン</v>
          </cell>
          <cell r="O726" t="str">
            <v>samurai</v>
          </cell>
          <cell r="P726" t="str">
            <v>サムライ</v>
          </cell>
          <cell r="Q726" t="str">
            <v>アタッカー</v>
          </cell>
          <cell r="R726">
            <v>3</v>
          </cell>
          <cell r="S726" t="str">
            <v>NULL</v>
          </cell>
          <cell r="T726" t="str">
            <v>normal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  <cell r="N727" t="str">
            <v>ヒューマン</v>
          </cell>
          <cell r="O727" t="str">
            <v>samurai</v>
          </cell>
          <cell r="P727" t="str">
            <v>サムライ</v>
          </cell>
          <cell r="Q727" t="str">
            <v>アタッカー</v>
          </cell>
          <cell r="R727">
            <v>3</v>
          </cell>
          <cell r="S727" t="str">
            <v>NULL</v>
          </cell>
          <cell r="T727" t="str">
            <v>normal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  <cell r="N728" t="str">
            <v>ヒューマン</v>
          </cell>
          <cell r="O728" t="str">
            <v>samurai</v>
          </cell>
          <cell r="P728" t="str">
            <v>サムライ</v>
          </cell>
          <cell r="Q728" t="str">
            <v>アタッカー</v>
          </cell>
          <cell r="R728">
            <v>3</v>
          </cell>
          <cell r="S728" t="str">
            <v>NULL</v>
          </cell>
          <cell r="T728" t="str">
            <v>normal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  <cell r="N729" t="str">
            <v>ヒューマン</v>
          </cell>
          <cell r="O729" t="str">
            <v>samurai</v>
          </cell>
          <cell r="P729" t="str">
            <v>サムライ</v>
          </cell>
          <cell r="Q729" t="str">
            <v>アタッカー</v>
          </cell>
          <cell r="R729">
            <v>3</v>
          </cell>
          <cell r="S729" t="str">
            <v>NULL</v>
          </cell>
          <cell r="T729" t="str">
            <v>normal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  <cell r="N730" t="str">
            <v>ヒューマン</v>
          </cell>
          <cell r="O730" t="str">
            <v>samurai</v>
          </cell>
          <cell r="P730" t="str">
            <v>サムライ</v>
          </cell>
          <cell r="Q730" t="str">
            <v>アタッカー</v>
          </cell>
          <cell r="R730">
            <v>3</v>
          </cell>
          <cell r="S730" t="str">
            <v>NULL</v>
          </cell>
          <cell r="T730" t="str">
            <v>normal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  <cell r="N731" t="str">
            <v>ヒューマン</v>
          </cell>
          <cell r="O731" t="str">
            <v>none</v>
          </cell>
          <cell r="P731" t="str">
            <v>種族なし</v>
          </cell>
          <cell r="Q731" t="str">
            <v>アタッカー</v>
          </cell>
          <cell r="R731">
            <v>3</v>
          </cell>
          <cell r="S731" t="str">
            <v>NULL</v>
          </cell>
          <cell r="T731" t="str">
            <v>normal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  <cell r="N732" t="str">
            <v>ヒューマン</v>
          </cell>
          <cell r="O732" t="str">
            <v>none</v>
          </cell>
          <cell r="P732" t="str">
            <v>種族なし</v>
          </cell>
          <cell r="Q732" t="str">
            <v>アタッカー</v>
          </cell>
          <cell r="R732">
            <v>3</v>
          </cell>
          <cell r="S732" t="str">
            <v>NULL</v>
          </cell>
          <cell r="T732" t="str">
            <v>normal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  <cell r="N733" t="str">
            <v>ヒューマン</v>
          </cell>
          <cell r="O733" t="str">
            <v>samurai</v>
          </cell>
          <cell r="P733" t="str">
            <v>サムライ</v>
          </cell>
          <cell r="Q733" t="str">
            <v>アタッカー</v>
          </cell>
          <cell r="R733">
            <v>3</v>
          </cell>
          <cell r="S733" t="str">
            <v>NULL</v>
          </cell>
          <cell r="T733" t="str">
            <v>normal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  <cell r="N734" t="str">
            <v>ヒューマン</v>
          </cell>
          <cell r="O734" t="str">
            <v>samurai</v>
          </cell>
          <cell r="P734" t="str">
            <v>サムライ</v>
          </cell>
          <cell r="Q734" t="str">
            <v>アタッカー</v>
          </cell>
          <cell r="R734">
            <v>3</v>
          </cell>
          <cell r="S734" t="str">
            <v>NULL</v>
          </cell>
          <cell r="T734" t="str">
            <v>normal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  <cell r="N735" t="str">
            <v>ヒューマン</v>
          </cell>
          <cell r="O735" t="str">
            <v>samurai</v>
          </cell>
          <cell r="P735" t="str">
            <v>サムライ</v>
          </cell>
          <cell r="Q735" t="str">
            <v>アタッカー</v>
          </cell>
          <cell r="R735">
            <v>3</v>
          </cell>
          <cell r="S735" t="str">
            <v>NULL</v>
          </cell>
          <cell r="T735" t="str">
            <v>normal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  <cell r="N736" t="str">
            <v>ヒューマン</v>
          </cell>
          <cell r="O736" t="str">
            <v>samurai</v>
          </cell>
          <cell r="P736" t="str">
            <v>サムライ</v>
          </cell>
          <cell r="Q736" t="str">
            <v>アタッカー</v>
          </cell>
          <cell r="R736">
            <v>3</v>
          </cell>
          <cell r="S736" t="str">
            <v>NULL</v>
          </cell>
          <cell r="T736" t="str">
            <v>normal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  <cell r="N737" t="str">
            <v>アニマル</v>
          </cell>
          <cell r="O737" t="str">
            <v>none</v>
          </cell>
          <cell r="P737" t="str">
            <v>種族なし</v>
          </cell>
          <cell r="Q737" t="str">
            <v>アタッカー</v>
          </cell>
          <cell r="R737">
            <v>3</v>
          </cell>
          <cell r="S737" t="str">
            <v>NULL</v>
          </cell>
          <cell r="T737" t="str">
            <v>normal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  <cell r="N738" t="str">
            <v>アニマル</v>
          </cell>
          <cell r="O738" t="str">
            <v>none</v>
          </cell>
          <cell r="P738" t="str">
            <v>種族なし</v>
          </cell>
          <cell r="Q738" t="str">
            <v>アタッカー</v>
          </cell>
          <cell r="R738">
            <v>3</v>
          </cell>
          <cell r="S738" t="str">
            <v>NULL</v>
          </cell>
          <cell r="T738" t="str">
            <v>normal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  <cell r="N739" t="str">
            <v>ドラゴン</v>
          </cell>
          <cell r="O739" t="str">
            <v>machine</v>
          </cell>
          <cell r="P739" t="str">
            <v>マシン</v>
          </cell>
          <cell r="Q739" t="str">
            <v>アタッカー</v>
          </cell>
          <cell r="R739">
            <v>3</v>
          </cell>
          <cell r="S739" t="str">
            <v>NULL</v>
          </cell>
          <cell r="T739" t="str">
            <v>normal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  <cell r="N740" t="str">
            <v>ドラゴン</v>
          </cell>
          <cell r="O740" t="str">
            <v>machine</v>
          </cell>
          <cell r="P740" t="str">
            <v>マシン</v>
          </cell>
          <cell r="Q740" t="str">
            <v>アタッカー</v>
          </cell>
          <cell r="R740">
            <v>3</v>
          </cell>
          <cell r="S740" t="str">
            <v>NULL</v>
          </cell>
          <cell r="T740" t="str">
            <v>normal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  <cell r="N741" t="str">
            <v>ドラゴン</v>
          </cell>
          <cell r="O741" t="str">
            <v>none</v>
          </cell>
          <cell r="P741" t="str">
            <v>種族なし</v>
          </cell>
          <cell r="Q741" t="str">
            <v>アタッカー</v>
          </cell>
          <cell r="R741">
            <v>3</v>
          </cell>
          <cell r="S741" t="str">
            <v>NULL</v>
          </cell>
          <cell r="T741" t="str">
            <v>normal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  <cell r="N742" t="str">
            <v>ドラゴン</v>
          </cell>
          <cell r="O742" t="str">
            <v>none</v>
          </cell>
          <cell r="P742" t="str">
            <v>種族なし</v>
          </cell>
          <cell r="Q742" t="str">
            <v>アタッカー</v>
          </cell>
          <cell r="R742">
            <v>3</v>
          </cell>
          <cell r="S742" t="str">
            <v>NULL</v>
          </cell>
          <cell r="T742" t="str">
            <v>normal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  <cell r="N743" t="str">
            <v>ゴッド</v>
          </cell>
          <cell r="O743" t="str">
            <v>none</v>
          </cell>
          <cell r="P743" t="str">
            <v>種族なし</v>
          </cell>
          <cell r="Q743" t="str">
            <v>アタッカー</v>
          </cell>
          <cell r="R743">
            <v>3</v>
          </cell>
          <cell r="S743" t="str">
            <v>NULL</v>
          </cell>
          <cell r="T743" t="str">
            <v>normal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  <cell r="N744" t="str">
            <v>ゴッド</v>
          </cell>
          <cell r="O744" t="str">
            <v>none</v>
          </cell>
          <cell r="P744" t="str">
            <v>種族なし</v>
          </cell>
          <cell r="Q744" t="str">
            <v>アタッカー</v>
          </cell>
          <cell r="R744">
            <v>3</v>
          </cell>
          <cell r="S744" t="str">
            <v>NULL</v>
          </cell>
          <cell r="T744" t="str">
            <v>normal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  <cell r="N745" t="str">
            <v>ゴッド</v>
          </cell>
          <cell r="O745" t="str">
            <v>none</v>
          </cell>
          <cell r="P745" t="str">
            <v>種族なし</v>
          </cell>
          <cell r="Q745" t="str">
            <v>アタッカー</v>
          </cell>
          <cell r="R745">
            <v>3</v>
          </cell>
          <cell r="S745" t="str">
            <v>NULL</v>
          </cell>
          <cell r="T745" t="str">
            <v>normal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  <cell r="N746" t="str">
            <v>ゴッド</v>
          </cell>
          <cell r="O746" t="str">
            <v>none</v>
          </cell>
          <cell r="P746" t="str">
            <v>種族なし</v>
          </cell>
          <cell r="Q746" t="str">
            <v>アタッカー</v>
          </cell>
          <cell r="R746">
            <v>3</v>
          </cell>
          <cell r="S746" t="str">
            <v>NULL</v>
          </cell>
          <cell r="T746" t="str">
            <v>normal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  <cell r="N747" t="str">
            <v>ゴッド</v>
          </cell>
          <cell r="O747" t="str">
            <v>none</v>
          </cell>
          <cell r="P747" t="str">
            <v>種族なし</v>
          </cell>
          <cell r="Q747" t="str">
            <v>アタッカー</v>
          </cell>
          <cell r="R747">
            <v>3</v>
          </cell>
          <cell r="S747" t="str">
            <v>NULL</v>
          </cell>
          <cell r="T747" t="str">
            <v>normal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  <cell r="N748" t="str">
            <v>ゴッド</v>
          </cell>
          <cell r="O748" t="str">
            <v>none</v>
          </cell>
          <cell r="P748" t="str">
            <v>種族なし</v>
          </cell>
          <cell r="Q748" t="str">
            <v>アタッカー</v>
          </cell>
          <cell r="R748">
            <v>3</v>
          </cell>
          <cell r="S748" t="str">
            <v>NULL</v>
          </cell>
          <cell r="T748" t="str">
            <v>normal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  <cell r="N749" t="str">
            <v>アニマル</v>
          </cell>
          <cell r="O749" t="str">
            <v>none</v>
          </cell>
          <cell r="P749" t="str">
            <v>種族なし</v>
          </cell>
          <cell r="Q749" t="str">
            <v>アタッカー</v>
          </cell>
          <cell r="R749">
            <v>3</v>
          </cell>
          <cell r="S749" t="str">
            <v>NULL</v>
          </cell>
          <cell r="T749" t="str">
            <v>normal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  <cell r="N750" t="str">
            <v>アニマル</v>
          </cell>
          <cell r="O750" t="str">
            <v>none</v>
          </cell>
          <cell r="P750" t="str">
            <v>種族なし</v>
          </cell>
          <cell r="Q750" t="str">
            <v>アタッカー</v>
          </cell>
          <cell r="R750">
            <v>3</v>
          </cell>
          <cell r="S750" t="str">
            <v>NULL</v>
          </cell>
          <cell r="T750" t="str">
            <v>normal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  <cell r="N751" t="str">
            <v>アカデミア</v>
          </cell>
          <cell r="O751" t="str">
            <v>unknown</v>
          </cell>
          <cell r="P751" t="str">
            <v>Unknown</v>
          </cell>
          <cell r="Q751" t="str">
            <v>アタッカー</v>
          </cell>
          <cell r="R751">
            <v>3</v>
          </cell>
          <cell r="S751" t="str">
            <v>NULL</v>
          </cell>
          <cell r="T751" t="str">
            <v>normal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  <cell r="N752" t="str">
            <v>アカデミア</v>
          </cell>
          <cell r="O752" t="str">
            <v>unknown</v>
          </cell>
          <cell r="P752" t="str">
            <v>Unknown</v>
          </cell>
          <cell r="Q752" t="str">
            <v>アタッカー</v>
          </cell>
          <cell r="R752">
            <v>3</v>
          </cell>
          <cell r="S752" t="str">
            <v>NULL</v>
          </cell>
          <cell r="T752" t="str">
            <v>normal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  <cell r="N753" t="str">
            <v>ウェポン</v>
          </cell>
          <cell r="O753" t="str">
            <v>none</v>
          </cell>
          <cell r="P753" t="str">
            <v>種族なし</v>
          </cell>
          <cell r="Q753" t="str">
            <v>アタッカー</v>
          </cell>
          <cell r="R753">
            <v>3</v>
          </cell>
          <cell r="S753" t="str">
            <v>NULL</v>
          </cell>
          <cell r="T753" t="str">
            <v>normal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  <cell r="N754" t="str">
            <v>ウェポン</v>
          </cell>
          <cell r="O754" t="str">
            <v>none</v>
          </cell>
          <cell r="P754" t="str">
            <v>種族なし</v>
          </cell>
          <cell r="Q754" t="str">
            <v>アタッカー</v>
          </cell>
          <cell r="R754">
            <v>3</v>
          </cell>
          <cell r="S754" t="str">
            <v>NULL</v>
          </cell>
          <cell r="T754" t="str">
            <v>normal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  <cell r="N755" t="str">
            <v>ウェポン</v>
          </cell>
          <cell r="O755" t="str">
            <v>none</v>
          </cell>
          <cell r="P755" t="str">
            <v>種族なし</v>
          </cell>
          <cell r="Q755" t="str">
            <v>アタッカー</v>
          </cell>
          <cell r="R755">
            <v>3</v>
          </cell>
          <cell r="S755" t="str">
            <v>NULL</v>
          </cell>
          <cell r="T755" t="str">
            <v>normal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  <cell r="N756" t="str">
            <v>ウェポン</v>
          </cell>
          <cell r="O756" t="str">
            <v>none</v>
          </cell>
          <cell r="P756" t="str">
            <v>種族なし</v>
          </cell>
          <cell r="Q756" t="str">
            <v>アタッカー</v>
          </cell>
          <cell r="R756">
            <v>3</v>
          </cell>
          <cell r="S756" t="str">
            <v>NULL</v>
          </cell>
          <cell r="T756" t="str">
            <v>normal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  <cell r="N757" t="str">
            <v>ウェポン</v>
          </cell>
          <cell r="O757" t="str">
            <v>none</v>
          </cell>
          <cell r="P757" t="str">
            <v>種族なし</v>
          </cell>
          <cell r="Q757" t="str">
            <v>アタッカー</v>
          </cell>
          <cell r="R757">
            <v>3</v>
          </cell>
          <cell r="S757" t="str">
            <v>NULL</v>
          </cell>
          <cell r="T757" t="str">
            <v>normal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  <cell r="N758" t="str">
            <v>ウェポン</v>
          </cell>
          <cell r="O758" t="str">
            <v>none</v>
          </cell>
          <cell r="P758" t="str">
            <v>種族なし</v>
          </cell>
          <cell r="Q758" t="str">
            <v>アタッカー</v>
          </cell>
          <cell r="R758">
            <v>3</v>
          </cell>
          <cell r="S758" t="str">
            <v>NULL</v>
          </cell>
          <cell r="T758" t="str">
            <v>normal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  <cell r="N759" t="str">
            <v>ウェポン</v>
          </cell>
          <cell r="O759" t="str">
            <v>none</v>
          </cell>
          <cell r="P759" t="str">
            <v>種族なし</v>
          </cell>
          <cell r="Q759" t="str">
            <v>アタッカー</v>
          </cell>
          <cell r="R759">
            <v>1</v>
          </cell>
          <cell r="S759" t="str">
            <v>NULL</v>
          </cell>
          <cell r="T759" t="str">
            <v>normal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  <cell r="N760" t="str">
            <v>ウェポン</v>
          </cell>
          <cell r="O760" t="str">
            <v>none</v>
          </cell>
          <cell r="P760" t="str">
            <v>種族なし</v>
          </cell>
          <cell r="Q760" t="str">
            <v>アタッカー</v>
          </cell>
          <cell r="R760">
            <v>1</v>
          </cell>
          <cell r="S760" t="str">
            <v>NULL</v>
          </cell>
          <cell r="T760" t="str">
            <v>normal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  <cell r="N761" t="str">
            <v>ヒューマン</v>
          </cell>
          <cell r="O761" t="str">
            <v>none</v>
          </cell>
          <cell r="P761" t="str">
            <v>種族なし</v>
          </cell>
          <cell r="Q761" t="str">
            <v>アタッカー</v>
          </cell>
          <cell r="R761">
            <v>3</v>
          </cell>
          <cell r="S761" t="str">
            <v>NULL</v>
          </cell>
          <cell r="T761" t="str">
            <v>normal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  <cell r="N762" t="str">
            <v>ヒューマン</v>
          </cell>
          <cell r="O762" t="str">
            <v>none</v>
          </cell>
          <cell r="P762" t="str">
            <v>種族なし</v>
          </cell>
          <cell r="Q762" t="str">
            <v>アタッカー</v>
          </cell>
          <cell r="R762">
            <v>3</v>
          </cell>
          <cell r="S762" t="str">
            <v>NULL</v>
          </cell>
          <cell r="T762" t="str">
            <v>normal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  <cell r="N763" t="str">
            <v>ヒューマン</v>
          </cell>
          <cell r="O763" t="str">
            <v>machine</v>
          </cell>
          <cell r="P763" t="str">
            <v>マシン</v>
          </cell>
          <cell r="Q763" t="str">
            <v>アタッカー</v>
          </cell>
          <cell r="R763">
            <v>3</v>
          </cell>
          <cell r="S763" t="str">
            <v>NULL</v>
          </cell>
          <cell r="T763" t="str">
            <v>normal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  <cell r="N764" t="str">
            <v>ヒューマン</v>
          </cell>
          <cell r="O764" t="str">
            <v>machine</v>
          </cell>
          <cell r="P764" t="str">
            <v>マシン</v>
          </cell>
          <cell r="Q764" t="str">
            <v>アタッカー</v>
          </cell>
          <cell r="R764">
            <v>3</v>
          </cell>
          <cell r="S764" t="str">
            <v>NULL</v>
          </cell>
          <cell r="T764" t="str">
            <v>normal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  <cell r="N765" t="str">
            <v>アニマル</v>
          </cell>
          <cell r="O765" t="str">
            <v>none</v>
          </cell>
          <cell r="P765" t="str">
            <v>種族なし</v>
          </cell>
          <cell r="Q765" t="str">
            <v>アタッカー</v>
          </cell>
          <cell r="R765">
            <v>3</v>
          </cell>
          <cell r="S765" t="str">
            <v>NULL</v>
          </cell>
          <cell r="T765" t="str">
            <v>normal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  <cell r="N766" t="str">
            <v>アニマル</v>
          </cell>
          <cell r="O766" t="str">
            <v>none</v>
          </cell>
          <cell r="P766" t="str">
            <v>種族なし</v>
          </cell>
          <cell r="Q766" t="str">
            <v>アタッカー</v>
          </cell>
          <cell r="R766">
            <v>3</v>
          </cell>
          <cell r="S766" t="str">
            <v>NULL</v>
          </cell>
          <cell r="T766" t="str">
            <v>normal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  <cell r="N767" t="str">
            <v>ドラゴン</v>
          </cell>
          <cell r="O767" t="str">
            <v>none</v>
          </cell>
          <cell r="P767" t="str">
            <v>種族なし</v>
          </cell>
          <cell r="Q767" t="str">
            <v>アタッカー</v>
          </cell>
          <cell r="R767">
            <v>3</v>
          </cell>
          <cell r="S767" t="str">
            <v>NULL</v>
          </cell>
          <cell r="T767" t="str">
            <v>normal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  <cell r="N768" t="str">
            <v>ドラゴン</v>
          </cell>
          <cell r="O768" t="str">
            <v>none</v>
          </cell>
          <cell r="P768" t="str">
            <v>種族なし</v>
          </cell>
          <cell r="Q768" t="str">
            <v>アタッカー</v>
          </cell>
          <cell r="R768">
            <v>3</v>
          </cell>
          <cell r="S768" t="str">
            <v>NULL</v>
          </cell>
          <cell r="T768" t="str">
            <v>normal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  <cell r="N769" t="str">
            <v>ヒューマン</v>
          </cell>
          <cell r="O769" t="str">
            <v>none</v>
          </cell>
          <cell r="P769" t="str">
            <v>種族なし</v>
          </cell>
          <cell r="Q769" t="str">
            <v>アタッカー</v>
          </cell>
          <cell r="R769">
            <v>3</v>
          </cell>
          <cell r="S769" t="str">
            <v>NULL</v>
          </cell>
          <cell r="T769" t="str">
            <v>normal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  <cell r="N770" t="str">
            <v>ヒューマン</v>
          </cell>
          <cell r="O770" t="str">
            <v>none</v>
          </cell>
          <cell r="P770" t="str">
            <v>種族なし</v>
          </cell>
          <cell r="Q770" t="str">
            <v>アタッカー</v>
          </cell>
          <cell r="R770">
            <v>3</v>
          </cell>
          <cell r="S770" t="str">
            <v>NULL</v>
          </cell>
          <cell r="T770" t="str">
            <v>normal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  <cell r="N771" t="str">
            <v>アニマル</v>
          </cell>
          <cell r="O771" t="str">
            <v>none</v>
          </cell>
          <cell r="P771" t="str">
            <v>種族なし</v>
          </cell>
          <cell r="Q771" t="str">
            <v>アタッカー</v>
          </cell>
          <cell r="R771">
            <v>3</v>
          </cell>
          <cell r="S771" t="str">
            <v>NULL</v>
          </cell>
          <cell r="T771" t="str">
            <v>normal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  <cell r="N772" t="str">
            <v>アニマル</v>
          </cell>
          <cell r="O772" t="str">
            <v>none</v>
          </cell>
          <cell r="P772" t="str">
            <v>種族なし</v>
          </cell>
          <cell r="Q772" t="str">
            <v>アタッカー</v>
          </cell>
          <cell r="R772">
            <v>3</v>
          </cell>
          <cell r="S772" t="str">
            <v>NULL</v>
          </cell>
          <cell r="T772" t="str">
            <v>normal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  <cell r="N773" t="str">
            <v>アニマル</v>
          </cell>
          <cell r="O773" t="str">
            <v>none</v>
          </cell>
          <cell r="P773" t="str">
            <v>種族なし</v>
          </cell>
          <cell r="Q773" t="str">
            <v>アタッカー</v>
          </cell>
          <cell r="R773">
            <v>3</v>
          </cell>
          <cell r="S773" t="str">
            <v>NULL</v>
          </cell>
          <cell r="T773" t="str">
            <v>normal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  <cell r="N774" t="str">
            <v>アニマル</v>
          </cell>
          <cell r="O774" t="str">
            <v>none</v>
          </cell>
          <cell r="P774" t="str">
            <v>種族なし</v>
          </cell>
          <cell r="Q774" t="str">
            <v>アタッカー</v>
          </cell>
          <cell r="R774">
            <v>3</v>
          </cell>
          <cell r="S774" t="str">
            <v>NULL</v>
          </cell>
          <cell r="T774" t="str">
            <v>normal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  <cell r="N775" t="str">
            <v>ドラゴン</v>
          </cell>
          <cell r="O775" t="str">
            <v>none</v>
          </cell>
          <cell r="P775" t="str">
            <v>種族なし</v>
          </cell>
          <cell r="Q775" t="str">
            <v>アタッカー</v>
          </cell>
          <cell r="R775">
            <v>3</v>
          </cell>
          <cell r="S775" t="str">
            <v>NULL</v>
          </cell>
          <cell r="T775" t="str">
            <v>normal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  <cell r="N776" t="str">
            <v>ドラゴン</v>
          </cell>
          <cell r="O776" t="str">
            <v>none</v>
          </cell>
          <cell r="P776" t="str">
            <v>種族なし</v>
          </cell>
          <cell r="Q776" t="str">
            <v>アタッカー</v>
          </cell>
          <cell r="R776">
            <v>3</v>
          </cell>
          <cell r="S776" t="str">
            <v>NULL</v>
          </cell>
          <cell r="T776" t="str">
            <v>normal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  <cell r="N777" t="str">
            <v>ドラゴン</v>
          </cell>
          <cell r="O777" t="str">
            <v>none</v>
          </cell>
          <cell r="P777" t="str">
            <v>種族なし</v>
          </cell>
          <cell r="Q777" t="str">
            <v>アタッカー</v>
          </cell>
          <cell r="R777">
            <v>3</v>
          </cell>
          <cell r="S777" t="str">
            <v>NULL</v>
          </cell>
          <cell r="T777" t="str">
            <v>normal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  <cell r="N778" t="str">
            <v>アニマル</v>
          </cell>
          <cell r="O778" t="str">
            <v>none</v>
          </cell>
          <cell r="P778" t="str">
            <v>種族なし</v>
          </cell>
          <cell r="Q778" t="str">
            <v>アタッカー</v>
          </cell>
          <cell r="R778">
            <v>3</v>
          </cell>
          <cell r="S778" t="str">
            <v>NULL</v>
          </cell>
          <cell r="T778" t="str">
            <v>normal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  <cell r="N779" t="str">
            <v>アニマル</v>
          </cell>
          <cell r="O779" t="str">
            <v>none</v>
          </cell>
          <cell r="P779" t="str">
            <v>種族なし</v>
          </cell>
          <cell r="Q779" t="str">
            <v>アタッカー</v>
          </cell>
          <cell r="R779">
            <v>3</v>
          </cell>
          <cell r="S779" t="str">
            <v>NULL</v>
          </cell>
          <cell r="T779" t="str">
            <v>normal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  <cell r="N780" t="str">
            <v>アニマル</v>
          </cell>
          <cell r="O780" t="str">
            <v>none</v>
          </cell>
          <cell r="P780" t="str">
            <v>種族なし</v>
          </cell>
          <cell r="Q780" t="str">
            <v>アタッカー</v>
          </cell>
          <cell r="R780">
            <v>3</v>
          </cell>
          <cell r="S780" t="str">
            <v>NULL</v>
          </cell>
          <cell r="T780" t="str">
            <v>normal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  <cell r="N781" t="str">
            <v>Unknown</v>
          </cell>
          <cell r="O781" t="str">
            <v>none</v>
          </cell>
          <cell r="P781" t="str">
            <v>種族なし</v>
          </cell>
          <cell r="Q781" t="str">
            <v>アタッカー</v>
          </cell>
          <cell r="R781">
            <v>3</v>
          </cell>
          <cell r="S781" t="str">
            <v>NULL</v>
          </cell>
          <cell r="T781" t="str">
            <v>normal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  <cell r="N782" t="str">
            <v>Unknown</v>
          </cell>
          <cell r="O782" t="str">
            <v>none</v>
          </cell>
          <cell r="P782" t="str">
            <v>種族なし</v>
          </cell>
          <cell r="Q782" t="str">
            <v>アタッカー</v>
          </cell>
          <cell r="R782">
            <v>3</v>
          </cell>
          <cell r="S782" t="str">
            <v>NULL</v>
          </cell>
          <cell r="T782" t="str">
            <v>normal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  <cell r="N783" t="str">
            <v>マシン</v>
          </cell>
          <cell r="O783" t="str">
            <v>god</v>
          </cell>
          <cell r="P783" t="str">
            <v>ゴッド</v>
          </cell>
          <cell r="Q783" t="str">
            <v>アタッカー</v>
          </cell>
          <cell r="R783">
            <v>3</v>
          </cell>
          <cell r="S783" t="str">
            <v>NULL</v>
          </cell>
          <cell r="T783" t="str">
            <v>normal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  <cell r="N784" t="str">
            <v>アカデミア</v>
          </cell>
          <cell r="O784" t="str">
            <v>unknown</v>
          </cell>
          <cell r="P784" t="str">
            <v>Unknown</v>
          </cell>
          <cell r="Q784" t="str">
            <v>アタッカー</v>
          </cell>
          <cell r="R784">
            <v>3</v>
          </cell>
          <cell r="S784" t="str">
            <v>NULL</v>
          </cell>
          <cell r="T784" t="str">
            <v>normal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  <cell r="N785" t="str">
            <v>アカデミア</v>
          </cell>
          <cell r="O785" t="str">
            <v>unknown</v>
          </cell>
          <cell r="P785" t="str">
            <v>Unknown</v>
          </cell>
          <cell r="Q785" t="str">
            <v>アタッカー</v>
          </cell>
          <cell r="R785">
            <v>3</v>
          </cell>
          <cell r="S785" t="str">
            <v>NULL</v>
          </cell>
          <cell r="T785" t="str">
            <v>normal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  <cell r="N786" t="str">
            <v>Unknown</v>
          </cell>
          <cell r="O786" t="str">
            <v>none</v>
          </cell>
          <cell r="P786" t="str">
            <v>種族なし</v>
          </cell>
          <cell r="Q786" t="str">
            <v>アタッカー</v>
          </cell>
          <cell r="R786">
            <v>3</v>
          </cell>
          <cell r="S786" t="str">
            <v>NULL</v>
          </cell>
          <cell r="T786" t="str">
            <v>normal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  <cell r="N787" t="str">
            <v>ドラゴン</v>
          </cell>
          <cell r="O787" t="str">
            <v>human</v>
          </cell>
          <cell r="P787" t="str">
            <v>ヒューマン</v>
          </cell>
          <cell r="Q787" t="str">
            <v>アタッカー</v>
          </cell>
          <cell r="R787">
            <v>3</v>
          </cell>
          <cell r="S787" t="str">
            <v>NULL</v>
          </cell>
          <cell r="T787" t="str">
            <v>normal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  <cell r="N788" t="str">
            <v>ドラゴン</v>
          </cell>
          <cell r="O788" t="str">
            <v>human</v>
          </cell>
          <cell r="P788" t="str">
            <v>ヒューマン</v>
          </cell>
          <cell r="Q788" t="str">
            <v>アタッカー</v>
          </cell>
          <cell r="R788">
            <v>3</v>
          </cell>
          <cell r="S788" t="str">
            <v>NULL</v>
          </cell>
          <cell r="T788" t="str">
            <v>normal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  <cell r="N789" t="str">
            <v>ゴッド</v>
          </cell>
          <cell r="O789" t="str">
            <v>animal</v>
          </cell>
          <cell r="P789" t="str">
            <v>アニマル</v>
          </cell>
          <cell r="Q789" t="str">
            <v>アタッカー</v>
          </cell>
          <cell r="R789">
            <v>3</v>
          </cell>
          <cell r="S789" t="str">
            <v>NULL</v>
          </cell>
          <cell r="T789" t="str">
            <v>normal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  <cell r="N790" t="str">
            <v>ゴッド</v>
          </cell>
          <cell r="O790" t="str">
            <v>animal</v>
          </cell>
          <cell r="P790" t="str">
            <v>アニマル</v>
          </cell>
          <cell r="Q790" t="str">
            <v>アタッカー</v>
          </cell>
          <cell r="R790">
            <v>3</v>
          </cell>
          <cell r="S790" t="str">
            <v>NULL</v>
          </cell>
          <cell r="T790" t="str">
            <v>normal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  <cell r="N791" t="str">
            <v>マシン</v>
          </cell>
          <cell r="O791" t="str">
            <v>human</v>
          </cell>
          <cell r="P791" t="str">
            <v>ヒューマン</v>
          </cell>
          <cell r="Q791" t="str">
            <v>アタッカー</v>
          </cell>
          <cell r="R791">
            <v>3</v>
          </cell>
          <cell r="S791" t="str">
            <v>NULL</v>
          </cell>
          <cell r="T791" t="str">
            <v>normal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  <cell r="N792" t="str">
            <v>アカデミア</v>
          </cell>
          <cell r="O792" t="str">
            <v>none</v>
          </cell>
          <cell r="P792" t="str">
            <v>種族なし</v>
          </cell>
          <cell r="Q792" t="str">
            <v>アタッカー</v>
          </cell>
          <cell r="R792">
            <v>3</v>
          </cell>
          <cell r="S792" t="str">
            <v>NULL</v>
          </cell>
          <cell r="T792" t="str">
            <v>normal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  <cell r="N793" t="str">
            <v>ヒューマン</v>
          </cell>
          <cell r="O793" t="str">
            <v>none</v>
          </cell>
          <cell r="P793" t="str">
            <v>種族なし</v>
          </cell>
          <cell r="Q793" t="str">
            <v>アタッカー</v>
          </cell>
          <cell r="R793">
            <v>3</v>
          </cell>
          <cell r="S793" t="str">
            <v>NULL</v>
          </cell>
          <cell r="T793" t="str">
            <v>normal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  <cell r="N794" t="str">
            <v>アカデミア</v>
          </cell>
          <cell r="O794" t="str">
            <v>none</v>
          </cell>
          <cell r="P794" t="str">
            <v>種族なし</v>
          </cell>
          <cell r="Q794" t="str">
            <v>アタッカー</v>
          </cell>
          <cell r="R794">
            <v>3</v>
          </cell>
          <cell r="S794" t="str">
            <v>NULL</v>
          </cell>
          <cell r="T794" t="str">
            <v>normal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  <cell r="N795" t="str">
            <v>Unknown</v>
          </cell>
          <cell r="O795" t="str">
            <v>none</v>
          </cell>
          <cell r="P795" t="str">
            <v>種族なし</v>
          </cell>
          <cell r="Q795" t="str">
            <v>アタッカー</v>
          </cell>
          <cell r="R795">
            <v>3</v>
          </cell>
          <cell r="S795" t="str">
            <v>NULL</v>
          </cell>
          <cell r="T795" t="str">
            <v>normal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  <cell r="N796" t="str">
            <v>Unknown</v>
          </cell>
          <cell r="O796" t="str">
            <v>none</v>
          </cell>
          <cell r="P796" t="str">
            <v>種族なし</v>
          </cell>
          <cell r="Q796" t="str">
            <v>スキル進化素材</v>
          </cell>
          <cell r="R796">
            <v>3</v>
          </cell>
          <cell r="S796" t="str">
            <v>NULL</v>
          </cell>
          <cell r="T796" t="str">
            <v>normal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  <cell r="N797" t="str">
            <v>ヒューマン</v>
          </cell>
          <cell r="O797" t="str">
            <v>none</v>
          </cell>
          <cell r="P797" t="str">
            <v>種族なし</v>
          </cell>
          <cell r="Q797" t="str">
            <v>アタッカー</v>
          </cell>
          <cell r="R797">
            <v>3</v>
          </cell>
          <cell r="S797" t="str">
            <v>NULL</v>
          </cell>
          <cell r="T797" t="str">
            <v>normal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  <cell r="N798" t="str">
            <v>アニマル</v>
          </cell>
          <cell r="O798" t="str">
            <v>none</v>
          </cell>
          <cell r="P798" t="str">
            <v>種族なし</v>
          </cell>
          <cell r="Q798" t="str">
            <v>アタッカー</v>
          </cell>
          <cell r="R798">
            <v>3</v>
          </cell>
          <cell r="S798" t="str">
            <v>NULL</v>
          </cell>
          <cell r="T798" t="str">
            <v>normal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  <cell r="N799" t="str">
            <v>ヒューマン</v>
          </cell>
          <cell r="O799" t="str">
            <v>none</v>
          </cell>
          <cell r="P799" t="str">
            <v>種族なし</v>
          </cell>
          <cell r="Q799" t="str">
            <v>アタッカー</v>
          </cell>
          <cell r="R799">
            <v>3</v>
          </cell>
          <cell r="S799" t="str">
            <v>NULL</v>
          </cell>
          <cell r="T799" t="str">
            <v>normal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  <cell r="N800" t="str">
            <v>ヒューマン</v>
          </cell>
          <cell r="O800" t="str">
            <v>machine</v>
          </cell>
          <cell r="P800" t="str">
            <v>マシン</v>
          </cell>
          <cell r="Q800" t="str">
            <v>アタッカー</v>
          </cell>
          <cell r="R800">
            <v>3</v>
          </cell>
          <cell r="S800" t="str">
            <v>NULL</v>
          </cell>
          <cell r="T800" t="str">
            <v>normal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  <cell r="N801" t="str">
            <v>ヒューマン</v>
          </cell>
          <cell r="O801" t="str">
            <v>none</v>
          </cell>
          <cell r="P801" t="str">
            <v>種族なし</v>
          </cell>
          <cell r="Q801" t="str">
            <v>アタッカー</v>
          </cell>
          <cell r="R801">
            <v>3</v>
          </cell>
          <cell r="S801" t="str">
            <v>NULL</v>
          </cell>
          <cell r="T801" t="str">
            <v>normal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  <cell r="N802" t="str">
            <v>マシン</v>
          </cell>
          <cell r="O802" t="str">
            <v>god</v>
          </cell>
          <cell r="P802" t="str">
            <v>ゴッド</v>
          </cell>
          <cell r="Q802" t="str">
            <v>アタッカー</v>
          </cell>
          <cell r="R802">
            <v>3</v>
          </cell>
          <cell r="S802" t="str">
            <v>NULL</v>
          </cell>
          <cell r="T802" t="str">
            <v>normal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  <cell r="N803" t="str">
            <v>ゴッド</v>
          </cell>
          <cell r="O803" t="str">
            <v>none</v>
          </cell>
          <cell r="P803" t="str">
            <v>種族なし</v>
          </cell>
          <cell r="Q803" t="str">
            <v>アタッカー</v>
          </cell>
          <cell r="R803">
            <v>3</v>
          </cell>
          <cell r="S803" t="str">
            <v>NULL</v>
          </cell>
          <cell r="T803" t="str">
            <v>normal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  <cell r="N804" t="str">
            <v>ヒューマン</v>
          </cell>
          <cell r="O804" t="str">
            <v>none</v>
          </cell>
          <cell r="P804" t="str">
            <v>種族なし</v>
          </cell>
          <cell r="Q804" t="str">
            <v>アタッカー</v>
          </cell>
          <cell r="R804">
            <v>3</v>
          </cell>
          <cell r="S804" t="str">
            <v>NULL</v>
          </cell>
          <cell r="T804" t="str">
            <v>normal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  <cell r="N805" t="str">
            <v>ヒューマン</v>
          </cell>
          <cell r="O805" t="str">
            <v>none</v>
          </cell>
          <cell r="P805" t="str">
            <v>種族なし</v>
          </cell>
          <cell r="Q805" t="str">
            <v>アタッカー</v>
          </cell>
          <cell r="R805">
            <v>3</v>
          </cell>
          <cell r="S805" t="str">
            <v>NULL</v>
          </cell>
          <cell r="T805" t="str">
            <v>normal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  <cell r="N806" t="str">
            <v>ゴッド</v>
          </cell>
          <cell r="O806" t="str">
            <v>none</v>
          </cell>
          <cell r="P806" t="str">
            <v>種族なし</v>
          </cell>
          <cell r="Q806" t="str">
            <v>アタッカー</v>
          </cell>
          <cell r="R806">
            <v>3</v>
          </cell>
          <cell r="S806" t="str">
            <v>NULL</v>
          </cell>
          <cell r="T806" t="str">
            <v>normal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  <cell r="N807" t="str">
            <v>ゴッド</v>
          </cell>
          <cell r="O807" t="str">
            <v>none</v>
          </cell>
          <cell r="P807" t="str">
            <v>種族なし</v>
          </cell>
          <cell r="Q807" t="str">
            <v>アタッカー</v>
          </cell>
          <cell r="R807">
            <v>3</v>
          </cell>
          <cell r="S807" t="str">
            <v>NULL</v>
          </cell>
          <cell r="T807" t="str">
            <v>normal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  <cell r="N808" t="str">
            <v>ゴッド</v>
          </cell>
          <cell r="O808" t="str">
            <v>none</v>
          </cell>
          <cell r="P808" t="str">
            <v>種族なし</v>
          </cell>
          <cell r="Q808" t="str">
            <v>アタッカー</v>
          </cell>
          <cell r="R808">
            <v>3</v>
          </cell>
          <cell r="S808" t="str">
            <v>NULL</v>
          </cell>
          <cell r="T808" t="str">
            <v>normal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  <cell r="N809" t="str">
            <v>ゴッド</v>
          </cell>
          <cell r="O809" t="str">
            <v>none</v>
          </cell>
          <cell r="P809" t="str">
            <v>種族なし</v>
          </cell>
          <cell r="Q809" t="str">
            <v>アタッカー</v>
          </cell>
          <cell r="R809">
            <v>3</v>
          </cell>
          <cell r="S809" t="str">
            <v>NULL</v>
          </cell>
          <cell r="T809" t="str">
            <v>normal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  <cell r="N810" t="str">
            <v>ヒューマン</v>
          </cell>
          <cell r="O810" t="str">
            <v>none</v>
          </cell>
          <cell r="P810" t="str">
            <v>種族なし</v>
          </cell>
          <cell r="Q810" t="str">
            <v>アタッカー</v>
          </cell>
          <cell r="R810">
            <v>3</v>
          </cell>
          <cell r="S810" t="str">
            <v>NULL</v>
          </cell>
          <cell r="T810" t="str">
            <v>normal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  <cell r="N811" t="str">
            <v>ゴッド</v>
          </cell>
          <cell r="O811" t="str">
            <v>none</v>
          </cell>
          <cell r="P811" t="str">
            <v>種族なし</v>
          </cell>
          <cell r="Q811" t="str">
            <v>アタッカー</v>
          </cell>
          <cell r="R811">
            <v>3</v>
          </cell>
          <cell r="S811" t="str">
            <v>NULL</v>
          </cell>
          <cell r="T811" t="str">
            <v>normal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  <cell r="N812" t="str">
            <v>ヒューマン</v>
          </cell>
          <cell r="O812" t="str">
            <v>machine</v>
          </cell>
          <cell r="P812" t="str">
            <v>マシン</v>
          </cell>
          <cell r="Q812" t="str">
            <v>アタッカー</v>
          </cell>
          <cell r="R812">
            <v>3</v>
          </cell>
          <cell r="S812" t="str">
            <v>NULL</v>
          </cell>
          <cell r="T812" t="str">
            <v>normal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  <cell r="N813" t="str">
            <v>ゴッド</v>
          </cell>
          <cell r="O813" t="str">
            <v>none</v>
          </cell>
          <cell r="P813" t="str">
            <v>種族なし</v>
          </cell>
          <cell r="Q813" t="str">
            <v>アタッカー</v>
          </cell>
          <cell r="R813">
            <v>3</v>
          </cell>
          <cell r="S813" t="str">
            <v>NULL</v>
          </cell>
          <cell r="T813" t="str">
            <v>normal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  <cell r="N814" t="str">
            <v>ヒューマン</v>
          </cell>
          <cell r="O814" t="str">
            <v>machine</v>
          </cell>
          <cell r="P814" t="str">
            <v>マシン</v>
          </cell>
          <cell r="Q814" t="str">
            <v>アタッカー</v>
          </cell>
          <cell r="R814">
            <v>3</v>
          </cell>
          <cell r="S814" t="str">
            <v>NULL</v>
          </cell>
          <cell r="T814" t="str">
            <v>normal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  <cell r="N815" t="str">
            <v>ヒューマン</v>
          </cell>
          <cell r="O815" t="str">
            <v>none</v>
          </cell>
          <cell r="P815" t="str">
            <v>種族なし</v>
          </cell>
          <cell r="Q815" t="str">
            <v>アタッカー</v>
          </cell>
          <cell r="R815">
            <v>3</v>
          </cell>
          <cell r="S815" t="str">
            <v>NULL</v>
          </cell>
          <cell r="T815" t="str">
            <v>normal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  <cell r="N816" t="str">
            <v>アニマル</v>
          </cell>
          <cell r="O816" t="str">
            <v>none</v>
          </cell>
          <cell r="P816" t="str">
            <v>種族なし</v>
          </cell>
          <cell r="Q816" t="str">
            <v>アタッカー</v>
          </cell>
          <cell r="R816">
            <v>3</v>
          </cell>
          <cell r="S816" t="str">
            <v>NULL</v>
          </cell>
          <cell r="T816" t="str">
            <v>normal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  <cell r="N817" t="str">
            <v>ヒューマン</v>
          </cell>
          <cell r="O817" t="str">
            <v>none</v>
          </cell>
          <cell r="P817" t="str">
            <v>種族なし</v>
          </cell>
          <cell r="Q817" t="str">
            <v>アタッカー</v>
          </cell>
          <cell r="R817">
            <v>3</v>
          </cell>
          <cell r="S817" t="str">
            <v>NULL</v>
          </cell>
          <cell r="T817" t="str">
            <v>normal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  <cell r="N818" t="str">
            <v>ヒューマン</v>
          </cell>
          <cell r="O818" t="str">
            <v>none</v>
          </cell>
          <cell r="P818" t="str">
            <v>種族なし</v>
          </cell>
          <cell r="Q818" t="str">
            <v>アタッカー</v>
          </cell>
          <cell r="R818">
            <v>3</v>
          </cell>
          <cell r="S818" t="str">
            <v>NULL</v>
          </cell>
          <cell r="T818" t="str">
            <v>normal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  <cell r="N819" t="str">
            <v>ヒューマン</v>
          </cell>
          <cell r="O819" t="str">
            <v>none</v>
          </cell>
          <cell r="P819" t="str">
            <v>種族なし</v>
          </cell>
          <cell r="Q819" t="str">
            <v>アタッカー</v>
          </cell>
          <cell r="R819">
            <v>3</v>
          </cell>
          <cell r="S819" t="str">
            <v>NULL</v>
          </cell>
          <cell r="T819" t="str">
            <v>normal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  <cell r="N820" t="str">
            <v>ヒューマン</v>
          </cell>
          <cell r="O820" t="str">
            <v>none</v>
          </cell>
          <cell r="P820" t="str">
            <v>種族なし</v>
          </cell>
          <cell r="Q820" t="str">
            <v>アタッカー</v>
          </cell>
          <cell r="R820">
            <v>3</v>
          </cell>
          <cell r="S820" t="str">
            <v>NULL</v>
          </cell>
          <cell r="T820" t="str">
            <v>normal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  <cell r="N821" t="str">
            <v>ヒューマン</v>
          </cell>
          <cell r="O821" t="str">
            <v>none</v>
          </cell>
          <cell r="P821" t="str">
            <v>種族なし</v>
          </cell>
          <cell r="Q821" t="str">
            <v>アタッカー</v>
          </cell>
          <cell r="R821">
            <v>3</v>
          </cell>
          <cell r="S821" t="str">
            <v>NULL</v>
          </cell>
          <cell r="T821" t="str">
            <v>normal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  <cell r="N822" t="str">
            <v>アニマル</v>
          </cell>
          <cell r="O822" t="str">
            <v>machine</v>
          </cell>
          <cell r="P822" t="str">
            <v>マシン</v>
          </cell>
          <cell r="Q822" t="str">
            <v>アタッカー</v>
          </cell>
          <cell r="R822">
            <v>3</v>
          </cell>
          <cell r="S822" t="str">
            <v>NULL</v>
          </cell>
          <cell r="T822" t="str">
            <v>normal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  <cell r="N823" t="str">
            <v>ヒューマン</v>
          </cell>
          <cell r="O823" t="str">
            <v>unknown</v>
          </cell>
          <cell r="P823" t="str">
            <v>Unknown</v>
          </cell>
          <cell r="Q823" t="str">
            <v>アタッカー</v>
          </cell>
          <cell r="R823">
            <v>3</v>
          </cell>
          <cell r="S823" t="str">
            <v>NULL</v>
          </cell>
          <cell r="T823" t="str">
            <v>normal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  <cell r="N824" t="str">
            <v>ヒューマン</v>
          </cell>
          <cell r="O824" t="str">
            <v>none</v>
          </cell>
          <cell r="P824" t="str">
            <v>種族なし</v>
          </cell>
          <cell r="Q824" t="str">
            <v>アタッカー</v>
          </cell>
          <cell r="R824">
            <v>3</v>
          </cell>
          <cell r="S824" t="str">
            <v>NULL</v>
          </cell>
          <cell r="T824" t="str">
            <v>normal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  <cell r="N825" t="str">
            <v>Unknown</v>
          </cell>
          <cell r="O825" t="str">
            <v>none</v>
          </cell>
          <cell r="P825" t="str">
            <v>種族なし</v>
          </cell>
          <cell r="Q825" t="str">
            <v>アタッカー</v>
          </cell>
          <cell r="R825">
            <v>3</v>
          </cell>
          <cell r="S825" t="str">
            <v>NULL</v>
          </cell>
          <cell r="T825" t="str">
            <v>normal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  <cell r="N826" t="str">
            <v>アニマル</v>
          </cell>
          <cell r="O826" t="str">
            <v>none</v>
          </cell>
          <cell r="P826" t="str">
            <v>種族なし</v>
          </cell>
          <cell r="Q826" t="str">
            <v>アタッカー</v>
          </cell>
          <cell r="R826">
            <v>3</v>
          </cell>
          <cell r="S826" t="str">
            <v>NULL</v>
          </cell>
          <cell r="T826" t="str">
            <v>normal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  <cell r="N827" t="str">
            <v>アニマル</v>
          </cell>
          <cell r="O827" t="str">
            <v>none</v>
          </cell>
          <cell r="P827" t="str">
            <v>種族なし</v>
          </cell>
          <cell r="Q827" t="str">
            <v>アタッカー</v>
          </cell>
          <cell r="R827">
            <v>3</v>
          </cell>
          <cell r="S827" t="str">
            <v>NULL</v>
          </cell>
          <cell r="T827" t="str">
            <v>normal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  <cell r="N828" t="str">
            <v>ドラゴン</v>
          </cell>
          <cell r="O828" t="str">
            <v>none</v>
          </cell>
          <cell r="P828" t="str">
            <v>種族なし</v>
          </cell>
          <cell r="Q828" t="str">
            <v>アタッカー</v>
          </cell>
          <cell r="R828">
            <v>3</v>
          </cell>
          <cell r="S828" t="str">
            <v>NULL</v>
          </cell>
          <cell r="T828" t="str">
            <v>normal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  <cell r="N829" t="str">
            <v>マシン</v>
          </cell>
          <cell r="O829" t="str">
            <v>animal</v>
          </cell>
          <cell r="P829" t="str">
            <v>アニマル</v>
          </cell>
          <cell r="Q829" t="str">
            <v>アタッカー</v>
          </cell>
          <cell r="R829">
            <v>3</v>
          </cell>
          <cell r="S829" t="str">
            <v>NULL</v>
          </cell>
          <cell r="T829" t="str">
            <v>normal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  <cell r="N830" t="str">
            <v>Unknown</v>
          </cell>
          <cell r="O830" t="str">
            <v>animal</v>
          </cell>
          <cell r="P830" t="str">
            <v>アニマル</v>
          </cell>
          <cell r="Q830" t="str">
            <v>アタッカー</v>
          </cell>
          <cell r="R830">
            <v>3</v>
          </cell>
          <cell r="S830" t="str">
            <v>NULL</v>
          </cell>
          <cell r="T830" t="str">
            <v>normal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  <cell r="N831" t="str">
            <v>Unknown</v>
          </cell>
          <cell r="O831" t="str">
            <v>animal</v>
          </cell>
          <cell r="P831" t="str">
            <v>アニマル</v>
          </cell>
          <cell r="Q831" t="str">
            <v>アタッカー</v>
          </cell>
          <cell r="R831">
            <v>3</v>
          </cell>
          <cell r="S831" t="str">
            <v>NULL</v>
          </cell>
          <cell r="T831" t="str">
            <v>normal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  <cell r="N832" t="str">
            <v>ヒューマン</v>
          </cell>
          <cell r="O832" t="str">
            <v>unknown</v>
          </cell>
          <cell r="P832" t="str">
            <v>Unknown</v>
          </cell>
          <cell r="Q832" t="str">
            <v>アタッカー</v>
          </cell>
          <cell r="R832">
            <v>3</v>
          </cell>
          <cell r="S832" t="str">
            <v>NULL</v>
          </cell>
          <cell r="T832" t="str">
            <v>normal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  <cell r="N833" t="str">
            <v>ゴッド</v>
          </cell>
          <cell r="O833" t="str">
            <v>unknown</v>
          </cell>
          <cell r="P833" t="str">
            <v>Unknown</v>
          </cell>
          <cell r="Q833" t="str">
            <v>アタッカー</v>
          </cell>
          <cell r="R833">
            <v>3</v>
          </cell>
          <cell r="S833" t="str">
            <v>NULL</v>
          </cell>
          <cell r="T833" t="str">
            <v>normal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  <cell r="N834" t="str">
            <v>ゴッド</v>
          </cell>
          <cell r="O834" t="str">
            <v>none</v>
          </cell>
          <cell r="P834" t="str">
            <v>種族なし</v>
          </cell>
          <cell r="Q834" t="str">
            <v>アタッカー</v>
          </cell>
          <cell r="R834">
            <v>3</v>
          </cell>
          <cell r="S834" t="str">
            <v>NULL</v>
          </cell>
          <cell r="T834" t="str">
            <v>normal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  <cell r="N835" t="str">
            <v>ゴッド</v>
          </cell>
          <cell r="O835" t="str">
            <v>none</v>
          </cell>
          <cell r="P835" t="str">
            <v>種族なし</v>
          </cell>
          <cell r="Q835" t="str">
            <v>アタッカー</v>
          </cell>
          <cell r="R835">
            <v>3</v>
          </cell>
          <cell r="S835" t="str">
            <v>NULL</v>
          </cell>
          <cell r="T835" t="str">
            <v>normal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  <cell r="N836" t="str">
            <v>ゴッド</v>
          </cell>
          <cell r="O836" t="str">
            <v>none</v>
          </cell>
          <cell r="P836" t="str">
            <v>種族なし</v>
          </cell>
          <cell r="Q836" t="str">
            <v>アタッカー</v>
          </cell>
          <cell r="R836">
            <v>3</v>
          </cell>
          <cell r="S836" t="str">
            <v>NULL</v>
          </cell>
          <cell r="T836" t="str">
            <v>normal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  <cell r="N837" t="str">
            <v>ゴッド</v>
          </cell>
          <cell r="O837" t="str">
            <v>none</v>
          </cell>
          <cell r="P837" t="str">
            <v>種族なし</v>
          </cell>
          <cell r="Q837" t="str">
            <v>アタッカー</v>
          </cell>
          <cell r="R837">
            <v>3</v>
          </cell>
          <cell r="S837" t="str">
            <v>NULL</v>
          </cell>
          <cell r="T837" t="str">
            <v>normal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  <cell r="N838" t="str">
            <v>Unknown</v>
          </cell>
          <cell r="O838" t="str">
            <v>none</v>
          </cell>
          <cell r="P838" t="str">
            <v>種族なし</v>
          </cell>
          <cell r="Q838" t="str">
            <v>アタッカー</v>
          </cell>
          <cell r="R838">
            <v>3</v>
          </cell>
          <cell r="S838" t="str">
            <v>NULL</v>
          </cell>
          <cell r="T838" t="str">
            <v>normal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  <cell r="N839" t="str">
            <v>ヒューマン</v>
          </cell>
          <cell r="O839" t="str">
            <v>samurai</v>
          </cell>
          <cell r="P839" t="str">
            <v>サムライ</v>
          </cell>
          <cell r="Q839" t="str">
            <v>アタッカー</v>
          </cell>
          <cell r="R839">
            <v>3</v>
          </cell>
          <cell r="S839" t="str">
            <v>NULL</v>
          </cell>
          <cell r="T839" t="str">
            <v>normal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  <cell r="N840" t="str">
            <v>ヒューマン</v>
          </cell>
          <cell r="O840" t="str">
            <v>hero</v>
          </cell>
          <cell r="P840" t="str">
            <v>ヒーロー</v>
          </cell>
          <cell r="Q840" t="str">
            <v>アタッカー</v>
          </cell>
          <cell r="R840">
            <v>3</v>
          </cell>
          <cell r="S840" t="str">
            <v>NULL</v>
          </cell>
          <cell r="T840" t="str">
            <v>normal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  <cell r="N841" t="str">
            <v>アニマル</v>
          </cell>
          <cell r="O841" t="str">
            <v>none</v>
          </cell>
          <cell r="P841" t="str">
            <v>種族なし</v>
          </cell>
          <cell r="Q841" t="str">
            <v>アタッカー</v>
          </cell>
          <cell r="R841">
            <v>3</v>
          </cell>
          <cell r="S841" t="str">
            <v>NULL</v>
          </cell>
          <cell r="T841" t="str">
            <v>normal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  <cell r="N842" t="str">
            <v>アニマル</v>
          </cell>
          <cell r="O842" t="str">
            <v>none</v>
          </cell>
          <cell r="P842" t="str">
            <v>種族なし</v>
          </cell>
          <cell r="Q842" t="str">
            <v>アタッカー</v>
          </cell>
          <cell r="R842">
            <v>3</v>
          </cell>
          <cell r="S842" t="str">
            <v>NULL</v>
          </cell>
          <cell r="T842" t="str">
            <v>normal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  <cell r="N843" t="str">
            <v>アニマル</v>
          </cell>
          <cell r="O843" t="str">
            <v>none</v>
          </cell>
          <cell r="P843" t="str">
            <v>種族なし</v>
          </cell>
          <cell r="Q843" t="str">
            <v>アタッカー</v>
          </cell>
          <cell r="R843">
            <v>3</v>
          </cell>
          <cell r="S843" t="str">
            <v>NULL</v>
          </cell>
          <cell r="T843" t="str">
            <v>normal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  <cell r="N844" t="str">
            <v>アニマル</v>
          </cell>
          <cell r="O844" t="str">
            <v>none</v>
          </cell>
          <cell r="P844" t="str">
            <v>種族なし</v>
          </cell>
          <cell r="Q844" t="str">
            <v>アタッカー</v>
          </cell>
          <cell r="R844">
            <v>3</v>
          </cell>
          <cell r="S844" t="str">
            <v>NULL</v>
          </cell>
          <cell r="T844" t="str">
            <v>normal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  <cell r="N845" t="str">
            <v>ゴッド</v>
          </cell>
          <cell r="O845" t="str">
            <v>animal</v>
          </cell>
          <cell r="P845" t="str">
            <v>アニマル</v>
          </cell>
          <cell r="Q845" t="str">
            <v>アタッカー</v>
          </cell>
          <cell r="R845">
            <v>3</v>
          </cell>
          <cell r="S845" t="str">
            <v>NULL</v>
          </cell>
          <cell r="T845" t="str">
            <v>normal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  <cell r="N846" t="str">
            <v>ゴッド</v>
          </cell>
          <cell r="O846" t="str">
            <v>animal</v>
          </cell>
          <cell r="P846" t="str">
            <v>アニマル</v>
          </cell>
          <cell r="Q846" t="str">
            <v>アタッカー</v>
          </cell>
          <cell r="R846">
            <v>3</v>
          </cell>
          <cell r="S846" t="str">
            <v>NULL</v>
          </cell>
          <cell r="T846" t="str">
            <v>normal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  <cell r="N847" t="str">
            <v>ゴッド</v>
          </cell>
          <cell r="O847" t="str">
            <v>none</v>
          </cell>
          <cell r="P847" t="str">
            <v>種族なし</v>
          </cell>
          <cell r="Q847" t="str">
            <v>アタッカー</v>
          </cell>
          <cell r="R847">
            <v>3</v>
          </cell>
          <cell r="S847" t="str">
            <v>NULL</v>
          </cell>
          <cell r="T847" t="str">
            <v>normal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  <cell r="N848" t="str">
            <v>ゴッド</v>
          </cell>
          <cell r="O848" t="str">
            <v>none</v>
          </cell>
          <cell r="P848" t="str">
            <v>種族なし</v>
          </cell>
          <cell r="Q848" t="str">
            <v>アタッカー</v>
          </cell>
          <cell r="R848">
            <v>3</v>
          </cell>
          <cell r="S848" t="str">
            <v>NULL</v>
          </cell>
          <cell r="T848" t="str">
            <v>normal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  <cell r="N849" t="str">
            <v>ゴッド</v>
          </cell>
          <cell r="O849" t="str">
            <v>machine</v>
          </cell>
          <cell r="P849" t="str">
            <v>マシン</v>
          </cell>
          <cell r="Q849" t="str">
            <v>アタッカー</v>
          </cell>
          <cell r="R849">
            <v>3</v>
          </cell>
          <cell r="S849" t="str">
            <v>NULL</v>
          </cell>
          <cell r="T849" t="str">
            <v>normal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  <cell r="N850" t="str">
            <v>ゴッド</v>
          </cell>
          <cell r="O850" t="str">
            <v>machine</v>
          </cell>
          <cell r="P850" t="str">
            <v>マシン</v>
          </cell>
          <cell r="Q850" t="str">
            <v>アタッカー</v>
          </cell>
          <cell r="R850">
            <v>3</v>
          </cell>
          <cell r="S850" t="str">
            <v>NULL</v>
          </cell>
          <cell r="T850" t="str">
            <v>normal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  <cell r="N851" t="str">
            <v>ゴッド</v>
          </cell>
          <cell r="O851" t="str">
            <v>none</v>
          </cell>
          <cell r="P851" t="str">
            <v>種族なし</v>
          </cell>
          <cell r="Q851" t="str">
            <v>アタッカー</v>
          </cell>
          <cell r="R851">
            <v>3</v>
          </cell>
          <cell r="S851" t="str">
            <v>NULL</v>
          </cell>
          <cell r="T851" t="str">
            <v>normal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  <cell r="N852" t="str">
            <v>ゴッド</v>
          </cell>
          <cell r="O852" t="str">
            <v>demon</v>
          </cell>
          <cell r="P852" t="str">
            <v>デーモン</v>
          </cell>
          <cell r="Q852" t="str">
            <v>アタッカー</v>
          </cell>
          <cell r="R852">
            <v>3</v>
          </cell>
          <cell r="S852" t="str">
            <v>NULL</v>
          </cell>
          <cell r="T852" t="str">
            <v>normal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  <cell r="N853" t="str">
            <v>ゴッド</v>
          </cell>
          <cell r="O853" t="str">
            <v>machine</v>
          </cell>
          <cell r="P853" t="str">
            <v>マシン</v>
          </cell>
          <cell r="Q853" t="str">
            <v>アタッカー</v>
          </cell>
          <cell r="R853">
            <v>3</v>
          </cell>
          <cell r="S853" t="str">
            <v>NULL</v>
          </cell>
          <cell r="T853" t="str">
            <v>normal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  <cell r="N854" t="str">
            <v>ゴッド</v>
          </cell>
          <cell r="O854" t="str">
            <v>machine</v>
          </cell>
          <cell r="P854" t="str">
            <v>マシン</v>
          </cell>
          <cell r="Q854" t="str">
            <v>アタッカー</v>
          </cell>
          <cell r="R854">
            <v>3</v>
          </cell>
          <cell r="S854" t="str">
            <v>NULL</v>
          </cell>
          <cell r="T854" t="str">
            <v>normal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  <cell r="N855" t="str">
            <v>アニマル</v>
          </cell>
          <cell r="O855" t="str">
            <v>none</v>
          </cell>
          <cell r="P855" t="str">
            <v>種族なし</v>
          </cell>
          <cell r="Q855" t="str">
            <v>アタッカー</v>
          </cell>
          <cell r="R855">
            <v>3</v>
          </cell>
          <cell r="S855" t="str">
            <v>NULL</v>
          </cell>
          <cell r="T855" t="str">
            <v>normal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  <cell r="N856" t="str">
            <v>アニマル</v>
          </cell>
          <cell r="O856" t="str">
            <v>none</v>
          </cell>
          <cell r="P856" t="str">
            <v>種族なし</v>
          </cell>
          <cell r="Q856" t="str">
            <v>アタッカー</v>
          </cell>
          <cell r="R856">
            <v>3</v>
          </cell>
          <cell r="S856" t="str">
            <v>NULL</v>
          </cell>
          <cell r="T856" t="str">
            <v>normal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  <cell r="N857" t="str">
            <v>ヒューマン</v>
          </cell>
          <cell r="O857" t="str">
            <v>none</v>
          </cell>
          <cell r="P857" t="str">
            <v>種族なし</v>
          </cell>
          <cell r="Q857" t="str">
            <v>アタッカー</v>
          </cell>
          <cell r="R857">
            <v>3</v>
          </cell>
          <cell r="S857" t="str">
            <v>NULL</v>
          </cell>
          <cell r="T857" t="str">
            <v>normal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  <cell r="N858" t="str">
            <v>ヒューマン</v>
          </cell>
          <cell r="O858" t="str">
            <v>none</v>
          </cell>
          <cell r="P858" t="str">
            <v>種族なし</v>
          </cell>
          <cell r="Q858" t="str">
            <v>アタッカー</v>
          </cell>
          <cell r="R858">
            <v>3</v>
          </cell>
          <cell r="S858" t="str">
            <v>NULL</v>
          </cell>
          <cell r="T858" t="str">
            <v>normal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  <cell r="N859" t="str">
            <v>マシン</v>
          </cell>
          <cell r="O859" t="str">
            <v>animal</v>
          </cell>
          <cell r="P859" t="str">
            <v>アニマル</v>
          </cell>
          <cell r="Q859" t="str">
            <v>アタッカー</v>
          </cell>
          <cell r="R859">
            <v>3</v>
          </cell>
          <cell r="S859" t="str">
            <v>NULL</v>
          </cell>
          <cell r="T859" t="str">
            <v>normal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  <cell r="N860" t="str">
            <v>マシン</v>
          </cell>
          <cell r="O860" t="str">
            <v>animal</v>
          </cell>
          <cell r="P860" t="str">
            <v>アニマル</v>
          </cell>
          <cell r="Q860" t="str">
            <v>アタッカー</v>
          </cell>
          <cell r="R860">
            <v>3</v>
          </cell>
          <cell r="S860" t="str">
            <v>NULL</v>
          </cell>
          <cell r="T860" t="str">
            <v>normal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  <cell r="N861" t="str">
            <v>Unknown</v>
          </cell>
          <cell r="O861" t="str">
            <v>god</v>
          </cell>
          <cell r="P861" t="str">
            <v>ゴッド</v>
          </cell>
          <cell r="Q861" t="str">
            <v>アタッカー</v>
          </cell>
          <cell r="R861">
            <v>3</v>
          </cell>
          <cell r="S861" t="str">
            <v>NULL</v>
          </cell>
          <cell r="T861" t="str">
            <v>normal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  <cell r="N862" t="str">
            <v>Unknown</v>
          </cell>
          <cell r="O862" t="str">
            <v>god</v>
          </cell>
          <cell r="P862" t="str">
            <v>ゴッド</v>
          </cell>
          <cell r="Q862" t="str">
            <v>アタッカー</v>
          </cell>
          <cell r="R862">
            <v>3</v>
          </cell>
          <cell r="S862" t="str">
            <v>NULL</v>
          </cell>
          <cell r="T862" t="str">
            <v>normal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  <cell r="N863" t="str">
            <v>アニマル</v>
          </cell>
          <cell r="O863" t="str">
            <v>none</v>
          </cell>
          <cell r="P863" t="str">
            <v>種族なし</v>
          </cell>
          <cell r="Q863" t="str">
            <v>アタッカー</v>
          </cell>
          <cell r="R863">
            <v>3</v>
          </cell>
          <cell r="S863" t="str">
            <v>NULL</v>
          </cell>
          <cell r="T863" t="str">
            <v>normal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  <cell r="N864" t="str">
            <v>アニマル</v>
          </cell>
          <cell r="O864" t="str">
            <v>none</v>
          </cell>
          <cell r="P864" t="str">
            <v>種族なし</v>
          </cell>
          <cell r="Q864" t="str">
            <v>アタッカー</v>
          </cell>
          <cell r="R864">
            <v>3</v>
          </cell>
          <cell r="S864" t="str">
            <v>NULL</v>
          </cell>
          <cell r="T864" t="str">
            <v>normal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  <cell r="N865" t="str">
            <v>マシン</v>
          </cell>
          <cell r="O865" t="str">
            <v>none</v>
          </cell>
          <cell r="P865" t="str">
            <v>種族なし</v>
          </cell>
          <cell r="Q865" t="str">
            <v>アタッカー</v>
          </cell>
          <cell r="R865">
            <v>3</v>
          </cell>
          <cell r="S865" t="str">
            <v>NULL</v>
          </cell>
          <cell r="T865" t="str">
            <v>normal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  <cell r="N866" t="str">
            <v>マシン</v>
          </cell>
          <cell r="O866" t="str">
            <v>none</v>
          </cell>
          <cell r="P866" t="str">
            <v>種族なし</v>
          </cell>
          <cell r="Q866" t="str">
            <v>アタッカー</v>
          </cell>
          <cell r="R866">
            <v>3</v>
          </cell>
          <cell r="S866" t="str">
            <v>NULL</v>
          </cell>
          <cell r="T866" t="str">
            <v>normal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  <cell r="N867" t="str">
            <v>ヒューマン</v>
          </cell>
          <cell r="O867" t="str">
            <v>unknown</v>
          </cell>
          <cell r="P867" t="str">
            <v>Unknown</v>
          </cell>
          <cell r="Q867" t="str">
            <v>アタッカー</v>
          </cell>
          <cell r="R867">
            <v>3</v>
          </cell>
          <cell r="S867" t="str">
            <v>NULL</v>
          </cell>
          <cell r="T867" t="str">
            <v>normal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  <cell r="N868" t="str">
            <v>ヒューマン</v>
          </cell>
          <cell r="O868" t="str">
            <v>unknown</v>
          </cell>
          <cell r="P868" t="str">
            <v>Unknown</v>
          </cell>
          <cell r="Q868" t="str">
            <v>アタッカー</v>
          </cell>
          <cell r="R868">
            <v>3</v>
          </cell>
          <cell r="S868" t="str">
            <v>NULL</v>
          </cell>
          <cell r="T868" t="str">
            <v>normal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  <cell r="N869" t="str">
            <v>ヒューマン</v>
          </cell>
          <cell r="O869" t="str">
            <v>machine</v>
          </cell>
          <cell r="P869" t="str">
            <v>マシン</v>
          </cell>
          <cell r="Q869" t="str">
            <v>アタッカー</v>
          </cell>
          <cell r="R869">
            <v>3</v>
          </cell>
          <cell r="S869" t="str">
            <v>NULL</v>
          </cell>
          <cell r="T869" t="str">
            <v>normal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  <cell r="N870" t="str">
            <v>ヒューマン</v>
          </cell>
          <cell r="O870" t="str">
            <v>machine</v>
          </cell>
          <cell r="P870" t="str">
            <v>マシン</v>
          </cell>
          <cell r="Q870" t="str">
            <v>アタッカー</v>
          </cell>
          <cell r="R870">
            <v>3</v>
          </cell>
          <cell r="S870" t="str">
            <v>NULL</v>
          </cell>
          <cell r="T870" t="str">
            <v>normal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  <cell r="N871" t="str">
            <v>アカデミア</v>
          </cell>
          <cell r="O871" t="str">
            <v>machine</v>
          </cell>
          <cell r="P871" t="str">
            <v>マシン</v>
          </cell>
          <cell r="Q871" t="str">
            <v>アタッカー</v>
          </cell>
          <cell r="R871">
            <v>3</v>
          </cell>
          <cell r="S871" t="str">
            <v>NULL</v>
          </cell>
          <cell r="T871" t="str">
            <v>normal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  <cell r="N872" t="str">
            <v>アカデミア</v>
          </cell>
          <cell r="O872" t="str">
            <v>machine</v>
          </cell>
          <cell r="P872" t="str">
            <v>マシン</v>
          </cell>
          <cell r="Q872" t="str">
            <v>アタッカー</v>
          </cell>
          <cell r="R872">
            <v>3</v>
          </cell>
          <cell r="S872" t="str">
            <v>NULL</v>
          </cell>
          <cell r="T872" t="str">
            <v>normal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  <cell r="N873" t="str">
            <v>アカデミア</v>
          </cell>
          <cell r="O873" t="str">
            <v>unknown</v>
          </cell>
          <cell r="P873" t="str">
            <v>Unknown</v>
          </cell>
          <cell r="Q873" t="str">
            <v>アタッカー</v>
          </cell>
          <cell r="R873">
            <v>3</v>
          </cell>
          <cell r="S873" t="str">
            <v>NULL</v>
          </cell>
          <cell r="T873" t="str">
            <v>normal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  <cell r="N874" t="str">
            <v>アカデミア</v>
          </cell>
          <cell r="O874" t="str">
            <v>unknown</v>
          </cell>
          <cell r="P874" t="str">
            <v>Unknown</v>
          </cell>
          <cell r="Q874" t="str">
            <v>アタッカー</v>
          </cell>
          <cell r="R874">
            <v>3</v>
          </cell>
          <cell r="S874" t="str">
            <v>NULL</v>
          </cell>
          <cell r="T874" t="str">
            <v>normal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  <cell r="N875" t="str">
            <v>アカデミア</v>
          </cell>
          <cell r="O875" t="str">
            <v>machine</v>
          </cell>
          <cell r="P875" t="str">
            <v>マシン</v>
          </cell>
          <cell r="Q875" t="str">
            <v>アタッカー</v>
          </cell>
          <cell r="R875">
            <v>3</v>
          </cell>
          <cell r="S875" t="str">
            <v>NULL</v>
          </cell>
          <cell r="T875" t="str">
            <v>normal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  <cell r="N876" t="str">
            <v>アカデミア</v>
          </cell>
          <cell r="O876" t="str">
            <v>machine</v>
          </cell>
          <cell r="P876" t="str">
            <v>マシン</v>
          </cell>
          <cell r="Q876" t="str">
            <v>アタッカー</v>
          </cell>
          <cell r="R876">
            <v>3</v>
          </cell>
          <cell r="S876" t="str">
            <v>NULL</v>
          </cell>
          <cell r="T876" t="str">
            <v>normal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  <cell r="N877" t="str">
            <v>ゴッド</v>
          </cell>
          <cell r="O877" t="str">
            <v>none</v>
          </cell>
          <cell r="P877" t="str">
            <v>種族なし</v>
          </cell>
          <cell r="Q877" t="str">
            <v>アタッカー</v>
          </cell>
          <cell r="R877">
            <v>3</v>
          </cell>
          <cell r="S877" t="str">
            <v>NULL</v>
          </cell>
          <cell r="T877" t="str">
            <v>normal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  <cell r="N878" t="str">
            <v>ゴッド</v>
          </cell>
          <cell r="O878" t="str">
            <v>none</v>
          </cell>
          <cell r="P878" t="str">
            <v>種族なし</v>
          </cell>
          <cell r="Q878" t="str">
            <v>アタッカー</v>
          </cell>
          <cell r="R878">
            <v>3</v>
          </cell>
          <cell r="S878" t="str">
            <v>NULL</v>
          </cell>
          <cell r="T878" t="str">
            <v>normal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  <cell r="N879" t="str">
            <v>ゴッド</v>
          </cell>
          <cell r="O879" t="str">
            <v>animal</v>
          </cell>
          <cell r="P879" t="str">
            <v>アニマル</v>
          </cell>
          <cell r="Q879" t="str">
            <v>アタッカー</v>
          </cell>
          <cell r="R879">
            <v>3</v>
          </cell>
          <cell r="S879" t="str">
            <v>NULL</v>
          </cell>
          <cell r="T879" t="str">
            <v>normal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  <cell r="N880" t="str">
            <v>ゴッド</v>
          </cell>
          <cell r="O880" t="str">
            <v>animal</v>
          </cell>
          <cell r="P880" t="str">
            <v>アニマル</v>
          </cell>
          <cell r="Q880" t="str">
            <v>アタッカー</v>
          </cell>
          <cell r="R880">
            <v>3</v>
          </cell>
          <cell r="S880" t="str">
            <v>NULL</v>
          </cell>
          <cell r="T880" t="str">
            <v>normal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  <cell r="N881" t="str">
            <v>アカデミア</v>
          </cell>
          <cell r="O881" t="str">
            <v>animal</v>
          </cell>
          <cell r="P881" t="str">
            <v>アニマル</v>
          </cell>
          <cell r="Q881" t="str">
            <v>アタッカー</v>
          </cell>
          <cell r="R881">
            <v>3</v>
          </cell>
          <cell r="S881" t="str">
            <v>NULL</v>
          </cell>
          <cell r="T881" t="str">
            <v>normal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  <cell r="N882" t="str">
            <v>アカデミア</v>
          </cell>
          <cell r="O882" t="str">
            <v>animal</v>
          </cell>
          <cell r="P882" t="str">
            <v>アニマル</v>
          </cell>
          <cell r="Q882" t="str">
            <v>アタッカー</v>
          </cell>
          <cell r="R882">
            <v>3</v>
          </cell>
          <cell r="S882" t="str">
            <v>NULL</v>
          </cell>
          <cell r="T882" t="str">
            <v>normal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  <cell r="N883" t="str">
            <v>アカデミア</v>
          </cell>
          <cell r="O883" t="str">
            <v>human</v>
          </cell>
          <cell r="P883" t="str">
            <v>ヒューマン</v>
          </cell>
          <cell r="Q883" t="str">
            <v>アタッカー</v>
          </cell>
          <cell r="R883">
            <v>3</v>
          </cell>
          <cell r="S883" t="str">
            <v>NULL</v>
          </cell>
          <cell r="T883" t="str">
            <v>super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  <cell r="N884" t="str">
            <v>ゴッド</v>
          </cell>
          <cell r="O884" t="str">
            <v>none</v>
          </cell>
          <cell r="P884" t="str">
            <v>種族なし</v>
          </cell>
          <cell r="Q884" t="str">
            <v>アタッカー</v>
          </cell>
          <cell r="R884">
            <v>3</v>
          </cell>
          <cell r="S884" t="str">
            <v>NULL</v>
          </cell>
          <cell r="T884" t="str">
            <v>normal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  <cell r="N885" t="str">
            <v>ゴッド</v>
          </cell>
          <cell r="O885" t="str">
            <v>none</v>
          </cell>
          <cell r="P885" t="str">
            <v>種族なし</v>
          </cell>
          <cell r="Q885" t="str">
            <v>アタッカー</v>
          </cell>
          <cell r="R885">
            <v>3</v>
          </cell>
          <cell r="S885" t="str">
            <v>NULL</v>
          </cell>
          <cell r="T885" t="str">
            <v>normal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  <cell r="N886" t="str">
            <v>ゴッド</v>
          </cell>
          <cell r="O886" t="str">
            <v>none</v>
          </cell>
          <cell r="P886" t="str">
            <v>種族なし</v>
          </cell>
          <cell r="Q886" t="str">
            <v>アタッカー</v>
          </cell>
          <cell r="R886">
            <v>3</v>
          </cell>
          <cell r="S886" t="str">
            <v>NULL</v>
          </cell>
          <cell r="T886" t="str">
            <v>normal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  <cell r="N887" t="str">
            <v>ゴッド</v>
          </cell>
          <cell r="O887" t="str">
            <v>none</v>
          </cell>
          <cell r="P887" t="str">
            <v>種族なし</v>
          </cell>
          <cell r="Q887" t="str">
            <v>アタッカー</v>
          </cell>
          <cell r="R887">
            <v>3</v>
          </cell>
          <cell r="S887" t="str">
            <v>NULL</v>
          </cell>
          <cell r="T887" t="str">
            <v>normal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  <cell r="N888" t="str">
            <v>ゴッド</v>
          </cell>
          <cell r="O888" t="str">
            <v>machine</v>
          </cell>
          <cell r="P888" t="str">
            <v>マシン</v>
          </cell>
          <cell r="Q888" t="str">
            <v>アタッカー</v>
          </cell>
          <cell r="R888">
            <v>3</v>
          </cell>
          <cell r="S888" t="str">
            <v>NULL</v>
          </cell>
          <cell r="T888" t="str">
            <v>normal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  <cell r="N889" t="str">
            <v>ゴッド</v>
          </cell>
          <cell r="O889" t="str">
            <v>machine</v>
          </cell>
          <cell r="P889" t="str">
            <v>マシン</v>
          </cell>
          <cell r="Q889" t="str">
            <v>アタッカー</v>
          </cell>
          <cell r="R889">
            <v>3</v>
          </cell>
          <cell r="S889" t="str">
            <v>NULL</v>
          </cell>
          <cell r="T889" t="str">
            <v>normal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  <cell r="N890" t="str">
            <v>アカデミア</v>
          </cell>
          <cell r="O890" t="str">
            <v>unknown</v>
          </cell>
          <cell r="P890" t="str">
            <v>Unknown</v>
          </cell>
          <cell r="Q890" t="str">
            <v>アタッカー</v>
          </cell>
          <cell r="R890">
            <v>1</v>
          </cell>
          <cell r="S890" t="str">
            <v>NULL</v>
          </cell>
          <cell r="T890" t="str">
            <v>normal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  <cell r="N891" t="str">
            <v>アカデミア</v>
          </cell>
          <cell r="O891" t="str">
            <v>unknown</v>
          </cell>
          <cell r="P891" t="str">
            <v>Unknown</v>
          </cell>
          <cell r="Q891" t="str">
            <v>アタッカー</v>
          </cell>
          <cell r="R891">
            <v>1</v>
          </cell>
          <cell r="S891" t="str">
            <v>NULL</v>
          </cell>
          <cell r="T891" t="str">
            <v>normal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  <cell r="N892" t="str">
            <v>ゴッド</v>
          </cell>
          <cell r="O892" t="str">
            <v>animal</v>
          </cell>
          <cell r="P892" t="str">
            <v>アニマル</v>
          </cell>
          <cell r="Q892" t="str">
            <v>アタッカー</v>
          </cell>
          <cell r="R892">
            <v>3</v>
          </cell>
          <cell r="S892" t="str">
            <v>NULL</v>
          </cell>
          <cell r="T892" t="str">
            <v>normal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  <cell r="N893" t="str">
            <v>ゴッド</v>
          </cell>
          <cell r="O893" t="str">
            <v>animal</v>
          </cell>
          <cell r="P893" t="str">
            <v>アニマル</v>
          </cell>
          <cell r="Q893" t="str">
            <v>アタッカー</v>
          </cell>
          <cell r="R893">
            <v>3</v>
          </cell>
          <cell r="S893" t="str">
            <v>NULL</v>
          </cell>
          <cell r="T893" t="str">
            <v>normal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  <cell r="N894" t="str">
            <v>ゴッド</v>
          </cell>
          <cell r="O894" t="str">
            <v>machine</v>
          </cell>
          <cell r="P894" t="str">
            <v>マシン</v>
          </cell>
          <cell r="Q894" t="str">
            <v>アタッカー</v>
          </cell>
          <cell r="R894">
            <v>3</v>
          </cell>
          <cell r="S894" t="str">
            <v>NULL</v>
          </cell>
          <cell r="T894" t="str">
            <v>normal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  <cell r="N895" t="str">
            <v>ゴッド</v>
          </cell>
          <cell r="O895" t="str">
            <v>machine</v>
          </cell>
          <cell r="P895" t="str">
            <v>マシン</v>
          </cell>
          <cell r="Q895" t="str">
            <v>アタッカー</v>
          </cell>
          <cell r="R895">
            <v>3</v>
          </cell>
          <cell r="S895" t="str">
            <v>NULL</v>
          </cell>
          <cell r="T895" t="str">
            <v>normal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red</v>
          </cell>
          <cell r="I896">
            <v>6</v>
          </cell>
          <cell r="J896" t="str">
            <v>PremiumS</v>
          </cell>
          <cell r="K896" t="str">
            <v>attack</v>
          </cell>
          <cell r="L896" t="str">
            <v>攻撃タイプ</v>
          </cell>
          <cell r="M896" t="str">
            <v>animal</v>
          </cell>
          <cell r="N896" t="str">
            <v>アニマル</v>
          </cell>
          <cell r="O896" t="str">
            <v>fantasy</v>
          </cell>
          <cell r="P896" t="str">
            <v>ファンタジー</v>
          </cell>
          <cell r="Q896" t="str">
            <v>アタッカー</v>
          </cell>
          <cell r="R896">
            <v>3</v>
          </cell>
          <cell r="S896" t="str">
            <v>NULL</v>
          </cell>
          <cell r="T896" t="str">
            <v>normal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  <cell r="N897" t="str">
            <v>アニマル</v>
          </cell>
          <cell r="O897" t="str">
            <v>none</v>
          </cell>
          <cell r="P897" t="str">
            <v>種族なし</v>
          </cell>
          <cell r="Q897" t="str">
            <v>アタッカー</v>
          </cell>
          <cell r="R897">
            <v>3</v>
          </cell>
          <cell r="S897" t="str">
            <v>NULL</v>
          </cell>
          <cell r="T897" t="str">
            <v>normal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  <cell r="N898" t="str">
            <v>アニマル</v>
          </cell>
          <cell r="O898" t="str">
            <v>none</v>
          </cell>
          <cell r="P898" t="str">
            <v>種族なし</v>
          </cell>
          <cell r="Q898" t="str">
            <v>アタッカー</v>
          </cell>
          <cell r="R898">
            <v>3</v>
          </cell>
          <cell r="S898" t="str">
            <v>NULL</v>
          </cell>
          <cell r="T898" t="str">
            <v>normal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yellow</v>
          </cell>
          <cell r="I899">
            <v>6</v>
          </cell>
          <cell r="J899" t="str">
            <v>PremiumS</v>
          </cell>
          <cell r="K899" t="str">
            <v>heal</v>
          </cell>
          <cell r="L899" t="str">
            <v>回復タイプ</v>
          </cell>
          <cell r="M899" t="str">
            <v>animal</v>
          </cell>
          <cell r="N899" t="str">
            <v>アニマル</v>
          </cell>
          <cell r="O899" t="str">
            <v>fantasy</v>
          </cell>
          <cell r="P899" t="str">
            <v>ファンタジー</v>
          </cell>
          <cell r="Q899" t="str">
            <v>アタッカー</v>
          </cell>
          <cell r="R899">
            <v>3</v>
          </cell>
          <cell r="S899" t="str">
            <v>NULL</v>
          </cell>
          <cell r="T899" t="str">
            <v>normal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  <cell r="N900" t="str">
            <v>サンリオキャラクターズ</v>
          </cell>
          <cell r="O900" t="str">
            <v>none</v>
          </cell>
          <cell r="P900" t="str">
            <v>種族なし</v>
          </cell>
          <cell r="Q900" t="str">
            <v>アタッカー</v>
          </cell>
          <cell r="R900">
            <v>3</v>
          </cell>
          <cell r="S900" t="str">
            <v>NULL</v>
          </cell>
          <cell r="T900" t="str">
            <v>normal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  <cell r="N901" t="str">
            <v>サンリオキャラクターズ</v>
          </cell>
          <cell r="O901" t="str">
            <v>none</v>
          </cell>
          <cell r="P901" t="str">
            <v>種族なし</v>
          </cell>
          <cell r="Q901" t="str">
            <v>アタッカー</v>
          </cell>
          <cell r="R901">
            <v>3</v>
          </cell>
          <cell r="S901" t="str">
            <v>NULL</v>
          </cell>
          <cell r="T901" t="str">
            <v>normal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  <cell r="N902" t="str">
            <v>サンリオキャラクターズ</v>
          </cell>
          <cell r="O902" t="str">
            <v>none</v>
          </cell>
          <cell r="P902" t="str">
            <v>種族なし</v>
          </cell>
          <cell r="Q902" t="str">
            <v>アタッカー</v>
          </cell>
          <cell r="R902">
            <v>3</v>
          </cell>
          <cell r="S902" t="str">
            <v>NULL</v>
          </cell>
          <cell r="T902" t="str">
            <v>normal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  <cell r="N903" t="str">
            <v>サンリオキャラクターズ</v>
          </cell>
          <cell r="O903" t="str">
            <v>none</v>
          </cell>
          <cell r="P903" t="str">
            <v>種族なし</v>
          </cell>
          <cell r="Q903" t="str">
            <v>アタッカー</v>
          </cell>
          <cell r="R903">
            <v>3</v>
          </cell>
          <cell r="S903" t="str">
            <v>NULL</v>
          </cell>
          <cell r="T903" t="str">
            <v>normal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  <cell r="N904" t="str">
            <v>サンリオキャラクターズ</v>
          </cell>
          <cell r="O904" t="str">
            <v>none</v>
          </cell>
          <cell r="P904" t="str">
            <v>種族なし</v>
          </cell>
          <cell r="Q904" t="str">
            <v>アタッカー</v>
          </cell>
          <cell r="R904">
            <v>3</v>
          </cell>
          <cell r="S904" t="str">
            <v>NULL</v>
          </cell>
          <cell r="T904" t="str">
            <v>normal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  <cell r="N905" t="str">
            <v>サンリオキャラクターズ</v>
          </cell>
          <cell r="O905" t="str">
            <v>none</v>
          </cell>
          <cell r="P905" t="str">
            <v>種族なし</v>
          </cell>
          <cell r="Q905" t="str">
            <v>アタッカー</v>
          </cell>
          <cell r="R905">
            <v>3</v>
          </cell>
          <cell r="S905" t="str">
            <v>NULL</v>
          </cell>
          <cell r="T905" t="str">
            <v>normal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  <cell r="N906" t="str">
            <v>サンリオキャラクターズ</v>
          </cell>
          <cell r="O906" t="str">
            <v>none</v>
          </cell>
          <cell r="P906" t="str">
            <v>種族なし</v>
          </cell>
          <cell r="Q906" t="str">
            <v>アタッカー</v>
          </cell>
          <cell r="R906">
            <v>3</v>
          </cell>
          <cell r="S906" t="str">
            <v>NULL</v>
          </cell>
          <cell r="T906" t="str">
            <v>normal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  <cell r="N907" t="str">
            <v>サンリオキャラクターズ</v>
          </cell>
          <cell r="O907" t="str">
            <v>none</v>
          </cell>
          <cell r="P907" t="str">
            <v>種族なし</v>
          </cell>
          <cell r="Q907" t="str">
            <v>アタッカー</v>
          </cell>
          <cell r="R907">
            <v>3</v>
          </cell>
          <cell r="S907" t="str">
            <v>NULL</v>
          </cell>
          <cell r="T907" t="str">
            <v>normal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  <cell r="N908" t="str">
            <v>サンリオキャラクターズ</v>
          </cell>
          <cell r="O908" t="str">
            <v>none</v>
          </cell>
          <cell r="P908" t="str">
            <v>種族なし</v>
          </cell>
          <cell r="Q908" t="str">
            <v>アタッカー</v>
          </cell>
          <cell r="R908">
            <v>3</v>
          </cell>
          <cell r="S908" t="str">
            <v>NULL</v>
          </cell>
          <cell r="T908" t="str">
            <v>normal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  <cell r="N909" t="str">
            <v>サンリオキャラクターズ</v>
          </cell>
          <cell r="O909" t="str">
            <v>none</v>
          </cell>
          <cell r="P909" t="str">
            <v>種族なし</v>
          </cell>
          <cell r="Q909" t="str">
            <v>アタッカー</v>
          </cell>
          <cell r="R909">
            <v>3</v>
          </cell>
          <cell r="S909" t="str">
            <v>NULL</v>
          </cell>
          <cell r="T909" t="str">
            <v>normal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  <cell r="N910" t="str">
            <v>サンリオキャラクターズ</v>
          </cell>
          <cell r="O910" t="str">
            <v>none</v>
          </cell>
          <cell r="P910" t="str">
            <v>種族なし</v>
          </cell>
          <cell r="Q910" t="str">
            <v>アタッカー</v>
          </cell>
          <cell r="R910">
            <v>3</v>
          </cell>
          <cell r="S910" t="str">
            <v>NULL</v>
          </cell>
          <cell r="T910" t="str">
            <v>normal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  <cell r="N911" t="str">
            <v>サンリオキャラクターズ</v>
          </cell>
          <cell r="O911" t="str">
            <v>none</v>
          </cell>
          <cell r="P911" t="str">
            <v>種族なし</v>
          </cell>
          <cell r="Q911" t="str">
            <v>アタッカー</v>
          </cell>
          <cell r="R911">
            <v>3</v>
          </cell>
          <cell r="S911" t="str">
            <v>NULL</v>
          </cell>
          <cell r="T911" t="str">
            <v>normal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  <cell r="N912" t="str">
            <v>サンリオキャラクターズ</v>
          </cell>
          <cell r="O912" t="str">
            <v>none</v>
          </cell>
          <cell r="P912" t="str">
            <v>種族なし</v>
          </cell>
          <cell r="Q912" t="str">
            <v>アタッカー</v>
          </cell>
          <cell r="R912">
            <v>3</v>
          </cell>
          <cell r="S912" t="str">
            <v>NULL</v>
          </cell>
          <cell r="T912" t="str">
            <v>normal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  <cell r="N913" t="str">
            <v>サンリオキャラクターズ</v>
          </cell>
          <cell r="O913" t="str">
            <v>none</v>
          </cell>
          <cell r="P913" t="str">
            <v>種族なし</v>
          </cell>
          <cell r="Q913" t="str">
            <v>アタッカー</v>
          </cell>
          <cell r="R913">
            <v>3</v>
          </cell>
          <cell r="S913" t="str">
            <v>NULL</v>
          </cell>
          <cell r="T913" t="str">
            <v>normal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  <cell r="N914" t="str">
            <v>サンリオキャラクターズ</v>
          </cell>
          <cell r="O914" t="str">
            <v>none</v>
          </cell>
          <cell r="P914" t="str">
            <v>種族なし</v>
          </cell>
          <cell r="Q914" t="str">
            <v>アタッカー</v>
          </cell>
          <cell r="R914">
            <v>3</v>
          </cell>
          <cell r="S914" t="str">
            <v>NULL</v>
          </cell>
          <cell r="T914" t="str">
            <v>normal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  <cell r="N915" t="str">
            <v>サンリオキャラクターズ</v>
          </cell>
          <cell r="O915" t="str">
            <v>none</v>
          </cell>
          <cell r="P915" t="str">
            <v>種族なし</v>
          </cell>
          <cell r="Q915" t="str">
            <v>アタッカー</v>
          </cell>
          <cell r="R915">
            <v>3</v>
          </cell>
          <cell r="S915" t="str">
            <v>NULL</v>
          </cell>
          <cell r="T915" t="str">
            <v>normal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  <cell r="N916" t="str">
            <v>サンリオキャラクターズ</v>
          </cell>
          <cell r="O916" t="str">
            <v>none</v>
          </cell>
          <cell r="P916" t="str">
            <v>種族なし</v>
          </cell>
          <cell r="Q916" t="str">
            <v>アタッカー</v>
          </cell>
          <cell r="R916">
            <v>3</v>
          </cell>
          <cell r="S916" t="str">
            <v>NULL</v>
          </cell>
          <cell r="T916" t="str">
            <v>normal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  <cell r="N917" t="str">
            <v>サンリオキャラクターズ</v>
          </cell>
          <cell r="O917" t="str">
            <v>none</v>
          </cell>
          <cell r="P917" t="str">
            <v>種族なし</v>
          </cell>
          <cell r="Q917" t="str">
            <v>アタッカー</v>
          </cell>
          <cell r="R917">
            <v>3</v>
          </cell>
          <cell r="S917" t="str">
            <v>NULL</v>
          </cell>
          <cell r="T917" t="str">
            <v>normal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  <cell r="N918" t="str">
            <v>サンリオキャラクターズ</v>
          </cell>
          <cell r="O918" t="str">
            <v>none</v>
          </cell>
          <cell r="P918" t="str">
            <v>種族なし</v>
          </cell>
          <cell r="Q918" t="str">
            <v>アタッカー</v>
          </cell>
          <cell r="R918">
            <v>3</v>
          </cell>
          <cell r="S918" t="str">
            <v>NULL</v>
          </cell>
          <cell r="T918" t="str">
            <v>normal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  <cell r="N919" t="str">
            <v>サンリオキャラクターズ</v>
          </cell>
          <cell r="O919" t="str">
            <v>none</v>
          </cell>
          <cell r="P919" t="str">
            <v>種族なし</v>
          </cell>
          <cell r="Q919" t="str">
            <v>アタッカー</v>
          </cell>
          <cell r="R919">
            <v>3</v>
          </cell>
          <cell r="S919" t="str">
            <v>NULL</v>
          </cell>
          <cell r="T919" t="str">
            <v>normal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  <cell r="N920" t="str">
            <v>サンリオキャラクターズ</v>
          </cell>
          <cell r="O920" t="str">
            <v>none</v>
          </cell>
          <cell r="P920" t="str">
            <v>種族なし</v>
          </cell>
          <cell r="Q920" t="str">
            <v>アタッカー</v>
          </cell>
          <cell r="R920">
            <v>3</v>
          </cell>
          <cell r="S920" t="str">
            <v>NULL</v>
          </cell>
          <cell r="T920" t="str">
            <v>normal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  <cell r="N921" t="str">
            <v>サンリオキャラクターズ</v>
          </cell>
          <cell r="O921" t="str">
            <v>none</v>
          </cell>
          <cell r="P921" t="str">
            <v>種族なし</v>
          </cell>
          <cell r="Q921" t="str">
            <v>アタッカー</v>
          </cell>
          <cell r="R921">
            <v>3</v>
          </cell>
          <cell r="S921" t="str">
            <v>NULL</v>
          </cell>
          <cell r="T921" t="str">
            <v>normal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  <cell r="N922" t="str">
            <v>サンリオキャラクターズ</v>
          </cell>
          <cell r="O922" t="str">
            <v>none</v>
          </cell>
          <cell r="P922" t="str">
            <v>種族なし</v>
          </cell>
          <cell r="Q922" t="str">
            <v>アタッカー</v>
          </cell>
          <cell r="R922">
            <v>3</v>
          </cell>
          <cell r="S922" t="str">
            <v>NULL</v>
          </cell>
          <cell r="T922" t="str">
            <v>normal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  <cell r="N923" t="str">
            <v>サンリオキャラクターズ</v>
          </cell>
          <cell r="O923" t="str">
            <v>none</v>
          </cell>
          <cell r="P923" t="str">
            <v>種族なし</v>
          </cell>
          <cell r="Q923" t="str">
            <v>アタッカー</v>
          </cell>
          <cell r="R923">
            <v>3</v>
          </cell>
          <cell r="S923" t="str">
            <v>NULL</v>
          </cell>
          <cell r="T923" t="str">
            <v>normal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  <cell r="N924" t="str">
            <v>サンリオキャラクターズ</v>
          </cell>
          <cell r="O924" t="str">
            <v>none</v>
          </cell>
          <cell r="P924" t="str">
            <v>種族なし</v>
          </cell>
          <cell r="Q924" t="str">
            <v>アタッカー</v>
          </cell>
          <cell r="R924">
            <v>3</v>
          </cell>
          <cell r="S924" t="str">
            <v>NULL</v>
          </cell>
          <cell r="T924" t="str">
            <v>normal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  <cell r="N925" t="str">
            <v>サンリオキャラクターズ</v>
          </cell>
          <cell r="O925" t="str">
            <v>none</v>
          </cell>
          <cell r="P925" t="str">
            <v>種族なし</v>
          </cell>
          <cell r="Q925" t="str">
            <v>アタッカー</v>
          </cell>
          <cell r="R925">
            <v>3</v>
          </cell>
          <cell r="S925" t="str">
            <v>NULL</v>
          </cell>
          <cell r="T925" t="str">
            <v>normal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  <cell r="N926" t="str">
            <v>サンリオキャラクターズ</v>
          </cell>
          <cell r="O926" t="str">
            <v>none</v>
          </cell>
          <cell r="P926" t="str">
            <v>種族なし</v>
          </cell>
          <cell r="Q926" t="str">
            <v>アタッカー</v>
          </cell>
          <cell r="R926">
            <v>3</v>
          </cell>
          <cell r="S926" t="str">
            <v>NULL</v>
          </cell>
          <cell r="T926" t="str">
            <v>normal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  <cell r="N927" t="str">
            <v>サンリオキャラクターズ</v>
          </cell>
          <cell r="O927" t="str">
            <v>none</v>
          </cell>
          <cell r="P927" t="str">
            <v>種族なし</v>
          </cell>
          <cell r="Q927" t="str">
            <v>アタッカー</v>
          </cell>
          <cell r="R927">
            <v>3</v>
          </cell>
          <cell r="S927" t="str">
            <v>NULL</v>
          </cell>
          <cell r="T927" t="str">
            <v>normal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  <cell r="N928" t="str">
            <v>サンリオキャラクターズ</v>
          </cell>
          <cell r="O928" t="str">
            <v>none</v>
          </cell>
          <cell r="P928" t="str">
            <v>種族なし</v>
          </cell>
          <cell r="Q928" t="str">
            <v>アタッカー</v>
          </cell>
          <cell r="R928">
            <v>3</v>
          </cell>
          <cell r="S928" t="str">
            <v>NULL</v>
          </cell>
          <cell r="T928" t="str">
            <v>normal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  <cell r="N929" t="str">
            <v>サンリオキャラクターズ</v>
          </cell>
          <cell r="O929" t="str">
            <v>none</v>
          </cell>
          <cell r="P929" t="str">
            <v>種族なし</v>
          </cell>
          <cell r="Q929" t="str">
            <v>アタッカー</v>
          </cell>
          <cell r="R929">
            <v>3</v>
          </cell>
          <cell r="S929" t="str">
            <v>NULL</v>
          </cell>
          <cell r="T929" t="str">
            <v>normal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  <cell r="N930" t="str">
            <v>ゴッド</v>
          </cell>
          <cell r="O930" t="str">
            <v>none</v>
          </cell>
          <cell r="P930" t="str">
            <v>種族なし</v>
          </cell>
          <cell r="Q930" t="str">
            <v>アタッカー</v>
          </cell>
          <cell r="R930">
            <v>3</v>
          </cell>
          <cell r="S930" t="str">
            <v>NULL</v>
          </cell>
          <cell r="T930" t="str">
            <v>normal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  <cell r="N931" t="str">
            <v>ゴッド</v>
          </cell>
          <cell r="O931" t="str">
            <v>none</v>
          </cell>
          <cell r="P931" t="str">
            <v>種族なし</v>
          </cell>
          <cell r="Q931" t="str">
            <v>アタッカー</v>
          </cell>
          <cell r="R931">
            <v>3</v>
          </cell>
          <cell r="S931" t="str">
            <v>NULL</v>
          </cell>
          <cell r="T931" t="str">
            <v>normal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  <cell r="N932" t="str">
            <v>ヒューマン</v>
          </cell>
          <cell r="O932" t="str">
            <v>machine</v>
          </cell>
          <cell r="P932" t="str">
            <v>マシン</v>
          </cell>
          <cell r="Q932" t="str">
            <v>アタッカー</v>
          </cell>
          <cell r="R932">
            <v>3</v>
          </cell>
          <cell r="S932" t="str">
            <v>NULL</v>
          </cell>
          <cell r="T932" t="str">
            <v>normal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  <cell r="N933" t="str">
            <v>ヒューマン</v>
          </cell>
          <cell r="O933" t="str">
            <v>machine</v>
          </cell>
          <cell r="P933" t="str">
            <v>マシン</v>
          </cell>
          <cell r="Q933" t="str">
            <v>アタッカー</v>
          </cell>
          <cell r="R933">
            <v>3</v>
          </cell>
          <cell r="S933" t="str">
            <v>NULL</v>
          </cell>
          <cell r="T933" t="str">
            <v>normal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  <cell r="N934" t="str">
            <v>Unknown</v>
          </cell>
          <cell r="O934" t="str">
            <v>none</v>
          </cell>
          <cell r="P934" t="str">
            <v>種族なし</v>
          </cell>
          <cell r="Q934" t="str">
            <v>アタッカー</v>
          </cell>
          <cell r="R934">
            <v>3</v>
          </cell>
          <cell r="S934" t="str">
            <v>NULL</v>
          </cell>
          <cell r="T934" t="str">
            <v>normal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  <cell r="N935" t="str">
            <v>Unknown</v>
          </cell>
          <cell r="O935" t="str">
            <v>none</v>
          </cell>
          <cell r="P935" t="str">
            <v>種族なし</v>
          </cell>
          <cell r="Q935" t="str">
            <v>アタッカー</v>
          </cell>
          <cell r="R935">
            <v>3</v>
          </cell>
          <cell r="S935" t="str">
            <v>NULL</v>
          </cell>
          <cell r="T935" t="str">
            <v>normal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  <cell r="N936" t="str">
            <v>ヒューマン</v>
          </cell>
          <cell r="O936" t="str">
            <v>none</v>
          </cell>
          <cell r="P936" t="str">
            <v>種族なし</v>
          </cell>
          <cell r="Q936" t="str">
            <v>アタッカー</v>
          </cell>
          <cell r="R936">
            <v>3</v>
          </cell>
          <cell r="S936" t="str">
            <v>NULL</v>
          </cell>
          <cell r="T936" t="str">
            <v>normal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  <cell r="N937" t="str">
            <v>ヒューマン</v>
          </cell>
          <cell r="O937" t="str">
            <v>none</v>
          </cell>
          <cell r="P937" t="str">
            <v>種族なし</v>
          </cell>
          <cell r="Q937" t="str">
            <v>アタッカー</v>
          </cell>
          <cell r="R937">
            <v>3</v>
          </cell>
          <cell r="S937" t="str">
            <v>NULL</v>
          </cell>
          <cell r="T937" t="str">
            <v>normal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  <cell r="N938" t="str">
            <v>ヒューマン</v>
          </cell>
          <cell r="O938" t="str">
            <v>none</v>
          </cell>
          <cell r="P938" t="str">
            <v>種族なし</v>
          </cell>
          <cell r="Q938" t="str">
            <v>アタッカー</v>
          </cell>
          <cell r="R938">
            <v>3</v>
          </cell>
          <cell r="S938" t="str">
            <v>NULL</v>
          </cell>
          <cell r="T938" t="str">
            <v>normal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  <cell r="N939" t="str">
            <v>ヒューマン</v>
          </cell>
          <cell r="O939" t="str">
            <v>none</v>
          </cell>
          <cell r="P939" t="str">
            <v>種族なし</v>
          </cell>
          <cell r="Q939" t="str">
            <v>アタッカー</v>
          </cell>
          <cell r="R939">
            <v>3</v>
          </cell>
          <cell r="S939" t="str">
            <v>NULL</v>
          </cell>
          <cell r="T939" t="str">
            <v>normal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  <cell r="N940" t="str">
            <v>Unknown</v>
          </cell>
          <cell r="O940" t="str">
            <v>none</v>
          </cell>
          <cell r="P940" t="str">
            <v>種族なし</v>
          </cell>
          <cell r="Q940" t="str">
            <v>アタッカー</v>
          </cell>
          <cell r="R940">
            <v>3</v>
          </cell>
          <cell r="S940" t="str">
            <v>NULL</v>
          </cell>
          <cell r="T940" t="str">
            <v>normal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  <cell r="N941" t="str">
            <v>Unknown</v>
          </cell>
          <cell r="O941" t="str">
            <v>none</v>
          </cell>
          <cell r="P941" t="str">
            <v>種族なし</v>
          </cell>
          <cell r="Q941" t="str">
            <v>アタッカー</v>
          </cell>
          <cell r="R941">
            <v>3</v>
          </cell>
          <cell r="S941" t="str">
            <v>NULL</v>
          </cell>
          <cell r="T941" t="str">
            <v>normal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  <cell r="N942" t="str">
            <v>ヒューマン</v>
          </cell>
          <cell r="O942" t="str">
            <v>none</v>
          </cell>
          <cell r="P942" t="str">
            <v>種族なし</v>
          </cell>
          <cell r="Q942" t="str">
            <v>アタッカー</v>
          </cell>
          <cell r="R942">
            <v>3</v>
          </cell>
          <cell r="S942" t="str">
            <v>NULL</v>
          </cell>
          <cell r="T942" t="str">
            <v>normal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  <cell r="N943" t="str">
            <v>ヒューマン</v>
          </cell>
          <cell r="O943" t="str">
            <v>none</v>
          </cell>
          <cell r="P943" t="str">
            <v>種族なし</v>
          </cell>
          <cell r="Q943" t="str">
            <v>アタッカー</v>
          </cell>
          <cell r="R943">
            <v>3</v>
          </cell>
          <cell r="S943" t="str">
            <v>NULL</v>
          </cell>
          <cell r="T943" t="str">
            <v>normal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  <cell r="N944" t="str">
            <v>ヒューマン</v>
          </cell>
          <cell r="O944" t="str">
            <v>none</v>
          </cell>
          <cell r="P944" t="str">
            <v>種族なし</v>
          </cell>
          <cell r="Q944" t="str">
            <v>アタッカー</v>
          </cell>
          <cell r="R944">
            <v>3</v>
          </cell>
          <cell r="S944" t="str">
            <v>NULL</v>
          </cell>
          <cell r="T944" t="str">
            <v>normal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  <cell r="N945" t="str">
            <v>ヒューマン</v>
          </cell>
          <cell r="O945" t="str">
            <v>none</v>
          </cell>
          <cell r="P945" t="str">
            <v>種族なし</v>
          </cell>
          <cell r="Q945" t="str">
            <v>アタッカー</v>
          </cell>
          <cell r="R945">
            <v>3</v>
          </cell>
          <cell r="S945" t="str">
            <v>NULL</v>
          </cell>
          <cell r="T945" t="str">
            <v>normal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  <cell r="N946" t="str">
            <v>アカデミア</v>
          </cell>
          <cell r="O946" t="str">
            <v>unknown</v>
          </cell>
          <cell r="P946" t="str">
            <v>Unknown</v>
          </cell>
          <cell r="Q946" t="str">
            <v>アタッカー</v>
          </cell>
          <cell r="R946">
            <v>1</v>
          </cell>
          <cell r="S946" t="str">
            <v>NULL</v>
          </cell>
          <cell r="T946" t="str">
            <v>normal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  <cell r="N947" t="str">
            <v>アカデミア</v>
          </cell>
          <cell r="O947" t="str">
            <v>unknown</v>
          </cell>
          <cell r="P947" t="str">
            <v>Unknown</v>
          </cell>
          <cell r="Q947" t="str">
            <v>アタッカー</v>
          </cell>
          <cell r="R947">
            <v>1</v>
          </cell>
          <cell r="S947" t="str">
            <v>NULL</v>
          </cell>
          <cell r="T947" t="str">
            <v>normal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  <cell r="N948" t="str">
            <v>ウェポン</v>
          </cell>
          <cell r="O948" t="str">
            <v>none</v>
          </cell>
          <cell r="P948" t="str">
            <v>種族なし</v>
          </cell>
          <cell r="Q948" t="str">
            <v>アタッカー</v>
          </cell>
          <cell r="R948">
            <v>3</v>
          </cell>
          <cell r="S948" t="str">
            <v>NULL</v>
          </cell>
          <cell r="T948" t="str">
            <v>normal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  <cell r="N949" t="str">
            <v>ウェポン</v>
          </cell>
          <cell r="O949" t="str">
            <v>none</v>
          </cell>
          <cell r="P949" t="str">
            <v>種族なし</v>
          </cell>
          <cell r="Q949" t="str">
            <v>アタッカー</v>
          </cell>
          <cell r="R949">
            <v>3</v>
          </cell>
          <cell r="S949" t="str">
            <v>NULL</v>
          </cell>
          <cell r="T949" t="str">
            <v>normal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  <cell r="N950" t="str">
            <v>ウェポン</v>
          </cell>
          <cell r="O950" t="str">
            <v>none</v>
          </cell>
          <cell r="P950" t="str">
            <v>種族なし</v>
          </cell>
          <cell r="Q950" t="str">
            <v>アタッカー</v>
          </cell>
          <cell r="R950">
            <v>3</v>
          </cell>
          <cell r="S950" t="str">
            <v>NULL</v>
          </cell>
          <cell r="T950" t="str">
            <v>normal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  <cell r="N951" t="str">
            <v>ウェポン</v>
          </cell>
          <cell r="O951" t="str">
            <v>none</v>
          </cell>
          <cell r="P951" t="str">
            <v>種族なし</v>
          </cell>
          <cell r="Q951" t="str">
            <v>アタッカー</v>
          </cell>
          <cell r="R951">
            <v>3</v>
          </cell>
          <cell r="S951" t="str">
            <v>NULL</v>
          </cell>
          <cell r="T951" t="str">
            <v>normal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  <cell r="N952" t="str">
            <v>ウェポン</v>
          </cell>
          <cell r="O952" t="str">
            <v>none</v>
          </cell>
          <cell r="P952" t="str">
            <v>種族なし</v>
          </cell>
          <cell r="Q952" t="str">
            <v>アタッカー</v>
          </cell>
          <cell r="R952">
            <v>3</v>
          </cell>
          <cell r="S952" t="str">
            <v>NULL</v>
          </cell>
          <cell r="T952" t="str">
            <v>normal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  <cell r="N953" t="str">
            <v>ウェポン</v>
          </cell>
          <cell r="O953" t="str">
            <v>none</v>
          </cell>
          <cell r="P953" t="str">
            <v>種族なし</v>
          </cell>
          <cell r="Q953" t="str">
            <v>アタッカー</v>
          </cell>
          <cell r="R953">
            <v>3</v>
          </cell>
          <cell r="S953" t="str">
            <v>NULL</v>
          </cell>
          <cell r="T953" t="str">
            <v>normal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  <cell r="N954" t="str">
            <v>アカデミア</v>
          </cell>
          <cell r="O954" t="str">
            <v>machine</v>
          </cell>
          <cell r="P954" t="str">
            <v>マシン</v>
          </cell>
          <cell r="Q954" t="str">
            <v>アタッカー</v>
          </cell>
          <cell r="R954">
            <v>3</v>
          </cell>
          <cell r="S954" t="str">
            <v>NULL</v>
          </cell>
          <cell r="T954" t="str">
            <v>normal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  <cell r="N955" t="str">
            <v>アカデミア</v>
          </cell>
          <cell r="O955" t="str">
            <v>machine</v>
          </cell>
          <cell r="P955" t="str">
            <v>マシン</v>
          </cell>
          <cell r="Q955" t="str">
            <v>アタッカー</v>
          </cell>
          <cell r="R955">
            <v>3</v>
          </cell>
          <cell r="S955" t="str">
            <v>NULL</v>
          </cell>
          <cell r="T955" t="str">
            <v>normal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  <cell r="N956" t="str">
            <v>アカデミア</v>
          </cell>
          <cell r="O956" t="str">
            <v>animal</v>
          </cell>
          <cell r="P956" t="str">
            <v>アニマル</v>
          </cell>
          <cell r="Q956" t="str">
            <v>アタッカー</v>
          </cell>
          <cell r="R956">
            <v>3</v>
          </cell>
          <cell r="S956" t="str">
            <v>NULL</v>
          </cell>
          <cell r="T956" t="str">
            <v>normal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  <cell r="N957" t="str">
            <v>アカデミア</v>
          </cell>
          <cell r="O957" t="str">
            <v>animal</v>
          </cell>
          <cell r="P957" t="str">
            <v>アニマル</v>
          </cell>
          <cell r="Q957" t="str">
            <v>アタッカー</v>
          </cell>
          <cell r="R957">
            <v>3</v>
          </cell>
          <cell r="S957" t="str">
            <v>NULL</v>
          </cell>
          <cell r="T957" t="str">
            <v>normal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  <cell r="N958" t="str">
            <v>アカデミア</v>
          </cell>
          <cell r="O958" t="str">
            <v>animal</v>
          </cell>
          <cell r="P958" t="str">
            <v>アニマル</v>
          </cell>
          <cell r="Q958" t="str">
            <v>アタッカー</v>
          </cell>
          <cell r="R958">
            <v>3</v>
          </cell>
          <cell r="S958" t="str">
            <v>NULL</v>
          </cell>
          <cell r="T958" t="str">
            <v>super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  <cell r="N959" t="str">
            <v>アカデミア</v>
          </cell>
          <cell r="O959" t="str">
            <v>animal</v>
          </cell>
          <cell r="P959" t="str">
            <v>アニマル</v>
          </cell>
          <cell r="Q959" t="str">
            <v>アタッカー</v>
          </cell>
          <cell r="R959">
            <v>3</v>
          </cell>
          <cell r="S959" t="str">
            <v>NULL</v>
          </cell>
          <cell r="T959" t="str">
            <v>normal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  <cell r="N960" t="str">
            <v>アカデミア</v>
          </cell>
          <cell r="O960" t="str">
            <v>animal</v>
          </cell>
          <cell r="P960" t="str">
            <v>アニマル</v>
          </cell>
          <cell r="Q960" t="str">
            <v>アタッカー</v>
          </cell>
          <cell r="R960">
            <v>3</v>
          </cell>
          <cell r="S960" t="str">
            <v>NULL</v>
          </cell>
          <cell r="T960" t="str">
            <v>normal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  <cell r="N961" t="str">
            <v>アカデミア</v>
          </cell>
          <cell r="O961" t="str">
            <v>animal</v>
          </cell>
          <cell r="P961" t="str">
            <v>アニマル</v>
          </cell>
          <cell r="Q961" t="str">
            <v>アタッカー</v>
          </cell>
          <cell r="R961">
            <v>3</v>
          </cell>
          <cell r="S961" t="str">
            <v>NULL</v>
          </cell>
          <cell r="T961" t="str">
            <v>super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  <cell r="N962" t="str">
            <v>ヒューマン</v>
          </cell>
          <cell r="O962" t="str">
            <v>none</v>
          </cell>
          <cell r="P962" t="str">
            <v>種族なし</v>
          </cell>
          <cell r="Q962" t="str">
            <v>アタッカー</v>
          </cell>
          <cell r="R962">
            <v>3</v>
          </cell>
          <cell r="S962" t="str">
            <v>NULL</v>
          </cell>
          <cell r="T962" t="str">
            <v>normal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  <cell r="N963" t="str">
            <v>ドラゴン</v>
          </cell>
          <cell r="O963" t="str">
            <v>none</v>
          </cell>
          <cell r="P963" t="str">
            <v>種族なし</v>
          </cell>
          <cell r="Q963" t="str">
            <v>アタッカー</v>
          </cell>
          <cell r="R963">
            <v>3</v>
          </cell>
          <cell r="S963" t="str">
            <v>NULL</v>
          </cell>
          <cell r="T963" t="str">
            <v>normal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  <cell r="N964" t="str">
            <v>ゴッド</v>
          </cell>
          <cell r="O964" t="str">
            <v>none</v>
          </cell>
          <cell r="P964" t="str">
            <v>種族なし</v>
          </cell>
          <cell r="Q964" t="str">
            <v>アタッカー</v>
          </cell>
          <cell r="R964">
            <v>3</v>
          </cell>
          <cell r="S964" t="str">
            <v>NULL</v>
          </cell>
          <cell r="T964" t="str">
            <v>normal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  <cell r="N965" t="str">
            <v>ドラゴン</v>
          </cell>
          <cell r="O965" t="str">
            <v>none</v>
          </cell>
          <cell r="P965" t="str">
            <v>種族なし</v>
          </cell>
          <cell r="Q965" t="str">
            <v>アタッカー</v>
          </cell>
          <cell r="R965">
            <v>3</v>
          </cell>
          <cell r="S965" t="str">
            <v>NULL</v>
          </cell>
          <cell r="T965" t="str">
            <v>normal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  <cell r="N966" t="str">
            <v>ドラゴン</v>
          </cell>
          <cell r="O966" t="str">
            <v>none</v>
          </cell>
          <cell r="P966" t="str">
            <v>種族なし</v>
          </cell>
          <cell r="Q966" t="str">
            <v>アタッカー</v>
          </cell>
          <cell r="R966">
            <v>3</v>
          </cell>
          <cell r="S966" t="str">
            <v>NULL</v>
          </cell>
          <cell r="T966" t="str">
            <v>normal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  <cell r="N967" t="str">
            <v>ヒューマン</v>
          </cell>
          <cell r="O967" t="str">
            <v>samurai</v>
          </cell>
          <cell r="P967" t="str">
            <v>サムライ</v>
          </cell>
          <cell r="Q967" t="str">
            <v>アタッカー</v>
          </cell>
          <cell r="R967">
            <v>3</v>
          </cell>
          <cell r="S967" t="str">
            <v>NULL</v>
          </cell>
          <cell r="T967" t="str">
            <v>normal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  <cell r="N968" t="str">
            <v>ヒューマン</v>
          </cell>
          <cell r="O968" t="str">
            <v>samurai</v>
          </cell>
          <cell r="P968" t="str">
            <v>サムライ</v>
          </cell>
          <cell r="Q968" t="str">
            <v>アタッカー</v>
          </cell>
          <cell r="R968">
            <v>3</v>
          </cell>
          <cell r="S968" t="str">
            <v>NULL</v>
          </cell>
          <cell r="T968" t="str">
            <v>normal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  <cell r="N969" t="str">
            <v>ゴッド</v>
          </cell>
          <cell r="O969" t="str">
            <v>none</v>
          </cell>
          <cell r="P969" t="str">
            <v>種族なし</v>
          </cell>
          <cell r="Q969" t="str">
            <v>アタッカー</v>
          </cell>
          <cell r="R969">
            <v>3</v>
          </cell>
          <cell r="S969" t="str">
            <v>NULL</v>
          </cell>
          <cell r="T969" t="str">
            <v>normal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  <cell r="N970" t="str">
            <v>マシン</v>
          </cell>
          <cell r="O970" t="str">
            <v>none</v>
          </cell>
          <cell r="P970" t="str">
            <v>種族なし</v>
          </cell>
          <cell r="Q970" t="str">
            <v>アタッカー</v>
          </cell>
          <cell r="R970">
            <v>3</v>
          </cell>
          <cell r="S970" t="str">
            <v>NULL</v>
          </cell>
          <cell r="T970" t="str">
            <v>normal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  <cell r="N971" t="str">
            <v>ヒューマン</v>
          </cell>
          <cell r="O971" t="str">
            <v>none</v>
          </cell>
          <cell r="P971" t="str">
            <v>種族なし</v>
          </cell>
          <cell r="Q971" t="str">
            <v>アタッカー</v>
          </cell>
          <cell r="R971">
            <v>3</v>
          </cell>
          <cell r="S971" t="str">
            <v>NULL</v>
          </cell>
          <cell r="T971" t="str">
            <v>normal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  <cell r="N972" t="str">
            <v>アニマル</v>
          </cell>
          <cell r="O972" t="str">
            <v>god</v>
          </cell>
          <cell r="P972" t="str">
            <v>ゴッド</v>
          </cell>
          <cell r="Q972" t="str">
            <v>アタッカー</v>
          </cell>
          <cell r="R972">
            <v>3</v>
          </cell>
          <cell r="S972" t="str">
            <v>NULL</v>
          </cell>
          <cell r="T972" t="str">
            <v>normal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  <cell r="N973" t="str">
            <v>アカデミア</v>
          </cell>
          <cell r="O973" t="str">
            <v>unknown</v>
          </cell>
          <cell r="P973" t="str">
            <v>Unknown</v>
          </cell>
          <cell r="Q973" t="str">
            <v>アタッカー</v>
          </cell>
          <cell r="R973">
            <v>3</v>
          </cell>
          <cell r="S973" t="str">
            <v>NULL</v>
          </cell>
          <cell r="T973" t="str">
            <v>normal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  <cell r="N974" t="str">
            <v>アカデミア</v>
          </cell>
          <cell r="O974" t="str">
            <v>unknown</v>
          </cell>
          <cell r="P974" t="str">
            <v>Unknown</v>
          </cell>
          <cell r="Q974" t="str">
            <v>アタッカー</v>
          </cell>
          <cell r="R974">
            <v>3</v>
          </cell>
          <cell r="S974" t="str">
            <v>NULL</v>
          </cell>
          <cell r="T974" t="str">
            <v>normal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  <cell r="N975" t="str">
            <v>アカデミア</v>
          </cell>
          <cell r="O975" t="str">
            <v>none</v>
          </cell>
          <cell r="P975" t="str">
            <v>種族なし</v>
          </cell>
          <cell r="Q975" t="str">
            <v>アタッカー</v>
          </cell>
          <cell r="R975">
            <v>3</v>
          </cell>
          <cell r="S975" t="str">
            <v>NULL</v>
          </cell>
          <cell r="T975" t="str">
            <v>normal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  <cell r="N976" t="str">
            <v>アカデミア</v>
          </cell>
          <cell r="O976" t="str">
            <v>none</v>
          </cell>
          <cell r="P976" t="str">
            <v>種族なし</v>
          </cell>
          <cell r="Q976" t="str">
            <v>アタッカー</v>
          </cell>
          <cell r="R976">
            <v>3</v>
          </cell>
          <cell r="S976" t="str">
            <v>NULL</v>
          </cell>
          <cell r="T976" t="str">
            <v>normal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  <cell r="N977" t="str">
            <v>Unknown</v>
          </cell>
          <cell r="O977" t="str">
            <v>human</v>
          </cell>
          <cell r="P977" t="str">
            <v>ヒューマン</v>
          </cell>
          <cell r="Q977" t="str">
            <v>アタッカー</v>
          </cell>
          <cell r="R977">
            <v>3</v>
          </cell>
          <cell r="S977" t="str">
            <v>enemy_only</v>
          </cell>
          <cell r="T977" t="str">
            <v>normal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  <cell r="N978" t="str">
            <v>ヒューマン</v>
          </cell>
          <cell r="O978" t="str">
            <v>none</v>
          </cell>
          <cell r="P978" t="str">
            <v>種族なし</v>
          </cell>
          <cell r="Q978" t="str">
            <v>アタッカー</v>
          </cell>
          <cell r="R978">
            <v>3</v>
          </cell>
          <cell r="S978" t="str">
            <v>NULL</v>
          </cell>
          <cell r="T978" t="str">
            <v>normal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  <cell r="N979" t="str">
            <v>ヒューマン</v>
          </cell>
          <cell r="O979" t="str">
            <v>none</v>
          </cell>
          <cell r="P979" t="str">
            <v>種族なし</v>
          </cell>
          <cell r="Q979" t="str">
            <v>アタッカー</v>
          </cell>
          <cell r="R979">
            <v>3</v>
          </cell>
          <cell r="S979" t="str">
            <v>NULL</v>
          </cell>
          <cell r="T979" t="str">
            <v>normal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  <cell r="N980" t="str">
            <v>Unknown</v>
          </cell>
          <cell r="O980" t="str">
            <v>none</v>
          </cell>
          <cell r="P980" t="str">
            <v>種族なし</v>
          </cell>
          <cell r="Q980" t="str">
            <v>アタッカー</v>
          </cell>
          <cell r="R980">
            <v>3</v>
          </cell>
          <cell r="S980" t="str">
            <v>NULL</v>
          </cell>
          <cell r="T980" t="str">
            <v>normal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  <cell r="N981" t="str">
            <v>Unknown</v>
          </cell>
          <cell r="O981" t="str">
            <v>none</v>
          </cell>
          <cell r="P981" t="str">
            <v>種族なし</v>
          </cell>
          <cell r="Q981" t="str">
            <v>アタッカー</v>
          </cell>
          <cell r="R981">
            <v>3</v>
          </cell>
          <cell r="S981" t="str">
            <v>NULL</v>
          </cell>
          <cell r="T981" t="str">
            <v>normal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  <cell r="N982" t="str">
            <v>Unknown</v>
          </cell>
          <cell r="O982" t="str">
            <v>none</v>
          </cell>
          <cell r="P982" t="str">
            <v>種族なし</v>
          </cell>
          <cell r="Q982" t="str">
            <v>アタッカー</v>
          </cell>
          <cell r="R982">
            <v>3</v>
          </cell>
          <cell r="S982" t="str">
            <v>NULL</v>
          </cell>
          <cell r="T982" t="str">
            <v>normal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  <cell r="N983" t="str">
            <v>Unknown</v>
          </cell>
          <cell r="O983" t="str">
            <v>none</v>
          </cell>
          <cell r="P983" t="str">
            <v>種族なし</v>
          </cell>
          <cell r="Q983" t="str">
            <v>アタッカー</v>
          </cell>
          <cell r="R983">
            <v>3</v>
          </cell>
          <cell r="S983" t="str">
            <v>NULL</v>
          </cell>
          <cell r="T983" t="str">
            <v>normal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  <cell r="N984" t="str">
            <v>Unknown</v>
          </cell>
          <cell r="O984" t="str">
            <v>none</v>
          </cell>
          <cell r="P984" t="str">
            <v>種族なし</v>
          </cell>
          <cell r="Q984" t="str">
            <v>アタッカー</v>
          </cell>
          <cell r="R984">
            <v>3</v>
          </cell>
          <cell r="S984" t="str">
            <v>NULL</v>
          </cell>
          <cell r="T984" t="str">
            <v>normal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  <cell r="N985" t="str">
            <v>Unknown</v>
          </cell>
          <cell r="O985" t="str">
            <v>none</v>
          </cell>
          <cell r="P985" t="str">
            <v>種族なし</v>
          </cell>
          <cell r="Q985" t="str">
            <v>アタッカー</v>
          </cell>
          <cell r="R985">
            <v>3</v>
          </cell>
          <cell r="S985" t="str">
            <v>NULL</v>
          </cell>
          <cell r="T985" t="str">
            <v>normal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  <cell r="N986" t="str">
            <v>ヒューマン</v>
          </cell>
          <cell r="O986" t="str">
            <v>machine</v>
          </cell>
          <cell r="P986" t="str">
            <v>マシン</v>
          </cell>
          <cell r="Q986" t="str">
            <v>アタッカー</v>
          </cell>
          <cell r="R986">
            <v>3</v>
          </cell>
          <cell r="S986" t="str">
            <v>NULL</v>
          </cell>
          <cell r="T986" t="str">
            <v>normal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  <cell r="N987" t="str">
            <v>ヒューマン</v>
          </cell>
          <cell r="O987" t="str">
            <v>machine</v>
          </cell>
          <cell r="P987" t="str">
            <v>マシン</v>
          </cell>
          <cell r="Q987" t="str">
            <v>アタッカー</v>
          </cell>
          <cell r="R987">
            <v>3</v>
          </cell>
          <cell r="S987" t="str">
            <v>NULL</v>
          </cell>
          <cell r="T987" t="str">
            <v>normal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  <cell r="N988" t="str">
            <v>Unknown</v>
          </cell>
          <cell r="O988" t="str">
            <v>none</v>
          </cell>
          <cell r="P988" t="str">
            <v>種族なし</v>
          </cell>
          <cell r="Q988" t="str">
            <v>アタッカー</v>
          </cell>
          <cell r="R988">
            <v>3</v>
          </cell>
          <cell r="S988" t="str">
            <v>NULL</v>
          </cell>
          <cell r="T988" t="str">
            <v>normal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  <cell r="N989" t="str">
            <v>ヒューマン</v>
          </cell>
          <cell r="O989" t="str">
            <v>machine</v>
          </cell>
          <cell r="P989" t="str">
            <v>マシン</v>
          </cell>
          <cell r="Q989" t="str">
            <v>アタッカー</v>
          </cell>
          <cell r="R989">
            <v>3</v>
          </cell>
          <cell r="S989" t="str">
            <v>NULL</v>
          </cell>
          <cell r="T989" t="str">
            <v>normal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  <cell r="N990" t="str">
            <v>ヒューマン</v>
          </cell>
          <cell r="O990" t="str">
            <v>machine</v>
          </cell>
          <cell r="P990" t="str">
            <v>マシン</v>
          </cell>
          <cell r="Q990" t="str">
            <v>アタッカー</v>
          </cell>
          <cell r="R990">
            <v>3</v>
          </cell>
          <cell r="S990" t="str">
            <v>NULL</v>
          </cell>
          <cell r="T990" t="str">
            <v>normal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  <cell r="N991" t="str">
            <v>ヒューマン</v>
          </cell>
          <cell r="O991" t="str">
            <v>machine</v>
          </cell>
          <cell r="P991" t="str">
            <v>マシン</v>
          </cell>
          <cell r="Q991" t="str">
            <v>アタッカー</v>
          </cell>
          <cell r="R991">
            <v>3</v>
          </cell>
          <cell r="S991" t="str">
            <v>NULL</v>
          </cell>
          <cell r="T991" t="str">
            <v>normal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  <cell r="N992" t="str">
            <v>ヒューマン</v>
          </cell>
          <cell r="O992" t="str">
            <v>machine</v>
          </cell>
          <cell r="P992" t="str">
            <v>マシン</v>
          </cell>
          <cell r="Q992" t="str">
            <v>アタッカー</v>
          </cell>
          <cell r="R992">
            <v>3</v>
          </cell>
          <cell r="S992" t="str">
            <v>NULL</v>
          </cell>
          <cell r="T992" t="str">
            <v>normal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  <cell r="N993" t="str">
            <v>ヒューマン</v>
          </cell>
          <cell r="O993" t="str">
            <v>machine</v>
          </cell>
          <cell r="P993" t="str">
            <v>マシン</v>
          </cell>
          <cell r="Q993" t="str">
            <v>アタッカー</v>
          </cell>
          <cell r="R993">
            <v>3</v>
          </cell>
          <cell r="S993" t="str">
            <v>NULL</v>
          </cell>
          <cell r="T993" t="str">
            <v>normal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  <cell r="N994" t="str">
            <v>ヒューマン</v>
          </cell>
          <cell r="O994" t="str">
            <v>machine</v>
          </cell>
          <cell r="P994" t="str">
            <v>マシン</v>
          </cell>
          <cell r="Q994" t="str">
            <v>アタッカー</v>
          </cell>
          <cell r="R994">
            <v>3</v>
          </cell>
          <cell r="S994" t="str">
            <v>NULL</v>
          </cell>
          <cell r="T994" t="str">
            <v>normal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  <cell r="N995" t="str">
            <v>ヒューマン</v>
          </cell>
          <cell r="O995" t="str">
            <v>machine</v>
          </cell>
          <cell r="P995" t="str">
            <v>マシン</v>
          </cell>
          <cell r="Q995" t="str">
            <v>アタッカー</v>
          </cell>
          <cell r="R995">
            <v>3</v>
          </cell>
          <cell r="S995" t="str">
            <v>NULL</v>
          </cell>
          <cell r="T995" t="str">
            <v>normal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  <cell r="N996" t="str">
            <v>ヒューマン</v>
          </cell>
          <cell r="O996" t="str">
            <v>machine</v>
          </cell>
          <cell r="P996" t="str">
            <v>マシン</v>
          </cell>
          <cell r="Q996" t="str">
            <v>アタッカー</v>
          </cell>
          <cell r="R996">
            <v>3</v>
          </cell>
          <cell r="S996" t="str">
            <v>NULL</v>
          </cell>
          <cell r="T996" t="str">
            <v>normal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  <cell r="N997" t="str">
            <v>ヒューマン</v>
          </cell>
          <cell r="O997" t="str">
            <v>machine</v>
          </cell>
          <cell r="P997" t="str">
            <v>マシン</v>
          </cell>
          <cell r="Q997" t="str">
            <v>アタッカー</v>
          </cell>
          <cell r="R997">
            <v>3</v>
          </cell>
          <cell r="S997" t="str">
            <v>NULL</v>
          </cell>
          <cell r="T997" t="str">
            <v>normal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  <cell r="N998" t="str">
            <v>ヒューマン</v>
          </cell>
          <cell r="O998" t="str">
            <v>machine</v>
          </cell>
          <cell r="P998" t="str">
            <v>マシン</v>
          </cell>
          <cell r="Q998" t="str">
            <v>アタッカー</v>
          </cell>
          <cell r="R998">
            <v>3</v>
          </cell>
          <cell r="S998" t="str">
            <v>NULL</v>
          </cell>
          <cell r="T998" t="str">
            <v>normal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  <cell r="N999" t="str">
            <v>ヒューマン</v>
          </cell>
          <cell r="O999" t="str">
            <v>machine</v>
          </cell>
          <cell r="P999" t="str">
            <v>マシン</v>
          </cell>
          <cell r="Q999" t="str">
            <v>アタッカー</v>
          </cell>
          <cell r="R999">
            <v>3</v>
          </cell>
          <cell r="S999" t="str">
            <v>NULL</v>
          </cell>
          <cell r="T999" t="str">
            <v>normal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  <cell r="N1000" t="str">
            <v>ヒューマン</v>
          </cell>
          <cell r="O1000" t="str">
            <v>machine</v>
          </cell>
          <cell r="P1000" t="str">
            <v>マシン</v>
          </cell>
          <cell r="Q1000" t="str">
            <v>アタッカー</v>
          </cell>
          <cell r="R1000">
            <v>3</v>
          </cell>
          <cell r="S1000" t="str">
            <v>NULL</v>
          </cell>
          <cell r="T1000" t="str">
            <v>normal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  <cell r="N1001" t="str">
            <v>ヒューマン</v>
          </cell>
          <cell r="O1001" t="str">
            <v>machine</v>
          </cell>
          <cell r="P1001" t="str">
            <v>マシン</v>
          </cell>
          <cell r="Q1001" t="str">
            <v>アタッカー</v>
          </cell>
          <cell r="R1001">
            <v>3</v>
          </cell>
          <cell r="S1001" t="str">
            <v>NULL</v>
          </cell>
          <cell r="T1001" t="str">
            <v>normal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  <cell r="N1002" t="str">
            <v>ヒューマン</v>
          </cell>
          <cell r="O1002" t="str">
            <v>machine</v>
          </cell>
          <cell r="P1002" t="str">
            <v>マシン</v>
          </cell>
          <cell r="Q1002" t="str">
            <v>アタッカー</v>
          </cell>
          <cell r="R1002">
            <v>3</v>
          </cell>
          <cell r="S1002" t="str">
            <v>NULL</v>
          </cell>
          <cell r="T1002" t="str">
            <v>normal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  <cell r="N1003" t="str">
            <v>ヒューマン</v>
          </cell>
          <cell r="O1003" t="str">
            <v>machine</v>
          </cell>
          <cell r="P1003" t="str">
            <v>マシン</v>
          </cell>
          <cell r="Q1003" t="str">
            <v>アタッカー</v>
          </cell>
          <cell r="R1003">
            <v>3</v>
          </cell>
          <cell r="S1003" t="str">
            <v>NULL</v>
          </cell>
          <cell r="T1003" t="str">
            <v>normal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  <cell r="N1004" t="str">
            <v>ヒューマン</v>
          </cell>
          <cell r="O1004" t="str">
            <v>machine</v>
          </cell>
          <cell r="P1004" t="str">
            <v>マシン</v>
          </cell>
          <cell r="Q1004" t="str">
            <v>アタッカー</v>
          </cell>
          <cell r="R1004">
            <v>3</v>
          </cell>
          <cell r="S1004" t="str">
            <v>NULL</v>
          </cell>
          <cell r="T1004" t="str">
            <v>normal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  <cell r="N1005" t="str">
            <v>アニマル</v>
          </cell>
          <cell r="O1005" t="str">
            <v>none</v>
          </cell>
          <cell r="P1005" t="str">
            <v>種族なし</v>
          </cell>
          <cell r="Q1005" t="str">
            <v>アタッカー</v>
          </cell>
          <cell r="R1005">
            <v>3</v>
          </cell>
          <cell r="S1005" t="str">
            <v>NULL</v>
          </cell>
          <cell r="T1005" t="str">
            <v>normal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  <cell r="N1006" t="str">
            <v>アニマル</v>
          </cell>
          <cell r="O1006" t="str">
            <v>none</v>
          </cell>
          <cell r="P1006" t="str">
            <v>種族なし</v>
          </cell>
          <cell r="Q1006" t="str">
            <v>アタッカー</v>
          </cell>
          <cell r="R1006">
            <v>3</v>
          </cell>
          <cell r="S1006" t="str">
            <v>NULL</v>
          </cell>
          <cell r="T1006" t="str">
            <v>normal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  <cell r="N1007" t="str">
            <v>ゴッド</v>
          </cell>
          <cell r="O1007" t="str">
            <v>animal</v>
          </cell>
          <cell r="P1007" t="str">
            <v>アニマル</v>
          </cell>
          <cell r="Q1007" t="str">
            <v>アタッカー</v>
          </cell>
          <cell r="R1007">
            <v>3</v>
          </cell>
          <cell r="S1007" t="str">
            <v>NULL</v>
          </cell>
          <cell r="T1007" t="str">
            <v>normal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  <cell r="N1008" t="str">
            <v>ゴッド</v>
          </cell>
          <cell r="O1008" t="str">
            <v>animal</v>
          </cell>
          <cell r="P1008" t="str">
            <v>アニマル</v>
          </cell>
          <cell r="Q1008" t="str">
            <v>アタッカー</v>
          </cell>
          <cell r="R1008">
            <v>3</v>
          </cell>
          <cell r="S1008" t="str">
            <v>NULL</v>
          </cell>
          <cell r="T1008" t="str">
            <v>normal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  <cell r="N1009" t="str">
            <v>ゴッド</v>
          </cell>
          <cell r="O1009" t="str">
            <v>unknown</v>
          </cell>
          <cell r="P1009" t="str">
            <v>Unknown</v>
          </cell>
          <cell r="Q1009" t="str">
            <v>アタッカー</v>
          </cell>
          <cell r="R1009">
            <v>3</v>
          </cell>
          <cell r="S1009" t="str">
            <v>NULL</v>
          </cell>
          <cell r="T1009" t="str">
            <v>normal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  <cell r="N1010" t="str">
            <v>ゴッド</v>
          </cell>
          <cell r="O1010" t="str">
            <v>unknown</v>
          </cell>
          <cell r="P1010" t="str">
            <v>Unknown</v>
          </cell>
          <cell r="Q1010" t="str">
            <v>アタッカー</v>
          </cell>
          <cell r="R1010">
            <v>3</v>
          </cell>
          <cell r="S1010" t="str">
            <v>NULL</v>
          </cell>
          <cell r="T1010" t="str">
            <v>normal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  <cell r="N1011" t="str">
            <v>ゴッド</v>
          </cell>
          <cell r="O1011" t="str">
            <v>unknown</v>
          </cell>
          <cell r="P1011" t="str">
            <v>Unknown</v>
          </cell>
          <cell r="Q1011" t="str">
            <v>アタッカー</v>
          </cell>
          <cell r="R1011">
            <v>3</v>
          </cell>
          <cell r="S1011" t="str">
            <v>NULL</v>
          </cell>
          <cell r="T1011" t="str">
            <v>normal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  <cell r="N1012" t="str">
            <v>ゴッド</v>
          </cell>
          <cell r="O1012" t="str">
            <v>unknown</v>
          </cell>
          <cell r="P1012" t="str">
            <v>Unknown</v>
          </cell>
          <cell r="Q1012" t="str">
            <v>アタッカー</v>
          </cell>
          <cell r="R1012">
            <v>3</v>
          </cell>
          <cell r="S1012" t="str">
            <v>NULL</v>
          </cell>
          <cell r="T1012" t="str">
            <v>normal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  <cell r="N1013" t="str">
            <v>ゴッド</v>
          </cell>
          <cell r="O1013" t="str">
            <v>animal</v>
          </cell>
          <cell r="P1013" t="str">
            <v>アニマル</v>
          </cell>
          <cell r="Q1013" t="str">
            <v>アタッカー</v>
          </cell>
          <cell r="R1013">
            <v>3</v>
          </cell>
          <cell r="S1013" t="str">
            <v>NULL</v>
          </cell>
          <cell r="T1013" t="str">
            <v>normal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  <cell r="N1014" t="str">
            <v>ゴッド</v>
          </cell>
          <cell r="O1014" t="str">
            <v>animal</v>
          </cell>
          <cell r="P1014" t="str">
            <v>アニマル</v>
          </cell>
          <cell r="Q1014" t="str">
            <v>アタッカー</v>
          </cell>
          <cell r="R1014">
            <v>3</v>
          </cell>
          <cell r="S1014" t="str">
            <v>NULL</v>
          </cell>
          <cell r="T1014" t="str">
            <v>normal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  <cell r="N1015" t="str">
            <v>ゴッド</v>
          </cell>
          <cell r="O1015" t="str">
            <v>animal</v>
          </cell>
          <cell r="P1015" t="str">
            <v>アニマル</v>
          </cell>
          <cell r="Q1015" t="str">
            <v>アタッカー</v>
          </cell>
          <cell r="R1015">
            <v>3</v>
          </cell>
          <cell r="S1015" t="str">
            <v>NULL</v>
          </cell>
          <cell r="T1015" t="str">
            <v>normal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  <cell r="N1016" t="str">
            <v>ゴッド</v>
          </cell>
          <cell r="O1016" t="str">
            <v>animal</v>
          </cell>
          <cell r="P1016" t="str">
            <v>アニマル</v>
          </cell>
          <cell r="Q1016" t="str">
            <v>アタッカー</v>
          </cell>
          <cell r="R1016">
            <v>3</v>
          </cell>
          <cell r="S1016" t="str">
            <v>NULL</v>
          </cell>
          <cell r="T1016" t="str">
            <v>normal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  <cell r="N1017" t="str">
            <v>ゴッド</v>
          </cell>
          <cell r="O1017" t="str">
            <v>animal</v>
          </cell>
          <cell r="P1017" t="str">
            <v>アニマル</v>
          </cell>
          <cell r="Q1017" t="str">
            <v>アタッカー</v>
          </cell>
          <cell r="R1017">
            <v>3</v>
          </cell>
          <cell r="S1017" t="str">
            <v>NULL</v>
          </cell>
          <cell r="T1017" t="str">
            <v>normal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  <cell r="N1018" t="str">
            <v>ゴッド</v>
          </cell>
          <cell r="O1018" t="str">
            <v>animal</v>
          </cell>
          <cell r="P1018" t="str">
            <v>アニマル</v>
          </cell>
          <cell r="Q1018" t="str">
            <v>アタッカー</v>
          </cell>
          <cell r="R1018">
            <v>3</v>
          </cell>
          <cell r="S1018" t="str">
            <v>NULL</v>
          </cell>
          <cell r="T1018" t="str">
            <v>normal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  <cell r="N1019" t="str">
            <v>ゴッド</v>
          </cell>
          <cell r="O1019" t="str">
            <v>animal</v>
          </cell>
          <cell r="P1019" t="str">
            <v>アニマル</v>
          </cell>
          <cell r="Q1019" t="str">
            <v>アタッカー</v>
          </cell>
          <cell r="R1019">
            <v>3</v>
          </cell>
          <cell r="S1019" t="str">
            <v>NULL</v>
          </cell>
          <cell r="T1019" t="str">
            <v>normal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  <cell r="N1020" t="str">
            <v>ゴッド</v>
          </cell>
          <cell r="O1020" t="str">
            <v>animal</v>
          </cell>
          <cell r="P1020" t="str">
            <v>アニマル</v>
          </cell>
          <cell r="Q1020" t="str">
            <v>アタッカー</v>
          </cell>
          <cell r="R1020">
            <v>3</v>
          </cell>
          <cell r="S1020" t="str">
            <v>NULL</v>
          </cell>
          <cell r="T1020" t="str">
            <v>normal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  <cell r="N1021" t="str">
            <v>ヒューマン</v>
          </cell>
          <cell r="O1021" t="str">
            <v>none</v>
          </cell>
          <cell r="P1021" t="str">
            <v>種族なし</v>
          </cell>
          <cell r="Q1021" t="str">
            <v>アタッカー</v>
          </cell>
          <cell r="R1021">
            <v>3</v>
          </cell>
          <cell r="S1021" t="str">
            <v>NULL</v>
          </cell>
          <cell r="T1021" t="str">
            <v>normal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  <cell r="N1022" t="str">
            <v>ヒューマン</v>
          </cell>
          <cell r="O1022" t="str">
            <v>none</v>
          </cell>
          <cell r="P1022" t="str">
            <v>種族なし</v>
          </cell>
          <cell r="Q1022" t="str">
            <v>アタッカー</v>
          </cell>
          <cell r="R1022">
            <v>3</v>
          </cell>
          <cell r="S1022" t="str">
            <v>NULL</v>
          </cell>
          <cell r="T1022" t="str">
            <v>normal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  <cell r="N1023" t="str">
            <v>ヒューマン</v>
          </cell>
          <cell r="O1023" t="str">
            <v>samurai</v>
          </cell>
          <cell r="P1023" t="str">
            <v>サムライ</v>
          </cell>
          <cell r="Q1023" t="str">
            <v>アタッカー</v>
          </cell>
          <cell r="R1023">
            <v>3</v>
          </cell>
          <cell r="S1023" t="str">
            <v>NULL</v>
          </cell>
          <cell r="T1023" t="str">
            <v>normal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  <cell r="N1024" t="str">
            <v>ヒューマン</v>
          </cell>
          <cell r="O1024" t="str">
            <v>samurai</v>
          </cell>
          <cell r="P1024" t="str">
            <v>サムライ</v>
          </cell>
          <cell r="Q1024" t="str">
            <v>アタッカー</v>
          </cell>
          <cell r="R1024">
            <v>3</v>
          </cell>
          <cell r="S1024" t="str">
            <v>NULL</v>
          </cell>
          <cell r="T1024" t="str">
            <v>normal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  <cell r="N1025" t="str">
            <v>ヒューマン</v>
          </cell>
          <cell r="O1025" t="str">
            <v>samurai</v>
          </cell>
          <cell r="P1025" t="str">
            <v>サムライ</v>
          </cell>
          <cell r="Q1025" t="str">
            <v>アタッカー</v>
          </cell>
          <cell r="R1025">
            <v>3</v>
          </cell>
          <cell r="S1025" t="str">
            <v>NULL</v>
          </cell>
          <cell r="T1025" t="str">
            <v>normal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  <cell r="N1026" t="str">
            <v>ヒューマン</v>
          </cell>
          <cell r="O1026" t="str">
            <v>samurai</v>
          </cell>
          <cell r="P1026" t="str">
            <v>サムライ</v>
          </cell>
          <cell r="Q1026" t="str">
            <v>アタッカー</v>
          </cell>
          <cell r="R1026">
            <v>3</v>
          </cell>
          <cell r="S1026" t="str">
            <v>NULL</v>
          </cell>
          <cell r="T1026" t="str">
            <v>normal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  <cell r="N1027" t="str">
            <v>ヒューマン</v>
          </cell>
          <cell r="O1027" t="str">
            <v>none</v>
          </cell>
          <cell r="P1027" t="str">
            <v>種族なし</v>
          </cell>
          <cell r="Q1027" t="str">
            <v>アタッカー</v>
          </cell>
          <cell r="R1027">
            <v>3</v>
          </cell>
          <cell r="S1027" t="str">
            <v>NULL</v>
          </cell>
          <cell r="T1027" t="str">
            <v>normal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  <cell r="N1028" t="str">
            <v>ヒューマン</v>
          </cell>
          <cell r="O1028" t="str">
            <v>none</v>
          </cell>
          <cell r="P1028" t="str">
            <v>種族なし</v>
          </cell>
          <cell r="Q1028" t="str">
            <v>アタッカー</v>
          </cell>
          <cell r="R1028">
            <v>3</v>
          </cell>
          <cell r="S1028" t="str">
            <v>NULL</v>
          </cell>
          <cell r="T1028" t="str">
            <v>normal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  <cell r="N1029" t="str">
            <v>ヒューマン</v>
          </cell>
          <cell r="O1029" t="str">
            <v>samurai</v>
          </cell>
          <cell r="P1029" t="str">
            <v>サムライ</v>
          </cell>
          <cell r="Q1029" t="str">
            <v>アタッカー</v>
          </cell>
          <cell r="R1029">
            <v>3</v>
          </cell>
          <cell r="S1029" t="str">
            <v>NULL</v>
          </cell>
          <cell r="T1029" t="str">
            <v>normal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  <cell r="N1030" t="str">
            <v>ヒューマン</v>
          </cell>
          <cell r="O1030" t="str">
            <v>samurai</v>
          </cell>
          <cell r="P1030" t="str">
            <v>サムライ</v>
          </cell>
          <cell r="Q1030" t="str">
            <v>アタッカー</v>
          </cell>
          <cell r="R1030">
            <v>3</v>
          </cell>
          <cell r="S1030" t="str">
            <v>NULL</v>
          </cell>
          <cell r="T1030" t="str">
            <v>normal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  <cell r="N1031" t="str">
            <v>ヒューマン</v>
          </cell>
          <cell r="O1031" t="str">
            <v>samurai</v>
          </cell>
          <cell r="P1031" t="str">
            <v>サムライ</v>
          </cell>
          <cell r="Q1031" t="str">
            <v>アタッカー</v>
          </cell>
          <cell r="R1031">
            <v>1</v>
          </cell>
          <cell r="S1031" t="str">
            <v>NULL</v>
          </cell>
          <cell r="T1031" t="str">
            <v>normal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  <cell r="N1032" t="str">
            <v>ヒューマン</v>
          </cell>
          <cell r="O1032" t="str">
            <v>none</v>
          </cell>
          <cell r="P1032" t="str">
            <v>種族なし</v>
          </cell>
          <cell r="Q1032" t="str">
            <v>アタッカー</v>
          </cell>
          <cell r="R1032">
            <v>3</v>
          </cell>
          <cell r="S1032" t="str">
            <v>NULL</v>
          </cell>
          <cell r="T1032" t="str">
            <v>normal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  <cell r="N1033" t="str">
            <v>ヒューマン</v>
          </cell>
          <cell r="O1033" t="str">
            <v>none</v>
          </cell>
          <cell r="P1033" t="str">
            <v>種族なし</v>
          </cell>
          <cell r="Q1033" t="str">
            <v>アタッカー</v>
          </cell>
          <cell r="R1033">
            <v>3</v>
          </cell>
          <cell r="S1033" t="str">
            <v>NULL</v>
          </cell>
          <cell r="T1033" t="str">
            <v>normal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  <cell r="N1034" t="str">
            <v>ヒューマン</v>
          </cell>
          <cell r="O1034" t="str">
            <v>none</v>
          </cell>
          <cell r="P1034" t="str">
            <v>種族なし</v>
          </cell>
          <cell r="Q1034" t="str">
            <v>アタッカー</v>
          </cell>
          <cell r="R1034">
            <v>3</v>
          </cell>
          <cell r="S1034" t="str">
            <v>NULL</v>
          </cell>
          <cell r="T1034" t="str">
            <v>normal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  <cell r="N1035" t="str">
            <v>ヒューマン</v>
          </cell>
          <cell r="O1035" t="str">
            <v>none</v>
          </cell>
          <cell r="P1035" t="str">
            <v>種族なし</v>
          </cell>
          <cell r="Q1035" t="str">
            <v>アタッカー</v>
          </cell>
          <cell r="R1035">
            <v>3</v>
          </cell>
          <cell r="S1035" t="str">
            <v>NULL</v>
          </cell>
          <cell r="T1035" t="str">
            <v>normal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  <cell r="N1036" t="str">
            <v>アニマル</v>
          </cell>
          <cell r="O1036" t="str">
            <v>unknown</v>
          </cell>
          <cell r="P1036" t="str">
            <v>Unknown</v>
          </cell>
          <cell r="Q1036" t="str">
            <v>アタッカー</v>
          </cell>
          <cell r="R1036">
            <v>3</v>
          </cell>
          <cell r="S1036" t="str">
            <v>NULL</v>
          </cell>
          <cell r="T1036" t="str">
            <v>normal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  <cell r="N1037" t="str">
            <v>アニマル</v>
          </cell>
          <cell r="O1037" t="str">
            <v>unknown</v>
          </cell>
          <cell r="P1037" t="str">
            <v>Unknown</v>
          </cell>
          <cell r="Q1037" t="str">
            <v>アタッカー</v>
          </cell>
          <cell r="R1037">
            <v>3</v>
          </cell>
          <cell r="S1037" t="str">
            <v>NULL</v>
          </cell>
          <cell r="T1037" t="str">
            <v>normal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  <cell r="N1038" t="str">
            <v>Unknown</v>
          </cell>
          <cell r="O1038" t="str">
            <v>none</v>
          </cell>
          <cell r="P1038" t="str">
            <v>種族なし</v>
          </cell>
          <cell r="Q1038" t="str">
            <v>アタッカー</v>
          </cell>
          <cell r="R1038">
            <v>3</v>
          </cell>
          <cell r="S1038" t="str">
            <v>NULL</v>
          </cell>
          <cell r="T1038" t="str">
            <v>normal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  <cell r="N1039" t="str">
            <v>Unknown</v>
          </cell>
          <cell r="O1039" t="str">
            <v>none</v>
          </cell>
          <cell r="P1039" t="str">
            <v>種族なし</v>
          </cell>
          <cell r="Q1039" t="str">
            <v>アタッカー</v>
          </cell>
          <cell r="R1039">
            <v>3</v>
          </cell>
          <cell r="S1039" t="str">
            <v>NULL</v>
          </cell>
          <cell r="T1039" t="str">
            <v>normal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  <cell r="N1040" t="str">
            <v>アカデミア</v>
          </cell>
          <cell r="O1040" t="str">
            <v>unknown</v>
          </cell>
          <cell r="P1040" t="str">
            <v>Unknown</v>
          </cell>
          <cell r="Q1040" t="str">
            <v>アタッカー</v>
          </cell>
          <cell r="R1040">
            <v>3</v>
          </cell>
          <cell r="S1040" t="str">
            <v>NULL</v>
          </cell>
          <cell r="T1040" t="str">
            <v>normal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  <cell r="N1041" t="str">
            <v>アカデミア</v>
          </cell>
          <cell r="O1041" t="str">
            <v>unknown</v>
          </cell>
          <cell r="P1041" t="str">
            <v>Unknown</v>
          </cell>
          <cell r="Q1041" t="str">
            <v>アタッカー</v>
          </cell>
          <cell r="R1041">
            <v>3</v>
          </cell>
          <cell r="S1041" t="str">
            <v>NULL</v>
          </cell>
          <cell r="T1041" t="str">
            <v>normal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  <cell r="N1042" t="str">
            <v>ゴッド</v>
          </cell>
          <cell r="O1042" t="str">
            <v>none</v>
          </cell>
          <cell r="P1042" t="str">
            <v>種族なし</v>
          </cell>
          <cell r="Q1042" t="str">
            <v>アタッカー</v>
          </cell>
          <cell r="R1042">
            <v>3</v>
          </cell>
          <cell r="S1042" t="str">
            <v>NULL</v>
          </cell>
          <cell r="T1042" t="str">
            <v>normal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  <cell r="N1043" t="str">
            <v>ゴッド</v>
          </cell>
          <cell r="O1043" t="str">
            <v>none</v>
          </cell>
          <cell r="P1043" t="str">
            <v>種族なし</v>
          </cell>
          <cell r="Q1043" t="str">
            <v>アタッカー</v>
          </cell>
          <cell r="R1043">
            <v>3</v>
          </cell>
          <cell r="S1043" t="str">
            <v>NULL</v>
          </cell>
          <cell r="T1043" t="str">
            <v>normal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  <cell r="N1044" t="str">
            <v>ゴッド</v>
          </cell>
          <cell r="O1044" t="str">
            <v>none</v>
          </cell>
          <cell r="P1044" t="str">
            <v>種族なし</v>
          </cell>
          <cell r="Q1044" t="str">
            <v>アタッカー</v>
          </cell>
          <cell r="R1044">
            <v>3</v>
          </cell>
          <cell r="S1044" t="str">
            <v>NULL</v>
          </cell>
          <cell r="T1044" t="str">
            <v>normal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  <cell r="N1045" t="str">
            <v>ゴッド</v>
          </cell>
          <cell r="O1045" t="str">
            <v>none</v>
          </cell>
          <cell r="P1045" t="str">
            <v>種族なし</v>
          </cell>
          <cell r="Q1045" t="str">
            <v>アタッカー</v>
          </cell>
          <cell r="R1045">
            <v>3</v>
          </cell>
          <cell r="S1045" t="str">
            <v>NULL</v>
          </cell>
          <cell r="T1045" t="str">
            <v>normal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  <cell r="N1046" t="str">
            <v>アカデミア</v>
          </cell>
          <cell r="O1046" t="str">
            <v>animal</v>
          </cell>
          <cell r="P1046" t="str">
            <v>アニマル</v>
          </cell>
          <cell r="Q1046" t="str">
            <v>アタッカー</v>
          </cell>
          <cell r="R1046">
            <v>3</v>
          </cell>
          <cell r="S1046" t="str">
            <v>NULL</v>
          </cell>
          <cell r="T1046" t="str">
            <v>normal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  <cell r="N1047" t="str">
            <v>アニマル</v>
          </cell>
          <cell r="O1047" t="str">
            <v>none</v>
          </cell>
          <cell r="P1047" t="str">
            <v>種族なし</v>
          </cell>
          <cell r="Q1047" t="str">
            <v>アタッカー</v>
          </cell>
          <cell r="R1047">
            <v>3</v>
          </cell>
          <cell r="S1047" t="str">
            <v>NULL</v>
          </cell>
          <cell r="T1047" t="str">
            <v>normal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  <cell r="N1048" t="str">
            <v>アカデミア</v>
          </cell>
          <cell r="O1048" t="str">
            <v>human</v>
          </cell>
          <cell r="P1048" t="str">
            <v>ヒューマン</v>
          </cell>
          <cell r="Q1048" t="str">
            <v>アタッカー</v>
          </cell>
          <cell r="R1048">
            <v>3</v>
          </cell>
          <cell r="S1048" t="str">
            <v>NULL</v>
          </cell>
          <cell r="T1048" t="str">
            <v>normal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  <cell r="N1049" t="str">
            <v>ドラゴン</v>
          </cell>
          <cell r="O1049" t="str">
            <v>none</v>
          </cell>
          <cell r="P1049" t="str">
            <v>種族なし</v>
          </cell>
          <cell r="Q1049" t="str">
            <v>アタッカー</v>
          </cell>
          <cell r="R1049">
            <v>3</v>
          </cell>
          <cell r="S1049" t="str">
            <v>NULL</v>
          </cell>
          <cell r="T1049" t="str">
            <v>normal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  <cell r="N1050" t="str">
            <v>アカデミア</v>
          </cell>
          <cell r="O1050" t="str">
            <v>machine</v>
          </cell>
          <cell r="P1050" t="str">
            <v>マシン</v>
          </cell>
          <cell r="Q1050" t="str">
            <v>アタッカー</v>
          </cell>
          <cell r="R1050">
            <v>3</v>
          </cell>
          <cell r="S1050" t="str">
            <v>NULL</v>
          </cell>
          <cell r="T1050" t="str">
            <v>normal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  <cell r="N1051" t="str">
            <v>ゴッド</v>
          </cell>
          <cell r="O1051" t="str">
            <v>none</v>
          </cell>
          <cell r="P1051" t="str">
            <v>種族なし</v>
          </cell>
          <cell r="Q1051" t="str">
            <v>アタッカー</v>
          </cell>
          <cell r="R1051">
            <v>3</v>
          </cell>
          <cell r="S1051" t="str">
            <v>NULL</v>
          </cell>
          <cell r="T1051" t="str">
            <v>normal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  <cell r="N1052" t="str">
            <v>アカデミア</v>
          </cell>
          <cell r="O1052" t="str">
            <v>human</v>
          </cell>
          <cell r="P1052" t="str">
            <v>ヒューマン</v>
          </cell>
          <cell r="Q1052" t="str">
            <v>アタッカー</v>
          </cell>
          <cell r="R1052">
            <v>3</v>
          </cell>
          <cell r="S1052" t="str">
            <v>NULL</v>
          </cell>
          <cell r="T1052" t="str">
            <v>normal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  <cell r="N1053" t="str">
            <v>ゴッド</v>
          </cell>
          <cell r="O1053" t="str">
            <v>none</v>
          </cell>
          <cell r="P1053" t="str">
            <v>種族なし</v>
          </cell>
          <cell r="Q1053" t="str">
            <v>アタッカー</v>
          </cell>
          <cell r="R1053">
            <v>3</v>
          </cell>
          <cell r="S1053" t="str">
            <v>NULL</v>
          </cell>
          <cell r="T1053" t="str">
            <v>normal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  <cell r="N1054" t="str">
            <v>ゴッド</v>
          </cell>
          <cell r="O1054" t="str">
            <v>none</v>
          </cell>
          <cell r="P1054" t="str">
            <v>種族なし</v>
          </cell>
          <cell r="Q1054" t="str">
            <v>アタッカー</v>
          </cell>
          <cell r="R1054">
            <v>3</v>
          </cell>
          <cell r="S1054" t="str">
            <v>NULL</v>
          </cell>
          <cell r="T1054" t="str">
            <v>normal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  <cell r="N1055" t="str">
            <v>ゴッド</v>
          </cell>
          <cell r="O1055" t="str">
            <v>none</v>
          </cell>
          <cell r="P1055" t="str">
            <v>種族なし</v>
          </cell>
          <cell r="Q1055" t="str">
            <v>アタッカー</v>
          </cell>
          <cell r="R1055">
            <v>3</v>
          </cell>
          <cell r="S1055" t="str">
            <v>NULL</v>
          </cell>
          <cell r="T1055" t="str">
            <v>normal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  <cell r="N1056" t="str">
            <v>デーモン</v>
          </cell>
          <cell r="O1056" t="str">
            <v>none</v>
          </cell>
          <cell r="P1056" t="str">
            <v>種族なし</v>
          </cell>
          <cell r="Q1056" t="str">
            <v>アタッカー</v>
          </cell>
          <cell r="R1056">
            <v>3</v>
          </cell>
          <cell r="S1056" t="str">
            <v>NULL</v>
          </cell>
          <cell r="T1056" t="str">
            <v>super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  <cell r="N1057" t="str">
            <v>デーモン</v>
          </cell>
          <cell r="O1057" t="str">
            <v>none</v>
          </cell>
          <cell r="P1057" t="str">
            <v>種族なし</v>
          </cell>
          <cell r="Q1057" t="str">
            <v>アタッカー</v>
          </cell>
          <cell r="R1057">
            <v>3</v>
          </cell>
          <cell r="S1057" t="str">
            <v>NULL</v>
          </cell>
          <cell r="T1057" t="str">
            <v>super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  <cell r="N1058" t="str">
            <v>デーモン</v>
          </cell>
          <cell r="O1058" t="str">
            <v>none</v>
          </cell>
          <cell r="P1058" t="str">
            <v>種族なし</v>
          </cell>
          <cell r="Q1058" t="str">
            <v>アタッカー</v>
          </cell>
          <cell r="R1058">
            <v>3</v>
          </cell>
          <cell r="S1058" t="str">
            <v>NULL</v>
          </cell>
          <cell r="T1058" t="str">
            <v>super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  <cell r="N1059" t="str">
            <v>ゴッド</v>
          </cell>
          <cell r="O1059" t="str">
            <v>none</v>
          </cell>
          <cell r="P1059" t="str">
            <v>種族なし</v>
          </cell>
          <cell r="Q1059" t="str">
            <v>アタッカー</v>
          </cell>
          <cell r="R1059">
            <v>3</v>
          </cell>
          <cell r="S1059" t="str">
            <v>NULL</v>
          </cell>
          <cell r="T1059" t="str">
            <v>super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  <cell r="N1060" t="str">
            <v>ゴッド</v>
          </cell>
          <cell r="O1060" t="str">
            <v>animal</v>
          </cell>
          <cell r="P1060" t="str">
            <v>アニマル</v>
          </cell>
          <cell r="Q1060" t="str">
            <v>アタッカー</v>
          </cell>
          <cell r="R1060">
            <v>3</v>
          </cell>
          <cell r="S1060" t="str">
            <v>NULL</v>
          </cell>
          <cell r="T1060" t="str">
            <v>nomal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  <cell r="N1061" t="str">
            <v>ゴッド</v>
          </cell>
          <cell r="O1061" t="str">
            <v>animal</v>
          </cell>
          <cell r="P1061" t="str">
            <v>アニマル</v>
          </cell>
          <cell r="Q1061" t="str">
            <v>アタッカー</v>
          </cell>
          <cell r="R1061">
            <v>3</v>
          </cell>
          <cell r="S1061" t="str">
            <v>NULL</v>
          </cell>
          <cell r="T1061" t="str">
            <v>nomal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  <cell r="N1062" t="str">
            <v>アニマル</v>
          </cell>
          <cell r="O1062" t="str">
            <v>machine</v>
          </cell>
          <cell r="P1062" t="str">
            <v>マシン</v>
          </cell>
          <cell r="Q1062" t="str">
            <v>アタッカー</v>
          </cell>
          <cell r="R1062">
            <v>3</v>
          </cell>
          <cell r="S1062" t="str">
            <v>NULL</v>
          </cell>
          <cell r="T1062" t="str">
            <v>nomal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  <cell r="N1063" t="str">
            <v>アニマル</v>
          </cell>
          <cell r="O1063" t="str">
            <v>machine</v>
          </cell>
          <cell r="P1063" t="str">
            <v>マシン</v>
          </cell>
          <cell r="Q1063" t="str">
            <v>アタッカー</v>
          </cell>
          <cell r="R1063">
            <v>3</v>
          </cell>
          <cell r="S1063" t="str">
            <v>NULL</v>
          </cell>
          <cell r="T1063" t="str">
            <v>nomal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  <cell r="N1064" t="str">
            <v>ゴッド</v>
          </cell>
          <cell r="O1064" t="str">
            <v>dragon</v>
          </cell>
          <cell r="P1064" t="str">
            <v>ドラゴン</v>
          </cell>
          <cell r="Q1064" t="str">
            <v>アタッカー</v>
          </cell>
          <cell r="R1064">
            <v>3</v>
          </cell>
          <cell r="S1064" t="str">
            <v>NULL</v>
          </cell>
          <cell r="T1064" t="str">
            <v>nomal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  <cell r="N1065" t="str">
            <v>ゴッド</v>
          </cell>
          <cell r="O1065" t="str">
            <v>dragon</v>
          </cell>
          <cell r="P1065" t="str">
            <v>ドラゴン</v>
          </cell>
          <cell r="Q1065" t="str">
            <v>アタッカー</v>
          </cell>
          <cell r="R1065">
            <v>3</v>
          </cell>
          <cell r="S1065" t="str">
            <v>NULL</v>
          </cell>
          <cell r="T1065" t="str">
            <v>nomal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  <cell r="N1066" t="str">
            <v>ゴッド</v>
          </cell>
          <cell r="O1066" t="str">
            <v>human</v>
          </cell>
          <cell r="P1066" t="str">
            <v>ヒューマン</v>
          </cell>
          <cell r="Q1066" t="str">
            <v>アタッカー</v>
          </cell>
          <cell r="R1066">
            <v>3</v>
          </cell>
          <cell r="S1066" t="str">
            <v>NULL</v>
          </cell>
          <cell r="T1066" t="str">
            <v>nomal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  <cell r="N1067" t="str">
            <v>ゴッド</v>
          </cell>
          <cell r="O1067" t="str">
            <v>human</v>
          </cell>
          <cell r="P1067" t="str">
            <v>ヒューマン</v>
          </cell>
          <cell r="Q1067" t="str">
            <v>アタッカー</v>
          </cell>
          <cell r="R1067">
            <v>3</v>
          </cell>
          <cell r="S1067" t="str">
            <v>NULL</v>
          </cell>
          <cell r="T1067" t="str">
            <v>nomal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  <cell r="N1068" t="str">
            <v>ドラゴン</v>
          </cell>
          <cell r="O1068" t="str">
            <v>animal</v>
          </cell>
          <cell r="P1068" t="str">
            <v>アニマル</v>
          </cell>
          <cell r="Q1068" t="str">
            <v>アタッカー</v>
          </cell>
          <cell r="R1068">
            <v>3</v>
          </cell>
          <cell r="S1068" t="str">
            <v>NULL</v>
          </cell>
          <cell r="T1068" t="str">
            <v>nomal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  <cell r="N1069" t="str">
            <v>ドラゴン</v>
          </cell>
          <cell r="O1069" t="str">
            <v>animal</v>
          </cell>
          <cell r="P1069" t="str">
            <v>アニマル</v>
          </cell>
          <cell r="Q1069" t="str">
            <v>アタッカー</v>
          </cell>
          <cell r="R1069">
            <v>3</v>
          </cell>
          <cell r="S1069" t="str">
            <v>NULL</v>
          </cell>
          <cell r="T1069" t="str">
            <v>nomal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  <cell r="N1070" t="str">
            <v>ゴッド</v>
          </cell>
          <cell r="O1070" t="str">
            <v>none</v>
          </cell>
          <cell r="P1070" t="str">
            <v>種族なし</v>
          </cell>
          <cell r="Q1070" t="str">
            <v>アタッカー</v>
          </cell>
          <cell r="R1070">
            <v>3</v>
          </cell>
          <cell r="S1070" t="str">
            <v>NULL</v>
          </cell>
          <cell r="T1070" t="str">
            <v>nomal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  <cell r="N1071" t="str">
            <v>ゴッド</v>
          </cell>
          <cell r="O1071" t="str">
            <v>none</v>
          </cell>
          <cell r="P1071" t="str">
            <v>種族なし</v>
          </cell>
          <cell r="Q1071" t="str">
            <v>アタッカー</v>
          </cell>
          <cell r="R1071">
            <v>3</v>
          </cell>
          <cell r="S1071" t="str">
            <v>NULL</v>
          </cell>
          <cell r="T1071" t="str">
            <v>nomal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  <cell r="N1072" t="str">
            <v>ゴッド</v>
          </cell>
          <cell r="O1072" t="str">
            <v>none</v>
          </cell>
          <cell r="P1072" t="str">
            <v>種族なし</v>
          </cell>
          <cell r="Q1072" t="str">
            <v>アタッカー</v>
          </cell>
          <cell r="R1072">
            <v>1</v>
          </cell>
          <cell r="S1072" t="str">
            <v>NULL</v>
          </cell>
          <cell r="T1072" t="str">
            <v>nomal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  <cell r="N1073" t="str">
            <v>ヒューマン</v>
          </cell>
          <cell r="O1073" t="str">
            <v>animal</v>
          </cell>
          <cell r="P1073" t="str">
            <v>アニマル</v>
          </cell>
          <cell r="Q1073" t="str">
            <v>アタッカー</v>
          </cell>
          <cell r="R1073">
            <v>3</v>
          </cell>
          <cell r="S1073" t="str">
            <v>NULL</v>
          </cell>
          <cell r="T1073" t="str">
            <v>nomal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  <cell r="N1074" t="str">
            <v>ヒューマン</v>
          </cell>
          <cell r="O1074" t="str">
            <v>animal</v>
          </cell>
          <cell r="P1074" t="str">
            <v>アニマル</v>
          </cell>
          <cell r="Q1074" t="str">
            <v>アタッカー</v>
          </cell>
          <cell r="R1074">
            <v>3</v>
          </cell>
          <cell r="S1074" t="str">
            <v>NULL</v>
          </cell>
          <cell r="T1074" t="str">
            <v>nomal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  <cell r="N1075" t="str">
            <v>ゴッド</v>
          </cell>
          <cell r="O1075" t="str">
            <v>none</v>
          </cell>
          <cell r="P1075" t="str">
            <v>種族なし</v>
          </cell>
          <cell r="Q1075" t="str">
            <v>アタッカー</v>
          </cell>
          <cell r="R1075">
            <v>3</v>
          </cell>
          <cell r="S1075" t="str">
            <v>NULL</v>
          </cell>
          <cell r="T1075" t="str">
            <v>nomal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  <cell r="N1076" t="str">
            <v>ゴッド</v>
          </cell>
          <cell r="O1076" t="str">
            <v>none</v>
          </cell>
          <cell r="P1076" t="str">
            <v>種族なし</v>
          </cell>
          <cell r="Q1076" t="str">
            <v>アタッカー</v>
          </cell>
          <cell r="R1076">
            <v>3</v>
          </cell>
          <cell r="S1076" t="str">
            <v>NULL</v>
          </cell>
          <cell r="T1076" t="str">
            <v>nomal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  <cell r="N1077" t="str">
            <v>アカデミア</v>
          </cell>
          <cell r="O1077" t="str">
            <v>unknown</v>
          </cell>
          <cell r="P1077" t="str">
            <v>Unknown</v>
          </cell>
          <cell r="Q1077" t="str">
            <v>アタッカー</v>
          </cell>
          <cell r="R1077">
            <v>3</v>
          </cell>
          <cell r="S1077" t="str">
            <v>NULL</v>
          </cell>
          <cell r="T1077" t="str">
            <v>normal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  <cell r="N1078" t="str">
            <v>アカデミア</v>
          </cell>
          <cell r="O1078" t="str">
            <v>unknown</v>
          </cell>
          <cell r="P1078" t="str">
            <v>Unknown</v>
          </cell>
          <cell r="Q1078" t="str">
            <v>アタッカー</v>
          </cell>
          <cell r="R1078">
            <v>3</v>
          </cell>
          <cell r="S1078" t="str">
            <v>NULL</v>
          </cell>
          <cell r="T1078" t="str">
            <v>normal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  <cell r="N1079" t="str">
            <v>アカデミア</v>
          </cell>
          <cell r="O1079" t="str">
            <v>fantasy</v>
          </cell>
          <cell r="P1079" t="str">
            <v>ファンタジー</v>
          </cell>
          <cell r="Q1079" t="str">
            <v>アタッカー</v>
          </cell>
          <cell r="R1079">
            <v>3</v>
          </cell>
          <cell r="S1079" t="str">
            <v>NULL</v>
          </cell>
          <cell r="T1079" t="str">
            <v>super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  <cell r="N1080" t="str">
            <v>Unknown</v>
          </cell>
          <cell r="O1080" t="str">
            <v>none</v>
          </cell>
          <cell r="P1080" t="str">
            <v>種族なし</v>
          </cell>
          <cell r="Q1080" t="str">
            <v>強化素材</v>
          </cell>
          <cell r="R1080">
            <v>3</v>
          </cell>
          <cell r="S1080" t="str">
            <v>NULL</v>
          </cell>
          <cell r="T1080" t="str">
            <v>nomal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  <cell r="N1081" t="str">
            <v>Unknown</v>
          </cell>
          <cell r="O1081" t="str">
            <v>none</v>
          </cell>
          <cell r="P1081" t="str">
            <v>種族なし</v>
          </cell>
          <cell r="Q1081" t="str">
            <v>強化素材</v>
          </cell>
          <cell r="R1081">
            <v>3</v>
          </cell>
          <cell r="S1081" t="str">
            <v>NULL</v>
          </cell>
          <cell r="T1081" t="str">
            <v>nomal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  <cell r="N1082" t="str">
            <v>Unknown</v>
          </cell>
          <cell r="O1082" t="str">
            <v>none</v>
          </cell>
          <cell r="P1082" t="str">
            <v>種族なし</v>
          </cell>
          <cell r="Q1082" t="str">
            <v>強化素材</v>
          </cell>
          <cell r="R1082">
            <v>3</v>
          </cell>
          <cell r="S1082" t="str">
            <v>NULL</v>
          </cell>
          <cell r="T1082" t="str">
            <v>nomal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  <cell r="N1083" t="str">
            <v>Unknown</v>
          </cell>
          <cell r="O1083" t="str">
            <v>none</v>
          </cell>
          <cell r="P1083" t="str">
            <v>種族なし</v>
          </cell>
          <cell r="Q1083" t="str">
            <v>強化素材</v>
          </cell>
          <cell r="R1083">
            <v>3</v>
          </cell>
          <cell r="S1083" t="str">
            <v>NULL</v>
          </cell>
          <cell r="T1083" t="str">
            <v>normal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  <cell r="N1084" t="str">
            <v>ゴッド</v>
          </cell>
          <cell r="O1084" t="str">
            <v>unknown</v>
          </cell>
          <cell r="P1084" t="str">
            <v>Unknown</v>
          </cell>
          <cell r="Q1084" t="str">
            <v>アタッカー</v>
          </cell>
          <cell r="R1084">
            <v>3</v>
          </cell>
          <cell r="S1084" t="str">
            <v>NULL</v>
          </cell>
          <cell r="T1084" t="str">
            <v>normal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  <cell r="N1085" t="str">
            <v>ゴッド</v>
          </cell>
          <cell r="O1085" t="str">
            <v>unknown</v>
          </cell>
          <cell r="P1085" t="str">
            <v>Unknown</v>
          </cell>
          <cell r="Q1085" t="str">
            <v>アタッカー</v>
          </cell>
          <cell r="R1085">
            <v>3</v>
          </cell>
          <cell r="S1085" t="str">
            <v>NULL</v>
          </cell>
          <cell r="T1085" t="str">
            <v>normal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  <cell r="N1086" t="str">
            <v>アカデミア</v>
          </cell>
          <cell r="O1086" t="str">
            <v>none</v>
          </cell>
          <cell r="P1086" t="str">
            <v>種族なし</v>
          </cell>
          <cell r="Q1086" t="str">
            <v>アタッカー</v>
          </cell>
          <cell r="R1086">
            <v>3</v>
          </cell>
          <cell r="S1086" t="str">
            <v>NULL</v>
          </cell>
          <cell r="T1086" t="str">
            <v>normal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  <cell r="N1087" t="str">
            <v>アカデミア</v>
          </cell>
          <cell r="O1087" t="str">
            <v>none</v>
          </cell>
          <cell r="P1087" t="str">
            <v>種族なし</v>
          </cell>
          <cell r="Q1087" t="str">
            <v>アタッカー</v>
          </cell>
          <cell r="R1087">
            <v>3</v>
          </cell>
          <cell r="S1087" t="str">
            <v>NULL</v>
          </cell>
          <cell r="T1087" t="str">
            <v>normal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  <cell r="N1088" t="str">
            <v>アカデミア</v>
          </cell>
          <cell r="O1088" t="str">
            <v>none</v>
          </cell>
          <cell r="P1088" t="str">
            <v>種族なし</v>
          </cell>
          <cell r="Q1088" t="str">
            <v>アタッカー</v>
          </cell>
          <cell r="R1088">
            <v>3</v>
          </cell>
          <cell r="S1088" t="str">
            <v>NULL</v>
          </cell>
          <cell r="T1088" t="str">
            <v>super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  <cell r="N1089" t="str">
            <v>Unknown</v>
          </cell>
          <cell r="O1089" t="str">
            <v>none</v>
          </cell>
          <cell r="P1089" t="str">
            <v>種族なし</v>
          </cell>
          <cell r="Q1089" t="str">
            <v>アタッカー</v>
          </cell>
          <cell r="R1089">
            <v>3</v>
          </cell>
          <cell r="S1089" t="str">
            <v>NULL</v>
          </cell>
          <cell r="T1089" t="str">
            <v>normal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  <cell r="N1090" t="str">
            <v>Unknown</v>
          </cell>
          <cell r="O1090" t="str">
            <v>none</v>
          </cell>
          <cell r="P1090" t="str">
            <v>種族なし</v>
          </cell>
          <cell r="Q1090" t="str">
            <v>アタッカー</v>
          </cell>
          <cell r="R1090">
            <v>3</v>
          </cell>
          <cell r="S1090" t="str">
            <v>NULL</v>
          </cell>
          <cell r="T1090" t="str">
            <v>normal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  <cell r="N1091" t="str">
            <v>アカデミア</v>
          </cell>
          <cell r="O1091" t="str">
            <v>demon</v>
          </cell>
          <cell r="P1091" t="str">
            <v>デーモン</v>
          </cell>
          <cell r="Q1091" t="str">
            <v>アタッカー</v>
          </cell>
          <cell r="R1091">
            <v>3</v>
          </cell>
          <cell r="S1091" t="str">
            <v>NULL</v>
          </cell>
          <cell r="T1091" t="str">
            <v>normal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  <cell r="N1092" t="str">
            <v>アカデミア</v>
          </cell>
          <cell r="O1092" t="str">
            <v>demon</v>
          </cell>
          <cell r="P1092" t="str">
            <v>デーモン</v>
          </cell>
          <cell r="Q1092" t="str">
            <v>アタッカー</v>
          </cell>
          <cell r="R1092">
            <v>3</v>
          </cell>
          <cell r="S1092" t="str">
            <v>NULL</v>
          </cell>
          <cell r="T1092" t="str">
            <v>normal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  <cell r="N1093" t="str">
            <v>ヒューマン</v>
          </cell>
          <cell r="O1093" t="str">
            <v>none</v>
          </cell>
          <cell r="P1093" t="str">
            <v>種族なし</v>
          </cell>
          <cell r="Q1093" t="str">
            <v>アタッカー</v>
          </cell>
          <cell r="R1093">
            <v>3</v>
          </cell>
          <cell r="S1093" t="str">
            <v>NULL</v>
          </cell>
          <cell r="T1093" t="str">
            <v>normal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  <cell r="N1094" t="str">
            <v>Unknown</v>
          </cell>
          <cell r="O1094" t="str">
            <v>none</v>
          </cell>
          <cell r="P1094" t="str">
            <v>種族なし</v>
          </cell>
          <cell r="Q1094" t="str">
            <v>アタッカー</v>
          </cell>
          <cell r="R1094">
            <v>1</v>
          </cell>
          <cell r="S1094" t="str">
            <v>NULL</v>
          </cell>
          <cell r="T1094" t="str">
            <v>normal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  <cell r="N1095" t="str">
            <v>アニマル</v>
          </cell>
          <cell r="O1095" t="str">
            <v>unknown</v>
          </cell>
          <cell r="P1095" t="str">
            <v>Unknown</v>
          </cell>
          <cell r="Q1095" t="str">
            <v>アタッカー</v>
          </cell>
          <cell r="R1095">
            <v>3</v>
          </cell>
          <cell r="S1095" t="str">
            <v>NULL</v>
          </cell>
          <cell r="T1095" t="str">
            <v>normal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  <cell r="N1096" t="str">
            <v>アニマル</v>
          </cell>
          <cell r="O1096" t="str">
            <v>unknown</v>
          </cell>
          <cell r="P1096" t="str">
            <v>Unknown</v>
          </cell>
          <cell r="Q1096" t="str">
            <v>アタッカー</v>
          </cell>
          <cell r="R1096">
            <v>3</v>
          </cell>
          <cell r="S1096" t="str">
            <v>NULL</v>
          </cell>
          <cell r="T1096" t="str">
            <v>normal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  <cell r="N1097" t="str">
            <v>Unknown</v>
          </cell>
          <cell r="O1097" t="str">
            <v>none</v>
          </cell>
          <cell r="P1097" t="str">
            <v>種族なし</v>
          </cell>
          <cell r="Q1097" t="str">
            <v>アタッカー</v>
          </cell>
          <cell r="R1097">
            <v>3</v>
          </cell>
          <cell r="S1097" t="str">
            <v>NULL</v>
          </cell>
          <cell r="T1097" t="str">
            <v>normal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  <cell r="N1098" t="str">
            <v>Unknown</v>
          </cell>
          <cell r="O1098" t="str">
            <v>none</v>
          </cell>
          <cell r="P1098" t="str">
            <v>種族なし</v>
          </cell>
          <cell r="Q1098" t="str">
            <v>アタッカー</v>
          </cell>
          <cell r="R1098">
            <v>3</v>
          </cell>
          <cell r="S1098" t="str">
            <v>NULL</v>
          </cell>
          <cell r="T1098" t="str">
            <v>normal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  <cell r="N1099" t="str">
            <v>ヒューマン</v>
          </cell>
          <cell r="O1099" t="str">
            <v>unknown</v>
          </cell>
          <cell r="P1099" t="str">
            <v>Unknown</v>
          </cell>
          <cell r="Q1099" t="str">
            <v>アタッカー</v>
          </cell>
          <cell r="R1099">
            <v>3</v>
          </cell>
          <cell r="S1099" t="str">
            <v>NULL</v>
          </cell>
          <cell r="T1099" t="str">
            <v>normal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  <cell r="N1100" t="str">
            <v>ヒューマン</v>
          </cell>
          <cell r="O1100" t="str">
            <v>unknown</v>
          </cell>
          <cell r="P1100" t="str">
            <v>Unknown</v>
          </cell>
          <cell r="Q1100" t="str">
            <v>アタッカー</v>
          </cell>
          <cell r="R1100">
            <v>3</v>
          </cell>
          <cell r="S1100" t="str">
            <v>NULL</v>
          </cell>
          <cell r="T1100" t="str">
            <v>normal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  <cell r="N1101" t="str">
            <v>ヒューマン</v>
          </cell>
          <cell r="O1101" t="str">
            <v>samurai</v>
          </cell>
          <cell r="P1101" t="str">
            <v>サムライ</v>
          </cell>
          <cell r="Q1101" t="str">
            <v>アタッカー</v>
          </cell>
          <cell r="R1101">
            <v>3</v>
          </cell>
          <cell r="S1101" t="str">
            <v>NULL</v>
          </cell>
          <cell r="T1101" t="str">
            <v>normal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  <cell r="N1102" t="str">
            <v>ヒューマン</v>
          </cell>
          <cell r="O1102" t="str">
            <v>samurai</v>
          </cell>
          <cell r="P1102" t="str">
            <v>サムライ</v>
          </cell>
          <cell r="Q1102" t="str">
            <v>アタッカー</v>
          </cell>
          <cell r="R1102">
            <v>3</v>
          </cell>
          <cell r="S1102" t="str">
            <v>NULL</v>
          </cell>
          <cell r="T1102" t="str">
            <v>normal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  <cell r="N1103" t="str">
            <v>アニマル</v>
          </cell>
          <cell r="O1103" t="str">
            <v>none</v>
          </cell>
          <cell r="P1103" t="str">
            <v>種族なし</v>
          </cell>
          <cell r="Q1103" t="str">
            <v>アタッカー</v>
          </cell>
          <cell r="R1103">
            <v>3</v>
          </cell>
          <cell r="S1103" t="str">
            <v>NULL</v>
          </cell>
          <cell r="T1103" t="str">
            <v>normal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  <cell r="N1104" t="str">
            <v>アニマル</v>
          </cell>
          <cell r="O1104" t="str">
            <v>none</v>
          </cell>
          <cell r="P1104" t="str">
            <v>種族なし</v>
          </cell>
          <cell r="Q1104" t="str">
            <v>アタッカー</v>
          </cell>
          <cell r="R1104">
            <v>3</v>
          </cell>
          <cell r="S1104" t="str">
            <v>NULL</v>
          </cell>
          <cell r="T1104" t="str">
            <v>normal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  <cell r="N1105" t="str">
            <v>ヒューマン</v>
          </cell>
          <cell r="O1105" t="str">
            <v>unknown</v>
          </cell>
          <cell r="P1105" t="str">
            <v>Unknown</v>
          </cell>
          <cell r="Q1105" t="str">
            <v>アタッカー</v>
          </cell>
          <cell r="R1105">
            <v>3</v>
          </cell>
          <cell r="S1105" t="str">
            <v>NULL</v>
          </cell>
          <cell r="T1105" t="str">
            <v>normal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  <cell r="N1106" t="str">
            <v>ヒューマン</v>
          </cell>
          <cell r="O1106" t="str">
            <v>unknown</v>
          </cell>
          <cell r="P1106" t="str">
            <v>Unknown</v>
          </cell>
          <cell r="Q1106" t="str">
            <v>アタッカー</v>
          </cell>
          <cell r="R1106">
            <v>3</v>
          </cell>
          <cell r="S1106" t="str">
            <v>NULL</v>
          </cell>
          <cell r="T1106" t="str">
            <v>normal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  <cell r="N1107" t="str">
            <v>ヒューマン</v>
          </cell>
          <cell r="O1107" t="str">
            <v>god</v>
          </cell>
          <cell r="P1107" t="str">
            <v>ゴッド</v>
          </cell>
          <cell r="Q1107" t="str">
            <v>アタッカー</v>
          </cell>
          <cell r="R1107">
            <v>3</v>
          </cell>
          <cell r="S1107" t="str">
            <v>NULL</v>
          </cell>
          <cell r="T1107" t="str">
            <v>super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  <cell r="N1108" t="str">
            <v>ヒューマン</v>
          </cell>
          <cell r="O1108" t="str">
            <v>god</v>
          </cell>
          <cell r="P1108" t="str">
            <v>ゴッド</v>
          </cell>
          <cell r="Q1108" t="str">
            <v>アタッカー</v>
          </cell>
          <cell r="R1108">
            <v>3</v>
          </cell>
          <cell r="S1108" t="str">
            <v>NULL</v>
          </cell>
          <cell r="T1108" t="str">
            <v>normal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  <cell r="N1109" t="str">
            <v>アカデミア</v>
          </cell>
          <cell r="O1109" t="str">
            <v>machine</v>
          </cell>
          <cell r="P1109" t="str">
            <v>マシン</v>
          </cell>
          <cell r="Q1109" t="str">
            <v>アタッカー</v>
          </cell>
          <cell r="R1109">
            <v>3</v>
          </cell>
          <cell r="S1109" t="str">
            <v>NULL</v>
          </cell>
          <cell r="T1109" t="str">
            <v>normal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  <cell r="N1110" t="str">
            <v>アカデミア</v>
          </cell>
          <cell r="O1110" t="str">
            <v>samurai</v>
          </cell>
          <cell r="P1110" t="str">
            <v>サムライ</v>
          </cell>
          <cell r="Q1110" t="str">
            <v>アタッカー</v>
          </cell>
          <cell r="R1110">
            <v>3</v>
          </cell>
          <cell r="S1110" t="str">
            <v>NULL</v>
          </cell>
          <cell r="T1110" t="str">
            <v>normal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  <cell r="N1111" t="str">
            <v>アカデミア</v>
          </cell>
          <cell r="O1111" t="str">
            <v>samurai</v>
          </cell>
          <cell r="P1111" t="str">
            <v>サムライ</v>
          </cell>
          <cell r="Q1111" t="str">
            <v>アタッカー</v>
          </cell>
          <cell r="R1111">
            <v>3</v>
          </cell>
          <cell r="S1111" t="str">
            <v>NULL</v>
          </cell>
          <cell r="T1111" t="str">
            <v>normal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  <cell r="N1112" t="str">
            <v>アカデミア</v>
          </cell>
          <cell r="O1112" t="str">
            <v>animal</v>
          </cell>
          <cell r="P1112" t="str">
            <v>アニマル</v>
          </cell>
          <cell r="Q1112" t="str">
            <v>アタッカー</v>
          </cell>
          <cell r="R1112">
            <v>3</v>
          </cell>
          <cell r="S1112" t="str">
            <v>NULL</v>
          </cell>
          <cell r="T1112" t="str">
            <v>normal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  <cell r="N1113" t="str">
            <v>アカデミア</v>
          </cell>
          <cell r="O1113" t="str">
            <v>animal</v>
          </cell>
          <cell r="P1113" t="str">
            <v>アニマル</v>
          </cell>
          <cell r="Q1113" t="str">
            <v>アタッカー</v>
          </cell>
          <cell r="R1113">
            <v>3</v>
          </cell>
          <cell r="S1113" t="str">
            <v>NULL</v>
          </cell>
          <cell r="T1113" t="str">
            <v>normal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  <cell r="N1114" t="str">
            <v>アカデミア</v>
          </cell>
          <cell r="O1114" t="str">
            <v>animal</v>
          </cell>
          <cell r="P1114" t="str">
            <v>アニマル</v>
          </cell>
          <cell r="Q1114" t="str">
            <v>アタッカー</v>
          </cell>
          <cell r="R1114">
            <v>3</v>
          </cell>
          <cell r="S1114" t="str">
            <v>NULL</v>
          </cell>
          <cell r="T1114" t="str">
            <v>super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  <cell r="N1115" t="str">
            <v>QUEEN</v>
          </cell>
          <cell r="O1115" t="str">
            <v>unknown</v>
          </cell>
          <cell r="P1115" t="str">
            <v>Unknown</v>
          </cell>
          <cell r="Q1115" t="str">
            <v>アタッカー</v>
          </cell>
          <cell r="R1115">
            <v>3</v>
          </cell>
          <cell r="S1115" t="str">
            <v>NULL</v>
          </cell>
          <cell r="T1115" t="str">
            <v>normal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  <cell r="N1116" t="str">
            <v>QUEEN</v>
          </cell>
          <cell r="O1116" t="str">
            <v>unknown</v>
          </cell>
          <cell r="P1116" t="str">
            <v>Unknown</v>
          </cell>
          <cell r="Q1116" t="str">
            <v>アタッカー</v>
          </cell>
          <cell r="R1116">
            <v>3</v>
          </cell>
          <cell r="S1116" t="str">
            <v>NULL</v>
          </cell>
          <cell r="T1116" t="str">
            <v>normal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  <cell r="N1117" t="str">
            <v>ゴッド</v>
          </cell>
          <cell r="O1117" t="str">
            <v>none</v>
          </cell>
          <cell r="P1117" t="str">
            <v>種族なし</v>
          </cell>
          <cell r="Q1117" t="str">
            <v>強化素材</v>
          </cell>
          <cell r="R1117">
            <v>3</v>
          </cell>
          <cell r="S1117" t="str">
            <v>NULL</v>
          </cell>
          <cell r="T1117" t="str">
            <v>super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  <cell r="N1118" t="str">
            <v>デーモン</v>
          </cell>
          <cell r="O1118" t="str">
            <v>none</v>
          </cell>
          <cell r="P1118" t="str">
            <v>種族なし</v>
          </cell>
          <cell r="Q1118" t="str">
            <v>強化素材</v>
          </cell>
          <cell r="R1118">
            <v>3</v>
          </cell>
          <cell r="S1118" t="str">
            <v>NULL</v>
          </cell>
          <cell r="T1118" t="str">
            <v>super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  <cell r="N1119" t="str">
            <v>ヒューマン</v>
          </cell>
          <cell r="O1119" t="str">
            <v>hero</v>
          </cell>
          <cell r="P1119" t="str">
            <v>ヒーロー</v>
          </cell>
          <cell r="Q1119" t="str">
            <v>強化素材</v>
          </cell>
          <cell r="R1119">
            <v>3</v>
          </cell>
          <cell r="S1119" t="str">
            <v>NULL</v>
          </cell>
          <cell r="T1119" t="str">
            <v>super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  <cell r="N1120" t="str">
            <v>ヒューマン</v>
          </cell>
          <cell r="O1120" t="str">
            <v>samurai</v>
          </cell>
          <cell r="P1120" t="str">
            <v>サムライ</v>
          </cell>
          <cell r="Q1120" t="str">
            <v>強化素材</v>
          </cell>
          <cell r="R1120">
            <v>3</v>
          </cell>
          <cell r="S1120" t="str">
            <v>NULL</v>
          </cell>
          <cell r="T1120" t="str">
            <v>super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  <cell r="N1121" t="str">
            <v>ゴッド</v>
          </cell>
          <cell r="O1121" t="str">
            <v>none</v>
          </cell>
          <cell r="P1121" t="str">
            <v>種族なし</v>
          </cell>
          <cell r="Q1121" t="str">
            <v>強化素材</v>
          </cell>
          <cell r="R1121">
            <v>3</v>
          </cell>
          <cell r="S1121" t="str">
            <v>NULL</v>
          </cell>
          <cell r="T1121" t="str">
            <v>super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  <cell r="N1122" t="str">
            <v>アカデミア</v>
          </cell>
          <cell r="O1122" t="str">
            <v>none</v>
          </cell>
          <cell r="P1122" t="str">
            <v>種族なし</v>
          </cell>
          <cell r="Q1122" t="str">
            <v>強化素材</v>
          </cell>
          <cell r="R1122">
            <v>3</v>
          </cell>
          <cell r="S1122" t="str">
            <v>NULL</v>
          </cell>
          <cell r="T1122" t="str">
            <v>super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  <cell r="N1123" t="str">
            <v>アカデミア</v>
          </cell>
          <cell r="O1123" t="str">
            <v>machine</v>
          </cell>
          <cell r="P1123" t="str">
            <v>マシン</v>
          </cell>
          <cell r="Q1123" t="str">
            <v>強化素材</v>
          </cell>
          <cell r="R1123">
            <v>3</v>
          </cell>
          <cell r="S1123" t="str">
            <v>NULL</v>
          </cell>
          <cell r="T1123" t="str">
            <v>super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  <cell r="N1124" t="str">
            <v>アカデミア</v>
          </cell>
          <cell r="O1124" t="str">
            <v>none</v>
          </cell>
          <cell r="P1124" t="str">
            <v>種族なし</v>
          </cell>
          <cell r="Q1124" t="str">
            <v>強化素材</v>
          </cell>
          <cell r="R1124">
            <v>3</v>
          </cell>
          <cell r="S1124" t="str">
            <v>NULL</v>
          </cell>
          <cell r="T1124" t="str">
            <v>super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  <cell r="N1125" t="str">
            <v>アカデミア</v>
          </cell>
          <cell r="O1125" t="str">
            <v>none</v>
          </cell>
          <cell r="P1125" t="str">
            <v>種族なし</v>
          </cell>
          <cell r="Q1125" t="str">
            <v>強化素材</v>
          </cell>
          <cell r="R1125">
            <v>3</v>
          </cell>
          <cell r="S1125" t="str">
            <v>NULL</v>
          </cell>
          <cell r="T1125" t="str">
            <v>super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  <cell r="N1126" t="str">
            <v>アカデミア</v>
          </cell>
          <cell r="O1126" t="str">
            <v>animal</v>
          </cell>
          <cell r="P1126" t="str">
            <v>アニマル</v>
          </cell>
          <cell r="Q1126" t="str">
            <v>強化素材</v>
          </cell>
          <cell r="R1126">
            <v>3</v>
          </cell>
          <cell r="S1126" t="str">
            <v>NULL</v>
          </cell>
          <cell r="T1126" t="str">
            <v>super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  <cell r="N1127" t="str">
            <v>アカデミア</v>
          </cell>
          <cell r="O1127" t="str">
            <v>machine</v>
          </cell>
          <cell r="P1127" t="str">
            <v>マシン</v>
          </cell>
          <cell r="Q1127" t="str">
            <v>アタッカー</v>
          </cell>
          <cell r="R1127">
            <v>3</v>
          </cell>
          <cell r="S1127" t="str">
            <v>NULL</v>
          </cell>
          <cell r="T1127" t="str">
            <v>super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  <cell r="N1128" t="str">
            <v>アカデミア</v>
          </cell>
          <cell r="O1128" t="str">
            <v>animal</v>
          </cell>
          <cell r="P1128" t="str">
            <v>アニマル</v>
          </cell>
          <cell r="Q1128" t="str">
            <v>アタッカー</v>
          </cell>
          <cell r="R1128">
            <v>3</v>
          </cell>
          <cell r="S1128" t="str">
            <v>NULL</v>
          </cell>
          <cell r="T1128" t="str">
            <v>super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  <cell r="N1129" t="str">
            <v>アカデミア</v>
          </cell>
          <cell r="O1129" t="str">
            <v>none</v>
          </cell>
          <cell r="P1129" t="str">
            <v>種族なし</v>
          </cell>
          <cell r="Q1129" t="str">
            <v>アタッカー</v>
          </cell>
          <cell r="R1129">
            <v>3</v>
          </cell>
          <cell r="S1129" t="str">
            <v>NULL</v>
          </cell>
          <cell r="T1129" t="str">
            <v>super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  <cell r="N1130" t="str">
            <v>アニマル</v>
          </cell>
          <cell r="O1130" t="str">
            <v>none</v>
          </cell>
          <cell r="P1130" t="str">
            <v>種族なし</v>
          </cell>
          <cell r="Q1130" t="str">
            <v>アタッカー</v>
          </cell>
          <cell r="R1130">
            <v>3</v>
          </cell>
          <cell r="S1130" t="str">
            <v>NULL</v>
          </cell>
          <cell r="T1130" t="str">
            <v>normal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  <cell r="N1131" t="str">
            <v>アニマル</v>
          </cell>
          <cell r="O1131" t="str">
            <v>none</v>
          </cell>
          <cell r="P1131" t="str">
            <v>種族なし</v>
          </cell>
          <cell r="Q1131" t="str">
            <v>アタッカー</v>
          </cell>
          <cell r="R1131">
            <v>3</v>
          </cell>
          <cell r="S1131" t="str">
            <v>NULL</v>
          </cell>
          <cell r="T1131" t="str">
            <v>normal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  <cell r="N1132" t="str">
            <v>サムライ</v>
          </cell>
          <cell r="O1132" t="str">
            <v>human</v>
          </cell>
          <cell r="P1132" t="str">
            <v>ヒューマン</v>
          </cell>
          <cell r="Q1132" t="str">
            <v>アタッカー</v>
          </cell>
          <cell r="R1132">
            <v>3</v>
          </cell>
          <cell r="S1132" t="str">
            <v>NULL</v>
          </cell>
          <cell r="T1132" t="str">
            <v>normal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  <cell r="N1133" t="str">
            <v>サムライ</v>
          </cell>
          <cell r="O1133" t="str">
            <v>human</v>
          </cell>
          <cell r="P1133" t="str">
            <v>ヒューマン</v>
          </cell>
          <cell r="Q1133" t="str">
            <v>アタッカー</v>
          </cell>
          <cell r="R1133">
            <v>3</v>
          </cell>
          <cell r="S1133" t="str">
            <v>NULL</v>
          </cell>
          <cell r="T1133" t="str">
            <v>normal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  <cell r="N1134" t="str">
            <v>サムライ</v>
          </cell>
          <cell r="O1134" t="str">
            <v>human</v>
          </cell>
          <cell r="P1134" t="str">
            <v>ヒューマン</v>
          </cell>
          <cell r="Q1134" t="str">
            <v>アタッカー</v>
          </cell>
          <cell r="R1134">
            <v>3</v>
          </cell>
          <cell r="S1134" t="str">
            <v>NULL</v>
          </cell>
          <cell r="T1134" t="str">
            <v>normal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  <cell r="N1135" t="str">
            <v>サムライ</v>
          </cell>
          <cell r="O1135" t="str">
            <v>human</v>
          </cell>
          <cell r="P1135" t="str">
            <v>ヒューマン</v>
          </cell>
          <cell r="Q1135" t="str">
            <v>アタッカー</v>
          </cell>
          <cell r="R1135">
            <v>3</v>
          </cell>
          <cell r="S1135" t="str">
            <v>NULL</v>
          </cell>
          <cell r="T1135" t="str">
            <v>normal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  <cell r="N1136" t="str">
            <v>サムライ</v>
          </cell>
          <cell r="O1136" t="str">
            <v>human</v>
          </cell>
          <cell r="P1136" t="str">
            <v>ヒューマン</v>
          </cell>
          <cell r="Q1136" t="str">
            <v>アタッカー</v>
          </cell>
          <cell r="R1136">
            <v>3</v>
          </cell>
          <cell r="S1136" t="str">
            <v>NULL</v>
          </cell>
          <cell r="T1136" t="str">
            <v>normal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  <cell r="N1137" t="str">
            <v>サムライ</v>
          </cell>
          <cell r="O1137" t="str">
            <v>human</v>
          </cell>
          <cell r="P1137" t="str">
            <v>ヒューマン</v>
          </cell>
          <cell r="Q1137" t="str">
            <v>アタッカー</v>
          </cell>
          <cell r="R1137">
            <v>3</v>
          </cell>
          <cell r="S1137" t="str">
            <v>NULL</v>
          </cell>
          <cell r="T1137" t="str">
            <v>normal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  <cell r="N1138" t="str">
            <v>サムライ</v>
          </cell>
          <cell r="O1138" t="str">
            <v>human</v>
          </cell>
          <cell r="P1138" t="str">
            <v>ヒューマン</v>
          </cell>
          <cell r="Q1138" t="str">
            <v>アタッカー</v>
          </cell>
          <cell r="R1138">
            <v>3</v>
          </cell>
          <cell r="S1138" t="str">
            <v>NULL</v>
          </cell>
          <cell r="T1138" t="str">
            <v>normal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  <cell r="N1139" t="str">
            <v>サムライ</v>
          </cell>
          <cell r="O1139" t="str">
            <v>human</v>
          </cell>
          <cell r="P1139" t="str">
            <v>ヒューマン</v>
          </cell>
          <cell r="Q1139" t="str">
            <v>アタッカー</v>
          </cell>
          <cell r="R1139">
            <v>3</v>
          </cell>
          <cell r="S1139" t="str">
            <v>NULL</v>
          </cell>
          <cell r="T1139" t="str">
            <v>normal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  <cell r="N1140" t="str">
            <v>サムライ</v>
          </cell>
          <cell r="O1140" t="str">
            <v>human</v>
          </cell>
          <cell r="P1140" t="str">
            <v>ヒューマン</v>
          </cell>
          <cell r="Q1140" t="str">
            <v>アタッカー</v>
          </cell>
          <cell r="R1140">
            <v>3</v>
          </cell>
          <cell r="S1140" t="str">
            <v>NULL</v>
          </cell>
          <cell r="T1140" t="str">
            <v>normal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  <cell r="N1141" t="str">
            <v>サムライ</v>
          </cell>
          <cell r="O1141" t="str">
            <v>human</v>
          </cell>
          <cell r="P1141" t="str">
            <v>ヒューマン</v>
          </cell>
          <cell r="Q1141" t="str">
            <v>アタッカー</v>
          </cell>
          <cell r="R1141">
            <v>3</v>
          </cell>
          <cell r="S1141" t="str">
            <v>NULL</v>
          </cell>
          <cell r="T1141" t="str">
            <v>normal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  <cell r="N1142" t="str">
            <v>ヒューマン</v>
          </cell>
          <cell r="O1142" t="str">
            <v>machine</v>
          </cell>
          <cell r="P1142" t="str">
            <v>マシン</v>
          </cell>
          <cell r="Q1142" t="str">
            <v>アタッカー</v>
          </cell>
          <cell r="R1142">
            <v>3</v>
          </cell>
          <cell r="S1142" t="str">
            <v>NULL</v>
          </cell>
          <cell r="T1142" t="str">
            <v>normal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  <cell r="N1143" t="str">
            <v>ヒューマン</v>
          </cell>
          <cell r="O1143" t="str">
            <v>machine</v>
          </cell>
          <cell r="P1143" t="str">
            <v>マシン</v>
          </cell>
          <cell r="Q1143" t="str">
            <v>アタッカー</v>
          </cell>
          <cell r="R1143">
            <v>3</v>
          </cell>
          <cell r="S1143" t="str">
            <v>NULL</v>
          </cell>
          <cell r="T1143" t="str">
            <v>normal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  <cell r="N1144" t="str">
            <v>サムライ</v>
          </cell>
          <cell r="O1144" t="str">
            <v>human</v>
          </cell>
          <cell r="P1144" t="str">
            <v>ヒューマン</v>
          </cell>
          <cell r="Q1144" t="str">
            <v>アタッカー</v>
          </cell>
          <cell r="R1144">
            <v>3</v>
          </cell>
          <cell r="S1144" t="str">
            <v>NULL</v>
          </cell>
          <cell r="T1144" t="str">
            <v>normal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  <cell r="N1145" t="str">
            <v>サムライ</v>
          </cell>
          <cell r="O1145" t="str">
            <v>human</v>
          </cell>
          <cell r="P1145" t="str">
            <v>ヒューマン</v>
          </cell>
          <cell r="Q1145" t="str">
            <v>アタッカー</v>
          </cell>
          <cell r="R1145">
            <v>3</v>
          </cell>
          <cell r="S1145" t="str">
            <v>NULL</v>
          </cell>
          <cell r="T1145" t="str">
            <v>normal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  <cell r="N1146" t="str">
            <v>ドラゴン</v>
          </cell>
          <cell r="O1146" t="str">
            <v>none</v>
          </cell>
          <cell r="P1146" t="str">
            <v>種族なし</v>
          </cell>
          <cell r="Q1146" t="str">
            <v>アタッカー</v>
          </cell>
          <cell r="R1146">
            <v>3</v>
          </cell>
          <cell r="S1146" t="str">
            <v>NULL</v>
          </cell>
          <cell r="T1146" t="str">
            <v>normal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  <cell r="N1147" t="str">
            <v>ドラゴン</v>
          </cell>
          <cell r="O1147" t="str">
            <v>none</v>
          </cell>
          <cell r="P1147" t="str">
            <v>種族なし</v>
          </cell>
          <cell r="Q1147" t="str">
            <v>アタッカー</v>
          </cell>
          <cell r="R1147">
            <v>3</v>
          </cell>
          <cell r="S1147" t="str">
            <v>NULL</v>
          </cell>
          <cell r="T1147" t="str">
            <v>normal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  <cell r="N1148" t="str">
            <v>ゴッド</v>
          </cell>
          <cell r="O1148" t="str">
            <v>demon</v>
          </cell>
          <cell r="P1148" t="str">
            <v>デーモン</v>
          </cell>
          <cell r="Q1148" t="str">
            <v>アタッカー</v>
          </cell>
          <cell r="R1148">
            <v>3</v>
          </cell>
          <cell r="S1148" t="str">
            <v>NULL</v>
          </cell>
          <cell r="T1148" t="str">
            <v>normal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  <cell r="N1149" t="str">
            <v>ゴッド</v>
          </cell>
          <cell r="O1149" t="str">
            <v>demon</v>
          </cell>
          <cell r="P1149" t="str">
            <v>デーモン</v>
          </cell>
          <cell r="Q1149" t="str">
            <v>アタッカー</v>
          </cell>
          <cell r="R1149">
            <v>3</v>
          </cell>
          <cell r="S1149" t="str">
            <v>NULL</v>
          </cell>
          <cell r="T1149" t="str">
            <v>normal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  <cell r="N1150" t="str">
            <v>ゴッド</v>
          </cell>
          <cell r="O1150" t="str">
            <v>none</v>
          </cell>
          <cell r="P1150" t="str">
            <v>種族なし</v>
          </cell>
          <cell r="Q1150" t="str">
            <v>アタッカー</v>
          </cell>
          <cell r="R1150">
            <v>3</v>
          </cell>
          <cell r="S1150" t="str">
            <v>NULL</v>
          </cell>
          <cell r="T1150" t="str">
            <v>normal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  <cell r="N1151" t="str">
            <v>ゴッド</v>
          </cell>
          <cell r="O1151" t="str">
            <v>none</v>
          </cell>
          <cell r="P1151" t="str">
            <v>種族なし</v>
          </cell>
          <cell r="Q1151" t="str">
            <v>アタッカー</v>
          </cell>
          <cell r="R1151">
            <v>3</v>
          </cell>
          <cell r="S1151" t="str">
            <v>NULL</v>
          </cell>
          <cell r="T1151" t="str">
            <v>normal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  <cell r="N1152" t="str">
            <v>ゴッド</v>
          </cell>
          <cell r="O1152" t="str">
            <v>animal</v>
          </cell>
          <cell r="P1152" t="str">
            <v>アニマル</v>
          </cell>
          <cell r="Q1152" t="str">
            <v>アタッカー</v>
          </cell>
          <cell r="R1152">
            <v>3</v>
          </cell>
          <cell r="S1152" t="str">
            <v>NULL</v>
          </cell>
          <cell r="T1152" t="str">
            <v>normal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  <cell r="N1153" t="str">
            <v>ゴッド</v>
          </cell>
          <cell r="O1153" t="str">
            <v>animal</v>
          </cell>
          <cell r="P1153" t="str">
            <v>アニマル</v>
          </cell>
          <cell r="Q1153" t="str">
            <v>アタッカー</v>
          </cell>
          <cell r="R1153">
            <v>3</v>
          </cell>
          <cell r="S1153" t="str">
            <v>NULL</v>
          </cell>
          <cell r="T1153" t="str">
            <v>normal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  <cell r="N1154" t="str">
            <v>ゴッド</v>
          </cell>
          <cell r="O1154" t="str">
            <v>none</v>
          </cell>
          <cell r="P1154" t="str">
            <v>種族なし</v>
          </cell>
          <cell r="Q1154" t="str">
            <v>アタッカー</v>
          </cell>
          <cell r="R1154">
            <v>3</v>
          </cell>
          <cell r="S1154" t="str">
            <v>NULL</v>
          </cell>
          <cell r="T1154" t="str">
            <v>normal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  <cell r="N1155" t="str">
            <v>ゴッド</v>
          </cell>
          <cell r="O1155" t="str">
            <v>none</v>
          </cell>
          <cell r="P1155" t="str">
            <v>種族なし</v>
          </cell>
          <cell r="Q1155" t="str">
            <v>アタッカー</v>
          </cell>
          <cell r="R1155">
            <v>3</v>
          </cell>
          <cell r="S1155" t="str">
            <v>NULL</v>
          </cell>
          <cell r="T1155" t="str">
            <v>normal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  <cell r="N1156" t="str">
            <v>ゴッド</v>
          </cell>
          <cell r="O1156" t="str">
            <v>none</v>
          </cell>
          <cell r="P1156" t="str">
            <v>種族なし</v>
          </cell>
          <cell r="Q1156" t="str">
            <v>アタッカー</v>
          </cell>
          <cell r="R1156">
            <v>3</v>
          </cell>
          <cell r="S1156" t="str">
            <v>NULL</v>
          </cell>
          <cell r="T1156" t="str">
            <v>normal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  <cell r="N1157" t="str">
            <v>ゴッド</v>
          </cell>
          <cell r="O1157" t="str">
            <v>none</v>
          </cell>
          <cell r="P1157" t="str">
            <v>種族なし</v>
          </cell>
          <cell r="Q1157" t="str">
            <v>アタッカー</v>
          </cell>
          <cell r="R1157">
            <v>3</v>
          </cell>
          <cell r="S1157" t="str">
            <v>NULL</v>
          </cell>
          <cell r="T1157" t="str">
            <v>normal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  <cell r="N1158" t="str">
            <v>ゴッド</v>
          </cell>
          <cell r="O1158" t="str">
            <v>machine</v>
          </cell>
          <cell r="P1158" t="str">
            <v>マシン</v>
          </cell>
          <cell r="Q1158" t="str">
            <v>アタッカー</v>
          </cell>
          <cell r="R1158">
            <v>3</v>
          </cell>
          <cell r="S1158" t="str">
            <v>NULL</v>
          </cell>
          <cell r="T1158" t="str">
            <v>normal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  <cell r="N1159" t="str">
            <v>ゴッド</v>
          </cell>
          <cell r="O1159" t="str">
            <v>machine</v>
          </cell>
          <cell r="P1159" t="str">
            <v>マシン</v>
          </cell>
          <cell r="Q1159" t="str">
            <v>アタッカー</v>
          </cell>
          <cell r="R1159">
            <v>3</v>
          </cell>
          <cell r="S1159" t="str">
            <v>NULL</v>
          </cell>
          <cell r="T1159" t="str">
            <v>normal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  <cell r="N1160" t="str">
            <v>アカデミア</v>
          </cell>
          <cell r="O1160" t="str">
            <v>none</v>
          </cell>
          <cell r="P1160" t="str">
            <v>種族なし</v>
          </cell>
          <cell r="Q1160" t="str">
            <v>アタッカー</v>
          </cell>
          <cell r="R1160">
            <v>3</v>
          </cell>
          <cell r="S1160" t="str">
            <v>NULL</v>
          </cell>
          <cell r="T1160" t="str">
            <v>normal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  <cell r="N1161" t="str">
            <v>アカデミア</v>
          </cell>
          <cell r="O1161" t="str">
            <v>none</v>
          </cell>
          <cell r="P1161" t="str">
            <v>種族なし</v>
          </cell>
          <cell r="Q1161" t="str">
            <v>アタッカー</v>
          </cell>
          <cell r="R1161">
            <v>3</v>
          </cell>
          <cell r="S1161" t="str">
            <v>NULL</v>
          </cell>
          <cell r="T1161" t="str">
            <v>normal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  <cell r="N1162" t="str">
            <v>アカデミア</v>
          </cell>
          <cell r="O1162" t="str">
            <v>unknown</v>
          </cell>
          <cell r="P1162" t="str">
            <v>Unknown</v>
          </cell>
          <cell r="Q1162" t="str">
            <v>アタッカー</v>
          </cell>
          <cell r="R1162">
            <v>3</v>
          </cell>
          <cell r="S1162" t="str">
            <v>NULL</v>
          </cell>
          <cell r="T1162" t="str">
            <v>normal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  <cell r="N1163" t="str">
            <v>アカデミア</v>
          </cell>
          <cell r="O1163" t="str">
            <v>unknown</v>
          </cell>
          <cell r="P1163" t="str">
            <v>Unknown</v>
          </cell>
          <cell r="Q1163" t="str">
            <v>アタッカー</v>
          </cell>
          <cell r="R1163">
            <v>3</v>
          </cell>
          <cell r="S1163" t="str">
            <v>NULL</v>
          </cell>
          <cell r="T1163" t="str">
            <v>normal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  <cell r="N1164" t="str">
            <v>アカデミア</v>
          </cell>
          <cell r="O1164" t="str">
            <v>unknown</v>
          </cell>
          <cell r="P1164" t="str">
            <v>Unknown</v>
          </cell>
          <cell r="Q1164" t="str">
            <v>アタッカー</v>
          </cell>
          <cell r="R1164">
            <v>3</v>
          </cell>
          <cell r="S1164" t="str">
            <v>NULL</v>
          </cell>
          <cell r="T1164" t="str">
            <v>super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  <cell r="N1165" t="str">
            <v>ウェポン</v>
          </cell>
          <cell r="O1165" t="str">
            <v>none</v>
          </cell>
          <cell r="P1165" t="str">
            <v>種族なし</v>
          </cell>
          <cell r="Q1165" t="str">
            <v>アタッカー</v>
          </cell>
          <cell r="R1165">
            <v>3</v>
          </cell>
          <cell r="S1165" t="str">
            <v>NULL</v>
          </cell>
          <cell r="T1165" t="str">
            <v>normal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  <cell r="N1166" t="str">
            <v>ウェポン</v>
          </cell>
          <cell r="O1166" t="str">
            <v>none</v>
          </cell>
          <cell r="P1166" t="str">
            <v>種族なし</v>
          </cell>
          <cell r="Q1166" t="str">
            <v>アタッカー</v>
          </cell>
          <cell r="R1166">
            <v>3</v>
          </cell>
          <cell r="S1166" t="str">
            <v>NULL</v>
          </cell>
          <cell r="T1166" t="str">
            <v>normal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  <cell r="N1167" t="str">
            <v>ウェポン</v>
          </cell>
          <cell r="O1167" t="str">
            <v>unknown</v>
          </cell>
          <cell r="P1167" t="str">
            <v>Unknown</v>
          </cell>
          <cell r="Q1167" t="str">
            <v>アタッカー</v>
          </cell>
          <cell r="R1167">
            <v>3</v>
          </cell>
          <cell r="S1167" t="str">
            <v>NULL</v>
          </cell>
          <cell r="T1167" t="str">
            <v>normal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  <cell r="N1168" t="str">
            <v>ウェポン</v>
          </cell>
          <cell r="O1168" t="str">
            <v>unknown</v>
          </cell>
          <cell r="P1168" t="str">
            <v>Unknown</v>
          </cell>
          <cell r="Q1168" t="str">
            <v>アタッカー</v>
          </cell>
          <cell r="R1168">
            <v>3</v>
          </cell>
          <cell r="S1168" t="str">
            <v>NULL</v>
          </cell>
          <cell r="T1168" t="str">
            <v>normal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  <cell r="N1169" t="str">
            <v>ウェポン</v>
          </cell>
          <cell r="O1169" t="str">
            <v>none</v>
          </cell>
          <cell r="P1169" t="str">
            <v>種族なし</v>
          </cell>
          <cell r="Q1169" t="str">
            <v>アタッカー</v>
          </cell>
          <cell r="R1169">
            <v>3</v>
          </cell>
          <cell r="S1169" t="str">
            <v>NULL</v>
          </cell>
          <cell r="T1169" t="str">
            <v>normal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  <cell r="N1170" t="str">
            <v>ウェポン</v>
          </cell>
          <cell r="O1170" t="str">
            <v>god</v>
          </cell>
          <cell r="P1170" t="str">
            <v>ゴッド</v>
          </cell>
          <cell r="Q1170" t="str">
            <v>アタッカー</v>
          </cell>
          <cell r="R1170">
            <v>3</v>
          </cell>
          <cell r="S1170" t="str">
            <v>NULL</v>
          </cell>
          <cell r="T1170" t="str">
            <v>normal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  <cell r="N1171" t="str">
            <v>ドラゴン</v>
          </cell>
          <cell r="O1171" t="str">
            <v>unknown</v>
          </cell>
          <cell r="P1171" t="str">
            <v>Unknown</v>
          </cell>
          <cell r="Q1171" t="str">
            <v>アタッカー</v>
          </cell>
          <cell r="R1171">
            <v>3</v>
          </cell>
          <cell r="S1171" t="str">
            <v>NULL</v>
          </cell>
          <cell r="T1171" t="str">
            <v>super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  <cell r="N1172" t="str">
            <v>アカデミア</v>
          </cell>
          <cell r="O1172" t="str">
            <v>none</v>
          </cell>
          <cell r="P1172" t="str">
            <v>種族なし</v>
          </cell>
          <cell r="Q1172" t="str">
            <v>アタッカー</v>
          </cell>
          <cell r="R1172">
            <v>3</v>
          </cell>
          <cell r="S1172" t="str">
            <v>NULL</v>
          </cell>
          <cell r="T1172" t="str">
            <v>super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  <cell r="N1173" t="str">
            <v>アカデミア</v>
          </cell>
          <cell r="O1173" t="str">
            <v>human</v>
          </cell>
          <cell r="P1173" t="str">
            <v>ヒューマン</v>
          </cell>
          <cell r="Q1173" t="str">
            <v>アタッカー</v>
          </cell>
          <cell r="R1173">
            <v>3</v>
          </cell>
          <cell r="S1173" t="str">
            <v>NULL</v>
          </cell>
          <cell r="T1173" t="str">
            <v>super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  <cell r="N1174" t="str">
            <v>Unknown</v>
          </cell>
          <cell r="O1174" t="str">
            <v>none</v>
          </cell>
          <cell r="P1174" t="str">
            <v>種族なし</v>
          </cell>
          <cell r="Q1174" t="str">
            <v>アタッカー</v>
          </cell>
          <cell r="R1174">
            <v>3</v>
          </cell>
          <cell r="S1174" t="str">
            <v>NULL</v>
          </cell>
          <cell r="T1174" t="str">
            <v>normal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  <cell r="N1175" t="str">
            <v>ゴッド</v>
          </cell>
          <cell r="O1175" t="str">
            <v>none</v>
          </cell>
          <cell r="P1175" t="str">
            <v>種族なし</v>
          </cell>
          <cell r="Q1175" t="str">
            <v>アタッカー</v>
          </cell>
          <cell r="R1175">
            <v>3</v>
          </cell>
          <cell r="S1175" t="str">
            <v>NULL</v>
          </cell>
          <cell r="T1175" t="str">
            <v>normal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  <cell r="N1176" t="str">
            <v>ヒューマン</v>
          </cell>
          <cell r="O1176" t="str">
            <v>none</v>
          </cell>
          <cell r="P1176" t="str">
            <v>種族なし</v>
          </cell>
          <cell r="Q1176" t="str">
            <v>アタッカー</v>
          </cell>
          <cell r="R1176">
            <v>3</v>
          </cell>
          <cell r="S1176" t="str">
            <v>NULL</v>
          </cell>
          <cell r="T1176" t="str">
            <v>super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  <cell r="N1177" t="str">
            <v>アカデミア</v>
          </cell>
          <cell r="O1177" t="str">
            <v>machine</v>
          </cell>
          <cell r="P1177" t="str">
            <v>マシン</v>
          </cell>
          <cell r="Q1177" t="str">
            <v>アタッカー</v>
          </cell>
          <cell r="R1177">
            <v>3</v>
          </cell>
          <cell r="S1177" t="str">
            <v>NULL</v>
          </cell>
          <cell r="T1177" t="str">
            <v>super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  <cell r="N1178" t="str">
            <v>ヒューマン</v>
          </cell>
          <cell r="O1178" t="str">
            <v>none</v>
          </cell>
          <cell r="P1178" t="str">
            <v>種族なし</v>
          </cell>
          <cell r="Q1178" t="str">
            <v>アタッカー</v>
          </cell>
          <cell r="R1178">
            <v>3</v>
          </cell>
          <cell r="S1178" t="str">
            <v>NULL</v>
          </cell>
          <cell r="T1178" t="str">
            <v>super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  <cell r="N1179" t="str">
            <v>Unknown</v>
          </cell>
          <cell r="O1179" t="str">
            <v>fantasy</v>
          </cell>
          <cell r="P1179" t="str">
            <v>ファンタジー</v>
          </cell>
          <cell r="Q1179" t="str">
            <v>アタッカー</v>
          </cell>
          <cell r="R1179">
            <v>3</v>
          </cell>
          <cell r="S1179" t="str">
            <v>NULL</v>
          </cell>
          <cell r="T1179" t="str">
            <v>super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  <cell r="N1180" t="str">
            <v>アカデミア</v>
          </cell>
          <cell r="O1180" t="str">
            <v>machine</v>
          </cell>
          <cell r="P1180" t="str">
            <v>マシン</v>
          </cell>
          <cell r="Q1180" t="str">
            <v>アタッカー</v>
          </cell>
          <cell r="R1180">
            <v>3</v>
          </cell>
          <cell r="S1180" t="str">
            <v>NULL</v>
          </cell>
          <cell r="T1180" t="str">
            <v>super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  <cell r="N1181" t="str">
            <v>マシン</v>
          </cell>
          <cell r="O1181" t="str">
            <v>god</v>
          </cell>
          <cell r="P1181" t="str">
            <v>ゴッド</v>
          </cell>
          <cell r="Q1181" t="str">
            <v>アタッカー</v>
          </cell>
          <cell r="R1181">
            <v>3</v>
          </cell>
          <cell r="S1181" t="str">
            <v>NULL</v>
          </cell>
          <cell r="T1181" t="str">
            <v>super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  <cell r="N1182" t="str">
            <v>アカデミア</v>
          </cell>
          <cell r="O1182" t="str">
            <v>machine</v>
          </cell>
          <cell r="P1182" t="str">
            <v>マシン</v>
          </cell>
          <cell r="Q1182" t="str">
            <v>アタッカー</v>
          </cell>
          <cell r="R1182">
            <v>3</v>
          </cell>
          <cell r="S1182" t="str">
            <v>NULL</v>
          </cell>
          <cell r="T1182" t="str">
            <v>super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  <cell r="N1183" t="str">
            <v>アカデミア</v>
          </cell>
          <cell r="O1183" t="str">
            <v>none</v>
          </cell>
          <cell r="P1183" t="str">
            <v>種族なし</v>
          </cell>
          <cell r="Q1183" t="str">
            <v>アタッカー</v>
          </cell>
          <cell r="R1183">
            <v>3</v>
          </cell>
          <cell r="S1183" t="str">
            <v>NULL</v>
          </cell>
          <cell r="T1183" t="str">
            <v>super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  <cell r="N1184" t="str">
            <v>Unknown</v>
          </cell>
          <cell r="O1184" t="str">
            <v>fantasy</v>
          </cell>
          <cell r="P1184" t="str">
            <v>ファンタジー</v>
          </cell>
          <cell r="Q1184" t="str">
            <v>アタッカー</v>
          </cell>
          <cell r="R1184">
            <v>3</v>
          </cell>
          <cell r="S1184" t="str">
            <v>NULL</v>
          </cell>
          <cell r="T1184" t="str">
            <v>super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  <cell r="N1185" t="str">
            <v>アカデミア</v>
          </cell>
          <cell r="O1185" t="str">
            <v>none</v>
          </cell>
          <cell r="P1185" t="str">
            <v>種族なし</v>
          </cell>
          <cell r="Q1185" t="str">
            <v>アタッカー</v>
          </cell>
          <cell r="R1185">
            <v>3</v>
          </cell>
          <cell r="S1185" t="str">
            <v>NULL</v>
          </cell>
          <cell r="T1185" t="str">
            <v>super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  <cell r="N1186" t="str">
            <v>アカデミア</v>
          </cell>
          <cell r="O1186" t="str">
            <v>animal</v>
          </cell>
          <cell r="P1186" t="str">
            <v>アニマル</v>
          </cell>
          <cell r="Q1186" t="str">
            <v>アタッカー</v>
          </cell>
          <cell r="R1186">
            <v>3</v>
          </cell>
          <cell r="S1186" t="str">
            <v>NULL</v>
          </cell>
          <cell r="T1186" t="str">
            <v>super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  <cell r="N1187" t="str">
            <v>アカデミア</v>
          </cell>
          <cell r="O1187" t="str">
            <v>machine</v>
          </cell>
          <cell r="P1187" t="str">
            <v>マシン</v>
          </cell>
          <cell r="R1187">
            <v>3</v>
          </cell>
          <cell r="S1187" t="str">
            <v>NULL</v>
          </cell>
          <cell r="T1187" t="str">
            <v>super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  <cell r="N1188" t="str">
            <v>Unknown</v>
          </cell>
          <cell r="O1188" t="str">
            <v>demon</v>
          </cell>
          <cell r="P1188" t="str">
            <v>デーモン</v>
          </cell>
          <cell r="R1188">
            <v>3</v>
          </cell>
          <cell r="S1188" t="str">
            <v>NULL</v>
          </cell>
          <cell r="T1188" t="str">
            <v>nomal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  <cell r="N1189" t="str">
            <v>Unknown</v>
          </cell>
          <cell r="O1189" t="str">
            <v>demon</v>
          </cell>
          <cell r="P1189" t="str">
            <v>デーモン</v>
          </cell>
          <cell r="R1189">
            <v>3</v>
          </cell>
          <cell r="S1189" t="str">
            <v>NULL</v>
          </cell>
          <cell r="T1189" t="str">
            <v>nomal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  <cell r="N1190" t="str">
            <v>Unknown</v>
          </cell>
          <cell r="O1190" t="str">
            <v>demon</v>
          </cell>
          <cell r="P1190" t="str">
            <v>デーモン</v>
          </cell>
          <cell r="R1190">
            <v>3</v>
          </cell>
          <cell r="S1190" t="str">
            <v>NULL</v>
          </cell>
          <cell r="T1190" t="str">
            <v>nomal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  <cell r="N1191" t="str">
            <v>Unknown</v>
          </cell>
          <cell r="O1191" t="str">
            <v>demon</v>
          </cell>
          <cell r="P1191" t="str">
            <v>デーモン</v>
          </cell>
          <cell r="R1191">
            <v>3</v>
          </cell>
          <cell r="S1191" t="str">
            <v>NULL</v>
          </cell>
          <cell r="T1191" t="str">
            <v>nomal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  <cell r="N1192" t="str">
            <v>Unknown</v>
          </cell>
          <cell r="O1192" t="str">
            <v>demon</v>
          </cell>
          <cell r="P1192" t="str">
            <v>デーモン</v>
          </cell>
          <cell r="Q1192" t="str">
            <v>アタッカー</v>
          </cell>
          <cell r="R1192">
            <v>3</v>
          </cell>
          <cell r="S1192" t="str">
            <v>NULL</v>
          </cell>
          <cell r="T1192" t="str">
            <v>normal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  <cell r="N1193" t="str">
            <v>Unknown</v>
          </cell>
          <cell r="O1193" t="str">
            <v>demon</v>
          </cell>
          <cell r="P1193" t="str">
            <v>デーモン</v>
          </cell>
          <cell r="Q1193" t="str">
            <v>アタッカー</v>
          </cell>
          <cell r="R1193">
            <v>3</v>
          </cell>
          <cell r="S1193" t="str">
            <v>NULL</v>
          </cell>
          <cell r="T1193" t="str">
            <v>normal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  <cell r="N1194" t="str">
            <v>ヒューマン</v>
          </cell>
          <cell r="O1194" t="str">
            <v>demon</v>
          </cell>
          <cell r="P1194" t="str">
            <v>デーモン</v>
          </cell>
          <cell r="Q1194" t="str">
            <v>アタッカー</v>
          </cell>
          <cell r="R1194">
            <v>3</v>
          </cell>
          <cell r="S1194" t="str">
            <v>NULL</v>
          </cell>
          <cell r="T1194" t="str">
            <v>normal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  <cell r="N1195" t="str">
            <v>Unknown</v>
          </cell>
          <cell r="O1195" t="str">
            <v>demon</v>
          </cell>
          <cell r="P1195" t="str">
            <v>デーモン</v>
          </cell>
          <cell r="Q1195" t="str">
            <v>アタッカー</v>
          </cell>
          <cell r="R1195">
            <v>3</v>
          </cell>
          <cell r="S1195" t="str">
            <v>NULL</v>
          </cell>
          <cell r="T1195" t="str">
            <v>normal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  <cell r="N1196" t="str">
            <v>Unknown</v>
          </cell>
          <cell r="O1196" t="str">
            <v>demon</v>
          </cell>
          <cell r="P1196" t="str">
            <v>デーモン</v>
          </cell>
          <cell r="Q1196" t="str">
            <v>アタッカー</v>
          </cell>
          <cell r="R1196">
            <v>3</v>
          </cell>
          <cell r="S1196" t="str">
            <v>NULL</v>
          </cell>
          <cell r="T1196" t="str">
            <v>normal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  <cell r="N1197" t="str">
            <v>ヒューマン</v>
          </cell>
          <cell r="O1197" t="str">
            <v>demon</v>
          </cell>
          <cell r="P1197" t="str">
            <v>デーモン</v>
          </cell>
          <cell r="Q1197" t="str">
            <v>アタッカー</v>
          </cell>
          <cell r="R1197">
            <v>3</v>
          </cell>
          <cell r="S1197" t="str">
            <v>NULL</v>
          </cell>
          <cell r="T1197" t="str">
            <v>normal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  <cell r="N1198" t="str">
            <v>デーモン</v>
          </cell>
          <cell r="O1198" t="str">
            <v>none</v>
          </cell>
          <cell r="P1198" t="str">
            <v>種族なし</v>
          </cell>
          <cell r="Q1198" t="str">
            <v>アタッカー</v>
          </cell>
          <cell r="R1198">
            <v>3</v>
          </cell>
          <cell r="S1198" t="str">
            <v>NULL</v>
          </cell>
          <cell r="T1198" t="str">
            <v>normal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  <cell r="N1199" t="str">
            <v>マシン</v>
          </cell>
          <cell r="O1199" t="str">
            <v>demon</v>
          </cell>
          <cell r="P1199" t="str">
            <v>デーモン</v>
          </cell>
          <cell r="Q1199" t="str">
            <v>アタッカー</v>
          </cell>
          <cell r="R1199">
            <v>3</v>
          </cell>
          <cell r="S1199" t="str">
            <v>NULL</v>
          </cell>
          <cell r="T1199" t="str">
            <v>normal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  <cell r="N1200" t="str">
            <v>アニマル</v>
          </cell>
          <cell r="O1200" t="str">
            <v>demon</v>
          </cell>
          <cell r="P1200" t="str">
            <v>デーモン</v>
          </cell>
          <cell r="Q1200" t="str">
            <v>アタッカー</v>
          </cell>
          <cell r="R1200">
            <v>3</v>
          </cell>
          <cell r="S1200" t="str">
            <v>NULL</v>
          </cell>
          <cell r="T1200" t="str">
            <v>normal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  <cell r="N1201" t="str">
            <v>Unknown</v>
          </cell>
          <cell r="O1201" t="str">
            <v>none</v>
          </cell>
          <cell r="P1201" t="str">
            <v>種族なし</v>
          </cell>
          <cell r="R1201">
            <v>3</v>
          </cell>
          <cell r="S1201" t="str">
            <v>NULL</v>
          </cell>
          <cell r="T1201" t="str">
            <v>normal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  <cell r="N1202" t="str">
            <v>Unknown</v>
          </cell>
          <cell r="O1202" t="str">
            <v>none</v>
          </cell>
          <cell r="P1202" t="str">
            <v>種族なし</v>
          </cell>
          <cell r="R1202">
            <v>3</v>
          </cell>
          <cell r="S1202" t="str">
            <v>NULL</v>
          </cell>
          <cell r="T1202" t="str">
            <v>normal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  <cell r="N1203" t="str">
            <v>ゴッド</v>
          </cell>
          <cell r="O1203" t="str">
            <v>unknown</v>
          </cell>
          <cell r="P1203" t="str">
            <v>Unknown</v>
          </cell>
          <cell r="R1203">
            <v>3</v>
          </cell>
          <cell r="S1203" t="str">
            <v>NULL</v>
          </cell>
          <cell r="T1203" t="str">
            <v>normal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  <cell r="N1204" t="str">
            <v>ゴッド</v>
          </cell>
          <cell r="O1204" t="str">
            <v>unknown</v>
          </cell>
          <cell r="P1204" t="str">
            <v>Unknown</v>
          </cell>
          <cell r="R1204">
            <v>3</v>
          </cell>
          <cell r="S1204" t="str">
            <v>NULL</v>
          </cell>
          <cell r="T1204" t="str">
            <v>normal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  <cell r="N1205" t="str">
            <v>ゴッド</v>
          </cell>
          <cell r="O1205" t="str">
            <v>dragon</v>
          </cell>
          <cell r="P1205" t="str">
            <v>ドラゴン</v>
          </cell>
          <cell r="R1205">
            <v>3</v>
          </cell>
          <cell r="S1205" t="str">
            <v>NULL</v>
          </cell>
          <cell r="T1205" t="str">
            <v>normal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  <cell r="N1206" t="str">
            <v>ゴッド</v>
          </cell>
          <cell r="O1206" t="str">
            <v>dragon</v>
          </cell>
          <cell r="P1206" t="str">
            <v>ドラゴン</v>
          </cell>
          <cell r="R1206">
            <v>3</v>
          </cell>
          <cell r="S1206" t="str">
            <v>NULL</v>
          </cell>
          <cell r="T1206" t="str">
            <v>normal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  <cell r="N1207" t="str">
            <v>ゴッド</v>
          </cell>
          <cell r="O1207" t="str">
            <v>none</v>
          </cell>
          <cell r="P1207" t="str">
            <v>種族なし</v>
          </cell>
          <cell r="R1207">
            <v>3</v>
          </cell>
          <cell r="S1207" t="str">
            <v>NULL</v>
          </cell>
          <cell r="T1207" t="str">
            <v>normal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  <cell r="N1208" t="str">
            <v>ゴッド</v>
          </cell>
          <cell r="O1208" t="str">
            <v>none</v>
          </cell>
          <cell r="P1208" t="str">
            <v>種族なし</v>
          </cell>
          <cell r="R1208">
            <v>3</v>
          </cell>
          <cell r="S1208" t="str">
            <v>NULL</v>
          </cell>
          <cell r="T1208" t="str">
            <v>normal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  <cell r="N1209" t="str">
            <v>ゴッド</v>
          </cell>
          <cell r="O1209" t="str">
            <v>animal</v>
          </cell>
          <cell r="P1209" t="str">
            <v>アニマル</v>
          </cell>
          <cell r="R1209">
            <v>3</v>
          </cell>
          <cell r="S1209" t="str">
            <v>NULL</v>
          </cell>
          <cell r="T1209" t="str">
            <v>normal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  <cell r="N1210" t="str">
            <v>ゴッド</v>
          </cell>
          <cell r="O1210" t="str">
            <v>animal</v>
          </cell>
          <cell r="P1210" t="str">
            <v>アニマル</v>
          </cell>
          <cell r="R1210">
            <v>3</v>
          </cell>
          <cell r="S1210" t="str">
            <v>NULL</v>
          </cell>
          <cell r="T1210" t="str">
            <v>normal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  <cell r="N1211" t="str">
            <v>ゴッド</v>
          </cell>
          <cell r="O1211" t="str">
            <v>none</v>
          </cell>
          <cell r="P1211" t="str">
            <v>種族なし</v>
          </cell>
          <cell r="R1211">
            <v>3</v>
          </cell>
          <cell r="S1211" t="str">
            <v>NULL</v>
          </cell>
          <cell r="T1211" t="str">
            <v>normal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  <cell r="N1212" t="str">
            <v>ゴッド</v>
          </cell>
          <cell r="O1212" t="str">
            <v>none</v>
          </cell>
          <cell r="P1212" t="str">
            <v>種族なし</v>
          </cell>
          <cell r="R1212">
            <v>3</v>
          </cell>
          <cell r="S1212" t="str">
            <v>NULL</v>
          </cell>
          <cell r="T1212" t="str">
            <v>normal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  <cell r="N1213" t="str">
            <v>ゴッド</v>
          </cell>
          <cell r="O1213" t="str">
            <v>unknown</v>
          </cell>
          <cell r="P1213" t="str">
            <v>Unknown</v>
          </cell>
          <cell r="R1213">
            <v>3</v>
          </cell>
          <cell r="S1213" t="str">
            <v>NULL</v>
          </cell>
          <cell r="T1213" t="str">
            <v>normal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  <cell r="N1214" t="str">
            <v>ゴッド</v>
          </cell>
          <cell r="O1214" t="str">
            <v>unknown</v>
          </cell>
          <cell r="P1214" t="str">
            <v>Unknown</v>
          </cell>
          <cell r="R1214">
            <v>3</v>
          </cell>
          <cell r="S1214" t="str">
            <v>NULL</v>
          </cell>
          <cell r="T1214" t="str">
            <v>normal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  <cell r="N1215" t="str">
            <v>ゴッド</v>
          </cell>
          <cell r="O1215" t="str">
            <v>animal</v>
          </cell>
          <cell r="P1215" t="str">
            <v>アニマル</v>
          </cell>
          <cell r="R1215">
            <v>3</v>
          </cell>
          <cell r="S1215" t="str">
            <v>NULL</v>
          </cell>
          <cell r="T1215" t="str">
            <v>normal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  <cell r="N1216" t="str">
            <v>ゴッド</v>
          </cell>
          <cell r="O1216" t="str">
            <v>animal</v>
          </cell>
          <cell r="P1216" t="str">
            <v>アニマル</v>
          </cell>
          <cell r="R1216">
            <v>3</v>
          </cell>
          <cell r="S1216" t="str">
            <v>NULL</v>
          </cell>
          <cell r="T1216" t="str">
            <v>normal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  <cell r="N1217" t="str">
            <v>ヒューマン</v>
          </cell>
          <cell r="O1217" t="str">
            <v>none</v>
          </cell>
          <cell r="P1217" t="str">
            <v>種族なし</v>
          </cell>
          <cell r="R1217">
            <v>3</v>
          </cell>
          <cell r="S1217" t="str">
            <v>NULL</v>
          </cell>
          <cell r="T1217" t="str">
            <v>normal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  <cell r="N1218" t="str">
            <v>ヒューマン</v>
          </cell>
          <cell r="O1218" t="str">
            <v>none</v>
          </cell>
          <cell r="P1218" t="str">
            <v>種族なし</v>
          </cell>
          <cell r="R1218">
            <v>3</v>
          </cell>
          <cell r="S1218" t="str">
            <v>NULL</v>
          </cell>
          <cell r="T1218" t="str">
            <v>normal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  <cell r="N1219" t="str">
            <v>ヒューマン</v>
          </cell>
          <cell r="O1219" t="str">
            <v>unknown</v>
          </cell>
          <cell r="P1219" t="str">
            <v>Unknown</v>
          </cell>
          <cell r="R1219">
            <v>3</v>
          </cell>
          <cell r="S1219" t="str">
            <v>NULL</v>
          </cell>
          <cell r="T1219" t="str">
            <v>normal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  <cell r="N1220" t="str">
            <v>ヒューマン</v>
          </cell>
          <cell r="O1220" t="str">
            <v>unknown</v>
          </cell>
          <cell r="P1220" t="str">
            <v>Unknown</v>
          </cell>
          <cell r="R1220">
            <v>3</v>
          </cell>
          <cell r="S1220" t="str">
            <v>NULL</v>
          </cell>
          <cell r="T1220" t="str">
            <v>normal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  <cell r="N1221" t="str">
            <v>ヒューマン</v>
          </cell>
          <cell r="O1221" t="str">
            <v>none</v>
          </cell>
          <cell r="P1221" t="str">
            <v>種族なし</v>
          </cell>
          <cell r="R1221">
            <v>3</v>
          </cell>
          <cell r="S1221" t="str">
            <v>NULL</v>
          </cell>
          <cell r="T1221" t="str">
            <v>normal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  <cell r="N1222" t="str">
            <v>ヒューマン</v>
          </cell>
          <cell r="O1222" t="str">
            <v>none</v>
          </cell>
          <cell r="P1222" t="str">
            <v>種族なし</v>
          </cell>
          <cell r="R1222">
            <v>3</v>
          </cell>
          <cell r="S1222" t="str">
            <v>NULL</v>
          </cell>
          <cell r="T1222" t="str">
            <v>normal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  <cell r="N1223" t="str">
            <v>ヒューマン</v>
          </cell>
          <cell r="O1223" t="str">
            <v>unknown</v>
          </cell>
          <cell r="P1223" t="str">
            <v>Unknown</v>
          </cell>
          <cell r="R1223">
            <v>3</v>
          </cell>
          <cell r="S1223" t="str">
            <v>NULL</v>
          </cell>
          <cell r="T1223" t="str">
            <v>normal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  <cell r="N1224" t="str">
            <v>ヒューマン</v>
          </cell>
          <cell r="O1224" t="str">
            <v>unknown</v>
          </cell>
          <cell r="P1224" t="str">
            <v>Unknown</v>
          </cell>
          <cell r="R1224">
            <v>3</v>
          </cell>
          <cell r="S1224" t="str">
            <v>NULL</v>
          </cell>
          <cell r="T1224" t="str">
            <v>normal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  <cell r="N1225" t="str">
            <v>ヒューマン</v>
          </cell>
          <cell r="O1225" t="str">
            <v>none</v>
          </cell>
          <cell r="P1225" t="str">
            <v>種族なし</v>
          </cell>
          <cell r="R1225">
            <v>3</v>
          </cell>
          <cell r="S1225" t="str">
            <v>NULL</v>
          </cell>
          <cell r="T1225" t="str">
            <v>normal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  <cell r="N1226" t="str">
            <v>ヒューマン</v>
          </cell>
          <cell r="O1226" t="str">
            <v>none</v>
          </cell>
          <cell r="P1226" t="str">
            <v>種族なし</v>
          </cell>
          <cell r="R1226">
            <v>3</v>
          </cell>
          <cell r="S1226" t="str">
            <v>NULL</v>
          </cell>
          <cell r="T1226" t="str">
            <v>normal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  <cell r="N1227" t="str">
            <v>ヒューマン</v>
          </cell>
          <cell r="O1227" t="str">
            <v>machine</v>
          </cell>
          <cell r="P1227" t="str">
            <v>マシン</v>
          </cell>
          <cell r="R1227">
            <v>3</v>
          </cell>
          <cell r="S1227" t="str">
            <v>NULL</v>
          </cell>
          <cell r="T1227" t="str">
            <v>normal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  <cell r="N1228" t="str">
            <v>ヒューマン</v>
          </cell>
          <cell r="O1228" t="str">
            <v>machine</v>
          </cell>
          <cell r="P1228" t="str">
            <v>マシン</v>
          </cell>
          <cell r="R1228">
            <v>3</v>
          </cell>
          <cell r="S1228" t="str">
            <v>NULL</v>
          </cell>
          <cell r="T1228" t="str">
            <v>normal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  <cell r="N1229" t="str">
            <v>ヒューマン</v>
          </cell>
          <cell r="O1229" t="str">
            <v>unknown</v>
          </cell>
          <cell r="P1229" t="str">
            <v>Unknown</v>
          </cell>
          <cell r="R1229">
            <v>3</v>
          </cell>
          <cell r="S1229" t="str">
            <v>NULL</v>
          </cell>
          <cell r="T1229" t="str">
            <v>normal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  <cell r="N1230" t="str">
            <v>ヒューマン</v>
          </cell>
          <cell r="O1230" t="str">
            <v>unknown</v>
          </cell>
          <cell r="P1230" t="str">
            <v>Unknown</v>
          </cell>
          <cell r="R1230">
            <v>3</v>
          </cell>
          <cell r="S1230" t="str">
            <v>NULL</v>
          </cell>
          <cell r="T1230" t="str">
            <v>normal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  <cell r="N1231" t="str">
            <v>アニマル</v>
          </cell>
          <cell r="O1231" t="str">
            <v>none</v>
          </cell>
          <cell r="P1231" t="str">
            <v>種族なし</v>
          </cell>
          <cell r="R1231">
            <v>3</v>
          </cell>
          <cell r="S1231" t="str">
            <v>NULL</v>
          </cell>
          <cell r="T1231" t="str">
            <v>normal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  <cell r="N1232" t="str">
            <v>アニマル</v>
          </cell>
          <cell r="O1232" t="str">
            <v>none</v>
          </cell>
          <cell r="P1232" t="str">
            <v>種族なし</v>
          </cell>
          <cell r="R1232">
            <v>3</v>
          </cell>
          <cell r="S1232" t="str">
            <v>NULL</v>
          </cell>
          <cell r="T1232" t="str">
            <v>normal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  <cell r="N1233" t="str">
            <v>アカデミア</v>
          </cell>
          <cell r="O1233" t="str">
            <v>unknown</v>
          </cell>
          <cell r="P1233" t="str">
            <v>Unknown</v>
          </cell>
          <cell r="R1233">
            <v>3</v>
          </cell>
          <cell r="S1233" t="str">
            <v>NULL</v>
          </cell>
          <cell r="T1233" t="str">
            <v>normal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  <cell r="N1234" t="str">
            <v>アカデミア</v>
          </cell>
          <cell r="O1234" t="str">
            <v>unknown</v>
          </cell>
          <cell r="P1234" t="str">
            <v>Unknown</v>
          </cell>
          <cell r="R1234">
            <v>3</v>
          </cell>
          <cell r="S1234" t="str">
            <v>NULL</v>
          </cell>
          <cell r="T1234" t="str">
            <v>normal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  <cell r="N1235" t="str">
            <v>アカデミア</v>
          </cell>
          <cell r="O1235" t="str">
            <v>human</v>
          </cell>
          <cell r="P1235" t="str">
            <v>ヒューマン</v>
          </cell>
          <cell r="R1235">
            <v>3</v>
          </cell>
          <cell r="S1235" t="str">
            <v>NULL</v>
          </cell>
          <cell r="T1235" t="str">
            <v>normal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  <cell r="N1236" t="str">
            <v>アカデミア</v>
          </cell>
          <cell r="O1236" t="str">
            <v>human</v>
          </cell>
          <cell r="P1236" t="str">
            <v>ヒューマン</v>
          </cell>
          <cell r="R1236">
            <v>3</v>
          </cell>
          <cell r="S1236" t="str">
            <v>NULL</v>
          </cell>
          <cell r="T1236" t="str">
            <v>normal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  <cell r="N1237" t="str">
            <v>Unknown</v>
          </cell>
          <cell r="O1237" t="str">
            <v>none</v>
          </cell>
          <cell r="P1237" t="str">
            <v>種族なし</v>
          </cell>
          <cell r="R1237">
            <v>3</v>
          </cell>
          <cell r="S1237" t="str">
            <v>NULL</v>
          </cell>
          <cell r="T1237" t="str">
            <v>normal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  <cell r="N1238" t="str">
            <v>Unknown</v>
          </cell>
          <cell r="O1238" t="str">
            <v>none</v>
          </cell>
          <cell r="P1238" t="str">
            <v>種族なし</v>
          </cell>
          <cell r="R1238">
            <v>3</v>
          </cell>
          <cell r="S1238" t="str">
            <v>NULL</v>
          </cell>
          <cell r="T1238" t="str">
            <v>normal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  <cell r="N1239" t="str">
            <v>Unknown</v>
          </cell>
          <cell r="O1239" t="str">
            <v>none</v>
          </cell>
          <cell r="P1239" t="str">
            <v>種族なし</v>
          </cell>
          <cell r="R1239">
            <v>3</v>
          </cell>
          <cell r="S1239" t="str">
            <v>NULL</v>
          </cell>
          <cell r="T1239" t="str">
            <v>normal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  <cell r="N1240" t="str">
            <v>Unknown</v>
          </cell>
          <cell r="O1240" t="str">
            <v>none</v>
          </cell>
          <cell r="P1240" t="str">
            <v>種族なし</v>
          </cell>
          <cell r="R1240">
            <v>3</v>
          </cell>
          <cell r="S1240" t="str">
            <v>NULL</v>
          </cell>
          <cell r="T1240" t="str">
            <v>normal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  <cell r="N1241" t="str">
            <v>ヒューマン</v>
          </cell>
          <cell r="O1241" t="str">
            <v>samurai</v>
          </cell>
          <cell r="P1241" t="str">
            <v>サムライ</v>
          </cell>
          <cell r="R1241">
            <v>3</v>
          </cell>
          <cell r="S1241" t="str">
            <v>NULL</v>
          </cell>
          <cell r="T1241" t="str">
            <v>normal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  <cell r="N1242" t="str">
            <v>ヒューマン</v>
          </cell>
          <cell r="O1242" t="str">
            <v>samurai</v>
          </cell>
          <cell r="P1242" t="str">
            <v>サムライ</v>
          </cell>
          <cell r="R1242">
            <v>3</v>
          </cell>
          <cell r="S1242" t="str">
            <v>NULL</v>
          </cell>
          <cell r="T1242" t="str">
            <v>normal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  <cell r="N1243" t="str">
            <v>ヒューマン</v>
          </cell>
          <cell r="O1243" t="str">
            <v>samurai</v>
          </cell>
          <cell r="P1243" t="str">
            <v>サムライ</v>
          </cell>
          <cell r="R1243">
            <v>3</v>
          </cell>
          <cell r="S1243" t="str">
            <v>NULL</v>
          </cell>
          <cell r="T1243" t="str">
            <v>normal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  <cell r="N1244" t="str">
            <v>ヒューマン</v>
          </cell>
          <cell r="O1244" t="str">
            <v>samurai</v>
          </cell>
          <cell r="P1244" t="str">
            <v>サムライ</v>
          </cell>
          <cell r="R1244">
            <v>3</v>
          </cell>
          <cell r="S1244" t="str">
            <v>NULL</v>
          </cell>
          <cell r="T1244" t="str">
            <v>normal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  <cell r="N1245" t="str">
            <v>ヒューマン</v>
          </cell>
          <cell r="O1245" t="str">
            <v>none</v>
          </cell>
          <cell r="P1245" t="str">
            <v>種族なし</v>
          </cell>
          <cell r="R1245">
            <v>3</v>
          </cell>
          <cell r="S1245" t="str">
            <v>NULL</v>
          </cell>
          <cell r="T1245" t="str">
            <v>normal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  <cell r="N1246" t="str">
            <v>ヒューマン</v>
          </cell>
          <cell r="O1246" t="str">
            <v>none</v>
          </cell>
          <cell r="P1246" t="str">
            <v>種族なし</v>
          </cell>
          <cell r="R1246">
            <v>3</v>
          </cell>
          <cell r="S1246" t="str">
            <v>NULL</v>
          </cell>
          <cell r="T1246" t="str">
            <v>normal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  <cell r="N1247" t="str">
            <v>ヒューマン</v>
          </cell>
          <cell r="O1247" t="str">
            <v>none</v>
          </cell>
          <cell r="P1247" t="str">
            <v>種族なし</v>
          </cell>
          <cell r="R1247">
            <v>3</v>
          </cell>
          <cell r="S1247" t="str">
            <v>NULL</v>
          </cell>
          <cell r="T1247" t="str">
            <v>normal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  <cell r="N1248" t="str">
            <v>ヒューマン</v>
          </cell>
          <cell r="O1248" t="str">
            <v>none</v>
          </cell>
          <cell r="P1248" t="str">
            <v>種族なし</v>
          </cell>
          <cell r="R1248">
            <v>3</v>
          </cell>
          <cell r="S1248" t="str">
            <v>NULL</v>
          </cell>
          <cell r="T1248" t="str">
            <v>normal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  <cell r="N1249" t="str">
            <v>ヒューマン</v>
          </cell>
          <cell r="O1249" t="str">
            <v>none</v>
          </cell>
          <cell r="P1249" t="str">
            <v>種族なし</v>
          </cell>
          <cell r="R1249">
            <v>3</v>
          </cell>
          <cell r="S1249" t="str">
            <v>NULL</v>
          </cell>
          <cell r="T1249" t="str">
            <v>normal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  <cell r="N1250" t="str">
            <v>ヒューマン</v>
          </cell>
          <cell r="O1250" t="str">
            <v>none</v>
          </cell>
          <cell r="P1250" t="str">
            <v>種族なし</v>
          </cell>
          <cell r="R1250">
            <v>3</v>
          </cell>
          <cell r="S1250" t="str">
            <v>NULL</v>
          </cell>
          <cell r="T1250" t="str">
            <v>normal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  <cell r="N1251" t="str">
            <v>ヒューマン</v>
          </cell>
          <cell r="O1251" t="str">
            <v>samurai</v>
          </cell>
          <cell r="P1251" t="str">
            <v>サムライ</v>
          </cell>
          <cell r="R1251">
            <v>3</v>
          </cell>
          <cell r="S1251" t="str">
            <v>NULL</v>
          </cell>
          <cell r="T1251" t="str">
            <v>normal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  <cell r="N1252" t="str">
            <v>ヒューマン</v>
          </cell>
          <cell r="O1252" t="str">
            <v>samurai</v>
          </cell>
          <cell r="P1252" t="str">
            <v>サムライ</v>
          </cell>
          <cell r="R1252">
            <v>3</v>
          </cell>
          <cell r="S1252" t="str">
            <v>NULL</v>
          </cell>
          <cell r="T1252" t="str">
            <v>normal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  <cell r="N1253" t="str">
            <v>ゴッド</v>
          </cell>
          <cell r="O1253" t="str">
            <v>none</v>
          </cell>
          <cell r="P1253" t="str">
            <v>種族なし</v>
          </cell>
          <cell r="R1253">
            <v>3</v>
          </cell>
          <cell r="S1253" t="str">
            <v>NULL</v>
          </cell>
          <cell r="T1253" t="str">
            <v>normal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  <cell r="N1254" t="str">
            <v>ゴッド</v>
          </cell>
          <cell r="O1254" t="str">
            <v>none</v>
          </cell>
          <cell r="P1254" t="str">
            <v>種族なし</v>
          </cell>
          <cell r="R1254">
            <v>3</v>
          </cell>
          <cell r="S1254" t="str">
            <v>NULL</v>
          </cell>
          <cell r="T1254" t="str">
            <v>normal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  <cell r="N1255" t="str">
            <v>Unknown</v>
          </cell>
          <cell r="O1255" t="str">
            <v>demon</v>
          </cell>
          <cell r="P1255" t="str">
            <v>デーモン</v>
          </cell>
          <cell r="R1255">
            <v>1</v>
          </cell>
          <cell r="S1255" t="str">
            <v>NULL</v>
          </cell>
          <cell r="T1255" t="str">
            <v>normal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  <cell r="N1256" t="str">
            <v>Unknown</v>
          </cell>
          <cell r="O1256" t="str">
            <v>demon</v>
          </cell>
          <cell r="P1256" t="str">
            <v>デーモン</v>
          </cell>
          <cell r="R1256">
            <v>1</v>
          </cell>
          <cell r="S1256" t="str">
            <v>NULL</v>
          </cell>
          <cell r="T1256" t="str">
            <v>normal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  <cell r="N1257" t="str">
            <v>ゴッド</v>
          </cell>
          <cell r="O1257" t="str">
            <v>demon</v>
          </cell>
          <cell r="P1257" t="str">
            <v>デーモン</v>
          </cell>
          <cell r="R1257">
            <v>3</v>
          </cell>
          <cell r="S1257" t="str">
            <v>NULL</v>
          </cell>
          <cell r="T1257" t="str">
            <v>normal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  <cell r="N1258" t="str">
            <v>ゴッド</v>
          </cell>
          <cell r="O1258" t="str">
            <v>demon</v>
          </cell>
          <cell r="P1258" t="str">
            <v>デーモン</v>
          </cell>
          <cell r="R1258">
            <v>3</v>
          </cell>
          <cell r="S1258" t="str">
            <v>NULL</v>
          </cell>
          <cell r="T1258" t="str">
            <v>normal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  <cell r="N1259" t="str">
            <v>ゴッド</v>
          </cell>
          <cell r="O1259" t="str">
            <v>demon</v>
          </cell>
          <cell r="P1259" t="str">
            <v>デーモン</v>
          </cell>
          <cell r="R1259">
            <v>3</v>
          </cell>
          <cell r="S1259" t="str">
            <v>NULL</v>
          </cell>
          <cell r="T1259" t="str">
            <v>normal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  <cell r="N1260" t="str">
            <v>ゴッド</v>
          </cell>
          <cell r="O1260" t="str">
            <v>demon</v>
          </cell>
          <cell r="P1260" t="str">
            <v>デーモン</v>
          </cell>
          <cell r="R1260">
            <v>3</v>
          </cell>
          <cell r="S1260" t="str">
            <v>NULL</v>
          </cell>
          <cell r="T1260" t="str">
            <v>normal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  <cell r="N1261" t="str">
            <v>ゴッド</v>
          </cell>
          <cell r="O1261" t="str">
            <v>none</v>
          </cell>
          <cell r="P1261" t="str">
            <v>種族なし</v>
          </cell>
          <cell r="R1261">
            <v>3</v>
          </cell>
          <cell r="S1261" t="str">
            <v>NULL</v>
          </cell>
          <cell r="T1261" t="str">
            <v>normal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  <cell r="N1262" t="str">
            <v>ゴッド</v>
          </cell>
          <cell r="O1262" t="str">
            <v>none</v>
          </cell>
          <cell r="P1262" t="str">
            <v>種族なし</v>
          </cell>
          <cell r="R1262">
            <v>3</v>
          </cell>
          <cell r="S1262" t="str">
            <v>NULL</v>
          </cell>
          <cell r="T1262" t="str">
            <v>normal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  <cell r="N1263" t="str">
            <v>ゴッド</v>
          </cell>
          <cell r="O1263" t="str">
            <v>none</v>
          </cell>
          <cell r="P1263" t="str">
            <v>種族なし</v>
          </cell>
          <cell r="R1263">
            <v>3</v>
          </cell>
          <cell r="S1263" t="str">
            <v>NULL</v>
          </cell>
          <cell r="T1263" t="str">
            <v>normal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  <cell r="N1264" t="str">
            <v>ゴッド</v>
          </cell>
          <cell r="O1264" t="str">
            <v>none</v>
          </cell>
          <cell r="P1264" t="str">
            <v>種族なし</v>
          </cell>
          <cell r="R1264">
            <v>3</v>
          </cell>
          <cell r="S1264" t="str">
            <v>NULL</v>
          </cell>
          <cell r="T1264" t="str">
            <v>normal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  <cell r="N1265" t="str">
            <v>ゴッド</v>
          </cell>
          <cell r="O1265" t="str">
            <v>demon</v>
          </cell>
          <cell r="P1265" t="str">
            <v>デーモン</v>
          </cell>
          <cell r="R1265">
            <v>3</v>
          </cell>
          <cell r="S1265" t="str">
            <v>NULL</v>
          </cell>
          <cell r="T1265" t="str">
            <v>normal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  <cell r="N1266" t="str">
            <v>ゴッド</v>
          </cell>
          <cell r="O1266" t="str">
            <v>demon</v>
          </cell>
          <cell r="P1266" t="str">
            <v>デーモン</v>
          </cell>
          <cell r="R1266">
            <v>3</v>
          </cell>
          <cell r="S1266" t="str">
            <v>NULL</v>
          </cell>
          <cell r="T1266" t="str">
            <v>normal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  <cell r="N1267" t="str">
            <v>ゴッド</v>
          </cell>
          <cell r="O1267" t="str">
            <v>animal</v>
          </cell>
          <cell r="P1267" t="str">
            <v>アニマル</v>
          </cell>
          <cell r="R1267">
            <v>3</v>
          </cell>
          <cell r="S1267" t="str">
            <v>NULL</v>
          </cell>
          <cell r="T1267" t="str">
            <v>normal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  <cell r="N1268" t="str">
            <v>ゴッド</v>
          </cell>
          <cell r="O1268" t="str">
            <v>animal</v>
          </cell>
          <cell r="P1268" t="str">
            <v>アニマル</v>
          </cell>
          <cell r="R1268">
            <v>3</v>
          </cell>
          <cell r="S1268" t="str">
            <v>NULL</v>
          </cell>
          <cell r="T1268" t="str">
            <v>normal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  <cell r="N1269" t="str">
            <v>QUEEN</v>
          </cell>
          <cell r="O1269" t="str">
            <v>demon</v>
          </cell>
          <cell r="P1269" t="str">
            <v>デーモン</v>
          </cell>
          <cell r="R1269">
            <v>3</v>
          </cell>
          <cell r="S1269" t="str">
            <v>NULL</v>
          </cell>
          <cell r="T1269" t="str">
            <v>normal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  <cell r="N1270" t="str">
            <v>QUEEN</v>
          </cell>
          <cell r="O1270" t="str">
            <v>demon</v>
          </cell>
          <cell r="P1270" t="str">
            <v>デーモン</v>
          </cell>
          <cell r="R1270">
            <v>3</v>
          </cell>
          <cell r="S1270" t="str">
            <v>NULL</v>
          </cell>
          <cell r="T1270" t="str">
            <v>normal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  <cell r="N1271" t="str">
            <v>QUEEN</v>
          </cell>
          <cell r="O1271" t="str">
            <v>none</v>
          </cell>
          <cell r="P1271" t="str">
            <v>種族なし</v>
          </cell>
          <cell r="R1271">
            <v>1</v>
          </cell>
          <cell r="S1271" t="str">
            <v>NULL</v>
          </cell>
          <cell r="T1271" t="str">
            <v>super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  <cell r="N1272" t="str">
            <v>QUEEN</v>
          </cell>
          <cell r="O1272" t="str">
            <v>demon</v>
          </cell>
          <cell r="P1272" t="str">
            <v>デーモン</v>
          </cell>
          <cell r="R1272">
            <v>1</v>
          </cell>
          <cell r="S1272" t="str">
            <v>NULL</v>
          </cell>
          <cell r="T1272" t="str">
            <v>normal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  <cell r="N1273" t="str">
            <v>QUEEN</v>
          </cell>
          <cell r="O1273" t="str">
            <v>demon</v>
          </cell>
          <cell r="P1273" t="str">
            <v>デーモン</v>
          </cell>
          <cell r="R1273">
            <v>1</v>
          </cell>
          <cell r="S1273" t="str">
            <v>NULL</v>
          </cell>
          <cell r="T1273" t="str">
            <v>normal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  <cell r="N1274" t="str">
            <v>ヒューマン</v>
          </cell>
          <cell r="O1274" t="str">
            <v>samurai</v>
          </cell>
          <cell r="P1274" t="str">
            <v>サムライ</v>
          </cell>
          <cell r="R1274">
            <v>3</v>
          </cell>
          <cell r="S1274" t="str">
            <v>NULL</v>
          </cell>
          <cell r="T1274" t="str">
            <v>super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  <cell r="N1275" t="str">
            <v>ヒューマン</v>
          </cell>
          <cell r="O1275" t="str">
            <v>none</v>
          </cell>
          <cell r="P1275" t="str">
            <v>種族なし</v>
          </cell>
          <cell r="R1275">
            <v>3</v>
          </cell>
          <cell r="S1275" t="str">
            <v>NULL</v>
          </cell>
          <cell r="T1275" t="str">
            <v>normal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  <cell r="N1276" t="str">
            <v>ゴッド</v>
          </cell>
          <cell r="O1276" t="str">
            <v>none</v>
          </cell>
          <cell r="P1276" t="str">
            <v>種族なし</v>
          </cell>
          <cell r="R1276">
            <v>3</v>
          </cell>
          <cell r="S1276" t="str">
            <v>NULL</v>
          </cell>
          <cell r="T1276" t="str">
            <v>normal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  <cell r="N1277" t="str">
            <v>ゴッド</v>
          </cell>
          <cell r="O1277" t="str">
            <v>none</v>
          </cell>
          <cell r="P1277" t="str">
            <v>種族なし</v>
          </cell>
          <cell r="R1277">
            <v>3</v>
          </cell>
          <cell r="S1277" t="str">
            <v>NULL</v>
          </cell>
          <cell r="T1277" t="str">
            <v>normal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  <cell r="N1278" t="str">
            <v>ゴッド</v>
          </cell>
          <cell r="O1278" t="str">
            <v>machine</v>
          </cell>
          <cell r="P1278" t="str">
            <v>マシン</v>
          </cell>
          <cell r="R1278">
            <v>3</v>
          </cell>
          <cell r="S1278" t="str">
            <v>NULL</v>
          </cell>
          <cell r="T1278" t="str">
            <v>normal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  <cell r="N1279" t="str">
            <v>Unknown</v>
          </cell>
          <cell r="O1279" t="str">
            <v>hero</v>
          </cell>
          <cell r="P1279" t="str">
            <v>ヒーロー</v>
          </cell>
          <cell r="R1279">
            <v>3</v>
          </cell>
          <cell r="S1279" t="str">
            <v>NULL</v>
          </cell>
          <cell r="T1279" t="str">
            <v>normal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  <cell r="N1280" t="str">
            <v>Unknown</v>
          </cell>
          <cell r="O1280" t="str">
            <v>hero</v>
          </cell>
          <cell r="P1280" t="str">
            <v>ヒーロー</v>
          </cell>
          <cell r="R1280">
            <v>3</v>
          </cell>
          <cell r="S1280" t="str">
            <v>NULL</v>
          </cell>
          <cell r="T1280" t="str">
            <v>normal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  <cell r="N1281" t="str">
            <v>ヒューマン</v>
          </cell>
          <cell r="O1281" t="str">
            <v>none</v>
          </cell>
          <cell r="P1281" t="str">
            <v>種族なし</v>
          </cell>
          <cell r="R1281">
            <v>3</v>
          </cell>
          <cell r="S1281" t="str">
            <v>NULL</v>
          </cell>
          <cell r="T1281" t="str">
            <v>normal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  <cell r="N1282" t="str">
            <v>ヒューマン</v>
          </cell>
          <cell r="O1282" t="str">
            <v>animal</v>
          </cell>
          <cell r="P1282" t="str">
            <v>アニマル</v>
          </cell>
          <cell r="R1282">
            <v>3</v>
          </cell>
          <cell r="S1282" t="str">
            <v>NULL</v>
          </cell>
          <cell r="T1282" t="str">
            <v>normal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  <cell r="N1283" t="str">
            <v>Unknown</v>
          </cell>
          <cell r="O1283" t="str">
            <v>none</v>
          </cell>
          <cell r="P1283" t="str">
            <v>種族なし</v>
          </cell>
          <cell r="R1283">
            <v>3</v>
          </cell>
          <cell r="S1283" t="str">
            <v>NULL</v>
          </cell>
          <cell r="T1283" t="str">
            <v>normal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  <cell r="N1284" t="str">
            <v>Unknown</v>
          </cell>
          <cell r="O1284" t="str">
            <v>none</v>
          </cell>
          <cell r="P1284" t="str">
            <v>種族なし</v>
          </cell>
          <cell r="R1284">
            <v>3</v>
          </cell>
          <cell r="S1284" t="str">
            <v>NULL</v>
          </cell>
          <cell r="T1284" t="str">
            <v>normal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  <cell r="N1285" t="str">
            <v>Unknown</v>
          </cell>
          <cell r="O1285" t="str">
            <v>human</v>
          </cell>
          <cell r="P1285" t="str">
            <v>ヒューマン</v>
          </cell>
          <cell r="R1285">
            <v>3</v>
          </cell>
          <cell r="S1285" t="str">
            <v>NULL</v>
          </cell>
          <cell r="T1285" t="str">
            <v>normal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  <cell r="N1286" t="str">
            <v>Unknown</v>
          </cell>
          <cell r="O1286" t="str">
            <v>human</v>
          </cell>
          <cell r="P1286" t="str">
            <v>ヒューマン</v>
          </cell>
          <cell r="R1286">
            <v>3</v>
          </cell>
          <cell r="S1286" t="str">
            <v>NULL</v>
          </cell>
          <cell r="T1286" t="str">
            <v>normal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  <cell r="N1287" t="str">
            <v>ヒューマン</v>
          </cell>
          <cell r="O1287" t="str">
            <v>none</v>
          </cell>
          <cell r="P1287" t="str">
            <v>種族なし</v>
          </cell>
          <cell r="R1287">
            <v>3</v>
          </cell>
          <cell r="S1287" t="str">
            <v>NULL</v>
          </cell>
          <cell r="T1287" t="str">
            <v>normal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  <cell r="N1288" t="str">
            <v>ヒューマン</v>
          </cell>
          <cell r="O1288" t="str">
            <v>none</v>
          </cell>
          <cell r="P1288" t="str">
            <v>種族なし</v>
          </cell>
          <cell r="R1288">
            <v>3</v>
          </cell>
          <cell r="S1288" t="str">
            <v>NULL</v>
          </cell>
          <cell r="T1288" t="str">
            <v>normal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  <cell r="N1289" t="str">
            <v>ヒューマン</v>
          </cell>
          <cell r="O1289" t="str">
            <v>none</v>
          </cell>
          <cell r="P1289" t="str">
            <v>種族なし</v>
          </cell>
          <cell r="R1289">
            <v>3</v>
          </cell>
          <cell r="S1289" t="str">
            <v>NULL</v>
          </cell>
          <cell r="T1289" t="str">
            <v>super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  <cell r="N1290" t="str">
            <v>Unknown</v>
          </cell>
          <cell r="O1290" t="str">
            <v>none</v>
          </cell>
          <cell r="P1290" t="str">
            <v>種族なし</v>
          </cell>
          <cell r="R1290">
            <v>3</v>
          </cell>
          <cell r="S1290" t="str">
            <v>NULL</v>
          </cell>
          <cell r="T1290" t="str">
            <v>normal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  <cell r="N1291" t="str">
            <v>Unknown</v>
          </cell>
          <cell r="O1291" t="str">
            <v>none</v>
          </cell>
          <cell r="P1291" t="str">
            <v>種族なし</v>
          </cell>
          <cell r="R1291">
            <v>3</v>
          </cell>
          <cell r="S1291" t="str">
            <v>NULL</v>
          </cell>
          <cell r="T1291" t="str">
            <v>normal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  <cell r="N1292" t="str">
            <v>アニマル</v>
          </cell>
          <cell r="O1292" t="str">
            <v>none</v>
          </cell>
          <cell r="P1292" t="str">
            <v>種族なし</v>
          </cell>
          <cell r="R1292">
            <v>3</v>
          </cell>
          <cell r="S1292" t="str">
            <v>NULL</v>
          </cell>
          <cell r="T1292" t="str">
            <v>normal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  <cell r="N1293" t="str">
            <v>アニマル</v>
          </cell>
          <cell r="O1293" t="str">
            <v>none</v>
          </cell>
          <cell r="P1293" t="str">
            <v>種族なし</v>
          </cell>
          <cell r="R1293">
            <v>3</v>
          </cell>
          <cell r="S1293" t="str">
            <v>NULL</v>
          </cell>
          <cell r="T1293" t="str">
            <v>normal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  <cell r="N1294" t="str">
            <v>アニマル</v>
          </cell>
          <cell r="O1294" t="str">
            <v>god</v>
          </cell>
          <cell r="P1294" t="str">
            <v>ゴッド</v>
          </cell>
          <cell r="R1294">
            <v>3</v>
          </cell>
          <cell r="S1294" t="str">
            <v>NULL</v>
          </cell>
          <cell r="T1294" t="str">
            <v>normal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  <cell r="N1295" t="str">
            <v>アニマル</v>
          </cell>
          <cell r="O1295" t="str">
            <v>god</v>
          </cell>
          <cell r="P1295" t="str">
            <v>ゴッド</v>
          </cell>
          <cell r="R1295">
            <v>3</v>
          </cell>
          <cell r="S1295" t="str">
            <v>NULL</v>
          </cell>
          <cell r="T1295" t="str">
            <v>normal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  <cell r="N1296" t="str">
            <v>Unknown</v>
          </cell>
          <cell r="O1296" t="str">
            <v>none</v>
          </cell>
          <cell r="P1296" t="str">
            <v>種族なし</v>
          </cell>
          <cell r="R1296">
            <v>3</v>
          </cell>
          <cell r="S1296" t="str">
            <v>NULL</v>
          </cell>
          <cell r="T1296" t="str">
            <v>normal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  <cell r="N1297" t="str">
            <v>Unknown</v>
          </cell>
          <cell r="O1297" t="str">
            <v>none</v>
          </cell>
          <cell r="P1297" t="str">
            <v>種族なし</v>
          </cell>
          <cell r="R1297">
            <v>3</v>
          </cell>
          <cell r="S1297" t="str">
            <v>NULL</v>
          </cell>
          <cell r="T1297" t="str">
            <v>normal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  <cell r="N1298" t="str">
            <v>Unknown</v>
          </cell>
          <cell r="O1298" t="str">
            <v>none</v>
          </cell>
          <cell r="P1298" t="str">
            <v>種族なし</v>
          </cell>
          <cell r="R1298">
            <v>3</v>
          </cell>
          <cell r="S1298" t="str">
            <v>NULL</v>
          </cell>
          <cell r="T1298" t="str">
            <v>normal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  <cell r="N1299" t="str">
            <v>Unknown</v>
          </cell>
          <cell r="O1299" t="str">
            <v>none</v>
          </cell>
          <cell r="P1299" t="str">
            <v>種族なし</v>
          </cell>
          <cell r="R1299">
            <v>3</v>
          </cell>
          <cell r="S1299" t="str">
            <v>NULL</v>
          </cell>
          <cell r="T1299" t="str">
            <v>normal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  <cell r="N1300" t="str">
            <v>Unknown</v>
          </cell>
          <cell r="O1300" t="str">
            <v>none</v>
          </cell>
          <cell r="P1300" t="str">
            <v>種族なし</v>
          </cell>
          <cell r="R1300">
            <v>3</v>
          </cell>
          <cell r="S1300" t="str">
            <v>NULL</v>
          </cell>
          <cell r="T1300" t="str">
            <v>normal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  <cell r="N1301" t="str">
            <v>Unknown</v>
          </cell>
          <cell r="O1301" t="str">
            <v>none</v>
          </cell>
          <cell r="P1301" t="str">
            <v>種族なし</v>
          </cell>
          <cell r="R1301">
            <v>3</v>
          </cell>
          <cell r="S1301" t="str">
            <v>NULL</v>
          </cell>
          <cell r="T1301" t="str">
            <v>normal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  <cell r="N1302" t="str">
            <v>Unknown</v>
          </cell>
          <cell r="O1302" t="str">
            <v>none</v>
          </cell>
          <cell r="P1302" t="str">
            <v>種族なし</v>
          </cell>
          <cell r="R1302">
            <v>3</v>
          </cell>
          <cell r="S1302" t="str">
            <v>NULL</v>
          </cell>
          <cell r="T1302" t="str">
            <v>normal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  <cell r="N1303" t="str">
            <v>Unknown</v>
          </cell>
          <cell r="O1303" t="str">
            <v>none</v>
          </cell>
          <cell r="P1303" t="str">
            <v>種族なし</v>
          </cell>
          <cell r="R1303">
            <v>3</v>
          </cell>
          <cell r="S1303" t="str">
            <v>NULL</v>
          </cell>
          <cell r="T1303" t="str">
            <v>normal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  <cell r="N1304" t="str">
            <v>Unknown</v>
          </cell>
          <cell r="O1304" t="str">
            <v>none</v>
          </cell>
          <cell r="P1304" t="str">
            <v>種族なし</v>
          </cell>
          <cell r="R1304">
            <v>3</v>
          </cell>
          <cell r="S1304" t="str">
            <v>NULL</v>
          </cell>
          <cell r="T1304" t="str">
            <v>normal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  <cell r="N1305" t="str">
            <v>Unknown</v>
          </cell>
          <cell r="O1305" t="str">
            <v>none</v>
          </cell>
          <cell r="P1305" t="str">
            <v>種族なし</v>
          </cell>
          <cell r="R1305">
            <v>3</v>
          </cell>
          <cell r="S1305" t="str">
            <v>NULL</v>
          </cell>
          <cell r="T1305" t="str">
            <v>normal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  <cell r="N1306" t="str">
            <v>Unknown</v>
          </cell>
          <cell r="O1306" t="str">
            <v>none</v>
          </cell>
          <cell r="P1306" t="str">
            <v>種族なし</v>
          </cell>
          <cell r="R1306">
            <v>3</v>
          </cell>
          <cell r="S1306" t="str">
            <v>NULL</v>
          </cell>
          <cell r="T1306" t="str">
            <v>normal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  <cell r="N1307" t="str">
            <v>Unknown</v>
          </cell>
          <cell r="O1307" t="str">
            <v>none</v>
          </cell>
          <cell r="P1307" t="str">
            <v>種族なし</v>
          </cell>
          <cell r="R1307">
            <v>3</v>
          </cell>
          <cell r="S1307" t="str">
            <v>NULL</v>
          </cell>
          <cell r="T1307" t="str">
            <v>normal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  <cell r="N1308" t="str">
            <v>Unknown</v>
          </cell>
          <cell r="O1308" t="str">
            <v>none</v>
          </cell>
          <cell r="P1308" t="str">
            <v>種族なし</v>
          </cell>
          <cell r="R1308">
            <v>3</v>
          </cell>
          <cell r="S1308" t="str">
            <v>NULL</v>
          </cell>
          <cell r="T1308" t="str">
            <v>normal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  <cell r="N1309" t="str">
            <v>Unknown</v>
          </cell>
          <cell r="O1309" t="str">
            <v>none</v>
          </cell>
          <cell r="P1309" t="str">
            <v>種族なし</v>
          </cell>
          <cell r="R1309">
            <v>3</v>
          </cell>
          <cell r="S1309" t="str">
            <v>NULL</v>
          </cell>
          <cell r="T1309" t="str">
            <v>normal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  <cell r="N1310" t="str">
            <v>Unknown</v>
          </cell>
          <cell r="O1310" t="str">
            <v>none</v>
          </cell>
          <cell r="P1310" t="str">
            <v>種族なし</v>
          </cell>
          <cell r="R1310">
            <v>3</v>
          </cell>
          <cell r="S1310" t="str">
            <v>NULL</v>
          </cell>
          <cell r="T1310" t="str">
            <v>normal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  <cell r="N1311" t="str">
            <v>Unknown</v>
          </cell>
          <cell r="O1311" t="str">
            <v>none</v>
          </cell>
          <cell r="P1311" t="str">
            <v>種族なし</v>
          </cell>
          <cell r="R1311">
            <v>3</v>
          </cell>
          <cell r="S1311" t="str">
            <v>NULL</v>
          </cell>
          <cell r="T1311" t="str">
            <v>super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  <cell r="N1312" t="str">
            <v>Unknown</v>
          </cell>
          <cell r="O1312" t="str">
            <v>none</v>
          </cell>
          <cell r="P1312" t="str">
            <v>種族なし</v>
          </cell>
          <cell r="R1312">
            <v>3</v>
          </cell>
          <cell r="S1312" t="str">
            <v>NULL</v>
          </cell>
          <cell r="T1312" t="str">
            <v>normal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  <cell r="N1313" t="str">
            <v>Unknown</v>
          </cell>
          <cell r="O1313" t="str">
            <v>none</v>
          </cell>
          <cell r="P1313" t="str">
            <v>種族なし</v>
          </cell>
          <cell r="R1313">
            <v>3</v>
          </cell>
          <cell r="S1313" t="str">
            <v>NULL</v>
          </cell>
          <cell r="T1313" t="str">
            <v>normal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  <cell r="N1314" t="str">
            <v>Unknown</v>
          </cell>
          <cell r="O1314" t="str">
            <v>none</v>
          </cell>
          <cell r="P1314" t="str">
            <v>種族なし</v>
          </cell>
          <cell r="R1314">
            <v>3</v>
          </cell>
          <cell r="S1314" t="str">
            <v>NULL</v>
          </cell>
          <cell r="T1314" t="str">
            <v>normal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  <cell r="N1315" t="str">
            <v>Unknown</v>
          </cell>
          <cell r="O1315" t="str">
            <v>none</v>
          </cell>
          <cell r="P1315" t="str">
            <v>種族なし</v>
          </cell>
          <cell r="R1315">
            <v>3</v>
          </cell>
          <cell r="S1315" t="str">
            <v>NULL</v>
          </cell>
          <cell r="T1315" t="str">
            <v>normal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  <cell r="N1316" t="str">
            <v>Unknown</v>
          </cell>
          <cell r="O1316" t="str">
            <v>none</v>
          </cell>
          <cell r="P1316" t="str">
            <v>種族なし</v>
          </cell>
          <cell r="R1316">
            <v>3</v>
          </cell>
          <cell r="S1316" t="str">
            <v>NULL</v>
          </cell>
          <cell r="T1316" t="str">
            <v>normal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  <cell r="N1317" t="str">
            <v>Unknown</v>
          </cell>
          <cell r="O1317" t="str">
            <v>none</v>
          </cell>
          <cell r="P1317" t="str">
            <v>種族なし</v>
          </cell>
          <cell r="R1317">
            <v>3</v>
          </cell>
          <cell r="S1317" t="str">
            <v>NULL</v>
          </cell>
          <cell r="T1317" t="str">
            <v>normal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  <cell r="N1318" t="str">
            <v>Unknown</v>
          </cell>
          <cell r="O1318" t="str">
            <v>none</v>
          </cell>
          <cell r="P1318" t="str">
            <v>種族なし</v>
          </cell>
          <cell r="R1318">
            <v>3</v>
          </cell>
          <cell r="S1318" t="str">
            <v>NULL</v>
          </cell>
          <cell r="T1318" t="str">
            <v>normal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  <cell r="N1319" t="str">
            <v>Unknown</v>
          </cell>
          <cell r="O1319" t="str">
            <v>none</v>
          </cell>
          <cell r="P1319" t="str">
            <v>種族なし</v>
          </cell>
          <cell r="R1319">
            <v>3</v>
          </cell>
          <cell r="S1319" t="str">
            <v>NULL</v>
          </cell>
          <cell r="T1319" t="str">
            <v>normal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  <cell r="N1320" t="str">
            <v>Unknown</v>
          </cell>
          <cell r="O1320" t="str">
            <v>none</v>
          </cell>
          <cell r="P1320" t="str">
            <v>種族なし</v>
          </cell>
          <cell r="R1320">
            <v>3</v>
          </cell>
          <cell r="S1320" t="str">
            <v>NULL</v>
          </cell>
          <cell r="T1320" t="str">
            <v>normal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  <cell r="N1321" t="str">
            <v>Unknown</v>
          </cell>
          <cell r="O1321" t="str">
            <v>none</v>
          </cell>
          <cell r="P1321" t="str">
            <v>種族なし</v>
          </cell>
          <cell r="R1321">
            <v>3</v>
          </cell>
          <cell r="S1321" t="str">
            <v>NULL</v>
          </cell>
          <cell r="T1321" t="str">
            <v>normal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  <cell r="N1322" t="str">
            <v>Unknown</v>
          </cell>
          <cell r="O1322" t="str">
            <v>none</v>
          </cell>
          <cell r="P1322" t="str">
            <v>種族なし</v>
          </cell>
          <cell r="R1322">
            <v>3</v>
          </cell>
          <cell r="S1322" t="str">
            <v>NULL</v>
          </cell>
          <cell r="T1322" t="str">
            <v>normal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  <cell r="N1323" t="str">
            <v>Unknown</v>
          </cell>
          <cell r="O1323" t="str">
            <v>none</v>
          </cell>
          <cell r="P1323" t="str">
            <v>種族なし</v>
          </cell>
          <cell r="R1323">
            <v>3</v>
          </cell>
          <cell r="S1323" t="str">
            <v>NULL</v>
          </cell>
          <cell r="T1323" t="str">
            <v>normal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  <cell r="N1324" t="str">
            <v>Unknown</v>
          </cell>
          <cell r="O1324" t="str">
            <v>none</v>
          </cell>
          <cell r="P1324" t="str">
            <v>種族なし</v>
          </cell>
          <cell r="R1324">
            <v>3</v>
          </cell>
          <cell r="S1324" t="str">
            <v>NULL</v>
          </cell>
          <cell r="T1324" t="str">
            <v>normal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  <cell r="N1325" t="str">
            <v>アニマル</v>
          </cell>
          <cell r="O1325" t="str">
            <v>unknown</v>
          </cell>
          <cell r="P1325" t="str">
            <v>Unknown</v>
          </cell>
          <cell r="R1325">
            <v>3</v>
          </cell>
          <cell r="S1325" t="str">
            <v>NULL</v>
          </cell>
          <cell r="T1325" t="str">
            <v>normal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  <cell r="N1326" t="str">
            <v>アニマル</v>
          </cell>
          <cell r="O1326" t="str">
            <v>unknown</v>
          </cell>
          <cell r="P1326" t="str">
            <v>Unknown</v>
          </cell>
          <cell r="R1326">
            <v>3</v>
          </cell>
          <cell r="S1326" t="str">
            <v>NULL</v>
          </cell>
          <cell r="T1326" t="str">
            <v>normal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  <cell r="N1327" t="str">
            <v>ゴッド</v>
          </cell>
          <cell r="O1327" t="str">
            <v>none</v>
          </cell>
          <cell r="P1327" t="str">
            <v>種族なし</v>
          </cell>
          <cell r="R1327">
            <v>3</v>
          </cell>
          <cell r="S1327" t="str">
            <v>NULL</v>
          </cell>
          <cell r="T1327" t="str">
            <v>normal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  <cell r="N1328" t="str">
            <v>ゴッド</v>
          </cell>
          <cell r="O1328" t="str">
            <v>none</v>
          </cell>
          <cell r="P1328" t="str">
            <v>種族なし</v>
          </cell>
          <cell r="R1328">
            <v>3</v>
          </cell>
          <cell r="S1328" t="str">
            <v>NULL</v>
          </cell>
          <cell r="T1328" t="str">
            <v>normal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  <cell r="N1329" t="str">
            <v>ゴッド</v>
          </cell>
          <cell r="O1329" t="str">
            <v>none</v>
          </cell>
          <cell r="P1329" t="str">
            <v>種族なし</v>
          </cell>
          <cell r="R1329">
            <v>1</v>
          </cell>
          <cell r="S1329" t="str">
            <v>NULL</v>
          </cell>
          <cell r="T1329" t="str">
            <v>normal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  <cell r="N1330" t="str">
            <v>ゴッド</v>
          </cell>
          <cell r="O1330" t="str">
            <v>none</v>
          </cell>
          <cell r="P1330" t="str">
            <v>種族なし</v>
          </cell>
          <cell r="R1330">
            <v>1</v>
          </cell>
          <cell r="S1330" t="str">
            <v>NULL</v>
          </cell>
          <cell r="T1330" t="str">
            <v>normal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  <cell r="N1331" t="str">
            <v>ヒーロー</v>
          </cell>
          <cell r="O1331" t="str">
            <v>none</v>
          </cell>
          <cell r="P1331" t="str">
            <v>種族なし</v>
          </cell>
          <cell r="R1331">
            <v>3</v>
          </cell>
          <cell r="S1331" t="str">
            <v>NULL</v>
          </cell>
          <cell r="T1331" t="str">
            <v>normal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  <cell r="N1332" t="str">
            <v>ヒーロー</v>
          </cell>
          <cell r="O1332" t="str">
            <v>none</v>
          </cell>
          <cell r="P1332" t="str">
            <v>種族なし</v>
          </cell>
          <cell r="R1332">
            <v>3</v>
          </cell>
          <cell r="S1332" t="str">
            <v>NULL</v>
          </cell>
          <cell r="T1332" t="str">
            <v>normal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  <cell r="N1333" t="str">
            <v>ゴッド</v>
          </cell>
          <cell r="O1333" t="str">
            <v>none</v>
          </cell>
          <cell r="P1333" t="str">
            <v>種族なし</v>
          </cell>
          <cell r="R1333">
            <v>3</v>
          </cell>
          <cell r="S1333" t="str">
            <v>NULL</v>
          </cell>
          <cell r="T1333" t="str">
            <v>normal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  <cell r="N1334" t="str">
            <v>ゴッド</v>
          </cell>
          <cell r="O1334" t="str">
            <v>none</v>
          </cell>
          <cell r="P1334" t="str">
            <v>種族なし</v>
          </cell>
          <cell r="R1334">
            <v>3</v>
          </cell>
          <cell r="S1334" t="str">
            <v>NULL</v>
          </cell>
          <cell r="T1334" t="str">
            <v>normal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  <cell r="N1335" t="str">
            <v>ゴッド</v>
          </cell>
          <cell r="O1335" t="str">
            <v>none</v>
          </cell>
          <cell r="P1335" t="str">
            <v>種族なし</v>
          </cell>
          <cell r="R1335">
            <v>3</v>
          </cell>
          <cell r="S1335" t="str">
            <v>NULL</v>
          </cell>
          <cell r="T1335" t="str">
            <v>normal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  <cell r="N1336" t="str">
            <v>ゴッド</v>
          </cell>
          <cell r="O1336" t="str">
            <v>none</v>
          </cell>
          <cell r="P1336" t="str">
            <v>種族なし</v>
          </cell>
          <cell r="R1336">
            <v>3</v>
          </cell>
          <cell r="S1336" t="str">
            <v>NULL</v>
          </cell>
          <cell r="T1336" t="str">
            <v>normal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  <cell r="N1337" t="str">
            <v>ゴッド</v>
          </cell>
          <cell r="O1337" t="str">
            <v>hero</v>
          </cell>
          <cell r="P1337" t="str">
            <v>ヒーロー</v>
          </cell>
          <cell r="R1337">
            <v>3</v>
          </cell>
          <cell r="S1337" t="str">
            <v>NULL</v>
          </cell>
          <cell r="T1337" t="str">
            <v>normal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  <cell r="N1338" t="str">
            <v>ゴッド</v>
          </cell>
          <cell r="O1338" t="str">
            <v>hero</v>
          </cell>
          <cell r="P1338" t="str">
            <v>ヒーロー</v>
          </cell>
          <cell r="R1338">
            <v>3</v>
          </cell>
          <cell r="S1338" t="str">
            <v>NULL</v>
          </cell>
          <cell r="T1338" t="str">
            <v>normal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  <cell r="N1339" t="str">
            <v>ゴッド</v>
          </cell>
          <cell r="O1339" t="str">
            <v>none</v>
          </cell>
          <cell r="P1339" t="str">
            <v>種族なし</v>
          </cell>
          <cell r="R1339">
            <v>3</v>
          </cell>
          <cell r="S1339" t="str">
            <v>NULL</v>
          </cell>
          <cell r="T1339" t="str">
            <v>normal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  <cell r="N1340" t="str">
            <v>ゴッド</v>
          </cell>
          <cell r="O1340" t="str">
            <v>none</v>
          </cell>
          <cell r="P1340" t="str">
            <v>種族なし</v>
          </cell>
          <cell r="R1340">
            <v>3</v>
          </cell>
          <cell r="S1340" t="str">
            <v>NULL</v>
          </cell>
          <cell r="T1340" t="str">
            <v>normal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  <cell r="N1341" t="str">
            <v>アカデミア</v>
          </cell>
          <cell r="O1341" t="str">
            <v>demon</v>
          </cell>
          <cell r="P1341" t="str">
            <v>デーモン</v>
          </cell>
          <cell r="R1341">
            <v>3</v>
          </cell>
          <cell r="S1341" t="str">
            <v>NULL</v>
          </cell>
          <cell r="T1341" t="str">
            <v>normal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  <cell r="N1342" t="str">
            <v>アカデミア</v>
          </cell>
          <cell r="O1342" t="str">
            <v>demon</v>
          </cell>
          <cell r="P1342" t="str">
            <v>デーモン</v>
          </cell>
          <cell r="R1342">
            <v>3</v>
          </cell>
          <cell r="S1342" t="str">
            <v>NULL</v>
          </cell>
          <cell r="T1342" t="str">
            <v>normal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technical</v>
          </cell>
          <cell r="L1343" t="str">
            <v>テクニカルタイプ</v>
          </cell>
          <cell r="M1343" t="str">
            <v>machine</v>
          </cell>
          <cell r="N1343" t="str">
            <v>マシン</v>
          </cell>
          <cell r="O1343" t="str">
            <v>demon</v>
          </cell>
          <cell r="P1343" t="str">
            <v>デーモン</v>
          </cell>
          <cell r="R1343">
            <v>3</v>
          </cell>
          <cell r="S1343" t="str">
            <v>NULL</v>
          </cell>
          <cell r="T1343" t="str">
            <v>normal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technical</v>
          </cell>
          <cell r="L1344" t="str">
            <v>テクニカルタイプ</v>
          </cell>
          <cell r="M1344" t="str">
            <v>machine</v>
          </cell>
          <cell r="N1344" t="str">
            <v>マシン</v>
          </cell>
          <cell r="O1344" t="str">
            <v>demon</v>
          </cell>
          <cell r="P1344" t="str">
            <v>デーモン</v>
          </cell>
          <cell r="R1344">
            <v>3</v>
          </cell>
          <cell r="S1344" t="str">
            <v>NULL</v>
          </cell>
          <cell r="T1344" t="str">
            <v>normal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  <cell r="N1345" t="str">
            <v>ヒーロー</v>
          </cell>
          <cell r="O1345" t="str">
            <v>unknown</v>
          </cell>
          <cell r="P1345" t="str">
            <v>Unknown</v>
          </cell>
          <cell r="R1345">
            <v>1</v>
          </cell>
          <cell r="S1345" t="str">
            <v>NULL</v>
          </cell>
          <cell r="T1345" t="str">
            <v>normal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  <cell r="N1346" t="str">
            <v>ヒーロー</v>
          </cell>
          <cell r="O1346" t="str">
            <v>unknown</v>
          </cell>
          <cell r="P1346" t="str">
            <v>Unknown</v>
          </cell>
          <cell r="R1346">
            <v>1</v>
          </cell>
          <cell r="S1346" t="str">
            <v>NULL</v>
          </cell>
          <cell r="T1346" t="str">
            <v>normal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  <cell r="H1347" t="str">
            <v>blue</v>
          </cell>
          <cell r="I1347">
            <v>5</v>
          </cell>
          <cell r="J1347" t="str">
            <v>PremiumSSS</v>
          </cell>
          <cell r="K1347" t="str">
            <v>heal</v>
          </cell>
          <cell r="L1347" t="str">
            <v>回復タイプ</v>
          </cell>
          <cell r="M1347" t="str">
            <v>academia</v>
          </cell>
          <cell r="N1347" t="str">
            <v>アカデミア</v>
          </cell>
          <cell r="O1347" t="str">
            <v>fantasy</v>
          </cell>
          <cell r="P1347" t="str">
            <v>ファンタジー</v>
          </cell>
          <cell r="R1347">
            <v>3</v>
          </cell>
          <cell r="S1347" t="str">
            <v>NULL</v>
          </cell>
          <cell r="T1347" t="str">
            <v>normal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  <cell r="H1348" t="str">
            <v>blue</v>
          </cell>
          <cell r="I1348">
            <v>6</v>
          </cell>
          <cell r="J1348" t="str">
            <v>PremiumSSS</v>
          </cell>
          <cell r="K1348" t="str">
            <v>heal</v>
          </cell>
          <cell r="L1348" t="str">
            <v>回復タイプ</v>
          </cell>
          <cell r="M1348" t="str">
            <v>academia</v>
          </cell>
          <cell r="N1348" t="str">
            <v>アカデミア</v>
          </cell>
          <cell r="O1348" t="str">
            <v>fantasy</v>
          </cell>
          <cell r="P1348" t="str">
            <v>ファンタジー</v>
          </cell>
          <cell r="R1348">
            <v>3</v>
          </cell>
          <cell r="S1348" t="str">
            <v>NULL</v>
          </cell>
          <cell r="T1348" t="str">
            <v>normal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  <cell r="N1349" t="str">
            <v>アカデミア</v>
          </cell>
          <cell r="O1349" t="str">
            <v>unknown</v>
          </cell>
          <cell r="P1349" t="str">
            <v>Unknown</v>
          </cell>
          <cell r="R1349">
            <v>3</v>
          </cell>
          <cell r="S1349" t="str">
            <v>NULL</v>
          </cell>
          <cell r="T1349" t="str">
            <v>normal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  <cell r="N1350" t="str">
            <v>アカデミア</v>
          </cell>
          <cell r="O1350" t="str">
            <v>unknown</v>
          </cell>
          <cell r="P1350" t="str">
            <v>Unknown</v>
          </cell>
          <cell r="R1350">
            <v>3</v>
          </cell>
          <cell r="S1350" t="str">
            <v>NULL</v>
          </cell>
          <cell r="T1350" t="str">
            <v>normal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  <cell r="N1351" t="str">
            <v>ヒューマン</v>
          </cell>
          <cell r="O1351" t="str">
            <v>none</v>
          </cell>
          <cell r="P1351" t="str">
            <v>種族なし</v>
          </cell>
          <cell r="R1351">
            <v>1</v>
          </cell>
          <cell r="S1351" t="str">
            <v>NULL</v>
          </cell>
          <cell r="T1351" t="str">
            <v>normal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  <cell r="N1352" t="str">
            <v>ヒューマン</v>
          </cell>
          <cell r="O1352" t="str">
            <v>none</v>
          </cell>
          <cell r="P1352" t="str">
            <v>種族なし</v>
          </cell>
          <cell r="R1352">
            <v>3</v>
          </cell>
          <cell r="S1352" t="str">
            <v>NULL</v>
          </cell>
          <cell r="T1352" t="str">
            <v>normal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  <cell r="N1353" t="str">
            <v>ヒューマン</v>
          </cell>
          <cell r="O1353" t="str">
            <v>none</v>
          </cell>
          <cell r="P1353" t="str">
            <v>種族なし</v>
          </cell>
          <cell r="R1353">
            <v>3</v>
          </cell>
          <cell r="S1353" t="str">
            <v>NULL</v>
          </cell>
          <cell r="T1353" t="str">
            <v>normal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  <cell r="N1354" t="str">
            <v>ヒューマン</v>
          </cell>
          <cell r="O1354" t="str">
            <v>none</v>
          </cell>
          <cell r="P1354" t="str">
            <v>種族なし</v>
          </cell>
          <cell r="R1354">
            <v>3</v>
          </cell>
          <cell r="S1354" t="str">
            <v>NULL</v>
          </cell>
          <cell r="T1354" t="str">
            <v>normal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  <cell r="N1355" t="str">
            <v>アニマル</v>
          </cell>
          <cell r="O1355" t="str">
            <v>none</v>
          </cell>
          <cell r="P1355" t="str">
            <v>種族なし</v>
          </cell>
          <cell r="R1355">
            <v>3</v>
          </cell>
          <cell r="S1355" t="str">
            <v>NULL</v>
          </cell>
          <cell r="T1355" t="str">
            <v>normal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  <cell r="N1356" t="str">
            <v>ゴッド</v>
          </cell>
          <cell r="O1356" t="str">
            <v>machine</v>
          </cell>
          <cell r="P1356" t="str">
            <v>マシン</v>
          </cell>
          <cell r="R1356">
            <v>3</v>
          </cell>
          <cell r="S1356" t="str">
            <v>NULL</v>
          </cell>
          <cell r="T1356" t="str">
            <v>normal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  <cell r="N1357" t="str">
            <v>アニマル</v>
          </cell>
          <cell r="O1357" t="str">
            <v>none</v>
          </cell>
          <cell r="P1357" t="str">
            <v>種族なし</v>
          </cell>
          <cell r="R1357">
            <v>3</v>
          </cell>
          <cell r="S1357" t="str">
            <v>NULL</v>
          </cell>
          <cell r="T1357" t="str">
            <v>normal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  <cell r="N1358" t="str">
            <v>ゴッド</v>
          </cell>
          <cell r="O1358" t="str">
            <v>none</v>
          </cell>
          <cell r="P1358" t="str">
            <v>種族なし</v>
          </cell>
          <cell r="R1358">
            <v>3</v>
          </cell>
          <cell r="S1358" t="str">
            <v>NULL</v>
          </cell>
          <cell r="T1358" t="str">
            <v>normal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  <cell r="N1359" t="str">
            <v>ドラゴン</v>
          </cell>
          <cell r="O1359" t="str">
            <v>none</v>
          </cell>
          <cell r="P1359" t="str">
            <v>種族なし</v>
          </cell>
          <cell r="R1359">
            <v>3</v>
          </cell>
          <cell r="S1359" t="str">
            <v>NULL</v>
          </cell>
          <cell r="T1359" t="str">
            <v>normal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  <cell r="N1360" t="str">
            <v>ヒューマン</v>
          </cell>
          <cell r="O1360" t="str">
            <v>none</v>
          </cell>
          <cell r="P1360" t="str">
            <v>種族なし</v>
          </cell>
          <cell r="R1360">
            <v>3</v>
          </cell>
          <cell r="S1360" t="str">
            <v>NULL</v>
          </cell>
          <cell r="T1360" t="str">
            <v>normal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  <cell r="N1361" t="str">
            <v>ヒューマン</v>
          </cell>
          <cell r="O1361" t="str">
            <v>none</v>
          </cell>
          <cell r="P1361" t="str">
            <v>種族なし</v>
          </cell>
          <cell r="R1361">
            <v>3</v>
          </cell>
          <cell r="S1361" t="str">
            <v>NULL</v>
          </cell>
          <cell r="T1361" t="str">
            <v>normal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  <cell r="N1362" t="str">
            <v>ヒューマン</v>
          </cell>
          <cell r="O1362" t="str">
            <v>none</v>
          </cell>
          <cell r="P1362" t="str">
            <v>種族なし</v>
          </cell>
          <cell r="R1362">
            <v>1</v>
          </cell>
          <cell r="S1362" t="str">
            <v>NULL</v>
          </cell>
          <cell r="T1362" t="str">
            <v>normal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  <cell r="N1363" t="str">
            <v>ヒューマン</v>
          </cell>
          <cell r="O1363" t="str">
            <v>none</v>
          </cell>
          <cell r="P1363" t="str">
            <v>種族なし</v>
          </cell>
          <cell r="R1363">
            <v>3</v>
          </cell>
          <cell r="S1363" t="str">
            <v>NULL</v>
          </cell>
          <cell r="T1363" t="str">
            <v>normal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  <cell r="N1364" t="str">
            <v>ヒューマン</v>
          </cell>
          <cell r="O1364" t="str">
            <v>none</v>
          </cell>
          <cell r="P1364" t="str">
            <v>種族なし</v>
          </cell>
          <cell r="R1364">
            <v>3</v>
          </cell>
          <cell r="S1364" t="str">
            <v>NULL</v>
          </cell>
          <cell r="T1364" t="str">
            <v>normal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  <cell r="N1365" t="str">
            <v>ヒューマン</v>
          </cell>
          <cell r="O1365" t="str">
            <v>none</v>
          </cell>
          <cell r="P1365" t="str">
            <v>種族なし</v>
          </cell>
          <cell r="R1365">
            <v>3</v>
          </cell>
          <cell r="S1365" t="str">
            <v>NULL</v>
          </cell>
          <cell r="T1365" t="str">
            <v>normal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  <cell r="N1366" t="str">
            <v>アカデミア</v>
          </cell>
          <cell r="O1366" t="str">
            <v>none</v>
          </cell>
          <cell r="P1366" t="str">
            <v>種族なし</v>
          </cell>
          <cell r="R1366">
            <v>1</v>
          </cell>
          <cell r="S1366" t="str">
            <v>NULL</v>
          </cell>
          <cell r="T1366" t="str">
            <v>normal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  <cell r="N1367" t="str">
            <v>アカデミア</v>
          </cell>
          <cell r="O1367" t="str">
            <v>none</v>
          </cell>
          <cell r="P1367" t="str">
            <v>種族なし</v>
          </cell>
          <cell r="R1367">
            <v>1</v>
          </cell>
          <cell r="S1367" t="str">
            <v>NULL</v>
          </cell>
          <cell r="T1367" t="str">
            <v>normal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  <cell r="N1368" t="str">
            <v>アカデミア</v>
          </cell>
          <cell r="O1368" t="str">
            <v>human</v>
          </cell>
          <cell r="P1368" t="str">
            <v>ヒューマン</v>
          </cell>
          <cell r="R1368">
            <v>3</v>
          </cell>
          <cell r="S1368" t="str">
            <v>NULL</v>
          </cell>
          <cell r="T1368" t="str">
            <v>normal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  <cell r="N1369" t="str">
            <v>アカデミア</v>
          </cell>
          <cell r="O1369" t="str">
            <v>human</v>
          </cell>
          <cell r="P1369" t="str">
            <v>ヒューマン</v>
          </cell>
          <cell r="R1369">
            <v>3</v>
          </cell>
          <cell r="S1369" t="str">
            <v>NULL</v>
          </cell>
          <cell r="T1369" t="str">
            <v>normal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  <cell r="N1370" t="str">
            <v>デーモン</v>
          </cell>
          <cell r="O1370" t="str">
            <v>unknown</v>
          </cell>
          <cell r="P1370" t="str">
            <v>Unknown</v>
          </cell>
          <cell r="R1370">
            <v>3</v>
          </cell>
          <cell r="S1370" t="str">
            <v>NULL</v>
          </cell>
          <cell r="T1370" t="str">
            <v>normal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  <cell r="N1371" t="str">
            <v>デーモン</v>
          </cell>
          <cell r="O1371" t="str">
            <v>unknown</v>
          </cell>
          <cell r="P1371" t="str">
            <v>Unknown</v>
          </cell>
          <cell r="R1371">
            <v>3</v>
          </cell>
          <cell r="S1371" t="str">
            <v>NULL</v>
          </cell>
          <cell r="T1371" t="str">
            <v>normal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  <cell r="N1372" t="str">
            <v>アニマル</v>
          </cell>
          <cell r="O1372" t="str">
            <v>fantasy</v>
          </cell>
          <cell r="P1372" t="str">
            <v>ファンタジー</v>
          </cell>
          <cell r="R1372">
            <v>3</v>
          </cell>
          <cell r="S1372" t="str">
            <v>NULL</v>
          </cell>
          <cell r="T1372" t="str">
            <v>normal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  <cell r="N1373" t="str">
            <v>アニマル</v>
          </cell>
          <cell r="O1373" t="str">
            <v>fantasy</v>
          </cell>
          <cell r="P1373" t="str">
            <v>ファンタジー</v>
          </cell>
          <cell r="R1373">
            <v>3</v>
          </cell>
          <cell r="S1373" t="str">
            <v>NULL</v>
          </cell>
          <cell r="T1373" t="str">
            <v>normal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  <cell r="N1374" t="str">
            <v>デーモン</v>
          </cell>
          <cell r="O1374" t="str">
            <v>fantasy</v>
          </cell>
          <cell r="P1374" t="str">
            <v>ファンタジー</v>
          </cell>
          <cell r="R1374">
            <v>3</v>
          </cell>
          <cell r="S1374" t="str">
            <v>NULL</v>
          </cell>
          <cell r="T1374" t="str">
            <v>normal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  <cell r="N1375" t="str">
            <v>デーモン</v>
          </cell>
          <cell r="O1375" t="str">
            <v>fantasy</v>
          </cell>
          <cell r="P1375" t="str">
            <v>ファンタジー</v>
          </cell>
          <cell r="R1375">
            <v>3</v>
          </cell>
          <cell r="S1375" t="str">
            <v>NULL</v>
          </cell>
          <cell r="T1375" t="str">
            <v>normal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  <cell r="N1376" t="str">
            <v>ヒューマン</v>
          </cell>
          <cell r="O1376" t="str">
            <v>none</v>
          </cell>
          <cell r="P1376" t="str">
            <v>種族なし</v>
          </cell>
          <cell r="R1376">
            <v>1</v>
          </cell>
          <cell r="S1376" t="str">
            <v>NULL</v>
          </cell>
          <cell r="T1376" t="str">
            <v>normal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  <cell r="N1377" t="str">
            <v>ヒューマン</v>
          </cell>
          <cell r="O1377" t="str">
            <v>none</v>
          </cell>
          <cell r="P1377" t="str">
            <v>種族なし</v>
          </cell>
          <cell r="R1377">
            <v>1</v>
          </cell>
          <cell r="S1377" t="str">
            <v>NULL</v>
          </cell>
          <cell r="T1377" t="str">
            <v>normal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  <cell r="N1378" t="str">
            <v>ファンタジー</v>
          </cell>
          <cell r="O1378" t="str">
            <v>none</v>
          </cell>
          <cell r="P1378" t="str">
            <v>種族なし</v>
          </cell>
          <cell r="R1378">
            <v>3</v>
          </cell>
          <cell r="S1378" t="str">
            <v>NULL</v>
          </cell>
          <cell r="T1378" t="str">
            <v>normal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  <cell r="N1379" t="str">
            <v>ファンタジー</v>
          </cell>
          <cell r="O1379" t="str">
            <v>none</v>
          </cell>
          <cell r="P1379" t="str">
            <v>種族なし</v>
          </cell>
          <cell r="R1379">
            <v>3</v>
          </cell>
          <cell r="S1379" t="str">
            <v>NULL</v>
          </cell>
          <cell r="T1379" t="str">
            <v>normal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  <cell r="N1380" t="str">
            <v>ヒューマン</v>
          </cell>
          <cell r="O1380" t="str">
            <v>fantasy</v>
          </cell>
          <cell r="P1380" t="str">
            <v>ファンタジー</v>
          </cell>
          <cell r="R1380">
            <v>3</v>
          </cell>
          <cell r="S1380" t="str">
            <v>NULL</v>
          </cell>
          <cell r="T1380" t="str">
            <v>normal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  <cell r="N1381" t="str">
            <v>ヒューマン</v>
          </cell>
          <cell r="O1381" t="str">
            <v>fantasy</v>
          </cell>
          <cell r="P1381" t="str">
            <v>ファンタジー</v>
          </cell>
          <cell r="R1381">
            <v>3</v>
          </cell>
          <cell r="S1381" t="str">
            <v>NULL</v>
          </cell>
          <cell r="T1381" t="str">
            <v>normal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  <cell r="N1382" t="str">
            <v>ヒーロー</v>
          </cell>
          <cell r="O1382" t="str">
            <v>fantasy</v>
          </cell>
          <cell r="P1382" t="str">
            <v>ファンタジー</v>
          </cell>
          <cell r="R1382">
            <v>3</v>
          </cell>
          <cell r="S1382" t="str">
            <v>NULL</v>
          </cell>
          <cell r="T1382" t="str">
            <v>normal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  <cell r="N1383" t="str">
            <v>ヒーロー</v>
          </cell>
          <cell r="O1383" t="str">
            <v>fantasy</v>
          </cell>
          <cell r="P1383" t="str">
            <v>ファンタジー</v>
          </cell>
          <cell r="R1383">
            <v>3</v>
          </cell>
          <cell r="S1383" t="str">
            <v>NULL</v>
          </cell>
          <cell r="T1383" t="str">
            <v>normal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  <cell r="N1384" t="str">
            <v>ファンタジー</v>
          </cell>
          <cell r="O1384" t="str">
            <v>none</v>
          </cell>
          <cell r="P1384" t="str">
            <v>種族なし</v>
          </cell>
          <cell r="R1384">
            <v>3</v>
          </cell>
          <cell r="S1384" t="str">
            <v>NULL</v>
          </cell>
          <cell r="T1384" t="str">
            <v>normal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  <cell r="N1385" t="str">
            <v>ファンタジー</v>
          </cell>
          <cell r="O1385" t="str">
            <v>none</v>
          </cell>
          <cell r="P1385" t="str">
            <v>種族なし</v>
          </cell>
          <cell r="R1385">
            <v>3</v>
          </cell>
          <cell r="S1385" t="str">
            <v>NULL</v>
          </cell>
          <cell r="T1385" t="str">
            <v>normal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  <cell r="N1386" t="str">
            <v>ヒーロー</v>
          </cell>
          <cell r="O1386" t="str">
            <v>none</v>
          </cell>
          <cell r="P1386" t="str">
            <v>種族なし</v>
          </cell>
          <cell r="R1386">
            <v>3</v>
          </cell>
          <cell r="S1386" t="str">
            <v>NULL</v>
          </cell>
          <cell r="T1386" t="str">
            <v>normal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  <cell r="N1387" t="str">
            <v>ヒーロー</v>
          </cell>
          <cell r="O1387" t="str">
            <v>none</v>
          </cell>
          <cell r="P1387" t="str">
            <v>種族なし</v>
          </cell>
          <cell r="R1387">
            <v>3</v>
          </cell>
          <cell r="S1387" t="str">
            <v>NULL</v>
          </cell>
          <cell r="T1387" t="str">
            <v>normal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  <cell r="N1388" t="str">
            <v>アカデミア</v>
          </cell>
          <cell r="O1388" t="str">
            <v>animal</v>
          </cell>
          <cell r="P1388" t="str">
            <v>アニマル</v>
          </cell>
          <cell r="R1388">
            <v>3</v>
          </cell>
          <cell r="S1388" t="str">
            <v>NULL</v>
          </cell>
          <cell r="T1388" t="str">
            <v>normal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  <cell r="N1389" t="str">
            <v>アカデミア</v>
          </cell>
          <cell r="O1389" t="str">
            <v>animal</v>
          </cell>
          <cell r="P1389" t="str">
            <v>アニマル</v>
          </cell>
          <cell r="R1389">
            <v>3</v>
          </cell>
          <cell r="S1389" t="str">
            <v>NULL</v>
          </cell>
          <cell r="T1389" t="str">
            <v>normal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  <cell r="N1390" t="str">
            <v>アカデミア</v>
          </cell>
          <cell r="O1390" t="str">
            <v>fantasy</v>
          </cell>
          <cell r="P1390" t="str">
            <v>ファンタジー</v>
          </cell>
          <cell r="R1390">
            <v>3</v>
          </cell>
          <cell r="S1390" t="str">
            <v>NULL</v>
          </cell>
          <cell r="T1390" t="str">
            <v>normal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  <cell r="N1391" t="str">
            <v>アカデミア</v>
          </cell>
          <cell r="O1391" t="str">
            <v>fantasy</v>
          </cell>
          <cell r="P1391" t="str">
            <v>ファンタジー</v>
          </cell>
          <cell r="R1391">
            <v>3</v>
          </cell>
          <cell r="S1391" t="str">
            <v>NULL</v>
          </cell>
          <cell r="T1391" t="str">
            <v>normal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technical</v>
          </cell>
          <cell r="L1392" t="str">
            <v>テクニカルタイプ</v>
          </cell>
          <cell r="M1392" t="str">
            <v>academia</v>
          </cell>
          <cell r="N1392" t="str">
            <v>アカデミア</v>
          </cell>
          <cell r="O1392" t="str">
            <v>fantasy</v>
          </cell>
          <cell r="P1392" t="str">
            <v>ファンタジー</v>
          </cell>
          <cell r="R1392">
            <v>3</v>
          </cell>
          <cell r="S1392" t="str">
            <v>NULL</v>
          </cell>
          <cell r="T1392" t="str">
            <v>super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  <cell r="N1393" t="str">
            <v>ゴッド</v>
          </cell>
          <cell r="O1393" t="str">
            <v>unknown</v>
          </cell>
          <cell r="P1393" t="str">
            <v>Unknown</v>
          </cell>
          <cell r="R1393">
            <v>3</v>
          </cell>
          <cell r="S1393" t="str">
            <v>NULL</v>
          </cell>
          <cell r="T1393" t="str">
            <v>normal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  <cell r="N1394" t="str">
            <v>ゴッド</v>
          </cell>
          <cell r="O1394" t="str">
            <v>unknown</v>
          </cell>
          <cell r="P1394" t="str">
            <v>Unknown</v>
          </cell>
          <cell r="R1394">
            <v>3</v>
          </cell>
          <cell r="S1394" t="str">
            <v>NULL</v>
          </cell>
          <cell r="T1394" t="str">
            <v>normal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  <cell r="N1395" t="str">
            <v>ヒーロー</v>
          </cell>
          <cell r="O1395" t="str">
            <v>unknown</v>
          </cell>
          <cell r="P1395" t="str">
            <v>Unknown</v>
          </cell>
          <cell r="R1395">
            <v>3</v>
          </cell>
          <cell r="S1395" t="str">
            <v>NULL</v>
          </cell>
          <cell r="T1395" t="str">
            <v>normal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  <cell r="N1396" t="str">
            <v>ヒーロー</v>
          </cell>
          <cell r="O1396" t="str">
            <v>unknown</v>
          </cell>
          <cell r="P1396" t="str">
            <v>Unknown</v>
          </cell>
          <cell r="R1396">
            <v>3</v>
          </cell>
          <cell r="S1396" t="str">
            <v>NULL</v>
          </cell>
          <cell r="T1396" t="str">
            <v>normal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  <cell r="N1397" t="str">
            <v>アニマル</v>
          </cell>
          <cell r="O1397" t="str">
            <v>god</v>
          </cell>
          <cell r="P1397" t="str">
            <v>ゴッド</v>
          </cell>
          <cell r="R1397">
            <v>3</v>
          </cell>
          <cell r="S1397" t="str">
            <v>NULL</v>
          </cell>
          <cell r="T1397" t="str">
            <v>normal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  <cell r="N1398" t="str">
            <v>ドラゴン</v>
          </cell>
          <cell r="O1398" t="str">
            <v>god</v>
          </cell>
          <cell r="P1398" t="str">
            <v>ゴッド</v>
          </cell>
          <cell r="R1398">
            <v>3</v>
          </cell>
          <cell r="S1398" t="str">
            <v>NULL</v>
          </cell>
          <cell r="T1398" t="str">
            <v>normal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  <cell r="N1399" t="str">
            <v>ドラゴン</v>
          </cell>
          <cell r="O1399" t="str">
            <v>god</v>
          </cell>
          <cell r="P1399" t="str">
            <v>ゴッド</v>
          </cell>
          <cell r="R1399">
            <v>3</v>
          </cell>
          <cell r="S1399" t="str">
            <v>NULL</v>
          </cell>
          <cell r="T1399" t="str">
            <v>normal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  <cell r="N1400" t="str">
            <v>アニマル</v>
          </cell>
          <cell r="O1400" t="str">
            <v>god</v>
          </cell>
          <cell r="P1400" t="str">
            <v>ゴッド</v>
          </cell>
          <cell r="R1400">
            <v>3</v>
          </cell>
          <cell r="S1400" t="str">
            <v>NULL</v>
          </cell>
          <cell r="T1400" t="str">
            <v>normal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  <cell r="N1401" t="str">
            <v>ヒューマン</v>
          </cell>
          <cell r="O1401" t="str">
            <v>unknown</v>
          </cell>
          <cell r="P1401" t="str">
            <v>Unknown</v>
          </cell>
          <cell r="R1401">
            <v>3</v>
          </cell>
          <cell r="S1401" t="str">
            <v>NULL</v>
          </cell>
          <cell r="T1401" t="str">
            <v>normal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  <cell r="N1402" t="str">
            <v>ヒューマン</v>
          </cell>
          <cell r="O1402" t="str">
            <v>unknown</v>
          </cell>
          <cell r="P1402" t="str">
            <v>Unknown</v>
          </cell>
          <cell r="R1402">
            <v>3</v>
          </cell>
          <cell r="S1402" t="str">
            <v>NULL</v>
          </cell>
          <cell r="T1402" t="str">
            <v>normal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  <cell r="N1403" t="str">
            <v>ヒューマン</v>
          </cell>
          <cell r="O1403" t="str">
            <v>none</v>
          </cell>
          <cell r="P1403" t="str">
            <v>種族なし</v>
          </cell>
          <cell r="R1403">
            <v>3</v>
          </cell>
          <cell r="S1403" t="str">
            <v>NULL</v>
          </cell>
          <cell r="T1403" t="str">
            <v>normal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  <cell r="N1404" t="str">
            <v>ヒューマン</v>
          </cell>
          <cell r="O1404" t="str">
            <v>none</v>
          </cell>
          <cell r="P1404" t="str">
            <v>種族なし</v>
          </cell>
          <cell r="R1404">
            <v>3</v>
          </cell>
          <cell r="S1404" t="str">
            <v>NULL</v>
          </cell>
          <cell r="T1404" t="str">
            <v>normal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  <cell r="N1405" t="str">
            <v>ヒューマン</v>
          </cell>
          <cell r="O1405" t="str">
            <v>machine</v>
          </cell>
          <cell r="P1405" t="str">
            <v>マシン</v>
          </cell>
          <cell r="R1405">
            <v>3</v>
          </cell>
          <cell r="S1405" t="str">
            <v>NULL</v>
          </cell>
          <cell r="T1405" t="str">
            <v>normal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  <cell r="N1406" t="str">
            <v>ゴッド</v>
          </cell>
          <cell r="O1406" t="str">
            <v>none</v>
          </cell>
          <cell r="P1406" t="str">
            <v>種族なし</v>
          </cell>
          <cell r="R1406">
            <v>3</v>
          </cell>
          <cell r="S1406" t="str">
            <v>NULL</v>
          </cell>
          <cell r="T1406" t="str">
            <v>normal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  <cell r="N1407" t="str">
            <v>ヒューマン</v>
          </cell>
          <cell r="O1407" t="str">
            <v>unknown</v>
          </cell>
          <cell r="P1407" t="str">
            <v>Unknown</v>
          </cell>
          <cell r="R1407">
            <v>3</v>
          </cell>
          <cell r="S1407" t="str">
            <v>NULL</v>
          </cell>
          <cell r="T1407" t="str">
            <v>normal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  <cell r="N1408" t="str">
            <v>Unknown</v>
          </cell>
          <cell r="O1408" t="str">
            <v>none</v>
          </cell>
          <cell r="P1408" t="str">
            <v>種族なし</v>
          </cell>
          <cell r="Q1408" t="str">
            <v>強化素材</v>
          </cell>
          <cell r="R1408">
            <v>3</v>
          </cell>
          <cell r="S1408" t="str">
            <v>NULL</v>
          </cell>
          <cell r="T1408" t="str">
            <v>normal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  <cell r="N1409" t="str">
            <v>Unknown</v>
          </cell>
          <cell r="O1409" t="str">
            <v>none</v>
          </cell>
          <cell r="P1409" t="str">
            <v>種族なし</v>
          </cell>
          <cell r="Q1409" t="str">
            <v>強化素材</v>
          </cell>
          <cell r="R1409">
            <v>3</v>
          </cell>
          <cell r="S1409" t="str">
            <v>NULL</v>
          </cell>
          <cell r="T1409" t="str">
            <v>normal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  <cell r="N1410" t="str">
            <v>Unknown</v>
          </cell>
          <cell r="O1410" t="str">
            <v>none</v>
          </cell>
          <cell r="P1410" t="str">
            <v>種族なし</v>
          </cell>
          <cell r="Q1410" t="str">
            <v>強化素材</v>
          </cell>
          <cell r="R1410">
            <v>3</v>
          </cell>
          <cell r="S1410" t="str">
            <v>NULL</v>
          </cell>
          <cell r="T1410" t="str">
            <v>normal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  <cell r="N1411" t="str">
            <v>Unknown</v>
          </cell>
          <cell r="O1411" t="str">
            <v>none</v>
          </cell>
          <cell r="P1411" t="str">
            <v>種族なし</v>
          </cell>
          <cell r="Q1411" t="str">
            <v>強化素材</v>
          </cell>
          <cell r="R1411">
            <v>3</v>
          </cell>
          <cell r="S1411" t="str">
            <v>NULL</v>
          </cell>
          <cell r="T1411" t="str">
            <v>normal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attack</v>
          </cell>
          <cell r="L1412" t="str">
            <v>攻撃タイプ</v>
          </cell>
          <cell r="M1412" t="str">
            <v>unknown</v>
          </cell>
          <cell r="N1412" t="str">
            <v>Unknown</v>
          </cell>
          <cell r="O1412" t="str">
            <v>none</v>
          </cell>
          <cell r="P1412" t="str">
            <v>種族なし</v>
          </cell>
          <cell r="R1412">
            <v>3</v>
          </cell>
          <cell r="S1412" t="str">
            <v>NULL</v>
          </cell>
          <cell r="T1412" t="str">
            <v>normal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attack</v>
          </cell>
          <cell r="L1413" t="str">
            <v>攻撃タイプ</v>
          </cell>
          <cell r="M1413" t="str">
            <v>unknown</v>
          </cell>
          <cell r="N1413" t="str">
            <v>Unknown</v>
          </cell>
          <cell r="O1413" t="str">
            <v>none</v>
          </cell>
          <cell r="P1413" t="str">
            <v>種族なし</v>
          </cell>
          <cell r="R1413">
            <v>3</v>
          </cell>
          <cell r="S1413" t="str">
            <v>NULL</v>
          </cell>
          <cell r="T1413" t="str">
            <v>normal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  <cell r="N1414" t="str">
            <v>Unknown</v>
          </cell>
          <cell r="O1414" t="str">
            <v>none</v>
          </cell>
          <cell r="P1414" t="str">
            <v>種族なし</v>
          </cell>
          <cell r="R1414">
            <v>3</v>
          </cell>
          <cell r="S1414" t="str">
            <v>NULL</v>
          </cell>
          <cell r="T1414" t="str">
            <v>normal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  <cell r="N1415" t="str">
            <v>Unknown</v>
          </cell>
          <cell r="O1415" t="str">
            <v>none</v>
          </cell>
          <cell r="P1415" t="str">
            <v>種族なし</v>
          </cell>
          <cell r="R1415">
            <v>3</v>
          </cell>
          <cell r="S1415" t="str">
            <v>NULL</v>
          </cell>
          <cell r="T1415" t="str">
            <v>normal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  <cell r="N1416" t="str">
            <v>Unknown</v>
          </cell>
          <cell r="O1416" t="str">
            <v>none</v>
          </cell>
          <cell r="P1416" t="str">
            <v>種族なし</v>
          </cell>
          <cell r="R1416">
            <v>3</v>
          </cell>
          <cell r="S1416" t="str">
            <v>NULL</v>
          </cell>
          <cell r="T1416" t="str">
            <v>normal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  <cell r="N1417" t="str">
            <v>Unknown</v>
          </cell>
          <cell r="O1417" t="str">
            <v>none</v>
          </cell>
          <cell r="P1417" t="str">
            <v>種族なし</v>
          </cell>
          <cell r="R1417">
            <v>3</v>
          </cell>
          <cell r="S1417" t="str">
            <v>NULL</v>
          </cell>
          <cell r="T1417" t="str">
            <v>normal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  <cell r="N1418" t="str">
            <v>アカデミア</v>
          </cell>
          <cell r="O1418" t="str">
            <v>machine</v>
          </cell>
          <cell r="P1418" t="str">
            <v>マシン</v>
          </cell>
          <cell r="R1418">
            <v>3</v>
          </cell>
          <cell r="S1418" t="str">
            <v>NULL</v>
          </cell>
          <cell r="T1418" t="str">
            <v>normal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  <cell r="N1419" t="str">
            <v>アカデミア</v>
          </cell>
          <cell r="O1419" t="str">
            <v>human</v>
          </cell>
          <cell r="P1419" t="str">
            <v>ヒューマン</v>
          </cell>
          <cell r="Q1419" t="str">
            <v>アタッカー</v>
          </cell>
          <cell r="R1419">
            <v>3</v>
          </cell>
          <cell r="S1419" t="str">
            <v>NULL</v>
          </cell>
          <cell r="T1419" t="str">
            <v>normal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  <cell r="N1420" t="str">
            <v>アカデミア</v>
          </cell>
          <cell r="O1420" t="str">
            <v>human</v>
          </cell>
          <cell r="P1420" t="str">
            <v>ヒューマン</v>
          </cell>
          <cell r="Q1420" t="str">
            <v>アタッカー</v>
          </cell>
          <cell r="R1420">
            <v>3</v>
          </cell>
          <cell r="S1420" t="str">
            <v>NULL</v>
          </cell>
          <cell r="T1420" t="str">
            <v>normal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  <cell r="N1421" t="str">
            <v>アカデミア</v>
          </cell>
          <cell r="O1421" t="str">
            <v>fantasy</v>
          </cell>
          <cell r="P1421" t="str">
            <v>ファンタジー</v>
          </cell>
          <cell r="Q1421" t="str">
            <v>アタッカー</v>
          </cell>
          <cell r="R1421">
            <v>3</v>
          </cell>
          <cell r="S1421" t="str">
            <v>NULL</v>
          </cell>
          <cell r="T1421" t="str">
            <v>normal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  <cell r="N1422" t="str">
            <v>アカデミア</v>
          </cell>
          <cell r="O1422" t="str">
            <v>fantasy</v>
          </cell>
          <cell r="P1422" t="str">
            <v>ファンタジー</v>
          </cell>
          <cell r="Q1422" t="str">
            <v>アタッカー</v>
          </cell>
          <cell r="R1422">
            <v>3</v>
          </cell>
          <cell r="S1422" t="str">
            <v>NULL</v>
          </cell>
          <cell r="T1422" t="str">
            <v>normal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  <cell r="N1423" t="str">
            <v>ゴッド</v>
          </cell>
          <cell r="O1423" t="str">
            <v>animal</v>
          </cell>
          <cell r="P1423" t="str">
            <v>アニマル</v>
          </cell>
          <cell r="Q1423" t="str">
            <v>アタッカー</v>
          </cell>
          <cell r="R1423">
            <v>3</v>
          </cell>
          <cell r="S1423" t="str">
            <v>NULL</v>
          </cell>
          <cell r="T1423" t="str">
            <v>normal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  <cell r="N1424" t="str">
            <v>ゴッド</v>
          </cell>
          <cell r="O1424" t="str">
            <v>none</v>
          </cell>
          <cell r="P1424" t="str">
            <v>種族なし</v>
          </cell>
          <cell r="Q1424" t="str">
            <v>アタッカー</v>
          </cell>
          <cell r="R1424">
            <v>3</v>
          </cell>
          <cell r="S1424" t="str">
            <v>NULL</v>
          </cell>
          <cell r="T1424" t="str">
            <v>normal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  <cell r="N1425" t="str">
            <v>Unknown</v>
          </cell>
          <cell r="O1425" t="str">
            <v>none</v>
          </cell>
          <cell r="P1425" t="str">
            <v>種族なし</v>
          </cell>
          <cell r="Q1425" t="str">
            <v>限界突破素材</v>
          </cell>
          <cell r="R1425">
            <v>3</v>
          </cell>
          <cell r="S1425" t="str">
            <v>NULL</v>
          </cell>
          <cell r="T1425" t="str">
            <v>normal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  <cell r="N1426" t="str">
            <v>Unknown</v>
          </cell>
          <cell r="O1426" t="str">
            <v>none</v>
          </cell>
          <cell r="P1426" t="str">
            <v>種族なし</v>
          </cell>
          <cell r="Q1426" t="str">
            <v>限界突破素材</v>
          </cell>
          <cell r="R1426">
            <v>3</v>
          </cell>
          <cell r="S1426" t="str">
            <v>NULL</v>
          </cell>
          <cell r="T1426" t="str">
            <v>normal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DropWizSS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  <cell r="N1427" t="str">
            <v>Unknown</v>
          </cell>
          <cell r="O1427" t="str">
            <v>none</v>
          </cell>
          <cell r="P1427" t="str">
            <v>種族なし</v>
          </cell>
          <cell r="Q1427" t="str">
            <v>限界突破素材</v>
          </cell>
          <cell r="R1427">
            <v>3</v>
          </cell>
          <cell r="S1427" t="str">
            <v>NULL</v>
          </cell>
          <cell r="T1427" t="str">
            <v>normal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  <cell r="N1428" t="str">
            <v>ヒーロー</v>
          </cell>
          <cell r="O1428" t="str">
            <v>none</v>
          </cell>
          <cell r="P1428" t="str">
            <v>種族なし</v>
          </cell>
          <cell r="R1428">
            <v>3</v>
          </cell>
          <cell r="S1428" t="str">
            <v>NULL</v>
          </cell>
          <cell r="T1428" t="str">
            <v>normal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  <cell r="N1429" t="str">
            <v>ヒーロー</v>
          </cell>
          <cell r="O1429" t="str">
            <v>none</v>
          </cell>
          <cell r="P1429" t="str">
            <v>種族なし</v>
          </cell>
          <cell r="R1429">
            <v>3</v>
          </cell>
          <cell r="S1429" t="str">
            <v>NULL</v>
          </cell>
          <cell r="T1429" t="str">
            <v>normal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  <cell r="N1430" t="str">
            <v>ヒーロー</v>
          </cell>
          <cell r="O1430" t="str">
            <v>none</v>
          </cell>
          <cell r="P1430" t="str">
            <v>種族なし</v>
          </cell>
          <cell r="R1430">
            <v>3</v>
          </cell>
          <cell r="S1430" t="str">
            <v>NULL</v>
          </cell>
          <cell r="T1430" t="str">
            <v>normal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  <cell r="N1431" t="str">
            <v>ヒーロー</v>
          </cell>
          <cell r="O1431" t="str">
            <v>none</v>
          </cell>
          <cell r="P1431" t="str">
            <v>種族なし</v>
          </cell>
          <cell r="R1431">
            <v>3</v>
          </cell>
          <cell r="S1431" t="str">
            <v>NULL</v>
          </cell>
          <cell r="T1431" t="str">
            <v>normal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  <cell r="N1432" t="str">
            <v>ヒューマン</v>
          </cell>
          <cell r="O1432" t="str">
            <v>machine</v>
          </cell>
          <cell r="P1432" t="str">
            <v>マシン</v>
          </cell>
          <cell r="R1432">
            <v>1</v>
          </cell>
          <cell r="S1432" t="str">
            <v>NULL</v>
          </cell>
          <cell r="T1432" t="str">
            <v>normal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  <cell r="N1433" t="str">
            <v>ヒューマン</v>
          </cell>
          <cell r="O1433" t="str">
            <v>machine</v>
          </cell>
          <cell r="P1433" t="str">
            <v>マシン</v>
          </cell>
          <cell r="R1433">
            <v>1</v>
          </cell>
          <cell r="S1433" t="str">
            <v>NULL</v>
          </cell>
          <cell r="T1433" t="str">
            <v>normal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  <cell r="N1434" t="str">
            <v>ヒーロー</v>
          </cell>
          <cell r="O1434" t="str">
            <v>human</v>
          </cell>
          <cell r="P1434" t="str">
            <v>ヒューマン</v>
          </cell>
          <cell r="R1434">
            <v>3</v>
          </cell>
          <cell r="S1434" t="str">
            <v>NULL</v>
          </cell>
          <cell r="T1434" t="str">
            <v>normal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  <cell r="N1435" t="str">
            <v>ヒーロー</v>
          </cell>
          <cell r="O1435" t="str">
            <v>human</v>
          </cell>
          <cell r="P1435" t="str">
            <v>ヒューマン</v>
          </cell>
          <cell r="R1435">
            <v>3</v>
          </cell>
          <cell r="S1435" t="str">
            <v>NULL</v>
          </cell>
          <cell r="T1435" t="str">
            <v>normal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  <cell r="N1436" t="str">
            <v>ヒーロー</v>
          </cell>
          <cell r="O1436" t="str">
            <v>human</v>
          </cell>
          <cell r="P1436" t="str">
            <v>ヒューマン</v>
          </cell>
          <cell r="R1436">
            <v>3</v>
          </cell>
          <cell r="S1436" t="str">
            <v>NULL</v>
          </cell>
          <cell r="T1436" t="str">
            <v>normal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  <cell r="N1437" t="str">
            <v>ヒーロー</v>
          </cell>
          <cell r="O1437" t="str">
            <v>human</v>
          </cell>
          <cell r="P1437" t="str">
            <v>ヒューマン</v>
          </cell>
          <cell r="R1437">
            <v>3</v>
          </cell>
          <cell r="S1437" t="str">
            <v>NULL</v>
          </cell>
          <cell r="T1437" t="str">
            <v>normal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  <cell r="N1438" t="str">
            <v>ヒーロー</v>
          </cell>
          <cell r="O1438" t="str">
            <v>none</v>
          </cell>
          <cell r="P1438" t="str">
            <v>種族なし</v>
          </cell>
          <cell r="R1438">
            <v>3</v>
          </cell>
          <cell r="S1438" t="str">
            <v>NULL</v>
          </cell>
          <cell r="T1438" t="str">
            <v>normal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  <cell r="N1439" t="str">
            <v>ヒーロー</v>
          </cell>
          <cell r="O1439" t="str">
            <v>none</v>
          </cell>
          <cell r="P1439" t="str">
            <v>種族なし</v>
          </cell>
          <cell r="R1439">
            <v>3</v>
          </cell>
          <cell r="S1439" t="str">
            <v>NULL</v>
          </cell>
          <cell r="T1439" t="str">
            <v>normal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  <cell r="N1440" t="str">
            <v>ヒーロー</v>
          </cell>
          <cell r="O1440" t="str">
            <v>none</v>
          </cell>
          <cell r="P1440" t="str">
            <v>種族なし</v>
          </cell>
          <cell r="R1440">
            <v>3</v>
          </cell>
          <cell r="S1440" t="str">
            <v>NULL</v>
          </cell>
          <cell r="T1440" t="str">
            <v>normal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  <cell r="N1441" t="str">
            <v>ヒーロー</v>
          </cell>
          <cell r="O1441" t="str">
            <v>none</v>
          </cell>
          <cell r="P1441" t="str">
            <v>種族なし</v>
          </cell>
          <cell r="R1441">
            <v>3</v>
          </cell>
          <cell r="S1441" t="str">
            <v>NULL</v>
          </cell>
          <cell r="T1441" t="str">
            <v>normal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  <cell r="N1442" t="str">
            <v>ヒーロー</v>
          </cell>
          <cell r="O1442" t="str">
            <v>none</v>
          </cell>
          <cell r="P1442" t="str">
            <v>種族なし</v>
          </cell>
          <cell r="R1442">
            <v>3</v>
          </cell>
          <cell r="S1442" t="str">
            <v>NULL</v>
          </cell>
          <cell r="T1442" t="str">
            <v>normal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  <cell r="N1443" t="str">
            <v>ヒーロー</v>
          </cell>
          <cell r="O1443" t="str">
            <v>none</v>
          </cell>
          <cell r="P1443" t="str">
            <v>種族なし</v>
          </cell>
          <cell r="R1443">
            <v>3</v>
          </cell>
          <cell r="S1443" t="str">
            <v>NULL</v>
          </cell>
          <cell r="T1443" t="str">
            <v>normal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  <cell r="N1444" t="str">
            <v>アカデミア</v>
          </cell>
          <cell r="O1444" t="str">
            <v>unknown</v>
          </cell>
          <cell r="P1444" t="str">
            <v>Unknown</v>
          </cell>
          <cell r="Q1444" t="str">
            <v>アタッカー</v>
          </cell>
          <cell r="R1444">
            <v>3</v>
          </cell>
          <cell r="S1444" t="str">
            <v>NULL</v>
          </cell>
          <cell r="T1444" t="str">
            <v>normal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  <cell r="N1445" t="str">
            <v>アカデミア</v>
          </cell>
          <cell r="O1445" t="str">
            <v>unknown</v>
          </cell>
          <cell r="P1445" t="str">
            <v>Unknown</v>
          </cell>
          <cell r="Q1445" t="str">
            <v>アタッカー</v>
          </cell>
          <cell r="R1445">
            <v>3</v>
          </cell>
          <cell r="S1445" t="str">
            <v>NULL</v>
          </cell>
          <cell r="T1445" t="str">
            <v>normal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  <cell r="N1446" t="str">
            <v>ゴッド</v>
          </cell>
          <cell r="O1446" t="str">
            <v>animal</v>
          </cell>
          <cell r="P1446" t="str">
            <v>アニマル</v>
          </cell>
          <cell r="Q1446" t="str">
            <v>アタッカー</v>
          </cell>
          <cell r="R1446">
            <v>3</v>
          </cell>
          <cell r="S1446" t="str">
            <v>NULL</v>
          </cell>
          <cell r="T1446" t="str">
            <v>normal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  <cell r="N1447" t="str">
            <v>ゴッド</v>
          </cell>
          <cell r="O1447" t="str">
            <v>animal</v>
          </cell>
          <cell r="P1447" t="str">
            <v>アニマル</v>
          </cell>
          <cell r="Q1447" t="str">
            <v>アタッカー</v>
          </cell>
          <cell r="R1447">
            <v>3</v>
          </cell>
          <cell r="S1447" t="str">
            <v>NULL</v>
          </cell>
          <cell r="T1447" t="str">
            <v>normal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  <cell r="N1448" t="str">
            <v>ヒーロー</v>
          </cell>
          <cell r="O1448" t="str">
            <v>unknown</v>
          </cell>
          <cell r="P1448" t="str">
            <v>Unknown</v>
          </cell>
          <cell r="R1448">
            <v>3</v>
          </cell>
          <cell r="S1448" t="str">
            <v>NULL</v>
          </cell>
          <cell r="T1448" t="str">
            <v>normal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  <cell r="N1449" t="str">
            <v>ヒーロー</v>
          </cell>
          <cell r="O1449" t="str">
            <v>unknown</v>
          </cell>
          <cell r="P1449" t="str">
            <v>Unknown</v>
          </cell>
          <cell r="R1449">
            <v>3</v>
          </cell>
          <cell r="S1449" t="str">
            <v>NULL</v>
          </cell>
          <cell r="T1449" t="str">
            <v>normal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  <cell r="N1450" t="str">
            <v>ヒューマン</v>
          </cell>
          <cell r="O1450" t="str">
            <v>hero</v>
          </cell>
          <cell r="P1450" t="str">
            <v>ヒーロー</v>
          </cell>
          <cell r="R1450">
            <v>3</v>
          </cell>
          <cell r="S1450" t="str">
            <v>NULL</v>
          </cell>
          <cell r="T1450" t="str">
            <v>normal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  <cell r="N1451" t="str">
            <v>ヒューマン</v>
          </cell>
          <cell r="O1451" t="str">
            <v>hero</v>
          </cell>
          <cell r="P1451" t="str">
            <v>ヒーロー</v>
          </cell>
          <cell r="R1451">
            <v>3</v>
          </cell>
          <cell r="S1451" t="str">
            <v>NULL</v>
          </cell>
          <cell r="T1451" t="str">
            <v>normal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  <cell r="N1452" t="str">
            <v>ヒューマン</v>
          </cell>
          <cell r="O1452" t="str">
            <v>none</v>
          </cell>
          <cell r="P1452" t="str">
            <v>種族なし</v>
          </cell>
          <cell r="R1452">
            <v>3</v>
          </cell>
          <cell r="S1452" t="str">
            <v>NULL</v>
          </cell>
          <cell r="T1452" t="str">
            <v>normal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  <cell r="N1453" t="str">
            <v>ヒューマン</v>
          </cell>
          <cell r="O1453" t="str">
            <v>none</v>
          </cell>
          <cell r="P1453" t="str">
            <v>種族なし</v>
          </cell>
          <cell r="R1453">
            <v>3</v>
          </cell>
          <cell r="S1453" t="str">
            <v>NULL</v>
          </cell>
          <cell r="T1453" t="str">
            <v>normal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  <cell r="N1454" t="str">
            <v>ヒューマン</v>
          </cell>
          <cell r="O1454" t="str">
            <v>machine</v>
          </cell>
          <cell r="P1454" t="str">
            <v>マシン</v>
          </cell>
          <cell r="R1454">
            <v>3</v>
          </cell>
          <cell r="S1454" t="str">
            <v>NULL</v>
          </cell>
          <cell r="T1454" t="str">
            <v>normal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  <cell r="N1455" t="str">
            <v>ヒューマン</v>
          </cell>
          <cell r="O1455" t="str">
            <v>machine</v>
          </cell>
          <cell r="P1455" t="str">
            <v>マシン</v>
          </cell>
          <cell r="R1455">
            <v>3</v>
          </cell>
          <cell r="S1455" t="str">
            <v>NULL</v>
          </cell>
          <cell r="T1455" t="str">
            <v>normal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  <cell r="N1456" t="str">
            <v>ヒューマン</v>
          </cell>
          <cell r="O1456" t="str">
            <v>unknown</v>
          </cell>
          <cell r="P1456" t="str">
            <v>Unknown</v>
          </cell>
          <cell r="R1456">
            <v>3</v>
          </cell>
          <cell r="S1456" t="str">
            <v>NULL</v>
          </cell>
          <cell r="T1456" t="str">
            <v>normal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  <cell r="N1457" t="str">
            <v>ヒューマン</v>
          </cell>
          <cell r="O1457" t="str">
            <v>unknown</v>
          </cell>
          <cell r="P1457" t="str">
            <v>Unknown</v>
          </cell>
          <cell r="R1457">
            <v>3</v>
          </cell>
          <cell r="S1457" t="str">
            <v>NULL</v>
          </cell>
          <cell r="T1457" t="str">
            <v>normal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  <cell r="N1458" t="str">
            <v>ヒューマン</v>
          </cell>
          <cell r="O1458" t="str">
            <v>none</v>
          </cell>
          <cell r="P1458" t="str">
            <v>種族なし</v>
          </cell>
          <cell r="R1458">
            <v>3</v>
          </cell>
          <cell r="S1458" t="str">
            <v>NULL</v>
          </cell>
          <cell r="T1458" t="str">
            <v>normal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  <cell r="N1459" t="str">
            <v>ヒューマン</v>
          </cell>
          <cell r="O1459" t="str">
            <v>none</v>
          </cell>
          <cell r="P1459" t="str">
            <v>種族なし</v>
          </cell>
          <cell r="R1459">
            <v>3</v>
          </cell>
          <cell r="S1459" t="str">
            <v>NULL</v>
          </cell>
          <cell r="T1459" t="str">
            <v>normal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  <cell r="N1460" t="str">
            <v>Unknown</v>
          </cell>
          <cell r="O1460" t="str">
            <v>none</v>
          </cell>
          <cell r="P1460" t="str">
            <v>種族なし</v>
          </cell>
          <cell r="R1460">
            <v>3</v>
          </cell>
          <cell r="S1460" t="str">
            <v>NULL</v>
          </cell>
          <cell r="T1460" t="str">
            <v>normal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  <cell r="N1461" t="str">
            <v>Unknown</v>
          </cell>
          <cell r="O1461" t="str">
            <v>hero</v>
          </cell>
          <cell r="P1461" t="str">
            <v>ヒーロー</v>
          </cell>
          <cell r="R1461">
            <v>3</v>
          </cell>
          <cell r="S1461" t="str">
            <v>NULL</v>
          </cell>
          <cell r="T1461" t="str">
            <v>normal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  <cell r="N1462" t="str">
            <v>Unknown</v>
          </cell>
          <cell r="O1462" t="str">
            <v>human</v>
          </cell>
          <cell r="P1462" t="str">
            <v>ヒューマン</v>
          </cell>
          <cell r="R1462">
            <v>3</v>
          </cell>
          <cell r="S1462" t="str">
            <v>NULL</v>
          </cell>
          <cell r="T1462" t="str">
            <v>normal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  <cell r="N1463" t="str">
            <v>Unknown</v>
          </cell>
          <cell r="O1463" t="str">
            <v>human</v>
          </cell>
          <cell r="P1463" t="str">
            <v>ヒューマン</v>
          </cell>
          <cell r="R1463">
            <v>3</v>
          </cell>
          <cell r="S1463" t="str">
            <v>NULL</v>
          </cell>
          <cell r="T1463" t="str">
            <v>normal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  <cell r="N1464" t="str">
            <v>アカデミア</v>
          </cell>
          <cell r="O1464" t="str">
            <v>none</v>
          </cell>
          <cell r="P1464" t="str">
            <v>種族なし</v>
          </cell>
          <cell r="Q1464" t="str">
            <v>アタッカー</v>
          </cell>
          <cell r="R1464">
            <v>1</v>
          </cell>
          <cell r="S1464" t="str">
            <v>NULL</v>
          </cell>
          <cell r="T1464" t="str">
            <v>normal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  <cell r="N1465" t="str">
            <v>アカデミア</v>
          </cell>
          <cell r="O1465" t="str">
            <v>none</v>
          </cell>
          <cell r="P1465" t="str">
            <v>種族なし</v>
          </cell>
          <cell r="Q1465" t="str">
            <v>アタッカー</v>
          </cell>
          <cell r="R1465">
            <v>1</v>
          </cell>
          <cell r="S1465" t="str">
            <v>NULL</v>
          </cell>
          <cell r="T1465" t="str">
            <v>normal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  <cell r="N1466" t="str">
            <v>アカデミア</v>
          </cell>
          <cell r="O1466" t="str">
            <v>animal</v>
          </cell>
          <cell r="P1466" t="str">
            <v>アニマル</v>
          </cell>
          <cell r="Q1466" t="str">
            <v>アタッカー</v>
          </cell>
          <cell r="R1466">
            <v>3</v>
          </cell>
          <cell r="S1466" t="str">
            <v>NULL</v>
          </cell>
          <cell r="T1466" t="str">
            <v>normal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  <cell r="N1467" t="str">
            <v>アカデミア</v>
          </cell>
          <cell r="O1467" t="str">
            <v>animal</v>
          </cell>
          <cell r="P1467" t="str">
            <v>アニマル</v>
          </cell>
          <cell r="Q1467" t="str">
            <v>アタッカー</v>
          </cell>
          <cell r="R1467">
            <v>3</v>
          </cell>
          <cell r="S1467" t="str">
            <v>NULL</v>
          </cell>
          <cell r="T1467" t="str">
            <v>normal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  <cell r="N1468" t="str">
            <v>サムライ</v>
          </cell>
          <cell r="O1468" t="str">
            <v>hero</v>
          </cell>
          <cell r="P1468" t="str">
            <v>ヒーロー</v>
          </cell>
          <cell r="Q1468" t="str">
            <v>アタッカー</v>
          </cell>
          <cell r="R1468">
            <v>3</v>
          </cell>
          <cell r="S1468" t="str">
            <v>NULL</v>
          </cell>
          <cell r="T1468" t="str">
            <v>normal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  <cell r="N1469" t="str">
            <v>サムライ</v>
          </cell>
          <cell r="O1469" t="str">
            <v>hero</v>
          </cell>
          <cell r="P1469" t="str">
            <v>ヒーロー</v>
          </cell>
          <cell r="Q1469" t="str">
            <v>アタッカー</v>
          </cell>
          <cell r="R1469">
            <v>3</v>
          </cell>
          <cell r="S1469" t="str">
            <v>NULL</v>
          </cell>
          <cell r="T1469" t="str">
            <v>normal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  <cell r="N1470" t="str">
            <v>ファンタジー</v>
          </cell>
          <cell r="O1470" t="str">
            <v>none</v>
          </cell>
          <cell r="P1470" t="str">
            <v>種族なし</v>
          </cell>
          <cell r="R1470">
            <v>3</v>
          </cell>
          <cell r="S1470" t="str">
            <v>NULL</v>
          </cell>
          <cell r="T1470" t="str">
            <v>normal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  <cell r="N1471" t="str">
            <v>ファンタジー</v>
          </cell>
          <cell r="O1471" t="str">
            <v>none</v>
          </cell>
          <cell r="P1471" t="str">
            <v>種族なし</v>
          </cell>
          <cell r="R1471">
            <v>3</v>
          </cell>
          <cell r="S1471" t="str">
            <v>NULL</v>
          </cell>
          <cell r="T1471" t="str">
            <v>normal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  <cell r="N1472" t="str">
            <v>ゴッド</v>
          </cell>
          <cell r="O1472" t="str">
            <v>samurai</v>
          </cell>
          <cell r="P1472" t="str">
            <v>サムライ</v>
          </cell>
          <cell r="Q1472" t="str">
            <v>アタッカー</v>
          </cell>
          <cell r="R1472">
            <v>3</v>
          </cell>
          <cell r="S1472" t="str">
            <v>NULL</v>
          </cell>
          <cell r="T1472" t="str">
            <v>normal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  <cell r="N1473" t="str">
            <v>ゴッド</v>
          </cell>
          <cell r="O1473" t="str">
            <v>samurai</v>
          </cell>
          <cell r="P1473" t="str">
            <v>サムライ</v>
          </cell>
          <cell r="Q1473" t="str">
            <v>アタッカー</v>
          </cell>
          <cell r="R1473">
            <v>3</v>
          </cell>
          <cell r="S1473" t="str">
            <v>NULL</v>
          </cell>
          <cell r="T1473" t="str">
            <v>normal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  <cell r="N1474" t="str">
            <v>アニマル</v>
          </cell>
          <cell r="O1474" t="str">
            <v>none</v>
          </cell>
          <cell r="P1474" t="str">
            <v>種族なし</v>
          </cell>
          <cell r="R1474">
            <v>3</v>
          </cell>
          <cell r="S1474" t="str">
            <v>NULL</v>
          </cell>
          <cell r="T1474" t="str">
            <v>normal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  <cell r="N1475" t="str">
            <v>ヒューマン</v>
          </cell>
          <cell r="O1475" t="str">
            <v>hero</v>
          </cell>
          <cell r="P1475" t="str">
            <v>ヒーロー</v>
          </cell>
          <cell r="R1475">
            <v>3</v>
          </cell>
          <cell r="S1475" t="str">
            <v>NULL</v>
          </cell>
          <cell r="T1475" t="str">
            <v>normal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  <cell r="N1476" t="str">
            <v>ドラゴン</v>
          </cell>
          <cell r="O1476" t="str">
            <v>fantasy</v>
          </cell>
          <cell r="P1476" t="str">
            <v>ファンタジー</v>
          </cell>
          <cell r="R1476">
            <v>3</v>
          </cell>
          <cell r="S1476" t="str">
            <v>NULL</v>
          </cell>
          <cell r="T1476" t="str">
            <v>normal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  <cell r="N1477" t="str">
            <v>Unknown</v>
          </cell>
          <cell r="O1477" t="str">
            <v>animal</v>
          </cell>
          <cell r="P1477" t="str">
            <v>アニマル</v>
          </cell>
          <cell r="R1477">
            <v>3</v>
          </cell>
          <cell r="S1477" t="str">
            <v>NULL</v>
          </cell>
          <cell r="T1477" t="str">
            <v>normal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  <cell r="N1478" t="str">
            <v>Unknown</v>
          </cell>
          <cell r="O1478" t="str">
            <v>animal</v>
          </cell>
          <cell r="P1478" t="str">
            <v>アニマル</v>
          </cell>
          <cell r="R1478">
            <v>3</v>
          </cell>
          <cell r="S1478" t="str">
            <v>NULL</v>
          </cell>
          <cell r="T1478" t="str">
            <v>normal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  <cell r="N1479" t="str">
            <v>Unknown</v>
          </cell>
          <cell r="O1479" t="str">
            <v>animal</v>
          </cell>
          <cell r="P1479" t="str">
            <v>アニマル</v>
          </cell>
          <cell r="R1479">
            <v>3</v>
          </cell>
          <cell r="S1479" t="str">
            <v>NULL</v>
          </cell>
          <cell r="T1479" t="str">
            <v>normal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  <cell r="N1480" t="str">
            <v>Unknown</v>
          </cell>
          <cell r="O1480" t="str">
            <v>animal</v>
          </cell>
          <cell r="P1480" t="str">
            <v>アニマル</v>
          </cell>
          <cell r="R1480">
            <v>3</v>
          </cell>
          <cell r="S1480" t="str">
            <v>NULL</v>
          </cell>
          <cell r="T1480" t="str">
            <v>normal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  <cell r="N1481" t="str">
            <v>Unknown</v>
          </cell>
          <cell r="O1481" t="str">
            <v>animal</v>
          </cell>
          <cell r="P1481" t="str">
            <v>アニマル</v>
          </cell>
          <cell r="R1481">
            <v>3</v>
          </cell>
          <cell r="S1481" t="str">
            <v>NULL</v>
          </cell>
          <cell r="T1481" t="str">
            <v>normal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  <cell r="N1482" t="str">
            <v>ゴッド</v>
          </cell>
          <cell r="O1482" t="str">
            <v>animal</v>
          </cell>
          <cell r="P1482" t="str">
            <v>アニマル</v>
          </cell>
          <cell r="R1482">
            <v>3</v>
          </cell>
          <cell r="S1482" t="str">
            <v>NULL</v>
          </cell>
          <cell r="T1482" t="str">
            <v>normal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  <cell r="N1483" t="str">
            <v>ゴッド</v>
          </cell>
          <cell r="O1483" t="str">
            <v>animal</v>
          </cell>
          <cell r="P1483" t="str">
            <v>アニマル</v>
          </cell>
          <cell r="R1483">
            <v>3</v>
          </cell>
          <cell r="S1483" t="str">
            <v>NULL</v>
          </cell>
          <cell r="T1483" t="str">
            <v>normal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  <cell r="N1484" t="str">
            <v>ゴッド</v>
          </cell>
          <cell r="O1484" t="str">
            <v>animal</v>
          </cell>
          <cell r="P1484" t="str">
            <v>アニマル</v>
          </cell>
          <cell r="R1484">
            <v>3</v>
          </cell>
          <cell r="S1484" t="str">
            <v>NULL</v>
          </cell>
          <cell r="T1484" t="str">
            <v>normal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  <cell r="N1485" t="str">
            <v>ゴッド</v>
          </cell>
          <cell r="O1485" t="str">
            <v>animal</v>
          </cell>
          <cell r="P1485" t="str">
            <v>アニマル</v>
          </cell>
          <cell r="R1485">
            <v>3</v>
          </cell>
          <cell r="S1485" t="str">
            <v>NULL</v>
          </cell>
          <cell r="T1485" t="str">
            <v>normal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  <cell r="N1486" t="str">
            <v>Unknown</v>
          </cell>
          <cell r="O1486" t="str">
            <v>animal</v>
          </cell>
          <cell r="P1486" t="str">
            <v>アニマル</v>
          </cell>
          <cell r="R1486">
            <v>3</v>
          </cell>
          <cell r="S1486" t="str">
            <v>NULL</v>
          </cell>
          <cell r="T1486" t="str">
            <v>normal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  <cell r="N1487" t="str">
            <v>Unknown</v>
          </cell>
          <cell r="O1487" t="str">
            <v>animal</v>
          </cell>
          <cell r="P1487" t="str">
            <v>アニマル</v>
          </cell>
          <cell r="R1487">
            <v>3</v>
          </cell>
          <cell r="S1487" t="str">
            <v>NULL</v>
          </cell>
          <cell r="T1487" t="str">
            <v>normal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  <cell r="N1488" t="str">
            <v>Unknown</v>
          </cell>
          <cell r="O1488" t="str">
            <v>animal</v>
          </cell>
          <cell r="P1488" t="str">
            <v>アニマル</v>
          </cell>
          <cell r="R1488">
            <v>3</v>
          </cell>
          <cell r="S1488" t="str">
            <v>NULL</v>
          </cell>
          <cell r="T1488" t="str">
            <v>normal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  <cell r="N1489" t="str">
            <v>Unknown</v>
          </cell>
          <cell r="O1489" t="str">
            <v>animal</v>
          </cell>
          <cell r="P1489" t="str">
            <v>アニマル</v>
          </cell>
          <cell r="R1489">
            <v>3</v>
          </cell>
          <cell r="S1489" t="str">
            <v>NULL</v>
          </cell>
          <cell r="T1489" t="str">
            <v>normal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  <cell r="N1490" t="str">
            <v>Unknown</v>
          </cell>
          <cell r="O1490" t="str">
            <v>animal</v>
          </cell>
          <cell r="P1490" t="str">
            <v>アニマル</v>
          </cell>
          <cell r="R1490">
            <v>3</v>
          </cell>
          <cell r="S1490" t="str">
            <v>NULL</v>
          </cell>
          <cell r="T1490" t="str">
            <v>normal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  <cell r="N1491" t="str">
            <v>Unknown</v>
          </cell>
          <cell r="O1491" t="str">
            <v>animal</v>
          </cell>
          <cell r="P1491" t="str">
            <v>アニマル</v>
          </cell>
          <cell r="R1491">
            <v>3</v>
          </cell>
          <cell r="S1491" t="str">
            <v>NULL</v>
          </cell>
          <cell r="T1491" t="str">
            <v>normal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  <cell r="N1492" t="str">
            <v>Unknown</v>
          </cell>
          <cell r="O1492" t="str">
            <v>animal</v>
          </cell>
          <cell r="P1492" t="str">
            <v>アニマル</v>
          </cell>
          <cell r="R1492">
            <v>3</v>
          </cell>
          <cell r="S1492" t="str">
            <v>NULL</v>
          </cell>
          <cell r="T1492" t="str">
            <v>normal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  <cell r="N1493" t="str">
            <v>Unknown</v>
          </cell>
          <cell r="O1493" t="str">
            <v>animal</v>
          </cell>
          <cell r="P1493" t="str">
            <v>アニマル</v>
          </cell>
          <cell r="R1493">
            <v>3</v>
          </cell>
          <cell r="S1493" t="str">
            <v>NULL</v>
          </cell>
          <cell r="T1493" t="str">
            <v>normal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  <cell r="N1494" t="str">
            <v>Unknown</v>
          </cell>
          <cell r="O1494" t="str">
            <v>animal</v>
          </cell>
          <cell r="P1494" t="str">
            <v>アニマル</v>
          </cell>
          <cell r="R1494">
            <v>3</v>
          </cell>
          <cell r="S1494" t="str">
            <v>NULL</v>
          </cell>
          <cell r="T1494" t="str">
            <v>normal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  <cell r="N1495" t="str">
            <v>Unknown</v>
          </cell>
          <cell r="O1495" t="str">
            <v>animal</v>
          </cell>
          <cell r="P1495" t="str">
            <v>アニマル</v>
          </cell>
          <cell r="R1495">
            <v>3</v>
          </cell>
          <cell r="S1495" t="str">
            <v>NULL</v>
          </cell>
          <cell r="T1495" t="str">
            <v>normal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  <cell r="N1496" t="str">
            <v>アニマル</v>
          </cell>
          <cell r="O1496" t="str">
            <v>dragon</v>
          </cell>
          <cell r="P1496" t="str">
            <v>ドラゴン</v>
          </cell>
          <cell r="R1496">
            <v>3</v>
          </cell>
          <cell r="S1496" t="str">
            <v>NULL</v>
          </cell>
          <cell r="T1496" t="str">
            <v>normal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  <cell r="N1497" t="str">
            <v>アニマル</v>
          </cell>
          <cell r="O1497" t="str">
            <v>dragon</v>
          </cell>
          <cell r="P1497" t="str">
            <v>ドラゴン</v>
          </cell>
          <cell r="R1497">
            <v>3</v>
          </cell>
          <cell r="S1497" t="str">
            <v>NULL</v>
          </cell>
          <cell r="T1497" t="str">
            <v>normal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  <cell r="N1498" t="str">
            <v>アニマル</v>
          </cell>
          <cell r="O1498" t="str">
            <v>demon</v>
          </cell>
          <cell r="P1498" t="str">
            <v>デーモン</v>
          </cell>
          <cell r="R1498">
            <v>3</v>
          </cell>
          <cell r="S1498" t="str">
            <v>NULL</v>
          </cell>
          <cell r="T1498" t="str">
            <v>normal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  <cell r="N1499" t="str">
            <v>アニマル</v>
          </cell>
          <cell r="O1499" t="str">
            <v>demon</v>
          </cell>
          <cell r="P1499" t="str">
            <v>デーモン</v>
          </cell>
          <cell r="R1499">
            <v>3</v>
          </cell>
          <cell r="S1499" t="str">
            <v>NULL</v>
          </cell>
          <cell r="T1499" t="str">
            <v>normal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  <cell r="N1500" t="str">
            <v>アニマル</v>
          </cell>
          <cell r="O1500" t="str">
            <v>hero</v>
          </cell>
          <cell r="P1500" t="str">
            <v>ヒーロー</v>
          </cell>
          <cell r="R1500">
            <v>3</v>
          </cell>
          <cell r="S1500" t="str">
            <v>NULL</v>
          </cell>
          <cell r="T1500" t="str">
            <v>normal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  <cell r="N1501" t="str">
            <v>アニマル</v>
          </cell>
          <cell r="O1501" t="str">
            <v>hero</v>
          </cell>
          <cell r="P1501" t="str">
            <v>ヒーロー</v>
          </cell>
          <cell r="R1501">
            <v>3</v>
          </cell>
          <cell r="S1501" t="str">
            <v>NULL</v>
          </cell>
          <cell r="T1501" t="str">
            <v>normal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  <cell r="N1502" t="str">
            <v>Unknown</v>
          </cell>
          <cell r="O1502" t="str">
            <v>animal</v>
          </cell>
          <cell r="P1502" t="str">
            <v>アニマル</v>
          </cell>
          <cell r="R1502">
            <v>3</v>
          </cell>
          <cell r="S1502" t="str">
            <v>NULL</v>
          </cell>
          <cell r="T1502" t="str">
            <v>normal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  <cell r="N1503" t="str">
            <v>Unknown</v>
          </cell>
          <cell r="O1503" t="str">
            <v>animal</v>
          </cell>
          <cell r="P1503" t="str">
            <v>アニマル</v>
          </cell>
          <cell r="R1503">
            <v>3</v>
          </cell>
          <cell r="S1503" t="str">
            <v>NULL</v>
          </cell>
          <cell r="T1503" t="str">
            <v>normal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  <cell r="N1504" t="str">
            <v>アニマル</v>
          </cell>
          <cell r="O1504" t="str">
            <v>dragon</v>
          </cell>
          <cell r="P1504" t="str">
            <v>ドラゴン</v>
          </cell>
          <cell r="R1504">
            <v>3</v>
          </cell>
          <cell r="S1504" t="str">
            <v>NULL</v>
          </cell>
          <cell r="T1504" t="str">
            <v>normal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  <cell r="N1505" t="str">
            <v>アニマル</v>
          </cell>
          <cell r="O1505" t="str">
            <v>dragon</v>
          </cell>
          <cell r="P1505" t="str">
            <v>ドラゴン</v>
          </cell>
          <cell r="R1505">
            <v>3</v>
          </cell>
          <cell r="S1505" t="str">
            <v>NULL</v>
          </cell>
          <cell r="T1505" t="str">
            <v>normal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  <cell r="N1506" t="str">
            <v>アニマル</v>
          </cell>
          <cell r="O1506" t="str">
            <v>human</v>
          </cell>
          <cell r="P1506" t="str">
            <v>ヒューマン</v>
          </cell>
          <cell r="R1506">
            <v>3</v>
          </cell>
          <cell r="S1506" t="str">
            <v>NULL</v>
          </cell>
          <cell r="T1506" t="str">
            <v>normal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  <cell r="N1507" t="str">
            <v>アニマル</v>
          </cell>
          <cell r="O1507" t="str">
            <v>human</v>
          </cell>
          <cell r="P1507" t="str">
            <v>ヒューマン</v>
          </cell>
          <cell r="R1507">
            <v>3</v>
          </cell>
          <cell r="S1507" t="str">
            <v>NULL</v>
          </cell>
          <cell r="T1507" t="str">
            <v>normal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  <cell r="N1508" t="str">
            <v>ゴッド</v>
          </cell>
          <cell r="O1508" t="str">
            <v>animal</v>
          </cell>
          <cell r="P1508" t="str">
            <v>アニマル</v>
          </cell>
          <cell r="R1508">
            <v>3</v>
          </cell>
          <cell r="S1508" t="str">
            <v>NULL</v>
          </cell>
          <cell r="T1508" t="str">
            <v>normal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  <cell r="N1509" t="str">
            <v>ゴッド</v>
          </cell>
          <cell r="O1509" t="str">
            <v>animal</v>
          </cell>
          <cell r="P1509" t="str">
            <v>アニマル</v>
          </cell>
          <cell r="R1509">
            <v>3</v>
          </cell>
          <cell r="S1509" t="str">
            <v>NULL</v>
          </cell>
          <cell r="T1509" t="str">
            <v>normal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  <cell r="N1510" t="str">
            <v>Unknown</v>
          </cell>
          <cell r="O1510" t="str">
            <v>animal</v>
          </cell>
          <cell r="P1510" t="str">
            <v>アニマル</v>
          </cell>
          <cell r="R1510">
            <v>3</v>
          </cell>
          <cell r="S1510" t="str">
            <v>NULL</v>
          </cell>
          <cell r="T1510" t="str">
            <v>normal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  <cell r="N1511" t="str">
            <v>Unknown</v>
          </cell>
          <cell r="O1511" t="str">
            <v>animal</v>
          </cell>
          <cell r="P1511" t="str">
            <v>アニマル</v>
          </cell>
          <cell r="R1511">
            <v>3</v>
          </cell>
          <cell r="S1511" t="str">
            <v>NULL</v>
          </cell>
          <cell r="T1511" t="str">
            <v>normal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  <cell r="N1512" t="str">
            <v>ゴッド</v>
          </cell>
          <cell r="O1512" t="str">
            <v>animal</v>
          </cell>
          <cell r="P1512" t="str">
            <v>アニマル</v>
          </cell>
          <cell r="R1512">
            <v>3</v>
          </cell>
          <cell r="S1512" t="str">
            <v>NULL</v>
          </cell>
          <cell r="T1512" t="str">
            <v>normal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  <cell r="N1513" t="str">
            <v>ゴッド</v>
          </cell>
          <cell r="O1513" t="str">
            <v>animal</v>
          </cell>
          <cell r="P1513" t="str">
            <v>アニマル</v>
          </cell>
          <cell r="R1513">
            <v>3</v>
          </cell>
          <cell r="S1513" t="str">
            <v>NULL</v>
          </cell>
          <cell r="T1513" t="str">
            <v>normal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  <cell r="N1514" t="str">
            <v>ゴッド</v>
          </cell>
          <cell r="O1514" t="str">
            <v>unknown</v>
          </cell>
          <cell r="P1514" t="str">
            <v>Unknown</v>
          </cell>
          <cell r="R1514">
            <v>3</v>
          </cell>
          <cell r="S1514" t="str">
            <v>NULL</v>
          </cell>
          <cell r="T1514" t="str">
            <v>normal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  <cell r="N1515" t="str">
            <v>ゴッド</v>
          </cell>
          <cell r="O1515" t="str">
            <v>unknown</v>
          </cell>
          <cell r="P1515" t="str">
            <v>Unknown</v>
          </cell>
          <cell r="R1515">
            <v>3</v>
          </cell>
          <cell r="S1515" t="str">
            <v>NULL</v>
          </cell>
          <cell r="T1515" t="str">
            <v>normal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  <cell r="N1516" t="str">
            <v>ヒーロー</v>
          </cell>
          <cell r="O1516" t="str">
            <v>unknown</v>
          </cell>
          <cell r="P1516" t="str">
            <v>Unknown</v>
          </cell>
          <cell r="R1516">
            <v>3</v>
          </cell>
          <cell r="S1516" t="str">
            <v>NULL</v>
          </cell>
          <cell r="T1516" t="str">
            <v>normal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  <cell r="N1517" t="str">
            <v>ヒーロー</v>
          </cell>
          <cell r="O1517" t="str">
            <v>unknown</v>
          </cell>
          <cell r="P1517" t="str">
            <v>Unknown</v>
          </cell>
          <cell r="R1517">
            <v>3</v>
          </cell>
          <cell r="S1517" t="str">
            <v>NULL</v>
          </cell>
          <cell r="T1517" t="str">
            <v>normal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  <cell r="N1518" t="str">
            <v>Unknown</v>
          </cell>
          <cell r="O1518" t="str">
            <v>demon</v>
          </cell>
          <cell r="P1518" t="str">
            <v>デーモン</v>
          </cell>
          <cell r="R1518">
            <v>3</v>
          </cell>
          <cell r="S1518" t="str">
            <v>NULL</v>
          </cell>
          <cell r="T1518" t="str">
            <v>normal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  <cell r="N1519" t="str">
            <v>Unknown</v>
          </cell>
          <cell r="O1519" t="str">
            <v>demon</v>
          </cell>
          <cell r="P1519" t="str">
            <v>デーモン</v>
          </cell>
          <cell r="R1519">
            <v>3</v>
          </cell>
          <cell r="S1519" t="str">
            <v>NULL</v>
          </cell>
          <cell r="T1519" t="str">
            <v>normal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  <cell r="N1520" t="str">
            <v>アニマル</v>
          </cell>
          <cell r="O1520" t="str">
            <v>machine</v>
          </cell>
          <cell r="P1520" t="str">
            <v>マシン</v>
          </cell>
          <cell r="R1520">
            <v>3</v>
          </cell>
          <cell r="S1520" t="str">
            <v>NULL</v>
          </cell>
          <cell r="T1520" t="str">
            <v>normal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  <cell r="N1521" t="str">
            <v>アニマル</v>
          </cell>
          <cell r="O1521" t="str">
            <v>machine</v>
          </cell>
          <cell r="P1521" t="str">
            <v>マシン</v>
          </cell>
          <cell r="R1521">
            <v>3</v>
          </cell>
          <cell r="S1521" t="str">
            <v>NULL</v>
          </cell>
          <cell r="T1521" t="str">
            <v>normal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  <cell r="N1522" t="str">
            <v>Unknown</v>
          </cell>
          <cell r="O1522" t="str">
            <v>animal</v>
          </cell>
          <cell r="P1522" t="str">
            <v>アニマル</v>
          </cell>
          <cell r="R1522">
            <v>3</v>
          </cell>
          <cell r="S1522" t="str">
            <v>NULL</v>
          </cell>
          <cell r="T1522" t="str">
            <v>normal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  <cell r="N1523" t="str">
            <v>Unknown</v>
          </cell>
          <cell r="O1523" t="str">
            <v>animal</v>
          </cell>
          <cell r="P1523" t="str">
            <v>アニマル</v>
          </cell>
          <cell r="R1523">
            <v>3</v>
          </cell>
          <cell r="S1523" t="str">
            <v>NULL</v>
          </cell>
          <cell r="T1523" t="str">
            <v>normal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  <cell r="N1524" t="str">
            <v>ヒューマン</v>
          </cell>
          <cell r="O1524" t="str">
            <v>hero</v>
          </cell>
          <cell r="P1524" t="str">
            <v>ヒーロー</v>
          </cell>
          <cell r="R1524">
            <v>1</v>
          </cell>
          <cell r="S1524" t="str">
            <v>NULL</v>
          </cell>
          <cell r="T1524" t="str">
            <v>normal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  <cell r="N1525" t="str">
            <v>ヒューマン</v>
          </cell>
          <cell r="O1525" t="str">
            <v>hero</v>
          </cell>
          <cell r="P1525" t="str">
            <v>ヒーロー</v>
          </cell>
          <cell r="R1525">
            <v>1</v>
          </cell>
          <cell r="S1525" t="str">
            <v>NULL</v>
          </cell>
          <cell r="T1525" t="str">
            <v>normal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  <cell r="N1526" t="str">
            <v>ヒューマン</v>
          </cell>
          <cell r="O1526" t="str">
            <v>none</v>
          </cell>
          <cell r="P1526" t="str">
            <v>種族なし</v>
          </cell>
          <cell r="R1526">
            <v>1</v>
          </cell>
          <cell r="S1526" t="str">
            <v>NULL</v>
          </cell>
          <cell r="T1526" t="str">
            <v>normal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  <cell r="N1527" t="str">
            <v>ヒューマン</v>
          </cell>
          <cell r="O1527" t="str">
            <v>none</v>
          </cell>
          <cell r="P1527" t="str">
            <v>種族なし</v>
          </cell>
          <cell r="R1527">
            <v>1</v>
          </cell>
          <cell r="S1527" t="str">
            <v>NULL</v>
          </cell>
          <cell r="T1527" t="str">
            <v>normal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  <cell r="N1528" t="str">
            <v>ヒューマン</v>
          </cell>
          <cell r="O1528" t="str">
            <v>none</v>
          </cell>
          <cell r="P1528" t="str">
            <v>種族なし</v>
          </cell>
          <cell r="R1528">
            <v>1</v>
          </cell>
          <cell r="S1528" t="str">
            <v>NULL</v>
          </cell>
          <cell r="T1528" t="str">
            <v>normal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  <cell r="N1529" t="str">
            <v>ヒューマン</v>
          </cell>
          <cell r="O1529" t="str">
            <v>hero</v>
          </cell>
          <cell r="P1529" t="str">
            <v>ヒーロー</v>
          </cell>
          <cell r="R1529">
            <v>1</v>
          </cell>
          <cell r="S1529" t="str">
            <v>NULL</v>
          </cell>
          <cell r="T1529" t="str">
            <v>normal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  <cell r="N1530" t="str">
            <v>ヒューマン</v>
          </cell>
          <cell r="O1530" t="str">
            <v>hero</v>
          </cell>
          <cell r="P1530" t="str">
            <v>ヒーロー</v>
          </cell>
          <cell r="R1530">
            <v>1</v>
          </cell>
          <cell r="S1530" t="str">
            <v>NULL</v>
          </cell>
          <cell r="T1530" t="str">
            <v>normal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  <cell r="N1531" t="str">
            <v>ヒューマン</v>
          </cell>
          <cell r="O1531" t="str">
            <v>none</v>
          </cell>
          <cell r="P1531" t="str">
            <v>種族なし</v>
          </cell>
          <cell r="R1531">
            <v>1</v>
          </cell>
          <cell r="S1531" t="str">
            <v>NULL</v>
          </cell>
          <cell r="T1531" t="str">
            <v>normal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  <cell r="N1532" t="str">
            <v>ヒューマン</v>
          </cell>
          <cell r="O1532" t="str">
            <v>none</v>
          </cell>
          <cell r="P1532" t="str">
            <v>種族なし</v>
          </cell>
          <cell r="R1532">
            <v>1</v>
          </cell>
          <cell r="S1532" t="str">
            <v>NULL</v>
          </cell>
          <cell r="T1532" t="str">
            <v>normal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  <cell r="N1533" t="str">
            <v>ヒューマン</v>
          </cell>
          <cell r="O1533" t="str">
            <v>none</v>
          </cell>
          <cell r="P1533" t="str">
            <v>種族なし</v>
          </cell>
          <cell r="R1533">
            <v>1</v>
          </cell>
          <cell r="S1533" t="str">
            <v>NULL</v>
          </cell>
          <cell r="T1533" t="str">
            <v>normal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  <cell r="N1534" t="str">
            <v>ヒューマン</v>
          </cell>
          <cell r="O1534" t="str">
            <v>hero</v>
          </cell>
          <cell r="P1534" t="str">
            <v>ヒーロー</v>
          </cell>
          <cell r="R1534">
            <v>1</v>
          </cell>
          <cell r="S1534" t="str">
            <v>NULL</v>
          </cell>
          <cell r="T1534" t="str">
            <v>normal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  <cell r="N1535" t="str">
            <v>ヒューマン</v>
          </cell>
          <cell r="O1535" t="str">
            <v>hero</v>
          </cell>
          <cell r="P1535" t="str">
            <v>ヒーロー</v>
          </cell>
          <cell r="R1535">
            <v>1</v>
          </cell>
          <cell r="S1535" t="str">
            <v>NULL</v>
          </cell>
          <cell r="T1535" t="str">
            <v>normal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  <cell r="N1536" t="str">
            <v>ヒューマン</v>
          </cell>
          <cell r="O1536" t="str">
            <v>none</v>
          </cell>
          <cell r="P1536" t="str">
            <v>種族なし</v>
          </cell>
          <cell r="R1536">
            <v>1</v>
          </cell>
          <cell r="S1536" t="str">
            <v>NULL</v>
          </cell>
          <cell r="T1536" t="str">
            <v>normal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  <cell r="N1537" t="str">
            <v>ヒューマン</v>
          </cell>
          <cell r="O1537" t="str">
            <v>none</v>
          </cell>
          <cell r="P1537" t="str">
            <v>種族なし</v>
          </cell>
          <cell r="R1537">
            <v>1</v>
          </cell>
          <cell r="S1537" t="str">
            <v>NULL</v>
          </cell>
          <cell r="T1537" t="str">
            <v>normal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  <cell r="N1538" t="str">
            <v>ヒューマン</v>
          </cell>
          <cell r="O1538" t="str">
            <v>none</v>
          </cell>
          <cell r="P1538" t="str">
            <v>種族なし</v>
          </cell>
          <cell r="R1538">
            <v>1</v>
          </cell>
          <cell r="S1538" t="str">
            <v>NULL</v>
          </cell>
          <cell r="T1538" t="str">
            <v>normal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  <cell r="N1539" t="str">
            <v>ヒューマン</v>
          </cell>
          <cell r="O1539" t="str">
            <v>none</v>
          </cell>
          <cell r="P1539" t="str">
            <v>種族なし</v>
          </cell>
          <cell r="R1539">
            <v>1</v>
          </cell>
          <cell r="S1539" t="str">
            <v>NULL</v>
          </cell>
          <cell r="T1539" t="str">
            <v>normal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  <cell r="N1540" t="str">
            <v>ヒューマン</v>
          </cell>
          <cell r="O1540" t="str">
            <v>none</v>
          </cell>
          <cell r="P1540" t="str">
            <v>種族なし</v>
          </cell>
          <cell r="R1540">
            <v>1</v>
          </cell>
          <cell r="S1540" t="str">
            <v>NULL</v>
          </cell>
          <cell r="T1540" t="str">
            <v>normal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  <cell r="N1541" t="str">
            <v>ヒューマン</v>
          </cell>
          <cell r="O1541" t="str">
            <v>none</v>
          </cell>
          <cell r="P1541" t="str">
            <v>種族なし</v>
          </cell>
          <cell r="R1541">
            <v>1</v>
          </cell>
          <cell r="S1541" t="str">
            <v>NULL</v>
          </cell>
          <cell r="T1541" t="str">
            <v>normal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  <cell r="N1542" t="str">
            <v>ヒューマン</v>
          </cell>
          <cell r="O1542" t="str">
            <v>none</v>
          </cell>
          <cell r="P1542" t="str">
            <v>種族なし</v>
          </cell>
          <cell r="R1542">
            <v>1</v>
          </cell>
          <cell r="S1542" t="str">
            <v>NULL</v>
          </cell>
          <cell r="T1542" t="str">
            <v>normal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  <cell r="N1543" t="str">
            <v>ヒューマン</v>
          </cell>
          <cell r="O1543" t="str">
            <v>none</v>
          </cell>
          <cell r="P1543" t="str">
            <v>種族なし</v>
          </cell>
          <cell r="R1543">
            <v>1</v>
          </cell>
          <cell r="S1543" t="str">
            <v>NULL</v>
          </cell>
          <cell r="T1543" t="str">
            <v>normal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  <cell r="N1544" t="str">
            <v>ヒューマン</v>
          </cell>
          <cell r="O1544" t="str">
            <v>none</v>
          </cell>
          <cell r="P1544" t="str">
            <v>種族なし</v>
          </cell>
          <cell r="R1544">
            <v>1</v>
          </cell>
          <cell r="S1544" t="str">
            <v>NULL</v>
          </cell>
          <cell r="T1544" t="str">
            <v>normal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  <cell r="N1545" t="str">
            <v>ヒューマン</v>
          </cell>
          <cell r="O1545" t="str">
            <v>none</v>
          </cell>
          <cell r="P1545" t="str">
            <v>種族なし</v>
          </cell>
          <cell r="R1545">
            <v>1</v>
          </cell>
          <cell r="S1545" t="str">
            <v>NULL</v>
          </cell>
          <cell r="T1545" t="str">
            <v>normal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  <cell r="N1546" t="str">
            <v>オロチ一族</v>
          </cell>
          <cell r="O1546" t="str">
            <v>none</v>
          </cell>
          <cell r="P1546" t="str">
            <v>種族なし</v>
          </cell>
          <cell r="R1546">
            <v>1</v>
          </cell>
          <cell r="S1546" t="str">
            <v>NULL</v>
          </cell>
          <cell r="T1546" t="str">
            <v>normal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  <cell r="N1547" t="str">
            <v>オロチ一族</v>
          </cell>
          <cell r="O1547" t="str">
            <v>none</v>
          </cell>
          <cell r="P1547" t="str">
            <v>種族なし</v>
          </cell>
          <cell r="R1547">
            <v>1</v>
          </cell>
          <cell r="S1547" t="str">
            <v>NULL</v>
          </cell>
          <cell r="T1547" t="str">
            <v>normal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  <cell r="N1548" t="str">
            <v>ヒューマン</v>
          </cell>
          <cell r="O1548" t="str">
            <v>hero</v>
          </cell>
          <cell r="P1548" t="str">
            <v>ヒーロー</v>
          </cell>
          <cell r="R1548">
            <v>1</v>
          </cell>
          <cell r="S1548" t="str">
            <v>NULL</v>
          </cell>
          <cell r="T1548" t="str">
            <v>normal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  <cell r="N1549" t="str">
            <v>ヒューマン</v>
          </cell>
          <cell r="O1549" t="str">
            <v>hero</v>
          </cell>
          <cell r="P1549" t="str">
            <v>ヒーロー</v>
          </cell>
          <cell r="R1549">
            <v>1</v>
          </cell>
          <cell r="S1549" t="str">
            <v>NULL</v>
          </cell>
          <cell r="T1549" t="str">
            <v>normal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  <cell r="N1550" t="str">
            <v>ヒューマン</v>
          </cell>
          <cell r="O1550" t="str">
            <v>none</v>
          </cell>
          <cell r="P1550" t="str">
            <v>種族なし</v>
          </cell>
          <cell r="R1550">
            <v>1</v>
          </cell>
          <cell r="S1550" t="str">
            <v>NULL</v>
          </cell>
          <cell r="T1550" t="str">
            <v>normal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  <cell r="N1551" t="str">
            <v>ヒューマン</v>
          </cell>
          <cell r="O1551" t="str">
            <v>none</v>
          </cell>
          <cell r="P1551" t="str">
            <v>種族なし</v>
          </cell>
          <cell r="R1551">
            <v>1</v>
          </cell>
          <cell r="S1551" t="str">
            <v>NULL</v>
          </cell>
          <cell r="T1551" t="str">
            <v>normal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  <cell r="N1552" t="str">
            <v>ヒューマン</v>
          </cell>
          <cell r="O1552" t="str">
            <v>unknown</v>
          </cell>
          <cell r="P1552" t="str">
            <v>Unknown</v>
          </cell>
          <cell r="R1552">
            <v>1</v>
          </cell>
          <cell r="S1552" t="str">
            <v>NULL</v>
          </cell>
          <cell r="T1552" t="str">
            <v>normal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  <cell r="N1553" t="str">
            <v>ヒューマン</v>
          </cell>
          <cell r="O1553" t="str">
            <v>unknown</v>
          </cell>
          <cell r="P1553" t="str">
            <v>Unknown</v>
          </cell>
          <cell r="R1553">
            <v>1</v>
          </cell>
          <cell r="S1553" t="str">
            <v>NULL</v>
          </cell>
          <cell r="T1553" t="str">
            <v>normal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  <cell r="N1554" t="str">
            <v>オロチ一族</v>
          </cell>
          <cell r="O1554" t="str">
            <v>none</v>
          </cell>
          <cell r="P1554" t="str">
            <v>種族なし</v>
          </cell>
          <cell r="R1554">
            <v>1</v>
          </cell>
          <cell r="S1554" t="str">
            <v>NULL</v>
          </cell>
          <cell r="T1554" t="str">
            <v>normal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  <cell r="N1555" t="str">
            <v>オロチ一族</v>
          </cell>
          <cell r="O1555" t="str">
            <v>none</v>
          </cell>
          <cell r="P1555" t="str">
            <v>種族なし</v>
          </cell>
          <cell r="R1555">
            <v>1</v>
          </cell>
          <cell r="S1555" t="str">
            <v>NULL</v>
          </cell>
          <cell r="T1555" t="str">
            <v>normal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  <cell r="N1556" t="str">
            <v>オロチ一族</v>
          </cell>
          <cell r="O1556" t="str">
            <v>none</v>
          </cell>
          <cell r="P1556" t="str">
            <v>種族なし</v>
          </cell>
          <cell r="R1556">
            <v>1</v>
          </cell>
          <cell r="S1556" t="str">
            <v>NULL</v>
          </cell>
          <cell r="T1556" t="str">
            <v>normal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  <cell r="N1557" t="str">
            <v>オロチ一族</v>
          </cell>
          <cell r="O1557" t="str">
            <v>none</v>
          </cell>
          <cell r="P1557" t="str">
            <v>種族なし</v>
          </cell>
          <cell r="R1557">
            <v>1</v>
          </cell>
          <cell r="S1557" t="str">
            <v>NULL</v>
          </cell>
          <cell r="T1557" t="str">
            <v>normal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  <cell r="N1558" t="str">
            <v>オロチ一族</v>
          </cell>
          <cell r="O1558" t="str">
            <v>none</v>
          </cell>
          <cell r="P1558" t="str">
            <v>種族なし</v>
          </cell>
          <cell r="R1558">
            <v>1</v>
          </cell>
          <cell r="S1558" t="str">
            <v>NULL</v>
          </cell>
          <cell r="T1558" t="str">
            <v>normal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  <cell r="N1559" t="str">
            <v>オロチ一族</v>
          </cell>
          <cell r="O1559" t="str">
            <v>none</v>
          </cell>
          <cell r="P1559" t="str">
            <v>種族なし</v>
          </cell>
          <cell r="R1559">
            <v>1</v>
          </cell>
          <cell r="S1559" t="str">
            <v>NULL</v>
          </cell>
          <cell r="T1559" t="str">
            <v>normal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  <cell r="N1560" t="str">
            <v>ヒューマン</v>
          </cell>
          <cell r="O1560" t="str">
            <v>none</v>
          </cell>
          <cell r="P1560" t="str">
            <v>種族なし</v>
          </cell>
          <cell r="R1560">
            <v>1</v>
          </cell>
          <cell r="S1560" t="str">
            <v>NULL</v>
          </cell>
          <cell r="T1560" t="str">
            <v>normal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  <cell r="N1561" t="str">
            <v>ヒューマン</v>
          </cell>
          <cell r="O1561" t="str">
            <v>none</v>
          </cell>
          <cell r="P1561" t="str">
            <v>種族なし</v>
          </cell>
          <cell r="R1561">
            <v>1</v>
          </cell>
          <cell r="S1561" t="str">
            <v>NULL</v>
          </cell>
          <cell r="T1561" t="str">
            <v>normal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blue</v>
          </cell>
          <cell r="I1562">
            <v>6</v>
          </cell>
          <cell r="J1562" t="str">
            <v>PremiumS</v>
          </cell>
          <cell r="K1562" t="str">
            <v>attack</v>
          </cell>
          <cell r="L1562" t="str">
            <v>攻撃タイプ</v>
          </cell>
          <cell r="M1562" t="str">
            <v>animal</v>
          </cell>
          <cell r="N1562" t="str">
            <v>アニマル</v>
          </cell>
          <cell r="O1562" t="str">
            <v>fantasy</v>
          </cell>
          <cell r="P1562" t="str">
            <v>ファンタジー</v>
          </cell>
          <cell r="Q1562" t="str">
            <v>アタッカー</v>
          </cell>
          <cell r="R1562">
            <v>3</v>
          </cell>
          <cell r="S1562" t="str">
            <v>NULL</v>
          </cell>
          <cell r="T1562" t="str">
            <v>normal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green</v>
          </cell>
          <cell r="I1563">
            <v>6</v>
          </cell>
          <cell r="J1563" t="str">
            <v>PremiumS</v>
          </cell>
          <cell r="K1563" t="str">
            <v>attack</v>
          </cell>
          <cell r="L1563" t="str">
            <v>攻撃タイプ</v>
          </cell>
          <cell r="M1563" t="str">
            <v>machine</v>
          </cell>
          <cell r="N1563" t="str">
            <v>マシン</v>
          </cell>
          <cell r="O1563" t="str">
            <v>fantasy</v>
          </cell>
          <cell r="P1563" t="str">
            <v>ファンタジー</v>
          </cell>
          <cell r="Q1563" t="str">
            <v>アタッカー</v>
          </cell>
          <cell r="R1563">
            <v>3</v>
          </cell>
          <cell r="S1563" t="str">
            <v>NULL</v>
          </cell>
          <cell r="T1563" t="str">
            <v>normal</v>
          </cell>
        </row>
        <row r="1564">
          <cell r="A1564">
            <v>1613</v>
          </cell>
          <cell r="B1564" t="str">
            <v>ja</v>
          </cell>
          <cell r="C1564" t="str">
            <v>ボスA</v>
          </cell>
          <cell r="D1564" t="str">
            <v>未定</v>
          </cell>
          <cell r="E1564" t="str">
            <v>アリス</v>
          </cell>
          <cell r="F1564" t="str">
            <v>世界観</v>
          </cell>
          <cell r="G1564" t="str">
            <v>不明</v>
          </cell>
          <cell r="H1564" t="str">
            <v>green</v>
          </cell>
          <cell r="I1564">
            <v>6</v>
          </cell>
          <cell r="J1564" t="str">
            <v>PremiumSSS</v>
          </cell>
          <cell r="K1564" t="str">
            <v>balance</v>
          </cell>
          <cell r="L1564" t="str">
            <v>バランスタイプ</v>
          </cell>
          <cell r="M1564" t="str">
            <v>unknown</v>
          </cell>
          <cell r="N1564" t="str">
            <v>Unknown</v>
          </cell>
          <cell r="O1564" t="str">
            <v>none</v>
          </cell>
          <cell r="P1564" t="str">
            <v>種族なし</v>
          </cell>
          <cell r="R1564">
            <v>1</v>
          </cell>
          <cell r="S1564" t="str">
            <v>NULL</v>
          </cell>
          <cell r="T1564" t="str">
            <v>normal</v>
          </cell>
        </row>
        <row r="1565">
          <cell r="A1565">
            <v>1614</v>
          </cell>
          <cell r="B1565" t="str">
            <v>ja</v>
          </cell>
          <cell r="C1565" t="str">
            <v>ボスB</v>
          </cell>
          <cell r="D1565" t="str">
            <v>未定</v>
          </cell>
          <cell r="E1565" t="str">
            <v>アリス</v>
          </cell>
          <cell r="F1565" t="str">
            <v>世界観</v>
          </cell>
          <cell r="G1565" t="str">
            <v>不明</v>
          </cell>
          <cell r="H1565" t="str">
            <v>yellow</v>
          </cell>
          <cell r="I1565">
            <v>6</v>
          </cell>
          <cell r="J1565" t="str">
            <v>PremiumSSw</v>
          </cell>
          <cell r="K1565" t="str">
            <v>balance</v>
          </cell>
          <cell r="L1565" t="str">
            <v>バランスタイプ</v>
          </cell>
          <cell r="M1565" t="str">
            <v>unknown</v>
          </cell>
          <cell r="N1565" t="str">
            <v>Unknown</v>
          </cell>
          <cell r="O1565" t="str">
            <v>none</v>
          </cell>
          <cell r="P1565" t="str">
            <v>種族なし</v>
          </cell>
          <cell r="R1565">
            <v>1</v>
          </cell>
          <cell r="S1565" t="str">
            <v>NULL</v>
          </cell>
          <cell r="T1565" t="str">
            <v>normal</v>
          </cell>
        </row>
        <row r="1566">
          <cell r="A1566">
            <v>1615</v>
          </cell>
          <cell r="B1566" t="str">
            <v>ja</v>
          </cell>
          <cell r="C1566" t="str">
            <v>ボスC</v>
          </cell>
          <cell r="H1566" t="str">
            <v>red</v>
          </cell>
          <cell r="I1566">
            <v>6</v>
          </cell>
          <cell r="J1566" t="str">
            <v>PremiumSS</v>
          </cell>
          <cell r="K1566" t="str">
            <v>balance</v>
          </cell>
          <cell r="L1566" t="str">
            <v>バランスタイプ</v>
          </cell>
          <cell r="M1566" t="str">
            <v>unknown</v>
          </cell>
          <cell r="N1566" t="str">
            <v>Unknown</v>
          </cell>
          <cell r="O1566" t="str">
            <v>none</v>
          </cell>
          <cell r="P1566" t="str">
            <v>種族なし</v>
          </cell>
          <cell r="R1566">
            <v>1</v>
          </cell>
          <cell r="S1566" t="str">
            <v>NULL</v>
          </cell>
          <cell r="T1566" t="str">
            <v>normal</v>
          </cell>
        </row>
        <row r="1567">
          <cell r="A1567">
            <v>1616</v>
          </cell>
          <cell r="B1567" t="str">
            <v>ja</v>
          </cell>
          <cell r="C1567" t="str">
            <v>空欄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god</v>
          </cell>
          <cell r="N1567" t="str">
            <v>ゴッド</v>
          </cell>
          <cell r="O1567" t="str">
            <v>fantasy</v>
          </cell>
          <cell r="P1567" t="str">
            <v>ファンタジー</v>
          </cell>
          <cell r="R1567">
            <v>1</v>
          </cell>
          <cell r="S1567" t="str">
            <v>NULL</v>
          </cell>
          <cell r="T1567" t="str">
            <v>normal</v>
          </cell>
        </row>
        <row r="1568">
          <cell r="A1568">
            <v>1617</v>
          </cell>
          <cell r="B1568" t="str">
            <v>ja</v>
          </cell>
          <cell r="C1568" t="str">
            <v>空欄</v>
          </cell>
          <cell r="H1568" t="str">
            <v>blue</v>
          </cell>
          <cell r="I1568">
            <v>6</v>
          </cell>
          <cell r="J1568" t="str">
            <v>PremiumSSw</v>
          </cell>
          <cell r="K1568" t="str">
            <v>technical</v>
          </cell>
          <cell r="L1568" t="str">
            <v>テクニカルタイプ</v>
          </cell>
          <cell r="M1568" t="str">
            <v>human</v>
          </cell>
          <cell r="N1568" t="str">
            <v>ヒューマン</v>
          </cell>
          <cell r="O1568" t="str">
            <v>fantasy</v>
          </cell>
          <cell r="P1568" t="str">
            <v>ファンタジー</v>
          </cell>
          <cell r="R1568">
            <v>1</v>
          </cell>
          <cell r="S1568" t="str">
            <v>NULL</v>
          </cell>
          <cell r="T1568" t="str">
            <v>normal</v>
          </cell>
        </row>
        <row r="1569">
          <cell r="A1569">
            <v>1618</v>
          </cell>
          <cell r="B1569" t="str">
            <v>ja</v>
          </cell>
          <cell r="C1569" t="str">
            <v>空欄</v>
          </cell>
          <cell r="H1569" t="str">
            <v>red</v>
          </cell>
          <cell r="I1569">
            <v>6</v>
          </cell>
          <cell r="J1569" t="str">
            <v>PremiumSSw</v>
          </cell>
          <cell r="K1569" t="str">
            <v>technical</v>
          </cell>
          <cell r="L1569" t="str">
            <v>テクニカルタイプ</v>
          </cell>
          <cell r="M1569" t="str">
            <v>human</v>
          </cell>
          <cell r="N1569" t="str">
            <v>ヒューマン</v>
          </cell>
          <cell r="O1569" t="str">
            <v>fantasy</v>
          </cell>
          <cell r="P1569" t="str">
            <v>ファンタジー</v>
          </cell>
          <cell r="R1569">
            <v>1</v>
          </cell>
          <cell r="S1569" t="str">
            <v>NULL</v>
          </cell>
          <cell r="T1569" t="str">
            <v>normal</v>
          </cell>
        </row>
        <row r="1570">
          <cell r="A1570">
            <v>1619</v>
          </cell>
          <cell r="B1570" t="str">
            <v>ja</v>
          </cell>
          <cell r="C1570" t="str">
            <v>空欄</v>
          </cell>
          <cell r="H1570" t="str">
            <v>red</v>
          </cell>
          <cell r="I1570">
            <v>6</v>
          </cell>
          <cell r="J1570" t="str">
            <v>PremiumSS</v>
          </cell>
          <cell r="K1570" t="str">
            <v>heal</v>
          </cell>
          <cell r="L1570" t="str">
            <v>回復タイプ</v>
          </cell>
          <cell r="M1570" t="str">
            <v>human</v>
          </cell>
          <cell r="N1570" t="str">
            <v>ヒューマン</v>
          </cell>
          <cell r="O1570" t="str">
            <v>fantasy</v>
          </cell>
          <cell r="P1570" t="str">
            <v>ファンタジー</v>
          </cell>
          <cell r="R1570">
            <v>1</v>
          </cell>
          <cell r="S1570" t="str">
            <v>NULL</v>
          </cell>
          <cell r="T1570" t="str">
            <v>normal</v>
          </cell>
        </row>
        <row r="1571">
          <cell r="A1571">
            <v>1620</v>
          </cell>
          <cell r="B1571" t="str">
            <v>ja</v>
          </cell>
          <cell r="C1571" t="str">
            <v>空欄</v>
          </cell>
          <cell r="H1571" t="str">
            <v>green</v>
          </cell>
          <cell r="I1571">
            <v>6</v>
          </cell>
          <cell r="J1571" t="str">
            <v>PremiumSS</v>
          </cell>
          <cell r="K1571" t="str">
            <v>attack</v>
          </cell>
          <cell r="L1571" t="str">
            <v>攻撃タイプ</v>
          </cell>
          <cell r="M1571" t="str">
            <v>animal</v>
          </cell>
          <cell r="N1571" t="str">
            <v>アニマル</v>
          </cell>
          <cell r="O1571" t="str">
            <v>god</v>
          </cell>
          <cell r="P1571" t="str">
            <v>ゴッド</v>
          </cell>
          <cell r="R1571">
            <v>1</v>
          </cell>
          <cell r="S1571" t="str">
            <v>NULL</v>
          </cell>
          <cell r="T1571" t="str">
            <v>normal</v>
          </cell>
        </row>
        <row r="1572">
          <cell r="A1572">
            <v>1621</v>
          </cell>
          <cell r="B1572" t="str">
            <v>ja</v>
          </cell>
          <cell r="C1572" t="str">
            <v>空欄</v>
          </cell>
          <cell r="D1572" t="str">
            <v>未定</v>
          </cell>
          <cell r="E1572" t="str">
            <v>アリス</v>
          </cell>
          <cell r="F1572" t="str">
            <v>世界観</v>
          </cell>
          <cell r="G1572" t="str">
            <v>不明</v>
          </cell>
          <cell r="H1572" t="str">
            <v>blue</v>
          </cell>
          <cell r="I1572">
            <v>6</v>
          </cell>
          <cell r="J1572" t="str">
            <v>PremiumSS</v>
          </cell>
          <cell r="K1572" t="str">
            <v>technical</v>
          </cell>
          <cell r="L1572" t="str">
            <v>テクニカルタイプ</v>
          </cell>
          <cell r="M1572" t="str">
            <v>god</v>
          </cell>
          <cell r="N1572" t="str">
            <v>ゴッド</v>
          </cell>
          <cell r="O1572" t="str">
            <v>fantasy</v>
          </cell>
          <cell r="P1572" t="str">
            <v>ファンタジー</v>
          </cell>
          <cell r="R1572">
            <v>1</v>
          </cell>
          <cell r="S1572" t="str">
            <v>NULL</v>
          </cell>
          <cell r="T1572" t="str">
            <v>normal</v>
          </cell>
        </row>
        <row r="1573">
          <cell r="A1573">
            <v>1622</v>
          </cell>
          <cell r="B1573" t="str">
            <v>ja</v>
          </cell>
          <cell r="C1573" t="str">
            <v>空欄</v>
          </cell>
          <cell r="D1573" t="str">
            <v>未定</v>
          </cell>
          <cell r="E1573" t="str">
            <v>アリス</v>
          </cell>
          <cell r="F1573" t="str">
            <v>世界観</v>
          </cell>
          <cell r="G1573" t="str">
            <v>不明</v>
          </cell>
          <cell r="H1573" t="str">
            <v>yellow</v>
          </cell>
          <cell r="I1573">
            <v>6</v>
          </cell>
          <cell r="J1573" t="str">
            <v>PremiumSS</v>
          </cell>
          <cell r="K1573" t="str">
            <v>attack</v>
          </cell>
          <cell r="L1573" t="str">
            <v>攻撃タイプ</v>
          </cell>
          <cell r="M1573" t="str">
            <v>human</v>
          </cell>
          <cell r="N1573" t="str">
            <v>ヒューマン</v>
          </cell>
          <cell r="O1573" t="str">
            <v>fantasy</v>
          </cell>
          <cell r="P1573" t="str">
            <v>ファンタジー</v>
          </cell>
          <cell r="R1573">
            <v>1</v>
          </cell>
          <cell r="S1573" t="str">
            <v>NULL</v>
          </cell>
          <cell r="T1573" t="str">
            <v>normal</v>
          </cell>
        </row>
        <row r="1574">
          <cell r="A1574">
            <v>1623</v>
          </cell>
          <cell r="B1574" t="str">
            <v>ja</v>
          </cell>
          <cell r="C1574" t="str">
            <v>空欄</v>
          </cell>
          <cell r="D1574" t="str">
            <v>未定</v>
          </cell>
          <cell r="E1574" t="str">
            <v>アリス</v>
          </cell>
          <cell r="F1574" t="str">
            <v>世界観</v>
          </cell>
          <cell r="G1574" t="str">
            <v>不明</v>
          </cell>
          <cell r="H1574" t="str">
            <v>red</v>
          </cell>
          <cell r="I1574">
            <v>5</v>
          </cell>
          <cell r="J1574" t="str">
            <v>PremiumS</v>
          </cell>
          <cell r="K1574" t="str">
            <v>balance</v>
          </cell>
          <cell r="L1574" t="str">
            <v>バランスタイプ</v>
          </cell>
          <cell r="M1574" t="str">
            <v>human</v>
          </cell>
          <cell r="N1574" t="str">
            <v>ヒューマン</v>
          </cell>
          <cell r="O1574" t="str">
            <v>none</v>
          </cell>
          <cell r="P1574" t="str">
            <v>種族なし</v>
          </cell>
          <cell r="R1574">
            <v>1</v>
          </cell>
          <cell r="S1574" t="str">
            <v>NULL</v>
          </cell>
          <cell r="T1574" t="str">
            <v>normal</v>
          </cell>
        </row>
        <row r="1575">
          <cell r="A1575">
            <v>1624</v>
          </cell>
          <cell r="B1575" t="str">
            <v>ja</v>
          </cell>
          <cell r="C1575" t="str">
            <v>空欄</v>
          </cell>
          <cell r="D1575" t="str">
            <v>未定</v>
          </cell>
          <cell r="E1575" t="str">
            <v>アリス</v>
          </cell>
          <cell r="F1575" t="str">
            <v>世界観</v>
          </cell>
          <cell r="G1575" t="str">
            <v>不明</v>
          </cell>
          <cell r="H1575" t="str">
            <v>blue</v>
          </cell>
          <cell r="I1575">
            <v>5</v>
          </cell>
          <cell r="J1575" t="str">
            <v>PremiumS</v>
          </cell>
          <cell r="K1575" t="str">
            <v>attack</v>
          </cell>
          <cell r="L1575" t="str">
            <v>攻撃タイプ</v>
          </cell>
          <cell r="M1575" t="str">
            <v>animal</v>
          </cell>
          <cell r="N1575" t="str">
            <v>アニマル</v>
          </cell>
          <cell r="O1575" t="str">
            <v>fantasy</v>
          </cell>
          <cell r="P1575" t="str">
            <v>ファンタジー</v>
          </cell>
          <cell r="R1575">
            <v>1</v>
          </cell>
          <cell r="S1575" t="str">
            <v>NULL</v>
          </cell>
          <cell r="T1575" t="str">
            <v>normal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  <cell r="H1576" t="str">
            <v>green</v>
          </cell>
          <cell r="I1576">
            <v>5</v>
          </cell>
          <cell r="J1576" t="str">
            <v>DropWizS</v>
          </cell>
          <cell r="K1576" t="str">
            <v>technical</v>
          </cell>
          <cell r="L1576" t="str">
            <v>テクニカルタイプ</v>
          </cell>
          <cell r="M1576" t="str">
            <v>unknown</v>
          </cell>
          <cell r="N1576" t="str">
            <v>Unknown</v>
          </cell>
          <cell r="O1576" t="str">
            <v>none</v>
          </cell>
          <cell r="P1576" t="str">
            <v>種族なし</v>
          </cell>
          <cell r="R1576">
            <v>3</v>
          </cell>
          <cell r="S1576" t="str">
            <v>NULL</v>
          </cell>
          <cell r="T1576" t="str">
            <v>normal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  <cell r="H1577" t="str">
            <v>red</v>
          </cell>
          <cell r="I1577">
            <v>6</v>
          </cell>
          <cell r="J1577" t="str">
            <v>DropWizS</v>
          </cell>
          <cell r="K1577" t="str">
            <v>technical</v>
          </cell>
          <cell r="L1577" t="str">
            <v>テクニカルタイプ</v>
          </cell>
          <cell r="M1577" t="str">
            <v>unknown</v>
          </cell>
          <cell r="N1577" t="str">
            <v>Unknown</v>
          </cell>
          <cell r="O1577" t="str">
            <v>none</v>
          </cell>
          <cell r="P1577" t="str">
            <v>種族なし</v>
          </cell>
          <cell r="R1577">
            <v>3</v>
          </cell>
          <cell r="S1577" t="str">
            <v>NULL</v>
          </cell>
          <cell r="T1577" t="str">
            <v>super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  <cell r="H1578" t="str">
            <v>green</v>
          </cell>
          <cell r="I1578">
            <v>6</v>
          </cell>
          <cell r="J1578" t="str">
            <v>DropWizS</v>
          </cell>
          <cell r="K1578" t="str">
            <v>technical</v>
          </cell>
          <cell r="L1578" t="str">
            <v>テクニカルタイプ</v>
          </cell>
          <cell r="M1578" t="str">
            <v>unknown</v>
          </cell>
          <cell r="N1578" t="str">
            <v>Unknown</v>
          </cell>
          <cell r="O1578" t="str">
            <v>none</v>
          </cell>
          <cell r="P1578" t="str">
            <v>種族なし</v>
          </cell>
          <cell r="R1578">
            <v>3</v>
          </cell>
          <cell r="S1578" t="str">
            <v>NULL</v>
          </cell>
          <cell r="T1578" t="str">
            <v>super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  <cell r="H1579" t="str">
            <v>blue</v>
          </cell>
          <cell r="I1579">
            <v>6</v>
          </cell>
          <cell r="J1579" t="str">
            <v>DropWizS</v>
          </cell>
          <cell r="K1579" t="str">
            <v>technical</v>
          </cell>
          <cell r="L1579" t="str">
            <v>テクニカルタイプ</v>
          </cell>
          <cell r="M1579" t="str">
            <v>unknown</v>
          </cell>
          <cell r="N1579" t="str">
            <v>Unknown</v>
          </cell>
          <cell r="O1579" t="str">
            <v>none</v>
          </cell>
          <cell r="P1579" t="str">
            <v>種族なし</v>
          </cell>
          <cell r="R1579">
            <v>3</v>
          </cell>
          <cell r="S1579" t="str">
            <v>NULL</v>
          </cell>
          <cell r="T1579" t="str">
            <v>super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  <cell r="H1580" t="str">
            <v>yellow</v>
          </cell>
          <cell r="I1580">
            <v>6</v>
          </cell>
          <cell r="J1580" t="str">
            <v>DropWizS</v>
          </cell>
          <cell r="K1580" t="str">
            <v>technical</v>
          </cell>
          <cell r="L1580" t="str">
            <v>テクニカルタイプ</v>
          </cell>
          <cell r="M1580" t="str">
            <v>unknown</v>
          </cell>
          <cell r="N1580" t="str">
            <v>Unknown</v>
          </cell>
          <cell r="O1580" t="str">
            <v>none</v>
          </cell>
          <cell r="P1580" t="str">
            <v>種族なし</v>
          </cell>
          <cell r="R1580">
            <v>3</v>
          </cell>
          <cell r="S1580" t="str">
            <v>NULL</v>
          </cell>
          <cell r="T1580" t="str">
            <v>super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  <cell r="H1581" t="str">
            <v>red</v>
          </cell>
          <cell r="I1581">
            <v>6</v>
          </cell>
          <cell r="J1581" t="str">
            <v>Material</v>
          </cell>
          <cell r="K1581" t="str">
            <v>evolution</v>
          </cell>
          <cell r="L1581" t="str">
            <v>覚醒素材タイプ</v>
          </cell>
          <cell r="M1581" t="str">
            <v>unknown</v>
          </cell>
          <cell r="N1581" t="str">
            <v>Unknown</v>
          </cell>
          <cell r="O1581" t="str">
            <v>none</v>
          </cell>
          <cell r="P1581" t="str">
            <v>種族なし</v>
          </cell>
          <cell r="R1581">
            <v>3</v>
          </cell>
          <cell r="S1581" t="str">
            <v>NULL</v>
          </cell>
          <cell r="T1581" t="str">
            <v>normal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  <cell r="H1582" t="str">
            <v>green</v>
          </cell>
          <cell r="I1582">
            <v>6</v>
          </cell>
          <cell r="J1582" t="str">
            <v>Material</v>
          </cell>
          <cell r="K1582" t="str">
            <v>evolution</v>
          </cell>
          <cell r="L1582" t="str">
            <v>覚醒素材タイプ</v>
          </cell>
          <cell r="M1582" t="str">
            <v>unknown</v>
          </cell>
          <cell r="N1582" t="str">
            <v>Unknown</v>
          </cell>
          <cell r="O1582" t="str">
            <v>none</v>
          </cell>
          <cell r="P1582" t="str">
            <v>種族なし</v>
          </cell>
          <cell r="R1582">
            <v>3</v>
          </cell>
          <cell r="S1582" t="str">
            <v>NULL</v>
          </cell>
          <cell r="T1582" t="str">
            <v>super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  <cell r="H1583" t="str">
            <v>blue</v>
          </cell>
          <cell r="I1583">
            <v>6</v>
          </cell>
          <cell r="J1583" t="str">
            <v>Material</v>
          </cell>
          <cell r="K1583" t="str">
            <v>evolution</v>
          </cell>
          <cell r="L1583" t="str">
            <v>覚醒素材タイプ</v>
          </cell>
          <cell r="M1583" t="str">
            <v>unknown</v>
          </cell>
          <cell r="N1583" t="str">
            <v>Unknown</v>
          </cell>
          <cell r="O1583" t="str">
            <v>none</v>
          </cell>
          <cell r="P1583" t="str">
            <v>種族なし</v>
          </cell>
          <cell r="R1583">
            <v>3</v>
          </cell>
          <cell r="S1583" t="str">
            <v>NULL</v>
          </cell>
          <cell r="T1583" t="str">
            <v>super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  <cell r="H1584" t="str">
            <v>yellow</v>
          </cell>
          <cell r="I1584">
            <v>6</v>
          </cell>
          <cell r="J1584" t="str">
            <v>Material</v>
          </cell>
          <cell r="K1584" t="str">
            <v>evolution</v>
          </cell>
          <cell r="L1584" t="str">
            <v>覚醒素材タイプ</v>
          </cell>
          <cell r="M1584" t="str">
            <v>unknown</v>
          </cell>
          <cell r="N1584" t="str">
            <v>Unknown</v>
          </cell>
          <cell r="O1584" t="str">
            <v>none</v>
          </cell>
          <cell r="P1584" t="str">
            <v>種族なし</v>
          </cell>
          <cell r="R1584">
            <v>3</v>
          </cell>
          <cell r="S1584" t="str">
            <v>NULL</v>
          </cell>
          <cell r="T1584" t="str">
            <v>super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  <cell r="H1585" t="str">
            <v>blue</v>
          </cell>
          <cell r="I1585">
            <v>4</v>
          </cell>
          <cell r="J1585" t="str">
            <v>Material</v>
          </cell>
          <cell r="K1585" t="str">
            <v>evolution</v>
          </cell>
          <cell r="L1585" t="str">
            <v>覚醒素材タイプ</v>
          </cell>
          <cell r="M1585" t="str">
            <v>unknown</v>
          </cell>
          <cell r="N1585" t="str">
            <v>Unknown</v>
          </cell>
          <cell r="O1585" t="str">
            <v>none</v>
          </cell>
          <cell r="P1585" t="str">
            <v>種族なし</v>
          </cell>
          <cell r="R1585">
            <v>3</v>
          </cell>
          <cell r="S1585" t="str">
            <v>NULL</v>
          </cell>
          <cell r="T1585" t="str">
            <v>super</v>
          </cell>
        </row>
        <row r="1586">
          <cell r="A1586">
            <v>1697</v>
          </cell>
          <cell r="B1586" t="str">
            <v>ja</v>
          </cell>
          <cell r="C1586" t="str">
            <v>駆動する機会 ガーネット</v>
          </cell>
          <cell r="H1586" t="str">
            <v>red</v>
          </cell>
          <cell r="I1586">
            <v>6</v>
          </cell>
          <cell r="J1586" t="str">
            <v>DropWizS</v>
          </cell>
          <cell r="K1586" t="str">
            <v>hp</v>
          </cell>
          <cell r="L1586" t="str">
            <v>体力タイプ</v>
          </cell>
          <cell r="M1586" t="str">
            <v>human</v>
          </cell>
          <cell r="N1586" t="str">
            <v>ヒューマン</v>
          </cell>
          <cell r="O1586" t="str">
            <v>fantasy</v>
          </cell>
          <cell r="P1586" t="str">
            <v>ファンタジー</v>
          </cell>
          <cell r="R1586">
            <v>2</v>
          </cell>
          <cell r="S1586" t="str">
            <v>NULL</v>
          </cell>
          <cell r="T1586" t="str">
            <v>normal</v>
          </cell>
        </row>
        <row r="1587">
          <cell r="A1587">
            <v>1698</v>
          </cell>
          <cell r="B1587" t="str">
            <v>ja</v>
          </cell>
          <cell r="C1587" t="str">
            <v>炎断の華嫁 ガーネット</v>
          </cell>
          <cell r="H1587" t="str">
            <v>red</v>
          </cell>
          <cell r="I1587">
            <v>6</v>
          </cell>
          <cell r="J1587" t="str">
            <v>DropWizS</v>
          </cell>
          <cell r="K1587" t="str">
            <v>hp</v>
          </cell>
          <cell r="L1587" t="str">
            <v>体力タイプ</v>
          </cell>
          <cell r="M1587" t="str">
            <v>human</v>
          </cell>
          <cell r="N1587" t="str">
            <v>ヒューマン</v>
          </cell>
          <cell r="O1587" t="str">
            <v>fantasy</v>
          </cell>
          <cell r="P1587" t="str">
            <v>ファンタジー</v>
          </cell>
          <cell r="R1587">
            <v>2</v>
          </cell>
          <cell r="S1587" t="str">
            <v>NULL</v>
          </cell>
          <cell r="T1587" t="str">
            <v>super</v>
          </cell>
        </row>
        <row r="1588">
          <cell r="A1588">
            <v>1699</v>
          </cell>
          <cell r="B1588" t="str">
            <v>ja</v>
          </cell>
          <cell r="C1588" t="str">
            <v>崇高祝言 アマテラス</v>
          </cell>
          <cell r="H1588" t="str">
            <v>green</v>
          </cell>
          <cell r="I1588">
            <v>6</v>
          </cell>
          <cell r="J1588" t="str">
            <v>DropWizS</v>
          </cell>
          <cell r="K1588" t="str">
            <v>technical</v>
          </cell>
          <cell r="L1588" t="str">
            <v>テクニカルタイプ</v>
          </cell>
          <cell r="M1588" t="str">
            <v>god</v>
          </cell>
          <cell r="N1588" t="str">
            <v>ゴッド</v>
          </cell>
          <cell r="O1588" t="str">
            <v>fantasy</v>
          </cell>
          <cell r="P1588" t="str">
            <v>ファンタジー</v>
          </cell>
          <cell r="R1588">
            <v>2</v>
          </cell>
          <cell r="S1588" t="str">
            <v>NULL</v>
          </cell>
          <cell r="T1588" t="str">
            <v>normal</v>
          </cell>
        </row>
        <row r="1589">
          <cell r="A1589">
            <v>1700</v>
          </cell>
          <cell r="B1589" t="str">
            <v>ja</v>
          </cell>
          <cell r="C1589" t="str">
            <v>大慶総氏神 アマテラス</v>
          </cell>
          <cell r="D1589" t="str">
            <v>未定</v>
          </cell>
          <cell r="E1589" t="str">
            <v>アリス</v>
          </cell>
          <cell r="F1589" t="str">
            <v>世界観</v>
          </cell>
          <cell r="G1589" t="str">
            <v>不明</v>
          </cell>
          <cell r="H1589" t="str">
            <v>green</v>
          </cell>
          <cell r="I1589">
            <v>6</v>
          </cell>
          <cell r="J1589" t="str">
            <v>DropWizS</v>
          </cell>
          <cell r="K1589" t="str">
            <v>technical</v>
          </cell>
          <cell r="L1589" t="str">
            <v>テクニカルタイプ</v>
          </cell>
          <cell r="M1589" t="str">
            <v>god</v>
          </cell>
          <cell r="N1589" t="str">
            <v>ゴッド</v>
          </cell>
          <cell r="O1589" t="str">
            <v>fantasy</v>
          </cell>
          <cell r="P1589" t="str">
            <v>ファンタジー</v>
          </cell>
          <cell r="R1589">
            <v>2</v>
          </cell>
          <cell r="S1589" t="str">
            <v>NULL</v>
          </cell>
          <cell r="T1589" t="str">
            <v>super</v>
          </cell>
        </row>
        <row r="1590">
          <cell r="A1590">
            <v>1701</v>
          </cell>
          <cell r="B1590" t="str">
            <v>ja</v>
          </cell>
          <cell r="C1590" t="str">
            <v>蒼嵐の婚戦 フォルトゥナ</v>
          </cell>
          <cell r="D1590" t="str">
            <v>未定</v>
          </cell>
          <cell r="E1590" t="str">
            <v>アリス</v>
          </cell>
          <cell r="F1590" t="str">
            <v>世界観</v>
          </cell>
          <cell r="G1590" t="str">
            <v>不明</v>
          </cell>
          <cell r="H1590" t="str">
            <v>blue</v>
          </cell>
          <cell r="I1590">
            <v>6</v>
          </cell>
          <cell r="J1590" t="str">
            <v>PremiumSSw</v>
          </cell>
          <cell r="K1590" t="str">
            <v>attack</v>
          </cell>
          <cell r="L1590" t="str">
            <v>攻撃タイプ</v>
          </cell>
          <cell r="M1590" t="str">
            <v>human</v>
          </cell>
          <cell r="N1590" t="str">
            <v>ヒューマン</v>
          </cell>
          <cell r="O1590" t="str">
            <v>fantasy</v>
          </cell>
          <cell r="P1590" t="str">
            <v>ファンタジー</v>
          </cell>
          <cell r="R1590">
            <v>2</v>
          </cell>
          <cell r="S1590" t="str">
            <v>NULL</v>
          </cell>
          <cell r="T1590" t="str">
            <v>normal</v>
          </cell>
        </row>
        <row r="1591">
          <cell r="A1591">
            <v>1702</v>
          </cell>
          <cell r="B1591" t="str">
            <v>ja</v>
          </cell>
          <cell r="C1591" t="str">
            <v>求愛の夢想剣 フォルトゥナ</v>
          </cell>
          <cell r="D1591" t="str">
            <v>未定</v>
          </cell>
          <cell r="E1591" t="str">
            <v>アリス</v>
          </cell>
          <cell r="F1591" t="str">
            <v>世界観</v>
          </cell>
          <cell r="G1591" t="str">
            <v>不明</v>
          </cell>
          <cell r="H1591" t="str">
            <v>blue</v>
          </cell>
          <cell r="I1591">
            <v>6</v>
          </cell>
          <cell r="J1591" t="str">
            <v>PremiumSSw</v>
          </cell>
          <cell r="K1591" t="str">
            <v>attack</v>
          </cell>
          <cell r="L1591" t="str">
            <v>攻撃タイプ</v>
          </cell>
          <cell r="M1591" t="str">
            <v>human</v>
          </cell>
          <cell r="N1591" t="str">
            <v>ヒューマン</v>
          </cell>
          <cell r="O1591" t="str">
            <v>fantasy</v>
          </cell>
          <cell r="P1591" t="str">
            <v>ファンタジー</v>
          </cell>
          <cell r="R1591">
            <v>2</v>
          </cell>
          <cell r="S1591" t="str">
            <v>NULL</v>
          </cell>
          <cell r="T1591" t="str">
            <v>super</v>
          </cell>
        </row>
        <row r="1592">
          <cell r="A1592">
            <v>1703</v>
          </cell>
          <cell r="B1592" t="str">
            <v>ja</v>
          </cell>
          <cell r="C1592" t="str">
            <v>可恋なる花乙女 リリィ</v>
          </cell>
          <cell r="D1592" t="str">
            <v>未定</v>
          </cell>
          <cell r="E1592" t="str">
            <v>アリス</v>
          </cell>
          <cell r="F1592" t="str">
            <v>世界観</v>
          </cell>
          <cell r="G1592" t="str">
            <v>不明</v>
          </cell>
          <cell r="H1592" t="str">
            <v>red</v>
          </cell>
          <cell r="I1592">
            <v>6</v>
          </cell>
          <cell r="J1592" t="str">
            <v>PremiumSSw</v>
          </cell>
          <cell r="K1592" t="str">
            <v>technical</v>
          </cell>
          <cell r="L1592" t="str">
            <v>テクニカルタイプ</v>
          </cell>
          <cell r="M1592" t="str">
            <v>human</v>
          </cell>
          <cell r="N1592" t="str">
            <v>ヒューマン</v>
          </cell>
          <cell r="O1592" t="str">
            <v>fantasy</v>
          </cell>
          <cell r="P1592" t="str">
            <v>ファンタジー</v>
          </cell>
          <cell r="R1592">
            <v>2</v>
          </cell>
          <cell r="S1592" t="str">
            <v>NULL</v>
          </cell>
          <cell r="T1592" t="str">
            <v>normal</v>
          </cell>
        </row>
        <row r="1593">
          <cell r="A1593">
            <v>1704</v>
          </cell>
          <cell r="B1593" t="str">
            <v>ja</v>
          </cell>
          <cell r="C1593" t="str">
            <v>恋焦がす夢乙女 リリィ</v>
          </cell>
          <cell r="H1593" t="str">
            <v>red</v>
          </cell>
          <cell r="I1593">
            <v>6</v>
          </cell>
          <cell r="J1593" t="str">
            <v>PremiumSSw</v>
          </cell>
          <cell r="K1593" t="str">
            <v>technical</v>
          </cell>
          <cell r="L1593" t="str">
            <v>テクニカルタイプ</v>
          </cell>
          <cell r="M1593" t="str">
            <v>human</v>
          </cell>
          <cell r="N1593" t="str">
            <v>ヒューマン</v>
          </cell>
          <cell r="O1593" t="str">
            <v>fantasy</v>
          </cell>
          <cell r="P1593" t="str">
            <v>ファンタジー</v>
          </cell>
          <cell r="R1593">
            <v>2</v>
          </cell>
          <cell r="S1593" t="str">
            <v>NULL</v>
          </cell>
          <cell r="T1593" t="str">
            <v>super</v>
          </cell>
        </row>
        <row r="1594">
          <cell r="A1594">
            <v>1705</v>
          </cell>
          <cell r="B1594" t="str">
            <v>ja</v>
          </cell>
          <cell r="C1594" t="str">
            <v>純白の新婦軍 白雪姫</v>
          </cell>
          <cell r="H1594" t="str">
            <v>red</v>
          </cell>
          <cell r="I1594">
            <v>6</v>
          </cell>
          <cell r="J1594" t="str">
            <v>PremiumSS</v>
          </cell>
          <cell r="K1594" t="str">
            <v>heal</v>
          </cell>
          <cell r="L1594" t="str">
            <v>回復タイプ</v>
          </cell>
          <cell r="M1594" t="str">
            <v>human</v>
          </cell>
          <cell r="N1594" t="str">
            <v>ヒューマン</v>
          </cell>
          <cell r="O1594" t="str">
            <v>fantasy</v>
          </cell>
          <cell r="P1594" t="str">
            <v>ファンタジー</v>
          </cell>
          <cell r="R1594">
            <v>2</v>
          </cell>
          <cell r="S1594" t="str">
            <v>NULL</v>
          </cell>
          <cell r="T1594" t="str">
            <v>normal</v>
          </cell>
        </row>
        <row r="1595">
          <cell r="A1595">
            <v>1706</v>
          </cell>
          <cell r="B1595" t="str">
            <v>ja</v>
          </cell>
          <cell r="C1595" t="str">
            <v>幸福なる大祝砲 白雪姫</v>
          </cell>
          <cell r="H1595" t="str">
            <v>red</v>
          </cell>
          <cell r="I1595">
            <v>6</v>
          </cell>
          <cell r="J1595" t="str">
            <v>PremiumSS</v>
          </cell>
          <cell r="K1595" t="str">
            <v>heal</v>
          </cell>
          <cell r="L1595" t="str">
            <v>回復タイプ</v>
          </cell>
          <cell r="M1595" t="str">
            <v>human</v>
          </cell>
          <cell r="N1595" t="str">
            <v>ヒューマン</v>
          </cell>
          <cell r="O1595" t="str">
            <v>fantasy</v>
          </cell>
          <cell r="P1595" t="str">
            <v>ファンタジー</v>
          </cell>
          <cell r="R1595">
            <v>2</v>
          </cell>
          <cell r="S1595" t="str">
            <v>NULL</v>
          </cell>
          <cell r="T1595" t="str">
            <v>super</v>
          </cell>
        </row>
        <row r="1596">
          <cell r="A1596">
            <v>1707</v>
          </cell>
          <cell r="B1596" t="str">
            <v>ja</v>
          </cell>
          <cell r="C1596" t="str">
            <v>親愛なる猫嫁神 バステト</v>
          </cell>
          <cell r="H1596" t="str">
            <v>green</v>
          </cell>
          <cell r="I1596">
            <v>6</v>
          </cell>
          <cell r="J1596" t="str">
            <v>PremiumSS</v>
          </cell>
          <cell r="K1596" t="str">
            <v>attack</v>
          </cell>
          <cell r="L1596" t="str">
            <v>攻撃タイプ</v>
          </cell>
          <cell r="M1596" t="str">
            <v>animal</v>
          </cell>
          <cell r="N1596" t="str">
            <v>アニマル</v>
          </cell>
          <cell r="O1596" t="str">
            <v>god</v>
          </cell>
          <cell r="P1596" t="str">
            <v>ゴッド</v>
          </cell>
          <cell r="R1596">
            <v>2</v>
          </cell>
          <cell r="S1596" t="str">
            <v>NULL</v>
          </cell>
          <cell r="T1596" t="str">
            <v>normal</v>
          </cell>
        </row>
        <row r="1597">
          <cell r="A1597">
            <v>1708</v>
          </cell>
          <cell r="B1597" t="str">
            <v>ja</v>
          </cell>
          <cell r="C1597" t="str">
            <v>御聖婚の幸猫神 バステト</v>
          </cell>
          <cell r="H1597" t="str">
            <v>green</v>
          </cell>
          <cell r="I1597">
            <v>6</v>
          </cell>
          <cell r="J1597" t="str">
            <v>PremiumSS</v>
          </cell>
          <cell r="K1597" t="str">
            <v>attack</v>
          </cell>
          <cell r="L1597" t="str">
            <v>攻撃タイプ</v>
          </cell>
          <cell r="M1597" t="str">
            <v>animal</v>
          </cell>
          <cell r="N1597" t="str">
            <v>アニマル</v>
          </cell>
          <cell r="O1597" t="str">
            <v>god</v>
          </cell>
          <cell r="P1597" t="str">
            <v>ゴッド</v>
          </cell>
          <cell r="R1597">
            <v>2</v>
          </cell>
          <cell r="S1597" t="str">
            <v>NULL</v>
          </cell>
          <cell r="T1597" t="str">
            <v>super</v>
          </cell>
        </row>
        <row r="1598">
          <cell r="A1598">
            <v>1709</v>
          </cell>
          <cell r="B1598" t="str">
            <v>ja</v>
          </cell>
          <cell r="C1598" t="str">
            <v>情花降る神婦 イズン</v>
          </cell>
          <cell r="H1598" t="str">
            <v>blue</v>
          </cell>
          <cell r="I1598">
            <v>6</v>
          </cell>
          <cell r="J1598" t="str">
            <v>PremiumSS</v>
          </cell>
          <cell r="K1598" t="str">
            <v>technical</v>
          </cell>
          <cell r="L1598" t="str">
            <v>テクニカルタイプ</v>
          </cell>
          <cell r="M1598" t="str">
            <v>god</v>
          </cell>
          <cell r="N1598" t="str">
            <v>ゴッド</v>
          </cell>
          <cell r="O1598" t="str">
            <v>fantasy</v>
          </cell>
          <cell r="P1598" t="str">
            <v>ファンタジー</v>
          </cell>
          <cell r="R1598">
            <v>2</v>
          </cell>
          <cell r="S1598" t="str">
            <v>NULL</v>
          </cell>
          <cell r="T1598" t="str">
            <v>normal</v>
          </cell>
        </row>
        <row r="1599">
          <cell r="A1599">
            <v>1710</v>
          </cell>
          <cell r="B1599" t="str">
            <v>ja</v>
          </cell>
          <cell r="C1599" t="str">
            <v>慎愛なる女神の契 イズン</v>
          </cell>
          <cell r="D1599" t="str">
            <v>未定</v>
          </cell>
          <cell r="E1599" t="str">
            <v>アリス</v>
          </cell>
          <cell r="F1599" t="str">
            <v>世界観</v>
          </cell>
          <cell r="G1599" t="str">
            <v>不明</v>
          </cell>
          <cell r="H1599" t="str">
            <v>blue</v>
          </cell>
          <cell r="I1599">
            <v>6</v>
          </cell>
          <cell r="J1599" t="str">
            <v>PremiumSS</v>
          </cell>
          <cell r="K1599" t="str">
            <v>technical</v>
          </cell>
          <cell r="L1599" t="str">
            <v>テクニカルタイプ</v>
          </cell>
          <cell r="M1599" t="str">
            <v>god</v>
          </cell>
          <cell r="N1599" t="str">
            <v>ゴッド</v>
          </cell>
          <cell r="O1599" t="str">
            <v>fantasy</v>
          </cell>
          <cell r="P1599" t="str">
            <v>ファンタジー</v>
          </cell>
          <cell r="R1599">
            <v>2</v>
          </cell>
          <cell r="S1599" t="str">
            <v>NULL</v>
          </cell>
          <cell r="T1599" t="str">
            <v>super</v>
          </cell>
        </row>
        <row r="1600">
          <cell r="A1600">
            <v>1711</v>
          </cell>
          <cell r="B1600" t="str">
            <v>ja</v>
          </cell>
          <cell r="C1600" t="str">
            <v>誓愛求婚の新郎 諸葛亮</v>
          </cell>
          <cell r="D1600" t="str">
            <v>未定</v>
          </cell>
          <cell r="E1600" t="str">
            <v>アリス</v>
          </cell>
          <cell r="F1600" t="str">
            <v>世界観</v>
          </cell>
          <cell r="G1600" t="str">
            <v>不明</v>
          </cell>
          <cell r="H1600" t="str">
            <v>yellow</v>
          </cell>
          <cell r="I1600">
            <v>6</v>
          </cell>
          <cell r="J1600" t="str">
            <v>PremiumSS</v>
          </cell>
          <cell r="K1600" t="str">
            <v>attack</v>
          </cell>
          <cell r="L1600" t="str">
            <v>攻撃タイプ</v>
          </cell>
          <cell r="M1600" t="str">
            <v>human</v>
          </cell>
          <cell r="N1600" t="str">
            <v>ヒューマン</v>
          </cell>
          <cell r="O1600" t="str">
            <v>fantasy</v>
          </cell>
          <cell r="P1600" t="str">
            <v>ファンタジー</v>
          </cell>
          <cell r="R1600">
            <v>2</v>
          </cell>
          <cell r="S1600" t="str">
            <v>NULL</v>
          </cell>
          <cell r="T1600" t="str">
            <v>normal</v>
          </cell>
        </row>
        <row r="1601">
          <cell r="A1601">
            <v>1712</v>
          </cell>
          <cell r="B1601" t="str">
            <v>ja</v>
          </cell>
          <cell r="C1601" t="str">
            <v>一蓮托生の双環 諸葛亮</v>
          </cell>
          <cell r="D1601" t="str">
            <v>未定</v>
          </cell>
          <cell r="E1601" t="str">
            <v>アリス</v>
          </cell>
          <cell r="F1601" t="str">
            <v>世界観</v>
          </cell>
          <cell r="G1601" t="str">
            <v>不明</v>
          </cell>
          <cell r="H1601" t="str">
            <v>yellow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human</v>
          </cell>
          <cell r="N1601" t="str">
            <v>ヒューマン</v>
          </cell>
          <cell r="O1601" t="str">
            <v>fantasy</v>
          </cell>
          <cell r="P1601" t="str">
            <v>ファンタジー</v>
          </cell>
          <cell r="R1601">
            <v>2</v>
          </cell>
          <cell r="S1601" t="str">
            <v>NULL</v>
          </cell>
          <cell r="T1601" t="str">
            <v>super</v>
          </cell>
        </row>
        <row r="1602">
          <cell r="A1602">
            <v>1713</v>
          </cell>
          <cell r="B1602" t="str">
            <v>ja</v>
          </cell>
          <cell r="C1602" t="str">
            <v>誓約の挙剣 ジークフリート</v>
          </cell>
          <cell r="D1602" t="str">
            <v>未定</v>
          </cell>
          <cell r="E1602" t="str">
            <v>アリス</v>
          </cell>
          <cell r="F1602" t="str">
            <v>世界観</v>
          </cell>
          <cell r="G1602" t="str">
            <v>不明</v>
          </cell>
          <cell r="H1602" t="str">
            <v>red</v>
          </cell>
          <cell r="I1602">
            <v>5</v>
          </cell>
          <cell r="J1602" t="str">
            <v>PremiumS</v>
          </cell>
          <cell r="K1602" t="str">
            <v>balance</v>
          </cell>
          <cell r="L1602" t="str">
            <v>バランスタイプ</v>
          </cell>
          <cell r="M1602" t="str">
            <v>human</v>
          </cell>
          <cell r="N1602" t="str">
            <v>ヒューマン</v>
          </cell>
          <cell r="O1602" t="str">
            <v>none</v>
          </cell>
          <cell r="P1602" t="str">
            <v>種族なし</v>
          </cell>
          <cell r="R1602">
            <v>2</v>
          </cell>
          <cell r="S1602" t="str">
            <v>NULL</v>
          </cell>
          <cell r="T1602" t="str">
            <v>normal</v>
          </cell>
        </row>
        <row r="1603">
          <cell r="A1603">
            <v>1714</v>
          </cell>
          <cell r="B1603" t="str">
            <v>ja</v>
          </cell>
          <cell r="C1603" t="str">
            <v>仁愛の祝賀剣 ジークフリート</v>
          </cell>
          <cell r="H1603" t="str">
            <v>red</v>
          </cell>
          <cell r="I1603">
            <v>5</v>
          </cell>
          <cell r="J1603" t="str">
            <v>PremiumS</v>
          </cell>
          <cell r="K1603" t="str">
            <v>balance</v>
          </cell>
          <cell r="L1603" t="str">
            <v>バランスタイプ</v>
          </cell>
          <cell r="M1603" t="str">
            <v>human</v>
          </cell>
          <cell r="N1603" t="str">
            <v>ヒューマン</v>
          </cell>
          <cell r="O1603" t="str">
            <v>none</v>
          </cell>
          <cell r="P1603" t="str">
            <v>種族なし</v>
          </cell>
          <cell r="R1603">
            <v>2</v>
          </cell>
          <cell r="S1603" t="str">
            <v>NULL</v>
          </cell>
          <cell r="T1603" t="str">
            <v>super</v>
          </cell>
        </row>
        <row r="1604">
          <cell r="A1604">
            <v>1715</v>
          </cell>
          <cell r="B1604" t="str">
            <v>ja</v>
          </cell>
          <cell r="C1604" t="str">
            <v>森歓の祝宴 アマラ</v>
          </cell>
          <cell r="H1604" t="str">
            <v>blue</v>
          </cell>
          <cell r="I1604">
            <v>5</v>
          </cell>
          <cell r="J1604" t="str">
            <v>PremiumS</v>
          </cell>
          <cell r="K1604" t="str">
            <v>attack</v>
          </cell>
          <cell r="L1604" t="str">
            <v>攻撃タイプ</v>
          </cell>
          <cell r="M1604" t="str">
            <v>animal</v>
          </cell>
          <cell r="N1604" t="str">
            <v>アニマル</v>
          </cell>
          <cell r="O1604" t="str">
            <v>fantasy</v>
          </cell>
          <cell r="P1604" t="str">
            <v>ファンタジー</v>
          </cell>
          <cell r="R1604">
            <v>2</v>
          </cell>
          <cell r="S1604" t="str">
            <v>NULL</v>
          </cell>
          <cell r="T1604" t="str">
            <v>normal</v>
          </cell>
        </row>
        <row r="1605">
          <cell r="A1605">
            <v>1716</v>
          </cell>
          <cell r="B1605" t="str">
            <v>ja</v>
          </cell>
          <cell r="C1605" t="str">
            <v>森婚の祝福祭 アマラ</v>
          </cell>
          <cell r="H1605" t="str">
            <v>blue</v>
          </cell>
          <cell r="I1605">
            <v>5</v>
          </cell>
          <cell r="J1605" t="str">
            <v>PremiumS</v>
          </cell>
          <cell r="K1605" t="str">
            <v>attack</v>
          </cell>
          <cell r="L1605" t="str">
            <v>攻撃タイプ</v>
          </cell>
          <cell r="M1605" t="str">
            <v>animal</v>
          </cell>
          <cell r="N1605" t="str">
            <v>アニマル</v>
          </cell>
          <cell r="O1605" t="str">
            <v>fantasy</v>
          </cell>
          <cell r="P1605" t="str">
            <v>ファンタジー</v>
          </cell>
          <cell r="R1605">
            <v>2</v>
          </cell>
          <cell r="S1605" t="str">
            <v>NULL</v>
          </cell>
          <cell r="T1605" t="str">
            <v>super</v>
          </cell>
        </row>
        <row r="1606">
          <cell r="A1606">
            <v>1717</v>
          </cell>
          <cell r="B1606" t="str">
            <v>ja</v>
          </cell>
          <cell r="C1606" t="str">
            <v>ラブリーエンジェル</v>
          </cell>
          <cell r="H1606" t="str">
            <v>red</v>
          </cell>
          <cell r="I1606">
            <v>4</v>
          </cell>
          <cell r="J1606" t="str">
            <v>Material</v>
          </cell>
          <cell r="K1606" t="str">
            <v>technical</v>
          </cell>
          <cell r="L1606" t="str">
            <v>テクニカルタイプ</v>
          </cell>
          <cell r="M1606" t="str">
            <v>unknown</v>
          </cell>
          <cell r="N1606" t="str">
            <v>Unknown</v>
          </cell>
          <cell r="O1606" t="str">
            <v>none</v>
          </cell>
          <cell r="P1606" t="str">
            <v>種族なし</v>
          </cell>
          <cell r="R1606">
            <v>2</v>
          </cell>
          <cell r="S1606" t="str">
            <v>NULL</v>
          </cell>
          <cell r="T1606" t="str">
            <v>super</v>
          </cell>
        </row>
        <row r="1607">
          <cell r="A1607">
            <v>1718</v>
          </cell>
          <cell r="B1607" t="str">
            <v>ja</v>
          </cell>
          <cell r="C1607" t="str">
            <v>マリッジリング</v>
          </cell>
          <cell r="H1607" t="str">
            <v>yellow</v>
          </cell>
          <cell r="I1607">
            <v>5</v>
          </cell>
          <cell r="J1607" t="str">
            <v>Material</v>
          </cell>
          <cell r="K1607" t="str">
            <v>technical</v>
          </cell>
          <cell r="L1607" t="str">
            <v>テクニカルタイプ</v>
          </cell>
          <cell r="M1607" t="str">
            <v>unknown</v>
          </cell>
          <cell r="N1607" t="str">
            <v>Unknown</v>
          </cell>
          <cell r="O1607" t="str">
            <v>none</v>
          </cell>
          <cell r="P1607" t="str">
            <v>種族なし</v>
          </cell>
          <cell r="R1607">
            <v>2</v>
          </cell>
          <cell r="S1607" t="str">
            <v>NULL</v>
          </cell>
          <cell r="T1607" t="str">
            <v>super</v>
          </cell>
        </row>
        <row r="1608">
          <cell r="A1608">
            <v>1719</v>
          </cell>
          <cell r="B1608" t="str">
            <v>ja</v>
          </cell>
          <cell r="C1608" t="str">
            <v>トゥルー・マリッジリング</v>
          </cell>
          <cell r="H1608" t="str">
            <v>yellow</v>
          </cell>
          <cell r="I1608">
            <v>6</v>
          </cell>
          <cell r="J1608" t="str">
            <v>Material</v>
          </cell>
          <cell r="K1608" t="str">
            <v>evolution</v>
          </cell>
          <cell r="L1608" t="str">
            <v>覚醒素材タイプ</v>
          </cell>
          <cell r="M1608" t="str">
            <v>unknown</v>
          </cell>
          <cell r="N1608" t="str">
            <v>Unknown</v>
          </cell>
          <cell r="O1608" t="str">
            <v>none</v>
          </cell>
          <cell r="P1608" t="str">
            <v>種族なし</v>
          </cell>
          <cell r="R1608">
            <v>2</v>
          </cell>
          <cell r="S1608" t="str">
            <v>NULL</v>
          </cell>
          <cell r="T1608" t="str">
            <v>normal</v>
          </cell>
        </row>
        <row r="1609">
          <cell r="A1609">
            <v>5001</v>
          </cell>
          <cell r="B1609" t="str">
            <v>ja</v>
          </cell>
          <cell r="C1609" t="str">
            <v>ガルーダ</v>
          </cell>
          <cell r="D1609" t="str">
            <v>ノーマルクエスト</v>
          </cell>
          <cell r="E1609" t="str">
            <v>QoH</v>
          </cell>
          <cell r="F1609" t="str">
            <v>世界観</v>
          </cell>
          <cell r="G1609" t="str">
            <v>不明</v>
          </cell>
          <cell r="H1609" t="str">
            <v>red</v>
          </cell>
          <cell r="I1609">
            <v>5</v>
          </cell>
          <cell r="J1609" t="str">
            <v>PremiumSSw</v>
          </cell>
          <cell r="K1609" t="str">
            <v>attack</v>
          </cell>
          <cell r="L1609" t="str">
            <v>攻撃タイプ</v>
          </cell>
          <cell r="M1609" t="str">
            <v>god</v>
          </cell>
          <cell r="N1609" t="str">
            <v>ゴッド</v>
          </cell>
          <cell r="O1609" t="str">
            <v>animal</v>
          </cell>
          <cell r="P1609" t="str">
            <v>アニマル</v>
          </cell>
          <cell r="Q1609" t="str">
            <v>アタッカー</v>
          </cell>
          <cell r="R1609">
            <v>3</v>
          </cell>
          <cell r="S1609" t="str">
            <v>NULL</v>
          </cell>
          <cell r="T1609" t="str">
            <v>normal</v>
          </cell>
        </row>
        <row r="1610">
          <cell r="A1610">
            <v>5002</v>
          </cell>
          <cell r="B1610" t="str">
            <v>ja</v>
          </cell>
          <cell r="C1610" t="str">
            <v>光輝する美翼聖鳥 ガルーダ</v>
          </cell>
          <cell r="D1610" t="str">
            <v>ノーマルクエスト</v>
          </cell>
          <cell r="E1610" t="str">
            <v>アバター</v>
          </cell>
          <cell r="F1610" t="str">
            <v>世界観</v>
          </cell>
          <cell r="G1610" t="str">
            <v>男性</v>
          </cell>
          <cell r="H1610" t="str">
            <v>red</v>
          </cell>
          <cell r="I1610">
            <v>6</v>
          </cell>
          <cell r="J1610" t="str">
            <v>PremiumSSw</v>
          </cell>
          <cell r="K1610" t="str">
            <v>attack</v>
          </cell>
          <cell r="L1610" t="str">
            <v>攻撃タイプ</v>
          </cell>
          <cell r="M1610" t="str">
            <v>god</v>
          </cell>
          <cell r="N1610" t="str">
            <v>ゴッド</v>
          </cell>
          <cell r="O1610" t="str">
            <v>animal</v>
          </cell>
          <cell r="P1610" t="str">
            <v>アニマル</v>
          </cell>
          <cell r="Q1610" t="str">
            <v>アタッカー</v>
          </cell>
          <cell r="R1610">
            <v>3</v>
          </cell>
          <cell r="S1610" t="str">
            <v>NULL</v>
          </cell>
          <cell r="T1610" t="str">
            <v>normal</v>
          </cell>
        </row>
        <row r="1611">
          <cell r="A1611">
            <v>5003</v>
          </cell>
          <cell r="B1611" t="str">
            <v>ja</v>
          </cell>
          <cell r="C1611" t="str">
            <v>ナーガ</v>
          </cell>
          <cell r="D1611" t="str">
            <v>リンクガチャ:4神</v>
          </cell>
          <cell r="E1611" t="str">
            <v>守護神</v>
          </cell>
          <cell r="F1611" t="str">
            <v>格好いい</v>
          </cell>
          <cell r="G1611" t="str">
            <v>不明</v>
          </cell>
          <cell r="H1611" t="str">
            <v>green</v>
          </cell>
          <cell r="I1611">
            <v>5</v>
          </cell>
          <cell r="J1611" t="str">
            <v>DropWizS</v>
          </cell>
          <cell r="K1611" t="str">
            <v>technical</v>
          </cell>
          <cell r="L1611" t="str">
            <v>テクニカルタイプ</v>
          </cell>
          <cell r="M1611" t="str">
            <v>animal</v>
          </cell>
          <cell r="N1611" t="str">
            <v>アニマル</v>
          </cell>
          <cell r="O1611" t="str">
            <v>dragon</v>
          </cell>
          <cell r="P1611" t="str">
            <v>ドラゴン</v>
          </cell>
          <cell r="Q1611" t="str">
            <v>アタッカー</v>
          </cell>
          <cell r="R1611">
            <v>3</v>
          </cell>
          <cell r="S1611" t="str">
            <v>NULL</v>
          </cell>
          <cell r="T1611" t="str">
            <v>normal</v>
          </cell>
        </row>
        <row r="1612">
          <cell r="A1612">
            <v>5004</v>
          </cell>
          <cell r="B1612" t="str">
            <v>ja</v>
          </cell>
          <cell r="C1612" t="str">
            <v>深淵翠緑 ナーガ</v>
          </cell>
          <cell r="D1612" t="str">
            <v>ノーマルクエスト</v>
          </cell>
          <cell r="E1612" t="str">
            <v>アバター</v>
          </cell>
          <cell r="F1612" t="str">
            <v>世界観</v>
          </cell>
          <cell r="G1612" t="str">
            <v>不明</v>
          </cell>
          <cell r="H1612" t="str">
            <v>green</v>
          </cell>
          <cell r="I1612">
            <v>6</v>
          </cell>
          <cell r="J1612" t="str">
            <v>DropWizS</v>
          </cell>
          <cell r="K1612" t="str">
            <v>technical</v>
          </cell>
          <cell r="L1612" t="str">
            <v>テクニカルタイプ</v>
          </cell>
          <cell r="M1612" t="str">
            <v>animal</v>
          </cell>
          <cell r="N1612" t="str">
            <v>アニマル</v>
          </cell>
          <cell r="O1612" t="str">
            <v>dragon</v>
          </cell>
          <cell r="P1612" t="str">
            <v>ドラゴン</v>
          </cell>
          <cell r="Q1612" t="str">
            <v>アタッカー</v>
          </cell>
          <cell r="R1612">
            <v>3</v>
          </cell>
          <cell r="S1612" t="str">
            <v>NULL</v>
          </cell>
          <cell r="T1612" t="str">
            <v>normal</v>
          </cell>
        </row>
        <row r="1613">
          <cell r="A1613">
            <v>5005</v>
          </cell>
          <cell r="B1613" t="str">
            <v>ja</v>
          </cell>
          <cell r="C1613" t="str">
            <v>カーミラ</v>
          </cell>
          <cell r="D1613" t="str">
            <v>ノーマルクエスト</v>
          </cell>
          <cell r="E1613" t="str">
            <v>QoH</v>
          </cell>
          <cell r="F1613" t="str">
            <v>世界観</v>
          </cell>
          <cell r="G1613" t="str">
            <v>不明</v>
          </cell>
          <cell r="H1613" t="str">
            <v>green</v>
          </cell>
          <cell r="I1613">
            <v>5</v>
          </cell>
          <cell r="J1613" t="str">
            <v>PremiumSSw</v>
          </cell>
          <cell r="K1613" t="str">
            <v>balance</v>
          </cell>
          <cell r="L1613" t="str">
            <v>バランスタイプ</v>
          </cell>
          <cell r="M1613" t="str">
            <v>demon</v>
          </cell>
          <cell r="N1613" t="str">
            <v>デーモン</v>
          </cell>
          <cell r="O1613" t="str">
            <v>none</v>
          </cell>
          <cell r="P1613" t="str">
            <v>種族なし</v>
          </cell>
          <cell r="Q1613" t="str">
            <v>アタッカー</v>
          </cell>
          <cell r="R1613">
            <v>1</v>
          </cell>
          <cell r="S1613" t="str">
            <v>NULL</v>
          </cell>
          <cell r="T1613" t="str">
            <v>normal</v>
          </cell>
        </row>
        <row r="1614">
          <cell r="A1614">
            <v>5006</v>
          </cell>
          <cell r="B1614" t="str">
            <v>ja</v>
          </cell>
          <cell r="C1614" t="str">
            <v>カーミラ★６</v>
          </cell>
          <cell r="D1614" t="str">
            <v>ノーマルクエスト</v>
          </cell>
          <cell r="E1614" t="str">
            <v>アバター</v>
          </cell>
          <cell r="F1614" t="str">
            <v>世界観</v>
          </cell>
          <cell r="G1614" t="str">
            <v>男性</v>
          </cell>
          <cell r="H1614" t="str">
            <v>green</v>
          </cell>
          <cell r="I1614">
            <v>6</v>
          </cell>
          <cell r="J1614" t="str">
            <v>PremiumSSw</v>
          </cell>
          <cell r="K1614" t="str">
            <v>balance</v>
          </cell>
          <cell r="L1614" t="str">
            <v>バランスタイプ</v>
          </cell>
          <cell r="M1614" t="str">
            <v>demon</v>
          </cell>
          <cell r="N1614" t="str">
            <v>デーモン</v>
          </cell>
          <cell r="O1614" t="str">
            <v>none</v>
          </cell>
          <cell r="P1614" t="str">
            <v>種族なし</v>
          </cell>
          <cell r="Q1614" t="str">
            <v>アタッカー</v>
          </cell>
          <cell r="R1614">
            <v>1</v>
          </cell>
          <cell r="S1614" t="str">
            <v>NULL</v>
          </cell>
          <cell r="T1614" t="str">
            <v>normal</v>
          </cell>
        </row>
        <row r="1615">
          <cell r="A1615">
            <v>5007</v>
          </cell>
          <cell r="B1615" t="str">
            <v>ja</v>
          </cell>
          <cell r="C1615" t="str">
            <v>ヘルシング</v>
          </cell>
          <cell r="D1615" t="str">
            <v>リンクガチャ:4神</v>
          </cell>
          <cell r="E1615" t="str">
            <v>守護神</v>
          </cell>
          <cell r="F1615" t="str">
            <v>格好いい</v>
          </cell>
          <cell r="G1615" t="str">
            <v>不明</v>
          </cell>
          <cell r="H1615" t="str">
            <v>yellow</v>
          </cell>
          <cell r="I1615">
            <v>5</v>
          </cell>
          <cell r="J1615" t="str">
            <v>DropWizS</v>
          </cell>
          <cell r="K1615" t="str">
            <v>technical</v>
          </cell>
          <cell r="L1615" t="str">
            <v>テクニカルタイプ</v>
          </cell>
          <cell r="M1615" t="str">
            <v>human</v>
          </cell>
          <cell r="N1615" t="str">
            <v>ヒューマン</v>
          </cell>
          <cell r="O1615" t="str">
            <v>none</v>
          </cell>
          <cell r="P1615" t="str">
            <v>種族なし</v>
          </cell>
          <cell r="Q1615" t="str">
            <v>アタッカー</v>
          </cell>
          <cell r="R1615">
            <v>1</v>
          </cell>
          <cell r="S1615" t="str">
            <v>NULL</v>
          </cell>
          <cell r="T1615" t="str">
            <v>normal</v>
          </cell>
        </row>
        <row r="1616">
          <cell r="A1616">
            <v>5008</v>
          </cell>
          <cell r="B1616" t="str">
            <v>ja</v>
          </cell>
          <cell r="C1616" t="str">
            <v>ヘルシング★６</v>
          </cell>
          <cell r="D1616" t="str">
            <v>ノーマルクエスト</v>
          </cell>
          <cell r="E1616" t="str">
            <v>アバター</v>
          </cell>
          <cell r="F1616" t="str">
            <v>世界観</v>
          </cell>
          <cell r="G1616" t="str">
            <v>不明</v>
          </cell>
          <cell r="H1616" t="str">
            <v>yellow</v>
          </cell>
          <cell r="I1616">
            <v>6</v>
          </cell>
          <cell r="J1616" t="str">
            <v>DropWizS</v>
          </cell>
          <cell r="K1616" t="str">
            <v>technical</v>
          </cell>
          <cell r="L1616" t="str">
            <v>テクニカルタイプ</v>
          </cell>
          <cell r="M1616" t="str">
            <v>human</v>
          </cell>
          <cell r="N1616" t="str">
            <v>ヒューマン</v>
          </cell>
          <cell r="O1616" t="str">
            <v>none</v>
          </cell>
          <cell r="P1616" t="str">
            <v>種族なし</v>
          </cell>
          <cell r="Q1616" t="str">
            <v>アタッカー</v>
          </cell>
          <cell r="R1616">
            <v>1</v>
          </cell>
          <cell r="S1616" t="str">
            <v>NULL</v>
          </cell>
          <cell r="T1616" t="str">
            <v>normal</v>
          </cell>
        </row>
        <row r="1617">
          <cell r="A1617">
            <v>5009</v>
          </cell>
          <cell r="B1617" t="str">
            <v>ja</v>
          </cell>
          <cell r="C1617" t="str">
            <v>星の王子様</v>
          </cell>
          <cell r="D1617" t="str">
            <v>リンクガチャ:4神</v>
          </cell>
          <cell r="E1617" t="str">
            <v>守護神</v>
          </cell>
          <cell r="F1617" t="str">
            <v>格好いい</v>
          </cell>
          <cell r="G1617" t="str">
            <v>不明</v>
          </cell>
          <cell r="H1617" t="str">
            <v>yellow</v>
          </cell>
          <cell r="I1617">
            <v>5</v>
          </cell>
          <cell r="J1617" t="str">
            <v>PremiumSSw</v>
          </cell>
          <cell r="K1617" t="str">
            <v>technical</v>
          </cell>
          <cell r="L1617" t="str">
            <v>テクニカルタイプ</v>
          </cell>
          <cell r="M1617" t="str">
            <v>unknown</v>
          </cell>
          <cell r="N1617" t="str">
            <v>Unknown</v>
          </cell>
          <cell r="O1617" t="str">
            <v>human</v>
          </cell>
          <cell r="P1617" t="str">
            <v>ヒューマン</v>
          </cell>
          <cell r="Q1617" t="str">
            <v>アタッカー</v>
          </cell>
          <cell r="R1617">
            <v>1</v>
          </cell>
          <cell r="S1617" t="str">
            <v>NULL</v>
          </cell>
          <cell r="T1617" t="str">
            <v>normal</v>
          </cell>
        </row>
        <row r="1618">
          <cell r="A1618">
            <v>5010</v>
          </cell>
          <cell r="B1618" t="str">
            <v>ja</v>
          </cell>
          <cell r="C1618" t="str">
            <v>星の王子様★６</v>
          </cell>
          <cell r="D1618" t="str">
            <v>ノーマルクエスト</v>
          </cell>
          <cell r="E1618" t="str">
            <v>アバター</v>
          </cell>
          <cell r="F1618" t="str">
            <v>世界観</v>
          </cell>
          <cell r="G1618" t="str">
            <v>不明</v>
          </cell>
          <cell r="H1618" t="str">
            <v>yellow</v>
          </cell>
          <cell r="I1618">
            <v>6</v>
          </cell>
          <cell r="J1618" t="str">
            <v>PremiumSSw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  <cell r="N1618" t="str">
            <v>Unknown</v>
          </cell>
          <cell r="O1618" t="str">
            <v>human</v>
          </cell>
          <cell r="P1618" t="str">
            <v>ヒューマン</v>
          </cell>
          <cell r="Q1618" t="str">
            <v>アタッカー</v>
          </cell>
          <cell r="R1618">
            <v>1</v>
          </cell>
          <cell r="S1618" t="str">
            <v>NULL</v>
          </cell>
          <cell r="T1618" t="str">
            <v>normal</v>
          </cell>
        </row>
        <row r="1619">
          <cell r="A1619">
            <v>5011</v>
          </cell>
          <cell r="B1619" t="str">
            <v>ja</v>
          </cell>
          <cell r="C1619" t="str">
            <v>サン=テグジュペリ</v>
          </cell>
          <cell r="D1619" t="str">
            <v>リンクガチャ:4神</v>
          </cell>
          <cell r="E1619" t="str">
            <v>守護神</v>
          </cell>
          <cell r="F1619" t="str">
            <v>格好いい</v>
          </cell>
          <cell r="G1619" t="str">
            <v>不明</v>
          </cell>
          <cell r="H1619" t="str">
            <v>blue</v>
          </cell>
          <cell r="I1619">
            <v>5</v>
          </cell>
          <cell r="J1619" t="str">
            <v>DropWizS</v>
          </cell>
          <cell r="K1619" t="str">
            <v>hp</v>
          </cell>
          <cell r="L1619" t="str">
            <v>体力タイプ</v>
          </cell>
          <cell r="M1619" t="str">
            <v>human</v>
          </cell>
          <cell r="N1619" t="str">
            <v>ヒューマン</v>
          </cell>
          <cell r="O1619" t="str">
            <v>machine</v>
          </cell>
          <cell r="P1619" t="str">
            <v>マシン</v>
          </cell>
          <cell r="Q1619" t="str">
            <v>アタッカー</v>
          </cell>
          <cell r="R1619">
            <v>1</v>
          </cell>
          <cell r="S1619" t="str">
            <v>NULL</v>
          </cell>
          <cell r="T1619" t="str">
            <v>normal</v>
          </cell>
        </row>
        <row r="1620">
          <cell r="A1620">
            <v>5012</v>
          </cell>
          <cell r="B1620" t="str">
            <v>ja</v>
          </cell>
          <cell r="C1620" t="str">
            <v>サン=テグジュペリ★６</v>
          </cell>
          <cell r="D1620" t="str">
            <v>ノーマルクエスト</v>
          </cell>
          <cell r="E1620" t="str">
            <v>アバター</v>
          </cell>
          <cell r="F1620" t="str">
            <v>世界観</v>
          </cell>
          <cell r="G1620" t="str">
            <v>不明</v>
          </cell>
          <cell r="H1620" t="str">
            <v>blue</v>
          </cell>
          <cell r="I1620">
            <v>6</v>
          </cell>
          <cell r="J1620" t="str">
            <v>DropWizS</v>
          </cell>
          <cell r="K1620" t="str">
            <v>hp</v>
          </cell>
          <cell r="L1620" t="str">
            <v>体力タイプ</v>
          </cell>
          <cell r="M1620" t="str">
            <v>human</v>
          </cell>
          <cell r="N1620" t="str">
            <v>ヒューマン</v>
          </cell>
          <cell r="O1620" t="str">
            <v>machine</v>
          </cell>
          <cell r="P1620" t="str">
            <v>マシン</v>
          </cell>
          <cell r="Q1620" t="str">
            <v>アタッカー</v>
          </cell>
          <cell r="R1620">
            <v>1</v>
          </cell>
          <cell r="S1620" t="str">
            <v>NULL</v>
          </cell>
          <cell r="T1620" t="str">
            <v>normal</v>
          </cell>
        </row>
        <row r="1621">
          <cell r="A1621">
            <v>6001</v>
          </cell>
          <cell r="B1621" t="str">
            <v>ja</v>
          </cell>
          <cell r="C1621" t="str">
            <v>ジェリー</v>
          </cell>
          <cell r="D1621" t="str">
            <v>ノーマルクエスト</v>
          </cell>
          <cell r="E1621" t="str">
            <v>QoH</v>
          </cell>
          <cell r="F1621" t="str">
            <v>世界観</v>
          </cell>
          <cell r="G1621" t="str">
            <v>不明</v>
          </cell>
          <cell r="H1621" t="str">
            <v>red</v>
          </cell>
          <cell r="I1621">
            <v>1</v>
          </cell>
          <cell r="J1621" t="str">
            <v>Drop1T</v>
          </cell>
          <cell r="K1621" t="str">
            <v>attack</v>
          </cell>
          <cell r="L1621" t="str">
            <v>攻撃タイプ</v>
          </cell>
          <cell r="M1621" t="str">
            <v>unknown</v>
          </cell>
          <cell r="N1621" t="str">
            <v>Unknown</v>
          </cell>
          <cell r="O1621" t="str">
            <v>none</v>
          </cell>
          <cell r="P1621" t="str">
            <v>種族なし</v>
          </cell>
          <cell r="Q1621" t="str">
            <v>アタッカー</v>
          </cell>
          <cell r="R1621">
            <v>3</v>
          </cell>
          <cell r="S1621" t="str">
            <v>enemy_only</v>
          </cell>
          <cell r="T1621" t="str">
            <v>normal</v>
          </cell>
        </row>
        <row r="1622">
          <cell r="A1622">
            <v>6002</v>
          </cell>
          <cell r="B1622" t="str">
            <v>ja</v>
          </cell>
          <cell r="C1622" t="str">
            <v>ヨシタカ</v>
          </cell>
          <cell r="D1622" t="str">
            <v>ノーマルクエスト</v>
          </cell>
          <cell r="E1622" t="str">
            <v>アバター</v>
          </cell>
          <cell r="F1622" t="str">
            <v>世界観</v>
          </cell>
          <cell r="G1622" t="str">
            <v>男性</v>
          </cell>
          <cell r="H1622" t="str">
            <v>red</v>
          </cell>
          <cell r="I1622">
            <v>2</v>
          </cell>
          <cell r="J1622" t="str">
            <v>Drop1N</v>
          </cell>
          <cell r="K1622" t="str">
            <v>hp</v>
          </cell>
          <cell r="L1622" t="str">
            <v>体力タイプ</v>
          </cell>
          <cell r="M1622" t="str">
            <v>human</v>
          </cell>
          <cell r="N1622" t="str">
            <v>ヒューマン</v>
          </cell>
          <cell r="O1622" t="str">
            <v>none</v>
          </cell>
          <cell r="P1622" t="str">
            <v>種族なし</v>
          </cell>
          <cell r="Q1622" t="str">
            <v>バッファー</v>
          </cell>
          <cell r="R1622">
            <v>3</v>
          </cell>
          <cell r="S1622" t="str">
            <v>enemy_only</v>
          </cell>
          <cell r="T1622" t="str">
            <v>normal</v>
          </cell>
        </row>
        <row r="1623">
          <cell r="A1623">
            <v>6003</v>
          </cell>
          <cell r="B1623" t="str">
            <v>ja</v>
          </cell>
          <cell r="C1623" t="str">
            <v>朱雀</v>
          </cell>
          <cell r="D1623" t="str">
            <v>リンクガチャ:4神</v>
          </cell>
          <cell r="E1623" t="str">
            <v>守護神</v>
          </cell>
          <cell r="F1623" t="str">
            <v>格好いい</v>
          </cell>
          <cell r="G1623" t="str">
            <v>不明</v>
          </cell>
          <cell r="H1623" t="str">
            <v>red</v>
          </cell>
          <cell r="I1623">
            <v>3</v>
          </cell>
          <cell r="J1623" t="str">
            <v>Drop2N</v>
          </cell>
          <cell r="K1623" t="str">
            <v>balance</v>
          </cell>
          <cell r="L1623" t="str">
            <v>バランスタイプ</v>
          </cell>
          <cell r="M1623" t="str">
            <v>animal</v>
          </cell>
          <cell r="N1623" t="str">
            <v>アニマル</v>
          </cell>
          <cell r="O1623" t="str">
            <v>god</v>
          </cell>
          <cell r="P1623" t="str">
            <v>ゴッド</v>
          </cell>
          <cell r="Q1623" t="str">
            <v>アタッカー</v>
          </cell>
          <cell r="R1623">
            <v>3</v>
          </cell>
          <cell r="S1623" t="str">
            <v>enemy_only</v>
          </cell>
          <cell r="T1623" t="str">
            <v>normal</v>
          </cell>
        </row>
        <row r="1624">
          <cell r="A1624">
            <v>6004</v>
          </cell>
          <cell r="B1624" t="str">
            <v>ja</v>
          </cell>
          <cell r="C1624" t="str">
            <v>ブレット</v>
          </cell>
          <cell r="D1624" t="str">
            <v>ノーマルクエスト</v>
          </cell>
          <cell r="E1624" t="str">
            <v>アバター</v>
          </cell>
          <cell r="F1624" t="str">
            <v>世界観</v>
          </cell>
          <cell r="G1624" t="str">
            <v>不明</v>
          </cell>
          <cell r="H1624" t="str">
            <v>red</v>
          </cell>
          <cell r="I1624">
            <v>1</v>
          </cell>
          <cell r="J1624" t="str">
            <v>Drop1W</v>
          </cell>
          <cell r="K1624" t="str">
            <v>attack</v>
          </cell>
          <cell r="L1624" t="str">
            <v>攻撃タイプ</v>
          </cell>
          <cell r="M1624" t="str">
            <v>animal</v>
          </cell>
          <cell r="N1624" t="str">
            <v>アニマル</v>
          </cell>
          <cell r="O1624" t="str">
            <v>none</v>
          </cell>
          <cell r="P1624" t="str">
            <v>種族なし</v>
          </cell>
          <cell r="Q1624" t="str">
            <v>アタッカー</v>
          </cell>
          <cell r="R1624">
            <v>3</v>
          </cell>
          <cell r="S1624" t="str">
            <v>enemy_only</v>
          </cell>
          <cell r="T1624" t="str">
            <v>normal</v>
          </cell>
        </row>
        <row r="1625">
          <cell r="A1625">
            <v>6005</v>
          </cell>
          <cell r="B1625" t="str">
            <v>ja</v>
          </cell>
          <cell r="C1625" t="str">
            <v>孤神 テティス</v>
          </cell>
          <cell r="D1625" t="str">
            <v>初期ガチャ</v>
          </cell>
          <cell r="E1625" t="str">
            <v>管理者</v>
          </cell>
          <cell r="F1625" t="str">
            <v>美しい</v>
          </cell>
          <cell r="G1625" t="str">
            <v>女性</v>
          </cell>
          <cell r="H1625" t="str">
            <v>blue</v>
          </cell>
          <cell r="I1625">
            <v>4</v>
          </cell>
          <cell r="J1625" t="str">
            <v>PremiumN</v>
          </cell>
          <cell r="K1625" t="str">
            <v>hp</v>
          </cell>
          <cell r="L1625" t="str">
            <v>体力タイプ</v>
          </cell>
          <cell r="M1625" t="str">
            <v>god</v>
          </cell>
          <cell r="N1625" t="str">
            <v>ゴッド</v>
          </cell>
          <cell r="O1625" t="str">
            <v>none</v>
          </cell>
          <cell r="P1625" t="str">
            <v>種族なし</v>
          </cell>
          <cell r="Q1625" t="str">
            <v>アタッカー</v>
          </cell>
          <cell r="R1625">
            <v>3</v>
          </cell>
          <cell r="S1625" t="str">
            <v>enemy_only</v>
          </cell>
          <cell r="T1625" t="str">
            <v>normal</v>
          </cell>
        </row>
        <row r="1626">
          <cell r="A1626">
            <v>6006</v>
          </cell>
          <cell r="B1626" t="str">
            <v>ja</v>
          </cell>
          <cell r="C1626" t="str">
            <v>海底の孤高神 テティス</v>
          </cell>
          <cell r="D1626" t="str">
            <v>初期ガチャ</v>
          </cell>
          <cell r="E1626" t="str">
            <v>管理者</v>
          </cell>
          <cell r="F1626" t="str">
            <v>美しい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PremiumN</v>
          </cell>
          <cell r="K1626" t="str">
            <v>hp</v>
          </cell>
          <cell r="L1626" t="str">
            <v>体力タイプ</v>
          </cell>
          <cell r="M1626" t="str">
            <v>god</v>
          </cell>
          <cell r="N1626" t="str">
            <v>ゴッド</v>
          </cell>
          <cell r="O1626" t="str">
            <v>none</v>
          </cell>
          <cell r="P1626" t="str">
            <v>種族なし</v>
          </cell>
          <cell r="Q1626" t="str">
            <v>アタッカー</v>
          </cell>
          <cell r="R1626">
            <v>3</v>
          </cell>
          <cell r="S1626" t="str">
            <v>enemy_only</v>
          </cell>
          <cell r="T1626" t="str">
            <v>normal</v>
          </cell>
        </row>
        <row r="1627">
          <cell r="A1627">
            <v>6007</v>
          </cell>
          <cell r="B1627" t="str">
            <v>ja</v>
          </cell>
          <cell r="C1627" t="str">
            <v>番犬 ケルベロス</v>
          </cell>
          <cell r="D1627" t="str">
            <v>初期ガチャ</v>
          </cell>
          <cell r="E1627" t="str">
            <v>破界者</v>
          </cell>
          <cell r="F1627" t="str">
            <v>可愛い</v>
          </cell>
          <cell r="G1627" t="str">
            <v>女性</v>
          </cell>
          <cell r="H1627" t="str">
            <v>red</v>
          </cell>
          <cell r="I1627">
            <v>4</v>
          </cell>
          <cell r="J1627" t="str">
            <v>PremiumN</v>
          </cell>
          <cell r="K1627" t="str">
            <v>balance</v>
          </cell>
          <cell r="L1627" t="str">
            <v>バランスタイプ</v>
          </cell>
          <cell r="M1627" t="str">
            <v>animal</v>
          </cell>
          <cell r="N1627" t="str">
            <v>アニマル</v>
          </cell>
          <cell r="O1627" t="str">
            <v>none</v>
          </cell>
          <cell r="P1627" t="str">
            <v>種族なし</v>
          </cell>
          <cell r="Q1627" t="str">
            <v>バッファー</v>
          </cell>
          <cell r="R1627">
            <v>3</v>
          </cell>
          <cell r="S1627" t="str">
            <v>enemy_only</v>
          </cell>
          <cell r="T1627" t="str">
            <v>normal</v>
          </cell>
        </row>
        <row r="1628">
          <cell r="A1628">
            <v>6008</v>
          </cell>
          <cell r="B1628" t="str">
            <v>ja</v>
          </cell>
          <cell r="C1628" t="str">
            <v>焔神 プロメテウス</v>
          </cell>
          <cell r="D1628" t="str">
            <v>初期ガチャ</v>
          </cell>
          <cell r="E1628" t="str">
            <v>管理者</v>
          </cell>
          <cell r="F1628" t="str">
            <v>格好いい</v>
          </cell>
          <cell r="G1628" t="str">
            <v>男性</v>
          </cell>
          <cell r="H1628" t="str">
            <v>red</v>
          </cell>
          <cell r="I1628">
            <v>4</v>
          </cell>
          <cell r="J1628" t="str">
            <v>PremiumN</v>
          </cell>
          <cell r="K1628" t="str">
            <v>hp</v>
          </cell>
          <cell r="L1628" t="str">
            <v>体力タイプ</v>
          </cell>
          <cell r="M1628" t="str">
            <v>god</v>
          </cell>
          <cell r="N1628" t="str">
            <v>ゴッド</v>
          </cell>
          <cell r="O1628" t="str">
            <v>none</v>
          </cell>
          <cell r="P1628" t="str">
            <v>種族なし</v>
          </cell>
          <cell r="Q1628" t="str">
            <v>アタッカー</v>
          </cell>
          <cell r="R1628">
            <v>3</v>
          </cell>
          <cell r="S1628" t="str">
            <v>enemy_only</v>
          </cell>
          <cell r="T1628" t="str">
            <v>normal</v>
          </cell>
        </row>
        <row r="1629">
          <cell r="A1629">
            <v>6009</v>
          </cell>
          <cell r="B1629" t="str">
            <v>ja</v>
          </cell>
          <cell r="C1629" t="str">
            <v>超越自我 ラグランジュ</v>
          </cell>
          <cell r="D1629" t="str">
            <v>ガチャ:フィーバーフェス02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red</v>
          </cell>
          <cell r="I1629">
            <v>5</v>
          </cell>
          <cell r="J1629" t="str">
            <v>PremiumSSS</v>
          </cell>
          <cell r="K1629" t="str">
            <v>technical</v>
          </cell>
          <cell r="L1629" t="str">
            <v>テクニカルタイプ</v>
          </cell>
          <cell r="M1629" t="str">
            <v>human</v>
          </cell>
          <cell r="N1629" t="str">
            <v>ヒューマン</v>
          </cell>
          <cell r="O1629" t="str">
            <v>none</v>
          </cell>
          <cell r="P1629" t="str">
            <v>種族なし</v>
          </cell>
          <cell r="Q1629" t="str">
            <v>アタッカー</v>
          </cell>
          <cell r="R1629">
            <v>3</v>
          </cell>
          <cell r="S1629" t="str">
            <v>enemy_only</v>
          </cell>
          <cell r="T1629" t="str">
            <v>normal</v>
          </cell>
        </row>
        <row r="1630">
          <cell r="A1630">
            <v>6010</v>
          </cell>
          <cell r="B1630" t="str">
            <v>ja</v>
          </cell>
          <cell r="C1630" t="str">
            <v>超越凌駕 ラグランジュ</v>
          </cell>
          <cell r="D1630" t="str">
            <v>ガチャ:フィーバーフェス02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red</v>
          </cell>
          <cell r="I1630">
            <v>6</v>
          </cell>
          <cell r="J1630" t="str">
            <v>PremiumSSS</v>
          </cell>
          <cell r="K1630" t="str">
            <v>technical</v>
          </cell>
          <cell r="L1630" t="str">
            <v>テクニカルタイプ</v>
          </cell>
          <cell r="M1630" t="str">
            <v>human</v>
          </cell>
          <cell r="N1630" t="str">
            <v>ヒューマン</v>
          </cell>
          <cell r="O1630" t="str">
            <v>none</v>
          </cell>
          <cell r="P1630" t="str">
            <v>種族なし</v>
          </cell>
          <cell r="Q1630" t="str">
            <v>アタッカー</v>
          </cell>
          <cell r="R1630">
            <v>3</v>
          </cell>
          <cell r="S1630" t="str">
            <v>enemy_only</v>
          </cell>
          <cell r="T1630" t="str">
            <v>normal</v>
          </cell>
        </row>
        <row r="1631">
          <cell r="A1631">
            <v>6011</v>
          </cell>
          <cell r="B1631" t="str">
            <v>ja</v>
          </cell>
          <cell r="C1631" t="str">
            <v>パトドッグリーダー ポチ</v>
          </cell>
          <cell r="D1631" t="str">
            <v>ガチャ:フィーバーフェス02</v>
          </cell>
          <cell r="E1631" t="str">
            <v>執行者</v>
          </cell>
          <cell r="F1631" t="str">
            <v>格好いい</v>
          </cell>
          <cell r="G1631" t="str">
            <v>男性</v>
          </cell>
          <cell r="H1631" t="str">
            <v>blue</v>
          </cell>
          <cell r="I1631">
            <v>2</v>
          </cell>
          <cell r="J1631" t="str">
            <v>Drop1T</v>
          </cell>
          <cell r="K1631" t="str">
            <v>ra002</v>
          </cell>
          <cell r="L1631" t="str">
            <v>ユークリッドチャレンジ</v>
          </cell>
          <cell r="M1631" t="str">
            <v>unknown</v>
          </cell>
          <cell r="N1631" t="str">
            <v>Unknown</v>
          </cell>
          <cell r="O1631" t="str">
            <v>none</v>
          </cell>
          <cell r="P1631" t="str">
            <v>種族なし</v>
          </cell>
          <cell r="Q1631" t="str">
            <v>アタッカー</v>
          </cell>
          <cell r="R1631">
            <v>3</v>
          </cell>
          <cell r="S1631" t="str">
            <v>enemy_only</v>
          </cell>
          <cell r="T1631" t="str">
            <v>normal</v>
          </cell>
        </row>
        <row r="1632">
          <cell r="A1632">
            <v>6012</v>
          </cell>
          <cell r="B1632" t="str">
            <v>ja</v>
          </cell>
          <cell r="C1632" t="str">
            <v>ミミ</v>
          </cell>
          <cell r="D1632" t="str">
            <v>ガチャ:フィーバーフェス02</v>
          </cell>
          <cell r="E1632" t="str">
            <v>執行者</v>
          </cell>
          <cell r="F1632" t="str">
            <v>格好いい</v>
          </cell>
          <cell r="G1632" t="str">
            <v>男性</v>
          </cell>
          <cell r="H1632" t="str">
            <v>yellow</v>
          </cell>
          <cell r="I1632">
            <v>1</v>
          </cell>
          <cell r="J1632" t="str">
            <v>Drop1W</v>
          </cell>
          <cell r="K1632" t="str">
            <v>ra002</v>
          </cell>
          <cell r="L1632" t="str">
            <v>ユークリッドチャレンジ</v>
          </cell>
          <cell r="M1632" t="str">
            <v>animal</v>
          </cell>
          <cell r="N1632" t="str">
            <v>アニマル</v>
          </cell>
          <cell r="O1632" t="str">
            <v>none</v>
          </cell>
          <cell r="P1632" t="str">
            <v>種族なし</v>
          </cell>
          <cell r="Q1632" t="str">
            <v>アタッカー</v>
          </cell>
          <cell r="R1632">
            <v>3</v>
          </cell>
          <cell r="S1632" t="str">
            <v>enemy_only</v>
          </cell>
          <cell r="T1632" t="str">
            <v>normal</v>
          </cell>
        </row>
        <row r="1633">
          <cell r="A1633">
            <v>6013</v>
          </cell>
          <cell r="B1633" t="str">
            <v>ja</v>
          </cell>
          <cell r="C1633" t="str">
            <v>護衛機人 スケアクロウ</v>
          </cell>
          <cell r="D1633" t="str">
            <v>ガチャ:フィーバーフェス02</v>
          </cell>
          <cell r="E1633" t="str">
            <v>執行者</v>
          </cell>
          <cell r="F1633" t="str">
            <v>格好いい</v>
          </cell>
          <cell r="G1633" t="str">
            <v>男性</v>
          </cell>
          <cell r="H1633" t="str">
            <v>blue</v>
          </cell>
          <cell r="I1633">
            <v>2</v>
          </cell>
          <cell r="J1633" t="str">
            <v>Drop1N</v>
          </cell>
          <cell r="K1633" t="str">
            <v>ra002</v>
          </cell>
          <cell r="L1633" t="str">
            <v>ユークリッドチャレンジ</v>
          </cell>
          <cell r="M1633" t="str">
            <v>machine</v>
          </cell>
          <cell r="N1633" t="str">
            <v>マシン</v>
          </cell>
          <cell r="O1633" t="str">
            <v>none</v>
          </cell>
          <cell r="P1633" t="str">
            <v>種族なし</v>
          </cell>
          <cell r="Q1633" t="str">
            <v>アタッカー</v>
          </cell>
          <cell r="R1633">
            <v>3</v>
          </cell>
          <cell r="S1633" t="str">
            <v>enemy_only</v>
          </cell>
          <cell r="T1633" t="str">
            <v>normal</v>
          </cell>
        </row>
        <row r="1634">
          <cell r="A1634">
            <v>6014</v>
          </cell>
          <cell r="B1634" t="str">
            <v>ja</v>
          </cell>
          <cell r="C1634" t="str">
            <v>月下の人狼 ローレンス</v>
          </cell>
          <cell r="D1634" t="str">
            <v>ガチャ:フィーバーフェス02</v>
          </cell>
          <cell r="E1634" t="str">
            <v>執行者</v>
          </cell>
          <cell r="F1634" t="str">
            <v>格好いい</v>
          </cell>
          <cell r="G1634" t="str">
            <v>男性</v>
          </cell>
          <cell r="H1634" t="str">
            <v>blue</v>
          </cell>
          <cell r="I1634">
            <v>4</v>
          </cell>
          <cell r="J1634" t="str">
            <v>PremiumW</v>
          </cell>
          <cell r="K1634" t="str">
            <v>ra002</v>
          </cell>
          <cell r="L1634" t="str">
            <v>ユークリッドチャレンジ</v>
          </cell>
          <cell r="M1634" t="str">
            <v>animal</v>
          </cell>
          <cell r="N1634" t="str">
            <v>アニマル</v>
          </cell>
          <cell r="O1634" t="str">
            <v>none</v>
          </cell>
          <cell r="P1634" t="str">
            <v>種族なし</v>
          </cell>
          <cell r="Q1634" t="str">
            <v>アタッカー</v>
          </cell>
          <cell r="R1634">
            <v>3</v>
          </cell>
          <cell r="S1634" t="str">
            <v>enemy_only</v>
          </cell>
          <cell r="T1634" t="str">
            <v>normal</v>
          </cell>
        </row>
        <row r="1635">
          <cell r="A1635">
            <v>6015</v>
          </cell>
          <cell r="B1635" t="str">
            <v>ja</v>
          </cell>
          <cell r="C1635" t="str">
            <v>フレイヤ</v>
          </cell>
          <cell r="D1635" t="str">
            <v>ガチャ:フィーバーフェス02</v>
          </cell>
          <cell r="E1635" t="str">
            <v>執行者</v>
          </cell>
          <cell r="F1635" t="str">
            <v>格好いい</v>
          </cell>
          <cell r="G1635" t="str">
            <v>男性</v>
          </cell>
          <cell r="H1635" t="str">
            <v>blue</v>
          </cell>
          <cell r="I1635">
            <v>4</v>
          </cell>
          <cell r="J1635" t="str">
            <v>PremiumSS</v>
          </cell>
          <cell r="K1635" t="str">
            <v>ra002</v>
          </cell>
          <cell r="L1635" t="str">
            <v>ユークリッドチャレンジ</v>
          </cell>
          <cell r="M1635" t="str">
            <v>animal</v>
          </cell>
          <cell r="N1635" t="str">
            <v>アニマル</v>
          </cell>
          <cell r="O1635" t="str">
            <v>none</v>
          </cell>
          <cell r="P1635" t="str">
            <v>種族なし</v>
          </cell>
          <cell r="Q1635" t="str">
            <v>アタッカー</v>
          </cell>
          <cell r="R1635">
            <v>3</v>
          </cell>
          <cell r="S1635" t="str">
            <v>enemy_only</v>
          </cell>
          <cell r="T1635" t="str">
            <v>normal</v>
          </cell>
        </row>
        <row r="1636">
          <cell r="A1636">
            <v>6016</v>
          </cell>
          <cell r="B1636" t="str">
            <v>ja</v>
          </cell>
          <cell r="C1636" t="str">
            <v>根原論理 ユークリッド</v>
          </cell>
          <cell r="D1636" t="str">
            <v>ガチャ:フィーバーフェス02</v>
          </cell>
          <cell r="E1636" t="str">
            <v>執行者</v>
          </cell>
          <cell r="F1636" t="str">
            <v>格好いい</v>
          </cell>
          <cell r="G1636" t="str">
            <v>男性</v>
          </cell>
          <cell r="H1636" t="str">
            <v>blue</v>
          </cell>
          <cell r="I1636">
            <v>5</v>
          </cell>
          <cell r="J1636" t="str">
            <v>PremiumSSS</v>
          </cell>
          <cell r="K1636" t="str">
            <v>ra002</v>
          </cell>
          <cell r="L1636" t="str">
            <v>ユークリッドチャレンジ</v>
          </cell>
          <cell r="M1636" t="str">
            <v>human</v>
          </cell>
          <cell r="N1636" t="str">
            <v>ヒューマン</v>
          </cell>
          <cell r="O1636" t="str">
            <v>none</v>
          </cell>
          <cell r="P1636" t="str">
            <v>種族なし</v>
          </cell>
          <cell r="Q1636" t="str">
            <v>アタッカー</v>
          </cell>
          <cell r="R1636">
            <v>3</v>
          </cell>
          <cell r="S1636" t="str">
            <v>enemy_only</v>
          </cell>
          <cell r="T1636" t="str">
            <v>normal</v>
          </cell>
        </row>
        <row r="1637">
          <cell r="A1637">
            <v>6017</v>
          </cell>
          <cell r="B1637" t="str">
            <v>ja</v>
          </cell>
          <cell r="C1637" t="str">
            <v>不朽の極論 ユークリッド</v>
          </cell>
          <cell r="D1637" t="str">
            <v>ガチャ:フィーバーフェス02</v>
          </cell>
          <cell r="E1637" t="str">
            <v>執行者</v>
          </cell>
          <cell r="F1637" t="str">
            <v>格好いい</v>
          </cell>
          <cell r="G1637" t="str">
            <v>男性</v>
          </cell>
          <cell r="H1637" t="str">
            <v>blue</v>
          </cell>
          <cell r="I1637">
            <v>6</v>
          </cell>
          <cell r="J1637" t="str">
            <v>PremiumSSS</v>
          </cell>
          <cell r="K1637" t="str">
            <v>ra002</v>
          </cell>
          <cell r="L1637" t="str">
            <v>ユークリッドチャレンジ</v>
          </cell>
          <cell r="M1637" t="str">
            <v>human</v>
          </cell>
          <cell r="N1637" t="str">
            <v>ヒューマン</v>
          </cell>
          <cell r="O1637" t="str">
            <v>none</v>
          </cell>
          <cell r="P1637" t="str">
            <v>種族なし</v>
          </cell>
          <cell r="Q1637" t="str">
            <v>アタッカー</v>
          </cell>
          <cell r="R1637">
            <v>3</v>
          </cell>
          <cell r="S1637" t="str">
            <v>enemy_only</v>
          </cell>
          <cell r="T1637" t="str">
            <v>normal</v>
          </cell>
        </row>
        <row r="1638">
          <cell r="A1638">
            <v>6018</v>
          </cell>
          <cell r="B1638" t="str">
            <v>ja</v>
          </cell>
          <cell r="C1638" t="str">
            <v>ハヅル</v>
          </cell>
          <cell r="D1638" t="str">
            <v>ガチャ:フィーバーフェス02</v>
          </cell>
          <cell r="E1638" t="str">
            <v>執行者</v>
          </cell>
          <cell r="F1638" t="str">
            <v>格好いい</v>
          </cell>
          <cell r="G1638" t="str">
            <v>男性</v>
          </cell>
          <cell r="H1638" t="str">
            <v>red</v>
          </cell>
          <cell r="I1638">
            <v>4</v>
          </cell>
          <cell r="J1638" t="str">
            <v>PremiumSS</v>
          </cell>
          <cell r="K1638" t="str">
            <v>ra002</v>
          </cell>
          <cell r="L1638" t="str">
            <v>ユークリッドチャレンジ</v>
          </cell>
          <cell r="M1638" t="str">
            <v>animal</v>
          </cell>
          <cell r="N1638" t="str">
            <v>アニマル</v>
          </cell>
          <cell r="O1638" t="str">
            <v>none</v>
          </cell>
          <cell r="P1638" t="str">
            <v>種族なし</v>
          </cell>
          <cell r="Q1638" t="str">
            <v>アタッカー</v>
          </cell>
          <cell r="R1638">
            <v>3</v>
          </cell>
          <cell r="S1638" t="str">
            <v>enemy_only</v>
          </cell>
          <cell r="T1638" t="str">
            <v>normal</v>
          </cell>
        </row>
        <row r="1639">
          <cell r="A1639">
            <v>6019</v>
          </cell>
          <cell r="B1639" t="str">
            <v>ja</v>
          </cell>
          <cell r="C1639" t="str">
            <v>天織羽鶴 ハヅル</v>
          </cell>
          <cell r="D1639" t="str">
            <v>ガチャ:フィーバーフェス02</v>
          </cell>
          <cell r="E1639" t="str">
            <v>執行者</v>
          </cell>
          <cell r="F1639" t="str">
            <v>格好いい</v>
          </cell>
          <cell r="G1639" t="str">
            <v>男性</v>
          </cell>
          <cell r="H1639" t="str">
            <v>red</v>
          </cell>
          <cell r="I1639">
            <v>5</v>
          </cell>
          <cell r="J1639" t="str">
            <v>PremiumSS</v>
          </cell>
          <cell r="K1639" t="str">
            <v>ra002</v>
          </cell>
          <cell r="L1639" t="str">
            <v>ユークリッドチャレンジ</v>
          </cell>
          <cell r="M1639" t="str">
            <v>animal</v>
          </cell>
          <cell r="N1639" t="str">
            <v>アニマル</v>
          </cell>
          <cell r="O1639" t="str">
            <v>none</v>
          </cell>
          <cell r="P1639" t="str">
            <v>種族なし</v>
          </cell>
          <cell r="Q1639" t="str">
            <v>アタッカー</v>
          </cell>
          <cell r="R1639">
            <v>3</v>
          </cell>
          <cell r="S1639" t="str">
            <v>enemy_only</v>
          </cell>
          <cell r="T1639" t="str">
            <v>normal</v>
          </cell>
        </row>
        <row r="1640">
          <cell r="A1640">
            <v>6020</v>
          </cell>
          <cell r="B1640" t="str">
            <v>ja</v>
          </cell>
          <cell r="C1640" t="str">
            <v>ミズチ</v>
          </cell>
          <cell r="D1640" t="str">
            <v>ガチャ:フィーバーフェス02</v>
          </cell>
          <cell r="E1640" t="str">
            <v>執行者</v>
          </cell>
          <cell r="F1640" t="str">
            <v>格好いい</v>
          </cell>
          <cell r="G1640" t="str">
            <v>男性</v>
          </cell>
          <cell r="H1640" t="str">
            <v>blue</v>
          </cell>
          <cell r="I1640">
            <v>4</v>
          </cell>
          <cell r="J1640" t="str">
            <v>PremiumS</v>
          </cell>
          <cell r="K1640" t="str">
            <v>ra002</v>
          </cell>
          <cell r="L1640" t="str">
            <v>ユークリッドチャレンジ</v>
          </cell>
          <cell r="M1640" t="str">
            <v>dragon</v>
          </cell>
          <cell r="N1640" t="str">
            <v>ドラゴン</v>
          </cell>
          <cell r="O1640" t="str">
            <v>none</v>
          </cell>
          <cell r="P1640" t="str">
            <v>種族なし</v>
          </cell>
          <cell r="Q1640" t="str">
            <v>アタッカー</v>
          </cell>
          <cell r="R1640">
            <v>3</v>
          </cell>
          <cell r="S1640" t="str">
            <v>enemy_only</v>
          </cell>
          <cell r="T1640" t="str">
            <v>normal</v>
          </cell>
        </row>
        <row r="1641">
          <cell r="A1641">
            <v>8001</v>
          </cell>
          <cell r="B1641" t="str">
            <v>ja</v>
          </cell>
          <cell r="C1641" t="str">
            <v>媽祖</v>
          </cell>
          <cell r="D1641" t="str">
            <v>イベント:ミクコラボ01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yellow</v>
          </cell>
          <cell r="I1641">
            <v>5</v>
          </cell>
          <cell r="J1641" t="str">
            <v>PremiumSS</v>
          </cell>
          <cell r="K1641" t="str">
            <v>attack</v>
          </cell>
          <cell r="L1641" t="str">
            <v>攻撃タイプ</v>
          </cell>
          <cell r="M1641" t="str">
            <v>god</v>
          </cell>
          <cell r="N1641" t="str">
            <v>ゴッド</v>
          </cell>
          <cell r="O1641" t="str">
            <v>none</v>
          </cell>
          <cell r="P1641" t="str">
            <v>種族なし</v>
          </cell>
          <cell r="Q1641" t="str">
            <v>アタッカー</v>
          </cell>
          <cell r="R1641">
            <v>3</v>
          </cell>
          <cell r="S1641" t="str">
            <v>NULL</v>
          </cell>
          <cell r="T1641" t="str">
            <v>normal</v>
          </cell>
        </row>
        <row r="1642">
          <cell r="A1642">
            <v>8002</v>
          </cell>
          <cell r="B1642" t="str">
            <v>ja</v>
          </cell>
          <cell r="C1642" t="str">
            <v>宣導する天海妃 媽祖</v>
          </cell>
          <cell r="D1642" t="str">
            <v>イベント:ミクコラボ01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yellow</v>
          </cell>
          <cell r="I1642">
            <v>6</v>
          </cell>
          <cell r="J1642" t="str">
            <v>PremiumSS</v>
          </cell>
          <cell r="K1642" t="str">
            <v>attack</v>
          </cell>
          <cell r="L1642" t="str">
            <v>攻撃タイプ</v>
          </cell>
          <cell r="M1642" t="str">
            <v>god</v>
          </cell>
          <cell r="N1642" t="str">
            <v>ゴッド</v>
          </cell>
          <cell r="O1642" t="str">
            <v>none</v>
          </cell>
          <cell r="P1642" t="str">
            <v>種族なし</v>
          </cell>
          <cell r="Q1642" t="str">
            <v>アタッカー</v>
          </cell>
          <cell r="R1642">
            <v>3</v>
          </cell>
          <cell r="S1642" t="str">
            <v>NULL</v>
          </cell>
          <cell r="T1642" t="str">
            <v>normal</v>
          </cell>
        </row>
        <row r="1643">
          <cell r="A1643">
            <v>8003</v>
          </cell>
          <cell r="B1643" t="str">
            <v>ja</v>
          </cell>
          <cell r="C1643" t="str">
            <v>蛟龍</v>
          </cell>
          <cell r="D1643" t="str">
            <v>イベント:ミクコラボ01</v>
          </cell>
          <cell r="E1643" t="str">
            <v>執行者</v>
          </cell>
          <cell r="F1643" t="str">
            <v>格好いい</v>
          </cell>
          <cell r="G1643" t="str">
            <v>不明</v>
          </cell>
          <cell r="H1643" t="str">
            <v>blue</v>
          </cell>
          <cell r="I1643">
            <v>5</v>
          </cell>
          <cell r="J1643" t="str">
            <v>DropWizS</v>
          </cell>
          <cell r="K1643" t="str">
            <v>hp</v>
          </cell>
          <cell r="L1643" t="str">
            <v>体力タイプ</v>
          </cell>
          <cell r="M1643" t="str">
            <v>dragon</v>
          </cell>
          <cell r="N1643" t="str">
            <v>ドラゴン</v>
          </cell>
          <cell r="O1643" t="str">
            <v>none</v>
          </cell>
          <cell r="P1643" t="str">
            <v>種族なし</v>
          </cell>
          <cell r="Q1643" t="str">
            <v>アタッカー</v>
          </cell>
          <cell r="R1643">
            <v>3</v>
          </cell>
          <cell r="S1643" t="str">
            <v>NULL</v>
          </cell>
          <cell r="T1643" t="str">
            <v>normal</v>
          </cell>
        </row>
        <row r="1644">
          <cell r="A1644">
            <v>8004</v>
          </cell>
          <cell r="B1644" t="str">
            <v>ja</v>
          </cell>
          <cell r="C1644" t="str">
            <v>呼嵐の蒼棲龍 蛟龍</v>
          </cell>
          <cell r="D1644" t="str">
            <v>イベント:ミクコラボ01</v>
          </cell>
          <cell r="E1644" t="str">
            <v>執行者</v>
          </cell>
          <cell r="F1644" t="str">
            <v>格好いい</v>
          </cell>
          <cell r="G1644" t="str">
            <v>不明</v>
          </cell>
          <cell r="H1644" t="str">
            <v>blue</v>
          </cell>
          <cell r="I1644">
            <v>6</v>
          </cell>
          <cell r="J1644" t="str">
            <v>DropWizS</v>
          </cell>
          <cell r="K1644" t="str">
            <v>hp</v>
          </cell>
          <cell r="L1644" t="str">
            <v>体力タイプ</v>
          </cell>
          <cell r="M1644" t="str">
            <v>dragon</v>
          </cell>
          <cell r="N1644" t="str">
            <v>ドラゴン</v>
          </cell>
          <cell r="O1644" t="str">
            <v>none</v>
          </cell>
          <cell r="P1644" t="str">
            <v>種族なし</v>
          </cell>
          <cell r="Q1644" t="str">
            <v>アタッカー</v>
          </cell>
          <cell r="R1644">
            <v>3</v>
          </cell>
          <cell r="S1644" t="str">
            <v>NULL</v>
          </cell>
          <cell r="T1644" t="str">
            <v>normal</v>
          </cell>
        </row>
        <row r="1645">
          <cell r="A1645">
            <v>8005</v>
          </cell>
          <cell r="B1645" t="str">
            <v>ja</v>
          </cell>
          <cell r="C1645" t="str">
            <v>三蔵法師</v>
          </cell>
          <cell r="D1645" t="str">
            <v>イベント:ミクコラボ01</v>
          </cell>
          <cell r="E1645" t="str">
            <v>執行者</v>
          </cell>
          <cell r="F1645" t="str">
            <v>格好いい</v>
          </cell>
          <cell r="G1645" t="str">
            <v>不明</v>
          </cell>
          <cell r="H1645" t="str">
            <v>blue</v>
          </cell>
          <cell r="I1645">
            <v>5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human</v>
          </cell>
          <cell r="N1645" t="str">
            <v>ヒューマン</v>
          </cell>
          <cell r="O1645" t="str">
            <v>animal</v>
          </cell>
          <cell r="P1645" t="str">
            <v>アニマル</v>
          </cell>
          <cell r="Q1645" t="str">
            <v>アタッカー</v>
          </cell>
          <cell r="R1645">
            <v>3</v>
          </cell>
          <cell r="S1645" t="str">
            <v>NULL</v>
          </cell>
          <cell r="T1645" t="str">
            <v>normal</v>
          </cell>
        </row>
        <row r="1646">
          <cell r="A1646">
            <v>8006</v>
          </cell>
          <cell r="B1646" t="str">
            <v>ja</v>
          </cell>
          <cell r="C1646" t="str">
            <v>慈戒の呪封使 三蔵法師</v>
          </cell>
          <cell r="D1646" t="str">
            <v>イベント:ミクコラボ01</v>
          </cell>
          <cell r="E1646" t="str">
            <v>執行者</v>
          </cell>
          <cell r="F1646" t="str">
            <v>格好いい</v>
          </cell>
          <cell r="G1646" t="str">
            <v>不明</v>
          </cell>
          <cell r="H1646" t="str">
            <v>blue</v>
          </cell>
          <cell r="I1646">
            <v>6</v>
          </cell>
          <cell r="J1646" t="str">
            <v>PremiumSS</v>
          </cell>
          <cell r="K1646" t="str">
            <v>balance</v>
          </cell>
          <cell r="L1646" t="str">
            <v>バランスタイプ</v>
          </cell>
          <cell r="M1646" t="str">
            <v>human</v>
          </cell>
          <cell r="N1646" t="str">
            <v>ヒューマン</v>
          </cell>
          <cell r="O1646" t="str">
            <v>animal</v>
          </cell>
          <cell r="P1646" t="str">
            <v>アニマル</v>
          </cell>
          <cell r="Q1646" t="str">
            <v>アタッカー</v>
          </cell>
          <cell r="R1646">
            <v>3</v>
          </cell>
          <cell r="S1646" t="str">
            <v>NULL</v>
          </cell>
          <cell r="T1646" t="str">
            <v>normal</v>
          </cell>
        </row>
        <row r="1647">
          <cell r="A1647">
            <v>8007</v>
          </cell>
          <cell r="B1647" t="str">
            <v>ja</v>
          </cell>
          <cell r="C1647" t="str">
            <v>孫悟空</v>
          </cell>
          <cell r="D1647" t="str">
            <v>イベント:ミクコラボ01</v>
          </cell>
          <cell r="E1647" t="str">
            <v>執行者</v>
          </cell>
          <cell r="F1647" t="str">
            <v>格好いい</v>
          </cell>
          <cell r="G1647" t="str">
            <v>不明</v>
          </cell>
          <cell r="H1647" t="str">
            <v>red</v>
          </cell>
          <cell r="I1647">
            <v>5</v>
          </cell>
          <cell r="J1647" t="str">
            <v>DropWizS</v>
          </cell>
          <cell r="K1647" t="str">
            <v>attack</v>
          </cell>
          <cell r="L1647" t="str">
            <v>攻撃タイプ</v>
          </cell>
          <cell r="M1647" t="str">
            <v>animal</v>
          </cell>
          <cell r="N1647" t="str">
            <v>アニマル</v>
          </cell>
          <cell r="O1647" t="str">
            <v>none</v>
          </cell>
          <cell r="P1647" t="str">
            <v>種族なし</v>
          </cell>
          <cell r="Q1647" t="str">
            <v>アタッカー</v>
          </cell>
          <cell r="R1647">
            <v>3</v>
          </cell>
          <cell r="S1647" t="str">
            <v>NULL</v>
          </cell>
          <cell r="T1647" t="str">
            <v>normal</v>
          </cell>
        </row>
        <row r="1648">
          <cell r="A1648">
            <v>8008</v>
          </cell>
          <cell r="B1648" t="str">
            <v>ja</v>
          </cell>
          <cell r="C1648" t="str">
            <v>花果の天猿仙人 孫悟空</v>
          </cell>
          <cell r="D1648" t="str">
            <v>イベント:ミクコラボ01</v>
          </cell>
          <cell r="E1648" t="str">
            <v>執行者</v>
          </cell>
          <cell r="F1648" t="str">
            <v>格好いい</v>
          </cell>
          <cell r="G1648" t="str">
            <v>不明</v>
          </cell>
          <cell r="H1648" t="str">
            <v>red</v>
          </cell>
          <cell r="I1648">
            <v>6</v>
          </cell>
          <cell r="J1648" t="str">
            <v>DropWizS</v>
          </cell>
          <cell r="K1648" t="str">
            <v>attack</v>
          </cell>
          <cell r="L1648" t="str">
            <v>攻撃タイプ</v>
          </cell>
          <cell r="M1648" t="str">
            <v>animal</v>
          </cell>
          <cell r="N1648" t="str">
            <v>アニマル</v>
          </cell>
          <cell r="O1648" t="str">
            <v>none</v>
          </cell>
          <cell r="P1648" t="str">
            <v>種族なし</v>
          </cell>
          <cell r="Q1648" t="str">
            <v>アタッカー</v>
          </cell>
          <cell r="R1648">
            <v>3</v>
          </cell>
          <cell r="S1648" t="str">
            <v>NULL</v>
          </cell>
          <cell r="T1648" t="str">
            <v>normal</v>
          </cell>
        </row>
        <row r="1649">
          <cell r="A1649">
            <v>8009</v>
          </cell>
          <cell r="B1649" t="str">
            <v>ja</v>
          </cell>
          <cell r="C1649" t="str">
            <v>西王娘娘</v>
          </cell>
          <cell r="D1649" t="str">
            <v>イベント:ミクコラボ01</v>
          </cell>
          <cell r="E1649" t="str">
            <v>執行者</v>
          </cell>
          <cell r="F1649" t="str">
            <v>格好いい</v>
          </cell>
          <cell r="G1649" t="str">
            <v>不明</v>
          </cell>
          <cell r="H1649" t="str">
            <v>green</v>
          </cell>
          <cell r="I1649">
            <v>5</v>
          </cell>
          <cell r="J1649" t="str">
            <v>PremiumSS</v>
          </cell>
          <cell r="K1649" t="str">
            <v>attack</v>
          </cell>
          <cell r="L1649" t="str">
            <v>攻撃タイプ</v>
          </cell>
          <cell r="M1649" t="str">
            <v>god</v>
          </cell>
          <cell r="N1649" t="str">
            <v>ゴッド</v>
          </cell>
          <cell r="O1649" t="str">
            <v>machine</v>
          </cell>
          <cell r="P1649" t="str">
            <v>マシン</v>
          </cell>
          <cell r="Q1649" t="str">
            <v>アタッカー</v>
          </cell>
          <cell r="R1649">
            <v>3</v>
          </cell>
          <cell r="S1649" t="str">
            <v>NULL</v>
          </cell>
          <cell r="T1649" t="str">
            <v>normal</v>
          </cell>
        </row>
        <row r="1650">
          <cell r="A1650">
            <v>8010</v>
          </cell>
          <cell r="B1650" t="str">
            <v>ja</v>
          </cell>
          <cell r="C1650" t="str">
            <v>極楽瑶池の聖母 西王娘娘</v>
          </cell>
          <cell r="D1650" t="str">
            <v>イベント:ミクコラボ01</v>
          </cell>
          <cell r="E1650" t="str">
            <v>執行者</v>
          </cell>
          <cell r="F1650" t="str">
            <v>格好いい</v>
          </cell>
          <cell r="G1650" t="str">
            <v>不明</v>
          </cell>
          <cell r="H1650" t="str">
            <v>green</v>
          </cell>
          <cell r="I1650">
            <v>6</v>
          </cell>
          <cell r="J1650" t="str">
            <v>PremiumSS</v>
          </cell>
          <cell r="K1650" t="str">
            <v>attack</v>
          </cell>
          <cell r="L1650" t="str">
            <v>攻撃タイプ</v>
          </cell>
          <cell r="M1650" t="str">
            <v>god</v>
          </cell>
          <cell r="N1650" t="str">
            <v>ゴッド</v>
          </cell>
          <cell r="O1650" t="str">
            <v>machine</v>
          </cell>
          <cell r="P1650" t="str">
            <v>マシン</v>
          </cell>
          <cell r="Q1650" t="str">
            <v>アタッカー</v>
          </cell>
          <cell r="R1650">
            <v>3</v>
          </cell>
          <cell r="S1650" t="str">
            <v>NULL</v>
          </cell>
          <cell r="T1650" t="str">
            <v>normal</v>
          </cell>
        </row>
        <row r="1651">
          <cell r="A1651">
            <v>8011</v>
          </cell>
          <cell r="B1651" t="str">
            <v>ja</v>
          </cell>
          <cell r="C1651" t="str">
            <v>月下老人</v>
          </cell>
          <cell r="D1651" t="str">
            <v>イベント:ミクコラボ01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yellow</v>
          </cell>
          <cell r="I1651">
            <v>5</v>
          </cell>
          <cell r="J1651" t="str">
            <v>DropWizS</v>
          </cell>
          <cell r="K1651" t="str">
            <v>balance</v>
          </cell>
          <cell r="L1651" t="str">
            <v>バランスタイプ</v>
          </cell>
          <cell r="M1651" t="str">
            <v>god</v>
          </cell>
          <cell r="N1651" t="str">
            <v>ゴッド</v>
          </cell>
          <cell r="O1651" t="str">
            <v>none</v>
          </cell>
          <cell r="P1651" t="str">
            <v>種族なし</v>
          </cell>
          <cell r="Q1651" t="str">
            <v>アタッカー</v>
          </cell>
          <cell r="R1651">
            <v>3</v>
          </cell>
          <cell r="S1651" t="str">
            <v>NULL</v>
          </cell>
          <cell r="T1651" t="str">
            <v>normal</v>
          </cell>
        </row>
        <row r="1652">
          <cell r="A1652">
            <v>8012</v>
          </cell>
          <cell r="B1652" t="str">
            <v>ja</v>
          </cell>
          <cell r="C1652" t="str">
            <v>破戀斬る縁剣 月下老人</v>
          </cell>
          <cell r="D1652" t="str">
            <v>イベント:ミクコラボ01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yellow</v>
          </cell>
          <cell r="I1652">
            <v>6</v>
          </cell>
          <cell r="J1652" t="str">
            <v>DropWizS</v>
          </cell>
          <cell r="K1652" t="str">
            <v>balance</v>
          </cell>
          <cell r="L1652" t="str">
            <v>バランスタイプ</v>
          </cell>
          <cell r="M1652" t="str">
            <v>god</v>
          </cell>
          <cell r="N1652" t="str">
            <v>ゴッド</v>
          </cell>
          <cell r="O1652" t="str">
            <v>none</v>
          </cell>
          <cell r="P1652" t="str">
            <v>種族なし</v>
          </cell>
          <cell r="Q1652" t="str">
            <v>アタッカー</v>
          </cell>
          <cell r="R1652">
            <v>3</v>
          </cell>
          <cell r="S1652" t="str">
            <v>NULL</v>
          </cell>
          <cell r="T1652" t="str">
            <v>normal</v>
          </cell>
        </row>
        <row r="1653">
          <cell r="A1653">
            <v>8013</v>
          </cell>
          <cell r="B1653" t="str">
            <v>ja</v>
          </cell>
          <cell r="C1653" t="str">
            <v>初音ミクV3</v>
          </cell>
          <cell r="D1653" t="str">
            <v>初音ミクV3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yellow</v>
          </cell>
          <cell r="I1653">
            <v>4</v>
          </cell>
          <cell r="J1653" t="str">
            <v>DropWizS</v>
          </cell>
          <cell r="K1653" t="str">
            <v>balance</v>
          </cell>
          <cell r="L1653" t="str">
            <v>バランスタイプ</v>
          </cell>
          <cell r="M1653" t="str">
            <v>unknown</v>
          </cell>
          <cell r="N1653" t="str">
            <v>Unknown</v>
          </cell>
          <cell r="O1653" t="str">
            <v>none</v>
          </cell>
          <cell r="P1653" t="str">
            <v>種族なし</v>
          </cell>
          <cell r="Q1653" t="str">
            <v>アタッカー</v>
          </cell>
          <cell r="R1653">
            <v>1</v>
          </cell>
          <cell r="S1653" t="str">
            <v>NULL</v>
          </cell>
          <cell r="T1653" t="str">
            <v>normal</v>
          </cell>
        </row>
        <row r="1654">
          <cell r="A1654">
            <v>8014</v>
          </cell>
          <cell r="B1654" t="str">
            <v>ja</v>
          </cell>
          <cell r="C1654" t="str">
            <v>初音ミクV3</v>
          </cell>
          <cell r="D1654" t="str">
            <v>初音ミクV3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yellow</v>
          </cell>
          <cell r="I1654">
            <v>5</v>
          </cell>
          <cell r="J1654" t="str">
            <v>DropWizS</v>
          </cell>
          <cell r="K1654" t="str">
            <v>balance</v>
          </cell>
          <cell r="L1654" t="str">
            <v>バランスタイプ</v>
          </cell>
          <cell r="M1654" t="str">
            <v>unknown</v>
          </cell>
          <cell r="N1654" t="str">
            <v>Unknown</v>
          </cell>
          <cell r="O1654" t="str">
            <v>none</v>
          </cell>
          <cell r="P1654" t="str">
            <v>種族なし</v>
          </cell>
          <cell r="Q1654" t="str">
            <v>アタッカー</v>
          </cell>
          <cell r="R1654">
            <v>1</v>
          </cell>
          <cell r="S1654" t="str">
            <v>NULL</v>
          </cell>
          <cell r="T1654" t="str">
            <v>normal</v>
          </cell>
        </row>
        <row r="1655">
          <cell r="A1655">
            <v>8015</v>
          </cell>
          <cell r="B1655" t="str">
            <v>ja</v>
          </cell>
          <cell r="C1655" t="str">
            <v>初音ミク・アペンド</v>
          </cell>
          <cell r="D1655" t="str">
            <v>初音ミク・アペンド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green</v>
          </cell>
          <cell r="I1655">
            <v>4</v>
          </cell>
          <cell r="J1655" t="str">
            <v>PremiumSSS</v>
          </cell>
          <cell r="K1655" t="str">
            <v>technical</v>
          </cell>
          <cell r="L1655" t="str">
            <v>テクニカルタイプ</v>
          </cell>
          <cell r="M1655" t="str">
            <v>unknown</v>
          </cell>
          <cell r="N1655" t="str">
            <v>Unknown</v>
          </cell>
          <cell r="O1655" t="str">
            <v>none</v>
          </cell>
          <cell r="P1655" t="str">
            <v>種族なし</v>
          </cell>
          <cell r="Q1655" t="str">
            <v>アタッカー</v>
          </cell>
          <cell r="R1655">
            <v>1</v>
          </cell>
          <cell r="S1655" t="str">
            <v>NULL</v>
          </cell>
          <cell r="T1655" t="str">
            <v>normal</v>
          </cell>
        </row>
        <row r="1656">
          <cell r="A1656">
            <v>8016</v>
          </cell>
          <cell r="B1656" t="str">
            <v>ja</v>
          </cell>
          <cell r="C1656" t="str">
            <v>初音ミク・アペンド</v>
          </cell>
          <cell r="D1656" t="str">
            <v>初音ミク・アペンド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green</v>
          </cell>
          <cell r="I1656">
            <v>5</v>
          </cell>
          <cell r="J1656" t="str">
            <v>PremiumSSS</v>
          </cell>
          <cell r="K1656" t="str">
            <v>technical</v>
          </cell>
          <cell r="L1656" t="str">
            <v>テクニカルタイプ</v>
          </cell>
          <cell r="M1656" t="str">
            <v>unknown</v>
          </cell>
          <cell r="N1656" t="str">
            <v>Unknown</v>
          </cell>
          <cell r="O1656" t="str">
            <v>none</v>
          </cell>
          <cell r="P1656" t="str">
            <v>種族なし</v>
          </cell>
          <cell r="Q1656" t="str">
            <v>アタッカー</v>
          </cell>
          <cell r="R1656">
            <v>1</v>
          </cell>
          <cell r="S1656" t="str">
            <v>NULL</v>
          </cell>
          <cell r="T1656" t="str">
            <v>normal</v>
          </cell>
        </row>
        <row r="1657">
          <cell r="A1657">
            <v>8017</v>
          </cell>
          <cell r="B1657" t="str">
            <v>ja</v>
          </cell>
          <cell r="C1657" t="str">
            <v>初音ミク</v>
          </cell>
          <cell r="D1657" t="str">
            <v>初音ミク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green</v>
          </cell>
          <cell r="I1657">
            <v>4</v>
          </cell>
          <cell r="J1657" t="str">
            <v>PremiumSSS</v>
          </cell>
          <cell r="K1657" t="str">
            <v>balance</v>
          </cell>
          <cell r="L1657" t="str">
            <v>バランスタイプ</v>
          </cell>
          <cell r="M1657" t="str">
            <v>unknown</v>
          </cell>
          <cell r="N1657" t="str">
            <v>Unknown</v>
          </cell>
          <cell r="O1657" t="str">
            <v>none</v>
          </cell>
          <cell r="P1657" t="str">
            <v>種族なし</v>
          </cell>
          <cell r="Q1657" t="str">
            <v>アタッカー</v>
          </cell>
          <cell r="R1657">
            <v>1</v>
          </cell>
          <cell r="S1657" t="str">
            <v>NULL</v>
          </cell>
          <cell r="T1657" t="str">
            <v>normal</v>
          </cell>
        </row>
        <row r="1658">
          <cell r="A1658">
            <v>8018</v>
          </cell>
          <cell r="B1658" t="str">
            <v>ja</v>
          </cell>
          <cell r="C1658" t="str">
            <v>初音ミク</v>
          </cell>
          <cell r="D1658" t="str">
            <v>初音ミク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green</v>
          </cell>
          <cell r="I1658">
            <v>5</v>
          </cell>
          <cell r="J1658" t="str">
            <v>PremiumSSS</v>
          </cell>
          <cell r="K1658" t="str">
            <v>balance</v>
          </cell>
          <cell r="L1658" t="str">
            <v>バランスタイプ</v>
          </cell>
          <cell r="M1658" t="str">
            <v>unknown</v>
          </cell>
          <cell r="N1658" t="str">
            <v>Unknown</v>
          </cell>
          <cell r="O1658" t="str">
            <v>none</v>
          </cell>
          <cell r="P1658" t="str">
            <v>種族なし</v>
          </cell>
          <cell r="Q1658" t="str">
            <v>アタッカー</v>
          </cell>
          <cell r="R1658">
            <v>1</v>
          </cell>
          <cell r="S1658" t="str">
            <v>NULL</v>
          </cell>
          <cell r="T1658" t="str">
            <v>normal</v>
          </cell>
        </row>
        <row r="1659">
          <cell r="A1659">
            <v>8019</v>
          </cell>
          <cell r="B1659" t="str">
            <v>ja</v>
          </cell>
          <cell r="C1659" t="str">
            <v>鏡音リン</v>
          </cell>
          <cell r="D1659" t="str">
            <v>鏡音リン</v>
          </cell>
          <cell r="E1659" t="str">
            <v>執行者</v>
          </cell>
          <cell r="F1659" t="str">
            <v>格好いい</v>
          </cell>
          <cell r="G1659" t="str">
            <v>男性</v>
          </cell>
          <cell r="H1659" t="str">
            <v>yellow</v>
          </cell>
          <cell r="I1659">
            <v>4</v>
          </cell>
          <cell r="J1659" t="str">
            <v>PremiumSS</v>
          </cell>
          <cell r="K1659" t="str">
            <v>balance</v>
          </cell>
          <cell r="L1659" t="str">
            <v>バランスタイプ</v>
          </cell>
          <cell r="M1659" t="str">
            <v>unknown</v>
          </cell>
          <cell r="N1659" t="str">
            <v>Unknown</v>
          </cell>
          <cell r="O1659" t="str">
            <v>none</v>
          </cell>
          <cell r="P1659" t="str">
            <v>種族なし</v>
          </cell>
          <cell r="Q1659" t="str">
            <v>アタッカー</v>
          </cell>
          <cell r="R1659">
            <v>1</v>
          </cell>
          <cell r="S1659" t="str">
            <v>NULL</v>
          </cell>
          <cell r="T1659" t="str">
            <v>normal</v>
          </cell>
        </row>
        <row r="1660">
          <cell r="A1660">
            <v>8020</v>
          </cell>
          <cell r="B1660" t="str">
            <v>ja</v>
          </cell>
          <cell r="C1660" t="str">
            <v>鏡音リン</v>
          </cell>
          <cell r="D1660" t="str">
            <v>鏡音リン</v>
          </cell>
          <cell r="E1660" t="str">
            <v>執行者</v>
          </cell>
          <cell r="F1660" t="str">
            <v>格好いい</v>
          </cell>
          <cell r="G1660" t="str">
            <v>男性</v>
          </cell>
          <cell r="H1660" t="str">
            <v>yellow</v>
          </cell>
          <cell r="I1660">
            <v>5</v>
          </cell>
          <cell r="J1660" t="str">
            <v>PremiumSS</v>
          </cell>
          <cell r="K1660" t="str">
            <v>balance</v>
          </cell>
          <cell r="L1660" t="str">
            <v>バランスタイプ</v>
          </cell>
          <cell r="M1660" t="str">
            <v>unknown</v>
          </cell>
          <cell r="N1660" t="str">
            <v>Unknown</v>
          </cell>
          <cell r="O1660" t="str">
            <v>none</v>
          </cell>
          <cell r="P1660" t="str">
            <v>種族なし</v>
          </cell>
          <cell r="Q1660" t="str">
            <v>アタッカー</v>
          </cell>
          <cell r="R1660">
            <v>1</v>
          </cell>
          <cell r="S1660" t="str">
            <v>NULL</v>
          </cell>
          <cell r="T1660" t="str">
            <v>normal</v>
          </cell>
        </row>
        <row r="1661">
          <cell r="A1661">
            <v>8021</v>
          </cell>
          <cell r="B1661" t="str">
            <v>ja</v>
          </cell>
          <cell r="C1661" t="str">
            <v>鏡音レン</v>
          </cell>
          <cell r="D1661" t="str">
            <v>鏡音レン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4</v>
          </cell>
          <cell r="J1661" t="str">
            <v>PremiumSS</v>
          </cell>
          <cell r="K1661" t="str">
            <v>heal</v>
          </cell>
          <cell r="L1661" t="str">
            <v>回復タイプ</v>
          </cell>
          <cell r="M1661" t="str">
            <v>unknown</v>
          </cell>
          <cell r="N1661" t="str">
            <v>Unknown</v>
          </cell>
          <cell r="O1661" t="str">
            <v>none</v>
          </cell>
          <cell r="P1661" t="str">
            <v>種族なし</v>
          </cell>
          <cell r="Q1661" t="str">
            <v>アタッカー</v>
          </cell>
          <cell r="R1661">
            <v>1</v>
          </cell>
          <cell r="S1661" t="str">
            <v>NULL</v>
          </cell>
          <cell r="T1661" t="str">
            <v>normal</v>
          </cell>
        </row>
        <row r="1662">
          <cell r="A1662">
            <v>8022</v>
          </cell>
          <cell r="B1662" t="str">
            <v>ja</v>
          </cell>
          <cell r="C1662" t="str">
            <v>鏡音レン</v>
          </cell>
          <cell r="D1662" t="str">
            <v>鏡音レン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5</v>
          </cell>
          <cell r="J1662" t="str">
            <v>PremiumSS</v>
          </cell>
          <cell r="K1662" t="str">
            <v>heal</v>
          </cell>
          <cell r="L1662" t="str">
            <v>回復タイプ</v>
          </cell>
          <cell r="M1662" t="str">
            <v>unknown</v>
          </cell>
          <cell r="N1662" t="str">
            <v>Unknown</v>
          </cell>
          <cell r="O1662" t="str">
            <v>none</v>
          </cell>
          <cell r="P1662" t="str">
            <v>種族なし</v>
          </cell>
          <cell r="Q1662" t="str">
            <v>アタッカー</v>
          </cell>
          <cell r="R1662">
            <v>1</v>
          </cell>
          <cell r="S1662" t="str">
            <v>NULL</v>
          </cell>
          <cell r="T1662" t="str">
            <v>normal</v>
          </cell>
        </row>
        <row r="1663">
          <cell r="A1663">
            <v>8023</v>
          </cell>
          <cell r="B1663" t="str">
            <v>ja</v>
          </cell>
          <cell r="C1663" t="str">
            <v>巡音ルカ</v>
          </cell>
          <cell r="D1663" t="str">
            <v>巡音ルカ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red</v>
          </cell>
          <cell r="I1663">
            <v>3</v>
          </cell>
          <cell r="J1663" t="str">
            <v>PremiumS</v>
          </cell>
          <cell r="K1663" t="str">
            <v>attack</v>
          </cell>
          <cell r="L1663" t="str">
            <v>攻撃タイプ</v>
          </cell>
          <cell r="M1663" t="str">
            <v>unknown</v>
          </cell>
          <cell r="N1663" t="str">
            <v>Unknown</v>
          </cell>
          <cell r="O1663" t="str">
            <v>none</v>
          </cell>
          <cell r="P1663" t="str">
            <v>種族なし</v>
          </cell>
          <cell r="Q1663" t="str">
            <v>アタッカー</v>
          </cell>
          <cell r="R1663">
            <v>1</v>
          </cell>
          <cell r="S1663" t="str">
            <v>NULL</v>
          </cell>
          <cell r="T1663" t="str">
            <v>normal</v>
          </cell>
        </row>
        <row r="1664">
          <cell r="A1664">
            <v>8024</v>
          </cell>
          <cell r="B1664" t="str">
            <v>ja</v>
          </cell>
          <cell r="C1664" t="str">
            <v>巡音ルカ</v>
          </cell>
          <cell r="D1664" t="str">
            <v>巡音ルカ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red</v>
          </cell>
          <cell r="I1664">
            <v>4</v>
          </cell>
          <cell r="J1664" t="str">
            <v>PremiumS</v>
          </cell>
          <cell r="K1664" t="str">
            <v>attack</v>
          </cell>
          <cell r="L1664" t="str">
            <v>攻撃タイプ</v>
          </cell>
          <cell r="M1664" t="str">
            <v>unknown</v>
          </cell>
          <cell r="N1664" t="str">
            <v>Unknown</v>
          </cell>
          <cell r="O1664" t="str">
            <v>none</v>
          </cell>
          <cell r="P1664" t="str">
            <v>種族なし</v>
          </cell>
          <cell r="Q1664" t="str">
            <v>アタッカー</v>
          </cell>
          <cell r="R1664">
            <v>1</v>
          </cell>
          <cell r="S1664" t="str">
            <v>NULL</v>
          </cell>
          <cell r="T1664" t="str">
            <v>normal</v>
          </cell>
        </row>
        <row r="1665">
          <cell r="A1665">
            <v>8025</v>
          </cell>
          <cell r="B1665" t="str">
            <v>ja</v>
          </cell>
          <cell r="C1665" t="str">
            <v>MEIKO</v>
          </cell>
          <cell r="D1665" t="str">
            <v>MEIKO</v>
          </cell>
          <cell r="E1665" t="str">
            <v>執行者</v>
          </cell>
          <cell r="F1665" t="str">
            <v>格好いい</v>
          </cell>
          <cell r="G1665" t="str">
            <v>男性</v>
          </cell>
          <cell r="H1665" t="str">
            <v>red</v>
          </cell>
          <cell r="I1665">
            <v>3</v>
          </cell>
          <cell r="J1665" t="str">
            <v>PremiumS</v>
          </cell>
          <cell r="K1665" t="str">
            <v>hp</v>
          </cell>
          <cell r="L1665" t="str">
            <v>体力タイプ</v>
          </cell>
          <cell r="M1665" t="str">
            <v>unknown</v>
          </cell>
          <cell r="N1665" t="str">
            <v>Unknown</v>
          </cell>
          <cell r="O1665" t="str">
            <v>none</v>
          </cell>
          <cell r="P1665" t="str">
            <v>種族なし</v>
          </cell>
          <cell r="Q1665" t="str">
            <v>アタッカー</v>
          </cell>
          <cell r="R1665">
            <v>1</v>
          </cell>
          <cell r="S1665" t="str">
            <v>NULL</v>
          </cell>
          <cell r="T1665" t="str">
            <v>normal</v>
          </cell>
        </row>
        <row r="1666">
          <cell r="A1666">
            <v>8026</v>
          </cell>
          <cell r="B1666" t="str">
            <v>ja</v>
          </cell>
          <cell r="C1666" t="str">
            <v>MEIKO</v>
          </cell>
          <cell r="D1666" t="str">
            <v>MEIKO</v>
          </cell>
          <cell r="E1666" t="str">
            <v>執行者</v>
          </cell>
          <cell r="F1666" t="str">
            <v>格好いい</v>
          </cell>
          <cell r="G1666" t="str">
            <v>男性</v>
          </cell>
          <cell r="H1666" t="str">
            <v>red</v>
          </cell>
          <cell r="I1666">
            <v>4</v>
          </cell>
          <cell r="J1666" t="str">
            <v>PremiumS</v>
          </cell>
          <cell r="K1666" t="str">
            <v>hp</v>
          </cell>
          <cell r="L1666" t="str">
            <v>体力タイプ</v>
          </cell>
          <cell r="M1666" t="str">
            <v>unknown</v>
          </cell>
          <cell r="N1666" t="str">
            <v>Unknown</v>
          </cell>
          <cell r="O1666" t="str">
            <v>none</v>
          </cell>
          <cell r="P1666" t="str">
            <v>種族なし</v>
          </cell>
          <cell r="Q1666" t="str">
            <v>アタッカー</v>
          </cell>
          <cell r="R1666">
            <v>1</v>
          </cell>
          <cell r="S1666" t="str">
            <v>NULL</v>
          </cell>
          <cell r="T1666" t="str">
            <v>normal</v>
          </cell>
        </row>
        <row r="1667">
          <cell r="A1667">
            <v>8027</v>
          </cell>
          <cell r="B1667" t="str">
            <v>ja</v>
          </cell>
          <cell r="C1667" t="str">
            <v>KAITO</v>
          </cell>
          <cell r="D1667" t="str">
            <v>KAITO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blue</v>
          </cell>
          <cell r="I1667">
            <v>3</v>
          </cell>
          <cell r="J1667" t="str">
            <v>PremiumS</v>
          </cell>
          <cell r="K1667" t="str">
            <v>technical</v>
          </cell>
          <cell r="L1667" t="str">
            <v>テクニカルタイプ</v>
          </cell>
          <cell r="M1667" t="str">
            <v>unknown</v>
          </cell>
          <cell r="N1667" t="str">
            <v>Unknown</v>
          </cell>
          <cell r="O1667" t="str">
            <v>none</v>
          </cell>
          <cell r="P1667" t="str">
            <v>種族なし</v>
          </cell>
          <cell r="Q1667" t="str">
            <v>アタッカー</v>
          </cell>
          <cell r="R1667">
            <v>1</v>
          </cell>
          <cell r="S1667" t="str">
            <v>NULL</v>
          </cell>
          <cell r="T1667" t="str">
            <v>normal</v>
          </cell>
        </row>
        <row r="1668">
          <cell r="A1668">
            <v>8028</v>
          </cell>
          <cell r="B1668" t="str">
            <v>ja</v>
          </cell>
          <cell r="C1668" t="str">
            <v>KAITO</v>
          </cell>
          <cell r="D1668" t="str">
            <v>KAITO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4</v>
          </cell>
          <cell r="J1668" t="str">
            <v>PremiumS</v>
          </cell>
          <cell r="K1668" t="str">
            <v>technical</v>
          </cell>
          <cell r="L1668" t="str">
            <v>テクニカルタイプ</v>
          </cell>
          <cell r="M1668" t="str">
            <v>unknown</v>
          </cell>
          <cell r="N1668" t="str">
            <v>Unknown</v>
          </cell>
          <cell r="O1668" t="str">
            <v>none</v>
          </cell>
          <cell r="P1668" t="str">
            <v>種族なし</v>
          </cell>
          <cell r="Q1668" t="str">
            <v>アタッカー</v>
          </cell>
          <cell r="R1668">
            <v>1</v>
          </cell>
          <cell r="S1668" t="str">
            <v>NULL</v>
          </cell>
          <cell r="T1668" t="str">
            <v>normal</v>
          </cell>
        </row>
        <row r="1669">
          <cell r="A1669">
            <v>8029</v>
          </cell>
          <cell r="B1669" t="str">
            <v>ja</v>
          </cell>
          <cell r="C1669" t="str">
            <v>Expoミク</v>
          </cell>
          <cell r="D1669" t="str">
            <v>Expoミク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4</v>
          </cell>
          <cell r="J1669" t="str">
            <v>Drop2N</v>
          </cell>
          <cell r="K1669" t="str">
            <v>heal</v>
          </cell>
          <cell r="L1669" t="str">
            <v>回復タイプ</v>
          </cell>
          <cell r="M1669" t="str">
            <v>unknown</v>
          </cell>
          <cell r="N1669" t="str">
            <v>Unknown</v>
          </cell>
          <cell r="O1669" t="str">
            <v>none</v>
          </cell>
          <cell r="P1669" t="str">
            <v>種族なし</v>
          </cell>
          <cell r="Q1669" t="str">
            <v>アタッカー</v>
          </cell>
          <cell r="R1669">
            <v>1</v>
          </cell>
          <cell r="S1669" t="str">
            <v>NULL</v>
          </cell>
          <cell r="T1669" t="str">
            <v>normal</v>
          </cell>
        </row>
        <row r="1670">
          <cell r="A1670">
            <v>8030</v>
          </cell>
          <cell r="B1670" t="str">
            <v>ja</v>
          </cell>
          <cell r="C1670" t="str">
            <v>Expoミク</v>
          </cell>
          <cell r="D1670" t="str">
            <v>Expoミク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blue</v>
          </cell>
          <cell r="I1670">
            <v>5</v>
          </cell>
          <cell r="J1670" t="str">
            <v>Drop2N</v>
          </cell>
          <cell r="K1670" t="str">
            <v>heal</v>
          </cell>
          <cell r="L1670" t="str">
            <v>回復タイプ</v>
          </cell>
          <cell r="M1670" t="str">
            <v>unknown</v>
          </cell>
          <cell r="N1670" t="str">
            <v>Unknown</v>
          </cell>
          <cell r="O1670" t="str">
            <v>none</v>
          </cell>
          <cell r="P1670" t="str">
            <v>種族なし</v>
          </cell>
          <cell r="Q1670" t="str">
            <v>アタッカー</v>
          </cell>
          <cell r="R1670">
            <v>1</v>
          </cell>
          <cell r="S1670" t="str">
            <v>NULL</v>
          </cell>
          <cell r="T1670" t="str">
            <v>normal</v>
          </cell>
        </row>
        <row r="1671">
          <cell r="A1671">
            <v>8031</v>
          </cell>
          <cell r="B1671" t="str">
            <v>ja</v>
          </cell>
          <cell r="C1671" t="str">
            <v>閻羅王</v>
          </cell>
          <cell r="D1671" t="str">
            <v>Expoミク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5</v>
          </cell>
          <cell r="J1671" t="str">
            <v>PremiumSS</v>
          </cell>
          <cell r="K1671" t="str">
            <v>balance</v>
          </cell>
          <cell r="L1671" t="str">
            <v>バランスタイプ</v>
          </cell>
          <cell r="M1671" t="str">
            <v>god</v>
          </cell>
          <cell r="N1671" t="str">
            <v>ゴッド</v>
          </cell>
          <cell r="O1671" t="str">
            <v>machine</v>
          </cell>
          <cell r="P1671" t="str">
            <v>マシン</v>
          </cell>
          <cell r="Q1671" t="str">
            <v>アタッカー</v>
          </cell>
          <cell r="R1671">
            <v>3</v>
          </cell>
          <cell r="S1671" t="str">
            <v>NULL</v>
          </cell>
          <cell r="T1671" t="str">
            <v>normal</v>
          </cell>
        </row>
        <row r="1672">
          <cell r="A1672">
            <v>8032</v>
          </cell>
          <cell r="B1672" t="str">
            <v>ja</v>
          </cell>
          <cell r="C1672" t="str">
            <v>六道輪廻の絶獄 閻羅王</v>
          </cell>
          <cell r="D1672" t="str">
            <v>Expoミク</v>
          </cell>
          <cell r="E1672" t="str">
            <v>執行者</v>
          </cell>
          <cell r="F1672" t="str">
            <v>格好いい</v>
          </cell>
          <cell r="G1672" t="str">
            <v>女性</v>
          </cell>
          <cell r="H1672" t="str">
            <v>red</v>
          </cell>
          <cell r="I1672">
            <v>6</v>
          </cell>
          <cell r="J1672" t="str">
            <v>PremiumSS</v>
          </cell>
          <cell r="K1672" t="str">
            <v>balance</v>
          </cell>
          <cell r="L1672" t="str">
            <v>バランスタイプ</v>
          </cell>
          <cell r="M1672" t="str">
            <v>god</v>
          </cell>
          <cell r="N1672" t="str">
            <v>ゴッド</v>
          </cell>
          <cell r="O1672" t="str">
            <v>machine</v>
          </cell>
          <cell r="P1672" t="str">
            <v>マシン</v>
          </cell>
          <cell r="Q1672" t="str">
            <v>アタッカー</v>
          </cell>
          <cell r="R1672">
            <v>3</v>
          </cell>
          <cell r="S1672" t="str">
            <v>NULL</v>
          </cell>
          <cell r="T1672" t="str">
            <v>normal</v>
          </cell>
        </row>
        <row r="1673">
          <cell r="A1673">
            <v>8033</v>
          </cell>
          <cell r="B1673" t="str">
            <v>ja</v>
          </cell>
          <cell r="C1673" t="str">
            <v>牛頭馬面</v>
          </cell>
          <cell r="D1673" t="str">
            <v>Expoミク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green</v>
          </cell>
          <cell r="I1673">
            <v>5</v>
          </cell>
          <cell r="J1673" t="str">
            <v>DropWizS</v>
          </cell>
          <cell r="K1673" t="str">
            <v>attack</v>
          </cell>
          <cell r="L1673" t="str">
            <v>攻撃タイプ</v>
          </cell>
          <cell r="M1673" t="str">
            <v>god</v>
          </cell>
          <cell r="N1673" t="str">
            <v>ゴッド</v>
          </cell>
          <cell r="O1673" t="str">
            <v>animal</v>
          </cell>
          <cell r="P1673" t="str">
            <v>アニマル</v>
          </cell>
          <cell r="Q1673" t="str">
            <v>アタッカー</v>
          </cell>
          <cell r="R1673">
            <v>3</v>
          </cell>
          <cell r="S1673" t="str">
            <v>NULL</v>
          </cell>
          <cell r="T1673" t="str">
            <v>normal</v>
          </cell>
        </row>
        <row r="1674">
          <cell r="A1674">
            <v>8034</v>
          </cell>
          <cell r="B1674" t="str">
            <v>ja</v>
          </cell>
          <cell r="C1674" t="str">
            <v>冥府狩る魂使 牛頭馬面</v>
          </cell>
          <cell r="D1674" t="str">
            <v>Expoミク</v>
          </cell>
          <cell r="E1674" t="str">
            <v>執行者</v>
          </cell>
          <cell r="F1674" t="str">
            <v>格好いい</v>
          </cell>
          <cell r="G1674" t="str">
            <v>女性</v>
          </cell>
          <cell r="H1674" t="str">
            <v>green</v>
          </cell>
          <cell r="I1674">
            <v>6</v>
          </cell>
          <cell r="J1674" t="str">
            <v>DropWizS</v>
          </cell>
          <cell r="K1674" t="str">
            <v>attack</v>
          </cell>
          <cell r="L1674" t="str">
            <v>攻撃タイプ</v>
          </cell>
          <cell r="M1674" t="str">
            <v>god</v>
          </cell>
          <cell r="N1674" t="str">
            <v>ゴッド</v>
          </cell>
          <cell r="O1674" t="str">
            <v>animal</v>
          </cell>
          <cell r="P1674" t="str">
            <v>アニマル</v>
          </cell>
          <cell r="Q1674" t="str">
            <v>アタッカー</v>
          </cell>
          <cell r="R1674">
            <v>3</v>
          </cell>
          <cell r="S1674" t="str">
            <v>NULL</v>
          </cell>
          <cell r="T1674" t="str">
            <v>normal</v>
          </cell>
        </row>
        <row r="1675">
          <cell r="A1675">
            <v>8035</v>
          </cell>
          <cell r="B1675" t="str">
            <v>ja</v>
          </cell>
          <cell r="C1675" t="str">
            <v>飛衛</v>
          </cell>
          <cell r="D1675" t="str">
            <v>Expoミク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blue</v>
          </cell>
          <cell r="I1675">
            <v>5</v>
          </cell>
          <cell r="J1675" t="str">
            <v>PremiumSS</v>
          </cell>
          <cell r="K1675" t="str">
            <v>heal</v>
          </cell>
          <cell r="L1675" t="str">
            <v>回復タイプ</v>
          </cell>
          <cell r="M1675" t="str">
            <v>human</v>
          </cell>
          <cell r="N1675" t="str">
            <v>ヒューマン</v>
          </cell>
          <cell r="O1675" t="str">
            <v>none</v>
          </cell>
          <cell r="P1675" t="str">
            <v>種族なし</v>
          </cell>
          <cell r="Q1675" t="str">
            <v>アタッカー</v>
          </cell>
          <cell r="R1675">
            <v>1</v>
          </cell>
          <cell r="S1675" t="str">
            <v>NULL</v>
          </cell>
          <cell r="T1675" t="str">
            <v>normal</v>
          </cell>
        </row>
        <row r="1676">
          <cell r="A1676">
            <v>8036</v>
          </cell>
          <cell r="B1676" t="str">
            <v>ja</v>
          </cell>
          <cell r="C1676" t="str">
            <v>レア６飛衛</v>
          </cell>
          <cell r="D1676" t="str">
            <v>Expoミク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blue</v>
          </cell>
          <cell r="I1676">
            <v>6</v>
          </cell>
          <cell r="J1676" t="str">
            <v>PremiumSS</v>
          </cell>
          <cell r="K1676" t="str">
            <v>heal</v>
          </cell>
          <cell r="L1676" t="str">
            <v>回復タイプ</v>
          </cell>
          <cell r="M1676" t="str">
            <v>human</v>
          </cell>
          <cell r="N1676" t="str">
            <v>ヒューマン</v>
          </cell>
          <cell r="O1676" t="str">
            <v>none</v>
          </cell>
          <cell r="P1676" t="str">
            <v>種族なし</v>
          </cell>
          <cell r="Q1676" t="str">
            <v>アタッカー</v>
          </cell>
          <cell r="R1676">
            <v>1</v>
          </cell>
          <cell r="S1676" t="str">
            <v>NULL</v>
          </cell>
          <cell r="T1676" t="str">
            <v>normal</v>
          </cell>
        </row>
        <row r="1677">
          <cell r="A1677">
            <v>8037</v>
          </cell>
          <cell r="B1677" t="str">
            <v>ja</v>
          </cell>
          <cell r="C1677" t="str">
            <v>紀昌</v>
          </cell>
          <cell r="D1677" t="str">
            <v>Expoミク</v>
          </cell>
          <cell r="E1677" t="str">
            <v>執行者</v>
          </cell>
          <cell r="F1677" t="str">
            <v>格好いい</v>
          </cell>
          <cell r="G1677" t="str">
            <v>女性</v>
          </cell>
          <cell r="H1677" t="str">
            <v>red</v>
          </cell>
          <cell r="I1677">
            <v>5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human</v>
          </cell>
          <cell r="N1677" t="str">
            <v>ヒューマン</v>
          </cell>
          <cell r="O1677" t="str">
            <v>machine</v>
          </cell>
          <cell r="P1677" t="str">
            <v>マシン</v>
          </cell>
          <cell r="Q1677" t="str">
            <v>アタッカー</v>
          </cell>
          <cell r="R1677">
            <v>1</v>
          </cell>
          <cell r="S1677" t="str">
            <v>NULL</v>
          </cell>
          <cell r="T1677" t="str">
            <v>normal</v>
          </cell>
        </row>
        <row r="1678">
          <cell r="A1678">
            <v>8038</v>
          </cell>
          <cell r="B1678" t="str">
            <v>ja</v>
          </cell>
          <cell r="C1678" t="str">
            <v>レア６紀昌</v>
          </cell>
          <cell r="D1678" t="str">
            <v>Expoミク</v>
          </cell>
          <cell r="E1678" t="str">
            <v>執行者</v>
          </cell>
          <cell r="F1678" t="str">
            <v>格好いい</v>
          </cell>
          <cell r="G1678" t="str">
            <v>女性</v>
          </cell>
          <cell r="H1678" t="str">
            <v>red</v>
          </cell>
          <cell r="I1678">
            <v>6</v>
          </cell>
          <cell r="J1678" t="str">
            <v>DropWizS</v>
          </cell>
          <cell r="K1678" t="str">
            <v>attack</v>
          </cell>
          <cell r="L1678" t="str">
            <v>攻撃タイプ</v>
          </cell>
          <cell r="M1678" t="str">
            <v>human</v>
          </cell>
          <cell r="N1678" t="str">
            <v>ヒューマン</v>
          </cell>
          <cell r="O1678" t="str">
            <v>machine</v>
          </cell>
          <cell r="P1678" t="str">
            <v>マシン</v>
          </cell>
          <cell r="Q1678" t="str">
            <v>アタッカー</v>
          </cell>
          <cell r="R1678">
            <v>1</v>
          </cell>
          <cell r="S1678" t="str">
            <v>NULL</v>
          </cell>
          <cell r="T1678" t="str">
            <v>normal</v>
          </cell>
        </row>
        <row r="1679">
          <cell r="A1679">
            <v>8039</v>
          </cell>
          <cell r="B1679" t="str">
            <v>ja</v>
          </cell>
          <cell r="C1679" t="str">
            <v>何仙姑</v>
          </cell>
          <cell r="D1679" t="str">
            <v>Expoミク</v>
          </cell>
          <cell r="E1679" t="str">
            <v>執行者</v>
          </cell>
          <cell r="F1679" t="str">
            <v>格好いい</v>
          </cell>
          <cell r="G1679" t="str">
            <v>女性</v>
          </cell>
          <cell r="H1679" t="str">
            <v>yellow</v>
          </cell>
          <cell r="I1679">
            <v>5</v>
          </cell>
          <cell r="J1679" t="str">
            <v>PremiumSSw</v>
          </cell>
          <cell r="K1679" t="str">
            <v>hp</v>
          </cell>
          <cell r="L1679" t="str">
            <v>体力タイプ</v>
          </cell>
          <cell r="M1679" t="str">
            <v>god</v>
          </cell>
          <cell r="N1679" t="str">
            <v>ゴッド</v>
          </cell>
          <cell r="O1679" t="str">
            <v>none</v>
          </cell>
          <cell r="P1679" t="str">
            <v>種族なし</v>
          </cell>
          <cell r="Q1679" t="str">
            <v>アタッカー</v>
          </cell>
          <cell r="R1679">
            <v>3</v>
          </cell>
          <cell r="S1679" t="str">
            <v>NULL</v>
          </cell>
          <cell r="T1679" t="str">
            <v>normal</v>
          </cell>
        </row>
        <row r="1680">
          <cell r="A1680">
            <v>8040</v>
          </cell>
          <cell r="B1680" t="str">
            <v>ja</v>
          </cell>
          <cell r="C1680" t="str">
            <v>荷咲く九天 何仙姑</v>
          </cell>
          <cell r="D1680" t="str">
            <v>Expoミク</v>
          </cell>
          <cell r="E1680" t="str">
            <v>執行者</v>
          </cell>
          <cell r="F1680" t="str">
            <v>格好いい</v>
          </cell>
          <cell r="G1680" t="str">
            <v>女性</v>
          </cell>
          <cell r="H1680" t="str">
            <v>yellow</v>
          </cell>
          <cell r="I1680">
            <v>6</v>
          </cell>
          <cell r="J1680" t="str">
            <v>PremiumSSw</v>
          </cell>
          <cell r="K1680" t="str">
            <v>hp</v>
          </cell>
          <cell r="L1680" t="str">
            <v>体力タイプ</v>
          </cell>
          <cell r="M1680" t="str">
            <v>god</v>
          </cell>
          <cell r="N1680" t="str">
            <v>ゴッド</v>
          </cell>
          <cell r="O1680" t="str">
            <v>none</v>
          </cell>
          <cell r="P1680" t="str">
            <v>種族なし</v>
          </cell>
          <cell r="Q1680" t="str">
            <v>アタッカー</v>
          </cell>
          <cell r="R1680">
            <v>3</v>
          </cell>
          <cell r="S1680" t="str">
            <v>NULL</v>
          </cell>
          <cell r="T1680" t="str">
            <v>normal</v>
          </cell>
        </row>
        <row r="1681">
          <cell r="A1681">
            <v>8041</v>
          </cell>
          <cell r="B1681" t="str">
            <v>ja</v>
          </cell>
          <cell r="C1681" t="str">
            <v>藍采和</v>
          </cell>
          <cell r="D1681" t="str">
            <v>Expoミク</v>
          </cell>
          <cell r="E1681" t="str">
            <v>執行者</v>
          </cell>
          <cell r="F1681" t="str">
            <v>格好いい</v>
          </cell>
          <cell r="G1681" t="str">
            <v>女性</v>
          </cell>
          <cell r="H1681" t="str">
            <v>blue</v>
          </cell>
          <cell r="I1681">
            <v>5</v>
          </cell>
          <cell r="J1681" t="str">
            <v>DropWizS</v>
          </cell>
          <cell r="K1681" t="str">
            <v>balance</v>
          </cell>
          <cell r="L1681" t="str">
            <v>バランスタイプ</v>
          </cell>
          <cell r="M1681" t="str">
            <v>god</v>
          </cell>
          <cell r="N1681" t="str">
            <v>ゴッド</v>
          </cell>
          <cell r="O1681" t="str">
            <v>none</v>
          </cell>
          <cell r="P1681" t="str">
            <v>種族なし</v>
          </cell>
          <cell r="Q1681" t="str">
            <v>アタッカー</v>
          </cell>
          <cell r="R1681">
            <v>3</v>
          </cell>
          <cell r="S1681" t="str">
            <v>NULL</v>
          </cell>
          <cell r="T1681" t="str">
            <v>normal</v>
          </cell>
        </row>
        <row r="1682">
          <cell r="A1682">
            <v>8042</v>
          </cell>
          <cell r="B1682" t="str">
            <v>ja</v>
          </cell>
          <cell r="C1682" t="str">
            <v>天真浪漫 藍采和</v>
          </cell>
          <cell r="D1682" t="str">
            <v>Expoミク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blue</v>
          </cell>
          <cell r="I1682">
            <v>6</v>
          </cell>
          <cell r="J1682" t="str">
            <v>DropWizS</v>
          </cell>
          <cell r="K1682" t="str">
            <v>balance</v>
          </cell>
          <cell r="L1682" t="str">
            <v>バランスタイプ</v>
          </cell>
          <cell r="M1682" t="str">
            <v>god</v>
          </cell>
          <cell r="N1682" t="str">
            <v>ゴッド</v>
          </cell>
          <cell r="O1682" t="str">
            <v>none</v>
          </cell>
          <cell r="P1682" t="str">
            <v>種族なし</v>
          </cell>
          <cell r="Q1682" t="str">
            <v>アタッカー</v>
          </cell>
          <cell r="R1682">
            <v>3</v>
          </cell>
          <cell r="S1682" t="str">
            <v>NULL</v>
          </cell>
          <cell r="T1682" t="str">
            <v>normal</v>
          </cell>
        </row>
        <row r="1683">
          <cell r="A1683">
            <v>8043</v>
          </cell>
          <cell r="B1683" t="str">
            <v>ja</v>
          </cell>
          <cell r="C1683" t="str">
            <v>サンリオキャラ大集合+アザゼル</v>
          </cell>
          <cell r="D1683" t="str">
            <v>サンリオキャラ大集合+アザゼル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green</v>
          </cell>
          <cell r="I1683">
            <v>5</v>
          </cell>
          <cell r="J1683" t="str">
            <v>DropWizS</v>
          </cell>
          <cell r="K1683" t="str">
            <v>technical</v>
          </cell>
          <cell r="L1683" t="str">
            <v>テクニカルタイプ</v>
          </cell>
          <cell r="M1683" t="str">
            <v>ss</v>
          </cell>
          <cell r="N1683" t="str">
            <v>サンリオキャラクターズ</v>
          </cell>
          <cell r="O1683" t="str">
            <v>none</v>
          </cell>
          <cell r="P1683" t="str">
            <v>種族なし</v>
          </cell>
          <cell r="Q1683" t="str">
            <v>アタッカー</v>
          </cell>
          <cell r="R1683">
            <v>1</v>
          </cell>
          <cell r="S1683" t="str">
            <v>NULL</v>
          </cell>
          <cell r="T1683" t="str">
            <v>normal</v>
          </cell>
        </row>
        <row r="1684">
          <cell r="A1684">
            <v>8044</v>
          </cell>
          <cell r="B1684" t="str">
            <v>ja</v>
          </cell>
          <cell r="C1684" t="str">
            <v>サンリオキャラ大集合+アザゼル</v>
          </cell>
          <cell r="D1684" t="str">
            <v>サンリオキャラ大集合+アザゼル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green</v>
          </cell>
          <cell r="I1684">
            <v>6</v>
          </cell>
          <cell r="J1684" t="str">
            <v>DropWizS</v>
          </cell>
          <cell r="K1684" t="str">
            <v>technical</v>
          </cell>
          <cell r="L1684" t="str">
            <v>テクニカルタイプ</v>
          </cell>
          <cell r="M1684" t="str">
            <v>ss</v>
          </cell>
          <cell r="N1684" t="str">
            <v>サンリオキャラクターズ</v>
          </cell>
          <cell r="O1684" t="str">
            <v>none</v>
          </cell>
          <cell r="P1684" t="str">
            <v>種族なし</v>
          </cell>
          <cell r="Q1684" t="str">
            <v>アタッカー</v>
          </cell>
          <cell r="R1684">
            <v>1</v>
          </cell>
          <cell r="S1684" t="str">
            <v>NULL</v>
          </cell>
          <cell r="T1684" t="str">
            <v>normal</v>
          </cell>
        </row>
        <row r="1685">
          <cell r="A1685">
            <v>8045</v>
          </cell>
          <cell r="B1685" t="str">
            <v>ja</v>
          </cell>
          <cell r="C1685" t="str">
            <v>ニムダ_サンリオキャラ混じり</v>
          </cell>
          <cell r="D1685" t="str">
            <v>ニムダ_サンリオキャラ混じり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4</v>
          </cell>
          <cell r="J1685" t="str">
            <v>Drop2N</v>
          </cell>
          <cell r="K1685" t="str">
            <v>technical</v>
          </cell>
          <cell r="L1685" t="str">
            <v>テクニカルタイプ</v>
          </cell>
          <cell r="M1685" t="str">
            <v>ss</v>
          </cell>
          <cell r="N1685" t="str">
            <v>サンリオキャラクターズ</v>
          </cell>
          <cell r="O1685" t="str">
            <v>none</v>
          </cell>
          <cell r="P1685" t="str">
            <v>種族なし</v>
          </cell>
          <cell r="Q1685" t="str">
            <v>アタッカー</v>
          </cell>
          <cell r="R1685">
            <v>1</v>
          </cell>
          <cell r="S1685" t="str">
            <v>NULL</v>
          </cell>
          <cell r="T1685" t="str">
            <v>normal</v>
          </cell>
        </row>
        <row r="1686">
          <cell r="A1686">
            <v>8046</v>
          </cell>
          <cell r="B1686" t="str">
            <v>ja</v>
          </cell>
          <cell r="C1686" t="str">
            <v>ニムダ_サンリオキャラ混じり</v>
          </cell>
          <cell r="D1686" t="str">
            <v>ニムダ_サンリオキャラ混じり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yellow</v>
          </cell>
          <cell r="I1686">
            <v>5</v>
          </cell>
          <cell r="J1686" t="str">
            <v>Drop2N</v>
          </cell>
          <cell r="K1686" t="str">
            <v>technical</v>
          </cell>
          <cell r="L1686" t="str">
            <v>テクニカルタイプ</v>
          </cell>
          <cell r="M1686" t="str">
            <v>ss</v>
          </cell>
          <cell r="N1686" t="str">
            <v>サンリオキャラクターズ</v>
          </cell>
          <cell r="O1686" t="str">
            <v>none</v>
          </cell>
          <cell r="P1686" t="str">
            <v>種族なし</v>
          </cell>
          <cell r="Q1686" t="str">
            <v>アタッカー</v>
          </cell>
          <cell r="R1686">
            <v>1</v>
          </cell>
          <cell r="S1686" t="str">
            <v>NULL</v>
          </cell>
          <cell r="T1686" t="str">
            <v>normal</v>
          </cell>
        </row>
        <row r="1687">
          <cell r="A1687">
            <v>8047</v>
          </cell>
          <cell r="B1687" t="str">
            <v>ja</v>
          </cell>
          <cell r="C1687" t="str">
            <v>ハローキティ</v>
          </cell>
          <cell r="D1687" t="str">
            <v>ハローキティ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red</v>
          </cell>
          <cell r="I1687">
            <v>4</v>
          </cell>
          <cell r="J1687" t="str">
            <v>Drop2N</v>
          </cell>
          <cell r="K1687" t="str">
            <v>balance</v>
          </cell>
          <cell r="L1687" t="str">
            <v>バランスタイプ</v>
          </cell>
          <cell r="M1687" t="str">
            <v>ss</v>
          </cell>
          <cell r="N1687" t="str">
            <v>サンリオキャラクターズ</v>
          </cell>
          <cell r="O1687" t="str">
            <v>none</v>
          </cell>
          <cell r="P1687" t="str">
            <v>種族なし</v>
          </cell>
          <cell r="Q1687" t="str">
            <v>アタッカー</v>
          </cell>
          <cell r="R1687">
            <v>1</v>
          </cell>
          <cell r="S1687" t="str">
            <v>NULL</v>
          </cell>
          <cell r="T1687" t="str">
            <v>normal</v>
          </cell>
        </row>
        <row r="1688">
          <cell r="A1688">
            <v>8048</v>
          </cell>
          <cell r="B1688" t="str">
            <v>ja</v>
          </cell>
          <cell r="C1688" t="str">
            <v>ハローキティ</v>
          </cell>
          <cell r="D1688" t="str">
            <v>ハローキティ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red</v>
          </cell>
          <cell r="I1688">
            <v>5</v>
          </cell>
          <cell r="J1688" t="str">
            <v>Drop2N</v>
          </cell>
          <cell r="K1688" t="str">
            <v>balance</v>
          </cell>
          <cell r="L1688" t="str">
            <v>バランスタイプ</v>
          </cell>
          <cell r="M1688" t="str">
            <v>ss</v>
          </cell>
          <cell r="N1688" t="str">
            <v>サンリオキャラクターズ</v>
          </cell>
          <cell r="O1688" t="str">
            <v>none</v>
          </cell>
          <cell r="P1688" t="str">
            <v>種族なし</v>
          </cell>
          <cell r="Q1688" t="str">
            <v>アタッカー</v>
          </cell>
          <cell r="R1688">
            <v>1</v>
          </cell>
          <cell r="S1688" t="str">
            <v>NULL</v>
          </cell>
          <cell r="T1688" t="str">
            <v>normal</v>
          </cell>
        </row>
        <row r="1689">
          <cell r="A1689">
            <v>8049</v>
          </cell>
          <cell r="B1689" t="str">
            <v>ja</v>
          </cell>
          <cell r="C1689" t="str">
            <v>KIRIMIちゃん</v>
          </cell>
          <cell r="D1689" t="str">
            <v>KIRIMIちゃん</v>
          </cell>
          <cell r="E1689" t="str">
            <v>執行者</v>
          </cell>
          <cell r="F1689" t="str">
            <v>格好いい</v>
          </cell>
          <cell r="G1689" t="str">
            <v>女性</v>
          </cell>
          <cell r="H1689" t="str">
            <v>red</v>
          </cell>
          <cell r="I1689">
            <v>4</v>
          </cell>
          <cell r="J1689" t="str">
            <v>Drop2N</v>
          </cell>
          <cell r="K1689" t="str">
            <v>hp</v>
          </cell>
          <cell r="L1689" t="str">
            <v>体力タイプ</v>
          </cell>
          <cell r="M1689" t="str">
            <v>ss</v>
          </cell>
          <cell r="N1689" t="str">
            <v>サンリオキャラクターズ</v>
          </cell>
          <cell r="O1689" t="str">
            <v>none</v>
          </cell>
          <cell r="P1689" t="str">
            <v>種族なし</v>
          </cell>
          <cell r="Q1689" t="str">
            <v>アタッカー</v>
          </cell>
          <cell r="R1689">
            <v>1</v>
          </cell>
          <cell r="S1689" t="str">
            <v>NULL</v>
          </cell>
          <cell r="T1689" t="str">
            <v>normal</v>
          </cell>
        </row>
        <row r="1690">
          <cell r="A1690">
            <v>8050</v>
          </cell>
          <cell r="B1690" t="str">
            <v>ja</v>
          </cell>
          <cell r="C1690" t="str">
            <v>KIRIMIちゃん</v>
          </cell>
          <cell r="D1690" t="str">
            <v>KIRIMIちゃん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red</v>
          </cell>
          <cell r="I1690">
            <v>5</v>
          </cell>
          <cell r="J1690" t="str">
            <v>Drop2N</v>
          </cell>
          <cell r="K1690" t="str">
            <v>hp</v>
          </cell>
          <cell r="L1690" t="str">
            <v>体力タイプ</v>
          </cell>
          <cell r="M1690" t="str">
            <v>ss</v>
          </cell>
          <cell r="N1690" t="str">
            <v>サンリオキャラクターズ</v>
          </cell>
          <cell r="O1690" t="str">
            <v>none</v>
          </cell>
          <cell r="P1690" t="str">
            <v>種族なし</v>
          </cell>
          <cell r="Q1690" t="str">
            <v>アタッカー</v>
          </cell>
          <cell r="R1690">
            <v>1</v>
          </cell>
          <cell r="S1690" t="str">
            <v>NULL</v>
          </cell>
          <cell r="T1690" t="str">
            <v>normal</v>
          </cell>
        </row>
        <row r="1691">
          <cell r="A1691">
            <v>8051</v>
          </cell>
          <cell r="B1691" t="str">
            <v>ja</v>
          </cell>
          <cell r="C1691" t="str">
            <v>ハローキティのリボン</v>
          </cell>
          <cell r="D1691" t="str">
            <v>ハローキティのリボン</v>
          </cell>
          <cell r="E1691" t="str">
            <v>執行者</v>
          </cell>
          <cell r="F1691" t="str">
            <v>格好いい</v>
          </cell>
          <cell r="G1691" t="str">
            <v>女性</v>
          </cell>
          <cell r="H1691" t="str">
            <v>red</v>
          </cell>
          <cell r="I1691">
            <v>5</v>
          </cell>
          <cell r="J1691" t="str">
            <v>Drop2N</v>
          </cell>
          <cell r="K1691" t="str">
            <v>evolution</v>
          </cell>
          <cell r="L1691" t="str">
            <v>覚醒素材タイプ</v>
          </cell>
          <cell r="M1691" t="str">
            <v>ss</v>
          </cell>
          <cell r="N1691" t="str">
            <v>サンリオキャラクターズ</v>
          </cell>
          <cell r="O1691" t="str">
            <v>none</v>
          </cell>
          <cell r="P1691" t="str">
            <v>種族なし</v>
          </cell>
          <cell r="Q1691" t="str">
            <v>アタッカー</v>
          </cell>
          <cell r="R1691">
            <v>1</v>
          </cell>
          <cell r="S1691" t="str">
            <v>NULL</v>
          </cell>
          <cell r="T1691" t="str">
            <v>normal</v>
          </cell>
        </row>
        <row r="1692">
          <cell r="A1692">
            <v>8052</v>
          </cell>
          <cell r="B1692" t="str">
            <v>ja</v>
          </cell>
          <cell r="C1692" t="str">
            <v>ママの作ったアップルパイ</v>
          </cell>
          <cell r="D1692" t="str">
            <v>ママの作ったアップルパイ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red</v>
          </cell>
          <cell r="I1692">
            <v>4</v>
          </cell>
          <cell r="J1692" t="str">
            <v>Drop2N</v>
          </cell>
          <cell r="K1692" t="str">
            <v>evolution</v>
          </cell>
          <cell r="L1692" t="str">
            <v>覚醒素材タイプ</v>
          </cell>
          <cell r="M1692" t="str">
            <v>ss</v>
          </cell>
          <cell r="N1692" t="str">
            <v>サンリオキャラクターズ</v>
          </cell>
          <cell r="O1692" t="str">
            <v>none</v>
          </cell>
          <cell r="P1692" t="str">
            <v>種族なし</v>
          </cell>
          <cell r="Q1692" t="str">
            <v>アタッカー</v>
          </cell>
          <cell r="R1692">
            <v>1</v>
          </cell>
          <cell r="S1692" t="str">
            <v>NULL</v>
          </cell>
          <cell r="T1692" t="str">
            <v>normal</v>
          </cell>
        </row>
        <row r="1693">
          <cell r="A1693">
            <v>8053</v>
          </cell>
          <cell r="B1693" t="str">
            <v>ja</v>
          </cell>
          <cell r="C1693" t="str">
            <v>D.R.T.H__キティコスプレ</v>
          </cell>
          <cell r="D1693" t="str">
            <v>D.R.T.H__キティコスプレ</v>
          </cell>
          <cell r="E1693" t="str">
            <v>執行者</v>
          </cell>
          <cell r="F1693" t="str">
            <v>格好いい</v>
          </cell>
          <cell r="G1693" t="str">
            <v>女性</v>
          </cell>
          <cell r="H1693" t="str">
            <v>red</v>
          </cell>
          <cell r="I1693">
            <v>5</v>
          </cell>
          <cell r="J1693" t="str">
            <v>PremiumSS</v>
          </cell>
          <cell r="K1693" t="str">
            <v>balance</v>
          </cell>
          <cell r="L1693" t="str">
            <v>バランスタイプ</v>
          </cell>
          <cell r="M1693" t="str">
            <v>ss</v>
          </cell>
          <cell r="N1693" t="str">
            <v>サンリオキャラクターズ</v>
          </cell>
          <cell r="O1693" t="str">
            <v>none</v>
          </cell>
          <cell r="P1693" t="str">
            <v>種族なし</v>
          </cell>
          <cell r="Q1693" t="str">
            <v>アタッカー</v>
          </cell>
          <cell r="R1693">
            <v>1</v>
          </cell>
          <cell r="S1693" t="str">
            <v>NULL</v>
          </cell>
          <cell r="T1693" t="str">
            <v>normal</v>
          </cell>
        </row>
        <row r="1694">
          <cell r="A1694">
            <v>8054</v>
          </cell>
          <cell r="B1694" t="str">
            <v>ja</v>
          </cell>
          <cell r="C1694" t="str">
            <v>D.R.T.H__キティコスプレ</v>
          </cell>
          <cell r="D1694" t="str">
            <v>D.R.T.H__キティコスプレ</v>
          </cell>
          <cell r="E1694" t="str">
            <v>執行者</v>
          </cell>
          <cell r="F1694" t="str">
            <v>格好いい</v>
          </cell>
          <cell r="G1694" t="str">
            <v>女性</v>
          </cell>
          <cell r="H1694" t="str">
            <v>red</v>
          </cell>
          <cell r="I1694">
            <v>6</v>
          </cell>
          <cell r="J1694" t="str">
            <v>PremiumSS</v>
          </cell>
          <cell r="K1694" t="str">
            <v>balance</v>
          </cell>
          <cell r="L1694" t="str">
            <v>バランスタイプ</v>
          </cell>
          <cell r="M1694" t="str">
            <v>ss</v>
          </cell>
          <cell r="N1694" t="str">
            <v>サンリオキャラクターズ</v>
          </cell>
          <cell r="O1694" t="str">
            <v>none</v>
          </cell>
          <cell r="P1694" t="str">
            <v>種族なし</v>
          </cell>
          <cell r="Q1694" t="str">
            <v>アタッカー</v>
          </cell>
          <cell r="R1694">
            <v>1</v>
          </cell>
          <cell r="S1694" t="str">
            <v>NULL</v>
          </cell>
          <cell r="T1694" t="str">
            <v>normal</v>
          </cell>
        </row>
        <row r="1695">
          <cell r="A1695">
            <v>8055</v>
          </cell>
          <cell r="B1695" t="str">
            <v>ja</v>
          </cell>
          <cell r="C1695" t="str">
            <v>マイメロディ</v>
          </cell>
          <cell r="D1695" t="str">
            <v>マイメロディ</v>
          </cell>
          <cell r="E1695" t="str">
            <v>執行者</v>
          </cell>
          <cell r="F1695" t="str">
            <v>格好いい</v>
          </cell>
          <cell r="G1695" t="str">
            <v>女性</v>
          </cell>
          <cell r="H1695" t="str">
            <v>red</v>
          </cell>
          <cell r="I1695">
            <v>4</v>
          </cell>
          <cell r="J1695" t="str">
            <v>PremiumS</v>
          </cell>
          <cell r="K1695" t="str">
            <v>attack</v>
          </cell>
          <cell r="L1695" t="str">
            <v>攻撃タイプ</v>
          </cell>
          <cell r="M1695" t="str">
            <v>ss</v>
          </cell>
          <cell r="N1695" t="str">
            <v>サンリオキャラクターズ</v>
          </cell>
          <cell r="O1695" t="str">
            <v>none</v>
          </cell>
          <cell r="P1695" t="str">
            <v>種族なし</v>
          </cell>
          <cell r="Q1695" t="str">
            <v>アタッカー</v>
          </cell>
          <cell r="R1695">
            <v>1</v>
          </cell>
          <cell r="S1695" t="str">
            <v>NULL</v>
          </cell>
          <cell r="T1695" t="str">
            <v>normal</v>
          </cell>
        </row>
        <row r="1696">
          <cell r="A1696">
            <v>8056</v>
          </cell>
          <cell r="B1696" t="str">
            <v>ja</v>
          </cell>
          <cell r="C1696" t="str">
            <v>マイメロディ</v>
          </cell>
          <cell r="D1696" t="str">
            <v>マイメロディ</v>
          </cell>
          <cell r="E1696" t="str">
            <v>執行者</v>
          </cell>
          <cell r="F1696" t="str">
            <v>格好いい</v>
          </cell>
          <cell r="G1696" t="str">
            <v>女性</v>
          </cell>
          <cell r="H1696" t="str">
            <v>red</v>
          </cell>
          <cell r="I1696">
            <v>5</v>
          </cell>
          <cell r="J1696" t="str">
            <v>PremiumS</v>
          </cell>
          <cell r="K1696" t="str">
            <v>attack</v>
          </cell>
          <cell r="L1696" t="str">
            <v>攻撃タイプ</v>
          </cell>
          <cell r="M1696" t="str">
            <v>ss</v>
          </cell>
          <cell r="N1696" t="str">
            <v>サンリオキャラクターズ</v>
          </cell>
          <cell r="O1696" t="str">
            <v>none</v>
          </cell>
          <cell r="P1696" t="str">
            <v>種族なし</v>
          </cell>
          <cell r="Q1696" t="str">
            <v>アタッカー</v>
          </cell>
          <cell r="R1696">
            <v>1</v>
          </cell>
          <cell r="S1696" t="str">
            <v>NULL</v>
          </cell>
          <cell r="T1696" t="str">
            <v>normal</v>
          </cell>
        </row>
        <row r="1697">
          <cell r="A1697">
            <v>8057</v>
          </cell>
          <cell r="B1697" t="str">
            <v>ja</v>
          </cell>
          <cell r="C1697" t="str">
            <v>ニーベルゲン_シナモロールコスプレ</v>
          </cell>
          <cell r="D1697" t="str">
            <v>ニーベルゲン_シナモロールコスプレ</v>
          </cell>
          <cell r="E1697" t="str">
            <v>執行者</v>
          </cell>
          <cell r="F1697" t="str">
            <v>格好いい</v>
          </cell>
          <cell r="G1697" t="str">
            <v>女性</v>
          </cell>
          <cell r="H1697" t="str">
            <v>green</v>
          </cell>
          <cell r="I1697">
            <v>4</v>
          </cell>
          <cell r="J1697" t="str">
            <v>PremiumS</v>
          </cell>
          <cell r="K1697" t="str">
            <v>balance</v>
          </cell>
          <cell r="L1697" t="str">
            <v>バランスタイプ</v>
          </cell>
          <cell r="M1697" t="str">
            <v>ss</v>
          </cell>
          <cell r="N1697" t="str">
            <v>サンリオキャラクターズ</v>
          </cell>
          <cell r="O1697" t="str">
            <v>none</v>
          </cell>
          <cell r="P1697" t="str">
            <v>種族なし</v>
          </cell>
          <cell r="Q1697" t="str">
            <v>アタッカー</v>
          </cell>
          <cell r="R1697">
            <v>1</v>
          </cell>
          <cell r="S1697" t="str">
            <v>NULL</v>
          </cell>
          <cell r="T1697" t="str">
            <v>normal</v>
          </cell>
        </row>
        <row r="1698">
          <cell r="A1698">
            <v>8058</v>
          </cell>
          <cell r="B1698" t="str">
            <v>ja</v>
          </cell>
          <cell r="C1698" t="str">
            <v>ニーベルゲン_シナモロールコスプレ</v>
          </cell>
          <cell r="D1698" t="str">
            <v>ニーベルゲン_シナモロールコスプレ</v>
          </cell>
          <cell r="E1698" t="str">
            <v>執行者</v>
          </cell>
          <cell r="F1698" t="str">
            <v>格好いい</v>
          </cell>
          <cell r="G1698" t="str">
            <v>女性</v>
          </cell>
          <cell r="H1698" t="str">
            <v>green</v>
          </cell>
          <cell r="I1698">
            <v>5</v>
          </cell>
          <cell r="J1698" t="str">
            <v>PremiumS</v>
          </cell>
          <cell r="K1698" t="str">
            <v>balance</v>
          </cell>
          <cell r="L1698" t="str">
            <v>バランスタイプ</v>
          </cell>
          <cell r="M1698" t="str">
            <v>ss</v>
          </cell>
          <cell r="N1698" t="str">
            <v>サンリオキャラクターズ</v>
          </cell>
          <cell r="O1698" t="str">
            <v>none</v>
          </cell>
          <cell r="P1698" t="str">
            <v>種族なし</v>
          </cell>
          <cell r="Q1698" t="str">
            <v>アタッカー</v>
          </cell>
          <cell r="R1698">
            <v>1</v>
          </cell>
          <cell r="S1698" t="str">
            <v>NULL</v>
          </cell>
          <cell r="T1698" t="str">
            <v>normal</v>
          </cell>
        </row>
        <row r="1699">
          <cell r="A1699">
            <v>8059</v>
          </cell>
          <cell r="B1699" t="str">
            <v>ja</v>
          </cell>
          <cell r="C1699" t="str">
            <v>カカシ_マイメロディコスプレ</v>
          </cell>
          <cell r="D1699" t="str">
            <v>カカシ_マイメロディコスプレ</v>
          </cell>
          <cell r="E1699" t="str">
            <v>執行者</v>
          </cell>
          <cell r="F1699" t="str">
            <v>格好いい</v>
          </cell>
          <cell r="G1699" t="str">
            <v>女性</v>
          </cell>
          <cell r="H1699" t="str">
            <v>green</v>
          </cell>
          <cell r="I1699">
            <v>4</v>
          </cell>
          <cell r="J1699" t="str">
            <v>PremiumS</v>
          </cell>
          <cell r="K1699" t="str">
            <v>technical</v>
          </cell>
          <cell r="L1699" t="str">
            <v>テクニカルタイプ</v>
          </cell>
          <cell r="M1699" t="str">
            <v>ss</v>
          </cell>
          <cell r="N1699" t="str">
            <v>サンリオキャラクターズ</v>
          </cell>
          <cell r="O1699" t="str">
            <v>none</v>
          </cell>
          <cell r="P1699" t="str">
            <v>種族なし</v>
          </cell>
          <cell r="Q1699" t="str">
            <v>アタッカー</v>
          </cell>
          <cell r="R1699">
            <v>1</v>
          </cell>
          <cell r="S1699" t="str">
            <v>NULL</v>
          </cell>
          <cell r="T1699" t="str">
            <v>normal</v>
          </cell>
        </row>
        <row r="1700">
          <cell r="A1700">
            <v>8060</v>
          </cell>
          <cell r="B1700" t="str">
            <v>ja</v>
          </cell>
          <cell r="C1700" t="str">
            <v>カカシ_マイメロディコスプレ</v>
          </cell>
          <cell r="D1700" t="str">
            <v>カカシ_マイメロディコスプレ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green</v>
          </cell>
          <cell r="I1700">
            <v>5</v>
          </cell>
          <cell r="J1700" t="str">
            <v>PremiumS</v>
          </cell>
          <cell r="K1700" t="str">
            <v>technical</v>
          </cell>
          <cell r="L1700" t="str">
            <v>テクニカルタイプ</v>
          </cell>
          <cell r="M1700" t="str">
            <v>ss</v>
          </cell>
          <cell r="N1700" t="str">
            <v>サンリオキャラクターズ</v>
          </cell>
          <cell r="O1700" t="str">
            <v>none</v>
          </cell>
          <cell r="P1700" t="str">
            <v>種族なし</v>
          </cell>
          <cell r="Q1700" t="str">
            <v>アタッカー</v>
          </cell>
          <cell r="R1700">
            <v>1</v>
          </cell>
          <cell r="S1700" t="str">
            <v>NULL</v>
          </cell>
          <cell r="T1700" t="str">
            <v>normal</v>
          </cell>
        </row>
        <row r="1701">
          <cell r="A1701">
            <v>8061</v>
          </cell>
          <cell r="B1701" t="str">
            <v>ja</v>
          </cell>
          <cell r="C1701" t="str">
            <v>ケロケロけろっぴ</v>
          </cell>
          <cell r="D1701" t="str">
            <v>ケロケロけろっぴ</v>
          </cell>
          <cell r="E1701" t="str">
            <v>執行者</v>
          </cell>
          <cell r="F1701" t="str">
            <v>格好いい</v>
          </cell>
          <cell r="G1701" t="str">
            <v>女性</v>
          </cell>
          <cell r="H1701" t="str">
            <v>green</v>
          </cell>
          <cell r="I1701">
            <v>3</v>
          </cell>
          <cell r="J1701" t="str">
            <v>PremiumS</v>
          </cell>
          <cell r="K1701" t="str">
            <v>balance</v>
          </cell>
          <cell r="L1701" t="str">
            <v>バランスタイプ</v>
          </cell>
          <cell r="M1701" t="str">
            <v>ss</v>
          </cell>
          <cell r="N1701" t="str">
            <v>サンリオキャラクターズ</v>
          </cell>
          <cell r="O1701" t="str">
            <v>none</v>
          </cell>
          <cell r="P1701" t="str">
            <v>種族なし</v>
          </cell>
          <cell r="Q1701" t="str">
            <v>アタッカー</v>
          </cell>
          <cell r="R1701">
            <v>1</v>
          </cell>
          <cell r="S1701" t="str">
            <v>NULL</v>
          </cell>
          <cell r="T1701" t="str">
            <v>normal</v>
          </cell>
        </row>
        <row r="1702">
          <cell r="A1702">
            <v>8062</v>
          </cell>
          <cell r="B1702" t="str">
            <v>ja</v>
          </cell>
          <cell r="C1702" t="str">
            <v>ケロケロけろっぴ</v>
          </cell>
          <cell r="D1702" t="str">
            <v>ケロケロけろっぴ</v>
          </cell>
          <cell r="E1702" t="str">
            <v>執行者</v>
          </cell>
          <cell r="F1702" t="str">
            <v>格好いい</v>
          </cell>
          <cell r="G1702" t="str">
            <v>女性</v>
          </cell>
          <cell r="H1702" t="str">
            <v>green</v>
          </cell>
          <cell r="I1702">
            <v>4</v>
          </cell>
          <cell r="J1702" t="str">
            <v>PremiumS</v>
          </cell>
          <cell r="K1702" t="str">
            <v>balance</v>
          </cell>
          <cell r="L1702" t="str">
            <v>バランスタイプ</v>
          </cell>
          <cell r="M1702" t="str">
            <v>ss</v>
          </cell>
          <cell r="N1702" t="str">
            <v>サンリオキャラクターズ</v>
          </cell>
          <cell r="O1702" t="str">
            <v>none</v>
          </cell>
          <cell r="P1702" t="str">
            <v>種族なし</v>
          </cell>
          <cell r="Q1702" t="str">
            <v>アタッカー</v>
          </cell>
          <cell r="R1702">
            <v>1</v>
          </cell>
          <cell r="S1702" t="str">
            <v>NULL</v>
          </cell>
          <cell r="T1702" t="str">
            <v>normal</v>
          </cell>
        </row>
        <row r="1703">
          <cell r="A1703">
            <v>8063</v>
          </cell>
          <cell r="B1703" t="str">
            <v>ja</v>
          </cell>
          <cell r="C1703" t="str">
            <v>モルドレッド_ポムポムプリンコスプレ</v>
          </cell>
          <cell r="D1703" t="str">
            <v>モルドレッド_ポムポムプリンコスプレ</v>
          </cell>
          <cell r="E1703" t="str">
            <v>執行者</v>
          </cell>
          <cell r="F1703" t="str">
            <v>格好いい</v>
          </cell>
          <cell r="G1703" t="str">
            <v>女性</v>
          </cell>
          <cell r="H1703" t="str">
            <v>blue</v>
          </cell>
          <cell r="I1703">
            <v>5</v>
          </cell>
          <cell r="J1703" t="str">
            <v>PremiumSS</v>
          </cell>
          <cell r="K1703" t="str">
            <v>heal</v>
          </cell>
          <cell r="L1703" t="str">
            <v>回復タイプ</v>
          </cell>
          <cell r="M1703" t="str">
            <v>ss</v>
          </cell>
          <cell r="N1703" t="str">
            <v>サンリオキャラクターズ</v>
          </cell>
          <cell r="O1703" t="str">
            <v>none</v>
          </cell>
          <cell r="P1703" t="str">
            <v>種族なし</v>
          </cell>
          <cell r="Q1703" t="str">
            <v>アタッカー</v>
          </cell>
          <cell r="R1703">
            <v>1</v>
          </cell>
          <cell r="S1703" t="str">
            <v>NULL</v>
          </cell>
          <cell r="T1703" t="str">
            <v>normal</v>
          </cell>
        </row>
        <row r="1704">
          <cell r="A1704">
            <v>8064</v>
          </cell>
          <cell r="B1704" t="str">
            <v>ja</v>
          </cell>
          <cell r="C1704" t="str">
            <v>モルドレッド_ポムポムプリンコスプレ</v>
          </cell>
          <cell r="D1704" t="str">
            <v>モルドレッド_ポムポムプリンコスプレ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blue</v>
          </cell>
          <cell r="I1704">
            <v>6</v>
          </cell>
          <cell r="J1704" t="str">
            <v>PremiumSS</v>
          </cell>
          <cell r="K1704" t="str">
            <v>heal</v>
          </cell>
          <cell r="L1704" t="str">
            <v>回復タイプ</v>
          </cell>
          <cell r="M1704" t="str">
            <v>ss</v>
          </cell>
          <cell r="N1704" t="str">
            <v>サンリオキャラクターズ</v>
          </cell>
          <cell r="O1704" t="str">
            <v>none</v>
          </cell>
          <cell r="P1704" t="str">
            <v>種族なし</v>
          </cell>
          <cell r="Q1704" t="str">
            <v>アタッカー</v>
          </cell>
          <cell r="R1704">
            <v>1</v>
          </cell>
          <cell r="S1704" t="str">
            <v>NULL</v>
          </cell>
          <cell r="T1704" t="str">
            <v>normal</v>
          </cell>
        </row>
        <row r="1705">
          <cell r="A1705">
            <v>8065</v>
          </cell>
          <cell r="B1705" t="str">
            <v>ja</v>
          </cell>
          <cell r="C1705" t="str">
            <v>クロミ</v>
          </cell>
          <cell r="D1705" t="str">
            <v>クロミ</v>
          </cell>
          <cell r="E1705" t="str">
            <v>執行者</v>
          </cell>
          <cell r="F1705" t="str">
            <v>格好いい</v>
          </cell>
          <cell r="G1705" t="str">
            <v>女性</v>
          </cell>
          <cell r="H1705" t="str">
            <v>blue</v>
          </cell>
          <cell r="I1705">
            <v>3</v>
          </cell>
          <cell r="J1705" t="str">
            <v>PremiumS</v>
          </cell>
          <cell r="K1705" t="str">
            <v>technical</v>
          </cell>
          <cell r="L1705" t="str">
            <v>テクニカルタイプ</v>
          </cell>
          <cell r="M1705" t="str">
            <v>ss</v>
          </cell>
          <cell r="N1705" t="str">
            <v>サンリオキャラクターズ</v>
          </cell>
          <cell r="O1705" t="str">
            <v>none</v>
          </cell>
          <cell r="P1705" t="str">
            <v>種族なし</v>
          </cell>
          <cell r="Q1705" t="str">
            <v>アタッカー</v>
          </cell>
          <cell r="R1705">
            <v>1</v>
          </cell>
          <cell r="S1705" t="str">
            <v>NULL</v>
          </cell>
          <cell r="T1705" t="str">
            <v>normal</v>
          </cell>
        </row>
        <row r="1706">
          <cell r="A1706">
            <v>8066</v>
          </cell>
          <cell r="B1706" t="str">
            <v>ja</v>
          </cell>
          <cell r="C1706" t="str">
            <v>クロミ</v>
          </cell>
          <cell r="D1706" t="str">
            <v>クロミ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blue</v>
          </cell>
          <cell r="I1706">
            <v>4</v>
          </cell>
          <cell r="J1706" t="str">
            <v>PremiumS</v>
          </cell>
          <cell r="K1706" t="str">
            <v>technical</v>
          </cell>
          <cell r="L1706" t="str">
            <v>テクニカルタイプ</v>
          </cell>
          <cell r="M1706" t="str">
            <v>ss</v>
          </cell>
          <cell r="N1706" t="str">
            <v>サンリオキャラクターズ</v>
          </cell>
          <cell r="O1706" t="str">
            <v>none</v>
          </cell>
          <cell r="P1706" t="str">
            <v>種族なし</v>
          </cell>
          <cell r="Q1706" t="str">
            <v>アタッカー</v>
          </cell>
          <cell r="R1706">
            <v>1</v>
          </cell>
          <cell r="S1706" t="str">
            <v>NULL</v>
          </cell>
          <cell r="T1706" t="str">
            <v>normal</v>
          </cell>
        </row>
        <row r="1707">
          <cell r="A1707">
            <v>8067</v>
          </cell>
          <cell r="B1707" t="str">
            <v>ja</v>
          </cell>
          <cell r="C1707" t="str">
            <v>バッドばつ丸</v>
          </cell>
          <cell r="D1707" t="str">
            <v>バッドばつ丸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blue</v>
          </cell>
          <cell r="I1707">
            <v>3</v>
          </cell>
          <cell r="J1707" t="str">
            <v>PremiumS</v>
          </cell>
          <cell r="K1707" t="str">
            <v>attack</v>
          </cell>
          <cell r="L1707" t="str">
            <v>攻撃タイプ</v>
          </cell>
          <cell r="M1707" t="str">
            <v>ss</v>
          </cell>
          <cell r="N1707" t="str">
            <v>サンリオキャラクターズ</v>
          </cell>
          <cell r="O1707" t="str">
            <v>none</v>
          </cell>
          <cell r="P1707" t="str">
            <v>種族なし</v>
          </cell>
          <cell r="Q1707" t="str">
            <v>アタッカー</v>
          </cell>
          <cell r="R1707">
            <v>1</v>
          </cell>
          <cell r="S1707" t="str">
            <v>NULL</v>
          </cell>
          <cell r="T1707" t="str">
            <v>normal</v>
          </cell>
        </row>
        <row r="1708">
          <cell r="A1708">
            <v>8068</v>
          </cell>
          <cell r="B1708" t="str">
            <v>ja</v>
          </cell>
          <cell r="C1708" t="str">
            <v>バッドばつ丸</v>
          </cell>
          <cell r="D1708" t="str">
            <v>バッドばつ丸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blue</v>
          </cell>
          <cell r="I1708">
            <v>4</v>
          </cell>
          <cell r="J1708" t="str">
            <v>PremiumS</v>
          </cell>
          <cell r="K1708" t="str">
            <v>attack</v>
          </cell>
          <cell r="L1708" t="str">
            <v>攻撃タイプ</v>
          </cell>
          <cell r="M1708" t="str">
            <v>ss</v>
          </cell>
          <cell r="N1708" t="str">
            <v>サンリオキャラクターズ</v>
          </cell>
          <cell r="O1708" t="str">
            <v>none</v>
          </cell>
          <cell r="P1708" t="str">
            <v>種族なし</v>
          </cell>
          <cell r="Q1708" t="str">
            <v>アタッカー</v>
          </cell>
          <cell r="R1708">
            <v>1</v>
          </cell>
          <cell r="S1708" t="str">
            <v>NULL</v>
          </cell>
          <cell r="T1708" t="str">
            <v>normal</v>
          </cell>
        </row>
        <row r="1709">
          <cell r="A1709">
            <v>8069</v>
          </cell>
          <cell r="B1709" t="str">
            <v>ja</v>
          </cell>
          <cell r="C1709" t="str">
            <v>シナモロール</v>
          </cell>
          <cell r="D1709" t="str">
            <v>シナモロール</v>
          </cell>
          <cell r="E1709" t="str">
            <v>執行者</v>
          </cell>
          <cell r="F1709" t="str">
            <v>格好いい</v>
          </cell>
          <cell r="G1709" t="str">
            <v>女性</v>
          </cell>
          <cell r="H1709" t="str">
            <v>yellow</v>
          </cell>
          <cell r="I1709">
            <v>4</v>
          </cell>
          <cell r="J1709" t="str">
            <v>PremiumS</v>
          </cell>
          <cell r="K1709" t="str">
            <v>heal</v>
          </cell>
          <cell r="L1709" t="str">
            <v>回復タイプ</v>
          </cell>
          <cell r="M1709" t="str">
            <v>ss</v>
          </cell>
          <cell r="N1709" t="str">
            <v>サンリオキャラクターズ</v>
          </cell>
          <cell r="O1709" t="str">
            <v>none</v>
          </cell>
          <cell r="P1709" t="str">
            <v>種族なし</v>
          </cell>
          <cell r="Q1709" t="str">
            <v>アタッカー</v>
          </cell>
          <cell r="R1709">
            <v>1</v>
          </cell>
          <cell r="S1709" t="str">
            <v>NULL</v>
          </cell>
          <cell r="T1709" t="str">
            <v>normal</v>
          </cell>
        </row>
        <row r="1710">
          <cell r="A1710">
            <v>8070</v>
          </cell>
          <cell r="B1710" t="str">
            <v>ja</v>
          </cell>
          <cell r="C1710" t="str">
            <v>シナモロール</v>
          </cell>
          <cell r="D1710" t="str">
            <v>シナモロール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yellow</v>
          </cell>
          <cell r="I1710">
            <v>5</v>
          </cell>
          <cell r="J1710" t="str">
            <v>PremiumS</v>
          </cell>
          <cell r="K1710" t="str">
            <v>heal</v>
          </cell>
          <cell r="L1710" t="str">
            <v>回復タイプ</v>
          </cell>
          <cell r="M1710" t="str">
            <v>ss</v>
          </cell>
          <cell r="N1710" t="str">
            <v>サンリオキャラクターズ</v>
          </cell>
          <cell r="O1710" t="str">
            <v>none</v>
          </cell>
          <cell r="P1710" t="str">
            <v>種族なし</v>
          </cell>
          <cell r="Q1710" t="str">
            <v>アタッカー</v>
          </cell>
          <cell r="R1710">
            <v>1</v>
          </cell>
          <cell r="S1710" t="str">
            <v>NULL</v>
          </cell>
          <cell r="T1710" t="str">
            <v>normal</v>
          </cell>
        </row>
        <row r="1711">
          <cell r="A1711">
            <v>8071</v>
          </cell>
          <cell r="B1711" t="str">
            <v>ja</v>
          </cell>
          <cell r="C1711" t="str">
            <v>ポムポムプリン</v>
          </cell>
          <cell r="D1711" t="str">
            <v>ポムポムプリン</v>
          </cell>
          <cell r="E1711" t="str">
            <v>執行者</v>
          </cell>
          <cell r="F1711" t="str">
            <v>格好いい</v>
          </cell>
          <cell r="G1711" t="str">
            <v>女性</v>
          </cell>
          <cell r="H1711" t="str">
            <v>yellow</v>
          </cell>
          <cell r="I1711">
            <v>3</v>
          </cell>
          <cell r="J1711" t="str">
            <v>PremiumS</v>
          </cell>
          <cell r="K1711" t="str">
            <v>hp</v>
          </cell>
          <cell r="L1711" t="str">
            <v>体力タイプ</v>
          </cell>
          <cell r="M1711" t="str">
            <v>ss</v>
          </cell>
          <cell r="N1711" t="str">
            <v>サンリオキャラクターズ</v>
          </cell>
          <cell r="O1711" t="str">
            <v>none</v>
          </cell>
          <cell r="P1711" t="str">
            <v>種族なし</v>
          </cell>
          <cell r="Q1711" t="str">
            <v>アタッカー</v>
          </cell>
          <cell r="R1711">
            <v>1</v>
          </cell>
          <cell r="S1711" t="str">
            <v>NULL</v>
          </cell>
          <cell r="T1711" t="str">
            <v>normal</v>
          </cell>
        </row>
        <row r="1712">
          <cell r="A1712">
            <v>8072</v>
          </cell>
          <cell r="B1712" t="str">
            <v>ja</v>
          </cell>
          <cell r="C1712" t="str">
            <v>ポムポムプリン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yellow</v>
          </cell>
          <cell r="I1712">
            <v>4</v>
          </cell>
          <cell r="J1712" t="str">
            <v>PremiumS</v>
          </cell>
          <cell r="K1712" t="str">
            <v>hp</v>
          </cell>
          <cell r="L1712" t="str">
            <v>体力タイプ</v>
          </cell>
          <cell r="M1712" t="str">
            <v>ss</v>
          </cell>
          <cell r="N1712" t="str">
            <v>サンリオキャラクターズ</v>
          </cell>
          <cell r="O1712" t="str">
            <v>none</v>
          </cell>
          <cell r="P1712" t="str">
            <v>種族なし</v>
          </cell>
          <cell r="Q1712" t="str">
            <v>アタッカー</v>
          </cell>
          <cell r="R1712">
            <v>1</v>
          </cell>
          <cell r="S1712" t="str">
            <v>NULL</v>
          </cell>
          <cell r="T1712" t="str">
            <v>normal</v>
          </cell>
        </row>
        <row r="1713">
          <cell r="A1713">
            <v>8073</v>
          </cell>
          <cell r="B1713" t="str">
            <v>ja</v>
          </cell>
          <cell r="C1713" t="str">
            <v>星海祈る天光妃 媽祖</v>
          </cell>
          <cell r="D1713" t="str">
            <v>Expoミク</v>
          </cell>
          <cell r="E1713" t="str">
            <v>執行者</v>
          </cell>
          <cell r="F1713" t="str">
            <v>格好いい</v>
          </cell>
          <cell r="G1713" t="str">
            <v>女性</v>
          </cell>
          <cell r="H1713" t="str">
            <v>yellow</v>
          </cell>
          <cell r="I1713">
            <v>6</v>
          </cell>
          <cell r="J1713" t="str">
            <v>PremiumSS</v>
          </cell>
          <cell r="K1713" t="str">
            <v>attack</v>
          </cell>
          <cell r="L1713" t="str">
            <v>攻撃タイプ</v>
          </cell>
          <cell r="M1713" t="str">
            <v>human</v>
          </cell>
          <cell r="N1713" t="str">
            <v>ヒューマン</v>
          </cell>
          <cell r="O1713" t="str">
            <v>machine</v>
          </cell>
          <cell r="P1713" t="str">
            <v>マシン</v>
          </cell>
          <cell r="Q1713" t="str">
            <v>アタッカー</v>
          </cell>
          <cell r="R1713">
            <v>3</v>
          </cell>
          <cell r="S1713" t="str">
            <v>NULL</v>
          </cell>
          <cell r="T1713" t="str">
            <v>normal</v>
          </cell>
        </row>
        <row r="1714">
          <cell r="A1714">
            <v>8074</v>
          </cell>
          <cell r="B1714" t="str">
            <v>ja</v>
          </cell>
          <cell r="C1714" t="str">
            <v>海戀の絶龍姫 蛟龍</v>
          </cell>
          <cell r="D1714" t="str">
            <v>Expoミク</v>
          </cell>
          <cell r="E1714" t="str">
            <v>執行者</v>
          </cell>
          <cell r="F1714" t="str">
            <v>格好いい</v>
          </cell>
          <cell r="G1714" t="str">
            <v>女性</v>
          </cell>
          <cell r="H1714" t="str">
            <v>blue</v>
          </cell>
          <cell r="I1714">
            <v>6</v>
          </cell>
          <cell r="J1714" t="str">
            <v>DropWizS</v>
          </cell>
          <cell r="K1714" t="str">
            <v>hp</v>
          </cell>
          <cell r="L1714" t="str">
            <v>体力タイプ</v>
          </cell>
          <cell r="M1714" t="str">
            <v>dragon</v>
          </cell>
          <cell r="N1714" t="str">
            <v>ドラゴン</v>
          </cell>
          <cell r="O1714" t="str">
            <v>unknown</v>
          </cell>
          <cell r="P1714" t="str">
            <v>Unknown</v>
          </cell>
          <cell r="Q1714" t="str">
            <v>アタッカー</v>
          </cell>
          <cell r="R1714">
            <v>3</v>
          </cell>
          <cell r="S1714" t="str">
            <v>NULL</v>
          </cell>
          <cell r="T1714" t="str">
            <v>normal</v>
          </cell>
        </row>
        <row r="1715">
          <cell r="A1715">
            <v>8075</v>
          </cell>
          <cell r="B1715" t="str">
            <v>ja</v>
          </cell>
          <cell r="C1715" t="str">
            <v>解脱天の知徳 三蔵法師</v>
          </cell>
          <cell r="D1715" t="str">
            <v>Expoミク</v>
          </cell>
          <cell r="E1715" t="str">
            <v>執行者</v>
          </cell>
          <cell r="F1715" t="str">
            <v>格好いい</v>
          </cell>
          <cell r="G1715" t="str">
            <v>女性</v>
          </cell>
          <cell r="H1715" t="str">
            <v>blue</v>
          </cell>
          <cell r="I1715">
            <v>6</v>
          </cell>
          <cell r="J1715" t="str">
            <v>PremiumSS</v>
          </cell>
          <cell r="K1715" t="str">
            <v>balance</v>
          </cell>
          <cell r="L1715" t="str">
            <v>バランスタイプ</v>
          </cell>
          <cell r="M1715" t="str">
            <v>god</v>
          </cell>
          <cell r="N1715" t="str">
            <v>ゴッド</v>
          </cell>
          <cell r="O1715" t="str">
            <v>animal</v>
          </cell>
          <cell r="P1715" t="str">
            <v>アニマル</v>
          </cell>
          <cell r="Q1715" t="str">
            <v>アタッカー</v>
          </cell>
          <cell r="R1715">
            <v>3</v>
          </cell>
          <cell r="S1715" t="str">
            <v>NULL</v>
          </cell>
          <cell r="T1715" t="str">
            <v>normal</v>
          </cell>
        </row>
        <row r="1716">
          <cell r="A1716">
            <v>8076</v>
          </cell>
          <cell r="B1716" t="str">
            <v>ja</v>
          </cell>
          <cell r="C1716" t="str">
            <v>天暴の斉天大聖 孫悟空</v>
          </cell>
          <cell r="D1716" t="str">
            <v>Expoミク</v>
          </cell>
          <cell r="E1716" t="str">
            <v>執行者</v>
          </cell>
          <cell r="F1716" t="str">
            <v>格好いい</v>
          </cell>
          <cell r="G1716" t="str">
            <v>女性</v>
          </cell>
          <cell r="H1716" t="str">
            <v>red</v>
          </cell>
          <cell r="I1716">
            <v>6</v>
          </cell>
          <cell r="J1716" t="str">
            <v>DropWizS</v>
          </cell>
          <cell r="K1716" t="str">
            <v>attack</v>
          </cell>
          <cell r="L1716" t="str">
            <v>攻撃タイプ</v>
          </cell>
          <cell r="M1716" t="str">
            <v>unknown</v>
          </cell>
          <cell r="N1716" t="str">
            <v>Unknown</v>
          </cell>
          <cell r="O1716" t="str">
            <v>hero</v>
          </cell>
          <cell r="P1716" t="str">
            <v>ヒーロー</v>
          </cell>
          <cell r="Q1716" t="str">
            <v>アタッカー</v>
          </cell>
          <cell r="R1716">
            <v>3</v>
          </cell>
          <cell r="S1716" t="str">
            <v>NULL</v>
          </cell>
          <cell r="T1716" t="str">
            <v>normal</v>
          </cell>
        </row>
        <row r="1717">
          <cell r="A1717">
            <v>8077</v>
          </cell>
          <cell r="B1717" t="str">
            <v>ja</v>
          </cell>
          <cell r="C1717" t="str">
            <v>鄭成功</v>
          </cell>
          <cell r="D1717" t="str">
            <v>ポムポムプリン</v>
          </cell>
          <cell r="E1717" t="str">
            <v>執行者</v>
          </cell>
          <cell r="F1717" t="str">
            <v>格好いい</v>
          </cell>
          <cell r="G1717" t="str">
            <v>女性</v>
          </cell>
          <cell r="H1717" t="str">
            <v>blue</v>
          </cell>
          <cell r="I1717">
            <v>5</v>
          </cell>
          <cell r="J1717" t="str">
            <v>PremiumSS</v>
          </cell>
          <cell r="K1717" t="str">
            <v>attack</v>
          </cell>
          <cell r="L1717" t="str">
            <v>攻撃タイプ</v>
          </cell>
          <cell r="M1717" t="str">
            <v>human</v>
          </cell>
          <cell r="N1717" t="str">
            <v>ヒューマン</v>
          </cell>
          <cell r="O1717" t="str">
            <v>none</v>
          </cell>
          <cell r="P1717" t="str">
            <v>種族なし</v>
          </cell>
          <cell r="Q1717" t="str">
            <v>アタッカー</v>
          </cell>
          <cell r="R1717">
            <v>1</v>
          </cell>
          <cell r="S1717" t="str">
            <v>NULL</v>
          </cell>
          <cell r="T1717" t="str">
            <v>normal</v>
          </cell>
        </row>
        <row r="1718">
          <cell r="A1718">
            <v>8078</v>
          </cell>
          <cell r="B1718" t="str">
            <v>ja</v>
          </cell>
          <cell r="C1718" t="str">
            <v>レア６鄭成功</v>
          </cell>
          <cell r="D1718" t="str">
            <v>ポムポムプリン</v>
          </cell>
          <cell r="E1718" t="str">
            <v>執行者</v>
          </cell>
          <cell r="F1718" t="str">
            <v>格好いい</v>
          </cell>
          <cell r="G1718" t="str">
            <v>女性</v>
          </cell>
          <cell r="H1718" t="str">
            <v>blue</v>
          </cell>
          <cell r="I1718">
            <v>6</v>
          </cell>
          <cell r="J1718" t="str">
            <v>PremiumSS</v>
          </cell>
          <cell r="K1718" t="str">
            <v>attack</v>
          </cell>
          <cell r="L1718" t="str">
            <v>攻撃タイプ</v>
          </cell>
          <cell r="M1718" t="str">
            <v>human</v>
          </cell>
          <cell r="N1718" t="str">
            <v>ヒューマン</v>
          </cell>
          <cell r="O1718" t="str">
            <v>hero</v>
          </cell>
          <cell r="P1718" t="str">
            <v>ヒーロー</v>
          </cell>
          <cell r="Q1718" t="str">
            <v>アタッカー</v>
          </cell>
          <cell r="R1718">
            <v>1</v>
          </cell>
          <cell r="S1718" t="str">
            <v>NULL</v>
          </cell>
          <cell r="T1718" t="str">
            <v>normal</v>
          </cell>
        </row>
        <row r="1719">
          <cell r="A1719">
            <v>8079</v>
          </cell>
          <cell r="B1719" t="str">
            <v>ja</v>
          </cell>
          <cell r="C1719" t="str">
            <v>赤鬼</v>
          </cell>
          <cell r="D1719" t="str">
            <v>ポムポムプリン</v>
          </cell>
          <cell r="E1719" t="str">
            <v>執行者</v>
          </cell>
          <cell r="F1719" t="str">
            <v>格好いい</v>
          </cell>
          <cell r="G1719" t="str">
            <v>女性</v>
          </cell>
          <cell r="H1719" t="str">
            <v>red</v>
          </cell>
          <cell r="I1719">
            <v>5</v>
          </cell>
          <cell r="J1719" t="str">
            <v>DropWizS</v>
          </cell>
          <cell r="K1719" t="str">
            <v>hp</v>
          </cell>
          <cell r="L1719" t="str">
            <v>体力タイプ</v>
          </cell>
          <cell r="M1719" t="str">
            <v>dragon</v>
          </cell>
          <cell r="N1719" t="str">
            <v>ドラゴン</v>
          </cell>
          <cell r="O1719" t="str">
            <v>none</v>
          </cell>
          <cell r="P1719" t="str">
            <v>種族なし</v>
          </cell>
          <cell r="Q1719" t="str">
            <v>アタッカー</v>
          </cell>
          <cell r="R1719">
            <v>1</v>
          </cell>
          <cell r="S1719" t="str">
            <v>NULL</v>
          </cell>
          <cell r="T1719" t="str">
            <v>normal</v>
          </cell>
        </row>
        <row r="1720">
          <cell r="A1720">
            <v>8080</v>
          </cell>
          <cell r="B1720" t="str">
            <v>ja</v>
          </cell>
          <cell r="C1720" t="str">
            <v>レア６赤鬼</v>
          </cell>
          <cell r="D1720" t="str">
            <v>ポムポムプリン</v>
          </cell>
          <cell r="E1720" t="str">
            <v>執行者</v>
          </cell>
          <cell r="F1720" t="str">
            <v>格好いい</v>
          </cell>
          <cell r="G1720" t="str">
            <v>女性</v>
          </cell>
          <cell r="H1720" t="str">
            <v>red</v>
          </cell>
          <cell r="I1720">
            <v>6</v>
          </cell>
          <cell r="J1720" t="str">
            <v>DropWizS</v>
          </cell>
          <cell r="K1720" t="str">
            <v>hp</v>
          </cell>
          <cell r="L1720" t="str">
            <v>体力タイプ</v>
          </cell>
          <cell r="M1720" t="str">
            <v>dragon</v>
          </cell>
          <cell r="N1720" t="str">
            <v>ドラゴン</v>
          </cell>
          <cell r="O1720" t="str">
            <v>unknown</v>
          </cell>
          <cell r="P1720" t="str">
            <v>Unknown</v>
          </cell>
          <cell r="Q1720" t="str">
            <v>アタッカー</v>
          </cell>
          <cell r="R1720">
            <v>1</v>
          </cell>
          <cell r="S1720" t="str">
            <v>NULL</v>
          </cell>
          <cell r="T1720" t="str">
            <v>normal</v>
          </cell>
        </row>
        <row r="1721">
          <cell r="A1721">
            <v>8081</v>
          </cell>
          <cell r="B1721" t="str">
            <v>ja</v>
          </cell>
          <cell r="C1721" t="str">
            <v>関羽</v>
          </cell>
          <cell r="H1721" t="str">
            <v>green</v>
          </cell>
          <cell r="I1721">
            <v>5</v>
          </cell>
          <cell r="J1721" t="str">
            <v>PremiumSSS</v>
          </cell>
          <cell r="K1721" t="str">
            <v>balance</v>
          </cell>
          <cell r="L1721" t="str">
            <v>バランスタイプ</v>
          </cell>
          <cell r="M1721" t="str">
            <v>samurai</v>
          </cell>
          <cell r="N1721" t="str">
            <v>サムライ</v>
          </cell>
          <cell r="O1721" t="str">
            <v>human</v>
          </cell>
          <cell r="P1721" t="str">
            <v>ヒューマン</v>
          </cell>
          <cell r="Q1721" t="str">
            <v>アタッカー</v>
          </cell>
          <cell r="R1721">
            <v>3</v>
          </cell>
          <cell r="S1721" t="str">
            <v>NULL</v>
          </cell>
          <cell r="T1721" t="str">
            <v>normal</v>
          </cell>
        </row>
        <row r="1722">
          <cell r="A1722">
            <v>8082</v>
          </cell>
          <cell r="B1722" t="str">
            <v>ja</v>
          </cell>
          <cell r="C1722" t="str">
            <v>千里突撃 関羽</v>
          </cell>
          <cell r="H1722" t="str">
            <v>green</v>
          </cell>
          <cell r="I1722">
            <v>6</v>
          </cell>
          <cell r="J1722" t="str">
            <v>PremiumSSS</v>
          </cell>
          <cell r="K1722" t="str">
            <v>balance</v>
          </cell>
          <cell r="L1722" t="str">
            <v>バランスタイプ</v>
          </cell>
          <cell r="M1722" t="str">
            <v>samurai</v>
          </cell>
          <cell r="N1722" t="str">
            <v>サムライ</v>
          </cell>
          <cell r="O1722" t="str">
            <v>human</v>
          </cell>
          <cell r="P1722" t="str">
            <v>ヒューマン</v>
          </cell>
          <cell r="Q1722" t="str">
            <v>アタッカー</v>
          </cell>
          <cell r="R1722">
            <v>3</v>
          </cell>
          <cell r="S1722" t="str">
            <v>NULL</v>
          </cell>
          <cell r="T1722" t="str">
            <v>normal</v>
          </cell>
        </row>
        <row r="1723">
          <cell r="A1723">
            <v>8083</v>
          </cell>
          <cell r="B1723" t="str">
            <v>ja</v>
          </cell>
          <cell r="C1723" t="str">
            <v>曹操</v>
          </cell>
          <cell r="H1723" t="str">
            <v>yellow</v>
          </cell>
          <cell r="I1723">
            <v>5</v>
          </cell>
          <cell r="J1723" t="str">
            <v>DropWizSS</v>
          </cell>
          <cell r="K1723" t="str">
            <v>technical</v>
          </cell>
          <cell r="L1723" t="str">
            <v>テクニカルタイプ</v>
          </cell>
          <cell r="M1723" t="str">
            <v>samurai</v>
          </cell>
          <cell r="N1723" t="str">
            <v>サムライ</v>
          </cell>
          <cell r="O1723" t="str">
            <v>human</v>
          </cell>
          <cell r="P1723" t="str">
            <v>ヒューマン</v>
          </cell>
          <cell r="Q1723" t="str">
            <v>アタッカー</v>
          </cell>
          <cell r="R1723">
            <v>3</v>
          </cell>
          <cell r="S1723" t="str">
            <v>NULL</v>
          </cell>
          <cell r="T1723" t="str">
            <v>normal</v>
          </cell>
        </row>
        <row r="1724">
          <cell r="A1724">
            <v>8084</v>
          </cell>
          <cell r="B1724" t="str">
            <v>ja</v>
          </cell>
          <cell r="C1724" t="str">
            <v>混沌の覇道行者 曹操</v>
          </cell>
          <cell r="H1724" t="str">
            <v>yellow</v>
          </cell>
          <cell r="I1724">
            <v>6</v>
          </cell>
          <cell r="J1724" t="str">
            <v>DropWizSS</v>
          </cell>
          <cell r="K1724" t="str">
            <v>technical</v>
          </cell>
          <cell r="L1724" t="str">
            <v>テクニカルタイプ</v>
          </cell>
          <cell r="M1724" t="str">
            <v>samurai</v>
          </cell>
          <cell r="N1724" t="str">
            <v>サムライ</v>
          </cell>
          <cell r="O1724" t="str">
            <v>human</v>
          </cell>
          <cell r="P1724" t="str">
            <v>ヒューマン</v>
          </cell>
          <cell r="Q1724" t="str">
            <v>アタッカー</v>
          </cell>
          <cell r="R1724">
            <v>3</v>
          </cell>
          <cell r="S1724" t="str">
            <v>NULL</v>
          </cell>
          <cell r="T1724" t="str">
            <v>normal</v>
          </cell>
        </row>
        <row r="1725">
          <cell r="A1725">
            <v>8085</v>
          </cell>
          <cell r="B1725" t="str">
            <v>ja</v>
          </cell>
          <cell r="C1725" t="str">
            <v>九霊無上の聖母 西王娘娘</v>
          </cell>
          <cell r="H1725" t="str">
            <v>green</v>
          </cell>
          <cell r="I1725">
            <v>6</v>
          </cell>
          <cell r="J1725" t="str">
            <v>PremiumSS</v>
          </cell>
          <cell r="K1725" t="str">
            <v>attack</v>
          </cell>
          <cell r="L1725" t="str">
            <v>攻撃タイプ</v>
          </cell>
          <cell r="M1725" t="str">
            <v>god</v>
          </cell>
          <cell r="N1725" t="str">
            <v>ゴッド</v>
          </cell>
          <cell r="O1725" t="str">
            <v>none</v>
          </cell>
          <cell r="P1725" t="str">
            <v>種族なし</v>
          </cell>
          <cell r="Q1725" t="str">
            <v>アタッカー</v>
          </cell>
          <cell r="R1725">
            <v>3</v>
          </cell>
          <cell r="S1725" t="str">
            <v>NULL</v>
          </cell>
          <cell r="T1725" t="str">
            <v>normal</v>
          </cell>
        </row>
        <row r="1726">
          <cell r="A1726">
            <v>8086</v>
          </cell>
          <cell r="B1726" t="str">
            <v>ja</v>
          </cell>
          <cell r="C1726" t="str">
            <v>砕縁の情滅剣 月下老人</v>
          </cell>
          <cell r="H1726" t="str">
            <v>yellow</v>
          </cell>
          <cell r="I1726">
            <v>6</v>
          </cell>
          <cell r="J1726" t="str">
            <v>DropWizS</v>
          </cell>
          <cell r="K1726" t="str">
            <v>attack</v>
          </cell>
          <cell r="L1726" t="str">
            <v>攻撃タイプ</v>
          </cell>
          <cell r="M1726" t="str">
            <v>god</v>
          </cell>
          <cell r="N1726" t="str">
            <v>ゴッド</v>
          </cell>
          <cell r="O1726" t="str">
            <v>animal</v>
          </cell>
          <cell r="P1726" t="str">
            <v>アニマル</v>
          </cell>
          <cell r="Q1726" t="str">
            <v>アタッカー</v>
          </cell>
          <cell r="R1726">
            <v>3</v>
          </cell>
          <cell r="S1726" t="str">
            <v>NULL</v>
          </cell>
          <cell r="T1726" t="str">
            <v>normal</v>
          </cell>
        </row>
        <row r="1727">
          <cell r="A1727">
            <v>8087</v>
          </cell>
          <cell r="B1727" t="str">
            <v>ja</v>
          </cell>
          <cell r="C1727" t="str">
            <v>財神</v>
          </cell>
          <cell r="H1727" t="str">
            <v>red</v>
          </cell>
          <cell r="I1727">
            <v>5</v>
          </cell>
          <cell r="J1727" t="str">
            <v>PremiumSSS</v>
          </cell>
          <cell r="K1727" t="str">
            <v>technical</v>
          </cell>
          <cell r="L1727" t="str">
            <v>テクニカルタイプ</v>
          </cell>
          <cell r="M1727" t="str">
            <v>god</v>
          </cell>
          <cell r="N1727" t="str">
            <v>ゴッド</v>
          </cell>
          <cell r="O1727" t="str">
            <v>none</v>
          </cell>
          <cell r="P1727" t="str">
            <v>種族なし</v>
          </cell>
          <cell r="Q1727" t="str">
            <v>アタッカー</v>
          </cell>
          <cell r="R1727">
            <v>1</v>
          </cell>
          <cell r="S1727" t="str">
            <v>NULL</v>
          </cell>
          <cell r="T1727" t="str">
            <v>normal</v>
          </cell>
        </row>
        <row r="1728">
          <cell r="A1728">
            <v>8088</v>
          </cell>
          <cell r="B1728" t="str">
            <v>ja</v>
          </cell>
          <cell r="C1728" t="str">
            <v>★６財神</v>
          </cell>
          <cell r="H1728" t="str">
            <v>red</v>
          </cell>
          <cell r="I1728">
            <v>6</v>
          </cell>
          <cell r="J1728" t="str">
            <v>PremiumSSS</v>
          </cell>
          <cell r="K1728" t="str">
            <v>technical</v>
          </cell>
          <cell r="L1728" t="str">
            <v>テクニカルタイプ</v>
          </cell>
          <cell r="M1728" t="str">
            <v>god</v>
          </cell>
          <cell r="N1728" t="str">
            <v>ゴッド</v>
          </cell>
          <cell r="O1728" t="str">
            <v>none</v>
          </cell>
          <cell r="P1728" t="str">
            <v>種族なし</v>
          </cell>
          <cell r="Q1728" t="str">
            <v>アタッカー</v>
          </cell>
          <cell r="R1728">
            <v>1</v>
          </cell>
          <cell r="S1728" t="str">
            <v>NULL</v>
          </cell>
          <cell r="T1728" t="str">
            <v>normal</v>
          </cell>
        </row>
        <row r="1729">
          <cell r="A1729">
            <v>8089</v>
          </cell>
          <cell r="B1729" t="str">
            <v>ja</v>
          </cell>
          <cell r="C1729" t="str">
            <v>年獣</v>
          </cell>
          <cell r="H1729" t="str">
            <v>green</v>
          </cell>
          <cell r="I1729">
            <v>5</v>
          </cell>
          <cell r="J1729" t="str">
            <v>DropWizS</v>
          </cell>
          <cell r="K1729" t="str">
            <v>attack</v>
          </cell>
          <cell r="L1729" t="str">
            <v>攻撃タイプ</v>
          </cell>
          <cell r="M1729" t="str">
            <v>animal</v>
          </cell>
          <cell r="N1729" t="str">
            <v>アニマル</v>
          </cell>
          <cell r="O1729" t="str">
            <v>unknown</v>
          </cell>
          <cell r="P1729" t="str">
            <v>Unknown</v>
          </cell>
          <cell r="Q1729" t="str">
            <v>アタッカー</v>
          </cell>
          <cell r="R1729">
            <v>1</v>
          </cell>
          <cell r="S1729" t="str">
            <v>NULL</v>
          </cell>
          <cell r="T1729" t="str">
            <v>normal</v>
          </cell>
        </row>
        <row r="1730">
          <cell r="A1730">
            <v>8090</v>
          </cell>
          <cell r="B1730" t="str">
            <v>ja</v>
          </cell>
          <cell r="C1730" t="str">
            <v>★６年獣</v>
          </cell>
          <cell r="H1730" t="str">
            <v>green</v>
          </cell>
          <cell r="I1730">
            <v>6</v>
          </cell>
          <cell r="J1730" t="str">
            <v>DropWizS</v>
          </cell>
          <cell r="K1730" t="str">
            <v>attack</v>
          </cell>
          <cell r="L1730" t="str">
            <v>攻撃タイプ</v>
          </cell>
          <cell r="M1730" t="str">
            <v>animal</v>
          </cell>
          <cell r="N1730" t="str">
            <v>アニマル</v>
          </cell>
          <cell r="O1730" t="str">
            <v>unknown</v>
          </cell>
          <cell r="P1730" t="str">
            <v>Unknown</v>
          </cell>
          <cell r="Q1730" t="str">
            <v>アタッカー</v>
          </cell>
          <cell r="R1730">
            <v>1</v>
          </cell>
          <cell r="S1730" t="str">
            <v>NULL</v>
          </cell>
          <cell r="T1730" t="str">
            <v>normal</v>
          </cell>
        </row>
        <row r="1731">
          <cell r="A1731">
            <v>8095</v>
          </cell>
          <cell r="B1731" t="str">
            <v>ja</v>
          </cell>
          <cell r="C1731" t="str">
            <v>バハムートダック赤</v>
          </cell>
          <cell r="D1731" t="str">
            <v>ポムポムプリン</v>
          </cell>
          <cell r="E1731" t="str">
            <v>執行者</v>
          </cell>
          <cell r="F1731" t="str">
            <v>格好いい</v>
          </cell>
          <cell r="G1731" t="str">
            <v>女性</v>
          </cell>
          <cell r="H1731" t="str">
            <v>red</v>
          </cell>
          <cell r="I1731">
            <v>6</v>
          </cell>
          <cell r="J1731" t="str">
            <v>Material</v>
          </cell>
          <cell r="K1731" t="str">
            <v>exp</v>
          </cell>
          <cell r="L1731" t="str">
            <v>強化素材タイプ</v>
          </cell>
          <cell r="M1731" t="str">
            <v>unknown</v>
          </cell>
          <cell r="N1731" t="str">
            <v>Unknown</v>
          </cell>
          <cell r="O1731" t="str">
            <v>none</v>
          </cell>
          <cell r="P1731" t="str">
            <v>種族なし</v>
          </cell>
          <cell r="Q1731" t="str">
            <v>強化素材</v>
          </cell>
          <cell r="R1731">
            <v>1</v>
          </cell>
          <cell r="S1731" t="str">
            <v>NULL</v>
          </cell>
          <cell r="T1731" t="str">
            <v>normal</v>
          </cell>
        </row>
        <row r="1732">
          <cell r="A1732">
            <v>8096</v>
          </cell>
          <cell r="B1732" t="str">
            <v>ja</v>
          </cell>
          <cell r="C1732" t="str">
            <v>バハムートダック緑</v>
          </cell>
          <cell r="D1732" t="str">
            <v>ポムポムプリン</v>
          </cell>
          <cell r="E1732" t="str">
            <v>執行者</v>
          </cell>
          <cell r="F1732" t="str">
            <v>格好いい</v>
          </cell>
          <cell r="G1732" t="str">
            <v>女性</v>
          </cell>
          <cell r="H1732" t="str">
            <v>green</v>
          </cell>
          <cell r="I1732">
            <v>6</v>
          </cell>
          <cell r="J1732" t="str">
            <v>Material</v>
          </cell>
          <cell r="K1732" t="str">
            <v>exp</v>
          </cell>
          <cell r="L1732" t="str">
            <v>強化素材タイプ</v>
          </cell>
          <cell r="M1732" t="str">
            <v>unknown</v>
          </cell>
          <cell r="N1732" t="str">
            <v>Unknown</v>
          </cell>
          <cell r="O1732" t="str">
            <v>none</v>
          </cell>
          <cell r="P1732" t="str">
            <v>種族なし</v>
          </cell>
          <cell r="Q1732" t="str">
            <v>強化素材</v>
          </cell>
          <cell r="R1732">
            <v>1</v>
          </cell>
          <cell r="S1732" t="str">
            <v>NULL</v>
          </cell>
          <cell r="T1732" t="str">
            <v>normal</v>
          </cell>
        </row>
        <row r="1733">
          <cell r="A1733">
            <v>8097</v>
          </cell>
          <cell r="B1733" t="str">
            <v>ja</v>
          </cell>
          <cell r="C1733" t="str">
            <v>バハムートダック青</v>
          </cell>
          <cell r="D1733" t="str">
            <v>ポムポムプリン</v>
          </cell>
          <cell r="E1733" t="str">
            <v>執行者</v>
          </cell>
          <cell r="F1733" t="str">
            <v>格好いい</v>
          </cell>
          <cell r="G1733" t="str">
            <v>女性</v>
          </cell>
          <cell r="H1733" t="str">
            <v>blue</v>
          </cell>
          <cell r="I1733">
            <v>6</v>
          </cell>
          <cell r="J1733" t="str">
            <v>Material</v>
          </cell>
          <cell r="K1733" t="str">
            <v>exp</v>
          </cell>
          <cell r="L1733" t="str">
            <v>強化素材タイプ</v>
          </cell>
          <cell r="M1733" t="str">
            <v>unknown</v>
          </cell>
          <cell r="N1733" t="str">
            <v>Unknown</v>
          </cell>
          <cell r="O1733" t="str">
            <v>none</v>
          </cell>
          <cell r="P1733" t="str">
            <v>種族なし</v>
          </cell>
          <cell r="Q1733" t="str">
            <v>強化素材</v>
          </cell>
          <cell r="R1733">
            <v>1</v>
          </cell>
          <cell r="S1733" t="str">
            <v>NULL</v>
          </cell>
          <cell r="T1733" t="str">
            <v>normal</v>
          </cell>
        </row>
        <row r="1734">
          <cell r="A1734">
            <v>8098</v>
          </cell>
          <cell r="B1734" t="str">
            <v>ja</v>
          </cell>
          <cell r="C1734" t="str">
            <v>バハムートダック黄</v>
          </cell>
          <cell r="D1734" t="str">
            <v>ポムポムプリン</v>
          </cell>
          <cell r="E1734" t="str">
            <v>執行者</v>
          </cell>
          <cell r="F1734" t="str">
            <v>格好いい</v>
          </cell>
          <cell r="G1734" t="str">
            <v>女性</v>
          </cell>
          <cell r="H1734" t="str">
            <v>yellow</v>
          </cell>
          <cell r="I1734">
            <v>6</v>
          </cell>
          <cell r="J1734" t="str">
            <v>Material</v>
          </cell>
          <cell r="K1734" t="str">
            <v>exp</v>
          </cell>
          <cell r="L1734" t="str">
            <v>強化素材タイプ</v>
          </cell>
          <cell r="M1734" t="str">
            <v>unknown</v>
          </cell>
          <cell r="N1734" t="str">
            <v>Unknown</v>
          </cell>
          <cell r="O1734" t="str">
            <v>none</v>
          </cell>
          <cell r="P1734" t="str">
            <v>種族なし</v>
          </cell>
          <cell r="Q1734" t="str">
            <v>強化素材</v>
          </cell>
          <cell r="R1734">
            <v>1</v>
          </cell>
          <cell r="S1734" t="str">
            <v>NULL</v>
          </cell>
          <cell r="T1734" t="str">
            <v>normal</v>
          </cell>
        </row>
        <row r="1735">
          <cell r="A1735">
            <v>8099</v>
          </cell>
          <cell r="B1735" t="str">
            <v>ja</v>
          </cell>
          <cell r="C1735" t="str">
            <v>韓湘子</v>
          </cell>
          <cell r="D1735" t="str">
            <v>ポムポムプリン</v>
          </cell>
          <cell r="E1735" t="str">
            <v>執行者</v>
          </cell>
          <cell r="F1735" t="str">
            <v>格好いい</v>
          </cell>
          <cell r="G1735" t="str">
            <v>女性</v>
          </cell>
          <cell r="H1735" t="str">
            <v>green</v>
          </cell>
          <cell r="I1735">
            <v>5</v>
          </cell>
          <cell r="J1735" t="str">
            <v>PremiumSSw</v>
          </cell>
          <cell r="K1735" t="str">
            <v>balance</v>
          </cell>
          <cell r="L1735" t="str">
            <v>バランスタイプ</v>
          </cell>
          <cell r="M1735" t="str">
            <v>god</v>
          </cell>
          <cell r="N1735" t="str">
            <v>ゴッド</v>
          </cell>
          <cell r="O1735" t="str">
            <v>none</v>
          </cell>
          <cell r="P1735" t="str">
            <v>種族なし</v>
          </cell>
          <cell r="Q1735" t="str">
            <v>アタッカー</v>
          </cell>
          <cell r="R1735">
            <v>1</v>
          </cell>
          <cell r="S1735" t="str">
            <v>NULL</v>
          </cell>
          <cell r="T1735" t="str">
            <v>normal</v>
          </cell>
        </row>
        <row r="1736">
          <cell r="A1736">
            <v>8100</v>
          </cell>
          <cell r="B1736" t="str">
            <v>ja</v>
          </cell>
          <cell r="C1736" t="str">
            <v>韓湘子★６</v>
          </cell>
          <cell r="D1736" t="str">
            <v>ポムポムプリン</v>
          </cell>
          <cell r="E1736" t="str">
            <v>執行者</v>
          </cell>
          <cell r="F1736" t="str">
            <v>格好いい</v>
          </cell>
          <cell r="G1736" t="str">
            <v>女性</v>
          </cell>
          <cell r="H1736" t="str">
            <v>green</v>
          </cell>
          <cell r="I1736">
            <v>6</v>
          </cell>
          <cell r="J1736" t="str">
            <v>PremiumSSw</v>
          </cell>
          <cell r="K1736" t="str">
            <v>balance</v>
          </cell>
          <cell r="L1736" t="str">
            <v>バランスタイプ</v>
          </cell>
          <cell r="M1736" t="str">
            <v>god</v>
          </cell>
          <cell r="N1736" t="str">
            <v>ゴッド</v>
          </cell>
          <cell r="O1736" t="str">
            <v>none</v>
          </cell>
          <cell r="P1736" t="str">
            <v>種族なし</v>
          </cell>
          <cell r="Q1736" t="str">
            <v>アタッカー</v>
          </cell>
          <cell r="R1736">
            <v>1</v>
          </cell>
          <cell r="S1736" t="str">
            <v>NULL</v>
          </cell>
          <cell r="T1736" t="str">
            <v>normal</v>
          </cell>
        </row>
        <row r="1737">
          <cell r="A1737">
            <v>8101</v>
          </cell>
          <cell r="B1737" t="str">
            <v>ja</v>
          </cell>
          <cell r="C1737" t="str">
            <v>張果老</v>
          </cell>
          <cell r="D1737" t="str">
            <v>ポムポムプリン</v>
          </cell>
          <cell r="E1737" t="str">
            <v>執行者</v>
          </cell>
          <cell r="F1737" t="str">
            <v>格好いい</v>
          </cell>
          <cell r="G1737" t="str">
            <v>女性</v>
          </cell>
          <cell r="H1737" t="str">
            <v>yellow</v>
          </cell>
          <cell r="I1737">
            <v>5</v>
          </cell>
          <cell r="J1737" t="str">
            <v>DropWizS</v>
          </cell>
          <cell r="K1737" t="str">
            <v>attack</v>
          </cell>
          <cell r="L1737" t="str">
            <v>攻撃タイプ</v>
          </cell>
          <cell r="M1737" t="str">
            <v>god</v>
          </cell>
          <cell r="N1737" t="str">
            <v>ゴッド</v>
          </cell>
          <cell r="O1737" t="str">
            <v>machine</v>
          </cell>
          <cell r="P1737" t="str">
            <v>マシン</v>
          </cell>
          <cell r="Q1737" t="str">
            <v>アタッカー</v>
          </cell>
          <cell r="R1737">
            <v>1</v>
          </cell>
          <cell r="S1737" t="str">
            <v>NULL</v>
          </cell>
          <cell r="T1737" t="str">
            <v>normal</v>
          </cell>
        </row>
        <row r="1738">
          <cell r="A1738">
            <v>8102</v>
          </cell>
          <cell r="B1738" t="str">
            <v>ja</v>
          </cell>
          <cell r="C1738" t="str">
            <v>張果老★６</v>
          </cell>
          <cell r="D1738" t="str">
            <v>各属性相性良3・黄・R455</v>
          </cell>
          <cell r="E1738" t="str">
            <v>執行者</v>
          </cell>
          <cell r="F1738" t="str">
            <v>格好いい</v>
          </cell>
          <cell r="G1738" t="str">
            <v>男性</v>
          </cell>
          <cell r="H1738" t="str">
            <v>yellow</v>
          </cell>
          <cell r="I1738">
            <v>6</v>
          </cell>
          <cell r="J1738" t="str">
            <v>DropWizS</v>
          </cell>
          <cell r="K1738" t="str">
            <v>attack</v>
          </cell>
          <cell r="L1738" t="str">
            <v>攻撃タイプ</v>
          </cell>
          <cell r="M1738" t="str">
            <v>god</v>
          </cell>
          <cell r="N1738" t="str">
            <v>ゴッド</v>
          </cell>
          <cell r="O1738" t="str">
            <v>machine</v>
          </cell>
          <cell r="P1738" t="str">
            <v>マシン</v>
          </cell>
          <cell r="Q1738" t="str">
            <v>アタッカー</v>
          </cell>
          <cell r="R1738">
            <v>1</v>
          </cell>
          <cell r="S1738" t="str">
            <v>NULL</v>
          </cell>
          <cell r="T1738" t="str">
            <v>normal</v>
          </cell>
        </row>
        <row r="1739">
          <cell r="A1739">
            <v>8103</v>
          </cell>
          <cell r="B1739" t="str">
            <v>ja</v>
          </cell>
          <cell r="C1739" t="str">
            <v>李鐵拐</v>
          </cell>
          <cell r="D1739" t="str">
            <v>ポムポムプリン</v>
          </cell>
          <cell r="E1739" t="str">
            <v>執行者</v>
          </cell>
          <cell r="F1739" t="str">
            <v>格好いい</v>
          </cell>
          <cell r="G1739" t="str">
            <v>女性</v>
          </cell>
          <cell r="H1739" t="str">
            <v>red</v>
          </cell>
          <cell r="I1739">
            <v>5</v>
          </cell>
          <cell r="J1739" t="str">
            <v>PremiumSSw</v>
          </cell>
          <cell r="K1739" t="str">
            <v>technical</v>
          </cell>
          <cell r="L1739" t="str">
            <v>テクニカルタイプ</v>
          </cell>
          <cell r="M1739" t="str">
            <v>god</v>
          </cell>
          <cell r="N1739" t="str">
            <v>ゴッド</v>
          </cell>
          <cell r="O1739" t="str">
            <v>none</v>
          </cell>
          <cell r="P1739" t="str">
            <v>種族なし</v>
          </cell>
          <cell r="Q1739" t="str">
            <v>アタッカー</v>
          </cell>
          <cell r="R1739">
            <v>1</v>
          </cell>
          <cell r="S1739" t="str">
            <v>NULL</v>
          </cell>
          <cell r="T1739" t="str">
            <v>normal</v>
          </cell>
        </row>
        <row r="1740">
          <cell r="A1740">
            <v>8104</v>
          </cell>
          <cell r="B1740" t="str">
            <v>ja</v>
          </cell>
          <cell r="C1740" t="str">
            <v>李鐵拐★６</v>
          </cell>
          <cell r="D1740" t="str">
            <v>各属性相性良3・黄・R455</v>
          </cell>
          <cell r="E1740" t="str">
            <v>執行者</v>
          </cell>
          <cell r="F1740" t="str">
            <v>格好いい</v>
          </cell>
          <cell r="G1740" t="str">
            <v>男性</v>
          </cell>
          <cell r="H1740" t="str">
            <v>red</v>
          </cell>
          <cell r="I1740">
            <v>6</v>
          </cell>
          <cell r="J1740" t="str">
            <v>PremiumSSw</v>
          </cell>
          <cell r="K1740" t="str">
            <v>technical</v>
          </cell>
          <cell r="L1740" t="str">
            <v>テクニカルタイプ</v>
          </cell>
          <cell r="M1740" t="str">
            <v>god</v>
          </cell>
          <cell r="N1740" t="str">
            <v>ゴッド</v>
          </cell>
          <cell r="O1740" t="str">
            <v>none</v>
          </cell>
          <cell r="P1740" t="str">
            <v>種族なし</v>
          </cell>
          <cell r="Q1740" t="str">
            <v>アタッカー</v>
          </cell>
          <cell r="R1740">
            <v>1</v>
          </cell>
          <cell r="S1740" t="str">
            <v>NULL</v>
          </cell>
          <cell r="T1740" t="str">
            <v>normal</v>
          </cell>
        </row>
        <row r="1741">
          <cell r="A1741">
            <v>8105</v>
          </cell>
          <cell r="B1741" t="str">
            <v>ja</v>
          </cell>
          <cell r="C1741" t="str">
            <v>曹國舅</v>
          </cell>
          <cell r="D1741" t="str">
            <v>ポムポムプリン</v>
          </cell>
          <cell r="E1741" t="str">
            <v>執行者</v>
          </cell>
          <cell r="F1741" t="str">
            <v>格好いい</v>
          </cell>
          <cell r="G1741" t="str">
            <v>女性</v>
          </cell>
          <cell r="H1741" t="str">
            <v>green</v>
          </cell>
          <cell r="I1741">
            <v>5</v>
          </cell>
          <cell r="J1741" t="str">
            <v>DropWizS</v>
          </cell>
          <cell r="K1741" t="str">
            <v>hp</v>
          </cell>
          <cell r="L1741" t="str">
            <v>体力タイプ</v>
          </cell>
          <cell r="M1741" t="str">
            <v>god</v>
          </cell>
          <cell r="N1741" t="str">
            <v>ゴッド</v>
          </cell>
          <cell r="O1741" t="str">
            <v>human</v>
          </cell>
          <cell r="P1741" t="str">
            <v>ヒューマン</v>
          </cell>
          <cell r="Q1741" t="str">
            <v>アタッカー</v>
          </cell>
          <cell r="R1741">
            <v>1</v>
          </cell>
          <cell r="S1741" t="str">
            <v>NULL</v>
          </cell>
          <cell r="T1741" t="str">
            <v>normal</v>
          </cell>
        </row>
        <row r="1742">
          <cell r="A1742">
            <v>8106</v>
          </cell>
          <cell r="B1742" t="str">
            <v>ja</v>
          </cell>
          <cell r="C1742" t="str">
            <v>曹國舅★６</v>
          </cell>
          <cell r="D1742" t="str">
            <v>各属性相性良3・黄・R455</v>
          </cell>
          <cell r="E1742" t="str">
            <v>執行者</v>
          </cell>
          <cell r="F1742" t="str">
            <v>格好いい</v>
          </cell>
          <cell r="G1742" t="str">
            <v>男性</v>
          </cell>
          <cell r="H1742" t="str">
            <v>green</v>
          </cell>
          <cell r="I1742">
            <v>6</v>
          </cell>
          <cell r="J1742" t="str">
            <v>DropWizS</v>
          </cell>
          <cell r="K1742" t="str">
            <v>hp</v>
          </cell>
          <cell r="L1742" t="str">
            <v>体力タイプ</v>
          </cell>
          <cell r="M1742" t="str">
            <v>god</v>
          </cell>
          <cell r="N1742" t="str">
            <v>ゴッド</v>
          </cell>
          <cell r="O1742" t="str">
            <v>human</v>
          </cell>
          <cell r="P1742" t="str">
            <v>ヒューマン</v>
          </cell>
          <cell r="Q1742" t="str">
            <v>アタッカー</v>
          </cell>
          <cell r="R1742">
            <v>1</v>
          </cell>
          <cell r="S1742" t="str">
            <v>NULL</v>
          </cell>
          <cell r="T1742" t="str">
            <v>normal</v>
          </cell>
        </row>
        <row r="1743">
          <cell r="A1743">
            <v>8111</v>
          </cell>
          <cell r="B1743" t="str">
            <v>ja</v>
          </cell>
          <cell r="C1743" t="str">
            <v>福德正神</v>
          </cell>
          <cell r="H1743" t="str">
            <v>blue</v>
          </cell>
          <cell r="I1743">
            <v>5</v>
          </cell>
          <cell r="J1743" t="str">
            <v>DropWizS</v>
          </cell>
          <cell r="K1743" t="str">
            <v>balance</v>
          </cell>
          <cell r="L1743" t="str">
            <v>バランスタイプ</v>
          </cell>
          <cell r="M1743" t="str">
            <v>god</v>
          </cell>
          <cell r="N1743" t="str">
            <v>ゴッド</v>
          </cell>
          <cell r="O1743" t="str">
            <v>none</v>
          </cell>
          <cell r="P1743" t="str">
            <v>種族なし</v>
          </cell>
          <cell r="Q1743" t="str">
            <v>アタッカー</v>
          </cell>
          <cell r="R1743">
            <v>1</v>
          </cell>
          <cell r="S1743" t="str">
            <v>NULL</v>
          </cell>
          <cell r="T1743" t="str">
            <v>normal</v>
          </cell>
        </row>
        <row r="1744">
          <cell r="A1744">
            <v>8112</v>
          </cell>
          <cell r="B1744" t="str">
            <v>ja</v>
          </cell>
          <cell r="C1744" t="str">
            <v>福德正神★６</v>
          </cell>
          <cell r="H1744" t="str">
            <v>blue</v>
          </cell>
          <cell r="I1744">
            <v>6</v>
          </cell>
          <cell r="J1744" t="str">
            <v>DropWizS</v>
          </cell>
          <cell r="K1744" t="str">
            <v>balance</v>
          </cell>
          <cell r="L1744" t="str">
            <v>バランスタイプ</v>
          </cell>
          <cell r="M1744" t="str">
            <v>god</v>
          </cell>
          <cell r="N1744" t="str">
            <v>ゴッド</v>
          </cell>
          <cell r="O1744" t="str">
            <v>none</v>
          </cell>
          <cell r="P1744" t="str">
            <v>種族なし</v>
          </cell>
          <cell r="Q1744" t="str">
            <v>アタッカー</v>
          </cell>
          <cell r="R1744">
            <v>1</v>
          </cell>
          <cell r="S1744" t="str">
            <v>NULL</v>
          </cell>
          <cell r="T1744" t="str">
            <v>normal</v>
          </cell>
        </row>
        <row r="1745">
          <cell r="A1745">
            <v>8113</v>
          </cell>
          <cell r="B1745" t="str">
            <v>ja</v>
          </cell>
          <cell r="C1745" t="str">
            <v>孔子</v>
          </cell>
          <cell r="H1745" t="str">
            <v>yellow</v>
          </cell>
          <cell r="I1745">
            <v>5</v>
          </cell>
          <cell r="J1745" t="str">
            <v>PremiumSSS</v>
          </cell>
          <cell r="K1745" t="str">
            <v>attack</v>
          </cell>
          <cell r="L1745" t="str">
            <v>攻撃タイプ</v>
          </cell>
          <cell r="M1745" t="str">
            <v>academia</v>
          </cell>
          <cell r="N1745" t="str">
            <v>アカデミア</v>
          </cell>
          <cell r="O1745" t="str">
            <v>hero</v>
          </cell>
          <cell r="P1745" t="str">
            <v>ヒーロー</v>
          </cell>
          <cell r="Q1745" t="str">
            <v>アタッカー</v>
          </cell>
          <cell r="R1745">
            <v>1</v>
          </cell>
          <cell r="S1745" t="str">
            <v>NULL</v>
          </cell>
          <cell r="T1745" t="str">
            <v>normal</v>
          </cell>
        </row>
        <row r="1746">
          <cell r="A1746">
            <v>8114</v>
          </cell>
          <cell r="B1746" t="str">
            <v>ja</v>
          </cell>
          <cell r="C1746" t="str">
            <v>孔子★６</v>
          </cell>
          <cell r="H1746" t="str">
            <v>yellow</v>
          </cell>
          <cell r="I1746">
            <v>6</v>
          </cell>
          <cell r="J1746" t="str">
            <v>PremiumSSS</v>
          </cell>
          <cell r="K1746" t="str">
            <v>attack</v>
          </cell>
          <cell r="L1746" t="str">
            <v>攻撃タイプ</v>
          </cell>
          <cell r="M1746" t="str">
            <v>academia</v>
          </cell>
          <cell r="N1746" t="str">
            <v>アカデミア</v>
          </cell>
          <cell r="O1746" t="str">
            <v>hero</v>
          </cell>
          <cell r="P1746" t="str">
            <v>ヒーロー</v>
          </cell>
          <cell r="Q1746" t="str">
            <v>アタッカー</v>
          </cell>
          <cell r="R1746">
            <v>1</v>
          </cell>
          <cell r="S1746" t="str">
            <v>NULL</v>
          </cell>
          <cell r="T1746" t="str">
            <v>normal</v>
          </cell>
        </row>
        <row r="1747">
          <cell r="A1747">
            <v>8115</v>
          </cell>
          <cell r="B1747" t="str">
            <v>ja</v>
          </cell>
          <cell r="C1747" t="str">
            <v>贏政</v>
          </cell>
          <cell r="H1747" t="str">
            <v>blue</v>
          </cell>
          <cell r="I1747">
            <v>5</v>
          </cell>
          <cell r="J1747" t="str">
            <v>DropWizSS</v>
          </cell>
          <cell r="K1747" t="str">
            <v>attack</v>
          </cell>
          <cell r="L1747" t="str">
            <v>攻撃タイプ</v>
          </cell>
          <cell r="M1747" t="str">
            <v>human</v>
          </cell>
          <cell r="N1747" t="str">
            <v>ヒューマン</v>
          </cell>
          <cell r="O1747" t="str">
            <v>dragon</v>
          </cell>
          <cell r="P1747" t="str">
            <v>ドラゴン</v>
          </cell>
          <cell r="Q1747" t="str">
            <v>アタッカー</v>
          </cell>
          <cell r="R1747">
            <v>1</v>
          </cell>
          <cell r="S1747" t="str">
            <v>NULL</v>
          </cell>
          <cell r="T1747" t="str">
            <v>normal</v>
          </cell>
        </row>
        <row r="1748">
          <cell r="A1748">
            <v>8116</v>
          </cell>
          <cell r="B1748" t="str">
            <v>ja</v>
          </cell>
          <cell r="C1748" t="str">
            <v>贏政★６</v>
          </cell>
          <cell r="H1748" t="str">
            <v>blue</v>
          </cell>
          <cell r="I1748">
            <v>6</v>
          </cell>
          <cell r="J1748" t="str">
            <v>DropWizSS</v>
          </cell>
          <cell r="K1748" t="str">
            <v>attack</v>
          </cell>
          <cell r="L1748" t="str">
            <v>攻撃タイプ</v>
          </cell>
          <cell r="M1748" t="str">
            <v>human</v>
          </cell>
          <cell r="N1748" t="str">
            <v>ヒューマン</v>
          </cell>
          <cell r="O1748" t="str">
            <v>dragon</v>
          </cell>
          <cell r="P1748" t="str">
            <v>ドラゴン</v>
          </cell>
          <cell r="Q1748" t="str">
            <v>アタッカー</v>
          </cell>
          <cell r="R1748">
            <v>1</v>
          </cell>
          <cell r="S1748" t="str">
            <v>NULL</v>
          </cell>
          <cell r="T1748" t="str">
            <v>normal</v>
          </cell>
        </row>
        <row r="1749">
          <cell r="A1749">
            <v>8117</v>
          </cell>
          <cell r="B1749" t="str">
            <v>ja</v>
          </cell>
          <cell r="C1749" t="str">
            <v>白娘子</v>
          </cell>
          <cell r="D1749" t="str">
            <v>ポムポムプリン</v>
          </cell>
          <cell r="E1749" t="str">
            <v>執行者</v>
          </cell>
          <cell r="F1749" t="str">
            <v>格好いい</v>
          </cell>
          <cell r="G1749" t="str">
            <v>女性</v>
          </cell>
          <cell r="H1749" t="str">
            <v>green</v>
          </cell>
          <cell r="I1749">
            <v>5</v>
          </cell>
          <cell r="J1749" t="str">
            <v>PremiumSSw</v>
          </cell>
          <cell r="K1749" t="str">
            <v>heal</v>
          </cell>
          <cell r="L1749" t="str">
            <v>回復タイプ</v>
          </cell>
          <cell r="M1749" t="str">
            <v>dragon</v>
          </cell>
          <cell r="N1749" t="str">
            <v>ドラゴン</v>
          </cell>
          <cell r="O1749" t="str">
            <v>fantasy</v>
          </cell>
          <cell r="P1749" t="str">
            <v>ファンタジー</v>
          </cell>
          <cell r="Q1749" t="str">
            <v>アタッカー</v>
          </cell>
          <cell r="R1749">
            <v>1</v>
          </cell>
          <cell r="S1749" t="str">
            <v>NULL</v>
          </cell>
          <cell r="T1749" t="str">
            <v>normal</v>
          </cell>
        </row>
        <row r="1750">
          <cell r="A1750">
            <v>8118</v>
          </cell>
          <cell r="B1750" t="str">
            <v>ja</v>
          </cell>
          <cell r="C1750" t="str">
            <v>白娘子★６</v>
          </cell>
          <cell r="D1750" t="str">
            <v>ポムポムプリン</v>
          </cell>
          <cell r="E1750" t="str">
            <v>執行者</v>
          </cell>
          <cell r="F1750" t="str">
            <v>格好いい</v>
          </cell>
          <cell r="G1750" t="str">
            <v>女性</v>
          </cell>
          <cell r="H1750" t="str">
            <v>green</v>
          </cell>
          <cell r="I1750">
            <v>6</v>
          </cell>
          <cell r="J1750" t="str">
            <v>PremiumSSw</v>
          </cell>
          <cell r="K1750" t="str">
            <v>heal</v>
          </cell>
          <cell r="L1750" t="str">
            <v>回復タイプ</v>
          </cell>
          <cell r="M1750" t="str">
            <v>dragon</v>
          </cell>
          <cell r="N1750" t="str">
            <v>ドラゴン</v>
          </cell>
          <cell r="O1750" t="str">
            <v>fantasy</v>
          </cell>
          <cell r="P1750" t="str">
            <v>ファンタジー</v>
          </cell>
          <cell r="Q1750" t="str">
            <v>アタッカー</v>
          </cell>
          <cell r="R1750">
            <v>1</v>
          </cell>
          <cell r="S1750" t="str">
            <v>NULL</v>
          </cell>
          <cell r="T1750" t="str">
            <v>normal</v>
          </cell>
        </row>
        <row r="1751">
          <cell r="A1751">
            <v>8119</v>
          </cell>
          <cell r="B1751" t="str">
            <v>ja</v>
          </cell>
          <cell r="C1751" t="str">
            <v>小青</v>
          </cell>
          <cell r="D1751" t="str">
            <v>ポムポムプリン</v>
          </cell>
          <cell r="E1751" t="str">
            <v>執行者</v>
          </cell>
          <cell r="F1751" t="str">
            <v>格好いい</v>
          </cell>
          <cell r="G1751" t="str">
            <v>女性</v>
          </cell>
          <cell r="H1751" t="str">
            <v>green</v>
          </cell>
          <cell r="I1751">
            <v>5</v>
          </cell>
          <cell r="J1751" t="str">
            <v>PremiumSS</v>
          </cell>
          <cell r="K1751" t="str">
            <v>attack</v>
          </cell>
          <cell r="L1751" t="str">
            <v>攻撃タイプ</v>
          </cell>
          <cell r="M1751" t="str">
            <v>dragon</v>
          </cell>
          <cell r="N1751" t="str">
            <v>ドラゴン</v>
          </cell>
          <cell r="O1751" t="str">
            <v>fantasy</v>
          </cell>
          <cell r="P1751" t="str">
            <v>ファンタジー</v>
          </cell>
          <cell r="Q1751" t="str">
            <v>アタッカー</v>
          </cell>
          <cell r="R1751">
            <v>1</v>
          </cell>
          <cell r="S1751" t="str">
            <v>NULL</v>
          </cell>
          <cell r="T1751" t="str">
            <v>normal</v>
          </cell>
        </row>
        <row r="1752">
          <cell r="A1752">
            <v>8120</v>
          </cell>
          <cell r="B1752" t="str">
            <v>ja</v>
          </cell>
          <cell r="C1752" t="str">
            <v>小青★６</v>
          </cell>
          <cell r="D1752" t="str">
            <v>ポムポムプリン</v>
          </cell>
          <cell r="E1752" t="str">
            <v>執行者</v>
          </cell>
          <cell r="F1752" t="str">
            <v>格好いい</v>
          </cell>
          <cell r="G1752" t="str">
            <v>女性</v>
          </cell>
          <cell r="H1752" t="str">
            <v>green</v>
          </cell>
          <cell r="I1752">
            <v>6</v>
          </cell>
          <cell r="J1752" t="str">
            <v>PremiumSS</v>
          </cell>
          <cell r="K1752" t="str">
            <v>attack</v>
          </cell>
          <cell r="L1752" t="str">
            <v>攻撃タイプ</v>
          </cell>
          <cell r="M1752" t="str">
            <v>dragon</v>
          </cell>
          <cell r="N1752" t="str">
            <v>ドラゴン</v>
          </cell>
          <cell r="O1752" t="str">
            <v>fantasy</v>
          </cell>
          <cell r="P1752" t="str">
            <v>ファンタジー</v>
          </cell>
          <cell r="Q1752" t="str">
            <v>アタッカー</v>
          </cell>
          <cell r="R1752">
            <v>1</v>
          </cell>
          <cell r="S1752" t="str">
            <v>NULL</v>
          </cell>
          <cell r="T1752" t="str">
            <v>normal</v>
          </cell>
        </row>
        <row r="1753">
          <cell r="A1753">
            <v>8121</v>
          </cell>
          <cell r="B1753" t="str">
            <v>ja</v>
          </cell>
          <cell r="C1753" t="str">
            <v>法海</v>
          </cell>
          <cell r="D1753" t="str">
            <v>ポムポムプリン</v>
          </cell>
          <cell r="E1753" t="str">
            <v>執行者</v>
          </cell>
          <cell r="F1753" t="str">
            <v>格好いい</v>
          </cell>
          <cell r="G1753" t="str">
            <v>女性</v>
          </cell>
          <cell r="H1753" t="str">
            <v>yellow</v>
          </cell>
          <cell r="I1753">
            <v>5</v>
          </cell>
          <cell r="J1753" t="str">
            <v>DropWizS</v>
          </cell>
          <cell r="K1753" t="str">
            <v>attack</v>
          </cell>
          <cell r="L1753" t="str">
            <v>攻撃タイプ</v>
          </cell>
          <cell r="M1753" t="str">
            <v>human</v>
          </cell>
          <cell r="N1753" t="str">
            <v>ヒューマン</v>
          </cell>
          <cell r="O1753" t="str">
            <v>machine</v>
          </cell>
          <cell r="P1753" t="str">
            <v>マシン</v>
          </cell>
          <cell r="Q1753" t="str">
            <v>アタッカー</v>
          </cell>
          <cell r="R1753">
            <v>1</v>
          </cell>
          <cell r="S1753" t="str">
            <v>NULL</v>
          </cell>
          <cell r="T1753" t="str">
            <v>normal</v>
          </cell>
        </row>
        <row r="1754">
          <cell r="A1754">
            <v>8122</v>
          </cell>
          <cell r="B1754" t="str">
            <v>ja</v>
          </cell>
          <cell r="C1754" t="str">
            <v>法海★６</v>
          </cell>
          <cell r="D1754" t="str">
            <v>各属性相性良3・黄・R455</v>
          </cell>
          <cell r="E1754" t="str">
            <v>執行者</v>
          </cell>
          <cell r="F1754" t="str">
            <v>格好いい</v>
          </cell>
          <cell r="G1754" t="str">
            <v>男性</v>
          </cell>
          <cell r="H1754" t="str">
            <v>yellow</v>
          </cell>
          <cell r="I1754">
            <v>6</v>
          </cell>
          <cell r="J1754" t="str">
            <v>DropWizS</v>
          </cell>
          <cell r="K1754" t="str">
            <v>attack</v>
          </cell>
          <cell r="L1754" t="str">
            <v>攻撃タイプ</v>
          </cell>
          <cell r="M1754" t="str">
            <v>human</v>
          </cell>
          <cell r="N1754" t="str">
            <v>ヒューマン</v>
          </cell>
          <cell r="O1754" t="str">
            <v>machine</v>
          </cell>
          <cell r="P1754" t="str">
            <v>マシン</v>
          </cell>
          <cell r="Q1754" t="str">
            <v>アタッカー</v>
          </cell>
          <cell r="R1754">
            <v>1</v>
          </cell>
          <cell r="S1754" t="str">
            <v>NULL</v>
          </cell>
          <cell r="T1754" t="str">
            <v>normal</v>
          </cell>
        </row>
        <row r="1755">
          <cell r="A1755">
            <v>8123</v>
          </cell>
          <cell r="B1755" t="str">
            <v>ja</v>
          </cell>
          <cell r="C1755" t="str">
            <v>哪吒</v>
          </cell>
          <cell r="D1755" t="str">
            <v>各属性相性良3・黄・R455</v>
          </cell>
          <cell r="E1755" t="str">
            <v>執行者</v>
          </cell>
          <cell r="F1755" t="str">
            <v>格好いい</v>
          </cell>
          <cell r="G1755" t="str">
            <v>男性</v>
          </cell>
          <cell r="H1755" t="str">
            <v>yellow</v>
          </cell>
          <cell r="I1755">
            <v>6</v>
          </cell>
          <cell r="J1755" t="str">
            <v>DropWizS</v>
          </cell>
          <cell r="K1755" t="str">
            <v>attack</v>
          </cell>
          <cell r="L1755" t="str">
            <v>攻撃タイプ</v>
          </cell>
          <cell r="M1755" t="str">
            <v>human</v>
          </cell>
          <cell r="N1755" t="str">
            <v>ヒューマン</v>
          </cell>
          <cell r="O1755" t="str">
            <v>none</v>
          </cell>
          <cell r="P1755" t="str">
            <v>種族なし</v>
          </cell>
          <cell r="Q1755" t="str">
            <v>アタッカー</v>
          </cell>
          <cell r="R1755">
            <v>1</v>
          </cell>
          <cell r="S1755" t="str">
            <v>NULL</v>
          </cell>
          <cell r="T1755" t="str">
            <v>normal</v>
          </cell>
        </row>
        <row r="1756">
          <cell r="A1756">
            <v>8124</v>
          </cell>
          <cell r="B1756" t="str">
            <v>ja</v>
          </cell>
          <cell r="C1756" t="str">
            <v>★6哪吒</v>
          </cell>
          <cell r="D1756" t="str">
            <v>各属性相性良3・黄・R455</v>
          </cell>
          <cell r="E1756" t="str">
            <v>執行者</v>
          </cell>
          <cell r="F1756" t="str">
            <v>格好いい</v>
          </cell>
          <cell r="G1756" t="str">
            <v>男性</v>
          </cell>
          <cell r="H1756" t="str">
            <v>yellow</v>
          </cell>
          <cell r="I1756">
            <v>6</v>
          </cell>
          <cell r="J1756" t="str">
            <v>DropWizS</v>
          </cell>
          <cell r="K1756" t="str">
            <v>attack</v>
          </cell>
          <cell r="L1756" t="str">
            <v>攻撃タイプ</v>
          </cell>
          <cell r="M1756" t="str">
            <v>human</v>
          </cell>
          <cell r="N1756" t="str">
            <v>ヒューマン</v>
          </cell>
          <cell r="O1756" t="str">
            <v>none</v>
          </cell>
          <cell r="P1756" t="str">
            <v>種族なし</v>
          </cell>
          <cell r="Q1756" t="str">
            <v>アタッカー</v>
          </cell>
          <cell r="R1756">
            <v>1</v>
          </cell>
          <cell r="S1756" t="str">
            <v>NULL</v>
          </cell>
          <cell r="T1756" t="str">
            <v>normal</v>
          </cell>
        </row>
        <row r="1757">
          <cell r="A1757">
            <v>8125</v>
          </cell>
          <cell r="B1757" t="str">
            <v>ja</v>
          </cell>
          <cell r="C1757" t="str">
            <v>東海龍王</v>
          </cell>
          <cell r="D1757" t="str">
            <v>各属性相性良3・黄・R455</v>
          </cell>
          <cell r="E1757" t="str">
            <v>執行者</v>
          </cell>
          <cell r="F1757" t="str">
            <v>格好いい</v>
          </cell>
          <cell r="G1757" t="str">
            <v>男性</v>
          </cell>
          <cell r="H1757" t="str">
            <v>yellow</v>
          </cell>
          <cell r="I1757">
            <v>6</v>
          </cell>
          <cell r="J1757" t="str">
            <v>DropWizS</v>
          </cell>
          <cell r="K1757" t="str">
            <v>attack</v>
          </cell>
          <cell r="L1757" t="str">
            <v>攻撃タイプ</v>
          </cell>
          <cell r="M1757" t="str">
            <v>human</v>
          </cell>
          <cell r="N1757" t="str">
            <v>ヒューマン</v>
          </cell>
          <cell r="O1757" t="str">
            <v>none</v>
          </cell>
          <cell r="P1757" t="str">
            <v>種族なし</v>
          </cell>
          <cell r="Q1757" t="str">
            <v>アタッカー</v>
          </cell>
          <cell r="R1757">
            <v>1</v>
          </cell>
          <cell r="S1757" t="str">
            <v>NULL</v>
          </cell>
          <cell r="T1757" t="str">
            <v>normal</v>
          </cell>
        </row>
        <row r="1758">
          <cell r="A1758">
            <v>8126</v>
          </cell>
          <cell r="B1758" t="str">
            <v>ja</v>
          </cell>
          <cell r="C1758" t="str">
            <v>★6東海龍王</v>
          </cell>
          <cell r="D1758" t="str">
            <v>各属性相性良3・黄・R455</v>
          </cell>
          <cell r="E1758" t="str">
            <v>執行者</v>
          </cell>
          <cell r="F1758" t="str">
            <v>格好いい</v>
          </cell>
          <cell r="G1758" t="str">
            <v>男性</v>
          </cell>
          <cell r="H1758" t="str">
            <v>yellow</v>
          </cell>
          <cell r="I1758">
            <v>6</v>
          </cell>
          <cell r="J1758" t="str">
            <v>DropWizS</v>
          </cell>
          <cell r="K1758" t="str">
            <v>attack</v>
          </cell>
          <cell r="L1758" t="str">
            <v>攻撃タイプ</v>
          </cell>
          <cell r="M1758" t="str">
            <v>human</v>
          </cell>
          <cell r="N1758" t="str">
            <v>ヒューマン</v>
          </cell>
          <cell r="O1758" t="str">
            <v>none</v>
          </cell>
          <cell r="P1758" t="str">
            <v>種族なし</v>
          </cell>
          <cell r="Q1758" t="str">
            <v>アタッカー</v>
          </cell>
          <cell r="R1758">
            <v>1</v>
          </cell>
          <cell r="S1758" t="str">
            <v>NULL</v>
          </cell>
          <cell r="T1758" t="str">
            <v>normal</v>
          </cell>
        </row>
        <row r="1759">
          <cell r="A1759">
            <v>8127</v>
          </cell>
          <cell r="B1759" t="str">
            <v>ja</v>
          </cell>
          <cell r="C1759" t="str">
            <v>鐵扇公主 ‧ 羅剎女</v>
          </cell>
          <cell r="D1759" t="str">
            <v>各属性相性良3・黄・R455</v>
          </cell>
          <cell r="E1759" t="str">
            <v>執行者</v>
          </cell>
          <cell r="F1759" t="str">
            <v>格好いい</v>
          </cell>
          <cell r="G1759" t="str">
            <v>男性</v>
          </cell>
          <cell r="H1759" t="str">
            <v>green</v>
          </cell>
          <cell r="I1759">
            <v>6</v>
          </cell>
          <cell r="J1759" t="str">
            <v>PremiumSSS</v>
          </cell>
          <cell r="K1759" t="str">
            <v>technical</v>
          </cell>
          <cell r="L1759" t="str">
            <v>テクニカルタイプ</v>
          </cell>
          <cell r="M1759" t="str">
            <v>demon</v>
          </cell>
          <cell r="N1759" t="str">
            <v>デーモン</v>
          </cell>
          <cell r="O1759" t="str">
            <v>none</v>
          </cell>
          <cell r="P1759" t="str">
            <v>種族なし</v>
          </cell>
          <cell r="Q1759" t="str">
            <v>アタッカー</v>
          </cell>
          <cell r="R1759">
            <v>1</v>
          </cell>
          <cell r="S1759" t="str">
            <v>NULL</v>
          </cell>
          <cell r="T1759" t="str">
            <v>normal</v>
          </cell>
        </row>
        <row r="1760">
          <cell r="A1760">
            <v>8128</v>
          </cell>
          <cell r="B1760" t="str">
            <v>ja</v>
          </cell>
          <cell r="C1760" t="str">
            <v>聖賢哲者 ‧ 唐三藏</v>
          </cell>
          <cell r="D1760" t="str">
            <v>各属性相性良3・黄・R455</v>
          </cell>
          <cell r="E1760" t="str">
            <v>執行者</v>
          </cell>
          <cell r="F1760" t="str">
            <v>格好いい</v>
          </cell>
          <cell r="G1760" t="str">
            <v>男性</v>
          </cell>
          <cell r="H1760" t="str">
            <v>green</v>
          </cell>
          <cell r="I1760">
            <v>6</v>
          </cell>
          <cell r="J1760" t="str">
            <v>PremiumSSS</v>
          </cell>
          <cell r="K1760" t="str">
            <v>balance</v>
          </cell>
          <cell r="L1760" t="str">
            <v>バランスタイプ</v>
          </cell>
          <cell r="M1760" t="str">
            <v>god</v>
          </cell>
          <cell r="N1760" t="str">
            <v>ゴッド</v>
          </cell>
          <cell r="O1760" t="str">
            <v>none</v>
          </cell>
          <cell r="P1760" t="str">
            <v>種族なし</v>
          </cell>
          <cell r="Q1760" t="str">
            <v>アタッカー</v>
          </cell>
          <cell r="R1760">
            <v>1</v>
          </cell>
          <cell r="S1760" t="str">
            <v>NULL</v>
          </cell>
          <cell r="T1760" t="str">
            <v>normal</v>
          </cell>
        </row>
        <row r="1761">
          <cell r="A1761">
            <v>8129</v>
          </cell>
          <cell r="B1761" t="str">
            <v>ja</v>
          </cell>
          <cell r="C1761" t="str">
            <v>放任孽魔 ‧ 撒旦</v>
          </cell>
          <cell r="D1761" t="str">
            <v>各属性相性良3・黄・R455</v>
          </cell>
          <cell r="E1761" t="str">
            <v>執行者</v>
          </cell>
          <cell r="F1761" t="str">
            <v>格好いい</v>
          </cell>
          <cell r="G1761" t="str">
            <v>男性</v>
          </cell>
          <cell r="H1761" t="str">
            <v>blue</v>
          </cell>
          <cell r="I1761">
            <v>6</v>
          </cell>
          <cell r="J1761" t="str">
            <v>PremiumSS</v>
          </cell>
          <cell r="K1761" t="str">
            <v>technical</v>
          </cell>
          <cell r="L1761" t="str">
            <v>テクニカルタイプ</v>
          </cell>
          <cell r="M1761" t="str">
            <v>demon</v>
          </cell>
          <cell r="N1761" t="str">
            <v>デーモン</v>
          </cell>
          <cell r="O1761" t="str">
            <v>none</v>
          </cell>
          <cell r="P1761" t="str">
            <v>種族なし</v>
          </cell>
          <cell r="Q1761" t="str">
            <v>アタッカー</v>
          </cell>
          <cell r="R1761">
            <v>1</v>
          </cell>
          <cell r="S1761" t="str">
            <v>NULL</v>
          </cell>
          <cell r="T1761" t="str">
            <v>normal</v>
          </cell>
        </row>
        <row r="1762">
          <cell r="A1762">
            <v>8130</v>
          </cell>
          <cell r="B1762" t="str">
            <v>ja</v>
          </cell>
          <cell r="C1762" t="str">
            <v>變臉火術 ‧ 切西亞</v>
          </cell>
          <cell r="D1762" t="str">
            <v>各属性相性良3・黄・R455</v>
          </cell>
          <cell r="E1762" t="str">
            <v>執行者</v>
          </cell>
          <cell r="F1762" t="str">
            <v>格好いい</v>
          </cell>
          <cell r="G1762" t="str">
            <v>男性</v>
          </cell>
          <cell r="H1762" t="str">
            <v>red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god</v>
          </cell>
          <cell r="N1762" t="str">
            <v>ゴッド</v>
          </cell>
          <cell r="O1762" t="str">
            <v>none</v>
          </cell>
          <cell r="P1762" t="str">
            <v>種族なし</v>
          </cell>
          <cell r="Q1762" t="str">
            <v>アタッカー</v>
          </cell>
          <cell r="R1762">
            <v>1</v>
          </cell>
          <cell r="S1762" t="str">
            <v>NULL</v>
          </cell>
          <cell r="T1762" t="str">
            <v>normal</v>
          </cell>
        </row>
        <row r="1763">
          <cell r="A1763">
            <v>8131</v>
          </cell>
          <cell r="B1763" t="str">
            <v>ja</v>
          </cell>
          <cell r="C1763" t="str">
            <v>預知者之歷劫 ‧ 卡珊德拉</v>
          </cell>
          <cell r="D1763" t="str">
            <v>各属性相性良3・黄・R455</v>
          </cell>
          <cell r="E1763" t="str">
            <v>執行者</v>
          </cell>
          <cell r="F1763" t="str">
            <v>格好いい</v>
          </cell>
          <cell r="G1763" t="str">
            <v>男性</v>
          </cell>
          <cell r="H1763" t="str">
            <v>blue</v>
          </cell>
          <cell r="I1763">
            <v>6</v>
          </cell>
          <cell r="J1763" t="str">
            <v>PremiumSS</v>
          </cell>
          <cell r="K1763" t="str">
            <v>heal</v>
          </cell>
          <cell r="L1763" t="str">
            <v>回復タイプ</v>
          </cell>
          <cell r="M1763" t="str">
            <v>human</v>
          </cell>
          <cell r="N1763" t="str">
            <v>ヒューマン</v>
          </cell>
          <cell r="O1763" t="str">
            <v>fantasy</v>
          </cell>
          <cell r="P1763" t="str">
            <v>ファンタジー</v>
          </cell>
          <cell r="Q1763" t="str">
            <v>アタッカー</v>
          </cell>
          <cell r="R1763">
            <v>1</v>
          </cell>
          <cell r="S1763" t="str">
            <v>NULL</v>
          </cell>
          <cell r="T1763" t="str">
            <v>normal</v>
          </cell>
        </row>
        <row r="1764">
          <cell r="A1764">
            <v>8132</v>
          </cell>
          <cell r="B1764" t="str">
            <v>ja</v>
          </cell>
          <cell r="C1764" t="str">
            <v>罪與責之承諾 ‧ 美狄亞</v>
          </cell>
          <cell r="D1764" t="str">
            <v>各属性相性良3・黄・R455</v>
          </cell>
          <cell r="E1764" t="str">
            <v>執行者</v>
          </cell>
          <cell r="F1764" t="str">
            <v>格好いい</v>
          </cell>
          <cell r="G1764" t="str">
            <v>男性</v>
          </cell>
          <cell r="H1764" t="str">
            <v>red</v>
          </cell>
          <cell r="I1764">
            <v>6</v>
          </cell>
          <cell r="J1764" t="str">
            <v>PremiumSS</v>
          </cell>
          <cell r="K1764" t="str">
            <v>attack</v>
          </cell>
          <cell r="L1764" t="str">
            <v>攻撃タイプ</v>
          </cell>
          <cell r="M1764" t="str">
            <v>human</v>
          </cell>
          <cell r="N1764" t="str">
            <v>ヒューマン</v>
          </cell>
          <cell r="O1764" t="str">
            <v>none</v>
          </cell>
          <cell r="P1764" t="str">
            <v>種族なし</v>
          </cell>
          <cell r="Q1764" t="str">
            <v>アタッカー</v>
          </cell>
          <cell r="R1764">
            <v>1</v>
          </cell>
          <cell r="S1764" t="str">
            <v>NULL</v>
          </cell>
          <cell r="T1764" t="str">
            <v>normal</v>
          </cell>
        </row>
        <row r="1765">
          <cell r="A1765">
            <v>8133</v>
          </cell>
          <cell r="B1765" t="str">
            <v>ja</v>
          </cell>
          <cell r="C1765" t="str">
            <v>大魔導士 ‧ 莫莉</v>
          </cell>
          <cell r="D1765" t="str">
            <v>各属性相性良3・黄・R455</v>
          </cell>
          <cell r="E1765" t="str">
            <v>執行者</v>
          </cell>
          <cell r="F1765" t="str">
            <v>格好いい</v>
          </cell>
          <cell r="G1765" t="str">
            <v>男性</v>
          </cell>
          <cell r="H1765" t="str">
            <v>blue</v>
          </cell>
          <cell r="I1765">
            <v>5</v>
          </cell>
          <cell r="J1765" t="str">
            <v>PremiumS</v>
          </cell>
          <cell r="K1765" t="str">
            <v>heal</v>
          </cell>
          <cell r="L1765" t="str">
            <v>回復タイプ</v>
          </cell>
          <cell r="M1765" t="str">
            <v>human</v>
          </cell>
          <cell r="N1765" t="str">
            <v>ヒューマン</v>
          </cell>
          <cell r="O1765" t="str">
            <v>hero</v>
          </cell>
          <cell r="P1765" t="str">
            <v>ヒーロー</v>
          </cell>
          <cell r="Q1765" t="str">
            <v>アタッカー</v>
          </cell>
          <cell r="R1765">
            <v>1</v>
          </cell>
          <cell r="S1765" t="str">
            <v>NULL</v>
          </cell>
          <cell r="T1765" t="str">
            <v>normal</v>
          </cell>
        </row>
        <row r="1766">
          <cell r="A1766">
            <v>8134</v>
          </cell>
          <cell r="B1766" t="str">
            <v>ja</v>
          </cell>
          <cell r="C1766" t="str">
            <v>龍焰騎士 ‧ 肖恩</v>
          </cell>
          <cell r="D1766" t="str">
            <v>各属性相性良3・黄・R455</v>
          </cell>
          <cell r="E1766" t="str">
            <v>執行者</v>
          </cell>
          <cell r="F1766" t="str">
            <v>格好いい</v>
          </cell>
          <cell r="G1766" t="str">
            <v>男性</v>
          </cell>
          <cell r="H1766" t="str">
            <v>red</v>
          </cell>
          <cell r="I1766">
            <v>5</v>
          </cell>
          <cell r="J1766" t="str">
            <v>PremiumS</v>
          </cell>
          <cell r="K1766" t="str">
            <v>balance</v>
          </cell>
          <cell r="L1766" t="str">
            <v>バランスタイプ</v>
          </cell>
          <cell r="M1766" t="str">
            <v>human</v>
          </cell>
          <cell r="N1766" t="str">
            <v>ヒューマン</v>
          </cell>
          <cell r="O1766" t="str">
            <v>hero</v>
          </cell>
          <cell r="P1766" t="str">
            <v>ヒーロー</v>
          </cell>
          <cell r="Q1766" t="str">
            <v>アタッカー</v>
          </cell>
          <cell r="R1766">
            <v>1</v>
          </cell>
          <cell r="S1766" t="str">
            <v>NULL</v>
          </cell>
          <cell r="T1766" t="str">
            <v>normal</v>
          </cell>
        </row>
        <row r="1767">
          <cell r="A1767">
            <v>8135</v>
          </cell>
          <cell r="B1767" t="str">
            <v>ja</v>
          </cell>
          <cell r="C1767" t="str">
            <v>混沌之翼 ‧ 路西法</v>
          </cell>
          <cell r="D1767" t="str">
            <v>各属性相性良3・黄・R455</v>
          </cell>
          <cell r="E1767" t="str">
            <v>執行者</v>
          </cell>
          <cell r="F1767" t="str">
            <v>格好いい</v>
          </cell>
          <cell r="G1767" t="str">
            <v>男性</v>
          </cell>
          <cell r="H1767" t="str">
            <v>yellow</v>
          </cell>
          <cell r="I1767">
            <v>5</v>
          </cell>
          <cell r="J1767" t="str">
            <v>DropWizSS</v>
          </cell>
          <cell r="K1767" t="str">
            <v>attack</v>
          </cell>
          <cell r="L1767" t="str">
            <v>攻撃タイプ</v>
          </cell>
          <cell r="M1767" t="str">
            <v>god</v>
          </cell>
          <cell r="N1767" t="str">
            <v>ゴッド</v>
          </cell>
          <cell r="O1767" t="str">
            <v>demon</v>
          </cell>
          <cell r="P1767" t="str">
            <v>デーモン</v>
          </cell>
          <cell r="Q1767" t="str">
            <v>アタッカー</v>
          </cell>
          <cell r="R1767">
            <v>1</v>
          </cell>
          <cell r="S1767" t="str">
            <v>NULL</v>
          </cell>
          <cell r="T1767" t="str">
            <v>normal</v>
          </cell>
        </row>
        <row r="1768">
          <cell r="A1768">
            <v>8136</v>
          </cell>
          <cell r="B1768" t="str">
            <v>ja</v>
          </cell>
          <cell r="C1768" t="str">
            <v>混沌之翼 ‧ 路西法★6</v>
          </cell>
          <cell r="D1768" t="str">
            <v>各属性相性良3・黄・R455</v>
          </cell>
          <cell r="E1768" t="str">
            <v>執行者</v>
          </cell>
          <cell r="F1768" t="str">
            <v>格好いい</v>
          </cell>
          <cell r="G1768" t="str">
            <v>男性</v>
          </cell>
          <cell r="H1768" t="str">
            <v>yellow</v>
          </cell>
          <cell r="I1768">
            <v>6</v>
          </cell>
          <cell r="J1768" t="str">
            <v>DropWizSS</v>
          </cell>
          <cell r="K1768" t="str">
            <v>attack</v>
          </cell>
          <cell r="L1768" t="str">
            <v>攻撃タイプ</v>
          </cell>
          <cell r="M1768" t="str">
            <v>god</v>
          </cell>
          <cell r="N1768" t="str">
            <v>ゴッド</v>
          </cell>
          <cell r="O1768" t="str">
            <v>demon</v>
          </cell>
          <cell r="P1768" t="str">
            <v>デーモン</v>
          </cell>
          <cell r="Q1768" t="str">
            <v>アタッカー</v>
          </cell>
          <cell r="R1768">
            <v>1</v>
          </cell>
          <cell r="S1768" t="str">
            <v>NULL</v>
          </cell>
          <cell r="T1768" t="str">
            <v>normal</v>
          </cell>
        </row>
        <row r="1769">
          <cell r="A1769">
            <v>8137</v>
          </cell>
          <cell r="B1769" t="str">
            <v>ja</v>
          </cell>
          <cell r="C1769" t="str">
            <v>黑巫術之疚惡 ‧ 喀耳刻</v>
          </cell>
          <cell r="D1769" t="str">
            <v>各属性相性良3・黄・R455</v>
          </cell>
          <cell r="E1769" t="str">
            <v>執行者</v>
          </cell>
          <cell r="F1769" t="str">
            <v>格好いい</v>
          </cell>
          <cell r="G1769" t="str">
            <v>男性</v>
          </cell>
          <cell r="H1769" t="str">
            <v>green</v>
          </cell>
          <cell r="I1769">
            <v>6</v>
          </cell>
          <cell r="J1769" t="str">
            <v>DropWizS</v>
          </cell>
          <cell r="K1769" t="str">
            <v>balance</v>
          </cell>
          <cell r="L1769" t="str">
            <v>バランスタイプ</v>
          </cell>
          <cell r="M1769" t="str">
            <v>human</v>
          </cell>
          <cell r="N1769" t="str">
            <v>ヒューマン</v>
          </cell>
          <cell r="O1769" t="str">
            <v>none</v>
          </cell>
          <cell r="P1769" t="str">
            <v>種族なし</v>
          </cell>
          <cell r="Q1769" t="str">
            <v>アタッカー</v>
          </cell>
          <cell r="R1769">
            <v>1</v>
          </cell>
          <cell r="S1769" t="str">
            <v>NULL</v>
          </cell>
          <cell r="T1769" t="str">
            <v>normal</v>
          </cell>
        </row>
        <row r="1770">
          <cell r="A1770">
            <v>8138</v>
          </cell>
          <cell r="B1770" t="str">
            <v>ja</v>
          </cell>
          <cell r="C1770" t="str">
            <v>死靈魔導 ‧ 安多</v>
          </cell>
          <cell r="D1770" t="str">
            <v>各属性相性良3・黄・R455</v>
          </cell>
          <cell r="E1770" t="str">
            <v>執行者</v>
          </cell>
          <cell r="F1770" t="str">
            <v>格好いい</v>
          </cell>
          <cell r="G1770" t="str">
            <v>男性</v>
          </cell>
          <cell r="H1770" t="str">
            <v>red</v>
          </cell>
          <cell r="I1770">
            <v>5</v>
          </cell>
          <cell r="J1770" t="str">
            <v>Drop2N</v>
          </cell>
          <cell r="K1770" t="str">
            <v>attack</v>
          </cell>
          <cell r="L1770" t="str">
            <v>攻撃タイプ</v>
          </cell>
          <cell r="M1770" t="str">
            <v>human</v>
          </cell>
          <cell r="N1770" t="str">
            <v>ヒューマン</v>
          </cell>
          <cell r="O1770" t="str">
            <v>hero</v>
          </cell>
          <cell r="P1770" t="str">
            <v>ヒーロー</v>
          </cell>
          <cell r="Q1770" t="str">
            <v>アタッカー</v>
          </cell>
          <cell r="R1770">
            <v>1</v>
          </cell>
          <cell r="S1770" t="str">
            <v>NULL</v>
          </cell>
          <cell r="T1770" t="str">
            <v>normal</v>
          </cell>
        </row>
        <row r="1771">
          <cell r="A1771">
            <v>9001</v>
          </cell>
          <cell r="B1771" t="str">
            <v>ja</v>
          </cell>
          <cell r="C1771" t="str">
            <v>春香</v>
          </cell>
          <cell r="D1771" t="str">
            <v>ポムポムプリン</v>
          </cell>
          <cell r="E1771" t="str">
            <v>執行者</v>
          </cell>
          <cell r="F1771" t="str">
            <v>格好いい</v>
          </cell>
          <cell r="G1771" t="str">
            <v>女性</v>
          </cell>
          <cell r="H1771" t="str">
            <v>red</v>
          </cell>
          <cell r="I1771">
            <v>5</v>
          </cell>
          <cell r="J1771" t="str">
            <v>PremiumSSw</v>
          </cell>
          <cell r="K1771" t="str">
            <v>attack</v>
          </cell>
          <cell r="L1771" t="str">
            <v>攻撃タイプ</v>
          </cell>
          <cell r="M1771" t="str">
            <v>human</v>
          </cell>
          <cell r="N1771" t="str">
            <v>ヒューマン</v>
          </cell>
          <cell r="O1771" t="str">
            <v>none</v>
          </cell>
          <cell r="P1771" t="str">
            <v>種族なし</v>
          </cell>
          <cell r="Q1771" t="str">
            <v>アタッカー</v>
          </cell>
          <cell r="R1771">
            <v>1</v>
          </cell>
          <cell r="S1771" t="str">
            <v>NULL</v>
          </cell>
          <cell r="T1771" t="str">
            <v>normal</v>
          </cell>
        </row>
        <row r="1772">
          <cell r="A1772">
            <v>9002</v>
          </cell>
          <cell r="B1772" t="str">
            <v>ja</v>
          </cell>
          <cell r="C1772" t="str">
            <v>春香★６</v>
          </cell>
          <cell r="D1772" t="str">
            <v>ポムポムプリン</v>
          </cell>
          <cell r="E1772" t="str">
            <v>執行者</v>
          </cell>
          <cell r="F1772" t="str">
            <v>格好いい</v>
          </cell>
          <cell r="G1772" t="str">
            <v>女性</v>
          </cell>
          <cell r="H1772" t="str">
            <v>red</v>
          </cell>
          <cell r="I1772">
            <v>6</v>
          </cell>
          <cell r="J1772" t="str">
            <v>PremiumSSw</v>
          </cell>
          <cell r="K1772" t="str">
            <v>attack</v>
          </cell>
          <cell r="L1772" t="str">
            <v>攻撃タイプ</v>
          </cell>
          <cell r="M1772" t="str">
            <v>human</v>
          </cell>
          <cell r="N1772" t="str">
            <v>ヒューマン</v>
          </cell>
          <cell r="O1772" t="str">
            <v>none</v>
          </cell>
          <cell r="P1772" t="str">
            <v>種族なし</v>
          </cell>
          <cell r="Q1772" t="str">
            <v>アタッカー</v>
          </cell>
          <cell r="R1772">
            <v>1</v>
          </cell>
          <cell r="S1772" t="str">
            <v>NULL</v>
          </cell>
          <cell r="T1772" t="str">
            <v>normal</v>
          </cell>
        </row>
        <row r="1773">
          <cell r="A1773">
            <v>9003</v>
          </cell>
          <cell r="B1773" t="str">
            <v>ja</v>
          </cell>
          <cell r="C1773" t="str">
            <v>夢龍</v>
          </cell>
          <cell r="D1773" t="str">
            <v>ポムポムプリン</v>
          </cell>
          <cell r="E1773" t="str">
            <v>執行者</v>
          </cell>
          <cell r="F1773" t="str">
            <v>格好いい</v>
          </cell>
          <cell r="G1773" t="str">
            <v>女性</v>
          </cell>
          <cell r="H1773" t="str">
            <v>green</v>
          </cell>
          <cell r="I1773">
            <v>5</v>
          </cell>
          <cell r="J1773" t="str">
            <v>DropWizS</v>
          </cell>
          <cell r="K1773" t="str">
            <v>heal</v>
          </cell>
          <cell r="L1773" t="str">
            <v>回復タイプ</v>
          </cell>
          <cell r="M1773" t="str">
            <v>dragon</v>
          </cell>
          <cell r="N1773" t="str">
            <v>ドラゴン</v>
          </cell>
          <cell r="O1773" t="str">
            <v>human</v>
          </cell>
          <cell r="P1773" t="str">
            <v>ヒューマン</v>
          </cell>
          <cell r="Q1773" t="str">
            <v>アタッカー</v>
          </cell>
          <cell r="R1773">
            <v>1</v>
          </cell>
          <cell r="S1773" t="str">
            <v>NULL</v>
          </cell>
          <cell r="T1773" t="str">
            <v>normal</v>
          </cell>
        </row>
        <row r="1774">
          <cell r="A1774">
            <v>9004</v>
          </cell>
          <cell r="B1774" t="str">
            <v>ja</v>
          </cell>
          <cell r="C1774" t="str">
            <v>夢龍★６</v>
          </cell>
          <cell r="D1774" t="str">
            <v>各属性相性良3・黄・R455</v>
          </cell>
          <cell r="E1774" t="str">
            <v>執行者</v>
          </cell>
          <cell r="F1774" t="str">
            <v>格好いい</v>
          </cell>
          <cell r="G1774" t="str">
            <v>男性</v>
          </cell>
          <cell r="H1774" t="str">
            <v>green</v>
          </cell>
          <cell r="I1774">
            <v>6</v>
          </cell>
          <cell r="J1774" t="str">
            <v>DropWizS</v>
          </cell>
          <cell r="K1774" t="str">
            <v>heal</v>
          </cell>
          <cell r="L1774" t="str">
            <v>回復タイプ</v>
          </cell>
          <cell r="M1774" t="str">
            <v>dragon</v>
          </cell>
          <cell r="N1774" t="str">
            <v>ドラゴン</v>
          </cell>
          <cell r="O1774" t="str">
            <v>human</v>
          </cell>
          <cell r="P1774" t="str">
            <v>ヒューマン</v>
          </cell>
          <cell r="Q1774" t="str">
            <v>アタッカー</v>
          </cell>
          <cell r="R1774">
            <v>1</v>
          </cell>
          <cell r="S1774" t="str">
            <v>NULL</v>
          </cell>
          <cell r="T1774" t="str">
            <v>normal</v>
          </cell>
        </row>
        <row r="1775">
          <cell r="A1775">
            <v>9005</v>
          </cell>
          <cell r="B1775" t="str">
            <v>ja</v>
          </cell>
          <cell r="C1775" t="str">
            <v>降臨</v>
          </cell>
          <cell r="D1775" t="str">
            <v>ポムポムプリン</v>
          </cell>
          <cell r="E1775" t="str">
            <v>執行者</v>
          </cell>
          <cell r="F1775" t="str">
            <v>格好いい</v>
          </cell>
          <cell r="G1775" t="str">
            <v>女性</v>
          </cell>
          <cell r="H1775" t="str">
            <v>blue</v>
          </cell>
          <cell r="I1775">
            <v>5</v>
          </cell>
          <cell r="J1775" t="str">
            <v>PremiumSSw</v>
          </cell>
          <cell r="K1775" t="str">
            <v>hp</v>
          </cell>
          <cell r="L1775" t="str">
            <v>体力タイプ</v>
          </cell>
          <cell r="M1775" t="str">
            <v>demon</v>
          </cell>
          <cell r="N1775" t="str">
            <v>デーモン</v>
          </cell>
          <cell r="O1775" t="str">
            <v>none</v>
          </cell>
          <cell r="P1775" t="str">
            <v>種族なし</v>
          </cell>
          <cell r="Q1775" t="str">
            <v>アタッカー</v>
          </cell>
          <cell r="R1775">
            <v>1</v>
          </cell>
          <cell r="S1775" t="str">
            <v>NULL</v>
          </cell>
          <cell r="T1775" t="str">
            <v>normal</v>
          </cell>
        </row>
        <row r="1776">
          <cell r="A1776">
            <v>9006</v>
          </cell>
          <cell r="B1776" t="str">
            <v>ja</v>
          </cell>
          <cell r="C1776" t="str">
            <v>降臨★６</v>
          </cell>
          <cell r="D1776" t="str">
            <v>ポムポムプリン</v>
          </cell>
          <cell r="E1776" t="str">
            <v>執行者</v>
          </cell>
          <cell r="F1776" t="str">
            <v>格好いい</v>
          </cell>
          <cell r="G1776" t="str">
            <v>女性</v>
          </cell>
          <cell r="H1776" t="str">
            <v>blue</v>
          </cell>
          <cell r="I1776">
            <v>6</v>
          </cell>
          <cell r="J1776" t="str">
            <v>PremiumSSw</v>
          </cell>
          <cell r="K1776" t="str">
            <v>hp</v>
          </cell>
          <cell r="L1776" t="str">
            <v>体力タイプ</v>
          </cell>
          <cell r="M1776" t="str">
            <v>demon</v>
          </cell>
          <cell r="N1776" t="str">
            <v>デーモン</v>
          </cell>
          <cell r="O1776" t="str">
            <v>none</v>
          </cell>
          <cell r="P1776" t="str">
            <v>種族なし</v>
          </cell>
          <cell r="Q1776" t="str">
            <v>アタッカー</v>
          </cell>
          <cell r="R1776">
            <v>1</v>
          </cell>
          <cell r="S1776" t="str">
            <v>NULL</v>
          </cell>
          <cell r="T1776" t="str">
            <v>normal</v>
          </cell>
        </row>
        <row r="1777">
          <cell r="A1777">
            <v>9007</v>
          </cell>
          <cell r="B1777" t="str">
            <v>ja</v>
          </cell>
          <cell r="C1777" t="str">
            <v>田禹治</v>
          </cell>
          <cell r="D1777" t="str">
            <v>ポムポムプリン</v>
          </cell>
          <cell r="E1777" t="str">
            <v>執行者</v>
          </cell>
          <cell r="F1777" t="str">
            <v>格好いい</v>
          </cell>
          <cell r="G1777" t="str">
            <v>女性</v>
          </cell>
          <cell r="H1777" t="str">
            <v>red</v>
          </cell>
          <cell r="I1777">
            <v>5</v>
          </cell>
          <cell r="J1777" t="str">
            <v>DropWizS</v>
          </cell>
          <cell r="K1777" t="str">
            <v>technical</v>
          </cell>
          <cell r="L1777" t="str">
            <v>テクニカルタイプ</v>
          </cell>
          <cell r="M1777" t="str">
            <v>hero</v>
          </cell>
          <cell r="N1777" t="str">
            <v>ヒーロー</v>
          </cell>
          <cell r="O1777" t="str">
            <v>none</v>
          </cell>
          <cell r="P1777" t="str">
            <v>種族なし</v>
          </cell>
          <cell r="Q1777" t="str">
            <v>アタッカー</v>
          </cell>
          <cell r="R1777">
            <v>1</v>
          </cell>
          <cell r="S1777" t="str">
            <v>NULL</v>
          </cell>
          <cell r="T1777" t="str">
            <v>normal</v>
          </cell>
        </row>
        <row r="1778">
          <cell r="A1778">
            <v>9008</v>
          </cell>
          <cell r="B1778" t="str">
            <v>ja</v>
          </cell>
          <cell r="C1778" t="str">
            <v>田禹治★６</v>
          </cell>
          <cell r="D1778" t="str">
            <v>各属性相性良3・黄・R455</v>
          </cell>
          <cell r="E1778" t="str">
            <v>執行者</v>
          </cell>
          <cell r="F1778" t="str">
            <v>格好いい</v>
          </cell>
          <cell r="G1778" t="str">
            <v>男性</v>
          </cell>
          <cell r="H1778" t="str">
            <v>red</v>
          </cell>
          <cell r="I1778">
            <v>6</v>
          </cell>
          <cell r="J1778" t="str">
            <v>DropWizS</v>
          </cell>
          <cell r="K1778" t="str">
            <v>technical</v>
          </cell>
          <cell r="L1778" t="str">
            <v>テクニカルタイプ</v>
          </cell>
          <cell r="M1778" t="str">
            <v>hero</v>
          </cell>
          <cell r="N1778" t="str">
            <v>ヒーロー</v>
          </cell>
          <cell r="O1778" t="str">
            <v>none</v>
          </cell>
          <cell r="P1778" t="str">
            <v>種族なし</v>
          </cell>
          <cell r="Q1778" t="str">
            <v>アタッカー</v>
          </cell>
          <cell r="R1778">
            <v>1</v>
          </cell>
          <cell r="S1778" t="str">
            <v>NULL</v>
          </cell>
          <cell r="T1778" t="str">
            <v>normal</v>
          </cell>
        </row>
        <row r="1779">
          <cell r="A1779">
            <v>9009</v>
          </cell>
          <cell r="B1779" t="str">
            <v>ja</v>
          </cell>
          <cell r="C1779" t="str">
            <v>薔花</v>
          </cell>
          <cell r="D1779" t="str">
            <v>ポムポムプリン</v>
          </cell>
          <cell r="E1779" t="str">
            <v>執行者</v>
          </cell>
          <cell r="F1779" t="str">
            <v>格好いい</v>
          </cell>
          <cell r="G1779" t="str">
            <v>女性</v>
          </cell>
          <cell r="H1779" t="str">
            <v>green</v>
          </cell>
          <cell r="I1779">
            <v>5</v>
          </cell>
          <cell r="J1779" t="str">
            <v>PremiumSSw</v>
          </cell>
          <cell r="K1779" t="str">
            <v>heal</v>
          </cell>
          <cell r="L1779" t="str">
            <v>回復タイプ</v>
          </cell>
          <cell r="M1779" t="str">
            <v>god</v>
          </cell>
          <cell r="N1779" t="str">
            <v>ゴッド</v>
          </cell>
          <cell r="O1779" t="str">
            <v>none</v>
          </cell>
          <cell r="P1779" t="str">
            <v>種族なし</v>
          </cell>
          <cell r="Q1779" t="str">
            <v>アタッカー</v>
          </cell>
          <cell r="R1779">
            <v>1</v>
          </cell>
          <cell r="S1779" t="str">
            <v>NULL</v>
          </cell>
          <cell r="T1779" t="str">
            <v>normal</v>
          </cell>
        </row>
        <row r="1780">
          <cell r="A1780">
            <v>9010</v>
          </cell>
          <cell r="B1780" t="str">
            <v>ja</v>
          </cell>
          <cell r="C1780" t="str">
            <v>薔花★６</v>
          </cell>
          <cell r="D1780" t="str">
            <v>各属性相性良3・黄・R455</v>
          </cell>
          <cell r="E1780" t="str">
            <v>執行者</v>
          </cell>
          <cell r="F1780" t="str">
            <v>格好いい</v>
          </cell>
          <cell r="G1780" t="str">
            <v>男性</v>
          </cell>
          <cell r="H1780" t="str">
            <v>green</v>
          </cell>
          <cell r="I1780">
            <v>6</v>
          </cell>
          <cell r="J1780" t="str">
            <v>PremiumSSw</v>
          </cell>
          <cell r="K1780" t="str">
            <v>heal</v>
          </cell>
          <cell r="L1780" t="str">
            <v>回復タイプ</v>
          </cell>
          <cell r="M1780" t="str">
            <v>god</v>
          </cell>
          <cell r="N1780" t="str">
            <v>ゴッド</v>
          </cell>
          <cell r="O1780" t="str">
            <v>none</v>
          </cell>
          <cell r="P1780" t="str">
            <v>種族なし</v>
          </cell>
          <cell r="Q1780" t="str">
            <v>アタッカー</v>
          </cell>
          <cell r="R1780">
            <v>1</v>
          </cell>
          <cell r="S1780" t="str">
            <v>NULL</v>
          </cell>
          <cell r="T1780" t="str">
            <v>normal</v>
          </cell>
        </row>
        <row r="1781">
          <cell r="A1781">
            <v>9011</v>
          </cell>
          <cell r="B1781" t="str">
            <v>ja</v>
          </cell>
          <cell r="C1781" t="str">
            <v>紅蓮</v>
          </cell>
          <cell r="D1781" t="str">
            <v>ポムポムプリン</v>
          </cell>
          <cell r="E1781" t="str">
            <v>執行者</v>
          </cell>
          <cell r="F1781" t="str">
            <v>格好いい</v>
          </cell>
          <cell r="G1781" t="str">
            <v>女性</v>
          </cell>
          <cell r="H1781" t="str">
            <v>yellow</v>
          </cell>
          <cell r="I1781">
            <v>5</v>
          </cell>
          <cell r="J1781" t="str">
            <v>DropWizS</v>
          </cell>
          <cell r="K1781" t="str">
            <v>attack</v>
          </cell>
          <cell r="L1781" t="str">
            <v>攻撃タイプ</v>
          </cell>
          <cell r="M1781" t="str">
            <v>demon</v>
          </cell>
          <cell r="N1781" t="str">
            <v>デーモン</v>
          </cell>
          <cell r="O1781" t="str">
            <v>none</v>
          </cell>
          <cell r="P1781" t="str">
            <v>種族なし</v>
          </cell>
          <cell r="Q1781" t="str">
            <v>アタッカー</v>
          </cell>
          <cell r="R1781">
            <v>1</v>
          </cell>
          <cell r="S1781" t="str">
            <v>NULL</v>
          </cell>
          <cell r="T1781" t="str">
            <v>normal</v>
          </cell>
        </row>
        <row r="1782">
          <cell r="A1782">
            <v>9012</v>
          </cell>
          <cell r="B1782" t="str">
            <v>ja</v>
          </cell>
          <cell r="C1782" t="str">
            <v>紅蓮★６</v>
          </cell>
          <cell r="D1782" t="str">
            <v>各属性相性良3・黄・R455</v>
          </cell>
          <cell r="E1782" t="str">
            <v>執行者</v>
          </cell>
          <cell r="F1782" t="str">
            <v>格好いい</v>
          </cell>
          <cell r="G1782" t="str">
            <v>男性</v>
          </cell>
          <cell r="H1782" t="str">
            <v>yellow</v>
          </cell>
          <cell r="I1782">
            <v>6</v>
          </cell>
          <cell r="J1782" t="str">
            <v>DropWizS</v>
          </cell>
          <cell r="K1782" t="str">
            <v>attack</v>
          </cell>
          <cell r="L1782" t="str">
            <v>攻撃タイプ</v>
          </cell>
          <cell r="M1782" t="str">
            <v>demon</v>
          </cell>
          <cell r="N1782" t="str">
            <v>デーモン</v>
          </cell>
          <cell r="O1782" t="str">
            <v>none</v>
          </cell>
          <cell r="P1782" t="str">
            <v>種族なし</v>
          </cell>
          <cell r="Q1782" t="str">
            <v>アタッカー</v>
          </cell>
          <cell r="R1782">
            <v>1</v>
          </cell>
          <cell r="S1782" t="str">
            <v>NULL</v>
          </cell>
          <cell r="T1782" t="str">
            <v>normal</v>
          </cell>
        </row>
        <row r="1783">
          <cell r="A1783">
            <v>10001</v>
          </cell>
          <cell r="B1783" t="str">
            <v>ja</v>
          </cell>
          <cell r="C1783" t="str">
            <v>テストユニット01</v>
          </cell>
          <cell r="H1783" t="str">
            <v>yellow</v>
          </cell>
          <cell r="I1783">
            <v>6</v>
          </cell>
          <cell r="J1783" t="str">
            <v>DropWizS</v>
          </cell>
          <cell r="K1783" t="str">
            <v>heal</v>
          </cell>
          <cell r="L1783" t="str">
            <v>回復タイプ</v>
          </cell>
          <cell r="M1783" t="str">
            <v>human</v>
          </cell>
          <cell r="N1783" t="str">
            <v>ヒューマン</v>
          </cell>
          <cell r="O1783" t="str">
            <v>samurai</v>
          </cell>
          <cell r="P1783" t="str">
            <v>サムライ</v>
          </cell>
          <cell r="R1783">
            <v>1</v>
          </cell>
          <cell r="S1783" t="str">
            <v>NULL</v>
          </cell>
          <cell r="T1783" t="str">
            <v>normal</v>
          </cell>
        </row>
        <row r="1784">
          <cell r="A1784">
            <v>10002</v>
          </cell>
          <cell r="B1784" t="str">
            <v>ja</v>
          </cell>
          <cell r="C1784" t="str">
            <v>テストユニット02</v>
          </cell>
          <cell r="H1784" t="str">
            <v>yellow</v>
          </cell>
          <cell r="I1784">
            <v>6</v>
          </cell>
          <cell r="J1784" t="str">
            <v>PremiumSS</v>
          </cell>
          <cell r="K1784" t="str">
            <v>technical</v>
          </cell>
          <cell r="L1784" t="str">
            <v>テクニカルタイプ</v>
          </cell>
          <cell r="M1784" t="str">
            <v>animal</v>
          </cell>
          <cell r="N1784" t="str">
            <v>アニマル</v>
          </cell>
          <cell r="O1784" t="str">
            <v>none</v>
          </cell>
          <cell r="P1784" t="str">
            <v>種族なし</v>
          </cell>
          <cell r="R1784">
            <v>1</v>
          </cell>
          <cell r="S1784" t="str">
            <v>NULL</v>
          </cell>
          <cell r="T1784" t="str">
            <v>normal</v>
          </cell>
        </row>
        <row r="1785">
          <cell r="A1785">
            <v>10003</v>
          </cell>
          <cell r="B1785" t="str">
            <v>ja</v>
          </cell>
          <cell r="C1785" t="str">
            <v>テストユニット03</v>
          </cell>
          <cell r="H1785" t="str">
            <v>red</v>
          </cell>
          <cell r="I1785">
            <v>5</v>
          </cell>
          <cell r="J1785" t="str">
            <v>PremiumSSS</v>
          </cell>
          <cell r="K1785" t="str">
            <v>technical</v>
          </cell>
          <cell r="L1785" t="str">
            <v>テクニカルタイプ</v>
          </cell>
          <cell r="M1785" t="str">
            <v>academia</v>
          </cell>
          <cell r="N1785" t="str">
            <v>アカデミア</v>
          </cell>
          <cell r="O1785" t="str">
            <v>hero</v>
          </cell>
          <cell r="P1785" t="str">
            <v>ヒーロー</v>
          </cell>
          <cell r="R1785">
            <v>1</v>
          </cell>
          <cell r="S1785" t="str">
            <v>NULL</v>
          </cell>
          <cell r="T1785" t="str">
            <v>normal</v>
          </cell>
        </row>
        <row r="1786">
          <cell r="A1786">
            <v>10004</v>
          </cell>
          <cell r="B1786" t="str">
            <v>ja</v>
          </cell>
          <cell r="C1786" t="str">
            <v>テストユニット04</v>
          </cell>
          <cell r="H1786" t="str">
            <v>red</v>
          </cell>
          <cell r="I1786">
            <v>6</v>
          </cell>
          <cell r="J1786" t="str">
            <v>PremiumSSS</v>
          </cell>
          <cell r="K1786" t="str">
            <v>technical</v>
          </cell>
          <cell r="L1786" t="str">
            <v>テクニカルタイプ</v>
          </cell>
          <cell r="M1786" t="str">
            <v>academia</v>
          </cell>
          <cell r="N1786" t="str">
            <v>アカデミア</v>
          </cell>
          <cell r="O1786" t="str">
            <v>hero</v>
          </cell>
          <cell r="P1786" t="str">
            <v>ヒーロー</v>
          </cell>
          <cell r="R1786">
            <v>1</v>
          </cell>
          <cell r="S1786" t="str">
            <v>NULL</v>
          </cell>
          <cell r="T1786" t="str">
            <v>normal</v>
          </cell>
        </row>
        <row r="1787">
          <cell r="A1787">
            <v>10005</v>
          </cell>
          <cell r="B1787" t="str">
            <v>ja</v>
          </cell>
          <cell r="C1787" t="str">
            <v>テストユニット05</v>
          </cell>
          <cell r="H1787" t="str">
            <v>yellow</v>
          </cell>
          <cell r="I1787">
            <v>6</v>
          </cell>
          <cell r="J1787" t="str">
            <v>PremiumSS</v>
          </cell>
          <cell r="K1787" t="str">
            <v>technical</v>
          </cell>
          <cell r="L1787" t="str">
            <v>テクニカルタイプ</v>
          </cell>
          <cell r="M1787" t="str">
            <v>human</v>
          </cell>
          <cell r="N1787" t="str">
            <v>ヒューマン</v>
          </cell>
          <cell r="O1787" t="str">
            <v>samurai</v>
          </cell>
          <cell r="P1787" t="str">
            <v>サムライ</v>
          </cell>
          <cell r="R1787">
            <v>1</v>
          </cell>
          <cell r="S1787" t="str">
            <v>NULL</v>
          </cell>
          <cell r="T1787" t="str">
            <v>normal</v>
          </cell>
        </row>
        <row r="1788">
          <cell r="A1788">
            <v>10006</v>
          </cell>
          <cell r="B1788" t="str">
            <v>ja</v>
          </cell>
          <cell r="C1788" t="str">
            <v>テストユニット06</v>
          </cell>
          <cell r="H1788" t="str">
            <v>yellow</v>
          </cell>
          <cell r="I1788">
            <v>6</v>
          </cell>
          <cell r="J1788" t="str">
            <v>PremiumSS</v>
          </cell>
          <cell r="K1788" t="str">
            <v>attack</v>
          </cell>
          <cell r="L1788" t="str">
            <v>攻撃タイプ</v>
          </cell>
          <cell r="M1788" t="str">
            <v>animal</v>
          </cell>
          <cell r="N1788" t="str">
            <v>アニマル</v>
          </cell>
          <cell r="O1788" t="str">
            <v>none</v>
          </cell>
          <cell r="P1788" t="str">
            <v>種族なし</v>
          </cell>
          <cell r="R1788">
            <v>1</v>
          </cell>
          <cell r="S1788" t="str">
            <v>NULL</v>
          </cell>
          <cell r="T1788" t="str">
            <v>normal</v>
          </cell>
        </row>
        <row r="1789">
          <cell r="A1789">
            <v>10007</v>
          </cell>
          <cell r="B1789" t="str">
            <v>ja</v>
          </cell>
          <cell r="C1789" t="str">
            <v>テストユニット07</v>
          </cell>
          <cell r="H1789" t="str">
            <v>yellow</v>
          </cell>
          <cell r="I1789">
            <v>5</v>
          </cell>
          <cell r="J1789" t="str">
            <v>PremiumSSS</v>
          </cell>
          <cell r="K1789" t="str">
            <v>technical</v>
          </cell>
          <cell r="L1789" t="str">
            <v>テクニカルタイプ</v>
          </cell>
          <cell r="M1789" t="str">
            <v>machine</v>
          </cell>
          <cell r="N1789" t="str">
            <v>マシン</v>
          </cell>
          <cell r="O1789" t="str">
            <v>god</v>
          </cell>
          <cell r="P1789" t="str">
            <v>ゴッド</v>
          </cell>
          <cell r="R1789">
            <v>1</v>
          </cell>
          <cell r="S1789" t="str">
            <v>NULL</v>
          </cell>
          <cell r="T1789" t="str">
            <v>normal</v>
          </cell>
        </row>
        <row r="1790">
          <cell r="A1790">
            <v>10008</v>
          </cell>
          <cell r="B1790" t="str">
            <v>ja</v>
          </cell>
          <cell r="C1790" t="str">
            <v>テストユニット08</v>
          </cell>
          <cell r="H1790" t="str">
            <v>yellow</v>
          </cell>
          <cell r="I1790">
            <v>6</v>
          </cell>
          <cell r="J1790" t="str">
            <v>PremiumSSS</v>
          </cell>
          <cell r="K1790" t="str">
            <v>technical</v>
          </cell>
          <cell r="L1790" t="str">
            <v>テクニカルタイプ</v>
          </cell>
          <cell r="M1790" t="str">
            <v>machine</v>
          </cell>
          <cell r="N1790" t="str">
            <v>マシン</v>
          </cell>
          <cell r="O1790" t="str">
            <v>god</v>
          </cell>
          <cell r="P1790" t="str">
            <v>ゴッド</v>
          </cell>
          <cell r="R1790">
            <v>1</v>
          </cell>
          <cell r="S1790" t="str">
            <v>NULL</v>
          </cell>
          <cell r="T1790" t="str">
            <v>normal</v>
          </cell>
        </row>
        <row r="1791">
          <cell r="A1791">
            <v>10009</v>
          </cell>
          <cell r="B1791" t="str">
            <v>ja</v>
          </cell>
          <cell r="C1791" t="str">
            <v>青テスト01</v>
          </cell>
          <cell r="H1791" t="str">
            <v>blue</v>
          </cell>
          <cell r="I1791">
            <v>6</v>
          </cell>
          <cell r="J1791" t="str">
            <v>DropWizS</v>
          </cell>
          <cell r="K1791" t="str">
            <v>heal</v>
          </cell>
          <cell r="L1791" t="str">
            <v>回復タイプ</v>
          </cell>
          <cell r="M1791" t="str">
            <v>human</v>
          </cell>
          <cell r="N1791" t="str">
            <v>ヒューマン</v>
          </cell>
          <cell r="O1791" t="str">
            <v>none</v>
          </cell>
          <cell r="P1791" t="str">
            <v>種族なし</v>
          </cell>
          <cell r="R1791">
            <v>1</v>
          </cell>
          <cell r="S1791" t="str">
            <v>NULL</v>
          </cell>
          <cell r="T1791" t="str">
            <v>normal</v>
          </cell>
        </row>
        <row r="1792">
          <cell r="A1792">
            <v>10010</v>
          </cell>
          <cell r="B1792" t="str">
            <v>ja</v>
          </cell>
          <cell r="C1792" t="str">
            <v>赤テスト01</v>
          </cell>
          <cell r="H1792" t="str">
            <v>red</v>
          </cell>
          <cell r="I1792">
            <v>6</v>
          </cell>
          <cell r="J1792" t="str">
            <v>PremiumSSS</v>
          </cell>
          <cell r="K1792" t="str">
            <v>technical</v>
          </cell>
          <cell r="L1792" t="str">
            <v>テクニカルタイプ</v>
          </cell>
          <cell r="M1792" t="str">
            <v>human</v>
          </cell>
          <cell r="N1792" t="str">
            <v>ヒューマン</v>
          </cell>
          <cell r="O1792" t="str">
            <v>queen</v>
          </cell>
          <cell r="P1792" t="str">
            <v>QUEEN</v>
          </cell>
          <cell r="R1792">
            <v>1</v>
          </cell>
          <cell r="S1792" t="str">
            <v>NULL</v>
          </cell>
          <cell r="T1792" t="str">
            <v>normal</v>
          </cell>
        </row>
        <row r="1793">
          <cell r="A1793">
            <v>10011</v>
          </cell>
          <cell r="B1793" t="str">
            <v>ja</v>
          </cell>
          <cell r="C1793" t="str">
            <v>テストユニット11</v>
          </cell>
          <cell r="H1793" t="str">
            <v>yellow</v>
          </cell>
          <cell r="I1793">
            <v>5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human</v>
          </cell>
          <cell r="N1793" t="str">
            <v>ヒューマン</v>
          </cell>
          <cell r="O1793" t="str">
            <v>god</v>
          </cell>
          <cell r="P1793" t="str">
            <v>ゴッド</v>
          </cell>
          <cell r="R1793">
            <v>1</v>
          </cell>
          <cell r="S1793" t="str">
            <v>NULL</v>
          </cell>
          <cell r="T1793" t="str">
            <v>normal</v>
          </cell>
        </row>
        <row r="1794">
          <cell r="A1794">
            <v>10012</v>
          </cell>
          <cell r="B1794" t="str">
            <v>ja</v>
          </cell>
          <cell r="C1794" t="str">
            <v>レイドテストユニット青</v>
          </cell>
          <cell r="H1794" t="str">
            <v>blue</v>
          </cell>
          <cell r="I1794">
            <v>6</v>
          </cell>
          <cell r="J1794" t="str">
            <v>PremiumS</v>
          </cell>
          <cell r="K1794" t="str">
            <v>balance</v>
          </cell>
          <cell r="L1794" t="str">
            <v>バランスタイプ</v>
          </cell>
          <cell r="M1794" t="str">
            <v>human</v>
          </cell>
          <cell r="N1794" t="str">
            <v>ヒューマン</v>
          </cell>
          <cell r="O1794" t="str">
            <v>god</v>
          </cell>
          <cell r="P1794" t="str">
            <v>ゴッド</v>
          </cell>
          <cell r="R1794">
            <v>1</v>
          </cell>
          <cell r="S1794" t="str">
            <v>NULL</v>
          </cell>
          <cell r="T1794" t="str">
            <v>normal</v>
          </cell>
        </row>
        <row r="1795">
          <cell r="A1795">
            <v>10013</v>
          </cell>
          <cell r="B1795" t="str">
            <v>ja</v>
          </cell>
          <cell r="C1795" t="str">
            <v>テストユニット13</v>
          </cell>
          <cell r="H1795" t="str">
            <v>yellow</v>
          </cell>
          <cell r="I1795">
            <v>5</v>
          </cell>
          <cell r="J1795" t="str">
            <v>PremiumSSw</v>
          </cell>
          <cell r="K1795" t="str">
            <v>hp</v>
          </cell>
          <cell r="L1795" t="str">
            <v>体力タイプ</v>
          </cell>
          <cell r="M1795" t="str">
            <v>dragon</v>
          </cell>
          <cell r="N1795" t="str">
            <v>ドラゴン</v>
          </cell>
          <cell r="O1795" t="str">
            <v>none</v>
          </cell>
          <cell r="P1795" t="str">
            <v>種族なし</v>
          </cell>
          <cell r="R1795">
            <v>1</v>
          </cell>
          <cell r="S1795" t="str">
            <v>NULL</v>
          </cell>
          <cell r="T1795" t="str">
            <v>normal</v>
          </cell>
        </row>
        <row r="1796">
          <cell r="A1796">
            <v>10014</v>
          </cell>
          <cell r="B1796" t="str">
            <v>ja</v>
          </cell>
          <cell r="C1796" t="str">
            <v>テストユニット14</v>
          </cell>
          <cell r="H1796" t="str">
            <v>yellow</v>
          </cell>
          <cell r="I1796">
            <v>6</v>
          </cell>
          <cell r="J1796" t="str">
            <v>PremiumSSw</v>
          </cell>
          <cell r="K1796" t="str">
            <v>hp</v>
          </cell>
          <cell r="L1796" t="str">
            <v>体力タイプ</v>
          </cell>
          <cell r="M1796" t="str">
            <v>dragon</v>
          </cell>
          <cell r="N1796" t="str">
            <v>ドラゴン</v>
          </cell>
          <cell r="O1796" t="str">
            <v>none</v>
          </cell>
          <cell r="P1796" t="str">
            <v>種族なし</v>
          </cell>
          <cell r="R1796">
            <v>1</v>
          </cell>
          <cell r="S1796" t="str">
            <v>NULL</v>
          </cell>
          <cell r="T1796" t="str">
            <v>normal</v>
          </cell>
        </row>
        <row r="1797">
          <cell r="A1797">
            <v>10015</v>
          </cell>
          <cell r="B1797" t="str">
            <v>ja</v>
          </cell>
          <cell r="C1797" t="str">
            <v>テストユニット15</v>
          </cell>
          <cell r="H1797" t="str">
            <v>green</v>
          </cell>
          <cell r="I1797">
            <v>5</v>
          </cell>
          <cell r="J1797" t="str">
            <v>DropWizS</v>
          </cell>
          <cell r="K1797" t="str">
            <v>heal</v>
          </cell>
          <cell r="L1797" t="str">
            <v>回復タイプ</v>
          </cell>
          <cell r="M1797" t="str">
            <v>human</v>
          </cell>
          <cell r="N1797" t="str">
            <v>ヒューマン</v>
          </cell>
          <cell r="O1797" t="str">
            <v>unknown</v>
          </cell>
          <cell r="P1797" t="str">
            <v>Unknown</v>
          </cell>
          <cell r="R1797">
            <v>1</v>
          </cell>
          <cell r="S1797" t="str">
            <v>NULL</v>
          </cell>
          <cell r="T1797" t="str">
            <v>normal</v>
          </cell>
        </row>
        <row r="1798">
          <cell r="A1798">
            <v>10016</v>
          </cell>
          <cell r="B1798" t="str">
            <v>ja</v>
          </cell>
          <cell r="C1798" t="str">
            <v>テストユニット16</v>
          </cell>
          <cell r="H1798" t="str">
            <v>green</v>
          </cell>
          <cell r="I1798">
            <v>6</v>
          </cell>
          <cell r="J1798" t="str">
            <v>DropWizS</v>
          </cell>
          <cell r="K1798" t="str">
            <v>heal</v>
          </cell>
          <cell r="L1798" t="str">
            <v>回復タイプ</v>
          </cell>
          <cell r="M1798" t="str">
            <v>human</v>
          </cell>
          <cell r="N1798" t="str">
            <v>ヒューマン</v>
          </cell>
          <cell r="O1798" t="str">
            <v>unknown</v>
          </cell>
          <cell r="P1798" t="str">
            <v>Unknown</v>
          </cell>
          <cell r="R1798">
            <v>1</v>
          </cell>
          <cell r="S1798" t="str">
            <v>NULL</v>
          </cell>
          <cell r="T1798" t="str">
            <v>normal</v>
          </cell>
        </row>
        <row r="1799">
          <cell r="A1799">
            <v>10017</v>
          </cell>
          <cell r="B1799" t="str">
            <v>ja</v>
          </cell>
          <cell r="C1799" t="str">
            <v>テストユニット17</v>
          </cell>
          <cell r="H1799" t="str">
            <v>red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  <cell r="N1799" t="str">
            <v>Unknown</v>
          </cell>
          <cell r="O1799" t="str">
            <v>none</v>
          </cell>
          <cell r="P1799" t="str">
            <v>種族なし</v>
          </cell>
          <cell r="R1799">
            <v>1</v>
          </cell>
          <cell r="S1799" t="str">
            <v>NULL</v>
          </cell>
          <cell r="T1799" t="str">
            <v>normal</v>
          </cell>
        </row>
        <row r="1800">
          <cell r="A1800">
            <v>10018</v>
          </cell>
          <cell r="B1800" t="str">
            <v>ja</v>
          </cell>
          <cell r="C1800" t="str">
            <v>テストユニット18</v>
          </cell>
          <cell r="H1800" t="str">
            <v>blue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  <cell r="N1800" t="str">
            <v>Unknown</v>
          </cell>
          <cell r="O1800" t="str">
            <v>none</v>
          </cell>
          <cell r="P1800" t="str">
            <v>種族なし</v>
          </cell>
          <cell r="R1800">
            <v>1</v>
          </cell>
          <cell r="S1800" t="str">
            <v>NULL</v>
          </cell>
          <cell r="T1800" t="str">
            <v>normal</v>
          </cell>
        </row>
        <row r="1801">
          <cell r="A1801">
            <v>10019</v>
          </cell>
          <cell r="B1801" t="str">
            <v>ja</v>
          </cell>
          <cell r="C1801" t="str">
            <v>テストユニット19</v>
          </cell>
          <cell r="H1801" t="str">
            <v>green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  <cell r="N1801" t="str">
            <v>Unknown</v>
          </cell>
          <cell r="O1801" t="str">
            <v>none</v>
          </cell>
          <cell r="P1801" t="str">
            <v>種族なし</v>
          </cell>
          <cell r="R1801">
            <v>1</v>
          </cell>
          <cell r="S1801" t="str">
            <v>NULL</v>
          </cell>
          <cell r="T1801" t="str">
            <v>normal</v>
          </cell>
        </row>
        <row r="1802">
          <cell r="A1802">
            <v>10020</v>
          </cell>
          <cell r="B1802" t="str">
            <v>ja</v>
          </cell>
          <cell r="C1802" t="str">
            <v>テストユニット20</v>
          </cell>
          <cell r="H1802" t="str">
            <v>yellow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  <cell r="N1802" t="str">
            <v>Unknown</v>
          </cell>
          <cell r="O1802" t="str">
            <v>none</v>
          </cell>
          <cell r="P1802" t="str">
            <v>種族なし</v>
          </cell>
          <cell r="R1802">
            <v>1</v>
          </cell>
          <cell r="S1802" t="str">
            <v>NULL</v>
          </cell>
          <cell r="T1802" t="str">
            <v>normal</v>
          </cell>
        </row>
        <row r="1803">
          <cell r="A1803">
            <v>10021</v>
          </cell>
          <cell r="B1803" t="str">
            <v>ja</v>
          </cell>
          <cell r="C1803" t="str">
            <v>テストユニット21</v>
          </cell>
          <cell r="H1803" t="str">
            <v>blue</v>
          </cell>
          <cell r="I1803">
            <v>5</v>
          </cell>
          <cell r="J1803" t="str">
            <v>PremiumSSw</v>
          </cell>
          <cell r="K1803" t="str">
            <v>hp</v>
          </cell>
          <cell r="L1803" t="str">
            <v>体力タイプ</v>
          </cell>
          <cell r="M1803" t="str">
            <v>demon</v>
          </cell>
          <cell r="N1803" t="str">
            <v>デーモン</v>
          </cell>
          <cell r="O1803" t="str">
            <v>none</v>
          </cell>
          <cell r="P1803" t="str">
            <v>種族なし</v>
          </cell>
          <cell r="R1803">
            <v>1</v>
          </cell>
          <cell r="S1803" t="str">
            <v>NULL</v>
          </cell>
          <cell r="T1803" t="str">
            <v>normal</v>
          </cell>
        </row>
        <row r="1804">
          <cell r="A1804">
            <v>10022</v>
          </cell>
          <cell r="B1804" t="str">
            <v>ja</v>
          </cell>
          <cell r="C1804" t="str">
            <v>テストユニット22</v>
          </cell>
          <cell r="H1804" t="str">
            <v>blue</v>
          </cell>
          <cell r="I1804">
            <v>6</v>
          </cell>
          <cell r="J1804" t="str">
            <v>PremiumSSw</v>
          </cell>
          <cell r="K1804" t="str">
            <v>hp</v>
          </cell>
          <cell r="L1804" t="str">
            <v>体力タイプ</v>
          </cell>
          <cell r="M1804" t="str">
            <v>demon</v>
          </cell>
          <cell r="N1804" t="str">
            <v>デーモン</v>
          </cell>
          <cell r="O1804" t="str">
            <v>none</v>
          </cell>
          <cell r="P1804" t="str">
            <v>種族なし</v>
          </cell>
          <cell r="R1804">
            <v>1</v>
          </cell>
          <cell r="S1804" t="str">
            <v>NULL</v>
          </cell>
          <cell r="T1804" t="str">
            <v>normal</v>
          </cell>
        </row>
        <row r="1805">
          <cell r="A1805">
            <v>10023</v>
          </cell>
          <cell r="B1805" t="str">
            <v>ja</v>
          </cell>
          <cell r="C1805" t="str">
            <v>テストユニット23</v>
          </cell>
          <cell r="H1805" t="str">
            <v>green</v>
          </cell>
          <cell r="I1805">
            <v>5</v>
          </cell>
          <cell r="J1805" t="str">
            <v>PremiumSSw</v>
          </cell>
          <cell r="K1805" t="str">
            <v>heal</v>
          </cell>
          <cell r="L1805" t="str">
            <v>回復タイプ</v>
          </cell>
          <cell r="M1805" t="str">
            <v>dragon</v>
          </cell>
          <cell r="N1805" t="str">
            <v>ドラゴン</v>
          </cell>
          <cell r="O1805" t="str">
            <v>samurai</v>
          </cell>
          <cell r="P1805" t="str">
            <v>サムライ</v>
          </cell>
          <cell r="R1805">
            <v>1</v>
          </cell>
          <cell r="S1805" t="str">
            <v>NULL</v>
          </cell>
          <cell r="T1805" t="str">
            <v>normal</v>
          </cell>
        </row>
        <row r="1806">
          <cell r="A1806">
            <v>10024</v>
          </cell>
          <cell r="B1806" t="str">
            <v>ja</v>
          </cell>
          <cell r="C1806" t="str">
            <v>テストユニット24</v>
          </cell>
          <cell r="H1806" t="str">
            <v>green</v>
          </cell>
          <cell r="I1806">
            <v>6</v>
          </cell>
          <cell r="J1806" t="str">
            <v>PremiumSSw</v>
          </cell>
          <cell r="K1806" t="str">
            <v>hp</v>
          </cell>
          <cell r="L1806" t="str">
            <v>体力タイプ</v>
          </cell>
          <cell r="M1806" t="str">
            <v>dragon</v>
          </cell>
          <cell r="N1806" t="str">
            <v>ドラゴン</v>
          </cell>
          <cell r="O1806" t="str">
            <v>samurai</v>
          </cell>
          <cell r="P1806" t="str">
            <v>サムライ</v>
          </cell>
          <cell r="R1806">
            <v>1</v>
          </cell>
          <cell r="S1806" t="str">
            <v>NULL</v>
          </cell>
          <cell r="T1806" t="str">
            <v>normal</v>
          </cell>
        </row>
        <row r="1807">
          <cell r="A1807">
            <v>10025</v>
          </cell>
          <cell r="B1807" t="str">
            <v>ja</v>
          </cell>
          <cell r="C1807" t="str">
            <v>テストユニット25</v>
          </cell>
          <cell r="H1807" t="str">
            <v>red</v>
          </cell>
          <cell r="I1807">
            <v>5</v>
          </cell>
          <cell r="J1807" t="str">
            <v>PremiumSSw</v>
          </cell>
          <cell r="K1807" t="str">
            <v>hp</v>
          </cell>
          <cell r="L1807" t="str">
            <v>体力タイプ</v>
          </cell>
          <cell r="M1807" t="str">
            <v>dragon</v>
          </cell>
          <cell r="N1807" t="str">
            <v>ドラゴン</v>
          </cell>
          <cell r="O1807" t="str">
            <v>machine</v>
          </cell>
          <cell r="P1807" t="str">
            <v>マシン</v>
          </cell>
          <cell r="R1807">
            <v>1</v>
          </cell>
          <cell r="S1807" t="str">
            <v>NULL</v>
          </cell>
          <cell r="T1807" t="str">
            <v>normal</v>
          </cell>
        </row>
        <row r="1808">
          <cell r="A1808">
            <v>10026</v>
          </cell>
          <cell r="B1808" t="str">
            <v>ja</v>
          </cell>
          <cell r="C1808" t="str">
            <v>テストユニット26</v>
          </cell>
          <cell r="H1808" t="str">
            <v>red</v>
          </cell>
          <cell r="I1808">
            <v>6</v>
          </cell>
          <cell r="J1808" t="str">
            <v>PremiumSSw</v>
          </cell>
          <cell r="K1808" t="str">
            <v>hp</v>
          </cell>
          <cell r="L1808" t="str">
            <v>体力タイプ</v>
          </cell>
          <cell r="M1808" t="str">
            <v>dragon</v>
          </cell>
          <cell r="N1808" t="str">
            <v>ドラゴン</v>
          </cell>
          <cell r="O1808" t="str">
            <v>machine</v>
          </cell>
          <cell r="P1808" t="str">
            <v>マシン</v>
          </cell>
          <cell r="R1808">
            <v>1</v>
          </cell>
          <cell r="S1808" t="str">
            <v>NULL</v>
          </cell>
          <cell r="T1808" t="str">
            <v>normal</v>
          </cell>
        </row>
        <row r="1809">
          <cell r="A1809">
            <v>10027</v>
          </cell>
          <cell r="B1809" t="str">
            <v>ja</v>
          </cell>
          <cell r="C1809" t="str">
            <v>テストユニット27</v>
          </cell>
          <cell r="H1809" t="str">
            <v>green</v>
          </cell>
          <cell r="I1809">
            <v>6</v>
          </cell>
          <cell r="J1809" t="str">
            <v>PremiumSS</v>
          </cell>
          <cell r="K1809" t="str">
            <v>balance</v>
          </cell>
          <cell r="L1809" t="str">
            <v>バランスタイプ</v>
          </cell>
          <cell r="M1809" t="str">
            <v>unknown</v>
          </cell>
          <cell r="N1809" t="str">
            <v>Unknown</v>
          </cell>
          <cell r="O1809" t="str">
            <v>none</v>
          </cell>
          <cell r="P1809" t="str">
            <v>種族なし</v>
          </cell>
          <cell r="R1809">
            <v>1</v>
          </cell>
          <cell r="S1809" t="str">
            <v>NULL</v>
          </cell>
          <cell r="T1809" t="str">
            <v>normal</v>
          </cell>
        </row>
        <row r="1810">
          <cell r="A1810">
            <v>10028</v>
          </cell>
          <cell r="B1810" t="str">
            <v>ja</v>
          </cell>
          <cell r="C1810" t="str">
            <v>テストユニット28</v>
          </cell>
          <cell r="H1810" t="str">
            <v>yellow</v>
          </cell>
          <cell r="I1810">
            <v>6</v>
          </cell>
          <cell r="J1810" t="str">
            <v>PremiumSS</v>
          </cell>
          <cell r="K1810" t="str">
            <v>balance</v>
          </cell>
          <cell r="L1810" t="str">
            <v>バランスタイプ</v>
          </cell>
          <cell r="M1810" t="str">
            <v>unknown</v>
          </cell>
          <cell r="N1810" t="str">
            <v>Unknown</v>
          </cell>
          <cell r="O1810" t="str">
            <v>none</v>
          </cell>
          <cell r="P1810" t="str">
            <v>種族なし</v>
          </cell>
          <cell r="R1810">
            <v>1</v>
          </cell>
          <cell r="S1810" t="str">
            <v>NULL</v>
          </cell>
          <cell r="T1810" t="str">
            <v>normal</v>
          </cell>
        </row>
        <row r="1811">
          <cell r="A1811">
            <v>10029</v>
          </cell>
          <cell r="B1811" t="str">
            <v>ja</v>
          </cell>
          <cell r="C1811" t="str">
            <v>テストユニット29</v>
          </cell>
          <cell r="H1811" t="str">
            <v>red</v>
          </cell>
          <cell r="I1811">
            <v>6</v>
          </cell>
          <cell r="J1811" t="str">
            <v>PremiumSS</v>
          </cell>
          <cell r="K1811" t="str">
            <v>balance</v>
          </cell>
          <cell r="L1811" t="str">
            <v>バランスタイプ</v>
          </cell>
          <cell r="M1811" t="str">
            <v>unknown</v>
          </cell>
          <cell r="N1811" t="str">
            <v>Unknown</v>
          </cell>
          <cell r="O1811" t="str">
            <v>none</v>
          </cell>
          <cell r="P1811" t="str">
            <v>種族なし</v>
          </cell>
          <cell r="R1811">
            <v>1</v>
          </cell>
          <cell r="S1811" t="str">
            <v>NULL</v>
          </cell>
          <cell r="T1811" t="str">
            <v>normal</v>
          </cell>
        </row>
        <row r="1812">
          <cell r="A1812">
            <v>10030</v>
          </cell>
          <cell r="B1812" t="str">
            <v>ja</v>
          </cell>
          <cell r="C1812" t="str">
            <v>テストユニット30</v>
          </cell>
          <cell r="H1812" t="str">
            <v>blue</v>
          </cell>
          <cell r="I1812">
            <v>6</v>
          </cell>
          <cell r="J1812" t="str">
            <v>PremiumSS</v>
          </cell>
          <cell r="K1812" t="str">
            <v>balance</v>
          </cell>
          <cell r="L1812" t="str">
            <v>バランスタイプ</v>
          </cell>
          <cell r="M1812" t="str">
            <v>unknown</v>
          </cell>
          <cell r="N1812" t="str">
            <v>Unknown</v>
          </cell>
          <cell r="O1812" t="str">
            <v>none</v>
          </cell>
          <cell r="P1812" t="str">
            <v>種族なし</v>
          </cell>
          <cell r="R1812">
            <v>1</v>
          </cell>
          <cell r="S1812" t="str">
            <v>NULL</v>
          </cell>
          <cell r="T1812" t="str">
            <v>normal</v>
          </cell>
        </row>
        <row r="1813">
          <cell r="A1813">
            <v>10031</v>
          </cell>
          <cell r="B1813" t="str">
            <v>ja</v>
          </cell>
          <cell r="C1813" t="str">
            <v>テストユニット31</v>
          </cell>
          <cell r="H1813" t="str">
            <v>green</v>
          </cell>
          <cell r="I1813">
            <v>6</v>
          </cell>
          <cell r="J1813" t="str">
            <v>PremiumSS</v>
          </cell>
          <cell r="K1813" t="str">
            <v>balance</v>
          </cell>
          <cell r="L1813" t="str">
            <v>バランスタイプ</v>
          </cell>
          <cell r="M1813" t="str">
            <v>unknown</v>
          </cell>
          <cell r="N1813" t="str">
            <v>Unknown</v>
          </cell>
          <cell r="O1813" t="str">
            <v>none</v>
          </cell>
          <cell r="P1813" t="str">
            <v>種族なし</v>
          </cell>
          <cell r="R1813">
            <v>1</v>
          </cell>
          <cell r="S1813" t="str">
            <v>NULL</v>
          </cell>
          <cell r="T1813" t="str">
            <v>normal</v>
          </cell>
        </row>
        <row r="1814">
          <cell r="A1814">
            <v>10032</v>
          </cell>
          <cell r="B1814" t="str">
            <v>ja</v>
          </cell>
          <cell r="C1814" t="str">
            <v>テストユニット32</v>
          </cell>
          <cell r="H1814" t="str">
            <v>yellow</v>
          </cell>
          <cell r="I1814">
            <v>6</v>
          </cell>
          <cell r="J1814" t="str">
            <v>PremiumSS</v>
          </cell>
          <cell r="K1814" t="str">
            <v>balance</v>
          </cell>
          <cell r="L1814" t="str">
            <v>バランスタイプ</v>
          </cell>
          <cell r="M1814" t="str">
            <v>unknown</v>
          </cell>
          <cell r="N1814" t="str">
            <v>Unknown</v>
          </cell>
          <cell r="O1814" t="str">
            <v>none</v>
          </cell>
          <cell r="P1814" t="str">
            <v>種族なし</v>
          </cell>
          <cell r="R1814">
            <v>1</v>
          </cell>
          <cell r="S1814" t="str">
            <v>NULL</v>
          </cell>
          <cell r="T1814" t="str">
            <v>normal</v>
          </cell>
        </row>
        <row r="1815">
          <cell r="A1815">
            <v>10033</v>
          </cell>
          <cell r="B1815" t="str">
            <v>ja</v>
          </cell>
          <cell r="C1815" t="str">
            <v>テストユニット33</v>
          </cell>
          <cell r="H1815" t="str">
            <v>red</v>
          </cell>
          <cell r="I1815">
            <v>6</v>
          </cell>
          <cell r="J1815" t="str">
            <v>PremiumSS</v>
          </cell>
          <cell r="K1815" t="str">
            <v>balance</v>
          </cell>
          <cell r="L1815" t="str">
            <v>バランスタイプ</v>
          </cell>
          <cell r="M1815" t="str">
            <v>unknown</v>
          </cell>
          <cell r="N1815" t="str">
            <v>Unknown</v>
          </cell>
          <cell r="O1815" t="str">
            <v>none</v>
          </cell>
          <cell r="P1815" t="str">
            <v>種族なし</v>
          </cell>
          <cell r="R1815">
            <v>1</v>
          </cell>
          <cell r="S1815" t="str">
            <v>NULL</v>
          </cell>
          <cell r="T1815" t="str">
            <v>normal</v>
          </cell>
        </row>
        <row r="1816">
          <cell r="A1816">
            <v>10034</v>
          </cell>
          <cell r="B1816" t="str">
            <v>ja</v>
          </cell>
          <cell r="C1816" t="str">
            <v>テストユニット34</v>
          </cell>
          <cell r="H1816" t="str">
            <v>blue</v>
          </cell>
          <cell r="I1816">
            <v>6</v>
          </cell>
          <cell r="J1816" t="str">
            <v>PremiumSS</v>
          </cell>
          <cell r="K1816" t="str">
            <v>balance</v>
          </cell>
          <cell r="L1816" t="str">
            <v>バランスタイプ</v>
          </cell>
          <cell r="M1816" t="str">
            <v>unknown</v>
          </cell>
          <cell r="N1816" t="str">
            <v>Unknown</v>
          </cell>
          <cell r="O1816" t="str">
            <v>none</v>
          </cell>
          <cell r="P1816" t="str">
            <v>種族なし</v>
          </cell>
          <cell r="R1816">
            <v>1</v>
          </cell>
          <cell r="S1816" t="str">
            <v>NULL</v>
          </cell>
          <cell r="T1816" t="str">
            <v>normal</v>
          </cell>
        </row>
        <row r="1817">
          <cell r="A1817">
            <v>10035</v>
          </cell>
          <cell r="B1817" t="str">
            <v>ja</v>
          </cell>
          <cell r="C1817" t="str">
            <v>テストユニット35</v>
          </cell>
          <cell r="H1817" t="str">
            <v>green</v>
          </cell>
          <cell r="I1817">
            <v>6</v>
          </cell>
          <cell r="J1817" t="str">
            <v>PremiumSS</v>
          </cell>
          <cell r="K1817" t="str">
            <v>balance</v>
          </cell>
          <cell r="L1817" t="str">
            <v>バランスタイプ</v>
          </cell>
          <cell r="M1817" t="str">
            <v>unknown</v>
          </cell>
          <cell r="N1817" t="str">
            <v>Unknown</v>
          </cell>
          <cell r="O1817" t="str">
            <v>none</v>
          </cell>
          <cell r="P1817" t="str">
            <v>種族なし</v>
          </cell>
          <cell r="R1817">
            <v>1</v>
          </cell>
          <cell r="S1817" t="str">
            <v>NULL</v>
          </cell>
          <cell r="T1817" t="str">
            <v>normal</v>
          </cell>
        </row>
        <row r="1818">
          <cell r="A1818">
            <v>10036</v>
          </cell>
          <cell r="B1818" t="str">
            <v>ja</v>
          </cell>
          <cell r="C1818" t="str">
            <v>テストユニット36</v>
          </cell>
          <cell r="H1818" t="str">
            <v>yellow</v>
          </cell>
          <cell r="I1818">
            <v>6</v>
          </cell>
          <cell r="J1818" t="str">
            <v>PremiumSS</v>
          </cell>
          <cell r="K1818" t="str">
            <v>balance</v>
          </cell>
          <cell r="L1818" t="str">
            <v>バランスタイプ</v>
          </cell>
          <cell r="M1818" t="str">
            <v>unknown</v>
          </cell>
          <cell r="N1818" t="str">
            <v>Unknown</v>
          </cell>
          <cell r="O1818" t="str">
            <v>none</v>
          </cell>
          <cell r="P1818" t="str">
            <v>種族なし</v>
          </cell>
          <cell r="R1818">
            <v>1</v>
          </cell>
          <cell r="S1818" t="str">
            <v>NULL</v>
          </cell>
          <cell r="T1818" t="str">
            <v>normal</v>
          </cell>
        </row>
        <row r="1819">
          <cell r="A1819">
            <v>10037</v>
          </cell>
          <cell r="B1819" t="str">
            <v>ja</v>
          </cell>
          <cell r="C1819" t="str">
            <v>テストユニット37</v>
          </cell>
          <cell r="H1819" t="str">
            <v>red</v>
          </cell>
          <cell r="I1819">
            <v>6</v>
          </cell>
          <cell r="J1819" t="str">
            <v>PremiumSS</v>
          </cell>
          <cell r="K1819" t="str">
            <v>balance</v>
          </cell>
          <cell r="L1819" t="str">
            <v>バランスタイプ</v>
          </cell>
          <cell r="M1819" t="str">
            <v>unknown</v>
          </cell>
          <cell r="N1819" t="str">
            <v>Unknown</v>
          </cell>
          <cell r="O1819" t="str">
            <v>none</v>
          </cell>
          <cell r="P1819" t="str">
            <v>種族なし</v>
          </cell>
          <cell r="R1819">
            <v>1</v>
          </cell>
          <cell r="S1819" t="str">
            <v>NULL</v>
          </cell>
          <cell r="T1819" t="str">
            <v>normal</v>
          </cell>
        </row>
        <row r="1820">
          <cell r="A1820">
            <v>10038</v>
          </cell>
          <cell r="B1820" t="str">
            <v>ja</v>
          </cell>
          <cell r="C1820" t="str">
            <v>テストユニット38</v>
          </cell>
          <cell r="H1820" t="str">
            <v>blue</v>
          </cell>
          <cell r="I1820">
            <v>6</v>
          </cell>
          <cell r="J1820" t="str">
            <v>DropWizS</v>
          </cell>
          <cell r="K1820" t="str">
            <v>balance</v>
          </cell>
          <cell r="L1820" t="str">
            <v>バランスタイプ</v>
          </cell>
          <cell r="M1820" t="str">
            <v>god</v>
          </cell>
          <cell r="N1820" t="str">
            <v>ゴッド</v>
          </cell>
          <cell r="O1820" t="str">
            <v>none</v>
          </cell>
          <cell r="P1820" t="str">
            <v>種族なし</v>
          </cell>
          <cell r="R1820">
            <v>1</v>
          </cell>
          <cell r="S1820" t="str">
            <v>NULL</v>
          </cell>
          <cell r="T1820" t="str">
            <v>normal</v>
          </cell>
        </row>
        <row r="1821">
          <cell r="A1821">
            <v>10039</v>
          </cell>
          <cell r="B1821" t="str">
            <v>ja</v>
          </cell>
          <cell r="C1821" t="str">
            <v>テストユニット39</v>
          </cell>
          <cell r="H1821" t="str">
            <v>green</v>
          </cell>
          <cell r="I1821">
            <v>6</v>
          </cell>
          <cell r="J1821" t="str">
            <v>PremiumSS</v>
          </cell>
          <cell r="K1821" t="str">
            <v>balance</v>
          </cell>
          <cell r="L1821" t="str">
            <v>バランスタイプ</v>
          </cell>
          <cell r="M1821" t="str">
            <v>unknown</v>
          </cell>
          <cell r="N1821" t="str">
            <v>Unknown</v>
          </cell>
          <cell r="O1821" t="str">
            <v>none</v>
          </cell>
          <cell r="P1821" t="str">
            <v>種族なし</v>
          </cell>
          <cell r="R1821">
            <v>1</v>
          </cell>
          <cell r="S1821" t="str">
            <v>NULL</v>
          </cell>
          <cell r="T1821" t="str">
            <v>normal</v>
          </cell>
        </row>
        <row r="1822">
          <cell r="A1822">
            <v>10040</v>
          </cell>
          <cell r="B1822" t="str">
            <v>ja</v>
          </cell>
          <cell r="C1822" t="str">
            <v>テストユニット40</v>
          </cell>
          <cell r="H1822" t="str">
            <v>yellow</v>
          </cell>
          <cell r="I1822">
            <v>6</v>
          </cell>
          <cell r="J1822" t="str">
            <v>PremiumSS</v>
          </cell>
          <cell r="K1822" t="str">
            <v>balance</v>
          </cell>
          <cell r="L1822" t="str">
            <v>バランスタイプ</v>
          </cell>
          <cell r="M1822" t="str">
            <v>unknown</v>
          </cell>
          <cell r="N1822" t="str">
            <v>Unknown</v>
          </cell>
          <cell r="O1822" t="str">
            <v>none</v>
          </cell>
          <cell r="P1822" t="str">
            <v>種族なし</v>
          </cell>
          <cell r="R1822">
            <v>1</v>
          </cell>
          <cell r="S1822" t="str">
            <v>NULL</v>
          </cell>
          <cell r="T1822" t="str">
            <v>normal</v>
          </cell>
        </row>
        <row r="1823">
          <cell r="A1823">
            <v>10041</v>
          </cell>
          <cell r="B1823" t="str">
            <v>ja</v>
          </cell>
          <cell r="C1823" t="str">
            <v>テストユニット41</v>
          </cell>
          <cell r="H1823" t="str">
            <v>red</v>
          </cell>
          <cell r="I1823">
            <v>6</v>
          </cell>
          <cell r="J1823" t="str">
            <v>PremiumSS</v>
          </cell>
          <cell r="K1823" t="str">
            <v>balance</v>
          </cell>
          <cell r="L1823" t="str">
            <v>バランスタイプ</v>
          </cell>
          <cell r="M1823" t="str">
            <v>unknown</v>
          </cell>
          <cell r="N1823" t="str">
            <v>Unknown</v>
          </cell>
          <cell r="O1823" t="str">
            <v>none</v>
          </cell>
          <cell r="P1823" t="str">
            <v>種族なし</v>
          </cell>
          <cell r="R1823">
            <v>1</v>
          </cell>
          <cell r="S1823" t="str">
            <v>NULL</v>
          </cell>
          <cell r="T1823" t="str">
            <v>normal</v>
          </cell>
        </row>
        <row r="1824">
          <cell r="A1824">
            <v>10042</v>
          </cell>
          <cell r="B1824" t="str">
            <v>ja</v>
          </cell>
          <cell r="C1824" t="str">
            <v>テストユニット42</v>
          </cell>
          <cell r="H1824" t="str">
            <v>blue</v>
          </cell>
          <cell r="I1824">
            <v>6</v>
          </cell>
          <cell r="J1824" t="str">
            <v>PremiumSS</v>
          </cell>
          <cell r="K1824" t="str">
            <v>balance</v>
          </cell>
          <cell r="L1824" t="str">
            <v>バランスタイプ</v>
          </cell>
          <cell r="M1824" t="str">
            <v>unknown</v>
          </cell>
          <cell r="N1824" t="str">
            <v>Unknown</v>
          </cell>
          <cell r="O1824" t="str">
            <v>none</v>
          </cell>
          <cell r="P1824" t="str">
            <v>種族なし</v>
          </cell>
          <cell r="R1824">
            <v>1</v>
          </cell>
          <cell r="S1824" t="str">
            <v>NULL</v>
          </cell>
          <cell r="T1824" t="str">
            <v>normal</v>
          </cell>
        </row>
        <row r="1825">
          <cell r="A1825">
            <v>10043</v>
          </cell>
          <cell r="B1825" t="str">
            <v>ja</v>
          </cell>
          <cell r="C1825" t="str">
            <v>テストユニット43</v>
          </cell>
          <cell r="H1825" t="str">
            <v>green</v>
          </cell>
          <cell r="I1825">
            <v>6</v>
          </cell>
          <cell r="J1825" t="str">
            <v>PremiumSS</v>
          </cell>
          <cell r="K1825" t="str">
            <v>balance</v>
          </cell>
          <cell r="L1825" t="str">
            <v>バランスタイプ</v>
          </cell>
          <cell r="M1825" t="str">
            <v>unknown</v>
          </cell>
          <cell r="N1825" t="str">
            <v>Unknown</v>
          </cell>
          <cell r="O1825" t="str">
            <v>none</v>
          </cell>
          <cell r="P1825" t="str">
            <v>種族なし</v>
          </cell>
          <cell r="R1825">
            <v>1</v>
          </cell>
          <cell r="S1825" t="str">
            <v>NULL</v>
          </cell>
          <cell r="T1825" t="str">
            <v>normal</v>
          </cell>
        </row>
        <row r="1826">
          <cell r="A1826">
            <v>10044</v>
          </cell>
          <cell r="B1826" t="str">
            <v>ja</v>
          </cell>
          <cell r="C1826" t="str">
            <v>テストユニット44</v>
          </cell>
          <cell r="H1826" t="str">
            <v>yellow</v>
          </cell>
          <cell r="I1826">
            <v>6</v>
          </cell>
          <cell r="J1826" t="str">
            <v>PremiumSS</v>
          </cell>
          <cell r="K1826" t="str">
            <v>balance</v>
          </cell>
          <cell r="L1826" t="str">
            <v>バランスタイプ</v>
          </cell>
          <cell r="M1826" t="str">
            <v>unknown</v>
          </cell>
          <cell r="N1826" t="str">
            <v>Unknown</v>
          </cell>
          <cell r="O1826" t="str">
            <v>none</v>
          </cell>
          <cell r="P1826" t="str">
            <v>種族なし</v>
          </cell>
          <cell r="R1826">
            <v>1</v>
          </cell>
          <cell r="S1826" t="str">
            <v>NULL</v>
          </cell>
          <cell r="T1826" t="str">
            <v>normal</v>
          </cell>
        </row>
        <row r="1827">
          <cell r="A1827">
            <v>10045</v>
          </cell>
          <cell r="B1827" t="str">
            <v>ja</v>
          </cell>
          <cell r="C1827" t="str">
            <v>テストユニット45</v>
          </cell>
          <cell r="H1827" t="str">
            <v>red</v>
          </cell>
          <cell r="I1827">
            <v>6</v>
          </cell>
          <cell r="J1827" t="str">
            <v>PremiumSS</v>
          </cell>
          <cell r="K1827" t="str">
            <v>balance</v>
          </cell>
          <cell r="L1827" t="str">
            <v>バランスタイプ</v>
          </cell>
          <cell r="M1827" t="str">
            <v>unknown</v>
          </cell>
          <cell r="N1827" t="str">
            <v>Unknown</v>
          </cell>
          <cell r="O1827" t="str">
            <v>none</v>
          </cell>
          <cell r="P1827" t="str">
            <v>種族なし</v>
          </cell>
          <cell r="R1827">
            <v>1</v>
          </cell>
          <cell r="S1827" t="str">
            <v>NULL</v>
          </cell>
          <cell r="T1827" t="str">
            <v>normal</v>
          </cell>
        </row>
        <row r="1828">
          <cell r="A1828">
            <v>10046</v>
          </cell>
          <cell r="B1828" t="str">
            <v>ja</v>
          </cell>
          <cell r="C1828" t="str">
            <v>テストユニット46</v>
          </cell>
          <cell r="H1828" t="str">
            <v>blue</v>
          </cell>
          <cell r="I1828">
            <v>6</v>
          </cell>
          <cell r="J1828" t="str">
            <v>PremiumSS</v>
          </cell>
          <cell r="K1828" t="str">
            <v>balance</v>
          </cell>
          <cell r="L1828" t="str">
            <v>バランスタイプ</v>
          </cell>
          <cell r="M1828" t="str">
            <v>unknown</v>
          </cell>
          <cell r="N1828" t="str">
            <v>Unknown</v>
          </cell>
          <cell r="O1828" t="str">
            <v>none</v>
          </cell>
          <cell r="P1828" t="str">
            <v>種族なし</v>
          </cell>
          <cell r="R1828">
            <v>1</v>
          </cell>
          <cell r="S1828" t="str">
            <v>NULL</v>
          </cell>
          <cell r="T1828" t="str">
            <v>normal</v>
          </cell>
        </row>
        <row r="1829">
          <cell r="A1829">
            <v>10047</v>
          </cell>
          <cell r="B1829" t="str">
            <v>ja</v>
          </cell>
          <cell r="C1829" t="str">
            <v>テストユニット47</v>
          </cell>
          <cell r="H1829" t="str">
            <v>green</v>
          </cell>
          <cell r="I1829">
            <v>6</v>
          </cell>
          <cell r="J1829" t="str">
            <v>PremiumSS</v>
          </cell>
          <cell r="K1829" t="str">
            <v>balance</v>
          </cell>
          <cell r="L1829" t="str">
            <v>バランスタイプ</v>
          </cell>
          <cell r="M1829" t="str">
            <v>unknown</v>
          </cell>
          <cell r="N1829" t="str">
            <v>Unknown</v>
          </cell>
          <cell r="O1829" t="str">
            <v>none</v>
          </cell>
          <cell r="P1829" t="str">
            <v>種族なし</v>
          </cell>
          <cell r="R1829">
            <v>1</v>
          </cell>
          <cell r="S1829" t="str">
            <v>NULL</v>
          </cell>
          <cell r="T1829" t="str">
            <v>normal</v>
          </cell>
        </row>
        <row r="1830">
          <cell r="A1830">
            <v>10048</v>
          </cell>
          <cell r="B1830" t="str">
            <v>ja</v>
          </cell>
          <cell r="C1830" t="str">
            <v>テストユニット48</v>
          </cell>
          <cell r="H1830" t="str">
            <v>yellow</v>
          </cell>
          <cell r="I1830">
            <v>6</v>
          </cell>
          <cell r="J1830" t="str">
            <v>PremiumSS</v>
          </cell>
          <cell r="K1830" t="str">
            <v>balance</v>
          </cell>
          <cell r="L1830" t="str">
            <v>バランスタイプ</v>
          </cell>
          <cell r="M1830" t="str">
            <v>unknown</v>
          </cell>
          <cell r="N1830" t="str">
            <v>Unknown</v>
          </cell>
          <cell r="O1830" t="str">
            <v>none</v>
          </cell>
          <cell r="P1830" t="str">
            <v>種族なし</v>
          </cell>
          <cell r="R1830">
            <v>1</v>
          </cell>
          <cell r="S1830" t="str">
            <v>NULL</v>
          </cell>
          <cell r="T1830" t="str">
            <v>normal</v>
          </cell>
        </row>
        <row r="1831">
          <cell r="A1831">
            <v>10049</v>
          </cell>
          <cell r="B1831" t="str">
            <v>ja</v>
          </cell>
          <cell r="C1831" t="str">
            <v>テストユニット49</v>
          </cell>
          <cell r="H1831" t="str">
            <v>red</v>
          </cell>
          <cell r="I1831">
            <v>6</v>
          </cell>
          <cell r="J1831" t="str">
            <v>PremiumSS</v>
          </cell>
          <cell r="K1831" t="str">
            <v>balance</v>
          </cell>
          <cell r="L1831" t="str">
            <v>バランスタイプ</v>
          </cell>
          <cell r="M1831" t="str">
            <v>unknown</v>
          </cell>
          <cell r="N1831" t="str">
            <v>Unknown</v>
          </cell>
          <cell r="O1831" t="str">
            <v>none</v>
          </cell>
          <cell r="P1831" t="str">
            <v>種族なし</v>
          </cell>
          <cell r="R1831">
            <v>1</v>
          </cell>
          <cell r="S1831" t="str">
            <v>NULL</v>
          </cell>
          <cell r="T1831" t="str">
            <v>normal</v>
          </cell>
        </row>
        <row r="1832">
          <cell r="A1832">
            <v>10050</v>
          </cell>
          <cell r="B1832" t="str">
            <v>ja</v>
          </cell>
          <cell r="C1832" t="str">
            <v>テストユニット50</v>
          </cell>
          <cell r="H1832" t="str">
            <v>blue</v>
          </cell>
          <cell r="I1832">
            <v>6</v>
          </cell>
          <cell r="J1832" t="str">
            <v>PremiumSS</v>
          </cell>
          <cell r="K1832" t="str">
            <v>balance</v>
          </cell>
          <cell r="L1832" t="str">
            <v>バランスタイプ</v>
          </cell>
          <cell r="M1832" t="str">
            <v>unknown</v>
          </cell>
          <cell r="N1832" t="str">
            <v>Unknown</v>
          </cell>
          <cell r="O1832" t="str">
            <v>none</v>
          </cell>
          <cell r="P1832" t="str">
            <v>種族なし</v>
          </cell>
          <cell r="R1832">
            <v>1</v>
          </cell>
          <cell r="S1832" t="str">
            <v>NULL</v>
          </cell>
          <cell r="T1832" t="str">
            <v>normal</v>
          </cell>
        </row>
        <row r="1833">
          <cell r="A1833">
            <v>10051</v>
          </cell>
          <cell r="B1833" t="str">
            <v>ja</v>
          </cell>
          <cell r="C1833" t="str">
            <v>テストユニット51</v>
          </cell>
          <cell r="H1833" t="str">
            <v>green</v>
          </cell>
          <cell r="I1833">
            <v>6</v>
          </cell>
          <cell r="J1833" t="str">
            <v>PremiumSS</v>
          </cell>
          <cell r="K1833" t="str">
            <v>balance</v>
          </cell>
          <cell r="L1833" t="str">
            <v>バランスタイプ</v>
          </cell>
          <cell r="M1833" t="str">
            <v>unknown</v>
          </cell>
          <cell r="N1833" t="str">
            <v>Unknown</v>
          </cell>
          <cell r="O1833" t="str">
            <v>none</v>
          </cell>
          <cell r="P1833" t="str">
            <v>種族なし</v>
          </cell>
          <cell r="R1833">
            <v>1</v>
          </cell>
          <cell r="S1833" t="str">
            <v>NULL</v>
          </cell>
          <cell r="T1833" t="str">
            <v>normal</v>
          </cell>
        </row>
        <row r="1834">
          <cell r="A1834">
            <v>10052</v>
          </cell>
          <cell r="B1834" t="str">
            <v>ja</v>
          </cell>
          <cell r="C1834" t="str">
            <v>テストユニット52</v>
          </cell>
          <cell r="H1834" t="str">
            <v>yellow</v>
          </cell>
          <cell r="I1834">
            <v>6</v>
          </cell>
          <cell r="J1834" t="str">
            <v>PremiumSS</v>
          </cell>
          <cell r="K1834" t="str">
            <v>balance</v>
          </cell>
          <cell r="L1834" t="str">
            <v>バランスタイプ</v>
          </cell>
          <cell r="M1834" t="str">
            <v>unknown</v>
          </cell>
          <cell r="N1834" t="str">
            <v>Unknown</v>
          </cell>
          <cell r="O1834" t="str">
            <v>none</v>
          </cell>
          <cell r="P1834" t="str">
            <v>種族なし</v>
          </cell>
          <cell r="R1834">
            <v>1</v>
          </cell>
          <cell r="S1834" t="str">
            <v>NULL</v>
          </cell>
          <cell r="T1834" t="str">
            <v>normal</v>
          </cell>
        </row>
        <row r="1835">
          <cell r="A1835">
            <v>10053</v>
          </cell>
          <cell r="B1835" t="str">
            <v>ja</v>
          </cell>
          <cell r="C1835" t="str">
            <v>テストユニット53</v>
          </cell>
          <cell r="H1835" t="str">
            <v>red</v>
          </cell>
          <cell r="I1835">
            <v>6</v>
          </cell>
          <cell r="J1835" t="str">
            <v>PremiumSS</v>
          </cell>
          <cell r="K1835" t="str">
            <v>balance</v>
          </cell>
          <cell r="L1835" t="str">
            <v>バランスタイプ</v>
          </cell>
          <cell r="M1835" t="str">
            <v>unknown</v>
          </cell>
          <cell r="N1835" t="str">
            <v>Unknown</v>
          </cell>
          <cell r="O1835" t="str">
            <v>none</v>
          </cell>
          <cell r="P1835" t="str">
            <v>種族なし</v>
          </cell>
          <cell r="R1835">
            <v>1</v>
          </cell>
          <cell r="S1835" t="str">
            <v>NULL</v>
          </cell>
          <cell r="T1835" t="str">
            <v>normal</v>
          </cell>
        </row>
        <row r="1836">
          <cell r="A1836">
            <v>10054</v>
          </cell>
          <cell r="B1836" t="str">
            <v>ja</v>
          </cell>
          <cell r="C1836" t="str">
            <v>テストユニット54</v>
          </cell>
          <cell r="H1836" t="str">
            <v>blue</v>
          </cell>
          <cell r="I1836">
            <v>6</v>
          </cell>
          <cell r="J1836" t="str">
            <v>PremiumSS</v>
          </cell>
          <cell r="K1836" t="str">
            <v>balance</v>
          </cell>
          <cell r="L1836" t="str">
            <v>バランスタイプ</v>
          </cell>
          <cell r="M1836" t="str">
            <v>unknown</v>
          </cell>
          <cell r="N1836" t="str">
            <v>Unknown</v>
          </cell>
          <cell r="O1836" t="str">
            <v>none</v>
          </cell>
          <cell r="P1836" t="str">
            <v>種族なし</v>
          </cell>
          <cell r="R1836">
            <v>1</v>
          </cell>
          <cell r="S1836" t="str">
            <v>NULL</v>
          </cell>
          <cell r="T1836" t="str">
            <v>normal</v>
          </cell>
        </row>
        <row r="1837">
          <cell r="A1837">
            <v>10055</v>
          </cell>
          <cell r="B1837" t="str">
            <v>ja</v>
          </cell>
          <cell r="C1837" t="str">
            <v>テストユニット55</v>
          </cell>
          <cell r="H1837" t="str">
            <v>green</v>
          </cell>
          <cell r="I1837">
            <v>6</v>
          </cell>
          <cell r="J1837" t="str">
            <v>PremiumSS</v>
          </cell>
          <cell r="K1837" t="str">
            <v>balance</v>
          </cell>
          <cell r="L1837" t="str">
            <v>バランスタイプ</v>
          </cell>
          <cell r="M1837" t="str">
            <v>unknown</v>
          </cell>
          <cell r="N1837" t="str">
            <v>Unknown</v>
          </cell>
          <cell r="O1837" t="str">
            <v>none</v>
          </cell>
          <cell r="P1837" t="str">
            <v>種族なし</v>
          </cell>
          <cell r="R1837">
            <v>1</v>
          </cell>
          <cell r="S1837" t="str">
            <v>NULL</v>
          </cell>
          <cell r="T1837" t="str">
            <v>normal</v>
          </cell>
        </row>
        <row r="1838">
          <cell r="A1838">
            <v>10056</v>
          </cell>
          <cell r="B1838" t="str">
            <v>ja</v>
          </cell>
          <cell r="C1838" t="str">
            <v>テストユニット56</v>
          </cell>
          <cell r="H1838" t="str">
            <v>yellow</v>
          </cell>
          <cell r="I1838">
            <v>6</v>
          </cell>
          <cell r="J1838" t="str">
            <v>PremiumSS</v>
          </cell>
          <cell r="K1838" t="str">
            <v>balance</v>
          </cell>
          <cell r="L1838" t="str">
            <v>バランスタイプ</v>
          </cell>
          <cell r="M1838" t="str">
            <v>unknown</v>
          </cell>
          <cell r="N1838" t="str">
            <v>Unknown</v>
          </cell>
          <cell r="O1838" t="str">
            <v>none</v>
          </cell>
          <cell r="P1838" t="str">
            <v>種族なし</v>
          </cell>
          <cell r="R1838">
            <v>1</v>
          </cell>
          <cell r="S1838" t="str">
            <v>NULL</v>
          </cell>
          <cell r="T1838" t="str">
            <v>normal</v>
          </cell>
        </row>
        <row r="1839">
          <cell r="A1839">
            <v>10057</v>
          </cell>
          <cell r="B1839" t="str">
            <v>ja</v>
          </cell>
          <cell r="C1839" t="str">
            <v>テストユニット57</v>
          </cell>
          <cell r="H1839" t="str">
            <v>red</v>
          </cell>
          <cell r="I1839">
            <v>6</v>
          </cell>
          <cell r="J1839" t="str">
            <v>PremiumSS</v>
          </cell>
          <cell r="K1839" t="str">
            <v>balance</v>
          </cell>
          <cell r="L1839" t="str">
            <v>バランスタイプ</v>
          </cell>
          <cell r="M1839" t="str">
            <v>unknown</v>
          </cell>
          <cell r="N1839" t="str">
            <v>Unknown</v>
          </cell>
          <cell r="O1839" t="str">
            <v>none</v>
          </cell>
          <cell r="P1839" t="str">
            <v>種族なし</v>
          </cell>
          <cell r="R1839">
            <v>1</v>
          </cell>
          <cell r="S1839" t="str">
            <v>NULL</v>
          </cell>
          <cell r="T1839" t="str">
            <v>normal</v>
          </cell>
        </row>
        <row r="1840">
          <cell r="A1840">
            <v>10058</v>
          </cell>
          <cell r="B1840" t="str">
            <v>ja</v>
          </cell>
          <cell r="C1840" t="str">
            <v>テストユニット58</v>
          </cell>
          <cell r="H1840" t="str">
            <v>blue</v>
          </cell>
          <cell r="I1840">
            <v>6</v>
          </cell>
          <cell r="J1840" t="str">
            <v>PremiumSS</v>
          </cell>
          <cell r="K1840" t="str">
            <v>balance</v>
          </cell>
          <cell r="L1840" t="str">
            <v>バランスタイプ</v>
          </cell>
          <cell r="M1840" t="str">
            <v>unknown</v>
          </cell>
          <cell r="N1840" t="str">
            <v>Unknown</v>
          </cell>
          <cell r="O1840" t="str">
            <v>none</v>
          </cell>
          <cell r="P1840" t="str">
            <v>種族なし</v>
          </cell>
          <cell r="R1840">
            <v>1</v>
          </cell>
          <cell r="S1840" t="str">
            <v>NULL</v>
          </cell>
          <cell r="T1840" t="str">
            <v>normal</v>
          </cell>
        </row>
        <row r="1841">
          <cell r="A1841">
            <v>10059</v>
          </cell>
          <cell r="B1841" t="str">
            <v>ja</v>
          </cell>
          <cell r="C1841" t="str">
            <v>テストユニット59</v>
          </cell>
          <cell r="H1841" t="str">
            <v>green</v>
          </cell>
          <cell r="I1841">
            <v>6</v>
          </cell>
          <cell r="J1841" t="str">
            <v>PremiumSS</v>
          </cell>
          <cell r="K1841" t="str">
            <v>balance</v>
          </cell>
          <cell r="L1841" t="str">
            <v>バランスタイプ</v>
          </cell>
          <cell r="M1841" t="str">
            <v>unknown</v>
          </cell>
          <cell r="N1841" t="str">
            <v>Unknown</v>
          </cell>
          <cell r="O1841" t="str">
            <v>none</v>
          </cell>
          <cell r="P1841" t="str">
            <v>種族なし</v>
          </cell>
          <cell r="R1841">
            <v>1</v>
          </cell>
          <cell r="S1841" t="str">
            <v>NULL</v>
          </cell>
          <cell r="T1841" t="str">
            <v>normal</v>
          </cell>
        </row>
        <row r="1842">
          <cell r="A1842">
            <v>10060</v>
          </cell>
          <cell r="B1842" t="str">
            <v>ja</v>
          </cell>
          <cell r="C1842" t="str">
            <v>テストユニット60</v>
          </cell>
          <cell r="H1842" t="str">
            <v>yellow</v>
          </cell>
          <cell r="I1842">
            <v>6</v>
          </cell>
          <cell r="J1842" t="str">
            <v>PremiumSS</v>
          </cell>
          <cell r="K1842" t="str">
            <v>balance</v>
          </cell>
          <cell r="L1842" t="str">
            <v>バランスタイプ</v>
          </cell>
          <cell r="M1842" t="str">
            <v>unknown</v>
          </cell>
          <cell r="N1842" t="str">
            <v>Unknown</v>
          </cell>
          <cell r="O1842" t="str">
            <v>none</v>
          </cell>
          <cell r="P1842" t="str">
            <v>種族なし</v>
          </cell>
          <cell r="R1842">
            <v>1</v>
          </cell>
          <cell r="S1842" t="str">
            <v>NULL</v>
          </cell>
          <cell r="T1842" t="str">
            <v>normal</v>
          </cell>
        </row>
        <row r="1843">
          <cell r="A1843">
            <v>10061</v>
          </cell>
          <cell r="B1843" t="str">
            <v>ja</v>
          </cell>
          <cell r="C1843" t="str">
            <v>テストユニット61</v>
          </cell>
          <cell r="H1843" t="str">
            <v>red</v>
          </cell>
          <cell r="I1843">
            <v>6</v>
          </cell>
          <cell r="J1843" t="str">
            <v>PremiumSS</v>
          </cell>
          <cell r="K1843" t="str">
            <v>balance</v>
          </cell>
          <cell r="L1843" t="str">
            <v>バランスタイプ</v>
          </cell>
          <cell r="M1843" t="str">
            <v>unknown</v>
          </cell>
          <cell r="N1843" t="str">
            <v>Unknown</v>
          </cell>
          <cell r="O1843" t="str">
            <v>none</v>
          </cell>
          <cell r="P1843" t="str">
            <v>種族なし</v>
          </cell>
          <cell r="R1843">
            <v>1</v>
          </cell>
          <cell r="S1843" t="str">
            <v>NULL</v>
          </cell>
          <cell r="T1843" t="str">
            <v>normal</v>
          </cell>
        </row>
        <row r="1844">
          <cell r="A1844">
            <v>10062</v>
          </cell>
          <cell r="B1844" t="str">
            <v>ja</v>
          </cell>
          <cell r="C1844" t="str">
            <v>テストユニット62</v>
          </cell>
          <cell r="H1844" t="str">
            <v>blue</v>
          </cell>
          <cell r="I1844">
            <v>6</v>
          </cell>
          <cell r="J1844" t="str">
            <v>PremiumSS</v>
          </cell>
          <cell r="K1844" t="str">
            <v>balance</v>
          </cell>
          <cell r="L1844" t="str">
            <v>バランスタイプ</v>
          </cell>
          <cell r="M1844" t="str">
            <v>unknown</v>
          </cell>
          <cell r="N1844" t="str">
            <v>Unknown</v>
          </cell>
          <cell r="O1844" t="str">
            <v>none</v>
          </cell>
          <cell r="P1844" t="str">
            <v>種族なし</v>
          </cell>
          <cell r="R1844">
            <v>1</v>
          </cell>
          <cell r="S1844" t="str">
            <v>NULL</v>
          </cell>
          <cell r="T1844" t="str">
            <v>normal</v>
          </cell>
        </row>
        <row r="1845">
          <cell r="A1845">
            <v>10063</v>
          </cell>
          <cell r="B1845" t="str">
            <v>ja</v>
          </cell>
          <cell r="C1845" t="str">
            <v>テストユニット63</v>
          </cell>
          <cell r="H1845" t="str">
            <v>green</v>
          </cell>
          <cell r="I1845">
            <v>6</v>
          </cell>
          <cell r="J1845" t="str">
            <v>PremiumSS</v>
          </cell>
          <cell r="K1845" t="str">
            <v>balance</v>
          </cell>
          <cell r="L1845" t="str">
            <v>バランスタイプ</v>
          </cell>
          <cell r="M1845" t="str">
            <v>unknown</v>
          </cell>
          <cell r="N1845" t="str">
            <v>Unknown</v>
          </cell>
          <cell r="O1845" t="str">
            <v>none</v>
          </cell>
          <cell r="P1845" t="str">
            <v>種族なし</v>
          </cell>
          <cell r="R1845">
            <v>1</v>
          </cell>
          <cell r="S1845" t="str">
            <v>NULL</v>
          </cell>
          <cell r="T1845" t="str">
            <v>normal</v>
          </cell>
        </row>
        <row r="1846">
          <cell r="A1846">
            <v>10064</v>
          </cell>
          <cell r="B1846" t="str">
            <v>ja</v>
          </cell>
          <cell r="C1846" t="str">
            <v>テストユニット64</v>
          </cell>
          <cell r="H1846" t="str">
            <v>yellow</v>
          </cell>
          <cell r="I1846">
            <v>6</v>
          </cell>
          <cell r="J1846" t="str">
            <v>PremiumSS</v>
          </cell>
          <cell r="K1846" t="str">
            <v>balance</v>
          </cell>
          <cell r="L1846" t="str">
            <v>バランスタイプ</v>
          </cell>
          <cell r="M1846" t="str">
            <v>unknown</v>
          </cell>
          <cell r="N1846" t="str">
            <v>Unknown</v>
          </cell>
          <cell r="O1846" t="str">
            <v>none</v>
          </cell>
          <cell r="P1846" t="str">
            <v>種族なし</v>
          </cell>
          <cell r="R1846">
            <v>1</v>
          </cell>
          <cell r="S1846" t="str">
            <v>NULL</v>
          </cell>
          <cell r="T1846" t="str">
            <v>normal</v>
          </cell>
        </row>
        <row r="1847">
          <cell r="A1847">
            <v>10065</v>
          </cell>
          <cell r="B1847" t="str">
            <v>ja</v>
          </cell>
          <cell r="C1847" t="str">
            <v>テストユニット65</v>
          </cell>
          <cell r="H1847" t="str">
            <v>red</v>
          </cell>
          <cell r="I1847">
            <v>6</v>
          </cell>
          <cell r="J1847" t="str">
            <v>PremiumSS</v>
          </cell>
          <cell r="K1847" t="str">
            <v>balance</v>
          </cell>
          <cell r="L1847" t="str">
            <v>バランスタイプ</v>
          </cell>
          <cell r="M1847" t="str">
            <v>unknown</v>
          </cell>
          <cell r="N1847" t="str">
            <v>Unknown</v>
          </cell>
          <cell r="O1847" t="str">
            <v>none</v>
          </cell>
          <cell r="P1847" t="str">
            <v>種族なし</v>
          </cell>
          <cell r="R1847">
            <v>1</v>
          </cell>
          <cell r="S1847" t="str">
            <v>NULL</v>
          </cell>
          <cell r="T1847" t="str">
            <v>normal</v>
          </cell>
        </row>
        <row r="1848">
          <cell r="A1848">
            <v>10066</v>
          </cell>
          <cell r="B1848" t="str">
            <v>ja</v>
          </cell>
          <cell r="C1848" t="str">
            <v>テストユニット66</v>
          </cell>
          <cell r="H1848" t="str">
            <v>blue</v>
          </cell>
          <cell r="I1848">
            <v>6</v>
          </cell>
          <cell r="J1848" t="str">
            <v>PremiumSS</v>
          </cell>
          <cell r="K1848" t="str">
            <v>balance</v>
          </cell>
          <cell r="L1848" t="str">
            <v>バランスタイプ</v>
          </cell>
          <cell r="M1848" t="str">
            <v>unknown</v>
          </cell>
          <cell r="N1848" t="str">
            <v>Unknown</v>
          </cell>
          <cell r="O1848" t="str">
            <v>none</v>
          </cell>
          <cell r="P1848" t="str">
            <v>種族なし</v>
          </cell>
          <cell r="R1848">
            <v>1</v>
          </cell>
          <cell r="S1848" t="str">
            <v>NULL</v>
          </cell>
          <cell r="T1848" t="str">
            <v>normal</v>
          </cell>
        </row>
        <row r="1849">
          <cell r="A1849">
            <v>10067</v>
          </cell>
          <cell r="B1849" t="str">
            <v>ja</v>
          </cell>
          <cell r="C1849" t="str">
            <v>テストユニット67</v>
          </cell>
          <cell r="H1849" t="str">
            <v>green</v>
          </cell>
          <cell r="I1849">
            <v>6</v>
          </cell>
          <cell r="J1849" t="str">
            <v>PremiumSS</v>
          </cell>
          <cell r="K1849" t="str">
            <v>balance</v>
          </cell>
          <cell r="L1849" t="str">
            <v>バランスタイプ</v>
          </cell>
          <cell r="M1849" t="str">
            <v>unknown</v>
          </cell>
          <cell r="N1849" t="str">
            <v>Unknown</v>
          </cell>
          <cell r="O1849" t="str">
            <v>none</v>
          </cell>
          <cell r="P1849" t="str">
            <v>種族なし</v>
          </cell>
          <cell r="R1849">
            <v>1</v>
          </cell>
          <cell r="S1849" t="str">
            <v>NULL</v>
          </cell>
          <cell r="T1849" t="str">
            <v>normal</v>
          </cell>
        </row>
        <row r="1850">
          <cell r="A1850">
            <v>10068</v>
          </cell>
          <cell r="B1850" t="str">
            <v>ja</v>
          </cell>
          <cell r="C1850" t="str">
            <v>テストユニット68</v>
          </cell>
          <cell r="H1850" t="str">
            <v>yellow</v>
          </cell>
          <cell r="I1850">
            <v>6</v>
          </cell>
          <cell r="J1850" t="str">
            <v>PremiumSS</v>
          </cell>
          <cell r="K1850" t="str">
            <v>balance</v>
          </cell>
          <cell r="L1850" t="str">
            <v>バランスタイプ</v>
          </cell>
          <cell r="M1850" t="str">
            <v>unknown</v>
          </cell>
          <cell r="N1850" t="str">
            <v>Unknown</v>
          </cell>
          <cell r="O1850" t="str">
            <v>none</v>
          </cell>
          <cell r="P1850" t="str">
            <v>種族なし</v>
          </cell>
          <cell r="R1850">
            <v>1</v>
          </cell>
          <cell r="S1850" t="str">
            <v>NULL</v>
          </cell>
          <cell r="T1850" t="str">
            <v>normal</v>
          </cell>
        </row>
        <row r="1851">
          <cell r="A1851">
            <v>10069</v>
          </cell>
          <cell r="B1851" t="str">
            <v>ja</v>
          </cell>
          <cell r="C1851" t="str">
            <v>テストユニット69</v>
          </cell>
          <cell r="H1851" t="str">
            <v>red</v>
          </cell>
          <cell r="I1851">
            <v>6</v>
          </cell>
          <cell r="J1851" t="str">
            <v>PremiumSS</v>
          </cell>
          <cell r="K1851" t="str">
            <v>balance</v>
          </cell>
          <cell r="L1851" t="str">
            <v>バランスタイプ</v>
          </cell>
          <cell r="M1851" t="str">
            <v>unknown</v>
          </cell>
          <cell r="N1851" t="str">
            <v>Unknown</v>
          </cell>
          <cell r="O1851" t="str">
            <v>none</v>
          </cell>
          <cell r="P1851" t="str">
            <v>種族なし</v>
          </cell>
          <cell r="R1851">
            <v>1</v>
          </cell>
          <cell r="S1851" t="str">
            <v>NULL</v>
          </cell>
          <cell r="T1851" t="str">
            <v>normal</v>
          </cell>
        </row>
        <row r="1852">
          <cell r="A1852">
            <v>10070</v>
          </cell>
          <cell r="B1852" t="str">
            <v>ja</v>
          </cell>
          <cell r="C1852" t="str">
            <v>テストユニット70</v>
          </cell>
          <cell r="H1852" t="str">
            <v>blue</v>
          </cell>
          <cell r="I1852">
            <v>6</v>
          </cell>
          <cell r="J1852" t="str">
            <v>PremiumSSS</v>
          </cell>
          <cell r="K1852" t="str">
            <v>heal</v>
          </cell>
          <cell r="L1852" t="str">
            <v>回復タイプ</v>
          </cell>
          <cell r="M1852" t="str">
            <v>academia</v>
          </cell>
          <cell r="N1852" t="str">
            <v>アカデミア</v>
          </cell>
          <cell r="O1852" t="str">
            <v>fantasy</v>
          </cell>
          <cell r="P1852" t="str">
            <v>ファンタジー</v>
          </cell>
          <cell r="R1852">
            <v>1</v>
          </cell>
          <cell r="S1852" t="str">
            <v>NULL</v>
          </cell>
          <cell r="T1852" t="str">
            <v>normal</v>
          </cell>
        </row>
        <row r="1853">
          <cell r="A1853">
            <v>10071</v>
          </cell>
          <cell r="B1853" t="str">
            <v>ja</v>
          </cell>
          <cell r="C1853" t="str">
            <v>テストユニット71</v>
          </cell>
          <cell r="H1853" t="str">
            <v>red</v>
          </cell>
          <cell r="I1853">
            <v>6</v>
          </cell>
          <cell r="J1853" t="str">
            <v>PremiumSSS</v>
          </cell>
          <cell r="K1853" t="str">
            <v>hp</v>
          </cell>
          <cell r="L1853" t="str">
            <v>体力タイプ</v>
          </cell>
          <cell r="M1853" t="str">
            <v>demon</v>
          </cell>
          <cell r="N1853" t="str">
            <v>デーモン</v>
          </cell>
          <cell r="O1853" t="str">
            <v>none</v>
          </cell>
          <cell r="P1853" t="str">
            <v>種族なし</v>
          </cell>
          <cell r="R1853">
            <v>1</v>
          </cell>
          <cell r="S1853" t="str">
            <v>NULL</v>
          </cell>
          <cell r="T1853" t="str">
            <v>normal</v>
          </cell>
        </row>
        <row r="1854">
          <cell r="A1854">
            <v>10072</v>
          </cell>
          <cell r="B1854" t="str">
            <v>ja</v>
          </cell>
          <cell r="C1854" t="str">
            <v>テストユニット72</v>
          </cell>
          <cell r="H1854" t="str">
            <v>green</v>
          </cell>
          <cell r="I1854">
            <v>6</v>
          </cell>
          <cell r="J1854" t="str">
            <v>PremiumSSS</v>
          </cell>
          <cell r="K1854" t="str">
            <v>heal</v>
          </cell>
          <cell r="L1854" t="str">
            <v>回復タイプ</v>
          </cell>
          <cell r="M1854" t="str">
            <v>unknown</v>
          </cell>
          <cell r="N1854" t="str">
            <v>Unknown</v>
          </cell>
          <cell r="O1854" t="str">
            <v>none</v>
          </cell>
          <cell r="P1854" t="str">
            <v>種族なし</v>
          </cell>
          <cell r="R1854">
            <v>1</v>
          </cell>
          <cell r="S1854" t="str">
            <v>NULL</v>
          </cell>
          <cell r="T1854" t="str">
            <v>super</v>
          </cell>
        </row>
        <row r="1855">
          <cell r="A1855">
            <v>10073</v>
          </cell>
          <cell r="B1855" t="str">
            <v>ja</v>
          </cell>
          <cell r="C1855" t="str">
            <v>テストユニット73</v>
          </cell>
          <cell r="H1855" t="str">
            <v>green</v>
          </cell>
          <cell r="I1855">
            <v>6</v>
          </cell>
          <cell r="J1855" t="str">
            <v>PremiumSSS</v>
          </cell>
          <cell r="K1855" t="str">
            <v>attack</v>
          </cell>
          <cell r="L1855" t="str">
            <v>攻撃タイプ</v>
          </cell>
          <cell r="M1855" t="str">
            <v>samurai</v>
          </cell>
          <cell r="N1855" t="str">
            <v>サムライ</v>
          </cell>
          <cell r="O1855" t="str">
            <v>none</v>
          </cell>
          <cell r="P1855" t="str">
            <v>種族なし</v>
          </cell>
          <cell r="R1855">
            <v>1</v>
          </cell>
          <cell r="S1855" t="str">
            <v>NULL</v>
          </cell>
          <cell r="T1855" t="str">
            <v>super</v>
          </cell>
        </row>
        <row r="1856">
          <cell r="A1856">
            <v>10074</v>
          </cell>
          <cell r="B1856" t="str">
            <v>ja</v>
          </cell>
          <cell r="C1856" t="str">
            <v>テストユニット74</v>
          </cell>
          <cell r="H1856" t="str">
            <v>blue</v>
          </cell>
          <cell r="I1856">
            <v>6</v>
          </cell>
          <cell r="J1856" t="str">
            <v>PremiumSSS</v>
          </cell>
          <cell r="K1856" t="str">
            <v>balance</v>
          </cell>
          <cell r="L1856" t="str">
            <v>バランスタイプ</v>
          </cell>
          <cell r="M1856" t="str">
            <v>fantasy</v>
          </cell>
          <cell r="N1856" t="str">
            <v>ファンタジー</v>
          </cell>
          <cell r="O1856" t="str">
            <v>human</v>
          </cell>
          <cell r="P1856" t="str">
            <v>ヒューマン</v>
          </cell>
          <cell r="R1856">
            <v>1</v>
          </cell>
          <cell r="S1856" t="str">
            <v>NULL</v>
          </cell>
          <cell r="T1856" t="str">
            <v>super</v>
          </cell>
        </row>
        <row r="1857">
          <cell r="A1857">
            <v>10075</v>
          </cell>
          <cell r="B1857" t="str">
            <v>ja</v>
          </cell>
          <cell r="C1857" t="str">
            <v>テストユニット75</v>
          </cell>
          <cell r="H1857" t="str">
            <v>yellow</v>
          </cell>
          <cell r="I1857">
            <v>6</v>
          </cell>
          <cell r="J1857" t="str">
            <v>PremiumSS</v>
          </cell>
          <cell r="K1857" t="str">
            <v>balance</v>
          </cell>
          <cell r="L1857" t="str">
            <v>バランスタイプ</v>
          </cell>
          <cell r="M1857" t="str">
            <v>unknown</v>
          </cell>
          <cell r="N1857" t="str">
            <v>Unknown</v>
          </cell>
          <cell r="O1857" t="str">
            <v>none</v>
          </cell>
          <cell r="P1857" t="str">
            <v>種族なし</v>
          </cell>
          <cell r="R1857">
            <v>1</v>
          </cell>
          <cell r="S1857" t="str">
            <v>NULL</v>
          </cell>
          <cell r="T1857" t="str">
            <v>super</v>
          </cell>
        </row>
        <row r="1858">
          <cell r="A1858">
            <v>10076</v>
          </cell>
          <cell r="B1858" t="str">
            <v>ja</v>
          </cell>
          <cell r="C1858" t="str">
            <v>テストユニット76</v>
          </cell>
          <cell r="H1858" t="str">
            <v>yellow</v>
          </cell>
          <cell r="I1858">
            <v>6</v>
          </cell>
          <cell r="J1858" t="str">
            <v>PremiumSS</v>
          </cell>
          <cell r="K1858" t="str">
            <v>balance</v>
          </cell>
          <cell r="L1858" t="str">
            <v>バランスタイプ</v>
          </cell>
          <cell r="M1858" t="str">
            <v>unknown</v>
          </cell>
          <cell r="N1858" t="str">
            <v>Unknown</v>
          </cell>
          <cell r="O1858" t="str">
            <v>none</v>
          </cell>
          <cell r="P1858" t="str">
            <v>種族なし</v>
          </cell>
          <cell r="R1858">
            <v>1</v>
          </cell>
          <cell r="S1858" t="str">
            <v>NULL</v>
          </cell>
          <cell r="T1858" t="str">
            <v>normal</v>
          </cell>
        </row>
        <row r="1859">
          <cell r="A1859">
            <v>10077</v>
          </cell>
          <cell r="B1859" t="str">
            <v>ja</v>
          </cell>
          <cell r="C1859" t="str">
            <v>テストユニット77</v>
          </cell>
          <cell r="H1859" t="str">
            <v>yellow</v>
          </cell>
          <cell r="I1859">
            <v>6</v>
          </cell>
          <cell r="J1859" t="str">
            <v>PremiumSS</v>
          </cell>
          <cell r="K1859" t="str">
            <v>balance</v>
          </cell>
          <cell r="L1859" t="str">
            <v>バランスタイプ</v>
          </cell>
          <cell r="M1859" t="str">
            <v>unknown</v>
          </cell>
          <cell r="N1859" t="str">
            <v>Unknown</v>
          </cell>
          <cell r="O1859" t="str">
            <v>none</v>
          </cell>
          <cell r="P1859" t="str">
            <v>種族なし</v>
          </cell>
          <cell r="R1859">
            <v>1</v>
          </cell>
          <cell r="S1859" t="str">
            <v>NULL</v>
          </cell>
          <cell r="T1859" t="str">
            <v>normal</v>
          </cell>
        </row>
        <row r="1860">
          <cell r="A1860">
            <v>10078</v>
          </cell>
          <cell r="B1860" t="str">
            <v>ja</v>
          </cell>
          <cell r="C1860" t="str">
            <v>テストユニット78</v>
          </cell>
          <cell r="H1860" t="str">
            <v>red</v>
          </cell>
          <cell r="I1860">
            <v>6</v>
          </cell>
          <cell r="J1860" t="str">
            <v>PremiumSSS</v>
          </cell>
          <cell r="K1860" t="str">
            <v>heal</v>
          </cell>
          <cell r="L1860" t="str">
            <v>回復タイプ</v>
          </cell>
          <cell r="M1860" t="str">
            <v>human</v>
          </cell>
          <cell r="N1860" t="str">
            <v>ヒューマン</v>
          </cell>
          <cell r="O1860" t="str">
            <v>none</v>
          </cell>
          <cell r="P1860" t="str">
            <v>種族なし</v>
          </cell>
          <cell r="R1860">
            <v>1</v>
          </cell>
          <cell r="S1860" t="str">
            <v>NULL</v>
          </cell>
          <cell r="T1860" t="str">
            <v>normal</v>
          </cell>
        </row>
        <row r="1861">
          <cell r="A1861">
            <v>10079</v>
          </cell>
          <cell r="B1861" t="str">
            <v>ja</v>
          </cell>
          <cell r="C1861" t="str">
            <v>テストユニット79</v>
          </cell>
          <cell r="H1861" t="str">
            <v>red</v>
          </cell>
          <cell r="I1861">
            <v>6</v>
          </cell>
          <cell r="J1861" t="str">
            <v>PremiumSSS</v>
          </cell>
          <cell r="K1861" t="str">
            <v>heal</v>
          </cell>
          <cell r="L1861" t="str">
            <v>回復タイプ</v>
          </cell>
          <cell r="M1861" t="str">
            <v>human</v>
          </cell>
          <cell r="N1861" t="str">
            <v>ヒューマン</v>
          </cell>
          <cell r="O1861" t="str">
            <v>none</v>
          </cell>
          <cell r="P1861" t="str">
            <v>種族なし</v>
          </cell>
          <cell r="R1861">
            <v>1</v>
          </cell>
          <cell r="S1861" t="str">
            <v>NULL</v>
          </cell>
          <cell r="T1861" t="str">
            <v>normal</v>
          </cell>
        </row>
        <row r="1862">
          <cell r="A1862">
            <v>10080</v>
          </cell>
          <cell r="B1862" t="str">
            <v>ja</v>
          </cell>
          <cell r="C1862" t="str">
            <v>テストユニット80</v>
          </cell>
          <cell r="H1862" t="str">
            <v>yellow</v>
          </cell>
          <cell r="I1862">
            <v>6</v>
          </cell>
          <cell r="J1862" t="str">
            <v>PremiumSS</v>
          </cell>
          <cell r="K1862" t="str">
            <v>balance</v>
          </cell>
          <cell r="L1862" t="str">
            <v>バランスタイプ</v>
          </cell>
          <cell r="M1862" t="str">
            <v>unknown</v>
          </cell>
          <cell r="N1862" t="str">
            <v>Unknown</v>
          </cell>
          <cell r="O1862" t="str">
            <v>none</v>
          </cell>
          <cell r="P1862" t="str">
            <v>種族なし</v>
          </cell>
          <cell r="R1862">
            <v>1</v>
          </cell>
          <cell r="S1862" t="str">
            <v>NULL</v>
          </cell>
          <cell r="T1862" t="str">
            <v>normal</v>
          </cell>
        </row>
        <row r="1863">
          <cell r="A1863">
            <v>10081</v>
          </cell>
          <cell r="B1863" t="str">
            <v>ja</v>
          </cell>
          <cell r="C1863" t="str">
            <v>テストユニット81</v>
          </cell>
          <cell r="H1863" t="str">
            <v>red</v>
          </cell>
          <cell r="I1863">
            <v>6</v>
          </cell>
          <cell r="J1863" t="str">
            <v>PremiumSS</v>
          </cell>
          <cell r="K1863" t="str">
            <v>balance</v>
          </cell>
          <cell r="L1863" t="str">
            <v>バランスタイプ</v>
          </cell>
          <cell r="M1863" t="str">
            <v>unknown</v>
          </cell>
          <cell r="N1863" t="str">
            <v>Unknown</v>
          </cell>
          <cell r="O1863" t="str">
            <v>none</v>
          </cell>
          <cell r="P1863" t="str">
            <v>種族なし</v>
          </cell>
          <cell r="R1863">
            <v>1</v>
          </cell>
          <cell r="S1863" t="str">
            <v>NULL</v>
          </cell>
          <cell r="T1863" t="str">
            <v>normal</v>
          </cell>
        </row>
        <row r="1864">
          <cell r="A1864">
            <v>10082</v>
          </cell>
          <cell r="B1864" t="str">
            <v>ja</v>
          </cell>
          <cell r="C1864" t="str">
            <v>テストユニット82</v>
          </cell>
          <cell r="H1864" t="str">
            <v>blue</v>
          </cell>
          <cell r="I1864">
            <v>6</v>
          </cell>
          <cell r="J1864" t="str">
            <v>PremiumSS</v>
          </cell>
          <cell r="K1864" t="str">
            <v>balance</v>
          </cell>
          <cell r="L1864" t="str">
            <v>バランスタイプ</v>
          </cell>
          <cell r="M1864" t="str">
            <v>unknown</v>
          </cell>
          <cell r="N1864" t="str">
            <v>Unknown</v>
          </cell>
          <cell r="O1864" t="str">
            <v>none</v>
          </cell>
          <cell r="P1864" t="str">
            <v>種族なし</v>
          </cell>
          <cell r="R1864">
            <v>1</v>
          </cell>
          <cell r="S1864" t="str">
            <v>NULL</v>
          </cell>
          <cell r="T1864" t="str">
            <v>normal</v>
          </cell>
        </row>
        <row r="1865">
          <cell r="A1865">
            <v>10083</v>
          </cell>
          <cell r="B1865" t="str">
            <v>ja</v>
          </cell>
          <cell r="C1865" t="str">
            <v>テストユニット83</v>
          </cell>
          <cell r="H1865" t="str">
            <v>green</v>
          </cell>
          <cell r="I1865">
            <v>6</v>
          </cell>
          <cell r="J1865" t="str">
            <v>PremiumSS</v>
          </cell>
          <cell r="K1865" t="str">
            <v>balance</v>
          </cell>
          <cell r="L1865" t="str">
            <v>バランスタイプ</v>
          </cell>
          <cell r="M1865" t="str">
            <v>unknown</v>
          </cell>
          <cell r="N1865" t="str">
            <v>Unknown</v>
          </cell>
          <cell r="O1865" t="str">
            <v>none</v>
          </cell>
          <cell r="P1865" t="str">
            <v>種族なし</v>
          </cell>
          <cell r="R1865">
            <v>1</v>
          </cell>
          <cell r="S1865" t="str">
            <v>NULL</v>
          </cell>
          <cell r="T1865" t="str">
            <v>normal</v>
          </cell>
        </row>
        <row r="1866">
          <cell r="A1866">
            <v>10084</v>
          </cell>
          <cell r="B1866" t="str">
            <v>ja</v>
          </cell>
          <cell r="C1866" t="str">
            <v>テストユニット84</v>
          </cell>
          <cell r="H1866" t="str">
            <v>yellow</v>
          </cell>
          <cell r="I1866">
            <v>6</v>
          </cell>
          <cell r="J1866" t="str">
            <v>PremiumSS</v>
          </cell>
          <cell r="K1866" t="str">
            <v>balance</v>
          </cell>
          <cell r="L1866" t="str">
            <v>バランスタイプ</v>
          </cell>
          <cell r="M1866" t="str">
            <v>unknown</v>
          </cell>
          <cell r="N1866" t="str">
            <v>Unknown</v>
          </cell>
          <cell r="O1866" t="str">
            <v>none</v>
          </cell>
          <cell r="P1866" t="str">
            <v>種族なし</v>
          </cell>
          <cell r="R1866">
            <v>1</v>
          </cell>
          <cell r="S1866" t="str">
            <v>NULL</v>
          </cell>
          <cell r="T1866" t="str">
            <v>normal</v>
          </cell>
        </row>
        <row r="1867">
          <cell r="A1867">
            <v>10085</v>
          </cell>
          <cell r="B1867" t="str">
            <v>ja</v>
          </cell>
          <cell r="C1867" t="str">
            <v>テストユニット85</v>
          </cell>
          <cell r="H1867" t="str">
            <v>red</v>
          </cell>
          <cell r="I1867">
            <v>6</v>
          </cell>
          <cell r="J1867" t="str">
            <v>PremiumSS</v>
          </cell>
          <cell r="K1867" t="str">
            <v>balance</v>
          </cell>
          <cell r="L1867" t="str">
            <v>バランスタイプ</v>
          </cell>
          <cell r="M1867" t="str">
            <v>unknown</v>
          </cell>
          <cell r="N1867" t="str">
            <v>Unknown</v>
          </cell>
          <cell r="O1867" t="str">
            <v>none</v>
          </cell>
          <cell r="P1867" t="str">
            <v>種族なし</v>
          </cell>
          <cell r="R1867">
            <v>1</v>
          </cell>
          <cell r="S1867" t="str">
            <v>NULL</v>
          </cell>
          <cell r="T1867" t="str">
            <v>normal</v>
          </cell>
        </row>
        <row r="1868">
          <cell r="A1868">
            <v>10086</v>
          </cell>
          <cell r="B1868" t="str">
            <v>ja</v>
          </cell>
          <cell r="C1868" t="str">
            <v>テストユニット86</v>
          </cell>
          <cell r="H1868" t="str">
            <v>blue</v>
          </cell>
          <cell r="I1868">
            <v>6</v>
          </cell>
          <cell r="J1868" t="str">
            <v>PremiumSS</v>
          </cell>
          <cell r="K1868" t="str">
            <v>balance</v>
          </cell>
          <cell r="L1868" t="str">
            <v>バランスタイプ</v>
          </cell>
          <cell r="M1868" t="str">
            <v>unknown</v>
          </cell>
          <cell r="N1868" t="str">
            <v>Unknown</v>
          </cell>
          <cell r="O1868" t="str">
            <v>none</v>
          </cell>
          <cell r="P1868" t="str">
            <v>種族なし</v>
          </cell>
          <cell r="R1868">
            <v>1</v>
          </cell>
          <cell r="S1868" t="str">
            <v>NULL</v>
          </cell>
          <cell r="T1868" t="str">
            <v>normal</v>
          </cell>
        </row>
        <row r="1869">
          <cell r="A1869">
            <v>10087</v>
          </cell>
          <cell r="B1869" t="str">
            <v>ja</v>
          </cell>
          <cell r="C1869" t="str">
            <v>テストユニット87</v>
          </cell>
          <cell r="H1869" t="str">
            <v>green</v>
          </cell>
          <cell r="I1869">
            <v>6</v>
          </cell>
          <cell r="J1869" t="str">
            <v>PremiumSS</v>
          </cell>
          <cell r="K1869" t="str">
            <v>balance</v>
          </cell>
          <cell r="L1869" t="str">
            <v>バランスタイプ</v>
          </cell>
          <cell r="M1869" t="str">
            <v>unknown</v>
          </cell>
          <cell r="N1869" t="str">
            <v>Unknown</v>
          </cell>
          <cell r="O1869" t="str">
            <v>none</v>
          </cell>
          <cell r="P1869" t="str">
            <v>種族なし</v>
          </cell>
          <cell r="R1869">
            <v>1</v>
          </cell>
          <cell r="S1869" t="str">
            <v>NULL</v>
          </cell>
          <cell r="T1869" t="str">
            <v>normal</v>
          </cell>
        </row>
        <row r="1870">
          <cell r="A1870">
            <v>10088</v>
          </cell>
          <cell r="B1870" t="str">
            <v>ja</v>
          </cell>
          <cell r="C1870" t="str">
            <v>テストユニット88</v>
          </cell>
          <cell r="H1870" t="str">
            <v>yellow</v>
          </cell>
          <cell r="I1870">
            <v>6</v>
          </cell>
          <cell r="J1870" t="str">
            <v>PremiumSS</v>
          </cell>
          <cell r="K1870" t="str">
            <v>balance</v>
          </cell>
          <cell r="L1870" t="str">
            <v>バランスタイプ</v>
          </cell>
          <cell r="M1870" t="str">
            <v>unknown</v>
          </cell>
          <cell r="N1870" t="str">
            <v>Unknown</v>
          </cell>
          <cell r="O1870" t="str">
            <v>none</v>
          </cell>
          <cell r="P1870" t="str">
            <v>種族なし</v>
          </cell>
          <cell r="R1870">
            <v>1</v>
          </cell>
          <cell r="S1870" t="str">
            <v>NULL</v>
          </cell>
          <cell r="T1870" t="str">
            <v>normal</v>
          </cell>
        </row>
        <row r="1871">
          <cell r="A1871">
            <v>10089</v>
          </cell>
          <cell r="B1871" t="str">
            <v>ja</v>
          </cell>
          <cell r="C1871" t="str">
            <v>テストユニット89</v>
          </cell>
          <cell r="H1871" t="str">
            <v>red</v>
          </cell>
          <cell r="I1871">
            <v>6</v>
          </cell>
          <cell r="J1871" t="str">
            <v>PremiumSS</v>
          </cell>
          <cell r="K1871" t="str">
            <v>balance</v>
          </cell>
          <cell r="L1871" t="str">
            <v>バランスタイプ</v>
          </cell>
          <cell r="M1871" t="str">
            <v>unknown</v>
          </cell>
          <cell r="N1871" t="str">
            <v>Unknown</v>
          </cell>
          <cell r="O1871" t="str">
            <v>none</v>
          </cell>
          <cell r="P1871" t="str">
            <v>種族なし</v>
          </cell>
          <cell r="R1871">
            <v>1</v>
          </cell>
          <cell r="S1871" t="str">
            <v>NULL</v>
          </cell>
          <cell r="T1871" t="str">
            <v>normal</v>
          </cell>
        </row>
        <row r="1872">
          <cell r="A1872">
            <v>10090</v>
          </cell>
          <cell r="B1872" t="str">
            <v>ja</v>
          </cell>
          <cell r="C1872" t="str">
            <v>テストユニット90</v>
          </cell>
          <cell r="H1872" t="str">
            <v>blue</v>
          </cell>
          <cell r="I1872">
            <v>6</v>
          </cell>
          <cell r="J1872" t="str">
            <v>PremiumSS</v>
          </cell>
          <cell r="K1872" t="str">
            <v>balance</v>
          </cell>
          <cell r="L1872" t="str">
            <v>バランスタイプ</v>
          </cell>
          <cell r="M1872" t="str">
            <v>unknown</v>
          </cell>
          <cell r="N1872" t="str">
            <v>Unknown</v>
          </cell>
          <cell r="O1872" t="str">
            <v>none</v>
          </cell>
          <cell r="P1872" t="str">
            <v>種族なし</v>
          </cell>
          <cell r="R1872">
            <v>1</v>
          </cell>
          <cell r="S1872" t="str">
            <v>NULL</v>
          </cell>
          <cell r="T1872" t="str">
            <v>normal</v>
          </cell>
        </row>
        <row r="1873">
          <cell r="A1873">
            <v>10101</v>
          </cell>
          <cell r="B1873" t="str">
            <v>ja</v>
          </cell>
          <cell r="C1873" t="str">
            <v>Usagi-kun</v>
          </cell>
          <cell r="H1873" t="str">
            <v>blue</v>
          </cell>
          <cell r="I1873">
            <v>6</v>
          </cell>
          <cell r="J1873" t="str">
            <v>DropWizS</v>
          </cell>
          <cell r="K1873" t="str">
            <v>balance</v>
          </cell>
          <cell r="L1873" t="str">
            <v>バランスタイプ</v>
          </cell>
          <cell r="M1873" t="str">
            <v>unknown</v>
          </cell>
          <cell r="N1873" t="str">
            <v>Unknown</v>
          </cell>
          <cell r="O1873" t="str">
            <v>none</v>
          </cell>
          <cell r="P1873" t="str">
            <v>種族なし</v>
          </cell>
          <cell r="R1873">
            <v>3</v>
          </cell>
          <cell r="S1873" t="str">
            <v>NULL</v>
          </cell>
          <cell r="T1873" t="str">
            <v>normal</v>
          </cell>
        </row>
        <row r="1874">
          <cell r="A1874">
            <v>10102</v>
          </cell>
          <cell r="B1874" t="str">
            <v>ja</v>
          </cell>
          <cell r="C1874" t="str">
            <v>ローズ</v>
          </cell>
          <cell r="D1874" t="str">
            <v>未定</v>
          </cell>
          <cell r="E1874" t="str">
            <v>執行者</v>
          </cell>
          <cell r="F1874" t="str">
            <v>格好いい</v>
          </cell>
          <cell r="G1874" t="str">
            <v>不明</v>
          </cell>
          <cell r="H1874" t="str">
            <v>red</v>
          </cell>
          <cell r="I1874">
            <v>3</v>
          </cell>
          <cell r="J1874" t="str">
            <v>DropWizSSS</v>
          </cell>
          <cell r="K1874" t="str">
            <v>attack</v>
          </cell>
          <cell r="L1874" t="str">
            <v>攻撃タイプ</v>
          </cell>
          <cell r="M1874" t="str">
            <v>queen</v>
          </cell>
          <cell r="N1874" t="str">
            <v>QUEEN</v>
          </cell>
          <cell r="O1874" t="str">
            <v>demon</v>
          </cell>
          <cell r="P1874" t="str">
            <v>デーモン</v>
          </cell>
          <cell r="Q1874" t="str">
            <v>アタッカー</v>
          </cell>
          <cell r="R1874">
            <v>3</v>
          </cell>
          <cell r="S1874" t="str">
            <v>NULL</v>
          </cell>
          <cell r="T1874" t="str">
            <v>normal</v>
          </cell>
        </row>
        <row r="1875">
          <cell r="A1875">
            <v>10103</v>
          </cell>
          <cell r="B1875" t="str">
            <v>ja</v>
          </cell>
          <cell r="C1875" t="str">
            <v>ローズ</v>
          </cell>
          <cell r="D1875" t="str">
            <v>未定</v>
          </cell>
          <cell r="E1875" t="str">
            <v>執行者</v>
          </cell>
          <cell r="F1875" t="str">
            <v>格好いい</v>
          </cell>
          <cell r="G1875" t="str">
            <v>不明</v>
          </cell>
          <cell r="H1875" t="str">
            <v>red</v>
          </cell>
          <cell r="I1875">
            <v>4</v>
          </cell>
          <cell r="J1875" t="str">
            <v>DropWizSSS</v>
          </cell>
          <cell r="K1875" t="str">
            <v>attack</v>
          </cell>
          <cell r="L1875" t="str">
            <v>攻撃タイプ</v>
          </cell>
          <cell r="M1875" t="str">
            <v>queen</v>
          </cell>
          <cell r="N1875" t="str">
            <v>QUEEN</v>
          </cell>
          <cell r="O1875" t="str">
            <v>demon</v>
          </cell>
          <cell r="P1875" t="str">
            <v>デーモン</v>
          </cell>
          <cell r="Q1875" t="str">
            <v>アタッカー</v>
          </cell>
          <cell r="R1875">
            <v>3</v>
          </cell>
          <cell r="S1875" t="str">
            <v>NULL</v>
          </cell>
          <cell r="T1875" t="str">
            <v>normal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abilities"/>
      <sheetName val="ability_基礎設計"/>
      <sheetName val="unit_abilities"/>
      <sheetName val="文言管理シート"/>
      <sheetName val="Sheet1"/>
      <sheetName val="アビリティ分類分け"/>
    </sheetNames>
    <sheetDataSet>
      <sheetData sheetId="0"/>
      <sheetData sheetId="1">
        <row r="1">
          <cell r="A1" t="str">
            <v>ability_id</v>
          </cell>
          <cell r="B1" t="str">
            <v>language</v>
          </cell>
          <cell r="C1" t="str">
            <v>name</v>
          </cell>
          <cell r="D1" t="str">
            <v>comment</v>
          </cell>
        </row>
        <row r="2">
          <cell r="A2">
            <v>100</v>
          </cell>
          <cell r="B2" t="str">
            <v>ja</v>
          </cell>
          <cell r="C2" t="str">
            <v>プロテクトブレイク</v>
          </cell>
          <cell r="D2" t="str">
            <v>自身が先頭の時、プロテクトを無視してパネル破壊できる</v>
          </cell>
        </row>
        <row r="3">
          <cell r="A3">
            <v>101</v>
          </cell>
          <cell r="B3" t="str">
            <v>ja</v>
          </cell>
          <cell r="C3" t="str">
            <v>プロテクトブレイクS(仮)</v>
          </cell>
          <cell r="D3" t="str">
            <v>自身が先頭の時、プロテクトを無視してパネル破壊できる</v>
          </cell>
        </row>
        <row r="4">
          <cell r="A4">
            <v>102</v>
          </cell>
          <cell r="B4" t="str">
            <v>ja</v>
          </cell>
          <cell r="C4" t="str">
            <v>プロテクトブレイク</v>
          </cell>
          <cell r="D4" t="str">
            <v>自身が先頭の時、プロテクトを無視してパネル破壊できる</v>
          </cell>
        </row>
        <row r="5">
          <cell r="A5">
            <v>103</v>
          </cell>
          <cell r="B5" t="str">
            <v>ja</v>
          </cell>
          <cell r="C5" t="str">
            <v>お邪魔ブレイク</v>
          </cell>
          <cell r="D5" t="str">
            <v>自身が先頭の時、お邪魔パネルを破壊できる</v>
          </cell>
        </row>
        <row r="6">
          <cell r="A6">
            <v>104</v>
          </cell>
          <cell r="B6" t="str">
            <v>ja</v>
          </cell>
          <cell r="C6" t="str">
            <v>お邪魔ブレイク</v>
          </cell>
          <cell r="D6" t="str">
            <v>自身が先頭の時、お邪魔パネルを破壊できる</v>
          </cell>
        </row>
        <row r="7">
          <cell r="A7">
            <v>105</v>
          </cell>
          <cell r="B7" t="str">
            <v>ja</v>
          </cell>
          <cell r="C7" t="str">
            <v>お邪魔ブレイク</v>
          </cell>
          <cell r="D7" t="str">
            <v>自身が先頭の時、お邪魔パネルを破壊できる</v>
          </cell>
        </row>
        <row r="8">
          <cell r="A8">
            <v>106</v>
          </cell>
          <cell r="B8" t="str">
            <v>ja</v>
          </cell>
          <cell r="C8" t="str">
            <v>時限式ブレイク</v>
          </cell>
          <cell r="D8" t="str">
            <v>自身が先頭の時、時限式ダメージパネルを破壊できる</v>
          </cell>
        </row>
        <row r="9">
          <cell r="A9">
            <v>107</v>
          </cell>
          <cell r="B9" t="str">
            <v>ja</v>
          </cell>
          <cell r="C9" t="str">
            <v>時限式ブレイク</v>
          </cell>
          <cell r="D9" t="str">
            <v>自身が先頭の時、時限式ダメージパネルを破壊できる</v>
          </cell>
        </row>
        <row r="10">
          <cell r="A10">
            <v>108</v>
          </cell>
          <cell r="B10" t="str">
            <v>ja</v>
          </cell>
          <cell r="C10" t="str">
            <v>時限式ブレイク</v>
          </cell>
          <cell r="D10" t="str">
            <v>自身が先頭の時、時限式ダメージパネルを破壊できる</v>
          </cell>
        </row>
        <row r="11">
          <cell r="A11">
            <v>109</v>
          </cell>
          <cell r="B11" t="str">
            <v>ja</v>
          </cell>
          <cell r="C11" t="str">
            <v>ダメージパネルブレイク</v>
          </cell>
          <cell r="D11" t="str">
            <v>自身が先頭の時、ダメージを受けずにダメージパネルを破壊できる</v>
          </cell>
        </row>
        <row r="12">
          <cell r="A12">
            <v>200</v>
          </cell>
          <cell r="B12" t="str">
            <v>ja</v>
          </cell>
          <cell r="C12" t="str">
            <v>ウィルス無効</v>
          </cell>
          <cell r="D12" t="str">
            <v>自身にかかるウィルスを無効化する</v>
          </cell>
        </row>
        <row r="13">
          <cell r="A13">
            <v>201</v>
          </cell>
          <cell r="B13" t="str">
            <v>ja</v>
          </cell>
          <cell r="C13" t="str">
            <v>スキルバインド無効</v>
          </cell>
          <cell r="D13" t="str">
            <v>自身にかかるスキルバインドを無効化する</v>
          </cell>
        </row>
        <row r="14">
          <cell r="A14">
            <v>202</v>
          </cell>
          <cell r="B14" t="str">
            <v>ja</v>
          </cell>
          <cell r="C14" t="str">
            <v>スリープ無効</v>
          </cell>
          <cell r="D14" t="str">
            <v>自身にかかるスリープを無効化する</v>
          </cell>
        </row>
        <row r="15">
          <cell r="A15">
            <v>203</v>
          </cell>
          <cell r="B15" t="str">
            <v>ja</v>
          </cell>
          <cell r="C15" t="str">
            <v>爆風軽減無効</v>
          </cell>
          <cell r="D15" t="str">
            <v>自身が先頭の時、爆風軽減を無効化する</v>
          </cell>
        </row>
        <row r="16">
          <cell r="A16">
            <v>204</v>
          </cell>
          <cell r="B16" t="str">
            <v>ja</v>
          </cell>
          <cell r="C16" t="str">
            <v>爆風強化</v>
          </cell>
          <cell r="D16" t="str">
            <v>自身が先頭の時、ボムの爆風を強化する</v>
          </cell>
        </row>
        <row r="17">
          <cell r="A17">
            <v>300</v>
          </cell>
          <cell r="B17" t="str">
            <v>ja</v>
          </cell>
          <cell r="C17" t="str">
            <v>対ゴッド ダメージUP</v>
          </cell>
          <cell r="D17" t="str">
            <v>自身の攻撃対象が種族ゴッドの場合全ての攻撃の威力をUP</v>
          </cell>
        </row>
        <row r="18">
          <cell r="A18">
            <v>301</v>
          </cell>
          <cell r="B18" t="str">
            <v>ja</v>
          </cell>
          <cell r="C18" t="str">
            <v>対ゴッド ダメージ大UP</v>
          </cell>
          <cell r="D18" t="str">
            <v>自身の攻撃対象が種族ゴッドの場合全ての攻撃の威力をUP</v>
          </cell>
        </row>
        <row r="19">
          <cell r="A19">
            <v>302</v>
          </cell>
          <cell r="B19" t="str">
            <v>ja</v>
          </cell>
          <cell r="C19" t="str">
            <v>対ゴッド ダメージ特大UP</v>
          </cell>
          <cell r="D19" t="str">
            <v>自身の攻撃対象が種族ゴッドの場合全ての攻撃の威力をUP</v>
          </cell>
        </row>
        <row r="20">
          <cell r="A20">
            <v>303</v>
          </cell>
          <cell r="B20" t="str">
            <v>ja</v>
          </cell>
          <cell r="C20" t="str">
            <v>対ゴッド ダメージ超大UP</v>
          </cell>
          <cell r="D20" t="str">
            <v>自身の攻撃対象が種族ゴッドの場合全ての攻撃の威力をUP</v>
          </cell>
        </row>
        <row r="21">
          <cell r="A21">
            <v>304</v>
          </cell>
          <cell r="B21" t="str">
            <v>ja</v>
          </cell>
          <cell r="C21" t="str">
            <v>対ヒューマン ダメージUP</v>
          </cell>
          <cell r="D21" t="str">
            <v>自身の攻撃対象が種族ヒューマンの場合全ての攻撃の威力をUP</v>
          </cell>
        </row>
        <row r="22">
          <cell r="A22">
            <v>305</v>
          </cell>
          <cell r="B22" t="str">
            <v>ja</v>
          </cell>
          <cell r="C22" t="str">
            <v>対ヒューマン ダメージUP</v>
          </cell>
          <cell r="D22" t="str">
            <v>自身の攻撃対象が種族ヒューマンの場合全ての攻撃の威力をUP</v>
          </cell>
        </row>
        <row r="23">
          <cell r="A23">
            <v>306</v>
          </cell>
          <cell r="B23" t="str">
            <v>ja</v>
          </cell>
          <cell r="C23" t="str">
            <v>対ヒューマン ダメージUP</v>
          </cell>
          <cell r="D23" t="str">
            <v>自身の攻撃対象が種族ヒューマンの場合全ての攻撃の威力をUP</v>
          </cell>
        </row>
        <row r="24">
          <cell r="A24">
            <v>307</v>
          </cell>
          <cell r="B24" t="str">
            <v>ja</v>
          </cell>
          <cell r="C24" t="str">
            <v>対ヒューマン ダメージUP</v>
          </cell>
          <cell r="D24" t="str">
            <v>自身の攻撃対象が種族ヒューマンの場合全ての攻撃の威力をUP</v>
          </cell>
        </row>
        <row r="25">
          <cell r="A25">
            <v>308</v>
          </cell>
          <cell r="B25" t="str">
            <v>ja</v>
          </cell>
          <cell r="C25" t="str">
            <v>対アニマル ダメージUP</v>
          </cell>
          <cell r="D25" t="str">
            <v>自身の攻撃対象が種族アニマルの場合全ての攻撃の威力をUP</v>
          </cell>
        </row>
        <row r="26">
          <cell r="A26">
            <v>309</v>
          </cell>
          <cell r="B26" t="str">
            <v>ja</v>
          </cell>
          <cell r="C26" t="str">
            <v>対アニマル ダメージUP</v>
          </cell>
          <cell r="D26" t="str">
            <v>自身の攻撃対象が種族アニマルの場合全ての攻撃の威力をUP</v>
          </cell>
        </row>
        <row r="27">
          <cell r="A27">
            <v>310</v>
          </cell>
          <cell r="B27" t="str">
            <v>ja</v>
          </cell>
          <cell r="C27" t="str">
            <v>対アニマル ダメージUP</v>
          </cell>
          <cell r="D27" t="str">
            <v>自身の攻撃対象が種族アニマルの場合全ての攻撃の威力をUP</v>
          </cell>
        </row>
        <row r="28">
          <cell r="A28">
            <v>311</v>
          </cell>
          <cell r="B28" t="str">
            <v>ja</v>
          </cell>
          <cell r="C28" t="str">
            <v>対アニマル ダメージUP</v>
          </cell>
          <cell r="D28" t="str">
            <v>自身の攻撃対象が種族アニマルの場合全ての攻撃の威力をUP</v>
          </cell>
        </row>
        <row r="29">
          <cell r="A29">
            <v>312</v>
          </cell>
          <cell r="B29" t="str">
            <v>ja</v>
          </cell>
          <cell r="C29" t="str">
            <v>対ドラゴン ダメージUP</v>
          </cell>
          <cell r="D29" t="str">
            <v>自身の攻撃対象が種族ドラゴンの場合全ての攻撃の威力をUP</v>
          </cell>
        </row>
        <row r="30">
          <cell r="A30">
            <v>313</v>
          </cell>
          <cell r="B30" t="str">
            <v>ja</v>
          </cell>
          <cell r="C30" t="str">
            <v>対ドラゴン ダメージUP</v>
          </cell>
          <cell r="D30" t="str">
            <v>自身の攻撃対象が種族ドラゴンの場合全ての攻撃の威力をUP</v>
          </cell>
        </row>
        <row r="31">
          <cell r="A31">
            <v>314</v>
          </cell>
          <cell r="B31" t="str">
            <v>ja</v>
          </cell>
          <cell r="C31" t="str">
            <v>対ドラゴン ダメージUP</v>
          </cell>
          <cell r="D31" t="str">
            <v>自身の攻撃対象が種族ドラゴンの場合全ての攻撃の威力をUP</v>
          </cell>
        </row>
        <row r="32">
          <cell r="A32">
            <v>315</v>
          </cell>
          <cell r="B32" t="str">
            <v>ja</v>
          </cell>
          <cell r="C32" t="str">
            <v>対ドラゴン ダメージUP</v>
          </cell>
          <cell r="D32" t="str">
            <v>自身の攻撃対象が種族ドラゴンの場合全ての攻撃の威力をUP</v>
          </cell>
        </row>
        <row r="33">
          <cell r="A33">
            <v>316</v>
          </cell>
          <cell r="B33" t="str">
            <v>ja</v>
          </cell>
          <cell r="C33" t="str">
            <v>対Unknown ダメージUP</v>
          </cell>
          <cell r="D33" t="str">
            <v>自身の攻撃対象が種族Unknownの場合全ての攻撃の威力をUP</v>
          </cell>
        </row>
        <row r="34">
          <cell r="A34">
            <v>317</v>
          </cell>
          <cell r="B34" t="str">
            <v>ja</v>
          </cell>
          <cell r="C34" t="str">
            <v>対Unknown ダメージUP</v>
          </cell>
          <cell r="D34" t="str">
            <v>自身の攻撃対象が種族Unknownの場合全ての攻撃の威力をUP</v>
          </cell>
        </row>
        <row r="35">
          <cell r="A35">
            <v>318</v>
          </cell>
          <cell r="B35" t="str">
            <v>ja</v>
          </cell>
          <cell r="C35" t="str">
            <v>対Unknown ダメージUP</v>
          </cell>
          <cell r="D35" t="str">
            <v>自身の攻撃対象が種族Unknownの場合全ての攻撃の威力をUP</v>
          </cell>
        </row>
        <row r="36">
          <cell r="A36">
            <v>319</v>
          </cell>
          <cell r="B36" t="str">
            <v>ja</v>
          </cell>
          <cell r="C36" t="str">
            <v>対Unknown ダメージUP</v>
          </cell>
          <cell r="D36" t="str">
            <v>自身の攻撃対象が種族Unknownの場合全ての攻撃の威力をUP</v>
          </cell>
        </row>
        <row r="37">
          <cell r="A37">
            <v>320</v>
          </cell>
          <cell r="B37" t="str">
            <v>ja</v>
          </cell>
          <cell r="C37" t="str">
            <v>対サムライ ダメージUP</v>
          </cell>
          <cell r="D37" t="str">
            <v>自身の攻撃対象が種族サムライの場合全ての攻撃の威力をUP</v>
          </cell>
        </row>
        <row r="38">
          <cell r="A38">
            <v>321</v>
          </cell>
          <cell r="B38" t="str">
            <v>ja</v>
          </cell>
          <cell r="C38" t="str">
            <v>対サムライ ダメージUP</v>
          </cell>
          <cell r="D38" t="str">
            <v>自身の攻撃対象が種族サムライの場合全ての攻撃の威力をUP</v>
          </cell>
        </row>
        <row r="39">
          <cell r="A39">
            <v>322</v>
          </cell>
          <cell r="B39" t="str">
            <v>ja</v>
          </cell>
          <cell r="C39" t="str">
            <v>対サムライ ダメージUP</v>
          </cell>
          <cell r="D39" t="str">
            <v>自身の攻撃対象が種族サムライの場合全ての攻撃の威力をUP</v>
          </cell>
        </row>
        <row r="40">
          <cell r="A40">
            <v>323</v>
          </cell>
          <cell r="B40" t="str">
            <v>ja</v>
          </cell>
          <cell r="C40" t="str">
            <v>対サムライ ダメージUP</v>
          </cell>
          <cell r="D40" t="str">
            <v>自身の攻撃対象が種族サムライの場合全ての攻撃の威力をUP</v>
          </cell>
        </row>
        <row r="41">
          <cell r="A41">
            <v>324</v>
          </cell>
          <cell r="B41" t="str">
            <v>ja</v>
          </cell>
          <cell r="C41" t="str">
            <v>対ウェポン ダメージUP</v>
          </cell>
          <cell r="D41" t="str">
            <v>自身の攻撃対象が種族ウェポンの場合全ての攻撃の威力をUP</v>
          </cell>
        </row>
        <row r="42">
          <cell r="A42">
            <v>325</v>
          </cell>
          <cell r="B42" t="str">
            <v>ja</v>
          </cell>
          <cell r="C42" t="str">
            <v>対ウェポン ダメージUP</v>
          </cell>
          <cell r="D42" t="str">
            <v>自身の攻撃対象が種族ウェポンの場合全ての攻撃の威力をUP</v>
          </cell>
        </row>
        <row r="43">
          <cell r="A43">
            <v>326</v>
          </cell>
          <cell r="B43" t="str">
            <v>ja</v>
          </cell>
          <cell r="C43" t="str">
            <v>対ウェポン ダメージUP</v>
          </cell>
          <cell r="D43" t="str">
            <v>自身の攻撃対象が種族ウェポンの場合全ての攻撃の威力をUP</v>
          </cell>
        </row>
        <row r="44">
          <cell r="A44">
            <v>327</v>
          </cell>
          <cell r="B44" t="str">
            <v>ja</v>
          </cell>
          <cell r="C44" t="str">
            <v>対ウェポン ダメージUP</v>
          </cell>
          <cell r="D44" t="str">
            <v>自身の攻撃対象が種族ウェポンの場合全ての攻撃の威力をUP</v>
          </cell>
        </row>
        <row r="45">
          <cell r="A45">
            <v>328</v>
          </cell>
          <cell r="B45" t="str">
            <v>ja</v>
          </cell>
          <cell r="C45" t="str">
            <v>対アカデミア ダメージUP</v>
          </cell>
          <cell r="D45" t="str">
            <v>自身の攻撃対象が種族アカデミアの場合全ての攻撃の威力をUP</v>
          </cell>
        </row>
        <row r="46">
          <cell r="A46">
            <v>329</v>
          </cell>
          <cell r="B46" t="str">
            <v>ja</v>
          </cell>
          <cell r="C46" t="str">
            <v>対アカデミア ダメージUP</v>
          </cell>
          <cell r="D46" t="str">
            <v>自身の攻撃対象が種族アカデミアの場合全ての攻撃の威力をUP</v>
          </cell>
        </row>
        <row r="47">
          <cell r="A47">
            <v>330</v>
          </cell>
          <cell r="B47" t="str">
            <v>ja</v>
          </cell>
          <cell r="C47" t="str">
            <v>対アカデミア ダメージUP</v>
          </cell>
          <cell r="D47" t="str">
            <v>自身の攻撃対象が種族アカデミアの場合全ての攻撃の威力をUP</v>
          </cell>
        </row>
        <row r="48">
          <cell r="A48">
            <v>331</v>
          </cell>
          <cell r="B48" t="str">
            <v>ja</v>
          </cell>
          <cell r="C48" t="str">
            <v>対アカデミア ダメージUP</v>
          </cell>
          <cell r="D48" t="str">
            <v>自身の攻撃対象が種族アカデミアの場合全ての攻撃の威力をUP</v>
          </cell>
        </row>
        <row r="49">
          <cell r="A49">
            <v>332</v>
          </cell>
          <cell r="B49" t="str">
            <v>ja</v>
          </cell>
          <cell r="C49" t="str">
            <v>対タイタン ダメージUP</v>
          </cell>
          <cell r="D49" t="str">
            <v>自身の攻撃対象が種族タイタンの場合全ての攻撃の威力をUP</v>
          </cell>
        </row>
        <row r="50">
          <cell r="A50">
            <v>333</v>
          </cell>
          <cell r="B50" t="str">
            <v>ja</v>
          </cell>
          <cell r="C50" t="str">
            <v>対タイタン ダメージUP</v>
          </cell>
          <cell r="D50" t="str">
            <v>自身の攻撃対象が種族タイタンの場合全ての攻撃の威力をUP</v>
          </cell>
        </row>
        <row r="51">
          <cell r="A51">
            <v>334</v>
          </cell>
          <cell r="B51" t="str">
            <v>ja</v>
          </cell>
          <cell r="C51" t="str">
            <v>対タイタン ダメージUP</v>
          </cell>
          <cell r="D51" t="str">
            <v>自身の攻撃対象が種族タイタンの場合全ての攻撃の威力をUP</v>
          </cell>
        </row>
        <row r="52">
          <cell r="A52">
            <v>335</v>
          </cell>
          <cell r="B52" t="str">
            <v>ja</v>
          </cell>
          <cell r="C52" t="str">
            <v>対タイタン ダメージUP</v>
          </cell>
          <cell r="D52" t="str">
            <v>自身の攻撃対象が種族タイタンの場合全ての攻撃の威力をUP</v>
          </cell>
        </row>
        <row r="53">
          <cell r="A53">
            <v>336</v>
          </cell>
          <cell r="B53" t="str">
            <v>ja</v>
          </cell>
          <cell r="C53" t="str">
            <v>対マシン ダメージUP</v>
          </cell>
          <cell r="D53" t="str">
            <v>自身の攻撃対象が種族マシンの場合全ての攻撃の威力をUP</v>
          </cell>
        </row>
        <row r="54">
          <cell r="A54">
            <v>337</v>
          </cell>
          <cell r="B54" t="str">
            <v>ja</v>
          </cell>
          <cell r="C54" t="str">
            <v>対マシン ダメージUP</v>
          </cell>
          <cell r="D54" t="str">
            <v>自身の攻撃対象が種族マシンの場合全ての攻撃の威力をUP</v>
          </cell>
        </row>
        <row r="55">
          <cell r="A55">
            <v>338</v>
          </cell>
          <cell r="B55" t="str">
            <v>ja</v>
          </cell>
          <cell r="C55" t="str">
            <v>対マシン ダメージUP</v>
          </cell>
          <cell r="D55" t="str">
            <v>自身の攻撃対象が種族マシンの場合全ての攻撃の威力をUP</v>
          </cell>
        </row>
        <row r="56">
          <cell r="A56">
            <v>339</v>
          </cell>
          <cell r="B56" t="str">
            <v>ja</v>
          </cell>
          <cell r="C56" t="str">
            <v>対マシン ダメージUP</v>
          </cell>
          <cell r="D56" t="str">
            <v>自身の攻撃対象が種族マシンの場合全ての攻撃の威力をUP</v>
          </cell>
        </row>
        <row r="57">
          <cell r="A57">
            <v>400</v>
          </cell>
          <cell r="B57" t="str">
            <v>ja</v>
          </cell>
          <cell r="C57" t="str">
            <v>攻撃タイプキラー</v>
          </cell>
          <cell r="D57" t="str">
            <v>攻撃対象が攻撃タイプの場合威力UP</v>
          </cell>
        </row>
        <row r="58">
          <cell r="A58">
            <v>401</v>
          </cell>
          <cell r="B58" t="str">
            <v>ja</v>
          </cell>
          <cell r="C58" t="str">
            <v>攻撃タイプキラー</v>
          </cell>
          <cell r="D58" t="str">
            <v>攻撃対象が攻撃タイプの場合威力UP</v>
          </cell>
        </row>
        <row r="59">
          <cell r="A59">
            <v>402</v>
          </cell>
          <cell r="B59" t="str">
            <v>ja</v>
          </cell>
          <cell r="C59" t="str">
            <v>攻撃タイプキラー</v>
          </cell>
          <cell r="D59" t="str">
            <v>攻撃対象が攻撃タイプの場合威力UP</v>
          </cell>
        </row>
        <row r="60">
          <cell r="A60">
            <v>403</v>
          </cell>
          <cell r="B60" t="str">
            <v>ja</v>
          </cell>
          <cell r="C60" t="str">
            <v>攻撃タイプキラー</v>
          </cell>
          <cell r="D60" t="str">
            <v>攻撃対象が攻撃タイプの場合威力UP</v>
          </cell>
        </row>
        <row r="61">
          <cell r="A61">
            <v>404</v>
          </cell>
          <cell r="B61" t="str">
            <v>ja</v>
          </cell>
          <cell r="C61" t="str">
            <v>バランスタイプキラー</v>
          </cell>
          <cell r="D61" t="str">
            <v>攻撃対象が攻撃タイプの場合威力UP</v>
          </cell>
        </row>
        <row r="62">
          <cell r="A62">
            <v>405</v>
          </cell>
          <cell r="B62" t="str">
            <v>ja</v>
          </cell>
          <cell r="C62" t="str">
            <v>バランスタイプキラー</v>
          </cell>
          <cell r="D62" t="str">
            <v>攻撃対象が攻撃タイプの場合威力UP</v>
          </cell>
        </row>
        <row r="63">
          <cell r="A63">
            <v>406</v>
          </cell>
          <cell r="B63" t="str">
            <v>ja</v>
          </cell>
          <cell r="C63" t="str">
            <v>バランスタイプキラー</v>
          </cell>
          <cell r="D63" t="str">
            <v>攻撃対象が攻撃タイプの場合威力UP</v>
          </cell>
        </row>
        <row r="64">
          <cell r="A64">
            <v>407</v>
          </cell>
          <cell r="B64" t="str">
            <v>ja</v>
          </cell>
          <cell r="C64" t="str">
            <v>バランスタイプキラー</v>
          </cell>
          <cell r="D64" t="str">
            <v>攻撃対象が攻撃タイプの場合威力UP</v>
          </cell>
        </row>
        <row r="65">
          <cell r="A65">
            <v>408</v>
          </cell>
          <cell r="B65" t="str">
            <v>ja</v>
          </cell>
          <cell r="C65" t="str">
            <v>体力タイプキラー</v>
          </cell>
          <cell r="D65" t="str">
            <v>攻撃対象が攻撃タイプの場合威力UP</v>
          </cell>
        </row>
        <row r="66">
          <cell r="A66">
            <v>409</v>
          </cell>
          <cell r="B66" t="str">
            <v>ja</v>
          </cell>
          <cell r="C66" t="str">
            <v>体力タイプキラー</v>
          </cell>
          <cell r="D66" t="str">
            <v>攻撃対象が攻撃タイプの場合威力UP</v>
          </cell>
        </row>
        <row r="67">
          <cell r="A67">
            <v>410</v>
          </cell>
          <cell r="B67" t="str">
            <v>ja</v>
          </cell>
          <cell r="C67" t="str">
            <v>体力タイプキラー</v>
          </cell>
          <cell r="D67" t="str">
            <v>攻撃対象が攻撃タイプの場合威力UP</v>
          </cell>
        </row>
        <row r="68">
          <cell r="A68">
            <v>411</v>
          </cell>
          <cell r="B68" t="str">
            <v>ja</v>
          </cell>
          <cell r="C68" t="str">
            <v>体力タイプキラー</v>
          </cell>
          <cell r="D68" t="str">
            <v>攻撃対象が攻撃タイプの場合威力UP</v>
          </cell>
        </row>
        <row r="69">
          <cell r="A69">
            <v>412</v>
          </cell>
          <cell r="B69" t="str">
            <v>ja</v>
          </cell>
          <cell r="C69" t="str">
            <v>テクニカルタイプキラー</v>
          </cell>
          <cell r="D69" t="str">
            <v>攻撃対象が攻撃タイプの場合威力UP</v>
          </cell>
        </row>
        <row r="70">
          <cell r="A70">
            <v>413</v>
          </cell>
          <cell r="B70" t="str">
            <v>ja</v>
          </cell>
          <cell r="C70" t="str">
            <v>テクニカルタイプキラー</v>
          </cell>
          <cell r="D70" t="str">
            <v>攻撃対象が攻撃タイプの場合威力UP</v>
          </cell>
        </row>
        <row r="71">
          <cell r="A71">
            <v>414</v>
          </cell>
          <cell r="B71" t="str">
            <v>ja</v>
          </cell>
          <cell r="C71" t="str">
            <v>テクニカルタイプキラー</v>
          </cell>
          <cell r="D71" t="str">
            <v>攻撃対象が攻撃タイプの場合威力UP</v>
          </cell>
        </row>
        <row r="72">
          <cell r="A72">
            <v>415</v>
          </cell>
          <cell r="B72" t="str">
            <v>ja</v>
          </cell>
          <cell r="C72" t="str">
            <v>テクニカルタイプキラー</v>
          </cell>
          <cell r="D72" t="str">
            <v>攻撃対象が攻撃タイプの場合威力UP</v>
          </cell>
        </row>
        <row r="73">
          <cell r="A73">
            <v>416</v>
          </cell>
          <cell r="B73" t="str">
            <v>ja</v>
          </cell>
          <cell r="C73" t="str">
            <v>回復タイプキラー</v>
          </cell>
          <cell r="D73" t="str">
            <v>攻撃対象が攻撃タイプの場合威力UP</v>
          </cell>
        </row>
        <row r="74">
          <cell r="A74">
            <v>417</v>
          </cell>
          <cell r="B74" t="str">
            <v>ja</v>
          </cell>
          <cell r="C74" t="str">
            <v>回復タイプキラー</v>
          </cell>
          <cell r="D74" t="str">
            <v>攻撃対象が攻撃タイプの場合威力UP</v>
          </cell>
        </row>
        <row r="75">
          <cell r="A75">
            <v>418</v>
          </cell>
          <cell r="B75" t="str">
            <v>ja</v>
          </cell>
          <cell r="C75" t="str">
            <v>回復タイプキラー</v>
          </cell>
          <cell r="D75" t="str">
            <v>攻撃対象が攻撃タイプの場合威力UP</v>
          </cell>
        </row>
        <row r="76">
          <cell r="A76">
            <v>419</v>
          </cell>
          <cell r="B76" t="str">
            <v>ja</v>
          </cell>
          <cell r="C76" t="str">
            <v>回復タイプキラー</v>
          </cell>
          <cell r="D76" t="str">
            <v>攻撃対象が攻撃タイプの場合威力UP</v>
          </cell>
        </row>
        <row r="77">
          <cell r="A77">
            <v>420</v>
          </cell>
          <cell r="B77" t="str">
            <v>ja</v>
          </cell>
          <cell r="C77" t="str">
            <v>強化素材タイプキラー</v>
          </cell>
          <cell r="D77" t="str">
            <v>攻撃対象が攻撃タイプの場合威力UP</v>
          </cell>
        </row>
        <row r="78">
          <cell r="A78">
            <v>421</v>
          </cell>
          <cell r="B78" t="str">
            <v>ja</v>
          </cell>
          <cell r="C78" t="str">
            <v>強化素材タイプキラー</v>
          </cell>
          <cell r="D78" t="str">
            <v>攻撃対象が攻撃タイプの場合威力UP</v>
          </cell>
        </row>
        <row r="79">
          <cell r="A79">
            <v>422</v>
          </cell>
          <cell r="B79" t="str">
            <v>ja</v>
          </cell>
          <cell r="C79" t="str">
            <v>強化素材タイプキラー</v>
          </cell>
          <cell r="D79" t="str">
            <v>攻撃対象が攻撃タイプの場合威力UP</v>
          </cell>
        </row>
        <row r="80">
          <cell r="A80">
            <v>423</v>
          </cell>
          <cell r="B80" t="str">
            <v>ja</v>
          </cell>
          <cell r="C80" t="str">
            <v>強化素材タイプキラー</v>
          </cell>
          <cell r="D80" t="str">
            <v>攻撃対象が攻撃タイプの場合威力UP</v>
          </cell>
        </row>
        <row r="81">
          <cell r="A81">
            <v>424</v>
          </cell>
          <cell r="B81" t="str">
            <v>ja</v>
          </cell>
          <cell r="C81" t="str">
            <v>コインタイプキラー</v>
          </cell>
          <cell r="D81" t="str">
            <v>攻撃対象が攻撃タイプの場合威力UP</v>
          </cell>
        </row>
        <row r="82">
          <cell r="A82">
            <v>425</v>
          </cell>
          <cell r="B82" t="str">
            <v>ja</v>
          </cell>
          <cell r="C82" t="str">
            <v>コインタイプキラー</v>
          </cell>
          <cell r="D82" t="str">
            <v>攻撃対象が攻撃タイプの場合威力UP</v>
          </cell>
        </row>
        <row r="83">
          <cell r="A83">
            <v>426</v>
          </cell>
          <cell r="B83" t="str">
            <v>ja</v>
          </cell>
          <cell r="C83" t="str">
            <v>コインタイプキラー</v>
          </cell>
          <cell r="D83" t="str">
            <v>攻撃対象が攻撃タイプの場合威力UP</v>
          </cell>
        </row>
        <row r="84">
          <cell r="A84">
            <v>427</v>
          </cell>
          <cell r="B84" t="str">
            <v>ja</v>
          </cell>
          <cell r="C84" t="str">
            <v>コインタイプキラー</v>
          </cell>
          <cell r="D84" t="str">
            <v>攻撃対象が攻撃タイプの場合威力UP</v>
          </cell>
        </row>
        <row r="85">
          <cell r="A85">
            <v>428</v>
          </cell>
          <cell r="B85" t="str">
            <v>ja</v>
          </cell>
          <cell r="C85" t="str">
            <v>限界突破素材タイプキラー</v>
          </cell>
          <cell r="D85" t="str">
            <v>攻撃対象が攻撃タイプの場合威力UP</v>
          </cell>
        </row>
        <row r="86">
          <cell r="A86">
            <v>429</v>
          </cell>
          <cell r="B86" t="str">
            <v>ja</v>
          </cell>
          <cell r="C86" t="str">
            <v>限界突破素材タイプキラー</v>
          </cell>
          <cell r="D86" t="str">
            <v>攻撃対象が攻撃タイプの場合威力UP</v>
          </cell>
        </row>
        <row r="87">
          <cell r="A87">
            <v>430</v>
          </cell>
          <cell r="B87" t="str">
            <v>ja</v>
          </cell>
          <cell r="C87" t="str">
            <v>限界突破素材タイプキラー</v>
          </cell>
          <cell r="D87" t="str">
            <v>攻撃対象が攻撃タイプの場合威力UP</v>
          </cell>
        </row>
        <row r="88">
          <cell r="A88">
            <v>431</v>
          </cell>
          <cell r="B88" t="str">
            <v>ja</v>
          </cell>
          <cell r="C88" t="str">
            <v>限界突破素材タイプキラー</v>
          </cell>
          <cell r="D88" t="str">
            <v>攻撃対象が攻撃タイプの場合威力UP</v>
          </cell>
        </row>
        <row r="89">
          <cell r="A89">
            <v>432</v>
          </cell>
          <cell r="B89" t="str">
            <v>ja</v>
          </cell>
          <cell r="C89" t="str">
            <v>スキルレベル素材タイプキラー</v>
          </cell>
          <cell r="D89" t="str">
            <v>攻撃対象が攻撃タイプの場合威力UP</v>
          </cell>
        </row>
        <row r="90">
          <cell r="A90">
            <v>433</v>
          </cell>
          <cell r="B90" t="str">
            <v>ja</v>
          </cell>
          <cell r="C90" t="str">
            <v>スキルレベル素材タイプキラー</v>
          </cell>
          <cell r="D90" t="str">
            <v>攻撃対象が攻撃タイプの場合威力UP</v>
          </cell>
        </row>
        <row r="91">
          <cell r="A91">
            <v>434</v>
          </cell>
          <cell r="B91" t="str">
            <v>ja</v>
          </cell>
          <cell r="C91" t="str">
            <v>スキルレベル素材タイプキラー</v>
          </cell>
          <cell r="D91" t="str">
            <v>攻撃対象が攻撃タイプの場合威力UP</v>
          </cell>
        </row>
        <row r="92">
          <cell r="A92">
            <v>435</v>
          </cell>
          <cell r="B92" t="str">
            <v>ja</v>
          </cell>
          <cell r="C92" t="str">
            <v>スキルレベル素材タイプキラー</v>
          </cell>
          <cell r="D92" t="str">
            <v>攻撃対象が攻撃タイプの場合威力UP</v>
          </cell>
        </row>
        <row r="93">
          <cell r="A93">
            <v>600</v>
          </cell>
          <cell r="B93" t="str">
            <v>ja</v>
          </cell>
          <cell r="C93" t="str">
            <v>赤属性耐性25</v>
          </cell>
          <cell r="D93" t="str">
            <v>自身に対する赤属性の敵からの攻撃を25％軽減</v>
          </cell>
        </row>
        <row r="94">
          <cell r="A94">
            <v>601</v>
          </cell>
          <cell r="B94" t="str">
            <v>ja</v>
          </cell>
          <cell r="C94" t="str">
            <v>赤属性耐性25</v>
          </cell>
          <cell r="D94" t="str">
            <v>自身に対する赤属性の敵からの攻撃を25％軽減</v>
          </cell>
        </row>
        <row r="95">
          <cell r="A95">
            <v>602</v>
          </cell>
          <cell r="B95" t="str">
            <v>ja</v>
          </cell>
          <cell r="C95" t="str">
            <v>赤属性耐性25</v>
          </cell>
          <cell r="D95" t="str">
            <v>自身に対する赤属性の敵からの攻撃を25％軽減</v>
          </cell>
        </row>
        <row r="96">
          <cell r="A96">
            <v>603</v>
          </cell>
          <cell r="B96" t="str">
            <v>ja</v>
          </cell>
          <cell r="C96" t="str">
            <v>青属性耐性25</v>
          </cell>
          <cell r="D96" t="str">
            <v>自身に対する青属性の敵からの攻撃を25％軽減</v>
          </cell>
        </row>
        <row r="97">
          <cell r="A97">
            <v>604</v>
          </cell>
          <cell r="B97" t="str">
            <v>ja</v>
          </cell>
          <cell r="C97" t="str">
            <v>青属性耐性25</v>
          </cell>
          <cell r="D97" t="str">
            <v>自身に対する青属性の敵からの攻撃を25％軽減</v>
          </cell>
        </row>
        <row r="98">
          <cell r="A98">
            <v>605</v>
          </cell>
          <cell r="B98" t="str">
            <v>ja</v>
          </cell>
          <cell r="C98" t="str">
            <v>青属性耐性25</v>
          </cell>
          <cell r="D98" t="str">
            <v>自身に対する青属性の敵からの攻撃を25％軽減</v>
          </cell>
        </row>
        <row r="99">
          <cell r="A99">
            <v>606</v>
          </cell>
          <cell r="B99" t="str">
            <v>ja</v>
          </cell>
          <cell r="C99" t="str">
            <v>緑属性耐性25</v>
          </cell>
          <cell r="D99" t="str">
            <v>自身に対する緑属性の敵からの攻撃を25％軽減</v>
          </cell>
        </row>
        <row r="100">
          <cell r="A100">
            <v>607</v>
          </cell>
          <cell r="B100" t="str">
            <v>ja</v>
          </cell>
          <cell r="C100" t="str">
            <v>緑属性耐性25</v>
          </cell>
          <cell r="D100" t="str">
            <v>自身に対する緑属性の敵からの攻撃を25％軽減</v>
          </cell>
        </row>
        <row r="101">
          <cell r="A101">
            <v>608</v>
          </cell>
          <cell r="B101" t="str">
            <v>ja</v>
          </cell>
          <cell r="C101" t="str">
            <v>緑属性耐性25</v>
          </cell>
          <cell r="D101" t="str">
            <v>自身に対する緑属性の敵からの攻撃を25％軽減</v>
          </cell>
        </row>
        <row r="102">
          <cell r="A102">
            <v>609</v>
          </cell>
          <cell r="B102" t="str">
            <v>ja</v>
          </cell>
          <cell r="C102" t="str">
            <v>黄属性耐性25</v>
          </cell>
          <cell r="D102" t="str">
            <v>自身に対する黄属性の敵からの攻撃を25％軽減</v>
          </cell>
        </row>
        <row r="103">
          <cell r="A103">
            <v>610</v>
          </cell>
          <cell r="B103" t="str">
            <v>ja</v>
          </cell>
          <cell r="C103" t="str">
            <v>黄属性耐性25</v>
          </cell>
          <cell r="D103" t="str">
            <v>自身に対する黄属性の敵からの攻撃を25％軽減</v>
          </cell>
        </row>
        <row r="104">
          <cell r="A104">
            <v>611</v>
          </cell>
          <cell r="B104" t="str">
            <v>ja</v>
          </cell>
          <cell r="C104" t="str">
            <v>黄属性耐性25</v>
          </cell>
          <cell r="D104" t="str">
            <v>自身に対する黄属性の敵からの攻撃を25％軽減</v>
          </cell>
        </row>
        <row r="105">
          <cell r="A105">
            <v>612</v>
          </cell>
          <cell r="B105" t="str">
            <v>ja</v>
          </cell>
          <cell r="C105" t="str">
            <v>全属性耐性10</v>
          </cell>
          <cell r="D105" t="str">
            <v>自身に対する全属性の敵からの攻撃を10％軽減</v>
          </cell>
        </row>
        <row r="106">
          <cell r="A106">
            <v>613</v>
          </cell>
          <cell r="B106" t="str">
            <v>ja</v>
          </cell>
          <cell r="C106" t="str">
            <v>赤属性耐性10</v>
          </cell>
          <cell r="D106" t="str">
            <v>自身に対する赤属性の敵からの攻撃を10％軽減</v>
          </cell>
        </row>
        <row r="107">
          <cell r="A107">
            <v>614</v>
          </cell>
          <cell r="B107" t="str">
            <v>ja</v>
          </cell>
          <cell r="C107" t="str">
            <v>青属性耐性10</v>
          </cell>
          <cell r="D107" t="str">
            <v>自身に対する青属性の敵からの攻撃を10％軽減</v>
          </cell>
        </row>
        <row r="108">
          <cell r="A108">
            <v>615</v>
          </cell>
          <cell r="B108" t="str">
            <v>ja</v>
          </cell>
          <cell r="C108" t="str">
            <v>緑属性耐性10</v>
          </cell>
          <cell r="D108" t="str">
            <v>自身に対する緑属性の敵からの攻撃を10％軽減</v>
          </cell>
        </row>
        <row r="109">
          <cell r="A109">
            <v>616</v>
          </cell>
          <cell r="B109" t="str">
            <v>ja</v>
          </cell>
          <cell r="C109" t="str">
            <v>黄属性耐性10</v>
          </cell>
          <cell r="D109" t="str">
            <v>自身に対する黄属性の敵からの攻撃を10％軽減</v>
          </cell>
        </row>
        <row r="110">
          <cell r="A110">
            <v>700</v>
          </cell>
          <cell r="B110" t="str">
            <v>ja</v>
          </cell>
          <cell r="C110" t="str">
            <v>フロア 回復</v>
          </cell>
          <cell r="D110" t="str">
            <v>全フロアの1ターン目終了時にパーティの合計HPの20％を回復する</v>
          </cell>
        </row>
        <row r="111">
          <cell r="A111">
            <v>800</v>
          </cell>
          <cell r="B111" t="str">
            <v>ja</v>
          </cell>
          <cell r="C111" t="str">
            <v>パネルブレイク30 攻撃力UP</v>
          </cell>
          <cell r="D111" t="str">
            <v>自身が先頭の時、1ターンの間に合計30個以上パネルを破壊した場合に攻撃力UP</v>
          </cell>
        </row>
        <row r="112">
          <cell r="A112">
            <v>801</v>
          </cell>
          <cell r="B112" t="str">
            <v>ja</v>
          </cell>
          <cell r="C112" t="str">
            <v>パネルブレイク30 回復力UP</v>
          </cell>
          <cell r="D112" t="str">
            <v>自身が先頭の時、1ターンの間に合計30個以上パネルを破壊した場合に回復力UP</v>
          </cell>
        </row>
        <row r="113">
          <cell r="A113">
            <v>900</v>
          </cell>
          <cell r="B113" t="str">
            <v>ja</v>
          </cell>
          <cell r="C113" t="str">
            <v>チェイン12 攻撃力UP</v>
          </cell>
          <cell r="D113" t="str">
            <v>自身が先頭の時、1タップで12個以上パネルを繋げた場合に攻撃力UP</v>
          </cell>
        </row>
        <row r="114">
          <cell r="A114">
            <v>901</v>
          </cell>
          <cell r="B114" t="str">
            <v>ja</v>
          </cell>
          <cell r="C114" t="str">
            <v>チェイン12 回復力UP</v>
          </cell>
          <cell r="D114" t="str">
            <v>自身が先頭の時、1タップで12個以上パネルを繋げた場合に回復力UP</v>
          </cell>
        </row>
        <row r="115">
          <cell r="A115">
            <v>902</v>
          </cell>
          <cell r="B115" t="str">
            <v>ja</v>
          </cell>
          <cell r="C115" t="str">
            <v>チェイン12 タップ回数UP</v>
          </cell>
          <cell r="D115" t="str">
            <v>自身が先頭の時、1タップで12個以上パネルを繋げた場合にタップ回数を1回増やす</v>
          </cell>
        </row>
        <row r="116">
          <cell r="A116">
            <v>1100</v>
          </cell>
          <cell r="B116" t="str">
            <v>ja</v>
          </cell>
          <cell r="C116" t="str">
            <v>Cパネル生成短縮</v>
          </cell>
          <cell r="D116" t="str">
            <v>自身が先頭の時、Cパネル生成に必要なチェイン数を1短縮する</v>
          </cell>
        </row>
        <row r="117">
          <cell r="A117">
            <v>1101</v>
          </cell>
          <cell r="B117" t="str">
            <v>ja</v>
          </cell>
          <cell r="C117" t="str">
            <v>Cパネル生成短縮(大)</v>
          </cell>
          <cell r="D117" t="str">
            <v>自身が先頭の時、Cパネル生成に必要なチェイン数を2短縮する</v>
          </cell>
        </row>
        <row r="118">
          <cell r="A118">
            <v>1200</v>
          </cell>
          <cell r="B118" t="str">
            <v>ja</v>
          </cell>
          <cell r="C118" t="str">
            <v>フィーバー攻撃UP</v>
          </cell>
          <cell r="D118" t="str">
            <v>自身が先頭の時、フィーバー発動時に緑属性の攻撃力と回復力UP</v>
          </cell>
        </row>
        <row r="119">
          <cell r="A119">
            <v>1300</v>
          </cell>
          <cell r="B119" t="str">
            <v>ja</v>
          </cell>
          <cell r="C119" t="str">
            <v>チェイン12 HP回復</v>
          </cell>
          <cell r="D119" t="str">
            <v>自身が先頭の時、1タップで12個以上パネルを繋げた場合にHPを2000回復(1ターンに1度だけ発動)</v>
          </cell>
        </row>
        <row r="120">
          <cell r="A120">
            <v>1400</v>
          </cell>
          <cell r="B120" t="str">
            <v>ja</v>
          </cell>
          <cell r="C120" t="str">
            <v>カウンター威力UP</v>
          </cell>
          <cell r="D120" t="str">
            <v>4ターン毎にカウンターで与えるダメージがアップ</v>
          </cell>
        </row>
        <row r="121">
          <cell r="A121">
            <v>1500</v>
          </cell>
          <cell r="B121" t="str">
            <v>ja</v>
          </cell>
          <cell r="C121" t="str">
            <v>バリア15000</v>
          </cell>
          <cell r="D121" t="str">
            <v>戦闘開始時に、自身への直接ダメージを15000まで防ぐバリアを一度だけ展開(バリアは破壊されると復活しない)</v>
          </cell>
        </row>
        <row r="122">
          <cell r="A122">
            <v>1501</v>
          </cell>
          <cell r="B122" t="str">
            <v>ja</v>
          </cell>
          <cell r="C122" t="str">
            <v>バリア</v>
          </cell>
          <cell r="D122" t="str">
            <v>戦闘開始時に、ダメージを25000まで防ぐバリアを一度だけ展開</v>
          </cell>
        </row>
        <row r="123">
          <cell r="A123">
            <v>1502</v>
          </cell>
          <cell r="B123" t="str">
            <v>ja</v>
          </cell>
          <cell r="C123" t="str">
            <v>バリア</v>
          </cell>
          <cell r="D123" t="str">
            <v>戦闘開始時に、ダメージを50000まで防ぐバリアを一度だけ展開</v>
          </cell>
        </row>
        <row r="124">
          <cell r="A124">
            <v>1600</v>
          </cell>
          <cell r="B124" t="str">
            <v>ja</v>
          </cell>
          <cell r="C124" t="str">
            <v>攻撃力・回復力UP</v>
          </cell>
          <cell r="D124" t="str">
            <v>自身の攻撃力と回復力をUP</v>
          </cell>
        </row>
        <row r="125">
          <cell r="A125">
            <v>1700</v>
          </cell>
          <cell r="B125" t="str">
            <v>ja</v>
          </cell>
          <cell r="C125" t="str">
            <v>パネルブレイク20 回復</v>
          </cell>
          <cell r="D125" t="str">
            <v>自身が先頭の時、1ターンの間に合計20個以上パネルを破壊した場合ににHPを2000回復</v>
          </cell>
        </row>
        <row r="126">
          <cell r="A126">
            <v>119402</v>
          </cell>
          <cell r="B126" t="str">
            <v>ja</v>
          </cell>
          <cell r="C126" t="str">
            <v>ハロウィンナイトパニック！ 威力UP</v>
          </cell>
          <cell r="D126" t="str">
            <v>ハロウィンナイトパニック！内で自身の全ての攻撃の威力を究極UP</v>
          </cell>
        </row>
        <row r="127">
          <cell r="A127">
            <v>803</v>
          </cell>
          <cell r="B127" t="str">
            <v>ja</v>
          </cell>
          <cell r="C127" t="str">
            <v>パネルブレイク30 防御力UP</v>
          </cell>
          <cell r="D127" t="str">
            <v>自身が先頭の時、1ターンの間に合計30個以上パネルを破壊した場合に防御力UP</v>
          </cell>
        </row>
        <row r="128">
          <cell r="A128">
            <v>804</v>
          </cell>
          <cell r="B128" t="str">
            <v>ja</v>
          </cell>
          <cell r="C128" t="str">
            <v>パネルブレイク30 防御力大UP</v>
          </cell>
          <cell r="D128" t="str">
            <v>自身が先頭の時、1ターンの間に合計30個以上パネルを破壊した場合に防御力大UP</v>
          </cell>
        </row>
        <row r="129">
          <cell r="A129">
            <v>805</v>
          </cell>
          <cell r="B129" t="str">
            <v>ja</v>
          </cell>
          <cell r="C129" t="str">
            <v>パネルブレイク30 防御力特大UP</v>
          </cell>
          <cell r="D129" t="str">
            <v>自身が先頭の時、1ターンの間に合計30個以上パネルを破壊した場合に防御力特大UP</v>
          </cell>
        </row>
        <row r="130">
          <cell r="A130">
            <v>806</v>
          </cell>
          <cell r="B130" t="str">
            <v>ja</v>
          </cell>
          <cell r="C130" t="str">
            <v>ボムブレイク10 防御力UP</v>
          </cell>
          <cell r="D130" t="str">
            <v>自身または味方が1ターンの間に合計10個以上ボムパネルを破壊した場合に防御力UP</v>
          </cell>
        </row>
        <row r="131">
          <cell r="A131">
            <v>807</v>
          </cell>
          <cell r="B131" t="str">
            <v>ja</v>
          </cell>
          <cell r="C131" t="str">
            <v>パネル18 破壊フィーバーゲージ上昇</v>
          </cell>
          <cell r="D131" t="str">
            <v>自身が先頭の時、1ターンの間に合計18個以上パネルを破壊した場合にフィーバーゲージ上昇</v>
          </cell>
        </row>
        <row r="132">
          <cell r="A132">
            <v>808</v>
          </cell>
          <cell r="B132" t="str">
            <v>ja</v>
          </cell>
          <cell r="C132" t="str">
            <v>パネルブレイク40 防御力UP</v>
          </cell>
          <cell r="D132" t="str">
            <v>自身が先頭の時、1ターンの間に合計40個以上パネルを破壊した場合に青属性ユニットの防御力を400UP</v>
          </cell>
        </row>
        <row r="133">
          <cell r="A133">
            <v>809</v>
          </cell>
          <cell r="B133" t="str">
            <v>ja</v>
          </cell>
          <cell r="C133" t="str">
            <v>パネルブレイク40 攻撃力UP</v>
          </cell>
          <cell r="D133" t="str">
            <v>自身が先頭の時、1ターンの間に合計40個以上パネルを破壊した場合に攻撃力UP</v>
          </cell>
        </row>
        <row r="134">
          <cell r="A134">
            <v>810</v>
          </cell>
          <cell r="B134" t="str">
            <v>ja</v>
          </cell>
          <cell r="C134" t="str">
            <v>パネルブレイク40 攻撃力小UP</v>
          </cell>
          <cell r="D134" t="str">
            <v>自身が先頭の時、1ターンの間に合計40個以上パネルを破壊した場合に攻撃力小UP</v>
          </cell>
        </row>
        <row r="135">
          <cell r="A135">
            <v>811</v>
          </cell>
          <cell r="B135" t="str">
            <v>ja</v>
          </cell>
          <cell r="C135" t="str">
            <v>パネルブレイク30 攻撃力小UP</v>
          </cell>
          <cell r="D135" t="str">
            <v>自身が先頭の時、1ターンの間に合計30個以上パネルを破壊した場合に攻撃力小UP</v>
          </cell>
        </row>
        <row r="136">
          <cell r="A136">
            <v>812</v>
          </cell>
          <cell r="B136" t="str">
            <v>ja</v>
          </cell>
          <cell r="C136" t="str">
            <v>パネルブレイク40 HP小回復</v>
          </cell>
          <cell r="D136" t="str">
            <v>自身が先頭の時、1ターンの間に合計40個以上パネルを破壊した場合にターン終了時HP小回復</v>
          </cell>
        </row>
        <row r="137">
          <cell r="A137">
            <v>813</v>
          </cell>
          <cell r="B137" t="str">
            <v>ja</v>
          </cell>
          <cell r="C137" t="str">
            <v>パネルブレイク100 攻撃力UP</v>
          </cell>
          <cell r="D137" t="str">
            <v>自身が先頭の時、1ターンの間に合計100個以上パネルを破壊した場合に攻撃力2140UP</v>
          </cell>
        </row>
        <row r="138">
          <cell r="A138">
            <v>814</v>
          </cell>
          <cell r="B138" t="str">
            <v>ja</v>
          </cell>
          <cell r="C138" t="str">
            <v>パネルブレイク50 タップ回数UP</v>
          </cell>
          <cell r="D138" t="str">
            <v>自身が先頭の時、1ターンの間に合計50個以上パネルを破壊した場合にタップ回数1UP</v>
          </cell>
        </row>
        <row r="139">
          <cell r="A139">
            <v>815</v>
          </cell>
          <cell r="B139" t="str">
            <v>ja</v>
          </cell>
          <cell r="C139" t="str">
            <v>パネルブレイク50 HP回復</v>
          </cell>
          <cell r="D139" t="str">
            <v>自身が先頭の時、1ターンの間に合計50個以上パネルを破壊した場合にターン終了時HP回復</v>
          </cell>
        </row>
        <row r="140">
          <cell r="A140">
            <v>900</v>
          </cell>
          <cell r="B140" t="str">
            <v>ja</v>
          </cell>
          <cell r="C140" t="str">
            <v>チェイン12 攻撃力UP</v>
          </cell>
          <cell r="D140" t="str">
            <v>自身が先頭の時、1タップで12個以上パネルを繋げた場合に攻撃力UP</v>
          </cell>
        </row>
        <row r="141">
          <cell r="A141">
            <v>901</v>
          </cell>
          <cell r="B141" t="str">
            <v>ja</v>
          </cell>
          <cell r="C141" t="str">
            <v>チェイン12 回復力UP</v>
          </cell>
          <cell r="D141" t="str">
            <v>自身が先頭の時、1タップで12個以上パネルを繋げた場合に回復力UP</v>
          </cell>
        </row>
        <row r="142">
          <cell r="A142">
            <v>902</v>
          </cell>
          <cell r="B142" t="str">
            <v>ja</v>
          </cell>
          <cell r="C142" t="str">
            <v>チェイン12 タップ回数UP</v>
          </cell>
          <cell r="D142" t="str">
            <v>自身が先頭の時、1タップで12個以上パネルを繋げた場合にタップ回数を1回増やす</v>
          </cell>
        </row>
        <row r="143">
          <cell r="A143">
            <v>903</v>
          </cell>
          <cell r="B143" t="str">
            <v>ja</v>
          </cell>
          <cell r="C143" t="str">
            <v>チェイン18 スキルゲージUP</v>
          </cell>
          <cell r="D143" t="str">
            <v>自身が先頭の時、1タップで18個以上パネルを繋げた場合に自身のスキルゲージを1増やす(1ターンに1度だけ発動)</v>
          </cell>
        </row>
        <row r="144">
          <cell r="A144">
            <v>904</v>
          </cell>
          <cell r="B144" t="str">
            <v>ja</v>
          </cell>
          <cell r="C144" t="str">
            <v>チェイン17 回復力UP</v>
          </cell>
          <cell r="D144" t="str">
            <v>自身が先頭の時、1タップで17個以上パネルを繋げた場合に自身の回復力を2017UP</v>
          </cell>
        </row>
        <row r="145">
          <cell r="A145">
            <v>905</v>
          </cell>
          <cell r="B145" t="str">
            <v>ja</v>
          </cell>
          <cell r="C145" t="str">
            <v>チェイン12 攻撃力小UP</v>
          </cell>
          <cell r="D145" t="str">
            <v>自身が先頭の時、1タップで12個以上パネルを繋げた場合に攻撃力小UP</v>
          </cell>
        </row>
        <row r="146">
          <cell r="A146">
            <v>906</v>
          </cell>
          <cell r="B146" t="str">
            <v>ja</v>
          </cell>
          <cell r="C146" t="str">
            <v>チェイン14 回復力小UP</v>
          </cell>
          <cell r="D146" t="str">
            <v>自身が先頭の時、1タップで14個以上パネルを繋げた場合に回復力小UP</v>
          </cell>
        </row>
        <row r="147">
          <cell r="A147">
            <v>907</v>
          </cell>
          <cell r="B147" t="str">
            <v>ja</v>
          </cell>
          <cell r="C147" t="str">
            <v>チェイン14 攻撃力UP</v>
          </cell>
          <cell r="D147" t="str">
            <v>自身が先頭の時、1タップで14個以上パネルを繋げた場合に攻撃力UP</v>
          </cell>
        </row>
        <row r="148">
          <cell r="A148">
            <v>908</v>
          </cell>
          <cell r="B148" t="str">
            <v>ja</v>
          </cell>
          <cell r="C148" t="str">
            <v>チェイン16 黄属性防御力UP</v>
          </cell>
          <cell r="D148" t="str">
            <v>自身が先頭の時、1タップで16個以上パネルを繋げた場合に黄属性ユニットの防御力UP</v>
          </cell>
        </row>
        <row r="149">
          <cell r="A149">
            <v>1100</v>
          </cell>
          <cell r="B149" t="str">
            <v>ja</v>
          </cell>
          <cell r="C149" t="str">
            <v>Cパネル生成短縮</v>
          </cell>
          <cell r="D149" t="str">
            <v>自身が先頭の時、Cパネル生成に必要なチェイン数を1短縮する</v>
          </cell>
        </row>
        <row r="150">
          <cell r="A150">
            <v>1101</v>
          </cell>
          <cell r="B150" t="str">
            <v>ja</v>
          </cell>
          <cell r="C150" t="str">
            <v>Cパネル生成短縮(大)</v>
          </cell>
          <cell r="D150" t="str">
            <v>自身が先頭の時、Cパネル生成に必要なチェイン数を2短縮する</v>
          </cell>
        </row>
        <row r="151">
          <cell r="A151">
            <v>1200</v>
          </cell>
          <cell r="B151" t="str">
            <v>ja</v>
          </cell>
          <cell r="C151" t="str">
            <v>フィーバー攻撃UP</v>
          </cell>
          <cell r="D151" t="str">
            <v>自身が先頭の時、フィーバー発動時に緑属性の攻撃力と回復力UP</v>
          </cell>
        </row>
        <row r="152">
          <cell r="A152">
            <v>1300</v>
          </cell>
          <cell r="B152" t="str">
            <v>ja</v>
          </cell>
          <cell r="C152" t="str">
            <v>チェイン12 HP回復</v>
          </cell>
          <cell r="D152" t="str">
            <v>自身が先頭の時、1タップで12個以上パネルを繋げた場合にHPを2000回復(1ターンに1度だけ発動)</v>
          </cell>
        </row>
        <row r="153">
          <cell r="A153">
            <v>1400</v>
          </cell>
          <cell r="B153" t="str">
            <v>ja</v>
          </cell>
          <cell r="C153" t="str">
            <v>カウンター威力UP</v>
          </cell>
          <cell r="D153" t="str">
            <v>4ターン毎に自身のカウンタースキルの威力が1ターンの間UP</v>
          </cell>
        </row>
        <row r="154">
          <cell r="A154">
            <v>1500</v>
          </cell>
          <cell r="B154" t="str">
            <v>ja</v>
          </cell>
          <cell r="C154" t="str">
            <v>バリア15000</v>
          </cell>
          <cell r="D154" t="str">
            <v>戦闘開始時に、自身への直接ダメージを15000まで防ぐバリアを一度だけ展開(バリアは破壊されると復活しない)</v>
          </cell>
        </row>
        <row r="155">
          <cell r="A155">
            <v>1501</v>
          </cell>
          <cell r="B155" t="str">
            <v>ja</v>
          </cell>
          <cell r="C155" t="str">
            <v>バリア</v>
          </cell>
          <cell r="D155" t="str">
            <v>戦闘開始時に、ダメージを25000まで防ぐバリアを一度だけ展開</v>
          </cell>
        </row>
        <row r="156">
          <cell r="A156">
            <v>1502</v>
          </cell>
          <cell r="B156" t="str">
            <v>ja</v>
          </cell>
          <cell r="C156" t="str">
            <v>バリア</v>
          </cell>
          <cell r="D156" t="str">
            <v>戦闘開始時に、ダメージを50000まで防ぐバリアを一度だけ展開</v>
          </cell>
        </row>
        <row r="157">
          <cell r="A157">
            <v>1503</v>
          </cell>
          <cell r="B157" t="str">
            <v>ja</v>
          </cell>
          <cell r="C157" t="str">
            <v>バリア8000</v>
          </cell>
          <cell r="D157" t="str">
            <v>戦闘開始時に、自身への直接ダメージを8000まで防ぐバリアを一度だけ展開(バリアは破壊されると復活しない)</v>
          </cell>
        </row>
        <row r="158">
          <cell r="A158">
            <v>1504</v>
          </cell>
          <cell r="B158" t="str">
            <v>ja</v>
          </cell>
          <cell r="C158" t="str">
            <v>バリア10000</v>
          </cell>
          <cell r="D158" t="str">
            <v>戦闘開始時に、自身への直接ダメージを10000まで防ぐバリアを一度だけ展開(バリアは破壊されると復活しない)</v>
          </cell>
        </row>
        <row r="159">
          <cell r="A159">
            <v>1505</v>
          </cell>
          <cell r="B159" t="str">
            <v>ja</v>
          </cell>
          <cell r="C159" t="str">
            <v>バリア3939</v>
          </cell>
          <cell r="D159" t="str">
            <v>戦闘開始時に、自身への直接ダメージを3939まで防ぐバリアを一度だけ展開(バリアは破壊されると復活しない)</v>
          </cell>
        </row>
        <row r="160">
          <cell r="A160">
            <v>1600</v>
          </cell>
          <cell r="B160" t="str">
            <v>ja</v>
          </cell>
          <cell r="C160" t="str">
            <v>攻撃力・回復力UP</v>
          </cell>
          <cell r="D160" t="str">
            <v>自身の攻撃力と回復力をUP</v>
          </cell>
        </row>
        <row r="161">
          <cell r="A161">
            <v>1700</v>
          </cell>
          <cell r="B161" t="str">
            <v>ja</v>
          </cell>
          <cell r="C161" t="str">
            <v>パネルブレイク30 ターンHP小回復</v>
          </cell>
          <cell r="D161" t="str">
            <v>自身が先頭の時、1ターンの間に合計30個以上パネルを破壊した場合に1ターン HP小回復</v>
          </cell>
        </row>
        <row r="162">
          <cell r="A162">
            <v>1800</v>
          </cell>
          <cell r="B162" t="str">
            <v>ja</v>
          </cell>
          <cell r="C162" t="str">
            <v>フィーバー強化</v>
          </cell>
          <cell r="D162" t="str">
            <v>フィーバー時自身の攻撃力、回復力を特大UP</v>
          </cell>
        </row>
        <row r="163">
          <cell r="A163">
            <v>1900</v>
          </cell>
          <cell r="B163" t="str">
            <v>ja</v>
          </cell>
          <cell r="C163" t="str">
            <v>ハート出現率UP</v>
          </cell>
          <cell r="D163" t="str">
            <v>自身が先頭の時、ハートパネルの出現率UP</v>
          </cell>
        </row>
        <row r="164">
          <cell r="A164">
            <v>2000</v>
          </cell>
          <cell r="B164" t="str">
            <v>ja</v>
          </cell>
          <cell r="C164" t="str">
            <v>赤パネル出現率UP</v>
          </cell>
          <cell r="D164" t="str">
            <v>自身が先頭の時、赤パネルの出現率UP</v>
          </cell>
        </row>
        <row r="165">
          <cell r="A165">
            <v>2100</v>
          </cell>
          <cell r="B165" t="str">
            <v>ja</v>
          </cell>
          <cell r="C165" t="str">
            <v>緑パネル出現率UP</v>
          </cell>
          <cell r="D165" t="str">
            <v>自身が先頭の時、緑パネルの出現率UP</v>
          </cell>
        </row>
        <row r="166">
          <cell r="A166">
            <v>2200</v>
          </cell>
          <cell r="B166" t="str">
            <v>ja</v>
          </cell>
          <cell r="C166" t="str">
            <v>青パネル出現率UP</v>
          </cell>
          <cell r="D166" t="str">
            <v>自身が先頭の時、青パネルの出現率UP</v>
          </cell>
        </row>
        <row r="167">
          <cell r="A167">
            <v>2300</v>
          </cell>
          <cell r="B167" t="str">
            <v>ja</v>
          </cell>
          <cell r="C167" t="str">
            <v>黄パネル出現率UP</v>
          </cell>
          <cell r="D167" t="str">
            <v>自身が先頭の時、黄パネルの出現率UP</v>
          </cell>
        </row>
        <row r="168">
          <cell r="A168">
            <v>2400</v>
          </cell>
          <cell r="B168" t="str">
            <v>ja</v>
          </cell>
          <cell r="C168" t="str">
            <v>ハートボムパネルドロップ</v>
          </cell>
          <cell r="D168" t="str">
            <v>自身が先頭の時、ハートパネルを確率でハートボムパネルに変換しドロップ</v>
          </cell>
        </row>
        <row r="169">
          <cell r="A169">
            <v>2401</v>
          </cell>
          <cell r="B169" t="str">
            <v>ja</v>
          </cell>
          <cell r="C169" t="str">
            <v>赤ボムパネルドロップ</v>
          </cell>
          <cell r="D169" t="str">
            <v>自身が先頭の時、赤パネルを低確率で赤ボムパネルに変換しドロップ</v>
          </cell>
        </row>
        <row r="170">
          <cell r="A170">
            <v>2402</v>
          </cell>
          <cell r="B170" t="str">
            <v>ja</v>
          </cell>
          <cell r="C170" t="str">
            <v>緑ボムパネルドロップ</v>
          </cell>
          <cell r="D170" t="str">
            <v>自身が先頭の時、緑パネルを低確率で緑ボムパネルに変換しドロップ</v>
          </cell>
        </row>
        <row r="171">
          <cell r="A171">
            <v>2403</v>
          </cell>
          <cell r="B171" t="str">
            <v>ja</v>
          </cell>
          <cell r="C171" t="str">
            <v>青ボムパネルドロップ</v>
          </cell>
          <cell r="D171" t="str">
            <v>自身が先頭の時、青パネルを確率で青ボムパネルに変換しドロップ</v>
          </cell>
        </row>
        <row r="172">
          <cell r="A172">
            <v>2500</v>
          </cell>
          <cell r="B172" t="str">
            <v>ja</v>
          </cell>
          <cell r="C172" t="str">
            <v>青パネルドロップ</v>
          </cell>
          <cell r="D172" t="str">
            <v>自身が先頭の時、緑パネルを確率で青パネルに変換しドロップ</v>
          </cell>
        </row>
        <row r="173">
          <cell r="A173">
            <v>2501</v>
          </cell>
          <cell r="B173" t="str">
            <v>ja</v>
          </cell>
          <cell r="C173" t="str">
            <v>黄パネルドロップ</v>
          </cell>
          <cell r="D173" t="str">
            <v>自身が先頭の時、青パネルを確率で黄パネルに変換しドロップ</v>
          </cell>
        </row>
        <row r="174">
          <cell r="A174">
            <v>2502</v>
          </cell>
          <cell r="B174" t="str">
            <v>ja</v>
          </cell>
          <cell r="C174" t="str">
            <v>赤パネルドロップ</v>
          </cell>
          <cell r="D174" t="str">
            <v>自身が先頭の時、黄パネルを確率で赤パネルに変換しドロップ</v>
          </cell>
        </row>
        <row r="175">
          <cell r="A175">
            <v>2503</v>
          </cell>
          <cell r="B175" t="str">
            <v>ja</v>
          </cell>
          <cell r="C175" t="str">
            <v>黄パネルドロップ</v>
          </cell>
          <cell r="D175" t="str">
            <v>自身が先頭の時、赤パネルを確率で黄パネルに変換しドロップ</v>
          </cell>
        </row>
        <row r="176">
          <cell r="A176">
            <v>2504</v>
          </cell>
          <cell r="B176" t="str">
            <v>ja</v>
          </cell>
          <cell r="C176" t="str">
            <v>SCパネルドロップ</v>
          </cell>
          <cell r="D176" t="str">
            <v>自身が先頭の時、緑パネルを確率でSCパネルに変換しドロップ</v>
          </cell>
        </row>
        <row r="177">
          <cell r="A177">
            <v>2505</v>
          </cell>
          <cell r="B177" t="str">
            <v>ja</v>
          </cell>
          <cell r="C177" t="str">
            <v>緑ボムパネル(大)ドロップ</v>
          </cell>
          <cell r="D177" t="str">
            <v>自身が先頭の時、低確率で緑ボムパネル(大)をドロップ</v>
          </cell>
        </row>
        <row r="178">
          <cell r="A178">
            <v>2506</v>
          </cell>
          <cell r="B178" t="str">
            <v>ja</v>
          </cell>
          <cell r="C178" t="str">
            <v>ハートボムパネル(大)ドロップ</v>
          </cell>
          <cell r="D178" t="str">
            <v>自身が先頭の時、低確率でハートボムパネル(大)をドロップ</v>
          </cell>
        </row>
        <row r="179">
          <cell r="A179">
            <v>2507</v>
          </cell>
          <cell r="B179" t="str">
            <v>ja</v>
          </cell>
          <cell r="C179" t="str">
            <v>Cパネルドロップ</v>
          </cell>
          <cell r="D179" t="str">
            <v>自身が先頭の時、低確率でCパネルをドロップ</v>
          </cell>
        </row>
        <row r="180">
          <cell r="A180">
            <v>2600</v>
          </cell>
          <cell r="B180" t="str">
            <v>ja</v>
          </cell>
          <cell r="C180" t="str">
            <v>回復力400UP</v>
          </cell>
          <cell r="D180" t="str">
            <v>自身の回復力を400UP</v>
          </cell>
        </row>
        <row r="181">
          <cell r="A181">
            <v>2601</v>
          </cell>
          <cell r="B181" t="str">
            <v>ja</v>
          </cell>
          <cell r="C181" t="str">
            <v>回復力300UP</v>
          </cell>
          <cell r="D181" t="str">
            <v>自身の回復力を300UP</v>
          </cell>
        </row>
        <row r="182">
          <cell r="A182">
            <v>2700</v>
          </cell>
          <cell r="B182" t="str">
            <v>ja</v>
          </cell>
          <cell r="C182" t="str">
            <v>攻撃力UP</v>
          </cell>
          <cell r="D182" t="str">
            <v>自身の攻撃力を300UP</v>
          </cell>
        </row>
        <row r="183">
          <cell r="A183">
            <v>2701</v>
          </cell>
          <cell r="B183" t="str">
            <v>ja</v>
          </cell>
          <cell r="C183" t="str">
            <v>攻撃力UP</v>
          </cell>
          <cell r="D183" t="str">
            <v>自身の攻撃力を500UP</v>
          </cell>
        </row>
        <row r="184">
          <cell r="A184">
            <v>2800</v>
          </cell>
          <cell r="B184" t="str">
            <v>ja</v>
          </cell>
          <cell r="C184" t="str">
            <v>防御力UP</v>
          </cell>
          <cell r="D184" t="str">
            <v>自身の防御力を250UP</v>
          </cell>
        </row>
        <row r="185">
          <cell r="A185">
            <v>2801</v>
          </cell>
          <cell r="B185" t="str">
            <v>ja</v>
          </cell>
          <cell r="C185" t="str">
            <v>防御力UP</v>
          </cell>
          <cell r="D185" t="str">
            <v>自身の防御力を350UP</v>
          </cell>
        </row>
        <row r="186">
          <cell r="A186">
            <v>2802</v>
          </cell>
          <cell r="B186" t="str">
            <v>ja</v>
          </cell>
          <cell r="C186" t="str">
            <v>防御力UP</v>
          </cell>
          <cell r="D186" t="str">
            <v>自身の防御力を300UP</v>
          </cell>
        </row>
        <row r="187">
          <cell r="A187">
            <v>2803</v>
          </cell>
          <cell r="B187" t="str">
            <v>ja</v>
          </cell>
          <cell r="C187" t="str">
            <v>防御力UP</v>
          </cell>
          <cell r="D187" t="str">
            <v>自身の防御力を400UP</v>
          </cell>
        </row>
        <row r="188">
          <cell r="A188">
            <v>2900</v>
          </cell>
          <cell r="B188" t="str">
            <v>ja</v>
          </cell>
          <cell r="C188" t="str">
            <v>フィーバー50 攻撃力小UP</v>
          </cell>
          <cell r="D188" t="str">
            <v>フィーバーゲージが50％以上の時、自身の攻撃力小UP</v>
          </cell>
        </row>
        <row r="189">
          <cell r="A189">
            <v>2901</v>
          </cell>
          <cell r="B189" t="str">
            <v>ja</v>
          </cell>
          <cell r="C189" t="str">
            <v>フィーバー40 攻撃力UP</v>
          </cell>
          <cell r="D189" t="str">
            <v>フィーバーゲージが40％以上の時、自身の攻撃力UP</v>
          </cell>
        </row>
        <row r="190">
          <cell r="A190">
            <v>9000</v>
          </cell>
          <cell r="B190" t="str">
            <v>ja</v>
          </cell>
          <cell r="C190" t="str">
            <v>ハップルチャレンジ ダメージUP</v>
          </cell>
          <cell r="D190" t="str">
            <v>ハップルチャレンジ内で自身の全ての攻撃の威力をUP</v>
          </cell>
        </row>
        <row r="191">
          <cell r="A191">
            <v>119402</v>
          </cell>
          <cell r="B191" t="str">
            <v>ja</v>
          </cell>
          <cell r="C191" t="str">
            <v>ハロウィンナイトパニック！ 威力UP</v>
          </cell>
          <cell r="D191" t="str">
            <v>ハロウィンナイトパニック！内で自身の全ての攻撃の威力を究極UP</v>
          </cell>
        </row>
        <row r="192">
          <cell r="A192">
            <v>808082</v>
          </cell>
          <cell r="B192" t="str">
            <v>ja</v>
          </cell>
          <cell r="C192" t="str">
            <v>Cパネルドロップ</v>
          </cell>
          <cell r="D192" t="str">
            <v>自身が先頭の時、低確率でCパネルをドロップ</v>
          </cell>
        </row>
        <row r="193">
          <cell r="A193">
            <v>2000</v>
          </cell>
          <cell r="B193" t="str">
            <v>ja</v>
          </cell>
          <cell r="C193" t="str">
            <v>赤パネル出現率UP</v>
          </cell>
          <cell r="D193" t="str">
            <v>自身が先頭の時、赤パネルの出現率UP</v>
          </cell>
        </row>
        <row r="194">
          <cell r="A194">
            <v>2100</v>
          </cell>
          <cell r="B194" t="str">
            <v>ja</v>
          </cell>
          <cell r="C194" t="str">
            <v>緑パネル出現率UP</v>
          </cell>
          <cell r="D194" t="str">
            <v>自身が先頭の時、緑パネルの出現率UP</v>
          </cell>
        </row>
        <row r="195">
          <cell r="A195">
            <v>2101</v>
          </cell>
          <cell r="B195" t="str">
            <v>ja</v>
          </cell>
          <cell r="C195" t="str">
            <v>緑パネル出現率UP</v>
          </cell>
          <cell r="D195" t="str">
            <v>自身が先頭の時、緑パネルの出現率UP</v>
          </cell>
        </row>
        <row r="196">
          <cell r="A196">
            <v>2200</v>
          </cell>
          <cell r="B196" t="str">
            <v>ja</v>
          </cell>
          <cell r="C196" t="str">
            <v>青パネル出現率UP</v>
          </cell>
          <cell r="D196" t="str">
            <v>自身が先頭の時、青パネルの出現率UP</v>
          </cell>
        </row>
        <row r="197">
          <cell r="A197">
            <v>2201</v>
          </cell>
          <cell r="B197" t="str">
            <v>ja</v>
          </cell>
          <cell r="C197" t="str">
            <v>青パネル出現率UP</v>
          </cell>
          <cell r="D197" t="str">
            <v>自身が先頭の時、青パネルの出現率UP</v>
          </cell>
        </row>
        <row r="198">
          <cell r="A198">
            <v>2300</v>
          </cell>
          <cell r="B198" t="str">
            <v>ja</v>
          </cell>
          <cell r="C198" t="str">
            <v>黄パネル出現率UP</v>
          </cell>
          <cell r="D198" t="str">
            <v>自身が先頭の時、黄パネルの出現率UP</v>
          </cell>
        </row>
        <row r="199">
          <cell r="A199">
            <v>2400</v>
          </cell>
          <cell r="B199" t="str">
            <v>ja</v>
          </cell>
          <cell r="C199" t="str">
            <v>ハートボムパネルドロップ</v>
          </cell>
          <cell r="D199" t="str">
            <v>自身が先頭の時、ハートパネルを確率でハートボムパネルに変換しドロップ</v>
          </cell>
        </row>
        <row r="200">
          <cell r="A200">
            <v>2401</v>
          </cell>
          <cell r="B200" t="str">
            <v>ja</v>
          </cell>
          <cell r="C200" t="str">
            <v>赤ボムパネルドロップ</v>
          </cell>
          <cell r="D200" t="str">
            <v>自身が先頭の時、赤パネルを低確率で赤ボムパネルに変換しドロップ</v>
          </cell>
        </row>
        <row r="201">
          <cell r="A201">
            <v>2402</v>
          </cell>
          <cell r="B201" t="str">
            <v>ja</v>
          </cell>
          <cell r="C201" t="str">
            <v>緑ボムパネルドロップ</v>
          </cell>
          <cell r="D201" t="str">
            <v>自身が先頭の時、緑パネルを低確率で緑ボムパネルに変換しドロップ</v>
          </cell>
        </row>
        <row r="202">
          <cell r="A202">
            <v>2403</v>
          </cell>
          <cell r="B202" t="str">
            <v>ja</v>
          </cell>
          <cell r="C202" t="str">
            <v>青ボムパネルドロップ</v>
          </cell>
          <cell r="D202" t="str">
            <v>自身が先頭の時、青パネルを確率で青ボムパネルに変換しドロップ</v>
          </cell>
        </row>
        <row r="203">
          <cell r="A203">
            <v>2500</v>
          </cell>
          <cell r="B203" t="str">
            <v>ja</v>
          </cell>
          <cell r="C203" t="str">
            <v>青パネルドロップ</v>
          </cell>
          <cell r="D203" t="str">
            <v>自身が先頭の時、緑パネルを確率で青パネルに変換しドロップ</v>
          </cell>
        </row>
        <row r="204">
          <cell r="A204">
            <v>2501</v>
          </cell>
          <cell r="B204" t="str">
            <v>ja</v>
          </cell>
          <cell r="C204" t="str">
            <v>黄パネルドロップ</v>
          </cell>
          <cell r="D204" t="str">
            <v>自身が先頭の時、青パネルを確率で黄パネルに変換しドロップ</v>
          </cell>
        </row>
        <row r="205">
          <cell r="A205">
            <v>2502</v>
          </cell>
          <cell r="B205" t="str">
            <v>ja</v>
          </cell>
          <cell r="C205" t="str">
            <v>赤パネルドロップ</v>
          </cell>
          <cell r="D205" t="str">
            <v>自身が先頭の時、黄パネルを確率で赤パネルに変換しドロップ</v>
          </cell>
        </row>
        <row r="206">
          <cell r="A206">
            <v>2503</v>
          </cell>
          <cell r="B206" t="str">
            <v>ja</v>
          </cell>
          <cell r="C206" t="str">
            <v>黄パネルドロップ</v>
          </cell>
          <cell r="D206" t="str">
            <v>自身が先頭の時、赤パネルを確率で黄パネルに変換しドロップ</v>
          </cell>
        </row>
        <row r="207">
          <cell r="A207">
            <v>2504</v>
          </cell>
          <cell r="B207" t="str">
            <v>ja</v>
          </cell>
          <cell r="C207" t="str">
            <v>SCパネルドロップ</v>
          </cell>
          <cell r="D207" t="str">
            <v>自身が先頭の時、緑パネルを確率でSCパネルに変換しドロップ</v>
          </cell>
        </row>
        <row r="208">
          <cell r="A208">
            <v>2505</v>
          </cell>
          <cell r="B208" t="str">
            <v>ja</v>
          </cell>
          <cell r="C208" t="str">
            <v>緑ボムパネル(大)ドロップ</v>
          </cell>
          <cell r="D208" t="str">
            <v>自身が先頭の時、低確率で緑ボムパネル(大)をドロップ</v>
          </cell>
        </row>
        <row r="209">
          <cell r="A209">
            <v>2506</v>
          </cell>
          <cell r="B209" t="str">
            <v>ja</v>
          </cell>
          <cell r="C209" t="str">
            <v>ハートボムパネル(大)ドロップ</v>
          </cell>
          <cell r="D209" t="str">
            <v>自身が先頭の時、低確率でハートボムパネル(大)をドロップ</v>
          </cell>
        </row>
        <row r="210">
          <cell r="A210">
            <v>2507</v>
          </cell>
          <cell r="B210" t="str">
            <v>ja</v>
          </cell>
          <cell r="C210" t="str">
            <v>Cパネルドロップ</v>
          </cell>
          <cell r="D210" t="str">
            <v>自身が先頭の時、低確率でCパネルをドロップ</v>
          </cell>
        </row>
        <row r="211">
          <cell r="A211">
            <v>2508</v>
          </cell>
          <cell r="B211" t="str">
            <v>ja</v>
          </cell>
          <cell r="C211" t="str">
            <v>黄パネルドロップ</v>
          </cell>
          <cell r="D211" t="str">
            <v>自身が先頭の時、緑パネルを確率で黄パネルに変換しドロップ</v>
          </cell>
        </row>
        <row r="212">
          <cell r="A212">
            <v>2509</v>
          </cell>
          <cell r="B212" t="str">
            <v>ja</v>
          </cell>
          <cell r="C212" t="str">
            <v>赤ボムパネル(大)ドロップ</v>
          </cell>
          <cell r="D212" t="str">
            <v>自身が先頭の時、低確率で赤ボムパネル(大)をドロップ</v>
          </cell>
        </row>
        <row r="213">
          <cell r="A213">
            <v>2510</v>
          </cell>
          <cell r="B213" t="str">
            <v>ja</v>
          </cell>
          <cell r="C213" t="str">
            <v>青ボムパネル(大)ドロップ</v>
          </cell>
          <cell r="D213" t="str">
            <v>自身が先頭の時、低確率で青ボムパネル(大)をドロップ</v>
          </cell>
        </row>
        <row r="214">
          <cell r="A214">
            <v>2511</v>
          </cell>
          <cell r="B214" t="str">
            <v>ja</v>
          </cell>
          <cell r="C214" t="str">
            <v>緑ボムパネルドロップ</v>
          </cell>
          <cell r="D214" t="str">
            <v>自身が先頭の時、ハートパネルを確率で緑ボムパネルに変換しドロップ</v>
          </cell>
        </row>
        <row r="215">
          <cell r="A215">
            <v>2512</v>
          </cell>
          <cell r="B215" t="str">
            <v>ja</v>
          </cell>
          <cell r="C215" t="str">
            <v>ハートボムパネル(大)ドロップ</v>
          </cell>
          <cell r="D215" t="str">
            <v>自身が先頭の時、低確率でハートボムパネル(大)をドロップ</v>
          </cell>
        </row>
        <row r="216">
          <cell r="A216">
            <v>2513</v>
          </cell>
          <cell r="B216" t="str">
            <v>ja</v>
          </cell>
          <cell r="C216" t="str">
            <v>緑ボムパネル(大)ドロップ</v>
          </cell>
          <cell r="D216" t="str">
            <v>自身が先頭の時、低確率で緑ボムパネル(大)をドロップ</v>
          </cell>
        </row>
        <row r="217">
          <cell r="A217">
            <v>2600</v>
          </cell>
          <cell r="B217" t="str">
            <v>ja</v>
          </cell>
          <cell r="C217" t="str">
            <v>回復力400UP</v>
          </cell>
          <cell r="D217" t="str">
            <v>自身の回復力を400UP</v>
          </cell>
        </row>
        <row r="218">
          <cell r="A218">
            <v>2601</v>
          </cell>
          <cell r="B218" t="str">
            <v>ja</v>
          </cell>
          <cell r="C218" t="str">
            <v>回復力300UP</v>
          </cell>
          <cell r="D218" t="str">
            <v>自身の回復力を300UP</v>
          </cell>
        </row>
        <row r="219">
          <cell r="A219">
            <v>2700</v>
          </cell>
          <cell r="B219" t="str">
            <v>ja</v>
          </cell>
          <cell r="C219" t="str">
            <v>攻撃力UP</v>
          </cell>
          <cell r="D219" t="str">
            <v>自身の攻撃力を300UP</v>
          </cell>
        </row>
        <row r="220">
          <cell r="A220">
            <v>2701</v>
          </cell>
          <cell r="B220" t="str">
            <v>ja</v>
          </cell>
          <cell r="C220" t="str">
            <v>攻撃力UP</v>
          </cell>
          <cell r="D220" t="str">
            <v>自身の攻撃力を500UP</v>
          </cell>
        </row>
        <row r="221">
          <cell r="A221">
            <v>2800</v>
          </cell>
          <cell r="B221" t="str">
            <v>ja</v>
          </cell>
          <cell r="C221" t="str">
            <v>防御力UP</v>
          </cell>
          <cell r="D221" t="str">
            <v>自身の防御力を250UP</v>
          </cell>
        </row>
        <row r="222">
          <cell r="A222">
            <v>2801</v>
          </cell>
          <cell r="B222" t="str">
            <v>ja</v>
          </cell>
          <cell r="C222" t="str">
            <v>防御力UP</v>
          </cell>
          <cell r="D222" t="str">
            <v>自身の防御力を350UP</v>
          </cell>
        </row>
        <row r="223">
          <cell r="A223">
            <v>2802</v>
          </cell>
          <cell r="B223" t="str">
            <v>ja</v>
          </cell>
          <cell r="C223" t="str">
            <v>防御力UP</v>
          </cell>
          <cell r="D223" t="str">
            <v>自身の防御力を300UP</v>
          </cell>
        </row>
        <row r="224">
          <cell r="A224">
            <v>2803</v>
          </cell>
          <cell r="B224" t="str">
            <v>ja</v>
          </cell>
          <cell r="C224" t="str">
            <v>防御力UP</v>
          </cell>
          <cell r="D224" t="str">
            <v>自身の防御力を400UP</v>
          </cell>
        </row>
        <row r="225">
          <cell r="A225">
            <v>2804</v>
          </cell>
          <cell r="B225" t="str">
            <v>ja</v>
          </cell>
          <cell r="C225" t="str">
            <v>防御力UP</v>
          </cell>
          <cell r="D225" t="str">
            <v>自身の防御力を280UP</v>
          </cell>
        </row>
        <row r="226">
          <cell r="A226">
            <v>2900</v>
          </cell>
          <cell r="B226" t="str">
            <v>ja</v>
          </cell>
          <cell r="C226" t="str">
            <v>フィーバー50 攻撃力小UP</v>
          </cell>
          <cell r="D226" t="str">
            <v>フィーバーゲージが50％以上の時、自身の攻撃力小UP</v>
          </cell>
        </row>
        <row r="227">
          <cell r="A227">
            <v>2901</v>
          </cell>
          <cell r="B227" t="str">
            <v>ja</v>
          </cell>
          <cell r="C227" t="str">
            <v>フィーバー40 攻撃力UP</v>
          </cell>
          <cell r="D227" t="str">
            <v>フィーバーゲージが40％以上の時、自身の攻撃力UP</v>
          </cell>
        </row>
        <row r="228">
          <cell r="A228">
            <v>2902</v>
          </cell>
          <cell r="B228" t="str">
            <v>ja</v>
          </cell>
          <cell r="C228" t="str">
            <v>フィーバー80 攻撃力大UP</v>
          </cell>
          <cell r="D228" t="str">
            <v>フィーバーゲージが80％以上の時、自身の攻撃力大UP</v>
          </cell>
        </row>
        <row r="229">
          <cell r="A229">
            <v>2903</v>
          </cell>
          <cell r="B229" t="str">
            <v>ja</v>
          </cell>
          <cell r="C229" t="str">
            <v>フィーバー100 攻撃参加</v>
          </cell>
          <cell r="D229" t="str">
            <v>フィーバーゲージが100％の時、自身が先頭以外でも通常攻撃に参加する</v>
          </cell>
        </row>
        <row r="230">
          <cell r="A230">
            <v>3000</v>
          </cell>
          <cell r="B230" t="str">
            <v>ja</v>
          </cell>
          <cell r="C230" t="str">
            <v>攻撃参加</v>
          </cell>
          <cell r="D230" t="str">
            <v>最初の1ターン目と、その後7ターン毎に自身が先頭以外でも通常攻撃に参加する</v>
          </cell>
        </row>
        <row r="231">
          <cell r="A231">
            <v>3001</v>
          </cell>
          <cell r="B231" t="str">
            <v>ja</v>
          </cell>
          <cell r="C231" t="str">
            <v>攻撃参加</v>
          </cell>
          <cell r="D231" t="str">
            <v>最初の1ターン目と、その後6ターン毎に自身が先頭以外でも通常攻撃に参加する</v>
          </cell>
        </row>
        <row r="232">
          <cell r="A232">
            <v>3002</v>
          </cell>
          <cell r="B232" t="str">
            <v>ja</v>
          </cell>
          <cell r="C232" t="str">
            <v>攻撃参加</v>
          </cell>
          <cell r="D232" t="str">
            <v>最初の1ターン目と、その後9ターン毎に自身が先頭以外でも通常攻撃に参加する</v>
          </cell>
        </row>
        <row r="233">
          <cell r="A233">
            <v>3100</v>
          </cell>
          <cell r="B233" t="str">
            <v>ja</v>
          </cell>
          <cell r="C233" t="str">
            <v>ボスフロア Cパネル生成短縮(特大)</v>
          </cell>
          <cell r="D233" t="str">
            <v>ボスフロア内で自身が先頭の時、Cパネル生成に必要なチェイン数を短縮する</v>
          </cell>
        </row>
        <row r="234">
          <cell r="A234">
            <v>3101</v>
          </cell>
          <cell r="B234" t="str">
            <v>ja</v>
          </cell>
          <cell r="C234" t="str">
            <v>ボスフロア時 バリア3000</v>
          </cell>
          <cell r="D234" t="str">
            <v>ボスフロア到達時に自身への直接ダメージを3000まで防ぐバリアを一度だけ展開(バリアは破壊されると復活しない)</v>
          </cell>
        </row>
        <row r="235">
          <cell r="A235">
            <v>3102</v>
          </cell>
          <cell r="B235" t="str">
            <v>ja</v>
          </cell>
          <cell r="C235" t="str">
            <v>ボスフロア時 Cスキル威力UP</v>
          </cell>
          <cell r="D235" t="str">
            <v>ボスフロアの1ターン目終了時に自身のCスキルの威力をUP</v>
          </cell>
        </row>
        <row r="236">
          <cell r="A236">
            <v>3103</v>
          </cell>
          <cell r="B236" t="str">
            <v>ja</v>
          </cell>
          <cell r="C236" t="str">
            <v>ボスフロア 攻撃力UP</v>
          </cell>
          <cell r="D236" t="str">
            <v>ボスフロア内で自身の攻撃力を700UP</v>
          </cell>
        </row>
        <row r="237">
          <cell r="A237">
            <v>3200</v>
          </cell>
          <cell r="B237" t="str">
            <v>ja</v>
          </cell>
          <cell r="C237" t="str">
            <v>HP33%以下 攻撃力UP</v>
          </cell>
          <cell r="D237" t="str">
            <v>自身が先頭の時、残りHPが33%以下で攻撃力特大UP</v>
          </cell>
        </row>
        <row r="238">
          <cell r="A238">
            <v>3201</v>
          </cell>
          <cell r="B238" t="str">
            <v>ja</v>
          </cell>
          <cell r="C238" t="str">
            <v>HP35%以下 回復力UP</v>
          </cell>
          <cell r="D238" t="str">
            <v>自身が先頭の時、残りHPが35%以下で回復力40%UP</v>
          </cell>
        </row>
        <row r="239">
          <cell r="A239">
            <v>3202</v>
          </cell>
          <cell r="B239" t="str">
            <v>ja</v>
          </cell>
          <cell r="C239" t="str">
            <v>HP90%以上 全属性耐性15</v>
          </cell>
          <cell r="D239" t="str">
            <v>自身が先頭の時、残りHPが90%以上で全ユニットに対する全属性の敵からの攻撃を15％軽減</v>
          </cell>
        </row>
        <row r="240">
          <cell r="A240">
            <v>3203</v>
          </cell>
          <cell r="B240" t="str">
            <v>ja</v>
          </cell>
          <cell r="C240" t="str">
            <v>HP50%以下 防御力UP</v>
          </cell>
          <cell r="D240" t="str">
            <v>自身が先頭の時、残りHPが50%以下で防御力398UP</v>
          </cell>
        </row>
        <row r="241">
          <cell r="A241">
            <v>3204</v>
          </cell>
          <cell r="B241" t="str">
            <v>ja</v>
          </cell>
          <cell r="C241" t="str">
            <v>HP30%以下 攻撃力大UP</v>
          </cell>
          <cell r="D241" t="str">
            <v>自身が先頭の時、残りHPが30%以下で攻撃力大UP</v>
          </cell>
        </row>
        <row r="242">
          <cell r="A242">
            <v>3205</v>
          </cell>
          <cell r="B242" t="str">
            <v>ja</v>
          </cell>
          <cell r="C242" t="str">
            <v>HP90%以上 ダメージ軽減</v>
          </cell>
          <cell r="D242" t="str">
            <v>残りHPが90%以上の時、全ユニットが敵からの攻撃を15％軽減</v>
          </cell>
        </row>
        <row r="243">
          <cell r="A243">
            <v>4000</v>
          </cell>
          <cell r="B243" t="str">
            <v>ja</v>
          </cell>
          <cell r="C243" t="str">
            <v>被ダメージ時 HP回復</v>
          </cell>
          <cell r="D243" t="str">
            <v>自身が攻撃を受けた場合、次のターンの開始時にHP500回復する</v>
          </cell>
        </row>
        <row r="244">
          <cell r="A244">
            <v>8000</v>
          </cell>
          <cell r="B244" t="str">
            <v>ja</v>
          </cell>
          <cell r="C244" t="str">
            <v>ユニットが一番右にいるとき 攻撃力UP</v>
          </cell>
          <cell r="D244" t="str">
            <v>自身が一番右にいる場合、全ユニットの攻撃力UP</v>
          </cell>
        </row>
        <row r="245">
          <cell r="A245">
            <v>8001</v>
          </cell>
          <cell r="B245" t="str">
            <v>ja</v>
          </cell>
          <cell r="C245" t="str">
            <v>敵に青属性がいる場合 小カウンター</v>
          </cell>
          <cell r="D245" t="str">
            <v>敵に青属性がいる場合、小カウンター</v>
          </cell>
        </row>
        <row r="246">
          <cell r="A246">
            <v>8002</v>
          </cell>
          <cell r="B246" t="str">
            <v>ja</v>
          </cell>
          <cell r="C246" t="str">
            <v>テスト</v>
          </cell>
          <cell r="D246" t="str">
            <v>フロアスタート時、1ターン全ユニットの攻撃力UP</v>
          </cell>
        </row>
        <row r="247">
          <cell r="A247">
            <v>8003</v>
          </cell>
          <cell r="B247" t="str">
            <v>ja</v>
          </cell>
          <cell r="C247" t="str">
            <v>HP70%以上 ウィルス無効</v>
          </cell>
          <cell r="D247" t="str">
            <v>残りHPが70%以上で自身にかかるウィルスを無効化する</v>
          </cell>
        </row>
        <row r="248">
          <cell r="A248">
            <v>9000</v>
          </cell>
          <cell r="B248" t="str">
            <v>ja</v>
          </cell>
          <cell r="C248" t="str">
            <v>ハップルチャレンジ ダメージUP</v>
          </cell>
          <cell r="D248" t="str">
            <v>ハップルチャレンジ内で自身の全ての攻撃の威力をUP</v>
          </cell>
        </row>
        <row r="249">
          <cell r="A249">
            <v>9001</v>
          </cell>
          <cell r="B249" t="str">
            <v>ja</v>
          </cell>
          <cell r="C249" t="str">
            <v>クロネッカーチャレンジ ダメージUP</v>
          </cell>
          <cell r="D249" t="str">
            <v>クロネッカーチャレンジ内で自身の全ての攻撃の威力をUP</v>
          </cell>
        </row>
        <row r="250">
          <cell r="A250">
            <v>9002</v>
          </cell>
          <cell r="B250" t="str">
            <v>ja</v>
          </cell>
          <cell r="C250" t="str">
            <v>クロネッカーチャレンジ ダメージUP</v>
          </cell>
          <cell r="D250" t="str">
            <v>クロネッカーチャレンジ内で自身の全ての攻撃+カウンターの威力をUP</v>
          </cell>
        </row>
        <row r="251">
          <cell r="A251">
            <v>9003</v>
          </cell>
          <cell r="B251" t="str">
            <v>ja</v>
          </cell>
          <cell r="C251" t="str">
            <v>オイラーチャレンジ ダメージUP</v>
          </cell>
          <cell r="D251" t="str">
            <v>オイラーチャレンジ内で自身の全ての攻撃の威力をUP</v>
          </cell>
        </row>
        <row r="252">
          <cell r="A252">
            <v>9004</v>
          </cell>
          <cell r="B252" t="str">
            <v>ja</v>
          </cell>
          <cell r="C252" t="str">
            <v>オイラーチャレンジ ダメージ究極UP</v>
          </cell>
          <cell r="D252" t="str">
            <v>オイラーチャレンジ内で自身の全ての攻撃の威力を究極UP</v>
          </cell>
        </row>
        <row r="253">
          <cell r="A253">
            <v>119402</v>
          </cell>
          <cell r="B253" t="str">
            <v>ja</v>
          </cell>
          <cell r="C253" t="str">
            <v>ハロウィンナイトパニック！ 威力UP</v>
          </cell>
          <cell r="D253" t="str">
            <v>ハロウィンナイトパニック！内で自身の全ての攻撃の威力を究極UP</v>
          </cell>
        </row>
        <row r="254">
          <cell r="A254">
            <v>500801</v>
          </cell>
          <cell r="B254" t="str">
            <v>ja</v>
          </cell>
          <cell r="C254" t="str">
            <v>パネルブレイク35 攻撃力小UP</v>
          </cell>
          <cell r="D254" t="str">
            <v>自身が先頭の時、1ターンの間に合計35個以上パネルを破壊した場合に攻撃力小UP</v>
          </cell>
        </row>
        <row r="255">
          <cell r="A255">
            <v>808082</v>
          </cell>
          <cell r="B255" t="str">
            <v>ja</v>
          </cell>
          <cell r="C255" t="str">
            <v>Cパネルドロップ</v>
          </cell>
          <cell r="D255" t="str">
            <v>自身が先頭の時、低確率でCパネルをドロップ</v>
          </cell>
        </row>
        <row r="256">
          <cell r="A256">
            <v>900000</v>
          </cell>
          <cell r="B256" t="str">
            <v>ja</v>
          </cell>
          <cell r="C256" t="str">
            <v>フィーバー100 プロテクトブレイク</v>
          </cell>
          <cell r="D256" t="str">
            <v>フィーバーゲージが100％以上の時、1ターンプロテクトブレイク</v>
          </cell>
        </row>
        <row r="257">
          <cell r="A257">
            <v>900001</v>
          </cell>
          <cell r="B257" t="str">
            <v>ja</v>
          </cell>
          <cell r="C257" t="str">
            <v>フィーバー100 お邪魔ブレイク</v>
          </cell>
          <cell r="D257" t="str">
            <v>フィーバーゲージが100％以上の時、1ターンお邪魔ブレイク</v>
          </cell>
        </row>
        <row r="258">
          <cell r="A258">
            <v>900402</v>
          </cell>
          <cell r="B258" t="str">
            <v>ja</v>
          </cell>
          <cell r="C258" t="str">
            <v>バリア3500</v>
          </cell>
          <cell r="D258" t="str">
            <v>戦闘開始時に、自身への直接ダメージを3500まで防ぐバリアを一度だけ展開(バリアは破壊されると復活しない)</v>
          </cell>
        </row>
        <row r="259">
          <cell r="A259">
            <v>810202</v>
          </cell>
          <cell r="B259" t="str">
            <v>ja</v>
          </cell>
          <cell r="C259" t="str">
            <v>パネルブレイク50 ダメージ軽減</v>
          </cell>
          <cell r="D259" t="str">
            <v>自身が先頭の時、1ターンの間に合計50個以上パネルを破壊した場合敵からのダメージを15%軽減（1ターンに1度だけ発動）</v>
          </cell>
        </row>
        <row r="260">
          <cell r="A260">
            <v>500801</v>
          </cell>
          <cell r="B260" t="str">
            <v>ja</v>
          </cell>
          <cell r="C260" t="str">
            <v>パネルブレイク35 攻撃力小UP</v>
          </cell>
          <cell r="D260" t="str">
            <v>自身が先頭の時、1ターンの間に合計35個以上パネルを破壊した場合に攻撃力小UP</v>
          </cell>
        </row>
        <row r="261">
          <cell r="A261">
            <v>808082</v>
          </cell>
          <cell r="B261" t="str">
            <v>ja</v>
          </cell>
          <cell r="C261" t="str">
            <v>Cパネルドロップ</v>
          </cell>
          <cell r="D261" t="str">
            <v>自身が先頭の時、低確率でCパネルをドロップ</v>
          </cell>
        </row>
        <row r="262">
          <cell r="A262">
            <v>900000</v>
          </cell>
          <cell r="B262" t="str">
            <v>ja</v>
          </cell>
          <cell r="C262" t="str">
            <v>フィーバー100 プロテクトブレイク</v>
          </cell>
          <cell r="D262" t="str">
            <v>フィーバーゲージが100％以上の時、1ターンプロテクトブレイク</v>
          </cell>
        </row>
        <row r="263">
          <cell r="A263">
            <v>900001</v>
          </cell>
          <cell r="B263" t="str">
            <v>ja</v>
          </cell>
          <cell r="C263" t="str">
            <v>フィーバー100 お邪魔ブレイク</v>
          </cell>
          <cell r="D263" t="str">
            <v>フィーバーゲージが100％以上の時、1ターンお邪魔ブレイク</v>
          </cell>
        </row>
        <row r="264">
          <cell r="A264">
            <v>900402</v>
          </cell>
          <cell r="B264" t="str">
            <v>ja</v>
          </cell>
          <cell r="C264" t="str">
            <v>バリア3500</v>
          </cell>
          <cell r="D264" t="str">
            <v>戦闘開始時に、自身への直接ダメージを3500まで防ぐバリアを一度だけ展開(バリアは破壊されると復活しない)</v>
          </cell>
        </row>
        <row r="265">
          <cell r="A265">
            <v>810202</v>
          </cell>
          <cell r="B265" t="str">
            <v>ja</v>
          </cell>
          <cell r="C265" t="str">
            <v>パネルブレイク50 ダメージ軽減</v>
          </cell>
          <cell r="D265" t="str">
            <v>自身が先頭の時、1ターンの間に合計50個以上パネルを破壊した場合敵からのダメージを15%軽減（1ターンに1度だけ発動）</v>
          </cell>
        </row>
        <row r="266">
          <cell r="A266">
            <v>8004</v>
          </cell>
          <cell r="B266" t="str">
            <v>ja</v>
          </cell>
          <cell r="C266" t="str">
            <v>フロアスタート時 スキルブースト</v>
          </cell>
          <cell r="D266" t="str">
            <v>フロアスタート時、1ターンスキルブースト</v>
          </cell>
        </row>
        <row r="267">
          <cell r="A267">
            <v>8005</v>
          </cell>
          <cell r="B267" t="str">
            <v>ja</v>
          </cell>
          <cell r="C267" t="str">
            <v>ハートがハートボム大</v>
          </cell>
          <cell r="D267" t="str">
            <v>ハートがハートボム大</v>
          </cell>
        </row>
        <row r="268">
          <cell r="A268">
            <v>8006</v>
          </cell>
          <cell r="B268" t="str">
            <v>ja</v>
          </cell>
          <cell r="C268" t="str">
            <v>攻撃、回復、体力のCP短縮1</v>
          </cell>
          <cell r="D268" t="str">
            <v>攻撃、回復、体力のCP短縮1</v>
          </cell>
        </row>
        <row r="269">
          <cell r="A269">
            <v>8007</v>
          </cell>
          <cell r="B269" t="str">
            <v>ja</v>
          </cell>
          <cell r="C269" t="str">
            <v>自身の左ユニットが攻撃参加</v>
          </cell>
          <cell r="D269" t="str">
            <v>自身の左ユニットが攻撃参加</v>
          </cell>
        </row>
        <row r="270">
          <cell r="A270">
            <v>9000</v>
          </cell>
          <cell r="B270" t="str">
            <v>ja</v>
          </cell>
          <cell r="C270" t="str">
            <v>ハップルチャレンジ ダメージUP</v>
          </cell>
          <cell r="D270" t="str">
            <v>ハップルチャレンジ内で自身の全ての攻撃の威力をUP</v>
          </cell>
        </row>
        <row r="271">
          <cell r="A271">
            <v>9001</v>
          </cell>
          <cell r="B271" t="str">
            <v>ja</v>
          </cell>
          <cell r="C271" t="str">
            <v>クロネッカーチャレンジ ダメージUP</v>
          </cell>
          <cell r="D271" t="str">
            <v>クロネッカーチャレンジ内で自身の全ての攻撃の威力をUP</v>
          </cell>
        </row>
        <row r="272">
          <cell r="A272">
            <v>9002</v>
          </cell>
          <cell r="B272" t="str">
            <v>ja</v>
          </cell>
          <cell r="C272" t="str">
            <v>クロネッカーチャレンジ ダメージUP</v>
          </cell>
          <cell r="D272" t="str">
            <v>クロネッカーチャレンジ内で自身の全ての攻撃+カウンターの威力をUP</v>
          </cell>
        </row>
        <row r="273">
          <cell r="A273">
            <v>9003</v>
          </cell>
          <cell r="B273" t="str">
            <v>ja</v>
          </cell>
          <cell r="C273" t="str">
            <v>オイラーチャレンジ ダメージUP</v>
          </cell>
          <cell r="D273" t="str">
            <v>オイラーチャレンジ内で自身の全ての攻撃の威力をUP</v>
          </cell>
        </row>
        <row r="274">
          <cell r="A274">
            <v>9004</v>
          </cell>
          <cell r="B274" t="str">
            <v>ja</v>
          </cell>
          <cell r="C274" t="str">
            <v>オイラーチャレンジ ダメージ究極UP</v>
          </cell>
          <cell r="D274" t="str">
            <v>オイラーチャレンジ内で自身の全ての攻撃の威力を究極UP</v>
          </cell>
        </row>
        <row r="275">
          <cell r="A275">
            <v>9005</v>
          </cell>
          <cell r="B275" t="str">
            <v>ja</v>
          </cell>
          <cell r="C275" t="str">
            <v>ヘンペルチャレンジ ダメージUP</v>
          </cell>
          <cell r="D275" t="str">
            <v>ヘンペルチャレンジ内で自身の全ての攻撃の威力をUP</v>
          </cell>
        </row>
        <row r="276">
          <cell r="A276">
            <v>9006</v>
          </cell>
          <cell r="B276" t="str">
            <v>ja</v>
          </cell>
          <cell r="C276" t="str">
            <v>ヘンペルチャレンジ ダメージUP</v>
          </cell>
          <cell r="D276" t="str">
            <v>ヘンペルチャレンジ内で自身の全ての攻撃+カウンターの威力をUP</v>
          </cell>
        </row>
        <row r="277">
          <cell r="A277">
            <v>9007</v>
          </cell>
          <cell r="B277" t="str">
            <v>ja</v>
          </cell>
          <cell r="C277" t="str">
            <v>フロイトチャレンジ ダメージ究極UP</v>
          </cell>
          <cell r="D277" t="str">
            <v>フロイトチャレンジ内で自身の全ての攻撃の威力を究極UP</v>
          </cell>
        </row>
        <row r="278">
          <cell r="A278">
            <v>9008</v>
          </cell>
          <cell r="B278" t="str">
            <v>ja</v>
          </cell>
          <cell r="C278" t="str">
            <v>フロイトチャレンジ ダメージUP</v>
          </cell>
          <cell r="D278" t="str">
            <v>フロイトチャレンジ内で自身の全ての攻撃の威力をUP</v>
          </cell>
        </row>
        <row r="279">
          <cell r="A279">
            <v>9009</v>
          </cell>
          <cell r="B279" t="str">
            <v>ja</v>
          </cell>
          <cell r="C279" t="str">
            <v>フロイトチャレンジ ダメージUP</v>
          </cell>
          <cell r="D279" t="str">
            <v>フロイトチャレンジ内で自身の全ての攻撃+カウンターの威力をUP</v>
          </cell>
        </row>
        <row r="280">
          <cell r="A280">
            <v>119402</v>
          </cell>
          <cell r="B280" t="str">
            <v>ja</v>
          </cell>
          <cell r="C280" t="str">
            <v>ハロウィンナイトパニック！ 威力UP</v>
          </cell>
          <cell r="D280" t="str">
            <v>ハロウィンナイトパニック！内で自身の全ての攻撃の威力を究極UP</v>
          </cell>
        </row>
        <row r="281">
          <cell r="A281">
            <v>500801</v>
          </cell>
          <cell r="B281" t="str">
            <v>ja</v>
          </cell>
          <cell r="C281" t="str">
            <v>パネルブレイク35 攻撃力小UP</v>
          </cell>
          <cell r="D281" t="str">
            <v>自身が先頭の時、1ターンの間に合計35個以上パネルを破壊した場合に攻撃力小UP</v>
          </cell>
        </row>
        <row r="282">
          <cell r="A282">
            <v>808082</v>
          </cell>
          <cell r="B282" t="str">
            <v>ja</v>
          </cell>
          <cell r="C282" t="str">
            <v>Cパネルドロップ</v>
          </cell>
          <cell r="D282" t="str">
            <v>自身が先頭の時、低確率でCパネルをドロップ</v>
          </cell>
        </row>
        <row r="283">
          <cell r="A283">
            <v>900000</v>
          </cell>
          <cell r="B283" t="str">
            <v>ja</v>
          </cell>
          <cell r="C283" t="str">
            <v>フィーバー100 プロテクトブレイク</v>
          </cell>
          <cell r="D283" t="str">
            <v>フィーバーゲージが100％以上の時、1ターンプロテクトブレイク</v>
          </cell>
        </row>
        <row r="284">
          <cell r="A284">
            <v>900001</v>
          </cell>
          <cell r="B284" t="str">
            <v>ja</v>
          </cell>
          <cell r="C284" t="str">
            <v>フィーバー100 お邪魔ブレイク</v>
          </cell>
          <cell r="D284" t="str">
            <v>フィーバーゲージが100％以上の時、1ターンお邪魔ブレイク</v>
          </cell>
        </row>
        <row r="285">
          <cell r="A285">
            <v>900402</v>
          </cell>
          <cell r="B285" t="str">
            <v>ja</v>
          </cell>
          <cell r="C285" t="str">
            <v>バリア3500</v>
          </cell>
          <cell r="D285" t="str">
            <v>戦闘開始時に、自身への直接ダメージを3500まで防ぐバリアを一度だけ展開(バリアは破壊されると復活しない)</v>
          </cell>
        </row>
        <row r="286">
          <cell r="A286">
            <v>810202</v>
          </cell>
          <cell r="B286" t="str">
            <v>ja</v>
          </cell>
          <cell r="C286" t="str">
            <v>パネルブレイク50 ダメージ軽減</v>
          </cell>
          <cell r="D286" t="str">
            <v>自身が先頭の時、1ターンの間に合計50個以上パネルを破壊した場合敵からのダメージを15%軽減（1ターンに1度だけ発動）</v>
          </cell>
        </row>
        <row r="287">
          <cell r="A287">
            <v>811802</v>
          </cell>
          <cell r="B287" t="str">
            <v>ja</v>
          </cell>
          <cell r="C287" t="str">
            <v>ターン攻撃力UP</v>
          </cell>
          <cell r="D287" t="str">
            <v>最初の1ターン目と、その後6ターン毎に1ターン種族ドラゴン・ファンタジー・アニマルの攻撃力1000UP</v>
          </cell>
        </row>
        <row r="288">
          <cell r="A288">
            <v>812002</v>
          </cell>
          <cell r="B288" t="str">
            <v>ja</v>
          </cell>
          <cell r="C288" t="str">
            <v>ターンタップ増加</v>
          </cell>
          <cell r="D288" t="str">
            <v>最初の1ターン目と、その後6ターン毎に1ターン種族ドラゴン・ファンタジー・アニマルのタップ数1増加</v>
          </cell>
        </row>
        <row r="289">
          <cell r="A289">
            <v>811803</v>
          </cell>
          <cell r="B289" t="str">
            <v>ja</v>
          </cell>
          <cell r="C289" t="str">
            <v>端午クエスト ダメージUP</v>
          </cell>
          <cell r="D289" t="str">
            <v>端午クエスト内で自身の全ての攻撃の威力をUP</v>
          </cell>
        </row>
        <row r="290">
          <cell r="A290">
            <v>900802</v>
          </cell>
          <cell r="B290" t="str">
            <v>ja</v>
          </cell>
          <cell r="C290" t="str">
            <v>ターン攻撃力UP</v>
          </cell>
          <cell r="D290" t="str">
            <v>最初の1ターン目と、その後7ターン毎に1ターン赤属性の攻撃力777UP</v>
          </cell>
        </row>
        <row r="291">
          <cell r="A291">
            <v>9000</v>
          </cell>
          <cell r="B291" t="str">
            <v>ja</v>
          </cell>
          <cell r="C291" t="str">
            <v>ハップルチャレンジ ダメージUP</v>
          </cell>
          <cell r="D291" t="str">
            <v>ハップルチャレンジ内で自身の全ての攻撃の威力をUP</v>
          </cell>
        </row>
        <row r="292">
          <cell r="A292">
            <v>9001</v>
          </cell>
          <cell r="B292" t="str">
            <v>ja</v>
          </cell>
          <cell r="C292" t="str">
            <v>クロネッカーチャレンジ ダメージUP</v>
          </cell>
          <cell r="D292" t="str">
            <v>クロネッカーチャレンジ内で自身の全ての攻撃の威力をUP</v>
          </cell>
        </row>
        <row r="293">
          <cell r="A293">
            <v>9002</v>
          </cell>
          <cell r="B293" t="str">
            <v>ja</v>
          </cell>
          <cell r="C293" t="str">
            <v>クロネッカーチャレンジ ダメージUP</v>
          </cell>
          <cell r="D293" t="str">
            <v>クロネッカーチャレンジ内で自身の全ての攻撃+カウンターの威力をUP</v>
          </cell>
        </row>
        <row r="294">
          <cell r="A294">
            <v>9003</v>
          </cell>
          <cell r="B294" t="str">
            <v>ja</v>
          </cell>
          <cell r="C294" t="str">
            <v>オイラーチャレンジ ダメージUP</v>
          </cell>
          <cell r="D294" t="str">
            <v>オイラーチャレンジ内で自身の全ての攻撃の威力をUP</v>
          </cell>
        </row>
        <row r="295">
          <cell r="A295">
            <v>9004</v>
          </cell>
          <cell r="B295" t="str">
            <v>ja</v>
          </cell>
          <cell r="C295" t="str">
            <v>オイラーチャレンジ ダメージ究極UP</v>
          </cell>
          <cell r="D295" t="str">
            <v>オイラーチャレンジ内で自身の全ての攻撃の威力を究極UP</v>
          </cell>
        </row>
        <row r="296">
          <cell r="A296">
            <v>9005</v>
          </cell>
          <cell r="B296" t="str">
            <v>ja</v>
          </cell>
          <cell r="C296" t="str">
            <v>ヘンペルチャレンジ ダメージUP</v>
          </cell>
          <cell r="D296" t="str">
            <v>ヘンペルチャレンジ内で自身の全ての攻撃の威力をUP</v>
          </cell>
        </row>
        <row r="297">
          <cell r="A297">
            <v>9006</v>
          </cell>
          <cell r="B297" t="str">
            <v>ja</v>
          </cell>
          <cell r="C297" t="str">
            <v>ヘンペルチャレンジ ダメージUP</v>
          </cell>
          <cell r="D297" t="str">
            <v>ヘンペルチャレンジ内で自身の全ての攻撃+カウンターの威力をUP</v>
          </cell>
        </row>
        <row r="298">
          <cell r="A298">
            <v>9007</v>
          </cell>
          <cell r="B298" t="str">
            <v>ja</v>
          </cell>
          <cell r="C298" t="str">
            <v>フロイトチャレンジ ダメージ究極UP</v>
          </cell>
          <cell r="D298" t="str">
            <v>フロイトチャレンジ内で自身の全ての攻撃の威力を究極UP</v>
          </cell>
        </row>
        <row r="299">
          <cell r="A299">
            <v>9008</v>
          </cell>
          <cell r="B299" t="str">
            <v>ja</v>
          </cell>
          <cell r="C299" t="str">
            <v>フロイトチャレンジ ダメージUP</v>
          </cell>
          <cell r="D299" t="str">
            <v>フロイトチャレンジ内で自身の全ての攻撃の威力をUP</v>
          </cell>
        </row>
        <row r="300">
          <cell r="A300">
            <v>9009</v>
          </cell>
          <cell r="B300" t="str">
            <v>ja</v>
          </cell>
          <cell r="C300" t="str">
            <v>フロイトチャレンジ ダメージUP</v>
          </cell>
          <cell r="D300" t="str">
            <v>フロイトチャレンジ内で自身の全ての攻撃+カウンターの威力をUP</v>
          </cell>
        </row>
        <row r="301">
          <cell r="A301">
            <v>9010</v>
          </cell>
          <cell r="B301" t="str">
            <v>ja</v>
          </cell>
          <cell r="C301" t="str">
            <v>ウエディングクエスト ダメージUP</v>
          </cell>
          <cell r="D301" t="str">
            <v>ウエディングクエスト内で自身の全ての攻撃の威力をUP</v>
          </cell>
        </row>
        <row r="302">
          <cell r="A302">
            <v>119402</v>
          </cell>
          <cell r="B302" t="str">
            <v>ja</v>
          </cell>
          <cell r="C302" t="str">
            <v>ハロウィンナイトパニック！ 威力UP</v>
          </cell>
          <cell r="D302" t="str">
            <v>ハロウィンナイトパニック！内で自身の全ての攻撃の威力を究極UP</v>
          </cell>
        </row>
        <row r="303">
          <cell r="A303">
            <v>500801</v>
          </cell>
          <cell r="B303" t="str">
            <v>ja</v>
          </cell>
          <cell r="C303" t="str">
            <v>パネルブレイク35 攻撃力小UP</v>
          </cell>
          <cell r="D303" t="str">
            <v>自身が先頭の時、1ターンの間に合計35個以上パネルを破壊した場合に攻撃力小UP</v>
          </cell>
        </row>
        <row r="304">
          <cell r="A304">
            <v>808082</v>
          </cell>
          <cell r="B304" t="str">
            <v>ja</v>
          </cell>
          <cell r="C304" t="str">
            <v>Cパネルドロップ</v>
          </cell>
          <cell r="D304" t="str">
            <v>自身が先頭の時、低確率でCパネルをドロップ</v>
          </cell>
        </row>
        <row r="305">
          <cell r="A305">
            <v>900000</v>
          </cell>
          <cell r="B305" t="str">
            <v>ja</v>
          </cell>
          <cell r="C305" t="str">
            <v>フィーバー100 プロテクトブレイク</v>
          </cell>
          <cell r="D305" t="str">
            <v>フィーバーゲージが100％以上の時、1ターンプロテクトブレイク</v>
          </cell>
        </row>
        <row r="306">
          <cell r="A306">
            <v>900001</v>
          </cell>
          <cell r="B306" t="str">
            <v>ja</v>
          </cell>
          <cell r="C306" t="str">
            <v>フィーバー100 お邪魔ブレイク</v>
          </cell>
          <cell r="D306" t="str">
            <v>フィーバーゲージが100％以上の時、1ターンお邪魔ブレイク</v>
          </cell>
        </row>
        <row r="307">
          <cell r="A307">
            <v>900402</v>
          </cell>
          <cell r="B307" t="str">
            <v>ja</v>
          </cell>
          <cell r="C307" t="str">
            <v>バリア3500</v>
          </cell>
          <cell r="D307" t="str">
            <v>戦闘開始時に、自身への直接ダメージを3500まで防ぐバリアを一度だけ展開(バリアは破壊されると復活しない)</v>
          </cell>
        </row>
        <row r="308">
          <cell r="A308">
            <v>810202</v>
          </cell>
          <cell r="B308" t="str">
            <v>ja</v>
          </cell>
          <cell r="C308" t="str">
            <v>パネルブレイク50 ダメージ軽減</v>
          </cell>
          <cell r="D308" t="str">
            <v>自身が先頭の時、1ターンの間に合計50個以上パネルを破壊した場合敵からのダメージを15%軽減（1ターンに1度だけ発動）</v>
          </cell>
        </row>
        <row r="309">
          <cell r="A309">
            <v>811802</v>
          </cell>
          <cell r="B309" t="str">
            <v>ja</v>
          </cell>
          <cell r="C309" t="str">
            <v>ターン攻撃力UP</v>
          </cell>
          <cell r="D309" t="str">
            <v>最初の1ターン目と、その後6ターン毎に1ターン種族ドラゴン・ファンタジー・アニマルの攻撃力1000UP</v>
          </cell>
        </row>
        <row r="310">
          <cell r="A310">
            <v>812002</v>
          </cell>
          <cell r="B310" t="str">
            <v>ja</v>
          </cell>
          <cell r="C310" t="str">
            <v>ターンタップ増加</v>
          </cell>
          <cell r="D310" t="str">
            <v>最初の1ターン目と、その後6ターン毎に1ターン種族ドラゴン・ファンタジー・アニマルのタップ数1増加</v>
          </cell>
        </row>
        <row r="311">
          <cell r="A311">
            <v>811803</v>
          </cell>
          <cell r="B311" t="str">
            <v>ja</v>
          </cell>
          <cell r="C311" t="str">
            <v>端午クエスト ダメージUP</v>
          </cell>
          <cell r="D311" t="str">
            <v>端午クエスト内で自身の全ての攻撃の威力をUP</v>
          </cell>
        </row>
        <row r="312">
          <cell r="A312">
            <v>900802</v>
          </cell>
          <cell r="B312" t="str">
            <v>ja</v>
          </cell>
          <cell r="C312" t="str">
            <v>ターン攻撃力UP</v>
          </cell>
          <cell r="D312" t="str">
            <v>最初の1ターン目と、その後7ターン毎に1ターン赤属性の攻撃力777UP</v>
          </cell>
        </row>
        <row r="313">
          <cell r="A313">
            <v>900402</v>
          </cell>
          <cell r="B313" t="str">
            <v>ja</v>
          </cell>
          <cell r="C313" t="str">
            <v>バリア3500</v>
          </cell>
          <cell r="D313" t="str">
            <v>戦闘開始時に、自身への直接ダメージを3500まで防ぐバリアを一度だけ展開(バリアは破壊されると復活しない)</v>
          </cell>
        </row>
        <row r="314">
          <cell r="A314">
            <v>810202</v>
          </cell>
          <cell r="B314" t="str">
            <v>ja</v>
          </cell>
          <cell r="C314" t="str">
            <v>パネルブレイク50 ダメージ軽減</v>
          </cell>
          <cell r="D314" t="str">
            <v>自身が先頭の時、1ターンの間に合計50個以上パネルを破壊した場合敵からのダメージを15%軽減（1ターンに1度だけ発動）</v>
          </cell>
        </row>
        <row r="315">
          <cell r="A315">
            <v>811802</v>
          </cell>
          <cell r="B315" t="str">
            <v>ja</v>
          </cell>
          <cell r="C315" t="str">
            <v>ターン攻撃力UP</v>
          </cell>
          <cell r="D315" t="str">
            <v>最初の1ターン目と、その後6ターン毎に1ターン種族ドラゴン・ファンタジー・アニマルの攻撃力1000UP</v>
          </cell>
        </row>
        <row r="316">
          <cell r="A316">
            <v>812002</v>
          </cell>
          <cell r="B316" t="str">
            <v>ja</v>
          </cell>
          <cell r="C316" t="str">
            <v>ターンタップ増加</v>
          </cell>
          <cell r="D316" t="str">
            <v>最初の1ターン目と、その後6ターン毎に1ターン種族ドラゴン・ファンタジー・アニマルのタップ数1増加</v>
          </cell>
        </row>
        <row r="317">
          <cell r="A317">
            <v>811803</v>
          </cell>
          <cell r="B317" t="str">
            <v>ja</v>
          </cell>
          <cell r="C317" t="str">
            <v>端午クエスト ダメージUP</v>
          </cell>
          <cell r="D317" t="str">
            <v>端午クエスト内で自身の全ての攻撃の威力をUP</v>
          </cell>
        </row>
        <row r="318">
          <cell r="A318">
            <v>900802</v>
          </cell>
          <cell r="B318" t="str">
            <v>ja</v>
          </cell>
          <cell r="C318" t="str">
            <v>ターン攻撃力UP</v>
          </cell>
          <cell r="D318" t="str">
            <v>最初の1ターン目と、その後7ターン毎に1ターン赤属性の攻撃力777UP</v>
          </cell>
        </row>
      </sheetData>
      <sheetData sheetId="2"/>
      <sheetData sheetId="3"/>
      <sheetData sheetId="4">
        <row r="1">
          <cell r="G1" t="str">
            <v>condition</v>
          </cell>
        </row>
        <row r="2">
          <cell r="G2" t="str">
            <v>active_unit</v>
          </cell>
          <cell r="H2" t="str">
            <v>自身が先頭の時</v>
          </cell>
        </row>
        <row r="3">
          <cell r="G3" t="str">
            <v>always</v>
          </cell>
          <cell r="H3" t="str">
            <v>aaa</v>
          </cell>
        </row>
      </sheetData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AC15"/>
  <sheetViews>
    <sheetView topLeftCell="B1" workbookViewId="0">
      <selection activeCell="K16" sqref="K16"/>
    </sheetView>
  </sheetViews>
  <sheetFormatPr baseColWidth="12" defaultRowHeight="15" x14ac:dyDescent="0.15"/>
  <cols>
    <col min="2" max="2" width="14.83203125" bestFit="1" customWidth="1"/>
    <col min="5" max="5" width="17.6640625" bestFit="1" customWidth="1"/>
    <col min="6" max="6" width="22.1640625" bestFit="1" customWidth="1"/>
  </cols>
  <sheetData>
    <row r="1" spans="1:29" x14ac:dyDescent="0.15">
      <c r="A1" s="106" t="s">
        <v>120</v>
      </c>
      <c r="B1" s="106" t="s">
        <v>111</v>
      </c>
      <c r="C1" s="106" t="s">
        <v>112</v>
      </c>
      <c r="D1" s="106" t="s">
        <v>113</v>
      </c>
      <c r="E1" s="106" t="s">
        <v>114</v>
      </c>
      <c r="F1" s="106" t="s">
        <v>115</v>
      </c>
      <c r="G1" s="106" t="s">
        <v>116</v>
      </c>
      <c r="H1" s="106"/>
      <c r="I1" s="106"/>
      <c r="J1" s="106"/>
      <c r="K1" s="106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</row>
    <row r="2" spans="1:29" x14ac:dyDescent="0.15">
      <c r="A2" s="108" t="s">
        <v>243</v>
      </c>
      <c r="B2" s="108" t="s">
        <v>122</v>
      </c>
      <c r="C2" s="164" t="s">
        <v>242</v>
      </c>
      <c r="D2" s="108" t="s">
        <v>121</v>
      </c>
      <c r="E2" s="107" t="str">
        <f>B2&amp;C2&amp;D2</f>
        <v>units_branchunit.tmp</v>
      </c>
      <c r="F2" s="108" t="s">
        <v>119</v>
      </c>
      <c r="G2" s="63" t="s">
        <v>17</v>
      </c>
      <c r="H2" s="64" t="s">
        <v>92</v>
      </c>
      <c r="I2" s="64" t="s">
        <v>1</v>
      </c>
      <c r="J2" s="64" t="s">
        <v>3</v>
      </c>
      <c r="K2" s="64" t="s">
        <v>2</v>
      </c>
      <c r="L2" s="64" t="s">
        <v>94</v>
      </c>
      <c r="M2" s="64" t="s">
        <v>20</v>
      </c>
      <c r="N2" s="64" t="s">
        <v>98</v>
      </c>
      <c r="O2" s="64" t="s">
        <v>96</v>
      </c>
      <c r="P2" s="64" t="s">
        <v>38</v>
      </c>
      <c r="Q2" s="64" t="s">
        <v>53</v>
      </c>
      <c r="R2" s="108" t="s">
        <v>551</v>
      </c>
      <c r="S2" s="108"/>
      <c r="T2" s="108"/>
      <c r="U2" s="108"/>
      <c r="V2" s="108"/>
      <c r="W2" s="108"/>
    </row>
    <row r="3" spans="1:29" x14ac:dyDescent="0.15">
      <c r="A3" s="108" t="s">
        <v>243</v>
      </c>
      <c r="B3" s="108" t="s">
        <v>286</v>
      </c>
      <c r="C3" s="164" t="s">
        <v>242</v>
      </c>
      <c r="D3" s="108" t="s">
        <v>287</v>
      </c>
      <c r="E3" s="107" t="str">
        <f>B3&amp;C3&amp;D3</f>
        <v>fork_awake_units_branchunit.tmp</v>
      </c>
      <c r="F3" s="108" t="s">
        <v>306</v>
      </c>
      <c r="G3" s="196" t="s">
        <v>179</v>
      </c>
      <c r="H3" s="197" t="s">
        <v>288</v>
      </c>
      <c r="I3" s="197" t="s">
        <v>289</v>
      </c>
      <c r="J3" s="110" t="s">
        <v>290</v>
      </c>
      <c r="K3" s="198"/>
      <c r="L3" s="109"/>
      <c r="M3" s="109"/>
      <c r="N3" s="109"/>
      <c r="O3" s="109"/>
      <c r="P3" s="109"/>
      <c r="Q3" s="109"/>
      <c r="R3" s="109"/>
      <c r="S3" s="109"/>
      <c r="T3" s="109"/>
      <c r="U3" s="109"/>
      <c r="V3" s="109"/>
      <c r="W3" s="109"/>
    </row>
    <row r="4" spans="1:29" x14ac:dyDescent="0.15">
      <c r="A4" s="108" t="s">
        <v>302</v>
      </c>
      <c r="B4" s="108" t="s">
        <v>291</v>
      </c>
      <c r="C4" s="164" t="s">
        <v>242</v>
      </c>
      <c r="D4" s="108" t="s">
        <v>292</v>
      </c>
      <c r="E4" s="107" t="str">
        <f>B4&amp;C4&amp;D4</f>
        <v>awake_materials_branchunit.tmp</v>
      </c>
      <c r="F4" s="108" t="s">
        <v>299</v>
      </c>
      <c r="G4" s="196" t="s">
        <v>293</v>
      </c>
      <c r="H4" s="197" t="s">
        <v>36</v>
      </c>
      <c r="I4" s="197" t="s">
        <v>37</v>
      </c>
      <c r="J4" s="110" t="s">
        <v>294</v>
      </c>
      <c r="K4" s="198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</row>
    <row r="5" spans="1:29" x14ac:dyDescent="0.15">
      <c r="A5" s="108" t="s">
        <v>243</v>
      </c>
      <c r="B5" s="108" t="s">
        <v>295</v>
      </c>
      <c r="C5" s="164" t="s">
        <v>242</v>
      </c>
      <c r="D5" s="108" t="s">
        <v>287</v>
      </c>
      <c r="E5" s="107" t="str">
        <f>B5&amp;C5&amp;D5</f>
        <v>fork_awake_materials_branchunit.tmp</v>
      </c>
      <c r="F5" s="108" t="s">
        <v>118</v>
      </c>
      <c r="G5" s="196" t="s">
        <v>267</v>
      </c>
      <c r="H5" s="197" t="s">
        <v>288</v>
      </c>
      <c r="I5" s="197" t="s">
        <v>296</v>
      </c>
      <c r="J5" s="197" t="s">
        <v>37</v>
      </c>
      <c r="K5" s="110" t="s">
        <v>297</v>
      </c>
      <c r="L5" s="110" t="s">
        <v>298</v>
      </c>
      <c r="M5" s="109"/>
      <c r="N5" s="109"/>
      <c r="O5" s="109"/>
      <c r="P5" s="109"/>
      <c r="Q5" s="109"/>
      <c r="R5" s="109"/>
      <c r="S5" s="109"/>
      <c r="T5" s="109"/>
      <c r="U5" s="109"/>
      <c r="V5" s="109"/>
      <c r="W5" s="109"/>
    </row>
    <row r="6" spans="1:29" x14ac:dyDescent="0.15">
      <c r="A6" s="108" t="s">
        <v>243</v>
      </c>
      <c r="B6" s="108" t="s">
        <v>123</v>
      </c>
      <c r="C6" s="164" t="s">
        <v>242</v>
      </c>
      <c r="D6" s="108" t="s">
        <v>124</v>
      </c>
      <c r="E6" s="107" t="str">
        <f t="shared" ref="E6" si="0">B6&amp;C6&amp;D6</f>
        <v>unit_levels_calc_branchunit.tmp</v>
      </c>
      <c r="F6" s="108" t="s">
        <v>117</v>
      </c>
      <c r="G6" s="59" t="s">
        <v>17</v>
      </c>
      <c r="H6" s="60" t="s">
        <v>2</v>
      </c>
      <c r="I6" s="61" t="s">
        <v>75</v>
      </c>
      <c r="J6" s="61" t="s">
        <v>76</v>
      </c>
      <c r="K6" s="61" t="s">
        <v>77</v>
      </c>
      <c r="L6" s="61" t="s">
        <v>78</v>
      </c>
      <c r="M6" s="61" t="s">
        <v>83</v>
      </c>
      <c r="N6" s="61" t="s">
        <v>84</v>
      </c>
      <c r="O6" s="61" t="s">
        <v>85</v>
      </c>
      <c r="P6" s="61" t="s">
        <v>86</v>
      </c>
      <c r="Q6" s="61" t="s">
        <v>87</v>
      </c>
      <c r="R6" s="61" t="s">
        <v>90</v>
      </c>
      <c r="S6" s="61" t="s">
        <v>88</v>
      </c>
      <c r="T6" s="61" t="s">
        <v>89</v>
      </c>
      <c r="U6" s="61" t="s">
        <v>79</v>
      </c>
      <c r="V6" s="61" t="s">
        <v>80</v>
      </c>
      <c r="W6" s="61" t="s">
        <v>81</v>
      </c>
    </row>
    <row r="7" spans="1:29" x14ac:dyDescent="0.15">
      <c r="A7" s="108" t="s">
        <v>243</v>
      </c>
      <c r="B7" s="108" t="s">
        <v>135</v>
      </c>
      <c r="C7" s="164" t="s">
        <v>242</v>
      </c>
      <c r="D7" s="108" t="s">
        <v>136</v>
      </c>
      <c r="E7" s="107" t="str">
        <f>B7&amp;C7&amp;D7</f>
        <v>unit_skills_data_branchunit.tmp</v>
      </c>
      <c r="F7" s="108" t="s">
        <v>137</v>
      </c>
      <c r="G7" s="114" t="s">
        <v>20</v>
      </c>
      <c r="H7" s="114" t="s">
        <v>138</v>
      </c>
      <c r="I7" s="114" t="s">
        <v>2</v>
      </c>
      <c r="J7" s="114" t="s">
        <v>139</v>
      </c>
      <c r="K7" s="114" t="s">
        <v>140</v>
      </c>
      <c r="L7" s="114" t="s">
        <v>4</v>
      </c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</row>
    <row r="8" spans="1:29" x14ac:dyDescent="0.15">
      <c r="A8" s="108" t="s">
        <v>243</v>
      </c>
      <c r="B8" s="108" t="s">
        <v>141</v>
      </c>
      <c r="C8" s="164" t="s">
        <v>242</v>
      </c>
      <c r="D8" s="108" t="s">
        <v>121</v>
      </c>
      <c r="E8" s="107" t="str">
        <f>B8&amp;C8&amp;D8</f>
        <v>unit_skills_i18n_branchunit.tmp</v>
      </c>
      <c r="F8" s="108" t="s">
        <v>137</v>
      </c>
      <c r="G8" s="114" t="s">
        <v>142</v>
      </c>
      <c r="H8" s="114" t="s">
        <v>126</v>
      </c>
      <c r="I8" s="114" t="s">
        <v>143</v>
      </c>
      <c r="J8" s="114" t="s">
        <v>144</v>
      </c>
      <c r="K8" s="109"/>
      <c r="L8" s="109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</row>
    <row r="9" spans="1:29" x14ac:dyDescent="0.15">
      <c r="A9" s="108" t="s">
        <v>243</v>
      </c>
      <c r="B9" s="108" t="s">
        <v>145</v>
      </c>
      <c r="C9" s="164" t="s">
        <v>242</v>
      </c>
      <c r="D9" s="108" t="s">
        <v>146</v>
      </c>
      <c r="E9" s="107" t="str">
        <f>B9&amp;C9&amp;D9</f>
        <v>crash_skills_data_branchunit.tmp</v>
      </c>
      <c r="F9" s="108" t="s">
        <v>147</v>
      </c>
      <c r="G9" s="114" t="s">
        <v>148</v>
      </c>
      <c r="H9" s="114" t="s">
        <v>140</v>
      </c>
      <c r="I9" s="114" t="s">
        <v>4</v>
      </c>
      <c r="J9" s="109"/>
      <c r="K9" s="109"/>
      <c r="L9" s="109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</row>
    <row r="10" spans="1:29" x14ac:dyDescent="0.15">
      <c r="A10" s="108" t="s">
        <v>243</v>
      </c>
      <c r="B10" s="108" t="s">
        <v>149</v>
      </c>
      <c r="C10" s="164" t="s">
        <v>242</v>
      </c>
      <c r="D10" s="108" t="s">
        <v>150</v>
      </c>
      <c r="E10" s="107" t="str">
        <f t="shared" ref="E10" si="1">B10&amp;C10&amp;D10</f>
        <v>crash_skills_i18n_branchunit.tmp</v>
      </c>
      <c r="F10" s="108" t="s">
        <v>147</v>
      </c>
      <c r="G10" s="114" t="s">
        <v>151</v>
      </c>
      <c r="H10" s="114" t="s">
        <v>152</v>
      </c>
      <c r="I10" s="114" t="s">
        <v>153</v>
      </c>
      <c r="J10" s="114" t="s">
        <v>154</v>
      </c>
      <c r="K10" s="115"/>
      <c r="L10" s="115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</row>
    <row r="11" spans="1:29" x14ac:dyDescent="0.15">
      <c r="A11" s="108" t="s">
        <v>243</v>
      </c>
      <c r="B11" s="109" t="s">
        <v>127</v>
      </c>
      <c r="C11" s="164" t="s">
        <v>242</v>
      </c>
      <c r="D11" s="108" t="s">
        <v>150</v>
      </c>
      <c r="E11" s="107" t="str">
        <f t="shared" ref="E11:E12" si="2">B11&amp;C11&amp;D11</f>
        <v>unit_serifs_data_branchunit.tmp</v>
      </c>
      <c r="F11" s="109" t="s">
        <v>129</v>
      </c>
      <c r="G11" s="113" t="s">
        <v>130</v>
      </c>
      <c r="H11" s="114" t="s">
        <v>131</v>
      </c>
      <c r="I11" s="114" t="s">
        <v>125</v>
      </c>
      <c r="J11" s="112" t="s">
        <v>182</v>
      </c>
      <c r="K11" s="108"/>
      <c r="L11" s="108"/>
      <c r="M11" s="108"/>
      <c r="N11" s="108"/>
      <c r="O11" s="108"/>
      <c r="P11" s="108"/>
      <c r="Q11" s="108"/>
      <c r="R11" s="108"/>
      <c r="S11" s="108"/>
      <c r="T11" s="108"/>
      <c r="U11" s="108"/>
      <c r="V11" s="108"/>
      <c r="W11" s="108"/>
    </row>
    <row r="12" spans="1:29" x14ac:dyDescent="0.15">
      <c r="A12" s="108" t="s">
        <v>243</v>
      </c>
      <c r="B12" s="109" t="s">
        <v>128</v>
      </c>
      <c r="C12" s="164" t="s">
        <v>242</v>
      </c>
      <c r="D12" s="108" t="s">
        <v>150</v>
      </c>
      <c r="E12" s="107" t="str">
        <f t="shared" si="2"/>
        <v>unit_serifs_i18n_branchunit.tmp</v>
      </c>
      <c r="F12" s="109" t="s">
        <v>129</v>
      </c>
      <c r="G12" s="113" t="s">
        <v>132</v>
      </c>
      <c r="H12" s="114" t="s">
        <v>133</v>
      </c>
      <c r="I12" s="114" t="s">
        <v>134</v>
      </c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108"/>
      <c r="W12" s="108"/>
    </row>
    <row r="13" spans="1:29" x14ac:dyDescent="0.15">
      <c r="A13" s="181" t="s">
        <v>300</v>
      </c>
      <c r="B13" s="108" t="s">
        <v>266</v>
      </c>
      <c r="C13" s="164" t="s">
        <v>242</v>
      </c>
      <c r="D13" s="108" t="s">
        <v>124</v>
      </c>
      <c r="E13" s="107" t="str">
        <f>B13&amp;C13&amp;D13</f>
        <v>abilities_tmp_branchunit.tmp</v>
      </c>
      <c r="F13" s="108" t="s">
        <v>259</v>
      </c>
      <c r="G13" s="177" t="s">
        <v>244</v>
      </c>
      <c r="H13" s="177" t="s">
        <v>246</v>
      </c>
      <c r="I13" s="177" t="s">
        <v>247</v>
      </c>
      <c r="J13" s="177"/>
      <c r="K13" s="17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  <c r="W13" s="108"/>
      <c r="X13" s="108"/>
      <c r="Y13" s="108"/>
      <c r="Z13" s="108"/>
      <c r="AA13" s="108"/>
      <c r="AB13" s="108"/>
      <c r="AC13" s="108"/>
    </row>
    <row r="14" spans="1:29" x14ac:dyDescent="0.15">
      <c r="A14" s="181" t="s">
        <v>300</v>
      </c>
      <c r="B14" s="108" t="s">
        <v>258</v>
      </c>
      <c r="C14" s="164" t="s">
        <v>242</v>
      </c>
      <c r="D14" s="108" t="s">
        <v>124</v>
      </c>
      <c r="E14" s="107" t="str">
        <f>B14&amp;C14&amp;D14</f>
        <v>abilities_i18n_branchunit.tmp</v>
      </c>
      <c r="F14" s="108" t="s">
        <v>259</v>
      </c>
      <c r="G14" s="177" t="s">
        <v>244</v>
      </c>
      <c r="H14" s="177" t="s">
        <v>133</v>
      </c>
      <c r="I14" s="177" t="s">
        <v>180</v>
      </c>
      <c r="J14" s="177" t="s">
        <v>144</v>
      </c>
      <c r="K14" s="239" t="s">
        <v>578</v>
      </c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108"/>
      <c r="Y14" s="108"/>
      <c r="Z14" s="108"/>
      <c r="AA14" s="108"/>
      <c r="AB14" s="108"/>
      <c r="AC14" s="108"/>
    </row>
    <row r="15" spans="1:29" x14ac:dyDescent="0.15">
      <c r="A15" s="181" t="s">
        <v>300</v>
      </c>
      <c r="B15" s="108" t="s">
        <v>260</v>
      </c>
      <c r="C15" s="164" t="s">
        <v>242</v>
      </c>
      <c r="D15" s="108" t="s">
        <v>124</v>
      </c>
      <c r="E15" s="107" t="str">
        <f>B15&amp;C15&amp;D15</f>
        <v>unit_abilities_branchunit.tmp</v>
      </c>
      <c r="F15" s="108" t="s">
        <v>261</v>
      </c>
      <c r="G15" s="177" t="s">
        <v>179</v>
      </c>
      <c r="H15" s="179" t="s">
        <v>262</v>
      </c>
      <c r="I15" s="179" t="s">
        <v>263</v>
      </c>
      <c r="J15" s="180" t="s">
        <v>264</v>
      </c>
      <c r="K15" s="177" t="s">
        <v>265</v>
      </c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108"/>
      <c r="Y15" s="108"/>
      <c r="Z15" s="108"/>
      <c r="AA15" s="108"/>
      <c r="AB15" s="108"/>
      <c r="AC15" s="108"/>
    </row>
  </sheetData>
  <phoneticPr fontId="22"/>
  <dataValidations count="1">
    <dataValidation type="list" allowBlank="1" showInputMessage="1" showErrorMessage="1" sqref="A2:A15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15"/>
  <sheetViews>
    <sheetView showGridLines="0" workbookViewId="0">
      <pane xSplit="9" ySplit="1" topLeftCell="AY2" activePane="bottomRight" state="frozen"/>
      <selection pane="topRight" activeCell="J1" sqref="J1"/>
      <selection pane="bottomLeft" activeCell="A3" sqref="A3"/>
      <selection pane="bottomRight" activeCell="AZ5" sqref="AZ5"/>
    </sheetView>
  </sheetViews>
  <sheetFormatPr baseColWidth="12" defaultColWidth="8.83203125" defaultRowHeight="21" customHeight="1" outlineLevelCol="1" x14ac:dyDescent="0.15"/>
  <cols>
    <col min="1" max="1" width="12.83203125" style="12" customWidth="1"/>
    <col min="2" max="2" width="21.5" style="13" bestFit="1" customWidth="1" collapsed="1"/>
    <col min="3" max="3" width="23.6640625" style="13" hidden="1" customWidth="1" outlineLevel="1"/>
    <col min="4" max="4" width="8.6640625" style="13" hidden="1" customWidth="1" outlineLevel="1"/>
    <col min="5" max="5" width="8" style="13" hidden="1" customWidth="1" outlineLevel="1"/>
    <col min="6" max="6" width="7.1640625" style="13" hidden="1" customWidth="1" outlineLevel="1"/>
    <col min="7" max="7" width="9.6640625" style="13" bestFit="1" customWidth="1"/>
    <col min="8" max="8" width="13.6640625" style="13" bestFit="1" customWidth="1"/>
    <col min="9" max="9" width="10.5" style="13" bestFit="1" customWidth="1" collapsed="1"/>
    <col min="10" max="10" width="59.5" style="13" hidden="1" customWidth="1" outlineLevel="1"/>
    <col min="11" max="13" width="13.6640625" style="13" hidden="1" customWidth="1" outlineLevel="1"/>
    <col min="14" max="14" width="10" style="13" bestFit="1" customWidth="1"/>
    <col min="15" max="15" width="13.5" style="13" bestFit="1" customWidth="1"/>
    <col min="16" max="16" width="13.5" style="13" customWidth="1"/>
    <col min="17" max="17" width="18.83203125" style="13" bestFit="1" customWidth="1"/>
    <col min="18" max="18" width="14.1640625" style="13" customWidth="1"/>
    <col min="19" max="19" width="12.33203125" style="13" customWidth="1" outlineLevel="1"/>
    <col min="20" max="22" width="13.6640625" style="13" customWidth="1" outlineLevel="1"/>
    <col min="23" max="23" width="22.83203125" style="12" bestFit="1" customWidth="1"/>
    <col min="24" max="24" width="14.1640625" style="13" customWidth="1"/>
    <col min="25" max="25" width="22" style="13" customWidth="1" outlineLevel="1"/>
    <col min="26" max="26" width="14.1640625" style="13" customWidth="1" outlineLevel="1"/>
    <col min="27" max="27" width="12.33203125" style="13" customWidth="1" outlineLevel="1"/>
    <col min="28" max="30" width="13.6640625" style="13" customWidth="1" outlineLevel="1"/>
    <col min="31" max="31" width="20.1640625" style="12" bestFit="1" customWidth="1"/>
    <col min="32" max="32" width="18.83203125" style="13" bestFit="1" customWidth="1"/>
    <col min="33" max="34" width="18.83203125" style="13" customWidth="1"/>
    <col min="35" max="35" width="15.1640625" style="13" customWidth="1"/>
    <col min="36" max="36" width="13.1640625" style="12" customWidth="1"/>
    <col min="37" max="37" width="15.33203125" style="13" bestFit="1" customWidth="1"/>
    <col min="38" max="38" width="13.33203125" style="13" bestFit="1" customWidth="1"/>
    <col min="39" max="39" width="15.33203125" style="14" bestFit="1" customWidth="1"/>
    <col min="40" max="40" width="14" style="14" bestFit="1" customWidth="1"/>
    <col min="41" max="41" width="16" style="46" bestFit="1" customWidth="1"/>
    <col min="42" max="42" width="14.33203125" style="15" bestFit="1" customWidth="1"/>
    <col min="43" max="43" width="20.83203125" style="13" customWidth="1"/>
    <col min="44" max="44" width="80.6640625" style="13" customWidth="1" outlineLevel="1"/>
    <col min="45" max="45" width="6.83203125" style="13" customWidth="1"/>
    <col min="46" max="46" width="15.6640625" style="12" bestFit="1" customWidth="1"/>
    <col min="47" max="47" width="43.6640625" style="13" customWidth="1"/>
    <col min="48" max="48" width="43.6640625" style="13" customWidth="1" outlineLevel="1"/>
    <col min="49" max="49" width="6.83203125" style="13" customWidth="1"/>
    <col min="50" max="50" width="11.33203125" style="13" bestFit="1" customWidth="1"/>
    <col min="51" max="54" width="8.33203125" style="12" customWidth="1"/>
    <col min="55" max="56" width="12" style="13" bestFit="1" customWidth="1"/>
    <col min="57" max="57" width="14.33203125" style="13" customWidth="1" outlineLevel="1"/>
    <col min="58" max="58" width="16.1640625" style="13" customWidth="1" outlineLevel="1"/>
    <col min="59" max="62" width="11.83203125" style="13" customWidth="1"/>
    <col min="63" max="66" width="11.83203125" style="12" customWidth="1"/>
    <col min="67" max="67" width="12.83203125" style="12" bestFit="1" customWidth="1"/>
    <col min="68" max="68" width="12.6640625" style="12" bestFit="1" customWidth="1"/>
    <col min="69" max="69" width="13.5" style="12" bestFit="1" customWidth="1"/>
    <col min="70" max="16384" width="8.83203125" style="12"/>
  </cols>
  <sheetData>
    <row r="1" spans="1:70" ht="21" customHeight="1" x14ac:dyDescent="0.15">
      <c r="A1" s="80" t="s">
        <v>103</v>
      </c>
      <c r="B1" s="82" t="s">
        <v>40</v>
      </c>
      <c r="C1" s="85" t="s">
        <v>27</v>
      </c>
      <c r="D1" s="85" t="s">
        <v>30</v>
      </c>
      <c r="E1" s="85" t="s">
        <v>28</v>
      </c>
      <c r="F1" s="85" t="s">
        <v>29</v>
      </c>
      <c r="G1" s="80" t="s">
        <v>1</v>
      </c>
      <c r="H1" s="83" t="s">
        <v>19</v>
      </c>
      <c r="I1" s="84" t="s">
        <v>0</v>
      </c>
      <c r="J1" s="86" t="s">
        <v>45</v>
      </c>
      <c r="K1" s="86" t="s">
        <v>44</v>
      </c>
      <c r="L1" s="86" t="s">
        <v>46</v>
      </c>
      <c r="M1" s="86" t="s">
        <v>47</v>
      </c>
      <c r="N1" s="80" t="s">
        <v>3</v>
      </c>
      <c r="O1" s="87" t="s">
        <v>2</v>
      </c>
      <c r="P1" s="80" t="s">
        <v>93</v>
      </c>
      <c r="Q1" s="88" t="s">
        <v>18</v>
      </c>
      <c r="R1" s="79" t="s">
        <v>48</v>
      </c>
      <c r="S1" s="89" t="s">
        <v>23</v>
      </c>
      <c r="T1" s="89" t="s">
        <v>24</v>
      </c>
      <c r="U1" s="89" t="s">
        <v>26</v>
      </c>
      <c r="V1" s="89" t="s">
        <v>25</v>
      </c>
      <c r="W1" s="84" t="s">
        <v>32</v>
      </c>
      <c r="X1" s="85" t="s">
        <v>49</v>
      </c>
      <c r="Y1" s="84" t="s">
        <v>33</v>
      </c>
      <c r="Z1" s="85" t="s">
        <v>49</v>
      </c>
      <c r="AA1" s="86" t="s">
        <v>23</v>
      </c>
      <c r="AB1" s="86" t="s">
        <v>24</v>
      </c>
      <c r="AC1" s="86" t="s">
        <v>26</v>
      </c>
      <c r="AD1" s="86" t="s">
        <v>25</v>
      </c>
      <c r="AE1" s="90" t="s">
        <v>95</v>
      </c>
      <c r="AF1" s="79" t="s">
        <v>41</v>
      </c>
      <c r="AG1" s="91" t="s">
        <v>54</v>
      </c>
      <c r="AH1" s="79" t="s">
        <v>41</v>
      </c>
      <c r="AI1" s="91" t="s">
        <v>42</v>
      </c>
      <c r="AJ1" s="81" t="s">
        <v>63</v>
      </c>
      <c r="AK1" s="79" t="s">
        <v>21</v>
      </c>
      <c r="AL1" s="92" t="s">
        <v>64</v>
      </c>
      <c r="AM1" s="93" t="s">
        <v>62</v>
      </c>
      <c r="AN1" s="93" t="s">
        <v>65</v>
      </c>
      <c r="AO1" s="94" t="s">
        <v>31</v>
      </c>
      <c r="AP1" s="90" t="s">
        <v>20</v>
      </c>
      <c r="AQ1" s="95" t="s">
        <v>108</v>
      </c>
      <c r="AR1" s="95" t="s">
        <v>102</v>
      </c>
      <c r="AS1" s="79" t="s">
        <v>99</v>
      </c>
      <c r="AT1" s="90" t="s">
        <v>97</v>
      </c>
      <c r="AU1" s="79" t="s">
        <v>105</v>
      </c>
      <c r="AV1" s="95" t="s">
        <v>102</v>
      </c>
      <c r="AW1" s="79" t="s">
        <v>99</v>
      </c>
      <c r="AX1" s="85" t="s">
        <v>4</v>
      </c>
      <c r="AY1" s="96" t="s">
        <v>50</v>
      </c>
      <c r="AZ1" s="96" t="s">
        <v>51</v>
      </c>
      <c r="BA1" s="96" t="s">
        <v>109</v>
      </c>
      <c r="BB1" s="96" t="s">
        <v>52</v>
      </c>
      <c r="BC1" s="5" t="s">
        <v>22</v>
      </c>
      <c r="BD1" s="99" t="s">
        <v>34</v>
      </c>
      <c r="BE1" s="97" t="s">
        <v>5</v>
      </c>
      <c r="BF1" s="98" t="s">
        <v>6</v>
      </c>
      <c r="BG1" s="100" t="s">
        <v>66</v>
      </c>
      <c r="BH1" s="100" t="s">
        <v>67</v>
      </c>
      <c r="BI1" s="100" t="s">
        <v>68</v>
      </c>
      <c r="BJ1" s="100" t="s">
        <v>69</v>
      </c>
      <c r="BK1" s="101" t="s">
        <v>70</v>
      </c>
      <c r="BL1" s="101" t="s">
        <v>91</v>
      </c>
      <c r="BM1" s="101" t="s">
        <v>71</v>
      </c>
      <c r="BN1" s="101" t="s">
        <v>72</v>
      </c>
      <c r="BO1" s="102" t="s">
        <v>73</v>
      </c>
      <c r="BP1" s="103" t="s">
        <v>74</v>
      </c>
      <c r="BQ1" s="81" t="s">
        <v>82</v>
      </c>
      <c r="BR1" s="10" t="s">
        <v>550</v>
      </c>
    </row>
    <row r="2" spans="1:70" ht="26" customHeight="1" x14ac:dyDescent="0.15">
      <c r="A2" s="12">
        <v>1055</v>
      </c>
      <c r="B2" s="57" t="str">
        <f ca="1">VLOOKUP($A2,OFFSET([1]characters!$A$1,0,0,COUNTA([1]characters!$A:$A),MATCH(B$1,[1]characters!$1:$1,0)-MATCH($A$1,[1]characters!$1:$1,0)+1),MATCH(B$1,[1]characters!$1:$1,0)-MATCH($A$1,[1]characters!$1:$1,0)+1,FALSE)</f>
        <v>豪焔の轟暴聖 ベリアル</v>
      </c>
      <c r="C2" s="57" t="str">
        <f ca="1">VLOOKUP($A2,OFFSET([1]characters!$A$1,0,0,COUNTA([1]characters!$A:$A),MATCH(C$1,[1]characters!$1:$1,0)-MATCH($A$1,[1]characters!$1:$1,0)+1),MATCH(C$1,[1]characters!$1:$1,0)-MATCH($A$1,[1]characters!$1:$1,0)+1,FALSE)</f>
        <v>ベリアル_分岐</v>
      </c>
      <c r="D2" s="57" t="str">
        <f ca="1">VLOOKUP($A2,OFFSET([1]characters!$A$1,0,0,COUNTA([1]characters!$A:$A),MATCH(D$1,[1]characters!$1:$1,0)-MATCH($A$1,[1]characters!$1:$1,0)+1),MATCH(D$1,[1]characters!$1:$1,0)-MATCH($A$1,[1]characters!$1:$1,0)+1,FALSE)</f>
        <v>執行者</v>
      </c>
      <c r="E2" s="57" t="str">
        <f ca="1">VLOOKUP($A2,OFFSET([1]characters!$A$1,0,0,COUNTA([1]characters!$A:$A),MATCH(E$1,[1]characters!$1:$1,0)-MATCH($A$1,[1]characters!$1:$1,0)+1),MATCH(E$1,[1]characters!$1:$1,0)-MATCH($A$1,[1]characters!$1:$1,0)+1,FALSE)</f>
        <v>格好いい</v>
      </c>
      <c r="F2" s="57" t="str">
        <f ca="1">VLOOKUP($A2,OFFSET([1]characters!$A$1,0,0,COUNTA([1]characters!$A:$A),MATCH(F$1,[1]characters!$1:$1,0)-MATCH($A$1,[1]characters!$1:$1,0)+1),MATCH(F$1,[1]characters!$1:$1,0)-MATCH($A$1,[1]characters!$1:$1,0)+1,FALSE)</f>
        <v>男性</v>
      </c>
      <c r="G2" s="57">
        <f ca="1">VLOOKUP($A2,OFFSET([1]characters!$A$1,0,0,COUNTA([1]characters!$A:$A),MATCH(G$1,[1]characters!$1:$1,0)-MATCH($A$1,[1]characters!$1:$1,0)+1),MATCH(G$1,[1]characters!$1:$1,0)-MATCH($A$1,[1]characters!$1:$1,0)+1,FALSE)</f>
        <v>6</v>
      </c>
      <c r="H2" s="57" t="str">
        <f ca="1">VLOOKUP($A2,OFFSET([1]characters!$A$1,0,0,COUNTA([1]characters!$A:$A),MATCH(H$1,[1]characters!$1:$1,0)-MATCH($A$1,[1]characters!$1:$1,0)+1),MATCH(H$1,[1]characters!$1:$1,0)-MATCH($A$1,[1]characters!$1:$1,0)+1,FALSE)</f>
        <v>PremiumS</v>
      </c>
      <c r="I2" s="57" t="str">
        <f ca="1">VLOOKUP($A2,OFFSET([1]characters!$A$1,0,0,COUNTA([1]characters!$A:$A),MATCH(I$1,[1]characters!$1:$1,0)-MATCH($A$1,[1]characters!$1:$1,0)+1),MATCH(I$1,[1]characters!$1:$1,0)-MATCH($A$1,[1]characters!$1:$1,0)+1,FALSE)</f>
        <v>red</v>
      </c>
      <c r="J2" s="11">
        <f ca="1">VLOOKUP(I2,[1]属性!$A:$E,2,FALSE)</f>
        <v>1</v>
      </c>
      <c r="K2" s="11">
        <f ca="1">VLOOKUP(I2,[1]属性!$A:$E,3,FALSE)</f>
        <v>1.02</v>
      </c>
      <c r="L2" s="11">
        <f ca="1">VLOOKUP(I2,[1]属性!$A:$E,4,FALSE)</f>
        <v>1</v>
      </c>
      <c r="M2" s="11">
        <f ca="1">VLOOKUP(I2,[1]属性!$A:$E,5,FALSE)</f>
        <v>0.98</v>
      </c>
      <c r="N2" s="11">
        <f ca="1">INDEX(コスト!$A$1:$I$20,MATCH(H2,コスト!$A$1:$A$20,FALSE),MATCH(G2,コスト!$A$1:$I$1,FALSE))</f>
        <v>45</v>
      </c>
      <c r="O2" s="11">
        <f ca="1">INDEX(レベル!$A$1:$I$21,MATCH(H2,レベル!$A$1:$A$21,FALSE),MATCH(G2,レベル!$A$1:$I$1,FALSE))</f>
        <v>99</v>
      </c>
      <c r="P2" s="48">
        <f t="shared" ref="P2:P5" ca="1" si="0">IF(G2 &gt;= 6, 99,G2*15)</f>
        <v>99</v>
      </c>
      <c r="Q2" s="57" t="str">
        <f ca="1">VLOOKUP($A2,OFFSET([1]characters!$A$1,0,0,COUNTA([1]characters!$A:$A),MATCH(Q$1,[1]characters!$1:$1,0)-MATCH($A$1,[1]characters!$1:$1,0)+1),MATCH(Q$1,[1]characters!$1:$1,0)-MATCH($A$1,[1]characters!$1:$1,0)+1,FALSE)</f>
        <v>attack</v>
      </c>
      <c r="R2" s="5" t="str">
        <f ca="1">VLOOKUP(Q2,[1]character_type_i18n!$A:$H,3,FALSE)</f>
        <v>攻撃タイプ</v>
      </c>
      <c r="S2" s="11">
        <f ca="1">VLOOKUP(Q2,[1]character_type_i18n!$A:$H,4,FALSE)</f>
        <v>1</v>
      </c>
      <c r="T2" s="11">
        <f ca="1">VLOOKUP(Q2,[1]character_type_i18n!$A:$H,5,FALSE)</f>
        <v>1.33</v>
      </c>
      <c r="U2" s="11">
        <f ca="1">VLOOKUP(Q2,[1]character_type_i18n!$A:$H,6,FALSE)</f>
        <v>1</v>
      </c>
      <c r="V2" s="11">
        <f ca="1">VLOOKUP(Q2,[1]character_type_i18n!$A:$H,7,FALSE)</f>
        <v>0.67</v>
      </c>
      <c r="W2" s="57" t="str">
        <f ca="1">VLOOKUP($A2,OFFSET([1]characters!$A$1,0,0,COUNTA([1]characters!$A:$A),MATCH(W$1,[1]characters!$1:$1,0)-MATCH($A$1,[1]characters!$1:$1,0)+1),MATCH(W$1,[1]characters!$1:$1,0)-MATCH($A$1,[1]characters!$1:$1,0)+1,FALSE)</f>
        <v>demon</v>
      </c>
      <c r="X2" s="5" t="str">
        <f ca="1">VLOOKUP(W2,[1]character_tribe_i18n!$A:$H,3,FALSE)</f>
        <v>デーモン</v>
      </c>
      <c r="Y2" s="57" t="str">
        <f ca="1">VLOOKUP($A2,OFFSET([1]characters!$A$1,0,0,COUNTA([1]characters!$A:$A),MATCH(Y$1,[1]characters!$1:$1,0)-MATCH($A$1,[1]characters!$1:$1,0)+1),MATCH(Y$1,[1]characters!$1:$1,0)-MATCH($A$1,[1]characters!$1:$1,0)+1,FALSE)</f>
        <v>none</v>
      </c>
      <c r="Z2" s="5" t="str">
        <f ca="1">VLOOKUP(Y2,[1]character_tribe_i18n!$A:$H,3,FALSE)</f>
        <v>種族なし</v>
      </c>
      <c r="AA2" s="11">
        <f ca="1">VLOOKUP(W2,[1]character_tribe_i18n!$A:$H,4,FALSE)</f>
        <v>1</v>
      </c>
      <c r="AB2" s="11">
        <f ca="1">VLOOKUP(W2,[1]character_tribe_i18n!$A:$H,5,FALSE)</f>
        <v>1</v>
      </c>
      <c r="AC2" s="11">
        <v>0</v>
      </c>
      <c r="AD2" s="11">
        <f ca="1">VLOOKUP(W2,[1]character_tribe_i18n!$A:$H,7,FALSE)</f>
        <v>1</v>
      </c>
      <c r="AE2" s="9" t="s">
        <v>301</v>
      </c>
      <c r="AF2" s="62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/>
      </c>
      <c r="AG2" s="5">
        <v>166</v>
      </c>
      <c r="AH2" s="62" t="str">
        <f ca="1">VLOOKUP($AG2,OFFSET([1]characters!$A$1,0,0,COUNTA([1]characters!$A:$A),MATCH(AH$1,[1]characters!$1:$1,0)-MATCH($A$1,[1]characters!$1:$1,0)+1),MATCH(AH$1,[1]characters!$1:$1,0)-MATCH($A$1,[1]characters!$1:$1,0)+1,FALSE)</f>
        <v>ベリアル</v>
      </c>
      <c r="AI2" s="11" t="str">
        <f>IF(AE2="NULL","NULL",VLOOKUP(G2,ビット!$A$2:$B$7,2))</f>
        <v>NULL</v>
      </c>
      <c r="AJ2" s="6">
        <v>2</v>
      </c>
      <c r="AK2" s="7" t="str">
        <f t="shared" ref="AK2:AK5" si="1">IF(AJ2=1,"早熟",IF(AJ2=2,"普通",IF(AJ2=3,"晩成","")))</f>
        <v>普通</v>
      </c>
      <c r="AL2" s="11" t="str">
        <f ca="1">INDEX(経験値!$A$1:$I$20,MATCH(H2,経験値!$A$1:$A$20,FALSE),MATCH(G2,経験値!$A$1:$I$1,FALSE))</f>
        <v>required_exp_250</v>
      </c>
      <c r="AM2" s="8">
        <f ca="1">VLOOKUP(G2,経験値!$A$27:$B$31,2)</f>
        <v>6400</v>
      </c>
      <c r="AN2" s="17">
        <f ca="1">VLOOKUP(G2,ビット!$G$2:$H$7,2)</f>
        <v>900</v>
      </c>
      <c r="AO2" s="45"/>
      <c r="AP2" s="67">
        <f>A2</f>
        <v>1055</v>
      </c>
      <c r="AQ2" s="57" t="str">
        <f ca="1">VLOOKUP($AP2,OFFSET(unit_skills!$A$1,0,0,COUNTA(unit_skills!$A:$A),MATCH(AQ$1,unit_skills!$1:$1,0)-MATCH($AP$1,unit_skills!$1:$1,0)+1),MATCH(AQ$1,unit_skills!$1:$1,0)-MATCH($AP$1,unit_skills!$1:$1,0)+1,FALSE)</f>
        <v>血炎豪逆 ･ 天限到達</v>
      </c>
      <c r="AR2" s="57" t="str">
        <f ca="1">VLOOKUP($AP2,OFFSET(unit_skills!$A$1,0,0,COUNTA(unit_skills!$A:$A),MATCH(AR$1,unit_skills!$1:$1,0)-MATCH($AP$1,unit_skills!$1:$1,0)+1),MATCH(AR$1,unit_skills!$1:$1,0)-MATCH($AP$1,unit_skills!$1:$1,0)+1,FALSE)</f>
        <v>1体に赤属性の超大ダメージ+黄パネルを赤パネルに変換+3ターン全ユニットの攻撃力をUP(緑パネルを吸収し効果UP)</v>
      </c>
      <c r="AS2" s="57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41">
        <f>A2</f>
        <v>1055</v>
      </c>
      <c r="AU2" s="57" t="str">
        <f ca="1">VLOOKUP($AT2,OFFSET(crash_skills!$A$1,0,0,COUNTA(crash_skills!$A:$A),MATCH(AU$1,crash_skills!$1:$1,0)-MATCH($AT$1,crash_skills!$1:$1,0)+1),MATCH(AU$1,crash_skills!$1:$1,0)-MATCH($AT$1,crash_skills!$1:$1,0)+1,FALSE)</f>
        <v>裂火狩撃･逆鱗</v>
      </c>
      <c r="AV2" s="57" t="str">
        <f ca="1">VLOOKUP($AT2,OFFSET(crash_skills!$A$1,0,0,COUNTA(crash_skills!$A:$A),MATCH(AV$1,crash_skills!$1:$1,0)-MATCH($AT$1,crash_skills!$1:$1,0)+1),MATCH(AV$1,crash_skills!$1:$1,0)-MATCH($AT$1,crash_skills!$1:$1,0)+1,FALSE)</f>
        <v>1体に特大ダメージ</v>
      </c>
      <c r="AW2" s="57">
        <f ca="1">VLOOKUP($AP2,OFFSET(unit_skills!$A$1,0,0,COUNTA(unit_skills!$A:$A),MATCH(AS$1,unit_skills!$1:$1,0)-MATCH($AP$1,unit_skills!$1:$1,0)+1),MATCH(AS$1,unit_skills!$1:$1,0)-MATCH($AP$1,unit_skills!$1:$1,0)+1,FALSE)</f>
        <v>0</v>
      </c>
      <c r="AX2" s="58">
        <f ca="1">VLOOKUP($A2,OFFSET([1]characters!$A$1,0,0,COUNTA([1]characters!$A:$A),MATCH(AX$1,[1]characters!$1:$1,0)-MATCH($A$1,[1]characters!$1:$1,0)+1),MATCH(AX$1,[1]characters!$1:$1,0)-MATCH($A$1,[1]characters!$1:$1,0)+1,FALSE)</f>
        <v>3</v>
      </c>
      <c r="AY2" s="236">
        <v>1.155</v>
      </c>
      <c r="AZ2" s="236">
        <v>1.0920000000000001</v>
      </c>
      <c r="BA2" s="236">
        <v>0</v>
      </c>
      <c r="BB2" s="236">
        <v>1.03</v>
      </c>
      <c r="BC2" s="11">
        <f ca="1">INDEX('RC6SV'!$A$1:$G$20,MATCH(H2,'RC6SV'!$A$1:$A$20,FALSE),MATCH(G2,'RC6SV'!$A$1:$G$1,FALSE))</f>
        <v>12000</v>
      </c>
      <c r="BD2" s="48">
        <f t="shared" ref="BD2:BD5" ca="1" si="2">ROUND(BC2*IF(AJ2=1,0.95,IF(AJ2=2,1,IF(AJ2,1.05,0))),0)</f>
        <v>12000</v>
      </c>
      <c r="BE2" s="11">
        <f t="shared" ref="BE2:BE15" ca="1" si="3">ROUND(IFERROR(INDIRECT(ADDRESS(MATCH($A2,$AE:$AE,0),MATCH($BC$1,$1:$1,0))),0),0)</f>
        <v>0</v>
      </c>
      <c r="BF2" s="11">
        <f t="shared" ref="BF2:BF15" ca="1" si="4">ROUND(IFERROR(INDIRECT(ADDRESS(MATCH($A2,$AE:$AE,0),10)),INDIRECT(ADDRESS(MATCH($A2,$A:$A,0),10))),0)</f>
        <v>1</v>
      </c>
      <c r="BG2" s="16">
        <f ca="1">IF($BE2&lt;=0,ROUND(BK2*0.5,0), ROUND($BE2*S2*AA2*J2*AY2*0.8*[1]ステータス!$B$2,0))</f>
        <v>3465</v>
      </c>
      <c r="BH2" s="16">
        <f ca="1">IF($BE2&lt;=0,ROUND(BL2*0.5,0), ROUND($BE2*T2*AB2*K2*AZ2*0.8*[1]ステータス!$C$2,0))</f>
        <v>2667</v>
      </c>
      <c r="BI2" s="16">
        <f ca="1">IF($BE2&lt;=0,ROUND(BM2*0.5,0), ROUND($BE2*U2*AC2*L2*BA2*0.8*[1]ステータス!$D$2,0))</f>
        <v>0</v>
      </c>
      <c r="BJ2" s="16">
        <f ca="1">IF($BE2&lt;=0,ROUND(BN2*0.5,0), ROUND($BE2*V2*AD2*M2*BB2*0.8*[1]ステータス!$E$2,0))</f>
        <v>1015</v>
      </c>
      <c r="BK2" s="11">
        <f ca="1">ROUND(BD2*S2*AA2*J2*AY2*[1]ステータス!$B$2,0)</f>
        <v>6930</v>
      </c>
      <c r="BL2" s="11">
        <f ca="1">ROUND(BD2*T2*AB2*K2*AZ2*[1]ステータス!$C$2,0)</f>
        <v>5333</v>
      </c>
      <c r="BM2" s="11">
        <f ca="1">ROUND(BD2*U2*AC2*L2*BA2*[1]ステータス!$D$2,0)</f>
        <v>0</v>
      </c>
      <c r="BN2" s="11">
        <f ca="1">ROUND(BD2*V2*AD2*M2*BB2*[1]ステータス!$E$2,0)</f>
        <v>2029</v>
      </c>
      <c r="BO2" s="10">
        <v>0</v>
      </c>
      <c r="BP2" s="10">
        <v>1</v>
      </c>
      <c r="BQ2" s="10" t="s">
        <v>43</v>
      </c>
      <c r="BR2" s="10">
        <f ca="1">VLOOKUP(H2,ghosts_label!$A$2:$B$19,2,FALSE)</f>
        <v>700</v>
      </c>
    </row>
    <row r="3" spans="1:70" ht="26" customHeight="1" x14ac:dyDescent="0.15">
      <c r="A3" s="12">
        <v>1056</v>
      </c>
      <c r="B3" s="57" t="str">
        <f ca="1">VLOOKUP($A3,OFFSET([1]characters!$A$1,0,0,COUNTA([1]characters!$A:$A),MATCH(B$1,[1]characters!$1:$1,0)-MATCH($A$1,[1]characters!$1:$1,0)+1),MATCH(B$1,[1]characters!$1:$1,0)-MATCH($A$1,[1]characters!$1:$1,0)+1,FALSE)</f>
        <v>神解の預欺皇 オセ</v>
      </c>
      <c r="C3" s="57" t="str">
        <f ca="1">VLOOKUP($A3,OFFSET([1]characters!$A$1,0,0,COUNTA([1]characters!$A:$A),MATCH(C$1,[1]characters!$1:$1,0)-MATCH($A$1,[1]characters!$1:$1,0)+1),MATCH(C$1,[1]characters!$1:$1,0)-MATCH($A$1,[1]characters!$1:$1,0)+1,FALSE)</f>
        <v>オセ_分岐</v>
      </c>
      <c r="D3" s="57" t="str">
        <f ca="1">VLOOKUP($A3,OFFSET([1]characters!$A$1,0,0,COUNTA([1]characters!$A:$A),MATCH(D$1,[1]characters!$1:$1,0)-MATCH($A$1,[1]characters!$1:$1,0)+1),MATCH(D$1,[1]characters!$1:$1,0)-MATCH($A$1,[1]characters!$1:$1,0)+1,FALSE)</f>
        <v>執行者</v>
      </c>
      <c r="E3" s="57" t="str">
        <f ca="1">VLOOKUP($A3,OFFSET([1]characters!$A$1,0,0,COUNTA([1]characters!$A:$A),MATCH(E$1,[1]characters!$1:$1,0)-MATCH($A$1,[1]characters!$1:$1,0)+1),MATCH(E$1,[1]characters!$1:$1,0)-MATCH($A$1,[1]characters!$1:$1,0)+1,FALSE)</f>
        <v>格好いい</v>
      </c>
      <c r="F3" s="57" t="str">
        <f ca="1">VLOOKUP($A3,OFFSET([1]characters!$A$1,0,0,COUNTA([1]characters!$A:$A),MATCH(F$1,[1]characters!$1:$1,0)-MATCH($A$1,[1]characters!$1:$1,0)+1),MATCH(F$1,[1]characters!$1:$1,0)-MATCH($A$1,[1]characters!$1:$1,0)+1,FALSE)</f>
        <v>男性</v>
      </c>
      <c r="G3" s="57">
        <f ca="1">VLOOKUP($A3,OFFSET([1]characters!$A$1,0,0,COUNTA([1]characters!$A:$A),MATCH(G$1,[1]characters!$1:$1,0)-MATCH($A$1,[1]characters!$1:$1,0)+1),MATCH(G$1,[1]characters!$1:$1,0)-MATCH($A$1,[1]characters!$1:$1,0)+1,FALSE)</f>
        <v>6</v>
      </c>
      <c r="H3" s="57" t="str">
        <f ca="1">VLOOKUP($A3,OFFSET([1]characters!$A$1,0,0,COUNTA([1]characters!$A:$A),MATCH(H$1,[1]characters!$1:$1,0)-MATCH($A$1,[1]characters!$1:$1,0)+1),MATCH(H$1,[1]characters!$1:$1,0)-MATCH($A$1,[1]characters!$1:$1,0)+1,FALSE)</f>
        <v>PremiumS</v>
      </c>
      <c r="I3" s="57" t="str">
        <f ca="1">VLOOKUP($A3,OFFSET([1]characters!$A$1,0,0,COUNTA([1]characters!$A:$A),MATCH(I$1,[1]characters!$1:$1,0)-MATCH($A$1,[1]characters!$1:$1,0)+1),MATCH(I$1,[1]characters!$1:$1,0)-MATCH($A$1,[1]characters!$1:$1,0)+1,FALSE)</f>
        <v>green</v>
      </c>
      <c r="J3" s="11">
        <f ca="1">VLOOKUP(I3,[1]属性!$A:$E,2,FALSE)</f>
        <v>1.02</v>
      </c>
      <c r="K3" s="11">
        <f ca="1">VLOOKUP(I3,[1]属性!$A:$E,3,FALSE)</f>
        <v>0.98</v>
      </c>
      <c r="L3" s="11">
        <f ca="1">VLOOKUP(I3,[1]属性!$A:$E,4,FALSE)</f>
        <v>1</v>
      </c>
      <c r="M3" s="11">
        <f ca="1">VLOOKUP(I3,[1]属性!$A:$E,5,FALSE)</f>
        <v>1</v>
      </c>
      <c r="N3" s="11">
        <f ca="1">INDEX(コスト!$A$1:$I$20,MATCH(H3,コスト!$A$1:$A$20,FALSE),MATCH(G3,コスト!$A$1:$I$1,FALSE))</f>
        <v>45</v>
      </c>
      <c r="O3" s="11">
        <f ca="1">INDEX(レベル!$A$1:$I$21,MATCH(H3,レベル!$A$1:$A$21,FALSE),MATCH(G3,レベル!$A$1:$I$1,FALSE))</f>
        <v>99</v>
      </c>
      <c r="P3" s="48">
        <f t="shared" ca="1" si="0"/>
        <v>99</v>
      </c>
      <c r="Q3" s="57" t="str">
        <f ca="1">VLOOKUP($A3,OFFSET([1]characters!$A$1,0,0,COUNTA([1]characters!$A:$A),MATCH(Q$1,[1]characters!$1:$1,0)-MATCH($A$1,[1]characters!$1:$1,0)+1),MATCH(Q$1,[1]characters!$1:$1,0)-MATCH($A$1,[1]characters!$1:$1,0)+1,FALSE)</f>
        <v>attack</v>
      </c>
      <c r="R3" s="5" t="str">
        <f ca="1">VLOOKUP(Q3,[1]character_type_i18n!$A:$H,3,FALSE)</f>
        <v>攻撃タイプ</v>
      </c>
      <c r="S3" s="11">
        <f ca="1">VLOOKUP(Q3,[1]character_type_i18n!$A:$H,4,FALSE)</f>
        <v>1</v>
      </c>
      <c r="T3" s="11">
        <f ca="1">VLOOKUP(Q3,[1]character_type_i18n!$A:$H,5,FALSE)</f>
        <v>1.33</v>
      </c>
      <c r="U3" s="11">
        <f ca="1">VLOOKUP(Q3,[1]character_type_i18n!$A:$H,6,FALSE)</f>
        <v>1</v>
      </c>
      <c r="V3" s="11">
        <f ca="1">VLOOKUP(Q3,[1]character_type_i18n!$A:$H,7,FALSE)</f>
        <v>0.67</v>
      </c>
      <c r="W3" s="57" t="str">
        <f ca="1">VLOOKUP($A3,OFFSET([1]characters!$A$1,0,0,COUNTA([1]characters!$A:$A),MATCH(W$1,[1]characters!$1:$1,0)-MATCH($A$1,[1]characters!$1:$1,0)+1),MATCH(W$1,[1]characters!$1:$1,0)-MATCH($A$1,[1]characters!$1:$1,0)+1,FALSE)</f>
        <v>demon</v>
      </c>
      <c r="X3" s="5" t="str">
        <f ca="1">VLOOKUP(W3,[1]character_tribe_i18n!$A:$H,3,FALSE)</f>
        <v>デーモン</v>
      </c>
      <c r="Y3" s="57" t="str">
        <f ca="1">VLOOKUP($A3,OFFSET([1]characters!$A$1,0,0,COUNTA([1]characters!$A:$A),MATCH(Y$1,[1]characters!$1:$1,0)-MATCH($A$1,[1]characters!$1:$1,0)+1),MATCH(Y$1,[1]characters!$1:$1,0)-MATCH($A$1,[1]characters!$1:$1,0)+1,FALSE)</f>
        <v>none</v>
      </c>
      <c r="Z3" s="5" t="str">
        <f ca="1">VLOOKUP(Y3,[1]character_tribe_i18n!$A:$H,3,FALSE)</f>
        <v>種族なし</v>
      </c>
      <c r="AA3" s="210">
        <v>0.96</v>
      </c>
      <c r="AB3" s="210">
        <v>1.02</v>
      </c>
      <c r="AC3" s="210">
        <v>1</v>
      </c>
      <c r="AD3" s="210">
        <v>1.02</v>
      </c>
      <c r="AE3" s="9" t="s">
        <v>175</v>
      </c>
      <c r="AF3" s="62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/>
      </c>
      <c r="AG3" s="5">
        <v>169</v>
      </c>
      <c r="AH3" s="62" t="str">
        <f ca="1">VLOOKUP($AG3,OFFSET([1]characters!$A$1,0,0,COUNTA([1]characters!$A:$A),MATCH(AH$1,[1]characters!$1:$1,0)-MATCH($A$1,[1]characters!$1:$1,0)+1),MATCH(AH$1,[1]characters!$1:$1,0)-MATCH($A$1,[1]characters!$1:$1,0)+1,FALSE)</f>
        <v>オセ</v>
      </c>
      <c r="AI3" s="11" t="str">
        <f>IF(AE3="NULL","NULL",VLOOKUP(G3,ビット!$A$2:$B$7,2))</f>
        <v>NULL</v>
      </c>
      <c r="AJ3" s="6">
        <v>2</v>
      </c>
      <c r="AK3" s="7" t="str">
        <f t="shared" si="1"/>
        <v>普通</v>
      </c>
      <c r="AL3" s="11" t="str">
        <f ca="1">INDEX(経験値!$A$1:$I$20,MATCH(H3,経験値!$A$1:$A$20,FALSE),MATCH(G3,経験値!$A$1:$I$1,FALSE))</f>
        <v>required_exp_250</v>
      </c>
      <c r="AM3" s="8">
        <f ca="1">VLOOKUP(G3,経験値!$A$27:$B$31,2)</f>
        <v>6400</v>
      </c>
      <c r="AN3" s="17">
        <f ca="1">VLOOKUP(G3,ビット!$G$2:$H$7,2)</f>
        <v>900</v>
      </c>
      <c r="AO3" s="45"/>
      <c r="AP3" s="67">
        <f>A3</f>
        <v>1056</v>
      </c>
      <c r="AQ3" s="57" t="str">
        <f ca="1">VLOOKUP($AP3,OFFSET(unit_skills!$A$1,0,0,COUNTA(unit_skills!$A:$A),MATCH(AQ$1,unit_skills!$1:$1,0)-MATCH($AP$1,unit_skills!$1:$1,0)+1),MATCH(AQ$1,unit_skills!$1:$1,0)-MATCH($AP$1,unit_skills!$1:$1,0)+1,FALSE)</f>
        <v>智壊のターゲット･フィナーレ</v>
      </c>
      <c r="AR3" s="57" t="str">
        <f ca="1">VLOOKUP($AP3,OFFSET(unit_skills!$A$1,0,0,COUNTA(unit_skills!$A:$A),MATCH(AR$1,unit_skills!$1:$1,0)-MATCH($AP$1,unit_skills!$1:$1,0)+1),MATCH(AR$1,unit_skills!$1:$1,0)-MATCH($AP$1,unit_skills!$1:$1,0)+1,FALSE)</f>
        <v>パネルを2つランダムでSCパネルに変換する</v>
      </c>
      <c r="AS3" s="57">
        <f ca="1">VLOOKUP($AP3,OFFSET(unit_skills!$A$1,0,0,COUNTA(unit_skills!$A:$A),MATCH(AS$1,unit_skills!$1:$1,0)-MATCH($AP$1,unit_skills!$1:$1,0)+1),MATCH(AS$1,unit_skills!$1:$1,0)-MATCH($AP$1,unit_skills!$1:$1,0)+1,FALSE)</f>
        <v>0</v>
      </c>
      <c r="AT3" s="41">
        <f>A3</f>
        <v>1056</v>
      </c>
      <c r="AU3" s="57" t="str">
        <f ca="1">VLOOKUP($AT3,OFFSET(crash_skills!$A$1,0,0,COUNTA(crash_skills!$A:$A),MATCH(AU$1,crash_skills!$1:$1,0)-MATCH($AT$1,crash_skills!$1:$1,0)+1),MATCH(AU$1,crash_skills!$1:$1,0)-MATCH($AT$1,crash_skills!$1:$1,0)+1,FALSE)</f>
        <v>エメラルド･ブレイクカノン</v>
      </c>
      <c r="AV3" s="57" t="str">
        <f ca="1">VLOOKUP($AT3,OFFSET(crash_skills!$A$1,0,0,COUNTA(crash_skills!$A:$A),MATCH(AV$1,crash_skills!$1:$1,0)-MATCH($AT$1,crash_skills!$1:$1,0)+1),MATCH(AV$1,crash_skills!$1:$1,0)-MATCH($AT$1,crash_skills!$1:$1,0)+1,FALSE)</f>
        <v>1体に超大ダメージ</v>
      </c>
      <c r="AW3" s="57">
        <f ca="1">VLOOKUP($AP3,OFFSET(unit_skills!$A$1,0,0,COUNTA(unit_skills!$A:$A),MATCH(AS$1,unit_skills!$1:$1,0)-MATCH($AP$1,unit_skills!$1:$1,0)+1),MATCH(AS$1,unit_skills!$1:$1,0)-MATCH($AP$1,unit_skills!$1:$1,0)+1,FALSE)</f>
        <v>0</v>
      </c>
      <c r="AX3" s="58">
        <f ca="1">VLOOKUP($A3,OFFSET([1]characters!$A$1,0,0,COUNTA([1]characters!$A:$A),MATCH(AX$1,[1]characters!$1:$1,0)-MATCH($A$1,[1]characters!$1:$1,0)+1),MATCH(AX$1,[1]characters!$1:$1,0)-MATCH($A$1,[1]characters!$1:$1,0)+1,FALSE)</f>
        <v>3</v>
      </c>
      <c r="AY3" s="236">
        <v>1.038</v>
      </c>
      <c r="AZ3" s="236">
        <v>1.1240000000000001</v>
      </c>
      <c r="BA3" s="236">
        <v>0</v>
      </c>
      <c r="BB3" s="236">
        <v>1.03</v>
      </c>
      <c r="BC3" s="11">
        <f ca="1">INDEX('RC6SV'!$A$1:$G$20,MATCH(H3,'RC6SV'!$A$1:$A$20,FALSE),MATCH(G3,'RC6SV'!$A$1:$G$1,FALSE))</f>
        <v>12000</v>
      </c>
      <c r="BD3" s="48">
        <f t="shared" ca="1" si="2"/>
        <v>12000</v>
      </c>
      <c r="BE3" s="11">
        <f t="shared" ca="1" si="3"/>
        <v>0</v>
      </c>
      <c r="BF3" s="11">
        <f t="shared" ca="1" si="4"/>
        <v>1</v>
      </c>
      <c r="BG3" s="16">
        <f ca="1">IF($BE3&lt;=0,ROUND(BK3*0.5,0), ROUND($BE3*S3*AA3*J3*AY3*0.8*[1]ステータス!$B$2,0))</f>
        <v>3049</v>
      </c>
      <c r="BH3" s="16">
        <f ca="1">IF($BE3&lt;=0,ROUND(BL3*0.5,0), ROUND($BE3*T3*AB3*K3*AZ3*0.8*[1]ステータス!$C$2,0))</f>
        <v>2690</v>
      </c>
      <c r="BI3" s="16">
        <f ca="1">IF($BE3&lt;=0,ROUND(BM3*0.5,0), ROUND($BE3*U3*AC3*L3*BA3*0.8*[1]ステータス!$D$2,0))</f>
        <v>0</v>
      </c>
      <c r="BJ3" s="16">
        <f ca="1">IF($BE3&lt;=0,ROUND(BN3*0.5,0), ROUND($BE3*V3*AD3*M3*BB3*0.8*[1]ステータス!$E$2,0))</f>
        <v>1056</v>
      </c>
      <c r="BK3" s="11">
        <f ca="1">ROUND(BD3*S3*AA3*J3*AY3*[1]ステータス!$B$2,0)</f>
        <v>6098</v>
      </c>
      <c r="BL3" s="11">
        <f ca="1">ROUND(BD3*T3*AB3*K3*AZ3*[1]ステータス!$C$2,0)</f>
        <v>5380</v>
      </c>
      <c r="BM3" s="11">
        <f ca="1">ROUND(BD3*U3*AC3*L3*BA3*[1]ステータス!$D$2,0)</f>
        <v>0</v>
      </c>
      <c r="BN3" s="11">
        <f ca="1">ROUND(BD3*V3*AD3*M3*BB3*[1]ステータス!$E$2,0)</f>
        <v>2112</v>
      </c>
      <c r="BO3" s="10">
        <v>0</v>
      </c>
      <c r="BP3" s="10">
        <v>1</v>
      </c>
      <c r="BQ3" s="10" t="s">
        <v>43</v>
      </c>
      <c r="BR3" s="10">
        <f ca="1">VLOOKUP(H3,ghosts_label!$A$2:$B$19,2,FALSE)</f>
        <v>700</v>
      </c>
    </row>
    <row r="4" spans="1:70" ht="26" customHeight="1" x14ac:dyDescent="0.15">
      <c r="A4" s="12">
        <v>1057</v>
      </c>
      <c r="B4" s="57" t="str">
        <f ca="1">VLOOKUP($A4,OFFSET([1]characters!$A$1,0,0,COUNTA([1]characters!$A:$A),MATCH(B$1,[1]characters!$1:$1,0)-MATCH($A$1,[1]characters!$1:$1,0)+1),MATCH(B$1,[1]characters!$1:$1,0)-MATCH($A$1,[1]characters!$1:$1,0)+1,FALSE)</f>
        <v>疑愛の永遠公爵 フォルネウス</v>
      </c>
      <c r="C4" s="57" t="str">
        <f ca="1">VLOOKUP($A4,OFFSET([1]characters!$A$1,0,0,COUNTA([1]characters!$A:$A),MATCH(C$1,[1]characters!$1:$1,0)-MATCH($A$1,[1]characters!$1:$1,0)+1),MATCH(C$1,[1]characters!$1:$1,0)-MATCH($A$1,[1]characters!$1:$1,0)+1,FALSE)</f>
        <v>フォルネウス_分岐</v>
      </c>
      <c r="D4" s="57" t="str">
        <f ca="1">VLOOKUP($A4,OFFSET([1]characters!$A$1,0,0,COUNTA([1]characters!$A:$A),MATCH(D$1,[1]characters!$1:$1,0)-MATCH($A$1,[1]characters!$1:$1,0)+1),MATCH(D$1,[1]characters!$1:$1,0)-MATCH($A$1,[1]characters!$1:$1,0)+1,FALSE)</f>
        <v>執行者</v>
      </c>
      <c r="E4" s="57" t="str">
        <f ca="1">VLOOKUP($A4,OFFSET([1]characters!$A$1,0,0,COUNTA([1]characters!$A:$A),MATCH(E$1,[1]characters!$1:$1,0)-MATCH($A$1,[1]characters!$1:$1,0)+1),MATCH(E$1,[1]characters!$1:$1,0)-MATCH($A$1,[1]characters!$1:$1,0)+1,FALSE)</f>
        <v>格好いい</v>
      </c>
      <c r="F4" s="57" t="str">
        <f ca="1">VLOOKUP($A4,OFFSET([1]characters!$A$1,0,0,COUNTA([1]characters!$A:$A),MATCH(F$1,[1]characters!$1:$1,0)-MATCH($A$1,[1]characters!$1:$1,0)+1),MATCH(F$1,[1]characters!$1:$1,0)-MATCH($A$1,[1]characters!$1:$1,0)+1,FALSE)</f>
        <v>男性</v>
      </c>
      <c r="G4" s="57">
        <f ca="1">VLOOKUP($A4,OFFSET([1]characters!$A$1,0,0,COUNTA([1]characters!$A:$A),MATCH(G$1,[1]characters!$1:$1,0)-MATCH($A$1,[1]characters!$1:$1,0)+1),MATCH(G$1,[1]characters!$1:$1,0)-MATCH($A$1,[1]characters!$1:$1,0)+1,FALSE)</f>
        <v>6</v>
      </c>
      <c r="H4" s="57" t="str">
        <f ca="1">VLOOKUP($A4,OFFSET([1]characters!$A$1,0,0,COUNTA([1]characters!$A:$A),MATCH(H$1,[1]characters!$1:$1,0)-MATCH($A$1,[1]characters!$1:$1,0)+1),MATCH(H$1,[1]characters!$1:$1,0)-MATCH($A$1,[1]characters!$1:$1,0)+1,FALSE)</f>
        <v>PremiumS</v>
      </c>
      <c r="I4" s="57" t="str">
        <f ca="1">VLOOKUP($A4,OFFSET([1]characters!$A$1,0,0,COUNTA([1]characters!$A:$A),MATCH(I$1,[1]characters!$1:$1,0)-MATCH($A$1,[1]characters!$1:$1,0)+1),MATCH(I$1,[1]characters!$1:$1,0)-MATCH($A$1,[1]characters!$1:$1,0)+1,FALSE)</f>
        <v>blue</v>
      </c>
      <c r="J4" s="11">
        <f ca="1">VLOOKUP(I4,[1]属性!$A:$E,2,FALSE)</f>
        <v>1</v>
      </c>
      <c r="K4" s="11">
        <f ca="1">VLOOKUP(I4,[1]属性!$A:$E,3,FALSE)</f>
        <v>0.98</v>
      </c>
      <c r="L4" s="11">
        <f ca="1">VLOOKUP(I4,[1]属性!$A:$E,4,FALSE)</f>
        <v>1</v>
      </c>
      <c r="M4" s="11">
        <f ca="1">VLOOKUP(I4,[1]属性!$A:$E,5,FALSE)</f>
        <v>1.02</v>
      </c>
      <c r="N4" s="11">
        <f ca="1">INDEX(コスト!$A$1:$I$20,MATCH(H4,コスト!$A$1:$A$20,FALSE),MATCH(G4,コスト!$A$1:$I$1,FALSE))</f>
        <v>45</v>
      </c>
      <c r="O4" s="11">
        <f ca="1">INDEX(レベル!$A$1:$I$21,MATCH(H4,レベル!$A$1:$A$21,FALSE),MATCH(G4,レベル!$A$1:$I$1,FALSE))</f>
        <v>99</v>
      </c>
      <c r="P4" s="48">
        <f t="shared" ca="1" si="0"/>
        <v>99</v>
      </c>
      <c r="Q4" s="57" t="str">
        <f ca="1">VLOOKUP($A4,OFFSET([1]characters!$A$1,0,0,COUNTA([1]characters!$A:$A),MATCH(Q$1,[1]characters!$1:$1,0)-MATCH($A$1,[1]characters!$1:$1,0)+1),MATCH(Q$1,[1]characters!$1:$1,0)-MATCH($A$1,[1]characters!$1:$1,0)+1,FALSE)</f>
        <v>attack</v>
      </c>
      <c r="R4" s="5" t="str">
        <f ca="1">VLOOKUP(Q4,[1]character_type_i18n!$A:$H,3,FALSE)</f>
        <v>攻撃タイプ</v>
      </c>
      <c r="S4" s="11">
        <f ca="1">VLOOKUP(Q4,[1]character_type_i18n!$A:$H,4,FALSE)</f>
        <v>1</v>
      </c>
      <c r="T4" s="11">
        <f ca="1">VLOOKUP(Q4,[1]character_type_i18n!$A:$H,5,FALSE)</f>
        <v>1.33</v>
      </c>
      <c r="U4" s="11">
        <f ca="1">VLOOKUP(Q4,[1]character_type_i18n!$A:$H,6,FALSE)</f>
        <v>1</v>
      </c>
      <c r="V4" s="11">
        <f ca="1">VLOOKUP(Q4,[1]character_type_i18n!$A:$H,7,FALSE)</f>
        <v>0.67</v>
      </c>
      <c r="W4" s="57" t="str">
        <f ca="1">VLOOKUP($A4,OFFSET([1]characters!$A$1,0,0,COUNTA([1]characters!$A:$A),MATCH(W$1,[1]characters!$1:$1,0)-MATCH($A$1,[1]characters!$1:$1,0)+1),MATCH(W$1,[1]characters!$1:$1,0)-MATCH($A$1,[1]characters!$1:$1,0)+1,FALSE)</f>
        <v>demon</v>
      </c>
      <c r="X4" s="5" t="str">
        <f ca="1">VLOOKUP(W4,[1]character_tribe_i18n!$A:$H,3,FALSE)</f>
        <v>デーモン</v>
      </c>
      <c r="Y4" s="57" t="str">
        <f ca="1">VLOOKUP($A4,OFFSET([1]characters!$A$1,0,0,COUNTA([1]characters!$A:$A),MATCH(Y$1,[1]characters!$1:$1,0)-MATCH($A$1,[1]characters!$1:$1,0)+1),MATCH(Y$1,[1]characters!$1:$1,0)-MATCH($A$1,[1]characters!$1:$1,0)+1,FALSE)</f>
        <v>none</v>
      </c>
      <c r="Z4" s="5" t="str">
        <f ca="1">VLOOKUP(Y4,[1]character_tribe_i18n!$A:$H,3,FALSE)</f>
        <v>種族なし</v>
      </c>
      <c r="AA4" s="210">
        <v>0.96</v>
      </c>
      <c r="AB4" s="210">
        <v>1.02</v>
      </c>
      <c r="AC4" s="210">
        <v>1</v>
      </c>
      <c r="AD4" s="210">
        <v>1.02</v>
      </c>
      <c r="AE4" s="9" t="s">
        <v>175</v>
      </c>
      <c r="AF4" s="62" t="str">
        <f ca="1">IF(AE4="NULL","",VLOOKUP($AE4,OFFSET([1]characters!$A$1,0,0,COUNTA([1]characters!$A:$A),MATCH(AF$1,[1]characters!$1:$1,0)-MATCH($A$1,[1]characters!$1:$1,0)+1),MATCH(AF$1,[1]characters!$1:$1,0)-MATCH($A$1,[1]characters!$1:$1,0)+1,FALSE))</f>
        <v/>
      </c>
      <c r="AG4" s="5">
        <v>172</v>
      </c>
      <c r="AH4" s="62" t="str">
        <f ca="1">VLOOKUP($AG4,OFFSET([1]characters!$A$1,0,0,COUNTA([1]characters!$A:$A),MATCH(AH$1,[1]characters!$1:$1,0)-MATCH($A$1,[1]characters!$1:$1,0)+1),MATCH(AH$1,[1]characters!$1:$1,0)-MATCH($A$1,[1]characters!$1:$1,0)+1,FALSE)</f>
        <v>フォルネウス</v>
      </c>
      <c r="AI4" s="11" t="str">
        <f>IF(AE4="NULL","NULL",VLOOKUP(G4,ビット!$A$2:$B$7,2))</f>
        <v>NULL</v>
      </c>
      <c r="AJ4" s="6">
        <v>2</v>
      </c>
      <c r="AK4" s="7" t="str">
        <f t="shared" si="1"/>
        <v>普通</v>
      </c>
      <c r="AL4" s="11" t="str">
        <f ca="1">INDEX(経験値!$A$1:$I$20,MATCH(H4,経験値!$A$1:$A$20,FALSE),MATCH(G4,経験値!$A$1:$I$1,FALSE))</f>
        <v>required_exp_250</v>
      </c>
      <c r="AM4" s="8">
        <f ca="1">VLOOKUP(G4,経験値!$A$27:$B$31,2)</f>
        <v>6400</v>
      </c>
      <c r="AN4" s="17">
        <f ca="1">VLOOKUP(G4,ビット!$G$2:$H$7,2)</f>
        <v>900</v>
      </c>
      <c r="AO4" s="45"/>
      <c r="AP4" s="67">
        <f>A4</f>
        <v>1057</v>
      </c>
      <c r="AQ4" s="57" t="str">
        <f ca="1">VLOOKUP($AP4,OFFSET(unit_skills!$A$1,0,0,COUNTA(unit_skills!$A:$A),MATCH(AQ$1,unit_skills!$1:$1,0)-MATCH($AP$1,unit_skills!$1:$1,0)+1),MATCH(AQ$1,unit_skills!$1:$1,0)-MATCH($AP$1,unit_skills!$1:$1,0)+1,FALSE)</f>
        <v>テラリノベーション･オーシャン</v>
      </c>
      <c r="AR4" s="57" t="str">
        <f ca="1">VLOOKUP($AP4,OFFSET(unit_skills!$A$1,0,0,COUNTA(unit_skills!$A:$A),MATCH(AR$1,unit_skills!$1:$1,0)-MATCH($AP$1,unit_skills!$1:$1,0)+1),MATCH(AR$1,unit_skills!$1:$1,0)-MATCH($AP$1,unit_skills!$1:$1,0)+1,FALSE)</f>
        <v>1体にダメージ(赤・黄パネルを吸収し効果超大UP)+1ターン赤・黄パネルの出現率をDOWNし、全ユニットの回復力を500UP</v>
      </c>
      <c r="AS4" s="57">
        <f ca="1">VLOOKUP($AP4,OFFSET(unit_skills!$A$1,0,0,COUNTA(unit_skills!$A:$A),MATCH(AS$1,unit_skills!$1:$1,0)-MATCH($AP$1,unit_skills!$1:$1,0)+1),MATCH(AS$1,unit_skills!$1:$1,0)-MATCH($AP$1,unit_skills!$1:$1,0)+1,FALSE)</f>
        <v>0</v>
      </c>
      <c r="AT4" s="41">
        <f>A4</f>
        <v>1057</v>
      </c>
      <c r="AU4" s="57" t="str">
        <f ca="1">VLOOKUP($AT4,OFFSET(crash_skills!$A$1,0,0,COUNTA(crash_skills!$A:$A),MATCH(AU$1,crash_skills!$1:$1,0)-MATCH($AT$1,crash_skills!$1:$1,0)+1),MATCH(AU$1,crash_skills!$1:$1,0)-MATCH($AT$1,crash_skills!$1:$1,0)+1,FALSE)</f>
        <v>絶体絶滅誓約</v>
      </c>
      <c r="AV4" s="57" t="str">
        <f ca="1">VLOOKUP($AT4,OFFSET(crash_skills!$A$1,0,0,COUNTA(crash_skills!$A:$A),MATCH(AV$1,crash_skills!$1:$1,0)-MATCH($AT$1,crash_skills!$1:$1,0)+1),MATCH(AV$1,crash_skills!$1:$1,0)-MATCH($AT$1,crash_skills!$1:$1,0)+1,FALSE)</f>
        <v>単体に大ダメージ+_x000D_全体に大ダメージ</v>
      </c>
      <c r="AW4" s="57">
        <f ca="1">VLOOKUP($AP4,OFFSET(unit_skills!$A$1,0,0,COUNTA(unit_skills!$A:$A),MATCH(AS$1,unit_skills!$1:$1,0)-MATCH($AP$1,unit_skills!$1:$1,0)+1),MATCH(AS$1,unit_skills!$1:$1,0)-MATCH($AP$1,unit_skills!$1:$1,0)+1,FALSE)</f>
        <v>0</v>
      </c>
      <c r="AX4" s="58">
        <f ca="1">VLOOKUP($A4,OFFSET([1]characters!$A$1,0,0,COUNTA([1]characters!$A:$A),MATCH(AX$1,[1]characters!$1:$1,0)-MATCH($A$1,[1]characters!$1:$1,0)+1),MATCH(AX$1,[1]characters!$1:$1,0)-MATCH($A$1,[1]characters!$1:$1,0)+1,FALSE)</f>
        <v>3</v>
      </c>
      <c r="AY4" s="236">
        <v>1.133</v>
      </c>
      <c r="AZ4" s="236">
        <v>1.1097999999999999</v>
      </c>
      <c r="BA4" s="236">
        <v>0</v>
      </c>
      <c r="BB4" s="236">
        <v>1.03</v>
      </c>
      <c r="BC4" s="11">
        <f ca="1">INDEX('RC6SV'!$A$1:$G$20,MATCH(H4,'RC6SV'!$A$1:$A$20,FALSE),MATCH(G4,'RC6SV'!$A$1:$G$1,FALSE))</f>
        <v>12000</v>
      </c>
      <c r="BD4" s="48">
        <f t="shared" ca="1" si="2"/>
        <v>12000</v>
      </c>
      <c r="BE4" s="11">
        <f t="shared" ca="1" si="3"/>
        <v>0</v>
      </c>
      <c r="BF4" s="11">
        <f t="shared" ca="1" si="4"/>
        <v>1</v>
      </c>
      <c r="BG4" s="16">
        <f ca="1">IF($BE4&lt;=0,ROUND(BK4*0.5,0), ROUND($BE4*S4*AA4*J4*AY4*0.8*[1]ステータス!$B$2,0))</f>
        <v>3263</v>
      </c>
      <c r="BH4" s="16">
        <f ca="1">IF($BE4&lt;=0,ROUND(BL4*0.5,0), ROUND($BE4*T4*AB4*K4*AZ4*0.8*[1]ステータス!$C$2,0))</f>
        <v>2656</v>
      </c>
      <c r="BI4" s="16">
        <f ca="1">IF($BE4&lt;=0,ROUND(BM4*0.5,0), ROUND($BE4*U4*AC4*L4*BA4*0.8*[1]ステータス!$D$2,0))</f>
        <v>0</v>
      </c>
      <c r="BJ4" s="16">
        <f ca="1">IF($BE4&lt;=0,ROUND(BN4*0.5,0), ROUND($BE4*V4*AD4*M4*BB4*0.8*[1]ステータス!$E$2,0))</f>
        <v>1077</v>
      </c>
      <c r="BK4" s="11">
        <f ca="1">ROUND(BD4*S4*AA4*J4*AY4*[1]ステータス!$B$2,0)</f>
        <v>6526</v>
      </c>
      <c r="BL4" s="11">
        <f ca="1">ROUND(BD4*T4*AB4*K4*AZ4*[1]ステータス!$C$2,0)</f>
        <v>5312</v>
      </c>
      <c r="BM4" s="11">
        <f ca="1">ROUND(BD4*U4*AC4*L4*BA4*[1]ステータス!$D$2,0)</f>
        <v>0</v>
      </c>
      <c r="BN4" s="11">
        <f ca="1">ROUND(BD4*V4*AD4*M4*BB4*[1]ステータス!$E$2,0)</f>
        <v>2154</v>
      </c>
      <c r="BO4" s="10">
        <v>0</v>
      </c>
      <c r="BP4" s="10">
        <v>1</v>
      </c>
      <c r="BQ4" s="10" t="s">
        <v>43</v>
      </c>
      <c r="BR4" s="10">
        <f ca="1">VLOOKUP(H4,ghosts_label!$A$2:$B$19,2,FALSE)</f>
        <v>700</v>
      </c>
    </row>
    <row r="5" spans="1:70" ht="26" customHeight="1" x14ac:dyDescent="0.15">
      <c r="A5" s="12">
        <v>1058</v>
      </c>
      <c r="B5" s="57" t="str">
        <f ca="1">VLOOKUP($A5,OFFSET([1]characters!$A$1,0,0,COUNTA([1]characters!$A:$A),MATCH(B$1,[1]characters!$1:$1,0)-MATCH($A$1,[1]characters!$1:$1,0)+1),MATCH(B$1,[1]characters!$1:$1,0)-MATCH($A$1,[1]characters!$1:$1,0)+1,FALSE)</f>
        <v>黄泉守誘の命神母 イザナミ</v>
      </c>
      <c r="C5" s="57" t="str">
        <f ca="1">VLOOKUP($A5,OFFSET([1]characters!$A$1,0,0,COUNTA([1]characters!$A:$A),MATCH(C$1,[1]characters!$1:$1,0)-MATCH($A$1,[1]characters!$1:$1,0)+1),MATCH(C$1,[1]characters!$1:$1,0)-MATCH($A$1,[1]characters!$1:$1,0)+1,FALSE)</f>
        <v>イザナミ_分岐</v>
      </c>
      <c r="D5" s="57" t="str">
        <f ca="1">VLOOKUP($A5,OFFSET([1]characters!$A$1,0,0,COUNTA([1]characters!$A:$A),MATCH(D$1,[1]characters!$1:$1,0)-MATCH($A$1,[1]characters!$1:$1,0)+1),MATCH(D$1,[1]characters!$1:$1,0)-MATCH($A$1,[1]characters!$1:$1,0)+1,FALSE)</f>
        <v>執行者</v>
      </c>
      <c r="E5" s="57" t="str">
        <f ca="1">VLOOKUP($A5,OFFSET([1]characters!$A$1,0,0,COUNTA([1]characters!$A:$A),MATCH(E$1,[1]characters!$1:$1,0)-MATCH($A$1,[1]characters!$1:$1,0)+1),MATCH(E$1,[1]characters!$1:$1,0)-MATCH($A$1,[1]characters!$1:$1,0)+1,FALSE)</f>
        <v>格好いい</v>
      </c>
      <c r="F5" s="57" t="str">
        <f ca="1">VLOOKUP($A5,OFFSET([1]characters!$A$1,0,0,COUNTA([1]characters!$A:$A),MATCH(F$1,[1]characters!$1:$1,0)-MATCH($A$1,[1]characters!$1:$1,0)+1),MATCH(F$1,[1]characters!$1:$1,0)-MATCH($A$1,[1]characters!$1:$1,0)+1,FALSE)</f>
        <v>男性</v>
      </c>
      <c r="G5" s="57">
        <f ca="1">VLOOKUP($A5,OFFSET([1]characters!$A$1,0,0,COUNTA([1]characters!$A:$A),MATCH(G$1,[1]characters!$1:$1,0)-MATCH($A$1,[1]characters!$1:$1,0)+1),MATCH(G$1,[1]characters!$1:$1,0)-MATCH($A$1,[1]characters!$1:$1,0)+1,FALSE)</f>
        <v>6</v>
      </c>
      <c r="H5" s="57" t="str">
        <f ca="1">VLOOKUP($A5,OFFSET([1]characters!$A$1,0,0,COUNTA([1]characters!$A:$A),MATCH(H$1,[1]characters!$1:$1,0)-MATCH($A$1,[1]characters!$1:$1,0)+1),MATCH(H$1,[1]characters!$1:$1,0)-MATCH($A$1,[1]characters!$1:$1,0)+1,FALSE)</f>
        <v>PremiumS</v>
      </c>
      <c r="I5" s="57" t="str">
        <f ca="1">VLOOKUP($A5,OFFSET([1]characters!$A$1,0,0,COUNTA([1]characters!$A:$A),MATCH(I$1,[1]characters!$1:$1,0)-MATCH($A$1,[1]characters!$1:$1,0)+1),MATCH(I$1,[1]characters!$1:$1,0)-MATCH($A$1,[1]characters!$1:$1,0)+1,FALSE)</f>
        <v>yellow</v>
      </c>
      <c r="J5" s="11">
        <f ca="1">VLOOKUP(I5,[1]属性!$A:$E,2,FALSE)</f>
        <v>0.98</v>
      </c>
      <c r="K5" s="11">
        <f ca="1">VLOOKUP(I5,[1]属性!$A:$E,3,FALSE)</f>
        <v>1.01</v>
      </c>
      <c r="L5" s="11">
        <f ca="1">VLOOKUP(I5,[1]属性!$A:$E,4,FALSE)</f>
        <v>1</v>
      </c>
      <c r="M5" s="11">
        <f ca="1">VLOOKUP(I5,[1]属性!$A:$E,5,FALSE)</f>
        <v>1.01</v>
      </c>
      <c r="N5" s="11">
        <f ca="1">INDEX(コスト!$A$1:$I$20,MATCH(H5,コスト!$A$1:$A$20,FALSE),MATCH(G5,コスト!$A$1:$I$1,FALSE))</f>
        <v>45</v>
      </c>
      <c r="O5" s="11">
        <f ca="1">INDEX(レベル!$A$1:$I$21,MATCH(H5,レベル!$A$1:$A$21,FALSE),MATCH(G5,レベル!$A$1:$I$1,FALSE))</f>
        <v>99</v>
      </c>
      <c r="P5" s="48">
        <f t="shared" ca="1" si="0"/>
        <v>99</v>
      </c>
      <c r="Q5" s="57" t="str">
        <f ca="1">VLOOKUP($A5,OFFSET([1]characters!$A$1,0,0,COUNTA([1]characters!$A:$A),MATCH(Q$1,[1]characters!$1:$1,0)-MATCH($A$1,[1]characters!$1:$1,0)+1),MATCH(Q$1,[1]characters!$1:$1,0)-MATCH($A$1,[1]characters!$1:$1,0)+1,FALSE)</f>
        <v>attack</v>
      </c>
      <c r="R5" s="5" t="str">
        <f ca="1">VLOOKUP(Q5,[1]character_type_i18n!$A:$H,3,FALSE)</f>
        <v>攻撃タイプ</v>
      </c>
      <c r="S5" s="11">
        <f ca="1">VLOOKUP(Q5,[1]character_type_i18n!$A:$H,4,FALSE)</f>
        <v>1</v>
      </c>
      <c r="T5" s="11">
        <f ca="1">VLOOKUP(Q5,[1]character_type_i18n!$A:$H,5,FALSE)</f>
        <v>1.33</v>
      </c>
      <c r="U5" s="11">
        <f ca="1">VLOOKUP(Q5,[1]character_type_i18n!$A:$H,6,FALSE)</f>
        <v>1</v>
      </c>
      <c r="V5" s="11">
        <f ca="1">VLOOKUP(Q5,[1]character_type_i18n!$A:$H,7,FALSE)</f>
        <v>0.67</v>
      </c>
      <c r="W5" s="57" t="str">
        <f ca="1">VLOOKUP($A5,OFFSET([1]characters!$A$1,0,0,COUNTA([1]characters!$A:$A),MATCH(W$1,[1]characters!$1:$1,0)-MATCH($A$1,[1]characters!$1:$1,0)+1),MATCH(W$1,[1]characters!$1:$1,0)-MATCH($A$1,[1]characters!$1:$1,0)+1,FALSE)</f>
        <v>god</v>
      </c>
      <c r="X5" s="5" t="str">
        <f ca="1">VLOOKUP(W5,[1]character_tribe_i18n!$A:$H,3,FALSE)</f>
        <v>ゴッド</v>
      </c>
      <c r="Y5" s="57" t="str">
        <f ca="1">VLOOKUP($A5,OFFSET([1]characters!$A$1,0,0,COUNTA([1]characters!$A:$A),MATCH(Y$1,[1]characters!$1:$1,0)-MATCH($A$1,[1]characters!$1:$1,0)+1),MATCH(Y$1,[1]characters!$1:$1,0)-MATCH($A$1,[1]characters!$1:$1,0)+1,FALSE)</f>
        <v>none</v>
      </c>
      <c r="Z5" s="5" t="str">
        <f ca="1">VLOOKUP(Y5,[1]character_tribe_i18n!$A:$H,3,FALSE)</f>
        <v>種族なし</v>
      </c>
      <c r="AA5" s="11">
        <f ca="1">VLOOKUP(W5,[1]character_tribe_i18n!$A:$H,4,FALSE)</f>
        <v>0.96</v>
      </c>
      <c r="AB5" s="11">
        <f ca="1">VLOOKUP(W5,[1]character_tribe_i18n!$A:$H,5,FALSE)</f>
        <v>1.02</v>
      </c>
      <c r="AC5" s="11">
        <f ca="1">VLOOKUP(W5,[1]character_tribe_i18n!$A:$H,6,FALSE)</f>
        <v>1</v>
      </c>
      <c r="AD5" s="11">
        <f ca="1">VLOOKUP(W5,[1]character_tribe_i18n!$A:$H,7,FALSE)</f>
        <v>1.02</v>
      </c>
      <c r="AE5" s="9" t="s">
        <v>175</v>
      </c>
      <c r="AF5" s="62" t="str">
        <f ca="1">IF(AE5="NULL","",VLOOKUP($AE5,OFFSET([1]characters!$A$1,0,0,COUNTA([1]characters!$A:$A),MATCH(AF$1,[1]characters!$1:$1,0)-MATCH($A$1,[1]characters!$1:$1,0)+1),MATCH(AF$1,[1]characters!$1:$1,0)-MATCH($A$1,[1]characters!$1:$1,0)+1,FALSE))</f>
        <v/>
      </c>
      <c r="AG5" s="5">
        <v>235</v>
      </c>
      <c r="AH5" s="62" t="str">
        <f ca="1">VLOOKUP($AG5,OFFSET([1]characters!$A$1,0,0,COUNTA([1]characters!$A:$A),MATCH(AH$1,[1]characters!$1:$1,0)-MATCH($A$1,[1]characters!$1:$1,0)+1),MATCH(AH$1,[1]characters!$1:$1,0)-MATCH($A$1,[1]characters!$1:$1,0)+1,FALSE)</f>
        <v>イザナミ</v>
      </c>
      <c r="AI5" s="11" t="str">
        <f>IF(AE5="NULL","NULL",VLOOKUP(G5,ビット!$A$2:$B$7,2))</f>
        <v>NULL</v>
      </c>
      <c r="AJ5" s="6">
        <v>2</v>
      </c>
      <c r="AK5" s="7" t="str">
        <f t="shared" si="1"/>
        <v>普通</v>
      </c>
      <c r="AL5" s="11" t="str">
        <f ca="1">INDEX(経験値!$A$1:$I$20,MATCH(H5,経験値!$A$1:$A$20,FALSE),MATCH(G5,経験値!$A$1:$I$1,FALSE))</f>
        <v>required_exp_250</v>
      </c>
      <c r="AM5" s="8">
        <f ca="1">VLOOKUP(G5,経験値!$A$27:$B$31,2)</f>
        <v>6400</v>
      </c>
      <c r="AN5" s="17">
        <f ca="1">VLOOKUP(G5,ビット!$G$2:$H$7,2)</f>
        <v>900</v>
      </c>
      <c r="AO5" s="45"/>
      <c r="AP5" s="67">
        <f>A5</f>
        <v>1058</v>
      </c>
      <c r="AQ5" s="57" t="str">
        <f ca="1">VLOOKUP($AP5,OFFSET(unit_skills!$A$1,0,0,COUNTA(unit_skills!$A:$A),MATCH(AQ$1,unit_skills!$1:$1,0)-MATCH($AP$1,unit_skills!$1:$1,0)+1),MATCH(AQ$1,unit_skills!$1:$1,0)-MATCH($AP$1,unit_skills!$1:$1,0)+1,FALSE)</f>
        <v>黄泉の霊砲</v>
      </c>
      <c r="AR5" s="57" t="str">
        <f ca="1">VLOOKUP($AP5,OFFSET(unit_skills!$A$1,0,0,COUNTA(unit_skills!$A:$A),MATCH(AR$1,unit_skills!$1:$1,0)-MATCH($AP$1,unit_skills!$1:$1,0)+1),MATCH(AR$1,unit_skills!$1:$1,0)-MATCH($AP$1,unit_skills!$1:$1,0)+1,FALSE)</f>
        <v>C・CB・マグネット・ボム・黄パネル以外をランダムで最大6個Cパネルに変換+1ターン全ユニットの防御力250UP</v>
      </c>
      <c r="AS5" s="57">
        <f ca="1">VLOOKUP($AP5,OFFSET(unit_skills!$A$1,0,0,COUNTA(unit_skills!$A:$A),MATCH(AS$1,unit_skills!$1:$1,0)-MATCH($AP$1,unit_skills!$1:$1,0)+1),MATCH(AS$1,unit_skills!$1:$1,0)-MATCH($AP$1,unit_skills!$1:$1,0)+1,FALSE)</f>
        <v>0</v>
      </c>
      <c r="AT5" s="41">
        <f>A5</f>
        <v>1058</v>
      </c>
      <c r="AU5" s="57" t="str">
        <f ca="1">VLOOKUP($AT5,OFFSET(crash_skills!$A$1,0,0,COUNTA(crash_skills!$A:$A),MATCH(AU$1,crash_skills!$1:$1,0)-MATCH($AT$1,crash_skills!$1:$1,0)+1),MATCH(AU$1,crash_skills!$1:$1,0)-MATCH($AT$1,crash_skills!$1:$1,0)+1,FALSE)</f>
        <v>迎輝の戯貫連弾</v>
      </c>
      <c r="AV5" s="57" t="str">
        <f ca="1">VLOOKUP($AT5,OFFSET(crash_skills!$A$1,0,0,COUNTA(crash_skills!$A:$A),MATCH(AV$1,crash_skills!$1:$1,0)-MATCH($AT$1,crash_skills!$1:$1,0)+1),MATCH(AV$1,crash_skills!$1:$1,0)-MATCH($AT$1,crash_skills!$1:$1,0)+1,FALSE)</f>
        <v>単体に2回大ダメージ</v>
      </c>
      <c r="AW5" s="57">
        <f ca="1">VLOOKUP($AP5,OFFSET(unit_skills!$A$1,0,0,COUNTA(unit_skills!$A:$A),MATCH(AS$1,unit_skills!$1:$1,0)-MATCH($AP$1,unit_skills!$1:$1,0)+1),MATCH(AS$1,unit_skills!$1:$1,0)-MATCH($AP$1,unit_skills!$1:$1,0)+1,FALSE)</f>
        <v>0</v>
      </c>
      <c r="AX5" s="58">
        <f ca="1">VLOOKUP($A5,OFFSET([1]characters!$A$1,0,0,COUNTA([1]characters!$A:$A),MATCH(AX$1,[1]characters!$1:$1,0)-MATCH($A$1,[1]characters!$1:$1,0)+1),MATCH(AX$1,[1]characters!$1:$1,0)-MATCH($A$1,[1]characters!$1:$1,0)+1,FALSE)</f>
        <v>3</v>
      </c>
      <c r="AY5" s="236">
        <v>1.161</v>
      </c>
      <c r="AZ5" s="236">
        <v>1.0309999999999999</v>
      </c>
      <c r="BA5" s="236">
        <v>0</v>
      </c>
      <c r="BB5" s="236">
        <v>1.03</v>
      </c>
      <c r="BC5" s="11">
        <f ca="1">INDEX('RC6SV'!$A$1:$G$20,MATCH(H5,'RC6SV'!$A$1:$A$20,FALSE),MATCH(G5,'RC6SV'!$A$1:$G$1,FALSE))</f>
        <v>12000</v>
      </c>
      <c r="BD5" s="48">
        <f t="shared" ca="1" si="2"/>
        <v>12000</v>
      </c>
      <c r="BE5" s="11">
        <f t="shared" ca="1" si="3"/>
        <v>0</v>
      </c>
      <c r="BF5" s="11">
        <f t="shared" ca="1" si="4"/>
        <v>1</v>
      </c>
      <c r="BG5" s="16">
        <f ca="1">IF($BE5&lt;=0,ROUND(BK5*0.5,0), ROUND($BE5*S5*AA5*J5*AY5*0.8*[1]ステータス!$B$2,0))</f>
        <v>3277</v>
      </c>
      <c r="BH5" s="16">
        <f ca="1">IF($BE5&lt;=0,ROUND(BL5*0.5,0), ROUND($BE5*T5*AB5*K5*AZ5*0.8*[1]ステータス!$C$2,0))</f>
        <v>2543</v>
      </c>
      <c r="BI5" s="16">
        <f ca="1">IF($BE5&lt;=0,ROUND(BM5*0.5,0), ROUND($BE5*U5*AC5*L5*BA5*0.8*[1]ステータス!$D$2,0))</f>
        <v>0</v>
      </c>
      <c r="BJ5" s="16">
        <f ca="1">IF($BE5&lt;=0,ROUND(BN5*0.5,0), ROUND($BE5*V5*AD5*M5*BB5*0.8*[1]ステータス!$E$2,0))</f>
        <v>1067</v>
      </c>
      <c r="BK5" s="11">
        <f ca="1">ROUND(BD5*S5*AA5*J5*AY5*[1]ステータス!$B$2,0)</f>
        <v>6554</v>
      </c>
      <c r="BL5" s="11">
        <f ca="1">ROUND(BD5*T5*AB5*K5*AZ5*[1]ステータス!$C$2,0)</f>
        <v>5086</v>
      </c>
      <c r="BM5" s="11">
        <f ca="1">ROUND(BD5*U5*AC5*L5*BA5*[1]ステータス!$D$2,0)</f>
        <v>0</v>
      </c>
      <c r="BN5" s="11">
        <f ca="1">ROUND(BD5*V5*AD5*M5*BB5*[1]ステータス!$E$2,0)</f>
        <v>2133</v>
      </c>
      <c r="BO5" s="10">
        <v>0</v>
      </c>
      <c r="BP5" s="10">
        <v>1</v>
      </c>
      <c r="BQ5" s="10" t="s">
        <v>43</v>
      </c>
      <c r="BR5" s="10">
        <f ca="1">VLOOKUP(H5,ghosts_label!$A$2:$B$19,2,FALSE)</f>
        <v>700</v>
      </c>
    </row>
    <row r="6" spans="1:70" ht="26" customHeight="1" x14ac:dyDescent="0.15">
      <c r="A6" s="12">
        <v>1121</v>
      </c>
      <c r="B6" s="57" t="str">
        <f ca="1">VLOOKUP($A6,OFFSET([1]characters!$A$1,0,0,COUNTA([1]characters!$A:$A),MATCH(B$1,[1]characters!$1:$1,0)-MATCH($A$1,[1]characters!$1:$1,0)+1),MATCH(B$1,[1]characters!$1:$1,0)-MATCH($A$1,[1]characters!$1:$1,0)+1,FALSE)</f>
        <v>逆燦の機閃刃 オイラー</v>
      </c>
      <c r="C6" s="57" t="str">
        <f ca="1">VLOOKUP($A6,OFFSET([1]characters!$A$1,0,0,COUNTA([1]characters!$A:$A),MATCH(C$1,[1]characters!$1:$1,0)-MATCH($A$1,[1]characters!$1:$1,0)+1),MATCH(C$1,[1]characters!$1:$1,0)-MATCH($A$1,[1]characters!$1:$1,0)+1,FALSE)</f>
        <v>未定</v>
      </c>
      <c r="D6" s="57" t="str">
        <f ca="1">VLOOKUP($A6,OFFSET([1]characters!$A$1,0,0,COUNTA([1]characters!$A:$A),MATCH(D$1,[1]characters!$1:$1,0)-MATCH($A$1,[1]characters!$1:$1,0)+1),MATCH(D$1,[1]characters!$1:$1,0)-MATCH($A$1,[1]characters!$1:$1,0)+1,FALSE)</f>
        <v>アリス</v>
      </c>
      <c r="E6" s="57" t="str">
        <f ca="1">VLOOKUP($A6,OFFSET([1]characters!$A$1,0,0,COUNTA([1]characters!$A:$A),MATCH(E$1,[1]characters!$1:$1,0)-MATCH($A$1,[1]characters!$1:$1,0)+1),MATCH(E$1,[1]characters!$1:$1,0)-MATCH($A$1,[1]characters!$1:$1,0)+1,FALSE)</f>
        <v>世界観</v>
      </c>
      <c r="F6" s="57" t="str">
        <f ca="1">VLOOKUP($A6,OFFSET([1]characters!$A$1,0,0,COUNTA([1]characters!$A:$A),MATCH(F$1,[1]characters!$1:$1,0)-MATCH($A$1,[1]characters!$1:$1,0)+1),MATCH(F$1,[1]characters!$1:$1,0)-MATCH($A$1,[1]characters!$1:$1,0)+1,FALSE)</f>
        <v>不明</v>
      </c>
      <c r="G6" s="57">
        <f ca="1">VLOOKUP($A6,OFFSET([1]characters!$A$1,0,0,COUNTA([1]characters!$A:$A),MATCH(G$1,[1]characters!$1:$1,0)-MATCH($A$1,[1]characters!$1:$1,0)+1),MATCH(G$1,[1]characters!$1:$1,0)-MATCH($A$1,[1]characters!$1:$1,0)+1,FALSE)</f>
        <v>6</v>
      </c>
      <c r="H6" s="57" t="str">
        <f ca="1">VLOOKUP($A6,OFFSET([1]characters!$A$1,0,0,COUNTA([1]characters!$A:$A),MATCH(H$1,[1]characters!$1:$1,0)-MATCH($A$1,[1]characters!$1:$1,0)+1),MATCH(H$1,[1]characters!$1:$1,0)-MATCH($A$1,[1]characters!$1:$1,0)+1,FALSE)</f>
        <v>PremiumSSS</v>
      </c>
      <c r="I6" s="57" t="str">
        <f ca="1">VLOOKUP($A6,OFFSET([1]characters!$A$1,0,0,COUNTA([1]characters!$A:$A),MATCH(I$1,[1]characters!$1:$1,0)-MATCH($A$1,[1]characters!$1:$1,0)+1),MATCH(I$1,[1]characters!$1:$1,0)-MATCH($A$1,[1]characters!$1:$1,0)+1,FALSE)</f>
        <v>green</v>
      </c>
      <c r="J6" s="11">
        <f ca="1">VLOOKUP(I6,[1]属性!$A:$E,2,FALSE)</f>
        <v>1.02</v>
      </c>
      <c r="K6" s="11">
        <f ca="1">VLOOKUP(I6,[1]属性!$A:$E,3,FALSE)</f>
        <v>0.98</v>
      </c>
      <c r="L6" s="11">
        <f ca="1">VLOOKUP(I6,[1]属性!$A:$E,4,FALSE)</f>
        <v>1</v>
      </c>
      <c r="M6" s="11">
        <f ca="1">VLOOKUP(I6,[1]属性!$A:$E,5,FALSE)</f>
        <v>1</v>
      </c>
      <c r="N6" s="11">
        <f ca="1">INDEX(コスト!$A$1:$I$20,MATCH(H6,コスト!$A$1:$A$20,FALSE),MATCH(G6,コスト!$A$1:$I$1,FALSE))</f>
        <v>55</v>
      </c>
      <c r="O6" s="11">
        <f ca="1">INDEX(レベル!$A$1:$I$21,MATCH(H6,レベル!$A$1:$A$21,FALSE),MATCH(G6,レベル!$A$1:$I$1,FALSE))</f>
        <v>99</v>
      </c>
      <c r="P6" s="48">
        <f t="shared" ref="P6" ca="1" si="5">IF(G6 &gt;= 6, 99,G6*15)</f>
        <v>99</v>
      </c>
      <c r="Q6" s="57" t="str">
        <f ca="1">VLOOKUP($A6,OFFSET([1]characters!$A$1,0,0,COUNTA([1]characters!$A:$A),MATCH(Q$1,[1]characters!$1:$1,0)-MATCH($A$1,[1]characters!$1:$1,0)+1),MATCH(Q$1,[1]characters!$1:$1,0)-MATCH($A$1,[1]characters!$1:$1,0)+1,FALSE)</f>
        <v>balance</v>
      </c>
      <c r="R6" s="5" t="str">
        <f ca="1">VLOOKUP(Q6,[1]character_type_i18n!$A:$H,3,FALSE)</f>
        <v>バランスタイプ</v>
      </c>
      <c r="S6" s="11">
        <f ca="1">VLOOKUP(Q6,[1]character_type_i18n!$A:$H,4,FALSE)</f>
        <v>1</v>
      </c>
      <c r="T6" s="11">
        <f ca="1">VLOOKUP(Q6,[1]character_type_i18n!$A:$H,5,FALSE)</f>
        <v>1</v>
      </c>
      <c r="U6" s="11">
        <f ca="1">VLOOKUP(Q6,[1]character_type_i18n!$A:$H,6,FALSE)</f>
        <v>1</v>
      </c>
      <c r="V6" s="11">
        <f ca="1">VLOOKUP(Q6,[1]character_type_i18n!$A:$H,7,FALSE)</f>
        <v>1</v>
      </c>
      <c r="W6" s="57" t="str">
        <f ca="1">VLOOKUP($A6,OFFSET([1]characters!$A$1,0,0,COUNTA([1]characters!$A:$A),MATCH(W$1,[1]characters!$1:$1,0)-MATCH($A$1,[1]characters!$1:$1,0)+1),MATCH(W$1,[1]characters!$1:$1,0)-MATCH($A$1,[1]characters!$1:$1,0)+1,FALSE)</f>
        <v>academia</v>
      </c>
      <c r="X6" s="5" t="str">
        <f ca="1">VLOOKUP(W6,[1]character_tribe_i18n!$A:$H,3,FALSE)</f>
        <v>アカデミア</v>
      </c>
      <c r="Y6" s="57" t="str">
        <f ca="1">VLOOKUP($A6,OFFSET([1]characters!$A$1,0,0,COUNTA([1]characters!$A:$A),MATCH(Y$1,[1]characters!$1:$1,0)-MATCH($A$1,[1]characters!$1:$1,0)+1),MATCH(Y$1,[1]characters!$1:$1,0)-MATCH($A$1,[1]characters!$1:$1,0)+1,FALSE)</f>
        <v>none</v>
      </c>
      <c r="Z6" s="5" t="str">
        <f ca="1">VLOOKUP(Y6,[1]character_tribe_i18n!$A:$H,3,FALSE)</f>
        <v>種族なし</v>
      </c>
      <c r="AA6" s="11">
        <f ca="1">VLOOKUP(W6,[1]character_tribe_i18n!$A:$H,4,FALSE)</f>
        <v>1</v>
      </c>
      <c r="AB6" s="11">
        <f ca="1">VLOOKUP(W6,[1]character_tribe_i18n!$A:$H,5,FALSE)</f>
        <v>1</v>
      </c>
      <c r="AC6" s="11">
        <f ca="1">VLOOKUP(W6,[1]character_tribe_i18n!$A:$H,6,FALSE)</f>
        <v>1</v>
      </c>
      <c r="AD6" s="11">
        <f ca="1">VLOOKUP(W6,[1]character_tribe_i18n!$A:$H,7,FALSE)</f>
        <v>1</v>
      </c>
      <c r="AE6" s="9" t="s">
        <v>175</v>
      </c>
      <c r="AF6" s="62" t="str">
        <f ca="1">IF(AE6="NULL","",VLOOKUP($AE6,OFFSET([1]characters!$A$1,0,0,COUNTA([1]characters!$A:$A),MATCH(AF$1,[1]characters!$1:$1,0)-MATCH($A$1,[1]characters!$1:$1,0)+1),MATCH(AF$1,[1]characters!$1:$1,0)-MATCH($A$1,[1]characters!$1:$1,0)+1,FALSE))</f>
        <v/>
      </c>
      <c r="AG6" s="5">
        <v>378</v>
      </c>
      <c r="AH6" s="62" t="str">
        <f ca="1">VLOOKUP($AG6,OFFSET([1]characters!$A$1,0,0,COUNTA([1]characters!$A:$A),MATCH(AH$1,[1]characters!$1:$1,0)-MATCH($A$1,[1]characters!$1:$1,0)+1),MATCH(AH$1,[1]characters!$1:$1,0)-MATCH($A$1,[1]characters!$1:$1,0)+1,FALSE)</f>
        <v>オイラー</v>
      </c>
      <c r="AI6" s="11" t="str">
        <f>IF(AE6="NULL","NULL",VLOOKUP(G6,ビット!$A$2:$B$7,2))</f>
        <v>NULL</v>
      </c>
      <c r="AJ6" s="6">
        <v>2</v>
      </c>
      <c r="AK6" s="7" t="str">
        <f t="shared" ref="AK6" si="6">IF(AJ6=1,"早熟",IF(AJ6=2,"普通",IF(AJ6=3,"晩成","")))</f>
        <v>普通</v>
      </c>
      <c r="AL6" s="11" t="str">
        <f ca="1">INDEX(経験値!$A$1:$I$20,MATCH(H6,経験値!$A$1:$A$20,FALSE),MATCH(G6,経験値!$A$1:$I$1,FALSE))</f>
        <v>required_exp_300</v>
      </c>
      <c r="AM6" s="8">
        <f ca="1">VLOOKUP(G6,経験値!$A$27:$B$31,2)</f>
        <v>6400</v>
      </c>
      <c r="AN6" s="17">
        <f ca="1">VLOOKUP(G6,ビット!$G$2:$H$7,2)</f>
        <v>900</v>
      </c>
      <c r="AO6" s="45"/>
      <c r="AP6" s="67">
        <f>A6</f>
        <v>1121</v>
      </c>
      <c r="AQ6" s="57" t="str">
        <f ca="1">VLOOKUP($AP6,OFFSET(unit_skills!$A$1,0,0,COUNTA(unit_skills!$A:$A),MATCH(AQ$1,unit_skills!$1:$1,0)-MATCH($AP$1,unit_skills!$1:$1,0)+1),MATCH(AQ$1,unit_skills!$1:$1,0)-MATCH($AP$1,unit_skills!$1:$1,0)+1,FALSE)</f>
        <v>煌式律華・アングルスカッド</v>
      </c>
      <c r="AR6" s="57" t="str">
        <f ca="1">VLOOKUP($AP6,OFFSET(unit_skills!$A$1,0,0,COUNTA(unit_skills!$A:$A),MATCH(AR$1,unit_skills!$1:$1,0)-MATCH($AP$1,unit_skills!$1:$1,0)+1),MATCH(AR$1,unit_skills!$1:$1,0)-MATCH($AP$1,unit_skills!$1:$1,0)+1,FALSE)</f>
        <v>ハート･ダメージ･時限式ダメージをCパネルに、赤･青パネルを緑ボムパネルに変換+1ターン赤パネルを緑ボムパネルでドロップ</v>
      </c>
      <c r="AS6" s="57">
        <f ca="1">VLOOKUP($AP6,OFFSET(unit_skills!$A$1,0,0,COUNTA(unit_skills!$A:$A),MATCH(AS$1,unit_skills!$1:$1,0)-MATCH($AP$1,unit_skills!$1:$1,0)+1),MATCH(AS$1,unit_skills!$1:$1,0)-MATCH($AP$1,unit_skills!$1:$1,0)+1,FALSE)</f>
        <v>0</v>
      </c>
      <c r="AT6" s="41">
        <f>A6</f>
        <v>1121</v>
      </c>
      <c r="AU6" s="57" t="str">
        <f ca="1">VLOOKUP($AT6,OFFSET(crash_skills!$A$1,0,0,COUNTA(crash_skills!$A:$A),MATCH(AU$1,crash_skills!$1:$1,0)-MATCH($AT$1,crash_skills!$1:$1,0)+1),MATCH(AU$1,crash_skills!$1:$1,0)-MATCH($AT$1,crash_skills!$1:$1,0)+1,FALSE)</f>
        <v>嵐竜波狼・エンドレスブレード</v>
      </c>
      <c r="AV6" s="57" t="str">
        <f ca="1">VLOOKUP($AT6,OFFSET(crash_skills!$A$1,0,0,COUNTA(crash_skills!$A:$A),MATCH(AV$1,crash_skills!$1:$1,0)-MATCH($AT$1,crash_skills!$1:$1,0)+1),MATCH(AV$1,crash_skills!$1:$1,0)-MATCH($AT$1,crash_skills!$1:$1,0)+1,FALSE)</f>
        <v>1体に超大ダメージ+_x000D_全体に小ダメージ</v>
      </c>
      <c r="AW6" s="57">
        <f ca="1">VLOOKUP($AP6,OFFSET(unit_skills!$A$1,0,0,COUNTA(unit_skills!$A:$A),MATCH(AS$1,unit_skills!$1:$1,0)-MATCH($AP$1,unit_skills!$1:$1,0)+1),MATCH(AS$1,unit_skills!$1:$1,0)-MATCH($AP$1,unit_skills!$1:$1,0)+1,FALSE)</f>
        <v>0</v>
      </c>
      <c r="AX6" s="58">
        <f ca="1">VLOOKUP($A6,OFFSET([1]characters!$A$1,0,0,COUNTA([1]characters!$A:$A),MATCH(AX$1,[1]characters!$1:$1,0)-MATCH($A$1,[1]characters!$1:$1,0)+1),MATCH(AX$1,[1]characters!$1:$1,0)-MATCH($A$1,[1]characters!$1:$1,0)+1,FALSE)</f>
        <v>3</v>
      </c>
      <c r="AY6" s="236">
        <v>1.0620000000000001</v>
      </c>
      <c r="AZ6" s="236">
        <v>1.111</v>
      </c>
      <c r="BA6" s="236">
        <v>0</v>
      </c>
      <c r="BB6" s="236">
        <v>1.06</v>
      </c>
      <c r="BC6" s="11">
        <f ca="1">INDEX('RC6SV'!$A$1:$G$20,MATCH(H6,'RC6SV'!$A$1:$A$20,FALSE),MATCH(G6,'RC6SV'!$A$1:$G$1,FALSE))</f>
        <v>14000</v>
      </c>
      <c r="BD6" s="48">
        <f t="shared" ref="BD6" ca="1" si="7">ROUND(BC6*IF(AJ6=1,0.95,IF(AJ6=2,1,IF(AJ6,1.05,0))),0)</f>
        <v>14000</v>
      </c>
      <c r="BE6" s="11">
        <f t="shared" ca="1" si="3"/>
        <v>0</v>
      </c>
      <c r="BF6" s="11">
        <f t="shared" ca="1" si="4"/>
        <v>1</v>
      </c>
      <c r="BG6" s="16">
        <f ca="1">IF($BE6&lt;=0,ROUND(BK6*0.5,0), ROUND($BE6*S6*AA6*J6*AY6*0.8*[1]ステータス!$B$2,0))</f>
        <v>3792</v>
      </c>
      <c r="BH6" s="16">
        <f ca="1">IF($BE6&lt;=0,ROUND(BL6*0.5,0), ROUND($BE6*T6*AB6*K6*AZ6*0.8*[1]ステータス!$C$2,0))</f>
        <v>2287</v>
      </c>
      <c r="BI6" s="16">
        <f ca="1">IF($BE6&lt;=0,ROUND(BM6*0.5,0), ROUND($BE6*U6*AC6*L6*BA6*0.8*[1]ステータス!$D$2,0))</f>
        <v>0</v>
      </c>
      <c r="BJ6" s="16">
        <f ca="1">IF($BE6&lt;=0,ROUND(BN6*0.5,0), ROUND($BE6*V6*AD6*M6*BB6*0.8*[1]ステータス!$E$2,0))</f>
        <v>1855</v>
      </c>
      <c r="BK6" s="11">
        <f ca="1">ROUND(BD6*S6*AA6*J6*AY6*[1]ステータス!$B$2,0)</f>
        <v>7583</v>
      </c>
      <c r="BL6" s="11">
        <f ca="1">ROUND(BD6*T6*AB6*K6*AZ6*[1]ステータス!$C$2,0)</f>
        <v>4573</v>
      </c>
      <c r="BM6" s="11">
        <f ca="1">ROUND(BD6*U6*AC6*L6*BA6*[1]ステータス!$D$2,0)</f>
        <v>0</v>
      </c>
      <c r="BN6" s="11">
        <f ca="1">ROUND(BD6*V6*AD6*M6*BB6*[1]ステータス!$E$2,0)</f>
        <v>3710</v>
      </c>
      <c r="BO6" s="10">
        <v>0</v>
      </c>
      <c r="BP6" s="10">
        <v>1</v>
      </c>
      <c r="BQ6" s="10" t="s">
        <v>43</v>
      </c>
      <c r="BR6" s="10">
        <f ca="1">VLOOKUP(H6,ghosts_label!$A$2:$B$19,2,FALSE)</f>
        <v>30000</v>
      </c>
    </row>
    <row r="7" spans="1:70" ht="26" customHeight="1" x14ac:dyDescent="0.15">
      <c r="A7" s="12">
        <v>1124</v>
      </c>
      <c r="B7" s="57" t="str">
        <f ca="1">VLOOKUP($A7,OFFSET([1]characters!$A$1,0,0,COUNTA([1]characters!$A:$A),MATCH(B$1,[1]characters!$1:$1,0)-MATCH($A$1,[1]characters!$1:$1,0)+1),MATCH(B$1,[1]characters!$1:$1,0)-MATCH($A$1,[1]characters!$1:$1,0)+1,FALSE)</f>
        <v>超絶界析 ラグランジュ</v>
      </c>
      <c r="C7" s="57" t="str">
        <f ca="1">VLOOKUP($A7,OFFSET([1]characters!$A$1,0,0,COUNTA([1]characters!$A:$A),MATCH(C$1,[1]characters!$1:$1,0)-MATCH($A$1,[1]characters!$1:$1,0)+1),MATCH(C$1,[1]characters!$1:$1,0)-MATCH($A$1,[1]characters!$1:$1,0)+1,FALSE)</f>
        <v>未定</v>
      </c>
      <c r="D7" s="57" t="str">
        <f ca="1">VLOOKUP($A7,OFFSET([1]characters!$A$1,0,0,COUNTA([1]characters!$A:$A),MATCH(D$1,[1]characters!$1:$1,0)-MATCH($A$1,[1]characters!$1:$1,0)+1),MATCH(D$1,[1]characters!$1:$1,0)-MATCH($A$1,[1]characters!$1:$1,0)+1,FALSE)</f>
        <v>アリス</v>
      </c>
      <c r="E7" s="57" t="str">
        <f ca="1">VLOOKUP($A7,OFFSET([1]characters!$A$1,0,0,COUNTA([1]characters!$A:$A),MATCH(E$1,[1]characters!$1:$1,0)-MATCH($A$1,[1]characters!$1:$1,0)+1),MATCH(E$1,[1]characters!$1:$1,0)-MATCH($A$1,[1]characters!$1:$1,0)+1,FALSE)</f>
        <v>世界観</v>
      </c>
      <c r="F7" s="57" t="str">
        <f ca="1">VLOOKUP($A7,OFFSET([1]characters!$A$1,0,0,COUNTA([1]characters!$A:$A),MATCH(F$1,[1]characters!$1:$1,0)-MATCH($A$1,[1]characters!$1:$1,0)+1),MATCH(F$1,[1]characters!$1:$1,0)-MATCH($A$1,[1]characters!$1:$1,0)+1,FALSE)</f>
        <v>不明</v>
      </c>
      <c r="G7" s="57">
        <f ca="1">VLOOKUP($A7,OFFSET([1]characters!$A$1,0,0,COUNTA([1]characters!$A:$A),MATCH(G$1,[1]characters!$1:$1,0)-MATCH($A$1,[1]characters!$1:$1,0)+1),MATCH(G$1,[1]characters!$1:$1,0)-MATCH($A$1,[1]characters!$1:$1,0)+1,FALSE)</f>
        <v>6</v>
      </c>
      <c r="H7" s="57" t="str">
        <f ca="1">VLOOKUP($A7,OFFSET([1]characters!$A$1,0,0,COUNTA([1]characters!$A:$A),MATCH(H$1,[1]characters!$1:$1,0)-MATCH($A$1,[1]characters!$1:$1,0)+1),MATCH(H$1,[1]characters!$1:$1,0)-MATCH($A$1,[1]characters!$1:$1,0)+1,FALSE)</f>
        <v>PremiumSSS</v>
      </c>
      <c r="I7" s="57" t="str">
        <f ca="1">VLOOKUP($A7,OFFSET([1]characters!$A$1,0,0,COUNTA([1]characters!$A:$A),MATCH(I$1,[1]characters!$1:$1,0)-MATCH($A$1,[1]characters!$1:$1,0)+1),MATCH(I$1,[1]characters!$1:$1,0)-MATCH($A$1,[1]characters!$1:$1,0)+1,FALSE)</f>
        <v>red</v>
      </c>
      <c r="J7" s="11">
        <f ca="1">VLOOKUP(I7,[1]属性!$A:$E,2,FALSE)</f>
        <v>1</v>
      </c>
      <c r="K7" s="11">
        <f ca="1">VLOOKUP(I7,[1]属性!$A:$E,3,FALSE)</f>
        <v>1.02</v>
      </c>
      <c r="L7" s="11">
        <f ca="1">VLOOKUP(I7,[1]属性!$A:$E,4,FALSE)</f>
        <v>1</v>
      </c>
      <c r="M7" s="11">
        <f ca="1">VLOOKUP(I7,[1]属性!$A:$E,5,FALSE)</f>
        <v>0.98</v>
      </c>
      <c r="N7" s="11">
        <f ca="1">INDEX(コスト!$A$1:$I$20,MATCH(H7,コスト!$A$1:$A$20,FALSE),MATCH(G7,コスト!$A$1:$I$1,FALSE))</f>
        <v>55</v>
      </c>
      <c r="O7" s="11">
        <f ca="1">INDEX(レベル!$A$1:$I$21,MATCH(H7,レベル!$A$1:$A$21,FALSE),MATCH(G7,レベル!$A$1:$I$1,FALSE))</f>
        <v>99</v>
      </c>
      <c r="P7" s="48">
        <f t="shared" ref="P7:P8" ca="1" si="8">IF(G7 &gt;= 6, 99,G7*15)</f>
        <v>99</v>
      </c>
      <c r="Q7" s="57" t="str">
        <f ca="1">VLOOKUP($A7,OFFSET([1]characters!$A$1,0,0,COUNTA([1]characters!$A:$A),MATCH(Q$1,[1]characters!$1:$1,0)-MATCH($A$1,[1]characters!$1:$1,0)+1),MATCH(Q$1,[1]characters!$1:$1,0)-MATCH($A$1,[1]characters!$1:$1,0)+1,FALSE)</f>
        <v>technical</v>
      </c>
      <c r="R7" s="5" t="str">
        <f ca="1">VLOOKUP(Q7,[1]character_type_i18n!$A:$H,3,FALSE)</f>
        <v>テクニカルタイプ</v>
      </c>
      <c r="S7" s="11">
        <f ca="1">VLOOKUP(Q7,[1]character_type_i18n!$A:$H,4,FALSE)</f>
        <v>0.9</v>
      </c>
      <c r="T7" s="11">
        <f ca="1">VLOOKUP(Q7,[1]character_type_i18n!$A:$H,5,FALSE)</f>
        <v>0.9</v>
      </c>
      <c r="U7" s="11">
        <f ca="1">VLOOKUP(Q7,[1]character_type_i18n!$A:$H,6,FALSE)</f>
        <v>1</v>
      </c>
      <c r="V7" s="11">
        <f ca="1">VLOOKUP(Q7,[1]character_type_i18n!$A:$H,7,FALSE)</f>
        <v>0.9</v>
      </c>
      <c r="W7" s="57" t="str">
        <f ca="1">VLOOKUP($A7,OFFSET([1]characters!$A$1,0,0,COUNTA([1]characters!$A:$A),MATCH(W$1,[1]characters!$1:$1,0)-MATCH($A$1,[1]characters!$1:$1,0)+1),MATCH(W$1,[1]characters!$1:$1,0)-MATCH($A$1,[1]characters!$1:$1,0)+1,FALSE)</f>
        <v>academia</v>
      </c>
      <c r="X7" s="5" t="str">
        <f ca="1">VLOOKUP(W7,[1]character_tribe_i18n!$A:$H,3,FALSE)</f>
        <v>アカデミア</v>
      </c>
      <c r="Y7" s="57" t="str">
        <f ca="1">VLOOKUP($A7,OFFSET([1]characters!$A$1,0,0,COUNTA([1]characters!$A:$A),MATCH(Y$1,[1]characters!$1:$1,0)-MATCH($A$1,[1]characters!$1:$1,0)+1),MATCH(Y$1,[1]characters!$1:$1,0)-MATCH($A$1,[1]characters!$1:$1,0)+1,FALSE)</f>
        <v>none</v>
      </c>
      <c r="Z7" s="5" t="str">
        <f ca="1">VLOOKUP(Y7,[1]character_tribe_i18n!$A:$H,3,FALSE)</f>
        <v>種族なし</v>
      </c>
      <c r="AA7" s="11">
        <f ca="1">VLOOKUP(W7,[1]character_tribe_i18n!$A:$H,4,FALSE)</f>
        <v>1</v>
      </c>
      <c r="AB7" s="11">
        <f ca="1">VLOOKUP(W7,[1]character_tribe_i18n!$A:$H,5,FALSE)</f>
        <v>1</v>
      </c>
      <c r="AC7" s="11">
        <f ca="1">VLOOKUP(W7,[1]character_tribe_i18n!$A:$H,6,FALSE)</f>
        <v>1</v>
      </c>
      <c r="AD7" s="11">
        <f ca="1">VLOOKUP(W7,[1]character_tribe_i18n!$A:$H,7,FALSE)</f>
        <v>1</v>
      </c>
      <c r="AE7" s="9" t="s">
        <v>175</v>
      </c>
      <c r="AF7" s="62" t="str">
        <f ca="1">IF(AE7="NULL","",VLOOKUP($AE7,OFFSET([1]characters!$A$1,0,0,COUNTA([1]characters!$A:$A),MATCH(AF$1,[1]characters!$1:$1,0)-MATCH($A$1,[1]characters!$1:$1,0)+1),MATCH(AF$1,[1]characters!$1:$1,0)-MATCH($A$1,[1]characters!$1:$1,0)+1,FALSE))</f>
        <v/>
      </c>
      <c r="AG7" s="5">
        <v>484</v>
      </c>
      <c r="AH7" s="62" t="str">
        <f ca="1">VLOOKUP($AG7,OFFSET([1]characters!$A$1,0,0,COUNTA([1]characters!$A:$A),MATCH(AH$1,[1]characters!$1:$1,0)-MATCH($A$1,[1]characters!$1:$1,0)+1),MATCH(AH$1,[1]characters!$1:$1,0)-MATCH($A$1,[1]characters!$1:$1,0)+1,FALSE)</f>
        <v>ラグランジュ</v>
      </c>
      <c r="AI7" s="11" t="str">
        <f>IF(AE7="NULL","NULL",VLOOKUP(G7,ビット!$A$2:$B$7,2))</f>
        <v>NULL</v>
      </c>
      <c r="AJ7" s="6">
        <v>2</v>
      </c>
      <c r="AK7" s="7" t="str">
        <f t="shared" ref="AK7:AK10" si="9">IF(AJ7=1,"早熟",IF(AJ7=2,"普通",IF(AJ7=3,"晩成","")))</f>
        <v>普通</v>
      </c>
      <c r="AL7" s="11" t="str">
        <f ca="1">INDEX(経験値!$A$1:$I$20,MATCH(H7,経験値!$A$1:$A$20,FALSE),MATCH(G7,経験値!$A$1:$I$1,FALSE))</f>
        <v>required_exp_300</v>
      </c>
      <c r="AM7" s="8">
        <f ca="1">VLOOKUP(G7,経験値!$A$27:$B$31,2)</f>
        <v>6400</v>
      </c>
      <c r="AN7" s="17">
        <f ca="1">VLOOKUP(G7,ビット!$G$2:$H$7,2)</f>
        <v>900</v>
      </c>
      <c r="AO7" s="45"/>
      <c r="AP7" s="67">
        <v>1124</v>
      </c>
      <c r="AQ7" s="57" t="str">
        <f ca="1">VLOOKUP($AP7,OFFSET(unit_skills!$A$1,0,0,COUNTA(unit_skills!$A:$A),MATCH(AQ$1,unit_skills!$1:$1,0)-MATCH($AP$1,unit_skills!$1:$1,0)+1),MATCH(AQ$1,unit_skills!$1:$1,0)-MATCH($AP$1,unit_skills!$1:$1,0)+1,FALSE)</f>
        <v>確信増極・マルティプライヤー</v>
      </c>
      <c r="AR7" s="57" t="str">
        <f ca="1">VLOOKUP($AP7,OFFSET(unit_skills!$A$1,0,0,COUNTA(unit_skills!$A:$A),MATCH(AR$1,unit_skills!$1:$1,0)-MATCH($AP$1,unit_skills!$1:$1,0)+1),MATCH(AR$1,unit_skills!$1:$1,0)-MATCH($AP$1,unit_skills!$1:$1,0)+1,FALSE)</f>
        <v>緑を赤パネル変換+1ターン赤・青パネル出現率特大UP、全ユニット攻撃力UP(赤・青・C・CB・Mパネル以外を吸収し効果UP)</v>
      </c>
      <c r="AS7" s="57">
        <f ca="1">VLOOKUP($AP7,OFFSET(unit_skills!$A$1,0,0,COUNTA(unit_skills!$A:$A),MATCH(AS$1,unit_skills!$1:$1,0)-MATCH($AP$1,unit_skills!$1:$1,0)+1),MATCH(AS$1,unit_skills!$1:$1,0)-MATCH($AP$1,unit_skills!$1:$1,0)+1,FALSE)</f>
        <v>0</v>
      </c>
      <c r="AT7" s="41">
        <v>1124</v>
      </c>
      <c r="AU7" s="57" t="str">
        <f ca="1">VLOOKUP($AT7,OFFSET(crash_skills!$A$1,0,0,COUNTA(crash_skills!$A:$A),MATCH(AU$1,crash_skills!$1:$1,0)-MATCH($AT$1,crash_skills!$1:$1,0)+1),MATCH(AU$1,crash_skills!$1:$1,0)-MATCH($AT$1,crash_skills!$1:$1,0)+1,FALSE)</f>
        <v>群発墜星・ミリオンテイル</v>
      </c>
      <c r="AV7" s="57" t="str">
        <f ca="1">VLOOKUP($AT7,OFFSET(crash_skills!$A$1,0,0,COUNTA(crash_skills!$A:$A),MATCH(AV$1,crash_skills!$1:$1,0)-MATCH($AT$1,crash_skills!$1:$1,0)+1),MATCH(AV$1,crash_skills!$1:$1,0)-MATCH($AT$1,crash_skills!$1:$1,0)+1,FALSE)</f>
        <v>1体に超大ダメージ</v>
      </c>
      <c r="AW7" s="57">
        <f ca="1">VLOOKUP($AP7,OFFSET(unit_skills!$A$1,0,0,COUNTA(unit_skills!$A:$A),MATCH(AS$1,unit_skills!$1:$1,0)-MATCH($AP$1,unit_skills!$1:$1,0)+1),MATCH(AS$1,unit_skills!$1:$1,0)-MATCH($AP$1,unit_skills!$1:$1,0)+1,FALSE)</f>
        <v>0</v>
      </c>
      <c r="AX7" s="58">
        <f ca="1">VLOOKUP($A7,OFFSET([1]characters!$A$1,0,0,COUNTA([1]characters!$A:$A),MATCH(AX$1,[1]characters!$1:$1,0)-MATCH($A$1,[1]characters!$1:$1,0)+1),MATCH(AX$1,[1]characters!$1:$1,0)-MATCH($A$1,[1]characters!$1:$1,0)+1,FALSE)</f>
        <v>3</v>
      </c>
      <c r="AY7" s="236">
        <v>1.0069999999999999</v>
      </c>
      <c r="AZ7" s="236">
        <v>1.26</v>
      </c>
      <c r="BA7" s="236">
        <v>0</v>
      </c>
      <c r="BB7" s="236">
        <v>1.2</v>
      </c>
      <c r="BC7" s="11">
        <f ca="1">INDEX('RC6SV'!$A$1:$G$20,MATCH(H7,'RC6SV'!$A$1:$A$20,FALSE),MATCH(G7,'RC6SV'!$A$1:$G$1,FALSE))</f>
        <v>14000</v>
      </c>
      <c r="BD7" s="48">
        <f t="shared" ref="BD7:BD10" ca="1" si="10">ROUND(BC7*IF(AJ7=1,0.95,IF(AJ7=2,1,IF(AJ7,1.05,0))),0)</f>
        <v>14000</v>
      </c>
      <c r="BE7" s="11">
        <f t="shared" ca="1" si="3"/>
        <v>0</v>
      </c>
      <c r="BF7" s="11">
        <f t="shared" ca="1" si="4"/>
        <v>1</v>
      </c>
      <c r="BG7" s="16">
        <f ca="1">IF($BE7&lt;=0,ROUND(BK7*0.5,0), ROUND($BE7*S7*AA7*J7*AY7*0.8*[1]ステータス!$B$2,0))</f>
        <v>3172</v>
      </c>
      <c r="BH7" s="16">
        <f ca="1">IF($BE7&lt;=0,ROUND(BL7*0.5,0), ROUND($BE7*T7*AB7*K7*AZ7*0.8*[1]ステータス!$C$2,0))</f>
        <v>2429</v>
      </c>
      <c r="BI7" s="16">
        <f ca="1">IF($BE7&lt;=0,ROUND(BM7*0.5,0), ROUND($BE7*U7*AC7*L7*BA7*0.8*[1]ステータス!$D$2,0))</f>
        <v>0</v>
      </c>
      <c r="BJ7" s="16">
        <f ca="1">IF($BE7&lt;=0,ROUND(BN7*0.5,0), ROUND($BE7*V7*AD7*M7*BB7*0.8*[1]ステータス!$E$2,0))</f>
        <v>1852</v>
      </c>
      <c r="BK7" s="11">
        <f ca="1">ROUND(BD7*S7*AA7*J7*AY7*[1]ステータス!$B$2,0)</f>
        <v>6344</v>
      </c>
      <c r="BL7" s="11">
        <f ca="1">ROUND(BD7*T7*AB7*K7*AZ7*[1]ステータス!$C$2,0)</f>
        <v>4858</v>
      </c>
      <c r="BM7" s="11">
        <f ca="1">ROUND(BD7*U7*AC7*L7*BA7*[1]ステータス!$D$2,0)</f>
        <v>0</v>
      </c>
      <c r="BN7" s="11">
        <f ca="1">ROUND(BD7*V7*AD7*M7*BB7*[1]ステータス!$E$2,0)</f>
        <v>3704</v>
      </c>
      <c r="BO7" s="10">
        <v>0</v>
      </c>
      <c r="BP7" s="10">
        <v>1</v>
      </c>
      <c r="BQ7" s="10" t="s">
        <v>43</v>
      </c>
      <c r="BR7" s="10">
        <f ca="1">VLOOKUP(H7,ghosts_label!$A$2:$B$19,2,FALSE)</f>
        <v>30000</v>
      </c>
    </row>
    <row r="8" spans="1:70" ht="26" customHeight="1" x14ac:dyDescent="0.15">
      <c r="A8" s="12">
        <v>1116</v>
      </c>
      <c r="B8" s="57" t="str">
        <f ca="1">VLOOKUP($A8,OFFSET([1]characters!$A$1,0,0,COUNTA([1]characters!$A:$A),MATCH(B$1,[1]characters!$1:$1,0)-MATCH($A$1,[1]characters!$1:$1,0)+1),MATCH(B$1,[1]characters!$1:$1,0)-MATCH($A$1,[1]characters!$1:$1,0)+1,FALSE)</f>
        <v>天檄総氏神 アマテラス</v>
      </c>
      <c r="C8" s="57" t="str">
        <f ca="1">VLOOKUP($A8,OFFSET([1]characters!$A$1,0,0,COUNTA([1]characters!$A:$A),MATCH(C$1,[1]characters!$1:$1,0)-MATCH($A$1,[1]characters!$1:$1,0)+1),MATCH(C$1,[1]characters!$1:$1,0)-MATCH($A$1,[1]characters!$1:$1,0)+1,FALSE)</f>
        <v>未定</v>
      </c>
      <c r="D8" s="57" t="str">
        <f ca="1">VLOOKUP($A8,OFFSET([1]characters!$A$1,0,0,COUNTA([1]characters!$A:$A),MATCH(D$1,[1]characters!$1:$1,0)-MATCH($A$1,[1]characters!$1:$1,0)+1),MATCH(D$1,[1]characters!$1:$1,0)-MATCH($A$1,[1]characters!$1:$1,0)+1,FALSE)</f>
        <v>アリス</v>
      </c>
      <c r="E8" s="57" t="str">
        <f ca="1">VLOOKUP($A8,OFFSET([1]characters!$A$1,0,0,COUNTA([1]characters!$A:$A),MATCH(E$1,[1]characters!$1:$1,0)-MATCH($A$1,[1]characters!$1:$1,0)+1),MATCH(E$1,[1]characters!$1:$1,0)-MATCH($A$1,[1]characters!$1:$1,0)+1,FALSE)</f>
        <v>世界観</v>
      </c>
      <c r="F8" s="57" t="str">
        <f ca="1">VLOOKUP($A8,OFFSET([1]characters!$A$1,0,0,COUNTA([1]characters!$A:$A),MATCH(F$1,[1]characters!$1:$1,0)-MATCH($A$1,[1]characters!$1:$1,0)+1),MATCH(F$1,[1]characters!$1:$1,0)-MATCH($A$1,[1]characters!$1:$1,0)+1,FALSE)</f>
        <v>不明</v>
      </c>
      <c r="G8" s="57">
        <f ca="1">VLOOKUP($A8,OFFSET([1]characters!$A$1,0,0,COUNTA([1]characters!$A:$A),MATCH(G$1,[1]characters!$1:$1,0)-MATCH($A$1,[1]characters!$1:$1,0)+1),MATCH(G$1,[1]characters!$1:$1,0)-MATCH($A$1,[1]characters!$1:$1,0)+1,FALSE)</f>
        <v>6</v>
      </c>
      <c r="H8" s="57" t="str">
        <f ca="1">VLOOKUP($A8,OFFSET([1]characters!$A$1,0,0,COUNTA([1]characters!$A:$A),MATCH(H$1,[1]characters!$1:$1,0)-MATCH($A$1,[1]characters!$1:$1,0)+1),MATCH(H$1,[1]characters!$1:$1,0)-MATCH($A$1,[1]characters!$1:$1,0)+1,FALSE)</f>
        <v>DropWizS</v>
      </c>
      <c r="I8" s="57" t="str">
        <f ca="1">VLOOKUP($A8,OFFSET([1]characters!$A$1,0,0,COUNTA([1]characters!$A:$A),MATCH(I$1,[1]characters!$1:$1,0)-MATCH($A$1,[1]characters!$1:$1,0)+1),MATCH(I$1,[1]characters!$1:$1,0)-MATCH($A$1,[1]characters!$1:$1,0)+1,FALSE)</f>
        <v>red</v>
      </c>
      <c r="J8" s="11">
        <f ca="1">VLOOKUP(I8,[1]属性!$A:$E,2,FALSE)</f>
        <v>1</v>
      </c>
      <c r="K8" s="11">
        <f ca="1">VLOOKUP(I8,[1]属性!$A:$E,3,FALSE)</f>
        <v>1.02</v>
      </c>
      <c r="L8" s="11">
        <f ca="1">VLOOKUP(I8,[1]属性!$A:$E,4,FALSE)</f>
        <v>1</v>
      </c>
      <c r="M8" s="11">
        <f ca="1">VLOOKUP(I8,[1]属性!$A:$E,5,FALSE)</f>
        <v>0.98</v>
      </c>
      <c r="N8" s="11">
        <f ca="1">INDEX(コスト!$A$1:$I$20,MATCH(H8,コスト!$A$1:$A$20,FALSE),MATCH(G8,コスト!$A$1:$I$1,FALSE))</f>
        <v>45</v>
      </c>
      <c r="O8" s="11">
        <f ca="1">INDEX(レベル!$A$1:$I$21,MATCH(H8,レベル!$A$1:$A$21,FALSE),MATCH(G8,レベル!$A$1:$I$1,FALSE))</f>
        <v>99</v>
      </c>
      <c r="P8" s="48">
        <f t="shared" ca="1" si="8"/>
        <v>99</v>
      </c>
      <c r="Q8" s="57" t="str">
        <f ca="1">VLOOKUP($A8,OFFSET([1]characters!$A$1,0,0,COUNTA([1]characters!$A:$A),MATCH(Q$1,[1]characters!$1:$1,0)-MATCH($A$1,[1]characters!$1:$1,0)+1),MATCH(Q$1,[1]characters!$1:$1,0)-MATCH($A$1,[1]characters!$1:$1,0)+1,FALSE)</f>
        <v>attack</v>
      </c>
      <c r="R8" s="5" t="str">
        <f ca="1">VLOOKUP(Q8,[1]character_type_i18n!$A:$H,3,FALSE)</f>
        <v>攻撃タイプ</v>
      </c>
      <c r="S8" s="11">
        <f ca="1">VLOOKUP(Q8,[1]character_type_i18n!$A:$H,4,FALSE)</f>
        <v>1</v>
      </c>
      <c r="T8" s="11">
        <f ca="1">VLOOKUP(Q8,[1]character_type_i18n!$A:$H,5,FALSE)</f>
        <v>1.33</v>
      </c>
      <c r="U8" s="11">
        <f ca="1">VLOOKUP(Q8,[1]character_type_i18n!$A:$H,6,FALSE)</f>
        <v>1</v>
      </c>
      <c r="V8" s="11">
        <f ca="1">VLOOKUP(Q8,[1]character_type_i18n!$A:$H,7,FALSE)</f>
        <v>0.67</v>
      </c>
      <c r="W8" s="57" t="str">
        <f ca="1">VLOOKUP($A8,OFFSET([1]characters!$A$1,0,0,COUNTA([1]characters!$A:$A),MATCH(W$1,[1]characters!$1:$1,0)-MATCH($A$1,[1]characters!$1:$1,0)+1),MATCH(W$1,[1]characters!$1:$1,0)-MATCH($A$1,[1]characters!$1:$1,0)+1,FALSE)</f>
        <v>god</v>
      </c>
      <c r="X8" s="5" t="str">
        <f ca="1">VLOOKUP(W8,[1]character_tribe_i18n!$A:$H,3,FALSE)</f>
        <v>ゴッド</v>
      </c>
      <c r="Y8" s="57" t="str">
        <f ca="1">VLOOKUP($A8,OFFSET([1]characters!$A$1,0,0,COUNTA([1]characters!$A:$A),MATCH(Y$1,[1]characters!$1:$1,0)-MATCH($A$1,[1]characters!$1:$1,0)+1),MATCH(Y$1,[1]characters!$1:$1,0)-MATCH($A$1,[1]characters!$1:$1,0)+1,FALSE)</f>
        <v>none</v>
      </c>
      <c r="Z8" s="5" t="str">
        <f ca="1">VLOOKUP(Y8,[1]character_tribe_i18n!$A:$H,3,FALSE)</f>
        <v>種族なし</v>
      </c>
      <c r="AA8" s="11">
        <f ca="1">VLOOKUP(W8,[1]character_tribe_i18n!$A:$H,4,FALSE)</f>
        <v>0.96</v>
      </c>
      <c r="AB8" s="11">
        <f ca="1">VLOOKUP(W8,[1]character_tribe_i18n!$A:$H,5,FALSE)</f>
        <v>1.02</v>
      </c>
      <c r="AC8" s="11">
        <f ca="1">VLOOKUP(W8,[1]character_tribe_i18n!$A:$H,6,FALSE)</f>
        <v>1</v>
      </c>
      <c r="AD8" s="11">
        <f ca="1">VLOOKUP(W8,[1]character_tribe_i18n!$A:$H,7,FALSE)</f>
        <v>1.02</v>
      </c>
      <c r="AE8" s="9" t="s">
        <v>405</v>
      </c>
      <c r="AF8" s="62" t="str">
        <f ca="1">IF(AE8="NULL","",VLOOKUP($AE8,OFFSET([1]characters!$A$1,0,0,COUNTA([1]characters!$A:$A),MATCH(AF$1,[1]characters!$1:$1,0)-MATCH($A$1,[1]characters!$1:$1,0)+1),MATCH(AF$1,[1]characters!$1:$1,0)-MATCH($A$1,[1]characters!$1:$1,0)+1,FALSE))</f>
        <v/>
      </c>
      <c r="AG8" s="5">
        <v>278</v>
      </c>
      <c r="AH8" s="62" t="str">
        <f ca="1">VLOOKUP($AG8,OFFSET([1]characters!$A$1,0,0,COUNTA([1]characters!$A:$A),MATCH(AH$1,[1]characters!$1:$1,0)-MATCH($A$1,[1]characters!$1:$1,0)+1),MATCH(AH$1,[1]characters!$1:$1,0)-MATCH($A$1,[1]characters!$1:$1,0)+1,FALSE)</f>
        <v>アマテラス</v>
      </c>
      <c r="AI8" s="11" t="s">
        <v>43</v>
      </c>
      <c r="AJ8" s="6">
        <v>2</v>
      </c>
      <c r="AK8" s="7" t="str">
        <f t="shared" si="9"/>
        <v>普通</v>
      </c>
      <c r="AL8" s="11" t="str">
        <f ca="1">INDEX(経験値!$A$1:$I$20,MATCH(H8,経験値!$A$1:$A$20,FALSE),MATCH(G8,経験値!$A$1:$I$1,FALSE))</f>
        <v>required_exp_250</v>
      </c>
      <c r="AM8" s="8">
        <f ca="1">VLOOKUP(G8,経験値!$A$27:$B$31,2)</f>
        <v>6400</v>
      </c>
      <c r="AN8" s="17">
        <f ca="1">VLOOKUP(G8,ビット!$G$2:$H$7,2)</f>
        <v>900</v>
      </c>
      <c r="AO8" s="45"/>
      <c r="AP8" s="67">
        <v>1116</v>
      </c>
      <c r="AQ8" s="57" t="s">
        <v>411</v>
      </c>
      <c r="AR8" s="57" t="str">
        <f ca="1">VLOOKUP($AP8,OFFSET(unit_skills!$A$1,0,0,COUNTA(unit_skills!$A:$A),MATCH(AR$1,unit_skills!$1:$1,0)-MATCH($AP$1,unit_skills!$1:$1,0)+1),MATCH(AR$1,unit_skills!$1:$1,0)-MATCH($AP$1,unit_skills!$1:$1,0)+1,FALSE)</f>
        <v>3ターンの間赤属性のユニットの攻撃力を超大UPし、防御力と回復力を大UP</v>
      </c>
      <c r="AS8" s="57">
        <v>0</v>
      </c>
      <c r="AT8" s="41">
        <v>1116</v>
      </c>
      <c r="AU8" s="57" t="str">
        <f ca="1">VLOOKUP($AT8,OFFSET(crash_skills!$A$1,0,0,COUNTA(crash_skills!$A:$A),MATCH(AU$1,crash_skills!$1:$1,0)-MATCH($AT$1,crash_skills!$1:$1,0)+1),MATCH(AU$1,crash_skills!$1:$1,0)-MATCH($AT$1,crash_skills!$1:$1,0)+1,FALSE)</f>
        <v>蒼穹灼き尽くす荒神の怒炎</v>
      </c>
      <c r="AV8" s="57" t="str">
        <f ca="1">VLOOKUP($AT8,OFFSET(crash_skills!$A$1,0,0,COUNTA(crash_skills!$A:$A),MATCH(AV$1,crash_skills!$1:$1,0)-MATCH($AT$1,crash_skills!$1:$1,0)+1),MATCH(AV$1,crash_skills!$1:$1,0)-MATCH($AT$1,crash_skills!$1:$1,0)+1,FALSE)</f>
        <v>1体に特大ダメージ</v>
      </c>
      <c r="AW8" s="57">
        <f ca="1">VLOOKUP($AP8,OFFSET(unit_skills!$A$1,0,0,COUNTA(unit_skills!$A:$A),MATCH(AS$1,unit_skills!$1:$1,0)-MATCH($AP$1,unit_skills!$1:$1,0)+1),MATCH(AS$1,unit_skills!$1:$1,0)-MATCH($AP$1,unit_skills!$1:$1,0)+1,FALSE)</f>
        <v>0</v>
      </c>
      <c r="AX8" s="58">
        <f ca="1">VLOOKUP($A8,OFFSET([1]characters!$A$1,0,0,COUNTA([1]characters!$A:$A),MATCH(AX$1,[1]characters!$1:$1,0)-MATCH($A$1,[1]characters!$1:$1,0)+1),MATCH(AX$1,[1]characters!$1:$1,0)-MATCH($A$1,[1]characters!$1:$1,0)+1,FALSE)</f>
        <v>3</v>
      </c>
      <c r="AY8" s="236">
        <v>1.06</v>
      </c>
      <c r="AZ8" s="236">
        <v>1.02</v>
      </c>
      <c r="BA8" s="236">
        <v>0</v>
      </c>
      <c r="BB8" s="236">
        <v>1.1599999999999999</v>
      </c>
      <c r="BC8" s="11">
        <f ca="1">INDEX('RC6SV'!$A$1:$G$20,MATCH(H8,'RC6SV'!$A$1:$A$20,FALSE),MATCH(G8,'RC6SV'!$A$1:$G$1,FALSE))</f>
        <v>12000</v>
      </c>
      <c r="BD8" s="48">
        <f t="shared" ca="1" si="10"/>
        <v>12000</v>
      </c>
      <c r="BE8" s="11">
        <f t="shared" ca="1" si="3"/>
        <v>0</v>
      </c>
      <c r="BF8" s="11">
        <f t="shared" ca="1" si="4"/>
        <v>1</v>
      </c>
      <c r="BG8" s="16">
        <f ca="1">IF($BE8&lt;=0,ROUND(BK8*0.5,0), ROUND($BE8*S8*AA8*J8*AY8*0.8*[1]ステータス!$B$2,0))</f>
        <v>3053</v>
      </c>
      <c r="BH8" s="16">
        <f ca="1">IF($BE8&lt;=0,ROUND(BL8*0.5,0), ROUND($BE8*T8*AB8*K8*AZ8*0.8*[1]ステータス!$C$2,0))</f>
        <v>2541</v>
      </c>
      <c r="BI8" s="16">
        <f ca="1">IF($BE8&lt;=0,ROUND(BM8*0.5,0), ROUND($BE8*U8*AC8*L8*BA8*0.8*[1]ステータス!$D$2,0))</f>
        <v>0</v>
      </c>
      <c r="BJ8" s="16">
        <f ca="1">IF($BE8&lt;=0,ROUND(BN8*0.5,0), ROUND($BE8*V8*AD8*M8*BB8*0.8*[1]ステータス!$E$2,0))</f>
        <v>1166</v>
      </c>
      <c r="BK8" s="11">
        <f ca="1">ROUND(BD8*S8*AA8*J8*AY8*[1]ステータス!$B$2,0)</f>
        <v>6106</v>
      </c>
      <c r="BL8" s="11">
        <f ca="1">ROUND(BD8*T8*AB8*K8*AZ8*[1]ステータス!$C$2,0)</f>
        <v>5081</v>
      </c>
      <c r="BM8" s="11">
        <f ca="1">ROUND(BD8*U8*AC8*L8*BA8*[1]ステータス!$D$2,0)</f>
        <v>0</v>
      </c>
      <c r="BN8" s="11">
        <f ca="1">ROUND(BD8*V8*AD8*M8*BB8*[1]ステータス!$E$2,0)</f>
        <v>2331</v>
      </c>
      <c r="BO8" s="10">
        <v>0</v>
      </c>
      <c r="BP8" s="10">
        <v>1</v>
      </c>
      <c r="BQ8" s="10" t="s">
        <v>43</v>
      </c>
      <c r="BR8" s="10">
        <f ca="1">VLOOKUP(H8,ghosts_label!$A$2:$B$19,2,FALSE)</f>
        <v>1</v>
      </c>
    </row>
    <row r="9" spans="1:70" ht="21" customHeight="1" x14ac:dyDescent="0.15">
      <c r="A9" s="219">
        <v>1118</v>
      </c>
      <c r="B9" s="220" t="str">
        <f ca="1">VLOOKUP($A9,OFFSET([1]characters!$A$1,0,0,COUNTA([1]characters!$A:$A),MATCH(B$1,[1]characters!$1:$1,0)-MATCH($A$1,[1]characters!$1:$1,0)+1),MATCH(B$1,[1]characters!$1:$1,0)-MATCH($A$1,[1]characters!$1:$1,0)+1,FALSE)</f>
        <v>超過速路の閃導者 ジャンヌ</v>
      </c>
      <c r="C9" s="57" t="str">
        <f ca="1">VLOOKUP($A9,OFFSET([1]characters!$A$1,0,0,COUNTA([1]characters!$A:$A),MATCH(C$1,[1]characters!$1:$1,0)-MATCH($A$1,[1]characters!$1:$1,0)+1),MATCH(C$1,[1]characters!$1:$1,0)-MATCH($A$1,[1]characters!$1:$1,0)+1,FALSE)</f>
        <v>未定</v>
      </c>
      <c r="D9" s="57" t="str">
        <f ca="1">VLOOKUP($A9,OFFSET([1]characters!$A$1,0,0,COUNTA([1]characters!$A:$A),MATCH(D$1,[1]characters!$1:$1,0)-MATCH($A$1,[1]characters!$1:$1,0)+1),MATCH(D$1,[1]characters!$1:$1,0)-MATCH($A$1,[1]characters!$1:$1,0)+1,FALSE)</f>
        <v>アリス</v>
      </c>
      <c r="E9" s="57" t="str">
        <f ca="1">VLOOKUP($A9,OFFSET([1]characters!$A$1,0,0,COUNTA([1]characters!$A:$A),MATCH(E$1,[1]characters!$1:$1,0)-MATCH($A$1,[1]characters!$1:$1,0)+1),MATCH(E$1,[1]characters!$1:$1,0)-MATCH($A$1,[1]characters!$1:$1,0)+1,FALSE)</f>
        <v>世界観</v>
      </c>
      <c r="F9" s="57" t="str">
        <f ca="1">VLOOKUP($A9,OFFSET([1]characters!$A$1,0,0,COUNTA([1]characters!$A:$A),MATCH(F$1,[1]characters!$1:$1,0)-MATCH($A$1,[1]characters!$1:$1,0)+1),MATCH(F$1,[1]characters!$1:$1,0)-MATCH($A$1,[1]characters!$1:$1,0)+1,FALSE)</f>
        <v>不明</v>
      </c>
      <c r="G9" s="57">
        <f ca="1">VLOOKUP($A9,OFFSET([1]characters!$A$1,0,0,COUNTA([1]characters!$A:$A),MATCH(G$1,[1]characters!$1:$1,0)-MATCH($A$1,[1]characters!$1:$1,0)+1),MATCH(G$1,[1]characters!$1:$1,0)-MATCH($A$1,[1]characters!$1:$1,0)+1,FALSE)</f>
        <v>6</v>
      </c>
      <c r="H9" s="57" t="str">
        <f ca="1">VLOOKUP($A9,OFFSET([1]characters!$A$1,0,0,COUNTA([1]characters!$A:$A),MATCH(H$1,[1]characters!$1:$1,0)-MATCH($A$1,[1]characters!$1:$1,0)+1),MATCH(H$1,[1]characters!$1:$1,0)-MATCH($A$1,[1]characters!$1:$1,0)+1,FALSE)</f>
        <v>DropWizS</v>
      </c>
      <c r="I9" s="57" t="str">
        <f ca="1">VLOOKUP($A9,OFFSET([1]characters!$A$1,0,0,COUNTA([1]characters!$A:$A),MATCH(I$1,[1]characters!$1:$1,0)-MATCH($A$1,[1]characters!$1:$1,0)+1),MATCH(I$1,[1]characters!$1:$1,0)-MATCH($A$1,[1]characters!$1:$1,0)+1,FALSE)</f>
        <v>blue</v>
      </c>
      <c r="J9" s="11">
        <f ca="1">VLOOKUP(I9,[1]属性!$A:$E,2,FALSE)</f>
        <v>1</v>
      </c>
      <c r="K9" s="11">
        <f ca="1">VLOOKUP(I9,[1]属性!$A:$E,3,FALSE)</f>
        <v>0.98</v>
      </c>
      <c r="L9" s="11">
        <f ca="1">VLOOKUP(I9,[1]属性!$A:$E,4,FALSE)</f>
        <v>1</v>
      </c>
      <c r="M9" s="11">
        <f ca="1">VLOOKUP(I9,[1]属性!$A:$E,5,FALSE)</f>
        <v>1.02</v>
      </c>
      <c r="N9" s="11">
        <f ca="1">INDEX(コスト!$A$1:$I$20,MATCH(H9,コスト!$A$1:$A$20,FALSE),MATCH(G9,コスト!$A$1:$I$1,FALSE))</f>
        <v>45</v>
      </c>
      <c r="O9" s="11">
        <f ca="1">INDEX(レベル!$A$1:$I$21,MATCH(H9,レベル!$A$1:$A$21,FALSE),MATCH(G9,レベル!$A$1:$I$1,FALSE))</f>
        <v>99</v>
      </c>
      <c r="P9" s="48">
        <f t="shared" ref="P9" ca="1" si="11">IF(G9=6,99, G9*15)</f>
        <v>99</v>
      </c>
      <c r="Q9" s="57" t="str">
        <f ca="1">VLOOKUP($A9,OFFSET([1]characters!$A$1,0,0,COUNTA([1]characters!$A:$A),MATCH(Q$1,[1]characters!$1:$1,0)-MATCH($A$1,[1]characters!$1:$1,0)+1),MATCH(Q$1,[1]characters!$1:$1,0)-MATCH($A$1,[1]characters!$1:$1,0)+1,FALSE)</f>
        <v>heal</v>
      </c>
      <c r="R9" s="5" t="str">
        <f ca="1">VLOOKUP(Q9,[1]character_type_i18n!$A:$H,3,FALSE)</f>
        <v>回復タイプ</v>
      </c>
      <c r="S9" s="11">
        <f ca="1">VLOOKUP(Q9,[1]character_type_i18n!$A:$H,4,FALSE)</f>
        <v>0.8</v>
      </c>
      <c r="T9" s="11">
        <f ca="1">VLOOKUP(Q9,[1]character_type_i18n!$A:$H,5,FALSE)</f>
        <v>0.78</v>
      </c>
      <c r="U9" s="11">
        <f ca="1">VLOOKUP(Q9,[1]character_type_i18n!$A:$H,6,FALSE)</f>
        <v>1</v>
      </c>
      <c r="V9" s="11">
        <f ca="1">VLOOKUP(Q9,[1]character_type_i18n!$A:$H,7,FALSE)</f>
        <v>1.42</v>
      </c>
      <c r="W9" s="57" t="str">
        <f ca="1">VLOOKUP($A9,OFFSET([1]characters!$A$1,0,0,COUNTA([1]characters!$A:$A),MATCH(W$1,[1]characters!$1:$1,0)-MATCH($A$1,[1]characters!$1:$1,0)+1),MATCH(W$1,[1]characters!$1:$1,0)-MATCH($A$1,[1]characters!$1:$1,0)+1,FALSE)</f>
        <v>human</v>
      </c>
      <c r="X9" s="5" t="str">
        <f ca="1">VLOOKUP(W9,[1]character_tribe_i18n!$A:$H,3,FALSE)</f>
        <v>ヒューマン</v>
      </c>
      <c r="Y9" s="57" t="str">
        <f ca="1">VLOOKUP($A9,OFFSET([1]characters!$A$1,0,0,COUNTA([1]characters!$A:$A),MATCH(Y$1,[1]characters!$1:$1,0)-MATCH($A$1,[1]characters!$1:$1,0)+1),MATCH(Y$1,[1]characters!$1:$1,0)-MATCH($A$1,[1]characters!$1:$1,0)+1,FALSE)</f>
        <v>hero</v>
      </c>
      <c r="Z9" s="5" t="str">
        <f ca="1">VLOOKUP(Y9,[1]character_tribe_i18n!$A:$H,3,FALSE)</f>
        <v>ヒーロー</v>
      </c>
      <c r="AA9" s="11">
        <f ca="1">VLOOKUP(W9,[1]character_tribe_i18n!$A:$H,4,FALSE)</f>
        <v>0.94</v>
      </c>
      <c r="AB9" s="11">
        <f ca="1">VLOOKUP(W9,[1]character_tribe_i18n!$A:$H,5,FALSE)</f>
        <v>0.99</v>
      </c>
      <c r="AC9" s="11">
        <f ca="1">VLOOKUP(W9,[1]character_tribe_i18n!$A:$H,6,FALSE)</f>
        <v>1</v>
      </c>
      <c r="AD9" s="11">
        <f ca="1">VLOOKUP(W9,[1]character_tribe_i18n!$A:$H,7,FALSE)</f>
        <v>1.07</v>
      </c>
      <c r="AE9" s="9" t="s">
        <v>405</v>
      </c>
      <c r="AF9" s="62" t="str">
        <f ca="1">IF(AE9="NULL","",VLOOKUP($AE9,OFFSET([1]characters!$A$1,0,0,COUNTA([1]characters!$A:$A),MATCH(AF$1,[1]characters!$1:$1,0)-MATCH($A$1,[1]characters!$1:$1,0)+1),MATCH(AF$1,[1]characters!$1:$1,0)-MATCH($A$1,[1]characters!$1:$1,0)+1,FALSE))</f>
        <v/>
      </c>
      <c r="AG9" s="5">
        <v>314</v>
      </c>
      <c r="AH9" s="62" t="str">
        <f ca="1">VLOOKUP($AG9,OFFSET([1]characters!$A$1,0,0,COUNTA([1]characters!$A:$A),MATCH(AH$1,[1]characters!$1:$1,0)-MATCH($A$1,[1]characters!$1:$1,0)+1),MATCH(AH$1,[1]characters!$1:$1,0)-MATCH($A$1,[1]characters!$1:$1,0)+1,FALSE)</f>
        <v>ジャンヌ</v>
      </c>
      <c r="AI9" s="11" t="s">
        <v>43</v>
      </c>
      <c r="AJ9" s="6">
        <v>2</v>
      </c>
      <c r="AK9" s="7" t="str">
        <f t="shared" ref="AK9" si="12">IF(AJ9=1,"早熟",IF(AJ9=2,"普通",IF(AJ9=3,"晩成","")))</f>
        <v>普通</v>
      </c>
      <c r="AL9" s="11" t="str">
        <f ca="1">INDEX(経験値!$A$1:$I$20,MATCH(H9,経験値!$A$1:$A$20,FALSE),MATCH(G9,経験値!$A$1:$I$1,FALSE))</f>
        <v>required_exp_250</v>
      </c>
      <c r="AM9" s="8">
        <f ca="1">VLOOKUP(G9,経験値!$A$27:$B$31,2)</f>
        <v>6400</v>
      </c>
      <c r="AN9" s="17">
        <f ca="1">VLOOKUP(G9,ビット!$G$2:$H$7,2)</f>
        <v>900</v>
      </c>
      <c r="AO9" s="45"/>
      <c r="AP9" s="221">
        <v>1118</v>
      </c>
      <c r="AQ9" s="57" t="str">
        <f ca="1">VLOOKUP($AP9,OFFSET(unit_skills!$A$1,0,0,COUNTA(unit_skills!$A:$A),MATCH(AQ$1,unit_skills!$1:$1,0)-MATCH($AP$1,unit_skills!$1:$1,0)+1),MATCH(AQ$1,unit_skills!$1:$1,0)-MATCH($AP$1,unit_skills!$1:$1,0)+1,FALSE)</f>
        <v>神速・ドップラーハイウェイ</v>
      </c>
      <c r="AR9" s="57" t="str">
        <f ca="1">VLOOKUP($AP9,OFFSET(unit_skills!$A$1,0,0,COUNTA(unit_skills!$A:$A),MATCH(AR$1,unit_skills!$1:$1,0)-MATCH($AP$1,unit_skills!$1:$1,0)+1),MATCH(AR$1,unit_skills!$1:$1,0)-MATCH($AP$1,unit_skills!$1:$1,0)+1,FALSE)</f>
        <v>3ターン自身の攻撃力を60%DOWN+1ターン味方全体のタップ数を2増やし3ターンCパネル生成短縮(効果特大)+回復力特大UP</v>
      </c>
      <c r="AS9" s="57">
        <f ca="1">VLOOKUP($AP9,OFFSET(unit_skills!$A$1,0,0,COUNTA(unit_skills!$A:$A),MATCH(AS$1,unit_skills!$1:$1,0)-MATCH($AP$1,unit_skills!$1:$1,0)+1),MATCH(AS$1,unit_skills!$1:$1,0)-MATCH($AP$1,unit_skills!$1:$1,0)+1,FALSE)</f>
        <v>0</v>
      </c>
      <c r="AT9" s="221">
        <v>1118</v>
      </c>
      <c r="AU9" s="57" t="str">
        <f ca="1">VLOOKUP($AT9,OFFSET(crash_skills!$A$1,0,0,COUNTA(crash_skills!$A:$A),MATCH(AU$1,crash_skills!$1:$1,0)-MATCH($AT$1,crash_skills!$1:$1,0)+1),MATCH(AU$1,crash_skills!$1:$1,0)-MATCH($AT$1,crash_skills!$1:$1,0)+1,FALSE)</f>
        <v>カタラクト・ジャッジメント</v>
      </c>
      <c r="AV9" s="57" t="str">
        <f ca="1">VLOOKUP($AT9,OFFSET(crash_skills!$A$1,0,0,COUNTA(crash_skills!$A:$A),MATCH(AV$1,crash_skills!$1:$1,0)-MATCH($AT$1,crash_skills!$1:$1,0)+1),MATCH(AV$1,crash_skills!$1:$1,0)-MATCH($AT$1,crash_skills!$1:$1,0)+1,FALSE)</f>
        <v>1体に大ダメージ+_x000D_HPを大回復</v>
      </c>
      <c r="AW9" s="57">
        <f ca="1">VLOOKUP($AP9,OFFSET(unit_skills!$A$1,0,0,COUNTA(unit_skills!$A:$A),MATCH(AS$1,unit_skills!$1:$1,0)-MATCH($AP$1,unit_skills!$1:$1,0)+1),MATCH(AS$1,unit_skills!$1:$1,0)-MATCH($AP$1,unit_skills!$1:$1,0)+1,FALSE)</f>
        <v>0</v>
      </c>
      <c r="AX9" s="58">
        <f ca="1">VLOOKUP($A9,OFFSET([1]characters!$A$1,0,0,COUNTA([1]characters!$A:$A),MATCH(AX$1,[1]characters!$1:$1,0)-MATCH($A$1,[1]characters!$1:$1,0)+1),MATCH(AX$1,[1]characters!$1:$1,0)-MATCH($A$1,[1]characters!$1:$1,0)+1,FALSE)</f>
        <v>3</v>
      </c>
      <c r="AY9" s="236">
        <v>1.03</v>
      </c>
      <c r="AZ9" s="236">
        <v>0.9</v>
      </c>
      <c r="BA9" s="236">
        <v>0</v>
      </c>
      <c r="BB9" s="236">
        <v>1.1200000000000001</v>
      </c>
      <c r="BC9" s="11">
        <f ca="1">INDEX('RC6SV'!$A$1:$G$20,MATCH(H9,'RC6SV'!$A$1:$A$20,FALSE),MATCH(G9,'RC6SV'!$A$1:$G$1,FALSE))</f>
        <v>12000</v>
      </c>
      <c r="BD9" s="48">
        <f ca="1">ROUND(BC9*IF(AJ9=1,0.95,IF(AJ9=2,1,IF(AJ9,1.05,0))),0)</f>
        <v>12000</v>
      </c>
      <c r="BE9" s="11">
        <f t="shared" ca="1" si="3"/>
        <v>0</v>
      </c>
      <c r="BF9" s="11">
        <f t="shared" ca="1" si="4"/>
        <v>1</v>
      </c>
      <c r="BG9" s="16">
        <f ca="1">IF($BE9&lt;=0,ROUND(BK9*0.5,0), ROUND($BE9*S9*AA9*J9*AY9*0.8*[1]ステータス!$B$2,0))</f>
        <v>2324</v>
      </c>
      <c r="BH9" s="16">
        <f ca="1">IF($BE9&lt;=0,ROUND(BL9*0.5,0), ROUND($BE9*T9*AB9*K9*AZ9*0.8*[1]ステータス!$C$2,0))</f>
        <v>1226</v>
      </c>
      <c r="BI9" s="16">
        <f ca="1">IF($BE9&lt;=0,ROUND(BM9*0.5,0), ROUND($BE9*U9*AC9*L9*BA9*0.8*[1]ステータス!$D$2,0))</f>
        <v>0</v>
      </c>
      <c r="BJ9" s="16">
        <f ca="1">IF($BE9&lt;=0,ROUND(BN9*0.5,0), ROUND($BE9*V9*AD9*M9*BB9*0.8*[1]ステータス!$E$2,0))</f>
        <v>2604</v>
      </c>
      <c r="BK9" s="11">
        <f ca="1">ROUND(BD9*S9*AA9*J9*AY9*[1]ステータス!$B$2,0)</f>
        <v>4647</v>
      </c>
      <c r="BL9" s="11">
        <f ca="1">ROUND(BD9*T9*AB9*K9*AZ9*[1]ステータス!$C$2,0)</f>
        <v>2452</v>
      </c>
      <c r="BM9" s="11">
        <f ca="1">ROUND(BD9*U9*AC9*L9*BA9*[1]ステータス!$D$2,0)</f>
        <v>0</v>
      </c>
      <c r="BN9" s="11">
        <f ca="1">ROUND(BD9*V9*AD9*M9*BB9*[1]ステータス!$E$2,0)</f>
        <v>5207</v>
      </c>
      <c r="BO9" s="10">
        <v>0</v>
      </c>
      <c r="BP9" s="10">
        <v>1</v>
      </c>
      <c r="BQ9" s="10" t="s">
        <v>43</v>
      </c>
      <c r="BR9" s="10">
        <f ca="1">VLOOKUP(H9,ghosts_label!$A$2:$B$19,2,FALSE)</f>
        <v>1</v>
      </c>
    </row>
    <row r="10" spans="1:70" ht="21" customHeight="1" x14ac:dyDescent="0.15">
      <c r="A10" s="219">
        <v>1179</v>
      </c>
      <c r="B10" s="220" t="str">
        <f ca="1">VLOOKUP($A10,OFFSET([1]characters!$A$1,0,0,COUNTA([1]characters!$A:$A),MATCH(B$1,[1]characters!$1:$1,0)-MATCH($A$1,[1]characters!$1:$1,0)+1),MATCH(B$1,[1]characters!$1:$1,0)-MATCH($A$1,[1]characters!$1:$1,0)+1,FALSE)</f>
        <v>厳核なる巨大炉 ハイゼンベルク</v>
      </c>
      <c r="C10" s="57" t="str">
        <f ca="1">VLOOKUP($A10,OFFSET([1]characters!$A$1,0,0,COUNTA([1]characters!$A:$A),MATCH(C$1,[1]characters!$1:$1,0)-MATCH($A$1,[1]characters!$1:$1,0)+1),MATCH(C$1,[1]characters!$1:$1,0)-MATCH($A$1,[1]characters!$1:$1,0)+1,FALSE)</f>
        <v>各属性相性良3・黄・R558</v>
      </c>
      <c r="D10" s="57" t="str">
        <f ca="1">VLOOKUP($A10,OFFSET([1]characters!$A$1,0,0,COUNTA([1]characters!$A:$A),MATCH(D$1,[1]characters!$1:$1,0)-MATCH($A$1,[1]characters!$1:$1,0)+1),MATCH(D$1,[1]characters!$1:$1,0)-MATCH($A$1,[1]characters!$1:$1,0)+1,FALSE)</f>
        <v>執行者</v>
      </c>
      <c r="E10" s="57" t="str">
        <f ca="1">VLOOKUP($A10,OFFSET([1]characters!$A$1,0,0,COUNTA([1]characters!$A:$A),MATCH(E$1,[1]characters!$1:$1,0)-MATCH($A$1,[1]characters!$1:$1,0)+1),MATCH(E$1,[1]characters!$1:$1,0)-MATCH($A$1,[1]characters!$1:$1,0)+1,FALSE)</f>
        <v>格好いい</v>
      </c>
      <c r="F10" s="57" t="str">
        <f ca="1">VLOOKUP($A10,OFFSET([1]characters!$A$1,0,0,COUNTA([1]characters!$A:$A),MATCH(F$1,[1]characters!$1:$1,0)-MATCH($A$1,[1]characters!$1:$1,0)+1),MATCH(F$1,[1]characters!$1:$1,0)-MATCH($A$1,[1]characters!$1:$1,0)+1,FALSE)</f>
        <v>男性</v>
      </c>
      <c r="G10" s="57">
        <f ca="1">VLOOKUP($A10,OFFSET([1]characters!$A$1,0,0,COUNTA([1]characters!$A:$A),MATCH(G$1,[1]characters!$1:$1,0)-MATCH($A$1,[1]characters!$1:$1,0)+1),MATCH(G$1,[1]characters!$1:$1,0)-MATCH($A$1,[1]characters!$1:$1,0)+1,FALSE)</f>
        <v>6</v>
      </c>
      <c r="H10" s="57" t="str">
        <f ca="1">VLOOKUP($A10,OFFSET([1]characters!$A$1,0,0,COUNTA([1]characters!$A:$A),MATCH(H$1,[1]characters!$1:$1,0)-MATCH($A$1,[1]characters!$1:$1,0)+1),MATCH(H$1,[1]characters!$1:$1,0)-MATCH($A$1,[1]characters!$1:$1,0)+1,FALSE)</f>
        <v>PremiumSSS</v>
      </c>
      <c r="I10" s="57" t="str">
        <f ca="1">VLOOKUP($A10,OFFSET([1]characters!$A$1,0,0,COUNTA([1]characters!$A:$A),MATCH(I$1,[1]characters!$1:$1,0)-MATCH($A$1,[1]characters!$1:$1,0)+1),MATCH(I$1,[1]characters!$1:$1,0)-MATCH($A$1,[1]characters!$1:$1,0)+1,FALSE)</f>
        <v>green</v>
      </c>
      <c r="J10" s="11">
        <f ca="1">VLOOKUP(I10,[1]属性!$A:$E,2,FALSE)</f>
        <v>1.02</v>
      </c>
      <c r="K10" s="11">
        <f ca="1">VLOOKUP(I10,[1]属性!$A:$E,3,FALSE)</f>
        <v>0.98</v>
      </c>
      <c r="L10" s="11">
        <f ca="1">VLOOKUP(I10,[1]属性!$A:$E,4,FALSE)</f>
        <v>1</v>
      </c>
      <c r="M10" s="11">
        <f ca="1">VLOOKUP(I10,[1]属性!$A:$E,5,FALSE)</f>
        <v>1</v>
      </c>
      <c r="N10" s="11">
        <f ca="1">INDEX(コスト!$A$1:$I$20,MATCH(H10,コスト!$A$1:$A$20,FALSE),MATCH(G10,コスト!$A$1:$I$1,FALSE))</f>
        <v>55</v>
      </c>
      <c r="O10" s="11">
        <f ca="1">INDEX(レベル!$A$1:$I$21,MATCH(H10,レベル!$A$1:$A$21,FALSE),MATCH(G10,レベル!$A$1:$I$1,FALSE))</f>
        <v>99</v>
      </c>
      <c r="P10" s="48">
        <f t="shared" ref="P10" ca="1" si="13">IF(G10=6,99, G10*15)</f>
        <v>99</v>
      </c>
      <c r="Q10" s="57" t="str">
        <f ca="1">VLOOKUP($A10,OFFSET([1]characters!$A$1,0,0,COUNTA([1]characters!$A:$A),MATCH(Q$1,[1]characters!$1:$1,0)-MATCH($A$1,[1]characters!$1:$1,0)+1),MATCH(Q$1,[1]characters!$1:$1,0)-MATCH($A$1,[1]characters!$1:$1,0)+1,FALSE)</f>
        <v>attack</v>
      </c>
      <c r="R10" s="5" t="str">
        <f ca="1">VLOOKUP(Q10,[1]character_type_i18n!$A:$H,3,FALSE)</f>
        <v>攻撃タイプ</v>
      </c>
      <c r="S10" s="11">
        <f ca="1">VLOOKUP(Q10,[1]character_type_i18n!$A:$H,4,FALSE)</f>
        <v>1</v>
      </c>
      <c r="T10" s="11">
        <f ca="1">VLOOKUP(Q10,[1]character_type_i18n!$A:$H,5,FALSE)</f>
        <v>1.33</v>
      </c>
      <c r="U10" s="11">
        <f ca="1">VLOOKUP(Q10,[1]character_type_i18n!$A:$H,6,FALSE)</f>
        <v>1</v>
      </c>
      <c r="V10" s="11">
        <f ca="1">VLOOKUP(Q10,[1]character_type_i18n!$A:$H,7,FALSE)</f>
        <v>0.67</v>
      </c>
      <c r="W10" s="57" t="str">
        <f ca="1">VLOOKUP($A10,OFFSET([1]characters!$A$1,0,0,COUNTA([1]characters!$A:$A),MATCH(W$1,[1]characters!$1:$1,0)-MATCH($A$1,[1]characters!$1:$1,0)+1),MATCH(W$1,[1]characters!$1:$1,0)-MATCH($A$1,[1]characters!$1:$1,0)+1,FALSE)</f>
        <v>academia</v>
      </c>
      <c r="X10" s="5" t="str">
        <f ca="1">VLOOKUP(W10,[1]character_tribe_i18n!$A:$H,3,FALSE)</f>
        <v>アカデミア</v>
      </c>
      <c r="Y10" s="57" t="str">
        <f ca="1">VLOOKUP($A10,OFFSET([1]characters!$A$1,0,0,COUNTA([1]characters!$A:$A),MATCH(Y$1,[1]characters!$1:$1,0)-MATCH($A$1,[1]characters!$1:$1,0)+1),MATCH(Y$1,[1]characters!$1:$1,0)-MATCH($A$1,[1]characters!$1:$1,0)+1,FALSE)</f>
        <v>machine</v>
      </c>
      <c r="Z10" s="5" t="str">
        <f ca="1">VLOOKUP(Y10,[1]character_tribe_i18n!$A:$H,3,FALSE)</f>
        <v>マシン</v>
      </c>
      <c r="AA10" s="11">
        <f ca="1">VLOOKUP(W10,[1]character_tribe_i18n!$A:$H,4,FALSE)</f>
        <v>1</v>
      </c>
      <c r="AB10" s="11">
        <f ca="1">VLOOKUP(W10,[1]character_tribe_i18n!$A:$H,5,FALSE)</f>
        <v>1</v>
      </c>
      <c r="AC10" s="11">
        <f ca="1">VLOOKUP(W10,[1]character_tribe_i18n!$A:$H,6,FALSE)</f>
        <v>1</v>
      </c>
      <c r="AD10" s="11">
        <f ca="1">VLOOKUP(W10,[1]character_tribe_i18n!$A:$H,7,FALSE)</f>
        <v>1</v>
      </c>
      <c r="AE10" s="9" t="s">
        <v>405</v>
      </c>
      <c r="AF10" s="62" t="str">
        <f ca="1">IF(AE10="NULL","",VLOOKUP($AE10,OFFSET([1]characters!$A$1,0,0,COUNTA([1]characters!$A:$A),MATCH(AF$1,[1]characters!$1:$1,0)-MATCH($A$1,[1]characters!$1:$1,0)+1),MATCH(AF$1,[1]characters!$1:$1,0)-MATCH($A$1,[1]characters!$1:$1,0)+1,FALSE))</f>
        <v/>
      </c>
      <c r="AG10" s="5">
        <v>953</v>
      </c>
      <c r="AH10" s="62" t="str">
        <f ca="1">VLOOKUP($AG10,OFFSET([1]characters!$A$1,0,0,COUNTA([1]characters!$A:$A),MATCH(AH$1,[1]characters!$1:$1,0)-MATCH($A$1,[1]characters!$1:$1,0)+1),MATCH(AH$1,[1]characters!$1:$1,0)-MATCH($A$1,[1]characters!$1:$1,0)+1,FALSE)</f>
        <v>ハイゼンベルク</v>
      </c>
      <c r="AI10" s="11" t="s">
        <v>43</v>
      </c>
      <c r="AJ10" s="6">
        <v>2</v>
      </c>
      <c r="AK10" s="7" t="str">
        <f t="shared" si="9"/>
        <v>普通</v>
      </c>
      <c r="AL10" s="11" t="s">
        <v>495</v>
      </c>
      <c r="AM10" s="8">
        <v>6400</v>
      </c>
      <c r="AN10" s="17">
        <v>900</v>
      </c>
      <c r="AO10" s="45"/>
      <c r="AP10" s="221">
        <v>1179</v>
      </c>
      <c r="AQ10" s="57" t="str">
        <f ca="1">VLOOKUP($AP10,OFFSET(unit_skills!$A$1,0,0,COUNTA(unit_skills!$A:$A),MATCH(AQ$1,unit_skills!$1:$1,0)-MATCH($AP$1,unit_skills!$1:$1,0)+1),MATCH(AQ$1,unit_skills!$1:$1,0)-MATCH($AP$1,unit_skills!$1:$1,0)+1,FALSE)</f>
        <v>不可避衝突シンクロトロン</v>
      </c>
      <c r="AR10" s="57" t="str">
        <f ca="1">VLOOKUP($AP10,OFFSET(unit_skills!$A$1,0,0,COUNTA(unit_skills!$A:$A),MATCH(AR$1,unit_skills!$1:$1,0)-MATCH($AP$1,unit_skills!$1:$1,0)+1),MATCH(AR$1,unit_skills!$1:$1,0)-MATCH($AP$1,unit_skills!$1:$1,0)+1,FALSE)</f>
        <v>赤・青パネルを吸収して大ダメージ+2ターン緑パネルの出現率大UP+赤・青パネルの出現率大DOWN</v>
      </c>
      <c r="AS10" s="57">
        <f ca="1">VLOOKUP($AP10,OFFSET(unit_skills!$A$1,0,0,COUNTA(unit_skills!$A:$A),MATCH(AS$1,unit_skills!$1:$1,0)-MATCH($AP$1,unit_skills!$1:$1,0)+1),MATCH(AS$1,unit_skills!$1:$1,0)-MATCH($AP$1,unit_skills!$1:$1,0)+1,FALSE)</f>
        <v>0</v>
      </c>
      <c r="AT10" s="221">
        <v>1179</v>
      </c>
      <c r="AU10" s="57" t="str">
        <f ca="1">VLOOKUP($AT10,OFFSET(crash_skills!$A$1,0,0,COUNTA(crash_skills!$A:$A),MATCH(AU$1,crash_skills!$1:$1,0)-MATCH($AT$1,crash_skills!$1:$1,0)+1),MATCH(AU$1,crash_skills!$1:$1,0)-MATCH($AT$1,crash_skills!$1:$1,0)+1,FALSE)</f>
        <v>クワァンタム・マトリックス</v>
      </c>
      <c r="AV10" s="57" t="str">
        <f ca="1">VLOOKUP($AT10,OFFSET(crash_skills!$A$1,0,0,COUNTA(crash_skills!$A:$A),MATCH(AV$1,crash_skills!$1:$1,0)-MATCH($AT$1,crash_skills!$1:$1,0)+1),MATCH(AV$1,crash_skills!$1:$1,0)-MATCH($AT$1,crash_skills!$1:$1,0)+1,FALSE)</f>
        <v>1体に特大ダメージ</v>
      </c>
      <c r="AW10" s="57">
        <f ca="1">VLOOKUP($AP10,OFFSET(unit_skills!$A$1,0,0,COUNTA(unit_skills!$A:$A),MATCH(AS$1,unit_skills!$1:$1,0)-MATCH($AP$1,unit_skills!$1:$1,0)+1),MATCH(AS$1,unit_skills!$1:$1,0)-MATCH($AP$1,unit_skills!$1:$1,0)+1,FALSE)</f>
        <v>0</v>
      </c>
      <c r="AX10" s="58">
        <f ca="1">VLOOKUP($A10,OFFSET([1]characters!$A$1,0,0,COUNTA([1]characters!$A:$A),MATCH(AX$1,[1]characters!$1:$1,0)-MATCH($A$1,[1]characters!$1:$1,0)+1),MATCH(AX$1,[1]characters!$1:$1,0)-MATCH($A$1,[1]characters!$1:$1,0)+1,FALSE)</f>
        <v>3</v>
      </c>
      <c r="AY10" s="236">
        <v>0.95</v>
      </c>
      <c r="AZ10" s="236">
        <v>1.03</v>
      </c>
      <c r="BA10" s="236">
        <v>0</v>
      </c>
      <c r="BB10" s="236">
        <v>0.8</v>
      </c>
      <c r="BC10" s="11">
        <v>14000</v>
      </c>
      <c r="BD10" s="48">
        <f t="shared" si="10"/>
        <v>14000</v>
      </c>
      <c r="BE10" s="11">
        <f t="shared" ca="1" si="3"/>
        <v>0</v>
      </c>
      <c r="BF10" s="11">
        <f t="shared" ca="1" si="4"/>
        <v>1</v>
      </c>
      <c r="BG10" s="16">
        <f ca="1">IF($BE10&lt;=0,ROUND(BK10*0.5,0), ROUND($BE10*S10*AA10*J10*AY10*0.8*[1]ステータス!$B$2,0))</f>
        <v>3392</v>
      </c>
      <c r="BH10" s="16">
        <f ca="1">IF($BE10&lt;=0,ROUND(BL10*0.5,0), ROUND($BE10*T10*AB10*K10*AZ10*0.8*[1]ステータス!$C$2,0))</f>
        <v>2820</v>
      </c>
      <c r="BI10" s="16">
        <f ca="1">IF($BE10&lt;=0,ROUND(BM10*0.5,0), ROUND($BE10*U10*AC10*L10*BA10*0.8*[1]ステータス!$D$2,0))</f>
        <v>0</v>
      </c>
      <c r="BJ10" s="16">
        <f ca="1">IF($BE10&lt;=0,ROUND(BN10*0.5,0), ROUND($BE10*V10*AD10*M10*BB10*0.8*[1]ステータス!$E$2,0))</f>
        <v>938</v>
      </c>
      <c r="BK10" s="11">
        <f ca="1">ROUND(BD10*S10*AA10*J10*AY10*[1]ステータス!$B$2,0)</f>
        <v>6783</v>
      </c>
      <c r="BL10" s="11">
        <f ca="1">ROUND(BD10*T10*AB10*K10*AZ10*[1]ステータス!$C$2,0)</f>
        <v>5639</v>
      </c>
      <c r="BM10" s="11">
        <f ca="1">ROUND(BD10*U10*AC10*L10*BA10*[1]ステータス!$D$2,0)</f>
        <v>0</v>
      </c>
      <c r="BN10" s="11">
        <f ca="1">ROUND(BD10*V10*AD10*M10*BB10*[1]ステータス!$E$2,0)</f>
        <v>1876</v>
      </c>
      <c r="BO10" s="10">
        <v>0</v>
      </c>
      <c r="BP10" s="10">
        <v>1</v>
      </c>
      <c r="BQ10" s="10" t="s">
        <v>43</v>
      </c>
      <c r="BR10" s="10">
        <f ca="1">VLOOKUP(H10,ghosts_label!$A$2:$B$19,2,FALSE)</f>
        <v>30000</v>
      </c>
    </row>
    <row r="11" spans="1:70" ht="21" customHeight="1" x14ac:dyDescent="0.15">
      <c r="A11" s="219">
        <v>1185</v>
      </c>
      <c r="B11" s="220" t="str">
        <f ca="1">VLOOKUP($A11,OFFSET([1]characters!$A$1,0,0,COUNTA([1]characters!$A:$A),MATCH(B$1,[1]characters!$1:$1,0)-MATCH($A$1,[1]characters!$1:$1,0)+1),MATCH(B$1,[1]characters!$1:$1,0)-MATCH($A$1,[1]characters!$1:$1,0)+1,FALSE)</f>
        <v>兆銀河団の星観者 ハーシェル</v>
      </c>
      <c r="C11" s="57" t="str">
        <f ca="1">VLOOKUP($A11,OFFSET([1]characters!$A$1,0,0,COUNTA([1]characters!$A:$A),MATCH(C$1,[1]characters!$1:$1,0)-MATCH($A$1,[1]characters!$1:$1,0)+1),MATCH(C$1,[1]characters!$1:$1,0)-MATCH($A$1,[1]characters!$1:$1,0)+1,FALSE)</f>
        <v>超覚醒ハーシェル</v>
      </c>
      <c r="D11" s="57" t="str">
        <f ca="1">VLOOKUP($A11,OFFSET([1]characters!$A$1,0,0,COUNTA([1]characters!$A:$A),MATCH(D$1,[1]characters!$1:$1,0)-MATCH($A$1,[1]characters!$1:$1,0)+1),MATCH(D$1,[1]characters!$1:$1,0)-MATCH($A$1,[1]characters!$1:$1,0)+1,FALSE)</f>
        <v>アリス</v>
      </c>
      <c r="E11" s="57" t="str">
        <f ca="1">VLOOKUP($A11,OFFSET([1]characters!$A$1,0,0,COUNTA([1]characters!$A:$A),MATCH(E$1,[1]characters!$1:$1,0)-MATCH($A$1,[1]characters!$1:$1,0)+1),MATCH(E$1,[1]characters!$1:$1,0)-MATCH($A$1,[1]characters!$1:$1,0)+1,FALSE)</f>
        <v>世界観</v>
      </c>
      <c r="F11" s="57" t="str">
        <f ca="1">VLOOKUP($A11,OFFSET([1]characters!$A$1,0,0,COUNTA([1]characters!$A:$A),MATCH(F$1,[1]characters!$1:$1,0)-MATCH($A$1,[1]characters!$1:$1,0)+1),MATCH(F$1,[1]characters!$1:$1,0)-MATCH($A$1,[1]characters!$1:$1,0)+1,FALSE)</f>
        <v>不明</v>
      </c>
      <c r="G11" s="57">
        <f ca="1">VLOOKUP($A11,OFFSET([1]characters!$A$1,0,0,COUNTA([1]characters!$A:$A),MATCH(G$1,[1]characters!$1:$1,0)-MATCH($A$1,[1]characters!$1:$1,0)+1),MATCH(G$1,[1]characters!$1:$1,0)-MATCH($A$1,[1]characters!$1:$1,0)+1,FALSE)</f>
        <v>6</v>
      </c>
      <c r="H11" s="57" t="str">
        <f ca="1">VLOOKUP($A11,OFFSET([1]characters!$A$1,0,0,COUNTA([1]characters!$A:$A),MATCH(H$1,[1]characters!$1:$1,0)-MATCH($A$1,[1]characters!$1:$1,0)+1),MATCH(H$1,[1]characters!$1:$1,0)-MATCH($A$1,[1]characters!$1:$1,0)+1,FALSE)</f>
        <v>PremiumSSS</v>
      </c>
      <c r="I11" s="57" t="str">
        <f ca="1">VLOOKUP($A11,OFFSET([1]characters!$A$1,0,0,COUNTA([1]characters!$A:$A),MATCH(I$1,[1]characters!$1:$1,0)-MATCH($A$1,[1]characters!$1:$1,0)+1),MATCH(I$1,[1]characters!$1:$1,0)-MATCH($A$1,[1]characters!$1:$1,0)+1,FALSE)</f>
        <v>yellow</v>
      </c>
      <c r="J11" s="11">
        <f ca="1">VLOOKUP(I11,[1]属性!$A:$E,2,FALSE)</f>
        <v>0.98</v>
      </c>
      <c r="K11" s="11">
        <f ca="1">VLOOKUP(I11,[1]属性!$A:$E,3,FALSE)</f>
        <v>1.01</v>
      </c>
      <c r="L11" s="11">
        <f ca="1">VLOOKUP(I11,[1]属性!$A:$E,4,FALSE)</f>
        <v>1</v>
      </c>
      <c r="M11" s="11">
        <f ca="1">VLOOKUP(I11,[1]属性!$A:$E,5,FALSE)</f>
        <v>1.01</v>
      </c>
      <c r="N11" s="11">
        <f ca="1">INDEX(コスト!$A$1:$I$20,MATCH(H11,コスト!$A$1:$A$20,FALSE),MATCH(G11,コスト!$A$1:$I$1,FALSE))</f>
        <v>55</v>
      </c>
      <c r="O11" s="11">
        <f ca="1">INDEX(レベル!$A$1:$I$21,MATCH(H11,レベル!$A$1:$A$21,FALSE),MATCH(G11,レベル!$A$1:$I$1,FALSE))</f>
        <v>99</v>
      </c>
      <c r="P11" s="48">
        <f t="shared" ref="P11" ca="1" si="14">IF(G11=6,99, G11*15)</f>
        <v>99</v>
      </c>
      <c r="Q11" s="57" t="str">
        <f ca="1">VLOOKUP($A11,OFFSET([1]characters!$A$1,0,0,COUNTA([1]characters!$A:$A),MATCH(Q$1,[1]characters!$1:$1,0)-MATCH($A$1,[1]characters!$1:$1,0)+1),MATCH(Q$1,[1]characters!$1:$1,0)-MATCH($A$1,[1]characters!$1:$1,0)+1,FALSE)</f>
        <v>heal</v>
      </c>
      <c r="R11" s="5" t="str">
        <f ca="1">VLOOKUP(Q11,[1]character_type_i18n!$A:$H,3,FALSE)</f>
        <v>回復タイプ</v>
      </c>
      <c r="S11" s="11">
        <f ca="1">VLOOKUP(Q11,[1]character_type_i18n!$A:$H,4,FALSE)</f>
        <v>0.8</v>
      </c>
      <c r="T11" s="11">
        <f ca="1">VLOOKUP(Q11,[1]character_type_i18n!$A:$H,5,FALSE)</f>
        <v>0.78</v>
      </c>
      <c r="U11" s="11">
        <f ca="1">VLOOKUP(Q11,[1]character_type_i18n!$A:$H,6,FALSE)</f>
        <v>1</v>
      </c>
      <c r="V11" s="11">
        <f ca="1">VLOOKUP(Q11,[1]character_type_i18n!$A:$H,7,FALSE)</f>
        <v>1.42</v>
      </c>
      <c r="W11" s="57" t="str">
        <f ca="1">VLOOKUP($A11,OFFSET([1]characters!$A$1,0,0,COUNTA([1]characters!$A:$A),MATCH(W$1,[1]characters!$1:$1,0)-MATCH($A$1,[1]characters!$1:$1,0)+1),MATCH(W$1,[1]characters!$1:$1,0)-MATCH($A$1,[1]characters!$1:$1,0)+1,FALSE)</f>
        <v>academia</v>
      </c>
      <c r="X11" s="5" t="str">
        <f ca="1">VLOOKUP(W11,[1]character_tribe_i18n!$A:$H,3,FALSE)</f>
        <v>アカデミア</v>
      </c>
      <c r="Y11" s="57" t="str">
        <f ca="1">VLOOKUP($A11,OFFSET([1]characters!$A$1,0,0,COUNTA([1]characters!$A:$A),MATCH(Y$1,[1]characters!$1:$1,0)-MATCH($A$1,[1]characters!$1:$1,0)+1),MATCH(Y$1,[1]characters!$1:$1,0)-MATCH($A$1,[1]characters!$1:$1,0)+1,FALSE)</f>
        <v>animal</v>
      </c>
      <c r="Z11" s="5" t="str">
        <f ca="1">VLOOKUP(Y11,[1]character_tribe_i18n!$A:$H,3,FALSE)</f>
        <v>アニマル</v>
      </c>
      <c r="AA11" s="11">
        <f ca="1">VLOOKUP(W11,[1]character_tribe_i18n!$A:$H,4,FALSE)</f>
        <v>1</v>
      </c>
      <c r="AB11" s="11">
        <f ca="1">VLOOKUP(W11,[1]character_tribe_i18n!$A:$H,5,FALSE)</f>
        <v>1</v>
      </c>
      <c r="AC11" s="11">
        <f ca="1">VLOOKUP(W11,[1]character_tribe_i18n!$A:$H,6,FALSE)</f>
        <v>1</v>
      </c>
      <c r="AD11" s="11">
        <f ca="1">VLOOKUP(W11,[1]character_tribe_i18n!$A:$H,7,FALSE)</f>
        <v>1</v>
      </c>
      <c r="AE11" s="9" t="s">
        <v>405</v>
      </c>
      <c r="AF11" s="62" t="str">
        <f ca="1">IF(AE11="NULL","",VLOOKUP($AE11,OFFSET([1]characters!$A$1,0,0,COUNTA([1]characters!$A:$A),MATCH(AF$1,[1]characters!$1:$1,0)-MATCH($A$1,[1]characters!$1:$1,0)+1),MATCH(AF$1,[1]characters!$1:$1,0)-MATCH($A$1,[1]characters!$1:$1,0)+1,FALSE))</f>
        <v/>
      </c>
      <c r="AG11" s="5">
        <v>880</v>
      </c>
      <c r="AH11" s="62" t="str">
        <f ca="1">VLOOKUP($AG11,OFFSET([1]characters!$A$1,0,0,COUNTA([1]characters!$A:$A),MATCH(AH$1,[1]characters!$1:$1,0)-MATCH($A$1,[1]characters!$1:$1,0)+1),MATCH(AH$1,[1]characters!$1:$1,0)-MATCH($A$1,[1]characters!$1:$1,0)+1,FALSE)</f>
        <v>ハーシェル</v>
      </c>
      <c r="AI11" s="11" t="s">
        <v>43</v>
      </c>
      <c r="AJ11" s="6">
        <v>2</v>
      </c>
      <c r="AK11" s="7" t="str">
        <f t="shared" ref="AK11" si="15">IF(AJ11=1,"早熟",IF(AJ11=2,"普通",IF(AJ11=3,"晩成","")))</f>
        <v>普通</v>
      </c>
      <c r="AL11" s="11" t="s">
        <v>495</v>
      </c>
      <c r="AM11" s="8">
        <v>6400</v>
      </c>
      <c r="AN11" s="17">
        <v>900</v>
      </c>
      <c r="AO11" s="45"/>
      <c r="AP11" s="221">
        <f t="shared" ref="AP11" si="16">A11</f>
        <v>1185</v>
      </c>
      <c r="AQ11" s="57" t="str">
        <f ca="1">VLOOKUP($AP11,OFFSET(unit_skills!$A$1,0,0,COUNTA(unit_skills!$A:$A),MATCH(AQ$1,unit_skills!$1:$1,0)-MATCH($AP$1,unit_skills!$1:$1,0)+1),MATCH(AQ$1,unit_skills!$1:$1,0)-MATCH($AP$1,unit_skills!$1:$1,0)+1,FALSE)</f>
        <v>永煌雲のフルオーケストラ</v>
      </c>
      <c r="AR11" s="57" t="str">
        <f ca="1">VLOOKUP($AP11,OFFSET(unit_skills!$A$1,0,0,COUNTA(unit_skills!$A:$A),MATCH(AR$1,unit_skills!$1:$1,0)-MATCH($AP$1,unit_skills!$1:$1,0)+1),MATCH(AR$1,unit_skills!$1:$1,0)-MATCH($AP$1,unit_skills!$1:$1,0)+1,FALSE)</f>
        <v>ハートパネルをCパネルに変換+3ターンHP大回復+全ユニットの回復力特大UP</v>
      </c>
      <c r="AS11" s="57">
        <f ca="1">VLOOKUP($AP11,OFFSET(unit_skills!$A$1,0,0,COUNTA(unit_skills!$A:$A),MATCH(AS$1,unit_skills!$1:$1,0)-MATCH($AP$1,unit_skills!$1:$1,0)+1),MATCH(AS$1,unit_skills!$1:$1,0)-MATCH($AP$1,unit_skills!$1:$1,0)+1,FALSE)</f>
        <v>0</v>
      </c>
      <c r="AT11" s="221">
        <f t="shared" ref="AT11" si="17">A11</f>
        <v>1185</v>
      </c>
      <c r="AU11" s="57" t="str">
        <f ca="1">VLOOKUP($AT11,OFFSET(crash_skills!$A$1,0,0,COUNTA(crash_skills!$A:$A),MATCH(AU$1,crash_skills!$1:$1,0)-MATCH($AT$1,crash_skills!$1:$1,0)+1),MATCH(AU$1,crash_skills!$1:$1,0)-MATCH($AT$1,crash_skills!$1:$1,0)+1,FALSE)</f>
        <v>綺羅星スペクトル</v>
      </c>
      <c r="AV11" s="57" t="str">
        <f ca="1">VLOOKUP($AT11,OFFSET(crash_skills!$A$1,0,0,COUNTA(crash_skills!$A:$A),MATCH(AV$1,crash_skills!$1:$1,0)-MATCH($AT$1,crash_skills!$1:$1,0)+1),MATCH(AV$1,crash_skills!$1:$1,0)-MATCH($AT$1,crash_skills!$1:$1,0)+1,FALSE)</f>
        <v>自身の回復力に比例して_x000D_単体に特大ダメージ+HP大回復</v>
      </c>
      <c r="AW11" s="57">
        <f ca="1">VLOOKUP($AP11,OFFSET(unit_skills!$A$1,0,0,COUNTA(unit_skills!$A:$A),MATCH(AS$1,unit_skills!$1:$1,0)-MATCH($AP$1,unit_skills!$1:$1,0)+1),MATCH(AS$1,unit_skills!$1:$1,0)-MATCH($AP$1,unit_skills!$1:$1,0)+1,FALSE)</f>
        <v>0</v>
      </c>
      <c r="AX11" s="58">
        <f ca="1">VLOOKUP($A11,OFFSET([1]characters!$A$1,0,0,COUNTA([1]characters!$A:$A),MATCH(AX$1,[1]characters!$1:$1,0)-MATCH($A$1,[1]characters!$1:$1,0)+1),MATCH(AX$1,[1]characters!$1:$1,0)-MATCH($A$1,[1]characters!$1:$1,0)+1,FALSE)</f>
        <v>3</v>
      </c>
      <c r="AY11" s="236">
        <v>0.89</v>
      </c>
      <c r="AZ11" s="236">
        <v>0.87</v>
      </c>
      <c r="BA11" s="236">
        <v>0</v>
      </c>
      <c r="BB11" s="236">
        <v>1</v>
      </c>
      <c r="BC11" s="11">
        <v>14000</v>
      </c>
      <c r="BD11" s="48">
        <f t="shared" ref="BD11" si="18">ROUND(BC11*IF(AJ11=1,0.95,IF(AJ11=2,1,IF(AJ11,1.05,0))),0)</f>
        <v>14000</v>
      </c>
      <c r="BE11" s="11">
        <f t="shared" ca="1" si="3"/>
        <v>0</v>
      </c>
      <c r="BF11" s="11">
        <f t="shared" ca="1" si="4"/>
        <v>1</v>
      </c>
      <c r="BG11" s="16">
        <f ca="1">IF($BE11&lt;=0,ROUND(BK11*0.5,0), ROUND($BE11*S11*AA11*J11*AY11*0.8*[1]ステータス!$B$2,0))</f>
        <v>2442</v>
      </c>
      <c r="BH11" s="16">
        <f ca="1">IF($BE11&lt;=0,ROUND(BL11*0.5,0), ROUND($BE11*T11*AB11*K11*AZ11*0.8*[1]ステータス!$C$2,0))</f>
        <v>1440</v>
      </c>
      <c r="BI11" s="16">
        <f ca="1">IF($BE11&lt;=0,ROUND(BM11*0.5,0), ROUND($BE11*U11*AC11*L11*BA11*0.8*[1]ステータス!$D$2,0))</f>
        <v>0</v>
      </c>
      <c r="BJ11" s="16">
        <f ca="1">IF($BE11&lt;=0,ROUND(BN11*0.5,0), ROUND($BE11*V11*AD11*M11*BB11*0.8*[1]ステータス!$E$2,0))</f>
        <v>2510</v>
      </c>
      <c r="BK11" s="11">
        <f ca="1">ROUND(BD11*S11*AA11*J11*AY11*[1]ステータス!$B$2,0)</f>
        <v>4884</v>
      </c>
      <c r="BL11" s="11">
        <f ca="1">ROUND(BD11*T11*AB11*K11*AZ11*[1]ステータス!$C$2,0)</f>
        <v>2879</v>
      </c>
      <c r="BM11" s="11">
        <f ca="1">ROUND(BD11*U11*AC11*L11*BA11*[1]ステータス!$D$2,0)</f>
        <v>0</v>
      </c>
      <c r="BN11" s="11">
        <f ca="1">ROUND(BD11*V11*AD11*M11*BB11*[1]ステータス!$E$2,0)</f>
        <v>5020</v>
      </c>
      <c r="BO11" s="10">
        <v>0</v>
      </c>
      <c r="BP11" s="10">
        <v>1</v>
      </c>
      <c r="BQ11" s="10" t="s">
        <v>43</v>
      </c>
      <c r="BR11" s="10">
        <f ca="1">VLOOKUP(H11,ghosts_label!$A$2:$B$19,2,FALSE)</f>
        <v>30000</v>
      </c>
    </row>
    <row r="12" spans="1:70" ht="21" customHeight="1" x14ac:dyDescent="0.15">
      <c r="A12" s="219">
        <v>1122</v>
      </c>
      <c r="B12" s="220" t="str">
        <f ca="1">VLOOKUP($A12,OFFSET([1]characters!$A$1,0,0,COUNTA([1]characters!$A:$A),MATCH(B$1,[1]characters!$1:$1,0)-MATCH($A$1,[1]characters!$1:$1,0)+1),MATCH(B$1,[1]characters!$1:$1,0)-MATCH($A$1,[1]characters!$1:$1,0)+1,FALSE)</f>
        <v>不可能性の現翼 メビウス</v>
      </c>
      <c r="C12" s="57" t="str">
        <f ca="1">VLOOKUP($A12,OFFSET([1]characters!$A$1,0,0,COUNTA([1]characters!$A:$A),MATCH(C$1,[1]characters!$1:$1,0)-MATCH($A$1,[1]characters!$1:$1,0)+1),MATCH(C$1,[1]characters!$1:$1,0)-MATCH($A$1,[1]characters!$1:$1,0)+1,FALSE)</f>
        <v>未定</v>
      </c>
      <c r="D12" s="57" t="str">
        <f ca="1">VLOOKUP($A12,OFFSET([1]characters!$A$1,0,0,COUNTA([1]characters!$A:$A),MATCH(D$1,[1]characters!$1:$1,0)-MATCH($A$1,[1]characters!$1:$1,0)+1),MATCH(D$1,[1]characters!$1:$1,0)-MATCH($A$1,[1]characters!$1:$1,0)+1,FALSE)</f>
        <v>アリス</v>
      </c>
      <c r="E12" s="57" t="str">
        <f ca="1">VLOOKUP($A12,OFFSET([1]characters!$A$1,0,0,COUNTA([1]characters!$A:$A),MATCH(E$1,[1]characters!$1:$1,0)-MATCH($A$1,[1]characters!$1:$1,0)+1),MATCH(E$1,[1]characters!$1:$1,0)-MATCH($A$1,[1]characters!$1:$1,0)+1,FALSE)</f>
        <v>世界観</v>
      </c>
      <c r="F12" s="57" t="str">
        <f ca="1">VLOOKUP($A12,OFFSET([1]characters!$A$1,0,0,COUNTA([1]characters!$A:$A),MATCH(F$1,[1]characters!$1:$1,0)-MATCH($A$1,[1]characters!$1:$1,0)+1),MATCH(F$1,[1]characters!$1:$1,0)-MATCH($A$1,[1]characters!$1:$1,0)+1,FALSE)</f>
        <v>不明</v>
      </c>
      <c r="G12" s="57">
        <f ca="1">VLOOKUP($A12,OFFSET([1]characters!$A$1,0,0,COUNTA([1]characters!$A:$A),MATCH(G$1,[1]characters!$1:$1,0)-MATCH($A$1,[1]characters!$1:$1,0)+1),MATCH(G$1,[1]characters!$1:$1,0)-MATCH($A$1,[1]characters!$1:$1,0)+1,FALSE)</f>
        <v>6</v>
      </c>
      <c r="H12" s="57" t="str">
        <f ca="1">VLOOKUP($A12,OFFSET([1]characters!$A$1,0,0,COUNTA([1]characters!$A:$A),MATCH(H$1,[1]characters!$1:$1,0)-MATCH($A$1,[1]characters!$1:$1,0)+1),MATCH(H$1,[1]characters!$1:$1,0)-MATCH($A$1,[1]characters!$1:$1,0)+1,FALSE)</f>
        <v>PremiumSSS</v>
      </c>
      <c r="I12" s="57" t="str">
        <f ca="1">VLOOKUP($A12,OFFSET([1]characters!$A$1,0,0,COUNTA([1]characters!$A:$A),MATCH(I$1,[1]characters!$1:$1,0)-MATCH($A$1,[1]characters!$1:$1,0)+1),MATCH(I$1,[1]characters!$1:$1,0)-MATCH($A$1,[1]characters!$1:$1,0)+1,FALSE)</f>
        <v>blue</v>
      </c>
      <c r="J12" s="11">
        <f ca="1">VLOOKUP(I12,[1]属性!$A:$E,2,FALSE)</f>
        <v>1</v>
      </c>
      <c r="K12" s="11">
        <f ca="1">VLOOKUP(I12,[1]属性!$A:$E,3,FALSE)</f>
        <v>0.98</v>
      </c>
      <c r="L12" s="11">
        <f ca="1">VLOOKUP(I12,[1]属性!$A:$E,4,FALSE)</f>
        <v>1</v>
      </c>
      <c r="M12" s="11">
        <f ca="1">VLOOKUP(I12,[1]属性!$A:$E,5,FALSE)</f>
        <v>1.02</v>
      </c>
      <c r="N12" s="11">
        <f ca="1">INDEX(コスト!$A$1:$I$20,MATCH(H12,コスト!$A$1:$A$20,FALSE),MATCH(G12,コスト!$A$1:$I$1,FALSE))</f>
        <v>55</v>
      </c>
      <c r="O12" s="11">
        <f ca="1">INDEX(レベル!$A$1:$I$21,MATCH(H12,レベル!$A$1:$A$21,FALSE),MATCH(G12,レベル!$A$1:$I$1,FALSE))</f>
        <v>99</v>
      </c>
      <c r="P12" s="48">
        <f t="shared" ref="P12" ca="1" si="19">IF(G12=6,99, G12*15)</f>
        <v>99</v>
      </c>
      <c r="Q12" s="57" t="str">
        <f ca="1">VLOOKUP($A12,OFFSET([1]characters!$A$1,0,0,COUNTA([1]characters!$A:$A),MATCH(Q$1,[1]characters!$1:$1,0)-MATCH($A$1,[1]characters!$1:$1,0)+1),MATCH(Q$1,[1]characters!$1:$1,0)-MATCH($A$1,[1]characters!$1:$1,0)+1,FALSE)</f>
        <v>balance</v>
      </c>
      <c r="R12" s="5" t="str">
        <f ca="1">VLOOKUP(Q12,[1]character_type_i18n!$A:$H,3,FALSE)</f>
        <v>バランスタイプ</v>
      </c>
      <c r="S12" s="11">
        <f ca="1">VLOOKUP(Q12,[1]character_type_i18n!$A:$H,4,FALSE)</f>
        <v>1</v>
      </c>
      <c r="T12" s="11">
        <f ca="1">VLOOKUP(Q12,[1]character_type_i18n!$A:$H,5,FALSE)</f>
        <v>1</v>
      </c>
      <c r="U12" s="11">
        <f ca="1">VLOOKUP(Q12,[1]character_type_i18n!$A:$H,6,FALSE)</f>
        <v>1</v>
      </c>
      <c r="V12" s="11">
        <f ca="1">VLOOKUP(Q12,[1]character_type_i18n!$A:$H,7,FALSE)</f>
        <v>1</v>
      </c>
      <c r="W12" s="57" t="str">
        <f ca="1">VLOOKUP($A12,OFFSET([1]characters!$A$1,0,0,COUNTA([1]characters!$A:$A),MATCH(W$1,[1]characters!$1:$1,0)-MATCH($A$1,[1]characters!$1:$1,0)+1),MATCH(W$1,[1]characters!$1:$1,0)-MATCH($A$1,[1]characters!$1:$1,0)+1,FALSE)</f>
        <v>academia</v>
      </c>
      <c r="X12" s="5" t="str">
        <f ca="1">VLOOKUP(W12,[1]character_tribe_i18n!$A:$H,3,FALSE)</f>
        <v>アカデミア</v>
      </c>
      <c r="Y12" s="57" t="str">
        <f ca="1">VLOOKUP($A12,OFFSET([1]characters!$A$1,0,0,COUNTA([1]characters!$A:$A),MATCH(Y$1,[1]characters!$1:$1,0)-MATCH($A$1,[1]characters!$1:$1,0)+1),MATCH(Y$1,[1]characters!$1:$1,0)-MATCH($A$1,[1]characters!$1:$1,0)+1,FALSE)</f>
        <v>machine</v>
      </c>
      <c r="Z12" s="5" t="str">
        <f ca="1">VLOOKUP(Y12,[1]character_tribe_i18n!$A:$H,3,FALSE)</f>
        <v>マシン</v>
      </c>
      <c r="AA12" s="11">
        <f ca="1">VLOOKUP(W12,[1]character_tribe_i18n!$A:$H,4,FALSE)</f>
        <v>1</v>
      </c>
      <c r="AB12" s="11">
        <f ca="1">VLOOKUP(W12,[1]character_tribe_i18n!$A:$H,5,FALSE)</f>
        <v>1</v>
      </c>
      <c r="AC12" s="11">
        <f ca="1">VLOOKUP(W12,[1]character_tribe_i18n!$A:$H,6,FALSE)</f>
        <v>1</v>
      </c>
      <c r="AD12" s="11">
        <f ca="1">VLOOKUP(W12,[1]character_tribe_i18n!$A:$H,7,FALSE)</f>
        <v>1</v>
      </c>
      <c r="AE12" s="9" t="s">
        <v>405</v>
      </c>
      <c r="AF12" s="62" t="str">
        <f ca="1">IF(AE12="NULL","",VLOOKUP($AE12,OFFSET([1]characters!$A$1,0,0,COUNTA([1]characters!$A:$A),MATCH(AF$1,[1]characters!$1:$1,0)-MATCH($A$1,[1]characters!$1:$1,0)+1),MATCH(AF$1,[1]characters!$1:$1,0)-MATCH($A$1,[1]characters!$1:$1,0)+1,FALSE))</f>
        <v/>
      </c>
      <c r="AG12" s="5">
        <v>619</v>
      </c>
      <c r="AH12" s="62" t="str">
        <f ca="1">VLOOKUP($AG12,OFFSET([1]characters!$A$1,0,0,COUNTA([1]characters!$A:$A),MATCH(AH$1,[1]characters!$1:$1,0)-MATCH($A$1,[1]characters!$1:$1,0)+1),MATCH(AH$1,[1]characters!$1:$1,0)-MATCH($A$1,[1]characters!$1:$1,0)+1,FALSE)</f>
        <v>メビウス</v>
      </c>
      <c r="AI12" s="11" t="s">
        <v>43</v>
      </c>
      <c r="AJ12" s="6">
        <v>2</v>
      </c>
      <c r="AK12" s="7" t="str">
        <f t="shared" ref="AK12" si="20">IF(AJ12=1,"早熟",IF(AJ12=2,"普通",IF(AJ12=3,"晩成","")))</f>
        <v>普通</v>
      </c>
      <c r="AL12" s="11" t="s">
        <v>495</v>
      </c>
      <c r="AM12" s="8">
        <v>6400</v>
      </c>
      <c r="AN12" s="17">
        <v>900</v>
      </c>
      <c r="AO12" s="45"/>
      <c r="AP12" s="221">
        <f t="shared" ref="AP12" si="21">A12</f>
        <v>1122</v>
      </c>
      <c r="AQ12" s="57" t="str">
        <f ca="1">VLOOKUP($AP12,OFFSET(unit_skills!$A$1,0,0,COUNTA(unit_skills!$A:$A),MATCH(AQ$1,unit_skills!$1:$1,0)-MATCH($AP$1,unit_skills!$1:$1,0)+1),MATCH(AQ$1,unit_skills!$1:$1,0)-MATCH($AP$1,unit_skills!$1:$1,0)+1,FALSE)</f>
        <v>反消極性オリエンタビリティ</v>
      </c>
      <c r="AR12" s="57" t="str">
        <f ca="1">VLOOKUP($AP12,OFFSET(unit_skills!$A$1,0,0,COUNTA(unit_skills!$A:$A),MATCH(AR$1,unit_skills!$1:$1,0)-MATCH($AP$1,unit_skills!$1:$1,0)+1),MATCH(AR$1,unit_skills!$1:$1,0)-MATCH($AP$1,unit_skills!$1:$1,0)+1,FALSE)</f>
        <v>ランダムで最大20個CPに変換+3ターン種族マシン･アニマル･Unknown･ウェポンと攻撃タイプの攻撃力と回復力と防御力を大UP</v>
      </c>
      <c r="AS12" s="57">
        <f ca="1">VLOOKUP($AP12,OFFSET(unit_skills!$A$1,0,0,COUNTA(unit_skills!$A:$A),MATCH(AS$1,unit_skills!$1:$1,0)-MATCH($AP$1,unit_skills!$1:$1,0)+1),MATCH(AS$1,unit_skills!$1:$1,0)-MATCH($AP$1,unit_skills!$1:$1,0)+1,FALSE)</f>
        <v>0</v>
      </c>
      <c r="AT12" s="221">
        <f t="shared" ref="AT12" si="22">A12</f>
        <v>1122</v>
      </c>
      <c r="AU12" s="57" t="str">
        <f ca="1">VLOOKUP($AT12,OFFSET(crash_skills!$A$1,0,0,COUNTA(crash_skills!$A:$A),MATCH(AU$1,crash_skills!$1:$1,0)-MATCH($AT$1,crash_skills!$1:$1,0)+1),MATCH(AU$1,crash_skills!$1:$1,0)-MATCH($AT$1,crash_skills!$1:$1,0)+1,FALSE)</f>
        <v>四色拡散チェーンリアクション</v>
      </c>
      <c r="AV12" s="57" t="str">
        <f ca="1">VLOOKUP($AT12,OFFSET(crash_skills!$A$1,0,0,COUNTA(crash_skills!$A:$A),MATCH(AV$1,crash_skills!$1:$1,0)-MATCH($AT$1,crash_skills!$1:$1,0)+1),MATCH(AV$1,crash_skills!$1:$1,0)-MATCH($AT$1,crash_skills!$1:$1,0)+1,FALSE)</f>
        <v>赤・緑・青・黄属性で_x000D_単体に4連続ダメージ+HP小回復</v>
      </c>
      <c r="AW12" s="57">
        <f ca="1">VLOOKUP($AP12,OFFSET(unit_skills!$A$1,0,0,COUNTA(unit_skills!$A:$A),MATCH(AS$1,unit_skills!$1:$1,0)-MATCH($AP$1,unit_skills!$1:$1,0)+1),MATCH(AS$1,unit_skills!$1:$1,0)-MATCH($AP$1,unit_skills!$1:$1,0)+1,FALSE)</f>
        <v>0</v>
      </c>
      <c r="AX12" s="58">
        <f ca="1">VLOOKUP($A12,OFFSET([1]characters!$A$1,0,0,COUNTA([1]characters!$A:$A),MATCH(AX$1,[1]characters!$1:$1,0)-MATCH($A$1,[1]characters!$1:$1,0)+1),MATCH(AX$1,[1]characters!$1:$1,0)-MATCH($A$1,[1]characters!$1:$1,0)+1,FALSE)</f>
        <v>3</v>
      </c>
      <c r="AY12" s="236">
        <v>0.93</v>
      </c>
      <c r="AZ12" s="236">
        <v>1.1599999999999999</v>
      </c>
      <c r="BA12" s="236">
        <v>0</v>
      </c>
      <c r="BB12" s="236">
        <v>1.1299999999999999</v>
      </c>
      <c r="BC12" s="11">
        <v>14000</v>
      </c>
      <c r="BD12" s="48">
        <f t="shared" ref="BD12" si="23">ROUND(BC12*IF(AJ12=1,0.95,IF(AJ12=2,1,IF(AJ12,1.05,0))),0)</f>
        <v>14000</v>
      </c>
      <c r="BE12" s="11">
        <f t="shared" ca="1" si="3"/>
        <v>0</v>
      </c>
      <c r="BF12" s="11">
        <f t="shared" ca="1" si="4"/>
        <v>1</v>
      </c>
      <c r="BG12" s="16">
        <f ca="1">IF($BE12&lt;=0,ROUND(BK12*0.5,0), ROUND($BE12*S12*AA12*J12*AY12*0.8*[1]ステータス!$B$2,0))</f>
        <v>3255</v>
      </c>
      <c r="BH12" s="16">
        <f ca="1">IF($BE12&lt;=0,ROUND(BL12*0.5,0), ROUND($BE12*T12*AB12*K12*AZ12*0.8*[1]ステータス!$C$2,0))</f>
        <v>2388</v>
      </c>
      <c r="BI12" s="16">
        <f ca="1">IF($BE12&lt;=0,ROUND(BM12*0.5,0), ROUND($BE12*U12*AC12*L12*BA12*0.8*[1]ステータス!$D$2,0))</f>
        <v>0</v>
      </c>
      <c r="BJ12" s="16">
        <f ca="1">IF($BE12&lt;=0,ROUND(BN12*0.5,0), ROUND($BE12*V12*AD12*M12*BB12*0.8*[1]ステータス!$E$2,0))</f>
        <v>2017</v>
      </c>
      <c r="BK12" s="11">
        <f ca="1">ROUND(BD12*S12*AA12*J12*AY12*[1]ステータス!$B$2,0)</f>
        <v>6510</v>
      </c>
      <c r="BL12" s="11">
        <f ca="1">ROUND(BD12*T12*AB12*K12*AZ12*[1]ステータス!$C$2,0)</f>
        <v>4775</v>
      </c>
      <c r="BM12" s="11">
        <f ca="1">ROUND(BD12*U12*AC12*L12*BA12*[1]ステータス!$D$2,0)</f>
        <v>0</v>
      </c>
      <c r="BN12" s="11">
        <f ca="1">ROUND(BD12*V12*AD12*M12*BB12*[1]ステータス!$E$2,0)</f>
        <v>4034</v>
      </c>
      <c r="BO12" s="10">
        <v>0</v>
      </c>
      <c r="BP12" s="10">
        <v>1</v>
      </c>
      <c r="BQ12" s="10" t="s">
        <v>43</v>
      </c>
      <c r="BR12" s="10">
        <f ca="1">VLOOKUP(H12,ghosts_label!$A$2:$B$19,2,FALSE)</f>
        <v>30000</v>
      </c>
    </row>
    <row r="13" spans="1:70" ht="21" customHeight="1" x14ac:dyDescent="0.15">
      <c r="A13" s="219">
        <v>1123</v>
      </c>
      <c r="B13" s="220" t="str">
        <f ca="1">VLOOKUP($A13,OFFSET([1]characters!$A$1,0,0,COUNTA([1]characters!$A:$A),MATCH(B$1,[1]characters!$1:$1,0)-MATCH($A$1,[1]characters!$1:$1,0)+1),MATCH(B$1,[1]characters!$1:$1,0)-MATCH($A$1,[1]characters!$1:$1,0)+1,FALSE)</f>
        <v>舞降りし綺鏡羽 ブール</v>
      </c>
      <c r="C13" s="57" t="str">
        <f ca="1">VLOOKUP($A13,OFFSET([1]characters!$A$1,0,0,COUNTA([1]characters!$A:$A),MATCH(C$1,[1]characters!$1:$1,0)-MATCH($A$1,[1]characters!$1:$1,0)+1),MATCH(C$1,[1]characters!$1:$1,0)-MATCH($A$1,[1]characters!$1:$1,0)+1,FALSE)</f>
        <v>未定</v>
      </c>
      <c r="D13" s="57" t="str">
        <f ca="1">VLOOKUP($A13,OFFSET([1]characters!$A$1,0,0,COUNTA([1]characters!$A:$A),MATCH(D$1,[1]characters!$1:$1,0)-MATCH($A$1,[1]characters!$1:$1,0)+1),MATCH(D$1,[1]characters!$1:$1,0)-MATCH($A$1,[1]characters!$1:$1,0)+1,FALSE)</f>
        <v>アリス</v>
      </c>
      <c r="E13" s="57" t="str">
        <f ca="1">VLOOKUP($A13,OFFSET([1]characters!$A$1,0,0,COUNTA([1]characters!$A:$A),MATCH(E$1,[1]characters!$1:$1,0)-MATCH($A$1,[1]characters!$1:$1,0)+1),MATCH(E$1,[1]characters!$1:$1,0)-MATCH($A$1,[1]characters!$1:$1,0)+1,FALSE)</f>
        <v>世界観</v>
      </c>
      <c r="F13" s="57" t="str">
        <f ca="1">VLOOKUP($A13,OFFSET([1]characters!$A$1,0,0,COUNTA([1]characters!$A:$A),MATCH(F$1,[1]characters!$1:$1,0)-MATCH($A$1,[1]characters!$1:$1,0)+1),MATCH(F$1,[1]characters!$1:$1,0)-MATCH($A$1,[1]characters!$1:$1,0)+1,FALSE)</f>
        <v>不明</v>
      </c>
      <c r="G13" s="57">
        <f ca="1">VLOOKUP($A13,OFFSET([1]characters!$A$1,0,0,COUNTA([1]characters!$A:$A),MATCH(G$1,[1]characters!$1:$1,0)-MATCH($A$1,[1]characters!$1:$1,0)+1),MATCH(G$1,[1]characters!$1:$1,0)-MATCH($A$1,[1]characters!$1:$1,0)+1,FALSE)</f>
        <v>6</v>
      </c>
      <c r="H13" s="57" t="str">
        <f ca="1">VLOOKUP($A13,OFFSET([1]characters!$A$1,0,0,COUNTA([1]characters!$A:$A),MATCH(H$1,[1]characters!$1:$1,0)-MATCH($A$1,[1]characters!$1:$1,0)+1),MATCH(H$1,[1]characters!$1:$1,0)-MATCH($A$1,[1]characters!$1:$1,0)+1,FALSE)</f>
        <v>PremiumSSS</v>
      </c>
      <c r="I13" s="57" t="str">
        <f ca="1">VLOOKUP($A13,OFFSET([1]characters!$A$1,0,0,COUNTA([1]characters!$A:$A),MATCH(I$1,[1]characters!$1:$1,0)-MATCH($A$1,[1]characters!$1:$1,0)+1),MATCH(I$1,[1]characters!$1:$1,0)-MATCH($A$1,[1]characters!$1:$1,0)+1,FALSE)</f>
        <v>blue</v>
      </c>
      <c r="J13" s="11">
        <f ca="1">VLOOKUP(I13,[1]属性!$A:$E,2,FALSE)</f>
        <v>1</v>
      </c>
      <c r="K13" s="11">
        <f ca="1">VLOOKUP(I13,[1]属性!$A:$E,3,FALSE)</f>
        <v>0.98</v>
      </c>
      <c r="L13" s="11">
        <f ca="1">VLOOKUP(I13,[1]属性!$A:$E,4,FALSE)</f>
        <v>1</v>
      </c>
      <c r="M13" s="11">
        <f ca="1">VLOOKUP(I13,[1]属性!$A:$E,5,FALSE)</f>
        <v>1.02</v>
      </c>
      <c r="N13" s="11">
        <f ca="1">INDEX(コスト!$A$1:$I$20,MATCH(H13,コスト!$A$1:$A$20,FALSE),MATCH(G13,コスト!$A$1:$I$1,FALSE))</f>
        <v>55</v>
      </c>
      <c r="O13" s="11">
        <f ca="1">INDEX(レベル!$A$1:$I$21,MATCH(H13,レベル!$A$1:$A$21,FALSE),MATCH(G13,レベル!$A$1:$I$1,FALSE))</f>
        <v>99</v>
      </c>
      <c r="P13" s="48">
        <f t="shared" ref="P13" ca="1" si="24">IF(G13=6,99, G13*15)</f>
        <v>99</v>
      </c>
      <c r="Q13" s="57" t="str">
        <f ca="1">VLOOKUP($A13,OFFSET([1]characters!$A$1,0,0,COUNTA([1]characters!$A:$A),MATCH(Q$1,[1]characters!$1:$1,0)-MATCH($A$1,[1]characters!$1:$1,0)+1),MATCH(Q$1,[1]characters!$1:$1,0)-MATCH($A$1,[1]characters!$1:$1,0)+1,FALSE)</f>
        <v>balance</v>
      </c>
      <c r="R13" s="5" t="str">
        <f ca="1">VLOOKUP(Q13,[1]character_type_i18n!$A:$H,3,FALSE)</f>
        <v>バランスタイプ</v>
      </c>
      <c r="S13" s="11">
        <f ca="1">VLOOKUP(Q13,[1]character_type_i18n!$A:$H,4,FALSE)</f>
        <v>1</v>
      </c>
      <c r="T13" s="11">
        <f ca="1">VLOOKUP(Q13,[1]character_type_i18n!$A:$H,5,FALSE)</f>
        <v>1</v>
      </c>
      <c r="U13" s="11">
        <f ca="1">VLOOKUP(Q13,[1]character_type_i18n!$A:$H,6,FALSE)</f>
        <v>1</v>
      </c>
      <c r="V13" s="11">
        <f ca="1">VLOOKUP(Q13,[1]character_type_i18n!$A:$H,7,FALSE)</f>
        <v>1</v>
      </c>
      <c r="W13" s="57" t="str">
        <f ca="1">VLOOKUP($A13,OFFSET([1]characters!$A$1,0,0,COUNTA([1]characters!$A:$A),MATCH(W$1,[1]characters!$1:$1,0)-MATCH($A$1,[1]characters!$1:$1,0)+1),MATCH(W$1,[1]characters!$1:$1,0)-MATCH($A$1,[1]characters!$1:$1,0)+1,FALSE)</f>
        <v>academia</v>
      </c>
      <c r="X13" s="5" t="str">
        <f ca="1">VLOOKUP(W13,[1]character_tribe_i18n!$A:$H,3,FALSE)</f>
        <v>アカデミア</v>
      </c>
      <c r="Y13" s="57" t="str">
        <f ca="1">VLOOKUP($A13,OFFSET([1]characters!$A$1,0,0,COUNTA([1]characters!$A:$A),MATCH(Y$1,[1]characters!$1:$1,0)-MATCH($A$1,[1]characters!$1:$1,0)+1),MATCH(Y$1,[1]characters!$1:$1,0)-MATCH($A$1,[1]characters!$1:$1,0)+1,FALSE)</f>
        <v>none</v>
      </c>
      <c r="Z13" s="5" t="str">
        <f ca="1">VLOOKUP(Y13,[1]character_tribe_i18n!$A:$H,3,FALSE)</f>
        <v>種族なし</v>
      </c>
      <c r="AA13" s="11">
        <f ca="1">VLOOKUP(W13,[1]character_tribe_i18n!$A:$H,4,FALSE)</f>
        <v>1</v>
      </c>
      <c r="AB13" s="11">
        <f ca="1">VLOOKUP(W13,[1]character_tribe_i18n!$A:$H,5,FALSE)</f>
        <v>1</v>
      </c>
      <c r="AC13" s="11">
        <f ca="1">VLOOKUP(W13,[1]character_tribe_i18n!$A:$H,6,FALSE)</f>
        <v>1</v>
      </c>
      <c r="AD13" s="11">
        <f ca="1">VLOOKUP(W13,[1]character_tribe_i18n!$A:$H,7,FALSE)</f>
        <v>1</v>
      </c>
      <c r="AE13" s="9" t="s">
        <v>175</v>
      </c>
      <c r="AF13" s="62" t="str">
        <f ca="1">IF(AE13="NULL","",VLOOKUP($AE13,OFFSET([1]characters!$A$1,0,0,COUNTA([1]characters!$A:$A),MATCH(AF$1,[1]characters!$1:$1,0)-MATCH($A$1,[1]characters!$1:$1,0)+1),MATCH(AF$1,[1]characters!$1:$1,0)-MATCH($A$1,[1]characters!$1:$1,0)+1,FALSE))</f>
        <v/>
      </c>
      <c r="AG13" s="5">
        <v>974</v>
      </c>
      <c r="AH13" s="62" t="str">
        <f ca="1">VLOOKUP($AG13,OFFSET([1]characters!$A$1,0,0,COUNTA([1]characters!$A:$A),MATCH(AH$1,[1]characters!$1:$1,0)-MATCH($A$1,[1]characters!$1:$1,0)+1),MATCH(AH$1,[1]characters!$1:$1,0)-MATCH($A$1,[1]characters!$1:$1,0)+1,FALSE)</f>
        <v>ブール</v>
      </c>
      <c r="AI13" s="11" t="s">
        <v>43</v>
      </c>
      <c r="AJ13" s="6">
        <v>2</v>
      </c>
      <c r="AK13" s="7" t="str">
        <f t="shared" ref="AK13" si="25">IF(AJ13=1,"早熟",IF(AJ13=2,"普通",IF(AJ13=3,"晩成","")))</f>
        <v>普通</v>
      </c>
      <c r="AL13" s="11" t="s">
        <v>495</v>
      </c>
      <c r="AM13" s="8">
        <v>6400</v>
      </c>
      <c r="AN13" s="17">
        <v>900</v>
      </c>
      <c r="AO13" s="45"/>
      <c r="AP13" s="221">
        <f t="shared" ref="AP13" si="26">A13</f>
        <v>1123</v>
      </c>
      <c r="AQ13" s="57" t="str">
        <f ca="1">VLOOKUP($AP13,OFFSET(unit_skills!$A$1,0,0,COUNTA(unit_skills!$A:$A),MATCH(AQ$1,unit_skills!$1:$1,0)-MATCH($AP$1,unit_skills!$1:$1,0)+1),MATCH(AQ$1,unit_skills!$1:$1,0)-MATCH($AP$1,unit_skills!$1:$1,0)+1,FALSE)</f>
        <v>燦翼のロジカルグランド</v>
      </c>
      <c r="AR13" s="57" t="str">
        <f ca="1">VLOOKUP($AP13,OFFSET(unit_skills!$A$1,0,0,COUNTA(unit_skills!$A:$A),MATCH(AR$1,unit_skills!$1:$1,0)-MATCH($AP$1,unit_skills!$1:$1,0)+1),MATCH(AR$1,unit_skills!$1:$1,0)-MATCH($AP$1,unit_skills!$1:$1,0)+1,FALSE)</f>
        <v>ランダムでパネルを3つSCパネル(大)に変換+3ターン自身が先頭以外でも通常攻撃に参加し、全ユニットの攻撃力超大UP</v>
      </c>
      <c r="AS13" s="57">
        <f ca="1">VLOOKUP($AP13,OFFSET(unit_skills!$A$1,0,0,COUNTA(unit_skills!$A:$A),MATCH(AS$1,unit_skills!$1:$1,0)-MATCH($AP$1,unit_skills!$1:$1,0)+1),MATCH(AS$1,unit_skills!$1:$1,0)-MATCH($AP$1,unit_skills!$1:$1,0)+1,FALSE)</f>
        <v>0</v>
      </c>
      <c r="AT13" s="221">
        <f t="shared" ref="AT13" si="27">A13</f>
        <v>1123</v>
      </c>
      <c r="AU13" s="57" t="str">
        <f ca="1">VLOOKUP($AT13,OFFSET(crash_skills!$A$1,0,0,COUNTA(crash_skills!$A:$A),MATCH(AU$1,crash_skills!$1:$1,0)-MATCH($AT$1,crash_skills!$1:$1,0)+1),MATCH(AU$1,crash_skills!$1:$1,0)-MATCH($AT$1,crash_skills!$1:$1,0)+1,FALSE)</f>
        <v>アルゲブラ・リライフ</v>
      </c>
      <c r="AV13" s="57" t="str">
        <f ca="1">VLOOKUP($AT13,OFFSET(crash_skills!$A$1,0,0,COUNTA(crash_skills!$A:$A),MATCH(AV$1,crash_skills!$1:$1,0)-MATCH($AT$1,crash_skills!$1:$1,0)+1),MATCH(AV$1,crash_skills!$1:$1,0)-MATCH($AT$1,crash_skills!$1:$1,0)+1,FALSE)</f>
        <v>1体に超大ダメージ+_x000D_1ターン全ユニットの回復力UP</v>
      </c>
      <c r="AW13" s="57">
        <f ca="1">VLOOKUP($AP13,OFFSET(unit_skills!$A$1,0,0,COUNTA(unit_skills!$A:$A),MATCH(AS$1,unit_skills!$1:$1,0)-MATCH($AP$1,unit_skills!$1:$1,0)+1),MATCH(AS$1,unit_skills!$1:$1,0)-MATCH($AP$1,unit_skills!$1:$1,0)+1,FALSE)</f>
        <v>0</v>
      </c>
      <c r="AX13" s="58">
        <f ca="1">VLOOKUP($A13,OFFSET([1]characters!$A$1,0,0,COUNTA([1]characters!$A:$A),MATCH(AX$1,[1]characters!$1:$1,0)-MATCH($A$1,[1]characters!$1:$1,0)+1),MATCH(AX$1,[1]characters!$1:$1,0)-MATCH($A$1,[1]characters!$1:$1,0)+1,FALSE)</f>
        <v>3</v>
      </c>
      <c r="AY13" s="236">
        <v>0.9</v>
      </c>
      <c r="AZ13" s="236">
        <v>1.1000000000000001</v>
      </c>
      <c r="BA13" s="236">
        <v>0</v>
      </c>
      <c r="BB13" s="236">
        <v>0.92</v>
      </c>
      <c r="BC13" s="11">
        <v>14000</v>
      </c>
      <c r="BD13" s="48">
        <f t="shared" ref="BD13" si="28">ROUND(BC13*IF(AJ13=1,0.95,IF(AJ13=2,1,IF(AJ13,1.05,0))),0)</f>
        <v>14000</v>
      </c>
      <c r="BE13" s="11">
        <f t="shared" ca="1" si="3"/>
        <v>0</v>
      </c>
      <c r="BF13" s="11">
        <f t="shared" ca="1" si="4"/>
        <v>1</v>
      </c>
      <c r="BG13" s="16">
        <f ca="1">IF($BE13&lt;=0,ROUND(BK13*0.5,0), ROUND($BE13*S13*AA13*J13*AY13*0.8*[1]ステータス!$B$2,0))</f>
        <v>3150</v>
      </c>
      <c r="BH13" s="16">
        <f ca="1">IF($BE13&lt;=0,ROUND(BL13*0.5,0), ROUND($BE13*T13*AB13*K13*AZ13*0.8*[1]ステータス!$C$2,0))</f>
        <v>2264</v>
      </c>
      <c r="BI13" s="16">
        <f ca="1">IF($BE13&lt;=0,ROUND(BM13*0.5,0), ROUND($BE13*U13*AC13*L13*BA13*0.8*[1]ステータス!$D$2,0))</f>
        <v>0</v>
      </c>
      <c r="BJ13" s="16">
        <f ca="1">IF($BE13&lt;=0,ROUND(BN13*0.5,0), ROUND($BE13*V13*AD13*M13*BB13*0.8*[1]ステータス!$E$2,0))</f>
        <v>1642</v>
      </c>
      <c r="BK13" s="11">
        <f ca="1">ROUND(BD13*S13*AA13*J13*AY13*[1]ステータス!$B$2,0)</f>
        <v>6300</v>
      </c>
      <c r="BL13" s="11">
        <f ca="1">ROUND(BD13*T13*AB13*K13*AZ13*[1]ステータス!$C$2,0)</f>
        <v>4528</v>
      </c>
      <c r="BM13" s="11">
        <f ca="1">ROUND(BD13*U13*AC13*L13*BA13*[1]ステータス!$D$2,0)</f>
        <v>0</v>
      </c>
      <c r="BN13" s="11">
        <f ca="1">ROUND(BD13*V13*AD13*M13*BB13*[1]ステータス!$E$2,0)</f>
        <v>3284</v>
      </c>
      <c r="BO13" s="10">
        <v>0</v>
      </c>
      <c r="BP13" s="10">
        <v>1</v>
      </c>
      <c r="BQ13" s="10" t="s">
        <v>43</v>
      </c>
      <c r="BR13" s="229">
        <v>3000</v>
      </c>
    </row>
    <row r="14" spans="1:70" ht="21" customHeight="1" x14ac:dyDescent="0.15">
      <c r="A14" s="219">
        <v>1119</v>
      </c>
      <c r="B14" s="220" t="str">
        <f ca="1">VLOOKUP($A14,OFFSET([1]characters!$A$1,0,0,COUNTA([1]characters!$A:$A),MATCH(B$1,[1]characters!$1:$1,0)-MATCH($A$1,[1]characters!$1:$1,0)+1),MATCH(B$1,[1]characters!$1:$1,0)-MATCH($A$1,[1]characters!$1:$1,0)+1,FALSE)</f>
        <v>刹・廻天一流 宮本武蔵</v>
      </c>
      <c r="C14" s="57" t="str">
        <f ca="1">VLOOKUP($A14,OFFSET([1]characters!$A$1,0,0,COUNTA([1]characters!$A:$A),MATCH(C$1,[1]characters!$1:$1,0)-MATCH($A$1,[1]characters!$1:$1,0)+1),MATCH(C$1,[1]characters!$1:$1,0)-MATCH($A$1,[1]characters!$1:$1,0)+1,FALSE)</f>
        <v>未定</v>
      </c>
      <c r="D14" s="57" t="str">
        <f ca="1">VLOOKUP($A14,OFFSET([1]characters!$A$1,0,0,COUNTA([1]characters!$A:$A),MATCH(D$1,[1]characters!$1:$1,0)-MATCH($A$1,[1]characters!$1:$1,0)+1),MATCH(D$1,[1]characters!$1:$1,0)-MATCH($A$1,[1]characters!$1:$1,0)+1,FALSE)</f>
        <v>アリス</v>
      </c>
      <c r="E14" s="57" t="str">
        <f ca="1">VLOOKUP($A14,OFFSET([1]characters!$A$1,0,0,COUNTA([1]characters!$A:$A),MATCH(E$1,[1]characters!$1:$1,0)-MATCH($A$1,[1]characters!$1:$1,0)+1),MATCH(E$1,[1]characters!$1:$1,0)-MATCH($A$1,[1]characters!$1:$1,0)+1,FALSE)</f>
        <v>世界観</v>
      </c>
      <c r="F14" s="57" t="str">
        <f ca="1">VLOOKUP($A14,OFFSET([1]characters!$A$1,0,0,COUNTA([1]characters!$A:$A),MATCH(F$1,[1]characters!$1:$1,0)-MATCH($A$1,[1]characters!$1:$1,0)+1),MATCH(F$1,[1]characters!$1:$1,0)-MATCH($A$1,[1]characters!$1:$1,0)+1,FALSE)</f>
        <v>不明</v>
      </c>
      <c r="G14" s="57">
        <f ca="1">VLOOKUP($A14,OFFSET([1]characters!$A$1,0,0,COUNTA([1]characters!$A:$A),MATCH(G$1,[1]characters!$1:$1,0)-MATCH($A$1,[1]characters!$1:$1,0)+1),MATCH(G$1,[1]characters!$1:$1,0)-MATCH($A$1,[1]characters!$1:$1,0)+1,FALSE)</f>
        <v>6</v>
      </c>
      <c r="H14" s="57" t="str">
        <f ca="1">VLOOKUP($A14,OFFSET([1]characters!$A$1,0,0,COUNTA([1]characters!$A:$A),MATCH(H$1,[1]characters!$1:$1,0)-MATCH($A$1,[1]characters!$1:$1,0)+1),MATCH(H$1,[1]characters!$1:$1,0)-MATCH($A$1,[1]characters!$1:$1,0)+1,FALSE)</f>
        <v>DropWizS</v>
      </c>
      <c r="I14" s="57" t="str">
        <f ca="1">VLOOKUP($A14,OFFSET([1]characters!$A$1,0,0,COUNTA([1]characters!$A:$A),MATCH(I$1,[1]characters!$1:$1,0)-MATCH($A$1,[1]characters!$1:$1,0)+1),MATCH(I$1,[1]characters!$1:$1,0)-MATCH($A$1,[1]characters!$1:$1,0)+1,FALSE)</f>
        <v>yellow</v>
      </c>
      <c r="J14" s="11">
        <f ca="1">VLOOKUP(I14,[1]属性!$A:$E,2,FALSE)</f>
        <v>0.98</v>
      </c>
      <c r="K14" s="11">
        <f ca="1">VLOOKUP(I14,[1]属性!$A:$E,3,FALSE)</f>
        <v>1.01</v>
      </c>
      <c r="L14" s="11">
        <f ca="1">VLOOKUP(I14,[1]属性!$A:$E,4,FALSE)</f>
        <v>1</v>
      </c>
      <c r="M14" s="11">
        <f ca="1">VLOOKUP(I14,[1]属性!$A:$E,5,FALSE)</f>
        <v>1.01</v>
      </c>
      <c r="N14" s="11">
        <f ca="1">INDEX(コスト!$A$1:$I$20,MATCH(H14,コスト!$A$1:$A$20,FALSE),MATCH(G14,コスト!$A$1:$I$1,FALSE))</f>
        <v>45</v>
      </c>
      <c r="O14" s="11">
        <f ca="1">INDEX(レベル!$A$1:$I$21,MATCH(H14,レベル!$A$1:$A$21,FALSE),MATCH(G14,レベル!$A$1:$I$1,FALSE))</f>
        <v>99</v>
      </c>
      <c r="P14" s="48">
        <f t="shared" ref="P14" ca="1" si="29">IF(G14=6,99, G14*15)</f>
        <v>99</v>
      </c>
      <c r="Q14" s="57" t="str">
        <f ca="1">VLOOKUP($A14,OFFSET([1]characters!$A$1,0,0,COUNTA([1]characters!$A:$A),MATCH(Q$1,[1]characters!$1:$1,0)-MATCH($A$1,[1]characters!$1:$1,0)+1),MATCH(Q$1,[1]characters!$1:$1,0)-MATCH($A$1,[1]characters!$1:$1,0)+1,FALSE)</f>
        <v>attack</v>
      </c>
      <c r="R14" s="5" t="str">
        <f ca="1">VLOOKUP(Q14,[1]character_type_i18n!$A:$H,3,FALSE)</f>
        <v>攻撃タイプ</v>
      </c>
      <c r="S14" s="11">
        <f ca="1">VLOOKUP(Q14,[1]character_type_i18n!$A:$H,4,FALSE)</f>
        <v>1</v>
      </c>
      <c r="T14" s="11">
        <f ca="1">VLOOKUP(Q14,[1]character_type_i18n!$A:$H,5,FALSE)</f>
        <v>1.33</v>
      </c>
      <c r="U14" s="11">
        <f ca="1">VLOOKUP(Q14,[1]character_type_i18n!$A:$H,6,FALSE)</f>
        <v>1</v>
      </c>
      <c r="V14" s="11">
        <f ca="1">VLOOKUP(Q14,[1]character_type_i18n!$A:$H,7,FALSE)</f>
        <v>0.67</v>
      </c>
      <c r="W14" s="57" t="str">
        <f ca="1">VLOOKUP($A14,OFFSET([1]characters!$A$1,0,0,COUNTA([1]characters!$A:$A),MATCH(W$1,[1]characters!$1:$1,0)-MATCH($A$1,[1]characters!$1:$1,0)+1),MATCH(W$1,[1]characters!$1:$1,0)-MATCH($A$1,[1]characters!$1:$1,0)+1,FALSE)</f>
        <v>human</v>
      </c>
      <c r="X14" s="5" t="str">
        <f ca="1">VLOOKUP(W14,[1]character_tribe_i18n!$A:$H,3,FALSE)</f>
        <v>ヒューマン</v>
      </c>
      <c r="Y14" s="57" t="str">
        <f ca="1">VLOOKUP($A14,OFFSET([1]characters!$A$1,0,0,COUNTA([1]characters!$A:$A),MATCH(Y$1,[1]characters!$1:$1,0)-MATCH($A$1,[1]characters!$1:$1,0)+1),MATCH(Y$1,[1]characters!$1:$1,0)-MATCH($A$1,[1]characters!$1:$1,0)+1,FALSE)</f>
        <v>samurai</v>
      </c>
      <c r="Z14" s="5" t="str">
        <f ca="1">VLOOKUP(Y14,[1]character_tribe_i18n!$A:$H,3,FALSE)</f>
        <v>サムライ</v>
      </c>
      <c r="AA14" s="11">
        <f ca="1">VLOOKUP(W14,[1]character_tribe_i18n!$A:$H,4,FALSE)</f>
        <v>0.94</v>
      </c>
      <c r="AB14" s="11">
        <f ca="1">VLOOKUP(W14,[1]character_tribe_i18n!$A:$H,5,FALSE)</f>
        <v>0.99</v>
      </c>
      <c r="AC14" s="11">
        <f ca="1">VLOOKUP(W14,[1]character_tribe_i18n!$A:$H,6,FALSE)</f>
        <v>1</v>
      </c>
      <c r="AD14" s="11">
        <f ca="1">VLOOKUP(W14,[1]character_tribe_i18n!$A:$H,7,FALSE)</f>
        <v>1.07</v>
      </c>
      <c r="AE14" s="9" t="s">
        <v>175</v>
      </c>
      <c r="AF14" s="62" t="str">
        <f ca="1">IF(AE14="NULL","",VLOOKUP($AE14,OFFSET([1]characters!$A$1,0,0,COUNTA([1]characters!$A:$A),MATCH(AF$1,[1]characters!$1:$1,0)-MATCH($A$1,[1]characters!$1:$1,0)+1),MATCH(AF$1,[1]characters!$1:$1,0)-MATCH($A$1,[1]characters!$1:$1,0)+1,FALSE))</f>
        <v/>
      </c>
      <c r="AG14" s="5">
        <v>426</v>
      </c>
      <c r="AH14" s="62" t="str">
        <f ca="1">VLOOKUP($AG14,OFFSET([1]characters!$A$1,0,0,COUNTA([1]characters!$A:$A),MATCH(AH$1,[1]characters!$1:$1,0)-MATCH($A$1,[1]characters!$1:$1,0)+1),MATCH(AH$1,[1]characters!$1:$1,0)-MATCH($A$1,[1]characters!$1:$1,0)+1,FALSE)</f>
        <v>宮本武蔵</v>
      </c>
      <c r="AI14" s="11" t="s">
        <v>43</v>
      </c>
      <c r="AJ14" s="6">
        <v>2</v>
      </c>
      <c r="AK14" s="7" t="str">
        <f t="shared" ref="AK14" si="30">IF(AJ14=1,"早熟",IF(AJ14=2,"普通",IF(AJ14=3,"晩成","")))</f>
        <v>普通</v>
      </c>
      <c r="AL14" s="11" t="str">
        <f ca="1">INDEX(経験値!$A$1:$I$20,MATCH(H14,経験値!$A$1:$A$20,FALSE),MATCH(G14,経験値!$A$1:$I$1,FALSE))</f>
        <v>required_exp_250</v>
      </c>
      <c r="AM14" s="8">
        <v>6400</v>
      </c>
      <c r="AN14" s="17">
        <v>900</v>
      </c>
      <c r="AO14" s="45"/>
      <c r="AP14" s="221">
        <f t="shared" ref="AP14" si="31">A14</f>
        <v>1119</v>
      </c>
      <c r="AQ14" s="57" t="str">
        <f ca="1">VLOOKUP($AP14,OFFSET(unit_skills!$A$1,0,0,COUNTA(unit_skills!$A:$A),MATCH(AQ$1,unit_skills!$1:$1,0)-MATCH($AP$1,unit_skills!$1:$1,0)+1),MATCH(AQ$1,unit_skills!$1:$1,0)-MATCH($AP$1,unit_skills!$1:$1,0)+1,FALSE)</f>
        <v>裏五輪封印奥義 屠龍滅心</v>
      </c>
      <c r="AR14" s="57" t="str">
        <f ca="1">VLOOKUP($AP14,OFFSET(unit_skills!$A$1,0,0,COUNTA(unit_skills!$A:$A),MATCH(AR$1,unit_skills!$1:$1,0)-MATCH($AP$1,unit_skills!$1:$1,0)+1),MATCH(AR$1,unit_skills!$1:$1,0)-MATCH($AP$1,unit_skills!$1:$1,0)+1,FALSE)</f>
        <v>3ターン自身の攻撃力をUP(青・お邪魔パネルを吸収し効果大UP)+ランダムで1つSCパネル(大)に変換する</v>
      </c>
      <c r="AS14" s="57">
        <f ca="1">VLOOKUP($AP14,OFFSET(unit_skills!$A$1,0,0,COUNTA(unit_skills!$A:$A),MATCH(AS$1,unit_skills!$1:$1,0)-MATCH($AP$1,unit_skills!$1:$1,0)+1),MATCH(AS$1,unit_skills!$1:$1,0)-MATCH($AP$1,unit_skills!$1:$1,0)+1,FALSE)</f>
        <v>0</v>
      </c>
      <c r="AT14" s="221">
        <f t="shared" ref="AT14" si="32">A14</f>
        <v>1119</v>
      </c>
      <c r="AU14" s="57" t="str">
        <f ca="1">VLOOKUP($AT14,OFFSET(crash_skills!$A$1,0,0,COUNTA(crash_skills!$A:$A),MATCH(AU$1,crash_skills!$1:$1,0)-MATCH($AT$1,crash_skills!$1:$1,0)+1),MATCH(AU$1,crash_skills!$1:$1,0)-MATCH($AT$1,crash_skills!$1:$1,0)+1,FALSE)</f>
        <v>巌流断・真裏</v>
      </c>
      <c r="AV14" s="57" t="str">
        <f ca="1">VLOOKUP($AT14,OFFSET(crash_skills!$A$1,0,0,COUNTA(crash_skills!$A:$A),MATCH(AV$1,crash_skills!$1:$1,0)-MATCH($AT$1,crash_skills!$1:$1,0)+1),MATCH(AV$1,crash_skills!$1:$1,0)-MATCH($AT$1,crash_skills!$1:$1,0)+1,FALSE)</f>
        <v>単体に2回大ダメージ</v>
      </c>
      <c r="AW14" s="57">
        <f ca="1">VLOOKUP($AP14,OFFSET(unit_skills!$A$1,0,0,COUNTA(unit_skills!$A:$A),MATCH(AS$1,unit_skills!$1:$1,0)-MATCH($AP$1,unit_skills!$1:$1,0)+1),MATCH(AS$1,unit_skills!$1:$1,0)-MATCH($AP$1,unit_skills!$1:$1,0)+1,FALSE)</f>
        <v>0</v>
      </c>
      <c r="AX14" s="58">
        <f ca="1">VLOOKUP($A14,OFFSET([1]characters!$A$1,0,0,COUNTA([1]characters!$A:$A),MATCH(AX$1,[1]characters!$1:$1,0)-MATCH($A$1,[1]characters!$1:$1,0)+1),MATCH(AX$1,[1]characters!$1:$1,0)-MATCH($A$1,[1]characters!$1:$1,0)+1,FALSE)</f>
        <v>3</v>
      </c>
      <c r="AY14" s="236">
        <v>0.83</v>
      </c>
      <c r="AZ14" s="236">
        <v>1</v>
      </c>
      <c r="BA14" s="236">
        <v>0</v>
      </c>
      <c r="BB14" s="236">
        <v>0.7</v>
      </c>
      <c r="BC14" s="11">
        <v>14000</v>
      </c>
      <c r="BD14" s="48">
        <f t="shared" ref="BD14" si="33">ROUND(BC14*IF(AJ14=1,0.95,IF(AJ14=2,1,IF(AJ14,1.05,0))),0)</f>
        <v>14000</v>
      </c>
      <c r="BE14" s="11">
        <f t="shared" ca="1" si="3"/>
        <v>0</v>
      </c>
      <c r="BF14" s="11">
        <f t="shared" ca="1" si="4"/>
        <v>1</v>
      </c>
      <c r="BG14" s="16">
        <f ca="1">IF($BE14&lt;=0,ROUND(BK14*0.5,0), ROUND($BE14*S14*AA14*J14*AY14*0.8*[1]ステータス!$B$2,0))</f>
        <v>2676</v>
      </c>
      <c r="BH14" s="16">
        <f ca="1">IF($BE14&lt;=0,ROUND(BL14*0.5,0), ROUND($BE14*T14*AB14*K14*AZ14*0.8*[1]ステータス!$C$2,0))</f>
        <v>2793</v>
      </c>
      <c r="BI14" s="16">
        <f ca="1">IF($BE14&lt;=0,ROUND(BM14*0.5,0), ROUND($BE14*U14*AC14*L14*BA14*0.8*[1]ステータス!$D$2,0))</f>
        <v>0</v>
      </c>
      <c r="BJ14" s="16">
        <f ca="1">IF($BE14&lt;=0,ROUND(BN14*0.5,0), ROUND($BE14*V14*AD14*M14*BB14*0.8*[1]ステータス!$E$2,0))</f>
        <v>887</v>
      </c>
      <c r="BK14" s="11">
        <f ca="1">ROUND(BD14*S14*AA14*J14*AY14*[1]ステータス!$B$2,0)</f>
        <v>5352</v>
      </c>
      <c r="BL14" s="11">
        <f ca="1">ROUND(BD14*T14*AB14*K14*AZ14*[1]ステータス!$C$2,0)</f>
        <v>5585</v>
      </c>
      <c r="BM14" s="11">
        <f ca="1">ROUND(BD14*U14*AC14*L14*BA14*[1]ステータス!$D$2,0)</f>
        <v>0</v>
      </c>
      <c r="BN14" s="11">
        <f ca="1">ROUND(BD14*V14*AD14*M14*BB14*[1]ステータス!$E$2,0)</f>
        <v>1774</v>
      </c>
      <c r="BO14" s="10">
        <v>0</v>
      </c>
      <c r="BP14" s="10">
        <v>1</v>
      </c>
      <c r="BQ14" s="10" t="s">
        <v>43</v>
      </c>
      <c r="BR14" s="10">
        <f ca="1">VLOOKUP(H14,ghosts_label!$A$2:$B$19,2,FALSE)</f>
        <v>1</v>
      </c>
    </row>
    <row r="15" spans="1:70" ht="21" customHeight="1" x14ac:dyDescent="0.15">
      <c r="A15" s="219">
        <v>1120</v>
      </c>
      <c r="B15" s="220" t="str">
        <f ca="1">VLOOKUP($A15,OFFSET([1]characters!$A$1,0,0,COUNTA([1]characters!$A:$A),MATCH(B$1,[1]characters!$1:$1,0)-MATCH($A$1,[1]characters!$1:$1,0)+1),MATCH(B$1,[1]characters!$1:$1,0)-MATCH($A$1,[1]characters!$1:$1,0)+1,FALSE)</f>
        <v>四聖猛煌の皇獣 麒麟</v>
      </c>
      <c r="C15" s="57" t="str">
        <f ca="1">VLOOKUP($A15,OFFSET([1]characters!$A$1,0,0,COUNTA([1]characters!$A:$A),MATCH(C$1,[1]characters!$1:$1,0)-MATCH($A$1,[1]characters!$1:$1,0)+1),MATCH(C$1,[1]characters!$1:$1,0)-MATCH($A$1,[1]characters!$1:$1,0)+1,FALSE)</f>
        <v>未定</v>
      </c>
      <c r="D15" s="57" t="str">
        <f ca="1">VLOOKUP($A15,OFFSET([1]characters!$A$1,0,0,COUNTA([1]characters!$A:$A),MATCH(D$1,[1]characters!$1:$1,0)-MATCH($A$1,[1]characters!$1:$1,0)+1),MATCH(D$1,[1]characters!$1:$1,0)-MATCH($A$1,[1]characters!$1:$1,0)+1,FALSE)</f>
        <v>アリス</v>
      </c>
      <c r="E15" s="57" t="str">
        <f ca="1">VLOOKUP($A15,OFFSET([1]characters!$A$1,0,0,COUNTA([1]characters!$A:$A),MATCH(E$1,[1]characters!$1:$1,0)-MATCH($A$1,[1]characters!$1:$1,0)+1),MATCH(E$1,[1]characters!$1:$1,0)-MATCH($A$1,[1]characters!$1:$1,0)+1,FALSE)</f>
        <v>世界観</v>
      </c>
      <c r="F15" s="57" t="str">
        <f ca="1">VLOOKUP($A15,OFFSET([1]characters!$A$1,0,0,COUNTA([1]characters!$A:$A),MATCH(F$1,[1]characters!$1:$1,0)-MATCH($A$1,[1]characters!$1:$1,0)+1),MATCH(F$1,[1]characters!$1:$1,0)-MATCH($A$1,[1]characters!$1:$1,0)+1,FALSE)</f>
        <v>不明</v>
      </c>
      <c r="G15" s="57">
        <f ca="1">VLOOKUP($A15,OFFSET([1]characters!$A$1,0,0,COUNTA([1]characters!$A:$A),MATCH(G$1,[1]characters!$1:$1,0)-MATCH($A$1,[1]characters!$1:$1,0)+1),MATCH(G$1,[1]characters!$1:$1,0)-MATCH($A$1,[1]characters!$1:$1,0)+1,FALSE)</f>
        <v>6</v>
      </c>
      <c r="H15" s="57" t="str">
        <f ca="1">VLOOKUP($A15,OFFSET([1]characters!$A$1,0,0,COUNTA([1]characters!$A:$A),MATCH(H$1,[1]characters!$1:$1,0)-MATCH($A$1,[1]characters!$1:$1,0)+1),MATCH(H$1,[1]characters!$1:$1,0)-MATCH($A$1,[1]characters!$1:$1,0)+1,FALSE)</f>
        <v>DropWizSS</v>
      </c>
      <c r="I15" s="57" t="str">
        <f ca="1">VLOOKUP($A15,OFFSET([1]characters!$A$1,0,0,COUNTA([1]characters!$A:$A),MATCH(I$1,[1]characters!$1:$1,0)-MATCH($A$1,[1]characters!$1:$1,0)+1),MATCH(I$1,[1]characters!$1:$1,0)-MATCH($A$1,[1]characters!$1:$1,0)+1,FALSE)</f>
        <v>yellow</v>
      </c>
      <c r="J15" s="11">
        <f ca="1">VLOOKUP(I15,[1]属性!$A:$E,2,FALSE)</f>
        <v>0.98</v>
      </c>
      <c r="K15" s="11">
        <f ca="1">VLOOKUP(I15,[1]属性!$A:$E,3,FALSE)</f>
        <v>1.01</v>
      </c>
      <c r="L15" s="11">
        <f ca="1">VLOOKUP(I15,[1]属性!$A:$E,4,FALSE)</f>
        <v>1</v>
      </c>
      <c r="M15" s="11">
        <f ca="1">VLOOKUP(I15,[1]属性!$A:$E,5,FALSE)</f>
        <v>1.01</v>
      </c>
      <c r="N15" s="11">
        <f ca="1">INDEX(コスト!$A$1:$I$20,MATCH(H15,コスト!$A$1:$A$20,FALSE),MATCH(G15,コスト!$A$1:$I$1,FALSE))</f>
        <v>50</v>
      </c>
      <c r="O15" s="11">
        <f ca="1">INDEX(レベル!$A$1:$I$21,MATCH(H15,レベル!$A$1:$A$21,FALSE),MATCH(G15,レベル!$A$1:$I$1,FALSE))</f>
        <v>99</v>
      </c>
      <c r="P15" s="48">
        <f t="shared" ref="P15" ca="1" si="34">IF(G15=6,99, G15*15)</f>
        <v>99</v>
      </c>
      <c r="Q15" s="57" t="str">
        <f ca="1">VLOOKUP($A15,OFFSET([1]characters!$A$1,0,0,COUNTA([1]characters!$A:$A),MATCH(Q$1,[1]characters!$1:$1,0)-MATCH($A$1,[1]characters!$1:$1,0)+1),MATCH(Q$1,[1]characters!$1:$1,0)-MATCH($A$1,[1]characters!$1:$1,0)+1,FALSE)</f>
        <v>attack</v>
      </c>
      <c r="R15" s="5" t="str">
        <f ca="1">VLOOKUP(Q15,[1]character_type_i18n!$A:$H,3,FALSE)</f>
        <v>攻撃タイプ</v>
      </c>
      <c r="S15" s="11">
        <f ca="1">VLOOKUP(Q15,[1]character_type_i18n!$A:$H,4,FALSE)</f>
        <v>1</v>
      </c>
      <c r="T15" s="11">
        <f ca="1">VLOOKUP(Q15,[1]character_type_i18n!$A:$H,5,FALSE)</f>
        <v>1.33</v>
      </c>
      <c r="U15" s="11">
        <f ca="1">VLOOKUP(Q15,[1]character_type_i18n!$A:$H,6,FALSE)</f>
        <v>1</v>
      </c>
      <c r="V15" s="11">
        <f ca="1">VLOOKUP(Q15,[1]character_type_i18n!$A:$H,7,FALSE)</f>
        <v>0.67</v>
      </c>
      <c r="W15" s="57" t="str">
        <f ca="1">VLOOKUP($A15,OFFSET([1]characters!$A$1,0,0,COUNTA([1]characters!$A:$A),MATCH(W$1,[1]characters!$1:$1,0)-MATCH($A$1,[1]characters!$1:$1,0)+1),MATCH(W$1,[1]characters!$1:$1,0)-MATCH($A$1,[1]characters!$1:$1,0)+1,FALSE)</f>
        <v>god</v>
      </c>
      <c r="X15" s="5" t="str">
        <f ca="1">VLOOKUP(W15,[1]character_tribe_i18n!$A:$H,3,FALSE)</f>
        <v>ゴッド</v>
      </c>
      <c r="Y15" s="57" t="str">
        <f ca="1">VLOOKUP($A15,OFFSET([1]characters!$A$1,0,0,COUNTA([1]characters!$A:$A),MATCH(Y$1,[1]characters!$1:$1,0)-MATCH($A$1,[1]characters!$1:$1,0)+1),MATCH(Y$1,[1]characters!$1:$1,0)-MATCH($A$1,[1]characters!$1:$1,0)+1,FALSE)</f>
        <v>none</v>
      </c>
      <c r="Z15" s="5" t="str">
        <f ca="1">VLOOKUP(Y15,[1]character_tribe_i18n!$A:$H,3,FALSE)</f>
        <v>種族なし</v>
      </c>
      <c r="AA15" s="11">
        <f ca="1">VLOOKUP(W15,[1]character_tribe_i18n!$A:$H,4,FALSE)</f>
        <v>0.96</v>
      </c>
      <c r="AB15" s="11">
        <f ca="1">VLOOKUP(W15,[1]character_tribe_i18n!$A:$H,5,FALSE)</f>
        <v>1.02</v>
      </c>
      <c r="AC15" s="11">
        <f ca="1">VLOOKUP(W15,[1]character_tribe_i18n!$A:$H,6,FALSE)</f>
        <v>1</v>
      </c>
      <c r="AD15" s="11">
        <f ca="1">VLOOKUP(W15,[1]character_tribe_i18n!$A:$H,7,FALSE)</f>
        <v>1.02</v>
      </c>
      <c r="AE15" s="9" t="s">
        <v>175</v>
      </c>
      <c r="AF15" s="62" t="str">
        <f ca="1">IF(AE15="NULL","",VLOOKUP($AE15,OFFSET([1]characters!$A$1,0,0,COUNTA([1]characters!$A:$A),MATCH(AF$1,[1]characters!$1:$1,0)-MATCH($A$1,[1]characters!$1:$1,0)+1),MATCH(AF$1,[1]characters!$1:$1,0)-MATCH($A$1,[1]characters!$1:$1,0)+1,FALSE))</f>
        <v/>
      </c>
      <c r="AG15" s="5">
        <v>432</v>
      </c>
      <c r="AH15" s="62" t="str">
        <f ca="1">VLOOKUP($AG15,OFFSET([1]characters!$A$1,0,0,COUNTA([1]characters!$A:$A),MATCH(AH$1,[1]characters!$1:$1,0)-MATCH($A$1,[1]characters!$1:$1,0)+1),MATCH(AH$1,[1]characters!$1:$1,0)-MATCH($A$1,[1]characters!$1:$1,0)+1,FALSE)</f>
        <v>麒麟</v>
      </c>
      <c r="AI15" s="11" t="s">
        <v>43</v>
      </c>
      <c r="AJ15" s="6">
        <v>2</v>
      </c>
      <c r="AK15" s="7" t="str">
        <f t="shared" ref="AK15" si="35">IF(AJ15=1,"早熟",IF(AJ15=2,"普通",IF(AJ15=3,"晩成","")))</f>
        <v>普通</v>
      </c>
      <c r="AL15" s="11" t="str">
        <f ca="1">INDEX(経験値!$A$1:$I$20,MATCH(H15,経験値!$A$1:$A$20,FALSE),MATCH(G15,経験値!$A$1:$I$1,FALSE))</f>
        <v>required_exp_250</v>
      </c>
      <c r="AM15" s="8">
        <v>6400</v>
      </c>
      <c r="AN15" s="17">
        <v>900</v>
      </c>
      <c r="AO15" s="45"/>
      <c r="AP15" s="221">
        <v>1120</v>
      </c>
      <c r="AQ15" s="57" t="str">
        <f ca="1">VLOOKUP($AP15,OFFSET(unit_skills!$A$1,0,0,COUNTA(unit_skills!$A:$A),MATCH(AQ$1,unit_skills!$1:$1,0)-MATCH($AP$1,unit_skills!$1:$1,0)+1),MATCH(AQ$1,unit_skills!$1:$1,0)-MATCH($AP$1,unit_skills!$1:$1,0)+1,FALSE)</f>
        <v>独尊雷陣・ボルテックメティア</v>
      </c>
      <c r="AR15" s="57" t="str">
        <f ca="1">VLOOKUP($AP15,OFFSET(unit_skills!$A$1,0,0,COUNTA(unit_skills!$A:$A),MATCH(AR$1,unit_skills!$1:$1,0)-MATCH($AP$1,unit_skills!$1:$1,0)+1),MATCH(AR$1,unit_skills!$1:$1,0)-MATCH($AP$1,unit_skills!$1:$1,0)+1,FALSE)</f>
        <v>敵単体の残りHPを40％減らす</v>
      </c>
      <c r="AS15" s="57">
        <f ca="1">VLOOKUP($AP15,OFFSET(unit_skills!$A$1,0,0,COUNTA(unit_skills!$A:$A),MATCH(AS$1,unit_skills!$1:$1,0)-MATCH($AP$1,unit_skills!$1:$1,0)+1),MATCH(AS$1,unit_skills!$1:$1,0)-MATCH($AP$1,unit_skills!$1:$1,0)+1,FALSE)</f>
        <v>0</v>
      </c>
      <c r="AT15" s="221">
        <v>1120</v>
      </c>
      <c r="AU15" s="57" t="str">
        <f ca="1">VLOOKUP($AT15,OFFSET(crash_skills!$A$1,0,0,COUNTA(crash_skills!$A:$A),MATCH(AU$1,crash_skills!$1:$1,0)-MATCH($AT$1,crash_skills!$1:$1,0)+1),MATCH(AU$1,crash_skills!$1:$1,0)-MATCH($AT$1,crash_skills!$1:$1,0)+1,FALSE)</f>
        <v>雷光掌儀・無双</v>
      </c>
      <c r="AV15" s="57" t="str">
        <f ca="1">VLOOKUP($AT15,OFFSET(crash_skills!$A$1,0,0,COUNTA(crash_skills!$A:$A),MATCH(AV$1,crash_skills!$1:$1,0)-MATCH($AT$1,crash_skills!$1:$1,0)+1),MATCH(AV$1,crash_skills!$1:$1,0)-MATCH($AT$1,crash_skills!$1:$1,0)+1,FALSE)</f>
        <v>1体に特大ダメージ</v>
      </c>
      <c r="AW15" s="57">
        <f ca="1">VLOOKUP($AP15,OFFSET(unit_skills!$A$1,0,0,COUNTA(unit_skills!$A:$A),MATCH(AS$1,unit_skills!$1:$1,0)-MATCH($AP$1,unit_skills!$1:$1,0)+1),MATCH(AS$1,unit_skills!$1:$1,0)-MATCH($AP$1,unit_skills!$1:$1,0)+1,FALSE)</f>
        <v>0</v>
      </c>
      <c r="AX15" s="58">
        <f ca="1">VLOOKUP($A15,OFFSET([1]characters!$A$1,0,0,COUNTA([1]characters!$A:$A),MATCH(AX$1,[1]characters!$1:$1,0)-MATCH($A$1,[1]characters!$1:$1,0)+1),MATCH(AX$1,[1]characters!$1:$1,0)-MATCH($A$1,[1]characters!$1:$1,0)+1,FALSE)</f>
        <v>3</v>
      </c>
      <c r="AY15" s="236">
        <v>0.8</v>
      </c>
      <c r="AZ15" s="236">
        <v>0.93</v>
      </c>
      <c r="BA15" s="236">
        <v>0</v>
      </c>
      <c r="BB15" s="236">
        <v>0.96</v>
      </c>
      <c r="BC15" s="11">
        <v>14000</v>
      </c>
      <c r="BD15" s="48">
        <f t="shared" ref="BD15" si="36">ROUND(BC15*IF(AJ15=1,0.95,IF(AJ15=2,1,IF(AJ15,1.05,0))),0)</f>
        <v>14000</v>
      </c>
      <c r="BE15" s="11">
        <f t="shared" ca="1" si="3"/>
        <v>0</v>
      </c>
      <c r="BF15" s="11">
        <f t="shared" ca="1" si="4"/>
        <v>1</v>
      </c>
      <c r="BG15" s="16">
        <f ca="1">IF($BE15&lt;=0,ROUND(BK15*0.5,0), ROUND($BE15*S15*AA15*J15*AY15*0.8*[1]ステータス!$B$2,0))</f>
        <v>2634</v>
      </c>
      <c r="BH15" s="16">
        <f ca="1">IF($BE15&lt;=0,ROUND(BL15*0.5,0), ROUND($BE15*T15*AB15*K15*AZ15*0.8*[1]ステータス!$C$2,0))</f>
        <v>2676</v>
      </c>
      <c r="BI15" s="16">
        <f ca="1">IF($BE15&lt;=0,ROUND(BM15*0.5,0), ROUND($BE15*U15*AC15*L15*BA15*0.8*[1]ステータス!$D$2,0))</f>
        <v>0</v>
      </c>
      <c r="BJ15" s="16">
        <f ca="1">IF($BE15&lt;=0,ROUND(BN15*0.5,0), ROUND($BE15*V15*AD15*M15*BB15*0.8*[1]ステータス!$E$2,0))</f>
        <v>1160</v>
      </c>
      <c r="BK15" s="11">
        <f ca="1">ROUND(BD15*S15*AA15*J15*AY15*[1]ステータス!$B$2,0)</f>
        <v>5268</v>
      </c>
      <c r="BL15" s="11">
        <f ca="1">ROUND(BD15*T15*AB15*K15*AZ15*[1]ステータス!$C$2,0)</f>
        <v>5352</v>
      </c>
      <c r="BM15" s="11">
        <f ca="1">ROUND(BD15*U15*AC15*L15*BA15*[1]ステータス!$D$2,0)</f>
        <v>0</v>
      </c>
      <c r="BN15" s="11">
        <f ca="1">ROUND(BD15*V15*AD15*M15*BB15*[1]ステータス!$E$2,0)</f>
        <v>2319</v>
      </c>
      <c r="BO15" s="10">
        <v>0</v>
      </c>
      <c r="BP15" s="10">
        <v>1</v>
      </c>
      <c r="BQ15" s="10" t="s">
        <v>43</v>
      </c>
      <c r="BR15" s="10">
        <f ca="1">VLOOKUP(H15,ghosts_label!$A$2:$B$19,2,FALSE)</f>
        <v>1</v>
      </c>
    </row>
  </sheetData>
  <autoFilter ref="A1:BQ1"/>
  <phoneticPr fontId="10"/>
  <conditionalFormatting sqref="BO1">
    <cfRule type="cellIs" dxfId="94" priority="120" stopIfTrue="1" operator="equal">
      <formula>1</formula>
    </cfRule>
  </conditionalFormatting>
  <conditionalFormatting sqref="BQ1">
    <cfRule type="cellIs" dxfId="93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U15"/>
  <sheetViews>
    <sheetView showGridLines="0" workbookViewId="0">
      <pane xSplit="4" ySplit="1" topLeftCell="E2" activePane="bottomRight" state="frozen"/>
      <selection pane="topRight" activeCell="D1" sqref="D1"/>
      <selection pane="bottomLeft" activeCell="A2" sqref="A2"/>
      <selection pane="bottomRight" activeCell="D5" sqref="D5"/>
    </sheetView>
  </sheetViews>
  <sheetFormatPr baseColWidth="12" defaultColWidth="13" defaultRowHeight="21" customHeight="1" outlineLevelCol="1" x14ac:dyDescent="0.15"/>
  <cols>
    <col min="1" max="1" width="16.1640625" style="128" bestFit="1" customWidth="1"/>
    <col min="2" max="2" width="13" style="128" bestFit="1" customWidth="1"/>
    <col min="3" max="3" width="21.83203125" style="128" customWidth="1"/>
    <col min="4" max="4" width="55.1640625" style="128" customWidth="1"/>
    <col min="5" max="5" width="9" style="128" customWidth="1"/>
    <col min="6" max="6" width="7.83203125" style="128" bestFit="1" customWidth="1"/>
    <col min="7" max="7" width="8.1640625" style="128" bestFit="1" customWidth="1"/>
    <col min="8" max="8" width="13.6640625" style="128" bestFit="1" customWidth="1"/>
    <col min="9" max="10" width="51.6640625" style="128" customWidth="1"/>
    <col min="11" max="11" width="10.83203125" style="128" customWidth="1" outlineLevel="1"/>
    <col min="12" max="17" width="9.5" style="127" customWidth="1" outlineLevel="1"/>
    <col min="18" max="18" width="20.33203125" style="128" customWidth="1" outlineLevel="1"/>
    <col min="19" max="19" width="10.33203125" style="128" bestFit="1" customWidth="1"/>
    <col min="20" max="16384" width="13" style="128"/>
  </cols>
  <sheetData>
    <row r="1" spans="1:21" s="127" customFormat="1" ht="21" customHeight="1" x14ac:dyDescent="0.15">
      <c r="A1" s="116" t="s">
        <v>20</v>
      </c>
      <c r="B1" s="117" t="s">
        <v>126</v>
      </c>
      <c r="C1" s="118" t="s">
        <v>39</v>
      </c>
      <c r="D1" s="119" t="s">
        <v>155</v>
      </c>
      <c r="E1" s="119" t="s">
        <v>156</v>
      </c>
      <c r="F1" s="116" t="s">
        <v>138</v>
      </c>
      <c r="G1" s="120" t="s">
        <v>2</v>
      </c>
      <c r="H1" s="120" t="s">
        <v>157</v>
      </c>
      <c r="I1" s="120" t="s">
        <v>158</v>
      </c>
      <c r="J1" s="121" t="s">
        <v>176</v>
      </c>
      <c r="K1" s="120" t="s">
        <v>4</v>
      </c>
      <c r="L1" s="122" t="s">
        <v>159</v>
      </c>
      <c r="M1" s="123" t="s">
        <v>160</v>
      </c>
      <c r="N1" s="123" t="s">
        <v>161</v>
      </c>
      <c r="O1" s="123" t="s">
        <v>162</v>
      </c>
      <c r="P1" s="123" t="s">
        <v>163</v>
      </c>
      <c r="Q1" s="124" t="s">
        <v>164</v>
      </c>
      <c r="R1" s="125" t="s">
        <v>165</v>
      </c>
      <c r="S1" s="126" t="s">
        <v>166</v>
      </c>
    </row>
    <row r="2" spans="1:21" ht="21" customHeight="1" x14ac:dyDescent="0.15">
      <c r="A2" s="12">
        <v>1055</v>
      </c>
      <c r="B2" s="131" t="s">
        <v>177</v>
      </c>
      <c r="C2" s="132" t="s">
        <v>316</v>
      </c>
      <c r="D2" s="132" t="s">
        <v>585</v>
      </c>
      <c r="E2" s="133">
        <f>LEN(D2)</f>
        <v>57</v>
      </c>
      <c r="F2" s="115">
        <v>11</v>
      </c>
      <c r="G2" s="115">
        <v>5</v>
      </c>
      <c r="H2" s="134">
        <f>2001</f>
        <v>2001</v>
      </c>
      <c r="I2" s="206" t="s">
        <v>588</v>
      </c>
      <c r="J2" s="57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豪焔の轟暴聖 ベリアル</v>
      </c>
      <c r="K2" s="135">
        <f>IFERROR(VLOOKUP(A2,[1]characters!$A:$R,18),0)</f>
        <v>3</v>
      </c>
      <c r="L2" s="136"/>
      <c r="M2" s="137"/>
      <c r="N2" s="137"/>
      <c r="O2" s="137"/>
      <c r="P2" s="137"/>
      <c r="Q2" s="137"/>
      <c r="R2" s="132"/>
      <c r="S2" s="138"/>
    </row>
    <row r="3" spans="1:21" ht="21" customHeight="1" x14ac:dyDescent="0.15">
      <c r="A3" s="12">
        <f>A2+1</f>
        <v>1056</v>
      </c>
      <c r="B3" s="131" t="s">
        <v>177</v>
      </c>
      <c r="C3" s="132" t="s">
        <v>339</v>
      </c>
      <c r="D3" s="132" t="s">
        <v>552</v>
      </c>
      <c r="E3" s="133">
        <f t="shared" ref="E3" si="0">LEN(D3)</f>
        <v>21</v>
      </c>
      <c r="F3" s="115">
        <v>9</v>
      </c>
      <c r="G3" s="115">
        <v>5</v>
      </c>
      <c r="H3" s="134">
        <f>2001</f>
        <v>2001</v>
      </c>
      <c r="I3" s="134" t="s">
        <v>553</v>
      </c>
      <c r="J3" s="57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神解の預欺皇 オセ</v>
      </c>
      <c r="K3" s="135">
        <f>IFERROR(VLOOKUP(A3,[1]characters!$A:$R,18),0)</f>
        <v>3</v>
      </c>
      <c r="L3" s="136"/>
      <c r="M3" s="137"/>
      <c r="N3" s="137"/>
      <c r="O3" s="137"/>
      <c r="P3" s="137"/>
      <c r="Q3" s="137"/>
      <c r="R3" s="132"/>
      <c r="S3" s="138"/>
    </row>
    <row r="4" spans="1:21" ht="21" customHeight="1" x14ac:dyDescent="0.15">
      <c r="A4" s="12">
        <f>A3+1</f>
        <v>1057</v>
      </c>
      <c r="B4" s="131" t="s">
        <v>177</v>
      </c>
      <c r="C4" s="132" t="s">
        <v>338</v>
      </c>
      <c r="D4" s="132" t="s">
        <v>593</v>
      </c>
      <c r="E4" s="133">
        <f t="shared" ref="E4:E5" si="1">LEN(D4)</f>
        <v>62</v>
      </c>
      <c r="F4" s="115">
        <v>11</v>
      </c>
      <c r="G4" s="115">
        <v>5</v>
      </c>
      <c r="H4" s="134">
        <f>2001</f>
        <v>2001</v>
      </c>
      <c r="I4" s="134" t="s">
        <v>592</v>
      </c>
      <c r="J4" s="57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疑愛の永遠公爵 フォルネウス</v>
      </c>
      <c r="K4" s="135">
        <f>IFERROR(VLOOKUP(A4,[1]characters!$A:$R,18),0)</f>
        <v>3</v>
      </c>
      <c r="L4" s="136"/>
      <c r="M4" s="137"/>
      <c r="N4" s="137"/>
      <c r="O4" s="137"/>
      <c r="P4" s="137"/>
      <c r="Q4" s="137"/>
      <c r="R4" s="132"/>
      <c r="S4" s="138"/>
    </row>
    <row r="5" spans="1:21" ht="21" customHeight="1" x14ac:dyDescent="0.15">
      <c r="A5" s="12">
        <f>A4+1</f>
        <v>1058</v>
      </c>
      <c r="B5" s="131" t="s">
        <v>177</v>
      </c>
      <c r="C5" s="132" t="s">
        <v>340</v>
      </c>
      <c r="D5" s="132" t="s">
        <v>587</v>
      </c>
      <c r="E5" s="133">
        <f t="shared" si="1"/>
        <v>56</v>
      </c>
      <c r="F5" s="115">
        <v>9</v>
      </c>
      <c r="G5" s="115">
        <v>5</v>
      </c>
      <c r="H5" s="134">
        <f>2001</f>
        <v>2001</v>
      </c>
      <c r="I5" s="134" t="s">
        <v>586</v>
      </c>
      <c r="J5" s="57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黄泉守誘の命神母 イザナミ</v>
      </c>
      <c r="K5" s="135">
        <f>IFERROR(VLOOKUP(A5,[1]characters!$A:$R,18),0)</f>
        <v>3</v>
      </c>
      <c r="L5" s="136"/>
      <c r="M5" s="137"/>
      <c r="N5" s="137"/>
      <c r="O5" s="137"/>
      <c r="P5" s="137"/>
      <c r="Q5" s="137"/>
      <c r="R5" s="132"/>
      <c r="S5" s="138"/>
    </row>
    <row r="6" spans="1:21" ht="21" customHeight="1" x14ac:dyDescent="0.15">
      <c r="A6" s="12">
        <v>1121</v>
      </c>
      <c r="B6" s="131" t="s">
        <v>177</v>
      </c>
      <c r="C6" s="132" t="s">
        <v>389</v>
      </c>
      <c r="D6" s="132" t="s">
        <v>568</v>
      </c>
      <c r="E6" s="133">
        <f t="shared" ref="E6" si="2">LEN(D6)</f>
        <v>60</v>
      </c>
      <c r="F6" s="115">
        <v>14</v>
      </c>
      <c r="G6" s="115">
        <v>7</v>
      </c>
      <c r="H6" s="134">
        <f>2001</f>
        <v>2001</v>
      </c>
      <c r="I6" s="134" t="s">
        <v>567</v>
      </c>
      <c r="J6" s="57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逆燦の機閃刃 オイラー</v>
      </c>
      <c r="K6" s="135">
        <f>IFERROR(VLOOKUP(A6,[1]characters!$A:$R,18),0)</f>
        <v>3</v>
      </c>
      <c r="L6" s="136"/>
      <c r="M6" s="137"/>
      <c r="N6" s="137"/>
      <c r="O6" s="137"/>
      <c r="P6" s="137"/>
      <c r="Q6" s="137"/>
      <c r="R6" s="132"/>
      <c r="S6" s="138"/>
    </row>
    <row r="7" spans="1:21" ht="21" customHeight="1" x14ac:dyDescent="0.15">
      <c r="A7" s="12">
        <v>1124</v>
      </c>
      <c r="B7" s="131" t="s">
        <v>177</v>
      </c>
      <c r="C7" s="213" t="s">
        <v>398</v>
      </c>
      <c r="D7" s="132" t="s">
        <v>576</v>
      </c>
      <c r="E7" s="133">
        <f t="shared" ref="E7:E12" si="3">LEN(D7)</f>
        <v>62</v>
      </c>
      <c r="F7" s="115">
        <v>13</v>
      </c>
      <c r="G7" s="115">
        <v>7</v>
      </c>
      <c r="H7" s="134">
        <f>2001</f>
        <v>2001</v>
      </c>
      <c r="I7" s="134" t="s">
        <v>577</v>
      </c>
      <c r="J7" s="57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超絶界析 ラグランジュ</v>
      </c>
      <c r="K7" s="135">
        <f>IFERROR(VLOOKUP(A7,[1]characters!$A:$R,18),0)</f>
        <v>3</v>
      </c>
      <c r="L7" s="136"/>
      <c r="M7" s="137"/>
      <c r="N7" s="137"/>
      <c r="O7" s="137"/>
      <c r="P7" s="137"/>
      <c r="Q7" s="137"/>
      <c r="R7" s="132"/>
      <c r="S7" s="138"/>
    </row>
    <row r="8" spans="1:21" ht="32" customHeight="1" x14ac:dyDescent="0.15">
      <c r="A8" s="12">
        <v>1116</v>
      </c>
      <c r="B8" s="131" t="s">
        <v>406</v>
      </c>
      <c r="C8" s="214" t="s">
        <v>456</v>
      </c>
      <c r="D8" s="132" t="s">
        <v>458</v>
      </c>
      <c r="E8" s="133">
        <f t="shared" si="3"/>
        <v>36</v>
      </c>
      <c r="F8" s="115">
        <v>15</v>
      </c>
      <c r="G8" s="115">
        <v>7</v>
      </c>
      <c r="H8" s="134">
        <f>2001</f>
        <v>2001</v>
      </c>
      <c r="I8" s="134" t="s">
        <v>575</v>
      </c>
      <c r="J8" s="57" t="str">
        <f ca="1">VLOOKUP($A8,OFFSET([1]characters!$A$1,0,0,COUNTA([1]characters!$A:$A),MATCH("name",[1]characters!$1:$1,0)-MATCH("character_id",[1]characters!$1:$1,0)+1),MATCH("name",[1]characters!$1:$1,0)-MATCH("character_id",[1]characters!$1:$1,0)+1,FALSE)</f>
        <v>天檄総氏神 アマテラス</v>
      </c>
      <c r="K8" s="135">
        <v>3</v>
      </c>
      <c r="L8" s="136"/>
      <c r="M8" s="137"/>
      <c r="N8" s="137"/>
      <c r="O8" s="137"/>
      <c r="P8" s="137"/>
      <c r="Q8" s="137"/>
      <c r="R8" s="132"/>
      <c r="S8" s="138"/>
    </row>
    <row r="9" spans="1:21" ht="40" customHeight="1" x14ac:dyDescent="0.15">
      <c r="A9" s="222">
        <v>1118</v>
      </c>
      <c r="B9" s="224" t="s">
        <v>177</v>
      </c>
      <c r="C9" s="213" t="s">
        <v>469</v>
      </c>
      <c r="D9" s="132" t="s">
        <v>555</v>
      </c>
      <c r="E9" s="133">
        <f>LEN(D9)</f>
        <v>63</v>
      </c>
      <c r="F9" s="115">
        <v>16</v>
      </c>
      <c r="G9" s="115">
        <v>7</v>
      </c>
      <c r="H9" s="134">
        <f>2001</f>
        <v>2001</v>
      </c>
      <c r="I9" s="225" t="s">
        <v>483</v>
      </c>
      <c r="J9" s="57" t="str">
        <f ca="1">VLOOKUP($A9,OFFSET([1]characters!$A$1,0,0,COUNTA([1]characters!$A:$A),MATCH("name",[1]characters!$1:$1,0)-MATCH("character_id",[1]characters!$1:$1,0)+1),MATCH("name",[1]characters!$1:$1,0)-MATCH("character_id",[1]characters!$1:$1,0)+1,FALSE)</f>
        <v>超過速路の閃導者 ジャンヌ</v>
      </c>
      <c r="K9" s="135">
        <v>3</v>
      </c>
      <c r="L9" s="136"/>
      <c r="M9" s="137"/>
      <c r="N9" s="137"/>
      <c r="O9" s="137"/>
      <c r="P9" s="137"/>
      <c r="Q9" s="137"/>
      <c r="R9" s="137"/>
      <c r="S9" s="137"/>
      <c r="T9" s="132"/>
      <c r="U9" s="138"/>
    </row>
    <row r="10" spans="1:21" ht="40" customHeight="1" x14ac:dyDescent="0.15">
      <c r="A10" s="222">
        <v>1179</v>
      </c>
      <c r="B10" s="224" t="s">
        <v>187</v>
      </c>
      <c r="C10" s="213" t="s">
        <v>455</v>
      </c>
      <c r="D10" s="132" t="s">
        <v>451</v>
      </c>
      <c r="E10" s="133">
        <f t="shared" si="3"/>
        <v>48</v>
      </c>
      <c r="F10" s="115">
        <v>14</v>
      </c>
      <c r="G10" s="115">
        <v>7</v>
      </c>
      <c r="H10" s="134">
        <f>2001</f>
        <v>2001</v>
      </c>
      <c r="I10" s="225" t="s">
        <v>450</v>
      </c>
      <c r="J10" s="57" t="str">
        <f ca="1">VLOOKUP($A10,OFFSET([1]characters!$A$1,0,0,COUNTA([1]characters!$A:$A),MATCH("name",[1]characters!$1:$1,0)-MATCH("character_id",[1]characters!$1:$1,0)+1),MATCH("name",[1]characters!$1:$1,0)-MATCH("character_id",[1]characters!$1:$1,0)+1,FALSE)</f>
        <v>厳核なる巨大炉 ハイゼンベルク</v>
      </c>
      <c r="K10" s="135">
        <v>3</v>
      </c>
      <c r="L10" s="136"/>
      <c r="M10" s="137"/>
      <c r="N10" s="137"/>
      <c r="O10" s="137"/>
      <c r="P10" s="137"/>
      <c r="Q10" s="137"/>
      <c r="R10" s="137"/>
      <c r="S10" s="137"/>
      <c r="T10" s="132"/>
      <c r="U10" s="138"/>
    </row>
    <row r="11" spans="1:21" ht="34" customHeight="1" x14ac:dyDescent="0.15">
      <c r="A11" s="222">
        <v>1185</v>
      </c>
      <c r="B11" s="224" t="s">
        <v>187</v>
      </c>
      <c r="C11" s="115" t="s">
        <v>454</v>
      </c>
      <c r="D11" s="132" t="s">
        <v>452</v>
      </c>
      <c r="E11" s="133">
        <f t="shared" si="3"/>
        <v>38</v>
      </c>
      <c r="F11" s="115">
        <v>15</v>
      </c>
      <c r="G11" s="115">
        <v>7</v>
      </c>
      <c r="H11" s="134">
        <f>2001</f>
        <v>2001</v>
      </c>
      <c r="I11" s="225" t="s">
        <v>453</v>
      </c>
      <c r="J11" s="57" t="str">
        <f ca="1">VLOOKUP($A11,OFFSET([1]characters!$A$1,0,0,COUNTA([1]characters!$A:$A),MATCH("name",[1]characters!$1:$1,0)-MATCH("character_id",[1]characters!$1:$1,0)+1),MATCH("name",[1]characters!$1:$1,0)-MATCH("character_id",[1]characters!$1:$1,0)+1,FALSE)</f>
        <v>兆銀河団の星観者 ハーシェル</v>
      </c>
      <c r="K11" s="135">
        <v>3</v>
      </c>
      <c r="L11" s="136"/>
      <c r="M11" s="137"/>
      <c r="N11" s="137"/>
      <c r="O11" s="137"/>
      <c r="P11" s="137"/>
      <c r="Q11" s="137"/>
      <c r="R11" s="137"/>
      <c r="S11" s="137"/>
      <c r="T11" s="132"/>
      <c r="U11" s="138"/>
    </row>
    <row r="12" spans="1:21" ht="37" customHeight="1" x14ac:dyDescent="0.15">
      <c r="A12" s="222">
        <v>1122</v>
      </c>
      <c r="B12" s="224" t="s">
        <v>177</v>
      </c>
      <c r="C12" s="213" t="s">
        <v>431</v>
      </c>
      <c r="D12" s="227" t="s">
        <v>589</v>
      </c>
      <c r="E12" s="133">
        <f t="shared" si="3"/>
        <v>65</v>
      </c>
      <c r="F12" s="115">
        <v>14</v>
      </c>
      <c r="G12" s="115">
        <v>7</v>
      </c>
      <c r="H12" s="134">
        <f>2001</f>
        <v>2001</v>
      </c>
      <c r="I12" s="225" t="s">
        <v>590</v>
      </c>
      <c r="J12" s="57" t="str">
        <f ca="1">VLOOKUP($A12,OFFSET([1]characters!$A$1,0,0,COUNTA([1]characters!$A:$A),MATCH("name",[1]characters!$1:$1,0)-MATCH("character_id",[1]characters!$1:$1,0)+1),MATCH("name",[1]characters!$1:$1,0)-MATCH("character_id",[1]characters!$1:$1,0)+1,FALSE)</f>
        <v>不可能性の現翼 メビウス</v>
      </c>
      <c r="K12" s="135">
        <v>3</v>
      </c>
      <c r="L12" s="136"/>
      <c r="M12" s="137"/>
      <c r="N12" s="137"/>
      <c r="O12" s="137"/>
      <c r="P12" s="137"/>
      <c r="Q12" s="137"/>
      <c r="R12" s="137"/>
      <c r="S12" s="137"/>
      <c r="T12" s="132"/>
      <c r="U12" s="138"/>
    </row>
    <row r="13" spans="1:21" ht="37" customHeight="1" x14ac:dyDescent="0.15">
      <c r="A13" s="222">
        <v>1123</v>
      </c>
      <c r="B13" s="224" t="s">
        <v>177</v>
      </c>
      <c r="C13" s="213" t="s">
        <v>484</v>
      </c>
      <c r="D13" s="227" t="s">
        <v>556</v>
      </c>
      <c r="E13" s="133">
        <f t="shared" ref="E13:E15" si="4">LEN(D13)</f>
        <v>58</v>
      </c>
      <c r="F13" s="115">
        <v>14</v>
      </c>
      <c r="G13" s="115">
        <v>7</v>
      </c>
      <c r="H13" s="134">
        <f>2001</f>
        <v>2001</v>
      </c>
      <c r="I13" s="225" t="s">
        <v>558</v>
      </c>
      <c r="J13" s="57" t="str">
        <f ca="1">VLOOKUP($A13,OFFSET([1]characters!$A$1,0,0,COUNTA([1]characters!$A:$A),MATCH("name",[1]characters!$1:$1,0)-MATCH("character_id",[1]characters!$1:$1,0)+1),MATCH("name",[1]characters!$1:$1,0)-MATCH("character_id",[1]characters!$1:$1,0)+1,FALSE)</f>
        <v>舞降りし綺鏡羽 ブール</v>
      </c>
      <c r="K13" s="135">
        <v>3</v>
      </c>
      <c r="L13" s="136"/>
      <c r="M13" s="137"/>
      <c r="N13" s="137"/>
      <c r="O13" s="137"/>
      <c r="P13" s="137"/>
      <c r="Q13" s="137"/>
      <c r="R13" s="137"/>
      <c r="S13" s="137"/>
      <c r="T13" s="132"/>
      <c r="U13" s="138"/>
    </row>
    <row r="14" spans="1:21" ht="21" customHeight="1" x14ac:dyDescent="0.15">
      <c r="A14" s="10">
        <v>1119</v>
      </c>
      <c r="B14" s="131" t="s">
        <v>497</v>
      </c>
      <c r="C14" s="233" t="s">
        <v>504</v>
      </c>
      <c r="D14" s="132" t="s">
        <v>521</v>
      </c>
      <c r="E14" s="133">
        <f t="shared" si="4"/>
        <v>53</v>
      </c>
      <c r="F14" s="115">
        <v>13</v>
      </c>
      <c r="G14" s="115">
        <v>7</v>
      </c>
      <c r="H14" s="134">
        <f>2001</f>
        <v>2001</v>
      </c>
      <c r="I14" s="206" t="s">
        <v>559</v>
      </c>
      <c r="J14" s="57" t="str">
        <f ca="1">VLOOKUP($A14,OFFSET([1]characters!$A$1,0,0,COUNTA([1]characters!$A:$A),MATCH("name",[1]characters!$1:$1,0)-MATCH("character_id",[1]characters!$1:$1,0)+1),MATCH("name",[1]characters!$1:$1,0)-MATCH("character_id",[1]characters!$1:$1,0)+1,FALSE)</f>
        <v>刹・廻天一流 宮本武蔵</v>
      </c>
      <c r="K14" s="135">
        <v>3</v>
      </c>
      <c r="L14" s="136"/>
      <c r="M14" s="137"/>
      <c r="N14" s="137"/>
      <c r="O14" s="137"/>
      <c r="P14" s="137"/>
      <c r="Q14" s="137"/>
      <c r="R14" s="132"/>
      <c r="S14" s="138"/>
    </row>
    <row r="15" spans="1:21" ht="21" customHeight="1" x14ac:dyDescent="0.15">
      <c r="A15" s="10">
        <v>1120</v>
      </c>
      <c r="B15" s="131" t="s">
        <v>496</v>
      </c>
      <c r="C15" s="233" t="s">
        <v>505</v>
      </c>
      <c r="D15" s="132" t="s">
        <v>557</v>
      </c>
      <c r="E15" s="133">
        <f t="shared" si="4"/>
        <v>15</v>
      </c>
      <c r="F15" s="115">
        <v>23</v>
      </c>
      <c r="G15" s="115">
        <v>16</v>
      </c>
      <c r="H15" s="134">
        <f>2001</f>
        <v>2001</v>
      </c>
      <c r="I15" s="134" t="s">
        <v>529</v>
      </c>
      <c r="J15" s="57" t="str">
        <f ca="1">VLOOKUP($A15,OFFSET([1]characters!$A$1,0,0,COUNTA([1]characters!$A:$A),MATCH("name",[1]characters!$1:$1,0)-MATCH("character_id",[1]characters!$1:$1,0)+1),MATCH("name",[1]characters!$1:$1,0)-MATCH("character_id",[1]characters!$1:$1,0)+1,FALSE)</f>
        <v>四聖猛煌の皇獣 麒麟</v>
      </c>
      <c r="K15" s="135">
        <v>3</v>
      </c>
      <c r="L15" s="136"/>
      <c r="M15" s="137"/>
      <c r="N15" s="137"/>
      <c r="O15" s="137"/>
      <c r="P15" s="137"/>
      <c r="Q15" s="137"/>
      <c r="R15" s="132"/>
      <c r="S15" s="138"/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16:E1048576">
    <cfRule type="cellIs" dxfId="92" priority="22" operator="greaterThan">
      <formula>41</formula>
    </cfRule>
  </conditionalFormatting>
  <conditionalFormatting sqref="E2">
    <cfRule type="cellIs" dxfId="91" priority="16" operator="greaterThan">
      <formula>41</formula>
    </cfRule>
  </conditionalFormatting>
  <conditionalFormatting sqref="E3:E5">
    <cfRule type="cellIs" dxfId="90" priority="15" operator="greaterThan">
      <formula>41</formula>
    </cfRule>
  </conditionalFormatting>
  <conditionalFormatting sqref="E6">
    <cfRule type="cellIs" dxfId="89" priority="14" operator="greaterThan">
      <formula>41</formula>
    </cfRule>
  </conditionalFormatting>
  <conditionalFormatting sqref="E7">
    <cfRule type="cellIs" dxfId="88" priority="13" operator="greaterThan">
      <formula>41</formula>
    </cfRule>
  </conditionalFormatting>
  <conditionalFormatting sqref="E8">
    <cfRule type="cellIs" dxfId="87" priority="12" operator="greaterThan">
      <formula>41</formula>
    </cfRule>
  </conditionalFormatting>
  <conditionalFormatting sqref="E11">
    <cfRule type="cellIs" dxfId="86" priority="11" operator="greaterThan">
      <formula>41</formula>
    </cfRule>
  </conditionalFormatting>
  <conditionalFormatting sqref="E10">
    <cfRule type="cellIs" dxfId="85" priority="10" operator="greaterThan">
      <formula>41</formula>
    </cfRule>
  </conditionalFormatting>
  <conditionalFormatting sqref="E12">
    <cfRule type="cellIs" dxfId="84" priority="5" operator="greaterThan">
      <formula>41</formula>
    </cfRule>
  </conditionalFormatting>
  <conditionalFormatting sqref="E9">
    <cfRule type="cellIs" dxfId="83" priority="4" operator="greaterThan">
      <formula>41</formula>
    </cfRule>
  </conditionalFormatting>
  <conditionalFormatting sqref="E13">
    <cfRule type="cellIs" dxfId="82" priority="3" operator="greaterThan">
      <formula>41</formula>
    </cfRule>
  </conditionalFormatting>
  <conditionalFormatting sqref="E15">
    <cfRule type="cellIs" dxfId="81" priority="2" operator="greaterThan">
      <formula>41</formula>
    </cfRule>
  </conditionalFormatting>
  <conditionalFormatting sqref="E14">
    <cfRule type="cellIs" dxfId="80" priority="1" operator="greaterThan">
      <formula>41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I15"/>
  <sheetViews>
    <sheetView showGridLines="0" workbookViewId="0">
      <pane xSplit="4" ySplit="1" topLeftCell="E2" activePane="bottomRight" state="frozen"/>
      <selection pane="topRight" activeCell="D1" sqref="D1"/>
      <selection pane="bottomLeft" activeCell="A3" sqref="A3"/>
      <selection pane="bottomRight" activeCell="D12" sqref="D12"/>
    </sheetView>
  </sheetViews>
  <sheetFormatPr baseColWidth="12" defaultColWidth="13" defaultRowHeight="21" customHeight="1" x14ac:dyDescent="0.15"/>
  <cols>
    <col min="1" max="2" width="12.1640625" style="128" customWidth="1"/>
    <col min="3" max="3" width="48.83203125" style="129" customWidth="1"/>
    <col min="4" max="4" width="23.83203125" style="129" customWidth="1"/>
    <col min="5" max="5" width="10.5" style="129" customWidth="1"/>
    <col min="6" max="7" width="59.1640625" style="129" customWidth="1"/>
    <col min="8" max="8" width="6.83203125" style="128" bestFit="1" customWidth="1"/>
    <col min="9" max="9" width="20.33203125" style="128" customWidth="1"/>
    <col min="10" max="16384" width="13" style="128"/>
  </cols>
  <sheetData>
    <row r="1" spans="1:9" ht="21" customHeight="1" x14ac:dyDescent="0.15">
      <c r="A1" s="116" t="s">
        <v>174</v>
      </c>
      <c r="B1" s="117" t="s">
        <v>173</v>
      </c>
      <c r="C1" s="118" t="s">
        <v>172</v>
      </c>
      <c r="D1" s="119" t="s">
        <v>171</v>
      </c>
      <c r="E1" s="119" t="s">
        <v>170</v>
      </c>
      <c r="F1" s="120" t="s">
        <v>169</v>
      </c>
      <c r="G1" s="121" t="s">
        <v>176</v>
      </c>
      <c r="H1" s="120" t="s">
        <v>168</v>
      </c>
      <c r="I1" s="121" t="s">
        <v>167</v>
      </c>
    </row>
    <row r="2" spans="1:9" ht="21" customHeight="1" x14ac:dyDescent="0.25">
      <c r="A2" s="12">
        <v>1055</v>
      </c>
      <c r="B2" s="131" t="s">
        <v>178</v>
      </c>
      <c r="C2" s="132" t="s">
        <v>317</v>
      </c>
      <c r="D2" s="166" t="s">
        <v>459</v>
      </c>
      <c r="E2" s="133">
        <f t="shared" ref="E2" si="0">LEN(D2)</f>
        <v>9</v>
      </c>
      <c r="F2" s="165" t="s">
        <v>303</v>
      </c>
      <c r="G2" s="57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豪焔の轟暴聖 ベリアル</v>
      </c>
      <c r="H2" s="134">
        <f>IFERROR(VLOOKUP(A2,[1]characters!$A:$R,18),0)</f>
        <v>3</v>
      </c>
      <c r="I2" s="134"/>
    </row>
    <row r="3" spans="1:9" ht="21" customHeight="1" x14ac:dyDescent="0.25">
      <c r="A3" s="12">
        <f>A2+1</f>
        <v>1056</v>
      </c>
      <c r="B3" s="131" t="s">
        <v>178</v>
      </c>
      <c r="C3" s="132" t="s">
        <v>342</v>
      </c>
      <c r="D3" s="166" t="s">
        <v>560</v>
      </c>
      <c r="E3" s="133">
        <f t="shared" ref="E3:E5" si="1">LEN(D3)</f>
        <v>9</v>
      </c>
      <c r="F3" s="115" t="s">
        <v>563</v>
      </c>
      <c r="G3" s="57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神解の預欺皇 オセ</v>
      </c>
      <c r="H3" s="134">
        <f>IFERROR(VLOOKUP(A3,[1]characters!$A:$R,18),0)</f>
        <v>3</v>
      </c>
      <c r="I3" s="134"/>
    </row>
    <row r="4" spans="1:9" ht="21" customHeight="1" x14ac:dyDescent="0.25">
      <c r="A4" s="12">
        <f t="shared" ref="A4:A5" si="2">A3+1</f>
        <v>1057</v>
      </c>
      <c r="B4" s="131" t="s">
        <v>178</v>
      </c>
      <c r="C4" s="132" t="s">
        <v>341</v>
      </c>
      <c r="D4" s="200" t="s">
        <v>569</v>
      </c>
      <c r="E4" s="133">
        <f t="shared" si="1"/>
        <v>18</v>
      </c>
      <c r="F4" s="237" t="s">
        <v>570</v>
      </c>
      <c r="G4" s="57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疑愛の永遠公爵 フォルネウス</v>
      </c>
      <c r="H4" s="134">
        <f>IFERROR(VLOOKUP(A4,[1]characters!$A:$R,18),0)</f>
        <v>3</v>
      </c>
      <c r="I4" s="134"/>
    </row>
    <row r="5" spans="1:9" ht="21" customHeight="1" x14ac:dyDescent="0.15">
      <c r="A5" s="12">
        <f t="shared" si="2"/>
        <v>1058</v>
      </c>
      <c r="B5" s="131" t="s">
        <v>178</v>
      </c>
      <c r="C5" s="132" t="s">
        <v>379</v>
      </c>
      <c r="D5" s="132" t="s">
        <v>561</v>
      </c>
      <c r="E5" s="133">
        <f t="shared" si="1"/>
        <v>10</v>
      </c>
      <c r="F5" s="115" t="s">
        <v>527</v>
      </c>
      <c r="G5" s="57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黄泉守誘の命神母 イザナミ</v>
      </c>
      <c r="H5" s="134">
        <f>IFERROR(VLOOKUP(A5,[1]characters!$A:$R,18),0)</f>
        <v>3</v>
      </c>
      <c r="I5" s="134"/>
    </row>
    <row r="6" spans="1:9" ht="21" customHeight="1" x14ac:dyDescent="0.15">
      <c r="A6" s="12">
        <v>1121</v>
      </c>
      <c r="B6" s="131" t="s">
        <v>177</v>
      </c>
      <c r="C6" s="132" t="s">
        <v>390</v>
      </c>
      <c r="D6" s="132" t="s">
        <v>554</v>
      </c>
      <c r="E6" s="133">
        <f t="shared" ref="E6:E12" si="3">LEN(D6)</f>
        <v>19</v>
      </c>
      <c r="F6" s="238" t="s">
        <v>571</v>
      </c>
      <c r="G6" s="57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逆燦の機閃刃 オイラー</v>
      </c>
      <c r="H6" s="134">
        <v>3</v>
      </c>
      <c r="I6" s="134"/>
    </row>
    <row r="7" spans="1:9" ht="21" customHeight="1" x14ac:dyDescent="0.15">
      <c r="A7" s="12">
        <v>1124</v>
      </c>
      <c r="B7" s="131" t="s">
        <v>177</v>
      </c>
      <c r="C7" s="213" t="s">
        <v>399</v>
      </c>
      <c r="D7" s="132" t="s">
        <v>397</v>
      </c>
      <c r="E7" s="133">
        <f t="shared" si="3"/>
        <v>9</v>
      </c>
      <c r="F7" s="212" t="s">
        <v>564</v>
      </c>
      <c r="G7" s="57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超絶界析 ラグランジュ</v>
      </c>
      <c r="H7" s="134">
        <v>3</v>
      </c>
      <c r="I7" s="134"/>
    </row>
    <row r="8" spans="1:9" ht="21" customHeight="1" x14ac:dyDescent="0.15">
      <c r="A8" s="12">
        <v>1116</v>
      </c>
      <c r="B8" s="131" t="s">
        <v>406</v>
      </c>
      <c r="C8" s="214" t="s">
        <v>457</v>
      </c>
      <c r="D8" s="132" t="s">
        <v>459</v>
      </c>
      <c r="E8" s="133">
        <f t="shared" si="3"/>
        <v>9</v>
      </c>
      <c r="F8" s="212" t="s">
        <v>303</v>
      </c>
      <c r="G8" s="57" t="str">
        <f ca="1">VLOOKUP($A8,OFFSET([1]characters!$A$1,0,0,COUNTA([1]characters!$A:$A),MATCH("name",[1]characters!$1:$1,0)-MATCH("character_id",[1]characters!$1:$1,0)+1),MATCH("name",[1]characters!$1:$1,0)-MATCH("character_id",[1]characters!$1:$1,0)+1,FALSE)</f>
        <v>天檄総氏神 アマテラス</v>
      </c>
      <c r="H8" s="134">
        <v>3</v>
      </c>
      <c r="I8" s="134"/>
    </row>
    <row r="9" spans="1:9" ht="21" customHeight="1" x14ac:dyDescent="0.15">
      <c r="A9" s="12">
        <v>1118</v>
      </c>
      <c r="B9" s="131" t="s">
        <v>406</v>
      </c>
      <c r="C9" s="214" t="s">
        <v>470</v>
      </c>
      <c r="D9" s="132" t="s">
        <v>467</v>
      </c>
      <c r="E9" s="133">
        <f t="shared" ref="E9" si="4">LEN(D9)</f>
        <v>16</v>
      </c>
      <c r="F9" s="212" t="s">
        <v>482</v>
      </c>
      <c r="G9" s="57" t="str">
        <f ca="1">VLOOKUP($A9,OFFSET([1]characters!$A$1,0,0,COUNTA([1]characters!$A:$A),MATCH("name",[1]characters!$1:$1,0)-MATCH("character_id",[1]characters!$1:$1,0)+1),MATCH("name",[1]characters!$1:$1,0)-MATCH("character_id",[1]characters!$1:$1,0)+1,FALSE)</f>
        <v>超過速路の閃導者 ジャンヌ</v>
      </c>
      <c r="H9" s="134">
        <v>3</v>
      </c>
      <c r="I9" s="134"/>
    </row>
    <row r="10" spans="1:9" ht="21" customHeight="1" x14ac:dyDescent="0.15">
      <c r="A10" s="226">
        <v>1179</v>
      </c>
      <c r="B10" s="131" t="s">
        <v>187</v>
      </c>
      <c r="C10" s="228" t="s">
        <v>432</v>
      </c>
      <c r="D10" s="227" t="s">
        <v>420</v>
      </c>
      <c r="E10" s="133">
        <f t="shared" si="3"/>
        <v>9</v>
      </c>
      <c r="F10" s="212" t="s">
        <v>414</v>
      </c>
      <c r="G10" s="57" t="str">
        <f ca="1">VLOOKUP($A10,OFFSET([1]characters!$A$1,0,0,COUNTA([1]characters!$A:$A),MATCH("name",[1]characters!$1:$1,0)-MATCH("character_id",[1]characters!$1:$1,0)+1),MATCH("name",[1]characters!$1:$1,0)-MATCH("character_id",[1]characters!$1:$1,0)+1,FALSE)</f>
        <v>厳核なる巨大炉 ハイゼンベルク</v>
      </c>
      <c r="H10" s="134">
        <v>3</v>
      </c>
      <c r="I10" s="139"/>
    </row>
    <row r="11" spans="1:9" ht="21" customHeight="1" x14ac:dyDescent="0.15">
      <c r="A11" s="226">
        <v>1185</v>
      </c>
      <c r="B11" s="131" t="s">
        <v>187</v>
      </c>
      <c r="C11" s="223" t="s">
        <v>433</v>
      </c>
      <c r="D11" s="227" t="s">
        <v>412</v>
      </c>
      <c r="E11" s="133">
        <f t="shared" si="3"/>
        <v>27</v>
      </c>
      <c r="F11" s="212" t="s">
        <v>565</v>
      </c>
      <c r="G11" s="57" t="str">
        <f ca="1">VLOOKUP($A11,OFFSET([1]characters!$A$1,0,0,COUNTA([1]characters!$A:$A),MATCH("name",[1]characters!$1:$1,0)-MATCH("character_id",[1]characters!$1:$1,0)+1),MATCH("name",[1]characters!$1:$1,0)-MATCH("character_id",[1]characters!$1:$1,0)+1,FALSE)</f>
        <v>兆銀河団の星観者 ハーシェル</v>
      </c>
      <c r="H11" s="134">
        <v>3</v>
      </c>
      <c r="I11" s="139"/>
    </row>
    <row r="12" spans="1:9" ht="21" customHeight="1" x14ac:dyDescent="0.15">
      <c r="A12" s="221">
        <v>1122</v>
      </c>
      <c r="B12" s="131" t="s">
        <v>419</v>
      </c>
      <c r="C12" s="213" t="s">
        <v>449</v>
      </c>
      <c r="D12" s="132" t="s">
        <v>591</v>
      </c>
      <c r="E12" s="133">
        <f t="shared" si="3"/>
        <v>27</v>
      </c>
      <c r="F12" s="212" t="s">
        <v>444</v>
      </c>
      <c r="G12" s="57" t="str">
        <f ca="1">VLOOKUP($A12,OFFSET([1]characters!$A$1,0,0,COUNTA([1]characters!$A:$A),MATCH("name",[1]characters!$1:$1,0)-MATCH("character_id",[1]characters!$1:$1,0)+1),MATCH("name",[1]characters!$1:$1,0)-MATCH("character_id",[1]characters!$1:$1,0)+1,FALSE)</f>
        <v>不可能性の現翼 メビウス</v>
      </c>
      <c r="H12" s="134">
        <v>3</v>
      </c>
      <c r="I12" s="139"/>
    </row>
    <row r="13" spans="1:9" ht="21" customHeight="1" x14ac:dyDescent="0.15">
      <c r="A13" s="221">
        <v>1123</v>
      </c>
      <c r="B13" s="131" t="s">
        <v>419</v>
      </c>
      <c r="C13" s="213" t="s">
        <v>485</v>
      </c>
      <c r="D13" s="227" t="s">
        <v>562</v>
      </c>
      <c r="E13" s="133">
        <f t="shared" ref="E13:E14" si="5">LEN(D13)</f>
        <v>26</v>
      </c>
      <c r="F13" s="212" t="s">
        <v>566</v>
      </c>
      <c r="G13" s="57" t="str">
        <f ca="1">VLOOKUP($A13,OFFSET([1]characters!$A$1,0,0,COUNTA([1]characters!$A:$A),MATCH("name",[1]characters!$1:$1,0)-MATCH("character_id",[1]characters!$1:$1,0)+1),MATCH("name",[1]characters!$1:$1,0)-MATCH("character_id",[1]characters!$1:$1,0)+1,FALSE)</f>
        <v>舞降りし綺鏡羽 ブール</v>
      </c>
      <c r="H13" s="134">
        <v>3</v>
      </c>
      <c r="I13" s="139"/>
    </row>
    <row r="14" spans="1:9" ht="21" customHeight="1" x14ac:dyDescent="0.15">
      <c r="A14" s="221">
        <v>1119</v>
      </c>
      <c r="B14" s="131" t="s">
        <v>177</v>
      </c>
      <c r="C14" s="233" t="s">
        <v>506</v>
      </c>
      <c r="D14" s="132" t="s">
        <v>561</v>
      </c>
      <c r="E14" s="133">
        <f t="shared" si="5"/>
        <v>10</v>
      </c>
      <c r="F14" s="115" t="s">
        <v>527</v>
      </c>
      <c r="G14" s="57" t="str">
        <f ca="1">VLOOKUP($A14,OFFSET([1]characters!$A$1,0,0,COUNTA([1]characters!$A:$A),MATCH("name",[1]characters!$1:$1,0)-MATCH("character_id",[1]characters!$1:$1,0)+1),MATCH("name",[1]characters!$1:$1,0)-MATCH("character_id",[1]characters!$1:$1,0)+1,FALSE)</f>
        <v>刹・廻天一流 宮本武蔵</v>
      </c>
      <c r="H14" s="134">
        <v>3</v>
      </c>
      <c r="I14" s="139"/>
    </row>
    <row r="15" spans="1:9" ht="21" customHeight="1" x14ac:dyDescent="0.25">
      <c r="A15" s="221">
        <v>1120</v>
      </c>
      <c r="B15" s="131" t="s">
        <v>177</v>
      </c>
      <c r="C15" s="234" t="s">
        <v>507</v>
      </c>
      <c r="D15" s="166" t="s">
        <v>520</v>
      </c>
      <c r="E15" s="133">
        <f t="shared" ref="E15" si="6">LEN(D15)</f>
        <v>9</v>
      </c>
      <c r="F15" s="115" t="s">
        <v>526</v>
      </c>
      <c r="G15" s="57" t="str">
        <f ca="1">VLOOKUP($A15,OFFSET([1]characters!$A$1,0,0,COUNTA([1]characters!$A:$A),MATCH("name",[1]characters!$1:$1,0)-MATCH("character_id",[1]characters!$1:$1,0)+1),MATCH("name",[1]characters!$1:$1,0)-MATCH("character_id",[1]characters!$1:$1,0)+1,FALSE)</f>
        <v>四聖猛煌の皇獣 麒麟</v>
      </c>
      <c r="H15" s="134">
        <v>3</v>
      </c>
      <c r="I15" s="139"/>
    </row>
  </sheetData>
  <sheetProtection selectLockedCells="1" selectUnlockedCells="1"/>
  <autoFilter ref="A1:I1"/>
  <phoneticPr fontId="22"/>
  <conditionalFormatting sqref="E2:E5">
    <cfRule type="cellIs" dxfId="79" priority="16" operator="greaterThan">
      <formula>41</formula>
    </cfRule>
  </conditionalFormatting>
  <conditionalFormatting sqref="E6">
    <cfRule type="cellIs" dxfId="78" priority="15" operator="greaterThan">
      <formula>41</formula>
    </cfRule>
  </conditionalFormatting>
  <conditionalFormatting sqref="E7">
    <cfRule type="cellIs" dxfId="77" priority="13" operator="greaterThan">
      <formula>41</formula>
    </cfRule>
  </conditionalFormatting>
  <conditionalFormatting sqref="E8">
    <cfRule type="cellIs" dxfId="76" priority="12" operator="greaterThan">
      <formula>41</formula>
    </cfRule>
  </conditionalFormatting>
  <conditionalFormatting sqref="E11">
    <cfRule type="cellIs" dxfId="75" priority="11" operator="greaterThan">
      <formula>41</formula>
    </cfRule>
  </conditionalFormatting>
  <conditionalFormatting sqref="E10">
    <cfRule type="cellIs" dxfId="74" priority="10" operator="greaterThan">
      <formula>41</formula>
    </cfRule>
  </conditionalFormatting>
  <conditionalFormatting sqref="C10">
    <cfRule type="expression" dxfId="73" priority="7">
      <formula>$E10="黄"</formula>
    </cfRule>
    <cfRule type="expression" dxfId="72" priority="8">
      <formula>$E10="赤"</formula>
    </cfRule>
    <cfRule type="expression" dxfId="71" priority="9">
      <formula>$E10="緑"</formula>
    </cfRule>
  </conditionalFormatting>
  <conditionalFormatting sqref="C10">
    <cfRule type="expression" dxfId="70" priority="6">
      <formula>$E10="青"</formula>
    </cfRule>
  </conditionalFormatting>
  <conditionalFormatting sqref="E12">
    <cfRule type="cellIs" dxfId="69" priority="5" operator="greaterThan">
      <formula>41</formula>
    </cfRule>
  </conditionalFormatting>
  <conditionalFormatting sqref="E9">
    <cfRule type="cellIs" dxfId="68" priority="4" operator="greaterThan">
      <formula>41</formula>
    </cfRule>
  </conditionalFormatting>
  <conditionalFormatting sqref="E13">
    <cfRule type="cellIs" dxfId="67" priority="3" operator="greaterThan">
      <formula>41</formula>
    </cfRule>
  </conditionalFormatting>
  <conditionalFormatting sqref="E14">
    <cfRule type="cellIs" dxfId="66" priority="2" operator="greaterThan">
      <formula>41</formula>
    </cfRule>
  </conditionalFormatting>
  <conditionalFormatting sqref="E15">
    <cfRule type="cellIs" dxfId="65" priority="1" operator="greaterThan">
      <formula>41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H71"/>
  <sheetViews>
    <sheetView topLeftCell="A39" workbookViewId="0">
      <selection activeCell="K71" sqref="K71"/>
    </sheetView>
  </sheetViews>
  <sheetFormatPr baseColWidth="12" defaultRowHeight="15" outlineLevelCol="1" x14ac:dyDescent="0.15"/>
  <cols>
    <col min="2" max="2" width="12.83203125" style="141"/>
    <col min="4" max="4" width="12.83203125" style="141" customWidth="1" outlineLevel="1"/>
    <col min="5" max="5" width="12.83203125" style="141"/>
    <col min="8" max="8" width="20.5" bestFit="1" customWidth="1"/>
  </cols>
  <sheetData>
    <row r="1" spans="1:8" x14ac:dyDescent="0.15">
      <c r="A1" s="112" t="s">
        <v>179</v>
      </c>
      <c r="B1" s="140" t="s">
        <v>180</v>
      </c>
      <c r="C1" s="112" t="s">
        <v>181</v>
      </c>
      <c r="D1" s="140" t="s">
        <v>183</v>
      </c>
      <c r="E1" s="140" t="s">
        <v>184</v>
      </c>
      <c r="F1" s="110" t="s">
        <v>185</v>
      </c>
      <c r="G1" s="112" t="s">
        <v>182</v>
      </c>
      <c r="H1" s="110" t="s">
        <v>186</v>
      </c>
    </row>
    <row r="2" spans="1:8" x14ac:dyDescent="0.15">
      <c r="A2" s="108">
        <v>1055</v>
      </c>
      <c r="B2" s="57" t="str">
        <f ca="1">VLOOKUP($A2,OFFSET([1]characters!$A$1,0,0,COUNTA([1]characters!$A:$A),MATCH(B$1,[1]characters!$1:$1,0)-MATCH($A$1,[1]characters!$1:$1,0)+1),MATCH(B$1,[1]characters!$1:$1,0)-MATCH($A$1,[1]characters!$1:$1,0)+1,FALSE)</f>
        <v>豪焔の轟暴聖 ベリアル</v>
      </c>
      <c r="C2" s="108" t="s">
        <v>343</v>
      </c>
      <c r="D2" s="140"/>
      <c r="E2" s="140" t="str">
        <f>A2&amp;+(COUNTIF(A2:A$7,A2)-1)</f>
        <v>10554</v>
      </c>
      <c r="F2" s="108" t="s">
        <v>344</v>
      </c>
      <c r="G2" s="134" t="s">
        <v>346</v>
      </c>
      <c r="H2" s="207" t="s">
        <v>378</v>
      </c>
    </row>
    <row r="3" spans="1:8" x14ac:dyDescent="0.15">
      <c r="A3" s="108">
        <v>1055</v>
      </c>
      <c r="B3" s="57" t="str">
        <f ca="1">VLOOKUP($A3,OFFSET([1]characters!$A$1,0,0,COUNTA([1]characters!$A:$A),MATCH(B$1,[1]characters!$1:$1,0)-MATCH($A$1,[1]characters!$1:$1,0)+1),MATCH(B$1,[1]characters!$1:$1,0)-MATCH($A$1,[1]characters!$1:$1,0)+1,FALSE)</f>
        <v>豪焔の轟暴聖 ベリアル</v>
      </c>
      <c r="C3" s="108" t="s">
        <v>347</v>
      </c>
      <c r="D3" s="140"/>
      <c r="E3" s="140" t="str">
        <f>A3&amp;+(COUNTIF(A3:A$7,A3)-1)</f>
        <v>10553</v>
      </c>
      <c r="F3" s="108" t="s">
        <v>348</v>
      </c>
      <c r="G3" s="134" t="s">
        <v>345</v>
      </c>
      <c r="H3" s="134" t="s">
        <v>349</v>
      </c>
    </row>
    <row r="4" spans="1:8" x14ac:dyDescent="0.15">
      <c r="A4" s="108">
        <v>1055</v>
      </c>
      <c r="B4" s="57" t="str">
        <f ca="1">VLOOKUP($A4,OFFSET([1]characters!$A$1,0,0,COUNTA([1]characters!$A:$A),MATCH(B$1,[1]characters!$1:$1,0)-MATCH($A$1,[1]characters!$1:$1,0)+1),MATCH(B$1,[1]characters!$1:$1,0)-MATCH($A$1,[1]characters!$1:$1,0)+1,FALSE)</f>
        <v>豪焔の轟暴聖 ベリアル</v>
      </c>
      <c r="C4" s="108" t="s">
        <v>347</v>
      </c>
      <c r="D4" s="140"/>
      <c r="E4" s="140" t="str">
        <f>A4&amp;+(COUNTIF(A4:A$7,A4)-1)</f>
        <v>10552</v>
      </c>
      <c r="F4" s="108" t="s">
        <v>348</v>
      </c>
      <c r="G4" s="134" t="s">
        <v>345</v>
      </c>
      <c r="H4" s="134" t="s">
        <v>351</v>
      </c>
    </row>
    <row r="5" spans="1:8" x14ac:dyDescent="0.15">
      <c r="A5" s="108">
        <v>1055</v>
      </c>
      <c r="B5" s="57" t="str">
        <f ca="1">VLOOKUP($A5,OFFSET([1]characters!$A$1,0,0,COUNTA([1]characters!$A:$A),MATCH(B$1,[1]characters!$1:$1,0)-MATCH($A$1,[1]characters!$1:$1,0)+1),MATCH(B$1,[1]characters!$1:$1,0)-MATCH($A$1,[1]characters!$1:$1,0)+1,FALSE)</f>
        <v>豪焔の轟暴聖 ベリアル</v>
      </c>
      <c r="C5" s="108" t="s">
        <v>347</v>
      </c>
      <c r="D5" s="140"/>
      <c r="E5" s="140" t="str">
        <f>A5&amp;+(COUNTIF(A5:A$7,A5)-1)</f>
        <v>10551</v>
      </c>
      <c r="F5" s="108" t="s">
        <v>348</v>
      </c>
      <c r="G5" s="134" t="s">
        <v>345</v>
      </c>
      <c r="H5" s="134" t="s">
        <v>352</v>
      </c>
    </row>
    <row r="6" spans="1:8" x14ac:dyDescent="0.15">
      <c r="A6" s="108">
        <v>1055</v>
      </c>
      <c r="B6" s="57" t="str">
        <f ca="1">VLOOKUP($A6,OFFSET([1]characters!$A$1,0,0,COUNTA([1]characters!$A:$A),MATCH(B$1,[1]characters!$1:$1,0)-MATCH($A$1,[1]characters!$1:$1,0)+1),MATCH(B$1,[1]characters!$1:$1,0)-MATCH($A$1,[1]characters!$1:$1,0)+1,FALSE)</f>
        <v>豪焔の轟暴聖 ベリアル</v>
      </c>
      <c r="C6" s="108" t="s">
        <v>347</v>
      </c>
      <c r="D6" s="140"/>
      <c r="E6" s="140" t="str">
        <f>A6&amp;+(COUNTIF(A6:A$7,A6)-1)</f>
        <v>10550</v>
      </c>
      <c r="F6" s="108" t="s">
        <v>348</v>
      </c>
      <c r="G6" s="208" t="s">
        <v>345</v>
      </c>
      <c r="H6" s="208" t="s">
        <v>386</v>
      </c>
    </row>
    <row r="7" spans="1:8" x14ac:dyDescent="0.15">
      <c r="A7" s="108">
        <v>1056</v>
      </c>
      <c r="B7" s="57" t="str">
        <f ca="1">VLOOKUP($A7,OFFSET([1]characters!$A$1,0,0,COUNTA([1]characters!$A:$A),MATCH(B$1,[1]characters!$1:$1,0)-MATCH($A$1,[1]characters!$1:$1,0)+1),MATCH(B$1,[1]characters!$1:$1,0)-MATCH($A$1,[1]characters!$1:$1,0)+1,FALSE)</f>
        <v>神解の預欺皇 オセ</v>
      </c>
      <c r="C7" s="108" t="s">
        <v>353</v>
      </c>
      <c r="D7" s="140"/>
      <c r="E7" s="140" t="str">
        <f>A7&amp;+(COUNTIF(A$7:A7,A7)-1)</f>
        <v>10560</v>
      </c>
      <c r="F7" s="108" t="s">
        <v>348</v>
      </c>
      <c r="G7" s="208" t="s">
        <v>345</v>
      </c>
      <c r="H7" s="208" t="s">
        <v>382</v>
      </c>
    </row>
    <row r="8" spans="1:8" x14ac:dyDescent="0.15">
      <c r="A8" s="108">
        <v>1056</v>
      </c>
      <c r="B8" s="57" t="str">
        <f ca="1">VLOOKUP($A8,OFFSET([1]characters!$A$1,0,0,COUNTA([1]characters!$A:$A),MATCH(B$1,[1]characters!$1:$1,0)-MATCH($A$1,[1]characters!$1:$1,0)+1),MATCH(B$1,[1]characters!$1:$1,0)-MATCH($A$1,[1]characters!$1:$1,0)+1,FALSE)</f>
        <v>神解の預欺皇 オセ</v>
      </c>
      <c r="C8" s="108" t="s">
        <v>350</v>
      </c>
      <c r="D8" s="140"/>
      <c r="E8" s="140" t="str">
        <f>A8&amp;+(COUNTIF(A$7:A8,A8)-1)</f>
        <v>10561</v>
      </c>
      <c r="F8" s="108" t="s">
        <v>348</v>
      </c>
      <c r="G8" s="208" t="s">
        <v>345</v>
      </c>
      <c r="H8" s="134" t="s">
        <v>383</v>
      </c>
    </row>
    <row r="9" spans="1:8" x14ac:dyDescent="0.15">
      <c r="A9" s="108">
        <v>1056</v>
      </c>
      <c r="B9" s="57" t="str">
        <f ca="1">VLOOKUP($A9,OFFSET([1]characters!$A$1,0,0,COUNTA([1]characters!$A:$A),MATCH(B$1,[1]characters!$1:$1,0)-MATCH($A$1,[1]characters!$1:$1,0)+1),MATCH(B$1,[1]characters!$1:$1,0)-MATCH($A$1,[1]characters!$1:$1,0)+1,FALSE)</f>
        <v>神解の預欺皇 オセ</v>
      </c>
      <c r="C9" s="108" t="s">
        <v>350</v>
      </c>
      <c r="D9" s="140"/>
      <c r="E9" s="140" t="str">
        <f>A9&amp;+(COUNTIF(A$7:A9,A9)-1)</f>
        <v>10562</v>
      </c>
      <c r="F9" s="108" t="s">
        <v>355</v>
      </c>
      <c r="G9" s="134" t="s">
        <v>356</v>
      </c>
      <c r="H9" s="134" t="s">
        <v>357</v>
      </c>
    </row>
    <row r="10" spans="1:8" x14ac:dyDescent="0.15">
      <c r="A10" s="108">
        <v>1056</v>
      </c>
      <c r="B10" s="57" t="str">
        <f ca="1">VLOOKUP($A10,OFFSET([1]characters!$A$1,0,0,COUNTA([1]characters!$A:$A),MATCH(B$1,[1]characters!$1:$1,0)-MATCH($A$1,[1]characters!$1:$1,0)+1),MATCH(B$1,[1]characters!$1:$1,0)-MATCH($A$1,[1]characters!$1:$1,0)+1,FALSE)</f>
        <v>神解の預欺皇 オセ</v>
      </c>
      <c r="C10" s="108" t="s">
        <v>347</v>
      </c>
      <c r="D10" s="140"/>
      <c r="E10" s="140" t="str">
        <f>A10&amp;+(COUNTIF(A$7:A10,A10)-1)</f>
        <v>10563</v>
      </c>
      <c r="F10" s="108" t="s">
        <v>358</v>
      </c>
      <c r="G10" s="134" t="s">
        <v>359</v>
      </c>
      <c r="H10" s="134" t="s">
        <v>360</v>
      </c>
    </row>
    <row r="11" spans="1:8" x14ac:dyDescent="0.15">
      <c r="A11" s="108">
        <v>1056</v>
      </c>
      <c r="B11" s="57" t="str">
        <f ca="1">VLOOKUP($A11,OFFSET([1]characters!$A$1,0,0,COUNTA([1]characters!$A:$A),MATCH(B$1,[1]characters!$1:$1,0)-MATCH($A$1,[1]characters!$1:$1,0)+1),MATCH(B$1,[1]characters!$1:$1,0)-MATCH($A$1,[1]characters!$1:$1,0)+1,FALSE)</f>
        <v>神解の預欺皇 オセ</v>
      </c>
      <c r="C11" s="108" t="s">
        <v>361</v>
      </c>
      <c r="D11" s="140"/>
      <c r="E11" s="140" t="str">
        <f>A11&amp;+(COUNTIF(A$7:A11,A11)-1)</f>
        <v>10564</v>
      </c>
      <c r="F11" s="108" t="s">
        <v>348</v>
      </c>
      <c r="G11" s="208" t="s">
        <v>345</v>
      </c>
      <c r="H11" s="208" t="s">
        <v>362</v>
      </c>
    </row>
    <row r="12" spans="1:8" x14ac:dyDescent="0.15">
      <c r="A12" s="108">
        <v>1057</v>
      </c>
      <c r="B12" s="57" t="str">
        <f ca="1">VLOOKUP($A12,OFFSET([1]characters!$A$1,0,0,COUNTA([1]characters!$A:$A),MATCH(B$1,[1]characters!$1:$1,0)-MATCH($A$1,[1]characters!$1:$1,0)+1),MATCH(B$1,[1]characters!$1:$1,0)-MATCH($A$1,[1]characters!$1:$1,0)+1,FALSE)</f>
        <v>疑愛の永遠公爵 フォルネウス</v>
      </c>
      <c r="C12" s="108" t="s">
        <v>363</v>
      </c>
      <c r="D12" s="140"/>
      <c r="E12" s="140" t="str">
        <f>A12&amp;+(COUNTIF(A$7:A12,A12)-1)</f>
        <v>10570</v>
      </c>
      <c r="F12" s="108" t="s">
        <v>348</v>
      </c>
      <c r="G12" s="208" t="s">
        <v>345</v>
      </c>
      <c r="H12" s="208" t="s">
        <v>384</v>
      </c>
    </row>
    <row r="13" spans="1:8" x14ac:dyDescent="0.15">
      <c r="A13" s="108">
        <v>1057</v>
      </c>
      <c r="B13" s="57" t="str">
        <f ca="1">VLOOKUP($A13,OFFSET([1]characters!$A$1,0,0,COUNTA([1]characters!$A:$A),MATCH(B$1,[1]characters!$1:$1,0)-MATCH($A$1,[1]characters!$1:$1,0)+1),MATCH(B$1,[1]characters!$1:$1,0)-MATCH($A$1,[1]characters!$1:$1,0)+1,FALSE)</f>
        <v>疑愛の永遠公爵 フォルネウス</v>
      </c>
      <c r="C13" s="108" t="s">
        <v>350</v>
      </c>
      <c r="D13" s="140"/>
      <c r="E13" s="140" t="str">
        <f>A13&amp;+(COUNTIF(A$7:A13,A13)-1)</f>
        <v>10571</v>
      </c>
      <c r="F13" s="108" t="s">
        <v>355</v>
      </c>
      <c r="G13" s="134" t="s">
        <v>356</v>
      </c>
      <c r="H13" s="134" t="s">
        <v>385</v>
      </c>
    </row>
    <row r="14" spans="1:8" x14ac:dyDescent="0.15">
      <c r="A14" s="108">
        <v>1057</v>
      </c>
      <c r="B14" s="57" t="str">
        <f ca="1">VLOOKUP($A14,OFFSET([1]characters!$A$1,0,0,COUNTA([1]characters!$A:$A),MATCH(B$1,[1]characters!$1:$1,0)-MATCH($A$1,[1]characters!$1:$1,0)+1),MATCH(B$1,[1]characters!$1:$1,0)-MATCH($A$1,[1]characters!$1:$1,0)+1,FALSE)</f>
        <v>疑愛の永遠公爵 フォルネウス</v>
      </c>
      <c r="C14" s="108" t="s">
        <v>347</v>
      </c>
      <c r="D14" s="140"/>
      <c r="E14" s="140" t="str">
        <f>A14&amp;+(COUNTIF(A$7:A14,A14)-1)</f>
        <v>10572</v>
      </c>
      <c r="F14" s="108" t="s">
        <v>355</v>
      </c>
      <c r="G14" s="134" t="s">
        <v>356</v>
      </c>
      <c r="H14" s="134" t="s">
        <v>364</v>
      </c>
    </row>
    <row r="15" spans="1:8" x14ac:dyDescent="0.15">
      <c r="A15" s="108">
        <v>1057</v>
      </c>
      <c r="B15" s="57" t="str">
        <f ca="1">VLOOKUP($A15,OFFSET([1]characters!$A$1,0,0,COUNTA([1]characters!$A:$A),MATCH(B$1,[1]characters!$1:$1,0)-MATCH($A$1,[1]characters!$1:$1,0)+1),MATCH(B$1,[1]characters!$1:$1,0)-MATCH($A$1,[1]characters!$1:$1,0)+1,FALSE)</f>
        <v>疑愛の永遠公爵 フォルネウス</v>
      </c>
      <c r="C15" s="108" t="s">
        <v>347</v>
      </c>
      <c r="D15" s="140"/>
      <c r="E15" s="140" t="str">
        <f>A15&amp;+(COUNTIF(A$7:A15,A15)-1)</f>
        <v>10573</v>
      </c>
      <c r="F15" s="108" t="s">
        <v>355</v>
      </c>
      <c r="G15" s="134" t="s">
        <v>346</v>
      </c>
      <c r="H15" s="134" t="s">
        <v>365</v>
      </c>
    </row>
    <row r="16" spans="1:8" x14ac:dyDescent="0.15">
      <c r="A16" s="108">
        <v>1057</v>
      </c>
      <c r="B16" s="57" t="str">
        <f ca="1">VLOOKUP($A16,OFFSET([1]characters!$A$1,0,0,COUNTA([1]characters!$A:$A),MATCH(B$1,[1]characters!$1:$1,0)-MATCH($A$1,[1]characters!$1:$1,0)+1),MATCH(B$1,[1]characters!$1:$1,0)-MATCH($A$1,[1]characters!$1:$1,0)+1,FALSE)</f>
        <v>疑愛の永遠公爵 フォルネウス</v>
      </c>
      <c r="C16" s="108" t="s">
        <v>347</v>
      </c>
      <c r="D16" s="140"/>
      <c r="E16" s="140" t="str">
        <f>A16&amp;+(COUNTIF(A$7:A16,A16)-1)</f>
        <v>10574</v>
      </c>
      <c r="F16" s="108" t="s">
        <v>355</v>
      </c>
      <c r="G16" s="208" t="s">
        <v>346</v>
      </c>
      <c r="H16" s="208" t="s">
        <v>366</v>
      </c>
    </row>
    <row r="17" spans="1:8" x14ac:dyDescent="0.15">
      <c r="A17" s="108">
        <v>1058</v>
      </c>
      <c r="B17" s="57" t="str">
        <f ca="1">VLOOKUP($A17,OFFSET([1]characters!$A$1,0,0,COUNTA([1]characters!$A:$A),MATCH(B$1,[1]characters!$1:$1,0)-MATCH($A$1,[1]characters!$1:$1,0)+1),MATCH(B$1,[1]characters!$1:$1,0)-MATCH($A$1,[1]characters!$1:$1,0)+1,FALSE)</f>
        <v>黄泉守誘の命神母 イザナミ</v>
      </c>
      <c r="C17" s="108" t="s">
        <v>353</v>
      </c>
      <c r="D17" s="140"/>
      <c r="E17" s="140" t="str">
        <f>A17&amp;+(COUNTIF(A$7:A17,A17)-1)</f>
        <v>10580</v>
      </c>
      <c r="F17" s="108" t="s">
        <v>355</v>
      </c>
      <c r="G17" s="208" t="s">
        <v>346</v>
      </c>
      <c r="H17" s="208" t="s">
        <v>380</v>
      </c>
    </row>
    <row r="18" spans="1:8" x14ac:dyDescent="0.15">
      <c r="A18" s="108">
        <v>1058</v>
      </c>
      <c r="B18" s="57" t="str">
        <f ca="1">VLOOKUP($A18,OFFSET([1]characters!$A$1,0,0,COUNTA([1]characters!$A:$A),MATCH(B$1,[1]characters!$1:$1,0)-MATCH($A$1,[1]characters!$1:$1,0)+1),MATCH(B$1,[1]characters!$1:$1,0)-MATCH($A$1,[1]characters!$1:$1,0)+1,FALSE)</f>
        <v>黄泉守誘の命神母 イザナミ</v>
      </c>
      <c r="C18" s="108" t="s">
        <v>347</v>
      </c>
      <c r="D18" s="140"/>
      <c r="E18" s="140" t="str">
        <f>A18&amp;+(COUNTIF(A$7:A18,A18)-1)</f>
        <v>10581</v>
      </c>
      <c r="F18" s="108" t="s">
        <v>367</v>
      </c>
      <c r="G18" s="209" t="s">
        <v>368</v>
      </c>
      <c r="H18" s="209" t="s">
        <v>369</v>
      </c>
    </row>
    <row r="19" spans="1:8" x14ac:dyDescent="0.15">
      <c r="A19" s="108">
        <v>1058</v>
      </c>
      <c r="B19" s="57" t="str">
        <f ca="1">VLOOKUP($A19,OFFSET([1]characters!$A$1,0,0,COUNTA([1]characters!$A:$A),MATCH(B$1,[1]characters!$1:$1,0)-MATCH($A$1,[1]characters!$1:$1,0)+1),MATCH(B$1,[1]characters!$1:$1,0)-MATCH($A$1,[1]characters!$1:$1,0)+1,FALSE)</f>
        <v>黄泉守誘の命神母 イザナミ</v>
      </c>
      <c r="C19" s="108" t="s">
        <v>370</v>
      </c>
      <c r="D19" s="140"/>
      <c r="E19" s="140" t="str">
        <f>A19&amp;+(COUNTIF(A$7:A19,A19)-1)</f>
        <v>10582</v>
      </c>
      <c r="F19" s="108" t="s">
        <v>348</v>
      </c>
      <c r="G19" s="209" t="s">
        <v>354</v>
      </c>
      <c r="H19" s="209" t="s">
        <v>381</v>
      </c>
    </row>
    <row r="20" spans="1:8" x14ac:dyDescent="0.15">
      <c r="A20" s="108">
        <v>1058</v>
      </c>
      <c r="B20" s="57" t="str">
        <f ca="1">VLOOKUP($A20,OFFSET([1]characters!$A$1,0,0,COUNTA([1]characters!$A:$A),MATCH(B$1,[1]characters!$1:$1,0)-MATCH($A$1,[1]characters!$1:$1,0)+1),MATCH(B$1,[1]characters!$1:$1,0)-MATCH($A$1,[1]characters!$1:$1,0)+1,FALSE)</f>
        <v>黄泉守誘の命神母 イザナミ</v>
      </c>
      <c r="C20" s="108" t="s">
        <v>371</v>
      </c>
      <c r="D20" s="140"/>
      <c r="E20" s="140" t="str">
        <f>A20&amp;+(COUNTIF(A$7:A20,A20)-1)</f>
        <v>10583</v>
      </c>
      <c r="F20" s="108" t="s">
        <v>348</v>
      </c>
      <c r="G20" s="209" t="s">
        <v>345</v>
      </c>
      <c r="H20" s="209" t="s">
        <v>372</v>
      </c>
    </row>
    <row r="21" spans="1:8" x14ac:dyDescent="0.15">
      <c r="A21" s="108">
        <v>1058</v>
      </c>
      <c r="B21" s="57" t="str">
        <f ca="1">VLOOKUP($A21,OFFSET([1]characters!$A$1,0,0,COUNTA([1]characters!$A:$A),MATCH(B$1,[1]characters!$1:$1,0)-MATCH($A$1,[1]characters!$1:$1,0)+1),MATCH(B$1,[1]characters!$1:$1,0)-MATCH($A$1,[1]characters!$1:$1,0)+1,FALSE)</f>
        <v>黄泉守誘の命神母 イザナミ</v>
      </c>
      <c r="C21" s="108" t="s">
        <v>373</v>
      </c>
      <c r="D21" s="140"/>
      <c r="E21" s="140" t="str">
        <f>A21&amp;+(COUNTIF(A$7:A21,A21)-1)</f>
        <v>10584</v>
      </c>
      <c r="F21" s="108" t="s">
        <v>374</v>
      </c>
      <c r="G21" s="208" t="s">
        <v>375</v>
      </c>
      <c r="H21" s="208" t="s">
        <v>376</v>
      </c>
    </row>
    <row r="22" spans="1:8" x14ac:dyDescent="0.15">
      <c r="A22" s="108">
        <v>1121</v>
      </c>
      <c r="B22" s="57" t="str">
        <f ca="1">VLOOKUP($A22,OFFSET([1]characters!$A$1,0,0,COUNTA([1]characters!$A:$A),MATCH(B$1,[1]characters!$1:$1,0)-MATCH($A$1,[1]characters!$1:$1,0)+1),MATCH(B$1,[1]characters!$1:$1,0)-MATCH($A$1,[1]characters!$1:$1,0)+1,FALSE)</f>
        <v>逆燦の機閃刃 オイラー</v>
      </c>
      <c r="C22" s="108" t="s">
        <v>343</v>
      </c>
      <c r="D22" s="140"/>
      <c r="E22" s="140" t="str">
        <f>A22&amp;+(COUNTIF(A$7:A22,A22)-1)</f>
        <v>11210</v>
      </c>
      <c r="F22" s="108" t="s">
        <v>177</v>
      </c>
      <c r="G22" s="208" t="s">
        <v>345</v>
      </c>
      <c r="H22" s="208" t="s">
        <v>396</v>
      </c>
    </row>
    <row r="23" spans="1:8" x14ac:dyDescent="0.15">
      <c r="A23" s="108">
        <v>1121</v>
      </c>
      <c r="B23" s="57" t="str">
        <f ca="1">VLOOKUP($A23,OFFSET([1]characters!$A$1,0,0,COUNTA([1]characters!$A:$A),MATCH(B$1,[1]characters!$1:$1,0)-MATCH($A$1,[1]characters!$1:$1,0)+1),MATCH(B$1,[1]characters!$1:$1,0)-MATCH($A$1,[1]characters!$1:$1,0)+1,FALSE)</f>
        <v>逆燦の機閃刃 オイラー</v>
      </c>
      <c r="C23" s="108" t="s">
        <v>347</v>
      </c>
      <c r="D23" s="140"/>
      <c r="E23" s="140" t="str">
        <f>A23&amp;+(COUNTIF(A$7:A23,A23)-1)</f>
        <v>11211</v>
      </c>
      <c r="F23" s="108" t="s">
        <v>177</v>
      </c>
      <c r="G23" s="209" t="s">
        <v>354</v>
      </c>
      <c r="H23" s="209" t="s">
        <v>391</v>
      </c>
    </row>
    <row r="24" spans="1:8" x14ac:dyDescent="0.15">
      <c r="A24" s="108">
        <v>1121</v>
      </c>
      <c r="B24" s="57" t="str">
        <f ca="1">VLOOKUP($A24,OFFSET([1]characters!$A$1,0,0,COUNTA([1]characters!$A:$A),MATCH(B$1,[1]characters!$1:$1,0)-MATCH($A$1,[1]characters!$1:$1,0)+1),MATCH(B$1,[1]characters!$1:$1,0)-MATCH($A$1,[1]characters!$1:$1,0)+1,FALSE)</f>
        <v>逆燦の機閃刃 オイラー</v>
      </c>
      <c r="C24" s="108" t="s">
        <v>347</v>
      </c>
      <c r="D24" s="140"/>
      <c r="E24" s="140" t="str">
        <f>A24&amp;+(COUNTIF(A$7:A24,A24)-1)</f>
        <v>11212</v>
      </c>
      <c r="F24" s="108" t="s">
        <v>177</v>
      </c>
      <c r="G24" s="209" t="s">
        <v>354</v>
      </c>
      <c r="H24" s="209" t="s">
        <v>392</v>
      </c>
    </row>
    <row r="25" spans="1:8" x14ac:dyDescent="0.15">
      <c r="A25" s="108">
        <v>1121</v>
      </c>
      <c r="B25" s="57" t="str">
        <f ca="1">VLOOKUP($A25,OFFSET([1]characters!$A$1,0,0,COUNTA([1]characters!$A:$A),MATCH(B$1,[1]characters!$1:$1,0)-MATCH($A$1,[1]characters!$1:$1,0)+1),MATCH(B$1,[1]characters!$1:$1,0)-MATCH($A$1,[1]characters!$1:$1,0)+1,FALSE)</f>
        <v>逆燦の機閃刃 オイラー</v>
      </c>
      <c r="C25" s="108" t="s">
        <v>347</v>
      </c>
      <c r="D25" s="140"/>
      <c r="E25" s="140" t="str">
        <f>A25&amp;+(COUNTIF(A$7:A25,A25)-1)</f>
        <v>11213</v>
      </c>
      <c r="F25" s="108" t="s">
        <v>177</v>
      </c>
      <c r="G25" s="209" t="s">
        <v>394</v>
      </c>
      <c r="H25" s="209" t="s">
        <v>393</v>
      </c>
    </row>
    <row r="26" spans="1:8" x14ac:dyDescent="0.15">
      <c r="A26" s="108">
        <v>1121</v>
      </c>
      <c r="B26" s="57" t="str">
        <f ca="1">VLOOKUP($A26,OFFSET([1]characters!$A$1,0,0,COUNTA([1]characters!$A:$A),MATCH(B$1,[1]characters!$1:$1,0)-MATCH($A$1,[1]characters!$1:$1,0)+1),MATCH(B$1,[1]characters!$1:$1,0)-MATCH($A$1,[1]characters!$1:$1,0)+1,FALSE)</f>
        <v>逆燦の機閃刃 オイラー</v>
      </c>
      <c r="C26" s="108" t="s">
        <v>347</v>
      </c>
      <c r="D26" s="140"/>
      <c r="E26" s="140" t="str">
        <f>A26&amp;+(COUNTIF(A$7:A26,A26)-1)</f>
        <v>11214</v>
      </c>
      <c r="F26" s="108" t="s">
        <v>177</v>
      </c>
      <c r="G26" s="208" t="s">
        <v>354</v>
      </c>
      <c r="H26" s="208" t="s">
        <v>395</v>
      </c>
    </row>
    <row r="27" spans="1:8" x14ac:dyDescent="0.15">
      <c r="A27" s="108">
        <v>1124</v>
      </c>
      <c r="B27" s="57" t="str">
        <f ca="1">VLOOKUP($A27,OFFSET([1]characters!$A$1,0,0,COUNTA([1]characters!$A:$A),MATCH(B$1,[1]characters!$1:$1,0)-MATCH($A$1,[1]characters!$1:$1,0)+1),MATCH(B$1,[1]characters!$1:$1,0)-MATCH($A$1,[1]characters!$1:$1,0)+1,FALSE)</f>
        <v>超絶界析 ラグランジュ</v>
      </c>
      <c r="C27" s="108" t="s">
        <v>343</v>
      </c>
      <c r="D27" s="140"/>
      <c r="E27" s="140" t="str">
        <f>A27&amp;+(COUNTIF(A$7:A27,A27)-1)</f>
        <v>11240</v>
      </c>
      <c r="F27" s="108" t="s">
        <v>177</v>
      </c>
      <c r="G27" s="208" t="s">
        <v>354</v>
      </c>
      <c r="H27" s="208" t="s">
        <v>403</v>
      </c>
    </row>
    <row r="28" spans="1:8" x14ac:dyDescent="0.15">
      <c r="A28" s="108">
        <v>1124</v>
      </c>
      <c r="B28" s="57" t="str">
        <f ca="1">VLOOKUP($A28,OFFSET([1]characters!$A$1,0,0,COUNTA([1]characters!$A:$A),MATCH(B$1,[1]characters!$1:$1,0)-MATCH($A$1,[1]characters!$1:$1,0)+1),MATCH(B$1,[1]characters!$1:$1,0)-MATCH($A$1,[1]characters!$1:$1,0)+1,FALSE)</f>
        <v>超絶界析 ラグランジュ</v>
      </c>
      <c r="C28" s="108" t="s">
        <v>347</v>
      </c>
      <c r="D28" s="140"/>
      <c r="E28" s="140" t="str">
        <f>A28&amp;+(COUNTIF(A$7:A28,A28)-1)</f>
        <v>11241</v>
      </c>
      <c r="F28" s="108" t="s">
        <v>177</v>
      </c>
      <c r="G28" s="209" t="s">
        <v>354</v>
      </c>
      <c r="H28" s="209" t="s">
        <v>400</v>
      </c>
    </row>
    <row r="29" spans="1:8" x14ac:dyDescent="0.15">
      <c r="A29" s="108">
        <v>1124</v>
      </c>
      <c r="B29" s="57" t="str">
        <f ca="1">VLOOKUP($A29,OFFSET([1]characters!$A$1,0,0,COUNTA([1]characters!$A:$A),MATCH(B$1,[1]characters!$1:$1,0)-MATCH($A$1,[1]characters!$1:$1,0)+1),MATCH(B$1,[1]characters!$1:$1,0)-MATCH($A$1,[1]characters!$1:$1,0)+1,FALSE)</f>
        <v>超絶界析 ラグランジュ</v>
      </c>
      <c r="C29" s="108" t="s">
        <v>347</v>
      </c>
      <c r="D29" s="140"/>
      <c r="E29" s="140" t="str">
        <f>A29&amp;+(COUNTIF(A$7:A29,A29)-1)</f>
        <v>11242</v>
      </c>
      <c r="F29" s="108" t="s">
        <v>177</v>
      </c>
      <c r="G29" s="209" t="s">
        <v>354</v>
      </c>
      <c r="H29" s="209" t="s">
        <v>401</v>
      </c>
    </row>
    <row r="30" spans="1:8" x14ac:dyDescent="0.15">
      <c r="A30" s="108">
        <v>1124</v>
      </c>
      <c r="B30" s="57" t="str">
        <f ca="1">VLOOKUP($A30,OFFSET([1]characters!$A$1,0,0,COUNTA([1]characters!$A:$A),MATCH(B$1,[1]characters!$1:$1,0)-MATCH($A$1,[1]characters!$1:$1,0)+1),MATCH(B$1,[1]characters!$1:$1,0)-MATCH($A$1,[1]characters!$1:$1,0)+1,FALSE)</f>
        <v>超絶界析 ラグランジュ</v>
      </c>
      <c r="C30" s="108" t="s">
        <v>347</v>
      </c>
      <c r="D30" s="140"/>
      <c r="E30" s="140" t="str">
        <f>A30&amp;+(COUNTIF(A$7:A30,A30)-1)</f>
        <v>11243</v>
      </c>
      <c r="F30" s="108" t="s">
        <v>177</v>
      </c>
      <c r="G30" s="209" t="s">
        <v>354</v>
      </c>
      <c r="H30" s="209" t="s">
        <v>402</v>
      </c>
    </row>
    <row r="31" spans="1:8" x14ac:dyDescent="0.15">
      <c r="A31" s="108">
        <v>1124</v>
      </c>
      <c r="B31" s="57" t="str">
        <f ca="1">VLOOKUP($A31,OFFSET([1]characters!$A$1,0,0,COUNTA([1]characters!$A:$A),MATCH(B$1,[1]characters!$1:$1,0)-MATCH($A$1,[1]characters!$1:$1,0)+1),MATCH(B$1,[1]characters!$1:$1,0)-MATCH($A$1,[1]characters!$1:$1,0)+1,FALSE)</f>
        <v>超絶界析 ラグランジュ</v>
      </c>
      <c r="C31" s="108" t="s">
        <v>347</v>
      </c>
      <c r="D31" s="140"/>
      <c r="E31" s="140" t="str">
        <f>A31&amp;+(COUNTIF(A$7:A31,A31)-1)</f>
        <v>11244</v>
      </c>
      <c r="F31" s="108" t="s">
        <v>177</v>
      </c>
      <c r="G31" s="208" t="s">
        <v>394</v>
      </c>
      <c r="H31" s="208" t="s">
        <v>404</v>
      </c>
    </row>
    <row r="32" spans="1:8" x14ac:dyDescent="0.15">
      <c r="A32" s="215">
        <v>1116</v>
      </c>
      <c r="B32" s="57" t="str">
        <f ca="1">VLOOKUP($A32,OFFSET([1]characters!$A$1,0,0,COUNTA([1]characters!$A:$A),MATCH(B$1,[1]characters!$1:$1,0)-MATCH($A$1,[1]characters!$1:$1,0)+1),MATCH(B$1,[1]characters!$1:$1,0)-MATCH($A$1,[1]characters!$1:$1,0)+1,FALSE)</f>
        <v>天檄総氏神 アマテラス</v>
      </c>
      <c r="C32" s="108" t="s">
        <v>407</v>
      </c>
      <c r="D32" s="140"/>
      <c r="E32" s="140" t="str">
        <f>A32&amp;+(COUNTIF(A$7:A32,A32)-1)</f>
        <v>11160</v>
      </c>
      <c r="F32" s="108" t="s">
        <v>406</v>
      </c>
      <c r="G32" s="208" t="s">
        <v>408</v>
      </c>
      <c r="H32" s="216" t="s">
        <v>460</v>
      </c>
    </row>
    <row r="33" spans="1:8" x14ac:dyDescent="0.15">
      <c r="A33" s="215">
        <v>1116</v>
      </c>
      <c r="B33" s="57" t="str">
        <f ca="1">VLOOKUP($A33,OFFSET([1]characters!$A$1,0,0,COUNTA([1]characters!$A:$A),MATCH(B$1,[1]characters!$1:$1,0)-MATCH($A$1,[1]characters!$1:$1,0)+1),MATCH(B$1,[1]characters!$1:$1,0)-MATCH($A$1,[1]characters!$1:$1,0)+1,FALSE)</f>
        <v>天檄総氏神 アマテラス</v>
      </c>
      <c r="C33" s="108" t="s">
        <v>409</v>
      </c>
      <c r="D33" s="140"/>
      <c r="E33" s="140" t="str">
        <f>A33&amp;+(COUNTIF(A$7:A33,A33)-1)</f>
        <v>11161</v>
      </c>
      <c r="F33" s="108" t="s">
        <v>406</v>
      </c>
      <c r="G33" s="209" t="s">
        <v>465</v>
      </c>
      <c r="H33" s="217" t="s">
        <v>462</v>
      </c>
    </row>
    <row r="34" spans="1:8" x14ac:dyDescent="0.15">
      <c r="A34" s="215">
        <v>1116</v>
      </c>
      <c r="B34" s="57" t="str">
        <f ca="1">VLOOKUP($A34,OFFSET([1]characters!$A$1,0,0,COUNTA([1]characters!$A:$A),MATCH(B$1,[1]characters!$1:$1,0)-MATCH($A$1,[1]characters!$1:$1,0)+1),MATCH(B$1,[1]characters!$1:$1,0)-MATCH($A$1,[1]characters!$1:$1,0)+1,FALSE)</f>
        <v>天檄総氏神 アマテラス</v>
      </c>
      <c r="C34" s="108" t="s">
        <v>409</v>
      </c>
      <c r="D34" s="140"/>
      <c r="E34" s="140" t="str">
        <f>A34&amp;+(COUNTIF(A$7:A34,A34)-1)</f>
        <v>11162</v>
      </c>
      <c r="F34" s="108" t="s">
        <v>406</v>
      </c>
      <c r="G34" s="209" t="s">
        <v>466</v>
      </c>
      <c r="H34" s="217" t="s">
        <v>463</v>
      </c>
    </row>
    <row r="35" spans="1:8" x14ac:dyDescent="0.15">
      <c r="A35" s="215">
        <v>1116</v>
      </c>
      <c r="B35" s="57" t="str">
        <f ca="1">VLOOKUP($A35,OFFSET([1]characters!$A$1,0,0,COUNTA([1]characters!$A:$A),MATCH(B$1,[1]characters!$1:$1,0)-MATCH($A$1,[1]characters!$1:$1,0)+1),MATCH(B$1,[1]characters!$1:$1,0)-MATCH($A$1,[1]characters!$1:$1,0)+1,FALSE)</f>
        <v>天檄総氏神 アマテラス</v>
      </c>
      <c r="C35" s="108" t="s">
        <v>409</v>
      </c>
      <c r="D35" s="140"/>
      <c r="E35" s="140" t="str">
        <f>A35&amp;+(COUNTIF(A$7:A35,A35)-1)</f>
        <v>11163</v>
      </c>
      <c r="F35" s="108" t="s">
        <v>406</v>
      </c>
      <c r="G35" s="209" t="s">
        <v>408</v>
      </c>
      <c r="H35" s="217" t="s">
        <v>464</v>
      </c>
    </row>
    <row r="36" spans="1:8" x14ac:dyDescent="0.15">
      <c r="A36" s="215">
        <v>1116</v>
      </c>
      <c r="B36" s="57" t="str">
        <f ca="1">VLOOKUP($A36,OFFSET([1]characters!$A$1,0,0,COUNTA([1]characters!$A:$A),MATCH(B$1,[1]characters!$1:$1,0)-MATCH($A$1,[1]characters!$1:$1,0)+1),MATCH(B$1,[1]characters!$1:$1,0)-MATCH($A$1,[1]characters!$1:$1,0)+1,FALSE)</f>
        <v>天檄総氏神 アマテラス</v>
      </c>
      <c r="C36" s="108" t="s">
        <v>409</v>
      </c>
      <c r="D36" s="140"/>
      <c r="E36" s="140" t="str">
        <f>A36&amp;+(COUNTIF(A$7:A36,A36)-1)</f>
        <v>11164</v>
      </c>
      <c r="F36" s="108" t="s">
        <v>406</v>
      </c>
      <c r="G36" s="208" t="s">
        <v>410</v>
      </c>
      <c r="H36" s="216" t="s">
        <v>461</v>
      </c>
    </row>
    <row r="37" spans="1:8" x14ac:dyDescent="0.15">
      <c r="A37" s="215">
        <v>1122</v>
      </c>
      <c r="B37" s="57" t="str">
        <f ca="1">VLOOKUP($A37,OFFSET([1]characters!$A$1,0,0,COUNTA([1]characters!$A:$A),MATCH(B$1,[1]characters!$1:$1,0)-MATCH($A$1,[1]characters!$1:$1,0)+1),MATCH(B$1,[1]characters!$1:$1,0)-MATCH($A$1,[1]characters!$1:$1,0)+1,FALSE)</f>
        <v>不可能性の現翼 メビウス</v>
      </c>
      <c r="C37" s="108" t="s">
        <v>407</v>
      </c>
      <c r="D37" s="140"/>
      <c r="E37" s="140" t="str">
        <f>A37&amp;+(COUNTIF(A$7:A37,A37)-1)</f>
        <v>11220</v>
      </c>
      <c r="F37" s="108" t="s">
        <v>406</v>
      </c>
      <c r="G37" s="213" t="s">
        <v>354</v>
      </c>
      <c r="H37" s="213" t="s">
        <v>423</v>
      </c>
    </row>
    <row r="38" spans="1:8" x14ac:dyDescent="0.15">
      <c r="A38" s="215">
        <v>1122</v>
      </c>
      <c r="B38" s="57" t="str">
        <f ca="1">VLOOKUP($A38,OFFSET([1]characters!$A$1,0,0,COUNTA([1]characters!$A:$A),MATCH(B$1,[1]characters!$1:$1,0)-MATCH($A$1,[1]characters!$1:$1,0)+1),MATCH(B$1,[1]characters!$1:$1,0)-MATCH($A$1,[1]characters!$1:$1,0)+1,FALSE)</f>
        <v>不可能性の現翼 メビウス</v>
      </c>
      <c r="C38" s="108" t="s">
        <v>409</v>
      </c>
      <c r="D38" s="140"/>
      <c r="E38" s="140" t="str">
        <f>A38&amp;+(COUNTIF(A$7:A38,A38)-1)</f>
        <v>11221</v>
      </c>
      <c r="F38" s="108" t="s">
        <v>406</v>
      </c>
      <c r="G38" s="230" t="s">
        <v>424</v>
      </c>
      <c r="H38" s="213" t="s">
        <v>425</v>
      </c>
    </row>
    <row r="39" spans="1:8" x14ac:dyDescent="0.15">
      <c r="A39" s="215">
        <v>1122</v>
      </c>
      <c r="B39" s="57" t="str">
        <f ca="1">VLOOKUP($A39,OFFSET([1]characters!$A$1,0,0,COUNTA([1]characters!$A:$A),MATCH(B$1,[1]characters!$1:$1,0)-MATCH($A$1,[1]characters!$1:$1,0)+1),MATCH(B$1,[1]characters!$1:$1,0)-MATCH($A$1,[1]characters!$1:$1,0)+1,FALSE)</f>
        <v>不可能性の現翼 メビウス</v>
      </c>
      <c r="C39" s="108" t="s">
        <v>409</v>
      </c>
      <c r="D39" s="140"/>
      <c r="E39" s="140" t="str">
        <f>A39&amp;+(COUNTIF(A$7:A39,A39)-1)</f>
        <v>11222</v>
      </c>
      <c r="F39" s="108" t="s">
        <v>406</v>
      </c>
      <c r="G39" s="209" t="s">
        <v>408</v>
      </c>
      <c r="H39" s="217" t="s">
        <v>441</v>
      </c>
    </row>
    <row r="40" spans="1:8" x14ac:dyDescent="0.15">
      <c r="A40" s="215">
        <v>1122</v>
      </c>
      <c r="B40" s="57" t="str">
        <f ca="1">VLOOKUP($A40,OFFSET([1]characters!$A$1,0,0,COUNTA([1]characters!$A:$A),MATCH(B$1,[1]characters!$1:$1,0)-MATCH($A$1,[1]characters!$1:$1,0)+1),MATCH(B$1,[1]characters!$1:$1,0)-MATCH($A$1,[1]characters!$1:$1,0)+1,FALSE)</f>
        <v>不可能性の現翼 メビウス</v>
      </c>
      <c r="C40" s="108" t="s">
        <v>409</v>
      </c>
      <c r="D40" s="140"/>
      <c r="E40" s="140" t="str">
        <f>A40&amp;+(COUNTIF(A$7:A40,A40)-1)</f>
        <v>11223</v>
      </c>
      <c r="F40" s="108" t="s">
        <v>406</v>
      </c>
      <c r="G40" s="209" t="s">
        <v>408</v>
      </c>
      <c r="H40" s="217" t="s">
        <v>442</v>
      </c>
    </row>
    <row r="41" spans="1:8" x14ac:dyDescent="0.15">
      <c r="A41" s="215">
        <v>1122</v>
      </c>
      <c r="B41" s="57" t="str">
        <f ca="1">VLOOKUP($A41,OFFSET([1]characters!$A$1,0,0,COUNTA([1]characters!$A:$A),MATCH(B$1,[1]characters!$1:$1,0)-MATCH($A$1,[1]characters!$1:$1,0)+1),MATCH(B$1,[1]characters!$1:$1,0)-MATCH($A$1,[1]characters!$1:$1,0)+1,FALSE)</f>
        <v>不可能性の現翼 メビウス</v>
      </c>
      <c r="C41" s="108" t="s">
        <v>409</v>
      </c>
      <c r="D41" s="140"/>
      <c r="E41" s="140" t="str">
        <f>A41&amp;+(COUNTIF(A$7:A41,A41)-1)</f>
        <v>11224</v>
      </c>
      <c r="F41" s="108" t="s">
        <v>406</v>
      </c>
      <c r="G41" s="209" t="s">
        <v>408</v>
      </c>
      <c r="H41" s="216" t="s">
        <v>443</v>
      </c>
    </row>
    <row r="42" spans="1:8" x14ac:dyDescent="0.15">
      <c r="A42" s="215">
        <v>1179</v>
      </c>
      <c r="B42" s="57" t="str">
        <f ca="1">VLOOKUP($A42,OFFSET([1]characters!$A$1,0,0,COUNTA([1]characters!$A:$A),MATCH(B$1,[1]characters!$1:$1,0)-MATCH($A$1,[1]characters!$1:$1,0)+1),MATCH(B$1,[1]characters!$1:$1,0)-MATCH($A$1,[1]characters!$1:$1,0)+1,FALSE)</f>
        <v>厳核なる巨大炉 ハイゼンベルク</v>
      </c>
      <c r="C42" s="108" t="s">
        <v>407</v>
      </c>
      <c r="D42" s="140"/>
      <c r="E42" s="140" t="str">
        <f>A42&amp;+(COUNTIF(A$7:A42,A42)-1)</f>
        <v>11790</v>
      </c>
      <c r="F42" s="108" t="s">
        <v>406</v>
      </c>
      <c r="G42" s="213" t="s">
        <v>426</v>
      </c>
      <c r="H42" s="213" t="s">
        <v>429</v>
      </c>
    </row>
    <row r="43" spans="1:8" x14ac:dyDescent="0.15">
      <c r="A43" s="215">
        <v>1179</v>
      </c>
      <c r="B43" s="57" t="str">
        <f ca="1">VLOOKUP($A43,OFFSET([1]characters!$A$1,0,0,COUNTA([1]characters!$A:$A),MATCH(B$1,[1]characters!$1:$1,0)-MATCH($A$1,[1]characters!$1:$1,0)+1),MATCH(B$1,[1]characters!$1:$1,0)-MATCH($A$1,[1]characters!$1:$1,0)+1,FALSE)</f>
        <v>厳核なる巨大炉 ハイゼンベルク</v>
      </c>
      <c r="C43" s="108" t="s">
        <v>409</v>
      </c>
      <c r="D43" s="140"/>
      <c r="E43" s="140" t="str">
        <f>A43&amp;+(COUNTIF(A$7:A43,A43)-1)</f>
        <v>11791</v>
      </c>
      <c r="F43" s="108" t="s">
        <v>406</v>
      </c>
      <c r="G43" s="213" t="s">
        <v>426</v>
      </c>
      <c r="H43" s="213" t="s">
        <v>430</v>
      </c>
    </row>
    <row r="44" spans="1:8" x14ac:dyDescent="0.15">
      <c r="A44" s="215">
        <v>1179</v>
      </c>
      <c r="B44" s="57" t="str">
        <f ca="1">VLOOKUP($A44,OFFSET([1]characters!$A$1,0,0,COUNTA([1]characters!$A:$A),MATCH(B$1,[1]characters!$1:$1,0)-MATCH($A$1,[1]characters!$1:$1,0)+1),MATCH(B$1,[1]characters!$1:$1,0)-MATCH($A$1,[1]characters!$1:$1,0)+1,FALSE)</f>
        <v>厳核なる巨大炉 ハイゼンベルク</v>
      </c>
      <c r="C44" s="108" t="s">
        <v>409</v>
      </c>
      <c r="D44" s="140"/>
      <c r="E44" s="140" t="str">
        <f>A44&amp;+(COUNTIF(A$7:A44,A44)-1)</f>
        <v>11792</v>
      </c>
      <c r="F44" s="108" t="s">
        <v>406</v>
      </c>
      <c r="G44" s="213" t="s">
        <v>426</v>
      </c>
      <c r="H44" s="217" t="s">
        <v>438</v>
      </c>
    </row>
    <row r="45" spans="1:8" x14ac:dyDescent="0.15">
      <c r="A45" s="215">
        <v>1179</v>
      </c>
      <c r="B45" s="57" t="str">
        <f ca="1">VLOOKUP($A45,OFFSET([1]characters!$A$1,0,0,COUNTA([1]characters!$A:$A),MATCH(B$1,[1]characters!$1:$1,0)-MATCH($A$1,[1]characters!$1:$1,0)+1),MATCH(B$1,[1]characters!$1:$1,0)-MATCH($A$1,[1]characters!$1:$1,0)+1,FALSE)</f>
        <v>厳核なる巨大炉 ハイゼンベルク</v>
      </c>
      <c r="C45" s="108" t="s">
        <v>409</v>
      </c>
      <c r="D45" s="140"/>
      <c r="E45" s="140" t="str">
        <f>A45&amp;+(COUNTIF(A$7:A45,A45)-1)</f>
        <v>11793</v>
      </c>
      <c r="F45" s="108" t="s">
        <v>406</v>
      </c>
      <c r="G45" s="209" t="s">
        <v>408</v>
      </c>
      <c r="H45" s="217" t="s">
        <v>439</v>
      </c>
    </row>
    <row r="46" spans="1:8" x14ac:dyDescent="0.15">
      <c r="A46" s="215">
        <v>1179</v>
      </c>
      <c r="B46" s="57" t="str">
        <f ca="1">VLOOKUP($A46,OFFSET([1]characters!$A$1,0,0,COUNTA([1]characters!$A:$A),MATCH(B$1,[1]characters!$1:$1,0)-MATCH($A$1,[1]characters!$1:$1,0)+1),MATCH(B$1,[1]characters!$1:$1,0)-MATCH($A$1,[1]characters!$1:$1,0)+1,FALSE)</f>
        <v>厳核なる巨大炉 ハイゼンベルク</v>
      </c>
      <c r="C46" s="108" t="s">
        <v>409</v>
      </c>
      <c r="D46" s="140"/>
      <c r="E46" s="140" t="str">
        <f>A46&amp;+(COUNTIF(A$7:A46,A46)-1)</f>
        <v>11794</v>
      </c>
      <c r="F46" s="108" t="s">
        <v>406</v>
      </c>
      <c r="G46" s="209" t="s">
        <v>408</v>
      </c>
      <c r="H46" s="216" t="s">
        <v>440</v>
      </c>
    </row>
    <row r="47" spans="1:8" x14ac:dyDescent="0.15">
      <c r="A47" s="215">
        <v>1185</v>
      </c>
      <c r="B47" s="57" t="str">
        <f ca="1">VLOOKUP($A47,OFFSET([1]characters!$A$1,0,0,COUNTA([1]characters!$A:$A),MATCH(B$1,[1]characters!$1:$1,0)-MATCH($A$1,[1]characters!$1:$1,0)+1),MATCH(B$1,[1]characters!$1:$1,0)-MATCH($A$1,[1]characters!$1:$1,0)+1,FALSE)</f>
        <v>兆銀河団の星観者 ハーシェル</v>
      </c>
      <c r="C47" s="108" t="s">
        <v>407</v>
      </c>
      <c r="D47" s="140"/>
      <c r="E47" s="140" t="str">
        <f>A47&amp;+(COUNTIF(A$7:A47,A47)-1)</f>
        <v>11850</v>
      </c>
      <c r="F47" s="108" t="s">
        <v>406</v>
      </c>
      <c r="G47" s="213" t="s">
        <v>426</v>
      </c>
      <c r="H47" s="213" t="s">
        <v>428</v>
      </c>
    </row>
    <row r="48" spans="1:8" x14ac:dyDescent="0.15">
      <c r="A48" s="215">
        <v>1185</v>
      </c>
      <c r="B48" s="57" t="str">
        <f ca="1">VLOOKUP($A48,OFFSET([1]characters!$A$1,0,0,COUNTA([1]characters!$A:$A),MATCH(B$1,[1]characters!$1:$1,0)-MATCH($A$1,[1]characters!$1:$1,0)+1),MATCH(B$1,[1]characters!$1:$1,0)-MATCH($A$1,[1]characters!$1:$1,0)+1,FALSE)</f>
        <v>兆銀河団の星観者 ハーシェル</v>
      </c>
      <c r="C48" s="108" t="s">
        <v>409</v>
      </c>
      <c r="D48" s="140"/>
      <c r="E48" s="140" t="str">
        <f>A48&amp;+(COUNTIF(A$7:A48,A48)-1)</f>
        <v>11851</v>
      </c>
      <c r="F48" s="108" t="s">
        <v>406</v>
      </c>
      <c r="G48" s="213" t="s">
        <v>426</v>
      </c>
      <c r="H48" s="213" t="s">
        <v>427</v>
      </c>
    </row>
    <row r="49" spans="1:8" x14ac:dyDescent="0.15">
      <c r="A49" s="215">
        <v>1185</v>
      </c>
      <c r="B49" s="57" t="str">
        <f ca="1">VLOOKUP($A49,OFFSET([1]characters!$A$1,0,0,COUNTA([1]characters!$A:$A),MATCH(B$1,[1]characters!$1:$1,0)-MATCH($A$1,[1]characters!$1:$1,0)+1),MATCH(B$1,[1]characters!$1:$1,0)-MATCH($A$1,[1]characters!$1:$1,0)+1,FALSE)</f>
        <v>兆銀河団の星観者 ハーシェル</v>
      </c>
      <c r="C49" s="108" t="s">
        <v>409</v>
      </c>
      <c r="D49" s="140"/>
      <c r="E49" s="140" t="str">
        <f>A49&amp;+(COUNTIF(A$7:A49,A49)-1)</f>
        <v>11852</v>
      </c>
      <c r="F49" s="108" t="s">
        <v>406</v>
      </c>
      <c r="G49" s="209" t="s">
        <v>408</v>
      </c>
      <c r="H49" s="217" t="s">
        <v>434</v>
      </c>
    </row>
    <row r="50" spans="1:8" x14ac:dyDescent="0.15">
      <c r="A50" s="215">
        <v>1185</v>
      </c>
      <c r="B50" s="57" t="str">
        <f ca="1">VLOOKUP($A50,OFFSET([1]characters!$A$1,0,0,COUNTA([1]characters!$A:$A),MATCH(B$1,[1]characters!$1:$1,0)-MATCH($A$1,[1]characters!$1:$1,0)+1),MATCH(B$1,[1]characters!$1:$1,0)-MATCH($A$1,[1]characters!$1:$1,0)+1,FALSE)</f>
        <v>兆銀河団の星観者 ハーシェル</v>
      </c>
      <c r="C50" s="108" t="s">
        <v>409</v>
      </c>
      <c r="D50" s="140"/>
      <c r="E50" s="140" t="str">
        <f>A50&amp;+(COUNTIF(A$7:A50,A50)-1)</f>
        <v>11853</v>
      </c>
      <c r="F50" s="108" t="s">
        <v>406</v>
      </c>
      <c r="G50" s="209" t="s">
        <v>408</v>
      </c>
      <c r="H50" s="217" t="s">
        <v>435</v>
      </c>
    </row>
    <row r="51" spans="1:8" x14ac:dyDescent="0.15">
      <c r="A51" s="215">
        <v>1185</v>
      </c>
      <c r="B51" s="57" t="str">
        <f ca="1">VLOOKUP($A51,OFFSET([1]characters!$A$1,0,0,COUNTA([1]characters!$A:$A),MATCH(B$1,[1]characters!$1:$1,0)-MATCH($A$1,[1]characters!$1:$1,0)+1),MATCH(B$1,[1]characters!$1:$1,0)-MATCH($A$1,[1]characters!$1:$1,0)+1,FALSE)</f>
        <v>兆銀河団の星観者 ハーシェル</v>
      </c>
      <c r="C51" s="108" t="s">
        <v>409</v>
      </c>
      <c r="D51" s="140"/>
      <c r="E51" s="140" t="str">
        <f>A51&amp;+(COUNTIF(A$7:A51,A51)-1)</f>
        <v>11854</v>
      </c>
      <c r="F51" s="108" t="s">
        <v>406</v>
      </c>
      <c r="G51" s="208" t="s">
        <v>437</v>
      </c>
      <c r="H51" s="216" t="s">
        <v>436</v>
      </c>
    </row>
    <row r="52" spans="1:8" x14ac:dyDescent="0.15">
      <c r="A52" s="215">
        <v>1118</v>
      </c>
      <c r="B52" s="57" t="str">
        <f ca="1">VLOOKUP($A52,OFFSET([1]characters!$A$1,0,0,COUNTA([1]characters!$A:$A),MATCH(B$1,[1]characters!$1:$1,0)-MATCH($A$1,[1]characters!$1:$1,0)+1),MATCH(B$1,[1]characters!$1:$1,0)-MATCH($A$1,[1]characters!$1:$1,0)+1,FALSE)</f>
        <v>超過速路の閃導者 ジャンヌ</v>
      </c>
      <c r="C52" s="108" t="s">
        <v>343</v>
      </c>
      <c r="D52" s="140"/>
      <c r="E52" s="140" t="str">
        <f>A52&amp;+(COUNTIF(A$7:A52,A52)-1)</f>
        <v>11180</v>
      </c>
      <c r="F52" s="108" t="s">
        <v>177</v>
      </c>
      <c r="G52" s="231" t="s">
        <v>477</v>
      </c>
      <c r="H52" s="232" t="s">
        <v>478</v>
      </c>
    </row>
    <row r="53" spans="1:8" x14ac:dyDescent="0.15">
      <c r="A53" s="215">
        <v>1118</v>
      </c>
      <c r="B53" s="57" t="str">
        <f ca="1">VLOOKUP($A53,OFFSET([1]characters!$A$1,0,0,COUNTA([1]characters!$A:$A),MATCH(B$1,[1]characters!$1:$1,0)-MATCH($A$1,[1]characters!$1:$1,0)+1),MATCH(B$1,[1]characters!$1:$1,0)-MATCH($A$1,[1]characters!$1:$1,0)+1,FALSE)</f>
        <v>超過速路の閃導者 ジャンヌ</v>
      </c>
      <c r="C53" s="108" t="s">
        <v>409</v>
      </c>
      <c r="D53" s="140"/>
      <c r="E53" s="140" t="str">
        <f>A53&amp;+(COUNTIF(A$7:A53,A53)-1)</f>
        <v>11181</v>
      </c>
      <c r="F53" s="108" t="s">
        <v>177</v>
      </c>
      <c r="G53" s="231" t="s">
        <v>479</v>
      </c>
      <c r="H53" s="231" t="s">
        <v>480</v>
      </c>
    </row>
    <row r="54" spans="1:8" x14ac:dyDescent="0.15">
      <c r="A54" s="215">
        <v>1118</v>
      </c>
      <c r="B54" s="57" t="str">
        <f ca="1">VLOOKUP($A54,OFFSET([1]characters!$A$1,0,0,COUNTA([1]characters!$A:$A),MATCH(B$1,[1]characters!$1:$1,0)-MATCH($A$1,[1]characters!$1:$1,0)+1),MATCH(B$1,[1]characters!$1:$1,0)-MATCH($A$1,[1]characters!$1:$1,0)+1,FALSE)</f>
        <v>超過速路の閃導者 ジャンヌ</v>
      </c>
      <c r="C54" s="108" t="s">
        <v>409</v>
      </c>
      <c r="D54" s="140"/>
      <c r="E54" s="140" t="str">
        <f>A54&amp;+(COUNTIF(A$7:A54,A54)-1)</f>
        <v>11182</v>
      </c>
      <c r="F54" s="108" t="s">
        <v>177</v>
      </c>
      <c r="G54" s="209" t="s">
        <v>408</v>
      </c>
      <c r="H54" s="217" t="s">
        <v>475</v>
      </c>
    </row>
    <row r="55" spans="1:8" x14ac:dyDescent="0.15">
      <c r="A55" s="215">
        <v>1118</v>
      </c>
      <c r="B55" s="57" t="str">
        <f ca="1">VLOOKUP($A55,OFFSET([1]characters!$A$1,0,0,COUNTA([1]characters!$A:$A),MATCH(B$1,[1]characters!$1:$1,0)-MATCH($A$1,[1]characters!$1:$1,0)+1),MATCH(B$1,[1]characters!$1:$1,0)-MATCH($A$1,[1]characters!$1:$1,0)+1,FALSE)</f>
        <v>超過速路の閃導者 ジャンヌ</v>
      </c>
      <c r="C55" s="108" t="s">
        <v>409</v>
      </c>
      <c r="D55" s="140"/>
      <c r="E55" s="140" t="str">
        <f>A55&amp;+(COUNTIF(A$7:A55,A55)-1)</f>
        <v>11183</v>
      </c>
      <c r="F55" s="108" t="s">
        <v>177</v>
      </c>
      <c r="G55" s="209" t="s">
        <v>408</v>
      </c>
      <c r="H55" s="217" t="s">
        <v>481</v>
      </c>
    </row>
    <row r="56" spans="1:8" x14ac:dyDescent="0.15">
      <c r="A56" s="215">
        <v>1118</v>
      </c>
      <c r="B56" s="57" t="str">
        <f ca="1">VLOOKUP($A56,OFFSET([1]characters!$A$1,0,0,COUNTA([1]characters!$A:$A),MATCH(B$1,[1]characters!$1:$1,0)-MATCH($A$1,[1]characters!$1:$1,0)+1),MATCH(B$1,[1]characters!$1:$1,0)-MATCH($A$1,[1]characters!$1:$1,0)+1,FALSE)</f>
        <v>超過速路の閃導者 ジャンヌ</v>
      </c>
      <c r="C56" s="108" t="s">
        <v>409</v>
      </c>
      <c r="D56" s="140"/>
      <c r="E56" s="140" t="str">
        <f>A56&amp;+(COUNTIF(A$7:A56,A56)-1)</f>
        <v>11184</v>
      </c>
      <c r="F56" s="108" t="s">
        <v>177</v>
      </c>
      <c r="G56" s="208" t="s">
        <v>426</v>
      </c>
      <c r="H56" s="216" t="s">
        <v>476</v>
      </c>
    </row>
    <row r="57" spans="1:8" x14ac:dyDescent="0.15">
      <c r="A57" s="215">
        <v>1123</v>
      </c>
      <c r="B57" s="57" t="str">
        <f ca="1">VLOOKUP($A57,OFFSET([1]characters!$A$1,0,0,COUNTA([1]characters!$A:$A),MATCH(B$1,[1]characters!$1:$1,0)-MATCH($A$1,[1]characters!$1:$1,0)+1),MATCH(B$1,[1]characters!$1:$1,0)-MATCH($A$1,[1]characters!$1:$1,0)+1,FALSE)</f>
        <v>舞降りし綺鏡羽 ブール</v>
      </c>
      <c r="C57" s="108" t="s">
        <v>343</v>
      </c>
      <c r="D57" s="140"/>
      <c r="E57" s="140" t="str">
        <f>A57&amp;+(COUNTIF(A$7:A57,A57)-1)</f>
        <v>11230</v>
      </c>
      <c r="F57" s="108" t="s">
        <v>177</v>
      </c>
      <c r="G57" s="231" t="s">
        <v>487</v>
      </c>
      <c r="H57" s="232" t="s">
        <v>486</v>
      </c>
    </row>
    <row r="58" spans="1:8" x14ac:dyDescent="0.15">
      <c r="A58" s="215">
        <v>1123</v>
      </c>
      <c r="B58" s="57" t="str">
        <f ca="1">VLOOKUP($A58,OFFSET([1]characters!$A$1,0,0,COUNTA([1]characters!$A:$A),MATCH(B$1,[1]characters!$1:$1,0)-MATCH($A$1,[1]characters!$1:$1,0)+1),MATCH(B$1,[1]characters!$1:$1,0)-MATCH($A$1,[1]characters!$1:$1,0)+1,FALSE)</f>
        <v>舞降りし綺鏡羽 ブール</v>
      </c>
      <c r="C58" s="108" t="s">
        <v>409</v>
      </c>
      <c r="D58" s="140"/>
      <c r="E58" s="140" t="str">
        <f>A58&amp;+(COUNTIF(A$7:A58,A58)-1)</f>
        <v>11231</v>
      </c>
      <c r="F58" s="108" t="s">
        <v>177</v>
      </c>
      <c r="G58" s="231" t="s">
        <v>489</v>
      </c>
      <c r="H58" s="231" t="s">
        <v>488</v>
      </c>
    </row>
    <row r="59" spans="1:8" ht="28" x14ac:dyDescent="0.15">
      <c r="A59" s="215">
        <v>1123</v>
      </c>
      <c r="B59" s="57" t="str">
        <f ca="1">VLOOKUP($A59,OFFSET([1]characters!$A$1,0,0,COUNTA([1]characters!$A:$A),MATCH(B$1,[1]characters!$1:$1,0)-MATCH($A$1,[1]characters!$1:$1,0)+1),MATCH(B$1,[1]characters!$1:$1,0)-MATCH($A$1,[1]characters!$1:$1,0)+1,FALSE)</f>
        <v>舞降りし綺鏡羽 ブール</v>
      </c>
      <c r="C59" s="108" t="s">
        <v>409</v>
      </c>
      <c r="D59" s="140"/>
      <c r="E59" s="140" t="str">
        <f>A59&amp;+(COUNTIF(A$7:A59,A59)-1)</f>
        <v>11232</v>
      </c>
      <c r="F59" s="108" t="s">
        <v>177</v>
      </c>
      <c r="G59" s="209" t="s">
        <v>491</v>
      </c>
      <c r="H59" s="217" t="s">
        <v>490</v>
      </c>
    </row>
    <row r="60" spans="1:8" ht="28" x14ac:dyDescent="0.15">
      <c r="A60" s="215">
        <v>1123</v>
      </c>
      <c r="B60" s="57" t="str">
        <f ca="1">VLOOKUP($A60,OFFSET([1]characters!$A$1,0,0,COUNTA([1]characters!$A:$A),MATCH(B$1,[1]characters!$1:$1,0)-MATCH($A$1,[1]characters!$1:$1,0)+1),MATCH(B$1,[1]characters!$1:$1,0)-MATCH($A$1,[1]characters!$1:$1,0)+1,FALSE)</f>
        <v>舞降りし綺鏡羽 ブール</v>
      </c>
      <c r="C60" s="108" t="s">
        <v>409</v>
      </c>
      <c r="D60" s="140"/>
      <c r="E60" s="140" t="str">
        <f>A60&amp;+(COUNTIF(A$7:A60,A60)-1)</f>
        <v>11233</v>
      </c>
      <c r="F60" s="108" t="s">
        <v>177</v>
      </c>
      <c r="G60" s="209" t="s">
        <v>493</v>
      </c>
      <c r="H60" s="217" t="s">
        <v>492</v>
      </c>
    </row>
    <row r="61" spans="1:8" x14ac:dyDescent="0.15">
      <c r="A61" s="215">
        <v>1123</v>
      </c>
      <c r="B61" s="57" t="str">
        <f ca="1">VLOOKUP($A61,OFFSET([1]characters!$A$1,0,0,COUNTA([1]characters!$A:$A),MATCH(B$1,[1]characters!$1:$1,0)-MATCH($A$1,[1]characters!$1:$1,0)+1),MATCH(B$1,[1]characters!$1:$1,0)-MATCH($A$1,[1]characters!$1:$1,0)+1,FALSE)</f>
        <v>舞降りし綺鏡羽 ブール</v>
      </c>
      <c r="C61" s="108" t="s">
        <v>409</v>
      </c>
      <c r="D61" s="140"/>
      <c r="E61" s="140" t="str">
        <f>A61&amp;+(COUNTIF(A$7:A61,A61)-1)</f>
        <v>11234</v>
      </c>
      <c r="F61" s="108" t="s">
        <v>177</v>
      </c>
      <c r="G61" s="209" t="s">
        <v>408</v>
      </c>
      <c r="H61" s="216" t="s">
        <v>494</v>
      </c>
    </row>
    <row r="62" spans="1:8" x14ac:dyDescent="0.15">
      <c r="A62" s="215">
        <v>1119</v>
      </c>
      <c r="B62" s="57" t="str">
        <f ca="1">VLOOKUP($A62,OFFSET([1]characters!$A$1,0,0,COUNTA([1]characters!$A:$A),MATCH(B$1,[1]characters!$1:$1,0)-MATCH($A$1,[1]characters!$1:$1,0)+1),MATCH(B$1,[1]characters!$1:$1,0)-MATCH($A$1,[1]characters!$1:$1,0)+1,FALSE)</f>
        <v>刹・廻天一流 宮本武蔵</v>
      </c>
      <c r="C62" s="108" t="s">
        <v>343</v>
      </c>
      <c r="D62" s="140"/>
      <c r="E62" s="140" t="str">
        <f>A62&amp;+(COUNTIF(A$7:A62,A62)-1)</f>
        <v>11190</v>
      </c>
      <c r="F62" s="108" t="s">
        <v>177</v>
      </c>
      <c r="G62" s="233" t="s">
        <v>508</v>
      </c>
      <c r="H62" s="233" t="s">
        <v>509</v>
      </c>
    </row>
    <row r="63" spans="1:8" x14ac:dyDescent="0.15">
      <c r="A63" s="215">
        <v>1119</v>
      </c>
      <c r="B63" s="57" t="str">
        <f ca="1">VLOOKUP($A63,OFFSET([1]characters!$A$1,0,0,COUNTA([1]characters!$A:$A),MATCH(B$1,[1]characters!$1:$1,0)-MATCH($A$1,[1]characters!$1:$1,0)+1),MATCH(B$1,[1]characters!$1:$1,0)-MATCH($A$1,[1]characters!$1:$1,0)+1,FALSE)</f>
        <v>刹・廻天一流 宮本武蔵</v>
      </c>
      <c r="C63" s="108" t="s">
        <v>347</v>
      </c>
      <c r="D63" s="140"/>
      <c r="E63" s="140" t="str">
        <f>A63&amp;+(COUNTIF(A$7:A63,A63)-1)</f>
        <v>11191</v>
      </c>
      <c r="F63" s="108" t="s">
        <v>177</v>
      </c>
      <c r="G63" s="233" t="s">
        <v>508</v>
      </c>
      <c r="H63" s="233" t="s">
        <v>511</v>
      </c>
    </row>
    <row r="64" spans="1:8" x14ac:dyDescent="0.15">
      <c r="A64" s="215">
        <v>1119</v>
      </c>
      <c r="B64" s="57" t="str">
        <f ca="1">VLOOKUP($A64,OFFSET([1]characters!$A$1,0,0,COUNTA([1]characters!$A:$A),MATCH(B$1,[1]characters!$1:$1,0)-MATCH($A$1,[1]characters!$1:$1,0)+1),MATCH(B$1,[1]characters!$1:$1,0)-MATCH($A$1,[1]characters!$1:$1,0)+1,FALSE)</f>
        <v>刹・廻天一流 宮本武蔵</v>
      </c>
      <c r="C64" s="108" t="s">
        <v>347</v>
      </c>
      <c r="D64" s="140"/>
      <c r="E64" s="140" t="str">
        <f>A64&amp;+(COUNTIF(A$7:A64,A64)-1)</f>
        <v>11192</v>
      </c>
      <c r="F64" s="108" t="s">
        <v>177</v>
      </c>
      <c r="G64" s="233" t="s">
        <v>508</v>
      </c>
      <c r="H64" s="217" t="s">
        <v>513</v>
      </c>
    </row>
    <row r="65" spans="1:8" x14ac:dyDescent="0.15">
      <c r="A65" s="215">
        <v>1119</v>
      </c>
      <c r="B65" s="57" t="str">
        <f ca="1">VLOOKUP($A65,OFFSET([1]characters!$A$1,0,0,COUNTA([1]characters!$A:$A),MATCH(B$1,[1]characters!$1:$1,0)-MATCH($A$1,[1]characters!$1:$1,0)+1),MATCH(B$1,[1]characters!$1:$1,0)-MATCH($A$1,[1]characters!$1:$1,0)+1,FALSE)</f>
        <v>刹・廻天一流 宮本武蔵</v>
      </c>
      <c r="C65" s="108" t="s">
        <v>347</v>
      </c>
      <c r="D65" s="140"/>
      <c r="E65" s="140" t="str">
        <f>A65&amp;+(COUNTIF(A$7:A65,A65)-1)</f>
        <v>11193</v>
      </c>
      <c r="F65" s="108" t="s">
        <v>177</v>
      </c>
      <c r="G65" s="233" t="s">
        <v>516</v>
      </c>
      <c r="H65" s="217" t="s">
        <v>514</v>
      </c>
    </row>
    <row r="66" spans="1:8" x14ac:dyDescent="0.15">
      <c r="A66" s="215">
        <v>1119</v>
      </c>
      <c r="B66" s="57" t="str">
        <f ca="1">VLOOKUP($A66,OFFSET([1]characters!$A$1,0,0,COUNTA([1]characters!$A:$A),MATCH(B$1,[1]characters!$1:$1,0)-MATCH($A$1,[1]characters!$1:$1,0)+1),MATCH(B$1,[1]characters!$1:$1,0)-MATCH($A$1,[1]characters!$1:$1,0)+1,FALSE)</f>
        <v>刹・廻天一流 宮本武蔵</v>
      </c>
      <c r="C66" s="108" t="s">
        <v>347</v>
      </c>
      <c r="D66" s="140"/>
      <c r="E66" s="140" t="str">
        <f>A66&amp;+(COUNTIF(A$7:A66,A66)-1)</f>
        <v>11194</v>
      </c>
      <c r="F66" s="108" t="s">
        <v>177</v>
      </c>
      <c r="G66" s="233" t="s">
        <v>465</v>
      </c>
      <c r="H66" s="216" t="s">
        <v>515</v>
      </c>
    </row>
    <row r="67" spans="1:8" x14ac:dyDescent="0.15">
      <c r="A67" s="215">
        <v>1120</v>
      </c>
      <c r="B67" s="57" t="str">
        <f ca="1">VLOOKUP($A67,OFFSET([1]characters!$A$1,0,0,COUNTA([1]characters!$A:$A),MATCH(B$1,[1]characters!$1:$1,0)-MATCH($A$1,[1]characters!$1:$1,0)+1),MATCH(B$1,[1]characters!$1:$1,0)-MATCH($A$1,[1]characters!$1:$1,0)+1,FALSE)</f>
        <v>四聖猛煌の皇獣 麒麟</v>
      </c>
      <c r="C67" s="108" t="s">
        <v>343</v>
      </c>
      <c r="D67" s="140"/>
      <c r="E67" s="140" t="str">
        <f>A67&amp;+(COUNTIF(A$7:A67,A67)-1)</f>
        <v>11200</v>
      </c>
      <c r="F67" s="108" t="s">
        <v>177</v>
      </c>
      <c r="G67" s="233" t="s">
        <v>465</v>
      </c>
      <c r="H67" s="233" t="s">
        <v>510</v>
      </c>
    </row>
    <row r="68" spans="1:8" x14ac:dyDescent="0.15">
      <c r="A68" s="215">
        <v>1120</v>
      </c>
      <c r="B68" s="57" t="str">
        <f ca="1">VLOOKUP($A68,OFFSET([1]characters!$A$1,0,0,COUNTA([1]characters!$A:$A),MATCH(B$1,[1]characters!$1:$1,0)-MATCH($A$1,[1]characters!$1:$1,0)+1),MATCH(B$1,[1]characters!$1:$1,0)-MATCH($A$1,[1]characters!$1:$1,0)+1,FALSE)</f>
        <v>四聖猛煌の皇獣 麒麟</v>
      </c>
      <c r="C68" s="108" t="s">
        <v>347</v>
      </c>
      <c r="D68" s="140"/>
      <c r="E68" s="140" t="str">
        <f>A68&amp;+(COUNTIF(A$7:A68,A68)-1)</f>
        <v>11201</v>
      </c>
      <c r="F68" s="108" t="s">
        <v>177</v>
      </c>
      <c r="G68" s="233" t="s">
        <v>465</v>
      </c>
      <c r="H68" s="233" t="s">
        <v>512</v>
      </c>
    </row>
    <row r="69" spans="1:8" x14ac:dyDescent="0.15">
      <c r="A69" s="215">
        <v>1120</v>
      </c>
      <c r="B69" s="57" t="str">
        <f ca="1">VLOOKUP($A69,OFFSET([1]characters!$A$1,0,0,COUNTA([1]characters!$A:$A),MATCH(B$1,[1]characters!$1:$1,0)-MATCH($A$1,[1]characters!$1:$1,0)+1),MATCH(B$1,[1]characters!$1:$1,0)-MATCH($A$1,[1]characters!$1:$1,0)+1,FALSE)</f>
        <v>四聖猛煌の皇獣 麒麟</v>
      </c>
      <c r="C69" s="108" t="s">
        <v>347</v>
      </c>
      <c r="D69" s="140"/>
      <c r="E69" s="140" t="str">
        <f>A69&amp;+(COUNTIF(A$7:A69,A69)-1)</f>
        <v>11202</v>
      </c>
      <c r="F69" s="108" t="s">
        <v>177</v>
      </c>
      <c r="G69" s="209" t="s">
        <v>491</v>
      </c>
      <c r="H69" s="217" t="s">
        <v>517</v>
      </c>
    </row>
    <row r="70" spans="1:8" x14ac:dyDescent="0.15">
      <c r="A70" s="215">
        <v>1120</v>
      </c>
      <c r="B70" s="57" t="str">
        <f ca="1">VLOOKUP($A70,OFFSET([1]characters!$A$1,0,0,COUNTA([1]characters!$A:$A),MATCH(B$1,[1]characters!$1:$1,0)-MATCH($A$1,[1]characters!$1:$1,0)+1),MATCH(B$1,[1]characters!$1:$1,0)-MATCH($A$1,[1]characters!$1:$1,0)+1,FALSE)</f>
        <v>四聖猛煌の皇獣 麒麟</v>
      </c>
      <c r="C70" s="108" t="s">
        <v>347</v>
      </c>
      <c r="D70" s="140"/>
      <c r="E70" s="140" t="str">
        <f>A70&amp;+(COUNTIF(A$7:A70,A70)-1)</f>
        <v>11203</v>
      </c>
      <c r="F70" s="108" t="s">
        <v>177</v>
      </c>
      <c r="G70" s="209" t="s">
        <v>491</v>
      </c>
      <c r="H70" s="217" t="s">
        <v>519</v>
      </c>
    </row>
    <row r="71" spans="1:8" x14ac:dyDescent="0.15">
      <c r="A71" s="215">
        <v>1120</v>
      </c>
      <c r="B71" s="57" t="str">
        <f ca="1">VLOOKUP($A71,OFFSET([1]characters!$A$1,0,0,COUNTA([1]characters!$A:$A),MATCH(B$1,[1]characters!$1:$1,0)-MATCH($A$1,[1]characters!$1:$1,0)+1),MATCH(B$1,[1]characters!$1:$1,0)-MATCH($A$1,[1]characters!$1:$1,0)+1,FALSE)</f>
        <v>四聖猛煌の皇獣 麒麟</v>
      </c>
      <c r="C71" s="108" t="s">
        <v>347</v>
      </c>
      <c r="D71" s="140"/>
      <c r="E71" s="140" t="str">
        <f>A71&amp;+(COUNTIF(A$7:A71,A71)-1)</f>
        <v>11204</v>
      </c>
      <c r="F71" s="108" t="s">
        <v>177</v>
      </c>
      <c r="G71" s="209" t="s">
        <v>408</v>
      </c>
      <c r="H71" s="216" t="s">
        <v>518</v>
      </c>
    </row>
  </sheetData>
  <phoneticPr fontId="22"/>
  <dataValidations count="2">
    <dataValidation type="list" allowBlank="1" showInputMessage="1" showErrorMessage="1" sqref="G2:G3">
      <formula1>"maru,giza,kumo"</formula1>
    </dataValidation>
    <dataValidation type="list" allowBlank="1" showInputMessage="1" showErrorMessage="1" sqref="C2:C3">
      <formula1>"skill,cskill"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enableFormatConditionsCalculation="0">
    <tabColor rgb="FFFF0000"/>
    <outlinePr summaryBelow="0" summaryRight="0"/>
  </sheetPr>
  <dimension ref="A1:V43"/>
  <sheetViews>
    <sheetView showGridLines="0" workbookViewId="0">
      <pane xSplit="9" ySplit="1" topLeftCell="P22" activePane="bottomRight" state="frozen"/>
      <selection activeCell="M13" sqref="M13"/>
      <selection pane="topRight" activeCell="M13" sqref="M13"/>
      <selection pane="bottomLeft" activeCell="M13" sqref="M13"/>
      <selection pane="bottomRight" activeCell="A36" sqref="A36:XFD36"/>
    </sheetView>
  </sheetViews>
  <sheetFormatPr baseColWidth="12" defaultColWidth="8.83203125" defaultRowHeight="21" customHeight="1" outlineLevelCol="1" x14ac:dyDescent="0.15"/>
  <cols>
    <col min="1" max="1" width="12.83203125" style="12" customWidth="1"/>
    <col min="2" max="2" width="21.5" style="13" bestFit="1" customWidth="1" collapsed="1"/>
    <col min="3" max="3" width="23.6640625" style="13" hidden="1" customWidth="1" outlineLevel="1"/>
    <col min="4" max="4" width="8.6640625" style="13" hidden="1" customWidth="1" outlineLevel="1"/>
    <col min="5" max="5" width="8" style="13" hidden="1" customWidth="1" outlineLevel="1"/>
    <col min="6" max="6" width="7.1640625" style="13" hidden="1" customWidth="1" outlineLevel="1"/>
    <col min="7" max="7" width="9.6640625" style="13" bestFit="1" customWidth="1"/>
    <col min="8" max="8" width="13.6640625" style="13" bestFit="1" customWidth="1"/>
    <col min="9" max="9" width="10.5" style="13" bestFit="1" customWidth="1" collapsed="1"/>
    <col min="10" max="10" width="22" style="13" hidden="1" customWidth="1" outlineLevel="1"/>
    <col min="11" max="11" width="14.1640625" style="13" hidden="1" customWidth="1" outlineLevel="1"/>
    <col min="12" max="12" width="12.33203125" style="13" hidden="1" customWidth="1" outlineLevel="1"/>
    <col min="13" max="15" width="13.6640625" style="13" hidden="1" customWidth="1" outlineLevel="1"/>
    <col min="16" max="16" width="15.1640625" style="13" customWidth="1"/>
    <col min="17" max="17" width="20.1640625" style="12" bestFit="1" customWidth="1"/>
    <col min="18" max="18" width="18.83203125" style="13" bestFit="1" customWidth="1"/>
    <col min="19" max="20" width="18.83203125" style="13" customWidth="1"/>
    <col min="21" max="21" width="15.1640625" style="13" customWidth="1"/>
    <col min="22" max="16384" width="8.83203125" style="12"/>
  </cols>
  <sheetData>
    <row r="1" spans="1:22" ht="21" customHeight="1" x14ac:dyDescent="0.15">
      <c r="A1" s="182" t="s">
        <v>268</v>
      </c>
      <c r="B1" s="183" t="s">
        <v>269</v>
      </c>
      <c r="C1" s="184" t="s">
        <v>270</v>
      </c>
      <c r="D1" s="184" t="s">
        <v>271</v>
      </c>
      <c r="E1" s="184" t="s">
        <v>272</v>
      </c>
      <c r="F1" s="184" t="s">
        <v>273</v>
      </c>
      <c r="G1" s="184" t="s">
        <v>1</v>
      </c>
      <c r="H1" s="185" t="s">
        <v>19</v>
      </c>
      <c r="I1" s="184" t="s">
        <v>0</v>
      </c>
      <c r="J1" s="186" t="s">
        <v>274</v>
      </c>
      <c r="K1" s="184" t="s">
        <v>245</v>
      </c>
      <c r="L1" s="187" t="s">
        <v>45</v>
      </c>
      <c r="M1" s="187" t="s">
        <v>44</v>
      </c>
      <c r="N1" s="187" t="s">
        <v>275</v>
      </c>
      <c r="O1" s="187" t="s">
        <v>276</v>
      </c>
      <c r="P1" s="188" t="s">
        <v>304</v>
      </c>
      <c r="Q1" s="189" t="s">
        <v>277</v>
      </c>
      <c r="R1" s="190" t="s">
        <v>245</v>
      </c>
      <c r="S1" s="188" t="s">
        <v>278</v>
      </c>
      <c r="T1" s="190" t="s">
        <v>245</v>
      </c>
      <c r="U1" s="188" t="s">
        <v>279</v>
      </c>
    </row>
    <row r="2" spans="1:22" ht="21" customHeight="1" x14ac:dyDescent="0.15">
      <c r="A2" s="109">
        <v>168</v>
      </c>
      <c r="B2" s="5" t="str">
        <f ca="1">VLOOKUP($A2,OFFSET([1]characters!$A$1,0,0,COUNTA([1]characters!$A:$A),MATCH(B$1,[1]characters!$1:$1,0)-MATCH($A$1,[1]characters!$1:$1,0)+1),MATCH(B$1,[1]characters!$1:$1,0)-MATCH($A$1,[1]characters!$1:$1,0)+1,FALSE)</f>
        <v>猛進の大逆者 ベリアル</v>
      </c>
      <c r="C2" s="5" t="str">
        <f ca="1">VLOOKUP($A2,OFFSET([1]characters!$A$1,0,0,COUNTA([1]characters!$A:$A),MATCH(C$1,[1]characters!$1:$1,0)-MATCH($A$1,[1]characters!$1:$1,0)+1),MATCH(C$1,[1]characters!$1:$1,0)-MATCH($A$1,[1]characters!$1:$1,0)+1,FALSE)</f>
        <v>初期ガチャ</v>
      </c>
      <c r="D2" s="5" t="str">
        <f ca="1">VLOOKUP($A2,OFFSET([1]characters!$A$1,0,0,COUNTA([1]characters!$A:$A),MATCH(D$1,[1]characters!$1:$1,0)-MATCH($A$1,[1]characters!$1:$1,0)+1),MATCH(D$1,[1]characters!$1:$1,0)-MATCH($A$1,[1]characters!$1:$1,0)+1,FALSE)</f>
        <v>執行者</v>
      </c>
      <c r="E2" s="5" t="str">
        <f ca="1">VLOOKUP($A2,OFFSET([1]characters!$A$1,0,0,COUNTA([1]characters!$A:$A),MATCH(E$1,[1]characters!$1:$1,0)-MATCH($A$1,[1]characters!$1:$1,0)+1),MATCH(E$1,[1]characters!$1:$1,0)-MATCH($A$1,[1]characters!$1:$1,0)+1,FALSE)</f>
        <v>格好いい</v>
      </c>
      <c r="F2" s="5" t="str">
        <f ca="1">VLOOKUP($A2,OFFSET([1]characters!$A$1,0,0,COUNTA([1]characters!$A:$A),MATCH(F$1,[1]characters!$1:$1,0)-MATCH($A$1,[1]characters!$1:$1,0)+1),MATCH(F$1,[1]characters!$1:$1,0)-MATCH($A$1,[1]characters!$1:$1,0)+1,FALSE)</f>
        <v>男性</v>
      </c>
      <c r="G2" s="5">
        <f ca="1">VLOOKUP($A2,OFFSET([1]characters!$A$1,0,0,COUNTA([1]characters!$A:$A),MATCH(G$1,[1]characters!$1:$1,0)-MATCH($A$1,[1]characters!$1:$1,0)+1),MATCH(G$1,[1]characters!$1:$1,0)-MATCH($A$1,[1]characters!$1:$1,0)+1,FALSE)</f>
        <v>5</v>
      </c>
      <c r="H2" s="5" t="str">
        <f ca="1">VLOOKUP($A2,OFFSET([1]characters!$A$1,0,0,COUNTA([1]characters!$A:$A),MATCH(H$1,[1]characters!$1:$1,0)-MATCH($A$1,[1]characters!$1:$1,0)+1),MATCH(H$1,[1]characters!$1:$1,0)-MATCH($A$1,[1]characters!$1:$1,0)+1,FALSE)</f>
        <v>PremiumN</v>
      </c>
      <c r="I2" s="5" t="str">
        <f ca="1">VLOOKUP($A2,OFFSET([1]characters!$A$1,0,0,COUNTA([1]characters!$A:$A),MATCH(I$1,[1]characters!$1:$1,0)-MATCH($A$1,[1]characters!$1:$1,0)+1),MATCH(I$1,[1]characters!$1:$1,0)-MATCH($A$1,[1]characters!$1:$1,0)+1,FALSE)</f>
        <v>red</v>
      </c>
      <c r="J2" s="5" t="str">
        <f ca="1">VLOOKUP($A2,OFFSET([1]characters!$A$1,0,0,COUNTA([1]characters!$A:$A),MATCH(J$1,[1]characters!$1:$1,0)-MATCH($A$1,[1]characters!$1:$1,0)+1),MATCH(J$1,[1]characters!$1:$1,0)-MATCH($A$1,[1]characters!$1:$1,0)+1,FALSE)</f>
        <v>none</v>
      </c>
      <c r="K2" s="5" t="str">
        <f ca="1">VLOOKUP(J2,[1]character_tribe_i18n!$A:$H,3,FALSE)</f>
        <v>種族なし</v>
      </c>
      <c r="L2" s="11" t="e">
        <f>VLOOKUP(#REF!,[1]character_tribe_i18n!$A:$H,4,FALSE)</f>
        <v>#REF!</v>
      </c>
      <c r="M2" s="11" t="e">
        <f>VLOOKUP(#REF!,[1]character_tribe_i18n!$A:$H,5,FALSE)</f>
        <v>#REF!</v>
      </c>
      <c r="N2" s="11" t="e">
        <f>VLOOKUP(#REF!,[1]character_tribe_i18n!$A:$H,6,FALSE)</f>
        <v>#REF!</v>
      </c>
      <c r="O2" s="11" t="e">
        <f>VLOOKUP(#REF!,[1]character_tribe_i18n!$A:$H,7,FALSE)</f>
        <v>#REF!</v>
      </c>
      <c r="P2" s="191" t="str">
        <f>VLOOKUP(Q2,[1]characters!$A:$T,20)</f>
        <v>super</v>
      </c>
      <c r="Q2" s="108">
        <v>1055</v>
      </c>
      <c r="R2" s="5" t="str">
        <f ca="1">IF(Q2="NULL","",VLOOKUP($Q2,OFFSET([1]characters!$A$1,0,0,COUNTA([1]characters!$A:$A),MATCH(R$1,[1]characters!$1:$1,0)-MATCH($A$1,[1]characters!$1:$1,0)+1),MATCH(R$1,[1]characters!$1:$1,0)-MATCH($A$1,[1]characters!$1:$1,0)+1,FALSE))</f>
        <v>豪焔の轟暴聖 ベリアル</v>
      </c>
      <c r="S2" s="5">
        <f t="shared" ref="S2:S13" ca="1" si="0">IF(ISNA(MATCH(A2,Q:Q,0)),A2,INDIRECT(ADDRESS(MATCH(A2,Q:Q,0),COLUMN())))</f>
        <v>168</v>
      </c>
      <c r="T2" s="5" t="str">
        <f ca="1">VLOOKUP($S2,OFFSET([1]characters!$A$1,0,0,COUNTA([1]characters!$A:$A),MATCH(T$1,[1]characters!$1:$1,0)-MATCH($A$1,[1]characters!$1:$1,0)+1),MATCH(T$1,[1]characters!$1:$1,0)-MATCH($A$1,[1]characters!$1:$1,0)+1,FALSE)</f>
        <v>猛進の大逆者 ベリアル</v>
      </c>
      <c r="U2" s="11">
        <v>200000</v>
      </c>
      <c r="V2"/>
    </row>
    <row r="3" spans="1:22" ht="21" customHeight="1" x14ac:dyDescent="0.15">
      <c r="A3" s="109">
        <v>1055</v>
      </c>
      <c r="B3" s="5" t="str">
        <f ca="1">VLOOKUP($A3,OFFSET([1]characters!$A$1,0,0,COUNTA([1]characters!$A:$A),MATCH(B$1,[1]characters!$1:$1,0)-MATCH($A$1,[1]characters!$1:$1,0)+1),MATCH(B$1,[1]characters!$1:$1,0)-MATCH($A$1,[1]characters!$1:$1,0)+1,FALSE)</f>
        <v>豪焔の轟暴聖 ベリアル</v>
      </c>
      <c r="C3" s="5" t="str">
        <f ca="1">VLOOKUP($A3,OFFSET([1]characters!$A$1,0,0,COUNTA([1]characters!$A:$A),MATCH(C$1,[1]characters!$1:$1,0)-MATCH($A$1,[1]characters!$1:$1,0)+1),MATCH(C$1,[1]characters!$1:$1,0)-MATCH($A$1,[1]characters!$1:$1,0)+1,FALSE)</f>
        <v>ベリアル_分岐</v>
      </c>
      <c r="D3" s="5" t="str">
        <f ca="1">VLOOKUP($A3,OFFSET([1]characters!$A$1,0,0,COUNTA([1]characters!$A:$A),MATCH(D$1,[1]characters!$1:$1,0)-MATCH($A$1,[1]characters!$1:$1,0)+1),MATCH(D$1,[1]characters!$1:$1,0)-MATCH($A$1,[1]characters!$1:$1,0)+1,FALSE)</f>
        <v>執行者</v>
      </c>
      <c r="E3" s="5" t="str">
        <f ca="1">VLOOKUP($A3,OFFSET([1]characters!$A$1,0,0,COUNTA([1]characters!$A:$A),MATCH(E$1,[1]characters!$1:$1,0)-MATCH($A$1,[1]characters!$1:$1,0)+1),MATCH(E$1,[1]characters!$1:$1,0)-MATCH($A$1,[1]characters!$1:$1,0)+1,FALSE)</f>
        <v>格好いい</v>
      </c>
      <c r="F3" s="5" t="str">
        <f ca="1">VLOOKUP($A3,OFFSET([1]characters!$A$1,0,0,COUNTA([1]characters!$A:$A),MATCH(F$1,[1]characters!$1:$1,0)-MATCH($A$1,[1]characters!$1:$1,0)+1),MATCH(F$1,[1]characters!$1:$1,0)-MATCH($A$1,[1]characters!$1:$1,0)+1,FALSE)</f>
        <v>男性</v>
      </c>
      <c r="G3" s="5">
        <f ca="1">VLOOKUP($A3,OFFSET([1]characters!$A$1,0,0,COUNTA([1]characters!$A:$A),MATCH(G$1,[1]characters!$1:$1,0)-MATCH($A$1,[1]characters!$1:$1,0)+1),MATCH(G$1,[1]characters!$1:$1,0)-MATCH($A$1,[1]characters!$1:$1,0)+1,FALSE)</f>
        <v>6</v>
      </c>
      <c r="H3" s="5" t="str">
        <f ca="1">VLOOKUP($A3,OFFSET([1]characters!$A$1,0,0,COUNTA([1]characters!$A:$A),MATCH(H$1,[1]characters!$1:$1,0)-MATCH($A$1,[1]characters!$1:$1,0)+1),MATCH(H$1,[1]characters!$1:$1,0)-MATCH($A$1,[1]characters!$1:$1,0)+1,FALSE)</f>
        <v>PremiumS</v>
      </c>
      <c r="I3" s="5" t="str">
        <f ca="1">VLOOKUP($A3,OFFSET([1]characters!$A$1,0,0,COUNTA([1]characters!$A:$A),MATCH(I$1,[1]characters!$1:$1,0)-MATCH($A$1,[1]characters!$1:$1,0)+1),MATCH(I$1,[1]characters!$1:$1,0)-MATCH($A$1,[1]characters!$1:$1,0)+1,FALSE)</f>
        <v>red</v>
      </c>
      <c r="J3" s="5" t="str">
        <f ca="1">VLOOKUP($A3,OFFSET([1]characters!$A$1,0,0,COUNTA([1]characters!$A:$A),MATCH(J$1,[1]characters!$1:$1,0)-MATCH($A$1,[1]characters!$1:$1,0)+1),MATCH(J$1,[1]characters!$1:$1,0)-MATCH($A$1,[1]characters!$1:$1,0)+1,FALSE)</f>
        <v>none</v>
      </c>
      <c r="K3" s="5" t="str">
        <f ca="1">VLOOKUP(J3,[1]character_tribe_i18n!$A:$H,3,FALSE)</f>
        <v>種族なし</v>
      </c>
      <c r="L3" s="11" t="e">
        <f>VLOOKUP(#REF!,[1]character_tribe_i18n!$A:$H,4,FALSE)</f>
        <v>#REF!</v>
      </c>
      <c r="M3" s="11" t="e">
        <f>VLOOKUP(#REF!,[1]character_tribe_i18n!$A:$H,5,FALSE)</f>
        <v>#REF!</v>
      </c>
      <c r="N3" s="11" t="e">
        <f>VLOOKUP(#REF!,[1]character_tribe_i18n!$A:$H,6,FALSE)</f>
        <v>#REF!</v>
      </c>
      <c r="O3" s="11" t="e">
        <f>VLOOKUP(#REF!,[1]character_tribe_i18n!$A:$H,7,FALSE)</f>
        <v>#REF!</v>
      </c>
      <c r="P3" s="191" t="str">
        <f>VLOOKUP(Q3,[1]characters!$A:$T,20)</f>
        <v>normal</v>
      </c>
      <c r="Q3" s="108">
        <v>805</v>
      </c>
      <c r="R3" s="5" t="str">
        <f ca="1">IF(Q3="NULL","",VLOOKUP($Q3,OFFSET([1]characters!$A$1,0,0,COUNTA([1]characters!$A:$A),MATCH(R$1,[1]characters!$1:$1,0)-MATCH($A$1,[1]characters!$1:$1,0)+1),MATCH(R$1,[1]characters!$1:$1,0)-MATCH($A$1,[1]characters!$1:$1,0)+1,FALSE))</f>
        <v>熱環の大逆聖 ベリアル</v>
      </c>
      <c r="S3" s="5">
        <f t="shared" ca="1" si="0"/>
        <v>168</v>
      </c>
      <c r="T3" s="5" t="str">
        <f ca="1">VLOOKUP($S3,OFFSET([1]characters!$A$1,0,0,COUNTA([1]characters!$A:$A),MATCH(T$1,[1]characters!$1:$1,0)-MATCH($A$1,[1]characters!$1:$1,0)+1),MATCH(T$1,[1]characters!$1:$1,0)-MATCH($A$1,[1]characters!$1:$1,0)+1,FALSE)</f>
        <v>猛進の大逆者 ベリアル</v>
      </c>
      <c r="U3" s="11">
        <v>200000</v>
      </c>
      <c r="V3"/>
    </row>
    <row r="4" spans="1:22" ht="21" customHeight="1" x14ac:dyDescent="0.15">
      <c r="A4" s="109">
        <v>805</v>
      </c>
      <c r="B4" s="5" t="str">
        <f ca="1">VLOOKUP($A4,OFFSET([1]characters!$A$1,0,0,COUNTA([1]characters!$A:$A),MATCH(B$1,[1]characters!$1:$1,0)-MATCH($A$1,[1]characters!$1:$1,0)+1),MATCH(B$1,[1]characters!$1:$1,0)-MATCH($A$1,[1]characters!$1:$1,0)+1,FALSE)</f>
        <v>熱環の大逆聖 ベリアル</v>
      </c>
      <c r="C4" s="5" t="str">
        <f ca="1">VLOOKUP($A4,OFFSET([1]characters!$A$1,0,0,COUNTA([1]characters!$A:$A),MATCH(C$1,[1]characters!$1:$1,0)-MATCH($A$1,[1]characters!$1:$1,0)+1),MATCH(C$1,[1]characters!$1:$1,0)-MATCH($A$1,[1]characters!$1:$1,0)+1,FALSE)</f>
        <v>各属性相性良3・黄・R423</v>
      </c>
      <c r="D4" s="5" t="str">
        <f ca="1">VLOOKUP($A4,OFFSET([1]characters!$A$1,0,0,COUNTA([1]characters!$A:$A),MATCH(D$1,[1]characters!$1:$1,0)-MATCH($A$1,[1]characters!$1:$1,0)+1),MATCH(D$1,[1]characters!$1:$1,0)-MATCH($A$1,[1]characters!$1:$1,0)+1,FALSE)</f>
        <v>執行者</v>
      </c>
      <c r="E4" s="5" t="str">
        <f ca="1">VLOOKUP($A4,OFFSET([1]characters!$A$1,0,0,COUNTA([1]characters!$A:$A),MATCH(E$1,[1]characters!$1:$1,0)-MATCH($A$1,[1]characters!$1:$1,0)+1),MATCH(E$1,[1]characters!$1:$1,0)-MATCH($A$1,[1]characters!$1:$1,0)+1,FALSE)</f>
        <v>格好いい</v>
      </c>
      <c r="F4" s="5" t="str">
        <f ca="1">VLOOKUP($A4,OFFSET([1]characters!$A$1,0,0,COUNTA([1]characters!$A:$A),MATCH(F$1,[1]characters!$1:$1,0)-MATCH($A$1,[1]characters!$1:$1,0)+1),MATCH(F$1,[1]characters!$1:$1,0)-MATCH($A$1,[1]characters!$1:$1,0)+1,FALSE)</f>
        <v>男性</v>
      </c>
      <c r="G4" s="5">
        <f ca="1">VLOOKUP($A4,OFFSET([1]characters!$A$1,0,0,COUNTA([1]characters!$A:$A),MATCH(G$1,[1]characters!$1:$1,0)-MATCH($A$1,[1]characters!$1:$1,0)+1),MATCH(G$1,[1]characters!$1:$1,0)-MATCH($A$1,[1]characters!$1:$1,0)+1,FALSE)</f>
        <v>6</v>
      </c>
      <c r="H4" s="5" t="str">
        <f ca="1">VLOOKUP($A4,OFFSET([1]characters!$A$1,0,0,COUNTA([1]characters!$A:$A),MATCH(H$1,[1]characters!$1:$1,0)-MATCH($A$1,[1]characters!$1:$1,0)+1),MATCH(H$1,[1]characters!$1:$1,0)-MATCH($A$1,[1]characters!$1:$1,0)+1,FALSE)</f>
        <v>PremiumS</v>
      </c>
      <c r="I4" s="5" t="str">
        <f ca="1">VLOOKUP($A4,OFFSET([1]characters!$A$1,0,0,COUNTA([1]characters!$A:$A),MATCH(I$1,[1]characters!$1:$1,0)-MATCH($A$1,[1]characters!$1:$1,0)+1),MATCH(I$1,[1]characters!$1:$1,0)-MATCH($A$1,[1]characters!$1:$1,0)+1,FALSE)</f>
        <v>red</v>
      </c>
      <c r="J4" s="5" t="str">
        <f ca="1">VLOOKUP($A4,OFFSET([1]characters!$A$1,0,0,COUNTA([1]characters!$A:$A),MATCH(J$1,[1]characters!$1:$1,0)-MATCH($A$1,[1]characters!$1:$1,0)+1),MATCH(J$1,[1]characters!$1:$1,0)-MATCH($A$1,[1]characters!$1:$1,0)+1,FALSE)</f>
        <v>none</v>
      </c>
      <c r="K4" s="5" t="str">
        <f ca="1">VLOOKUP(J4,[1]character_tribe_i18n!$A:$H,3,FALSE)</f>
        <v>種族なし</v>
      </c>
      <c r="L4" s="11" t="e">
        <f>VLOOKUP(#REF!,[1]character_tribe_i18n!$A:$H,4,FALSE)</f>
        <v>#REF!</v>
      </c>
      <c r="M4" s="11" t="e">
        <f>VLOOKUP(#REF!,[1]character_tribe_i18n!$A:$H,5,FALSE)</f>
        <v>#REF!</v>
      </c>
      <c r="N4" s="11" t="e">
        <f>VLOOKUP(#REF!,[1]character_tribe_i18n!$A:$H,6,FALSE)</f>
        <v>#REF!</v>
      </c>
      <c r="O4" s="11" t="e">
        <f>VLOOKUP(#REF!,[1]character_tribe_i18n!$A:$H,7,FALSE)</f>
        <v>#REF!</v>
      </c>
      <c r="P4" s="191" t="str">
        <f>VLOOKUP(Q4,[1]characters!$A:$T,20)</f>
        <v>super</v>
      </c>
      <c r="Q4" s="108">
        <v>1055</v>
      </c>
      <c r="R4" s="5" t="str">
        <f ca="1">IF(Q4="NULL","",VLOOKUP($Q4,OFFSET([1]characters!$A$1,0,0,COUNTA([1]characters!$A:$A),MATCH(R$1,[1]characters!$1:$1,0)-MATCH($A$1,[1]characters!$1:$1,0)+1),MATCH(R$1,[1]characters!$1:$1,0)-MATCH($A$1,[1]characters!$1:$1,0)+1,FALSE))</f>
        <v>豪焔の轟暴聖 ベリアル</v>
      </c>
      <c r="S4" s="5">
        <f t="shared" ca="1" si="0"/>
        <v>168</v>
      </c>
      <c r="T4" s="5" t="str">
        <f ca="1">VLOOKUP($S4,OFFSET([1]characters!$A$1,0,0,COUNTA([1]characters!$A:$A),MATCH(T$1,[1]characters!$1:$1,0)-MATCH($A$1,[1]characters!$1:$1,0)+1),MATCH(T$1,[1]characters!$1:$1,0)-MATCH($A$1,[1]characters!$1:$1,0)+1,FALSE)</f>
        <v>猛進の大逆者 ベリアル</v>
      </c>
      <c r="U4" s="11">
        <v>200000</v>
      </c>
      <c r="V4"/>
    </row>
    <row r="5" spans="1:22" ht="21" customHeight="1" x14ac:dyDescent="0.15">
      <c r="A5" s="109">
        <v>171</v>
      </c>
      <c r="B5" s="5" t="str">
        <f ca="1">VLOOKUP($A5,OFFSET([1]characters!$A$1,0,0,COUNTA([1]characters!$A:$A),MATCH(B$1,[1]characters!$1:$1,0)-MATCH($A$1,[1]characters!$1:$1,0)+1),MATCH(B$1,[1]characters!$1:$1,0)-MATCH($A$1,[1]characters!$1:$1,0)+1,FALSE)</f>
        <v>精解の預知者 オセ</v>
      </c>
      <c r="C5" s="5" t="str">
        <f ca="1">VLOOKUP($A5,OFFSET([1]characters!$A$1,0,0,COUNTA([1]characters!$A:$A),MATCH(C$1,[1]characters!$1:$1,0)-MATCH($A$1,[1]characters!$1:$1,0)+1),MATCH(C$1,[1]characters!$1:$1,0)-MATCH($A$1,[1]characters!$1:$1,0)+1,FALSE)</f>
        <v>初期ガチャ</v>
      </c>
      <c r="D5" s="5" t="str">
        <f ca="1">VLOOKUP($A5,OFFSET([1]characters!$A$1,0,0,COUNTA([1]characters!$A:$A),MATCH(D$1,[1]characters!$1:$1,0)-MATCH($A$1,[1]characters!$1:$1,0)+1),MATCH(D$1,[1]characters!$1:$1,0)-MATCH($A$1,[1]characters!$1:$1,0)+1,FALSE)</f>
        <v>執行者</v>
      </c>
      <c r="E5" s="5" t="str">
        <f ca="1">VLOOKUP($A5,OFFSET([1]characters!$A$1,0,0,COUNTA([1]characters!$A:$A),MATCH(E$1,[1]characters!$1:$1,0)-MATCH($A$1,[1]characters!$1:$1,0)+1),MATCH(E$1,[1]characters!$1:$1,0)-MATCH($A$1,[1]characters!$1:$1,0)+1,FALSE)</f>
        <v>美しい</v>
      </c>
      <c r="F5" s="5" t="str">
        <f ca="1">VLOOKUP($A5,OFFSET([1]characters!$A$1,0,0,COUNTA([1]characters!$A:$A),MATCH(F$1,[1]characters!$1:$1,0)-MATCH($A$1,[1]characters!$1:$1,0)+1),MATCH(F$1,[1]characters!$1:$1,0)-MATCH($A$1,[1]characters!$1:$1,0)+1,FALSE)</f>
        <v>女性</v>
      </c>
      <c r="G5" s="5">
        <f ca="1">VLOOKUP($A5,OFFSET([1]characters!$A$1,0,0,COUNTA([1]characters!$A:$A),MATCH(G$1,[1]characters!$1:$1,0)-MATCH($A$1,[1]characters!$1:$1,0)+1),MATCH(G$1,[1]characters!$1:$1,0)-MATCH($A$1,[1]characters!$1:$1,0)+1,FALSE)</f>
        <v>5</v>
      </c>
      <c r="H5" s="5" t="str">
        <f ca="1">VLOOKUP($A5,OFFSET([1]characters!$A$1,0,0,COUNTA([1]characters!$A:$A),MATCH(H$1,[1]characters!$1:$1,0)-MATCH($A$1,[1]characters!$1:$1,0)+1),MATCH(H$1,[1]characters!$1:$1,0)-MATCH($A$1,[1]characters!$1:$1,0)+1,FALSE)</f>
        <v>PremiumN</v>
      </c>
      <c r="I5" s="5" t="str">
        <f ca="1">VLOOKUP($A5,OFFSET([1]characters!$A$1,0,0,COUNTA([1]characters!$A:$A),MATCH(I$1,[1]characters!$1:$1,0)-MATCH($A$1,[1]characters!$1:$1,0)+1),MATCH(I$1,[1]characters!$1:$1,0)-MATCH($A$1,[1]characters!$1:$1,0)+1,FALSE)</f>
        <v>green</v>
      </c>
      <c r="J5" s="5" t="str">
        <f ca="1">VLOOKUP($A5,OFFSET([1]characters!$A$1,0,0,COUNTA([1]characters!$A:$A),MATCH(J$1,[1]characters!$1:$1,0)-MATCH($A$1,[1]characters!$1:$1,0)+1),MATCH(J$1,[1]characters!$1:$1,0)-MATCH($A$1,[1]characters!$1:$1,0)+1,FALSE)</f>
        <v>none</v>
      </c>
      <c r="K5" s="5" t="str">
        <f ca="1">VLOOKUP(J5,[1]character_tribe_i18n!$A:$H,3,FALSE)</f>
        <v>種族なし</v>
      </c>
      <c r="L5" s="11" t="e">
        <f>VLOOKUP(#REF!,[1]character_tribe_i18n!$A:$H,4,FALSE)</f>
        <v>#REF!</v>
      </c>
      <c r="M5" s="11" t="e">
        <f>VLOOKUP(#REF!,[1]character_tribe_i18n!$A:$H,5,FALSE)</f>
        <v>#REF!</v>
      </c>
      <c r="N5" s="11" t="e">
        <f>VLOOKUP(#REF!,[1]character_tribe_i18n!$A:$H,6,FALSE)</f>
        <v>#REF!</v>
      </c>
      <c r="O5" s="11" t="e">
        <f>VLOOKUP(#REF!,[1]character_tribe_i18n!$A:$H,7,FALSE)</f>
        <v>#REF!</v>
      </c>
      <c r="P5" s="191" t="str">
        <f>VLOOKUP(Q5,[1]characters!$A:$T,20)</f>
        <v>super</v>
      </c>
      <c r="Q5" s="108">
        <v>1056</v>
      </c>
      <c r="R5" s="5" t="str">
        <f ca="1">IF(Q5="NULL","",VLOOKUP($Q5,OFFSET([1]characters!$A$1,0,0,COUNTA([1]characters!$A:$A),MATCH(R$1,[1]characters!$1:$1,0)-MATCH($A$1,[1]characters!$1:$1,0)+1),MATCH(R$1,[1]characters!$1:$1,0)-MATCH($A$1,[1]characters!$1:$1,0)+1,FALSE))</f>
        <v>神解の預欺皇 オセ</v>
      </c>
      <c r="S5" s="5">
        <f t="shared" ca="1" si="0"/>
        <v>171</v>
      </c>
      <c r="T5" s="5" t="str">
        <f ca="1">VLOOKUP($S5,OFFSET([1]characters!$A$1,0,0,COUNTA([1]characters!$A:$A),MATCH(T$1,[1]characters!$1:$1,0)-MATCH($A$1,[1]characters!$1:$1,0)+1),MATCH(T$1,[1]characters!$1:$1,0)-MATCH($A$1,[1]characters!$1:$1,0)+1,FALSE)</f>
        <v>精解の預知者 オセ</v>
      </c>
      <c r="U5" s="11">
        <v>200000</v>
      </c>
      <c r="V5"/>
    </row>
    <row r="6" spans="1:22" ht="21" customHeight="1" x14ac:dyDescent="0.15">
      <c r="A6" s="109">
        <v>1056</v>
      </c>
      <c r="B6" s="5" t="str">
        <f ca="1">VLOOKUP($A6,OFFSET([1]characters!$A$1,0,0,COUNTA([1]characters!$A:$A),MATCH(B$1,[1]characters!$1:$1,0)-MATCH($A$1,[1]characters!$1:$1,0)+1),MATCH(B$1,[1]characters!$1:$1,0)-MATCH($A$1,[1]characters!$1:$1,0)+1,FALSE)</f>
        <v>神解の預欺皇 オセ</v>
      </c>
      <c r="C6" s="5" t="str">
        <f ca="1">VLOOKUP($A6,OFFSET([1]characters!$A$1,0,0,COUNTA([1]characters!$A:$A),MATCH(C$1,[1]characters!$1:$1,0)-MATCH($A$1,[1]characters!$1:$1,0)+1),MATCH(C$1,[1]characters!$1:$1,0)-MATCH($A$1,[1]characters!$1:$1,0)+1,FALSE)</f>
        <v>オセ_分岐</v>
      </c>
      <c r="D6" s="5" t="str">
        <f ca="1">VLOOKUP($A6,OFFSET([1]characters!$A$1,0,0,COUNTA([1]characters!$A:$A),MATCH(D$1,[1]characters!$1:$1,0)-MATCH($A$1,[1]characters!$1:$1,0)+1),MATCH(D$1,[1]characters!$1:$1,0)-MATCH($A$1,[1]characters!$1:$1,0)+1,FALSE)</f>
        <v>執行者</v>
      </c>
      <c r="E6" s="5" t="str">
        <f ca="1">VLOOKUP($A6,OFFSET([1]characters!$A$1,0,0,COUNTA([1]characters!$A:$A),MATCH(E$1,[1]characters!$1:$1,0)-MATCH($A$1,[1]characters!$1:$1,0)+1),MATCH(E$1,[1]characters!$1:$1,0)-MATCH($A$1,[1]characters!$1:$1,0)+1,FALSE)</f>
        <v>格好いい</v>
      </c>
      <c r="F6" s="5" t="str">
        <f ca="1">VLOOKUP($A6,OFFSET([1]characters!$A$1,0,0,COUNTA([1]characters!$A:$A),MATCH(F$1,[1]characters!$1:$1,0)-MATCH($A$1,[1]characters!$1:$1,0)+1),MATCH(F$1,[1]characters!$1:$1,0)-MATCH($A$1,[1]characters!$1:$1,0)+1,FALSE)</f>
        <v>男性</v>
      </c>
      <c r="G6" s="5">
        <f ca="1">VLOOKUP($A6,OFFSET([1]characters!$A$1,0,0,COUNTA([1]characters!$A:$A),MATCH(G$1,[1]characters!$1:$1,0)-MATCH($A$1,[1]characters!$1:$1,0)+1),MATCH(G$1,[1]characters!$1:$1,0)-MATCH($A$1,[1]characters!$1:$1,0)+1,FALSE)</f>
        <v>6</v>
      </c>
      <c r="H6" s="5" t="str">
        <f ca="1">VLOOKUP($A6,OFFSET([1]characters!$A$1,0,0,COUNTA([1]characters!$A:$A),MATCH(H$1,[1]characters!$1:$1,0)-MATCH($A$1,[1]characters!$1:$1,0)+1),MATCH(H$1,[1]characters!$1:$1,0)-MATCH($A$1,[1]characters!$1:$1,0)+1,FALSE)</f>
        <v>PremiumS</v>
      </c>
      <c r="I6" s="5" t="str">
        <f ca="1">VLOOKUP($A6,OFFSET([1]characters!$A$1,0,0,COUNTA([1]characters!$A:$A),MATCH(I$1,[1]characters!$1:$1,0)-MATCH($A$1,[1]characters!$1:$1,0)+1),MATCH(I$1,[1]characters!$1:$1,0)-MATCH($A$1,[1]characters!$1:$1,0)+1,FALSE)</f>
        <v>green</v>
      </c>
      <c r="J6" s="5" t="str">
        <f ca="1">VLOOKUP($A6,OFFSET([1]characters!$A$1,0,0,COUNTA([1]characters!$A:$A),MATCH(J$1,[1]characters!$1:$1,0)-MATCH($A$1,[1]characters!$1:$1,0)+1),MATCH(J$1,[1]characters!$1:$1,0)-MATCH($A$1,[1]characters!$1:$1,0)+1,FALSE)</f>
        <v>none</v>
      </c>
      <c r="K6" s="5" t="str">
        <f ca="1">VLOOKUP(J6,[1]character_tribe_i18n!$A:$H,3,FALSE)</f>
        <v>種族なし</v>
      </c>
      <c r="L6" s="11" t="e">
        <f>VLOOKUP(#REF!,[1]character_tribe_i18n!$A:$H,4,FALSE)</f>
        <v>#REF!</v>
      </c>
      <c r="M6" s="11" t="e">
        <f>VLOOKUP(#REF!,[1]character_tribe_i18n!$A:$H,5,FALSE)</f>
        <v>#REF!</v>
      </c>
      <c r="N6" s="11" t="e">
        <f>VLOOKUP(#REF!,[1]character_tribe_i18n!$A:$H,6,FALSE)</f>
        <v>#REF!</v>
      </c>
      <c r="O6" s="11" t="e">
        <f>VLOOKUP(#REF!,[1]character_tribe_i18n!$A:$H,7,FALSE)</f>
        <v>#REF!</v>
      </c>
      <c r="P6" s="191" t="str">
        <f>VLOOKUP(Q6,[1]characters!$A:$T,20)</f>
        <v>normal</v>
      </c>
      <c r="Q6" s="108">
        <v>806</v>
      </c>
      <c r="R6" s="5" t="str">
        <f ca="1">IF(Q6="NULL","",VLOOKUP($Q6,OFFSET([1]characters!$A$1,0,0,COUNTA([1]characters!$A:$A),MATCH(R$1,[1]characters!$1:$1,0)-MATCH($A$1,[1]characters!$1:$1,0)+1),MATCH(R$1,[1]characters!$1:$1,0)-MATCH($A$1,[1]characters!$1:$1,0)+1,FALSE))</f>
        <v>全解の預智聖 オセ</v>
      </c>
      <c r="S6" s="5">
        <f t="shared" ca="1" si="0"/>
        <v>171</v>
      </c>
      <c r="T6" s="5" t="str">
        <f ca="1">VLOOKUP($S6,OFFSET([1]characters!$A$1,0,0,COUNTA([1]characters!$A:$A),MATCH(T$1,[1]characters!$1:$1,0)-MATCH($A$1,[1]characters!$1:$1,0)+1),MATCH(T$1,[1]characters!$1:$1,0)-MATCH($A$1,[1]characters!$1:$1,0)+1,FALSE)</f>
        <v>精解の預知者 オセ</v>
      </c>
      <c r="U6" s="11">
        <v>200000</v>
      </c>
      <c r="V6"/>
    </row>
    <row r="7" spans="1:22" ht="21" customHeight="1" x14ac:dyDescent="0.15">
      <c r="A7" s="109">
        <v>806</v>
      </c>
      <c r="B7" s="5" t="str">
        <f ca="1">VLOOKUP($A7,OFFSET([1]characters!$A$1,0,0,COUNTA([1]characters!$A:$A),MATCH(B$1,[1]characters!$1:$1,0)-MATCH($A$1,[1]characters!$1:$1,0)+1),MATCH(B$1,[1]characters!$1:$1,0)-MATCH($A$1,[1]characters!$1:$1,0)+1,FALSE)</f>
        <v>全解の預智聖 オセ</v>
      </c>
      <c r="C7" s="5" t="str">
        <f ca="1">VLOOKUP($A7,OFFSET([1]characters!$A$1,0,0,COUNTA([1]characters!$A:$A),MATCH(C$1,[1]characters!$1:$1,0)-MATCH($A$1,[1]characters!$1:$1,0)+1),MATCH(C$1,[1]characters!$1:$1,0)-MATCH($A$1,[1]characters!$1:$1,0)+1,FALSE)</f>
        <v>各属性相性良3・黄・R424</v>
      </c>
      <c r="D7" s="5" t="str">
        <f ca="1">VLOOKUP($A7,OFFSET([1]characters!$A$1,0,0,COUNTA([1]characters!$A:$A),MATCH(D$1,[1]characters!$1:$1,0)-MATCH($A$1,[1]characters!$1:$1,0)+1),MATCH(D$1,[1]characters!$1:$1,0)-MATCH($A$1,[1]characters!$1:$1,0)+1,FALSE)</f>
        <v>執行者</v>
      </c>
      <c r="E7" s="5" t="str">
        <f ca="1">VLOOKUP($A7,OFFSET([1]characters!$A$1,0,0,COUNTA([1]characters!$A:$A),MATCH(E$1,[1]characters!$1:$1,0)-MATCH($A$1,[1]characters!$1:$1,0)+1),MATCH(E$1,[1]characters!$1:$1,0)-MATCH($A$1,[1]characters!$1:$1,0)+1,FALSE)</f>
        <v>格好いい</v>
      </c>
      <c r="F7" s="5" t="str">
        <f ca="1">VLOOKUP($A7,OFFSET([1]characters!$A$1,0,0,COUNTA([1]characters!$A:$A),MATCH(F$1,[1]characters!$1:$1,0)-MATCH($A$1,[1]characters!$1:$1,0)+1),MATCH(F$1,[1]characters!$1:$1,0)-MATCH($A$1,[1]characters!$1:$1,0)+1,FALSE)</f>
        <v>男性</v>
      </c>
      <c r="G7" s="5">
        <f ca="1">VLOOKUP($A7,OFFSET([1]characters!$A$1,0,0,COUNTA([1]characters!$A:$A),MATCH(G$1,[1]characters!$1:$1,0)-MATCH($A$1,[1]characters!$1:$1,0)+1),MATCH(G$1,[1]characters!$1:$1,0)-MATCH($A$1,[1]characters!$1:$1,0)+1,FALSE)</f>
        <v>6</v>
      </c>
      <c r="H7" s="5" t="str">
        <f ca="1">VLOOKUP($A7,OFFSET([1]characters!$A$1,0,0,COUNTA([1]characters!$A:$A),MATCH(H$1,[1]characters!$1:$1,0)-MATCH($A$1,[1]characters!$1:$1,0)+1),MATCH(H$1,[1]characters!$1:$1,0)-MATCH($A$1,[1]characters!$1:$1,0)+1,FALSE)</f>
        <v>PremiumS</v>
      </c>
      <c r="I7" s="5" t="str">
        <f ca="1">VLOOKUP($A7,OFFSET([1]characters!$A$1,0,0,COUNTA([1]characters!$A:$A),MATCH(I$1,[1]characters!$1:$1,0)-MATCH($A$1,[1]characters!$1:$1,0)+1),MATCH(I$1,[1]characters!$1:$1,0)-MATCH($A$1,[1]characters!$1:$1,0)+1,FALSE)</f>
        <v>green</v>
      </c>
      <c r="J7" s="5" t="str">
        <f ca="1">VLOOKUP($A7,OFFSET([1]characters!$A$1,0,0,COUNTA([1]characters!$A:$A),MATCH(J$1,[1]characters!$1:$1,0)-MATCH($A$1,[1]characters!$1:$1,0)+1),MATCH(J$1,[1]characters!$1:$1,0)-MATCH($A$1,[1]characters!$1:$1,0)+1,FALSE)</f>
        <v>none</v>
      </c>
      <c r="K7" s="5" t="str">
        <f ca="1">VLOOKUP(J7,[1]character_tribe_i18n!$A:$H,3,FALSE)</f>
        <v>種族なし</v>
      </c>
      <c r="L7" s="11" t="e">
        <f>VLOOKUP(#REF!,[1]character_tribe_i18n!$A:$H,4,FALSE)</f>
        <v>#REF!</v>
      </c>
      <c r="M7" s="11" t="e">
        <f>VLOOKUP(#REF!,[1]character_tribe_i18n!$A:$H,5,FALSE)</f>
        <v>#REF!</v>
      </c>
      <c r="N7" s="11" t="e">
        <f>VLOOKUP(#REF!,[1]character_tribe_i18n!$A:$H,6,FALSE)</f>
        <v>#REF!</v>
      </c>
      <c r="O7" s="11" t="e">
        <f>VLOOKUP(#REF!,[1]character_tribe_i18n!$A:$H,7,FALSE)</f>
        <v>#REF!</v>
      </c>
      <c r="P7" s="191" t="str">
        <f>VLOOKUP(Q7,[1]characters!$A:$T,20)</f>
        <v>super</v>
      </c>
      <c r="Q7" s="108">
        <v>1056</v>
      </c>
      <c r="R7" s="5" t="str">
        <f ca="1">IF(Q7="NULL","",VLOOKUP($Q7,OFFSET([1]characters!$A$1,0,0,COUNTA([1]characters!$A:$A),MATCH(R$1,[1]characters!$1:$1,0)-MATCH($A$1,[1]characters!$1:$1,0)+1),MATCH(R$1,[1]characters!$1:$1,0)-MATCH($A$1,[1]characters!$1:$1,0)+1,FALSE))</f>
        <v>神解の預欺皇 オセ</v>
      </c>
      <c r="S7" s="5">
        <f t="shared" ca="1" si="0"/>
        <v>171</v>
      </c>
      <c r="T7" s="5" t="str">
        <f ca="1">VLOOKUP($S7,OFFSET([1]characters!$A$1,0,0,COUNTA([1]characters!$A:$A),MATCH(T$1,[1]characters!$1:$1,0)-MATCH($A$1,[1]characters!$1:$1,0)+1),MATCH(T$1,[1]characters!$1:$1,0)-MATCH($A$1,[1]characters!$1:$1,0)+1,FALSE)</f>
        <v>精解の預知者 オセ</v>
      </c>
      <c r="U7" s="11">
        <v>200000</v>
      </c>
      <c r="V7"/>
    </row>
    <row r="8" spans="1:22" ht="21" customHeight="1" x14ac:dyDescent="0.15">
      <c r="A8" s="109">
        <v>174</v>
      </c>
      <c r="B8" s="5" t="str">
        <f ca="1">VLOOKUP($A8,OFFSET([1]characters!$A$1,0,0,COUNTA([1]characters!$A:$A),MATCH(B$1,[1]characters!$1:$1,0)-MATCH($A$1,[1]characters!$1:$1,0)+1),MATCH(B$1,[1]characters!$1:$1,0)-MATCH($A$1,[1]characters!$1:$1,0)+1,FALSE)</f>
        <v>偽愛の大公爵 フォルネウス</v>
      </c>
      <c r="C8" s="5" t="str">
        <f ca="1">VLOOKUP($A8,OFFSET([1]characters!$A$1,0,0,COUNTA([1]characters!$A:$A),MATCH(C$1,[1]characters!$1:$1,0)-MATCH($A$1,[1]characters!$1:$1,0)+1),MATCH(C$1,[1]characters!$1:$1,0)-MATCH($A$1,[1]characters!$1:$1,0)+1,FALSE)</f>
        <v>初期ガチャ</v>
      </c>
      <c r="D8" s="5" t="str">
        <f ca="1">VLOOKUP($A8,OFFSET([1]characters!$A$1,0,0,COUNTA([1]characters!$A:$A),MATCH(D$1,[1]characters!$1:$1,0)-MATCH($A$1,[1]characters!$1:$1,0)+1),MATCH(D$1,[1]characters!$1:$1,0)-MATCH($A$1,[1]characters!$1:$1,0)+1,FALSE)</f>
        <v>執行者</v>
      </c>
      <c r="E8" s="5" t="str">
        <f ca="1">VLOOKUP($A8,OFFSET([1]characters!$A$1,0,0,COUNTA([1]characters!$A:$A),MATCH(E$1,[1]characters!$1:$1,0)-MATCH($A$1,[1]characters!$1:$1,0)+1),MATCH(E$1,[1]characters!$1:$1,0)-MATCH($A$1,[1]characters!$1:$1,0)+1,FALSE)</f>
        <v>可愛い</v>
      </c>
      <c r="F8" s="5" t="str">
        <f ca="1">VLOOKUP($A8,OFFSET([1]characters!$A$1,0,0,COUNTA([1]characters!$A:$A),MATCH(F$1,[1]characters!$1:$1,0)-MATCH($A$1,[1]characters!$1:$1,0)+1),MATCH(F$1,[1]characters!$1:$1,0)-MATCH($A$1,[1]characters!$1:$1,0)+1,FALSE)</f>
        <v>女性</v>
      </c>
      <c r="G8" s="5">
        <f ca="1">VLOOKUP($A8,OFFSET([1]characters!$A$1,0,0,COUNTA([1]characters!$A:$A),MATCH(G$1,[1]characters!$1:$1,0)-MATCH($A$1,[1]characters!$1:$1,0)+1),MATCH(G$1,[1]characters!$1:$1,0)-MATCH($A$1,[1]characters!$1:$1,0)+1,FALSE)</f>
        <v>5</v>
      </c>
      <c r="H8" s="5" t="str">
        <f ca="1">VLOOKUP($A8,OFFSET([1]characters!$A$1,0,0,COUNTA([1]characters!$A:$A),MATCH(H$1,[1]characters!$1:$1,0)-MATCH($A$1,[1]characters!$1:$1,0)+1),MATCH(H$1,[1]characters!$1:$1,0)-MATCH($A$1,[1]characters!$1:$1,0)+1,FALSE)</f>
        <v>PremiumN</v>
      </c>
      <c r="I8" s="5" t="str">
        <f ca="1">VLOOKUP($A8,OFFSET([1]characters!$A$1,0,0,COUNTA([1]characters!$A:$A),MATCH(I$1,[1]characters!$1:$1,0)-MATCH($A$1,[1]characters!$1:$1,0)+1),MATCH(I$1,[1]characters!$1:$1,0)-MATCH($A$1,[1]characters!$1:$1,0)+1,FALSE)</f>
        <v>blue</v>
      </c>
      <c r="J8" s="5" t="str">
        <f ca="1">VLOOKUP($A8,OFFSET([1]characters!$A$1,0,0,COUNTA([1]characters!$A:$A),MATCH(J$1,[1]characters!$1:$1,0)-MATCH($A$1,[1]characters!$1:$1,0)+1),MATCH(J$1,[1]characters!$1:$1,0)-MATCH($A$1,[1]characters!$1:$1,0)+1,FALSE)</f>
        <v>none</v>
      </c>
      <c r="K8" s="5" t="str">
        <f ca="1">VLOOKUP(J8,[1]character_tribe_i18n!$A:$H,3,FALSE)</f>
        <v>種族なし</v>
      </c>
      <c r="L8" s="11" t="e">
        <f>VLOOKUP(#REF!,[1]character_tribe_i18n!$A:$H,4,FALSE)</f>
        <v>#REF!</v>
      </c>
      <c r="M8" s="11" t="e">
        <f>VLOOKUP(#REF!,[1]character_tribe_i18n!$A:$H,5,FALSE)</f>
        <v>#REF!</v>
      </c>
      <c r="N8" s="11" t="e">
        <f>VLOOKUP(#REF!,[1]character_tribe_i18n!$A:$H,6,FALSE)</f>
        <v>#REF!</v>
      </c>
      <c r="O8" s="11" t="e">
        <f>VLOOKUP(#REF!,[1]character_tribe_i18n!$A:$H,7,FALSE)</f>
        <v>#REF!</v>
      </c>
      <c r="P8" s="191" t="str">
        <f>VLOOKUP(Q8,[1]characters!$A:$T,20)</f>
        <v>super</v>
      </c>
      <c r="Q8" s="108">
        <v>1057</v>
      </c>
      <c r="R8" s="5" t="str">
        <f ca="1">IF(Q8="NULL","",VLOOKUP($Q8,OFFSET([1]characters!$A$1,0,0,COUNTA([1]characters!$A:$A),MATCH(R$1,[1]characters!$1:$1,0)-MATCH($A$1,[1]characters!$1:$1,0)+1),MATCH(R$1,[1]characters!$1:$1,0)-MATCH($A$1,[1]characters!$1:$1,0)+1,FALSE))</f>
        <v>疑愛の永遠公爵 フォルネウス</v>
      </c>
      <c r="S8" s="5">
        <f t="shared" ca="1" si="0"/>
        <v>174</v>
      </c>
      <c r="T8" s="5" t="str">
        <f ca="1">VLOOKUP($S8,OFFSET([1]characters!$A$1,0,0,COUNTA([1]characters!$A:$A),MATCH(T$1,[1]characters!$1:$1,0)-MATCH($A$1,[1]characters!$1:$1,0)+1),MATCH(T$1,[1]characters!$1:$1,0)-MATCH($A$1,[1]characters!$1:$1,0)+1,FALSE)</f>
        <v>偽愛の大公爵 フォルネウス</v>
      </c>
      <c r="U8" s="11">
        <v>200000</v>
      </c>
      <c r="V8"/>
    </row>
    <row r="9" spans="1:22" ht="21" customHeight="1" x14ac:dyDescent="0.15">
      <c r="A9" s="109">
        <v>1057</v>
      </c>
      <c r="B9" s="5" t="str">
        <f ca="1">VLOOKUP($A9,OFFSET([1]characters!$A$1,0,0,COUNTA([1]characters!$A:$A),MATCH(B$1,[1]characters!$1:$1,0)-MATCH($A$1,[1]characters!$1:$1,0)+1),MATCH(B$1,[1]characters!$1:$1,0)-MATCH($A$1,[1]characters!$1:$1,0)+1,FALSE)</f>
        <v>疑愛の永遠公爵 フォルネウス</v>
      </c>
      <c r="C9" s="5" t="str">
        <f ca="1">VLOOKUP($A9,OFFSET([1]characters!$A$1,0,0,COUNTA([1]characters!$A:$A),MATCH(C$1,[1]characters!$1:$1,0)-MATCH($A$1,[1]characters!$1:$1,0)+1),MATCH(C$1,[1]characters!$1:$1,0)-MATCH($A$1,[1]characters!$1:$1,0)+1,FALSE)</f>
        <v>フォルネウス_分岐</v>
      </c>
      <c r="D9" s="5" t="str">
        <f ca="1">VLOOKUP($A9,OFFSET([1]characters!$A$1,0,0,COUNTA([1]characters!$A:$A),MATCH(D$1,[1]characters!$1:$1,0)-MATCH($A$1,[1]characters!$1:$1,0)+1),MATCH(D$1,[1]characters!$1:$1,0)-MATCH($A$1,[1]characters!$1:$1,0)+1,FALSE)</f>
        <v>執行者</v>
      </c>
      <c r="E9" s="5" t="str">
        <f ca="1">VLOOKUP($A9,OFFSET([1]characters!$A$1,0,0,COUNTA([1]characters!$A:$A),MATCH(E$1,[1]characters!$1:$1,0)-MATCH($A$1,[1]characters!$1:$1,0)+1),MATCH(E$1,[1]characters!$1:$1,0)-MATCH($A$1,[1]characters!$1:$1,0)+1,FALSE)</f>
        <v>格好いい</v>
      </c>
      <c r="F9" s="5" t="str">
        <f ca="1">VLOOKUP($A9,OFFSET([1]characters!$A$1,0,0,COUNTA([1]characters!$A:$A),MATCH(F$1,[1]characters!$1:$1,0)-MATCH($A$1,[1]characters!$1:$1,0)+1),MATCH(F$1,[1]characters!$1:$1,0)-MATCH($A$1,[1]characters!$1:$1,0)+1,FALSE)</f>
        <v>男性</v>
      </c>
      <c r="G9" s="5">
        <f ca="1">VLOOKUP($A9,OFFSET([1]characters!$A$1,0,0,COUNTA([1]characters!$A:$A),MATCH(G$1,[1]characters!$1:$1,0)-MATCH($A$1,[1]characters!$1:$1,0)+1),MATCH(G$1,[1]characters!$1:$1,0)-MATCH($A$1,[1]characters!$1:$1,0)+1,FALSE)</f>
        <v>6</v>
      </c>
      <c r="H9" s="5" t="str">
        <f ca="1">VLOOKUP($A9,OFFSET([1]characters!$A$1,0,0,COUNTA([1]characters!$A:$A),MATCH(H$1,[1]characters!$1:$1,0)-MATCH($A$1,[1]characters!$1:$1,0)+1),MATCH(H$1,[1]characters!$1:$1,0)-MATCH($A$1,[1]characters!$1:$1,0)+1,FALSE)</f>
        <v>PremiumS</v>
      </c>
      <c r="I9" s="5" t="str">
        <f ca="1">VLOOKUP($A9,OFFSET([1]characters!$A$1,0,0,COUNTA([1]characters!$A:$A),MATCH(I$1,[1]characters!$1:$1,0)-MATCH($A$1,[1]characters!$1:$1,0)+1),MATCH(I$1,[1]characters!$1:$1,0)-MATCH($A$1,[1]characters!$1:$1,0)+1,FALSE)</f>
        <v>blue</v>
      </c>
      <c r="J9" s="5" t="str">
        <f ca="1">VLOOKUP($A9,OFFSET([1]characters!$A$1,0,0,COUNTA([1]characters!$A:$A),MATCH(J$1,[1]characters!$1:$1,0)-MATCH($A$1,[1]characters!$1:$1,0)+1),MATCH(J$1,[1]characters!$1:$1,0)-MATCH($A$1,[1]characters!$1:$1,0)+1,FALSE)</f>
        <v>none</v>
      </c>
      <c r="K9" s="5" t="str">
        <f ca="1">VLOOKUP(J9,[1]character_tribe_i18n!$A:$H,3,FALSE)</f>
        <v>種族なし</v>
      </c>
      <c r="L9" s="11" t="e">
        <f>VLOOKUP(#REF!,[1]character_tribe_i18n!$A:$H,4,FALSE)</f>
        <v>#REF!</v>
      </c>
      <c r="M9" s="11" t="e">
        <f>VLOOKUP(#REF!,[1]character_tribe_i18n!$A:$H,5,FALSE)</f>
        <v>#REF!</v>
      </c>
      <c r="N9" s="11" t="e">
        <f>VLOOKUP(#REF!,[1]character_tribe_i18n!$A:$H,6,FALSE)</f>
        <v>#REF!</v>
      </c>
      <c r="O9" s="11" t="e">
        <f>VLOOKUP(#REF!,[1]character_tribe_i18n!$A:$H,7,FALSE)</f>
        <v>#REF!</v>
      </c>
      <c r="P9" s="191" t="str">
        <f>VLOOKUP(Q9,[1]characters!$A:$T,20)</f>
        <v>normal</v>
      </c>
      <c r="Q9" s="108">
        <v>807</v>
      </c>
      <c r="R9" s="5" t="str">
        <f ca="1">IF(Q9="NULL","",VLOOKUP($Q9,OFFSET([1]characters!$A$1,0,0,COUNTA([1]characters!$A:$A),MATCH(R$1,[1]characters!$1:$1,0)-MATCH($A$1,[1]characters!$1:$1,0)+1),MATCH(R$1,[1]characters!$1:$1,0)-MATCH($A$1,[1]characters!$1:$1,0)+1,FALSE))</f>
        <v>襲愛の真公爵 フォルネウス</v>
      </c>
      <c r="S9" s="5">
        <f t="shared" ca="1" si="0"/>
        <v>174</v>
      </c>
      <c r="T9" s="5" t="str">
        <f ca="1">VLOOKUP($S9,OFFSET([1]characters!$A$1,0,0,COUNTA([1]characters!$A:$A),MATCH(T$1,[1]characters!$1:$1,0)-MATCH($A$1,[1]characters!$1:$1,0)+1),MATCH(T$1,[1]characters!$1:$1,0)-MATCH($A$1,[1]characters!$1:$1,0)+1,FALSE)</f>
        <v>偽愛の大公爵 フォルネウス</v>
      </c>
      <c r="U9" s="11">
        <v>200000</v>
      </c>
      <c r="V9"/>
    </row>
    <row r="10" spans="1:22" ht="21" customHeight="1" x14ac:dyDescent="0.15">
      <c r="A10" s="109">
        <v>807</v>
      </c>
      <c r="B10" s="5" t="str">
        <f ca="1">VLOOKUP($A10,OFFSET([1]characters!$A$1,0,0,COUNTA([1]characters!$A:$A),MATCH(B$1,[1]characters!$1:$1,0)-MATCH($A$1,[1]characters!$1:$1,0)+1),MATCH(B$1,[1]characters!$1:$1,0)-MATCH($A$1,[1]characters!$1:$1,0)+1,FALSE)</f>
        <v>襲愛の真公爵 フォルネウス</v>
      </c>
      <c r="C10" s="5" t="str">
        <f ca="1">VLOOKUP($A10,OFFSET([1]characters!$A$1,0,0,COUNTA([1]characters!$A:$A),MATCH(C$1,[1]characters!$1:$1,0)-MATCH($A$1,[1]characters!$1:$1,0)+1),MATCH(C$1,[1]characters!$1:$1,0)-MATCH($A$1,[1]characters!$1:$1,0)+1,FALSE)</f>
        <v>各属性相性良3・黄・R425</v>
      </c>
      <c r="D10" s="5" t="str">
        <f ca="1">VLOOKUP($A10,OFFSET([1]characters!$A$1,0,0,COUNTA([1]characters!$A:$A),MATCH(D$1,[1]characters!$1:$1,0)-MATCH($A$1,[1]characters!$1:$1,0)+1),MATCH(D$1,[1]characters!$1:$1,0)-MATCH($A$1,[1]characters!$1:$1,0)+1,FALSE)</f>
        <v>執行者</v>
      </c>
      <c r="E10" s="5" t="str">
        <f ca="1">VLOOKUP($A10,OFFSET([1]characters!$A$1,0,0,COUNTA([1]characters!$A:$A),MATCH(E$1,[1]characters!$1:$1,0)-MATCH($A$1,[1]characters!$1:$1,0)+1),MATCH(E$1,[1]characters!$1:$1,0)-MATCH($A$1,[1]characters!$1:$1,0)+1,FALSE)</f>
        <v>格好いい</v>
      </c>
      <c r="F10" s="5" t="str">
        <f ca="1">VLOOKUP($A10,OFFSET([1]characters!$A$1,0,0,COUNTA([1]characters!$A:$A),MATCH(F$1,[1]characters!$1:$1,0)-MATCH($A$1,[1]characters!$1:$1,0)+1),MATCH(F$1,[1]characters!$1:$1,0)-MATCH($A$1,[1]characters!$1:$1,0)+1,FALSE)</f>
        <v>男性</v>
      </c>
      <c r="G10" s="5">
        <f ca="1">VLOOKUP($A10,OFFSET([1]characters!$A$1,0,0,COUNTA([1]characters!$A:$A),MATCH(G$1,[1]characters!$1:$1,0)-MATCH($A$1,[1]characters!$1:$1,0)+1),MATCH(G$1,[1]characters!$1:$1,0)-MATCH($A$1,[1]characters!$1:$1,0)+1,FALSE)</f>
        <v>6</v>
      </c>
      <c r="H10" s="5" t="str">
        <f ca="1">VLOOKUP($A10,OFFSET([1]characters!$A$1,0,0,COUNTA([1]characters!$A:$A),MATCH(H$1,[1]characters!$1:$1,0)-MATCH($A$1,[1]characters!$1:$1,0)+1),MATCH(H$1,[1]characters!$1:$1,0)-MATCH($A$1,[1]characters!$1:$1,0)+1,FALSE)</f>
        <v>PremiumS</v>
      </c>
      <c r="I10" s="5" t="str">
        <f ca="1">VLOOKUP($A10,OFFSET([1]characters!$A$1,0,0,COUNTA([1]characters!$A:$A),MATCH(I$1,[1]characters!$1:$1,0)-MATCH($A$1,[1]characters!$1:$1,0)+1),MATCH(I$1,[1]characters!$1:$1,0)-MATCH($A$1,[1]characters!$1:$1,0)+1,FALSE)</f>
        <v>blue</v>
      </c>
      <c r="J10" s="5" t="str">
        <f ca="1">VLOOKUP($A10,OFFSET([1]characters!$A$1,0,0,COUNTA([1]characters!$A:$A),MATCH(J$1,[1]characters!$1:$1,0)-MATCH($A$1,[1]characters!$1:$1,0)+1),MATCH(J$1,[1]characters!$1:$1,0)-MATCH($A$1,[1]characters!$1:$1,0)+1,FALSE)</f>
        <v>none</v>
      </c>
      <c r="K10" s="5" t="str">
        <f ca="1">VLOOKUP(J10,[1]character_tribe_i18n!$A:$H,3,FALSE)</f>
        <v>種族なし</v>
      </c>
      <c r="L10" s="11" t="e">
        <f>VLOOKUP(#REF!,[1]character_tribe_i18n!$A:$H,4,FALSE)</f>
        <v>#REF!</v>
      </c>
      <c r="M10" s="11" t="e">
        <f>VLOOKUP(#REF!,[1]character_tribe_i18n!$A:$H,5,FALSE)</f>
        <v>#REF!</v>
      </c>
      <c r="N10" s="11" t="e">
        <f>VLOOKUP(#REF!,[1]character_tribe_i18n!$A:$H,6,FALSE)</f>
        <v>#REF!</v>
      </c>
      <c r="O10" s="11" t="e">
        <f>VLOOKUP(#REF!,[1]character_tribe_i18n!$A:$H,7,FALSE)</f>
        <v>#REF!</v>
      </c>
      <c r="P10" s="191" t="str">
        <f>VLOOKUP(Q10,[1]characters!$A:$T,20)</f>
        <v>super</v>
      </c>
      <c r="Q10" s="108">
        <v>1057</v>
      </c>
      <c r="R10" s="5" t="str">
        <f ca="1">IF(Q10="NULL","",VLOOKUP($Q10,OFFSET([1]characters!$A$1,0,0,COUNTA([1]characters!$A:$A),MATCH(R$1,[1]characters!$1:$1,0)-MATCH($A$1,[1]characters!$1:$1,0)+1),MATCH(R$1,[1]characters!$1:$1,0)-MATCH($A$1,[1]characters!$1:$1,0)+1,FALSE))</f>
        <v>疑愛の永遠公爵 フォルネウス</v>
      </c>
      <c r="S10" s="5">
        <f t="shared" ca="1" si="0"/>
        <v>174</v>
      </c>
      <c r="T10" s="5" t="str">
        <f ca="1">VLOOKUP($S10,OFFSET([1]characters!$A$1,0,0,COUNTA([1]characters!$A:$A),MATCH(T$1,[1]characters!$1:$1,0)-MATCH($A$1,[1]characters!$1:$1,0)+1),MATCH(T$1,[1]characters!$1:$1,0)-MATCH($A$1,[1]characters!$1:$1,0)+1,FALSE)</f>
        <v>偽愛の大公爵 フォルネウス</v>
      </c>
      <c r="U10" s="11">
        <v>200000</v>
      </c>
      <c r="V10"/>
    </row>
    <row r="11" spans="1:22" ht="21" customHeight="1" x14ac:dyDescent="0.15">
      <c r="A11" s="109">
        <v>237</v>
      </c>
      <c r="B11" s="5" t="str">
        <f ca="1">VLOOKUP($A11,OFFSET([1]characters!$A$1,0,0,COUNTA([1]characters!$A:$A),MATCH(B$1,[1]characters!$1:$1,0)-MATCH($A$1,[1]characters!$1:$1,0)+1),MATCH(B$1,[1]characters!$1:$1,0)-MATCH($A$1,[1]characters!$1:$1,0)+1,FALSE)</f>
        <v>森羅万象の神母 イザナミ</v>
      </c>
      <c r="C11" s="5" t="str">
        <f ca="1">VLOOKUP($A11,OFFSET([1]characters!$A$1,0,0,COUNTA([1]characters!$A:$A),MATCH(C$1,[1]characters!$1:$1,0)-MATCH($A$1,[1]characters!$1:$1,0)+1),MATCH(C$1,[1]characters!$1:$1,0)-MATCH($A$1,[1]characters!$1:$1,0)+1,FALSE)</f>
        <v>初期ガチャ</v>
      </c>
      <c r="D11" s="5" t="str">
        <f ca="1">VLOOKUP($A11,OFFSET([1]characters!$A$1,0,0,COUNTA([1]characters!$A:$A),MATCH(D$1,[1]characters!$1:$1,0)-MATCH($A$1,[1]characters!$1:$1,0)+1),MATCH(D$1,[1]characters!$1:$1,0)-MATCH($A$1,[1]characters!$1:$1,0)+1,FALSE)</f>
        <v>執行者</v>
      </c>
      <c r="E11" s="5" t="str">
        <f ca="1">VLOOKUP($A11,OFFSET([1]characters!$A$1,0,0,COUNTA([1]characters!$A:$A),MATCH(E$1,[1]characters!$1:$1,0)-MATCH($A$1,[1]characters!$1:$1,0)+1),MATCH(E$1,[1]characters!$1:$1,0)-MATCH($A$1,[1]characters!$1:$1,0)+1,FALSE)</f>
        <v>美しい</v>
      </c>
      <c r="F11" s="5" t="str">
        <f ca="1">VLOOKUP($A11,OFFSET([1]characters!$A$1,0,0,COUNTA([1]characters!$A:$A),MATCH(F$1,[1]characters!$1:$1,0)-MATCH($A$1,[1]characters!$1:$1,0)+1),MATCH(F$1,[1]characters!$1:$1,0)-MATCH($A$1,[1]characters!$1:$1,0)+1,FALSE)</f>
        <v>女性</v>
      </c>
      <c r="G11" s="5">
        <f ca="1">VLOOKUP($A11,OFFSET([1]characters!$A$1,0,0,COUNTA([1]characters!$A:$A),MATCH(G$1,[1]characters!$1:$1,0)-MATCH($A$1,[1]characters!$1:$1,0)+1),MATCH(G$1,[1]characters!$1:$1,0)-MATCH($A$1,[1]characters!$1:$1,0)+1,FALSE)</f>
        <v>5</v>
      </c>
      <c r="H11" s="5" t="str">
        <f ca="1">VLOOKUP($A11,OFFSET([1]characters!$A$1,0,0,COUNTA([1]characters!$A:$A),MATCH(H$1,[1]characters!$1:$1,0)-MATCH($A$1,[1]characters!$1:$1,0)+1),MATCH(H$1,[1]characters!$1:$1,0)-MATCH($A$1,[1]characters!$1:$1,0)+1,FALSE)</f>
        <v>PremiumS</v>
      </c>
      <c r="I11" s="5" t="str">
        <f ca="1">VLOOKUP($A11,OFFSET([1]characters!$A$1,0,0,COUNTA([1]characters!$A:$A),MATCH(I$1,[1]characters!$1:$1,0)-MATCH($A$1,[1]characters!$1:$1,0)+1),MATCH(I$1,[1]characters!$1:$1,0)-MATCH($A$1,[1]characters!$1:$1,0)+1,FALSE)</f>
        <v>yellow</v>
      </c>
      <c r="J11" s="5" t="str">
        <f ca="1">VLOOKUP($A11,OFFSET([1]characters!$A$1,0,0,COUNTA([1]characters!$A:$A),MATCH(J$1,[1]characters!$1:$1,0)-MATCH($A$1,[1]characters!$1:$1,0)+1),MATCH(J$1,[1]characters!$1:$1,0)-MATCH($A$1,[1]characters!$1:$1,0)+1,FALSE)</f>
        <v>none</v>
      </c>
      <c r="K11" s="5" t="str">
        <f ca="1">VLOOKUP(J11,[1]character_tribe_i18n!$A:$H,3,FALSE)</f>
        <v>種族なし</v>
      </c>
      <c r="L11" s="11" t="e">
        <f>VLOOKUP(#REF!,[1]character_tribe_i18n!$A:$H,4,FALSE)</f>
        <v>#REF!</v>
      </c>
      <c r="M11" s="11" t="e">
        <f>VLOOKUP(#REF!,[1]character_tribe_i18n!$A:$H,5,FALSE)</f>
        <v>#REF!</v>
      </c>
      <c r="N11" s="11" t="e">
        <f>VLOOKUP(#REF!,[1]character_tribe_i18n!$A:$H,6,FALSE)</f>
        <v>#REF!</v>
      </c>
      <c r="O11" s="11" t="e">
        <f>VLOOKUP(#REF!,[1]character_tribe_i18n!$A:$H,7,FALSE)</f>
        <v>#REF!</v>
      </c>
      <c r="P11" s="191" t="str">
        <f>VLOOKUP(Q11,[1]characters!$A:$T,20)</f>
        <v>super</v>
      </c>
      <c r="Q11" s="108">
        <v>1058</v>
      </c>
      <c r="R11" s="5" t="str">
        <f ca="1">IF(Q11="NULL","",VLOOKUP($Q11,OFFSET([1]characters!$A$1,0,0,COUNTA([1]characters!$A:$A),MATCH(R$1,[1]characters!$1:$1,0)-MATCH($A$1,[1]characters!$1:$1,0)+1),MATCH(R$1,[1]characters!$1:$1,0)-MATCH($A$1,[1]characters!$1:$1,0)+1,FALSE))</f>
        <v>黄泉守誘の命神母 イザナミ</v>
      </c>
      <c r="S11" s="5">
        <f t="shared" ca="1" si="0"/>
        <v>237</v>
      </c>
      <c r="T11" s="5" t="str">
        <f ca="1">VLOOKUP($S11,OFFSET([1]characters!$A$1,0,0,COUNTA([1]characters!$A:$A),MATCH(T$1,[1]characters!$1:$1,0)-MATCH($A$1,[1]characters!$1:$1,0)+1),MATCH(T$1,[1]characters!$1:$1,0)-MATCH($A$1,[1]characters!$1:$1,0)+1,FALSE)</f>
        <v>森羅万象の神母 イザナミ</v>
      </c>
      <c r="U11" s="11">
        <v>200000</v>
      </c>
      <c r="V11"/>
    </row>
    <row r="12" spans="1:22" ht="21" customHeight="1" x14ac:dyDescent="0.15">
      <c r="A12" s="109">
        <v>1058</v>
      </c>
      <c r="B12" s="5" t="str">
        <f ca="1">VLOOKUP($A12,OFFSET([1]characters!$A$1,0,0,COUNTA([1]characters!$A:$A),MATCH(B$1,[1]characters!$1:$1,0)-MATCH($A$1,[1]characters!$1:$1,0)+1),MATCH(B$1,[1]characters!$1:$1,0)-MATCH($A$1,[1]characters!$1:$1,0)+1,FALSE)</f>
        <v>黄泉守誘の命神母 イザナミ</v>
      </c>
      <c r="C12" s="5" t="str">
        <f ca="1">VLOOKUP($A12,OFFSET([1]characters!$A$1,0,0,COUNTA([1]characters!$A:$A),MATCH(C$1,[1]characters!$1:$1,0)-MATCH($A$1,[1]characters!$1:$1,0)+1),MATCH(C$1,[1]characters!$1:$1,0)-MATCH($A$1,[1]characters!$1:$1,0)+1,FALSE)</f>
        <v>イザナミ_分岐</v>
      </c>
      <c r="D12" s="5" t="str">
        <f ca="1">VLOOKUP($A12,OFFSET([1]characters!$A$1,0,0,COUNTA([1]characters!$A:$A),MATCH(D$1,[1]characters!$1:$1,0)-MATCH($A$1,[1]characters!$1:$1,0)+1),MATCH(D$1,[1]characters!$1:$1,0)-MATCH($A$1,[1]characters!$1:$1,0)+1,FALSE)</f>
        <v>執行者</v>
      </c>
      <c r="E12" s="5" t="str">
        <f ca="1">VLOOKUP($A12,OFFSET([1]characters!$A$1,0,0,COUNTA([1]characters!$A:$A),MATCH(E$1,[1]characters!$1:$1,0)-MATCH($A$1,[1]characters!$1:$1,0)+1),MATCH(E$1,[1]characters!$1:$1,0)-MATCH($A$1,[1]characters!$1:$1,0)+1,FALSE)</f>
        <v>格好いい</v>
      </c>
      <c r="F12" s="5" t="str">
        <f ca="1">VLOOKUP($A12,OFFSET([1]characters!$A$1,0,0,COUNTA([1]characters!$A:$A),MATCH(F$1,[1]characters!$1:$1,0)-MATCH($A$1,[1]characters!$1:$1,0)+1),MATCH(F$1,[1]characters!$1:$1,0)-MATCH($A$1,[1]characters!$1:$1,0)+1,FALSE)</f>
        <v>男性</v>
      </c>
      <c r="G12" s="5">
        <f ca="1">VLOOKUP($A12,OFFSET([1]characters!$A$1,0,0,COUNTA([1]characters!$A:$A),MATCH(G$1,[1]characters!$1:$1,0)-MATCH($A$1,[1]characters!$1:$1,0)+1),MATCH(G$1,[1]characters!$1:$1,0)-MATCH($A$1,[1]characters!$1:$1,0)+1,FALSE)</f>
        <v>6</v>
      </c>
      <c r="H12" s="5" t="str">
        <f ca="1">VLOOKUP($A12,OFFSET([1]characters!$A$1,0,0,COUNTA([1]characters!$A:$A),MATCH(H$1,[1]characters!$1:$1,0)-MATCH($A$1,[1]characters!$1:$1,0)+1),MATCH(H$1,[1]characters!$1:$1,0)-MATCH($A$1,[1]characters!$1:$1,0)+1,FALSE)</f>
        <v>PremiumS</v>
      </c>
      <c r="I12" s="5" t="str">
        <f ca="1">VLOOKUP($A12,OFFSET([1]characters!$A$1,0,0,COUNTA([1]characters!$A:$A),MATCH(I$1,[1]characters!$1:$1,0)-MATCH($A$1,[1]characters!$1:$1,0)+1),MATCH(I$1,[1]characters!$1:$1,0)-MATCH($A$1,[1]characters!$1:$1,0)+1,FALSE)</f>
        <v>yellow</v>
      </c>
      <c r="J12" s="5" t="str">
        <f ca="1">VLOOKUP($A12,OFFSET([1]characters!$A$1,0,0,COUNTA([1]characters!$A:$A),MATCH(J$1,[1]characters!$1:$1,0)-MATCH($A$1,[1]characters!$1:$1,0)+1),MATCH(J$1,[1]characters!$1:$1,0)-MATCH($A$1,[1]characters!$1:$1,0)+1,FALSE)</f>
        <v>none</v>
      </c>
      <c r="K12" s="5" t="str">
        <f ca="1">VLOOKUP(J12,[1]character_tribe_i18n!$A:$H,3,FALSE)</f>
        <v>種族なし</v>
      </c>
      <c r="L12" s="11" t="e">
        <f>VLOOKUP(#REF!,[1]character_tribe_i18n!$A:$H,4,FALSE)</f>
        <v>#REF!</v>
      </c>
      <c r="M12" s="11" t="e">
        <f>VLOOKUP(#REF!,[1]character_tribe_i18n!$A:$H,5,FALSE)</f>
        <v>#REF!</v>
      </c>
      <c r="N12" s="11" t="e">
        <f>VLOOKUP(#REF!,[1]character_tribe_i18n!$A:$H,6,FALSE)</f>
        <v>#REF!</v>
      </c>
      <c r="O12" s="11" t="e">
        <f>VLOOKUP(#REF!,[1]character_tribe_i18n!$A:$H,7,FALSE)</f>
        <v>#REF!</v>
      </c>
      <c r="P12" s="191" t="str">
        <f>VLOOKUP(Q12,[1]characters!$A:$T,20)</f>
        <v>normal</v>
      </c>
      <c r="Q12" s="108">
        <v>808</v>
      </c>
      <c r="R12" s="5" t="str">
        <f ca="1">IF(Q12="NULL","",VLOOKUP($Q12,OFFSET([1]characters!$A$1,0,0,COUNTA([1]characters!$A:$A),MATCH(R$1,[1]characters!$1:$1,0)-MATCH($A$1,[1]characters!$1:$1,0)+1),MATCH(R$1,[1]characters!$1:$1,0)-MATCH($A$1,[1]characters!$1:$1,0)+1,FALSE))</f>
        <v>天地万物の烈神母 イザナミ</v>
      </c>
      <c r="S12" s="5">
        <f t="shared" ca="1" si="0"/>
        <v>237</v>
      </c>
      <c r="T12" s="5" t="str">
        <f ca="1">VLOOKUP($S12,OFFSET([1]characters!$A$1,0,0,COUNTA([1]characters!$A:$A),MATCH(T$1,[1]characters!$1:$1,0)-MATCH($A$1,[1]characters!$1:$1,0)+1),MATCH(T$1,[1]characters!$1:$1,0)-MATCH($A$1,[1]characters!$1:$1,0)+1,FALSE)</f>
        <v>森羅万象の神母 イザナミ</v>
      </c>
      <c r="U12" s="11">
        <v>200000</v>
      </c>
      <c r="V12"/>
    </row>
    <row r="13" spans="1:22" ht="21" customHeight="1" x14ac:dyDescent="0.15">
      <c r="A13" s="109">
        <v>808</v>
      </c>
      <c r="B13" s="5" t="str">
        <f ca="1">VLOOKUP($A13,OFFSET([1]characters!$A$1,0,0,COUNTA([1]characters!$A:$A),MATCH(B$1,[1]characters!$1:$1,0)-MATCH($A$1,[1]characters!$1:$1,0)+1),MATCH(B$1,[1]characters!$1:$1,0)-MATCH($A$1,[1]characters!$1:$1,0)+1,FALSE)</f>
        <v>天地万物の烈神母 イザナミ</v>
      </c>
      <c r="C13" s="5" t="str">
        <f ca="1">VLOOKUP($A13,OFFSET([1]characters!$A$1,0,0,COUNTA([1]characters!$A:$A),MATCH(C$1,[1]characters!$1:$1,0)-MATCH($A$1,[1]characters!$1:$1,0)+1),MATCH(C$1,[1]characters!$1:$1,0)-MATCH($A$1,[1]characters!$1:$1,0)+1,FALSE)</f>
        <v>各属性相性良3・黄・R426</v>
      </c>
      <c r="D13" s="5" t="str">
        <f ca="1">VLOOKUP($A13,OFFSET([1]characters!$A$1,0,0,COUNTA([1]characters!$A:$A),MATCH(D$1,[1]characters!$1:$1,0)-MATCH($A$1,[1]characters!$1:$1,0)+1),MATCH(D$1,[1]characters!$1:$1,0)-MATCH($A$1,[1]characters!$1:$1,0)+1,FALSE)</f>
        <v>執行者</v>
      </c>
      <c r="E13" s="5" t="str">
        <f ca="1">VLOOKUP($A13,OFFSET([1]characters!$A$1,0,0,COUNTA([1]characters!$A:$A),MATCH(E$1,[1]characters!$1:$1,0)-MATCH($A$1,[1]characters!$1:$1,0)+1),MATCH(E$1,[1]characters!$1:$1,0)-MATCH($A$1,[1]characters!$1:$1,0)+1,FALSE)</f>
        <v>格好いい</v>
      </c>
      <c r="F13" s="5" t="str">
        <f ca="1">VLOOKUP($A13,OFFSET([1]characters!$A$1,0,0,COUNTA([1]characters!$A:$A),MATCH(F$1,[1]characters!$1:$1,0)-MATCH($A$1,[1]characters!$1:$1,0)+1),MATCH(F$1,[1]characters!$1:$1,0)-MATCH($A$1,[1]characters!$1:$1,0)+1,FALSE)</f>
        <v>男性</v>
      </c>
      <c r="G13" s="5">
        <f ca="1">VLOOKUP($A13,OFFSET([1]characters!$A$1,0,0,COUNTA([1]characters!$A:$A),MATCH(G$1,[1]characters!$1:$1,0)-MATCH($A$1,[1]characters!$1:$1,0)+1),MATCH(G$1,[1]characters!$1:$1,0)-MATCH($A$1,[1]characters!$1:$1,0)+1,FALSE)</f>
        <v>6</v>
      </c>
      <c r="H13" s="5" t="str">
        <f ca="1">VLOOKUP($A13,OFFSET([1]characters!$A$1,0,0,COUNTA([1]characters!$A:$A),MATCH(H$1,[1]characters!$1:$1,0)-MATCH($A$1,[1]characters!$1:$1,0)+1),MATCH(H$1,[1]characters!$1:$1,0)-MATCH($A$1,[1]characters!$1:$1,0)+1,FALSE)</f>
        <v>PremiumS</v>
      </c>
      <c r="I13" s="5" t="str">
        <f ca="1">VLOOKUP($A13,OFFSET([1]characters!$A$1,0,0,COUNTA([1]characters!$A:$A),MATCH(I$1,[1]characters!$1:$1,0)-MATCH($A$1,[1]characters!$1:$1,0)+1),MATCH(I$1,[1]characters!$1:$1,0)-MATCH($A$1,[1]characters!$1:$1,0)+1,FALSE)</f>
        <v>yellow</v>
      </c>
      <c r="J13" s="5" t="str">
        <f ca="1">VLOOKUP($A13,OFFSET([1]characters!$A$1,0,0,COUNTA([1]characters!$A:$A),MATCH(J$1,[1]characters!$1:$1,0)-MATCH($A$1,[1]characters!$1:$1,0)+1),MATCH(J$1,[1]characters!$1:$1,0)-MATCH($A$1,[1]characters!$1:$1,0)+1,FALSE)</f>
        <v>none</v>
      </c>
      <c r="K13" s="5" t="str">
        <f ca="1">VLOOKUP(J13,[1]character_tribe_i18n!$A:$H,3,FALSE)</f>
        <v>種族なし</v>
      </c>
      <c r="L13" s="11" t="e">
        <f>VLOOKUP(#REF!,[1]character_tribe_i18n!$A:$H,4,FALSE)</f>
        <v>#REF!</v>
      </c>
      <c r="M13" s="11" t="e">
        <f>VLOOKUP(#REF!,[1]character_tribe_i18n!$A:$H,5,FALSE)</f>
        <v>#REF!</v>
      </c>
      <c r="N13" s="11" t="e">
        <f>VLOOKUP(#REF!,[1]character_tribe_i18n!$A:$H,6,FALSE)</f>
        <v>#REF!</v>
      </c>
      <c r="O13" s="11" t="e">
        <f>VLOOKUP(#REF!,[1]character_tribe_i18n!$A:$H,7,FALSE)</f>
        <v>#REF!</v>
      </c>
      <c r="P13" s="191" t="str">
        <f>VLOOKUP(Q13,[1]characters!$A:$T,20)</f>
        <v>super</v>
      </c>
      <c r="Q13" s="108">
        <v>1058</v>
      </c>
      <c r="R13" s="5" t="str">
        <f ca="1">IF(Q13="NULL","",VLOOKUP($Q13,OFFSET([1]characters!$A$1,0,0,COUNTA([1]characters!$A:$A),MATCH(R$1,[1]characters!$1:$1,0)-MATCH($A$1,[1]characters!$1:$1,0)+1),MATCH(R$1,[1]characters!$1:$1,0)-MATCH($A$1,[1]characters!$1:$1,0)+1,FALSE))</f>
        <v>黄泉守誘の命神母 イザナミ</v>
      </c>
      <c r="S13" s="5">
        <f t="shared" ca="1" si="0"/>
        <v>237</v>
      </c>
      <c r="T13" s="5" t="str">
        <f ca="1">VLOOKUP($S13,OFFSET([1]characters!$A$1,0,0,COUNTA([1]characters!$A:$A),MATCH(T$1,[1]characters!$1:$1,0)-MATCH($A$1,[1]characters!$1:$1,0)+1),MATCH(T$1,[1]characters!$1:$1,0)-MATCH($A$1,[1]characters!$1:$1,0)+1,FALSE)</f>
        <v>森羅万象の神母 イザナミ</v>
      </c>
      <c r="U13" s="11">
        <v>200000</v>
      </c>
      <c r="V13"/>
    </row>
    <row r="14" spans="1:22" ht="21" customHeight="1" x14ac:dyDescent="0.15">
      <c r="A14" s="109">
        <v>379</v>
      </c>
      <c r="B14" s="5" t="str">
        <f ca="1">VLOOKUP($A14,OFFSET([1]characters!$A$1,0,0,COUNTA([1]characters!$A:$A),MATCH(B$1,[1]characters!$1:$1,0)-MATCH($A$1,[1]characters!$1:$1,0)+1),MATCH(B$1,[1]characters!$1:$1,0)-MATCH($A$1,[1]characters!$1:$1,0)+1,FALSE)</f>
        <v>幾何の機刃 オイラー</v>
      </c>
      <c r="C14" s="5" t="str">
        <f ca="1">VLOOKUP($A14,OFFSET([1]characters!$A$1,0,0,COUNTA([1]characters!$A:$A),MATCH(C$1,[1]characters!$1:$1,0)-MATCH($A$1,[1]characters!$1:$1,0)+1),MATCH(C$1,[1]characters!$1:$1,0)-MATCH($A$1,[1]characters!$1:$1,0)+1,FALSE)</f>
        <v>ガチャ:フィーバーフェス01</v>
      </c>
      <c r="D14" s="5" t="str">
        <f ca="1">VLOOKUP($A14,OFFSET([1]characters!$A$1,0,0,COUNTA([1]characters!$A:$A),MATCH(D$1,[1]characters!$1:$1,0)-MATCH($A$1,[1]characters!$1:$1,0)+1),MATCH(D$1,[1]characters!$1:$1,0)-MATCH($A$1,[1]characters!$1:$1,0)+1,FALSE)</f>
        <v>守護者</v>
      </c>
      <c r="E14" s="5" t="str">
        <f ca="1">VLOOKUP($A14,OFFSET([1]characters!$A$1,0,0,COUNTA([1]characters!$A:$A),MATCH(E$1,[1]characters!$1:$1,0)-MATCH($A$1,[1]characters!$1:$1,0)+1),MATCH(E$1,[1]characters!$1:$1,0)-MATCH($A$1,[1]characters!$1:$1,0)+1,FALSE)</f>
        <v>美しい</v>
      </c>
      <c r="F14" s="5" t="str">
        <f ca="1">VLOOKUP($A14,OFFSET([1]characters!$A$1,0,0,COUNTA([1]characters!$A:$A),MATCH(F$1,[1]characters!$1:$1,0)-MATCH($A$1,[1]characters!$1:$1,0)+1),MATCH(F$1,[1]characters!$1:$1,0)-MATCH($A$1,[1]characters!$1:$1,0)+1,FALSE)</f>
        <v>女性</v>
      </c>
      <c r="G14" s="5">
        <f ca="1">VLOOKUP($A14,OFFSET([1]characters!$A$1,0,0,COUNTA([1]characters!$A:$A),MATCH(G$1,[1]characters!$1:$1,0)-MATCH($A$1,[1]characters!$1:$1,0)+1),MATCH(G$1,[1]characters!$1:$1,0)-MATCH($A$1,[1]characters!$1:$1,0)+1,FALSE)</f>
        <v>5</v>
      </c>
      <c r="H14" s="5" t="str">
        <f ca="1">VLOOKUP($A14,OFFSET([1]characters!$A$1,0,0,COUNTA([1]characters!$A:$A),MATCH(H$1,[1]characters!$1:$1,0)-MATCH($A$1,[1]characters!$1:$1,0)+1),MATCH(H$1,[1]characters!$1:$1,0)-MATCH($A$1,[1]characters!$1:$1,0)+1,FALSE)</f>
        <v>PremiumSSS</v>
      </c>
      <c r="I14" s="5" t="str">
        <f ca="1">VLOOKUP($A14,OFFSET([1]characters!$A$1,0,0,COUNTA([1]characters!$A:$A),MATCH(I$1,[1]characters!$1:$1,0)-MATCH($A$1,[1]characters!$1:$1,0)+1),MATCH(I$1,[1]characters!$1:$1,0)-MATCH($A$1,[1]characters!$1:$1,0)+1,FALSE)</f>
        <v>green</v>
      </c>
      <c r="J14" s="5" t="str">
        <f ca="1">VLOOKUP($A14,OFFSET([1]characters!$A$1,0,0,COUNTA([1]characters!$A:$A),MATCH(J$1,[1]characters!$1:$1,0)-MATCH($A$1,[1]characters!$1:$1,0)+1),MATCH(J$1,[1]characters!$1:$1,0)-MATCH($A$1,[1]characters!$1:$1,0)+1,FALSE)</f>
        <v>none</v>
      </c>
      <c r="K14" s="5" t="str">
        <f ca="1">VLOOKUP(J14,[1]character_tribe_i18n!$A:$H,3,FALSE)</f>
        <v>種族なし</v>
      </c>
      <c r="L14" s="11" t="e">
        <f>VLOOKUP(#REF!,[1]character_tribe_i18n!$A:$H,4,FALSE)</f>
        <v>#REF!</v>
      </c>
      <c r="M14" s="11" t="e">
        <f>VLOOKUP(#REF!,[1]character_tribe_i18n!$A:$H,5,FALSE)</f>
        <v>#REF!</v>
      </c>
      <c r="N14" s="11" t="e">
        <f>VLOOKUP(#REF!,[1]character_tribe_i18n!$A:$H,6,FALSE)</f>
        <v>#REF!</v>
      </c>
      <c r="O14" s="11" t="e">
        <f>VLOOKUP(#REF!,[1]character_tribe_i18n!$A:$H,7,FALSE)</f>
        <v>#REF!</v>
      </c>
      <c r="P14" s="191" t="str">
        <f>VLOOKUP(Q14,[1]characters!$A:$T,20)</f>
        <v>super</v>
      </c>
      <c r="Q14" s="108">
        <v>1121</v>
      </c>
      <c r="R14" s="5" t="str">
        <f ca="1">IF(Q14="NULL","",VLOOKUP($Q14,OFFSET([1]characters!$A$1,0,0,COUNTA([1]characters!$A:$A),MATCH(R$1,[1]characters!$1:$1,0)-MATCH($A$1,[1]characters!$1:$1,0)+1),MATCH(R$1,[1]characters!$1:$1,0)-MATCH($A$1,[1]characters!$1:$1,0)+1,FALSE))</f>
        <v>逆燦の機閃刃 オイラー</v>
      </c>
      <c r="S14" s="5">
        <f t="shared" ref="S14:S16" ca="1" si="1">IF(ISNA(MATCH(A14,Q:Q,0)),A14,INDIRECT(ADDRESS(MATCH(A14,Q:Q,0),COLUMN())))</f>
        <v>379</v>
      </c>
      <c r="T14" s="5" t="str">
        <f ca="1">VLOOKUP($S14,OFFSET([1]characters!$A$1,0,0,COUNTA([1]characters!$A:$A),MATCH(T$1,[1]characters!$1:$1,0)-MATCH($A$1,[1]characters!$1:$1,0)+1),MATCH(T$1,[1]characters!$1:$1,0)-MATCH($A$1,[1]characters!$1:$1,0)+1,FALSE)</f>
        <v>幾何の機刃 オイラー</v>
      </c>
      <c r="U14" s="11">
        <v>200000</v>
      </c>
      <c r="V14"/>
    </row>
    <row r="15" spans="1:22" ht="21" customHeight="1" x14ac:dyDescent="0.15">
      <c r="A15" s="109">
        <v>798</v>
      </c>
      <c r="B15" s="5" t="str">
        <f ca="1">VLOOKUP($A15,OFFSET([1]characters!$A$1,0,0,COUNTA([1]characters!$A:$A),MATCH(B$1,[1]characters!$1:$1,0)-MATCH($A$1,[1]characters!$1:$1,0)+1),MATCH(B$1,[1]characters!$1:$1,0)-MATCH($A$1,[1]characters!$1:$1,0)+1,FALSE)</f>
        <v>煌式の大機刃 オイラー</v>
      </c>
      <c r="C15" s="5" t="str">
        <f ca="1">VLOOKUP($A15,OFFSET([1]characters!$A$1,0,0,COUNTA([1]characters!$A:$A),MATCH(C$1,[1]characters!$1:$1,0)-MATCH($A$1,[1]characters!$1:$1,0)+1),MATCH(C$1,[1]characters!$1:$1,0)-MATCH($A$1,[1]characters!$1:$1,0)+1,FALSE)</f>
        <v>各属性相性良3・黄・R416</v>
      </c>
      <c r="D15" s="5" t="str">
        <f ca="1">VLOOKUP($A15,OFFSET([1]characters!$A$1,0,0,COUNTA([1]characters!$A:$A),MATCH(D$1,[1]characters!$1:$1,0)-MATCH($A$1,[1]characters!$1:$1,0)+1),MATCH(D$1,[1]characters!$1:$1,0)-MATCH($A$1,[1]characters!$1:$1,0)+1,FALSE)</f>
        <v>執行者</v>
      </c>
      <c r="E15" s="5" t="str">
        <f ca="1">VLOOKUP($A15,OFFSET([1]characters!$A$1,0,0,COUNTA([1]characters!$A:$A),MATCH(E$1,[1]characters!$1:$1,0)-MATCH($A$1,[1]characters!$1:$1,0)+1),MATCH(E$1,[1]characters!$1:$1,0)-MATCH($A$1,[1]characters!$1:$1,0)+1,FALSE)</f>
        <v>格好いい</v>
      </c>
      <c r="F15" s="5" t="str">
        <f ca="1">VLOOKUP($A15,OFFSET([1]characters!$A$1,0,0,COUNTA([1]characters!$A:$A),MATCH(F$1,[1]characters!$1:$1,0)-MATCH($A$1,[1]characters!$1:$1,0)+1),MATCH(F$1,[1]characters!$1:$1,0)-MATCH($A$1,[1]characters!$1:$1,0)+1,FALSE)</f>
        <v>男性</v>
      </c>
      <c r="G15" s="5">
        <f ca="1">VLOOKUP($A15,OFFSET([1]characters!$A$1,0,0,COUNTA([1]characters!$A:$A),MATCH(G$1,[1]characters!$1:$1,0)-MATCH($A$1,[1]characters!$1:$1,0)+1),MATCH(G$1,[1]characters!$1:$1,0)-MATCH($A$1,[1]characters!$1:$1,0)+1,FALSE)</f>
        <v>6</v>
      </c>
      <c r="H15" s="5" t="str">
        <f ca="1">VLOOKUP($A15,OFFSET([1]characters!$A$1,0,0,COUNTA([1]characters!$A:$A),MATCH(H$1,[1]characters!$1:$1,0)-MATCH($A$1,[1]characters!$1:$1,0)+1),MATCH(H$1,[1]characters!$1:$1,0)-MATCH($A$1,[1]characters!$1:$1,0)+1,FALSE)</f>
        <v>PremiumSSS</v>
      </c>
      <c r="I15" s="5" t="str">
        <f ca="1">VLOOKUP($A15,OFFSET([1]characters!$A$1,0,0,COUNTA([1]characters!$A:$A),MATCH(I$1,[1]characters!$1:$1,0)-MATCH($A$1,[1]characters!$1:$1,0)+1),MATCH(I$1,[1]characters!$1:$1,0)-MATCH($A$1,[1]characters!$1:$1,0)+1,FALSE)</f>
        <v>green</v>
      </c>
      <c r="J15" s="5" t="str">
        <f ca="1">VLOOKUP($A15,OFFSET([1]characters!$A$1,0,0,COUNTA([1]characters!$A:$A),MATCH(J$1,[1]characters!$1:$1,0)-MATCH($A$1,[1]characters!$1:$1,0)+1),MATCH(J$1,[1]characters!$1:$1,0)-MATCH($A$1,[1]characters!$1:$1,0)+1,FALSE)</f>
        <v>none</v>
      </c>
      <c r="K15" s="5" t="str">
        <f ca="1">VLOOKUP(J15,[1]character_tribe_i18n!$A:$H,3,FALSE)</f>
        <v>種族なし</v>
      </c>
      <c r="L15" s="11" t="e">
        <f>VLOOKUP(#REF!,[1]character_tribe_i18n!$A:$H,4,FALSE)</f>
        <v>#REF!</v>
      </c>
      <c r="M15" s="11" t="e">
        <f>VLOOKUP(#REF!,[1]character_tribe_i18n!$A:$H,5,FALSE)</f>
        <v>#REF!</v>
      </c>
      <c r="N15" s="11" t="e">
        <f>VLOOKUP(#REF!,[1]character_tribe_i18n!$A:$H,6,FALSE)</f>
        <v>#REF!</v>
      </c>
      <c r="O15" s="11" t="e">
        <f>VLOOKUP(#REF!,[1]character_tribe_i18n!$A:$H,7,FALSE)</f>
        <v>#REF!</v>
      </c>
      <c r="P15" s="191" t="str">
        <f>VLOOKUP(Q15,[1]characters!$A:$T,20)</f>
        <v>super</v>
      </c>
      <c r="Q15" s="108">
        <v>1121</v>
      </c>
      <c r="R15" s="5" t="str">
        <f ca="1">IF(Q15="NULL","",VLOOKUP($Q15,OFFSET([1]characters!$A$1,0,0,COUNTA([1]characters!$A:$A),MATCH(R$1,[1]characters!$1:$1,0)-MATCH($A$1,[1]characters!$1:$1,0)+1),MATCH(R$1,[1]characters!$1:$1,0)-MATCH($A$1,[1]characters!$1:$1,0)+1,FALSE))</f>
        <v>逆燦の機閃刃 オイラー</v>
      </c>
      <c r="S15" s="5">
        <f t="shared" ca="1" si="1"/>
        <v>379</v>
      </c>
      <c r="T15" s="5" t="str">
        <f ca="1">VLOOKUP($S15,OFFSET([1]characters!$A$1,0,0,COUNTA([1]characters!$A:$A),MATCH(T$1,[1]characters!$1:$1,0)-MATCH($A$1,[1]characters!$1:$1,0)+1),MATCH(T$1,[1]characters!$1:$1,0)-MATCH($A$1,[1]characters!$1:$1,0)+1,FALSE)</f>
        <v>幾何の機刃 オイラー</v>
      </c>
      <c r="U15" s="11">
        <v>200000</v>
      </c>
      <c r="V15"/>
    </row>
    <row r="16" spans="1:22" ht="21" customHeight="1" x14ac:dyDescent="0.15">
      <c r="A16" s="109">
        <v>1121</v>
      </c>
      <c r="B16" s="5" t="str">
        <f ca="1">VLOOKUP($A16,OFFSET([1]characters!$A$1,0,0,COUNTA([1]characters!$A:$A),MATCH(B$1,[1]characters!$1:$1,0)-MATCH($A$1,[1]characters!$1:$1,0)+1),MATCH(B$1,[1]characters!$1:$1,0)-MATCH($A$1,[1]characters!$1:$1,0)+1,FALSE)</f>
        <v>逆燦の機閃刃 オイラー</v>
      </c>
      <c r="C16" s="5" t="str">
        <f ca="1">VLOOKUP($A16,OFFSET([1]characters!$A$1,0,0,COUNTA([1]characters!$A:$A),MATCH(C$1,[1]characters!$1:$1,0)-MATCH($A$1,[1]characters!$1:$1,0)+1),MATCH(C$1,[1]characters!$1:$1,0)-MATCH($A$1,[1]characters!$1:$1,0)+1,FALSE)</f>
        <v>未定</v>
      </c>
      <c r="D16" s="5" t="str">
        <f ca="1">VLOOKUP($A16,OFFSET([1]characters!$A$1,0,0,COUNTA([1]characters!$A:$A),MATCH(D$1,[1]characters!$1:$1,0)-MATCH($A$1,[1]characters!$1:$1,0)+1),MATCH(D$1,[1]characters!$1:$1,0)-MATCH($A$1,[1]characters!$1:$1,0)+1,FALSE)</f>
        <v>アリス</v>
      </c>
      <c r="E16" s="5" t="str">
        <f ca="1">VLOOKUP($A16,OFFSET([1]characters!$A$1,0,0,COUNTA([1]characters!$A:$A),MATCH(E$1,[1]characters!$1:$1,0)-MATCH($A$1,[1]characters!$1:$1,0)+1),MATCH(E$1,[1]characters!$1:$1,0)-MATCH($A$1,[1]characters!$1:$1,0)+1,FALSE)</f>
        <v>世界観</v>
      </c>
      <c r="F16" s="5" t="str">
        <f ca="1">VLOOKUP($A16,OFFSET([1]characters!$A$1,0,0,COUNTA([1]characters!$A:$A),MATCH(F$1,[1]characters!$1:$1,0)-MATCH($A$1,[1]characters!$1:$1,0)+1),MATCH(F$1,[1]characters!$1:$1,0)-MATCH($A$1,[1]characters!$1:$1,0)+1,FALSE)</f>
        <v>不明</v>
      </c>
      <c r="G16" s="5">
        <f ca="1">VLOOKUP($A16,OFFSET([1]characters!$A$1,0,0,COUNTA([1]characters!$A:$A),MATCH(G$1,[1]characters!$1:$1,0)-MATCH($A$1,[1]characters!$1:$1,0)+1),MATCH(G$1,[1]characters!$1:$1,0)-MATCH($A$1,[1]characters!$1:$1,0)+1,FALSE)</f>
        <v>6</v>
      </c>
      <c r="H16" s="5" t="str">
        <f ca="1">VLOOKUP($A16,OFFSET([1]characters!$A$1,0,0,COUNTA([1]characters!$A:$A),MATCH(H$1,[1]characters!$1:$1,0)-MATCH($A$1,[1]characters!$1:$1,0)+1),MATCH(H$1,[1]characters!$1:$1,0)-MATCH($A$1,[1]characters!$1:$1,0)+1,FALSE)</f>
        <v>PremiumSSS</v>
      </c>
      <c r="I16" s="5" t="str">
        <f ca="1">VLOOKUP($A16,OFFSET([1]characters!$A$1,0,0,COUNTA([1]characters!$A:$A),MATCH(I$1,[1]characters!$1:$1,0)-MATCH($A$1,[1]characters!$1:$1,0)+1),MATCH(I$1,[1]characters!$1:$1,0)-MATCH($A$1,[1]characters!$1:$1,0)+1,FALSE)</f>
        <v>green</v>
      </c>
      <c r="J16" s="5" t="str">
        <f ca="1">VLOOKUP($A16,OFFSET([1]characters!$A$1,0,0,COUNTA([1]characters!$A:$A),MATCH(J$1,[1]characters!$1:$1,0)-MATCH($A$1,[1]characters!$1:$1,0)+1),MATCH(J$1,[1]characters!$1:$1,0)-MATCH($A$1,[1]characters!$1:$1,0)+1,FALSE)</f>
        <v>none</v>
      </c>
      <c r="K16" s="5" t="str">
        <f ca="1">VLOOKUP(J16,[1]character_tribe_i18n!$A:$H,3,FALSE)</f>
        <v>種族なし</v>
      </c>
      <c r="L16" s="11" t="e">
        <f>VLOOKUP(#REF!,[1]character_tribe_i18n!$A:$H,4,FALSE)</f>
        <v>#REF!</v>
      </c>
      <c r="M16" s="11" t="e">
        <f>VLOOKUP(#REF!,[1]character_tribe_i18n!$A:$H,5,FALSE)</f>
        <v>#REF!</v>
      </c>
      <c r="N16" s="11" t="e">
        <f>VLOOKUP(#REF!,[1]character_tribe_i18n!$A:$H,6,FALSE)</f>
        <v>#REF!</v>
      </c>
      <c r="O16" s="11" t="e">
        <f>VLOOKUP(#REF!,[1]character_tribe_i18n!$A:$H,7,FALSE)</f>
        <v>#REF!</v>
      </c>
      <c r="P16" s="191" t="str">
        <f>VLOOKUP(Q16,[1]characters!$A:$T,20)</f>
        <v>normal</v>
      </c>
      <c r="Q16" s="108">
        <v>798</v>
      </c>
      <c r="R16" s="5" t="str">
        <f ca="1">IF(Q16="NULL","",VLOOKUP($Q16,OFFSET([1]characters!$A$1,0,0,COUNTA([1]characters!$A:$A),MATCH(R$1,[1]characters!$1:$1,0)-MATCH($A$1,[1]characters!$1:$1,0)+1),MATCH(R$1,[1]characters!$1:$1,0)-MATCH($A$1,[1]characters!$1:$1,0)+1,FALSE))</f>
        <v>煌式の大機刃 オイラー</v>
      </c>
      <c r="S16" s="5">
        <f t="shared" ca="1" si="1"/>
        <v>379</v>
      </c>
      <c r="T16" s="5" t="str">
        <f ca="1">VLOOKUP($S16,OFFSET([1]characters!$A$1,0,0,COUNTA([1]characters!$A:$A),MATCH(T$1,[1]characters!$1:$1,0)-MATCH($A$1,[1]characters!$1:$1,0)+1),MATCH(T$1,[1]characters!$1:$1,0)-MATCH($A$1,[1]characters!$1:$1,0)+1,FALSE)</f>
        <v>幾何の機刃 オイラー</v>
      </c>
      <c r="U16" s="11">
        <v>200000</v>
      </c>
      <c r="V16"/>
    </row>
    <row r="17" spans="1:22" ht="21" customHeight="1" x14ac:dyDescent="0.15">
      <c r="A17" s="109">
        <v>485</v>
      </c>
      <c r="B17" s="5" t="str">
        <f ca="1">VLOOKUP($A17,OFFSET([1]characters!$A$1,0,0,COUNTA([1]characters!$A:$A),MATCH(B$1,[1]characters!$1:$1,0)-MATCH($A$1,[1]characters!$1:$1,0)+1),MATCH(B$1,[1]characters!$1:$1,0)-MATCH($A$1,[1]characters!$1:$1,0)+1,FALSE)</f>
        <v>超越自我 ラグランジュ</v>
      </c>
      <c r="C17" s="5" t="str">
        <f ca="1">VLOOKUP($A17,OFFSET([1]characters!$A$1,0,0,COUNTA([1]characters!$A:$A),MATCH(C$1,[1]characters!$1:$1,0)-MATCH($A$1,[1]characters!$1:$1,0)+1),MATCH(C$1,[1]characters!$1:$1,0)-MATCH($A$1,[1]characters!$1:$1,0)+1,FALSE)</f>
        <v>ガチャ:フィーバーフェス02</v>
      </c>
      <c r="D17" s="5" t="str">
        <f ca="1">VLOOKUP($A17,OFFSET([1]characters!$A$1,0,0,COUNTA([1]characters!$A:$A),MATCH(D$1,[1]characters!$1:$1,0)-MATCH($A$1,[1]characters!$1:$1,0)+1),MATCH(D$1,[1]characters!$1:$1,0)-MATCH($A$1,[1]characters!$1:$1,0)+1,FALSE)</f>
        <v>執行者</v>
      </c>
      <c r="E17" s="5" t="str">
        <f ca="1">VLOOKUP($A17,OFFSET([1]characters!$A$1,0,0,COUNTA([1]characters!$A:$A),MATCH(E$1,[1]characters!$1:$1,0)-MATCH($A$1,[1]characters!$1:$1,0)+1),MATCH(E$1,[1]characters!$1:$1,0)-MATCH($A$1,[1]characters!$1:$1,0)+1,FALSE)</f>
        <v>格好いい</v>
      </c>
      <c r="F17" s="5" t="str">
        <f ca="1">VLOOKUP($A17,OFFSET([1]characters!$A$1,0,0,COUNTA([1]characters!$A:$A),MATCH(F$1,[1]characters!$1:$1,0)-MATCH($A$1,[1]characters!$1:$1,0)+1),MATCH(F$1,[1]characters!$1:$1,0)-MATCH($A$1,[1]characters!$1:$1,0)+1,FALSE)</f>
        <v>女性</v>
      </c>
      <c r="G17" s="5">
        <f ca="1">VLOOKUP($A17,OFFSET([1]characters!$A$1,0,0,COUNTA([1]characters!$A:$A),MATCH(G$1,[1]characters!$1:$1,0)-MATCH($A$1,[1]characters!$1:$1,0)+1),MATCH(G$1,[1]characters!$1:$1,0)-MATCH($A$1,[1]characters!$1:$1,0)+1,FALSE)</f>
        <v>5</v>
      </c>
      <c r="H17" s="5" t="str">
        <f ca="1">VLOOKUP($A17,OFFSET([1]characters!$A$1,0,0,COUNTA([1]characters!$A:$A),MATCH(H$1,[1]characters!$1:$1,0)-MATCH($A$1,[1]characters!$1:$1,0)+1),MATCH(H$1,[1]characters!$1:$1,0)-MATCH($A$1,[1]characters!$1:$1,0)+1,FALSE)</f>
        <v>PremiumSSS</v>
      </c>
      <c r="I17" s="5" t="str">
        <f ca="1">VLOOKUP($A17,OFFSET([1]characters!$A$1,0,0,COUNTA([1]characters!$A:$A),MATCH(I$1,[1]characters!$1:$1,0)-MATCH($A$1,[1]characters!$1:$1,0)+1),MATCH(I$1,[1]characters!$1:$1,0)-MATCH($A$1,[1]characters!$1:$1,0)+1,FALSE)</f>
        <v>red</v>
      </c>
      <c r="J17" s="5" t="str">
        <f ca="1">VLOOKUP($A17,OFFSET([1]characters!$A$1,0,0,COUNTA([1]characters!$A:$A),MATCH(J$1,[1]characters!$1:$1,0)-MATCH($A$1,[1]characters!$1:$1,0)+1),MATCH(J$1,[1]characters!$1:$1,0)-MATCH($A$1,[1]characters!$1:$1,0)+1,FALSE)</f>
        <v>none</v>
      </c>
      <c r="K17" s="5" t="str">
        <f ca="1">VLOOKUP(J17,[1]character_tribe_i18n!$A:$H,3,FALSE)</f>
        <v>種族なし</v>
      </c>
      <c r="L17" s="11" t="e">
        <f>VLOOKUP(#REF!,[1]character_tribe_i18n!$A:$H,4,FALSE)</f>
        <v>#REF!</v>
      </c>
      <c r="M17" s="11" t="e">
        <f>VLOOKUP(#REF!,[1]character_tribe_i18n!$A:$H,5,FALSE)</f>
        <v>#REF!</v>
      </c>
      <c r="N17" s="11" t="e">
        <f>VLOOKUP(#REF!,[1]character_tribe_i18n!$A:$H,6,FALSE)</f>
        <v>#REF!</v>
      </c>
      <c r="O17" s="11" t="e">
        <f>VLOOKUP(#REF!,[1]character_tribe_i18n!$A:$H,7,FALSE)</f>
        <v>#REF!</v>
      </c>
      <c r="P17" s="191" t="str">
        <f>VLOOKUP(Q17,[1]characters!$A:$T,20)</f>
        <v>super</v>
      </c>
      <c r="Q17" s="109">
        <v>1124</v>
      </c>
      <c r="R17" s="5" t="str">
        <f ca="1">IF(Q17="NULL","",VLOOKUP($Q17,OFFSET([1]characters!$A$1,0,0,COUNTA([1]characters!$A:$A),MATCH(R$1,[1]characters!$1:$1,0)-MATCH($A$1,[1]characters!$1:$1,0)+1),MATCH(R$1,[1]characters!$1:$1,0)-MATCH($A$1,[1]characters!$1:$1,0)+1,FALSE))</f>
        <v>超絶界析 ラグランジュ</v>
      </c>
      <c r="S17" s="5">
        <f t="shared" ref="S17:S22" ca="1" si="2">IF(ISNA(MATCH(A17,Q:Q,0)),A17,INDIRECT(ADDRESS(MATCH(A17,Q:Q,0),COLUMN())))</f>
        <v>485</v>
      </c>
      <c r="T17" s="5" t="str">
        <f ca="1">VLOOKUP($S17,OFFSET([1]characters!$A$1,0,0,COUNTA([1]characters!$A:$A),MATCH(T$1,[1]characters!$1:$1,0)-MATCH($A$1,[1]characters!$1:$1,0)+1),MATCH(T$1,[1]characters!$1:$1,0)-MATCH($A$1,[1]characters!$1:$1,0)+1,FALSE)</f>
        <v>超越自我 ラグランジュ</v>
      </c>
      <c r="U17" s="11">
        <v>200000</v>
      </c>
      <c r="V17"/>
    </row>
    <row r="18" spans="1:22" ht="21" customHeight="1" x14ac:dyDescent="0.15">
      <c r="A18" s="109">
        <v>796</v>
      </c>
      <c r="B18" s="5" t="str">
        <f ca="1">VLOOKUP($A18,OFFSET([1]characters!$A$1,0,0,COUNTA([1]characters!$A:$A),MATCH(B$1,[1]characters!$1:$1,0)-MATCH($A$1,[1]characters!$1:$1,0)+1),MATCH(B$1,[1]characters!$1:$1,0)-MATCH($A$1,[1]characters!$1:$1,0)+1,FALSE)</f>
        <v>超越凌駕 ラグランジュ</v>
      </c>
      <c r="C18" s="5" t="str">
        <f ca="1">VLOOKUP($A18,OFFSET([1]characters!$A$1,0,0,COUNTA([1]characters!$A:$A),MATCH(C$1,[1]characters!$1:$1,0)-MATCH($A$1,[1]characters!$1:$1,0)+1),MATCH(C$1,[1]characters!$1:$1,0)-MATCH($A$1,[1]characters!$1:$1,0)+1,FALSE)</f>
        <v>ガチャ:フィーバーフェス02</v>
      </c>
      <c r="D18" s="5" t="str">
        <f ca="1">VLOOKUP($A18,OFFSET([1]characters!$A$1,0,0,COUNTA([1]characters!$A:$A),MATCH(D$1,[1]characters!$1:$1,0)-MATCH($A$1,[1]characters!$1:$1,0)+1),MATCH(D$1,[1]characters!$1:$1,0)-MATCH($A$1,[1]characters!$1:$1,0)+1,FALSE)</f>
        <v>執行者</v>
      </c>
      <c r="E18" s="5" t="str">
        <f ca="1">VLOOKUP($A18,OFFSET([1]characters!$A$1,0,0,COUNTA([1]characters!$A:$A),MATCH(E$1,[1]characters!$1:$1,0)-MATCH($A$1,[1]characters!$1:$1,0)+1),MATCH(E$1,[1]characters!$1:$1,0)-MATCH($A$1,[1]characters!$1:$1,0)+1,FALSE)</f>
        <v>格好いい</v>
      </c>
      <c r="F18" s="5" t="str">
        <f ca="1">VLOOKUP($A18,OFFSET([1]characters!$A$1,0,0,COUNTA([1]characters!$A:$A),MATCH(F$1,[1]characters!$1:$1,0)-MATCH($A$1,[1]characters!$1:$1,0)+1),MATCH(F$1,[1]characters!$1:$1,0)-MATCH($A$1,[1]characters!$1:$1,0)+1,FALSE)</f>
        <v>男性</v>
      </c>
      <c r="G18" s="5">
        <f ca="1">VLOOKUP($A18,OFFSET([1]characters!$A$1,0,0,COUNTA([1]characters!$A:$A),MATCH(G$1,[1]characters!$1:$1,0)-MATCH($A$1,[1]characters!$1:$1,0)+1),MATCH(G$1,[1]characters!$1:$1,0)-MATCH($A$1,[1]characters!$1:$1,0)+1,FALSE)</f>
        <v>6</v>
      </c>
      <c r="H18" s="5" t="str">
        <f ca="1">VLOOKUP($A18,OFFSET([1]characters!$A$1,0,0,COUNTA([1]characters!$A:$A),MATCH(H$1,[1]characters!$1:$1,0)-MATCH($A$1,[1]characters!$1:$1,0)+1),MATCH(H$1,[1]characters!$1:$1,0)-MATCH($A$1,[1]characters!$1:$1,0)+1,FALSE)</f>
        <v>PremiumSSS</v>
      </c>
      <c r="I18" s="5" t="str">
        <f ca="1">VLOOKUP($A18,OFFSET([1]characters!$A$1,0,0,COUNTA([1]characters!$A:$A),MATCH(I$1,[1]characters!$1:$1,0)-MATCH($A$1,[1]characters!$1:$1,0)+1),MATCH(I$1,[1]characters!$1:$1,0)-MATCH($A$1,[1]characters!$1:$1,0)+1,FALSE)</f>
        <v>red</v>
      </c>
      <c r="J18" s="5" t="str">
        <f ca="1">VLOOKUP($A18,OFFSET([1]characters!$A$1,0,0,COUNTA([1]characters!$A:$A),MATCH(J$1,[1]characters!$1:$1,0)-MATCH($A$1,[1]characters!$1:$1,0)+1),MATCH(J$1,[1]characters!$1:$1,0)-MATCH($A$1,[1]characters!$1:$1,0)+1,FALSE)</f>
        <v>none</v>
      </c>
      <c r="K18" s="5" t="str">
        <f ca="1">VLOOKUP(J18,[1]character_tribe_i18n!$A:$H,3,FALSE)</f>
        <v>種族なし</v>
      </c>
      <c r="L18" s="11" t="e">
        <f>VLOOKUP(#REF!,[1]character_tribe_i18n!$A:$H,4,FALSE)</f>
        <v>#REF!</v>
      </c>
      <c r="M18" s="11" t="e">
        <f>VLOOKUP(#REF!,[1]character_tribe_i18n!$A:$H,5,FALSE)</f>
        <v>#REF!</v>
      </c>
      <c r="N18" s="11" t="e">
        <f>VLOOKUP(#REF!,[1]character_tribe_i18n!$A:$H,6,FALSE)</f>
        <v>#REF!</v>
      </c>
      <c r="O18" s="11" t="e">
        <f>VLOOKUP(#REF!,[1]character_tribe_i18n!$A:$H,7,FALSE)</f>
        <v>#REF!</v>
      </c>
      <c r="P18" s="191" t="str">
        <f>VLOOKUP(Q18,[1]characters!$A:$T,20)</f>
        <v>super</v>
      </c>
      <c r="Q18" s="109">
        <v>1124</v>
      </c>
      <c r="R18" s="5" t="str">
        <f ca="1">IF(Q18="NULL","",VLOOKUP($Q18,OFFSET([1]characters!$A$1,0,0,COUNTA([1]characters!$A:$A),MATCH(R$1,[1]characters!$1:$1,0)-MATCH($A$1,[1]characters!$1:$1,0)+1),MATCH(R$1,[1]characters!$1:$1,0)-MATCH($A$1,[1]characters!$1:$1,0)+1,FALSE))</f>
        <v>超絶界析 ラグランジュ</v>
      </c>
      <c r="S18" s="5">
        <f t="shared" ca="1" si="2"/>
        <v>485</v>
      </c>
      <c r="T18" s="5" t="str">
        <f ca="1">VLOOKUP($S18,OFFSET([1]characters!$A$1,0,0,COUNTA([1]characters!$A:$A),MATCH(T$1,[1]characters!$1:$1,0)-MATCH($A$1,[1]characters!$1:$1,0)+1),MATCH(T$1,[1]characters!$1:$1,0)-MATCH($A$1,[1]characters!$1:$1,0)+1,FALSE)</f>
        <v>超越自我 ラグランジュ</v>
      </c>
      <c r="U18" s="11">
        <v>200000</v>
      </c>
      <c r="V18"/>
    </row>
    <row r="19" spans="1:22" ht="21" customHeight="1" x14ac:dyDescent="0.15">
      <c r="A19" s="109">
        <v>1124</v>
      </c>
      <c r="B19" s="5" t="str">
        <f ca="1">VLOOKUP($A19,OFFSET([1]characters!$A$1,0,0,COUNTA([1]characters!$A:$A),MATCH(B$1,[1]characters!$1:$1,0)-MATCH($A$1,[1]characters!$1:$1,0)+1),MATCH(B$1,[1]characters!$1:$1,0)-MATCH($A$1,[1]characters!$1:$1,0)+1,FALSE)</f>
        <v>超絶界析 ラグランジュ</v>
      </c>
      <c r="C19" s="5" t="str">
        <f ca="1">VLOOKUP($A19,OFFSET([1]characters!$A$1,0,0,COUNTA([1]characters!$A:$A),MATCH(C$1,[1]characters!$1:$1,0)-MATCH($A$1,[1]characters!$1:$1,0)+1),MATCH(C$1,[1]characters!$1:$1,0)-MATCH($A$1,[1]characters!$1:$1,0)+1,FALSE)</f>
        <v>未定</v>
      </c>
      <c r="D19" s="5" t="str">
        <f ca="1">VLOOKUP($A19,OFFSET([1]characters!$A$1,0,0,COUNTA([1]characters!$A:$A),MATCH(D$1,[1]characters!$1:$1,0)-MATCH($A$1,[1]characters!$1:$1,0)+1),MATCH(D$1,[1]characters!$1:$1,0)-MATCH($A$1,[1]characters!$1:$1,0)+1,FALSE)</f>
        <v>アリス</v>
      </c>
      <c r="E19" s="5" t="str">
        <f ca="1">VLOOKUP($A19,OFFSET([1]characters!$A$1,0,0,COUNTA([1]characters!$A:$A),MATCH(E$1,[1]characters!$1:$1,0)-MATCH($A$1,[1]characters!$1:$1,0)+1),MATCH(E$1,[1]characters!$1:$1,0)-MATCH($A$1,[1]characters!$1:$1,0)+1,FALSE)</f>
        <v>世界観</v>
      </c>
      <c r="F19" s="5" t="str">
        <f ca="1">VLOOKUP($A19,OFFSET([1]characters!$A$1,0,0,COUNTA([1]characters!$A:$A),MATCH(F$1,[1]characters!$1:$1,0)-MATCH($A$1,[1]characters!$1:$1,0)+1),MATCH(F$1,[1]characters!$1:$1,0)-MATCH($A$1,[1]characters!$1:$1,0)+1,FALSE)</f>
        <v>不明</v>
      </c>
      <c r="G19" s="5">
        <f ca="1">VLOOKUP($A19,OFFSET([1]characters!$A$1,0,0,COUNTA([1]characters!$A:$A),MATCH(G$1,[1]characters!$1:$1,0)-MATCH($A$1,[1]characters!$1:$1,0)+1),MATCH(G$1,[1]characters!$1:$1,0)-MATCH($A$1,[1]characters!$1:$1,0)+1,FALSE)</f>
        <v>6</v>
      </c>
      <c r="H19" s="5" t="str">
        <f ca="1">VLOOKUP($A19,OFFSET([1]characters!$A$1,0,0,COUNTA([1]characters!$A:$A),MATCH(H$1,[1]characters!$1:$1,0)-MATCH($A$1,[1]characters!$1:$1,0)+1),MATCH(H$1,[1]characters!$1:$1,0)-MATCH($A$1,[1]characters!$1:$1,0)+1,FALSE)</f>
        <v>PremiumSSS</v>
      </c>
      <c r="I19" s="5" t="str">
        <f ca="1">VLOOKUP($A19,OFFSET([1]characters!$A$1,0,0,COUNTA([1]characters!$A:$A),MATCH(I$1,[1]characters!$1:$1,0)-MATCH($A$1,[1]characters!$1:$1,0)+1),MATCH(I$1,[1]characters!$1:$1,0)-MATCH($A$1,[1]characters!$1:$1,0)+1,FALSE)</f>
        <v>red</v>
      </c>
      <c r="J19" s="5" t="str">
        <f ca="1">VLOOKUP($A19,OFFSET([1]characters!$A$1,0,0,COUNTA([1]characters!$A:$A),MATCH(J$1,[1]characters!$1:$1,0)-MATCH($A$1,[1]characters!$1:$1,0)+1),MATCH(J$1,[1]characters!$1:$1,0)-MATCH($A$1,[1]characters!$1:$1,0)+1,FALSE)</f>
        <v>none</v>
      </c>
      <c r="K19" s="5" t="str">
        <f ca="1">VLOOKUP(J19,[1]character_tribe_i18n!$A:$H,3,FALSE)</f>
        <v>種族なし</v>
      </c>
      <c r="L19" s="11" t="e">
        <f>VLOOKUP(#REF!,[1]character_tribe_i18n!$A:$H,4,FALSE)</f>
        <v>#REF!</v>
      </c>
      <c r="M19" s="11" t="e">
        <f>VLOOKUP(#REF!,[1]character_tribe_i18n!$A:$H,5,FALSE)</f>
        <v>#REF!</v>
      </c>
      <c r="N19" s="11" t="e">
        <f>VLOOKUP(#REF!,[1]character_tribe_i18n!$A:$H,6,FALSE)</f>
        <v>#REF!</v>
      </c>
      <c r="O19" s="11" t="e">
        <f>VLOOKUP(#REF!,[1]character_tribe_i18n!$A:$H,7,FALSE)</f>
        <v>#REF!</v>
      </c>
      <c r="P19" s="191" t="str">
        <f>VLOOKUP(Q19,[1]characters!$A:$T,20)</f>
        <v>normal</v>
      </c>
      <c r="Q19" s="109">
        <v>796</v>
      </c>
      <c r="R19" s="5" t="str">
        <f ca="1">IF(Q19="NULL","",VLOOKUP($Q19,OFFSET([1]characters!$A$1,0,0,COUNTA([1]characters!$A:$A),MATCH(R$1,[1]characters!$1:$1,0)-MATCH($A$1,[1]characters!$1:$1,0)+1),MATCH(R$1,[1]characters!$1:$1,0)-MATCH($A$1,[1]characters!$1:$1,0)+1,FALSE))</f>
        <v>超越凌駕 ラグランジュ</v>
      </c>
      <c r="S19" s="5">
        <f t="shared" ca="1" si="2"/>
        <v>485</v>
      </c>
      <c r="T19" s="5" t="str">
        <f ca="1">VLOOKUP($S19,OFFSET([1]characters!$A$1,0,0,COUNTA([1]characters!$A:$A),MATCH(T$1,[1]characters!$1:$1,0)-MATCH($A$1,[1]characters!$1:$1,0)+1),MATCH(T$1,[1]characters!$1:$1,0)-MATCH($A$1,[1]characters!$1:$1,0)+1,FALSE)</f>
        <v>超越自我 ラグランジュ</v>
      </c>
      <c r="U19" s="11">
        <v>200000</v>
      </c>
      <c r="V19"/>
    </row>
    <row r="20" spans="1:22" ht="21" customHeight="1" x14ac:dyDescent="0.15">
      <c r="A20" s="215">
        <v>279</v>
      </c>
      <c r="B20" s="5" t="str">
        <f ca="1">VLOOKUP($A20,OFFSET([1]characters!$A$1,0,0,COUNTA([1]characters!$A:$A),MATCH(B$1,[1]characters!$1:$1,0)-MATCH($A$1,[1]characters!$1:$1,0)+1),MATCH(B$1,[1]characters!$1:$1,0)-MATCH($A$1,[1]characters!$1:$1,0)+1,FALSE)</f>
        <v>統空大神 アマテラス</v>
      </c>
      <c r="C20" s="5" t="str">
        <f ca="1">VLOOKUP($A20,OFFSET([1]characters!$A$1,0,0,COUNTA([1]characters!$A:$A),MATCH(C$1,[1]characters!$1:$1,0)-MATCH($A$1,[1]characters!$1:$1,0)+1),MATCH(C$1,[1]characters!$1:$1,0)-MATCH($A$1,[1]characters!$1:$1,0)+1,FALSE)</f>
        <v>イベント:ウィザード</v>
      </c>
      <c r="D20" s="5" t="str">
        <f ca="1">VLOOKUP($A20,OFFSET([1]characters!$A$1,0,0,COUNTA([1]characters!$A:$A),MATCH(D$1,[1]characters!$1:$1,0)-MATCH($A$1,[1]characters!$1:$1,0)+1),MATCH(D$1,[1]characters!$1:$1,0)-MATCH($A$1,[1]characters!$1:$1,0)+1,FALSE)</f>
        <v>管理者</v>
      </c>
      <c r="E20" s="5" t="str">
        <f ca="1">VLOOKUP($A20,OFFSET([1]characters!$A$1,0,0,COUNTA([1]characters!$A:$A),MATCH(E$1,[1]characters!$1:$1,0)-MATCH($A$1,[1]characters!$1:$1,0)+1),MATCH(E$1,[1]characters!$1:$1,0)-MATCH($A$1,[1]characters!$1:$1,0)+1,FALSE)</f>
        <v>美しい</v>
      </c>
      <c r="F20" s="5" t="str">
        <f ca="1">VLOOKUP($A20,OFFSET([1]characters!$A$1,0,0,COUNTA([1]characters!$A:$A),MATCH(F$1,[1]characters!$1:$1,0)-MATCH($A$1,[1]characters!$1:$1,0)+1),MATCH(F$1,[1]characters!$1:$1,0)-MATCH($A$1,[1]characters!$1:$1,0)+1,FALSE)</f>
        <v>女性</v>
      </c>
      <c r="G20" s="5">
        <f ca="1">VLOOKUP($A20,OFFSET([1]characters!$A$1,0,0,COUNTA([1]characters!$A:$A),MATCH(G$1,[1]characters!$1:$1,0)-MATCH($A$1,[1]characters!$1:$1,0)+1),MATCH(G$1,[1]characters!$1:$1,0)-MATCH($A$1,[1]characters!$1:$1,0)+1,FALSE)</f>
        <v>5</v>
      </c>
      <c r="H20" s="5" t="str">
        <f ca="1">VLOOKUP($A20,OFFSET([1]characters!$A$1,0,0,COUNTA([1]characters!$A:$A),MATCH(H$1,[1]characters!$1:$1,0)-MATCH($A$1,[1]characters!$1:$1,0)+1),MATCH(H$1,[1]characters!$1:$1,0)-MATCH($A$1,[1]characters!$1:$1,0)+1,FALSE)</f>
        <v>DropWizS</v>
      </c>
      <c r="I20" s="5" t="str">
        <f ca="1">VLOOKUP($A20,OFFSET([1]characters!$A$1,0,0,COUNTA([1]characters!$A:$A),MATCH(I$1,[1]characters!$1:$1,0)-MATCH($A$1,[1]characters!$1:$1,0)+1),MATCH(I$1,[1]characters!$1:$1,0)-MATCH($A$1,[1]characters!$1:$1,0)+1,FALSE)</f>
        <v>red</v>
      </c>
      <c r="J20" s="5" t="str">
        <f ca="1">VLOOKUP($A20,OFFSET([1]characters!$A$1,0,0,COUNTA([1]characters!$A:$A),MATCH(J$1,[1]characters!$1:$1,0)-MATCH($A$1,[1]characters!$1:$1,0)+1),MATCH(J$1,[1]characters!$1:$1,0)-MATCH($A$1,[1]characters!$1:$1,0)+1,FALSE)</f>
        <v>none</v>
      </c>
      <c r="K20" s="5" t="str">
        <f ca="1">VLOOKUP(J20,[1]character_tribe_i18n!$A:$H,3,FALSE)</f>
        <v>種族なし</v>
      </c>
      <c r="L20" s="11" t="e">
        <f>VLOOKUP(#REF!,[1]character_tribe_i18n!$A:$H,4,FALSE)</f>
        <v>#REF!</v>
      </c>
      <c r="M20" s="11" t="e">
        <f>VLOOKUP(#REF!,[1]character_tribe_i18n!$A:$H,5,FALSE)</f>
        <v>#REF!</v>
      </c>
      <c r="N20" s="11" t="e">
        <f>VLOOKUP(#REF!,[1]character_tribe_i18n!$A:$H,6,FALSE)</f>
        <v>#REF!</v>
      </c>
      <c r="O20" s="11" t="e">
        <f>VLOOKUP(#REF!,[1]character_tribe_i18n!$A:$H,7,FALSE)</f>
        <v>#REF!</v>
      </c>
      <c r="P20" s="191" t="str">
        <f>VLOOKUP(Q20,[1]characters!$A:$T,20)</f>
        <v>super</v>
      </c>
      <c r="Q20" s="109">
        <v>1116</v>
      </c>
      <c r="R20" s="5" t="str">
        <f ca="1">IF(Q20="NULL","",VLOOKUP($Q20,OFFSET([1]characters!$A$1,0,0,COUNTA([1]characters!$A:$A),MATCH(R$1,[1]characters!$1:$1,0)-MATCH($A$1,[1]characters!$1:$1,0)+1),MATCH(R$1,[1]characters!$1:$1,0)-MATCH($A$1,[1]characters!$1:$1,0)+1,FALSE))</f>
        <v>天檄総氏神 アマテラス</v>
      </c>
      <c r="S20" s="5">
        <f t="shared" ca="1" si="2"/>
        <v>279</v>
      </c>
      <c r="T20" s="5" t="str">
        <f ca="1">VLOOKUP($S20,OFFSET([1]characters!$A$1,0,0,COUNTA([1]characters!$A:$A),MATCH(T$1,[1]characters!$1:$1,0)-MATCH($A$1,[1]characters!$1:$1,0)+1),MATCH(T$1,[1]characters!$1:$1,0)-MATCH($A$1,[1]characters!$1:$1,0)+1,FALSE)</f>
        <v>統空大神 アマテラス</v>
      </c>
      <c r="U20" s="11">
        <v>200000</v>
      </c>
      <c r="V20"/>
    </row>
    <row r="21" spans="1:22" ht="21" customHeight="1" x14ac:dyDescent="0.15">
      <c r="A21" s="215">
        <v>810</v>
      </c>
      <c r="B21" s="5" t="str">
        <f ca="1">VLOOKUP($A21,OFFSET([1]characters!$A$1,0,0,COUNTA([1]characters!$A:$A),MATCH(B$1,[1]characters!$1:$1,0)-MATCH($A$1,[1]characters!$1:$1,0)+1),MATCH(B$1,[1]characters!$1:$1,0)-MATCH($A$1,[1]characters!$1:$1,0)+1,FALSE)</f>
        <v>君臨大御神 アマテラス</v>
      </c>
      <c r="C21" s="5" t="str">
        <f ca="1">VLOOKUP($A21,OFFSET([1]characters!$A$1,0,0,COUNTA([1]characters!$A:$A),MATCH(C$1,[1]characters!$1:$1,0)-MATCH($A$1,[1]characters!$1:$1,0)+1),MATCH(C$1,[1]characters!$1:$1,0)-MATCH($A$1,[1]characters!$1:$1,0)+1,FALSE)</f>
        <v>各属性相性良3・黄・R428</v>
      </c>
      <c r="D21" s="5" t="str">
        <f ca="1">VLOOKUP($A21,OFFSET([1]characters!$A$1,0,0,COUNTA([1]characters!$A:$A),MATCH(D$1,[1]characters!$1:$1,0)-MATCH($A$1,[1]characters!$1:$1,0)+1),MATCH(D$1,[1]characters!$1:$1,0)-MATCH($A$1,[1]characters!$1:$1,0)+1,FALSE)</f>
        <v>執行者</v>
      </c>
      <c r="E21" s="5" t="str">
        <f ca="1">VLOOKUP($A21,OFFSET([1]characters!$A$1,0,0,COUNTA([1]characters!$A:$A),MATCH(E$1,[1]characters!$1:$1,0)-MATCH($A$1,[1]characters!$1:$1,0)+1),MATCH(E$1,[1]characters!$1:$1,0)-MATCH($A$1,[1]characters!$1:$1,0)+1,FALSE)</f>
        <v>格好いい</v>
      </c>
      <c r="F21" s="5" t="str">
        <f ca="1">VLOOKUP($A21,OFFSET([1]characters!$A$1,0,0,COUNTA([1]characters!$A:$A),MATCH(F$1,[1]characters!$1:$1,0)-MATCH($A$1,[1]characters!$1:$1,0)+1),MATCH(F$1,[1]characters!$1:$1,0)-MATCH($A$1,[1]characters!$1:$1,0)+1,FALSE)</f>
        <v>男性</v>
      </c>
      <c r="G21" s="5">
        <f ca="1">VLOOKUP($A21,OFFSET([1]characters!$A$1,0,0,COUNTA([1]characters!$A:$A),MATCH(G$1,[1]characters!$1:$1,0)-MATCH($A$1,[1]characters!$1:$1,0)+1),MATCH(G$1,[1]characters!$1:$1,0)-MATCH($A$1,[1]characters!$1:$1,0)+1,FALSE)</f>
        <v>6</v>
      </c>
      <c r="H21" s="5" t="str">
        <f ca="1">VLOOKUP($A21,OFFSET([1]characters!$A$1,0,0,COUNTA([1]characters!$A:$A),MATCH(H$1,[1]characters!$1:$1,0)-MATCH($A$1,[1]characters!$1:$1,0)+1),MATCH(H$1,[1]characters!$1:$1,0)-MATCH($A$1,[1]characters!$1:$1,0)+1,FALSE)</f>
        <v>DropWizS</v>
      </c>
      <c r="I21" s="5" t="str">
        <f ca="1">VLOOKUP($A21,OFFSET([1]characters!$A$1,0,0,COUNTA([1]characters!$A:$A),MATCH(I$1,[1]characters!$1:$1,0)-MATCH($A$1,[1]characters!$1:$1,0)+1),MATCH(I$1,[1]characters!$1:$1,0)-MATCH($A$1,[1]characters!$1:$1,0)+1,FALSE)</f>
        <v>red</v>
      </c>
      <c r="J21" s="5" t="str">
        <f ca="1">VLOOKUP($A21,OFFSET([1]characters!$A$1,0,0,COUNTA([1]characters!$A:$A),MATCH(J$1,[1]characters!$1:$1,0)-MATCH($A$1,[1]characters!$1:$1,0)+1),MATCH(J$1,[1]characters!$1:$1,0)-MATCH($A$1,[1]characters!$1:$1,0)+1,FALSE)</f>
        <v>none</v>
      </c>
      <c r="K21" s="5" t="str">
        <f ca="1">VLOOKUP(J21,[1]character_tribe_i18n!$A:$H,3,FALSE)</f>
        <v>種族なし</v>
      </c>
      <c r="L21" s="11" t="e">
        <f>VLOOKUP(#REF!,[1]character_tribe_i18n!$A:$H,4,FALSE)</f>
        <v>#REF!</v>
      </c>
      <c r="M21" s="11" t="e">
        <f>VLOOKUP(#REF!,[1]character_tribe_i18n!$A:$H,5,FALSE)</f>
        <v>#REF!</v>
      </c>
      <c r="N21" s="11" t="e">
        <f>VLOOKUP(#REF!,[1]character_tribe_i18n!$A:$H,6,FALSE)</f>
        <v>#REF!</v>
      </c>
      <c r="O21" s="11" t="e">
        <f>VLOOKUP(#REF!,[1]character_tribe_i18n!$A:$H,7,FALSE)</f>
        <v>#REF!</v>
      </c>
      <c r="P21" s="191" t="str">
        <f>VLOOKUP(Q21,[1]characters!$A:$T,20)</f>
        <v>super</v>
      </c>
      <c r="Q21" s="109">
        <v>1116</v>
      </c>
      <c r="R21" s="5" t="str">
        <f ca="1">IF(Q21="NULL","",VLOOKUP($Q21,OFFSET([1]characters!$A$1,0,0,COUNTA([1]characters!$A:$A),MATCH(R$1,[1]characters!$1:$1,0)-MATCH($A$1,[1]characters!$1:$1,0)+1),MATCH(R$1,[1]characters!$1:$1,0)-MATCH($A$1,[1]characters!$1:$1,0)+1,FALSE))</f>
        <v>天檄総氏神 アマテラス</v>
      </c>
      <c r="S21" s="5">
        <f t="shared" ca="1" si="2"/>
        <v>279</v>
      </c>
      <c r="T21" s="5" t="str">
        <f ca="1">VLOOKUP($S21,OFFSET([1]characters!$A$1,0,0,COUNTA([1]characters!$A:$A),MATCH(T$1,[1]characters!$1:$1,0)-MATCH($A$1,[1]characters!$1:$1,0)+1),MATCH(T$1,[1]characters!$1:$1,0)-MATCH($A$1,[1]characters!$1:$1,0)+1,FALSE)</f>
        <v>統空大神 アマテラス</v>
      </c>
      <c r="U21" s="11">
        <v>200000</v>
      </c>
      <c r="V21"/>
    </row>
    <row r="22" spans="1:22" ht="21" customHeight="1" x14ac:dyDescent="0.15">
      <c r="A22" s="215">
        <v>1116</v>
      </c>
      <c r="B22" s="5" t="str">
        <f ca="1">VLOOKUP($A22,OFFSET([1]characters!$A$1,0,0,COUNTA([1]characters!$A:$A),MATCH(B$1,[1]characters!$1:$1,0)-MATCH($A$1,[1]characters!$1:$1,0)+1),MATCH(B$1,[1]characters!$1:$1,0)-MATCH($A$1,[1]characters!$1:$1,0)+1,FALSE)</f>
        <v>天檄総氏神 アマテラス</v>
      </c>
      <c r="C22" s="5" t="str">
        <f ca="1">VLOOKUP($A22,OFFSET([1]characters!$A$1,0,0,COUNTA([1]characters!$A:$A),MATCH(C$1,[1]characters!$1:$1,0)-MATCH($A$1,[1]characters!$1:$1,0)+1),MATCH(C$1,[1]characters!$1:$1,0)-MATCH($A$1,[1]characters!$1:$1,0)+1,FALSE)</f>
        <v>未定</v>
      </c>
      <c r="D22" s="5" t="str">
        <f ca="1">VLOOKUP($A22,OFFSET([1]characters!$A$1,0,0,COUNTA([1]characters!$A:$A),MATCH(D$1,[1]characters!$1:$1,0)-MATCH($A$1,[1]characters!$1:$1,0)+1),MATCH(D$1,[1]characters!$1:$1,0)-MATCH($A$1,[1]characters!$1:$1,0)+1,FALSE)</f>
        <v>アリス</v>
      </c>
      <c r="E22" s="5" t="str">
        <f ca="1">VLOOKUP($A22,OFFSET([1]characters!$A$1,0,0,COUNTA([1]characters!$A:$A),MATCH(E$1,[1]characters!$1:$1,0)-MATCH($A$1,[1]characters!$1:$1,0)+1),MATCH(E$1,[1]characters!$1:$1,0)-MATCH($A$1,[1]characters!$1:$1,0)+1,FALSE)</f>
        <v>世界観</v>
      </c>
      <c r="F22" s="5" t="str">
        <f ca="1">VLOOKUP($A22,OFFSET([1]characters!$A$1,0,0,COUNTA([1]characters!$A:$A),MATCH(F$1,[1]characters!$1:$1,0)-MATCH($A$1,[1]characters!$1:$1,0)+1),MATCH(F$1,[1]characters!$1:$1,0)-MATCH($A$1,[1]characters!$1:$1,0)+1,FALSE)</f>
        <v>不明</v>
      </c>
      <c r="G22" s="5">
        <f ca="1">VLOOKUP($A22,OFFSET([1]characters!$A$1,0,0,COUNTA([1]characters!$A:$A),MATCH(G$1,[1]characters!$1:$1,0)-MATCH($A$1,[1]characters!$1:$1,0)+1),MATCH(G$1,[1]characters!$1:$1,0)-MATCH($A$1,[1]characters!$1:$1,0)+1,FALSE)</f>
        <v>6</v>
      </c>
      <c r="H22" s="5" t="str">
        <f ca="1">VLOOKUP($A22,OFFSET([1]characters!$A$1,0,0,COUNTA([1]characters!$A:$A),MATCH(H$1,[1]characters!$1:$1,0)-MATCH($A$1,[1]characters!$1:$1,0)+1),MATCH(H$1,[1]characters!$1:$1,0)-MATCH($A$1,[1]characters!$1:$1,0)+1,FALSE)</f>
        <v>DropWizS</v>
      </c>
      <c r="I22" s="5" t="str">
        <f ca="1">VLOOKUP($A22,OFFSET([1]characters!$A$1,0,0,COUNTA([1]characters!$A:$A),MATCH(I$1,[1]characters!$1:$1,0)-MATCH($A$1,[1]characters!$1:$1,0)+1),MATCH(I$1,[1]characters!$1:$1,0)-MATCH($A$1,[1]characters!$1:$1,0)+1,FALSE)</f>
        <v>red</v>
      </c>
      <c r="J22" s="5" t="str">
        <f ca="1">VLOOKUP($A22,OFFSET([1]characters!$A$1,0,0,COUNTA([1]characters!$A:$A),MATCH(J$1,[1]characters!$1:$1,0)-MATCH($A$1,[1]characters!$1:$1,0)+1),MATCH(J$1,[1]characters!$1:$1,0)-MATCH($A$1,[1]characters!$1:$1,0)+1,FALSE)</f>
        <v>none</v>
      </c>
      <c r="K22" s="5" t="str">
        <f ca="1">VLOOKUP(J22,[1]character_tribe_i18n!$A:$H,3,FALSE)</f>
        <v>種族なし</v>
      </c>
      <c r="L22" s="11" t="e">
        <f>VLOOKUP(#REF!,[1]character_tribe_i18n!$A:$H,4,FALSE)</f>
        <v>#REF!</v>
      </c>
      <c r="M22" s="11" t="e">
        <f>VLOOKUP(#REF!,[1]character_tribe_i18n!$A:$H,5,FALSE)</f>
        <v>#REF!</v>
      </c>
      <c r="N22" s="11" t="e">
        <f>VLOOKUP(#REF!,[1]character_tribe_i18n!$A:$H,6,FALSE)</f>
        <v>#REF!</v>
      </c>
      <c r="O22" s="11" t="e">
        <f>VLOOKUP(#REF!,[1]character_tribe_i18n!$A:$H,7,FALSE)</f>
        <v>#REF!</v>
      </c>
      <c r="P22" s="191" t="str">
        <f>VLOOKUP(Q22,[1]characters!$A:$T,20)</f>
        <v>normal</v>
      </c>
      <c r="Q22" s="109">
        <v>810</v>
      </c>
      <c r="R22" s="5" t="str">
        <f ca="1">IF(Q22="NULL","",VLOOKUP($Q22,OFFSET([1]characters!$A$1,0,0,COUNTA([1]characters!$A:$A),MATCH(R$1,[1]characters!$1:$1,0)-MATCH($A$1,[1]characters!$1:$1,0)+1),MATCH(R$1,[1]characters!$1:$1,0)-MATCH($A$1,[1]characters!$1:$1,0)+1,FALSE))</f>
        <v>君臨大御神 アマテラス</v>
      </c>
      <c r="S22" s="5">
        <f t="shared" ca="1" si="2"/>
        <v>279</v>
      </c>
      <c r="T22" s="5" t="str">
        <f ca="1">VLOOKUP($S22,OFFSET([1]characters!$A$1,0,0,COUNTA([1]characters!$A:$A),MATCH(T$1,[1]characters!$1:$1,0)-MATCH($A$1,[1]characters!$1:$1,0)+1),MATCH(T$1,[1]characters!$1:$1,0)-MATCH($A$1,[1]characters!$1:$1,0)+1,FALSE)</f>
        <v>統空大神 アマテラス</v>
      </c>
      <c r="U22" s="11">
        <v>200000</v>
      </c>
      <c r="V22"/>
    </row>
    <row r="23" spans="1:22" ht="21" customHeight="1" x14ac:dyDescent="0.15">
      <c r="A23" s="109">
        <v>620</v>
      </c>
      <c r="B23" s="5" t="str">
        <f ca="1">VLOOKUP($A23,OFFSET([1]characters!$A$1,0,0,COUNTA([1]characters!$A:$A),MATCH(B$1,[1]characters!$1:$1,0)-MATCH($A$1,[1]characters!$1:$1,0)+1),MATCH(B$1,[1]characters!$1:$1,0)-MATCH($A$1,[1]characters!$1:$1,0)+1,FALSE)</f>
        <v>奇跡の調和 メビウス</v>
      </c>
      <c r="C23" s="5" t="str">
        <f ca="1">VLOOKUP($A23,OFFSET([1]characters!$A$1,0,0,COUNTA([1]characters!$A:$A),MATCH(C$1,[1]characters!$1:$1,0)-MATCH($A$1,[1]characters!$1:$1,0)+1),MATCH(C$1,[1]characters!$1:$1,0)-MATCH($A$1,[1]characters!$1:$1,0)+1,FALSE)</f>
        <v>ガチャ:DL記念01</v>
      </c>
      <c r="D23" s="5" t="str">
        <f ca="1">VLOOKUP($A23,OFFSET([1]characters!$A$1,0,0,COUNTA([1]characters!$A:$A),MATCH(D$1,[1]characters!$1:$1,0)-MATCH($A$1,[1]characters!$1:$1,0)+1),MATCH(D$1,[1]characters!$1:$1,0)-MATCH($A$1,[1]characters!$1:$1,0)+1,FALSE)</f>
        <v>執行者</v>
      </c>
      <c r="E23" s="5" t="str">
        <f ca="1">VLOOKUP($A23,OFFSET([1]characters!$A$1,0,0,COUNTA([1]characters!$A:$A),MATCH(E$1,[1]characters!$1:$1,0)-MATCH($A$1,[1]characters!$1:$1,0)+1),MATCH(E$1,[1]characters!$1:$1,0)-MATCH($A$1,[1]characters!$1:$1,0)+1,FALSE)</f>
        <v>格好いい</v>
      </c>
      <c r="F23" s="5" t="str">
        <f ca="1">VLOOKUP($A23,OFFSET([1]characters!$A$1,0,0,COUNTA([1]characters!$A:$A),MATCH(F$1,[1]characters!$1:$1,0)-MATCH($A$1,[1]characters!$1:$1,0)+1),MATCH(F$1,[1]characters!$1:$1,0)-MATCH($A$1,[1]characters!$1:$1,0)+1,FALSE)</f>
        <v>女性</v>
      </c>
      <c r="G23" s="5">
        <f ca="1">VLOOKUP($A23,OFFSET([1]characters!$A$1,0,0,COUNTA([1]characters!$A:$A),MATCH(G$1,[1]characters!$1:$1,0)-MATCH($A$1,[1]characters!$1:$1,0)+1),MATCH(G$1,[1]characters!$1:$1,0)-MATCH($A$1,[1]characters!$1:$1,0)+1,FALSE)</f>
        <v>5</v>
      </c>
      <c r="H23" s="5" t="str">
        <f ca="1">VLOOKUP($A23,OFFSET([1]characters!$A$1,0,0,COUNTA([1]characters!$A:$A),MATCH(H$1,[1]characters!$1:$1,0)-MATCH($A$1,[1]characters!$1:$1,0)+1),MATCH(H$1,[1]characters!$1:$1,0)-MATCH($A$1,[1]characters!$1:$1,0)+1,FALSE)</f>
        <v>PremiumSSS</v>
      </c>
      <c r="I23" s="5" t="str">
        <f ca="1">VLOOKUP($A23,OFFSET([1]characters!$A$1,0,0,COUNTA([1]characters!$A:$A),MATCH(I$1,[1]characters!$1:$1,0)-MATCH($A$1,[1]characters!$1:$1,0)+1),MATCH(I$1,[1]characters!$1:$1,0)-MATCH($A$1,[1]characters!$1:$1,0)+1,FALSE)</f>
        <v>blue</v>
      </c>
      <c r="J23" s="5" t="str">
        <f ca="1">VLOOKUP($A23,OFFSET([1]characters!$A$1,0,0,COUNTA([1]characters!$A:$A),MATCH(J$1,[1]characters!$1:$1,0)-MATCH($A$1,[1]characters!$1:$1,0)+1),MATCH(J$1,[1]characters!$1:$1,0)-MATCH($A$1,[1]characters!$1:$1,0)+1,FALSE)</f>
        <v>machine</v>
      </c>
      <c r="K23" s="5" t="str">
        <f ca="1">VLOOKUP(J23,[1]character_tribe_i18n!$A:$H,3,FALSE)</f>
        <v>マシン</v>
      </c>
      <c r="L23" s="11" t="e">
        <f>VLOOKUP(#REF!,[1]character_tribe_i18n!$A:$H,4,FALSE)</f>
        <v>#REF!</v>
      </c>
      <c r="M23" s="11" t="e">
        <f>VLOOKUP(#REF!,[1]character_tribe_i18n!$A:$H,5,FALSE)</f>
        <v>#REF!</v>
      </c>
      <c r="N23" s="11" t="e">
        <f>VLOOKUP(#REF!,[1]character_tribe_i18n!$A:$H,6,FALSE)</f>
        <v>#REF!</v>
      </c>
      <c r="O23" s="11" t="e">
        <f>VLOOKUP(#REF!,[1]character_tribe_i18n!$A:$H,7,FALSE)</f>
        <v>#REF!</v>
      </c>
      <c r="P23" s="191" t="str">
        <f>VLOOKUP(Q23,[1]characters!$A:$T,20)</f>
        <v>super</v>
      </c>
      <c r="Q23" s="109">
        <v>1122</v>
      </c>
      <c r="R23" s="5" t="str">
        <f ca="1">IF(Q23="NULL","",VLOOKUP($Q23,OFFSET([1]characters!$A$1,0,0,COUNTA([1]characters!$A:$A),MATCH(R$1,[1]characters!$1:$1,0)-MATCH($A$1,[1]characters!$1:$1,0)+1),MATCH(R$1,[1]characters!$1:$1,0)-MATCH($A$1,[1]characters!$1:$1,0)+1,FALSE))</f>
        <v>不可能性の現翼 メビウス</v>
      </c>
      <c r="S23" s="229">
        <v>619</v>
      </c>
      <c r="T23" s="5" t="str">
        <f ca="1">VLOOKUP($S23,OFFSET([1]characters!$A$1,0,0,COUNTA([1]characters!$A:$A),MATCH(T$1,[1]characters!$1:$1,0)-MATCH($A$1,[1]characters!$1:$1,0)+1),MATCH(T$1,[1]characters!$1:$1,0)-MATCH($A$1,[1]characters!$1:$1,0)+1,FALSE)</f>
        <v>メビウス</v>
      </c>
      <c r="U23" s="11">
        <v>200000</v>
      </c>
      <c r="V23"/>
    </row>
    <row r="24" spans="1:22" ht="21" customHeight="1" x14ac:dyDescent="0.15">
      <c r="A24" s="109">
        <v>621</v>
      </c>
      <c r="B24" s="5" t="str">
        <f ca="1">VLOOKUP($A24,OFFSET([1]characters!$A$1,0,0,COUNTA([1]characters!$A:$A),MATCH(B$1,[1]characters!$1:$1,0)-MATCH($A$1,[1]characters!$1:$1,0)+1),MATCH(B$1,[1]characters!$1:$1,0)-MATCH($A$1,[1]characters!$1:$1,0)+1,FALSE)</f>
        <v>終わりなき奇跡 メビウス</v>
      </c>
      <c r="C24" s="5" t="str">
        <f ca="1">VLOOKUP($A24,OFFSET([1]characters!$A$1,0,0,COUNTA([1]characters!$A:$A),MATCH(C$1,[1]characters!$1:$1,0)-MATCH($A$1,[1]characters!$1:$1,0)+1),MATCH(C$1,[1]characters!$1:$1,0)-MATCH($A$1,[1]characters!$1:$1,0)+1,FALSE)</f>
        <v>ガチャ:DL記念01</v>
      </c>
      <c r="D24" s="5" t="str">
        <f ca="1">VLOOKUP($A24,OFFSET([1]characters!$A$1,0,0,COUNTA([1]characters!$A:$A),MATCH(D$1,[1]characters!$1:$1,0)-MATCH($A$1,[1]characters!$1:$1,0)+1),MATCH(D$1,[1]characters!$1:$1,0)-MATCH($A$1,[1]characters!$1:$1,0)+1,FALSE)</f>
        <v>執行者</v>
      </c>
      <c r="E24" s="5" t="str">
        <f ca="1">VLOOKUP($A24,OFFSET([1]characters!$A$1,0,0,COUNTA([1]characters!$A:$A),MATCH(E$1,[1]characters!$1:$1,0)-MATCH($A$1,[1]characters!$1:$1,0)+1),MATCH(E$1,[1]characters!$1:$1,0)-MATCH($A$1,[1]characters!$1:$1,0)+1,FALSE)</f>
        <v>格好いい</v>
      </c>
      <c r="F24" s="5" t="str">
        <f ca="1">VLOOKUP($A24,OFFSET([1]characters!$A$1,0,0,COUNTA([1]characters!$A:$A),MATCH(F$1,[1]characters!$1:$1,0)-MATCH($A$1,[1]characters!$1:$1,0)+1),MATCH(F$1,[1]characters!$1:$1,0)-MATCH($A$1,[1]characters!$1:$1,0)+1,FALSE)</f>
        <v>女性</v>
      </c>
      <c r="G24" s="5">
        <f ca="1">VLOOKUP($A24,OFFSET([1]characters!$A$1,0,0,COUNTA([1]characters!$A:$A),MATCH(G$1,[1]characters!$1:$1,0)-MATCH($A$1,[1]characters!$1:$1,0)+1),MATCH(G$1,[1]characters!$1:$1,0)-MATCH($A$1,[1]characters!$1:$1,0)+1,FALSE)</f>
        <v>6</v>
      </c>
      <c r="H24" s="5" t="str">
        <f ca="1">VLOOKUP($A24,OFFSET([1]characters!$A$1,0,0,COUNTA([1]characters!$A:$A),MATCH(H$1,[1]characters!$1:$1,0)-MATCH($A$1,[1]characters!$1:$1,0)+1),MATCH(H$1,[1]characters!$1:$1,0)-MATCH($A$1,[1]characters!$1:$1,0)+1,FALSE)</f>
        <v>PremiumSSS</v>
      </c>
      <c r="I24" s="5" t="str">
        <f ca="1">VLOOKUP($A24,OFFSET([1]characters!$A$1,0,0,COUNTA([1]characters!$A:$A),MATCH(I$1,[1]characters!$1:$1,0)-MATCH($A$1,[1]characters!$1:$1,0)+1),MATCH(I$1,[1]characters!$1:$1,0)-MATCH($A$1,[1]characters!$1:$1,0)+1,FALSE)</f>
        <v>blue</v>
      </c>
      <c r="J24" s="5" t="str">
        <f ca="1">VLOOKUP($A24,OFFSET([1]characters!$A$1,0,0,COUNTA([1]characters!$A:$A),MATCH(J$1,[1]characters!$1:$1,0)-MATCH($A$1,[1]characters!$1:$1,0)+1),MATCH(J$1,[1]characters!$1:$1,0)-MATCH($A$1,[1]characters!$1:$1,0)+1,FALSE)</f>
        <v>machine</v>
      </c>
      <c r="K24" s="5" t="str">
        <f ca="1">VLOOKUP(J24,[1]character_tribe_i18n!$A:$H,3,FALSE)</f>
        <v>マシン</v>
      </c>
      <c r="L24" s="11" t="e">
        <f>VLOOKUP(#REF!,[1]character_tribe_i18n!$A:$H,4,FALSE)</f>
        <v>#REF!</v>
      </c>
      <c r="M24" s="11" t="e">
        <f>VLOOKUP(#REF!,[1]character_tribe_i18n!$A:$H,5,FALSE)</f>
        <v>#REF!</v>
      </c>
      <c r="N24" s="11" t="e">
        <f>VLOOKUP(#REF!,[1]character_tribe_i18n!$A:$H,6,FALSE)</f>
        <v>#REF!</v>
      </c>
      <c r="O24" s="11" t="e">
        <f>VLOOKUP(#REF!,[1]character_tribe_i18n!$A:$H,7,FALSE)</f>
        <v>#REF!</v>
      </c>
      <c r="P24" s="191" t="str">
        <f>VLOOKUP(Q24,[1]characters!$A:$T,20)</f>
        <v>super</v>
      </c>
      <c r="Q24" s="109">
        <v>1122</v>
      </c>
      <c r="R24" s="5" t="str">
        <f ca="1">IF(Q24="NULL","",VLOOKUP($Q24,OFFSET([1]characters!$A$1,0,0,COUNTA([1]characters!$A:$A),MATCH(R$1,[1]characters!$1:$1,0)-MATCH($A$1,[1]characters!$1:$1,0)+1),MATCH(R$1,[1]characters!$1:$1,0)-MATCH($A$1,[1]characters!$1:$1,0)+1,FALSE))</f>
        <v>不可能性の現翼 メビウス</v>
      </c>
      <c r="S24" s="229">
        <v>619</v>
      </c>
      <c r="T24" s="5" t="str">
        <f ca="1">VLOOKUP($S24,OFFSET([1]characters!$A$1,0,0,COUNTA([1]characters!$A:$A),MATCH(T$1,[1]characters!$1:$1,0)-MATCH($A$1,[1]characters!$1:$1,0)+1),MATCH(T$1,[1]characters!$1:$1,0)-MATCH($A$1,[1]characters!$1:$1,0)+1,FALSE)</f>
        <v>メビウス</v>
      </c>
      <c r="U24" s="11">
        <v>200000</v>
      </c>
      <c r="V24"/>
    </row>
    <row r="25" spans="1:22" ht="21" customHeight="1" x14ac:dyDescent="0.15">
      <c r="A25" s="109">
        <v>1122</v>
      </c>
      <c r="B25" s="5" t="str">
        <f ca="1">VLOOKUP($A25,OFFSET([1]characters!$A$1,0,0,COUNTA([1]characters!$A:$A),MATCH(B$1,[1]characters!$1:$1,0)-MATCH($A$1,[1]characters!$1:$1,0)+1),MATCH(B$1,[1]characters!$1:$1,0)-MATCH($A$1,[1]characters!$1:$1,0)+1,FALSE)</f>
        <v>不可能性の現翼 メビウス</v>
      </c>
      <c r="C25" s="5" t="str">
        <f ca="1">VLOOKUP($A25,OFFSET([1]characters!$A$1,0,0,COUNTA([1]characters!$A:$A),MATCH(C$1,[1]characters!$1:$1,0)-MATCH($A$1,[1]characters!$1:$1,0)+1),MATCH(C$1,[1]characters!$1:$1,0)-MATCH($A$1,[1]characters!$1:$1,0)+1,FALSE)</f>
        <v>未定</v>
      </c>
      <c r="D25" s="5" t="str">
        <f ca="1">VLOOKUP($A25,OFFSET([1]characters!$A$1,0,0,COUNTA([1]characters!$A:$A),MATCH(D$1,[1]characters!$1:$1,0)-MATCH($A$1,[1]characters!$1:$1,0)+1),MATCH(D$1,[1]characters!$1:$1,0)-MATCH($A$1,[1]characters!$1:$1,0)+1,FALSE)</f>
        <v>アリス</v>
      </c>
      <c r="E25" s="5" t="str">
        <f ca="1">VLOOKUP($A25,OFFSET([1]characters!$A$1,0,0,COUNTA([1]characters!$A:$A),MATCH(E$1,[1]characters!$1:$1,0)-MATCH($A$1,[1]characters!$1:$1,0)+1),MATCH(E$1,[1]characters!$1:$1,0)-MATCH($A$1,[1]characters!$1:$1,0)+1,FALSE)</f>
        <v>世界観</v>
      </c>
      <c r="F25" s="5" t="str">
        <f ca="1">VLOOKUP($A25,OFFSET([1]characters!$A$1,0,0,COUNTA([1]characters!$A:$A),MATCH(F$1,[1]characters!$1:$1,0)-MATCH($A$1,[1]characters!$1:$1,0)+1),MATCH(F$1,[1]characters!$1:$1,0)-MATCH($A$1,[1]characters!$1:$1,0)+1,FALSE)</f>
        <v>不明</v>
      </c>
      <c r="G25" s="5">
        <f ca="1">VLOOKUP($A25,OFFSET([1]characters!$A$1,0,0,COUNTA([1]characters!$A:$A),MATCH(G$1,[1]characters!$1:$1,0)-MATCH($A$1,[1]characters!$1:$1,0)+1),MATCH(G$1,[1]characters!$1:$1,0)-MATCH($A$1,[1]characters!$1:$1,0)+1,FALSE)</f>
        <v>6</v>
      </c>
      <c r="H25" s="5" t="str">
        <f ca="1">VLOOKUP($A25,OFFSET([1]characters!$A$1,0,0,COUNTA([1]characters!$A:$A),MATCH(H$1,[1]characters!$1:$1,0)-MATCH($A$1,[1]characters!$1:$1,0)+1),MATCH(H$1,[1]characters!$1:$1,0)-MATCH($A$1,[1]characters!$1:$1,0)+1,FALSE)</f>
        <v>PremiumSSS</v>
      </c>
      <c r="I25" s="5" t="str">
        <f ca="1">VLOOKUP($A25,OFFSET([1]characters!$A$1,0,0,COUNTA([1]characters!$A:$A),MATCH(I$1,[1]characters!$1:$1,0)-MATCH($A$1,[1]characters!$1:$1,0)+1),MATCH(I$1,[1]characters!$1:$1,0)-MATCH($A$1,[1]characters!$1:$1,0)+1,FALSE)</f>
        <v>blue</v>
      </c>
      <c r="J25" s="5" t="str">
        <f ca="1">VLOOKUP($A25,OFFSET([1]characters!$A$1,0,0,COUNTA([1]characters!$A:$A),MATCH(J$1,[1]characters!$1:$1,0)-MATCH($A$1,[1]characters!$1:$1,0)+1),MATCH(J$1,[1]characters!$1:$1,0)-MATCH($A$1,[1]characters!$1:$1,0)+1,FALSE)</f>
        <v>machine</v>
      </c>
      <c r="K25" s="5" t="str">
        <f ca="1">VLOOKUP(J25,[1]character_tribe_i18n!$A:$H,3,FALSE)</f>
        <v>マシン</v>
      </c>
      <c r="L25" s="11" t="e">
        <f>VLOOKUP(#REF!,[1]character_tribe_i18n!$A:$H,4,FALSE)</f>
        <v>#REF!</v>
      </c>
      <c r="M25" s="11" t="e">
        <f>VLOOKUP(#REF!,[1]character_tribe_i18n!$A:$H,5,FALSE)</f>
        <v>#REF!</v>
      </c>
      <c r="N25" s="11" t="e">
        <f>VLOOKUP(#REF!,[1]character_tribe_i18n!$A:$H,6,FALSE)</f>
        <v>#REF!</v>
      </c>
      <c r="O25" s="11" t="e">
        <f>VLOOKUP(#REF!,[1]character_tribe_i18n!$A:$H,7,FALSE)</f>
        <v>#REF!</v>
      </c>
      <c r="P25" s="191" t="str">
        <f>VLOOKUP(Q25,[1]characters!$A:$T,20)</f>
        <v>normal</v>
      </c>
      <c r="Q25" s="109">
        <v>621</v>
      </c>
      <c r="R25" s="5" t="str">
        <f ca="1">IF(Q25="NULL","",VLOOKUP($Q25,OFFSET([1]characters!$A$1,0,0,COUNTA([1]characters!$A:$A),MATCH(R$1,[1]characters!$1:$1,0)-MATCH($A$1,[1]characters!$1:$1,0)+1),MATCH(R$1,[1]characters!$1:$1,0)-MATCH($A$1,[1]characters!$1:$1,0)+1,FALSE))</f>
        <v>終わりなき奇跡 メビウス</v>
      </c>
      <c r="S25" s="229">
        <v>619</v>
      </c>
      <c r="T25" s="5" t="str">
        <f ca="1">VLOOKUP($S25,OFFSET([1]characters!$A$1,0,0,COUNTA([1]characters!$A:$A),MATCH(T$1,[1]characters!$1:$1,0)-MATCH($A$1,[1]characters!$1:$1,0)+1),MATCH(T$1,[1]characters!$1:$1,0)-MATCH($A$1,[1]characters!$1:$1,0)+1,FALSE)</f>
        <v>メビウス</v>
      </c>
      <c r="U25" s="11">
        <v>200000</v>
      </c>
      <c r="V25"/>
    </row>
    <row r="26" spans="1:22" ht="21" customHeight="1" x14ac:dyDescent="0.15">
      <c r="A26" s="109">
        <v>953</v>
      </c>
      <c r="B26" s="5" t="str">
        <f ca="1">VLOOKUP($A26,OFFSET([1]characters!$A$1,0,0,COUNTA([1]characters!$A:$A),MATCH(B$1,[1]characters!$1:$1,0)-MATCH($A$1,[1]characters!$1:$1,0)+1),MATCH(B$1,[1]characters!$1:$1,0)-MATCH($A$1,[1]characters!$1:$1,0)+1,FALSE)</f>
        <v>ハイゼンベルク</v>
      </c>
      <c r="C26" s="5" t="str">
        <f ca="1">VLOOKUP($A26,OFFSET([1]characters!$A$1,0,0,COUNTA([1]characters!$A:$A),MATCH(C$1,[1]characters!$1:$1,0)-MATCH($A$1,[1]characters!$1:$1,0)+1),MATCH(C$1,[1]characters!$1:$1,0)-MATCH($A$1,[1]characters!$1:$1,0)+1,FALSE)</f>
        <v>各属性相性良3・黄・R557</v>
      </c>
      <c r="D26" s="5" t="str">
        <f ca="1">VLOOKUP($A26,OFFSET([1]characters!$A$1,0,0,COUNTA([1]characters!$A:$A),MATCH(D$1,[1]characters!$1:$1,0)-MATCH($A$1,[1]characters!$1:$1,0)+1),MATCH(D$1,[1]characters!$1:$1,0)-MATCH($A$1,[1]characters!$1:$1,0)+1,FALSE)</f>
        <v>執行者</v>
      </c>
      <c r="E26" s="5" t="str">
        <f ca="1">VLOOKUP($A26,OFFSET([1]characters!$A$1,0,0,COUNTA([1]characters!$A:$A),MATCH(E$1,[1]characters!$1:$1,0)-MATCH($A$1,[1]characters!$1:$1,0)+1),MATCH(E$1,[1]characters!$1:$1,0)-MATCH($A$1,[1]characters!$1:$1,0)+1,FALSE)</f>
        <v>格好いい</v>
      </c>
      <c r="F26" s="5" t="str">
        <f ca="1">VLOOKUP($A26,OFFSET([1]characters!$A$1,0,0,COUNTA([1]characters!$A:$A),MATCH(F$1,[1]characters!$1:$1,0)-MATCH($A$1,[1]characters!$1:$1,0)+1),MATCH(F$1,[1]characters!$1:$1,0)-MATCH($A$1,[1]characters!$1:$1,0)+1,FALSE)</f>
        <v>男性</v>
      </c>
      <c r="G26" s="5">
        <f ca="1">VLOOKUP($A26,OFFSET([1]characters!$A$1,0,0,COUNTA([1]characters!$A:$A),MATCH(G$1,[1]characters!$1:$1,0)-MATCH($A$1,[1]characters!$1:$1,0)+1),MATCH(G$1,[1]characters!$1:$1,0)-MATCH($A$1,[1]characters!$1:$1,0)+1,FALSE)</f>
        <v>5</v>
      </c>
      <c r="H26" s="5" t="str">
        <f ca="1">VLOOKUP($A26,OFFSET([1]characters!$A$1,0,0,COUNTA([1]characters!$A:$A),MATCH(H$1,[1]characters!$1:$1,0)-MATCH($A$1,[1]characters!$1:$1,0)+1),MATCH(H$1,[1]characters!$1:$1,0)-MATCH($A$1,[1]characters!$1:$1,0)+1,FALSE)</f>
        <v>PremiumSSS</v>
      </c>
      <c r="I26" s="5" t="str">
        <f ca="1">VLOOKUP($A26,OFFSET([1]characters!$A$1,0,0,COUNTA([1]characters!$A:$A),MATCH(I$1,[1]characters!$1:$1,0)-MATCH($A$1,[1]characters!$1:$1,0)+1),MATCH(I$1,[1]characters!$1:$1,0)-MATCH($A$1,[1]characters!$1:$1,0)+1,FALSE)</f>
        <v>green</v>
      </c>
      <c r="J26" s="5" t="str">
        <f ca="1">VLOOKUP($A26,OFFSET([1]characters!$A$1,0,0,COUNTA([1]characters!$A:$A),MATCH(J$1,[1]characters!$1:$1,0)-MATCH($A$1,[1]characters!$1:$1,0)+1),MATCH(J$1,[1]characters!$1:$1,0)-MATCH($A$1,[1]characters!$1:$1,0)+1,FALSE)</f>
        <v>machine</v>
      </c>
      <c r="K26" s="5" t="str">
        <f ca="1">VLOOKUP(J26,[1]character_tribe_i18n!$A:$H,3,FALSE)</f>
        <v>マシン</v>
      </c>
      <c r="L26" s="11" t="e">
        <f>VLOOKUP(#REF!,[1]character_tribe_i18n!$A:$H,4,FALSE)</f>
        <v>#REF!</v>
      </c>
      <c r="M26" s="11" t="e">
        <f>VLOOKUP(#REF!,[1]character_tribe_i18n!$A:$H,5,FALSE)</f>
        <v>#REF!</v>
      </c>
      <c r="N26" s="11" t="e">
        <f>VLOOKUP(#REF!,[1]character_tribe_i18n!$A:$H,6,FALSE)</f>
        <v>#REF!</v>
      </c>
      <c r="O26" s="11" t="e">
        <f>VLOOKUP(#REF!,[1]character_tribe_i18n!$A:$H,7,FALSE)</f>
        <v>#REF!</v>
      </c>
      <c r="P26" s="191" t="str">
        <f>VLOOKUP(Q26,[1]characters!$A:$T,20)</f>
        <v>super</v>
      </c>
      <c r="Q26" s="109">
        <v>1179</v>
      </c>
      <c r="R26" s="5" t="str">
        <f ca="1">IF(Q26="NULL","",VLOOKUP($Q26,OFFSET([1]characters!$A$1,0,0,COUNTA([1]characters!$A:$A),MATCH(R$1,[1]characters!$1:$1,0)-MATCH($A$1,[1]characters!$1:$1,0)+1),MATCH(R$1,[1]characters!$1:$1,0)-MATCH($A$1,[1]characters!$1:$1,0)+1,FALSE))</f>
        <v>厳核なる巨大炉 ハイゼンベルク</v>
      </c>
      <c r="S26" s="5">
        <f t="shared" ref="S26:S28" ca="1" si="3">IF(ISNA(MATCH(A26,Q:Q,0)),A26,INDIRECT(ADDRESS(MATCH(A26,Q:Q,0),COLUMN())))</f>
        <v>953</v>
      </c>
      <c r="T26" s="5" t="str">
        <f ca="1">VLOOKUP($S26,OFFSET([1]characters!$A$1,0,0,COUNTA([1]characters!$A:$A),MATCH(T$1,[1]characters!$1:$1,0)-MATCH($A$1,[1]characters!$1:$1,0)+1),MATCH(T$1,[1]characters!$1:$1,0)-MATCH($A$1,[1]characters!$1:$1,0)+1,FALSE)</f>
        <v>ハイゼンベルク</v>
      </c>
      <c r="U26" s="11">
        <v>200000</v>
      </c>
      <c r="V26"/>
    </row>
    <row r="27" spans="1:22" ht="21" customHeight="1" x14ac:dyDescent="0.15">
      <c r="A27" s="109">
        <v>954</v>
      </c>
      <c r="B27" s="5" t="str">
        <f ca="1">VLOOKUP($A27,OFFSET([1]characters!$A$1,0,0,COUNTA([1]characters!$A:$A),MATCH(B$1,[1]characters!$1:$1,0)-MATCH($A$1,[1]characters!$1:$1,0)+1),MATCH(B$1,[1]characters!$1:$1,0)-MATCH($A$1,[1]characters!$1:$1,0)+1,FALSE)</f>
        <v>不確の量熔者 ハイゼンベルク</v>
      </c>
      <c r="C27" s="5" t="str">
        <f ca="1">VLOOKUP($A27,OFFSET([1]characters!$A$1,0,0,COUNTA([1]characters!$A:$A),MATCH(C$1,[1]characters!$1:$1,0)-MATCH($A$1,[1]characters!$1:$1,0)+1),MATCH(C$1,[1]characters!$1:$1,0)-MATCH($A$1,[1]characters!$1:$1,0)+1,FALSE)</f>
        <v>各属性相性良3・黄・R558</v>
      </c>
      <c r="D27" s="5" t="str">
        <f ca="1">VLOOKUP($A27,OFFSET([1]characters!$A$1,0,0,COUNTA([1]characters!$A:$A),MATCH(D$1,[1]characters!$1:$1,0)-MATCH($A$1,[1]characters!$1:$1,0)+1),MATCH(D$1,[1]characters!$1:$1,0)-MATCH($A$1,[1]characters!$1:$1,0)+1,FALSE)</f>
        <v>執行者</v>
      </c>
      <c r="E27" s="5" t="str">
        <f ca="1">VLOOKUP($A27,OFFSET([1]characters!$A$1,0,0,COUNTA([1]characters!$A:$A),MATCH(E$1,[1]characters!$1:$1,0)-MATCH($A$1,[1]characters!$1:$1,0)+1),MATCH(E$1,[1]characters!$1:$1,0)-MATCH($A$1,[1]characters!$1:$1,0)+1,FALSE)</f>
        <v>格好いい</v>
      </c>
      <c r="F27" s="5" t="str">
        <f ca="1">VLOOKUP($A27,OFFSET([1]characters!$A$1,0,0,COUNTA([1]characters!$A:$A),MATCH(F$1,[1]characters!$1:$1,0)-MATCH($A$1,[1]characters!$1:$1,0)+1),MATCH(F$1,[1]characters!$1:$1,0)-MATCH($A$1,[1]characters!$1:$1,0)+1,FALSE)</f>
        <v>男性</v>
      </c>
      <c r="G27" s="5">
        <f ca="1">VLOOKUP($A27,OFFSET([1]characters!$A$1,0,0,COUNTA([1]characters!$A:$A),MATCH(G$1,[1]characters!$1:$1,0)-MATCH($A$1,[1]characters!$1:$1,0)+1),MATCH(G$1,[1]characters!$1:$1,0)-MATCH($A$1,[1]characters!$1:$1,0)+1,FALSE)</f>
        <v>6</v>
      </c>
      <c r="H27" s="5" t="str">
        <f ca="1">VLOOKUP($A27,OFFSET([1]characters!$A$1,0,0,COUNTA([1]characters!$A:$A),MATCH(H$1,[1]characters!$1:$1,0)-MATCH($A$1,[1]characters!$1:$1,0)+1),MATCH(H$1,[1]characters!$1:$1,0)-MATCH($A$1,[1]characters!$1:$1,0)+1,FALSE)</f>
        <v>PremiumSSS</v>
      </c>
      <c r="I27" s="5" t="str">
        <f ca="1">VLOOKUP($A27,OFFSET([1]characters!$A$1,0,0,COUNTA([1]characters!$A:$A),MATCH(I$1,[1]characters!$1:$1,0)-MATCH($A$1,[1]characters!$1:$1,0)+1),MATCH(I$1,[1]characters!$1:$1,0)-MATCH($A$1,[1]characters!$1:$1,0)+1,FALSE)</f>
        <v>green</v>
      </c>
      <c r="J27" s="5" t="str">
        <f ca="1">VLOOKUP($A27,OFFSET([1]characters!$A$1,0,0,COUNTA([1]characters!$A:$A),MATCH(J$1,[1]characters!$1:$1,0)-MATCH($A$1,[1]characters!$1:$1,0)+1),MATCH(J$1,[1]characters!$1:$1,0)-MATCH($A$1,[1]characters!$1:$1,0)+1,FALSE)</f>
        <v>machine</v>
      </c>
      <c r="K27" s="5" t="str">
        <f ca="1">VLOOKUP(J27,[1]character_tribe_i18n!$A:$H,3,FALSE)</f>
        <v>マシン</v>
      </c>
      <c r="L27" s="11" t="e">
        <f>VLOOKUP(#REF!,[1]character_tribe_i18n!$A:$H,4,FALSE)</f>
        <v>#REF!</v>
      </c>
      <c r="M27" s="11" t="e">
        <f>VLOOKUP(#REF!,[1]character_tribe_i18n!$A:$H,5,FALSE)</f>
        <v>#REF!</v>
      </c>
      <c r="N27" s="11" t="e">
        <f>VLOOKUP(#REF!,[1]character_tribe_i18n!$A:$H,6,FALSE)</f>
        <v>#REF!</v>
      </c>
      <c r="O27" s="11" t="e">
        <f>VLOOKUP(#REF!,[1]character_tribe_i18n!$A:$H,7,FALSE)</f>
        <v>#REF!</v>
      </c>
      <c r="P27" s="191" t="str">
        <f>VLOOKUP(Q27,[1]characters!$A:$T,20)</f>
        <v>super</v>
      </c>
      <c r="Q27" s="109">
        <v>1179</v>
      </c>
      <c r="R27" s="5" t="str">
        <f ca="1">IF(Q27="NULL","",VLOOKUP($Q27,OFFSET([1]characters!$A$1,0,0,COUNTA([1]characters!$A:$A),MATCH(R$1,[1]characters!$1:$1,0)-MATCH($A$1,[1]characters!$1:$1,0)+1),MATCH(R$1,[1]characters!$1:$1,0)-MATCH($A$1,[1]characters!$1:$1,0)+1,FALSE))</f>
        <v>厳核なる巨大炉 ハイゼンベルク</v>
      </c>
      <c r="S27" s="5">
        <f t="shared" ca="1" si="3"/>
        <v>953</v>
      </c>
      <c r="T27" s="5" t="str">
        <f ca="1">VLOOKUP($S27,OFFSET([1]characters!$A$1,0,0,COUNTA([1]characters!$A:$A),MATCH(T$1,[1]characters!$1:$1,0)-MATCH($A$1,[1]characters!$1:$1,0)+1),MATCH(T$1,[1]characters!$1:$1,0)-MATCH($A$1,[1]characters!$1:$1,0)+1,FALSE)</f>
        <v>ハイゼンベルク</v>
      </c>
      <c r="U27" s="11">
        <v>200000</v>
      </c>
      <c r="V27"/>
    </row>
    <row r="28" spans="1:22" ht="21" customHeight="1" x14ac:dyDescent="0.15">
      <c r="A28" s="109">
        <v>1179</v>
      </c>
      <c r="B28" s="5" t="str">
        <f ca="1">VLOOKUP($A28,OFFSET([1]characters!$A$1,0,0,COUNTA([1]characters!$A:$A),MATCH(B$1,[1]characters!$1:$1,0)-MATCH($A$1,[1]characters!$1:$1,0)+1),MATCH(B$1,[1]characters!$1:$1,0)-MATCH($A$1,[1]characters!$1:$1,0)+1,FALSE)</f>
        <v>厳核なる巨大炉 ハイゼンベルク</v>
      </c>
      <c r="C28" s="5" t="str">
        <f ca="1">VLOOKUP($A28,OFFSET([1]characters!$A$1,0,0,COUNTA([1]characters!$A:$A),MATCH(C$1,[1]characters!$1:$1,0)-MATCH($A$1,[1]characters!$1:$1,0)+1),MATCH(C$1,[1]characters!$1:$1,0)-MATCH($A$1,[1]characters!$1:$1,0)+1,FALSE)</f>
        <v>各属性相性良3・黄・R558</v>
      </c>
      <c r="D28" s="5" t="str">
        <f ca="1">VLOOKUP($A28,OFFSET([1]characters!$A$1,0,0,COUNTA([1]characters!$A:$A),MATCH(D$1,[1]characters!$1:$1,0)-MATCH($A$1,[1]characters!$1:$1,0)+1),MATCH(D$1,[1]characters!$1:$1,0)-MATCH($A$1,[1]characters!$1:$1,0)+1,FALSE)</f>
        <v>執行者</v>
      </c>
      <c r="E28" s="5" t="str">
        <f ca="1">VLOOKUP($A28,OFFSET([1]characters!$A$1,0,0,COUNTA([1]characters!$A:$A),MATCH(E$1,[1]characters!$1:$1,0)-MATCH($A$1,[1]characters!$1:$1,0)+1),MATCH(E$1,[1]characters!$1:$1,0)-MATCH($A$1,[1]characters!$1:$1,0)+1,FALSE)</f>
        <v>格好いい</v>
      </c>
      <c r="F28" s="5" t="str">
        <f ca="1">VLOOKUP($A28,OFFSET([1]characters!$A$1,0,0,COUNTA([1]characters!$A:$A),MATCH(F$1,[1]characters!$1:$1,0)-MATCH($A$1,[1]characters!$1:$1,0)+1),MATCH(F$1,[1]characters!$1:$1,0)-MATCH($A$1,[1]characters!$1:$1,0)+1,FALSE)</f>
        <v>男性</v>
      </c>
      <c r="G28" s="5">
        <f ca="1">VLOOKUP($A28,OFFSET([1]characters!$A$1,0,0,COUNTA([1]characters!$A:$A),MATCH(G$1,[1]characters!$1:$1,0)-MATCH($A$1,[1]characters!$1:$1,0)+1),MATCH(G$1,[1]characters!$1:$1,0)-MATCH($A$1,[1]characters!$1:$1,0)+1,FALSE)</f>
        <v>6</v>
      </c>
      <c r="H28" s="5" t="str">
        <f ca="1">VLOOKUP($A28,OFFSET([1]characters!$A$1,0,0,COUNTA([1]characters!$A:$A),MATCH(H$1,[1]characters!$1:$1,0)-MATCH($A$1,[1]characters!$1:$1,0)+1),MATCH(H$1,[1]characters!$1:$1,0)-MATCH($A$1,[1]characters!$1:$1,0)+1,FALSE)</f>
        <v>PremiumSSS</v>
      </c>
      <c r="I28" s="5" t="str">
        <f ca="1">VLOOKUP($A28,OFFSET([1]characters!$A$1,0,0,COUNTA([1]characters!$A:$A),MATCH(I$1,[1]characters!$1:$1,0)-MATCH($A$1,[1]characters!$1:$1,0)+1),MATCH(I$1,[1]characters!$1:$1,0)-MATCH($A$1,[1]characters!$1:$1,0)+1,FALSE)</f>
        <v>green</v>
      </c>
      <c r="J28" s="5" t="str">
        <f ca="1">VLOOKUP($A28,OFFSET([1]characters!$A$1,0,0,COUNTA([1]characters!$A:$A),MATCH(J$1,[1]characters!$1:$1,0)-MATCH($A$1,[1]characters!$1:$1,0)+1),MATCH(J$1,[1]characters!$1:$1,0)-MATCH($A$1,[1]characters!$1:$1,0)+1,FALSE)</f>
        <v>machine</v>
      </c>
      <c r="K28" s="5" t="str">
        <f ca="1">VLOOKUP(J28,[1]character_tribe_i18n!$A:$H,3,FALSE)</f>
        <v>マシン</v>
      </c>
      <c r="L28" s="11" t="e">
        <f>VLOOKUP(#REF!,[1]character_tribe_i18n!$A:$H,4,FALSE)</f>
        <v>#REF!</v>
      </c>
      <c r="M28" s="11" t="e">
        <f>VLOOKUP(#REF!,[1]character_tribe_i18n!$A:$H,5,FALSE)</f>
        <v>#REF!</v>
      </c>
      <c r="N28" s="11" t="e">
        <f>VLOOKUP(#REF!,[1]character_tribe_i18n!$A:$H,6,FALSE)</f>
        <v>#REF!</v>
      </c>
      <c r="O28" s="11" t="e">
        <f>VLOOKUP(#REF!,[1]character_tribe_i18n!$A:$H,7,FALSE)</f>
        <v>#REF!</v>
      </c>
      <c r="P28" s="191" t="str">
        <f>VLOOKUP(Q28,[1]characters!$A:$T,20)</f>
        <v>normal</v>
      </c>
      <c r="Q28" s="109">
        <v>954</v>
      </c>
      <c r="R28" s="5" t="str">
        <f ca="1">IF(Q28="NULL","",VLOOKUP($Q28,OFFSET([1]characters!$A$1,0,0,COUNTA([1]characters!$A:$A),MATCH(R$1,[1]characters!$1:$1,0)-MATCH($A$1,[1]characters!$1:$1,0)+1),MATCH(R$1,[1]characters!$1:$1,0)-MATCH($A$1,[1]characters!$1:$1,0)+1,FALSE))</f>
        <v>不確の量熔者 ハイゼンベルク</v>
      </c>
      <c r="S28" s="5">
        <f t="shared" ca="1" si="3"/>
        <v>953</v>
      </c>
      <c r="T28" s="5" t="str">
        <f ca="1">VLOOKUP($S28,OFFSET([1]characters!$A$1,0,0,COUNTA([1]characters!$A:$A),MATCH(T$1,[1]characters!$1:$1,0)-MATCH($A$1,[1]characters!$1:$1,0)+1),MATCH(T$1,[1]characters!$1:$1,0)-MATCH($A$1,[1]characters!$1:$1,0)+1,FALSE)</f>
        <v>ハイゼンベルク</v>
      </c>
      <c r="U28" s="11">
        <v>200000</v>
      </c>
      <c r="V28"/>
    </row>
    <row r="29" spans="1:22" ht="21" customHeight="1" x14ac:dyDescent="0.15">
      <c r="A29" s="109">
        <v>880</v>
      </c>
      <c r="B29" s="5" t="str">
        <f ca="1">VLOOKUP($A29,OFFSET([1]characters!$A$1,0,0,COUNTA([1]characters!$A:$A),MATCH(B$1,[1]characters!$1:$1,0)-MATCH($A$1,[1]characters!$1:$1,0)+1),MATCH(B$1,[1]characters!$1:$1,0)-MATCH($A$1,[1]characters!$1:$1,0)+1,FALSE)</f>
        <v>ハーシェル</v>
      </c>
      <c r="C29" s="5" t="str">
        <f ca="1">VLOOKUP($A29,OFFSET([1]characters!$A$1,0,0,COUNTA([1]characters!$A:$A),MATCH(C$1,[1]characters!$1:$1,0)-MATCH($A$1,[1]characters!$1:$1,0)+1),MATCH(C$1,[1]characters!$1:$1,0)-MATCH($A$1,[1]characters!$1:$1,0)+1,FALSE)</f>
        <v>各属性相性良3・黄・R484</v>
      </c>
      <c r="D29" s="5" t="str">
        <f ca="1">VLOOKUP($A29,OFFSET([1]characters!$A$1,0,0,COUNTA([1]characters!$A:$A),MATCH(D$1,[1]characters!$1:$1,0)-MATCH($A$1,[1]characters!$1:$1,0)+1),MATCH(D$1,[1]characters!$1:$1,0)-MATCH($A$1,[1]characters!$1:$1,0)+1,FALSE)</f>
        <v>執行者</v>
      </c>
      <c r="E29" s="5" t="str">
        <f ca="1">VLOOKUP($A29,OFFSET([1]characters!$A$1,0,0,COUNTA([1]characters!$A:$A),MATCH(E$1,[1]characters!$1:$1,0)-MATCH($A$1,[1]characters!$1:$1,0)+1),MATCH(E$1,[1]characters!$1:$1,0)-MATCH($A$1,[1]characters!$1:$1,0)+1,FALSE)</f>
        <v>格好いい</v>
      </c>
      <c r="F29" s="5" t="str">
        <f ca="1">VLOOKUP($A29,OFFSET([1]characters!$A$1,0,0,COUNTA([1]characters!$A:$A),MATCH(F$1,[1]characters!$1:$1,0)-MATCH($A$1,[1]characters!$1:$1,0)+1),MATCH(F$1,[1]characters!$1:$1,0)-MATCH($A$1,[1]characters!$1:$1,0)+1,FALSE)</f>
        <v>男性</v>
      </c>
      <c r="G29" s="5">
        <f ca="1">VLOOKUP($A29,OFFSET([1]characters!$A$1,0,0,COUNTA([1]characters!$A:$A),MATCH(G$1,[1]characters!$1:$1,0)-MATCH($A$1,[1]characters!$1:$1,0)+1),MATCH(G$1,[1]characters!$1:$1,0)-MATCH($A$1,[1]characters!$1:$1,0)+1,FALSE)</f>
        <v>5</v>
      </c>
      <c r="H29" s="5" t="str">
        <f ca="1">VLOOKUP($A29,OFFSET([1]characters!$A$1,0,0,COUNTA([1]characters!$A:$A),MATCH(H$1,[1]characters!$1:$1,0)-MATCH($A$1,[1]characters!$1:$1,0)+1),MATCH(H$1,[1]characters!$1:$1,0)-MATCH($A$1,[1]characters!$1:$1,0)+1,FALSE)</f>
        <v>PremiumSSS</v>
      </c>
      <c r="I29" s="5" t="str">
        <f ca="1">VLOOKUP($A29,OFFSET([1]characters!$A$1,0,0,COUNTA([1]characters!$A:$A),MATCH(I$1,[1]characters!$1:$1,0)-MATCH($A$1,[1]characters!$1:$1,0)+1),MATCH(I$1,[1]characters!$1:$1,0)-MATCH($A$1,[1]characters!$1:$1,0)+1,FALSE)</f>
        <v>yellow</v>
      </c>
      <c r="J29" s="5" t="str">
        <f ca="1">VLOOKUP($A29,OFFSET([1]characters!$A$1,0,0,COUNTA([1]characters!$A:$A),MATCH(J$1,[1]characters!$1:$1,0)-MATCH($A$1,[1]characters!$1:$1,0)+1),MATCH(J$1,[1]characters!$1:$1,0)-MATCH($A$1,[1]characters!$1:$1,0)+1,FALSE)</f>
        <v>animal</v>
      </c>
      <c r="K29" s="5" t="str">
        <f ca="1">VLOOKUP(J29,[1]character_tribe_i18n!$A:$H,3,FALSE)</f>
        <v>アニマル</v>
      </c>
      <c r="L29" s="11" t="e">
        <f>VLOOKUP(#REF!,[1]character_tribe_i18n!$A:$H,4,FALSE)</f>
        <v>#REF!</v>
      </c>
      <c r="M29" s="11" t="e">
        <f>VLOOKUP(#REF!,[1]character_tribe_i18n!$A:$H,5,FALSE)</f>
        <v>#REF!</v>
      </c>
      <c r="N29" s="11" t="e">
        <f>VLOOKUP(#REF!,[1]character_tribe_i18n!$A:$H,6,FALSE)</f>
        <v>#REF!</v>
      </c>
      <c r="O29" s="11" t="e">
        <f>VLOOKUP(#REF!,[1]character_tribe_i18n!$A:$H,7,FALSE)</f>
        <v>#REF!</v>
      </c>
      <c r="P29" s="191" t="str">
        <f>VLOOKUP(Q29,[1]characters!$A:$T,20)</f>
        <v>super</v>
      </c>
      <c r="Q29" s="109">
        <v>1185</v>
      </c>
      <c r="R29" s="5" t="str">
        <f ca="1">IF(Q29="NULL","",VLOOKUP($Q29,OFFSET([1]characters!$A$1,0,0,COUNTA([1]characters!$A:$A),MATCH(R$1,[1]characters!$1:$1,0)-MATCH($A$1,[1]characters!$1:$1,0)+1),MATCH(R$1,[1]characters!$1:$1,0)-MATCH($A$1,[1]characters!$1:$1,0)+1,FALSE))</f>
        <v>兆銀河団の星観者 ハーシェル</v>
      </c>
      <c r="S29" s="5">
        <f t="shared" ref="S29:S31" ca="1" si="4">IF(ISNA(MATCH(A29,Q:Q,0)),A29,INDIRECT(ADDRESS(MATCH(A29,Q:Q,0),COLUMN())))</f>
        <v>880</v>
      </c>
      <c r="T29" s="5" t="str">
        <f ca="1">VLOOKUP($S29,OFFSET([1]characters!$A$1,0,0,COUNTA([1]characters!$A:$A),MATCH(T$1,[1]characters!$1:$1,0)-MATCH($A$1,[1]characters!$1:$1,0)+1),MATCH(T$1,[1]characters!$1:$1,0)-MATCH($A$1,[1]characters!$1:$1,0)+1,FALSE)</f>
        <v>ハーシェル</v>
      </c>
      <c r="U29" s="11">
        <v>200000</v>
      </c>
      <c r="V29"/>
    </row>
    <row r="30" spans="1:22" ht="21" customHeight="1" x14ac:dyDescent="0.15">
      <c r="A30" s="109">
        <v>881</v>
      </c>
      <c r="B30" s="5" t="str">
        <f ca="1">VLOOKUP($A30,OFFSET([1]characters!$A$1,0,0,COUNTA([1]characters!$A:$A),MATCH(B$1,[1]characters!$1:$1,0)-MATCH($A$1,[1]characters!$1:$1,0)+1),MATCH(B$1,[1]characters!$1:$1,0)-MATCH($A$1,[1]characters!$1:$1,0)+1,FALSE)</f>
        <v>銀河究星の望観者 ハーシェル</v>
      </c>
      <c r="C30" s="5" t="str">
        <f ca="1">VLOOKUP($A30,OFFSET([1]characters!$A$1,0,0,COUNTA([1]characters!$A:$A),MATCH(C$1,[1]characters!$1:$1,0)-MATCH($A$1,[1]characters!$1:$1,0)+1),MATCH(C$1,[1]characters!$1:$1,0)-MATCH($A$1,[1]characters!$1:$1,0)+1,FALSE)</f>
        <v>各属性相性良3・黄・R485</v>
      </c>
      <c r="D30" s="5" t="str">
        <f ca="1">VLOOKUP($A30,OFFSET([1]characters!$A$1,0,0,COUNTA([1]characters!$A:$A),MATCH(D$1,[1]characters!$1:$1,0)-MATCH($A$1,[1]characters!$1:$1,0)+1),MATCH(D$1,[1]characters!$1:$1,0)-MATCH($A$1,[1]characters!$1:$1,0)+1,FALSE)</f>
        <v>執行者</v>
      </c>
      <c r="E30" s="5" t="str">
        <f ca="1">VLOOKUP($A30,OFFSET([1]characters!$A$1,0,0,COUNTA([1]characters!$A:$A),MATCH(E$1,[1]characters!$1:$1,0)-MATCH($A$1,[1]characters!$1:$1,0)+1),MATCH(E$1,[1]characters!$1:$1,0)-MATCH($A$1,[1]characters!$1:$1,0)+1,FALSE)</f>
        <v>格好いい</v>
      </c>
      <c r="F30" s="5" t="str">
        <f ca="1">VLOOKUP($A30,OFFSET([1]characters!$A$1,0,0,COUNTA([1]characters!$A:$A),MATCH(F$1,[1]characters!$1:$1,0)-MATCH($A$1,[1]characters!$1:$1,0)+1),MATCH(F$1,[1]characters!$1:$1,0)-MATCH($A$1,[1]characters!$1:$1,0)+1,FALSE)</f>
        <v>男性</v>
      </c>
      <c r="G30" s="5">
        <f ca="1">VLOOKUP($A30,OFFSET([1]characters!$A$1,0,0,COUNTA([1]characters!$A:$A),MATCH(G$1,[1]characters!$1:$1,0)-MATCH($A$1,[1]characters!$1:$1,0)+1),MATCH(G$1,[1]characters!$1:$1,0)-MATCH($A$1,[1]characters!$1:$1,0)+1,FALSE)</f>
        <v>6</v>
      </c>
      <c r="H30" s="5" t="str">
        <f ca="1">VLOOKUP($A30,OFFSET([1]characters!$A$1,0,0,COUNTA([1]characters!$A:$A),MATCH(H$1,[1]characters!$1:$1,0)-MATCH($A$1,[1]characters!$1:$1,0)+1),MATCH(H$1,[1]characters!$1:$1,0)-MATCH($A$1,[1]characters!$1:$1,0)+1,FALSE)</f>
        <v>PremiumSSS</v>
      </c>
      <c r="I30" s="5" t="str">
        <f ca="1">VLOOKUP($A30,OFFSET([1]characters!$A$1,0,0,COUNTA([1]characters!$A:$A),MATCH(I$1,[1]characters!$1:$1,0)-MATCH($A$1,[1]characters!$1:$1,0)+1),MATCH(I$1,[1]characters!$1:$1,0)-MATCH($A$1,[1]characters!$1:$1,0)+1,FALSE)</f>
        <v>yellow</v>
      </c>
      <c r="J30" s="5" t="str">
        <f ca="1">VLOOKUP($A30,OFFSET([1]characters!$A$1,0,0,COUNTA([1]characters!$A:$A),MATCH(J$1,[1]characters!$1:$1,0)-MATCH($A$1,[1]characters!$1:$1,0)+1),MATCH(J$1,[1]characters!$1:$1,0)-MATCH($A$1,[1]characters!$1:$1,0)+1,FALSE)</f>
        <v>animal</v>
      </c>
      <c r="K30" s="5" t="str">
        <f ca="1">VLOOKUP(J30,[1]character_tribe_i18n!$A:$H,3,FALSE)</f>
        <v>アニマル</v>
      </c>
      <c r="L30" s="11" t="e">
        <f>VLOOKUP(#REF!,[1]character_tribe_i18n!$A:$H,4,FALSE)</f>
        <v>#REF!</v>
      </c>
      <c r="M30" s="11" t="e">
        <f>VLOOKUP(#REF!,[1]character_tribe_i18n!$A:$H,5,FALSE)</f>
        <v>#REF!</v>
      </c>
      <c r="N30" s="11" t="e">
        <f>VLOOKUP(#REF!,[1]character_tribe_i18n!$A:$H,6,FALSE)</f>
        <v>#REF!</v>
      </c>
      <c r="O30" s="11" t="e">
        <f>VLOOKUP(#REF!,[1]character_tribe_i18n!$A:$H,7,FALSE)</f>
        <v>#REF!</v>
      </c>
      <c r="P30" s="191" t="str">
        <f>VLOOKUP(Q30,[1]characters!$A:$T,20)</f>
        <v>super</v>
      </c>
      <c r="Q30" s="109">
        <v>1185</v>
      </c>
      <c r="R30" s="5" t="str">
        <f ca="1">IF(Q30="NULL","",VLOOKUP($Q30,OFFSET([1]characters!$A$1,0,0,COUNTA([1]characters!$A:$A),MATCH(R$1,[1]characters!$1:$1,0)-MATCH($A$1,[1]characters!$1:$1,0)+1),MATCH(R$1,[1]characters!$1:$1,0)-MATCH($A$1,[1]characters!$1:$1,0)+1,FALSE))</f>
        <v>兆銀河団の星観者 ハーシェル</v>
      </c>
      <c r="S30" s="5">
        <f t="shared" ca="1" si="4"/>
        <v>880</v>
      </c>
      <c r="T30" s="5" t="str">
        <f ca="1">VLOOKUP($S30,OFFSET([1]characters!$A$1,0,0,COUNTA([1]characters!$A:$A),MATCH(T$1,[1]characters!$1:$1,0)-MATCH($A$1,[1]characters!$1:$1,0)+1),MATCH(T$1,[1]characters!$1:$1,0)-MATCH($A$1,[1]characters!$1:$1,0)+1,FALSE)</f>
        <v>ハーシェル</v>
      </c>
      <c r="U30" s="11">
        <v>200000</v>
      </c>
      <c r="V30"/>
    </row>
    <row r="31" spans="1:22" ht="21" customHeight="1" x14ac:dyDescent="0.15">
      <c r="A31" s="109">
        <v>1185</v>
      </c>
      <c r="B31" s="5" t="str">
        <f ca="1">VLOOKUP($A31,OFFSET([1]characters!$A$1,0,0,COUNTA([1]characters!$A:$A),MATCH(B$1,[1]characters!$1:$1,0)-MATCH($A$1,[1]characters!$1:$1,0)+1),MATCH(B$1,[1]characters!$1:$1,0)-MATCH($A$1,[1]characters!$1:$1,0)+1,FALSE)</f>
        <v>兆銀河団の星観者 ハーシェル</v>
      </c>
      <c r="C31" s="5" t="str">
        <f ca="1">VLOOKUP($A31,OFFSET([1]characters!$A$1,0,0,COUNTA([1]characters!$A:$A),MATCH(C$1,[1]characters!$1:$1,0)-MATCH($A$1,[1]characters!$1:$1,0)+1),MATCH(C$1,[1]characters!$1:$1,0)-MATCH($A$1,[1]characters!$1:$1,0)+1,FALSE)</f>
        <v>超覚醒ハーシェル</v>
      </c>
      <c r="D31" s="5" t="str">
        <f ca="1">VLOOKUP($A31,OFFSET([1]characters!$A$1,0,0,COUNTA([1]characters!$A:$A),MATCH(D$1,[1]characters!$1:$1,0)-MATCH($A$1,[1]characters!$1:$1,0)+1),MATCH(D$1,[1]characters!$1:$1,0)-MATCH($A$1,[1]characters!$1:$1,0)+1,FALSE)</f>
        <v>アリス</v>
      </c>
      <c r="E31" s="5" t="str">
        <f ca="1">VLOOKUP($A31,OFFSET([1]characters!$A$1,0,0,COUNTA([1]characters!$A:$A),MATCH(E$1,[1]characters!$1:$1,0)-MATCH($A$1,[1]characters!$1:$1,0)+1),MATCH(E$1,[1]characters!$1:$1,0)-MATCH($A$1,[1]characters!$1:$1,0)+1,FALSE)</f>
        <v>世界観</v>
      </c>
      <c r="F31" s="5" t="str">
        <f ca="1">VLOOKUP($A31,OFFSET([1]characters!$A$1,0,0,COUNTA([1]characters!$A:$A),MATCH(F$1,[1]characters!$1:$1,0)-MATCH($A$1,[1]characters!$1:$1,0)+1),MATCH(F$1,[1]characters!$1:$1,0)-MATCH($A$1,[1]characters!$1:$1,0)+1,FALSE)</f>
        <v>不明</v>
      </c>
      <c r="G31" s="5">
        <f ca="1">VLOOKUP($A31,OFFSET([1]characters!$A$1,0,0,COUNTA([1]characters!$A:$A),MATCH(G$1,[1]characters!$1:$1,0)-MATCH($A$1,[1]characters!$1:$1,0)+1),MATCH(G$1,[1]characters!$1:$1,0)-MATCH($A$1,[1]characters!$1:$1,0)+1,FALSE)</f>
        <v>6</v>
      </c>
      <c r="H31" s="5" t="str">
        <f ca="1">VLOOKUP($A31,OFFSET([1]characters!$A$1,0,0,COUNTA([1]characters!$A:$A),MATCH(H$1,[1]characters!$1:$1,0)-MATCH($A$1,[1]characters!$1:$1,0)+1),MATCH(H$1,[1]characters!$1:$1,0)-MATCH($A$1,[1]characters!$1:$1,0)+1,FALSE)</f>
        <v>PremiumSSS</v>
      </c>
      <c r="I31" s="5" t="str">
        <f ca="1">VLOOKUP($A31,OFFSET([1]characters!$A$1,0,0,COUNTA([1]characters!$A:$A),MATCH(I$1,[1]characters!$1:$1,0)-MATCH($A$1,[1]characters!$1:$1,0)+1),MATCH(I$1,[1]characters!$1:$1,0)-MATCH($A$1,[1]characters!$1:$1,0)+1,FALSE)</f>
        <v>yellow</v>
      </c>
      <c r="J31" s="5" t="str">
        <f ca="1">VLOOKUP($A31,OFFSET([1]characters!$A$1,0,0,COUNTA([1]characters!$A:$A),MATCH(J$1,[1]characters!$1:$1,0)-MATCH($A$1,[1]characters!$1:$1,0)+1),MATCH(J$1,[1]characters!$1:$1,0)-MATCH($A$1,[1]characters!$1:$1,0)+1,FALSE)</f>
        <v>animal</v>
      </c>
      <c r="K31" s="5" t="str">
        <f ca="1">VLOOKUP(J31,[1]character_tribe_i18n!$A:$H,3,FALSE)</f>
        <v>アニマル</v>
      </c>
      <c r="L31" s="11" t="e">
        <f>VLOOKUP(#REF!,[1]character_tribe_i18n!$A:$H,4,FALSE)</f>
        <v>#REF!</v>
      </c>
      <c r="M31" s="11" t="e">
        <f>VLOOKUP(#REF!,[1]character_tribe_i18n!$A:$H,5,FALSE)</f>
        <v>#REF!</v>
      </c>
      <c r="N31" s="11" t="e">
        <f>VLOOKUP(#REF!,[1]character_tribe_i18n!$A:$H,6,FALSE)</f>
        <v>#REF!</v>
      </c>
      <c r="O31" s="11" t="e">
        <f>VLOOKUP(#REF!,[1]character_tribe_i18n!$A:$H,7,FALSE)</f>
        <v>#REF!</v>
      </c>
      <c r="P31" s="191" t="str">
        <f>VLOOKUP(Q31,[1]characters!$A:$T,20)</f>
        <v>normal</v>
      </c>
      <c r="Q31" s="109">
        <v>881</v>
      </c>
      <c r="R31" s="5" t="str">
        <f ca="1">IF(Q31="NULL","",VLOOKUP($Q31,OFFSET([1]characters!$A$1,0,0,COUNTA([1]characters!$A:$A),MATCH(R$1,[1]characters!$1:$1,0)-MATCH($A$1,[1]characters!$1:$1,0)+1),MATCH(R$1,[1]characters!$1:$1,0)-MATCH($A$1,[1]characters!$1:$1,0)+1,FALSE))</f>
        <v>銀河究星の望観者 ハーシェル</v>
      </c>
      <c r="S31" s="5">
        <f t="shared" ca="1" si="4"/>
        <v>880</v>
      </c>
      <c r="T31" s="5" t="str">
        <f ca="1">VLOOKUP($S31,OFFSET([1]characters!$A$1,0,0,COUNTA([1]characters!$A:$A),MATCH(T$1,[1]characters!$1:$1,0)-MATCH($A$1,[1]characters!$1:$1,0)+1),MATCH(T$1,[1]characters!$1:$1,0)-MATCH($A$1,[1]characters!$1:$1,0)+1,FALSE)</f>
        <v>ハーシェル</v>
      </c>
      <c r="U31" s="11">
        <v>200000</v>
      </c>
      <c r="V31"/>
    </row>
    <row r="32" spans="1:22" ht="21" customHeight="1" x14ac:dyDescent="0.15">
      <c r="A32" s="109">
        <v>315</v>
      </c>
      <c r="B32" s="5" t="str">
        <f ca="1">VLOOKUP($A32,OFFSET([1]characters!$A$1,0,0,COUNTA([1]characters!$A:$A),MATCH(B$1,[1]characters!$1:$1,0)-MATCH($A$1,[1]characters!$1:$1,0)+1),MATCH(B$1,[1]characters!$1:$1,0)-MATCH($A$1,[1]characters!$1:$1,0)+1,FALSE)</f>
        <v>鉄馬駆る聖女 ジャンヌ</v>
      </c>
      <c r="C32" s="5" t="str">
        <f ca="1">VLOOKUP($A32,OFFSET([1]characters!$A$1,0,0,COUNTA([1]characters!$A:$A),MATCH(C$1,[1]characters!$1:$1,0)-MATCH($A$1,[1]characters!$1:$1,0)+1),MATCH(C$1,[1]characters!$1:$1,0)-MATCH($A$1,[1]characters!$1:$1,0)+1,FALSE)</f>
        <v>イベント:ウィザード</v>
      </c>
      <c r="D32" s="5" t="str">
        <f ca="1">VLOOKUP($A32,OFFSET([1]characters!$A$1,0,0,COUNTA([1]characters!$A:$A),MATCH(D$1,[1]characters!$1:$1,0)-MATCH($A$1,[1]characters!$1:$1,0)+1),MATCH(D$1,[1]characters!$1:$1,0)-MATCH($A$1,[1]characters!$1:$1,0)+1,FALSE)</f>
        <v>守護者</v>
      </c>
      <c r="E32" s="5" t="str">
        <f ca="1">VLOOKUP($A32,OFFSET([1]characters!$A$1,0,0,COUNTA([1]characters!$A:$A),MATCH(E$1,[1]characters!$1:$1,0)-MATCH($A$1,[1]characters!$1:$1,0)+1),MATCH(E$1,[1]characters!$1:$1,0)-MATCH($A$1,[1]characters!$1:$1,0)+1,FALSE)</f>
        <v>美しい</v>
      </c>
      <c r="F32" s="5" t="str">
        <f ca="1">VLOOKUP($A32,OFFSET([1]characters!$A$1,0,0,COUNTA([1]characters!$A:$A),MATCH(F$1,[1]characters!$1:$1,0)-MATCH($A$1,[1]characters!$1:$1,0)+1),MATCH(F$1,[1]characters!$1:$1,0)-MATCH($A$1,[1]characters!$1:$1,0)+1,FALSE)</f>
        <v>女性</v>
      </c>
      <c r="G32" s="5">
        <f ca="1">VLOOKUP($A32,OFFSET([1]characters!$A$1,0,0,COUNTA([1]characters!$A:$A),MATCH(G$1,[1]characters!$1:$1,0)-MATCH($A$1,[1]characters!$1:$1,0)+1),MATCH(G$1,[1]characters!$1:$1,0)-MATCH($A$1,[1]characters!$1:$1,0)+1,FALSE)</f>
        <v>5</v>
      </c>
      <c r="H32" s="5" t="str">
        <f ca="1">VLOOKUP($A32,OFFSET([1]characters!$A$1,0,0,COUNTA([1]characters!$A:$A),MATCH(H$1,[1]characters!$1:$1,0)-MATCH($A$1,[1]characters!$1:$1,0)+1),MATCH(H$1,[1]characters!$1:$1,0)-MATCH($A$1,[1]characters!$1:$1,0)+1,FALSE)</f>
        <v>DropWizS</v>
      </c>
      <c r="I32" s="5" t="str">
        <f ca="1">VLOOKUP($A32,OFFSET([1]characters!$A$1,0,0,COUNTA([1]characters!$A:$A),MATCH(I$1,[1]characters!$1:$1,0)-MATCH($A$1,[1]characters!$1:$1,0)+1),MATCH(I$1,[1]characters!$1:$1,0)-MATCH($A$1,[1]characters!$1:$1,0)+1,FALSE)</f>
        <v>blue</v>
      </c>
      <c r="J32" s="5" t="str">
        <f ca="1">VLOOKUP($A32,OFFSET([1]characters!$A$1,0,0,COUNTA([1]characters!$A:$A),MATCH(J$1,[1]characters!$1:$1,0)-MATCH($A$1,[1]characters!$1:$1,0)+1),MATCH(J$1,[1]characters!$1:$1,0)-MATCH($A$1,[1]characters!$1:$1,0)+1,FALSE)</f>
        <v>none</v>
      </c>
      <c r="K32" s="5" t="str">
        <f ca="1">VLOOKUP(J32,[1]character_tribe_i18n!$A:$H,3,FALSE)</f>
        <v>種族なし</v>
      </c>
      <c r="L32" s="11" t="e">
        <f>VLOOKUP(#REF!,[1]character_tribe_i18n!$A:$H,4,FALSE)</f>
        <v>#REF!</v>
      </c>
      <c r="M32" s="11" t="e">
        <f>VLOOKUP(#REF!,[1]character_tribe_i18n!$A:$H,5,FALSE)</f>
        <v>#REF!</v>
      </c>
      <c r="N32" s="11" t="e">
        <f>VLOOKUP(#REF!,[1]character_tribe_i18n!$A:$H,6,FALSE)</f>
        <v>#REF!</v>
      </c>
      <c r="O32" s="11" t="e">
        <f>VLOOKUP(#REF!,[1]character_tribe_i18n!$A:$H,7,FALSE)</f>
        <v>#REF!</v>
      </c>
      <c r="P32" s="191" t="str">
        <f>VLOOKUP(Q32,[1]characters!$A:$T,20)</f>
        <v>super</v>
      </c>
      <c r="Q32" s="109">
        <v>1118</v>
      </c>
      <c r="R32" s="5" t="str">
        <f ca="1">IF(Q32="NULL","",VLOOKUP($Q32,OFFSET([1]characters!$A$1,0,0,COUNTA([1]characters!$A:$A),MATCH(R$1,[1]characters!$1:$1,0)-MATCH($A$1,[1]characters!$1:$1,0)+1),MATCH(R$1,[1]characters!$1:$1,0)-MATCH($A$1,[1]characters!$1:$1,0)+1,FALSE))</f>
        <v>超過速路の閃導者 ジャンヌ</v>
      </c>
      <c r="S32" s="229">
        <v>314</v>
      </c>
      <c r="T32" s="5" t="str">
        <f ca="1">VLOOKUP($S32,OFFSET([1]characters!$A$1,0,0,COUNTA([1]characters!$A:$A),MATCH(T$1,[1]characters!$1:$1,0)-MATCH($A$1,[1]characters!$1:$1,0)+1),MATCH(T$1,[1]characters!$1:$1,0)-MATCH($A$1,[1]characters!$1:$1,0)+1,FALSE)</f>
        <v>ジャンヌ</v>
      </c>
      <c r="U32" s="11">
        <v>200000</v>
      </c>
      <c r="V32"/>
    </row>
    <row r="33" spans="1:22" ht="21" customHeight="1" x14ac:dyDescent="0.15">
      <c r="A33" s="109">
        <v>814</v>
      </c>
      <c r="B33" s="5" t="str">
        <f ca="1">VLOOKUP($A33,OFFSET([1]characters!$A$1,0,0,COUNTA([1]characters!$A:$A),MATCH(B$1,[1]characters!$1:$1,0)-MATCH($A$1,[1]characters!$1:$1,0)+1),MATCH(B$1,[1]characters!$1:$1,0)-MATCH($A$1,[1]characters!$1:$1,0)+1,FALSE)</f>
        <v>戦場疾駆の鋼蹄 ジャンヌ</v>
      </c>
      <c r="C33" s="5" t="str">
        <f ca="1">VLOOKUP($A33,OFFSET([1]characters!$A$1,0,0,COUNTA([1]characters!$A:$A),MATCH(C$1,[1]characters!$1:$1,0)-MATCH($A$1,[1]characters!$1:$1,0)+1),MATCH(C$1,[1]characters!$1:$1,0)-MATCH($A$1,[1]characters!$1:$1,0)+1,FALSE)</f>
        <v>各属性相性良3・黄・R432</v>
      </c>
      <c r="D33" s="5" t="str">
        <f ca="1">VLOOKUP($A33,OFFSET([1]characters!$A$1,0,0,COUNTA([1]characters!$A:$A),MATCH(D$1,[1]characters!$1:$1,0)-MATCH($A$1,[1]characters!$1:$1,0)+1),MATCH(D$1,[1]characters!$1:$1,0)-MATCH($A$1,[1]characters!$1:$1,0)+1,FALSE)</f>
        <v>執行者</v>
      </c>
      <c r="E33" s="5" t="str">
        <f ca="1">VLOOKUP($A33,OFFSET([1]characters!$A$1,0,0,COUNTA([1]characters!$A:$A),MATCH(E$1,[1]characters!$1:$1,0)-MATCH($A$1,[1]characters!$1:$1,0)+1),MATCH(E$1,[1]characters!$1:$1,0)-MATCH($A$1,[1]characters!$1:$1,0)+1,FALSE)</f>
        <v>格好いい</v>
      </c>
      <c r="F33" s="5" t="str">
        <f ca="1">VLOOKUP($A33,OFFSET([1]characters!$A$1,0,0,COUNTA([1]characters!$A:$A),MATCH(F$1,[1]characters!$1:$1,0)-MATCH($A$1,[1]characters!$1:$1,0)+1),MATCH(F$1,[1]characters!$1:$1,0)-MATCH($A$1,[1]characters!$1:$1,0)+1,FALSE)</f>
        <v>男性</v>
      </c>
      <c r="G33" s="5">
        <f ca="1">VLOOKUP($A33,OFFSET([1]characters!$A$1,0,0,COUNTA([1]characters!$A:$A),MATCH(G$1,[1]characters!$1:$1,0)-MATCH($A$1,[1]characters!$1:$1,0)+1),MATCH(G$1,[1]characters!$1:$1,0)-MATCH($A$1,[1]characters!$1:$1,0)+1,FALSE)</f>
        <v>6</v>
      </c>
      <c r="H33" s="5" t="str">
        <f ca="1">VLOOKUP($A33,OFFSET([1]characters!$A$1,0,0,COUNTA([1]characters!$A:$A),MATCH(H$1,[1]characters!$1:$1,0)-MATCH($A$1,[1]characters!$1:$1,0)+1),MATCH(H$1,[1]characters!$1:$1,0)-MATCH($A$1,[1]characters!$1:$1,0)+1,FALSE)</f>
        <v>DropWizS</v>
      </c>
      <c r="I33" s="5" t="str">
        <f ca="1">VLOOKUP($A33,OFFSET([1]characters!$A$1,0,0,COUNTA([1]characters!$A:$A),MATCH(I$1,[1]characters!$1:$1,0)-MATCH($A$1,[1]characters!$1:$1,0)+1),MATCH(I$1,[1]characters!$1:$1,0)-MATCH($A$1,[1]characters!$1:$1,0)+1,FALSE)</f>
        <v>blue</v>
      </c>
      <c r="J33" s="5" t="str">
        <f ca="1">VLOOKUP($A33,OFFSET([1]characters!$A$1,0,0,COUNTA([1]characters!$A:$A),MATCH(J$1,[1]characters!$1:$1,0)-MATCH($A$1,[1]characters!$1:$1,0)+1),MATCH(J$1,[1]characters!$1:$1,0)-MATCH($A$1,[1]characters!$1:$1,0)+1,FALSE)</f>
        <v>none</v>
      </c>
      <c r="K33" s="5" t="str">
        <f ca="1">VLOOKUP(J33,[1]character_tribe_i18n!$A:$H,3,FALSE)</f>
        <v>種族なし</v>
      </c>
      <c r="L33" s="11" t="e">
        <f>VLOOKUP(#REF!,[1]character_tribe_i18n!$A:$H,4,FALSE)</f>
        <v>#REF!</v>
      </c>
      <c r="M33" s="11" t="e">
        <f>VLOOKUP(#REF!,[1]character_tribe_i18n!$A:$H,5,FALSE)</f>
        <v>#REF!</v>
      </c>
      <c r="N33" s="11" t="e">
        <f>VLOOKUP(#REF!,[1]character_tribe_i18n!$A:$H,6,FALSE)</f>
        <v>#REF!</v>
      </c>
      <c r="O33" s="11" t="e">
        <f>VLOOKUP(#REF!,[1]character_tribe_i18n!$A:$H,7,FALSE)</f>
        <v>#REF!</v>
      </c>
      <c r="P33" s="191" t="str">
        <f>VLOOKUP(Q33,[1]characters!$A:$T,20)</f>
        <v>super</v>
      </c>
      <c r="Q33" s="109">
        <v>1118</v>
      </c>
      <c r="R33" s="5" t="str">
        <f ca="1">IF(Q33="NULL","",VLOOKUP($Q33,OFFSET([1]characters!$A$1,0,0,COUNTA([1]characters!$A:$A),MATCH(R$1,[1]characters!$1:$1,0)-MATCH($A$1,[1]characters!$1:$1,0)+1),MATCH(R$1,[1]characters!$1:$1,0)-MATCH($A$1,[1]characters!$1:$1,0)+1,FALSE))</f>
        <v>超過速路の閃導者 ジャンヌ</v>
      </c>
      <c r="S33" s="229">
        <v>314</v>
      </c>
      <c r="T33" s="5" t="str">
        <f ca="1">VLOOKUP($S33,OFFSET([1]characters!$A$1,0,0,COUNTA([1]characters!$A:$A),MATCH(T$1,[1]characters!$1:$1,0)-MATCH($A$1,[1]characters!$1:$1,0)+1),MATCH(T$1,[1]characters!$1:$1,0)-MATCH($A$1,[1]characters!$1:$1,0)+1,FALSE)</f>
        <v>ジャンヌ</v>
      </c>
      <c r="U33" s="11">
        <v>200000</v>
      </c>
      <c r="V33"/>
    </row>
    <row r="34" spans="1:22" ht="21" customHeight="1" x14ac:dyDescent="0.15">
      <c r="A34" s="109">
        <v>1118</v>
      </c>
      <c r="B34" s="5" t="str">
        <f ca="1">VLOOKUP($A34,OFFSET([1]characters!$A$1,0,0,COUNTA([1]characters!$A:$A),MATCH(B$1,[1]characters!$1:$1,0)-MATCH($A$1,[1]characters!$1:$1,0)+1),MATCH(B$1,[1]characters!$1:$1,0)-MATCH($A$1,[1]characters!$1:$1,0)+1,FALSE)</f>
        <v>超過速路の閃導者 ジャンヌ</v>
      </c>
      <c r="C34" s="5" t="str">
        <f ca="1">VLOOKUP($A34,OFFSET([1]characters!$A$1,0,0,COUNTA([1]characters!$A:$A),MATCH(C$1,[1]characters!$1:$1,0)-MATCH($A$1,[1]characters!$1:$1,0)+1),MATCH(C$1,[1]characters!$1:$1,0)-MATCH($A$1,[1]characters!$1:$1,0)+1,FALSE)</f>
        <v>未定</v>
      </c>
      <c r="D34" s="5" t="str">
        <f ca="1">VLOOKUP($A34,OFFSET([1]characters!$A$1,0,0,COUNTA([1]characters!$A:$A),MATCH(D$1,[1]characters!$1:$1,0)-MATCH($A$1,[1]characters!$1:$1,0)+1),MATCH(D$1,[1]characters!$1:$1,0)-MATCH($A$1,[1]characters!$1:$1,0)+1,FALSE)</f>
        <v>アリス</v>
      </c>
      <c r="E34" s="5" t="str">
        <f ca="1">VLOOKUP($A34,OFFSET([1]characters!$A$1,0,0,COUNTA([1]characters!$A:$A),MATCH(E$1,[1]characters!$1:$1,0)-MATCH($A$1,[1]characters!$1:$1,0)+1),MATCH(E$1,[1]characters!$1:$1,0)-MATCH($A$1,[1]characters!$1:$1,0)+1,FALSE)</f>
        <v>世界観</v>
      </c>
      <c r="F34" s="5" t="str">
        <f ca="1">VLOOKUP($A34,OFFSET([1]characters!$A$1,0,0,COUNTA([1]characters!$A:$A),MATCH(F$1,[1]characters!$1:$1,0)-MATCH($A$1,[1]characters!$1:$1,0)+1),MATCH(F$1,[1]characters!$1:$1,0)-MATCH($A$1,[1]characters!$1:$1,0)+1,FALSE)</f>
        <v>不明</v>
      </c>
      <c r="G34" s="5">
        <f ca="1">VLOOKUP($A34,OFFSET([1]characters!$A$1,0,0,COUNTA([1]characters!$A:$A),MATCH(G$1,[1]characters!$1:$1,0)-MATCH($A$1,[1]characters!$1:$1,0)+1),MATCH(G$1,[1]characters!$1:$1,0)-MATCH($A$1,[1]characters!$1:$1,0)+1,FALSE)</f>
        <v>6</v>
      </c>
      <c r="H34" s="5" t="str">
        <f ca="1">VLOOKUP($A34,OFFSET([1]characters!$A$1,0,0,COUNTA([1]characters!$A:$A),MATCH(H$1,[1]characters!$1:$1,0)-MATCH($A$1,[1]characters!$1:$1,0)+1),MATCH(H$1,[1]characters!$1:$1,0)-MATCH($A$1,[1]characters!$1:$1,0)+1,FALSE)</f>
        <v>DropWizS</v>
      </c>
      <c r="I34" s="5" t="str">
        <f ca="1">VLOOKUP($A34,OFFSET([1]characters!$A$1,0,0,COUNTA([1]characters!$A:$A),MATCH(I$1,[1]characters!$1:$1,0)-MATCH($A$1,[1]characters!$1:$1,0)+1),MATCH(I$1,[1]characters!$1:$1,0)-MATCH($A$1,[1]characters!$1:$1,0)+1,FALSE)</f>
        <v>blue</v>
      </c>
      <c r="J34" s="5" t="str">
        <f ca="1">VLOOKUP($A34,OFFSET([1]characters!$A$1,0,0,COUNTA([1]characters!$A:$A),MATCH(J$1,[1]characters!$1:$1,0)-MATCH($A$1,[1]characters!$1:$1,0)+1),MATCH(J$1,[1]characters!$1:$1,0)-MATCH($A$1,[1]characters!$1:$1,0)+1,FALSE)</f>
        <v>hero</v>
      </c>
      <c r="K34" s="5" t="str">
        <f ca="1">VLOOKUP(J34,[1]character_tribe_i18n!$A:$H,3,FALSE)</f>
        <v>ヒーロー</v>
      </c>
      <c r="L34" s="11" t="e">
        <f>VLOOKUP(#REF!,[1]character_tribe_i18n!$A:$H,4,FALSE)</f>
        <v>#REF!</v>
      </c>
      <c r="M34" s="11" t="e">
        <f>VLOOKUP(#REF!,[1]character_tribe_i18n!$A:$H,5,FALSE)</f>
        <v>#REF!</v>
      </c>
      <c r="N34" s="11" t="e">
        <f>VLOOKUP(#REF!,[1]character_tribe_i18n!$A:$H,6,FALSE)</f>
        <v>#REF!</v>
      </c>
      <c r="O34" s="11" t="e">
        <f>VLOOKUP(#REF!,[1]character_tribe_i18n!$A:$H,7,FALSE)</f>
        <v>#REF!</v>
      </c>
      <c r="P34" s="191" t="str">
        <f>VLOOKUP(Q34,[1]characters!$A:$T,20)</f>
        <v>normal</v>
      </c>
      <c r="Q34" s="109">
        <v>814</v>
      </c>
      <c r="R34" s="5" t="str">
        <f ca="1">IF(Q34="NULL","",VLOOKUP($Q34,OFFSET([1]characters!$A$1,0,0,COUNTA([1]characters!$A:$A),MATCH(R$1,[1]characters!$1:$1,0)-MATCH($A$1,[1]characters!$1:$1,0)+1),MATCH(R$1,[1]characters!$1:$1,0)-MATCH($A$1,[1]characters!$1:$1,0)+1,FALSE))</f>
        <v>戦場疾駆の鋼蹄 ジャンヌ</v>
      </c>
      <c r="S34" s="229">
        <v>314</v>
      </c>
      <c r="T34" s="5" t="str">
        <f ca="1">VLOOKUP($S34,OFFSET([1]characters!$A$1,0,0,COUNTA([1]characters!$A:$A),MATCH(T$1,[1]characters!$1:$1,0)-MATCH($A$1,[1]characters!$1:$1,0)+1),MATCH(T$1,[1]characters!$1:$1,0)-MATCH($A$1,[1]characters!$1:$1,0)+1,FALSE)</f>
        <v>ジャンヌ</v>
      </c>
      <c r="U34" s="11">
        <v>200000</v>
      </c>
      <c r="V34"/>
    </row>
    <row r="35" spans="1:22" ht="21" customHeight="1" x14ac:dyDescent="0.15">
      <c r="A35" s="109">
        <v>974</v>
      </c>
      <c r="B35" s="5" t="str">
        <f ca="1">VLOOKUP($A35,OFFSET([1]characters!$A$1,0,0,COUNTA([1]characters!$A:$A),MATCH(B$1,[1]characters!$1:$1,0)-MATCH($A$1,[1]characters!$1:$1,0)+1),MATCH(B$1,[1]characters!$1:$1,0)-MATCH($A$1,[1]characters!$1:$1,0)+1,FALSE)</f>
        <v>ブール</v>
      </c>
      <c r="C35" s="5" t="str">
        <f ca="1">VLOOKUP($A35,OFFSET([1]characters!$A$1,0,0,COUNTA([1]characters!$A:$A),MATCH(C$1,[1]characters!$1:$1,0)-MATCH($A$1,[1]characters!$1:$1,0)+1),MATCH(C$1,[1]characters!$1:$1,0)-MATCH($A$1,[1]characters!$1:$1,0)+1,FALSE)</f>
        <v>各属性相性良3・黄・R578</v>
      </c>
      <c r="D35" s="5" t="str">
        <f ca="1">VLOOKUP($A35,OFFSET([1]characters!$A$1,0,0,COUNTA([1]characters!$A:$A),MATCH(D$1,[1]characters!$1:$1,0)-MATCH($A$1,[1]characters!$1:$1,0)+1),MATCH(D$1,[1]characters!$1:$1,0)-MATCH($A$1,[1]characters!$1:$1,0)+1,FALSE)</f>
        <v>執行者</v>
      </c>
      <c r="E35" s="5" t="str">
        <f ca="1">VLOOKUP($A35,OFFSET([1]characters!$A$1,0,0,COUNTA([1]characters!$A:$A),MATCH(E$1,[1]characters!$1:$1,0)-MATCH($A$1,[1]characters!$1:$1,0)+1),MATCH(E$1,[1]characters!$1:$1,0)-MATCH($A$1,[1]characters!$1:$1,0)+1,FALSE)</f>
        <v>格好いい</v>
      </c>
      <c r="F35" s="5" t="str">
        <f ca="1">VLOOKUP($A35,OFFSET([1]characters!$A$1,0,0,COUNTA([1]characters!$A:$A),MATCH(F$1,[1]characters!$1:$1,0)-MATCH($A$1,[1]characters!$1:$1,0)+1),MATCH(F$1,[1]characters!$1:$1,0)-MATCH($A$1,[1]characters!$1:$1,0)+1,FALSE)</f>
        <v>男性</v>
      </c>
      <c r="G35" s="5">
        <f ca="1">VLOOKUP($A35,OFFSET([1]characters!$A$1,0,0,COUNTA([1]characters!$A:$A),MATCH(G$1,[1]characters!$1:$1,0)-MATCH($A$1,[1]characters!$1:$1,0)+1),MATCH(G$1,[1]characters!$1:$1,0)-MATCH($A$1,[1]characters!$1:$1,0)+1,FALSE)</f>
        <v>5</v>
      </c>
      <c r="H35" s="5" t="str">
        <f ca="1">VLOOKUP($A35,OFFSET([1]characters!$A$1,0,0,COUNTA([1]characters!$A:$A),MATCH(H$1,[1]characters!$1:$1,0)-MATCH($A$1,[1]characters!$1:$1,0)+1),MATCH(H$1,[1]characters!$1:$1,0)-MATCH($A$1,[1]characters!$1:$1,0)+1,FALSE)</f>
        <v>PremiumSSS</v>
      </c>
      <c r="I35" s="5" t="str">
        <f ca="1">VLOOKUP($A35,OFFSET([1]characters!$A$1,0,0,COUNTA([1]characters!$A:$A),MATCH(I$1,[1]characters!$1:$1,0)-MATCH($A$1,[1]characters!$1:$1,0)+1),MATCH(I$1,[1]characters!$1:$1,0)-MATCH($A$1,[1]characters!$1:$1,0)+1,FALSE)</f>
        <v>blue</v>
      </c>
      <c r="J35" s="5" t="str">
        <f ca="1">VLOOKUP($A35,OFFSET([1]characters!$A$1,0,0,COUNTA([1]characters!$A:$A),MATCH(J$1,[1]characters!$1:$1,0)-MATCH($A$1,[1]characters!$1:$1,0)+1),MATCH(J$1,[1]characters!$1:$1,0)-MATCH($A$1,[1]characters!$1:$1,0)+1,FALSE)</f>
        <v>none</v>
      </c>
      <c r="K35" s="5" t="str">
        <f ca="1">VLOOKUP(J35,[1]character_tribe_i18n!$A:$H,3,FALSE)</f>
        <v>種族なし</v>
      </c>
      <c r="L35" s="11" t="e">
        <f>VLOOKUP(#REF!,[1]character_tribe_i18n!$A:$H,4,FALSE)</f>
        <v>#REF!</v>
      </c>
      <c r="M35" s="11" t="e">
        <f>VLOOKUP(#REF!,[1]character_tribe_i18n!$A:$H,5,FALSE)</f>
        <v>#REF!</v>
      </c>
      <c r="N35" s="11" t="e">
        <f>VLOOKUP(#REF!,[1]character_tribe_i18n!$A:$H,6,FALSE)</f>
        <v>#REF!</v>
      </c>
      <c r="O35" s="11" t="e">
        <f>VLOOKUP(#REF!,[1]character_tribe_i18n!$A:$H,7,FALSE)</f>
        <v>#REF!</v>
      </c>
      <c r="P35" s="191" t="str">
        <f>VLOOKUP(Q35,[1]characters!$A:$T,20)</f>
        <v>super</v>
      </c>
      <c r="Q35" s="109">
        <v>1123</v>
      </c>
      <c r="R35" s="5" t="str">
        <f ca="1">IF(Q35="NULL","",VLOOKUP($Q35,OFFSET([1]characters!$A$1,0,0,COUNTA([1]characters!$A:$A),MATCH(R$1,[1]characters!$1:$1,0)-MATCH($A$1,[1]characters!$1:$1,0)+1),MATCH(R$1,[1]characters!$1:$1,0)-MATCH($A$1,[1]characters!$1:$1,0)+1,FALSE))</f>
        <v>舞降りし綺鏡羽 ブール</v>
      </c>
      <c r="S35" s="5">
        <f ca="1">IF(ISNA(MATCH(A35,Q:Q,0)),A35,INDIRECT(ADDRESS(MATCH(A35,Q:Q,0),COLUMN())))</f>
        <v>974</v>
      </c>
      <c r="T35" s="5" t="str">
        <f ca="1">VLOOKUP($S35,OFFSET([1]characters!$A$1,0,0,COUNTA([1]characters!$A:$A),MATCH(T$1,[1]characters!$1:$1,0)-MATCH($A$1,[1]characters!$1:$1,0)+1),MATCH(T$1,[1]characters!$1:$1,0)-MATCH($A$1,[1]characters!$1:$1,0)+1,FALSE)</f>
        <v>ブール</v>
      </c>
      <c r="U35" s="11">
        <v>200000</v>
      </c>
      <c r="V35"/>
    </row>
    <row r="36" spans="1:22" ht="21" customHeight="1" x14ac:dyDescent="0.15">
      <c r="A36" s="109">
        <v>975</v>
      </c>
      <c r="B36" s="5" t="str">
        <f ca="1">VLOOKUP($A36,OFFSET([1]characters!$A$1,0,0,COUNTA([1]characters!$A:$A),MATCH(B$1,[1]characters!$1:$1,0)-MATCH($A$1,[1]characters!$1:$1,0)+1),MATCH(B$1,[1]characters!$1:$1,0)-MATCH($A$1,[1]characters!$1:$1,0)+1,FALSE)</f>
        <v>綺号を巡る輝翼 ブール</v>
      </c>
      <c r="C36" s="5" t="str">
        <f ca="1">VLOOKUP($A36,OFFSET([1]characters!$A$1,0,0,COUNTA([1]characters!$A:$A),MATCH(C$1,[1]characters!$1:$1,0)-MATCH($A$1,[1]characters!$1:$1,0)+1),MATCH(C$1,[1]characters!$1:$1,0)-MATCH($A$1,[1]characters!$1:$1,0)+1,FALSE)</f>
        <v>各属性相性良3・黄・R579</v>
      </c>
      <c r="D36" s="5" t="str">
        <f ca="1">VLOOKUP($A36,OFFSET([1]characters!$A$1,0,0,COUNTA([1]characters!$A:$A),MATCH(D$1,[1]characters!$1:$1,0)-MATCH($A$1,[1]characters!$1:$1,0)+1),MATCH(D$1,[1]characters!$1:$1,0)-MATCH($A$1,[1]characters!$1:$1,0)+1,FALSE)</f>
        <v>執行者</v>
      </c>
      <c r="E36" s="5" t="str">
        <f ca="1">VLOOKUP($A36,OFFSET([1]characters!$A$1,0,0,COUNTA([1]characters!$A:$A),MATCH(E$1,[1]characters!$1:$1,0)-MATCH($A$1,[1]characters!$1:$1,0)+1),MATCH(E$1,[1]characters!$1:$1,0)-MATCH($A$1,[1]characters!$1:$1,0)+1,FALSE)</f>
        <v>格好いい</v>
      </c>
      <c r="F36" s="5" t="str">
        <f ca="1">VLOOKUP($A36,OFFSET([1]characters!$A$1,0,0,COUNTA([1]characters!$A:$A),MATCH(F$1,[1]characters!$1:$1,0)-MATCH($A$1,[1]characters!$1:$1,0)+1),MATCH(F$1,[1]characters!$1:$1,0)-MATCH($A$1,[1]characters!$1:$1,0)+1,FALSE)</f>
        <v>男性</v>
      </c>
      <c r="G36" s="5">
        <f ca="1">VLOOKUP($A36,OFFSET([1]characters!$A$1,0,0,COUNTA([1]characters!$A:$A),MATCH(G$1,[1]characters!$1:$1,0)-MATCH($A$1,[1]characters!$1:$1,0)+1),MATCH(G$1,[1]characters!$1:$1,0)-MATCH($A$1,[1]characters!$1:$1,0)+1,FALSE)</f>
        <v>6</v>
      </c>
      <c r="H36" s="5" t="str">
        <f ca="1">VLOOKUP($A36,OFFSET([1]characters!$A$1,0,0,COUNTA([1]characters!$A:$A),MATCH(H$1,[1]characters!$1:$1,0)-MATCH($A$1,[1]characters!$1:$1,0)+1),MATCH(H$1,[1]characters!$1:$1,0)-MATCH($A$1,[1]characters!$1:$1,0)+1,FALSE)</f>
        <v>PremiumSSS</v>
      </c>
      <c r="I36" s="5" t="str">
        <f ca="1">VLOOKUP($A36,OFFSET([1]characters!$A$1,0,0,COUNTA([1]characters!$A:$A),MATCH(I$1,[1]characters!$1:$1,0)-MATCH($A$1,[1]characters!$1:$1,0)+1),MATCH(I$1,[1]characters!$1:$1,0)-MATCH($A$1,[1]characters!$1:$1,0)+1,FALSE)</f>
        <v>blue</v>
      </c>
      <c r="J36" s="5" t="str">
        <f ca="1">VLOOKUP($A36,OFFSET([1]characters!$A$1,0,0,COUNTA([1]characters!$A:$A),MATCH(J$1,[1]characters!$1:$1,0)-MATCH($A$1,[1]characters!$1:$1,0)+1),MATCH(J$1,[1]characters!$1:$1,0)-MATCH($A$1,[1]characters!$1:$1,0)+1,FALSE)</f>
        <v>none</v>
      </c>
      <c r="K36" s="5" t="str">
        <f ca="1">VLOOKUP(J36,[1]character_tribe_i18n!$A:$H,3,FALSE)</f>
        <v>種族なし</v>
      </c>
      <c r="L36" s="11" t="e">
        <f>VLOOKUP(#REF!,[1]character_tribe_i18n!$A:$H,4,FALSE)</f>
        <v>#REF!</v>
      </c>
      <c r="M36" s="11" t="e">
        <f>VLOOKUP(#REF!,[1]character_tribe_i18n!$A:$H,5,FALSE)</f>
        <v>#REF!</v>
      </c>
      <c r="N36" s="11" t="e">
        <f>VLOOKUP(#REF!,[1]character_tribe_i18n!$A:$H,6,FALSE)</f>
        <v>#REF!</v>
      </c>
      <c r="O36" s="11" t="e">
        <f>VLOOKUP(#REF!,[1]character_tribe_i18n!$A:$H,7,FALSE)</f>
        <v>#REF!</v>
      </c>
      <c r="P36" s="191" t="str">
        <f>VLOOKUP(Q36,[1]characters!$A:$T,20)</f>
        <v>super</v>
      </c>
      <c r="Q36" s="109">
        <v>1123</v>
      </c>
      <c r="R36" s="5" t="str">
        <f ca="1">IF(Q36="NULL","",VLOOKUP($Q36,OFFSET([1]characters!$A$1,0,0,COUNTA([1]characters!$A:$A),MATCH(R$1,[1]characters!$1:$1,0)-MATCH($A$1,[1]characters!$1:$1,0)+1),MATCH(R$1,[1]characters!$1:$1,0)-MATCH($A$1,[1]characters!$1:$1,0)+1,FALSE))</f>
        <v>舞降りし綺鏡羽 ブール</v>
      </c>
      <c r="S36" s="5">
        <f t="shared" ref="S36:S40" ca="1" si="5">IF(ISNA(MATCH(A36,Q:Q,0)),A36,INDIRECT(ADDRESS(MATCH(A36,Q:Q,0),COLUMN())))</f>
        <v>974</v>
      </c>
      <c r="T36" s="5" t="str">
        <f ca="1">VLOOKUP($S36,OFFSET([1]characters!$A$1,0,0,COUNTA([1]characters!$A:$A),MATCH(T$1,[1]characters!$1:$1,0)-MATCH($A$1,[1]characters!$1:$1,0)+1),MATCH(T$1,[1]characters!$1:$1,0)-MATCH($A$1,[1]characters!$1:$1,0)+1,FALSE)</f>
        <v>ブール</v>
      </c>
      <c r="U36" s="11">
        <v>200000</v>
      </c>
      <c r="V36"/>
    </row>
    <row r="37" spans="1:22" ht="21" customHeight="1" x14ac:dyDescent="0.15">
      <c r="A37" s="109">
        <v>1123</v>
      </c>
      <c r="B37" s="5" t="str">
        <f ca="1">VLOOKUP($A37,OFFSET([1]characters!$A$1,0,0,COUNTA([1]characters!$A:$A),MATCH(B$1,[1]characters!$1:$1,0)-MATCH($A$1,[1]characters!$1:$1,0)+1),MATCH(B$1,[1]characters!$1:$1,0)-MATCH($A$1,[1]characters!$1:$1,0)+1,FALSE)</f>
        <v>舞降りし綺鏡羽 ブール</v>
      </c>
      <c r="C37" s="5" t="str">
        <f ca="1">VLOOKUP($A37,OFFSET([1]characters!$A$1,0,0,COUNTA([1]characters!$A:$A),MATCH(C$1,[1]characters!$1:$1,0)-MATCH($A$1,[1]characters!$1:$1,0)+1),MATCH(C$1,[1]characters!$1:$1,0)-MATCH($A$1,[1]characters!$1:$1,0)+1,FALSE)</f>
        <v>未定</v>
      </c>
      <c r="D37" s="5" t="str">
        <f ca="1">VLOOKUP($A37,OFFSET([1]characters!$A$1,0,0,COUNTA([1]characters!$A:$A),MATCH(D$1,[1]characters!$1:$1,0)-MATCH($A$1,[1]characters!$1:$1,0)+1),MATCH(D$1,[1]characters!$1:$1,0)-MATCH($A$1,[1]characters!$1:$1,0)+1,FALSE)</f>
        <v>アリス</v>
      </c>
      <c r="E37" s="5" t="str">
        <f ca="1">VLOOKUP($A37,OFFSET([1]characters!$A$1,0,0,COUNTA([1]characters!$A:$A),MATCH(E$1,[1]characters!$1:$1,0)-MATCH($A$1,[1]characters!$1:$1,0)+1),MATCH(E$1,[1]characters!$1:$1,0)-MATCH($A$1,[1]characters!$1:$1,0)+1,FALSE)</f>
        <v>世界観</v>
      </c>
      <c r="F37" s="5" t="str">
        <f ca="1">VLOOKUP($A37,OFFSET([1]characters!$A$1,0,0,COUNTA([1]characters!$A:$A),MATCH(F$1,[1]characters!$1:$1,0)-MATCH($A$1,[1]characters!$1:$1,0)+1),MATCH(F$1,[1]characters!$1:$1,0)-MATCH($A$1,[1]characters!$1:$1,0)+1,FALSE)</f>
        <v>不明</v>
      </c>
      <c r="G37" s="5">
        <f ca="1">VLOOKUP($A37,OFFSET([1]characters!$A$1,0,0,COUNTA([1]characters!$A:$A),MATCH(G$1,[1]characters!$1:$1,0)-MATCH($A$1,[1]characters!$1:$1,0)+1),MATCH(G$1,[1]characters!$1:$1,0)-MATCH($A$1,[1]characters!$1:$1,0)+1,FALSE)</f>
        <v>6</v>
      </c>
      <c r="H37" s="5" t="str">
        <f ca="1">VLOOKUP($A37,OFFSET([1]characters!$A$1,0,0,COUNTA([1]characters!$A:$A),MATCH(H$1,[1]characters!$1:$1,0)-MATCH($A$1,[1]characters!$1:$1,0)+1),MATCH(H$1,[1]characters!$1:$1,0)-MATCH($A$1,[1]characters!$1:$1,0)+1,FALSE)</f>
        <v>PremiumSSS</v>
      </c>
      <c r="I37" s="5" t="str">
        <f ca="1">VLOOKUP($A37,OFFSET([1]characters!$A$1,0,0,COUNTA([1]characters!$A:$A),MATCH(I$1,[1]characters!$1:$1,0)-MATCH($A$1,[1]characters!$1:$1,0)+1),MATCH(I$1,[1]characters!$1:$1,0)-MATCH($A$1,[1]characters!$1:$1,0)+1,FALSE)</f>
        <v>blue</v>
      </c>
      <c r="J37" s="5" t="str">
        <f ca="1">VLOOKUP($A37,OFFSET([1]characters!$A$1,0,0,COUNTA([1]characters!$A:$A),MATCH(J$1,[1]characters!$1:$1,0)-MATCH($A$1,[1]characters!$1:$1,0)+1),MATCH(J$1,[1]characters!$1:$1,0)-MATCH($A$1,[1]characters!$1:$1,0)+1,FALSE)</f>
        <v>none</v>
      </c>
      <c r="K37" s="5" t="str">
        <f ca="1">VLOOKUP(J37,[1]character_tribe_i18n!$A:$H,3,FALSE)</f>
        <v>種族なし</v>
      </c>
      <c r="L37" s="11" t="e">
        <f>VLOOKUP(#REF!,[1]character_tribe_i18n!$A:$H,4,FALSE)</f>
        <v>#REF!</v>
      </c>
      <c r="M37" s="11" t="e">
        <f>VLOOKUP(#REF!,[1]character_tribe_i18n!$A:$H,5,FALSE)</f>
        <v>#REF!</v>
      </c>
      <c r="N37" s="11" t="e">
        <f>VLOOKUP(#REF!,[1]character_tribe_i18n!$A:$H,6,FALSE)</f>
        <v>#REF!</v>
      </c>
      <c r="O37" s="11" t="e">
        <f>VLOOKUP(#REF!,[1]character_tribe_i18n!$A:$H,7,FALSE)</f>
        <v>#REF!</v>
      </c>
      <c r="P37" s="191" t="str">
        <f>VLOOKUP(Q37,[1]characters!$A:$T,20)</f>
        <v>normal</v>
      </c>
      <c r="Q37" s="109">
        <v>975</v>
      </c>
      <c r="R37" s="5" t="str">
        <f ca="1">IF(Q37="NULL","",VLOOKUP($Q37,OFFSET([1]characters!$A$1,0,0,COUNTA([1]characters!$A:$A),MATCH(R$1,[1]characters!$1:$1,0)-MATCH($A$1,[1]characters!$1:$1,0)+1),MATCH(R$1,[1]characters!$1:$1,0)-MATCH($A$1,[1]characters!$1:$1,0)+1,FALSE))</f>
        <v>綺号を巡る輝翼 ブール</v>
      </c>
      <c r="S37" s="5">
        <f t="shared" ca="1" si="5"/>
        <v>974</v>
      </c>
      <c r="T37" s="5" t="str">
        <f ca="1">VLOOKUP($S37,OFFSET([1]characters!$A$1,0,0,COUNTA([1]characters!$A:$A),MATCH(T$1,[1]characters!$1:$1,0)-MATCH($A$1,[1]characters!$1:$1,0)+1),MATCH(T$1,[1]characters!$1:$1,0)-MATCH($A$1,[1]characters!$1:$1,0)+1,FALSE)</f>
        <v>ブール</v>
      </c>
      <c r="U37" s="11">
        <v>200000</v>
      </c>
      <c r="V37"/>
    </row>
    <row r="38" spans="1:22" ht="21" customHeight="1" x14ac:dyDescent="0.15">
      <c r="A38" s="215">
        <v>427</v>
      </c>
      <c r="B38" s="5" t="str">
        <f ca="1">VLOOKUP($A38,OFFSET([1]characters!$A$1,0,0,COUNTA([1]characters!$A:$A),MATCH(B$1,[1]characters!$1:$1,0)-MATCH($A$1,[1]characters!$1:$1,0)+1),MATCH(B$1,[1]characters!$1:$1,0)-MATCH($A$1,[1]characters!$1:$1,0)+1,FALSE)</f>
        <v>極・剣豪 宮本武蔵</v>
      </c>
      <c r="C38" s="5" t="str">
        <f ca="1">VLOOKUP($A38,OFFSET([1]characters!$A$1,0,0,COUNTA([1]characters!$A:$A),MATCH(C$1,[1]characters!$1:$1,0)-MATCH($A$1,[1]characters!$1:$1,0)+1),MATCH(C$1,[1]characters!$1:$1,0)-MATCH($A$1,[1]characters!$1:$1,0)+1,FALSE)</f>
        <v>イベント:ウィザード</v>
      </c>
      <c r="D38" s="5" t="str">
        <f ca="1">VLOOKUP($A38,OFFSET([1]characters!$A$1,0,0,COUNTA([1]characters!$A:$A),MATCH(D$1,[1]characters!$1:$1,0)-MATCH($A$1,[1]characters!$1:$1,0)+1),MATCH(D$1,[1]characters!$1:$1,0)-MATCH($A$1,[1]characters!$1:$1,0)+1,FALSE)</f>
        <v>執行者</v>
      </c>
      <c r="E38" s="5" t="str">
        <f ca="1">VLOOKUP($A38,OFFSET([1]characters!$A$1,0,0,COUNTA([1]characters!$A:$A),MATCH(E$1,[1]characters!$1:$1,0)-MATCH($A$1,[1]characters!$1:$1,0)+1),MATCH(E$1,[1]characters!$1:$1,0)-MATCH($A$1,[1]characters!$1:$1,0)+1,FALSE)</f>
        <v>格好いい</v>
      </c>
      <c r="F38" s="5" t="str">
        <f ca="1">VLOOKUP($A38,OFFSET([1]characters!$A$1,0,0,COUNTA([1]characters!$A:$A),MATCH(F$1,[1]characters!$1:$1,0)-MATCH($A$1,[1]characters!$1:$1,0)+1),MATCH(F$1,[1]characters!$1:$1,0)-MATCH($A$1,[1]characters!$1:$1,0)+1,FALSE)</f>
        <v>男性</v>
      </c>
      <c r="G38" s="5">
        <f ca="1">VLOOKUP($A38,OFFSET([1]characters!$A$1,0,0,COUNTA([1]characters!$A:$A),MATCH(G$1,[1]characters!$1:$1,0)-MATCH($A$1,[1]characters!$1:$1,0)+1),MATCH(G$1,[1]characters!$1:$1,0)-MATCH($A$1,[1]characters!$1:$1,0)+1,FALSE)</f>
        <v>5</v>
      </c>
      <c r="H38" s="5" t="str">
        <f ca="1">VLOOKUP($A38,OFFSET([1]characters!$A$1,0,0,COUNTA([1]characters!$A:$A),MATCH(H$1,[1]characters!$1:$1,0)-MATCH($A$1,[1]characters!$1:$1,0)+1),MATCH(H$1,[1]characters!$1:$1,0)-MATCH($A$1,[1]characters!$1:$1,0)+1,FALSE)</f>
        <v>DropWizS</v>
      </c>
      <c r="I38" s="5" t="str">
        <f ca="1">VLOOKUP($A38,OFFSET([1]characters!$A$1,0,0,COUNTA([1]characters!$A:$A),MATCH(I$1,[1]characters!$1:$1,0)-MATCH($A$1,[1]characters!$1:$1,0)+1),MATCH(I$1,[1]characters!$1:$1,0)-MATCH($A$1,[1]characters!$1:$1,0)+1,FALSE)</f>
        <v>yellow</v>
      </c>
      <c r="J38" s="5" t="str">
        <f ca="1">VLOOKUP($A38,OFFSET([1]characters!$A$1,0,0,COUNTA([1]characters!$A:$A),MATCH(J$1,[1]characters!$1:$1,0)-MATCH($A$1,[1]characters!$1:$1,0)+1),MATCH(J$1,[1]characters!$1:$1,0)-MATCH($A$1,[1]characters!$1:$1,0)+1,FALSE)</f>
        <v>none</v>
      </c>
      <c r="K38" s="5" t="str">
        <f ca="1">VLOOKUP(J38,[1]character_tribe_i18n!$A:$H,3,FALSE)</f>
        <v>種族なし</v>
      </c>
      <c r="L38" s="11" t="e">
        <f>VLOOKUP(#REF!,[1]character_tribe_i18n!$A:$H,4,FALSE)</f>
        <v>#REF!</v>
      </c>
      <c r="M38" s="11" t="e">
        <f>VLOOKUP(#REF!,[1]character_tribe_i18n!$A:$H,5,FALSE)</f>
        <v>#REF!</v>
      </c>
      <c r="N38" s="11" t="e">
        <f>VLOOKUP(#REF!,[1]character_tribe_i18n!$A:$H,6,FALSE)</f>
        <v>#REF!</v>
      </c>
      <c r="O38" s="11" t="e">
        <f>VLOOKUP(#REF!,[1]character_tribe_i18n!$A:$H,7,FALSE)</f>
        <v>#REF!</v>
      </c>
      <c r="P38" s="191" t="str">
        <f>VLOOKUP(Q38,[1]characters!$A:$T,20)</f>
        <v>super</v>
      </c>
      <c r="Q38" s="109">
        <v>1119</v>
      </c>
      <c r="R38" s="5" t="str">
        <f ca="1">IF(Q38="NULL","",VLOOKUP($Q38,OFFSET([1]characters!$A$1,0,0,COUNTA([1]characters!$A:$A),MATCH(R$1,[1]characters!$1:$1,0)-MATCH($A$1,[1]characters!$1:$1,0)+1),MATCH(R$1,[1]characters!$1:$1,0)-MATCH($A$1,[1]characters!$1:$1,0)+1,FALSE))</f>
        <v>刹・廻天一流 宮本武蔵</v>
      </c>
      <c r="S38" s="5">
        <f t="shared" ca="1" si="5"/>
        <v>427</v>
      </c>
      <c r="T38" s="5" t="str">
        <f ca="1">VLOOKUP($S38,OFFSET([1]characters!$A$1,0,0,COUNTA([1]characters!$A:$A),MATCH(T$1,[1]characters!$1:$1,0)-MATCH($A$1,[1]characters!$1:$1,0)+1),MATCH(T$1,[1]characters!$1:$1,0)-MATCH($A$1,[1]characters!$1:$1,0)+1,FALSE)</f>
        <v>極・剣豪 宮本武蔵</v>
      </c>
      <c r="U38" s="11">
        <v>200000</v>
      </c>
      <c r="V38"/>
    </row>
    <row r="39" spans="1:22" ht="21" customHeight="1" x14ac:dyDescent="0.15">
      <c r="A39" s="215">
        <v>816</v>
      </c>
      <c r="B39" s="5" t="str">
        <f ca="1">VLOOKUP($A39,OFFSET([1]characters!$A$1,0,0,COUNTA([1]characters!$A:$A),MATCH(B$1,[1]characters!$1:$1,0)-MATCH($A$1,[1]characters!$1:$1,0)+1),MATCH(B$1,[1]characters!$1:$1,0)-MATCH($A$1,[1]characters!$1:$1,0)+1,FALSE)</f>
        <v>極・二天一流 宮本武蔵</v>
      </c>
      <c r="C39" s="5" t="str">
        <f ca="1">VLOOKUP($A39,OFFSET([1]characters!$A$1,0,0,COUNTA([1]characters!$A:$A),MATCH(C$1,[1]characters!$1:$1,0)-MATCH($A$1,[1]characters!$1:$1,0)+1),MATCH(C$1,[1]characters!$1:$1,0)-MATCH($A$1,[1]characters!$1:$1,0)+1,FALSE)</f>
        <v>各属性相性良3・黄・R434</v>
      </c>
      <c r="D39" s="5" t="str">
        <f ca="1">VLOOKUP($A39,OFFSET([1]characters!$A$1,0,0,COUNTA([1]characters!$A:$A),MATCH(D$1,[1]characters!$1:$1,0)-MATCH($A$1,[1]characters!$1:$1,0)+1),MATCH(D$1,[1]characters!$1:$1,0)-MATCH($A$1,[1]characters!$1:$1,0)+1,FALSE)</f>
        <v>執行者</v>
      </c>
      <c r="E39" s="5" t="str">
        <f ca="1">VLOOKUP($A39,OFFSET([1]characters!$A$1,0,0,COUNTA([1]characters!$A:$A),MATCH(E$1,[1]characters!$1:$1,0)-MATCH($A$1,[1]characters!$1:$1,0)+1),MATCH(E$1,[1]characters!$1:$1,0)-MATCH($A$1,[1]characters!$1:$1,0)+1,FALSE)</f>
        <v>格好いい</v>
      </c>
      <c r="F39" s="5" t="str">
        <f ca="1">VLOOKUP($A39,OFFSET([1]characters!$A$1,0,0,COUNTA([1]characters!$A:$A),MATCH(F$1,[1]characters!$1:$1,0)-MATCH($A$1,[1]characters!$1:$1,0)+1),MATCH(F$1,[1]characters!$1:$1,0)-MATCH($A$1,[1]characters!$1:$1,0)+1,FALSE)</f>
        <v>男性</v>
      </c>
      <c r="G39" s="5">
        <f ca="1">VLOOKUP($A39,OFFSET([1]characters!$A$1,0,0,COUNTA([1]characters!$A:$A),MATCH(G$1,[1]characters!$1:$1,0)-MATCH($A$1,[1]characters!$1:$1,0)+1),MATCH(G$1,[1]characters!$1:$1,0)-MATCH($A$1,[1]characters!$1:$1,0)+1,FALSE)</f>
        <v>6</v>
      </c>
      <c r="H39" s="5" t="str">
        <f ca="1">VLOOKUP($A39,OFFSET([1]characters!$A$1,0,0,COUNTA([1]characters!$A:$A),MATCH(H$1,[1]characters!$1:$1,0)-MATCH($A$1,[1]characters!$1:$1,0)+1),MATCH(H$1,[1]characters!$1:$1,0)-MATCH($A$1,[1]characters!$1:$1,0)+1,FALSE)</f>
        <v>DropWizS</v>
      </c>
      <c r="I39" s="5" t="str">
        <f ca="1">VLOOKUP($A39,OFFSET([1]characters!$A$1,0,0,COUNTA([1]characters!$A:$A),MATCH(I$1,[1]characters!$1:$1,0)-MATCH($A$1,[1]characters!$1:$1,0)+1),MATCH(I$1,[1]characters!$1:$1,0)-MATCH($A$1,[1]characters!$1:$1,0)+1,FALSE)</f>
        <v>yellow</v>
      </c>
      <c r="J39" s="5" t="str">
        <f ca="1">VLOOKUP($A39,OFFSET([1]characters!$A$1,0,0,COUNTA([1]characters!$A:$A),MATCH(J$1,[1]characters!$1:$1,0)-MATCH($A$1,[1]characters!$1:$1,0)+1),MATCH(J$1,[1]characters!$1:$1,0)-MATCH($A$1,[1]characters!$1:$1,0)+1,FALSE)</f>
        <v>none</v>
      </c>
      <c r="K39" s="5" t="str">
        <f ca="1">VLOOKUP(J39,[1]character_tribe_i18n!$A:$H,3,FALSE)</f>
        <v>種族なし</v>
      </c>
      <c r="L39" s="11" t="e">
        <f>VLOOKUP(#REF!,[1]character_tribe_i18n!$A:$H,4,FALSE)</f>
        <v>#REF!</v>
      </c>
      <c r="M39" s="11" t="e">
        <f>VLOOKUP(#REF!,[1]character_tribe_i18n!$A:$H,5,FALSE)</f>
        <v>#REF!</v>
      </c>
      <c r="N39" s="11" t="e">
        <f>VLOOKUP(#REF!,[1]character_tribe_i18n!$A:$H,6,FALSE)</f>
        <v>#REF!</v>
      </c>
      <c r="O39" s="11" t="e">
        <f>VLOOKUP(#REF!,[1]character_tribe_i18n!$A:$H,7,FALSE)</f>
        <v>#REF!</v>
      </c>
      <c r="P39" s="191" t="str">
        <f>VLOOKUP(Q39,[1]characters!$A:$T,20)</f>
        <v>super</v>
      </c>
      <c r="Q39" s="109">
        <v>1119</v>
      </c>
      <c r="R39" s="5" t="str">
        <f ca="1">IF(Q39="NULL","",VLOOKUP($Q39,OFFSET([1]characters!$A$1,0,0,COUNTA([1]characters!$A:$A),MATCH(R$1,[1]characters!$1:$1,0)-MATCH($A$1,[1]characters!$1:$1,0)+1),MATCH(R$1,[1]characters!$1:$1,0)-MATCH($A$1,[1]characters!$1:$1,0)+1,FALSE))</f>
        <v>刹・廻天一流 宮本武蔵</v>
      </c>
      <c r="S39" s="5">
        <f t="shared" ca="1" si="5"/>
        <v>427</v>
      </c>
      <c r="T39" s="5" t="str">
        <f ca="1">VLOOKUP($S39,OFFSET([1]characters!$A$1,0,0,COUNTA([1]characters!$A:$A),MATCH(T$1,[1]characters!$1:$1,0)-MATCH($A$1,[1]characters!$1:$1,0)+1),MATCH(T$1,[1]characters!$1:$1,0)-MATCH($A$1,[1]characters!$1:$1,0)+1,FALSE)</f>
        <v>極・剣豪 宮本武蔵</v>
      </c>
      <c r="U39" s="11">
        <v>200000</v>
      </c>
      <c r="V39"/>
    </row>
    <row r="40" spans="1:22" ht="21" customHeight="1" x14ac:dyDescent="0.15">
      <c r="A40" s="215">
        <v>1119</v>
      </c>
      <c r="B40" s="5" t="str">
        <f ca="1">VLOOKUP($A40,OFFSET([1]characters!$A$1,0,0,COUNTA([1]characters!$A:$A),MATCH(B$1,[1]characters!$1:$1,0)-MATCH($A$1,[1]characters!$1:$1,0)+1),MATCH(B$1,[1]characters!$1:$1,0)-MATCH($A$1,[1]characters!$1:$1,0)+1,FALSE)</f>
        <v>刹・廻天一流 宮本武蔵</v>
      </c>
      <c r="C40" s="5" t="str">
        <f ca="1">VLOOKUP($A40,OFFSET([1]characters!$A$1,0,0,COUNTA([1]characters!$A:$A),MATCH(C$1,[1]characters!$1:$1,0)-MATCH($A$1,[1]characters!$1:$1,0)+1),MATCH(C$1,[1]characters!$1:$1,0)-MATCH($A$1,[1]characters!$1:$1,0)+1,FALSE)</f>
        <v>未定</v>
      </c>
      <c r="D40" s="5" t="str">
        <f ca="1">VLOOKUP($A40,OFFSET([1]characters!$A$1,0,0,COUNTA([1]characters!$A:$A),MATCH(D$1,[1]characters!$1:$1,0)-MATCH($A$1,[1]characters!$1:$1,0)+1),MATCH(D$1,[1]characters!$1:$1,0)-MATCH($A$1,[1]characters!$1:$1,0)+1,FALSE)</f>
        <v>アリス</v>
      </c>
      <c r="E40" s="5" t="str">
        <f ca="1">VLOOKUP($A40,OFFSET([1]characters!$A$1,0,0,COUNTA([1]characters!$A:$A),MATCH(E$1,[1]characters!$1:$1,0)-MATCH($A$1,[1]characters!$1:$1,0)+1),MATCH(E$1,[1]characters!$1:$1,0)-MATCH($A$1,[1]characters!$1:$1,0)+1,FALSE)</f>
        <v>世界観</v>
      </c>
      <c r="F40" s="5" t="str">
        <f ca="1">VLOOKUP($A40,OFFSET([1]characters!$A$1,0,0,COUNTA([1]characters!$A:$A),MATCH(F$1,[1]characters!$1:$1,0)-MATCH($A$1,[1]characters!$1:$1,0)+1),MATCH(F$1,[1]characters!$1:$1,0)-MATCH($A$1,[1]characters!$1:$1,0)+1,FALSE)</f>
        <v>不明</v>
      </c>
      <c r="G40" s="5">
        <f ca="1">VLOOKUP($A40,OFFSET([1]characters!$A$1,0,0,COUNTA([1]characters!$A:$A),MATCH(G$1,[1]characters!$1:$1,0)-MATCH($A$1,[1]characters!$1:$1,0)+1),MATCH(G$1,[1]characters!$1:$1,0)-MATCH($A$1,[1]characters!$1:$1,0)+1,FALSE)</f>
        <v>6</v>
      </c>
      <c r="H40" s="5" t="str">
        <f ca="1">VLOOKUP($A40,OFFSET([1]characters!$A$1,0,0,COUNTA([1]characters!$A:$A),MATCH(H$1,[1]characters!$1:$1,0)-MATCH($A$1,[1]characters!$1:$1,0)+1),MATCH(H$1,[1]characters!$1:$1,0)-MATCH($A$1,[1]characters!$1:$1,0)+1,FALSE)</f>
        <v>DropWizS</v>
      </c>
      <c r="I40" s="5" t="str">
        <f ca="1">VLOOKUP($A40,OFFSET([1]characters!$A$1,0,0,COUNTA([1]characters!$A:$A),MATCH(I$1,[1]characters!$1:$1,0)-MATCH($A$1,[1]characters!$1:$1,0)+1),MATCH(I$1,[1]characters!$1:$1,0)-MATCH($A$1,[1]characters!$1:$1,0)+1,FALSE)</f>
        <v>yellow</v>
      </c>
      <c r="J40" s="5" t="str">
        <f ca="1">VLOOKUP($A40,OFFSET([1]characters!$A$1,0,0,COUNTA([1]characters!$A:$A),MATCH(J$1,[1]characters!$1:$1,0)-MATCH($A$1,[1]characters!$1:$1,0)+1),MATCH(J$1,[1]characters!$1:$1,0)-MATCH($A$1,[1]characters!$1:$1,0)+1,FALSE)</f>
        <v>samurai</v>
      </c>
      <c r="K40" s="5" t="str">
        <f ca="1">VLOOKUP(J40,[1]character_tribe_i18n!$A:$H,3,FALSE)</f>
        <v>サムライ</v>
      </c>
      <c r="L40" s="11" t="e">
        <f>VLOOKUP(#REF!,[1]character_tribe_i18n!$A:$H,4,FALSE)</f>
        <v>#REF!</v>
      </c>
      <c r="M40" s="11" t="e">
        <f>VLOOKUP(#REF!,[1]character_tribe_i18n!$A:$H,5,FALSE)</f>
        <v>#REF!</v>
      </c>
      <c r="N40" s="11" t="e">
        <f>VLOOKUP(#REF!,[1]character_tribe_i18n!$A:$H,6,FALSE)</f>
        <v>#REF!</v>
      </c>
      <c r="O40" s="11" t="e">
        <f>VLOOKUP(#REF!,[1]character_tribe_i18n!$A:$H,7,FALSE)</f>
        <v>#REF!</v>
      </c>
      <c r="P40" s="191" t="str">
        <f>VLOOKUP(Q40,[1]characters!$A:$T,20)</f>
        <v>normal</v>
      </c>
      <c r="Q40" s="109">
        <v>816</v>
      </c>
      <c r="R40" s="5" t="str">
        <f ca="1">IF(Q40="NULL","",VLOOKUP($Q40,OFFSET([1]characters!$A$1,0,0,COUNTA([1]characters!$A:$A),MATCH(R$1,[1]characters!$1:$1,0)-MATCH($A$1,[1]characters!$1:$1,0)+1),MATCH(R$1,[1]characters!$1:$1,0)-MATCH($A$1,[1]characters!$1:$1,0)+1,FALSE))</f>
        <v>極・二天一流 宮本武蔵</v>
      </c>
      <c r="S40" s="5">
        <f t="shared" ca="1" si="5"/>
        <v>427</v>
      </c>
      <c r="T40" s="5" t="str">
        <f ca="1">VLOOKUP($S40,OFFSET([1]characters!$A$1,0,0,COUNTA([1]characters!$A:$A),MATCH(T$1,[1]characters!$1:$1,0)-MATCH($A$1,[1]characters!$1:$1,0)+1),MATCH(T$1,[1]characters!$1:$1,0)-MATCH($A$1,[1]characters!$1:$1,0)+1,FALSE)</f>
        <v>極・剣豪 宮本武蔵</v>
      </c>
      <c r="U40" s="11">
        <v>200000</v>
      </c>
      <c r="V40"/>
    </row>
    <row r="41" spans="1:22" ht="21" customHeight="1" x14ac:dyDescent="0.15">
      <c r="A41" s="215">
        <v>433</v>
      </c>
      <c r="B41" s="5" t="str">
        <f ca="1">VLOOKUP($A41,OFFSET([1]characters!$A$1,0,0,COUNTA([1]characters!$A:$A),MATCH(B$1,[1]characters!$1:$1,0)-MATCH($A$1,[1]characters!$1:$1,0)+1),MATCH(B$1,[1]characters!$1:$1,0)-MATCH($A$1,[1]characters!$1:$1,0)+1,FALSE)</f>
        <v>世稀の現獣 麒麟</v>
      </c>
      <c r="C41" s="5" t="str">
        <f ca="1">VLOOKUP($A41,OFFSET([1]characters!$A$1,0,0,COUNTA([1]characters!$A:$A),MATCH(C$1,[1]characters!$1:$1,0)-MATCH($A$1,[1]characters!$1:$1,0)+1),MATCH(C$1,[1]characters!$1:$1,0)-MATCH($A$1,[1]characters!$1:$1,0)+1,FALSE)</f>
        <v>イベント:超ウィザード</v>
      </c>
      <c r="D41" s="5" t="str">
        <f ca="1">VLOOKUP($A41,OFFSET([1]characters!$A$1,0,0,COUNTA([1]characters!$A:$A),MATCH(D$1,[1]characters!$1:$1,0)-MATCH($A$1,[1]characters!$1:$1,0)+1),MATCH(D$1,[1]characters!$1:$1,0)-MATCH($A$1,[1]characters!$1:$1,0)+1,FALSE)</f>
        <v>執行者</v>
      </c>
      <c r="E41" s="5" t="str">
        <f ca="1">VLOOKUP($A41,OFFSET([1]characters!$A$1,0,0,COUNTA([1]characters!$A:$A),MATCH(E$1,[1]characters!$1:$1,0)-MATCH($A$1,[1]characters!$1:$1,0)+1),MATCH(E$1,[1]characters!$1:$1,0)-MATCH($A$1,[1]characters!$1:$1,0)+1,FALSE)</f>
        <v>格好いい</v>
      </c>
      <c r="F41" s="5" t="str">
        <f ca="1">VLOOKUP($A41,OFFSET([1]characters!$A$1,0,0,COUNTA([1]characters!$A:$A),MATCH(F$1,[1]characters!$1:$1,0)-MATCH($A$1,[1]characters!$1:$1,0)+1),MATCH(F$1,[1]characters!$1:$1,0)-MATCH($A$1,[1]characters!$1:$1,0)+1,FALSE)</f>
        <v>女性</v>
      </c>
      <c r="G41" s="5">
        <f ca="1">VLOOKUP($A41,OFFSET([1]characters!$A$1,0,0,COUNTA([1]characters!$A:$A),MATCH(G$1,[1]characters!$1:$1,0)-MATCH($A$1,[1]characters!$1:$1,0)+1),MATCH(G$1,[1]characters!$1:$1,0)-MATCH($A$1,[1]characters!$1:$1,0)+1,FALSE)</f>
        <v>5</v>
      </c>
      <c r="H41" s="5" t="str">
        <f ca="1">VLOOKUP($A41,OFFSET([1]characters!$A$1,0,0,COUNTA([1]characters!$A:$A),MATCH(H$1,[1]characters!$1:$1,0)-MATCH($A$1,[1]characters!$1:$1,0)+1),MATCH(H$1,[1]characters!$1:$1,0)-MATCH($A$1,[1]characters!$1:$1,0)+1,FALSE)</f>
        <v>DropWizSS</v>
      </c>
      <c r="I41" s="5" t="str">
        <f ca="1">VLOOKUP($A41,OFFSET([1]characters!$A$1,0,0,COUNTA([1]characters!$A:$A),MATCH(I$1,[1]characters!$1:$1,0)-MATCH($A$1,[1]characters!$1:$1,0)+1),MATCH(I$1,[1]characters!$1:$1,0)-MATCH($A$1,[1]characters!$1:$1,0)+1,FALSE)</f>
        <v>yellow</v>
      </c>
      <c r="J41" s="5" t="str">
        <f ca="1">VLOOKUP($A41,OFFSET([1]characters!$A$1,0,0,COUNTA([1]characters!$A:$A),MATCH(J$1,[1]characters!$1:$1,0)-MATCH($A$1,[1]characters!$1:$1,0)+1),MATCH(J$1,[1]characters!$1:$1,0)-MATCH($A$1,[1]characters!$1:$1,0)+1,FALSE)</f>
        <v>none</v>
      </c>
      <c r="K41" s="5" t="str">
        <f ca="1">VLOOKUP(J41,[1]character_tribe_i18n!$A:$H,3,FALSE)</f>
        <v>種族なし</v>
      </c>
      <c r="L41" s="11" t="e">
        <f>VLOOKUP(#REF!,[1]character_tribe_i18n!$A:$H,4,FALSE)</f>
        <v>#REF!</v>
      </c>
      <c r="M41" s="11" t="e">
        <f>VLOOKUP(#REF!,[1]character_tribe_i18n!$A:$H,5,FALSE)</f>
        <v>#REF!</v>
      </c>
      <c r="N41" s="11" t="e">
        <f>VLOOKUP(#REF!,[1]character_tribe_i18n!$A:$H,6,FALSE)</f>
        <v>#REF!</v>
      </c>
      <c r="O41" s="11" t="e">
        <f>VLOOKUP(#REF!,[1]character_tribe_i18n!$A:$H,7,FALSE)</f>
        <v>#REF!</v>
      </c>
      <c r="P41" s="191" t="str">
        <f>VLOOKUP(Q41,[1]characters!$A:$T,20)</f>
        <v>super</v>
      </c>
      <c r="Q41" s="109">
        <v>1120</v>
      </c>
      <c r="R41" s="5" t="str">
        <f ca="1">IF(Q41="NULL","",VLOOKUP($Q41,OFFSET([1]characters!$A$1,0,0,COUNTA([1]characters!$A:$A),MATCH(R$1,[1]characters!$1:$1,0)-MATCH($A$1,[1]characters!$1:$1,0)+1),MATCH(R$1,[1]characters!$1:$1,0)-MATCH($A$1,[1]characters!$1:$1,0)+1,FALSE))</f>
        <v>四聖猛煌の皇獣 麒麟</v>
      </c>
      <c r="S41" s="5">
        <f t="shared" ref="S41:S43" ca="1" si="6">IF(ISNA(MATCH(A41,Q:Q,0)),A41,INDIRECT(ADDRESS(MATCH(A41,Q:Q,0),COLUMN())))</f>
        <v>433</v>
      </c>
      <c r="T41" s="5" t="str">
        <f ca="1">VLOOKUP($S41,OFFSET([1]characters!$A$1,0,0,COUNTA([1]characters!$A:$A),MATCH(T$1,[1]characters!$1:$1,0)-MATCH($A$1,[1]characters!$1:$1,0)+1),MATCH(T$1,[1]characters!$1:$1,0)-MATCH($A$1,[1]characters!$1:$1,0)+1,FALSE)</f>
        <v>世稀の現獣 麒麟</v>
      </c>
      <c r="U41" s="11">
        <v>200000</v>
      </c>
      <c r="V41"/>
    </row>
    <row r="42" spans="1:22" ht="21" customHeight="1" x14ac:dyDescent="0.15">
      <c r="A42" s="215">
        <v>802</v>
      </c>
      <c r="B42" s="5" t="str">
        <f ca="1">VLOOKUP($A42,OFFSET([1]characters!$A$1,0,0,COUNTA([1]characters!$A:$A),MATCH(B$1,[1]characters!$1:$1,0)-MATCH($A$1,[1]characters!$1:$1,0)+1),MATCH(B$1,[1]characters!$1:$1,0)-MATCH($A$1,[1]characters!$1:$1,0)+1,FALSE)</f>
        <v>四聖結終の超獣 麒麟</v>
      </c>
      <c r="C42" s="5" t="str">
        <f ca="1">VLOOKUP($A42,OFFSET([1]characters!$A$1,0,0,COUNTA([1]characters!$A:$A),MATCH(C$1,[1]characters!$1:$1,0)-MATCH($A$1,[1]characters!$1:$1,0)+1),MATCH(C$1,[1]characters!$1:$1,0)-MATCH($A$1,[1]characters!$1:$1,0)+1,FALSE)</f>
        <v>各属性相性良3・黄・R420</v>
      </c>
      <c r="D42" s="5" t="str">
        <f ca="1">VLOOKUP($A42,OFFSET([1]characters!$A$1,0,0,COUNTA([1]characters!$A:$A),MATCH(D$1,[1]characters!$1:$1,0)-MATCH($A$1,[1]characters!$1:$1,0)+1),MATCH(D$1,[1]characters!$1:$1,0)-MATCH($A$1,[1]characters!$1:$1,0)+1,FALSE)</f>
        <v>執行者</v>
      </c>
      <c r="E42" s="5" t="str">
        <f ca="1">VLOOKUP($A42,OFFSET([1]characters!$A$1,0,0,COUNTA([1]characters!$A:$A),MATCH(E$1,[1]characters!$1:$1,0)-MATCH($A$1,[1]characters!$1:$1,0)+1),MATCH(E$1,[1]characters!$1:$1,0)-MATCH($A$1,[1]characters!$1:$1,0)+1,FALSE)</f>
        <v>格好いい</v>
      </c>
      <c r="F42" s="5" t="str">
        <f ca="1">VLOOKUP($A42,OFFSET([1]characters!$A$1,0,0,COUNTA([1]characters!$A:$A),MATCH(F$1,[1]characters!$1:$1,0)-MATCH($A$1,[1]characters!$1:$1,0)+1),MATCH(F$1,[1]characters!$1:$1,0)-MATCH($A$1,[1]characters!$1:$1,0)+1,FALSE)</f>
        <v>男性</v>
      </c>
      <c r="G42" s="5">
        <f ca="1">VLOOKUP($A42,OFFSET([1]characters!$A$1,0,0,COUNTA([1]characters!$A:$A),MATCH(G$1,[1]characters!$1:$1,0)-MATCH($A$1,[1]characters!$1:$1,0)+1),MATCH(G$1,[1]characters!$1:$1,0)-MATCH($A$1,[1]characters!$1:$1,0)+1,FALSE)</f>
        <v>6</v>
      </c>
      <c r="H42" s="5" t="str">
        <f ca="1">VLOOKUP($A42,OFFSET([1]characters!$A$1,0,0,COUNTA([1]characters!$A:$A),MATCH(H$1,[1]characters!$1:$1,0)-MATCH($A$1,[1]characters!$1:$1,0)+1),MATCH(H$1,[1]characters!$1:$1,0)-MATCH($A$1,[1]characters!$1:$1,0)+1,FALSE)</f>
        <v>DropWizSS</v>
      </c>
      <c r="I42" s="5" t="str">
        <f ca="1">VLOOKUP($A42,OFFSET([1]characters!$A$1,0,0,COUNTA([1]characters!$A:$A),MATCH(I$1,[1]characters!$1:$1,0)-MATCH($A$1,[1]characters!$1:$1,0)+1),MATCH(I$1,[1]characters!$1:$1,0)-MATCH($A$1,[1]characters!$1:$1,0)+1,FALSE)</f>
        <v>yellow</v>
      </c>
      <c r="J42" s="5" t="str">
        <f ca="1">VLOOKUP($A42,OFFSET([1]characters!$A$1,0,0,COUNTA([1]characters!$A:$A),MATCH(J$1,[1]characters!$1:$1,0)-MATCH($A$1,[1]characters!$1:$1,0)+1),MATCH(J$1,[1]characters!$1:$1,0)-MATCH($A$1,[1]characters!$1:$1,0)+1,FALSE)</f>
        <v>none</v>
      </c>
      <c r="K42" s="5" t="str">
        <f ca="1">VLOOKUP(J42,[1]character_tribe_i18n!$A:$H,3,FALSE)</f>
        <v>種族なし</v>
      </c>
      <c r="L42" s="11" t="e">
        <f>VLOOKUP(#REF!,[1]character_tribe_i18n!$A:$H,4,FALSE)</f>
        <v>#REF!</v>
      </c>
      <c r="M42" s="11" t="e">
        <f>VLOOKUP(#REF!,[1]character_tribe_i18n!$A:$H,5,FALSE)</f>
        <v>#REF!</v>
      </c>
      <c r="N42" s="11" t="e">
        <f>VLOOKUP(#REF!,[1]character_tribe_i18n!$A:$H,6,FALSE)</f>
        <v>#REF!</v>
      </c>
      <c r="O42" s="11" t="e">
        <f>VLOOKUP(#REF!,[1]character_tribe_i18n!$A:$H,7,FALSE)</f>
        <v>#REF!</v>
      </c>
      <c r="P42" s="191" t="str">
        <f>VLOOKUP(Q42,[1]characters!$A:$T,20)</f>
        <v>super</v>
      </c>
      <c r="Q42" s="109">
        <v>1120</v>
      </c>
      <c r="R42" s="5" t="str">
        <f ca="1">IF(Q42="NULL","",VLOOKUP($Q42,OFFSET([1]characters!$A$1,0,0,COUNTA([1]characters!$A:$A),MATCH(R$1,[1]characters!$1:$1,0)-MATCH($A$1,[1]characters!$1:$1,0)+1),MATCH(R$1,[1]characters!$1:$1,0)-MATCH($A$1,[1]characters!$1:$1,0)+1,FALSE))</f>
        <v>四聖猛煌の皇獣 麒麟</v>
      </c>
      <c r="S42" s="5">
        <f t="shared" ca="1" si="6"/>
        <v>433</v>
      </c>
      <c r="T42" s="5" t="str">
        <f ca="1">VLOOKUP($S42,OFFSET([1]characters!$A$1,0,0,COUNTA([1]characters!$A:$A),MATCH(T$1,[1]characters!$1:$1,0)-MATCH($A$1,[1]characters!$1:$1,0)+1),MATCH(T$1,[1]characters!$1:$1,0)-MATCH($A$1,[1]characters!$1:$1,0)+1,FALSE)</f>
        <v>世稀の現獣 麒麟</v>
      </c>
      <c r="U42" s="11">
        <v>200000</v>
      </c>
      <c r="V42"/>
    </row>
    <row r="43" spans="1:22" ht="21" customHeight="1" x14ac:dyDescent="0.15">
      <c r="A43" s="215">
        <v>1120</v>
      </c>
      <c r="B43" s="5" t="str">
        <f ca="1">VLOOKUP($A43,OFFSET([1]characters!$A$1,0,0,COUNTA([1]characters!$A:$A),MATCH(B$1,[1]characters!$1:$1,0)-MATCH($A$1,[1]characters!$1:$1,0)+1),MATCH(B$1,[1]characters!$1:$1,0)-MATCH($A$1,[1]characters!$1:$1,0)+1,FALSE)</f>
        <v>四聖猛煌の皇獣 麒麟</v>
      </c>
      <c r="C43" s="5" t="str">
        <f ca="1">VLOOKUP($A43,OFFSET([1]characters!$A$1,0,0,COUNTA([1]characters!$A:$A),MATCH(C$1,[1]characters!$1:$1,0)-MATCH($A$1,[1]characters!$1:$1,0)+1),MATCH(C$1,[1]characters!$1:$1,0)-MATCH($A$1,[1]characters!$1:$1,0)+1,FALSE)</f>
        <v>未定</v>
      </c>
      <c r="D43" s="5" t="str">
        <f ca="1">VLOOKUP($A43,OFFSET([1]characters!$A$1,0,0,COUNTA([1]characters!$A:$A),MATCH(D$1,[1]characters!$1:$1,0)-MATCH($A$1,[1]characters!$1:$1,0)+1),MATCH(D$1,[1]characters!$1:$1,0)-MATCH($A$1,[1]characters!$1:$1,0)+1,FALSE)</f>
        <v>アリス</v>
      </c>
      <c r="E43" s="5" t="str">
        <f ca="1">VLOOKUP($A43,OFFSET([1]characters!$A$1,0,0,COUNTA([1]characters!$A:$A),MATCH(E$1,[1]characters!$1:$1,0)-MATCH($A$1,[1]characters!$1:$1,0)+1),MATCH(E$1,[1]characters!$1:$1,0)-MATCH($A$1,[1]characters!$1:$1,0)+1,FALSE)</f>
        <v>世界観</v>
      </c>
      <c r="F43" s="5" t="str">
        <f ca="1">VLOOKUP($A43,OFFSET([1]characters!$A$1,0,0,COUNTA([1]characters!$A:$A),MATCH(F$1,[1]characters!$1:$1,0)-MATCH($A$1,[1]characters!$1:$1,0)+1),MATCH(F$1,[1]characters!$1:$1,0)-MATCH($A$1,[1]characters!$1:$1,0)+1,FALSE)</f>
        <v>不明</v>
      </c>
      <c r="G43" s="5">
        <f ca="1">VLOOKUP($A43,OFFSET([1]characters!$A$1,0,0,COUNTA([1]characters!$A:$A),MATCH(G$1,[1]characters!$1:$1,0)-MATCH($A$1,[1]characters!$1:$1,0)+1),MATCH(G$1,[1]characters!$1:$1,0)-MATCH($A$1,[1]characters!$1:$1,0)+1,FALSE)</f>
        <v>6</v>
      </c>
      <c r="H43" s="5" t="str">
        <f ca="1">VLOOKUP($A43,OFFSET([1]characters!$A$1,0,0,COUNTA([1]characters!$A:$A),MATCH(H$1,[1]characters!$1:$1,0)-MATCH($A$1,[1]characters!$1:$1,0)+1),MATCH(H$1,[1]characters!$1:$1,0)-MATCH($A$1,[1]characters!$1:$1,0)+1,FALSE)</f>
        <v>DropWizSS</v>
      </c>
      <c r="I43" s="5" t="str">
        <f ca="1">VLOOKUP($A43,OFFSET([1]characters!$A$1,0,0,COUNTA([1]characters!$A:$A),MATCH(I$1,[1]characters!$1:$1,0)-MATCH($A$1,[1]characters!$1:$1,0)+1),MATCH(I$1,[1]characters!$1:$1,0)-MATCH($A$1,[1]characters!$1:$1,0)+1,FALSE)</f>
        <v>yellow</v>
      </c>
      <c r="J43" s="5" t="str">
        <f ca="1">VLOOKUP($A43,OFFSET([1]characters!$A$1,0,0,COUNTA([1]characters!$A:$A),MATCH(J$1,[1]characters!$1:$1,0)-MATCH($A$1,[1]characters!$1:$1,0)+1),MATCH(J$1,[1]characters!$1:$1,0)-MATCH($A$1,[1]characters!$1:$1,0)+1,FALSE)</f>
        <v>none</v>
      </c>
      <c r="K43" s="5" t="str">
        <f ca="1">VLOOKUP(J43,[1]character_tribe_i18n!$A:$H,3,FALSE)</f>
        <v>種族なし</v>
      </c>
      <c r="L43" s="11" t="e">
        <f>VLOOKUP(#REF!,[1]character_tribe_i18n!$A:$H,4,FALSE)</f>
        <v>#REF!</v>
      </c>
      <c r="M43" s="11" t="e">
        <f>VLOOKUP(#REF!,[1]character_tribe_i18n!$A:$H,5,FALSE)</f>
        <v>#REF!</v>
      </c>
      <c r="N43" s="11" t="e">
        <f>VLOOKUP(#REF!,[1]character_tribe_i18n!$A:$H,6,FALSE)</f>
        <v>#REF!</v>
      </c>
      <c r="O43" s="11" t="e">
        <f>VLOOKUP(#REF!,[1]character_tribe_i18n!$A:$H,7,FALSE)</f>
        <v>#REF!</v>
      </c>
      <c r="P43" s="191" t="str">
        <f>VLOOKUP(Q43,[1]characters!$A:$T,20)</f>
        <v>normal</v>
      </c>
      <c r="Q43" s="109">
        <v>802</v>
      </c>
      <c r="R43" s="5" t="str">
        <f ca="1">IF(Q43="NULL","",VLOOKUP($Q43,OFFSET([1]characters!$A$1,0,0,COUNTA([1]characters!$A:$A),MATCH(R$1,[1]characters!$1:$1,0)-MATCH($A$1,[1]characters!$1:$1,0)+1),MATCH(R$1,[1]characters!$1:$1,0)-MATCH($A$1,[1]characters!$1:$1,0)+1,FALSE))</f>
        <v>四聖結終の超獣 麒麟</v>
      </c>
      <c r="S43" s="5">
        <f t="shared" ca="1" si="6"/>
        <v>433</v>
      </c>
      <c r="T43" s="5" t="str">
        <f ca="1">VLOOKUP($S43,OFFSET([1]characters!$A$1,0,0,COUNTA([1]characters!$A:$A),MATCH(T$1,[1]characters!$1:$1,0)-MATCH($A$1,[1]characters!$1:$1,0)+1),MATCH(T$1,[1]characters!$1:$1,0)-MATCH($A$1,[1]characters!$1:$1,0)+1,FALSE)</f>
        <v>世稀の現獣 麒麟</v>
      </c>
      <c r="U43" s="11">
        <v>200000</v>
      </c>
      <c r="V43"/>
    </row>
  </sheetData>
  <autoFilter ref="A1:U2"/>
  <phoneticPr fontId="22"/>
  <conditionalFormatting sqref="W1:W2 W44:W1048576">
    <cfRule type="cellIs" dxfId="64" priority="45" operator="equal">
      <formula>"FALSE"</formula>
    </cfRule>
  </conditionalFormatting>
  <conditionalFormatting sqref="W3">
    <cfRule type="cellIs" dxfId="63" priority="42" operator="equal">
      <formula>"FALSE"</formula>
    </cfRule>
  </conditionalFormatting>
  <conditionalFormatting sqref="W4">
    <cfRule type="cellIs" dxfId="62" priority="41" operator="equal">
      <formula>"FALSE"</formula>
    </cfRule>
  </conditionalFormatting>
  <conditionalFormatting sqref="W5">
    <cfRule type="cellIs" dxfId="61" priority="39" operator="equal">
      <formula>"FALSE"</formula>
    </cfRule>
  </conditionalFormatting>
  <conditionalFormatting sqref="W6">
    <cfRule type="cellIs" dxfId="60" priority="38" operator="equal">
      <formula>"FALSE"</formula>
    </cfRule>
  </conditionalFormatting>
  <conditionalFormatting sqref="W7">
    <cfRule type="cellIs" dxfId="59" priority="37" operator="equal">
      <formula>"FALSE"</formula>
    </cfRule>
  </conditionalFormatting>
  <conditionalFormatting sqref="W8">
    <cfRule type="cellIs" dxfId="58" priority="36" operator="equal">
      <formula>"FALSE"</formula>
    </cfRule>
  </conditionalFormatting>
  <conditionalFormatting sqref="W9">
    <cfRule type="cellIs" dxfId="57" priority="35" operator="equal">
      <formula>"FALSE"</formula>
    </cfRule>
  </conditionalFormatting>
  <conditionalFormatting sqref="W10">
    <cfRule type="cellIs" dxfId="56" priority="34" operator="equal">
      <formula>"FALSE"</formula>
    </cfRule>
  </conditionalFormatting>
  <conditionalFormatting sqref="W11">
    <cfRule type="cellIs" dxfId="55" priority="33" operator="equal">
      <formula>"FALSE"</formula>
    </cfRule>
  </conditionalFormatting>
  <conditionalFormatting sqref="W12">
    <cfRule type="cellIs" dxfId="54" priority="32" operator="equal">
      <formula>"FALSE"</formula>
    </cfRule>
  </conditionalFormatting>
  <conditionalFormatting sqref="W13">
    <cfRule type="cellIs" dxfId="53" priority="31" operator="equal">
      <formula>"FALSE"</formula>
    </cfRule>
  </conditionalFormatting>
  <conditionalFormatting sqref="W14">
    <cfRule type="cellIs" dxfId="52" priority="30" operator="equal">
      <formula>"FALSE"</formula>
    </cfRule>
  </conditionalFormatting>
  <conditionalFormatting sqref="W15">
    <cfRule type="cellIs" dxfId="51" priority="29" operator="equal">
      <formula>"FALSE"</formula>
    </cfRule>
  </conditionalFormatting>
  <conditionalFormatting sqref="W16">
    <cfRule type="cellIs" dxfId="50" priority="28" operator="equal">
      <formula>"FALSE"</formula>
    </cfRule>
  </conditionalFormatting>
  <conditionalFormatting sqref="W17">
    <cfRule type="cellIs" dxfId="49" priority="27" operator="equal">
      <formula>"FALSE"</formula>
    </cfRule>
  </conditionalFormatting>
  <conditionalFormatting sqref="W18">
    <cfRule type="cellIs" dxfId="48" priority="26" operator="equal">
      <formula>"FALSE"</formula>
    </cfRule>
  </conditionalFormatting>
  <conditionalFormatting sqref="W19">
    <cfRule type="cellIs" dxfId="47" priority="25" operator="equal">
      <formula>"FALSE"</formula>
    </cfRule>
  </conditionalFormatting>
  <conditionalFormatting sqref="W20">
    <cfRule type="cellIs" dxfId="46" priority="24" operator="equal">
      <formula>"FALSE"</formula>
    </cfRule>
  </conditionalFormatting>
  <conditionalFormatting sqref="W21">
    <cfRule type="cellIs" dxfId="45" priority="23" operator="equal">
      <formula>"FALSE"</formula>
    </cfRule>
  </conditionalFormatting>
  <conditionalFormatting sqref="W22">
    <cfRule type="cellIs" dxfId="44" priority="22" operator="equal">
      <formula>"FALSE"</formula>
    </cfRule>
  </conditionalFormatting>
  <conditionalFormatting sqref="W23">
    <cfRule type="cellIs" dxfId="43" priority="21" operator="equal">
      <formula>"FALSE"</formula>
    </cfRule>
  </conditionalFormatting>
  <conditionalFormatting sqref="W24">
    <cfRule type="cellIs" dxfId="42" priority="20" operator="equal">
      <formula>"FALSE"</formula>
    </cfRule>
  </conditionalFormatting>
  <conditionalFormatting sqref="W25">
    <cfRule type="cellIs" dxfId="41" priority="19" operator="equal">
      <formula>"FALSE"</formula>
    </cfRule>
  </conditionalFormatting>
  <conditionalFormatting sqref="W26">
    <cfRule type="cellIs" dxfId="40" priority="18" operator="equal">
      <formula>"FALSE"</formula>
    </cfRule>
  </conditionalFormatting>
  <conditionalFormatting sqref="W27">
    <cfRule type="cellIs" dxfId="39" priority="17" operator="equal">
      <formula>"FALSE"</formula>
    </cfRule>
  </conditionalFormatting>
  <conditionalFormatting sqref="W28">
    <cfRule type="cellIs" dxfId="38" priority="16" operator="equal">
      <formula>"FALSE"</formula>
    </cfRule>
  </conditionalFormatting>
  <conditionalFormatting sqref="W29">
    <cfRule type="cellIs" dxfId="37" priority="15" operator="equal">
      <formula>"FALSE"</formula>
    </cfRule>
  </conditionalFormatting>
  <conditionalFormatting sqref="W30">
    <cfRule type="cellIs" dxfId="36" priority="14" operator="equal">
      <formula>"FALSE"</formula>
    </cfRule>
  </conditionalFormatting>
  <conditionalFormatting sqref="W31">
    <cfRule type="cellIs" dxfId="35" priority="13" operator="equal">
      <formula>"FALSE"</formula>
    </cfRule>
  </conditionalFormatting>
  <conditionalFormatting sqref="W32">
    <cfRule type="cellIs" dxfId="34" priority="12" operator="equal">
      <formula>"FALSE"</formula>
    </cfRule>
  </conditionalFormatting>
  <conditionalFormatting sqref="W33">
    <cfRule type="cellIs" dxfId="33" priority="11" operator="equal">
      <formula>"FALSE"</formula>
    </cfRule>
  </conditionalFormatting>
  <conditionalFormatting sqref="W34">
    <cfRule type="cellIs" dxfId="32" priority="10" operator="equal">
      <formula>"FALSE"</formula>
    </cfRule>
  </conditionalFormatting>
  <conditionalFormatting sqref="W35">
    <cfRule type="cellIs" dxfId="31" priority="9" operator="equal">
      <formula>"FALSE"</formula>
    </cfRule>
  </conditionalFormatting>
  <conditionalFormatting sqref="W36">
    <cfRule type="cellIs" dxfId="30" priority="8" operator="equal">
      <formula>"FALSE"</formula>
    </cfRule>
  </conditionalFormatting>
  <conditionalFormatting sqref="W37">
    <cfRule type="cellIs" dxfId="29" priority="7" operator="equal">
      <formula>"FALSE"</formula>
    </cfRule>
  </conditionalFormatting>
  <conditionalFormatting sqref="W38">
    <cfRule type="cellIs" dxfId="28" priority="6" operator="equal">
      <formula>"FALSE"</formula>
    </cfRule>
  </conditionalFormatting>
  <conditionalFormatting sqref="W39">
    <cfRule type="cellIs" dxfId="27" priority="5" operator="equal">
      <formula>"FALSE"</formula>
    </cfRule>
  </conditionalFormatting>
  <conditionalFormatting sqref="W40">
    <cfRule type="cellIs" dxfId="26" priority="4" operator="equal">
      <formula>"FALSE"</formula>
    </cfRule>
  </conditionalFormatting>
  <conditionalFormatting sqref="W41">
    <cfRule type="cellIs" dxfId="25" priority="3" operator="equal">
      <formula>"FALSE"</formula>
    </cfRule>
  </conditionalFormatting>
  <conditionalFormatting sqref="W42">
    <cfRule type="cellIs" dxfId="24" priority="2" operator="equal">
      <formula>"FALSE"</formula>
    </cfRule>
  </conditionalFormatting>
  <conditionalFormatting sqref="W43">
    <cfRule type="cellIs" dxfId="23" priority="1" operator="equal">
      <formula>"FALSE"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 enableFormatConditionsCalculation="0">
    <tabColor indexed="12"/>
  </sheetPr>
  <dimension ref="A1:O113"/>
  <sheetViews>
    <sheetView showGridLines="0" topLeftCell="A75" workbookViewId="0">
      <pane xSplit="4" topLeftCell="G1" activePane="topRight" state="frozen"/>
      <selection activeCell="A70" sqref="A70"/>
      <selection pane="topRight" activeCell="L94" sqref="L94"/>
    </sheetView>
  </sheetViews>
  <sheetFormatPr baseColWidth="12" defaultColWidth="13" defaultRowHeight="15" x14ac:dyDescent="0.15"/>
  <cols>
    <col min="1" max="1" width="11.5" style="65" bestFit="1" customWidth="1"/>
    <col min="2" max="2" width="19.1640625" style="3" bestFit="1" customWidth="1"/>
    <col min="3" max="3" width="15.1640625" style="3" bestFit="1" customWidth="1"/>
    <col min="4" max="4" width="22.83203125" style="2" bestFit="1" customWidth="1"/>
    <col min="5" max="5" width="9.6640625" style="2" bestFit="1" customWidth="1"/>
    <col min="6" max="6" width="13.6640625" style="2" bestFit="1" customWidth="1"/>
    <col min="7" max="7" width="13.6640625" style="2" customWidth="1"/>
    <col min="8" max="8" width="19.83203125" style="2" bestFit="1" customWidth="1"/>
    <col min="9" max="9" width="22.83203125" style="2" bestFit="1" customWidth="1"/>
    <col min="10" max="10" width="21.33203125" style="2" bestFit="1" customWidth="1"/>
    <col min="11" max="11" width="13.5" style="2" bestFit="1" customWidth="1"/>
    <col min="12" max="12" width="17" style="1" bestFit="1" customWidth="1"/>
    <col min="13" max="16384" width="13" style="2"/>
  </cols>
  <sheetData>
    <row r="1" spans="1:15" ht="21" customHeight="1" x14ac:dyDescent="0.15">
      <c r="A1" s="65" t="s">
        <v>280</v>
      </c>
      <c r="B1" s="42" t="s">
        <v>278</v>
      </c>
      <c r="C1" s="192" t="s">
        <v>281</v>
      </c>
      <c r="D1" s="20" t="s">
        <v>245</v>
      </c>
      <c r="E1" s="20" t="s">
        <v>282</v>
      </c>
      <c r="F1" s="20" t="s">
        <v>283</v>
      </c>
      <c r="G1" s="193" t="s">
        <v>305</v>
      </c>
      <c r="H1" s="193" t="s">
        <v>277</v>
      </c>
      <c r="I1" s="20" t="s">
        <v>245</v>
      </c>
      <c r="J1" s="43" t="s">
        <v>36</v>
      </c>
      <c r="K1" s="20" t="s">
        <v>245</v>
      </c>
      <c r="L1" s="19" t="s">
        <v>37</v>
      </c>
      <c r="M1" s="194" t="s">
        <v>284</v>
      </c>
      <c r="N1" s="193" t="s">
        <v>285</v>
      </c>
      <c r="O1" s="199" t="s">
        <v>279</v>
      </c>
    </row>
    <row r="2" spans="1:15" ht="21" customHeight="1" x14ac:dyDescent="0.15">
      <c r="A2" s="65" t="str">
        <f t="shared" ref="A2" si="0">B2&amp;"_"&amp;J2</f>
        <v>168_278</v>
      </c>
      <c r="B2" s="44">
        <v>168</v>
      </c>
      <c r="C2" s="195">
        <f t="shared" ref="C2:C33" si="1">B2</f>
        <v>168</v>
      </c>
      <c r="D2" s="57" t="str">
        <f ca="1">VLOOKUP($C2,OFFSET([1]characters!$A$1,0,0,COUNTA([1]characters!$A:$A),MATCH(D$1,[1]characters!$1:$1,0)-MATCH($C$1,[1]characters!$1:$1,0)+1),MATCH(D$1,[1]characters!$1:$1,0)-MATCH($C$1,[1]characters!$1:$1,0)+1,FALSE)</f>
        <v>猛進の大逆者 ベリアル</v>
      </c>
      <c r="E2" s="57">
        <f ca="1">VLOOKUP($C2,OFFSET([1]characters!$A$1,0,0,COUNTA([1]characters!$A:$A),MATCH(E$1,[1]characters!$1:$1,0)-MATCH($C$1,[1]characters!$1:$1,0)+1),MATCH(E$1,[1]characters!$1:$1,0)-MATCH($C$1,[1]characters!$1:$1,0)+1,FALSE)</f>
        <v>5</v>
      </c>
      <c r="F2" s="57" t="str">
        <f ca="1">VLOOKUP($C2,OFFSET([1]characters!$A$1,0,0,COUNTA([1]characters!$A:$A),MATCH(F$1,[1]characters!$1:$1,0)-MATCH($C$1,[1]characters!$1:$1,0)+1),MATCH(F$1,[1]characters!$1:$1,0)-MATCH($C$1,[1]characters!$1:$1,0)+1,FALSE)</f>
        <v>PremiumN</v>
      </c>
      <c r="G2" s="21" t="str">
        <f>VLOOKUP(H2,[1]characters!$A:$T,20)</f>
        <v>super</v>
      </c>
      <c r="H2" s="44">
        <v>1055</v>
      </c>
      <c r="I2" s="21" t="str">
        <f>VLOOKUP(H2,[1]characters!$A:$C,3,FALSE)</f>
        <v>豪焔の轟暴聖 ベリアル</v>
      </c>
      <c r="J2" s="44">
        <v>278</v>
      </c>
      <c r="K2" s="21" t="str">
        <f>VLOOKUP(J2,[1]characters!$A:$C,3,FALSE)</f>
        <v>アマテラス</v>
      </c>
      <c r="L2" s="18">
        <v>1</v>
      </c>
      <c r="M2" s="111">
        <v>1</v>
      </c>
      <c r="N2" s="111">
        <v>100</v>
      </c>
      <c r="O2" s="11">
        <v>200000</v>
      </c>
    </row>
    <row r="3" spans="1:15" ht="21" customHeight="1" x14ac:dyDescent="0.15">
      <c r="A3" s="65" t="str">
        <f t="shared" ref="A3" si="2">B3&amp;"_"&amp;J3</f>
        <v>168_262</v>
      </c>
      <c r="B3" s="44">
        <v>168</v>
      </c>
      <c r="C3" s="195">
        <f t="shared" si="1"/>
        <v>168</v>
      </c>
      <c r="D3" s="57" t="str">
        <f ca="1">VLOOKUP($C3,OFFSET([1]characters!$A$1,0,0,COUNTA([1]characters!$A:$A),MATCH(D$1,[1]characters!$1:$1,0)-MATCH($C$1,[1]characters!$1:$1,0)+1),MATCH(D$1,[1]characters!$1:$1,0)-MATCH($C$1,[1]characters!$1:$1,0)+1,FALSE)</f>
        <v>猛進の大逆者 ベリアル</v>
      </c>
      <c r="E3" s="57">
        <f ca="1">VLOOKUP($C3,OFFSET([1]characters!$A$1,0,0,COUNTA([1]characters!$A:$A),MATCH(E$1,[1]characters!$1:$1,0)-MATCH($C$1,[1]characters!$1:$1,0)+1),MATCH(E$1,[1]characters!$1:$1,0)-MATCH($C$1,[1]characters!$1:$1,0)+1,FALSE)</f>
        <v>5</v>
      </c>
      <c r="F3" s="57" t="str">
        <f ca="1">VLOOKUP($C3,OFFSET([1]characters!$A$1,0,0,COUNTA([1]characters!$A:$A),MATCH(F$1,[1]characters!$1:$1,0)-MATCH($C$1,[1]characters!$1:$1,0)+1),MATCH(F$1,[1]characters!$1:$1,0)-MATCH($C$1,[1]characters!$1:$1,0)+1,FALSE)</f>
        <v>PremiumN</v>
      </c>
      <c r="G3" s="21" t="str">
        <f>VLOOKUP(H3,[1]characters!$A:$T,20)</f>
        <v>super</v>
      </c>
      <c r="H3" s="44">
        <v>1055</v>
      </c>
      <c r="I3" s="21" t="str">
        <f>VLOOKUP(H3,[1]characters!$A:$C,3)</f>
        <v>豪焔の轟暴聖 ベリアル</v>
      </c>
      <c r="J3" s="44">
        <v>262</v>
      </c>
      <c r="K3" s="21" t="str">
        <f>VLOOKUP(J3,[1]characters!$A:$C,3,FALSE)</f>
        <v>アシュリー</v>
      </c>
      <c r="L3" s="18">
        <v>1</v>
      </c>
      <c r="M3" s="111">
        <v>3</v>
      </c>
      <c r="N3" s="111">
        <v>1</v>
      </c>
      <c r="O3" s="11">
        <v>200000</v>
      </c>
    </row>
    <row r="4" spans="1:15" ht="21" customHeight="1" x14ac:dyDescent="0.15">
      <c r="A4" s="65" t="str">
        <f t="shared" ref="A4" si="3">B4&amp;"_"&amp;J4</f>
        <v>168_840</v>
      </c>
      <c r="B4" s="44">
        <v>168</v>
      </c>
      <c r="C4" s="195">
        <f t="shared" si="1"/>
        <v>168</v>
      </c>
      <c r="D4" s="57" t="str">
        <f ca="1">VLOOKUP($C4,OFFSET([1]characters!$A$1,0,0,COUNTA([1]characters!$A:$A),MATCH(D$1,[1]characters!$1:$1,0)-MATCH($C$1,[1]characters!$1:$1,0)+1),MATCH(D$1,[1]characters!$1:$1,0)-MATCH($C$1,[1]characters!$1:$1,0)+1,FALSE)</f>
        <v>猛進の大逆者 ベリアル</v>
      </c>
      <c r="E4" s="57">
        <f ca="1">VLOOKUP($C4,OFFSET([1]characters!$A$1,0,0,COUNTA([1]characters!$A:$A),MATCH(E$1,[1]characters!$1:$1,0)-MATCH($C$1,[1]characters!$1:$1,0)+1),MATCH(E$1,[1]characters!$1:$1,0)-MATCH($C$1,[1]characters!$1:$1,0)+1,FALSE)</f>
        <v>5</v>
      </c>
      <c r="F4" s="57" t="str">
        <f ca="1">VLOOKUP($C4,OFFSET([1]characters!$A$1,0,0,COUNTA([1]characters!$A:$A),MATCH(F$1,[1]characters!$1:$1,0)-MATCH($C$1,[1]characters!$1:$1,0)+1),MATCH(F$1,[1]characters!$1:$1,0)-MATCH($C$1,[1]characters!$1:$1,0)+1,FALSE)</f>
        <v>PremiumN</v>
      </c>
      <c r="G4" s="21" t="str">
        <f>VLOOKUP(H4,[1]characters!$A:$T,20)</f>
        <v>super</v>
      </c>
      <c r="H4" s="44">
        <v>1055</v>
      </c>
      <c r="I4" s="21" t="str">
        <f>VLOOKUP(H4,[1]characters!$A:$C,3)</f>
        <v>豪焔の轟暴聖 ベリアル</v>
      </c>
      <c r="J4" s="44">
        <v>840</v>
      </c>
      <c r="K4" s="21" t="str">
        <f>VLOOKUP(J4,[1]characters!$A:$C,3,FALSE)</f>
        <v>フェニックス</v>
      </c>
      <c r="L4" s="18">
        <v>1</v>
      </c>
      <c r="M4" s="111">
        <v>3</v>
      </c>
      <c r="N4" s="111">
        <v>1</v>
      </c>
      <c r="O4" s="11">
        <v>200000</v>
      </c>
    </row>
    <row r="5" spans="1:15" ht="21" customHeight="1" x14ac:dyDescent="0.15">
      <c r="A5" s="65" t="str">
        <f t="shared" ref="A5" si="4">B5&amp;"_"&amp;J5</f>
        <v>805_262</v>
      </c>
      <c r="B5" s="44">
        <v>805</v>
      </c>
      <c r="C5" s="195">
        <f t="shared" si="1"/>
        <v>805</v>
      </c>
      <c r="D5" s="57" t="str">
        <f ca="1">VLOOKUP($C5,OFFSET([1]characters!$A$1,0,0,COUNTA([1]characters!$A:$A),MATCH(D$1,[1]characters!$1:$1,0)-MATCH($C$1,[1]characters!$1:$1,0)+1),MATCH(D$1,[1]characters!$1:$1,0)-MATCH($C$1,[1]characters!$1:$1,0)+1,FALSE)</f>
        <v>熱環の大逆聖 ベリアル</v>
      </c>
      <c r="E5" s="57">
        <f ca="1">VLOOKUP($C5,OFFSET([1]characters!$A$1,0,0,COUNTA([1]characters!$A:$A),MATCH(E$1,[1]characters!$1:$1,0)-MATCH($C$1,[1]characters!$1:$1,0)+1),MATCH(E$1,[1]characters!$1:$1,0)-MATCH($C$1,[1]characters!$1:$1,0)+1,FALSE)</f>
        <v>6</v>
      </c>
      <c r="F5" s="57" t="str">
        <f ca="1">VLOOKUP($C5,OFFSET([1]characters!$A$1,0,0,COUNTA([1]characters!$A:$A),MATCH(F$1,[1]characters!$1:$1,0)-MATCH($C$1,[1]characters!$1:$1,0)+1),MATCH(F$1,[1]characters!$1:$1,0)-MATCH($C$1,[1]characters!$1:$1,0)+1,FALSE)</f>
        <v>PremiumS</v>
      </c>
      <c r="G5" s="21" t="str">
        <f>VLOOKUP(H5,[1]characters!$A:$T,20)</f>
        <v>super</v>
      </c>
      <c r="H5" s="44">
        <v>1055</v>
      </c>
      <c r="I5" s="21" t="str">
        <f>VLOOKUP(H5,[1]characters!$A:$C,3)</f>
        <v>豪焔の轟暴聖 ベリアル</v>
      </c>
      <c r="J5" s="44">
        <v>262</v>
      </c>
      <c r="K5" s="21" t="str">
        <f>VLOOKUP(J5,[1]characters!$A:$C,3,FALSE)</f>
        <v>アシュリー</v>
      </c>
      <c r="L5" s="18">
        <v>1</v>
      </c>
      <c r="M5" s="111">
        <v>2</v>
      </c>
      <c r="N5" s="111">
        <v>1</v>
      </c>
      <c r="O5" s="11">
        <v>200000</v>
      </c>
    </row>
    <row r="6" spans="1:15" ht="21" customHeight="1" x14ac:dyDescent="0.15">
      <c r="A6" s="65" t="str">
        <f t="shared" ref="A6" si="5">B6&amp;"_"&amp;J6</f>
        <v>805_840</v>
      </c>
      <c r="B6" s="44">
        <v>805</v>
      </c>
      <c r="C6" s="195">
        <f t="shared" si="1"/>
        <v>805</v>
      </c>
      <c r="D6" s="57" t="str">
        <f ca="1">VLOOKUP($C6,OFFSET([1]characters!$A$1,0,0,COUNTA([1]characters!$A:$A),MATCH(D$1,[1]characters!$1:$1,0)-MATCH($C$1,[1]characters!$1:$1,0)+1),MATCH(D$1,[1]characters!$1:$1,0)-MATCH($C$1,[1]characters!$1:$1,0)+1,FALSE)</f>
        <v>熱環の大逆聖 ベリアル</v>
      </c>
      <c r="E6" s="57">
        <f ca="1">VLOOKUP($C6,OFFSET([1]characters!$A$1,0,0,COUNTA([1]characters!$A:$A),MATCH(E$1,[1]characters!$1:$1,0)-MATCH($C$1,[1]characters!$1:$1,0)+1),MATCH(E$1,[1]characters!$1:$1,0)-MATCH($C$1,[1]characters!$1:$1,0)+1,FALSE)</f>
        <v>6</v>
      </c>
      <c r="F6" s="57" t="str">
        <f ca="1">VLOOKUP($C6,OFFSET([1]characters!$A$1,0,0,COUNTA([1]characters!$A:$A),MATCH(F$1,[1]characters!$1:$1,0)-MATCH($C$1,[1]characters!$1:$1,0)+1),MATCH(F$1,[1]characters!$1:$1,0)-MATCH($C$1,[1]characters!$1:$1,0)+1,FALSE)</f>
        <v>PremiumS</v>
      </c>
      <c r="G6" s="21" t="str">
        <f>VLOOKUP(H6,[1]characters!$A:$T,20)</f>
        <v>super</v>
      </c>
      <c r="H6" s="44">
        <v>1055</v>
      </c>
      <c r="I6" s="21" t="str">
        <f>VLOOKUP(H6,[1]characters!$A:$C,3)</f>
        <v>豪焔の轟暴聖 ベリアル</v>
      </c>
      <c r="J6" s="44">
        <v>840</v>
      </c>
      <c r="K6" s="21" t="str">
        <f>VLOOKUP(J6,[1]characters!$A:$C,3,FALSE)</f>
        <v>フェニックス</v>
      </c>
      <c r="L6" s="18">
        <v>1</v>
      </c>
      <c r="M6" s="111">
        <v>2</v>
      </c>
      <c r="N6" s="111">
        <v>1</v>
      </c>
      <c r="O6" s="11">
        <v>200000</v>
      </c>
    </row>
    <row r="7" spans="1:15" ht="21" customHeight="1" x14ac:dyDescent="0.15">
      <c r="A7" s="65" t="str">
        <f t="shared" ref="A7" si="6">B7&amp;"_"&amp;J7</f>
        <v>1055_104</v>
      </c>
      <c r="B7" s="44">
        <v>1055</v>
      </c>
      <c r="C7" s="195">
        <f t="shared" si="1"/>
        <v>1055</v>
      </c>
      <c r="D7" s="57" t="str">
        <f ca="1">VLOOKUP($C7,OFFSET([1]characters!$A$1,0,0,COUNTA([1]characters!$A:$A),MATCH(D$1,[1]characters!$1:$1,0)-MATCH($C$1,[1]characters!$1:$1,0)+1),MATCH(D$1,[1]characters!$1:$1,0)-MATCH($C$1,[1]characters!$1:$1,0)+1,FALSE)</f>
        <v>豪焔の轟暴聖 ベリアル</v>
      </c>
      <c r="E7" s="57">
        <f ca="1">VLOOKUP($C7,OFFSET([1]characters!$A$1,0,0,COUNTA([1]characters!$A:$A),MATCH(E$1,[1]characters!$1:$1,0)-MATCH($C$1,[1]characters!$1:$1,0)+1),MATCH(E$1,[1]characters!$1:$1,0)-MATCH($C$1,[1]characters!$1:$1,0)+1,FALSE)</f>
        <v>6</v>
      </c>
      <c r="F7" s="57" t="str">
        <f ca="1">VLOOKUP($C7,OFFSET([1]characters!$A$1,0,0,COUNTA([1]characters!$A:$A),MATCH(F$1,[1]characters!$1:$1,0)-MATCH($C$1,[1]characters!$1:$1,0)+1),MATCH(F$1,[1]characters!$1:$1,0)-MATCH($C$1,[1]characters!$1:$1,0)+1,FALSE)</f>
        <v>PremiumS</v>
      </c>
      <c r="G7" s="21" t="str">
        <f>VLOOKUP(H7,[1]characters!$A:$T,20)</f>
        <v>normal</v>
      </c>
      <c r="H7" s="44">
        <v>805</v>
      </c>
      <c r="I7" s="21" t="str">
        <f>VLOOKUP(H7,[1]characters!$A:$C,3)</f>
        <v>熱環の大逆聖 ベリアル</v>
      </c>
      <c r="J7" s="44">
        <v>104</v>
      </c>
      <c r="K7" s="21" t="str">
        <f>VLOOKUP(J7,[1]characters!$A:$C,3,FALSE)</f>
        <v>炎のマッドハッター</v>
      </c>
      <c r="L7" s="18">
        <v>1</v>
      </c>
      <c r="M7" s="111">
        <v>1</v>
      </c>
      <c r="N7" s="111">
        <v>1</v>
      </c>
      <c r="O7" s="11">
        <v>200000</v>
      </c>
    </row>
    <row r="8" spans="1:15" ht="21" customHeight="1" x14ac:dyDescent="0.15">
      <c r="A8" s="65" t="str">
        <f t="shared" ref="A8" si="7">B8&amp;"_"&amp;J8</f>
        <v>1055_103</v>
      </c>
      <c r="B8" s="44">
        <v>1055</v>
      </c>
      <c r="C8" s="195">
        <f t="shared" si="1"/>
        <v>1055</v>
      </c>
      <c r="D8" s="57" t="str">
        <f ca="1">VLOOKUP($C8,OFFSET([1]characters!$A$1,0,0,COUNTA([1]characters!$A:$A),MATCH(D$1,[1]characters!$1:$1,0)-MATCH($C$1,[1]characters!$1:$1,0)+1),MATCH(D$1,[1]characters!$1:$1,0)-MATCH($C$1,[1]characters!$1:$1,0)+1,FALSE)</f>
        <v>豪焔の轟暴聖 ベリアル</v>
      </c>
      <c r="E8" s="57">
        <f ca="1">VLOOKUP($C8,OFFSET([1]characters!$A$1,0,0,COUNTA([1]characters!$A:$A),MATCH(E$1,[1]characters!$1:$1,0)-MATCH($C$1,[1]characters!$1:$1,0)+1),MATCH(E$1,[1]characters!$1:$1,0)-MATCH($C$1,[1]characters!$1:$1,0)+1,FALSE)</f>
        <v>6</v>
      </c>
      <c r="F8" s="57" t="str">
        <f ca="1">VLOOKUP($C8,OFFSET([1]characters!$A$1,0,0,COUNTA([1]characters!$A:$A),MATCH(F$1,[1]characters!$1:$1,0)-MATCH($C$1,[1]characters!$1:$1,0)+1),MATCH(F$1,[1]characters!$1:$1,0)-MATCH($C$1,[1]characters!$1:$1,0)+1,FALSE)</f>
        <v>PremiumS</v>
      </c>
      <c r="G8" s="21" t="str">
        <f>VLOOKUP(H8,[1]characters!$A:$T,20)</f>
        <v>normal</v>
      </c>
      <c r="H8" s="44">
        <v>805</v>
      </c>
      <c r="I8" s="21" t="str">
        <f>VLOOKUP(H8,[1]characters!$A:$C,3)</f>
        <v>熱環の大逆聖 ベリアル</v>
      </c>
      <c r="J8" s="44">
        <v>103</v>
      </c>
      <c r="K8" s="21" t="str">
        <f>VLOOKUP(J8,[1]characters!$A:$C,3,FALSE)</f>
        <v>レッドキャタップ</v>
      </c>
      <c r="L8" s="18">
        <v>1</v>
      </c>
      <c r="M8" s="111">
        <v>1</v>
      </c>
      <c r="N8" s="111">
        <v>1</v>
      </c>
      <c r="O8" s="11">
        <v>200000</v>
      </c>
    </row>
    <row r="9" spans="1:15" ht="21" customHeight="1" x14ac:dyDescent="0.15">
      <c r="A9" s="65" t="str">
        <f t="shared" ref="A9:A16" si="8">B9&amp;"_"&amp;J9</f>
        <v>1055_102</v>
      </c>
      <c r="B9" s="44">
        <v>1055</v>
      </c>
      <c r="C9" s="195">
        <f t="shared" si="1"/>
        <v>1055</v>
      </c>
      <c r="D9" s="57" t="str">
        <f ca="1">VLOOKUP($C9,OFFSET([1]characters!$A$1,0,0,COUNTA([1]characters!$A:$A),MATCH(D$1,[1]characters!$1:$1,0)-MATCH($C$1,[1]characters!$1:$1,0)+1),MATCH(D$1,[1]characters!$1:$1,0)-MATCH($C$1,[1]characters!$1:$1,0)+1,FALSE)</f>
        <v>豪焔の轟暴聖 ベリアル</v>
      </c>
      <c r="E9" s="57">
        <f ca="1">VLOOKUP($C9,OFFSET([1]characters!$A$1,0,0,COUNTA([1]characters!$A:$A),MATCH(E$1,[1]characters!$1:$1,0)-MATCH($C$1,[1]characters!$1:$1,0)+1),MATCH(E$1,[1]characters!$1:$1,0)-MATCH($C$1,[1]characters!$1:$1,0)+1,FALSE)</f>
        <v>6</v>
      </c>
      <c r="F9" s="57" t="str">
        <f ca="1">VLOOKUP($C9,OFFSET([1]characters!$A$1,0,0,COUNTA([1]characters!$A:$A),MATCH(F$1,[1]characters!$1:$1,0)-MATCH($C$1,[1]characters!$1:$1,0)+1),MATCH(F$1,[1]characters!$1:$1,0)-MATCH($C$1,[1]characters!$1:$1,0)+1,FALSE)</f>
        <v>PremiumS</v>
      </c>
      <c r="G9" s="21" t="str">
        <f>VLOOKUP(H9,[1]characters!$A:$T,20)</f>
        <v>normal</v>
      </c>
      <c r="H9" s="44">
        <v>805</v>
      </c>
      <c r="I9" s="21" t="str">
        <f>VLOOKUP(H9,[1]characters!$A:$C,3)</f>
        <v>熱環の大逆聖 ベリアル</v>
      </c>
      <c r="J9" s="44">
        <v>102</v>
      </c>
      <c r="K9" s="21" t="str">
        <f>VLOOKUP(J9,[1]characters!$A:$C,3,FALSE)</f>
        <v>レッドラビット</v>
      </c>
      <c r="L9" s="18">
        <v>1</v>
      </c>
      <c r="M9" s="111">
        <v>1</v>
      </c>
      <c r="N9" s="111">
        <v>1</v>
      </c>
      <c r="O9" s="11">
        <v>200000</v>
      </c>
    </row>
    <row r="10" spans="1:15" ht="21" customHeight="1" x14ac:dyDescent="0.15">
      <c r="A10" s="65" t="str">
        <f t="shared" si="8"/>
        <v>171_296</v>
      </c>
      <c r="B10" s="44">
        <v>171</v>
      </c>
      <c r="C10" s="195">
        <f t="shared" si="1"/>
        <v>171</v>
      </c>
      <c r="D10" s="57" t="str">
        <f ca="1">VLOOKUP($C10,OFFSET([1]characters!$A$1,0,0,COUNTA([1]characters!$A:$A),MATCH(D$1,[1]characters!$1:$1,0)-MATCH($C$1,[1]characters!$1:$1,0)+1),MATCH(D$1,[1]characters!$1:$1,0)-MATCH($C$1,[1]characters!$1:$1,0)+1,FALSE)</f>
        <v>精解の預知者 オセ</v>
      </c>
      <c r="E10" s="57">
        <f ca="1">VLOOKUP($C10,OFFSET([1]characters!$A$1,0,0,COUNTA([1]characters!$A:$A),MATCH(E$1,[1]characters!$1:$1,0)-MATCH($C$1,[1]characters!$1:$1,0)+1),MATCH(E$1,[1]characters!$1:$1,0)-MATCH($C$1,[1]characters!$1:$1,0)+1,FALSE)</f>
        <v>5</v>
      </c>
      <c r="F10" s="57" t="str">
        <f ca="1">VLOOKUP($C10,OFFSET([1]characters!$A$1,0,0,COUNTA([1]characters!$A:$A),MATCH(F$1,[1]characters!$1:$1,0)-MATCH($C$1,[1]characters!$1:$1,0)+1),MATCH(F$1,[1]characters!$1:$1,0)-MATCH($C$1,[1]characters!$1:$1,0)+1,FALSE)</f>
        <v>PremiumN</v>
      </c>
      <c r="G10" s="21" t="str">
        <f>VLOOKUP(H10,[1]characters!$A:$T,20)</f>
        <v>super</v>
      </c>
      <c r="H10" s="44">
        <v>1056</v>
      </c>
      <c r="I10" s="21" t="str">
        <f>VLOOKUP(H10,[1]characters!$A:$C,3)</f>
        <v>神解の預欺皇 オセ</v>
      </c>
      <c r="J10" s="44">
        <v>296</v>
      </c>
      <c r="K10" s="21" t="str">
        <f>VLOOKUP(J10,[1]characters!$A:$C,3,FALSE)</f>
        <v>アザゼル</v>
      </c>
      <c r="L10" s="18">
        <v>1</v>
      </c>
      <c r="M10" s="111">
        <v>1</v>
      </c>
      <c r="N10" s="111">
        <v>100</v>
      </c>
      <c r="O10" s="11">
        <v>200000</v>
      </c>
    </row>
    <row r="11" spans="1:15" ht="21" customHeight="1" x14ac:dyDescent="0.15">
      <c r="A11" s="65" t="str">
        <f t="shared" si="8"/>
        <v>171_504</v>
      </c>
      <c r="B11" s="44">
        <v>171</v>
      </c>
      <c r="C11" s="195">
        <f t="shared" si="1"/>
        <v>171</v>
      </c>
      <c r="D11" s="57" t="str">
        <f ca="1">VLOOKUP($C11,OFFSET([1]characters!$A$1,0,0,COUNTA([1]characters!$A:$A),MATCH(D$1,[1]characters!$1:$1,0)-MATCH($C$1,[1]characters!$1:$1,0)+1),MATCH(D$1,[1]characters!$1:$1,0)-MATCH($C$1,[1]characters!$1:$1,0)+1,FALSE)</f>
        <v>精解の預知者 オセ</v>
      </c>
      <c r="E11" s="57">
        <f ca="1">VLOOKUP($C11,OFFSET([1]characters!$A$1,0,0,COUNTA([1]characters!$A:$A),MATCH(E$1,[1]characters!$1:$1,0)-MATCH($C$1,[1]characters!$1:$1,0)+1),MATCH(E$1,[1]characters!$1:$1,0)-MATCH($C$1,[1]characters!$1:$1,0)+1,FALSE)</f>
        <v>5</v>
      </c>
      <c r="F11" s="57" t="str">
        <f ca="1">VLOOKUP($C11,OFFSET([1]characters!$A$1,0,0,COUNTA([1]characters!$A:$A),MATCH(F$1,[1]characters!$1:$1,0)-MATCH($C$1,[1]characters!$1:$1,0)+1),MATCH(F$1,[1]characters!$1:$1,0)-MATCH($C$1,[1]characters!$1:$1,0)+1,FALSE)</f>
        <v>PremiumN</v>
      </c>
      <c r="G11" s="21" t="str">
        <f>VLOOKUP(H11,[1]characters!$A:$T,20)</f>
        <v>super</v>
      </c>
      <c r="H11" s="44">
        <v>1056</v>
      </c>
      <c r="I11" s="21" t="str">
        <f>VLOOKUP(H11,[1]characters!$A:$C,3)</f>
        <v>神解の預欺皇 オセ</v>
      </c>
      <c r="J11" s="44">
        <v>504</v>
      </c>
      <c r="K11" s="21" t="str">
        <f>VLOOKUP(J11,[1]characters!$A:$C,3,FALSE)</f>
        <v>ハイディン・オーガ</v>
      </c>
      <c r="L11" s="18">
        <v>1</v>
      </c>
      <c r="M11" s="111">
        <v>3</v>
      </c>
      <c r="N11" s="111">
        <v>1</v>
      </c>
      <c r="O11" s="11">
        <v>200000</v>
      </c>
    </row>
    <row r="12" spans="1:15" ht="21" customHeight="1" x14ac:dyDescent="0.15">
      <c r="A12" s="65" t="str">
        <f t="shared" si="8"/>
        <v>171_264</v>
      </c>
      <c r="B12" s="44">
        <v>171</v>
      </c>
      <c r="C12" s="195">
        <f t="shared" si="1"/>
        <v>171</v>
      </c>
      <c r="D12" s="57" t="str">
        <f ca="1">VLOOKUP($C12,OFFSET([1]characters!$A$1,0,0,COUNTA([1]characters!$A:$A),MATCH(D$1,[1]characters!$1:$1,0)-MATCH($C$1,[1]characters!$1:$1,0)+1),MATCH(D$1,[1]characters!$1:$1,0)-MATCH($C$1,[1]characters!$1:$1,0)+1,FALSE)</f>
        <v>精解の預知者 オセ</v>
      </c>
      <c r="E12" s="57">
        <f ca="1">VLOOKUP($C12,OFFSET([1]characters!$A$1,0,0,COUNTA([1]characters!$A:$A),MATCH(E$1,[1]characters!$1:$1,0)-MATCH($C$1,[1]characters!$1:$1,0)+1),MATCH(E$1,[1]characters!$1:$1,0)-MATCH($C$1,[1]characters!$1:$1,0)+1,FALSE)</f>
        <v>5</v>
      </c>
      <c r="F12" s="57" t="str">
        <f ca="1">VLOOKUP($C12,OFFSET([1]characters!$A$1,0,0,COUNTA([1]characters!$A:$A),MATCH(F$1,[1]characters!$1:$1,0)-MATCH($C$1,[1]characters!$1:$1,0)+1),MATCH(F$1,[1]characters!$1:$1,0)-MATCH($C$1,[1]characters!$1:$1,0)+1,FALSE)</f>
        <v>PremiumN</v>
      </c>
      <c r="G12" s="21" t="str">
        <f>VLOOKUP(H12,[1]characters!$A:$T,20)</f>
        <v>super</v>
      </c>
      <c r="H12" s="44">
        <v>1056</v>
      </c>
      <c r="I12" s="21" t="str">
        <f>VLOOKUP(H12,[1]characters!$A:$C,3)</f>
        <v>神解の預欺皇 オセ</v>
      </c>
      <c r="J12" s="44">
        <v>264</v>
      </c>
      <c r="K12" s="21" t="str">
        <f>VLOOKUP(J12,[1]characters!$A:$C,3,FALSE)</f>
        <v>ユニコーン</v>
      </c>
      <c r="L12" s="18">
        <v>1</v>
      </c>
      <c r="M12" s="111">
        <v>3</v>
      </c>
      <c r="N12" s="111">
        <v>1</v>
      </c>
      <c r="O12" s="11">
        <v>200000</v>
      </c>
    </row>
    <row r="13" spans="1:15" ht="21" customHeight="1" x14ac:dyDescent="0.15">
      <c r="A13" s="65" t="str">
        <f t="shared" si="8"/>
        <v>806_504</v>
      </c>
      <c r="B13" s="44">
        <v>806</v>
      </c>
      <c r="C13" s="195">
        <f t="shared" si="1"/>
        <v>806</v>
      </c>
      <c r="D13" s="57" t="str">
        <f ca="1">VLOOKUP($C13,OFFSET([1]characters!$A$1,0,0,COUNTA([1]characters!$A:$A),MATCH(D$1,[1]characters!$1:$1,0)-MATCH($C$1,[1]characters!$1:$1,0)+1),MATCH(D$1,[1]characters!$1:$1,0)-MATCH($C$1,[1]characters!$1:$1,0)+1,FALSE)</f>
        <v>全解の預智聖 オセ</v>
      </c>
      <c r="E13" s="57">
        <f ca="1">VLOOKUP($C13,OFFSET([1]characters!$A$1,0,0,COUNTA([1]characters!$A:$A),MATCH(E$1,[1]characters!$1:$1,0)-MATCH($C$1,[1]characters!$1:$1,0)+1),MATCH(E$1,[1]characters!$1:$1,0)-MATCH($C$1,[1]characters!$1:$1,0)+1,FALSE)</f>
        <v>6</v>
      </c>
      <c r="F13" s="57" t="str">
        <f ca="1">VLOOKUP($C13,OFFSET([1]characters!$A$1,0,0,COUNTA([1]characters!$A:$A),MATCH(F$1,[1]characters!$1:$1,0)-MATCH($C$1,[1]characters!$1:$1,0)+1),MATCH(F$1,[1]characters!$1:$1,0)-MATCH($C$1,[1]characters!$1:$1,0)+1,FALSE)</f>
        <v>PremiumS</v>
      </c>
      <c r="G13" s="21" t="str">
        <f>VLOOKUP(H13,[1]characters!$A:$T,20)</f>
        <v>super</v>
      </c>
      <c r="H13" s="44">
        <v>1056</v>
      </c>
      <c r="I13" s="21" t="str">
        <f>VLOOKUP(H13,[1]characters!$A:$C,3)</f>
        <v>神解の預欺皇 オセ</v>
      </c>
      <c r="J13" s="44">
        <v>504</v>
      </c>
      <c r="K13" s="21" t="str">
        <f>VLOOKUP(J13,[1]characters!$A:$C,3,FALSE)</f>
        <v>ハイディン・オーガ</v>
      </c>
      <c r="L13" s="18">
        <v>1</v>
      </c>
      <c r="M13" s="111">
        <v>2</v>
      </c>
      <c r="N13" s="111">
        <v>1</v>
      </c>
      <c r="O13" s="11">
        <v>200000</v>
      </c>
    </row>
    <row r="14" spans="1:15" ht="21" customHeight="1" x14ac:dyDescent="0.15">
      <c r="A14" s="65" t="str">
        <f t="shared" si="8"/>
        <v>806_264</v>
      </c>
      <c r="B14" s="44">
        <v>806</v>
      </c>
      <c r="C14" s="195">
        <f t="shared" si="1"/>
        <v>806</v>
      </c>
      <c r="D14" s="57" t="str">
        <f ca="1">VLOOKUP($C14,OFFSET([1]characters!$A$1,0,0,COUNTA([1]characters!$A:$A),MATCH(D$1,[1]characters!$1:$1,0)-MATCH($C$1,[1]characters!$1:$1,0)+1),MATCH(D$1,[1]characters!$1:$1,0)-MATCH($C$1,[1]characters!$1:$1,0)+1,FALSE)</f>
        <v>全解の預智聖 オセ</v>
      </c>
      <c r="E14" s="57">
        <f ca="1">VLOOKUP($C14,OFFSET([1]characters!$A$1,0,0,COUNTA([1]characters!$A:$A),MATCH(E$1,[1]characters!$1:$1,0)-MATCH($C$1,[1]characters!$1:$1,0)+1),MATCH(E$1,[1]characters!$1:$1,0)-MATCH($C$1,[1]characters!$1:$1,0)+1,FALSE)</f>
        <v>6</v>
      </c>
      <c r="F14" s="57" t="str">
        <f ca="1">VLOOKUP($C14,OFFSET([1]characters!$A$1,0,0,COUNTA([1]characters!$A:$A),MATCH(F$1,[1]characters!$1:$1,0)-MATCH($C$1,[1]characters!$1:$1,0)+1),MATCH(F$1,[1]characters!$1:$1,0)-MATCH($C$1,[1]characters!$1:$1,0)+1,FALSE)</f>
        <v>PremiumS</v>
      </c>
      <c r="G14" s="21" t="str">
        <f>VLOOKUP(H14,[1]characters!$A:$T,20)</f>
        <v>super</v>
      </c>
      <c r="H14" s="44">
        <v>1056</v>
      </c>
      <c r="I14" s="21" t="str">
        <f>VLOOKUP(H14,[1]characters!$A:$C,3)</f>
        <v>神解の預欺皇 オセ</v>
      </c>
      <c r="J14" s="44">
        <v>264</v>
      </c>
      <c r="K14" s="21" t="str">
        <f>VLOOKUP(J14,[1]characters!$A:$C,3,FALSE)</f>
        <v>ユニコーン</v>
      </c>
      <c r="L14" s="18">
        <v>1</v>
      </c>
      <c r="M14" s="111">
        <v>2</v>
      </c>
      <c r="N14" s="111">
        <v>1</v>
      </c>
      <c r="O14" s="11">
        <v>200000</v>
      </c>
    </row>
    <row r="15" spans="1:15" ht="21" customHeight="1" x14ac:dyDescent="0.15">
      <c r="A15" s="65" t="str">
        <f t="shared" si="8"/>
        <v>1056_108</v>
      </c>
      <c r="B15" s="44">
        <v>1056</v>
      </c>
      <c r="C15" s="195">
        <f t="shared" si="1"/>
        <v>1056</v>
      </c>
      <c r="D15" s="57" t="str">
        <f ca="1">VLOOKUP($C15,OFFSET([1]characters!$A$1,0,0,COUNTA([1]characters!$A:$A),MATCH(D$1,[1]characters!$1:$1,0)-MATCH($C$1,[1]characters!$1:$1,0)+1),MATCH(D$1,[1]characters!$1:$1,0)-MATCH($C$1,[1]characters!$1:$1,0)+1,FALSE)</f>
        <v>神解の預欺皇 オセ</v>
      </c>
      <c r="E15" s="57">
        <f ca="1">VLOOKUP($C15,OFFSET([1]characters!$A$1,0,0,COUNTA([1]characters!$A:$A),MATCH(E$1,[1]characters!$1:$1,0)-MATCH($C$1,[1]characters!$1:$1,0)+1),MATCH(E$1,[1]characters!$1:$1,0)-MATCH($C$1,[1]characters!$1:$1,0)+1,FALSE)</f>
        <v>6</v>
      </c>
      <c r="F15" s="57" t="str">
        <f ca="1">VLOOKUP($C15,OFFSET([1]characters!$A$1,0,0,COUNTA([1]characters!$A:$A),MATCH(F$1,[1]characters!$1:$1,0)-MATCH($C$1,[1]characters!$1:$1,0)+1),MATCH(F$1,[1]characters!$1:$1,0)-MATCH($C$1,[1]characters!$1:$1,0)+1,FALSE)</f>
        <v>PremiumS</v>
      </c>
      <c r="G15" s="21" t="str">
        <f>VLOOKUP(H15,[1]characters!$A:$T,20)</f>
        <v>normal</v>
      </c>
      <c r="H15" s="44">
        <v>806</v>
      </c>
      <c r="I15" s="21" t="str">
        <f>VLOOKUP(H15,[1]characters!$A:$C,3)</f>
        <v>全解の預智聖 オセ</v>
      </c>
      <c r="J15" s="44">
        <v>108</v>
      </c>
      <c r="K15" s="21" t="str">
        <f>VLOOKUP(J15,[1]characters!$A:$C,3,FALSE)</f>
        <v>森のマッドハッター</v>
      </c>
      <c r="L15" s="18">
        <v>1</v>
      </c>
      <c r="M15" s="111">
        <v>1</v>
      </c>
      <c r="N15" s="111">
        <v>1</v>
      </c>
      <c r="O15" s="11">
        <v>200000</v>
      </c>
    </row>
    <row r="16" spans="1:15" ht="21" customHeight="1" x14ac:dyDescent="0.15">
      <c r="A16" s="65" t="str">
        <f t="shared" si="8"/>
        <v>1056_107</v>
      </c>
      <c r="B16" s="44">
        <v>1056</v>
      </c>
      <c r="C16" s="195">
        <f t="shared" si="1"/>
        <v>1056</v>
      </c>
      <c r="D16" s="57" t="str">
        <f ca="1">VLOOKUP($C16,OFFSET([1]characters!$A$1,0,0,COUNTA([1]characters!$A:$A),MATCH(D$1,[1]characters!$1:$1,0)-MATCH($C$1,[1]characters!$1:$1,0)+1),MATCH(D$1,[1]characters!$1:$1,0)-MATCH($C$1,[1]characters!$1:$1,0)+1,FALSE)</f>
        <v>神解の預欺皇 オセ</v>
      </c>
      <c r="E16" s="57">
        <f ca="1">VLOOKUP($C16,OFFSET([1]characters!$A$1,0,0,COUNTA([1]characters!$A:$A),MATCH(E$1,[1]characters!$1:$1,0)-MATCH($C$1,[1]characters!$1:$1,0)+1),MATCH(E$1,[1]characters!$1:$1,0)-MATCH($C$1,[1]characters!$1:$1,0)+1,FALSE)</f>
        <v>6</v>
      </c>
      <c r="F16" s="57" t="str">
        <f ca="1">VLOOKUP($C16,OFFSET([1]characters!$A$1,0,0,COUNTA([1]characters!$A:$A),MATCH(F$1,[1]characters!$1:$1,0)-MATCH($C$1,[1]characters!$1:$1,0)+1),MATCH(F$1,[1]characters!$1:$1,0)-MATCH($C$1,[1]characters!$1:$1,0)+1,FALSE)</f>
        <v>PremiumS</v>
      </c>
      <c r="G16" s="21" t="str">
        <f>VLOOKUP(H16,[1]characters!$A:$T,20)</f>
        <v>normal</v>
      </c>
      <c r="H16" s="44">
        <v>806</v>
      </c>
      <c r="I16" s="21" t="str">
        <f>VLOOKUP(H16,[1]characters!$A:$C,3)</f>
        <v>全解の預智聖 オセ</v>
      </c>
      <c r="J16" s="44">
        <v>107</v>
      </c>
      <c r="K16" s="21" t="str">
        <f>VLOOKUP(J16,[1]characters!$A:$C,3,FALSE)</f>
        <v>グリーンキャタップ</v>
      </c>
      <c r="L16" s="18">
        <v>1</v>
      </c>
      <c r="M16" s="111">
        <v>1</v>
      </c>
      <c r="N16" s="111">
        <v>1</v>
      </c>
      <c r="O16" s="11">
        <v>200000</v>
      </c>
    </row>
    <row r="17" spans="1:15" ht="21" customHeight="1" x14ac:dyDescent="0.15">
      <c r="A17" s="65" t="str">
        <f t="shared" ref="A17:A24" si="9">B17&amp;"_"&amp;J17</f>
        <v>1056_106</v>
      </c>
      <c r="B17" s="44">
        <v>1056</v>
      </c>
      <c r="C17" s="195">
        <f t="shared" si="1"/>
        <v>1056</v>
      </c>
      <c r="D17" s="57" t="str">
        <f ca="1">VLOOKUP($C17,OFFSET([1]characters!$A$1,0,0,COUNTA([1]characters!$A:$A),MATCH(D$1,[1]characters!$1:$1,0)-MATCH($C$1,[1]characters!$1:$1,0)+1),MATCH(D$1,[1]characters!$1:$1,0)-MATCH($C$1,[1]characters!$1:$1,0)+1,FALSE)</f>
        <v>神解の預欺皇 オセ</v>
      </c>
      <c r="E17" s="57">
        <f ca="1">VLOOKUP($C17,OFFSET([1]characters!$A$1,0,0,COUNTA([1]characters!$A:$A),MATCH(E$1,[1]characters!$1:$1,0)-MATCH($C$1,[1]characters!$1:$1,0)+1),MATCH(E$1,[1]characters!$1:$1,0)-MATCH($C$1,[1]characters!$1:$1,0)+1,FALSE)</f>
        <v>6</v>
      </c>
      <c r="F17" s="57" t="str">
        <f ca="1">VLOOKUP($C17,OFFSET([1]characters!$A$1,0,0,COUNTA([1]characters!$A:$A),MATCH(F$1,[1]characters!$1:$1,0)-MATCH($C$1,[1]characters!$1:$1,0)+1),MATCH(F$1,[1]characters!$1:$1,0)-MATCH($C$1,[1]characters!$1:$1,0)+1,FALSE)</f>
        <v>PremiumS</v>
      </c>
      <c r="G17" s="21" t="str">
        <f>VLOOKUP(H17,[1]characters!$A:$T,20)</f>
        <v>normal</v>
      </c>
      <c r="H17" s="44">
        <v>806</v>
      </c>
      <c r="I17" s="21" t="str">
        <f>VLOOKUP(H17,[1]characters!$A:$C,3)</f>
        <v>全解の預智聖 オセ</v>
      </c>
      <c r="J17" s="44">
        <v>106</v>
      </c>
      <c r="K17" s="21" t="str">
        <f>VLOOKUP(J17,[1]characters!$A:$C,3,FALSE)</f>
        <v>グリーンラビット</v>
      </c>
      <c r="L17" s="18">
        <v>1</v>
      </c>
      <c r="M17" s="111">
        <v>1</v>
      </c>
      <c r="N17" s="111">
        <v>1</v>
      </c>
      <c r="O17" s="11">
        <v>200000</v>
      </c>
    </row>
    <row r="18" spans="1:15" ht="21" customHeight="1" x14ac:dyDescent="0.15">
      <c r="A18" s="65" t="str">
        <f t="shared" si="9"/>
        <v>174_314</v>
      </c>
      <c r="B18" s="44">
        <v>174</v>
      </c>
      <c r="C18" s="195">
        <f t="shared" si="1"/>
        <v>174</v>
      </c>
      <c r="D18" s="57" t="str">
        <f ca="1">VLOOKUP($C18,OFFSET([1]characters!$A$1,0,0,COUNTA([1]characters!$A:$A),MATCH(D$1,[1]characters!$1:$1,0)-MATCH($C$1,[1]characters!$1:$1,0)+1),MATCH(D$1,[1]characters!$1:$1,0)-MATCH($C$1,[1]characters!$1:$1,0)+1,FALSE)</f>
        <v>偽愛の大公爵 フォルネウス</v>
      </c>
      <c r="E18" s="57">
        <f ca="1">VLOOKUP($C18,OFFSET([1]characters!$A$1,0,0,COUNTA([1]characters!$A:$A),MATCH(E$1,[1]characters!$1:$1,0)-MATCH($C$1,[1]characters!$1:$1,0)+1),MATCH(E$1,[1]characters!$1:$1,0)-MATCH($C$1,[1]characters!$1:$1,0)+1,FALSE)</f>
        <v>5</v>
      </c>
      <c r="F18" s="57" t="str">
        <f ca="1">VLOOKUP($C18,OFFSET([1]characters!$A$1,0,0,COUNTA([1]characters!$A:$A),MATCH(F$1,[1]characters!$1:$1,0)-MATCH($C$1,[1]characters!$1:$1,0)+1),MATCH(F$1,[1]characters!$1:$1,0)-MATCH($C$1,[1]characters!$1:$1,0)+1,FALSE)</f>
        <v>PremiumN</v>
      </c>
      <c r="G18" s="21" t="str">
        <f>VLOOKUP(H18,[1]characters!$A:$T,20)</f>
        <v>super</v>
      </c>
      <c r="H18" s="44">
        <v>1057</v>
      </c>
      <c r="I18" s="21" t="str">
        <f>VLOOKUP(H18,[1]characters!$A:$C,3)</f>
        <v>疑愛の永遠公爵 フォルネウス</v>
      </c>
      <c r="J18" s="44">
        <v>314</v>
      </c>
      <c r="K18" s="21" t="str">
        <f>VLOOKUP(J18,[1]characters!$A:$C,3,FALSE)</f>
        <v>ジャンヌ</v>
      </c>
      <c r="L18" s="18">
        <v>1</v>
      </c>
      <c r="M18" s="111">
        <v>1</v>
      </c>
      <c r="N18" s="111">
        <v>100</v>
      </c>
      <c r="O18" s="11">
        <v>200000</v>
      </c>
    </row>
    <row r="19" spans="1:15" ht="21" customHeight="1" x14ac:dyDescent="0.15">
      <c r="A19" s="65" t="str">
        <f t="shared" si="9"/>
        <v>174_842</v>
      </c>
      <c r="B19" s="44">
        <v>174</v>
      </c>
      <c r="C19" s="195">
        <f t="shared" si="1"/>
        <v>174</v>
      </c>
      <c r="D19" s="57" t="str">
        <f ca="1">VLOOKUP($C19,OFFSET([1]characters!$A$1,0,0,COUNTA([1]characters!$A:$A),MATCH(D$1,[1]characters!$1:$1,0)-MATCH($C$1,[1]characters!$1:$1,0)+1),MATCH(D$1,[1]characters!$1:$1,0)-MATCH($C$1,[1]characters!$1:$1,0)+1,FALSE)</f>
        <v>偽愛の大公爵 フォルネウス</v>
      </c>
      <c r="E19" s="57">
        <f ca="1">VLOOKUP($C19,OFFSET([1]characters!$A$1,0,0,COUNTA([1]characters!$A:$A),MATCH(E$1,[1]characters!$1:$1,0)-MATCH($C$1,[1]characters!$1:$1,0)+1),MATCH(E$1,[1]characters!$1:$1,0)-MATCH($C$1,[1]characters!$1:$1,0)+1,FALSE)</f>
        <v>5</v>
      </c>
      <c r="F19" s="57" t="str">
        <f ca="1">VLOOKUP($C19,OFFSET([1]characters!$A$1,0,0,COUNTA([1]characters!$A:$A),MATCH(F$1,[1]characters!$1:$1,0)-MATCH($C$1,[1]characters!$1:$1,0)+1),MATCH(F$1,[1]characters!$1:$1,0)-MATCH($C$1,[1]characters!$1:$1,0)+1,FALSE)</f>
        <v>PremiumN</v>
      </c>
      <c r="G19" s="21" t="str">
        <f>VLOOKUP(H19,[1]characters!$A:$T,20)</f>
        <v>super</v>
      </c>
      <c r="H19" s="44">
        <v>1057</v>
      </c>
      <c r="I19" s="21" t="str">
        <f>VLOOKUP(H19,[1]characters!$A:$C,3)</f>
        <v>疑愛の永遠公爵 フォルネウス</v>
      </c>
      <c r="J19" s="44">
        <v>842</v>
      </c>
      <c r="K19" s="21" t="str">
        <f>VLOOKUP(J19,[1]characters!$A:$C,3,FALSE)</f>
        <v>セイレーン</v>
      </c>
      <c r="L19" s="18">
        <v>1</v>
      </c>
      <c r="M19" s="111">
        <v>3</v>
      </c>
      <c r="N19" s="111">
        <v>1</v>
      </c>
      <c r="O19" s="11">
        <v>200000</v>
      </c>
    </row>
    <row r="20" spans="1:15" ht="21" customHeight="1" x14ac:dyDescent="0.15">
      <c r="A20" s="65" t="str">
        <f t="shared" si="9"/>
        <v>174_310</v>
      </c>
      <c r="B20" s="44">
        <v>174</v>
      </c>
      <c r="C20" s="195">
        <f t="shared" si="1"/>
        <v>174</v>
      </c>
      <c r="D20" s="57" t="str">
        <f ca="1">VLOOKUP($C20,OFFSET([1]characters!$A$1,0,0,COUNTA([1]characters!$A:$A),MATCH(D$1,[1]characters!$1:$1,0)-MATCH($C$1,[1]characters!$1:$1,0)+1),MATCH(D$1,[1]characters!$1:$1,0)-MATCH($C$1,[1]characters!$1:$1,0)+1,FALSE)</f>
        <v>偽愛の大公爵 フォルネウス</v>
      </c>
      <c r="E20" s="57">
        <f ca="1">VLOOKUP($C20,OFFSET([1]characters!$A$1,0,0,COUNTA([1]characters!$A:$A),MATCH(E$1,[1]characters!$1:$1,0)-MATCH($C$1,[1]characters!$1:$1,0)+1),MATCH(E$1,[1]characters!$1:$1,0)-MATCH($C$1,[1]characters!$1:$1,0)+1,FALSE)</f>
        <v>5</v>
      </c>
      <c r="F20" s="57" t="str">
        <f ca="1">VLOOKUP($C20,OFFSET([1]characters!$A$1,0,0,COUNTA([1]characters!$A:$A),MATCH(F$1,[1]characters!$1:$1,0)-MATCH($C$1,[1]characters!$1:$1,0)+1),MATCH(F$1,[1]characters!$1:$1,0)-MATCH($C$1,[1]characters!$1:$1,0)+1,FALSE)</f>
        <v>PremiumN</v>
      </c>
      <c r="G20" s="21" t="str">
        <f>VLOOKUP(H20,[1]characters!$A:$T,20)</f>
        <v>super</v>
      </c>
      <c r="H20" s="44">
        <v>1057</v>
      </c>
      <c r="I20" s="21" t="str">
        <f>VLOOKUP(H20,[1]characters!$A:$C,3)</f>
        <v>疑愛の永遠公爵 フォルネウス</v>
      </c>
      <c r="J20" s="44">
        <v>310</v>
      </c>
      <c r="K20" s="21" t="str">
        <f>VLOOKUP(J20,[1]characters!$A:$C,3,FALSE)</f>
        <v>リードシクティス</v>
      </c>
      <c r="L20" s="18">
        <v>1</v>
      </c>
      <c r="M20" s="111">
        <v>3</v>
      </c>
      <c r="N20" s="111">
        <v>1</v>
      </c>
      <c r="O20" s="11">
        <v>200000</v>
      </c>
    </row>
    <row r="21" spans="1:15" ht="21" customHeight="1" x14ac:dyDescent="0.15">
      <c r="A21" s="65" t="str">
        <f t="shared" si="9"/>
        <v>807_842</v>
      </c>
      <c r="B21" s="44">
        <v>807</v>
      </c>
      <c r="C21" s="195">
        <f t="shared" si="1"/>
        <v>807</v>
      </c>
      <c r="D21" s="57" t="str">
        <f ca="1">VLOOKUP($C21,OFFSET([1]characters!$A$1,0,0,COUNTA([1]characters!$A:$A),MATCH(D$1,[1]characters!$1:$1,0)-MATCH($C$1,[1]characters!$1:$1,0)+1),MATCH(D$1,[1]characters!$1:$1,0)-MATCH($C$1,[1]characters!$1:$1,0)+1,FALSE)</f>
        <v>襲愛の真公爵 フォルネウス</v>
      </c>
      <c r="E21" s="57">
        <f ca="1">VLOOKUP($C21,OFFSET([1]characters!$A$1,0,0,COUNTA([1]characters!$A:$A),MATCH(E$1,[1]characters!$1:$1,0)-MATCH($C$1,[1]characters!$1:$1,0)+1),MATCH(E$1,[1]characters!$1:$1,0)-MATCH($C$1,[1]characters!$1:$1,0)+1,FALSE)</f>
        <v>6</v>
      </c>
      <c r="F21" s="57" t="str">
        <f ca="1">VLOOKUP($C21,OFFSET([1]characters!$A$1,0,0,COUNTA([1]characters!$A:$A),MATCH(F$1,[1]characters!$1:$1,0)-MATCH($C$1,[1]characters!$1:$1,0)+1),MATCH(F$1,[1]characters!$1:$1,0)-MATCH($C$1,[1]characters!$1:$1,0)+1,FALSE)</f>
        <v>PremiumS</v>
      </c>
      <c r="G21" s="21" t="str">
        <f>VLOOKUP(H21,[1]characters!$A:$T,20)</f>
        <v>super</v>
      </c>
      <c r="H21" s="44">
        <v>1057</v>
      </c>
      <c r="I21" s="21" t="str">
        <f>VLOOKUP(H21,[1]characters!$A:$C,3)</f>
        <v>疑愛の永遠公爵 フォルネウス</v>
      </c>
      <c r="J21" s="44">
        <v>842</v>
      </c>
      <c r="K21" s="21" t="str">
        <f>VLOOKUP(J21,[1]characters!$A:$C,3,FALSE)</f>
        <v>セイレーン</v>
      </c>
      <c r="L21" s="18">
        <v>1</v>
      </c>
      <c r="M21" s="111">
        <v>2</v>
      </c>
      <c r="N21" s="111">
        <v>1</v>
      </c>
      <c r="O21" s="11">
        <v>200000</v>
      </c>
    </row>
    <row r="22" spans="1:15" ht="21" customHeight="1" x14ac:dyDescent="0.15">
      <c r="A22" s="65" t="str">
        <f t="shared" si="9"/>
        <v>807_310</v>
      </c>
      <c r="B22" s="44">
        <v>807</v>
      </c>
      <c r="C22" s="195">
        <f t="shared" si="1"/>
        <v>807</v>
      </c>
      <c r="D22" s="57" t="str">
        <f ca="1">VLOOKUP($C22,OFFSET([1]characters!$A$1,0,0,COUNTA([1]characters!$A:$A),MATCH(D$1,[1]characters!$1:$1,0)-MATCH($C$1,[1]characters!$1:$1,0)+1),MATCH(D$1,[1]characters!$1:$1,0)-MATCH($C$1,[1]characters!$1:$1,0)+1,FALSE)</f>
        <v>襲愛の真公爵 フォルネウス</v>
      </c>
      <c r="E22" s="57">
        <f ca="1">VLOOKUP($C22,OFFSET([1]characters!$A$1,0,0,COUNTA([1]characters!$A:$A),MATCH(E$1,[1]characters!$1:$1,0)-MATCH($C$1,[1]characters!$1:$1,0)+1),MATCH(E$1,[1]characters!$1:$1,0)-MATCH($C$1,[1]characters!$1:$1,0)+1,FALSE)</f>
        <v>6</v>
      </c>
      <c r="F22" s="57" t="str">
        <f ca="1">VLOOKUP($C22,OFFSET([1]characters!$A$1,0,0,COUNTA([1]characters!$A:$A),MATCH(F$1,[1]characters!$1:$1,0)-MATCH($C$1,[1]characters!$1:$1,0)+1),MATCH(F$1,[1]characters!$1:$1,0)-MATCH($C$1,[1]characters!$1:$1,0)+1,FALSE)</f>
        <v>PremiumS</v>
      </c>
      <c r="G22" s="21" t="str">
        <f>VLOOKUP(H22,[1]characters!$A:$T,20)</f>
        <v>super</v>
      </c>
      <c r="H22" s="44">
        <v>1057</v>
      </c>
      <c r="I22" s="21" t="str">
        <f>VLOOKUP(H22,[1]characters!$A:$C,3)</f>
        <v>疑愛の永遠公爵 フォルネウス</v>
      </c>
      <c r="J22" s="44">
        <v>310</v>
      </c>
      <c r="K22" s="21" t="str">
        <f>VLOOKUP(J22,[1]characters!$A:$C,3,FALSE)</f>
        <v>リードシクティス</v>
      </c>
      <c r="L22" s="18">
        <v>1</v>
      </c>
      <c r="M22" s="111">
        <v>2</v>
      </c>
      <c r="N22" s="111">
        <v>1</v>
      </c>
      <c r="O22" s="11">
        <v>200000</v>
      </c>
    </row>
    <row r="23" spans="1:15" ht="21" customHeight="1" x14ac:dyDescent="0.15">
      <c r="A23" s="65" t="str">
        <f t="shared" si="9"/>
        <v>1057_112</v>
      </c>
      <c r="B23" s="44">
        <v>1057</v>
      </c>
      <c r="C23" s="195">
        <f t="shared" si="1"/>
        <v>1057</v>
      </c>
      <c r="D23" s="57" t="str">
        <f ca="1">VLOOKUP($C23,OFFSET([1]characters!$A$1,0,0,COUNTA([1]characters!$A:$A),MATCH(D$1,[1]characters!$1:$1,0)-MATCH($C$1,[1]characters!$1:$1,0)+1),MATCH(D$1,[1]characters!$1:$1,0)-MATCH($C$1,[1]characters!$1:$1,0)+1,FALSE)</f>
        <v>疑愛の永遠公爵 フォルネウス</v>
      </c>
      <c r="E23" s="57">
        <f ca="1">VLOOKUP($C23,OFFSET([1]characters!$A$1,0,0,COUNTA([1]characters!$A:$A),MATCH(E$1,[1]characters!$1:$1,0)-MATCH($C$1,[1]characters!$1:$1,0)+1),MATCH(E$1,[1]characters!$1:$1,0)-MATCH($C$1,[1]characters!$1:$1,0)+1,FALSE)</f>
        <v>6</v>
      </c>
      <c r="F23" s="57" t="str">
        <f ca="1">VLOOKUP($C23,OFFSET([1]characters!$A$1,0,0,COUNTA([1]characters!$A:$A),MATCH(F$1,[1]characters!$1:$1,0)-MATCH($C$1,[1]characters!$1:$1,0)+1),MATCH(F$1,[1]characters!$1:$1,0)-MATCH($C$1,[1]characters!$1:$1,0)+1,FALSE)</f>
        <v>PremiumS</v>
      </c>
      <c r="G23" s="21" t="str">
        <f>VLOOKUP(H23,[1]characters!$A:$T,20)</f>
        <v>normal</v>
      </c>
      <c r="H23" s="44">
        <v>807</v>
      </c>
      <c r="I23" s="21" t="str">
        <f>VLOOKUP(H23,[1]characters!$A:$C,3)</f>
        <v>襲愛の真公爵 フォルネウス</v>
      </c>
      <c r="J23" s="44">
        <v>112</v>
      </c>
      <c r="K23" s="21" t="str">
        <f>VLOOKUP(J23,[1]characters!$A:$C,3,FALSE)</f>
        <v>水のマッドハッター</v>
      </c>
      <c r="L23" s="18">
        <v>1</v>
      </c>
      <c r="M23" s="111">
        <v>1</v>
      </c>
      <c r="N23" s="111">
        <v>1</v>
      </c>
      <c r="O23" s="11">
        <v>200000</v>
      </c>
    </row>
    <row r="24" spans="1:15" ht="21" customHeight="1" x14ac:dyDescent="0.15">
      <c r="A24" s="65" t="str">
        <f t="shared" si="9"/>
        <v>1057_111</v>
      </c>
      <c r="B24" s="44">
        <v>1057</v>
      </c>
      <c r="C24" s="195">
        <f t="shared" si="1"/>
        <v>1057</v>
      </c>
      <c r="D24" s="57" t="str">
        <f ca="1">VLOOKUP($C24,OFFSET([1]characters!$A$1,0,0,COUNTA([1]characters!$A:$A),MATCH(D$1,[1]characters!$1:$1,0)-MATCH($C$1,[1]characters!$1:$1,0)+1),MATCH(D$1,[1]characters!$1:$1,0)-MATCH($C$1,[1]characters!$1:$1,0)+1,FALSE)</f>
        <v>疑愛の永遠公爵 フォルネウス</v>
      </c>
      <c r="E24" s="57">
        <f ca="1">VLOOKUP($C24,OFFSET([1]characters!$A$1,0,0,COUNTA([1]characters!$A:$A),MATCH(E$1,[1]characters!$1:$1,0)-MATCH($C$1,[1]characters!$1:$1,0)+1),MATCH(E$1,[1]characters!$1:$1,0)-MATCH($C$1,[1]characters!$1:$1,0)+1,FALSE)</f>
        <v>6</v>
      </c>
      <c r="F24" s="57" t="str">
        <f ca="1">VLOOKUP($C24,OFFSET([1]characters!$A$1,0,0,COUNTA([1]characters!$A:$A),MATCH(F$1,[1]characters!$1:$1,0)-MATCH($C$1,[1]characters!$1:$1,0)+1),MATCH(F$1,[1]characters!$1:$1,0)-MATCH($C$1,[1]characters!$1:$1,0)+1,FALSE)</f>
        <v>PremiumS</v>
      </c>
      <c r="G24" s="21" t="str">
        <f>VLOOKUP(H24,[1]characters!$A:$T,20)</f>
        <v>normal</v>
      </c>
      <c r="H24" s="44">
        <v>807</v>
      </c>
      <c r="I24" s="21" t="str">
        <f>VLOOKUP(H24,[1]characters!$A:$C,3)</f>
        <v>襲愛の真公爵 フォルネウス</v>
      </c>
      <c r="J24" s="44">
        <v>111</v>
      </c>
      <c r="K24" s="21" t="str">
        <f>VLOOKUP(J24,[1]characters!$A:$C,3,FALSE)</f>
        <v>ブルーキャタップ</v>
      </c>
      <c r="L24" s="18">
        <v>1</v>
      </c>
      <c r="M24" s="111">
        <v>1</v>
      </c>
      <c r="N24" s="111">
        <v>1</v>
      </c>
      <c r="O24" s="11">
        <v>200000</v>
      </c>
    </row>
    <row r="25" spans="1:15" ht="21" customHeight="1" x14ac:dyDescent="0.15">
      <c r="A25" s="65" t="str">
        <f t="shared" ref="A25:A32" si="10">B25&amp;"_"&amp;J25</f>
        <v>1057_110</v>
      </c>
      <c r="B25" s="44">
        <v>1057</v>
      </c>
      <c r="C25" s="195">
        <f t="shared" si="1"/>
        <v>1057</v>
      </c>
      <c r="D25" s="57" t="str">
        <f ca="1">VLOOKUP($C25,OFFSET([1]characters!$A$1,0,0,COUNTA([1]characters!$A:$A),MATCH(D$1,[1]characters!$1:$1,0)-MATCH($C$1,[1]characters!$1:$1,0)+1),MATCH(D$1,[1]characters!$1:$1,0)-MATCH($C$1,[1]characters!$1:$1,0)+1,FALSE)</f>
        <v>疑愛の永遠公爵 フォルネウス</v>
      </c>
      <c r="E25" s="57">
        <f ca="1">VLOOKUP($C25,OFFSET([1]characters!$A$1,0,0,COUNTA([1]characters!$A:$A),MATCH(E$1,[1]characters!$1:$1,0)-MATCH($C$1,[1]characters!$1:$1,0)+1),MATCH(E$1,[1]characters!$1:$1,0)-MATCH($C$1,[1]characters!$1:$1,0)+1,FALSE)</f>
        <v>6</v>
      </c>
      <c r="F25" s="57" t="str">
        <f ca="1">VLOOKUP($C25,OFFSET([1]characters!$A$1,0,0,COUNTA([1]characters!$A:$A),MATCH(F$1,[1]characters!$1:$1,0)-MATCH($C$1,[1]characters!$1:$1,0)+1),MATCH(F$1,[1]characters!$1:$1,0)-MATCH($C$1,[1]characters!$1:$1,0)+1,FALSE)</f>
        <v>PremiumS</v>
      </c>
      <c r="G25" s="21" t="str">
        <f>VLOOKUP(H25,[1]characters!$A:$T,20)</f>
        <v>normal</v>
      </c>
      <c r="H25" s="44">
        <v>807</v>
      </c>
      <c r="I25" s="21" t="str">
        <f>VLOOKUP(H25,[1]characters!$A:$C,3)</f>
        <v>襲愛の真公爵 フォルネウス</v>
      </c>
      <c r="J25" s="44">
        <v>110</v>
      </c>
      <c r="K25" s="21" t="str">
        <f>VLOOKUP(J25,[1]characters!$A:$C,3,FALSE)</f>
        <v>ブルーラビット</v>
      </c>
      <c r="L25" s="18">
        <v>1</v>
      </c>
      <c r="M25" s="111">
        <v>1</v>
      </c>
      <c r="N25" s="111">
        <v>1</v>
      </c>
      <c r="O25" s="11">
        <v>200000</v>
      </c>
    </row>
    <row r="26" spans="1:15" ht="21" customHeight="1" x14ac:dyDescent="0.15">
      <c r="A26" s="65" t="str">
        <f t="shared" si="10"/>
        <v>237_426</v>
      </c>
      <c r="B26" s="44">
        <v>237</v>
      </c>
      <c r="C26" s="195">
        <f t="shared" si="1"/>
        <v>237</v>
      </c>
      <c r="D26" s="57" t="str">
        <f ca="1">VLOOKUP($C26,OFFSET([1]characters!$A$1,0,0,COUNTA([1]characters!$A:$A),MATCH(D$1,[1]characters!$1:$1,0)-MATCH($C$1,[1]characters!$1:$1,0)+1),MATCH(D$1,[1]characters!$1:$1,0)-MATCH($C$1,[1]characters!$1:$1,0)+1,FALSE)</f>
        <v>森羅万象の神母 イザナミ</v>
      </c>
      <c r="E26" s="57">
        <f ca="1">VLOOKUP($C26,OFFSET([1]characters!$A$1,0,0,COUNTA([1]characters!$A:$A),MATCH(E$1,[1]characters!$1:$1,0)-MATCH($C$1,[1]characters!$1:$1,0)+1),MATCH(E$1,[1]characters!$1:$1,0)-MATCH($C$1,[1]characters!$1:$1,0)+1,FALSE)</f>
        <v>5</v>
      </c>
      <c r="F26" s="57" t="str">
        <f ca="1">VLOOKUP($C26,OFFSET([1]characters!$A$1,0,0,COUNTA([1]characters!$A:$A),MATCH(F$1,[1]characters!$1:$1,0)-MATCH($C$1,[1]characters!$1:$1,0)+1),MATCH(F$1,[1]characters!$1:$1,0)-MATCH($C$1,[1]characters!$1:$1,0)+1,FALSE)</f>
        <v>PremiumS</v>
      </c>
      <c r="G26" s="21" t="str">
        <f>VLOOKUP(H26,[1]characters!$A:$T,20)</f>
        <v>super</v>
      </c>
      <c r="H26" s="44">
        <v>1058</v>
      </c>
      <c r="I26" s="21" t="str">
        <f>VLOOKUP(H26,[1]characters!$A:$C,3)</f>
        <v>黄泉守誘の命神母 イザナミ</v>
      </c>
      <c r="J26" s="44">
        <v>426</v>
      </c>
      <c r="K26" s="21" t="str">
        <f>VLOOKUP(J26,[1]characters!$A:$C,3,FALSE)</f>
        <v>宮本武蔵</v>
      </c>
      <c r="L26" s="18">
        <v>1</v>
      </c>
      <c r="M26" s="111">
        <v>1</v>
      </c>
      <c r="N26" s="111">
        <v>100</v>
      </c>
      <c r="O26" s="11">
        <v>200000</v>
      </c>
    </row>
    <row r="27" spans="1:15" ht="21" customHeight="1" x14ac:dyDescent="0.15">
      <c r="A27" s="65" t="str">
        <f t="shared" si="10"/>
        <v>237_583</v>
      </c>
      <c r="B27" s="44">
        <v>237</v>
      </c>
      <c r="C27" s="195">
        <f t="shared" si="1"/>
        <v>237</v>
      </c>
      <c r="D27" s="57" t="str">
        <f ca="1">VLOOKUP($C27,OFFSET([1]characters!$A$1,0,0,COUNTA([1]characters!$A:$A),MATCH(D$1,[1]characters!$1:$1,0)-MATCH($C$1,[1]characters!$1:$1,0)+1),MATCH(D$1,[1]characters!$1:$1,0)-MATCH($C$1,[1]characters!$1:$1,0)+1,FALSE)</f>
        <v>森羅万象の神母 イザナミ</v>
      </c>
      <c r="E27" s="57">
        <f ca="1">VLOOKUP($C27,OFFSET([1]characters!$A$1,0,0,COUNTA([1]characters!$A:$A),MATCH(E$1,[1]characters!$1:$1,0)-MATCH($C$1,[1]characters!$1:$1,0)+1),MATCH(E$1,[1]characters!$1:$1,0)-MATCH($C$1,[1]characters!$1:$1,0)+1,FALSE)</f>
        <v>5</v>
      </c>
      <c r="F27" s="57" t="str">
        <f ca="1">VLOOKUP($C27,OFFSET([1]characters!$A$1,0,0,COUNTA([1]characters!$A:$A),MATCH(F$1,[1]characters!$1:$1,0)-MATCH($C$1,[1]characters!$1:$1,0)+1),MATCH(F$1,[1]characters!$1:$1,0)-MATCH($C$1,[1]characters!$1:$1,0)+1,FALSE)</f>
        <v>PremiumS</v>
      </c>
      <c r="G27" s="21" t="str">
        <f>VLOOKUP(H27,[1]characters!$A:$T,20)</f>
        <v>super</v>
      </c>
      <c r="H27" s="44">
        <v>1058</v>
      </c>
      <c r="I27" s="21" t="str">
        <f>VLOOKUP(H27,[1]characters!$A:$C,3)</f>
        <v>黄泉守誘の命神母 イザナミ</v>
      </c>
      <c r="J27" s="44">
        <v>583</v>
      </c>
      <c r="K27" s="21" t="str">
        <f>VLOOKUP(J27,[1]characters!$A:$C,3,FALSE)</f>
        <v>ミョルニル</v>
      </c>
      <c r="L27" s="18">
        <v>1</v>
      </c>
      <c r="M27" s="111">
        <v>3</v>
      </c>
      <c r="N27" s="111">
        <v>1</v>
      </c>
      <c r="O27" s="11">
        <v>200000</v>
      </c>
    </row>
    <row r="28" spans="1:15" ht="21" customHeight="1" x14ac:dyDescent="0.15">
      <c r="A28" s="65" t="str">
        <f t="shared" si="10"/>
        <v>237_650</v>
      </c>
      <c r="B28" s="44">
        <v>237</v>
      </c>
      <c r="C28" s="195">
        <f t="shared" si="1"/>
        <v>237</v>
      </c>
      <c r="D28" s="57" t="str">
        <f ca="1">VLOOKUP($C28,OFFSET([1]characters!$A$1,0,0,COUNTA([1]characters!$A:$A),MATCH(D$1,[1]characters!$1:$1,0)-MATCH($C$1,[1]characters!$1:$1,0)+1),MATCH(D$1,[1]characters!$1:$1,0)-MATCH($C$1,[1]characters!$1:$1,0)+1,FALSE)</f>
        <v>森羅万象の神母 イザナミ</v>
      </c>
      <c r="E28" s="57">
        <f ca="1">VLOOKUP($C28,OFFSET([1]characters!$A$1,0,0,COUNTA([1]characters!$A:$A),MATCH(E$1,[1]characters!$1:$1,0)-MATCH($C$1,[1]characters!$1:$1,0)+1),MATCH(E$1,[1]characters!$1:$1,0)-MATCH($C$1,[1]characters!$1:$1,0)+1,FALSE)</f>
        <v>5</v>
      </c>
      <c r="F28" s="57" t="str">
        <f ca="1">VLOOKUP($C28,OFFSET([1]characters!$A$1,0,0,COUNTA([1]characters!$A:$A),MATCH(F$1,[1]characters!$1:$1,0)-MATCH($C$1,[1]characters!$1:$1,0)+1),MATCH(F$1,[1]characters!$1:$1,0)-MATCH($C$1,[1]characters!$1:$1,0)+1,FALSE)</f>
        <v>PremiumS</v>
      </c>
      <c r="G28" s="21" t="str">
        <f>VLOOKUP(H28,[1]characters!$A:$T,20)</f>
        <v>super</v>
      </c>
      <c r="H28" s="44">
        <v>1058</v>
      </c>
      <c r="I28" s="21" t="str">
        <f>VLOOKUP(H28,[1]characters!$A:$C,3)</f>
        <v>黄泉守誘の命神母 イザナミ</v>
      </c>
      <c r="J28" s="44">
        <v>650</v>
      </c>
      <c r="K28" s="21" t="str">
        <f>VLOOKUP(J28,[1]characters!$A:$C,3,FALSE)</f>
        <v>土蜘蛛 ユウヤ</v>
      </c>
      <c r="L28" s="18">
        <v>1</v>
      </c>
      <c r="M28" s="111">
        <v>3</v>
      </c>
      <c r="N28" s="111">
        <v>1</v>
      </c>
      <c r="O28" s="11">
        <v>200000</v>
      </c>
    </row>
    <row r="29" spans="1:15" ht="21" customHeight="1" x14ac:dyDescent="0.15">
      <c r="A29" s="65" t="str">
        <f t="shared" si="10"/>
        <v>808_583</v>
      </c>
      <c r="B29" s="44">
        <v>808</v>
      </c>
      <c r="C29" s="195">
        <f t="shared" si="1"/>
        <v>808</v>
      </c>
      <c r="D29" s="57" t="str">
        <f ca="1">VLOOKUP($C29,OFFSET([1]characters!$A$1,0,0,COUNTA([1]characters!$A:$A),MATCH(D$1,[1]characters!$1:$1,0)-MATCH($C$1,[1]characters!$1:$1,0)+1),MATCH(D$1,[1]characters!$1:$1,0)-MATCH($C$1,[1]characters!$1:$1,0)+1,FALSE)</f>
        <v>天地万物の烈神母 イザナミ</v>
      </c>
      <c r="E29" s="57">
        <f ca="1">VLOOKUP($C29,OFFSET([1]characters!$A$1,0,0,COUNTA([1]characters!$A:$A),MATCH(E$1,[1]characters!$1:$1,0)-MATCH($C$1,[1]characters!$1:$1,0)+1),MATCH(E$1,[1]characters!$1:$1,0)-MATCH($C$1,[1]characters!$1:$1,0)+1,FALSE)</f>
        <v>6</v>
      </c>
      <c r="F29" s="57" t="str">
        <f ca="1">VLOOKUP($C29,OFFSET([1]characters!$A$1,0,0,COUNTA([1]characters!$A:$A),MATCH(F$1,[1]characters!$1:$1,0)-MATCH($C$1,[1]characters!$1:$1,0)+1),MATCH(F$1,[1]characters!$1:$1,0)-MATCH($C$1,[1]characters!$1:$1,0)+1,FALSE)</f>
        <v>PremiumS</v>
      </c>
      <c r="G29" s="21" t="str">
        <f>VLOOKUP(H29,[1]characters!$A:$T,20)</f>
        <v>super</v>
      </c>
      <c r="H29" s="44">
        <v>1058</v>
      </c>
      <c r="I29" s="21" t="str">
        <f>VLOOKUP(H29,[1]characters!$A:$C,3)</f>
        <v>黄泉守誘の命神母 イザナミ</v>
      </c>
      <c r="J29" s="44">
        <v>583</v>
      </c>
      <c r="K29" s="21" t="str">
        <f>VLOOKUP(J29,[1]characters!$A:$C,3,FALSE)</f>
        <v>ミョルニル</v>
      </c>
      <c r="L29" s="18">
        <v>1</v>
      </c>
      <c r="M29" s="111">
        <v>2</v>
      </c>
      <c r="N29" s="111">
        <v>1</v>
      </c>
      <c r="O29" s="11">
        <v>200000</v>
      </c>
    </row>
    <row r="30" spans="1:15" ht="21" customHeight="1" x14ac:dyDescent="0.15">
      <c r="A30" s="65" t="str">
        <f t="shared" si="10"/>
        <v>808_650</v>
      </c>
      <c r="B30" s="44">
        <v>808</v>
      </c>
      <c r="C30" s="195">
        <f t="shared" si="1"/>
        <v>808</v>
      </c>
      <c r="D30" s="57" t="str">
        <f ca="1">VLOOKUP($C30,OFFSET([1]characters!$A$1,0,0,COUNTA([1]characters!$A:$A),MATCH(D$1,[1]characters!$1:$1,0)-MATCH($C$1,[1]characters!$1:$1,0)+1),MATCH(D$1,[1]characters!$1:$1,0)-MATCH($C$1,[1]characters!$1:$1,0)+1,FALSE)</f>
        <v>天地万物の烈神母 イザナミ</v>
      </c>
      <c r="E30" s="57">
        <f ca="1">VLOOKUP($C30,OFFSET([1]characters!$A$1,0,0,COUNTA([1]characters!$A:$A),MATCH(E$1,[1]characters!$1:$1,0)-MATCH($C$1,[1]characters!$1:$1,0)+1),MATCH(E$1,[1]characters!$1:$1,0)-MATCH($C$1,[1]characters!$1:$1,0)+1,FALSE)</f>
        <v>6</v>
      </c>
      <c r="F30" s="57" t="str">
        <f ca="1">VLOOKUP($C30,OFFSET([1]characters!$A$1,0,0,COUNTA([1]characters!$A:$A),MATCH(F$1,[1]characters!$1:$1,0)-MATCH($C$1,[1]characters!$1:$1,0)+1),MATCH(F$1,[1]characters!$1:$1,0)-MATCH($C$1,[1]characters!$1:$1,0)+1,FALSE)</f>
        <v>PremiumS</v>
      </c>
      <c r="G30" s="21" t="str">
        <f>VLOOKUP(H30,[1]characters!$A:$T,20)</f>
        <v>super</v>
      </c>
      <c r="H30" s="44">
        <v>1058</v>
      </c>
      <c r="I30" s="21" t="str">
        <f>VLOOKUP(H30,[1]characters!$A:$C,3)</f>
        <v>黄泉守誘の命神母 イザナミ</v>
      </c>
      <c r="J30" s="44">
        <v>650</v>
      </c>
      <c r="K30" s="21" t="str">
        <f>VLOOKUP(J30,[1]characters!$A:$C,3,FALSE)</f>
        <v>土蜘蛛 ユウヤ</v>
      </c>
      <c r="L30" s="18">
        <v>1</v>
      </c>
      <c r="M30" s="111">
        <v>2</v>
      </c>
      <c r="N30" s="111">
        <v>1</v>
      </c>
      <c r="O30" s="11">
        <v>200000</v>
      </c>
    </row>
    <row r="31" spans="1:15" ht="21" customHeight="1" x14ac:dyDescent="0.15">
      <c r="A31" s="65" t="str">
        <f t="shared" si="10"/>
        <v>1058_116</v>
      </c>
      <c r="B31" s="44">
        <v>1058</v>
      </c>
      <c r="C31" s="195">
        <f t="shared" si="1"/>
        <v>1058</v>
      </c>
      <c r="D31" s="57" t="str">
        <f ca="1">VLOOKUP($C31,OFFSET([1]characters!$A$1,0,0,COUNTA([1]characters!$A:$A),MATCH(D$1,[1]characters!$1:$1,0)-MATCH($C$1,[1]characters!$1:$1,0)+1),MATCH(D$1,[1]characters!$1:$1,0)-MATCH($C$1,[1]characters!$1:$1,0)+1,FALSE)</f>
        <v>黄泉守誘の命神母 イザナミ</v>
      </c>
      <c r="E31" s="57">
        <f ca="1">VLOOKUP($C31,OFFSET([1]characters!$A$1,0,0,COUNTA([1]characters!$A:$A),MATCH(E$1,[1]characters!$1:$1,0)-MATCH($C$1,[1]characters!$1:$1,0)+1),MATCH(E$1,[1]characters!$1:$1,0)-MATCH($C$1,[1]characters!$1:$1,0)+1,FALSE)</f>
        <v>6</v>
      </c>
      <c r="F31" s="57" t="str">
        <f ca="1">VLOOKUP($C31,OFFSET([1]characters!$A$1,0,0,COUNTA([1]characters!$A:$A),MATCH(F$1,[1]characters!$1:$1,0)-MATCH($C$1,[1]characters!$1:$1,0)+1),MATCH(F$1,[1]characters!$1:$1,0)-MATCH($C$1,[1]characters!$1:$1,0)+1,FALSE)</f>
        <v>PremiumS</v>
      </c>
      <c r="G31" s="21" t="str">
        <f>VLOOKUP(H31,[1]characters!$A:$T,20)</f>
        <v>normal</v>
      </c>
      <c r="H31" s="44">
        <v>808</v>
      </c>
      <c r="I31" s="21" t="str">
        <f>VLOOKUP(H31,[1]characters!$A:$C,3)</f>
        <v>天地万物の烈神母 イザナミ</v>
      </c>
      <c r="J31" s="44">
        <v>116</v>
      </c>
      <c r="K31" s="21" t="str">
        <f>VLOOKUP(J31,[1]characters!$A:$C,3,FALSE)</f>
        <v>雷のマッドハッター</v>
      </c>
      <c r="L31" s="18">
        <v>1</v>
      </c>
      <c r="M31" s="111">
        <v>1</v>
      </c>
      <c r="N31" s="111">
        <v>1</v>
      </c>
      <c r="O31" s="11">
        <v>200000</v>
      </c>
    </row>
    <row r="32" spans="1:15" ht="21" customHeight="1" x14ac:dyDescent="0.15">
      <c r="A32" s="65" t="str">
        <f t="shared" si="10"/>
        <v>1058_115</v>
      </c>
      <c r="B32" s="44">
        <v>1058</v>
      </c>
      <c r="C32" s="195">
        <f t="shared" si="1"/>
        <v>1058</v>
      </c>
      <c r="D32" s="57" t="str">
        <f ca="1">VLOOKUP($C32,OFFSET([1]characters!$A$1,0,0,COUNTA([1]characters!$A:$A),MATCH(D$1,[1]characters!$1:$1,0)-MATCH($C$1,[1]characters!$1:$1,0)+1),MATCH(D$1,[1]characters!$1:$1,0)-MATCH($C$1,[1]characters!$1:$1,0)+1,FALSE)</f>
        <v>黄泉守誘の命神母 イザナミ</v>
      </c>
      <c r="E32" s="57">
        <f ca="1">VLOOKUP($C32,OFFSET([1]characters!$A$1,0,0,COUNTA([1]characters!$A:$A),MATCH(E$1,[1]characters!$1:$1,0)-MATCH($C$1,[1]characters!$1:$1,0)+1),MATCH(E$1,[1]characters!$1:$1,0)-MATCH($C$1,[1]characters!$1:$1,0)+1,FALSE)</f>
        <v>6</v>
      </c>
      <c r="F32" s="57" t="str">
        <f ca="1">VLOOKUP($C32,OFFSET([1]characters!$A$1,0,0,COUNTA([1]characters!$A:$A),MATCH(F$1,[1]characters!$1:$1,0)-MATCH($C$1,[1]characters!$1:$1,0)+1),MATCH(F$1,[1]characters!$1:$1,0)-MATCH($C$1,[1]characters!$1:$1,0)+1,FALSE)</f>
        <v>PremiumS</v>
      </c>
      <c r="G32" s="21" t="str">
        <f>VLOOKUP(H32,[1]characters!$A:$T,20)</f>
        <v>normal</v>
      </c>
      <c r="H32" s="44">
        <v>808</v>
      </c>
      <c r="I32" s="21" t="str">
        <f>VLOOKUP(H32,[1]characters!$A:$C,3)</f>
        <v>天地万物の烈神母 イザナミ</v>
      </c>
      <c r="J32" s="44">
        <v>115</v>
      </c>
      <c r="K32" s="21" t="str">
        <f>VLOOKUP(J32,[1]characters!$A:$C,3,FALSE)</f>
        <v>イエローキャタップ</v>
      </c>
      <c r="L32" s="18">
        <v>1</v>
      </c>
      <c r="M32" s="111">
        <v>1</v>
      </c>
      <c r="N32" s="111">
        <v>1</v>
      </c>
      <c r="O32" s="11">
        <v>200000</v>
      </c>
    </row>
    <row r="33" spans="1:15" ht="21" customHeight="1" x14ac:dyDescent="0.15">
      <c r="A33" s="65" t="str">
        <f t="shared" ref="A33:A40" si="11">B33&amp;"_"&amp;J33</f>
        <v>1058_114</v>
      </c>
      <c r="B33" s="44">
        <v>1058</v>
      </c>
      <c r="C33" s="195">
        <f t="shared" si="1"/>
        <v>1058</v>
      </c>
      <c r="D33" s="57" t="str">
        <f ca="1">VLOOKUP($C33,OFFSET([1]characters!$A$1,0,0,COUNTA([1]characters!$A:$A),MATCH(D$1,[1]characters!$1:$1,0)-MATCH($C$1,[1]characters!$1:$1,0)+1),MATCH(D$1,[1]characters!$1:$1,0)-MATCH($C$1,[1]characters!$1:$1,0)+1,FALSE)</f>
        <v>黄泉守誘の命神母 イザナミ</v>
      </c>
      <c r="E33" s="57">
        <f ca="1">VLOOKUP($C33,OFFSET([1]characters!$A$1,0,0,COUNTA([1]characters!$A:$A),MATCH(E$1,[1]characters!$1:$1,0)-MATCH($C$1,[1]characters!$1:$1,0)+1),MATCH(E$1,[1]characters!$1:$1,0)-MATCH($C$1,[1]characters!$1:$1,0)+1,FALSE)</f>
        <v>6</v>
      </c>
      <c r="F33" s="57" t="str">
        <f ca="1">VLOOKUP($C33,OFFSET([1]characters!$A$1,0,0,COUNTA([1]characters!$A:$A),MATCH(F$1,[1]characters!$1:$1,0)-MATCH($C$1,[1]characters!$1:$1,0)+1),MATCH(F$1,[1]characters!$1:$1,0)-MATCH($C$1,[1]characters!$1:$1,0)+1,FALSE)</f>
        <v>PremiumS</v>
      </c>
      <c r="G33" s="21" t="str">
        <f>VLOOKUP(H33,[1]characters!$A:$T,20)</f>
        <v>normal</v>
      </c>
      <c r="H33" s="44">
        <v>808</v>
      </c>
      <c r="I33" s="21" t="str">
        <f>VLOOKUP(H33,[1]characters!$A:$C,3)</f>
        <v>天地万物の烈神母 イザナミ</v>
      </c>
      <c r="J33" s="44">
        <v>114</v>
      </c>
      <c r="K33" s="21" t="str">
        <f>VLOOKUP(J33,[1]characters!$A:$C,3,FALSE)</f>
        <v>イエローラビット</v>
      </c>
      <c r="L33" s="18">
        <v>1</v>
      </c>
      <c r="M33" s="111">
        <v>1</v>
      </c>
      <c r="N33" s="111">
        <v>1</v>
      </c>
      <c r="O33" s="11">
        <v>200000</v>
      </c>
    </row>
    <row r="34" spans="1:15" ht="21" customHeight="1" x14ac:dyDescent="0.15">
      <c r="A34" s="65" t="str">
        <f t="shared" si="11"/>
        <v>379_296</v>
      </c>
      <c r="B34" s="44">
        <v>379</v>
      </c>
      <c r="C34" s="195">
        <f t="shared" ref="C34:C41" si="12">B34</f>
        <v>379</v>
      </c>
      <c r="D34" s="57" t="str">
        <f ca="1">VLOOKUP($C34,OFFSET([1]characters!$A$1,0,0,COUNTA([1]characters!$A:$A),MATCH(D$1,[1]characters!$1:$1,0)-MATCH($C$1,[1]characters!$1:$1,0)+1),MATCH(D$1,[1]characters!$1:$1,0)-MATCH($C$1,[1]characters!$1:$1,0)+1,FALSE)</f>
        <v>幾何の機刃 オイラー</v>
      </c>
      <c r="E34" s="57">
        <f ca="1">VLOOKUP($C34,OFFSET([1]characters!$A$1,0,0,COUNTA([1]characters!$A:$A),MATCH(E$1,[1]characters!$1:$1,0)-MATCH($C$1,[1]characters!$1:$1,0)+1),MATCH(E$1,[1]characters!$1:$1,0)-MATCH($C$1,[1]characters!$1:$1,0)+1,FALSE)</f>
        <v>5</v>
      </c>
      <c r="F34" s="57" t="str">
        <f ca="1">VLOOKUP($C34,OFFSET([1]characters!$A$1,0,0,COUNTA([1]characters!$A:$A),MATCH(F$1,[1]characters!$1:$1,0)-MATCH($C$1,[1]characters!$1:$1,0)+1),MATCH(F$1,[1]characters!$1:$1,0)-MATCH($C$1,[1]characters!$1:$1,0)+1,FALSE)</f>
        <v>PremiumSSS</v>
      </c>
      <c r="G34" s="21" t="str">
        <f>VLOOKUP(H34,[1]characters!$A:$T,20)</f>
        <v>super</v>
      </c>
      <c r="H34" s="44">
        <f>VLOOKUP(B34,fork_awake_units!A:Q,17,FALSE )</f>
        <v>1121</v>
      </c>
      <c r="I34" s="21" t="str">
        <f>VLOOKUP(H34,[1]characters!$A:$C,3)</f>
        <v>逆燦の機閃刃 オイラー</v>
      </c>
      <c r="J34" s="44">
        <v>296</v>
      </c>
      <c r="K34" s="21" t="str">
        <f>VLOOKUP(J34,[1]characters!$A:$C,3,FALSE)</f>
        <v>アザゼル</v>
      </c>
      <c r="L34" s="18">
        <v>1</v>
      </c>
      <c r="M34" s="111">
        <v>1</v>
      </c>
      <c r="N34" s="111">
        <v>100</v>
      </c>
      <c r="O34" s="11">
        <v>200000</v>
      </c>
    </row>
    <row r="35" spans="1:15" ht="21" customHeight="1" x14ac:dyDescent="0.15">
      <c r="A35" s="65" t="str">
        <f t="shared" si="11"/>
        <v>379_844</v>
      </c>
      <c r="B35" s="44">
        <v>379</v>
      </c>
      <c r="C35" s="195">
        <f t="shared" si="12"/>
        <v>379</v>
      </c>
      <c r="D35" s="57" t="str">
        <f ca="1">VLOOKUP($C35,OFFSET([1]characters!$A$1,0,0,COUNTA([1]characters!$A:$A),MATCH(D$1,[1]characters!$1:$1,0)-MATCH($C$1,[1]characters!$1:$1,0)+1),MATCH(D$1,[1]characters!$1:$1,0)-MATCH($C$1,[1]characters!$1:$1,0)+1,FALSE)</f>
        <v>幾何の機刃 オイラー</v>
      </c>
      <c r="E35" s="57">
        <f ca="1">VLOOKUP($C35,OFFSET([1]characters!$A$1,0,0,COUNTA([1]characters!$A:$A),MATCH(E$1,[1]characters!$1:$1,0)-MATCH($C$1,[1]characters!$1:$1,0)+1),MATCH(E$1,[1]characters!$1:$1,0)-MATCH($C$1,[1]characters!$1:$1,0)+1,FALSE)</f>
        <v>5</v>
      </c>
      <c r="F35" s="57" t="str">
        <f ca="1">VLOOKUP($C35,OFFSET([1]characters!$A$1,0,0,COUNTA([1]characters!$A:$A),MATCH(F$1,[1]characters!$1:$1,0)-MATCH($C$1,[1]characters!$1:$1,0)+1),MATCH(F$1,[1]characters!$1:$1,0)-MATCH($C$1,[1]characters!$1:$1,0)+1,FALSE)</f>
        <v>PremiumSSS</v>
      </c>
      <c r="G35" s="21" t="str">
        <f>VLOOKUP(H35,[1]characters!$A:$T,20)</f>
        <v>super</v>
      </c>
      <c r="H35" s="44">
        <f>VLOOKUP(B35,fork_awake_units!A:Q,17,FALSE )</f>
        <v>1121</v>
      </c>
      <c r="I35" s="21" t="str">
        <f>VLOOKUP(H35,[1]characters!$A:$C,3)</f>
        <v>逆燦の機閃刃 オイラー</v>
      </c>
      <c r="J35" s="44">
        <v>844</v>
      </c>
      <c r="K35" s="21" t="str">
        <f>VLOOKUP(J35,[1]characters!$A:$C,3,FALSE)</f>
        <v>ベルゼブブ</v>
      </c>
      <c r="L35" s="18">
        <v>1</v>
      </c>
      <c r="M35" s="111">
        <v>3</v>
      </c>
      <c r="N35" s="111">
        <v>1</v>
      </c>
      <c r="O35" s="11">
        <v>200000</v>
      </c>
    </row>
    <row r="36" spans="1:15" ht="21" customHeight="1" x14ac:dyDescent="0.15">
      <c r="A36" s="65" t="str">
        <f t="shared" si="11"/>
        <v>379_420</v>
      </c>
      <c r="B36" s="44">
        <v>379</v>
      </c>
      <c r="C36" s="195">
        <f t="shared" si="12"/>
        <v>379</v>
      </c>
      <c r="D36" s="57" t="str">
        <f ca="1">VLOOKUP($C36,OFFSET([1]characters!$A$1,0,0,COUNTA([1]characters!$A:$A),MATCH(D$1,[1]characters!$1:$1,0)-MATCH($C$1,[1]characters!$1:$1,0)+1),MATCH(D$1,[1]characters!$1:$1,0)-MATCH($C$1,[1]characters!$1:$1,0)+1,FALSE)</f>
        <v>幾何の機刃 オイラー</v>
      </c>
      <c r="E36" s="57">
        <f ca="1">VLOOKUP($C36,OFFSET([1]characters!$A$1,0,0,COUNTA([1]characters!$A:$A),MATCH(E$1,[1]characters!$1:$1,0)-MATCH($C$1,[1]characters!$1:$1,0)+1),MATCH(E$1,[1]characters!$1:$1,0)-MATCH($C$1,[1]characters!$1:$1,0)+1,FALSE)</f>
        <v>5</v>
      </c>
      <c r="F36" s="57" t="str">
        <f ca="1">VLOOKUP($C36,OFFSET([1]characters!$A$1,0,0,COUNTA([1]characters!$A:$A),MATCH(F$1,[1]characters!$1:$1,0)-MATCH($C$1,[1]characters!$1:$1,0)+1),MATCH(F$1,[1]characters!$1:$1,0)-MATCH($C$1,[1]characters!$1:$1,0)+1,FALSE)</f>
        <v>PremiumSSS</v>
      </c>
      <c r="G36" s="21" t="str">
        <f>VLOOKUP(H36,[1]characters!$A:$T,20)</f>
        <v>super</v>
      </c>
      <c r="H36" s="44">
        <f>VLOOKUP(B36,fork_awake_units!A:Q,17,FALSE )</f>
        <v>1121</v>
      </c>
      <c r="I36" s="21" t="str">
        <f>VLOOKUP(H36,[1]characters!$A:$C,3)</f>
        <v>逆燦の機閃刃 オイラー</v>
      </c>
      <c r="J36" s="44">
        <v>420</v>
      </c>
      <c r="K36" s="21" t="str">
        <f>VLOOKUP(J36,[1]characters!$A:$C,3,FALSE)</f>
        <v>カエデ</v>
      </c>
      <c r="L36" s="18">
        <v>1</v>
      </c>
      <c r="M36" s="111">
        <v>3</v>
      </c>
      <c r="N36" s="111">
        <v>1</v>
      </c>
      <c r="O36" s="11">
        <v>200000</v>
      </c>
    </row>
    <row r="37" spans="1:15" ht="21" customHeight="1" x14ac:dyDescent="0.15">
      <c r="A37" s="65" t="str">
        <f t="shared" si="11"/>
        <v>798_844</v>
      </c>
      <c r="B37" s="44">
        <v>798</v>
      </c>
      <c r="C37" s="195">
        <f t="shared" si="12"/>
        <v>798</v>
      </c>
      <c r="D37" s="57" t="str">
        <f ca="1">VLOOKUP($C37,OFFSET([1]characters!$A$1,0,0,COUNTA([1]characters!$A:$A),MATCH(D$1,[1]characters!$1:$1,0)-MATCH($C$1,[1]characters!$1:$1,0)+1),MATCH(D$1,[1]characters!$1:$1,0)-MATCH($C$1,[1]characters!$1:$1,0)+1,FALSE)</f>
        <v>煌式の大機刃 オイラー</v>
      </c>
      <c r="E37" s="57">
        <f ca="1">VLOOKUP($C37,OFFSET([1]characters!$A$1,0,0,COUNTA([1]characters!$A:$A),MATCH(E$1,[1]characters!$1:$1,0)-MATCH($C$1,[1]characters!$1:$1,0)+1),MATCH(E$1,[1]characters!$1:$1,0)-MATCH($C$1,[1]characters!$1:$1,0)+1,FALSE)</f>
        <v>6</v>
      </c>
      <c r="F37" s="57" t="str">
        <f ca="1">VLOOKUP($C37,OFFSET([1]characters!$A$1,0,0,COUNTA([1]characters!$A:$A),MATCH(F$1,[1]characters!$1:$1,0)-MATCH($C$1,[1]characters!$1:$1,0)+1),MATCH(F$1,[1]characters!$1:$1,0)-MATCH($C$1,[1]characters!$1:$1,0)+1,FALSE)</f>
        <v>PremiumSSS</v>
      </c>
      <c r="G37" s="21" t="str">
        <f>VLOOKUP(H37,[1]characters!$A:$T,20)</f>
        <v>super</v>
      </c>
      <c r="H37" s="44">
        <f>VLOOKUP(B37,fork_awake_units!A:Q,17,FALSE )</f>
        <v>1121</v>
      </c>
      <c r="I37" s="21" t="str">
        <f>VLOOKUP(H37,[1]characters!$A:$C,3)</f>
        <v>逆燦の機閃刃 オイラー</v>
      </c>
      <c r="J37" s="44">
        <v>844</v>
      </c>
      <c r="K37" s="21" t="str">
        <f>VLOOKUP(J37,[1]characters!$A:$C,3,FALSE)</f>
        <v>ベルゼブブ</v>
      </c>
      <c r="L37" s="18">
        <v>1</v>
      </c>
      <c r="M37" s="111">
        <v>2</v>
      </c>
      <c r="N37" s="111">
        <v>1</v>
      </c>
      <c r="O37" s="11">
        <v>200000</v>
      </c>
    </row>
    <row r="38" spans="1:15" ht="21" customHeight="1" x14ac:dyDescent="0.15">
      <c r="A38" s="65" t="str">
        <f t="shared" si="11"/>
        <v>798_420</v>
      </c>
      <c r="B38" s="44">
        <v>798</v>
      </c>
      <c r="C38" s="195">
        <f t="shared" si="12"/>
        <v>798</v>
      </c>
      <c r="D38" s="57" t="str">
        <f ca="1">VLOOKUP($C38,OFFSET([1]characters!$A$1,0,0,COUNTA([1]characters!$A:$A),MATCH(D$1,[1]characters!$1:$1,0)-MATCH($C$1,[1]characters!$1:$1,0)+1),MATCH(D$1,[1]characters!$1:$1,0)-MATCH($C$1,[1]characters!$1:$1,0)+1,FALSE)</f>
        <v>煌式の大機刃 オイラー</v>
      </c>
      <c r="E38" s="57">
        <f ca="1">VLOOKUP($C38,OFFSET([1]characters!$A$1,0,0,COUNTA([1]characters!$A:$A),MATCH(E$1,[1]characters!$1:$1,0)-MATCH($C$1,[1]characters!$1:$1,0)+1),MATCH(E$1,[1]characters!$1:$1,0)-MATCH($C$1,[1]characters!$1:$1,0)+1,FALSE)</f>
        <v>6</v>
      </c>
      <c r="F38" s="57" t="str">
        <f ca="1">VLOOKUP($C38,OFFSET([1]characters!$A$1,0,0,COUNTA([1]characters!$A:$A),MATCH(F$1,[1]characters!$1:$1,0)-MATCH($C$1,[1]characters!$1:$1,0)+1),MATCH(F$1,[1]characters!$1:$1,0)-MATCH($C$1,[1]characters!$1:$1,0)+1,FALSE)</f>
        <v>PremiumSSS</v>
      </c>
      <c r="G38" s="21" t="str">
        <f>VLOOKUP(H38,[1]characters!$A:$T,20)</f>
        <v>super</v>
      </c>
      <c r="H38" s="44">
        <f>VLOOKUP(B38,fork_awake_units!A:Q,17,FALSE )</f>
        <v>1121</v>
      </c>
      <c r="I38" s="21" t="str">
        <f>VLOOKUP(H38,[1]characters!$A:$C,3)</f>
        <v>逆燦の機閃刃 オイラー</v>
      </c>
      <c r="J38" s="44">
        <v>420</v>
      </c>
      <c r="K38" s="21" t="str">
        <f>VLOOKUP(J38,[1]characters!$A:$C,3,FALSE)</f>
        <v>カエデ</v>
      </c>
      <c r="L38" s="18">
        <v>1</v>
      </c>
      <c r="M38" s="111">
        <v>2</v>
      </c>
      <c r="N38" s="111">
        <v>1</v>
      </c>
      <c r="O38" s="11">
        <v>200000</v>
      </c>
    </row>
    <row r="39" spans="1:15" ht="21" customHeight="1" x14ac:dyDescent="0.15">
      <c r="A39" s="65" t="str">
        <f t="shared" si="11"/>
        <v>1121_106</v>
      </c>
      <c r="B39" s="44">
        <v>1121</v>
      </c>
      <c r="C39" s="195">
        <f t="shared" si="12"/>
        <v>1121</v>
      </c>
      <c r="D39" s="57" t="str">
        <f ca="1">VLOOKUP($C39,OFFSET([1]characters!$A$1,0,0,COUNTA([1]characters!$A:$A),MATCH(D$1,[1]characters!$1:$1,0)-MATCH($C$1,[1]characters!$1:$1,0)+1),MATCH(D$1,[1]characters!$1:$1,0)-MATCH($C$1,[1]characters!$1:$1,0)+1,FALSE)</f>
        <v>逆燦の機閃刃 オイラー</v>
      </c>
      <c r="E39" s="57">
        <f ca="1">VLOOKUP($C39,OFFSET([1]characters!$A$1,0,0,COUNTA([1]characters!$A:$A),MATCH(E$1,[1]characters!$1:$1,0)-MATCH($C$1,[1]characters!$1:$1,0)+1),MATCH(E$1,[1]characters!$1:$1,0)-MATCH($C$1,[1]characters!$1:$1,0)+1,FALSE)</f>
        <v>6</v>
      </c>
      <c r="F39" s="57" t="str">
        <f ca="1">VLOOKUP($C39,OFFSET([1]characters!$A$1,0,0,COUNTA([1]characters!$A:$A),MATCH(F$1,[1]characters!$1:$1,0)-MATCH($C$1,[1]characters!$1:$1,0)+1),MATCH(F$1,[1]characters!$1:$1,0)-MATCH($C$1,[1]characters!$1:$1,0)+1,FALSE)</f>
        <v>PremiumSSS</v>
      </c>
      <c r="G39" s="21" t="str">
        <f>VLOOKUP(H39,[1]characters!$A:$T,20)</f>
        <v>normal</v>
      </c>
      <c r="H39" s="44">
        <f>VLOOKUP(B39,fork_awake_units!A:Q,17,FALSE )</f>
        <v>798</v>
      </c>
      <c r="I39" s="21" t="str">
        <f>VLOOKUP(H39,[1]characters!$A:$C,3)</f>
        <v>煌式の大機刃 オイラー</v>
      </c>
      <c r="J39" s="44">
        <v>106</v>
      </c>
      <c r="K39" s="21" t="str">
        <f>VLOOKUP(J39,[1]characters!$A:$C,3,FALSE)</f>
        <v>グリーンラビット</v>
      </c>
      <c r="L39" s="18">
        <v>1</v>
      </c>
      <c r="M39" s="111">
        <v>1</v>
      </c>
      <c r="N39" s="111">
        <v>1</v>
      </c>
      <c r="O39" s="11">
        <v>200000</v>
      </c>
    </row>
    <row r="40" spans="1:15" ht="21" customHeight="1" x14ac:dyDescent="0.15">
      <c r="A40" s="65" t="str">
        <f t="shared" si="11"/>
        <v>1121_107</v>
      </c>
      <c r="B40" s="44">
        <v>1121</v>
      </c>
      <c r="C40" s="195">
        <f t="shared" si="12"/>
        <v>1121</v>
      </c>
      <c r="D40" s="57" t="str">
        <f ca="1">VLOOKUP($C40,OFFSET([1]characters!$A$1,0,0,COUNTA([1]characters!$A:$A),MATCH(D$1,[1]characters!$1:$1,0)-MATCH($C$1,[1]characters!$1:$1,0)+1),MATCH(D$1,[1]characters!$1:$1,0)-MATCH($C$1,[1]characters!$1:$1,0)+1,FALSE)</f>
        <v>逆燦の機閃刃 オイラー</v>
      </c>
      <c r="E40" s="57">
        <f ca="1">VLOOKUP($C40,OFFSET([1]characters!$A$1,0,0,COUNTA([1]characters!$A:$A),MATCH(E$1,[1]characters!$1:$1,0)-MATCH($C$1,[1]characters!$1:$1,0)+1),MATCH(E$1,[1]characters!$1:$1,0)-MATCH($C$1,[1]characters!$1:$1,0)+1,FALSE)</f>
        <v>6</v>
      </c>
      <c r="F40" s="57" t="str">
        <f ca="1">VLOOKUP($C40,OFFSET([1]characters!$A$1,0,0,COUNTA([1]characters!$A:$A),MATCH(F$1,[1]characters!$1:$1,0)-MATCH($C$1,[1]characters!$1:$1,0)+1),MATCH(F$1,[1]characters!$1:$1,0)-MATCH($C$1,[1]characters!$1:$1,0)+1,FALSE)</f>
        <v>PremiumSSS</v>
      </c>
      <c r="G40" s="21" t="str">
        <f>VLOOKUP(H40,[1]characters!$A:$T,20)</f>
        <v>normal</v>
      </c>
      <c r="H40" s="44">
        <f>VLOOKUP(B40,fork_awake_units!A:Q,17,FALSE )</f>
        <v>798</v>
      </c>
      <c r="I40" s="21" t="str">
        <f>VLOOKUP(H40,[1]characters!$A:$C,3)</f>
        <v>煌式の大機刃 オイラー</v>
      </c>
      <c r="J40" s="44">
        <v>107</v>
      </c>
      <c r="K40" s="21" t="str">
        <f>VLOOKUP(J40,[1]characters!$A:$C,3,FALSE)</f>
        <v>グリーンキャタップ</v>
      </c>
      <c r="L40" s="18">
        <v>1</v>
      </c>
      <c r="M40" s="111">
        <v>1</v>
      </c>
      <c r="N40" s="111">
        <v>1</v>
      </c>
      <c r="O40" s="11">
        <v>200000</v>
      </c>
    </row>
    <row r="41" spans="1:15" ht="21" customHeight="1" x14ac:dyDescent="0.15">
      <c r="A41" s="65" t="str">
        <f t="shared" ref="A41:A43" si="13">B41&amp;"_"&amp;J41</f>
        <v>1121_108</v>
      </c>
      <c r="B41" s="44">
        <v>1121</v>
      </c>
      <c r="C41" s="195">
        <f t="shared" si="12"/>
        <v>1121</v>
      </c>
      <c r="D41" s="57" t="str">
        <f ca="1">VLOOKUP($C41,OFFSET([1]characters!$A$1,0,0,COUNTA([1]characters!$A:$A),MATCH(D$1,[1]characters!$1:$1,0)-MATCH($C$1,[1]characters!$1:$1,0)+1),MATCH(D$1,[1]characters!$1:$1,0)-MATCH($C$1,[1]characters!$1:$1,0)+1,FALSE)</f>
        <v>逆燦の機閃刃 オイラー</v>
      </c>
      <c r="E41" s="57">
        <f ca="1">VLOOKUP($C41,OFFSET([1]characters!$A$1,0,0,COUNTA([1]characters!$A:$A),MATCH(E$1,[1]characters!$1:$1,0)-MATCH($C$1,[1]characters!$1:$1,0)+1),MATCH(E$1,[1]characters!$1:$1,0)-MATCH($C$1,[1]characters!$1:$1,0)+1,FALSE)</f>
        <v>6</v>
      </c>
      <c r="F41" s="57" t="str">
        <f ca="1">VLOOKUP($C41,OFFSET([1]characters!$A$1,0,0,COUNTA([1]characters!$A:$A),MATCH(F$1,[1]characters!$1:$1,0)-MATCH($C$1,[1]characters!$1:$1,0)+1),MATCH(F$1,[1]characters!$1:$1,0)-MATCH($C$1,[1]characters!$1:$1,0)+1,FALSE)</f>
        <v>PremiumSSS</v>
      </c>
      <c r="G41" s="21" t="str">
        <f>VLOOKUP(H41,[1]characters!$A:$T,20)</f>
        <v>normal</v>
      </c>
      <c r="H41" s="44">
        <f>VLOOKUP(B41,fork_awake_units!A:Q,17,FALSE )</f>
        <v>798</v>
      </c>
      <c r="I41" s="21" t="str">
        <f>VLOOKUP(H41,[1]characters!$A:$C,3)</f>
        <v>煌式の大機刃 オイラー</v>
      </c>
      <c r="J41" s="44">
        <v>108</v>
      </c>
      <c r="K41" s="21" t="str">
        <f>VLOOKUP(J41,[1]characters!$A:$C,3,FALSE)</f>
        <v>森のマッドハッター</v>
      </c>
      <c r="L41" s="18">
        <v>1</v>
      </c>
      <c r="M41" s="111">
        <v>1</v>
      </c>
      <c r="N41" s="111">
        <v>1</v>
      </c>
      <c r="O41" s="11">
        <v>200000</v>
      </c>
    </row>
    <row r="42" spans="1:15" ht="21" customHeight="1" x14ac:dyDescent="0.15">
      <c r="A42" s="65" t="str">
        <f t="shared" si="13"/>
        <v>485_418</v>
      </c>
      <c r="B42" s="44">
        <v>485</v>
      </c>
      <c r="C42" s="195">
        <f t="shared" ref="C42:C44" si="14">B42</f>
        <v>485</v>
      </c>
      <c r="D42" s="57" t="str">
        <f ca="1">VLOOKUP($C42,OFFSET([1]characters!$A$1,0,0,COUNTA([1]characters!$A:$A),MATCH(D$1,[1]characters!$1:$1,0)-MATCH($C$1,[1]characters!$1:$1,0)+1),MATCH(D$1,[1]characters!$1:$1,0)-MATCH($C$1,[1]characters!$1:$1,0)+1,FALSE)</f>
        <v>超越自我 ラグランジュ</v>
      </c>
      <c r="E42" s="57">
        <f ca="1">VLOOKUP($C42,OFFSET([1]characters!$A$1,0,0,COUNTA([1]characters!$A:$A),MATCH(E$1,[1]characters!$1:$1,0)-MATCH($C$1,[1]characters!$1:$1,0)+1),MATCH(E$1,[1]characters!$1:$1,0)-MATCH($C$1,[1]characters!$1:$1,0)+1,FALSE)</f>
        <v>5</v>
      </c>
      <c r="F42" s="57" t="str">
        <f ca="1">VLOOKUP($C42,OFFSET([1]characters!$A$1,0,0,COUNTA([1]characters!$A:$A),MATCH(F$1,[1]characters!$1:$1,0)-MATCH($C$1,[1]characters!$1:$1,0)+1),MATCH(F$1,[1]characters!$1:$1,0)-MATCH($C$1,[1]characters!$1:$1,0)+1,FALSE)</f>
        <v>PremiumSSS</v>
      </c>
      <c r="G42" s="21" t="str">
        <f>VLOOKUP(H42,[1]characters!$A:$T,20)</f>
        <v>super</v>
      </c>
      <c r="H42" s="44">
        <f>VLOOKUP(B42,fork_awake_units!A:Q,17,FALSE )</f>
        <v>1124</v>
      </c>
      <c r="I42" s="21" t="str">
        <f>VLOOKUP(H42,[1]characters!$A:$C,3)</f>
        <v>超絶界析 ラグランジュ</v>
      </c>
      <c r="J42" s="44">
        <v>418</v>
      </c>
      <c r="K42" s="21" t="str">
        <f>VLOOKUP(J42,[1]characters!$A:$C,3,FALSE)</f>
        <v>ウラシマ</v>
      </c>
      <c r="L42" s="18">
        <v>1</v>
      </c>
      <c r="M42" s="111">
        <v>3</v>
      </c>
      <c r="N42" s="111">
        <v>1</v>
      </c>
      <c r="O42" s="11">
        <v>200000</v>
      </c>
    </row>
    <row r="43" spans="1:15" ht="21" customHeight="1" x14ac:dyDescent="0.15">
      <c r="A43" s="65" t="str">
        <f t="shared" si="13"/>
        <v>485_642</v>
      </c>
      <c r="B43" s="44">
        <v>485</v>
      </c>
      <c r="C43" s="195">
        <f t="shared" si="14"/>
        <v>485</v>
      </c>
      <c r="D43" s="57" t="str">
        <f ca="1">VLOOKUP($C43,OFFSET([1]characters!$A$1,0,0,COUNTA([1]characters!$A:$A),MATCH(D$1,[1]characters!$1:$1,0)-MATCH($C$1,[1]characters!$1:$1,0)+1),MATCH(D$1,[1]characters!$1:$1,0)-MATCH($C$1,[1]characters!$1:$1,0)+1,FALSE)</f>
        <v>超越自我 ラグランジュ</v>
      </c>
      <c r="E43" s="57">
        <f ca="1">VLOOKUP($C43,OFFSET([1]characters!$A$1,0,0,COUNTA([1]characters!$A:$A),MATCH(E$1,[1]characters!$1:$1,0)-MATCH($C$1,[1]characters!$1:$1,0)+1),MATCH(E$1,[1]characters!$1:$1,0)-MATCH($C$1,[1]characters!$1:$1,0)+1,FALSE)</f>
        <v>5</v>
      </c>
      <c r="F43" s="57" t="str">
        <f ca="1">VLOOKUP($C43,OFFSET([1]characters!$A$1,0,0,COUNTA([1]characters!$A:$A),MATCH(F$1,[1]characters!$1:$1,0)-MATCH($C$1,[1]characters!$1:$1,0)+1),MATCH(F$1,[1]characters!$1:$1,0)-MATCH($C$1,[1]characters!$1:$1,0)+1,FALSE)</f>
        <v>PremiumSSS</v>
      </c>
      <c r="G43" s="21" t="str">
        <f>VLOOKUP(H43,[1]characters!$A:$T,20)</f>
        <v>super</v>
      </c>
      <c r="H43" s="44">
        <f>VLOOKUP(B43,fork_awake_units!A:Q,17,FALSE )</f>
        <v>1124</v>
      </c>
      <c r="I43" s="21" t="str">
        <f>VLOOKUP(H43,[1]characters!$A:$C,3)</f>
        <v>超絶界析 ラグランジュ</v>
      </c>
      <c r="J43" s="44">
        <v>642</v>
      </c>
      <c r="K43" s="21" t="str">
        <f>VLOOKUP(J43,[1]characters!$A:$C,3,FALSE)</f>
        <v>カーマ</v>
      </c>
      <c r="L43" s="18">
        <v>1</v>
      </c>
      <c r="M43" s="111">
        <v>1</v>
      </c>
      <c r="N43" s="111">
        <v>100</v>
      </c>
      <c r="O43" s="11">
        <v>200000</v>
      </c>
    </row>
    <row r="44" spans="1:15" ht="21" customHeight="1" x14ac:dyDescent="0.15">
      <c r="A44" s="65" t="str">
        <f t="shared" ref="A44:A45" si="15">B44&amp;"_"&amp;J44</f>
        <v>485_935</v>
      </c>
      <c r="B44" s="44">
        <v>485</v>
      </c>
      <c r="C44" s="195">
        <f t="shared" si="14"/>
        <v>485</v>
      </c>
      <c r="D44" s="57" t="str">
        <f ca="1">VLOOKUP($C44,OFFSET([1]characters!$A$1,0,0,COUNTA([1]characters!$A:$A),MATCH(D$1,[1]characters!$1:$1,0)-MATCH($C$1,[1]characters!$1:$1,0)+1),MATCH(D$1,[1]characters!$1:$1,0)-MATCH($C$1,[1]characters!$1:$1,0)+1,FALSE)</f>
        <v>超越自我 ラグランジュ</v>
      </c>
      <c r="E44" s="57">
        <f ca="1">VLOOKUP($C44,OFFSET([1]characters!$A$1,0,0,COUNTA([1]characters!$A:$A),MATCH(E$1,[1]characters!$1:$1,0)-MATCH($C$1,[1]characters!$1:$1,0)+1),MATCH(E$1,[1]characters!$1:$1,0)-MATCH($C$1,[1]characters!$1:$1,0)+1,FALSE)</f>
        <v>5</v>
      </c>
      <c r="F44" s="57" t="str">
        <f ca="1">VLOOKUP($C44,OFFSET([1]characters!$A$1,0,0,COUNTA([1]characters!$A:$A),MATCH(F$1,[1]characters!$1:$1,0)-MATCH($C$1,[1]characters!$1:$1,0)+1),MATCH(F$1,[1]characters!$1:$1,0)-MATCH($C$1,[1]characters!$1:$1,0)+1,FALSE)</f>
        <v>PremiumSSS</v>
      </c>
      <c r="G44" s="21" t="str">
        <f>VLOOKUP(H44,[1]characters!$A:$T,20)</f>
        <v>super</v>
      </c>
      <c r="H44" s="44">
        <f>VLOOKUP(B44,fork_awake_units!A:Q,17,FALSE )</f>
        <v>1124</v>
      </c>
      <c r="I44" s="21" t="str">
        <f>VLOOKUP(H44,[1]characters!$A:$C,3)</f>
        <v>超絶界析 ラグランジュ</v>
      </c>
      <c r="J44" s="44">
        <v>935</v>
      </c>
      <c r="K44" s="21" t="str">
        <f>VLOOKUP(J44,[1]characters!$A:$C,3,FALSE)</f>
        <v>ルイ16世</v>
      </c>
      <c r="L44" s="18">
        <v>1</v>
      </c>
      <c r="M44" s="111">
        <v>3</v>
      </c>
      <c r="N44" s="111">
        <v>1</v>
      </c>
      <c r="O44" s="11">
        <v>200000</v>
      </c>
    </row>
    <row r="45" spans="1:15" ht="21" customHeight="1" x14ac:dyDescent="0.15">
      <c r="A45" s="65" t="str">
        <f t="shared" si="15"/>
        <v>796_418</v>
      </c>
      <c r="B45" s="44">
        <v>796</v>
      </c>
      <c r="C45" s="195">
        <f>B45</f>
        <v>796</v>
      </c>
      <c r="D45" s="57" t="str">
        <f ca="1">VLOOKUP($C45,OFFSET([1]characters!$A$1,0,0,COUNTA([1]characters!$A:$A),MATCH(D$1,[1]characters!$1:$1,0)-MATCH($C$1,[1]characters!$1:$1,0)+1),MATCH(D$1,[1]characters!$1:$1,0)-MATCH($C$1,[1]characters!$1:$1,0)+1,FALSE)</f>
        <v>超越凌駕 ラグランジュ</v>
      </c>
      <c r="E45" s="57">
        <f ca="1">VLOOKUP($C45,OFFSET([1]characters!$A$1,0,0,COUNTA([1]characters!$A:$A),MATCH(E$1,[1]characters!$1:$1,0)-MATCH($C$1,[1]characters!$1:$1,0)+1),MATCH(E$1,[1]characters!$1:$1,0)-MATCH($C$1,[1]characters!$1:$1,0)+1,FALSE)</f>
        <v>6</v>
      </c>
      <c r="F45" s="57" t="str">
        <f ca="1">VLOOKUP($C45,OFFSET([1]characters!$A$1,0,0,COUNTA([1]characters!$A:$A),MATCH(F$1,[1]characters!$1:$1,0)-MATCH($C$1,[1]characters!$1:$1,0)+1),MATCH(F$1,[1]characters!$1:$1,0)-MATCH($C$1,[1]characters!$1:$1,0)+1,FALSE)</f>
        <v>PremiumSSS</v>
      </c>
      <c r="G45" s="21" t="str">
        <f>VLOOKUP(H45,[1]characters!$A:$T,20)</f>
        <v>super</v>
      </c>
      <c r="H45" s="44">
        <f>VLOOKUP(B45,fork_awake_units!A:Q,17,FALSE )</f>
        <v>1124</v>
      </c>
      <c r="I45" s="21" t="str">
        <f>VLOOKUP(H45,[1]characters!$A:$C,3)</f>
        <v>超絶界析 ラグランジュ</v>
      </c>
      <c r="J45" s="44">
        <v>418</v>
      </c>
      <c r="K45" s="21" t="str">
        <f>VLOOKUP(J45,[1]characters!$A:$C,3,FALSE)</f>
        <v>ウラシマ</v>
      </c>
      <c r="L45" s="18">
        <v>1</v>
      </c>
      <c r="M45" s="111">
        <v>3</v>
      </c>
      <c r="N45" s="111">
        <v>1</v>
      </c>
      <c r="O45" s="11">
        <v>200000</v>
      </c>
    </row>
    <row r="46" spans="1:15" ht="21" customHeight="1" x14ac:dyDescent="0.15">
      <c r="A46" s="65" t="str">
        <f t="shared" ref="A46:A61" si="16">B46&amp;"_"&amp;J46</f>
        <v>796_935</v>
      </c>
      <c r="B46" s="44">
        <v>796</v>
      </c>
      <c r="C46" s="195">
        <f t="shared" ref="C46:C57" si="17">B46</f>
        <v>796</v>
      </c>
      <c r="D46" s="57" t="str">
        <f ca="1">VLOOKUP($C46,OFFSET([1]characters!$A$1,0,0,COUNTA([1]characters!$A:$A),MATCH(D$1,[1]characters!$1:$1,0)-MATCH($C$1,[1]characters!$1:$1,0)+1),MATCH(D$1,[1]characters!$1:$1,0)-MATCH($C$1,[1]characters!$1:$1,0)+1,FALSE)</f>
        <v>超越凌駕 ラグランジュ</v>
      </c>
      <c r="E46" s="57">
        <f ca="1">VLOOKUP($C46,OFFSET([1]characters!$A$1,0,0,COUNTA([1]characters!$A:$A),MATCH(E$1,[1]characters!$1:$1,0)-MATCH($C$1,[1]characters!$1:$1,0)+1),MATCH(E$1,[1]characters!$1:$1,0)-MATCH($C$1,[1]characters!$1:$1,0)+1,FALSE)</f>
        <v>6</v>
      </c>
      <c r="F46" s="57" t="str">
        <f ca="1">VLOOKUP($C46,OFFSET([1]characters!$A$1,0,0,COUNTA([1]characters!$A:$A),MATCH(F$1,[1]characters!$1:$1,0)-MATCH($C$1,[1]characters!$1:$1,0)+1),MATCH(F$1,[1]characters!$1:$1,0)-MATCH($C$1,[1]characters!$1:$1,0)+1,FALSE)</f>
        <v>PremiumSSS</v>
      </c>
      <c r="G46" s="21" t="str">
        <f>VLOOKUP(H46,[1]characters!$A:$T,20)</f>
        <v>super</v>
      </c>
      <c r="H46" s="44">
        <f>VLOOKUP(B46,fork_awake_units!A:Q,17,FALSE )</f>
        <v>1124</v>
      </c>
      <c r="I46" s="21" t="str">
        <f>VLOOKUP(H46,[1]characters!$A:$C,3)</f>
        <v>超絶界析 ラグランジュ</v>
      </c>
      <c r="J46" s="44">
        <v>935</v>
      </c>
      <c r="K46" s="21" t="str">
        <f>VLOOKUP(J46,[1]characters!$A:$C,3,FALSE)</f>
        <v>ルイ16世</v>
      </c>
      <c r="L46" s="18">
        <v>1</v>
      </c>
      <c r="M46" s="111">
        <v>3</v>
      </c>
      <c r="N46" s="111">
        <v>1</v>
      </c>
      <c r="O46" s="11">
        <v>200000</v>
      </c>
    </row>
    <row r="47" spans="1:15" ht="21" customHeight="1" x14ac:dyDescent="0.15">
      <c r="A47" s="65" t="str">
        <f t="shared" si="16"/>
        <v>1124_102</v>
      </c>
      <c r="B47" s="44">
        <v>1124</v>
      </c>
      <c r="C47" s="195">
        <v>1124</v>
      </c>
      <c r="D47" s="57" t="str">
        <f ca="1">VLOOKUP($C47,OFFSET([1]characters!$A$1,0,0,COUNTA([1]characters!$A:$A),MATCH(D$1,[1]characters!$1:$1,0)-MATCH($C$1,[1]characters!$1:$1,0)+1),MATCH(D$1,[1]characters!$1:$1,0)-MATCH($C$1,[1]characters!$1:$1,0)+1,FALSE)</f>
        <v>超絶界析 ラグランジュ</v>
      </c>
      <c r="E47" s="57">
        <f ca="1">VLOOKUP($C47,OFFSET([1]characters!$A$1,0,0,COUNTA([1]characters!$A:$A),MATCH(E$1,[1]characters!$1:$1,0)-MATCH($C$1,[1]characters!$1:$1,0)+1),MATCH(E$1,[1]characters!$1:$1,0)-MATCH($C$1,[1]characters!$1:$1,0)+1,FALSE)</f>
        <v>6</v>
      </c>
      <c r="F47" s="57" t="str">
        <f ca="1">VLOOKUP($C47,OFFSET([1]characters!$A$1,0,0,COUNTA([1]characters!$A:$A),MATCH(F$1,[1]characters!$1:$1,0)-MATCH($C$1,[1]characters!$1:$1,0)+1),MATCH(F$1,[1]characters!$1:$1,0)-MATCH($C$1,[1]characters!$1:$1,0)+1,FALSE)</f>
        <v>PremiumSSS</v>
      </c>
      <c r="G47" s="21" t="str">
        <f>VLOOKUP(H47,[1]characters!$A:$T,20)</f>
        <v>normal</v>
      </c>
      <c r="H47" s="44">
        <v>796</v>
      </c>
      <c r="I47" s="21" t="str">
        <f>VLOOKUP(H47,[1]characters!$A:$C,3)</f>
        <v>超越凌駕 ラグランジュ</v>
      </c>
      <c r="J47" s="44">
        <v>102</v>
      </c>
      <c r="K47" s="21" t="str">
        <f>VLOOKUP(J47,[1]characters!$A:$C,3,FALSE)</f>
        <v>レッドラビット</v>
      </c>
      <c r="L47" s="18">
        <v>1</v>
      </c>
      <c r="M47" s="111">
        <v>1</v>
      </c>
      <c r="N47" s="111">
        <v>1</v>
      </c>
      <c r="O47" s="11">
        <v>200000</v>
      </c>
    </row>
    <row r="48" spans="1:15" ht="21" customHeight="1" x14ac:dyDescent="0.15">
      <c r="A48" s="65" t="str">
        <f t="shared" si="16"/>
        <v>1124_103</v>
      </c>
      <c r="B48" s="44">
        <v>1124</v>
      </c>
      <c r="C48" s="195">
        <f t="shared" si="17"/>
        <v>1124</v>
      </c>
      <c r="D48" s="57" t="str">
        <f ca="1">VLOOKUP($C48,OFFSET([1]characters!$A$1,0,0,COUNTA([1]characters!$A:$A),MATCH(D$1,[1]characters!$1:$1,0)-MATCH($C$1,[1]characters!$1:$1,0)+1),MATCH(D$1,[1]characters!$1:$1,0)-MATCH($C$1,[1]characters!$1:$1,0)+1,FALSE)</f>
        <v>超絶界析 ラグランジュ</v>
      </c>
      <c r="E48" s="57">
        <f ca="1">VLOOKUP($C48,OFFSET([1]characters!$A$1,0,0,COUNTA([1]characters!$A:$A),MATCH(E$1,[1]characters!$1:$1,0)-MATCH($C$1,[1]characters!$1:$1,0)+1),MATCH(E$1,[1]characters!$1:$1,0)-MATCH($C$1,[1]characters!$1:$1,0)+1,FALSE)</f>
        <v>6</v>
      </c>
      <c r="F48" s="57" t="str">
        <f ca="1">VLOOKUP($C48,OFFSET([1]characters!$A$1,0,0,COUNTA([1]characters!$A:$A),MATCH(F$1,[1]characters!$1:$1,0)-MATCH($C$1,[1]characters!$1:$1,0)+1),MATCH(F$1,[1]characters!$1:$1,0)-MATCH($C$1,[1]characters!$1:$1,0)+1,FALSE)</f>
        <v>PremiumSSS</v>
      </c>
      <c r="G48" s="21" t="str">
        <f>VLOOKUP(H48,[1]characters!$A:$T,20)</f>
        <v>normal</v>
      </c>
      <c r="H48" s="44">
        <v>796</v>
      </c>
      <c r="I48" s="21" t="str">
        <f>VLOOKUP(H48,[1]characters!$A:$C,3)</f>
        <v>超越凌駕 ラグランジュ</v>
      </c>
      <c r="J48" s="44">
        <v>103</v>
      </c>
      <c r="K48" s="21" t="str">
        <f>VLOOKUP(J48,[1]characters!$A:$C,3,FALSE)</f>
        <v>レッドキャタップ</v>
      </c>
      <c r="L48" s="18">
        <v>1</v>
      </c>
      <c r="M48" s="111">
        <v>1</v>
      </c>
      <c r="N48" s="111">
        <v>1</v>
      </c>
      <c r="O48" s="11">
        <v>200000</v>
      </c>
    </row>
    <row r="49" spans="1:15" ht="21" customHeight="1" x14ac:dyDescent="0.15">
      <c r="A49" s="65" t="str">
        <f t="shared" si="16"/>
        <v>1124_104</v>
      </c>
      <c r="B49" s="44">
        <v>1124</v>
      </c>
      <c r="C49" s="195">
        <f t="shared" si="17"/>
        <v>1124</v>
      </c>
      <c r="D49" s="57" t="str">
        <f ca="1">VLOOKUP($C49,OFFSET([1]characters!$A$1,0,0,COUNTA([1]characters!$A:$A),MATCH(D$1,[1]characters!$1:$1,0)-MATCH($C$1,[1]characters!$1:$1,0)+1),MATCH(D$1,[1]characters!$1:$1,0)-MATCH($C$1,[1]characters!$1:$1,0)+1,FALSE)</f>
        <v>超絶界析 ラグランジュ</v>
      </c>
      <c r="E49" s="57">
        <f ca="1">VLOOKUP($C49,OFFSET([1]characters!$A$1,0,0,COUNTA([1]characters!$A:$A),MATCH(E$1,[1]characters!$1:$1,0)-MATCH($C$1,[1]characters!$1:$1,0)+1),MATCH(E$1,[1]characters!$1:$1,0)-MATCH($C$1,[1]characters!$1:$1,0)+1,FALSE)</f>
        <v>6</v>
      </c>
      <c r="F49" s="57" t="str">
        <f ca="1">VLOOKUP($C49,OFFSET([1]characters!$A$1,0,0,COUNTA([1]characters!$A:$A),MATCH(F$1,[1]characters!$1:$1,0)-MATCH($C$1,[1]characters!$1:$1,0)+1),MATCH(F$1,[1]characters!$1:$1,0)-MATCH($C$1,[1]characters!$1:$1,0)+1,FALSE)</f>
        <v>PremiumSSS</v>
      </c>
      <c r="G49" s="21" t="str">
        <f>VLOOKUP(H49,[1]characters!$A:$T,20)</f>
        <v>normal</v>
      </c>
      <c r="H49" s="44">
        <v>796</v>
      </c>
      <c r="I49" s="21" t="str">
        <f>VLOOKUP(H49,[1]characters!$A:$C,3)</f>
        <v>超越凌駕 ラグランジュ</v>
      </c>
      <c r="J49" s="44">
        <v>104</v>
      </c>
      <c r="K49" s="21" t="str">
        <f>VLOOKUP(J49,[1]characters!$A:$C,3,FALSE)</f>
        <v>炎のマッドハッター</v>
      </c>
      <c r="L49" s="18">
        <v>1</v>
      </c>
      <c r="M49" s="111">
        <v>1</v>
      </c>
      <c r="N49" s="111">
        <v>1</v>
      </c>
      <c r="O49" s="11">
        <v>200000</v>
      </c>
    </row>
    <row r="50" spans="1:15" ht="21" customHeight="1" x14ac:dyDescent="0.15">
      <c r="A50" s="65" t="str">
        <f t="shared" si="16"/>
        <v>279_1006</v>
      </c>
      <c r="B50" s="218">
        <v>279</v>
      </c>
      <c r="C50" s="195">
        <f t="shared" si="17"/>
        <v>279</v>
      </c>
      <c r="D50" s="57" t="str">
        <f ca="1">VLOOKUP($C50,OFFSET([1]characters!$A$1,0,0,COUNTA([1]characters!$A:$A),MATCH(D$1,[1]characters!$1:$1,0)-MATCH($C$1,[1]characters!$1:$1,0)+1),MATCH(D$1,[1]characters!$1:$1,0)-MATCH($C$1,[1]characters!$1:$1,0)+1,FALSE)</f>
        <v>統空大神 アマテラス</v>
      </c>
      <c r="E50" s="57">
        <f ca="1">VLOOKUP($C50,OFFSET([1]characters!$A$1,0,0,COUNTA([1]characters!$A:$A),MATCH(E$1,[1]characters!$1:$1,0)-MATCH($C$1,[1]characters!$1:$1,0)+1),MATCH(E$1,[1]characters!$1:$1,0)-MATCH($C$1,[1]characters!$1:$1,0)+1,FALSE)</f>
        <v>5</v>
      </c>
      <c r="F50" s="57" t="str">
        <f ca="1">VLOOKUP($C50,OFFSET([1]characters!$A$1,0,0,COUNTA([1]characters!$A:$A),MATCH(F$1,[1]characters!$1:$1,0)-MATCH($C$1,[1]characters!$1:$1,0)+1),MATCH(F$1,[1]characters!$1:$1,0)-MATCH($C$1,[1]characters!$1:$1,0)+1,FALSE)</f>
        <v>DropWizS</v>
      </c>
      <c r="G50" s="21" t="str">
        <f>VLOOKUP(H50,[1]characters!$A:$T,20)</f>
        <v>super</v>
      </c>
      <c r="H50" s="44">
        <v>1116</v>
      </c>
      <c r="I50" s="21" t="str">
        <f>VLOOKUP(H50,[1]characters!$A:$C,3)</f>
        <v>天檄総氏神 アマテラス</v>
      </c>
      <c r="J50" s="218">
        <v>1006</v>
      </c>
      <c r="K50" s="21" t="str">
        <f>VLOOKUP(J50,[1]characters!$A:$C,3,FALSE)</f>
        <v>セルケト</v>
      </c>
      <c r="L50" s="18">
        <v>1</v>
      </c>
      <c r="M50" s="111">
        <v>3</v>
      </c>
      <c r="N50" s="111">
        <v>1</v>
      </c>
      <c r="O50" s="11">
        <v>200000</v>
      </c>
    </row>
    <row r="51" spans="1:15" ht="21" customHeight="1" x14ac:dyDescent="0.15">
      <c r="A51" s="65" t="str">
        <f t="shared" si="16"/>
        <v>279_724</v>
      </c>
      <c r="B51" s="218">
        <v>279</v>
      </c>
      <c r="C51" s="195">
        <f t="shared" si="17"/>
        <v>279</v>
      </c>
      <c r="D51" s="57" t="str">
        <f ca="1">VLOOKUP($C51,OFFSET([1]characters!$A$1,0,0,COUNTA([1]characters!$A:$A),MATCH(D$1,[1]characters!$1:$1,0)-MATCH($C$1,[1]characters!$1:$1,0)+1),MATCH(D$1,[1]characters!$1:$1,0)-MATCH($C$1,[1]characters!$1:$1,0)+1,FALSE)</f>
        <v>統空大神 アマテラス</v>
      </c>
      <c r="E51" s="57">
        <f ca="1">VLOOKUP($C51,OFFSET([1]characters!$A$1,0,0,COUNTA([1]characters!$A:$A),MATCH(E$1,[1]characters!$1:$1,0)-MATCH($C$1,[1]characters!$1:$1,0)+1),MATCH(E$1,[1]characters!$1:$1,0)-MATCH($C$1,[1]characters!$1:$1,0)+1,FALSE)</f>
        <v>5</v>
      </c>
      <c r="F51" s="57" t="str">
        <f ca="1">VLOOKUP($C51,OFFSET([1]characters!$A$1,0,0,COUNTA([1]characters!$A:$A),MATCH(F$1,[1]characters!$1:$1,0)-MATCH($C$1,[1]characters!$1:$1,0)+1),MATCH(F$1,[1]characters!$1:$1,0)-MATCH($C$1,[1]characters!$1:$1,0)+1,FALSE)</f>
        <v>DropWizS</v>
      </c>
      <c r="G51" s="21" t="str">
        <f>VLOOKUP(H51,[1]characters!$A:$T,20)</f>
        <v>super</v>
      </c>
      <c r="H51" s="44">
        <v>1116</v>
      </c>
      <c r="I51" s="21" t="str">
        <f>VLOOKUP(H51,[1]characters!$A:$C,3)</f>
        <v>天檄総氏神 アマテラス</v>
      </c>
      <c r="J51" s="218">
        <v>724</v>
      </c>
      <c r="K51" s="21" t="str">
        <f>VLOOKUP(J51,[1]characters!$A:$C,3,FALSE)</f>
        <v>武田信玄</v>
      </c>
      <c r="L51" s="18">
        <v>1</v>
      </c>
      <c r="M51" s="111">
        <v>1</v>
      </c>
      <c r="N51" s="111">
        <v>100</v>
      </c>
      <c r="O51" s="11">
        <v>200000</v>
      </c>
    </row>
    <row r="52" spans="1:15" ht="21" customHeight="1" x14ac:dyDescent="0.15">
      <c r="A52" s="65" t="str">
        <f t="shared" si="16"/>
        <v>279_856</v>
      </c>
      <c r="B52" s="218">
        <v>279</v>
      </c>
      <c r="C52" s="195">
        <f t="shared" si="17"/>
        <v>279</v>
      </c>
      <c r="D52" s="57" t="str">
        <f ca="1">VLOOKUP($C52,OFFSET([1]characters!$A$1,0,0,COUNTA([1]characters!$A:$A),MATCH(D$1,[1]characters!$1:$1,0)-MATCH($C$1,[1]characters!$1:$1,0)+1),MATCH(D$1,[1]characters!$1:$1,0)-MATCH($C$1,[1]characters!$1:$1,0)+1,FALSE)</f>
        <v>統空大神 アマテラス</v>
      </c>
      <c r="E52" s="57">
        <f ca="1">VLOOKUP($C52,OFFSET([1]characters!$A$1,0,0,COUNTA([1]characters!$A:$A),MATCH(E$1,[1]characters!$1:$1,0)-MATCH($C$1,[1]characters!$1:$1,0)+1),MATCH(E$1,[1]characters!$1:$1,0)-MATCH($C$1,[1]characters!$1:$1,0)+1,FALSE)</f>
        <v>5</v>
      </c>
      <c r="F52" s="57" t="str">
        <f ca="1">VLOOKUP($C52,OFFSET([1]characters!$A$1,0,0,COUNTA([1]characters!$A:$A),MATCH(F$1,[1]characters!$1:$1,0)-MATCH($C$1,[1]characters!$1:$1,0)+1),MATCH(F$1,[1]characters!$1:$1,0)-MATCH($C$1,[1]characters!$1:$1,0)+1,FALSE)</f>
        <v>DropWizS</v>
      </c>
      <c r="G52" s="21" t="str">
        <f>VLOOKUP(H52,[1]characters!$A:$T,20)</f>
        <v>super</v>
      </c>
      <c r="H52" s="44">
        <v>1116</v>
      </c>
      <c r="I52" s="21" t="str">
        <f>VLOOKUP(H52,[1]characters!$A:$C,3)</f>
        <v>天檄総氏神 アマテラス</v>
      </c>
      <c r="J52" s="218">
        <v>856</v>
      </c>
      <c r="K52" s="21" t="str">
        <f>VLOOKUP(J52,[1]characters!$A:$C,3,FALSE)</f>
        <v>リフレクト＆M.I.R.R.O.R.</v>
      </c>
      <c r="L52" s="18">
        <v>1</v>
      </c>
      <c r="M52" s="111">
        <v>3</v>
      </c>
      <c r="N52" s="111">
        <v>1</v>
      </c>
      <c r="O52" s="11">
        <v>200000</v>
      </c>
    </row>
    <row r="53" spans="1:15" ht="21" customHeight="1" x14ac:dyDescent="0.15">
      <c r="A53" s="65" t="str">
        <f t="shared" si="16"/>
        <v>810_1006</v>
      </c>
      <c r="B53" s="218">
        <v>810</v>
      </c>
      <c r="C53" s="195">
        <f t="shared" si="17"/>
        <v>810</v>
      </c>
      <c r="D53" s="57" t="str">
        <f ca="1">VLOOKUP($C53,OFFSET([1]characters!$A$1,0,0,COUNTA([1]characters!$A:$A),MATCH(D$1,[1]characters!$1:$1,0)-MATCH($C$1,[1]characters!$1:$1,0)+1),MATCH(D$1,[1]characters!$1:$1,0)-MATCH($C$1,[1]characters!$1:$1,0)+1,FALSE)</f>
        <v>君臨大御神 アマテラス</v>
      </c>
      <c r="E53" s="57">
        <f ca="1">VLOOKUP($C53,OFFSET([1]characters!$A$1,0,0,COUNTA([1]characters!$A:$A),MATCH(E$1,[1]characters!$1:$1,0)-MATCH($C$1,[1]characters!$1:$1,0)+1),MATCH(E$1,[1]characters!$1:$1,0)-MATCH($C$1,[1]characters!$1:$1,0)+1,FALSE)</f>
        <v>6</v>
      </c>
      <c r="F53" s="57" t="str">
        <f ca="1">VLOOKUP($C53,OFFSET([1]characters!$A$1,0,0,COUNTA([1]characters!$A:$A),MATCH(F$1,[1]characters!$1:$1,0)-MATCH($C$1,[1]characters!$1:$1,0)+1),MATCH(F$1,[1]characters!$1:$1,0)-MATCH($C$1,[1]characters!$1:$1,0)+1,FALSE)</f>
        <v>DropWizS</v>
      </c>
      <c r="G53" s="21" t="str">
        <f>VLOOKUP(H53,[1]characters!$A:$T,20)</f>
        <v>super</v>
      </c>
      <c r="H53" s="44">
        <v>1116</v>
      </c>
      <c r="I53" s="21" t="str">
        <f>VLOOKUP(H53,[1]characters!$A:$C,3)</f>
        <v>天檄総氏神 アマテラス</v>
      </c>
      <c r="J53" s="218">
        <v>1006</v>
      </c>
      <c r="K53" s="21" t="str">
        <f>VLOOKUP(J53,[1]characters!$A:$C,3,FALSE)</f>
        <v>セルケト</v>
      </c>
      <c r="L53" s="18">
        <v>1</v>
      </c>
      <c r="M53" s="111">
        <v>2</v>
      </c>
      <c r="N53" s="111">
        <v>1</v>
      </c>
      <c r="O53" s="11">
        <v>200000</v>
      </c>
    </row>
    <row r="54" spans="1:15" ht="21" customHeight="1" x14ac:dyDescent="0.15">
      <c r="A54" s="65" t="str">
        <f t="shared" si="16"/>
        <v>810_856</v>
      </c>
      <c r="B54" s="218">
        <v>810</v>
      </c>
      <c r="C54" s="195">
        <f t="shared" si="17"/>
        <v>810</v>
      </c>
      <c r="D54" s="57" t="str">
        <f ca="1">VLOOKUP($C54,OFFSET([1]characters!$A$1,0,0,COUNTA([1]characters!$A:$A),MATCH(D$1,[1]characters!$1:$1,0)-MATCH($C$1,[1]characters!$1:$1,0)+1),MATCH(D$1,[1]characters!$1:$1,0)-MATCH($C$1,[1]characters!$1:$1,0)+1,FALSE)</f>
        <v>君臨大御神 アマテラス</v>
      </c>
      <c r="E54" s="57">
        <f ca="1">VLOOKUP($C54,OFFSET([1]characters!$A$1,0,0,COUNTA([1]characters!$A:$A),MATCH(E$1,[1]characters!$1:$1,0)-MATCH($C$1,[1]characters!$1:$1,0)+1),MATCH(E$1,[1]characters!$1:$1,0)-MATCH($C$1,[1]characters!$1:$1,0)+1,FALSE)</f>
        <v>6</v>
      </c>
      <c r="F54" s="57" t="str">
        <f ca="1">VLOOKUP($C54,OFFSET([1]characters!$A$1,0,0,COUNTA([1]characters!$A:$A),MATCH(F$1,[1]characters!$1:$1,0)-MATCH($C$1,[1]characters!$1:$1,0)+1),MATCH(F$1,[1]characters!$1:$1,0)-MATCH($C$1,[1]characters!$1:$1,0)+1,FALSE)</f>
        <v>DropWizS</v>
      </c>
      <c r="G54" s="21" t="str">
        <f>VLOOKUP(H54,[1]characters!$A:$T,20)</f>
        <v>super</v>
      </c>
      <c r="H54" s="44">
        <v>1116</v>
      </c>
      <c r="I54" s="21" t="str">
        <f>VLOOKUP(H54,[1]characters!$A:$C,3)</f>
        <v>天檄総氏神 アマテラス</v>
      </c>
      <c r="J54" s="218">
        <v>856</v>
      </c>
      <c r="K54" s="21" t="str">
        <f>VLOOKUP(J54,[1]characters!$A:$C,3,FALSE)</f>
        <v>リフレクト＆M.I.R.R.O.R.</v>
      </c>
      <c r="L54" s="18">
        <v>1</v>
      </c>
      <c r="M54" s="111">
        <v>2</v>
      </c>
      <c r="N54" s="111">
        <v>1</v>
      </c>
      <c r="O54" s="11">
        <v>200000</v>
      </c>
    </row>
    <row r="55" spans="1:15" ht="21" customHeight="1" x14ac:dyDescent="0.15">
      <c r="A55" s="65" t="str">
        <f t="shared" si="16"/>
        <v>1116_102</v>
      </c>
      <c r="B55" s="218">
        <v>1116</v>
      </c>
      <c r="C55" s="195">
        <f t="shared" si="17"/>
        <v>1116</v>
      </c>
      <c r="D55" s="57" t="str">
        <f ca="1">VLOOKUP($C55,OFFSET([1]characters!$A$1,0,0,COUNTA([1]characters!$A:$A),MATCH(D$1,[1]characters!$1:$1,0)-MATCH($C$1,[1]characters!$1:$1,0)+1),MATCH(D$1,[1]characters!$1:$1,0)-MATCH($C$1,[1]characters!$1:$1,0)+1,FALSE)</f>
        <v>天檄総氏神 アマテラス</v>
      </c>
      <c r="E55" s="57">
        <f ca="1">VLOOKUP($C55,OFFSET([1]characters!$A$1,0,0,COUNTA([1]characters!$A:$A),MATCH(E$1,[1]characters!$1:$1,0)-MATCH($C$1,[1]characters!$1:$1,0)+1),MATCH(E$1,[1]characters!$1:$1,0)-MATCH($C$1,[1]characters!$1:$1,0)+1,FALSE)</f>
        <v>6</v>
      </c>
      <c r="F55" s="57" t="str">
        <f ca="1">VLOOKUP($C55,OFFSET([1]characters!$A$1,0,0,COUNTA([1]characters!$A:$A),MATCH(F$1,[1]characters!$1:$1,0)-MATCH($C$1,[1]characters!$1:$1,0)+1),MATCH(F$1,[1]characters!$1:$1,0)-MATCH($C$1,[1]characters!$1:$1,0)+1,FALSE)</f>
        <v>DropWizS</v>
      </c>
      <c r="G55" s="21" t="str">
        <f>VLOOKUP(H55,[1]characters!$A:$T,20)</f>
        <v>normal</v>
      </c>
      <c r="H55" s="44">
        <v>810</v>
      </c>
      <c r="I55" s="21" t="str">
        <f>VLOOKUP(H55,[1]characters!$A:$C,3)</f>
        <v>君臨大御神 アマテラス</v>
      </c>
      <c r="J55" s="218">
        <v>102</v>
      </c>
      <c r="K55" s="21" t="str">
        <f>VLOOKUP(J55,[1]characters!$A:$C,3,FALSE)</f>
        <v>レッドラビット</v>
      </c>
      <c r="L55" s="18">
        <v>1</v>
      </c>
      <c r="M55" s="111">
        <v>1</v>
      </c>
      <c r="N55" s="111">
        <v>1</v>
      </c>
      <c r="O55" s="11">
        <v>200000</v>
      </c>
    </row>
    <row r="56" spans="1:15" ht="21" customHeight="1" x14ac:dyDescent="0.15">
      <c r="A56" s="65" t="str">
        <f t="shared" si="16"/>
        <v>1116_103</v>
      </c>
      <c r="B56" s="218">
        <v>1116</v>
      </c>
      <c r="C56" s="195">
        <f t="shared" si="17"/>
        <v>1116</v>
      </c>
      <c r="D56" s="57" t="str">
        <f ca="1">VLOOKUP($C56,OFFSET([1]characters!$A$1,0,0,COUNTA([1]characters!$A:$A),MATCH(D$1,[1]characters!$1:$1,0)-MATCH($C$1,[1]characters!$1:$1,0)+1),MATCH(D$1,[1]characters!$1:$1,0)-MATCH($C$1,[1]characters!$1:$1,0)+1,FALSE)</f>
        <v>天檄総氏神 アマテラス</v>
      </c>
      <c r="E56" s="57">
        <f ca="1">VLOOKUP($C56,OFFSET([1]characters!$A$1,0,0,COUNTA([1]characters!$A:$A),MATCH(E$1,[1]characters!$1:$1,0)-MATCH($C$1,[1]characters!$1:$1,0)+1),MATCH(E$1,[1]characters!$1:$1,0)-MATCH($C$1,[1]characters!$1:$1,0)+1,FALSE)</f>
        <v>6</v>
      </c>
      <c r="F56" s="57" t="str">
        <f ca="1">VLOOKUP($C56,OFFSET([1]characters!$A$1,0,0,COUNTA([1]characters!$A:$A),MATCH(F$1,[1]characters!$1:$1,0)-MATCH($C$1,[1]characters!$1:$1,0)+1),MATCH(F$1,[1]characters!$1:$1,0)-MATCH($C$1,[1]characters!$1:$1,0)+1,FALSE)</f>
        <v>DropWizS</v>
      </c>
      <c r="G56" s="21" t="str">
        <f>VLOOKUP(H56,[1]characters!$A:$T,20)</f>
        <v>normal</v>
      </c>
      <c r="H56" s="44">
        <v>810</v>
      </c>
      <c r="I56" s="21" t="str">
        <f>VLOOKUP(H56,[1]characters!$A:$C,3)</f>
        <v>君臨大御神 アマテラス</v>
      </c>
      <c r="J56" s="218">
        <v>103</v>
      </c>
      <c r="K56" s="21" t="str">
        <f>VLOOKUP(J56,[1]characters!$A:$C,3,FALSE)</f>
        <v>レッドキャタップ</v>
      </c>
      <c r="L56" s="18">
        <v>1</v>
      </c>
      <c r="M56" s="111">
        <v>1</v>
      </c>
      <c r="N56" s="111">
        <v>1</v>
      </c>
      <c r="O56" s="11">
        <v>200000</v>
      </c>
    </row>
    <row r="57" spans="1:15" ht="21" customHeight="1" x14ac:dyDescent="0.15">
      <c r="A57" s="65" t="str">
        <f t="shared" si="16"/>
        <v>1116_104</v>
      </c>
      <c r="B57" s="218">
        <v>1116</v>
      </c>
      <c r="C57" s="195">
        <f t="shared" si="17"/>
        <v>1116</v>
      </c>
      <c r="D57" s="57" t="str">
        <f ca="1">VLOOKUP($C57,OFFSET([1]characters!$A$1,0,0,COUNTA([1]characters!$A:$A),MATCH(D$1,[1]characters!$1:$1,0)-MATCH($C$1,[1]characters!$1:$1,0)+1),MATCH(D$1,[1]characters!$1:$1,0)-MATCH($C$1,[1]characters!$1:$1,0)+1,FALSE)</f>
        <v>天檄総氏神 アマテラス</v>
      </c>
      <c r="E57" s="57">
        <f ca="1">VLOOKUP($C57,OFFSET([1]characters!$A$1,0,0,COUNTA([1]characters!$A:$A),MATCH(E$1,[1]characters!$1:$1,0)-MATCH($C$1,[1]characters!$1:$1,0)+1),MATCH(E$1,[1]characters!$1:$1,0)-MATCH($C$1,[1]characters!$1:$1,0)+1,FALSE)</f>
        <v>6</v>
      </c>
      <c r="F57" s="57" t="str">
        <f ca="1">VLOOKUP($C57,OFFSET([1]characters!$A$1,0,0,COUNTA([1]characters!$A:$A),MATCH(F$1,[1]characters!$1:$1,0)-MATCH($C$1,[1]characters!$1:$1,0)+1),MATCH(F$1,[1]characters!$1:$1,0)-MATCH($C$1,[1]characters!$1:$1,0)+1,FALSE)</f>
        <v>DropWizS</v>
      </c>
      <c r="G57" s="21" t="str">
        <f>VLOOKUP(H57,[1]characters!$A:$T,20)</f>
        <v>normal</v>
      </c>
      <c r="H57" s="44">
        <v>810</v>
      </c>
      <c r="I57" s="21" t="str">
        <f>VLOOKUP(H57,[1]characters!$A:$C,3)</f>
        <v>君臨大御神 アマテラス</v>
      </c>
      <c r="J57" s="218">
        <v>104</v>
      </c>
      <c r="K57" s="21" t="str">
        <f>VLOOKUP(J57,[1]characters!$A:$C,3,FALSE)</f>
        <v>炎のマッドハッター</v>
      </c>
      <c r="L57" s="18">
        <v>1</v>
      </c>
      <c r="M57" s="111">
        <v>1</v>
      </c>
      <c r="N57" s="111">
        <v>1</v>
      </c>
      <c r="O57" s="11">
        <v>200000</v>
      </c>
    </row>
    <row r="58" spans="1:15" ht="21" customHeight="1" x14ac:dyDescent="0.15">
      <c r="A58" s="65" t="str">
        <f t="shared" si="16"/>
        <v>620_264</v>
      </c>
      <c r="B58" s="44">
        <v>620</v>
      </c>
      <c r="C58" s="195">
        <f t="shared" ref="C58:C60" si="18">B58</f>
        <v>620</v>
      </c>
      <c r="D58" s="57" t="str">
        <f ca="1">VLOOKUP($C58,OFFSET([1]characters!$A$1,0,0,COUNTA([1]characters!$A:$A),MATCH(D$1,[1]characters!$1:$1,0)-MATCH($C$1,[1]characters!$1:$1,0)+1),MATCH(D$1,[1]characters!$1:$1,0)-MATCH($C$1,[1]characters!$1:$1,0)+1,FALSE)</f>
        <v>奇跡の調和 メビウス</v>
      </c>
      <c r="E58" s="57">
        <f ca="1">VLOOKUP($C58,OFFSET([1]characters!$A$1,0,0,COUNTA([1]characters!$A:$A),MATCH(E$1,[1]characters!$1:$1,0)-MATCH($C$1,[1]characters!$1:$1,0)+1),MATCH(E$1,[1]characters!$1:$1,0)-MATCH($C$1,[1]characters!$1:$1,0)+1,FALSE)</f>
        <v>5</v>
      </c>
      <c r="F58" s="57" t="str">
        <f ca="1">VLOOKUP($C58,OFFSET([1]characters!$A$1,0,0,COUNTA([1]characters!$A:$A),MATCH(F$1,[1]characters!$1:$1,0)-MATCH($C$1,[1]characters!$1:$1,0)+1),MATCH(F$1,[1]characters!$1:$1,0)-MATCH($C$1,[1]characters!$1:$1,0)+1,FALSE)</f>
        <v>PremiumSSS</v>
      </c>
      <c r="G58" s="21" t="str">
        <f>VLOOKUP(H58,[1]characters!$A:$T,20)</f>
        <v>super</v>
      </c>
      <c r="H58" s="44">
        <f>VLOOKUP(B58,fork_awake_units!A:Q,17,FALSE )</f>
        <v>1122</v>
      </c>
      <c r="I58" s="21" t="str">
        <f>VLOOKUP(H58,[1]characters!$A:$C,3)</f>
        <v>不可能性の現翼 メビウス</v>
      </c>
      <c r="J58" s="44">
        <v>264</v>
      </c>
      <c r="K58" s="21" t="str">
        <f>VLOOKUP(J58,[1]characters!$A:$C,3,FALSE)</f>
        <v>ユニコーン</v>
      </c>
      <c r="L58" s="18">
        <v>1</v>
      </c>
      <c r="M58" s="111">
        <v>3</v>
      </c>
      <c r="N58" s="111">
        <v>1</v>
      </c>
      <c r="O58" s="11">
        <v>200000</v>
      </c>
    </row>
    <row r="59" spans="1:15" ht="21" customHeight="1" x14ac:dyDescent="0.15">
      <c r="A59" s="65" t="str">
        <f t="shared" si="16"/>
        <v>620_314</v>
      </c>
      <c r="B59" s="44">
        <v>620</v>
      </c>
      <c r="C59" s="195">
        <f t="shared" si="18"/>
        <v>620</v>
      </c>
      <c r="D59" s="57" t="str">
        <f ca="1">VLOOKUP($C59,OFFSET([1]characters!$A$1,0,0,COUNTA([1]characters!$A:$A),MATCH(D$1,[1]characters!$1:$1,0)-MATCH($C$1,[1]characters!$1:$1,0)+1),MATCH(D$1,[1]characters!$1:$1,0)-MATCH($C$1,[1]characters!$1:$1,0)+1,FALSE)</f>
        <v>奇跡の調和 メビウス</v>
      </c>
      <c r="E59" s="57">
        <f ca="1">VLOOKUP($C59,OFFSET([1]characters!$A$1,0,0,COUNTA([1]characters!$A:$A),MATCH(E$1,[1]characters!$1:$1,0)-MATCH($C$1,[1]characters!$1:$1,0)+1),MATCH(E$1,[1]characters!$1:$1,0)-MATCH($C$1,[1]characters!$1:$1,0)+1,FALSE)</f>
        <v>5</v>
      </c>
      <c r="F59" s="57" t="str">
        <f ca="1">VLOOKUP($C59,OFFSET([1]characters!$A$1,0,0,COUNTA([1]characters!$A:$A),MATCH(F$1,[1]characters!$1:$1,0)-MATCH($C$1,[1]characters!$1:$1,0)+1),MATCH(F$1,[1]characters!$1:$1,0)-MATCH($C$1,[1]characters!$1:$1,0)+1,FALSE)</f>
        <v>PremiumSSS</v>
      </c>
      <c r="G59" s="21" t="str">
        <f>VLOOKUP(H59,[1]characters!$A:$T,20)</f>
        <v>super</v>
      </c>
      <c r="H59" s="44">
        <f>VLOOKUP(B59,fork_awake_units!A:Q,17,FALSE )</f>
        <v>1122</v>
      </c>
      <c r="I59" s="21" t="str">
        <f>VLOOKUP(H59,[1]characters!$A:$C,3)</f>
        <v>不可能性の現翼 メビウス</v>
      </c>
      <c r="J59" s="44">
        <v>314</v>
      </c>
      <c r="K59" s="21" t="str">
        <f>VLOOKUP(J59,[1]characters!$A:$C,3,FALSE)</f>
        <v>ジャンヌ</v>
      </c>
      <c r="L59" s="18">
        <v>1</v>
      </c>
      <c r="M59" s="111">
        <v>1</v>
      </c>
      <c r="N59" s="111">
        <v>100</v>
      </c>
      <c r="O59" s="11">
        <v>200000</v>
      </c>
    </row>
    <row r="60" spans="1:15" ht="21" customHeight="1" x14ac:dyDescent="0.15">
      <c r="A60" s="65" t="str">
        <f t="shared" si="16"/>
        <v>620_581</v>
      </c>
      <c r="B60" s="44">
        <v>620</v>
      </c>
      <c r="C60" s="195">
        <f t="shared" si="18"/>
        <v>620</v>
      </c>
      <c r="D60" s="57" t="str">
        <f ca="1">VLOOKUP($C60,OFFSET([1]characters!$A$1,0,0,COUNTA([1]characters!$A:$A),MATCH(D$1,[1]characters!$1:$1,0)-MATCH($C$1,[1]characters!$1:$1,0)+1),MATCH(D$1,[1]characters!$1:$1,0)-MATCH($C$1,[1]characters!$1:$1,0)+1,FALSE)</f>
        <v>奇跡の調和 メビウス</v>
      </c>
      <c r="E60" s="57">
        <f ca="1">VLOOKUP($C60,OFFSET([1]characters!$A$1,0,0,COUNTA([1]characters!$A:$A),MATCH(E$1,[1]characters!$1:$1,0)-MATCH($C$1,[1]characters!$1:$1,0)+1),MATCH(E$1,[1]characters!$1:$1,0)-MATCH($C$1,[1]characters!$1:$1,0)+1,FALSE)</f>
        <v>5</v>
      </c>
      <c r="F60" s="57" t="str">
        <f ca="1">VLOOKUP($C60,OFFSET([1]characters!$A$1,0,0,COUNTA([1]characters!$A:$A),MATCH(F$1,[1]characters!$1:$1,0)-MATCH($C$1,[1]characters!$1:$1,0)+1),MATCH(F$1,[1]characters!$1:$1,0)-MATCH($C$1,[1]characters!$1:$1,0)+1,FALSE)</f>
        <v>PremiumSSS</v>
      </c>
      <c r="G60" s="21" t="str">
        <f>VLOOKUP(H60,[1]characters!$A:$T,20)</f>
        <v>super</v>
      </c>
      <c r="H60" s="44">
        <f>VLOOKUP(B60,fork_awake_units!A:Q,17,FALSE )</f>
        <v>1122</v>
      </c>
      <c r="I60" s="21" t="str">
        <f>VLOOKUP(H60,[1]characters!$A:$C,3)</f>
        <v>不可能性の現翼 メビウス</v>
      </c>
      <c r="J60" s="44">
        <v>581</v>
      </c>
      <c r="K60" s="21" t="str">
        <f>VLOOKUP(J60,[1]characters!$A:$C,3,FALSE)</f>
        <v>フギンとムニン</v>
      </c>
      <c r="L60" s="18">
        <v>1</v>
      </c>
      <c r="M60" s="111">
        <v>3</v>
      </c>
      <c r="N60" s="111">
        <v>1</v>
      </c>
      <c r="O60" s="11">
        <v>200000</v>
      </c>
    </row>
    <row r="61" spans="1:15" ht="21" customHeight="1" x14ac:dyDescent="0.15">
      <c r="A61" s="65" t="str">
        <f t="shared" si="16"/>
        <v>621_264</v>
      </c>
      <c r="B61" s="44">
        <v>621</v>
      </c>
      <c r="C61" s="195">
        <f>B61</f>
        <v>621</v>
      </c>
      <c r="D61" s="57" t="str">
        <f ca="1">VLOOKUP($C61,OFFSET([1]characters!$A$1,0,0,COUNTA([1]characters!$A:$A),MATCH(D$1,[1]characters!$1:$1,0)-MATCH($C$1,[1]characters!$1:$1,0)+1),MATCH(D$1,[1]characters!$1:$1,0)-MATCH($C$1,[1]characters!$1:$1,0)+1,FALSE)</f>
        <v>終わりなき奇跡 メビウス</v>
      </c>
      <c r="E61" s="57">
        <f ca="1">VLOOKUP($C61,OFFSET([1]characters!$A$1,0,0,COUNTA([1]characters!$A:$A),MATCH(E$1,[1]characters!$1:$1,0)-MATCH($C$1,[1]characters!$1:$1,0)+1),MATCH(E$1,[1]characters!$1:$1,0)-MATCH($C$1,[1]characters!$1:$1,0)+1,FALSE)</f>
        <v>6</v>
      </c>
      <c r="F61" s="57" t="str">
        <f ca="1">VLOOKUP($C61,OFFSET([1]characters!$A$1,0,0,COUNTA([1]characters!$A:$A),MATCH(F$1,[1]characters!$1:$1,0)-MATCH($C$1,[1]characters!$1:$1,0)+1),MATCH(F$1,[1]characters!$1:$1,0)-MATCH($C$1,[1]characters!$1:$1,0)+1,FALSE)</f>
        <v>PremiumSSS</v>
      </c>
      <c r="G61" s="21" t="str">
        <f>VLOOKUP(H61,[1]characters!$A:$T,20)</f>
        <v>super</v>
      </c>
      <c r="H61" s="44">
        <f>VLOOKUP(B61,fork_awake_units!A:Q,17,FALSE )</f>
        <v>1122</v>
      </c>
      <c r="I61" s="21" t="str">
        <f>VLOOKUP(H61,[1]characters!$A:$C,3)</f>
        <v>不可能性の現翼 メビウス</v>
      </c>
      <c r="J61" s="44">
        <v>264</v>
      </c>
      <c r="K61" s="21" t="str">
        <f>VLOOKUP(J61,[1]characters!$A:$C,3,FALSE)</f>
        <v>ユニコーン</v>
      </c>
      <c r="L61" s="18">
        <v>1</v>
      </c>
      <c r="M61" s="111">
        <v>3</v>
      </c>
      <c r="N61" s="111">
        <v>1</v>
      </c>
      <c r="O61" s="11">
        <v>200000</v>
      </c>
    </row>
    <row r="62" spans="1:15" ht="21" customHeight="1" x14ac:dyDescent="0.15">
      <c r="A62" s="65" t="str">
        <f t="shared" ref="A62:A69" si="19">B62&amp;"_"&amp;J62</f>
        <v>621_581</v>
      </c>
      <c r="B62" s="44">
        <v>621</v>
      </c>
      <c r="C62" s="195">
        <f t="shared" ref="C62:C68" si="20">B62</f>
        <v>621</v>
      </c>
      <c r="D62" s="57" t="str">
        <f ca="1">VLOOKUP($C62,OFFSET([1]characters!$A$1,0,0,COUNTA([1]characters!$A:$A),MATCH(D$1,[1]characters!$1:$1,0)-MATCH($C$1,[1]characters!$1:$1,0)+1),MATCH(D$1,[1]characters!$1:$1,0)-MATCH($C$1,[1]characters!$1:$1,0)+1,FALSE)</f>
        <v>終わりなき奇跡 メビウス</v>
      </c>
      <c r="E62" s="57">
        <f ca="1">VLOOKUP($C62,OFFSET([1]characters!$A$1,0,0,COUNTA([1]characters!$A:$A),MATCH(E$1,[1]characters!$1:$1,0)-MATCH($C$1,[1]characters!$1:$1,0)+1),MATCH(E$1,[1]characters!$1:$1,0)-MATCH($C$1,[1]characters!$1:$1,0)+1,FALSE)</f>
        <v>6</v>
      </c>
      <c r="F62" s="57" t="str">
        <f ca="1">VLOOKUP($C62,OFFSET([1]characters!$A$1,0,0,COUNTA([1]characters!$A:$A),MATCH(F$1,[1]characters!$1:$1,0)-MATCH($C$1,[1]characters!$1:$1,0)+1),MATCH(F$1,[1]characters!$1:$1,0)-MATCH($C$1,[1]characters!$1:$1,0)+1,FALSE)</f>
        <v>PremiumSSS</v>
      </c>
      <c r="G62" s="21" t="str">
        <f>VLOOKUP(H62,[1]characters!$A:$T,20)</f>
        <v>super</v>
      </c>
      <c r="H62" s="44">
        <f>VLOOKUP(B62,fork_awake_units!A:Q,17,FALSE )</f>
        <v>1122</v>
      </c>
      <c r="I62" s="21" t="str">
        <f>VLOOKUP(H62,[1]characters!$A:$C,3)</f>
        <v>不可能性の現翼 メビウス</v>
      </c>
      <c r="J62" s="44">
        <v>581</v>
      </c>
      <c r="K62" s="21" t="str">
        <f>VLOOKUP(J62,[1]characters!$A:$C,3,FALSE)</f>
        <v>フギンとムニン</v>
      </c>
      <c r="L62" s="18">
        <v>1</v>
      </c>
      <c r="M62" s="111">
        <v>3</v>
      </c>
      <c r="N62" s="111">
        <v>1</v>
      </c>
      <c r="O62" s="11">
        <v>200000</v>
      </c>
    </row>
    <row r="63" spans="1:15" ht="21" customHeight="1" x14ac:dyDescent="0.15">
      <c r="A63" s="65" t="str">
        <f t="shared" si="19"/>
        <v>1122_110</v>
      </c>
      <c r="B63" s="44">
        <v>1122</v>
      </c>
      <c r="C63" s="195">
        <f t="shared" si="20"/>
        <v>1122</v>
      </c>
      <c r="D63" s="57" t="str">
        <f ca="1">VLOOKUP($C63,OFFSET([1]characters!$A$1,0,0,COUNTA([1]characters!$A:$A),MATCH(D$1,[1]characters!$1:$1,0)-MATCH($C$1,[1]characters!$1:$1,0)+1),MATCH(D$1,[1]characters!$1:$1,0)-MATCH($C$1,[1]characters!$1:$1,0)+1,FALSE)</f>
        <v>不可能性の現翼 メビウス</v>
      </c>
      <c r="E63" s="57">
        <f ca="1">VLOOKUP($C63,OFFSET([1]characters!$A$1,0,0,COUNTA([1]characters!$A:$A),MATCH(E$1,[1]characters!$1:$1,0)-MATCH($C$1,[1]characters!$1:$1,0)+1),MATCH(E$1,[1]characters!$1:$1,0)-MATCH($C$1,[1]characters!$1:$1,0)+1,FALSE)</f>
        <v>6</v>
      </c>
      <c r="F63" s="57" t="str">
        <f ca="1">VLOOKUP($C63,OFFSET([1]characters!$A$1,0,0,COUNTA([1]characters!$A:$A),MATCH(F$1,[1]characters!$1:$1,0)-MATCH($C$1,[1]characters!$1:$1,0)+1),MATCH(F$1,[1]characters!$1:$1,0)-MATCH($C$1,[1]characters!$1:$1,0)+1,FALSE)</f>
        <v>PremiumSSS</v>
      </c>
      <c r="G63" s="21" t="str">
        <f>VLOOKUP(H63,[1]characters!$A:$T,20)</f>
        <v>normal</v>
      </c>
      <c r="H63" s="44">
        <f>VLOOKUP(B63,fork_awake_units!A:Q,17,FALSE )</f>
        <v>621</v>
      </c>
      <c r="I63" s="21" t="str">
        <f>VLOOKUP(H63,[1]characters!$A:$C,3)</f>
        <v>終わりなき奇跡 メビウス</v>
      </c>
      <c r="J63" s="44">
        <v>110</v>
      </c>
      <c r="K63" s="21" t="str">
        <f>VLOOKUP(J63,[1]characters!$A:$C,3,FALSE)</f>
        <v>ブルーラビット</v>
      </c>
      <c r="L63" s="18">
        <v>1</v>
      </c>
      <c r="M63" s="111">
        <v>1</v>
      </c>
      <c r="N63" s="111">
        <v>1</v>
      </c>
      <c r="O63" s="11">
        <v>200000</v>
      </c>
    </row>
    <row r="64" spans="1:15" ht="21" customHeight="1" x14ac:dyDescent="0.15">
      <c r="A64" s="65" t="str">
        <f t="shared" si="19"/>
        <v>1122_111</v>
      </c>
      <c r="B64" s="44">
        <v>1122</v>
      </c>
      <c r="C64" s="195">
        <f t="shared" si="20"/>
        <v>1122</v>
      </c>
      <c r="D64" s="57" t="str">
        <f ca="1">VLOOKUP($C64,OFFSET([1]characters!$A$1,0,0,COUNTA([1]characters!$A:$A),MATCH(D$1,[1]characters!$1:$1,0)-MATCH($C$1,[1]characters!$1:$1,0)+1),MATCH(D$1,[1]characters!$1:$1,0)-MATCH($C$1,[1]characters!$1:$1,0)+1,FALSE)</f>
        <v>不可能性の現翼 メビウス</v>
      </c>
      <c r="E64" s="57">
        <f ca="1">VLOOKUP($C64,OFFSET([1]characters!$A$1,0,0,COUNTA([1]characters!$A:$A),MATCH(E$1,[1]characters!$1:$1,0)-MATCH($C$1,[1]characters!$1:$1,0)+1),MATCH(E$1,[1]characters!$1:$1,0)-MATCH($C$1,[1]characters!$1:$1,0)+1,FALSE)</f>
        <v>6</v>
      </c>
      <c r="F64" s="57" t="str">
        <f ca="1">VLOOKUP($C64,OFFSET([1]characters!$A$1,0,0,COUNTA([1]characters!$A:$A),MATCH(F$1,[1]characters!$1:$1,0)-MATCH($C$1,[1]characters!$1:$1,0)+1),MATCH(F$1,[1]characters!$1:$1,0)-MATCH($C$1,[1]characters!$1:$1,0)+1,FALSE)</f>
        <v>PremiumSSS</v>
      </c>
      <c r="G64" s="21" t="str">
        <f>VLOOKUP(H64,[1]characters!$A:$T,20)</f>
        <v>normal</v>
      </c>
      <c r="H64" s="44">
        <f>VLOOKUP(B64,fork_awake_units!A:Q,17,FALSE )</f>
        <v>621</v>
      </c>
      <c r="I64" s="21" t="str">
        <f>VLOOKUP(H64,[1]characters!$A:$C,3)</f>
        <v>終わりなき奇跡 メビウス</v>
      </c>
      <c r="J64" s="44">
        <v>111</v>
      </c>
      <c r="K64" s="21" t="str">
        <f>VLOOKUP(J64,[1]characters!$A:$C,3,FALSE)</f>
        <v>ブルーキャタップ</v>
      </c>
      <c r="L64" s="18">
        <v>1</v>
      </c>
      <c r="M64" s="111">
        <v>1</v>
      </c>
      <c r="N64" s="111">
        <v>1</v>
      </c>
      <c r="O64" s="11">
        <v>200000</v>
      </c>
    </row>
    <row r="65" spans="1:15" ht="21" customHeight="1" x14ac:dyDescent="0.15">
      <c r="A65" s="65" t="str">
        <f t="shared" si="19"/>
        <v>1122_112</v>
      </c>
      <c r="B65" s="44">
        <v>1122</v>
      </c>
      <c r="C65" s="195">
        <f t="shared" si="20"/>
        <v>1122</v>
      </c>
      <c r="D65" s="57" t="str">
        <f ca="1">VLOOKUP($C65,OFFSET([1]characters!$A$1,0,0,COUNTA([1]characters!$A:$A),MATCH(D$1,[1]characters!$1:$1,0)-MATCH($C$1,[1]characters!$1:$1,0)+1),MATCH(D$1,[1]characters!$1:$1,0)-MATCH($C$1,[1]characters!$1:$1,0)+1,FALSE)</f>
        <v>不可能性の現翼 メビウス</v>
      </c>
      <c r="E65" s="57">
        <f ca="1">VLOOKUP($C65,OFFSET([1]characters!$A$1,0,0,COUNTA([1]characters!$A:$A),MATCH(E$1,[1]characters!$1:$1,0)-MATCH($C$1,[1]characters!$1:$1,0)+1),MATCH(E$1,[1]characters!$1:$1,0)-MATCH($C$1,[1]characters!$1:$1,0)+1,FALSE)</f>
        <v>6</v>
      </c>
      <c r="F65" s="57" t="str">
        <f ca="1">VLOOKUP($C65,OFFSET([1]characters!$A$1,0,0,COUNTA([1]characters!$A:$A),MATCH(F$1,[1]characters!$1:$1,0)-MATCH($C$1,[1]characters!$1:$1,0)+1),MATCH(F$1,[1]characters!$1:$1,0)-MATCH($C$1,[1]characters!$1:$1,0)+1,FALSE)</f>
        <v>PremiumSSS</v>
      </c>
      <c r="G65" s="21" t="str">
        <f>VLOOKUP(H65,[1]characters!$A:$T,20)</f>
        <v>normal</v>
      </c>
      <c r="H65" s="44">
        <f>VLOOKUP(B65,fork_awake_units!A:Q,17,FALSE )</f>
        <v>621</v>
      </c>
      <c r="I65" s="21" t="str">
        <f>VLOOKUP(H65,[1]characters!$A:$C,3)</f>
        <v>終わりなき奇跡 メビウス</v>
      </c>
      <c r="J65" s="44">
        <v>112</v>
      </c>
      <c r="K65" s="21" t="str">
        <f>VLOOKUP(J65,[1]characters!$A:$C,3,FALSE)</f>
        <v>水のマッドハッター</v>
      </c>
      <c r="L65" s="18">
        <v>1</v>
      </c>
      <c r="M65" s="111">
        <v>1</v>
      </c>
      <c r="N65" s="111">
        <v>1</v>
      </c>
      <c r="O65" s="11">
        <v>200000</v>
      </c>
    </row>
    <row r="66" spans="1:15" ht="21" customHeight="1" x14ac:dyDescent="0.15">
      <c r="A66" s="65" t="str">
        <f t="shared" si="19"/>
        <v>953_454</v>
      </c>
      <c r="B66" s="44">
        <v>953</v>
      </c>
      <c r="C66" s="195">
        <f t="shared" si="20"/>
        <v>953</v>
      </c>
      <c r="D66" s="57" t="str">
        <f ca="1">VLOOKUP($C66,OFFSET([1]characters!$A$1,0,0,COUNTA([1]characters!$A:$A),MATCH(D$1,[1]characters!$1:$1,0)-MATCH($C$1,[1]characters!$1:$1,0)+1),MATCH(D$1,[1]characters!$1:$1,0)-MATCH($C$1,[1]characters!$1:$1,0)+1,FALSE)</f>
        <v>ハイゼンベルク</v>
      </c>
      <c r="E66" s="57">
        <f ca="1">VLOOKUP($C66,OFFSET([1]characters!$A$1,0,0,COUNTA([1]characters!$A:$A),MATCH(E$1,[1]characters!$1:$1,0)-MATCH($C$1,[1]characters!$1:$1,0)+1),MATCH(E$1,[1]characters!$1:$1,0)-MATCH($C$1,[1]characters!$1:$1,0)+1,FALSE)</f>
        <v>5</v>
      </c>
      <c r="F66" s="57" t="str">
        <f ca="1">VLOOKUP($C66,OFFSET([1]characters!$A$1,0,0,COUNTA([1]characters!$A:$A),MATCH(F$1,[1]characters!$1:$1,0)-MATCH($C$1,[1]characters!$1:$1,0)+1),MATCH(F$1,[1]characters!$1:$1,0)-MATCH($C$1,[1]characters!$1:$1,0)+1,FALSE)</f>
        <v>PremiumSSS</v>
      </c>
      <c r="G66" s="21" t="str">
        <f>VLOOKUP(H66,[1]characters!$A:$T,20)</f>
        <v>super</v>
      </c>
      <c r="H66" s="44">
        <f>VLOOKUP(B66,fork_awake_units!A:Q,17,FALSE )</f>
        <v>1179</v>
      </c>
      <c r="I66" s="21" t="str">
        <f>VLOOKUP(H66,[1]characters!$A:$C,3)</f>
        <v>厳核なる巨大炉 ハイゼンベルク</v>
      </c>
      <c r="J66" s="44">
        <v>454</v>
      </c>
      <c r="K66" s="21" t="str">
        <f>VLOOKUP(J66,[1]characters!$A:$C,3,FALSE)</f>
        <v>二闘 レッサとギガン</v>
      </c>
      <c r="L66" s="18">
        <v>1</v>
      </c>
      <c r="M66" s="111">
        <v>3</v>
      </c>
      <c r="N66" s="111">
        <v>1</v>
      </c>
      <c r="O66" s="11">
        <v>200000</v>
      </c>
    </row>
    <row r="67" spans="1:15" ht="21" customHeight="1" x14ac:dyDescent="0.15">
      <c r="A67" s="65" t="str">
        <f t="shared" si="19"/>
        <v>953_296</v>
      </c>
      <c r="B67" s="44">
        <v>953</v>
      </c>
      <c r="C67" s="195">
        <f t="shared" si="20"/>
        <v>953</v>
      </c>
      <c r="D67" s="57" t="str">
        <f ca="1">VLOOKUP($C67,OFFSET([1]characters!$A$1,0,0,COUNTA([1]characters!$A:$A),MATCH(D$1,[1]characters!$1:$1,0)-MATCH($C$1,[1]characters!$1:$1,0)+1),MATCH(D$1,[1]characters!$1:$1,0)-MATCH($C$1,[1]characters!$1:$1,0)+1,FALSE)</f>
        <v>ハイゼンベルク</v>
      </c>
      <c r="E67" s="57">
        <f ca="1">VLOOKUP($C67,OFFSET([1]characters!$A$1,0,0,COUNTA([1]characters!$A:$A),MATCH(E$1,[1]characters!$1:$1,0)-MATCH($C$1,[1]characters!$1:$1,0)+1),MATCH(E$1,[1]characters!$1:$1,0)-MATCH($C$1,[1]characters!$1:$1,0)+1,FALSE)</f>
        <v>5</v>
      </c>
      <c r="F67" s="57" t="str">
        <f ca="1">VLOOKUP($C67,OFFSET([1]characters!$A$1,0,0,COUNTA([1]characters!$A:$A),MATCH(F$1,[1]characters!$1:$1,0)-MATCH($C$1,[1]characters!$1:$1,0)+1),MATCH(F$1,[1]characters!$1:$1,0)-MATCH($C$1,[1]characters!$1:$1,0)+1,FALSE)</f>
        <v>PremiumSSS</v>
      </c>
      <c r="G67" s="21" t="str">
        <f>VLOOKUP(H67,[1]characters!$A:$T,20)</f>
        <v>super</v>
      </c>
      <c r="H67" s="44">
        <f>VLOOKUP(B67,fork_awake_units!A:Q,17,FALSE )</f>
        <v>1179</v>
      </c>
      <c r="I67" s="21" t="str">
        <f>VLOOKUP(H67,[1]characters!$A:$C,3)</f>
        <v>厳核なる巨大炉 ハイゼンベルク</v>
      </c>
      <c r="J67" s="44">
        <v>296</v>
      </c>
      <c r="K67" s="21" t="str">
        <f>VLOOKUP(J67,[1]characters!$A:$C,3,FALSE)</f>
        <v>アザゼル</v>
      </c>
      <c r="L67" s="18">
        <v>1</v>
      </c>
      <c r="M67" s="111">
        <v>1</v>
      </c>
      <c r="N67" s="111">
        <v>100</v>
      </c>
      <c r="O67" s="11">
        <v>200000</v>
      </c>
    </row>
    <row r="68" spans="1:15" ht="21" customHeight="1" x14ac:dyDescent="0.15">
      <c r="A68" s="65" t="str">
        <f t="shared" si="19"/>
        <v>953_768</v>
      </c>
      <c r="B68" s="44">
        <v>953</v>
      </c>
      <c r="C68" s="195">
        <f t="shared" si="20"/>
        <v>953</v>
      </c>
      <c r="D68" s="57" t="str">
        <f ca="1">VLOOKUP($C68,OFFSET([1]characters!$A$1,0,0,COUNTA([1]characters!$A:$A),MATCH(D$1,[1]characters!$1:$1,0)-MATCH($C$1,[1]characters!$1:$1,0)+1),MATCH(D$1,[1]characters!$1:$1,0)-MATCH($C$1,[1]characters!$1:$1,0)+1,FALSE)</f>
        <v>ハイゼンベルク</v>
      </c>
      <c r="E68" s="57">
        <f ca="1">VLOOKUP($C68,OFFSET([1]characters!$A$1,0,0,COUNTA([1]characters!$A:$A),MATCH(E$1,[1]characters!$1:$1,0)-MATCH($C$1,[1]characters!$1:$1,0)+1),MATCH(E$1,[1]characters!$1:$1,0)-MATCH($C$1,[1]characters!$1:$1,0)+1,FALSE)</f>
        <v>5</v>
      </c>
      <c r="F68" s="57" t="str">
        <f ca="1">VLOOKUP($C68,OFFSET([1]characters!$A$1,0,0,COUNTA([1]characters!$A:$A),MATCH(F$1,[1]characters!$1:$1,0)-MATCH($C$1,[1]characters!$1:$1,0)+1),MATCH(F$1,[1]characters!$1:$1,0)-MATCH($C$1,[1]characters!$1:$1,0)+1,FALSE)</f>
        <v>PremiumSSS</v>
      </c>
      <c r="G68" s="21" t="str">
        <f>VLOOKUP(H68,[1]characters!$A:$T,20)</f>
        <v>super</v>
      </c>
      <c r="H68" s="44">
        <f>VLOOKUP(B68,fork_awake_units!A:Q,17,FALSE )</f>
        <v>1179</v>
      </c>
      <c r="I68" s="21" t="str">
        <f>VLOOKUP(H68,[1]characters!$A:$C,3)</f>
        <v>厳核なる巨大炉 ハイゼンベルク</v>
      </c>
      <c r="J68" s="44">
        <v>768</v>
      </c>
      <c r="K68" s="21" t="str">
        <f>VLOOKUP(J68,[1]characters!$A:$C,3,FALSE)</f>
        <v>ガレス</v>
      </c>
      <c r="L68" s="18">
        <v>1</v>
      </c>
      <c r="M68" s="111">
        <v>3</v>
      </c>
      <c r="N68" s="111">
        <v>1</v>
      </c>
      <c r="O68" s="11">
        <v>200000</v>
      </c>
    </row>
    <row r="69" spans="1:15" ht="21" customHeight="1" x14ac:dyDescent="0.15">
      <c r="A69" s="65" t="str">
        <f t="shared" si="19"/>
        <v>954_454</v>
      </c>
      <c r="B69" s="44">
        <v>954</v>
      </c>
      <c r="C69" s="195">
        <f>B69</f>
        <v>954</v>
      </c>
      <c r="D69" s="57" t="str">
        <f ca="1">VLOOKUP($C69,OFFSET([1]characters!$A$1,0,0,COUNTA([1]characters!$A:$A),MATCH(D$1,[1]characters!$1:$1,0)-MATCH($C$1,[1]characters!$1:$1,0)+1),MATCH(D$1,[1]characters!$1:$1,0)-MATCH($C$1,[1]characters!$1:$1,0)+1,FALSE)</f>
        <v>不確の量熔者 ハイゼンベルク</v>
      </c>
      <c r="E69" s="57">
        <f ca="1">VLOOKUP($C69,OFFSET([1]characters!$A$1,0,0,COUNTA([1]characters!$A:$A),MATCH(E$1,[1]characters!$1:$1,0)-MATCH($C$1,[1]characters!$1:$1,0)+1),MATCH(E$1,[1]characters!$1:$1,0)-MATCH($C$1,[1]characters!$1:$1,0)+1,FALSE)</f>
        <v>6</v>
      </c>
      <c r="F69" s="57" t="str">
        <f ca="1">VLOOKUP($C69,OFFSET([1]characters!$A$1,0,0,COUNTA([1]characters!$A:$A),MATCH(F$1,[1]characters!$1:$1,0)-MATCH($C$1,[1]characters!$1:$1,0)+1),MATCH(F$1,[1]characters!$1:$1,0)-MATCH($C$1,[1]characters!$1:$1,0)+1,FALSE)</f>
        <v>PremiumSSS</v>
      </c>
      <c r="G69" s="21" t="str">
        <f>VLOOKUP(H69,[1]characters!$A:$T,20)</f>
        <v>super</v>
      </c>
      <c r="H69" s="44">
        <f>VLOOKUP(B69,fork_awake_units!A:Q,17,FALSE )</f>
        <v>1179</v>
      </c>
      <c r="I69" s="21" t="str">
        <f>VLOOKUP(H69,[1]characters!$A:$C,3)</f>
        <v>厳核なる巨大炉 ハイゼンベルク</v>
      </c>
      <c r="J69" s="44">
        <v>454</v>
      </c>
      <c r="K69" s="21" t="str">
        <f>VLOOKUP(J69,[1]characters!$A:$C,3,FALSE)</f>
        <v>二闘 レッサとギガン</v>
      </c>
      <c r="L69" s="18">
        <v>1</v>
      </c>
      <c r="M69" s="111">
        <v>3</v>
      </c>
      <c r="N69" s="111">
        <v>1</v>
      </c>
      <c r="O69" s="11">
        <v>200000</v>
      </c>
    </row>
    <row r="70" spans="1:15" ht="21" customHeight="1" x14ac:dyDescent="0.15">
      <c r="A70" s="65" t="str">
        <f t="shared" ref="A70:A77" si="21">B70&amp;"_"&amp;J70</f>
        <v>954_768</v>
      </c>
      <c r="B70" s="44">
        <v>954</v>
      </c>
      <c r="C70" s="195">
        <f t="shared" ref="C70:C76" si="22">B70</f>
        <v>954</v>
      </c>
      <c r="D70" s="57" t="str">
        <f ca="1">VLOOKUP($C70,OFFSET([1]characters!$A$1,0,0,COUNTA([1]characters!$A:$A),MATCH(D$1,[1]characters!$1:$1,0)-MATCH($C$1,[1]characters!$1:$1,0)+1),MATCH(D$1,[1]characters!$1:$1,0)-MATCH($C$1,[1]characters!$1:$1,0)+1,FALSE)</f>
        <v>不確の量熔者 ハイゼンベルク</v>
      </c>
      <c r="E70" s="57">
        <f ca="1">VLOOKUP($C70,OFFSET([1]characters!$A$1,0,0,COUNTA([1]characters!$A:$A),MATCH(E$1,[1]characters!$1:$1,0)-MATCH($C$1,[1]characters!$1:$1,0)+1),MATCH(E$1,[1]characters!$1:$1,0)-MATCH($C$1,[1]characters!$1:$1,0)+1,FALSE)</f>
        <v>6</v>
      </c>
      <c r="F70" s="57" t="str">
        <f ca="1">VLOOKUP($C70,OFFSET([1]characters!$A$1,0,0,COUNTA([1]characters!$A:$A),MATCH(F$1,[1]characters!$1:$1,0)-MATCH($C$1,[1]characters!$1:$1,0)+1),MATCH(F$1,[1]characters!$1:$1,0)-MATCH($C$1,[1]characters!$1:$1,0)+1,FALSE)</f>
        <v>PremiumSSS</v>
      </c>
      <c r="G70" s="21" t="str">
        <f>VLOOKUP(H70,[1]characters!$A:$T,20)</f>
        <v>super</v>
      </c>
      <c r="H70" s="44">
        <f>VLOOKUP(B70,fork_awake_units!A:Q,17,FALSE )</f>
        <v>1179</v>
      </c>
      <c r="I70" s="21" t="str">
        <f>VLOOKUP(H70,[1]characters!$A:$C,3)</f>
        <v>厳核なる巨大炉 ハイゼンベルク</v>
      </c>
      <c r="J70" s="44">
        <v>768</v>
      </c>
      <c r="K70" s="21" t="str">
        <f>VLOOKUP(J70,[1]characters!$A:$C,3,FALSE)</f>
        <v>ガレス</v>
      </c>
      <c r="L70" s="18">
        <v>1</v>
      </c>
      <c r="M70" s="111">
        <v>3</v>
      </c>
      <c r="N70" s="111">
        <v>1</v>
      </c>
      <c r="O70" s="11">
        <v>200000</v>
      </c>
    </row>
    <row r="71" spans="1:15" ht="21" customHeight="1" x14ac:dyDescent="0.15">
      <c r="A71" s="65" t="str">
        <f t="shared" si="21"/>
        <v>1179_106</v>
      </c>
      <c r="B71" s="44">
        <v>1179</v>
      </c>
      <c r="C71" s="195">
        <f t="shared" si="22"/>
        <v>1179</v>
      </c>
      <c r="D71" s="57" t="str">
        <f ca="1">VLOOKUP($C71,OFFSET([1]characters!$A$1,0,0,COUNTA([1]characters!$A:$A),MATCH(D$1,[1]characters!$1:$1,0)-MATCH($C$1,[1]characters!$1:$1,0)+1),MATCH(D$1,[1]characters!$1:$1,0)-MATCH($C$1,[1]characters!$1:$1,0)+1,FALSE)</f>
        <v>厳核なる巨大炉 ハイゼンベルク</v>
      </c>
      <c r="E71" s="57">
        <f ca="1">VLOOKUP($C71,OFFSET([1]characters!$A$1,0,0,COUNTA([1]characters!$A:$A),MATCH(E$1,[1]characters!$1:$1,0)-MATCH($C$1,[1]characters!$1:$1,0)+1),MATCH(E$1,[1]characters!$1:$1,0)-MATCH($C$1,[1]characters!$1:$1,0)+1,FALSE)</f>
        <v>6</v>
      </c>
      <c r="F71" s="57" t="str">
        <f ca="1">VLOOKUP($C71,OFFSET([1]characters!$A$1,0,0,COUNTA([1]characters!$A:$A),MATCH(F$1,[1]characters!$1:$1,0)-MATCH($C$1,[1]characters!$1:$1,0)+1),MATCH(F$1,[1]characters!$1:$1,0)-MATCH($C$1,[1]characters!$1:$1,0)+1,FALSE)</f>
        <v>PremiumSSS</v>
      </c>
      <c r="G71" s="21" t="str">
        <f>VLOOKUP(H71,[1]characters!$A:$T,20)</f>
        <v>normal</v>
      </c>
      <c r="H71" s="44">
        <f>VLOOKUP(B71,fork_awake_units!A:Q,17,FALSE )</f>
        <v>954</v>
      </c>
      <c r="I71" s="21" t="str">
        <f>VLOOKUP(H71,[1]characters!$A:$C,3)</f>
        <v>不確の量熔者 ハイゼンベルク</v>
      </c>
      <c r="J71" s="44">
        <v>106</v>
      </c>
      <c r="K71" s="21" t="str">
        <f>VLOOKUP(J71,[1]characters!$A:$C,3,FALSE)</f>
        <v>グリーンラビット</v>
      </c>
      <c r="L71" s="18">
        <v>1</v>
      </c>
      <c r="M71" s="111">
        <v>1</v>
      </c>
      <c r="N71" s="111">
        <v>1</v>
      </c>
      <c r="O71" s="11">
        <v>200000</v>
      </c>
    </row>
    <row r="72" spans="1:15" ht="21" customHeight="1" x14ac:dyDescent="0.15">
      <c r="A72" s="65" t="str">
        <f t="shared" si="21"/>
        <v>1179_107</v>
      </c>
      <c r="B72" s="44">
        <v>1179</v>
      </c>
      <c r="C72" s="195">
        <f t="shared" si="22"/>
        <v>1179</v>
      </c>
      <c r="D72" s="57" t="str">
        <f ca="1">VLOOKUP($C72,OFFSET([1]characters!$A$1,0,0,COUNTA([1]characters!$A:$A),MATCH(D$1,[1]characters!$1:$1,0)-MATCH($C$1,[1]characters!$1:$1,0)+1),MATCH(D$1,[1]characters!$1:$1,0)-MATCH($C$1,[1]characters!$1:$1,0)+1,FALSE)</f>
        <v>厳核なる巨大炉 ハイゼンベルク</v>
      </c>
      <c r="E72" s="57">
        <f ca="1">VLOOKUP($C72,OFFSET([1]characters!$A$1,0,0,COUNTA([1]characters!$A:$A),MATCH(E$1,[1]characters!$1:$1,0)-MATCH($C$1,[1]characters!$1:$1,0)+1),MATCH(E$1,[1]characters!$1:$1,0)-MATCH($C$1,[1]characters!$1:$1,0)+1,FALSE)</f>
        <v>6</v>
      </c>
      <c r="F72" s="57" t="str">
        <f ca="1">VLOOKUP($C72,OFFSET([1]characters!$A$1,0,0,COUNTA([1]characters!$A:$A),MATCH(F$1,[1]characters!$1:$1,0)-MATCH($C$1,[1]characters!$1:$1,0)+1),MATCH(F$1,[1]characters!$1:$1,0)-MATCH($C$1,[1]characters!$1:$1,0)+1,FALSE)</f>
        <v>PremiumSSS</v>
      </c>
      <c r="G72" s="21" t="str">
        <f>VLOOKUP(H72,[1]characters!$A:$T,20)</f>
        <v>normal</v>
      </c>
      <c r="H72" s="44">
        <f>VLOOKUP(B72,fork_awake_units!A:Q,17,FALSE )</f>
        <v>954</v>
      </c>
      <c r="I72" s="21" t="str">
        <f>VLOOKUP(H72,[1]characters!$A:$C,3)</f>
        <v>不確の量熔者 ハイゼンベルク</v>
      </c>
      <c r="J72" s="44">
        <v>107</v>
      </c>
      <c r="K72" s="21" t="str">
        <f>VLOOKUP(J72,[1]characters!$A:$C,3,FALSE)</f>
        <v>グリーンキャタップ</v>
      </c>
      <c r="L72" s="18">
        <v>1</v>
      </c>
      <c r="M72" s="111">
        <v>1</v>
      </c>
      <c r="N72" s="111">
        <v>1</v>
      </c>
      <c r="O72" s="11">
        <v>200000</v>
      </c>
    </row>
    <row r="73" spans="1:15" ht="21" customHeight="1" x14ac:dyDescent="0.15">
      <c r="A73" s="65" t="str">
        <f t="shared" si="21"/>
        <v>1179_108</v>
      </c>
      <c r="B73" s="44">
        <v>1179</v>
      </c>
      <c r="C73" s="195">
        <f t="shared" si="22"/>
        <v>1179</v>
      </c>
      <c r="D73" s="57" t="str">
        <f ca="1">VLOOKUP($C73,OFFSET([1]characters!$A$1,0,0,COUNTA([1]characters!$A:$A),MATCH(D$1,[1]characters!$1:$1,0)-MATCH($C$1,[1]characters!$1:$1,0)+1),MATCH(D$1,[1]characters!$1:$1,0)-MATCH($C$1,[1]characters!$1:$1,0)+1,FALSE)</f>
        <v>厳核なる巨大炉 ハイゼンベルク</v>
      </c>
      <c r="E73" s="57">
        <f ca="1">VLOOKUP($C73,OFFSET([1]characters!$A$1,0,0,COUNTA([1]characters!$A:$A),MATCH(E$1,[1]characters!$1:$1,0)-MATCH($C$1,[1]characters!$1:$1,0)+1),MATCH(E$1,[1]characters!$1:$1,0)-MATCH($C$1,[1]characters!$1:$1,0)+1,FALSE)</f>
        <v>6</v>
      </c>
      <c r="F73" s="57" t="str">
        <f ca="1">VLOOKUP($C73,OFFSET([1]characters!$A$1,0,0,COUNTA([1]characters!$A:$A),MATCH(F$1,[1]characters!$1:$1,0)-MATCH($C$1,[1]characters!$1:$1,0)+1),MATCH(F$1,[1]characters!$1:$1,0)-MATCH($C$1,[1]characters!$1:$1,0)+1,FALSE)</f>
        <v>PremiumSSS</v>
      </c>
      <c r="G73" s="21" t="str">
        <f>VLOOKUP(H73,[1]characters!$A:$T,20)</f>
        <v>normal</v>
      </c>
      <c r="H73" s="44">
        <f>VLOOKUP(B73,fork_awake_units!A:Q,17,FALSE )</f>
        <v>954</v>
      </c>
      <c r="I73" s="21" t="str">
        <f>VLOOKUP(H73,[1]characters!$A:$C,3)</f>
        <v>不確の量熔者 ハイゼンベルク</v>
      </c>
      <c r="J73" s="44">
        <v>108</v>
      </c>
      <c r="K73" s="21" t="str">
        <f>VLOOKUP(J73,[1]characters!$A:$C,3,FALSE)</f>
        <v>森のマッドハッター</v>
      </c>
      <c r="L73" s="18">
        <v>1</v>
      </c>
      <c r="M73" s="111">
        <v>1</v>
      </c>
      <c r="N73" s="111">
        <v>1</v>
      </c>
      <c r="O73" s="11">
        <v>200000</v>
      </c>
    </row>
    <row r="74" spans="1:15" ht="21" customHeight="1" x14ac:dyDescent="0.15">
      <c r="A74" s="65" t="str">
        <f t="shared" si="21"/>
        <v>880_858</v>
      </c>
      <c r="B74" s="44">
        <v>880</v>
      </c>
      <c r="C74" s="195">
        <f t="shared" si="22"/>
        <v>880</v>
      </c>
      <c r="D74" s="57" t="str">
        <f ca="1">VLOOKUP($C74,OFFSET([1]characters!$A$1,0,0,COUNTA([1]characters!$A:$A),MATCH(D$1,[1]characters!$1:$1,0)-MATCH($C$1,[1]characters!$1:$1,0)+1),MATCH(D$1,[1]characters!$1:$1,0)-MATCH($C$1,[1]characters!$1:$1,0)+1,FALSE)</f>
        <v>ハーシェル</v>
      </c>
      <c r="E74" s="57">
        <f ca="1">VLOOKUP($C74,OFFSET([1]characters!$A$1,0,0,COUNTA([1]characters!$A:$A),MATCH(E$1,[1]characters!$1:$1,0)-MATCH($C$1,[1]characters!$1:$1,0)+1),MATCH(E$1,[1]characters!$1:$1,0)-MATCH($C$1,[1]characters!$1:$1,0)+1,FALSE)</f>
        <v>5</v>
      </c>
      <c r="F74" s="57" t="str">
        <f ca="1">VLOOKUP($C74,OFFSET([1]characters!$A$1,0,0,COUNTA([1]characters!$A:$A),MATCH(F$1,[1]characters!$1:$1,0)-MATCH($C$1,[1]characters!$1:$1,0)+1),MATCH(F$1,[1]characters!$1:$1,0)-MATCH($C$1,[1]characters!$1:$1,0)+1,FALSE)</f>
        <v>PremiumSSS</v>
      </c>
      <c r="G74" s="21" t="str">
        <f>VLOOKUP(H74,[1]characters!$A:$T,20)</f>
        <v>super</v>
      </c>
      <c r="H74" s="44">
        <f>VLOOKUP(B74,fork_awake_units!A:Q,17,FALSE )</f>
        <v>1185</v>
      </c>
      <c r="I74" s="21" t="str">
        <f>VLOOKUP(H74,[1]characters!$A:$C,3)</f>
        <v>兆銀河団の星観者 ハーシェル</v>
      </c>
      <c r="J74" s="44">
        <v>858</v>
      </c>
      <c r="K74" s="21" t="str">
        <f>VLOOKUP(J74,[1]characters!$A:$C,3,FALSE)</f>
        <v>Mr.ホエール</v>
      </c>
      <c r="L74" s="18">
        <v>1</v>
      </c>
      <c r="M74" s="111">
        <v>3</v>
      </c>
      <c r="N74" s="111">
        <v>1</v>
      </c>
      <c r="O74" s="11">
        <v>200000</v>
      </c>
    </row>
    <row r="75" spans="1:15" ht="21" customHeight="1" x14ac:dyDescent="0.15">
      <c r="A75" s="65" t="str">
        <f t="shared" si="21"/>
        <v>880_740</v>
      </c>
      <c r="B75" s="44">
        <v>880</v>
      </c>
      <c r="C75" s="195">
        <f t="shared" si="22"/>
        <v>880</v>
      </c>
      <c r="D75" s="57" t="str">
        <f ca="1">VLOOKUP($C75,OFFSET([1]characters!$A$1,0,0,COUNTA([1]characters!$A:$A),MATCH(D$1,[1]characters!$1:$1,0)-MATCH($C$1,[1]characters!$1:$1,0)+1),MATCH(D$1,[1]characters!$1:$1,0)-MATCH($C$1,[1]characters!$1:$1,0)+1,FALSE)</f>
        <v>ハーシェル</v>
      </c>
      <c r="E75" s="57">
        <f ca="1">VLOOKUP($C75,OFFSET([1]characters!$A$1,0,0,COUNTA([1]characters!$A:$A),MATCH(E$1,[1]characters!$1:$1,0)-MATCH($C$1,[1]characters!$1:$1,0)+1),MATCH(E$1,[1]characters!$1:$1,0)-MATCH($C$1,[1]characters!$1:$1,0)+1,FALSE)</f>
        <v>5</v>
      </c>
      <c r="F75" s="57" t="str">
        <f ca="1">VLOOKUP($C75,OFFSET([1]characters!$A$1,0,0,COUNTA([1]characters!$A:$A),MATCH(F$1,[1]characters!$1:$1,0)-MATCH($C$1,[1]characters!$1:$1,0)+1),MATCH(F$1,[1]characters!$1:$1,0)-MATCH($C$1,[1]characters!$1:$1,0)+1,FALSE)</f>
        <v>PremiumSSS</v>
      </c>
      <c r="G75" s="21" t="str">
        <f>VLOOKUP(H75,[1]characters!$A:$T,20)</f>
        <v>super</v>
      </c>
      <c r="H75" s="44">
        <f>VLOOKUP(B75,fork_awake_units!A:Q,17,FALSE )</f>
        <v>1185</v>
      </c>
      <c r="I75" s="21" t="str">
        <f>VLOOKUP(H75,[1]characters!$A:$C,3)</f>
        <v>兆銀河団の星観者 ハーシェル</v>
      </c>
      <c r="J75" s="44">
        <v>740</v>
      </c>
      <c r="K75" s="21" t="str">
        <f>VLOOKUP(J75,[1]characters!$A:$C,3,FALSE)</f>
        <v>テュポーン</v>
      </c>
      <c r="L75" s="18">
        <v>1</v>
      </c>
      <c r="M75" s="111">
        <v>1</v>
      </c>
      <c r="N75" s="111">
        <v>100</v>
      </c>
      <c r="O75" s="11">
        <v>200000</v>
      </c>
    </row>
    <row r="76" spans="1:15" ht="21" customHeight="1" x14ac:dyDescent="0.15">
      <c r="A76" s="65" t="str">
        <f t="shared" si="21"/>
        <v>880_508</v>
      </c>
      <c r="B76" s="44">
        <v>880</v>
      </c>
      <c r="C76" s="195">
        <f t="shared" si="22"/>
        <v>880</v>
      </c>
      <c r="D76" s="57" t="str">
        <f ca="1">VLOOKUP($C76,OFFSET([1]characters!$A$1,0,0,COUNTA([1]characters!$A:$A),MATCH(D$1,[1]characters!$1:$1,0)-MATCH($C$1,[1]characters!$1:$1,0)+1),MATCH(D$1,[1]characters!$1:$1,0)-MATCH($C$1,[1]characters!$1:$1,0)+1,FALSE)</f>
        <v>ハーシェル</v>
      </c>
      <c r="E76" s="57">
        <f ca="1">VLOOKUP($C76,OFFSET([1]characters!$A$1,0,0,COUNTA([1]characters!$A:$A),MATCH(E$1,[1]characters!$1:$1,0)-MATCH($C$1,[1]characters!$1:$1,0)+1),MATCH(E$1,[1]characters!$1:$1,0)-MATCH($C$1,[1]characters!$1:$1,0)+1,FALSE)</f>
        <v>5</v>
      </c>
      <c r="F76" s="57" t="str">
        <f ca="1">VLOOKUP($C76,OFFSET([1]characters!$A$1,0,0,COUNTA([1]characters!$A:$A),MATCH(F$1,[1]characters!$1:$1,0)-MATCH($C$1,[1]characters!$1:$1,0)+1),MATCH(F$1,[1]characters!$1:$1,0)-MATCH($C$1,[1]characters!$1:$1,0)+1,FALSE)</f>
        <v>PremiumSSS</v>
      </c>
      <c r="G76" s="21" t="str">
        <f>VLOOKUP(H76,[1]characters!$A:$T,20)</f>
        <v>super</v>
      </c>
      <c r="H76" s="44">
        <f>VLOOKUP(B76,fork_awake_units!A:Q,17,FALSE )</f>
        <v>1185</v>
      </c>
      <c r="I76" s="21" t="str">
        <f>VLOOKUP(H76,[1]characters!$A:$C,3)</f>
        <v>兆銀河団の星観者 ハーシェル</v>
      </c>
      <c r="J76" s="44">
        <v>508</v>
      </c>
      <c r="K76" s="21" t="str">
        <f>VLOOKUP(J76,[1]characters!$A:$C,3,FALSE)</f>
        <v>Gスター・チルドレン</v>
      </c>
      <c r="L76" s="18">
        <v>1</v>
      </c>
      <c r="M76" s="111">
        <v>3</v>
      </c>
      <c r="N76" s="111">
        <v>1</v>
      </c>
      <c r="O76" s="11">
        <v>200000</v>
      </c>
    </row>
    <row r="77" spans="1:15" ht="21" customHeight="1" x14ac:dyDescent="0.15">
      <c r="A77" s="65" t="str">
        <f t="shared" si="21"/>
        <v>881_858</v>
      </c>
      <c r="B77" s="44">
        <v>881</v>
      </c>
      <c r="C77" s="195">
        <f>B77</f>
        <v>881</v>
      </c>
      <c r="D77" s="57" t="str">
        <f ca="1">VLOOKUP($C77,OFFSET([1]characters!$A$1,0,0,COUNTA([1]characters!$A:$A),MATCH(D$1,[1]characters!$1:$1,0)-MATCH($C$1,[1]characters!$1:$1,0)+1),MATCH(D$1,[1]characters!$1:$1,0)-MATCH($C$1,[1]characters!$1:$1,0)+1,FALSE)</f>
        <v>銀河究星の望観者 ハーシェル</v>
      </c>
      <c r="E77" s="57">
        <f ca="1">VLOOKUP($C77,OFFSET([1]characters!$A$1,0,0,COUNTA([1]characters!$A:$A),MATCH(E$1,[1]characters!$1:$1,0)-MATCH($C$1,[1]characters!$1:$1,0)+1),MATCH(E$1,[1]characters!$1:$1,0)-MATCH($C$1,[1]characters!$1:$1,0)+1,FALSE)</f>
        <v>6</v>
      </c>
      <c r="F77" s="57" t="str">
        <f ca="1">VLOOKUP($C77,OFFSET([1]characters!$A$1,0,0,COUNTA([1]characters!$A:$A),MATCH(F$1,[1]characters!$1:$1,0)-MATCH($C$1,[1]characters!$1:$1,0)+1),MATCH(F$1,[1]characters!$1:$1,0)-MATCH($C$1,[1]characters!$1:$1,0)+1,FALSE)</f>
        <v>PremiumSSS</v>
      </c>
      <c r="G77" s="21" t="str">
        <f>VLOOKUP(H77,[1]characters!$A:$T,20)</f>
        <v>super</v>
      </c>
      <c r="H77" s="44">
        <f>VLOOKUP(B77,fork_awake_units!A:Q,17,FALSE )</f>
        <v>1185</v>
      </c>
      <c r="I77" s="21" t="str">
        <f>VLOOKUP(H77,[1]characters!$A:$C,3)</f>
        <v>兆銀河団の星観者 ハーシェル</v>
      </c>
      <c r="J77" s="44">
        <v>858</v>
      </c>
      <c r="K77" s="21" t="str">
        <f>VLOOKUP(J77,[1]characters!$A:$C,3,FALSE)</f>
        <v>Mr.ホエール</v>
      </c>
      <c r="L77" s="18">
        <v>1</v>
      </c>
      <c r="M77" s="111">
        <v>3</v>
      </c>
      <c r="N77" s="111">
        <v>1</v>
      </c>
      <c r="O77" s="11">
        <v>200000</v>
      </c>
    </row>
    <row r="78" spans="1:15" ht="21" customHeight="1" x14ac:dyDescent="0.15">
      <c r="A78" s="65" t="str">
        <f t="shared" ref="A78:A93" si="23">B78&amp;"_"&amp;J78</f>
        <v>881_508</v>
      </c>
      <c r="B78" s="44">
        <v>881</v>
      </c>
      <c r="C78" s="195">
        <f t="shared" ref="C78:C92" si="24">B78</f>
        <v>881</v>
      </c>
      <c r="D78" s="57" t="str">
        <f ca="1">VLOOKUP($C78,OFFSET([1]characters!$A$1,0,0,COUNTA([1]characters!$A:$A),MATCH(D$1,[1]characters!$1:$1,0)-MATCH($C$1,[1]characters!$1:$1,0)+1),MATCH(D$1,[1]characters!$1:$1,0)-MATCH($C$1,[1]characters!$1:$1,0)+1,FALSE)</f>
        <v>銀河究星の望観者 ハーシェル</v>
      </c>
      <c r="E78" s="57">
        <f ca="1">VLOOKUP($C78,OFFSET([1]characters!$A$1,0,0,COUNTA([1]characters!$A:$A),MATCH(E$1,[1]characters!$1:$1,0)-MATCH($C$1,[1]characters!$1:$1,0)+1),MATCH(E$1,[1]characters!$1:$1,0)-MATCH($C$1,[1]characters!$1:$1,0)+1,FALSE)</f>
        <v>6</v>
      </c>
      <c r="F78" s="57" t="str">
        <f ca="1">VLOOKUP($C78,OFFSET([1]characters!$A$1,0,0,COUNTA([1]characters!$A:$A),MATCH(F$1,[1]characters!$1:$1,0)-MATCH($C$1,[1]characters!$1:$1,0)+1),MATCH(F$1,[1]characters!$1:$1,0)-MATCH($C$1,[1]characters!$1:$1,0)+1,FALSE)</f>
        <v>PremiumSSS</v>
      </c>
      <c r="G78" s="21" t="str">
        <f>VLOOKUP(H78,[1]characters!$A:$T,20)</f>
        <v>super</v>
      </c>
      <c r="H78" s="44">
        <f>VLOOKUP(B78,fork_awake_units!A:Q,17,FALSE )</f>
        <v>1185</v>
      </c>
      <c r="I78" s="21" t="str">
        <f>VLOOKUP(H78,[1]characters!$A:$C,3)</f>
        <v>兆銀河団の星観者 ハーシェル</v>
      </c>
      <c r="J78" s="44">
        <v>508</v>
      </c>
      <c r="K78" s="21" t="str">
        <f>VLOOKUP(J78,[1]characters!$A:$C,3,FALSE)</f>
        <v>Gスター・チルドレン</v>
      </c>
      <c r="L78" s="18">
        <v>1</v>
      </c>
      <c r="M78" s="111">
        <v>3</v>
      </c>
      <c r="N78" s="111">
        <v>1</v>
      </c>
      <c r="O78" s="11">
        <v>200000</v>
      </c>
    </row>
    <row r="79" spans="1:15" ht="21" customHeight="1" x14ac:dyDescent="0.15">
      <c r="A79" s="65" t="str">
        <f t="shared" si="23"/>
        <v>1185_114</v>
      </c>
      <c r="B79" s="44">
        <v>1185</v>
      </c>
      <c r="C79" s="195">
        <f t="shared" si="24"/>
        <v>1185</v>
      </c>
      <c r="D79" s="57" t="str">
        <f ca="1">VLOOKUP($C79,OFFSET([1]characters!$A$1,0,0,COUNTA([1]characters!$A:$A),MATCH(D$1,[1]characters!$1:$1,0)-MATCH($C$1,[1]characters!$1:$1,0)+1),MATCH(D$1,[1]characters!$1:$1,0)-MATCH($C$1,[1]characters!$1:$1,0)+1,FALSE)</f>
        <v>兆銀河団の星観者 ハーシェル</v>
      </c>
      <c r="E79" s="57">
        <f ca="1">VLOOKUP($C79,OFFSET([1]characters!$A$1,0,0,COUNTA([1]characters!$A:$A),MATCH(E$1,[1]characters!$1:$1,0)-MATCH($C$1,[1]characters!$1:$1,0)+1),MATCH(E$1,[1]characters!$1:$1,0)-MATCH($C$1,[1]characters!$1:$1,0)+1,FALSE)</f>
        <v>6</v>
      </c>
      <c r="F79" s="57" t="str">
        <f ca="1">VLOOKUP($C79,OFFSET([1]characters!$A$1,0,0,COUNTA([1]characters!$A:$A),MATCH(F$1,[1]characters!$1:$1,0)-MATCH($C$1,[1]characters!$1:$1,0)+1),MATCH(F$1,[1]characters!$1:$1,0)-MATCH($C$1,[1]characters!$1:$1,0)+1,FALSE)</f>
        <v>PremiumSSS</v>
      </c>
      <c r="G79" s="21" t="str">
        <f>VLOOKUP(H79,[1]characters!$A:$T,20)</f>
        <v>normal</v>
      </c>
      <c r="H79" s="44">
        <f>VLOOKUP(B79,fork_awake_units!A:Q,17,FALSE )</f>
        <v>881</v>
      </c>
      <c r="I79" s="21" t="str">
        <f>VLOOKUP(H79,[1]characters!$A:$C,3)</f>
        <v>銀河究星の望観者 ハーシェル</v>
      </c>
      <c r="J79" s="44">
        <v>114</v>
      </c>
      <c r="K79" s="21" t="str">
        <f>VLOOKUP(J79,[1]characters!$A:$C,3,FALSE)</f>
        <v>イエローラビット</v>
      </c>
      <c r="L79" s="18">
        <v>1</v>
      </c>
      <c r="M79" s="111">
        <v>1</v>
      </c>
      <c r="N79" s="111">
        <v>1</v>
      </c>
      <c r="O79" s="11">
        <v>200000</v>
      </c>
    </row>
    <row r="80" spans="1:15" ht="21" customHeight="1" x14ac:dyDescent="0.15">
      <c r="A80" s="65" t="str">
        <f t="shared" si="23"/>
        <v>1185_115</v>
      </c>
      <c r="B80" s="44">
        <v>1185</v>
      </c>
      <c r="C80" s="195">
        <f t="shared" si="24"/>
        <v>1185</v>
      </c>
      <c r="D80" s="57" t="str">
        <f ca="1">VLOOKUP($C80,OFFSET([1]characters!$A$1,0,0,COUNTA([1]characters!$A:$A),MATCH(D$1,[1]characters!$1:$1,0)-MATCH($C$1,[1]characters!$1:$1,0)+1),MATCH(D$1,[1]characters!$1:$1,0)-MATCH($C$1,[1]characters!$1:$1,0)+1,FALSE)</f>
        <v>兆銀河団の星観者 ハーシェル</v>
      </c>
      <c r="E80" s="57">
        <f ca="1">VLOOKUP($C80,OFFSET([1]characters!$A$1,0,0,COUNTA([1]characters!$A:$A),MATCH(E$1,[1]characters!$1:$1,0)-MATCH($C$1,[1]characters!$1:$1,0)+1),MATCH(E$1,[1]characters!$1:$1,0)-MATCH($C$1,[1]characters!$1:$1,0)+1,FALSE)</f>
        <v>6</v>
      </c>
      <c r="F80" s="57" t="str">
        <f ca="1">VLOOKUP($C80,OFFSET([1]characters!$A$1,0,0,COUNTA([1]characters!$A:$A),MATCH(F$1,[1]characters!$1:$1,0)-MATCH($C$1,[1]characters!$1:$1,0)+1),MATCH(F$1,[1]characters!$1:$1,0)-MATCH($C$1,[1]characters!$1:$1,0)+1,FALSE)</f>
        <v>PremiumSSS</v>
      </c>
      <c r="G80" s="21" t="str">
        <f>VLOOKUP(H80,[1]characters!$A:$T,20)</f>
        <v>normal</v>
      </c>
      <c r="H80" s="44">
        <f>VLOOKUP(B80,fork_awake_units!A:Q,17,FALSE )</f>
        <v>881</v>
      </c>
      <c r="I80" s="21" t="str">
        <f>VLOOKUP(H80,[1]characters!$A:$C,3)</f>
        <v>銀河究星の望観者 ハーシェル</v>
      </c>
      <c r="J80" s="44">
        <v>115</v>
      </c>
      <c r="K80" s="21" t="str">
        <f>VLOOKUP(J80,[1]characters!$A:$C,3,FALSE)</f>
        <v>イエローキャタップ</v>
      </c>
      <c r="L80" s="18">
        <v>1</v>
      </c>
      <c r="M80" s="111">
        <v>1</v>
      </c>
      <c r="N80" s="111">
        <v>1</v>
      </c>
      <c r="O80" s="11">
        <v>200000</v>
      </c>
    </row>
    <row r="81" spans="1:15" ht="21" customHeight="1" x14ac:dyDescent="0.15">
      <c r="A81" s="65" t="str">
        <f t="shared" si="23"/>
        <v>1185_116</v>
      </c>
      <c r="B81" s="44">
        <v>1185</v>
      </c>
      <c r="C81" s="195">
        <f t="shared" si="24"/>
        <v>1185</v>
      </c>
      <c r="D81" s="57" t="str">
        <f ca="1">VLOOKUP($C81,OFFSET([1]characters!$A$1,0,0,COUNTA([1]characters!$A:$A),MATCH(D$1,[1]characters!$1:$1,0)-MATCH($C$1,[1]characters!$1:$1,0)+1),MATCH(D$1,[1]characters!$1:$1,0)-MATCH($C$1,[1]characters!$1:$1,0)+1,FALSE)</f>
        <v>兆銀河団の星観者 ハーシェル</v>
      </c>
      <c r="E81" s="57">
        <f ca="1">VLOOKUP($C81,OFFSET([1]characters!$A$1,0,0,COUNTA([1]characters!$A:$A),MATCH(E$1,[1]characters!$1:$1,0)-MATCH($C$1,[1]characters!$1:$1,0)+1),MATCH(E$1,[1]characters!$1:$1,0)-MATCH($C$1,[1]characters!$1:$1,0)+1,FALSE)</f>
        <v>6</v>
      </c>
      <c r="F81" s="57" t="str">
        <f ca="1">VLOOKUP($C81,OFFSET([1]characters!$A$1,0,0,COUNTA([1]characters!$A:$A),MATCH(F$1,[1]characters!$1:$1,0)-MATCH($C$1,[1]characters!$1:$1,0)+1),MATCH(F$1,[1]characters!$1:$1,0)-MATCH($C$1,[1]characters!$1:$1,0)+1,FALSE)</f>
        <v>PremiumSSS</v>
      </c>
      <c r="G81" s="21" t="str">
        <f>VLOOKUP(H81,[1]characters!$A:$T,20)</f>
        <v>normal</v>
      </c>
      <c r="H81" s="44">
        <f>VLOOKUP(B81,fork_awake_units!A:Q,17,FALSE )</f>
        <v>881</v>
      </c>
      <c r="I81" s="21" t="str">
        <f>VLOOKUP(H81,[1]characters!$A:$C,3)</f>
        <v>銀河究星の望観者 ハーシェル</v>
      </c>
      <c r="J81" s="44">
        <v>116</v>
      </c>
      <c r="K81" s="21" t="str">
        <f>VLOOKUP(J81,[1]characters!$A:$C,3,FALSE)</f>
        <v>雷のマッドハッター</v>
      </c>
      <c r="L81" s="18">
        <v>1</v>
      </c>
      <c r="M81" s="111">
        <v>1</v>
      </c>
      <c r="N81" s="111">
        <v>1</v>
      </c>
      <c r="O81" s="11">
        <v>200000</v>
      </c>
    </row>
    <row r="82" spans="1:15" ht="21" customHeight="1" x14ac:dyDescent="0.15">
      <c r="A82" s="65" t="str">
        <f t="shared" si="23"/>
        <v>315_264</v>
      </c>
      <c r="B82" s="218">
        <v>315</v>
      </c>
      <c r="C82" s="195">
        <f t="shared" si="24"/>
        <v>315</v>
      </c>
      <c r="D82" s="57" t="str">
        <f ca="1">VLOOKUP($C82,OFFSET([1]characters!$A$1,0,0,COUNTA([1]characters!$A:$A),MATCH(D$1,[1]characters!$1:$1,0)-MATCH($C$1,[1]characters!$1:$1,0)+1),MATCH(D$1,[1]characters!$1:$1,0)-MATCH($C$1,[1]characters!$1:$1,0)+1,FALSE)</f>
        <v>鉄馬駆る聖女 ジャンヌ</v>
      </c>
      <c r="E82" s="57">
        <f ca="1">VLOOKUP($C82,OFFSET([1]characters!$A$1,0,0,COUNTA([1]characters!$A:$A),MATCH(E$1,[1]characters!$1:$1,0)-MATCH($C$1,[1]characters!$1:$1,0)+1),MATCH(E$1,[1]characters!$1:$1,0)-MATCH($C$1,[1]characters!$1:$1,0)+1,FALSE)</f>
        <v>5</v>
      </c>
      <c r="F82" s="57" t="str">
        <f ca="1">VLOOKUP($C82,OFFSET([1]characters!$A$1,0,0,COUNTA([1]characters!$A:$A),MATCH(F$1,[1]characters!$1:$1,0)-MATCH($C$1,[1]characters!$1:$1,0)+1),MATCH(F$1,[1]characters!$1:$1,0)-MATCH($C$1,[1]characters!$1:$1,0)+1,FALSE)</f>
        <v>DropWizS</v>
      </c>
      <c r="G82" s="21" t="str">
        <f>VLOOKUP(H82,[1]characters!$A:$T,20)</f>
        <v>super</v>
      </c>
      <c r="H82" s="44">
        <v>1118</v>
      </c>
      <c r="I82" s="21" t="str">
        <f>VLOOKUP(H82,[1]characters!$A:$C,3)</f>
        <v>超過速路の閃導者 ジャンヌ</v>
      </c>
      <c r="J82" s="218">
        <v>264</v>
      </c>
      <c r="K82" s="21" t="str">
        <f>VLOOKUP(J82,[1]characters!$A:$C,3,FALSE)</f>
        <v>ユニコーン</v>
      </c>
      <c r="L82" s="18">
        <v>1</v>
      </c>
      <c r="M82" s="111">
        <v>3</v>
      </c>
      <c r="N82" s="111">
        <v>1</v>
      </c>
      <c r="O82" s="11">
        <v>200000</v>
      </c>
    </row>
    <row r="83" spans="1:15" ht="21" customHeight="1" x14ac:dyDescent="0.15">
      <c r="A83" s="65" t="str">
        <f t="shared" si="23"/>
        <v>315_1063</v>
      </c>
      <c r="B83" s="218">
        <v>315</v>
      </c>
      <c r="C83" s="195">
        <f t="shared" si="24"/>
        <v>315</v>
      </c>
      <c r="D83" s="57" t="str">
        <f ca="1">VLOOKUP($C83,OFFSET([1]characters!$A$1,0,0,COUNTA([1]characters!$A:$A),MATCH(D$1,[1]characters!$1:$1,0)-MATCH($C$1,[1]characters!$1:$1,0)+1),MATCH(D$1,[1]characters!$1:$1,0)-MATCH($C$1,[1]characters!$1:$1,0)+1,FALSE)</f>
        <v>鉄馬駆る聖女 ジャンヌ</v>
      </c>
      <c r="E83" s="57">
        <f ca="1">VLOOKUP($C83,OFFSET([1]characters!$A$1,0,0,COUNTA([1]characters!$A:$A),MATCH(E$1,[1]characters!$1:$1,0)-MATCH($C$1,[1]characters!$1:$1,0)+1),MATCH(E$1,[1]characters!$1:$1,0)-MATCH($C$1,[1]characters!$1:$1,0)+1,FALSE)</f>
        <v>5</v>
      </c>
      <c r="F83" s="57" t="str">
        <f ca="1">VLOOKUP($C83,OFFSET([1]characters!$A$1,0,0,COUNTA([1]characters!$A:$A),MATCH(F$1,[1]characters!$1:$1,0)-MATCH($C$1,[1]characters!$1:$1,0)+1),MATCH(F$1,[1]characters!$1:$1,0)-MATCH($C$1,[1]characters!$1:$1,0)+1,FALSE)</f>
        <v>DropWizS</v>
      </c>
      <c r="G83" s="21" t="str">
        <f>VLOOKUP(H83,[1]characters!$A:$T,20)</f>
        <v>super</v>
      </c>
      <c r="H83" s="44">
        <v>1118</v>
      </c>
      <c r="I83" s="21" t="str">
        <f>VLOOKUP(H83,[1]characters!$A:$C,3)</f>
        <v>超過速路の閃導者 ジャンヌ</v>
      </c>
      <c r="J83" s="218">
        <v>1063</v>
      </c>
      <c r="K83" s="21" t="str">
        <f>VLOOKUP(J83,[1]characters!$A:$C,3,FALSE)</f>
        <v>ティアマト</v>
      </c>
      <c r="L83" s="18">
        <v>1</v>
      </c>
      <c r="M83" s="111">
        <v>1</v>
      </c>
      <c r="N83" s="111">
        <v>100</v>
      </c>
      <c r="O83" s="11">
        <v>200000</v>
      </c>
    </row>
    <row r="84" spans="1:15" ht="21" customHeight="1" x14ac:dyDescent="0.15">
      <c r="A84" s="65" t="str">
        <f t="shared" si="23"/>
        <v>315_272</v>
      </c>
      <c r="B84" s="218">
        <v>315</v>
      </c>
      <c r="C84" s="195">
        <f t="shared" si="24"/>
        <v>315</v>
      </c>
      <c r="D84" s="57" t="str">
        <f ca="1">VLOOKUP($C84,OFFSET([1]characters!$A$1,0,0,COUNTA([1]characters!$A:$A),MATCH(D$1,[1]characters!$1:$1,0)-MATCH($C$1,[1]characters!$1:$1,0)+1),MATCH(D$1,[1]characters!$1:$1,0)-MATCH($C$1,[1]characters!$1:$1,0)+1,FALSE)</f>
        <v>鉄馬駆る聖女 ジャンヌ</v>
      </c>
      <c r="E84" s="57">
        <f ca="1">VLOOKUP($C84,OFFSET([1]characters!$A$1,0,0,COUNTA([1]characters!$A:$A),MATCH(E$1,[1]characters!$1:$1,0)-MATCH($C$1,[1]characters!$1:$1,0)+1),MATCH(E$1,[1]characters!$1:$1,0)-MATCH($C$1,[1]characters!$1:$1,0)+1,FALSE)</f>
        <v>5</v>
      </c>
      <c r="F84" s="57" t="str">
        <f ca="1">VLOOKUP($C84,OFFSET([1]characters!$A$1,0,0,COUNTA([1]characters!$A:$A),MATCH(F$1,[1]characters!$1:$1,0)-MATCH($C$1,[1]characters!$1:$1,0)+1),MATCH(F$1,[1]characters!$1:$1,0)-MATCH($C$1,[1]characters!$1:$1,0)+1,FALSE)</f>
        <v>DropWizS</v>
      </c>
      <c r="G84" s="21" t="str">
        <f>VLOOKUP(H84,[1]characters!$A:$T,20)</f>
        <v>super</v>
      </c>
      <c r="H84" s="44">
        <v>1118</v>
      </c>
      <c r="I84" s="21" t="str">
        <f>VLOOKUP(H84,[1]characters!$A:$C,3)</f>
        <v>超過速路の閃導者 ジャンヌ</v>
      </c>
      <c r="J84" s="218">
        <v>272</v>
      </c>
      <c r="K84" s="21" t="str">
        <f>VLOOKUP(J84,[1]characters!$A:$C,3,FALSE)</f>
        <v>魔札のシルベール</v>
      </c>
      <c r="L84" s="18">
        <v>1</v>
      </c>
      <c r="M84" s="111">
        <v>3</v>
      </c>
      <c r="N84" s="111">
        <v>1</v>
      </c>
      <c r="O84" s="11">
        <v>200000</v>
      </c>
    </row>
    <row r="85" spans="1:15" ht="21" customHeight="1" x14ac:dyDescent="0.15">
      <c r="A85" s="65" t="str">
        <f t="shared" si="23"/>
        <v>814_264</v>
      </c>
      <c r="B85" s="218">
        <v>814</v>
      </c>
      <c r="C85" s="195">
        <f t="shared" si="24"/>
        <v>814</v>
      </c>
      <c r="D85" s="57" t="str">
        <f ca="1">VLOOKUP($C85,OFFSET([1]characters!$A$1,0,0,COUNTA([1]characters!$A:$A),MATCH(D$1,[1]characters!$1:$1,0)-MATCH($C$1,[1]characters!$1:$1,0)+1),MATCH(D$1,[1]characters!$1:$1,0)-MATCH($C$1,[1]characters!$1:$1,0)+1,FALSE)</f>
        <v>戦場疾駆の鋼蹄 ジャンヌ</v>
      </c>
      <c r="E85" s="57">
        <f ca="1">VLOOKUP($C85,OFFSET([1]characters!$A$1,0,0,COUNTA([1]characters!$A:$A),MATCH(E$1,[1]characters!$1:$1,0)-MATCH($C$1,[1]characters!$1:$1,0)+1),MATCH(E$1,[1]characters!$1:$1,0)-MATCH($C$1,[1]characters!$1:$1,0)+1,FALSE)</f>
        <v>6</v>
      </c>
      <c r="F85" s="57" t="str">
        <f ca="1">VLOOKUP($C85,OFFSET([1]characters!$A$1,0,0,COUNTA([1]characters!$A:$A),MATCH(F$1,[1]characters!$1:$1,0)-MATCH($C$1,[1]characters!$1:$1,0)+1),MATCH(F$1,[1]characters!$1:$1,0)-MATCH($C$1,[1]characters!$1:$1,0)+1,FALSE)</f>
        <v>DropWizS</v>
      </c>
      <c r="G85" s="21" t="str">
        <f>VLOOKUP(H85,[1]characters!$A:$T,20)</f>
        <v>super</v>
      </c>
      <c r="H85" s="44">
        <v>1118</v>
      </c>
      <c r="I85" s="21" t="str">
        <f>VLOOKUP(H85,[1]characters!$A:$C,3)</f>
        <v>超過速路の閃導者 ジャンヌ</v>
      </c>
      <c r="J85" s="218">
        <v>264</v>
      </c>
      <c r="K85" s="21" t="str">
        <f>VLOOKUP(J85,[1]characters!$A:$C,3,FALSE)</f>
        <v>ユニコーン</v>
      </c>
      <c r="L85" s="18">
        <v>1</v>
      </c>
      <c r="M85" s="111">
        <v>2</v>
      </c>
      <c r="N85" s="111">
        <v>1</v>
      </c>
      <c r="O85" s="11">
        <v>200000</v>
      </c>
    </row>
    <row r="86" spans="1:15" ht="21" customHeight="1" x14ac:dyDescent="0.15">
      <c r="A86" s="65" t="str">
        <f t="shared" si="23"/>
        <v>814_272</v>
      </c>
      <c r="B86" s="218">
        <v>814</v>
      </c>
      <c r="C86" s="195">
        <f t="shared" si="24"/>
        <v>814</v>
      </c>
      <c r="D86" s="57" t="str">
        <f ca="1">VLOOKUP($C86,OFFSET([1]characters!$A$1,0,0,COUNTA([1]characters!$A:$A),MATCH(D$1,[1]characters!$1:$1,0)-MATCH($C$1,[1]characters!$1:$1,0)+1),MATCH(D$1,[1]characters!$1:$1,0)-MATCH($C$1,[1]characters!$1:$1,0)+1,FALSE)</f>
        <v>戦場疾駆の鋼蹄 ジャンヌ</v>
      </c>
      <c r="E86" s="57">
        <f ca="1">VLOOKUP($C86,OFFSET([1]characters!$A$1,0,0,COUNTA([1]characters!$A:$A),MATCH(E$1,[1]characters!$1:$1,0)-MATCH($C$1,[1]characters!$1:$1,0)+1),MATCH(E$1,[1]characters!$1:$1,0)-MATCH($C$1,[1]characters!$1:$1,0)+1,FALSE)</f>
        <v>6</v>
      </c>
      <c r="F86" s="57" t="str">
        <f ca="1">VLOOKUP($C86,OFFSET([1]characters!$A$1,0,0,COUNTA([1]characters!$A:$A),MATCH(F$1,[1]characters!$1:$1,0)-MATCH($C$1,[1]characters!$1:$1,0)+1),MATCH(F$1,[1]characters!$1:$1,0)-MATCH($C$1,[1]characters!$1:$1,0)+1,FALSE)</f>
        <v>DropWizS</v>
      </c>
      <c r="G86" s="21" t="str">
        <f>VLOOKUP(H86,[1]characters!$A:$T,20)</f>
        <v>super</v>
      </c>
      <c r="H86" s="44">
        <v>1118</v>
      </c>
      <c r="I86" s="21" t="str">
        <f>VLOOKUP(H86,[1]characters!$A:$C,3)</f>
        <v>超過速路の閃導者 ジャンヌ</v>
      </c>
      <c r="J86" s="218">
        <v>272</v>
      </c>
      <c r="K86" s="21" t="str">
        <f>VLOOKUP(J86,[1]characters!$A:$C,3,FALSE)</f>
        <v>魔札のシルベール</v>
      </c>
      <c r="L86" s="18">
        <v>1</v>
      </c>
      <c r="M86" s="111">
        <v>2</v>
      </c>
      <c r="N86" s="111">
        <v>1</v>
      </c>
      <c r="O86" s="11">
        <v>200000</v>
      </c>
    </row>
    <row r="87" spans="1:15" ht="21" customHeight="1" x14ac:dyDescent="0.15">
      <c r="A87" s="65" t="str">
        <f t="shared" si="23"/>
        <v>1118_110</v>
      </c>
      <c r="B87" s="218">
        <v>1118</v>
      </c>
      <c r="C87" s="195">
        <f t="shared" si="24"/>
        <v>1118</v>
      </c>
      <c r="D87" s="57" t="str">
        <f ca="1">VLOOKUP($C87,OFFSET([1]characters!$A$1,0,0,COUNTA([1]characters!$A:$A),MATCH(D$1,[1]characters!$1:$1,0)-MATCH($C$1,[1]characters!$1:$1,0)+1),MATCH(D$1,[1]characters!$1:$1,0)-MATCH($C$1,[1]characters!$1:$1,0)+1,FALSE)</f>
        <v>超過速路の閃導者 ジャンヌ</v>
      </c>
      <c r="E87" s="57">
        <f ca="1">VLOOKUP($C87,OFFSET([1]characters!$A$1,0,0,COUNTA([1]characters!$A:$A),MATCH(E$1,[1]characters!$1:$1,0)-MATCH($C$1,[1]characters!$1:$1,0)+1),MATCH(E$1,[1]characters!$1:$1,0)-MATCH($C$1,[1]characters!$1:$1,0)+1,FALSE)</f>
        <v>6</v>
      </c>
      <c r="F87" s="57" t="str">
        <f ca="1">VLOOKUP($C87,OFFSET([1]characters!$A$1,0,0,COUNTA([1]characters!$A:$A),MATCH(F$1,[1]characters!$1:$1,0)-MATCH($C$1,[1]characters!$1:$1,0)+1),MATCH(F$1,[1]characters!$1:$1,0)-MATCH($C$1,[1]characters!$1:$1,0)+1,FALSE)</f>
        <v>DropWizS</v>
      </c>
      <c r="G87" s="21" t="str">
        <f>VLOOKUP(H87,[1]characters!$A:$T,20)</f>
        <v>normal</v>
      </c>
      <c r="H87" s="44">
        <v>814</v>
      </c>
      <c r="I87" s="21" t="str">
        <f>VLOOKUP(H87,[1]characters!$A:$C,3)</f>
        <v>戦場疾駆の鋼蹄 ジャンヌ</v>
      </c>
      <c r="J87" s="218">
        <v>110</v>
      </c>
      <c r="K87" s="21" t="str">
        <f>VLOOKUP(J87,[1]characters!$A:$C,3,FALSE)</f>
        <v>ブルーラビット</v>
      </c>
      <c r="L87" s="18">
        <v>1</v>
      </c>
      <c r="M87" s="111">
        <v>1</v>
      </c>
      <c r="N87" s="111">
        <v>1</v>
      </c>
      <c r="O87" s="11">
        <v>200000</v>
      </c>
    </row>
    <row r="88" spans="1:15" ht="21" customHeight="1" x14ac:dyDescent="0.15">
      <c r="A88" s="65" t="str">
        <f t="shared" si="23"/>
        <v>1118_111</v>
      </c>
      <c r="B88" s="218">
        <v>1118</v>
      </c>
      <c r="C88" s="195">
        <f t="shared" si="24"/>
        <v>1118</v>
      </c>
      <c r="D88" s="57" t="str">
        <f ca="1">VLOOKUP($C88,OFFSET([1]characters!$A$1,0,0,COUNTA([1]characters!$A:$A),MATCH(D$1,[1]characters!$1:$1,0)-MATCH($C$1,[1]characters!$1:$1,0)+1),MATCH(D$1,[1]characters!$1:$1,0)-MATCH($C$1,[1]characters!$1:$1,0)+1,FALSE)</f>
        <v>超過速路の閃導者 ジャンヌ</v>
      </c>
      <c r="E88" s="57">
        <f ca="1">VLOOKUP($C88,OFFSET([1]characters!$A$1,0,0,COUNTA([1]characters!$A:$A),MATCH(E$1,[1]characters!$1:$1,0)-MATCH($C$1,[1]characters!$1:$1,0)+1),MATCH(E$1,[1]characters!$1:$1,0)-MATCH($C$1,[1]characters!$1:$1,0)+1,FALSE)</f>
        <v>6</v>
      </c>
      <c r="F88" s="57" t="str">
        <f ca="1">VLOOKUP($C88,OFFSET([1]characters!$A$1,0,0,COUNTA([1]characters!$A:$A),MATCH(F$1,[1]characters!$1:$1,0)-MATCH($C$1,[1]characters!$1:$1,0)+1),MATCH(F$1,[1]characters!$1:$1,0)-MATCH($C$1,[1]characters!$1:$1,0)+1,FALSE)</f>
        <v>DropWizS</v>
      </c>
      <c r="G88" s="21" t="str">
        <f>VLOOKUP(H88,[1]characters!$A:$T,20)</f>
        <v>normal</v>
      </c>
      <c r="H88" s="44">
        <v>814</v>
      </c>
      <c r="I88" s="21" t="str">
        <f>VLOOKUP(H88,[1]characters!$A:$C,3)</f>
        <v>戦場疾駆の鋼蹄 ジャンヌ</v>
      </c>
      <c r="J88" s="218">
        <v>111</v>
      </c>
      <c r="K88" s="21" t="str">
        <f>VLOOKUP(J88,[1]characters!$A:$C,3,FALSE)</f>
        <v>ブルーキャタップ</v>
      </c>
      <c r="L88" s="18">
        <v>1</v>
      </c>
      <c r="M88" s="111">
        <v>1</v>
      </c>
      <c r="N88" s="111">
        <v>1</v>
      </c>
      <c r="O88" s="11">
        <v>200000</v>
      </c>
    </row>
    <row r="89" spans="1:15" ht="21" customHeight="1" x14ac:dyDescent="0.15">
      <c r="A89" s="65" t="str">
        <f t="shared" si="23"/>
        <v>1118_112</v>
      </c>
      <c r="B89" s="218">
        <v>1118</v>
      </c>
      <c r="C89" s="195">
        <f t="shared" si="24"/>
        <v>1118</v>
      </c>
      <c r="D89" s="57" t="str">
        <f ca="1">VLOOKUP($C89,OFFSET([1]characters!$A$1,0,0,COUNTA([1]characters!$A:$A),MATCH(D$1,[1]characters!$1:$1,0)-MATCH($C$1,[1]characters!$1:$1,0)+1),MATCH(D$1,[1]characters!$1:$1,0)-MATCH($C$1,[1]characters!$1:$1,0)+1,FALSE)</f>
        <v>超過速路の閃導者 ジャンヌ</v>
      </c>
      <c r="E89" s="57">
        <f ca="1">VLOOKUP($C89,OFFSET([1]characters!$A$1,0,0,COUNTA([1]characters!$A:$A),MATCH(E$1,[1]characters!$1:$1,0)-MATCH($C$1,[1]characters!$1:$1,0)+1),MATCH(E$1,[1]characters!$1:$1,0)-MATCH($C$1,[1]characters!$1:$1,0)+1,FALSE)</f>
        <v>6</v>
      </c>
      <c r="F89" s="57" t="str">
        <f ca="1">VLOOKUP($C89,OFFSET([1]characters!$A$1,0,0,COUNTA([1]characters!$A:$A),MATCH(F$1,[1]characters!$1:$1,0)-MATCH($C$1,[1]characters!$1:$1,0)+1),MATCH(F$1,[1]characters!$1:$1,0)-MATCH($C$1,[1]characters!$1:$1,0)+1,FALSE)</f>
        <v>DropWizS</v>
      </c>
      <c r="G89" s="21" t="str">
        <f>VLOOKUP(H89,[1]characters!$A:$T,20)</f>
        <v>normal</v>
      </c>
      <c r="H89" s="44">
        <v>814</v>
      </c>
      <c r="I89" s="21" t="str">
        <f>VLOOKUP(H89,[1]characters!$A:$C,3)</f>
        <v>戦場疾駆の鋼蹄 ジャンヌ</v>
      </c>
      <c r="J89" s="218">
        <v>112</v>
      </c>
      <c r="K89" s="21" t="str">
        <f>VLOOKUP(J89,[1]characters!$A:$C,3,FALSE)</f>
        <v>水のマッドハッター</v>
      </c>
      <c r="L89" s="18">
        <v>1</v>
      </c>
      <c r="M89" s="111">
        <v>1</v>
      </c>
      <c r="N89" s="111">
        <v>1</v>
      </c>
      <c r="O89" s="11">
        <v>200000</v>
      </c>
    </row>
    <row r="90" spans="1:15" ht="21" customHeight="1" x14ac:dyDescent="0.15">
      <c r="A90" s="65" t="str">
        <f t="shared" si="23"/>
        <v>974_860</v>
      </c>
      <c r="B90" s="44">
        <v>974</v>
      </c>
      <c r="C90" s="195">
        <f t="shared" si="24"/>
        <v>974</v>
      </c>
      <c r="D90" s="57" t="str">
        <f ca="1">VLOOKUP($C90,OFFSET([1]characters!$A$1,0,0,COUNTA([1]characters!$A:$A),MATCH(D$1,[1]characters!$1:$1,0)-MATCH($C$1,[1]characters!$1:$1,0)+1),MATCH(D$1,[1]characters!$1:$1,0)-MATCH($C$1,[1]characters!$1:$1,0)+1,FALSE)</f>
        <v>ブール</v>
      </c>
      <c r="E90" s="57">
        <f ca="1">VLOOKUP($C90,OFFSET([1]characters!$A$1,0,0,COUNTA([1]characters!$A:$A),MATCH(E$1,[1]characters!$1:$1,0)-MATCH($C$1,[1]characters!$1:$1,0)+1),MATCH(E$1,[1]characters!$1:$1,0)-MATCH($C$1,[1]characters!$1:$1,0)+1,FALSE)</f>
        <v>5</v>
      </c>
      <c r="F90" s="57" t="str">
        <f ca="1">VLOOKUP($C90,OFFSET([1]characters!$A$1,0,0,COUNTA([1]characters!$A:$A),MATCH(F$1,[1]characters!$1:$1,0)-MATCH($C$1,[1]characters!$1:$1,0)+1),MATCH(F$1,[1]characters!$1:$1,0)-MATCH($C$1,[1]characters!$1:$1,0)+1,FALSE)</f>
        <v>PremiumSSS</v>
      </c>
      <c r="G90" s="21" t="str">
        <f>VLOOKUP(H90,[1]characters!$A:$T,20)</f>
        <v>super</v>
      </c>
      <c r="H90" s="44">
        <v>1123</v>
      </c>
      <c r="I90" s="21" t="str">
        <f>VLOOKUP(H90,[1]characters!$A:$C,3)</f>
        <v>舞降りし綺鏡羽 ブール</v>
      </c>
      <c r="J90" s="44">
        <v>860</v>
      </c>
      <c r="K90" s="21" t="str">
        <f>VLOOKUP(J90,[1]characters!$A:$C,3,FALSE)</f>
        <v>叶望の幻燈 ジーナ</v>
      </c>
      <c r="L90" s="18">
        <v>1</v>
      </c>
      <c r="M90" s="111">
        <v>3</v>
      </c>
      <c r="N90" s="111">
        <v>1</v>
      </c>
      <c r="O90" s="11">
        <v>200000</v>
      </c>
    </row>
    <row r="91" spans="1:15" ht="21" customHeight="1" x14ac:dyDescent="0.15">
      <c r="A91" s="65" t="str">
        <f t="shared" si="23"/>
        <v>974_648</v>
      </c>
      <c r="B91" s="44">
        <v>974</v>
      </c>
      <c r="C91" s="195">
        <f t="shared" si="24"/>
        <v>974</v>
      </c>
      <c r="D91" s="57" t="str">
        <f ca="1">VLOOKUP($C91,OFFSET([1]characters!$A$1,0,0,COUNTA([1]characters!$A:$A),MATCH(D$1,[1]characters!$1:$1,0)-MATCH($C$1,[1]characters!$1:$1,0)+1),MATCH(D$1,[1]characters!$1:$1,0)-MATCH($C$1,[1]characters!$1:$1,0)+1,FALSE)</f>
        <v>ブール</v>
      </c>
      <c r="E91" s="57">
        <f ca="1">VLOOKUP($C91,OFFSET([1]characters!$A$1,0,0,COUNTA([1]characters!$A:$A),MATCH(E$1,[1]characters!$1:$1,0)-MATCH($C$1,[1]characters!$1:$1,0)+1),MATCH(E$1,[1]characters!$1:$1,0)-MATCH($C$1,[1]characters!$1:$1,0)+1,FALSE)</f>
        <v>5</v>
      </c>
      <c r="F91" s="57" t="str">
        <f ca="1">VLOOKUP($C91,OFFSET([1]characters!$A$1,0,0,COUNTA([1]characters!$A:$A),MATCH(F$1,[1]characters!$1:$1,0)-MATCH($C$1,[1]characters!$1:$1,0)+1),MATCH(F$1,[1]characters!$1:$1,0)-MATCH($C$1,[1]characters!$1:$1,0)+1,FALSE)</f>
        <v>PremiumSSS</v>
      </c>
      <c r="G91" s="21" t="str">
        <f>VLOOKUP(H91,[1]characters!$A:$T,20)</f>
        <v>super</v>
      </c>
      <c r="H91" s="44">
        <v>1123</v>
      </c>
      <c r="I91" s="21" t="str">
        <f>VLOOKUP(H91,[1]characters!$A:$C,3)</f>
        <v>舞降りし綺鏡羽 ブール</v>
      </c>
      <c r="J91" s="44">
        <v>648</v>
      </c>
      <c r="K91" s="21" t="str">
        <f>VLOOKUP(J91,[1]characters!$A:$C,3,FALSE)</f>
        <v>パールヴァティ</v>
      </c>
      <c r="L91" s="18">
        <v>1</v>
      </c>
      <c r="M91" s="111">
        <v>3</v>
      </c>
      <c r="N91" s="111">
        <v>100</v>
      </c>
      <c r="O91" s="11">
        <v>200000</v>
      </c>
    </row>
    <row r="92" spans="1:15" ht="21" customHeight="1" x14ac:dyDescent="0.15">
      <c r="A92" s="65" t="str">
        <f t="shared" si="23"/>
        <v>974_1063</v>
      </c>
      <c r="B92" s="44">
        <v>974</v>
      </c>
      <c r="C92" s="195">
        <f t="shared" si="24"/>
        <v>974</v>
      </c>
      <c r="D92" s="57" t="str">
        <f ca="1">VLOOKUP($C92,OFFSET([1]characters!$A$1,0,0,COUNTA([1]characters!$A:$A),MATCH(D$1,[1]characters!$1:$1,0)-MATCH($C$1,[1]characters!$1:$1,0)+1),MATCH(D$1,[1]characters!$1:$1,0)-MATCH($C$1,[1]characters!$1:$1,0)+1,FALSE)</f>
        <v>ブール</v>
      </c>
      <c r="E92" s="57">
        <f ca="1">VLOOKUP($C92,OFFSET([1]characters!$A$1,0,0,COUNTA([1]characters!$A:$A),MATCH(E$1,[1]characters!$1:$1,0)-MATCH($C$1,[1]characters!$1:$1,0)+1),MATCH(E$1,[1]characters!$1:$1,0)-MATCH($C$1,[1]characters!$1:$1,0)+1,FALSE)</f>
        <v>5</v>
      </c>
      <c r="F92" s="57" t="str">
        <f ca="1">VLOOKUP($C92,OFFSET([1]characters!$A$1,0,0,COUNTA([1]characters!$A:$A),MATCH(F$1,[1]characters!$1:$1,0)-MATCH($C$1,[1]characters!$1:$1,0)+1),MATCH(F$1,[1]characters!$1:$1,0)-MATCH($C$1,[1]characters!$1:$1,0)+1,FALSE)</f>
        <v>PremiumSSS</v>
      </c>
      <c r="G92" s="21" t="str">
        <f>VLOOKUP(H92,[1]characters!$A:$T,20)</f>
        <v>super</v>
      </c>
      <c r="H92" s="44">
        <v>1123</v>
      </c>
      <c r="I92" s="21" t="str">
        <f>VLOOKUP(H92,[1]characters!$A:$C,3)</f>
        <v>舞降りし綺鏡羽 ブール</v>
      </c>
      <c r="J92" s="44">
        <v>1063</v>
      </c>
      <c r="K92" s="21" t="str">
        <f>VLOOKUP(J92,[1]characters!$A:$C,3,FALSE)</f>
        <v>ティアマト</v>
      </c>
      <c r="L92" s="18">
        <v>1</v>
      </c>
      <c r="M92" s="111">
        <v>1</v>
      </c>
      <c r="N92" s="111">
        <v>1</v>
      </c>
      <c r="O92" s="11">
        <v>200000</v>
      </c>
    </row>
    <row r="93" spans="1:15" ht="21" customHeight="1" x14ac:dyDescent="0.15">
      <c r="A93" s="65" t="str">
        <f t="shared" si="23"/>
        <v>975_860</v>
      </c>
      <c r="B93" s="44">
        <v>975</v>
      </c>
      <c r="C93" s="195">
        <f>B93</f>
        <v>975</v>
      </c>
      <c r="D93" s="57" t="str">
        <f ca="1">VLOOKUP($C93,OFFSET([1]characters!$A$1,0,0,COUNTA([1]characters!$A:$A),MATCH(D$1,[1]characters!$1:$1,0)-MATCH($C$1,[1]characters!$1:$1,0)+1),MATCH(D$1,[1]characters!$1:$1,0)-MATCH($C$1,[1]characters!$1:$1,0)+1,FALSE)</f>
        <v>綺号を巡る輝翼 ブール</v>
      </c>
      <c r="E93" s="57">
        <f ca="1">VLOOKUP($C93,OFFSET([1]characters!$A$1,0,0,COUNTA([1]characters!$A:$A),MATCH(E$1,[1]characters!$1:$1,0)-MATCH($C$1,[1]characters!$1:$1,0)+1),MATCH(E$1,[1]characters!$1:$1,0)-MATCH($C$1,[1]characters!$1:$1,0)+1,FALSE)</f>
        <v>6</v>
      </c>
      <c r="F93" s="57" t="str">
        <f ca="1">VLOOKUP($C93,OFFSET([1]characters!$A$1,0,0,COUNTA([1]characters!$A:$A),MATCH(F$1,[1]characters!$1:$1,0)-MATCH($C$1,[1]characters!$1:$1,0)+1),MATCH(F$1,[1]characters!$1:$1,0)-MATCH($C$1,[1]characters!$1:$1,0)+1,FALSE)</f>
        <v>PremiumSSS</v>
      </c>
      <c r="G93" s="21" t="str">
        <f>VLOOKUP(H93,[1]characters!$A:$T,20)</f>
        <v>super</v>
      </c>
      <c r="H93" s="44">
        <v>1123</v>
      </c>
      <c r="I93" s="21" t="str">
        <f>VLOOKUP(H93,[1]characters!$A:$C,3)</f>
        <v>舞降りし綺鏡羽 ブール</v>
      </c>
      <c r="J93" s="44">
        <v>860</v>
      </c>
      <c r="K93" s="21" t="str">
        <f>VLOOKUP(J93,[1]characters!$A:$C,3,FALSE)</f>
        <v>叶望の幻燈 ジーナ</v>
      </c>
      <c r="L93" s="18">
        <v>1</v>
      </c>
      <c r="M93" s="111">
        <v>2</v>
      </c>
      <c r="N93" s="111">
        <v>1</v>
      </c>
      <c r="O93" s="11">
        <v>200000</v>
      </c>
    </row>
    <row r="94" spans="1:15" ht="21" customHeight="1" x14ac:dyDescent="0.15">
      <c r="A94" s="65" t="str">
        <f t="shared" ref="A94:A105" si="25">B94&amp;"_"&amp;J94</f>
        <v>975_648</v>
      </c>
      <c r="B94" s="44">
        <v>975</v>
      </c>
      <c r="C94" s="195">
        <f t="shared" ref="C94:C105" si="26">B94</f>
        <v>975</v>
      </c>
      <c r="D94" s="57" t="str">
        <f ca="1">VLOOKUP($C94,OFFSET([1]characters!$A$1,0,0,COUNTA([1]characters!$A:$A),MATCH(D$1,[1]characters!$1:$1,0)-MATCH($C$1,[1]characters!$1:$1,0)+1),MATCH(D$1,[1]characters!$1:$1,0)-MATCH($C$1,[1]characters!$1:$1,0)+1,FALSE)</f>
        <v>綺号を巡る輝翼 ブール</v>
      </c>
      <c r="E94" s="57">
        <f ca="1">VLOOKUP($C94,OFFSET([1]characters!$A$1,0,0,COUNTA([1]characters!$A:$A),MATCH(E$1,[1]characters!$1:$1,0)-MATCH($C$1,[1]characters!$1:$1,0)+1),MATCH(E$1,[1]characters!$1:$1,0)-MATCH($C$1,[1]characters!$1:$1,0)+1,FALSE)</f>
        <v>6</v>
      </c>
      <c r="F94" s="57" t="str">
        <f ca="1">VLOOKUP($C94,OFFSET([1]characters!$A$1,0,0,COUNTA([1]characters!$A:$A),MATCH(F$1,[1]characters!$1:$1,0)-MATCH($C$1,[1]characters!$1:$1,0)+1),MATCH(F$1,[1]characters!$1:$1,0)-MATCH($C$1,[1]characters!$1:$1,0)+1,FALSE)</f>
        <v>PremiumSSS</v>
      </c>
      <c r="G94" s="21" t="str">
        <f>VLOOKUP(H94,[1]characters!$A:$T,20)</f>
        <v>super</v>
      </c>
      <c r="H94" s="44">
        <v>1123</v>
      </c>
      <c r="I94" s="21" t="str">
        <f>VLOOKUP(H94,[1]characters!$A:$C,3)</f>
        <v>舞降りし綺鏡羽 ブール</v>
      </c>
      <c r="J94" s="44">
        <v>648</v>
      </c>
      <c r="K94" s="21" t="str">
        <f>VLOOKUP(J94,[1]characters!$A:$C,3,FALSE)</f>
        <v>パールヴァティ</v>
      </c>
      <c r="L94" s="18">
        <v>1</v>
      </c>
      <c r="M94" s="111">
        <v>2</v>
      </c>
      <c r="N94" s="111">
        <v>1</v>
      </c>
      <c r="O94" s="11">
        <v>200000</v>
      </c>
    </row>
    <row r="95" spans="1:15" ht="21" customHeight="1" x14ac:dyDescent="0.15">
      <c r="A95" s="65" t="str">
        <f t="shared" si="25"/>
        <v>1123_110</v>
      </c>
      <c r="B95" s="44">
        <v>1123</v>
      </c>
      <c r="C95" s="195">
        <f t="shared" si="26"/>
        <v>1123</v>
      </c>
      <c r="D95" s="57" t="str">
        <f ca="1">VLOOKUP($C95,OFFSET([1]characters!$A$1,0,0,COUNTA([1]characters!$A:$A),MATCH(D$1,[1]characters!$1:$1,0)-MATCH($C$1,[1]characters!$1:$1,0)+1),MATCH(D$1,[1]characters!$1:$1,0)-MATCH($C$1,[1]characters!$1:$1,0)+1,FALSE)</f>
        <v>舞降りし綺鏡羽 ブール</v>
      </c>
      <c r="E95" s="57">
        <f ca="1">VLOOKUP($C95,OFFSET([1]characters!$A$1,0,0,COUNTA([1]characters!$A:$A),MATCH(E$1,[1]characters!$1:$1,0)-MATCH($C$1,[1]characters!$1:$1,0)+1),MATCH(E$1,[1]characters!$1:$1,0)-MATCH($C$1,[1]characters!$1:$1,0)+1,FALSE)</f>
        <v>6</v>
      </c>
      <c r="F95" s="57" t="str">
        <f ca="1">VLOOKUP($C95,OFFSET([1]characters!$A$1,0,0,COUNTA([1]characters!$A:$A),MATCH(F$1,[1]characters!$1:$1,0)-MATCH($C$1,[1]characters!$1:$1,0)+1),MATCH(F$1,[1]characters!$1:$1,0)-MATCH($C$1,[1]characters!$1:$1,0)+1,FALSE)</f>
        <v>PremiumSSS</v>
      </c>
      <c r="G95" s="21" t="str">
        <f>VLOOKUP(H95,[1]characters!$A:$T,20)</f>
        <v>normal</v>
      </c>
      <c r="H95" s="44">
        <v>975</v>
      </c>
      <c r="I95" s="21" t="str">
        <f>VLOOKUP(H95,[1]characters!$A:$C,3)</f>
        <v>綺号を巡る輝翼 ブール</v>
      </c>
      <c r="J95" s="218">
        <v>110</v>
      </c>
      <c r="K95" s="21" t="str">
        <f>VLOOKUP(J95,[1]characters!$A:$C,3,FALSE)</f>
        <v>ブルーラビット</v>
      </c>
      <c r="L95" s="18">
        <v>1</v>
      </c>
      <c r="M95" s="111">
        <v>1</v>
      </c>
      <c r="N95" s="111">
        <v>1</v>
      </c>
      <c r="O95" s="11">
        <v>200000</v>
      </c>
    </row>
    <row r="96" spans="1:15" ht="21" customHeight="1" x14ac:dyDescent="0.15">
      <c r="A96" s="65" t="str">
        <f t="shared" si="25"/>
        <v>1123_111</v>
      </c>
      <c r="B96" s="44">
        <v>1123</v>
      </c>
      <c r="C96" s="195">
        <f t="shared" si="26"/>
        <v>1123</v>
      </c>
      <c r="D96" s="57" t="str">
        <f ca="1">VLOOKUP($C96,OFFSET([1]characters!$A$1,0,0,COUNTA([1]characters!$A:$A),MATCH(D$1,[1]characters!$1:$1,0)-MATCH($C$1,[1]characters!$1:$1,0)+1),MATCH(D$1,[1]characters!$1:$1,0)-MATCH($C$1,[1]characters!$1:$1,0)+1,FALSE)</f>
        <v>舞降りし綺鏡羽 ブール</v>
      </c>
      <c r="E96" s="57">
        <f ca="1">VLOOKUP($C96,OFFSET([1]characters!$A$1,0,0,COUNTA([1]characters!$A:$A),MATCH(E$1,[1]characters!$1:$1,0)-MATCH($C$1,[1]characters!$1:$1,0)+1),MATCH(E$1,[1]characters!$1:$1,0)-MATCH($C$1,[1]characters!$1:$1,0)+1,FALSE)</f>
        <v>6</v>
      </c>
      <c r="F96" s="57" t="str">
        <f ca="1">VLOOKUP($C96,OFFSET([1]characters!$A$1,0,0,COUNTA([1]characters!$A:$A),MATCH(F$1,[1]characters!$1:$1,0)-MATCH($C$1,[1]characters!$1:$1,0)+1),MATCH(F$1,[1]characters!$1:$1,0)-MATCH($C$1,[1]characters!$1:$1,0)+1,FALSE)</f>
        <v>PremiumSSS</v>
      </c>
      <c r="G96" s="21" t="str">
        <f>VLOOKUP(H96,[1]characters!$A:$T,20)</f>
        <v>normal</v>
      </c>
      <c r="H96" s="44">
        <v>975</v>
      </c>
      <c r="I96" s="21" t="str">
        <f>VLOOKUP(H96,[1]characters!$A:$C,3)</f>
        <v>綺号を巡る輝翼 ブール</v>
      </c>
      <c r="J96" s="218">
        <v>111</v>
      </c>
      <c r="K96" s="21" t="str">
        <f>VLOOKUP(J96,[1]characters!$A:$C,3,FALSE)</f>
        <v>ブルーキャタップ</v>
      </c>
      <c r="L96" s="18">
        <v>1</v>
      </c>
      <c r="M96" s="111">
        <v>1</v>
      </c>
      <c r="N96" s="111">
        <v>1</v>
      </c>
      <c r="O96" s="11">
        <v>200000</v>
      </c>
    </row>
    <row r="97" spans="1:15" ht="21" customHeight="1" x14ac:dyDescent="0.15">
      <c r="A97" s="65" t="str">
        <f t="shared" si="25"/>
        <v>1123_112</v>
      </c>
      <c r="B97" s="44">
        <v>1123</v>
      </c>
      <c r="C97" s="195">
        <f t="shared" si="26"/>
        <v>1123</v>
      </c>
      <c r="D97" s="57" t="str">
        <f ca="1">VLOOKUP($C97,OFFSET([1]characters!$A$1,0,0,COUNTA([1]characters!$A:$A),MATCH(D$1,[1]characters!$1:$1,0)-MATCH($C$1,[1]characters!$1:$1,0)+1),MATCH(D$1,[1]characters!$1:$1,0)-MATCH($C$1,[1]characters!$1:$1,0)+1,FALSE)</f>
        <v>舞降りし綺鏡羽 ブール</v>
      </c>
      <c r="E97" s="57">
        <f ca="1">VLOOKUP($C97,OFFSET([1]characters!$A$1,0,0,COUNTA([1]characters!$A:$A),MATCH(E$1,[1]characters!$1:$1,0)-MATCH($C$1,[1]characters!$1:$1,0)+1),MATCH(E$1,[1]characters!$1:$1,0)-MATCH($C$1,[1]characters!$1:$1,0)+1,FALSE)</f>
        <v>6</v>
      </c>
      <c r="F97" s="57" t="str">
        <f ca="1">VLOOKUP($C97,OFFSET([1]characters!$A$1,0,0,COUNTA([1]characters!$A:$A),MATCH(F$1,[1]characters!$1:$1,0)-MATCH($C$1,[1]characters!$1:$1,0)+1),MATCH(F$1,[1]characters!$1:$1,0)-MATCH($C$1,[1]characters!$1:$1,0)+1,FALSE)</f>
        <v>PremiumSSS</v>
      </c>
      <c r="G97" s="21" t="str">
        <f>VLOOKUP(H97,[1]characters!$A:$T,20)</f>
        <v>normal</v>
      </c>
      <c r="H97" s="44">
        <v>975</v>
      </c>
      <c r="I97" s="21" t="str">
        <f>VLOOKUP(H97,[1]characters!$A:$C,3)</f>
        <v>綺号を巡る輝翼 ブール</v>
      </c>
      <c r="J97" s="218">
        <v>112</v>
      </c>
      <c r="K97" s="21" t="str">
        <f>VLOOKUP(J97,[1]characters!$A:$C,3,FALSE)</f>
        <v>水のマッドハッター</v>
      </c>
      <c r="L97" s="18">
        <v>1</v>
      </c>
      <c r="M97" s="111">
        <v>1</v>
      </c>
      <c r="N97" s="111">
        <v>1</v>
      </c>
      <c r="O97" s="11">
        <v>200000</v>
      </c>
    </row>
    <row r="98" spans="1:15" ht="21" customHeight="1" x14ac:dyDescent="0.15">
      <c r="A98" s="65" t="str">
        <f t="shared" si="25"/>
        <v>427_722</v>
      </c>
      <c r="B98" s="218">
        <v>427</v>
      </c>
      <c r="C98" s="195">
        <f t="shared" si="26"/>
        <v>427</v>
      </c>
      <c r="D98" s="57" t="str">
        <f ca="1">VLOOKUP($C98,OFFSET([1]characters!$A$1,0,0,COUNTA([1]characters!$A:$A),MATCH(D$1,[1]characters!$1:$1,0)-MATCH($C$1,[1]characters!$1:$1,0)+1),MATCH(D$1,[1]characters!$1:$1,0)-MATCH($C$1,[1]characters!$1:$1,0)+1,FALSE)</f>
        <v>極・剣豪 宮本武蔵</v>
      </c>
      <c r="E98" s="57">
        <f ca="1">VLOOKUP($C98,OFFSET([1]characters!$A$1,0,0,COUNTA([1]characters!$A:$A),MATCH(E$1,[1]characters!$1:$1,0)-MATCH($C$1,[1]characters!$1:$1,0)+1),MATCH(E$1,[1]characters!$1:$1,0)-MATCH($C$1,[1]characters!$1:$1,0)+1,FALSE)</f>
        <v>5</v>
      </c>
      <c r="F98" s="57" t="str">
        <f ca="1">VLOOKUP($C98,OFFSET([1]characters!$A$1,0,0,COUNTA([1]characters!$A:$A),MATCH(F$1,[1]characters!$1:$1,0)-MATCH($C$1,[1]characters!$1:$1,0)+1),MATCH(F$1,[1]characters!$1:$1,0)-MATCH($C$1,[1]characters!$1:$1,0)+1,FALSE)</f>
        <v>DropWizS</v>
      </c>
      <c r="G98" s="21" t="str">
        <f>VLOOKUP(H98,[1]characters!$A:$T,20)</f>
        <v>super</v>
      </c>
      <c r="H98" s="44">
        <v>1119</v>
      </c>
      <c r="I98" s="21" t="str">
        <f>VLOOKUP(H98,[1]characters!$A:$C,3)</f>
        <v>刹・廻天一流 宮本武蔵</v>
      </c>
      <c r="J98" s="218">
        <v>722</v>
      </c>
      <c r="K98" s="21" t="str">
        <f>VLOOKUP(J98,[1]characters!$A:$C,3,FALSE)</f>
        <v>森蘭丸</v>
      </c>
      <c r="L98" s="18">
        <v>1</v>
      </c>
      <c r="M98" s="111">
        <v>3</v>
      </c>
      <c r="N98" s="111">
        <v>1</v>
      </c>
      <c r="O98" s="11">
        <v>200000</v>
      </c>
    </row>
    <row r="99" spans="1:15" ht="21" customHeight="1" x14ac:dyDescent="0.15">
      <c r="A99" s="65" t="str">
        <f t="shared" si="25"/>
        <v>427_740</v>
      </c>
      <c r="B99" s="218">
        <v>427</v>
      </c>
      <c r="C99" s="195">
        <f t="shared" si="26"/>
        <v>427</v>
      </c>
      <c r="D99" s="57" t="str">
        <f ca="1">VLOOKUP($C99,OFFSET([1]characters!$A$1,0,0,COUNTA([1]characters!$A:$A),MATCH(D$1,[1]characters!$1:$1,0)-MATCH($C$1,[1]characters!$1:$1,0)+1),MATCH(D$1,[1]characters!$1:$1,0)-MATCH($C$1,[1]characters!$1:$1,0)+1,FALSE)</f>
        <v>極・剣豪 宮本武蔵</v>
      </c>
      <c r="E99" s="57">
        <f ca="1">VLOOKUP($C99,OFFSET([1]characters!$A$1,0,0,COUNTA([1]characters!$A:$A),MATCH(E$1,[1]characters!$1:$1,0)-MATCH($C$1,[1]characters!$1:$1,0)+1),MATCH(E$1,[1]characters!$1:$1,0)-MATCH($C$1,[1]characters!$1:$1,0)+1,FALSE)</f>
        <v>5</v>
      </c>
      <c r="F99" s="57" t="str">
        <f ca="1">VLOOKUP($C99,OFFSET([1]characters!$A$1,0,0,COUNTA([1]characters!$A:$A),MATCH(F$1,[1]characters!$1:$1,0)-MATCH($C$1,[1]characters!$1:$1,0)+1),MATCH(F$1,[1]characters!$1:$1,0)-MATCH($C$1,[1]characters!$1:$1,0)+1,FALSE)</f>
        <v>DropWizS</v>
      </c>
      <c r="G99" s="21" t="str">
        <f>VLOOKUP(H99,[1]characters!$A:$T,20)</f>
        <v>super</v>
      </c>
      <c r="H99" s="44">
        <v>1119</v>
      </c>
      <c r="I99" s="21" t="str">
        <f>VLOOKUP(H99,[1]characters!$A:$C,3)</f>
        <v>刹・廻天一流 宮本武蔵</v>
      </c>
      <c r="J99" s="218">
        <v>740</v>
      </c>
      <c r="K99" s="21" t="str">
        <f>VLOOKUP(J99,[1]characters!$A:$C,3,FALSE)</f>
        <v>テュポーン</v>
      </c>
      <c r="L99" s="18">
        <v>1</v>
      </c>
      <c r="M99" s="111">
        <v>1</v>
      </c>
      <c r="N99" s="111">
        <v>100</v>
      </c>
      <c r="O99" s="11">
        <v>200000</v>
      </c>
    </row>
    <row r="100" spans="1:15" ht="21" customHeight="1" x14ac:dyDescent="0.15">
      <c r="A100" s="65" t="str">
        <f t="shared" si="25"/>
        <v>427_268</v>
      </c>
      <c r="B100" s="218">
        <v>427</v>
      </c>
      <c r="C100" s="195">
        <f t="shared" si="26"/>
        <v>427</v>
      </c>
      <c r="D100" s="57" t="str">
        <f ca="1">VLOOKUP($C100,OFFSET([1]characters!$A$1,0,0,COUNTA([1]characters!$A:$A),MATCH(D$1,[1]characters!$1:$1,0)-MATCH($C$1,[1]characters!$1:$1,0)+1),MATCH(D$1,[1]characters!$1:$1,0)-MATCH($C$1,[1]characters!$1:$1,0)+1,FALSE)</f>
        <v>極・剣豪 宮本武蔵</v>
      </c>
      <c r="E100" s="57">
        <f ca="1">VLOOKUP($C100,OFFSET([1]characters!$A$1,0,0,COUNTA([1]characters!$A:$A),MATCH(E$1,[1]characters!$1:$1,0)-MATCH($C$1,[1]characters!$1:$1,0)+1),MATCH(E$1,[1]characters!$1:$1,0)-MATCH($C$1,[1]characters!$1:$1,0)+1,FALSE)</f>
        <v>5</v>
      </c>
      <c r="F100" s="57" t="str">
        <f ca="1">VLOOKUP($C100,OFFSET([1]characters!$A$1,0,0,COUNTA([1]characters!$A:$A),MATCH(F$1,[1]characters!$1:$1,0)-MATCH($C$1,[1]characters!$1:$1,0)+1),MATCH(F$1,[1]characters!$1:$1,0)-MATCH($C$1,[1]characters!$1:$1,0)+1,FALSE)</f>
        <v>DropWizS</v>
      </c>
      <c r="G100" s="21" t="str">
        <f>VLOOKUP(H100,[1]characters!$A:$T,20)</f>
        <v>super</v>
      </c>
      <c r="H100" s="44">
        <v>1119</v>
      </c>
      <c r="I100" s="21" t="str">
        <f>VLOOKUP(H100,[1]characters!$A:$C,3)</f>
        <v>刹・廻天一流 宮本武蔵</v>
      </c>
      <c r="J100" s="218">
        <v>268</v>
      </c>
      <c r="K100" s="21" t="str">
        <f>VLOOKUP(J100,[1]characters!$A:$C,3,FALSE)</f>
        <v>鵺</v>
      </c>
      <c r="L100" s="18">
        <v>1</v>
      </c>
      <c r="M100" s="111">
        <v>3</v>
      </c>
      <c r="N100" s="111">
        <v>1</v>
      </c>
      <c r="O100" s="11">
        <v>200000</v>
      </c>
    </row>
    <row r="101" spans="1:15" ht="21" customHeight="1" x14ac:dyDescent="0.15">
      <c r="A101" s="65" t="str">
        <f t="shared" si="25"/>
        <v>816_722</v>
      </c>
      <c r="B101" s="218">
        <v>816</v>
      </c>
      <c r="C101" s="195">
        <f t="shared" si="26"/>
        <v>816</v>
      </c>
      <c r="D101" s="57" t="str">
        <f ca="1">VLOOKUP($C101,OFFSET([1]characters!$A$1,0,0,COUNTA([1]characters!$A:$A),MATCH(D$1,[1]characters!$1:$1,0)-MATCH($C$1,[1]characters!$1:$1,0)+1),MATCH(D$1,[1]characters!$1:$1,0)-MATCH($C$1,[1]characters!$1:$1,0)+1,FALSE)</f>
        <v>極・二天一流 宮本武蔵</v>
      </c>
      <c r="E101" s="57">
        <f ca="1">VLOOKUP($C101,OFFSET([1]characters!$A$1,0,0,COUNTA([1]characters!$A:$A),MATCH(E$1,[1]characters!$1:$1,0)-MATCH($C$1,[1]characters!$1:$1,0)+1),MATCH(E$1,[1]characters!$1:$1,0)-MATCH($C$1,[1]characters!$1:$1,0)+1,FALSE)</f>
        <v>6</v>
      </c>
      <c r="F101" s="57" t="str">
        <f ca="1">VLOOKUP($C101,OFFSET([1]characters!$A$1,0,0,COUNTA([1]characters!$A:$A),MATCH(F$1,[1]characters!$1:$1,0)-MATCH($C$1,[1]characters!$1:$1,0)+1),MATCH(F$1,[1]characters!$1:$1,0)-MATCH($C$1,[1]characters!$1:$1,0)+1,FALSE)</f>
        <v>DropWizS</v>
      </c>
      <c r="G101" s="21" t="str">
        <f>VLOOKUP(H101,[1]characters!$A:$T,20)</f>
        <v>super</v>
      </c>
      <c r="H101" s="44">
        <v>1119</v>
      </c>
      <c r="I101" s="21" t="str">
        <f>VLOOKUP(H101,[1]characters!$A:$C,3)</f>
        <v>刹・廻天一流 宮本武蔵</v>
      </c>
      <c r="J101" s="218">
        <v>722</v>
      </c>
      <c r="K101" s="21" t="str">
        <f>VLOOKUP(J101,[1]characters!$A:$C,3,FALSE)</f>
        <v>森蘭丸</v>
      </c>
      <c r="L101" s="18">
        <v>1</v>
      </c>
      <c r="M101" s="111">
        <v>2</v>
      </c>
      <c r="N101" s="111">
        <v>1</v>
      </c>
      <c r="O101" s="11">
        <v>200000</v>
      </c>
    </row>
    <row r="102" spans="1:15" ht="21" customHeight="1" x14ac:dyDescent="0.15">
      <c r="A102" s="65" t="str">
        <f t="shared" si="25"/>
        <v>816_268</v>
      </c>
      <c r="B102" s="218">
        <v>816</v>
      </c>
      <c r="C102" s="195">
        <f t="shared" si="26"/>
        <v>816</v>
      </c>
      <c r="D102" s="57" t="str">
        <f ca="1">VLOOKUP($C102,OFFSET([1]characters!$A$1,0,0,COUNTA([1]characters!$A:$A),MATCH(D$1,[1]characters!$1:$1,0)-MATCH($C$1,[1]characters!$1:$1,0)+1),MATCH(D$1,[1]characters!$1:$1,0)-MATCH($C$1,[1]characters!$1:$1,0)+1,FALSE)</f>
        <v>極・二天一流 宮本武蔵</v>
      </c>
      <c r="E102" s="57">
        <f ca="1">VLOOKUP($C102,OFFSET([1]characters!$A$1,0,0,COUNTA([1]characters!$A:$A),MATCH(E$1,[1]characters!$1:$1,0)-MATCH($C$1,[1]characters!$1:$1,0)+1),MATCH(E$1,[1]characters!$1:$1,0)-MATCH($C$1,[1]characters!$1:$1,0)+1,FALSE)</f>
        <v>6</v>
      </c>
      <c r="F102" s="57" t="str">
        <f ca="1">VLOOKUP($C102,OFFSET([1]characters!$A$1,0,0,COUNTA([1]characters!$A:$A),MATCH(F$1,[1]characters!$1:$1,0)-MATCH($C$1,[1]characters!$1:$1,0)+1),MATCH(F$1,[1]characters!$1:$1,0)-MATCH($C$1,[1]characters!$1:$1,0)+1,FALSE)</f>
        <v>DropWizS</v>
      </c>
      <c r="G102" s="21" t="str">
        <f>VLOOKUP(H102,[1]characters!$A:$T,20)</f>
        <v>super</v>
      </c>
      <c r="H102" s="44">
        <v>1119</v>
      </c>
      <c r="I102" s="21" t="str">
        <f>VLOOKUP(H102,[1]characters!$A:$C,3)</f>
        <v>刹・廻天一流 宮本武蔵</v>
      </c>
      <c r="J102" s="218">
        <v>268</v>
      </c>
      <c r="K102" s="21" t="str">
        <f>VLOOKUP(J102,[1]characters!$A:$C,3,FALSE)</f>
        <v>鵺</v>
      </c>
      <c r="L102" s="18">
        <v>1</v>
      </c>
      <c r="M102" s="111">
        <v>2</v>
      </c>
      <c r="N102" s="111">
        <v>1</v>
      </c>
      <c r="O102" s="11">
        <v>200000</v>
      </c>
    </row>
    <row r="103" spans="1:15" ht="21" customHeight="1" x14ac:dyDescent="0.15">
      <c r="A103" s="65" t="str">
        <f t="shared" si="25"/>
        <v>1119_114</v>
      </c>
      <c r="B103" s="218">
        <v>1119</v>
      </c>
      <c r="C103" s="195">
        <f t="shared" si="26"/>
        <v>1119</v>
      </c>
      <c r="D103" s="57" t="str">
        <f ca="1">VLOOKUP($C103,OFFSET([1]characters!$A$1,0,0,COUNTA([1]characters!$A:$A),MATCH(D$1,[1]characters!$1:$1,0)-MATCH($C$1,[1]characters!$1:$1,0)+1),MATCH(D$1,[1]characters!$1:$1,0)-MATCH($C$1,[1]characters!$1:$1,0)+1,FALSE)</f>
        <v>刹・廻天一流 宮本武蔵</v>
      </c>
      <c r="E103" s="57">
        <f ca="1">VLOOKUP($C103,OFFSET([1]characters!$A$1,0,0,COUNTA([1]characters!$A:$A),MATCH(E$1,[1]characters!$1:$1,0)-MATCH($C$1,[1]characters!$1:$1,0)+1),MATCH(E$1,[1]characters!$1:$1,0)-MATCH($C$1,[1]characters!$1:$1,0)+1,FALSE)</f>
        <v>6</v>
      </c>
      <c r="F103" s="57" t="str">
        <f ca="1">VLOOKUP($C103,OFFSET([1]characters!$A$1,0,0,COUNTA([1]characters!$A:$A),MATCH(F$1,[1]characters!$1:$1,0)-MATCH($C$1,[1]characters!$1:$1,0)+1),MATCH(F$1,[1]characters!$1:$1,0)-MATCH($C$1,[1]characters!$1:$1,0)+1,FALSE)</f>
        <v>DropWizS</v>
      </c>
      <c r="G103" s="21" t="str">
        <f>VLOOKUP(H103,[1]characters!$A:$T,20)</f>
        <v>normal</v>
      </c>
      <c r="H103" s="44">
        <v>816</v>
      </c>
      <c r="I103" s="21" t="str">
        <f>VLOOKUP(H103,[1]characters!$A:$C,3)</f>
        <v>極・二天一流 宮本武蔵</v>
      </c>
      <c r="J103" s="44">
        <v>114</v>
      </c>
      <c r="K103" s="21" t="str">
        <f>VLOOKUP(J103,[1]characters!$A:$C,3,FALSE)</f>
        <v>イエローラビット</v>
      </c>
      <c r="L103" s="18">
        <v>1</v>
      </c>
      <c r="M103" s="111">
        <v>1</v>
      </c>
      <c r="N103" s="111">
        <v>1</v>
      </c>
      <c r="O103" s="11">
        <v>200000</v>
      </c>
    </row>
    <row r="104" spans="1:15" ht="21" customHeight="1" x14ac:dyDescent="0.15">
      <c r="A104" s="65" t="str">
        <f t="shared" si="25"/>
        <v>1119_115</v>
      </c>
      <c r="B104" s="218">
        <v>1119</v>
      </c>
      <c r="C104" s="195">
        <f t="shared" si="26"/>
        <v>1119</v>
      </c>
      <c r="D104" s="57" t="str">
        <f ca="1">VLOOKUP($C104,OFFSET([1]characters!$A$1,0,0,COUNTA([1]characters!$A:$A),MATCH(D$1,[1]characters!$1:$1,0)-MATCH($C$1,[1]characters!$1:$1,0)+1),MATCH(D$1,[1]characters!$1:$1,0)-MATCH($C$1,[1]characters!$1:$1,0)+1,FALSE)</f>
        <v>刹・廻天一流 宮本武蔵</v>
      </c>
      <c r="E104" s="57">
        <f ca="1">VLOOKUP($C104,OFFSET([1]characters!$A$1,0,0,COUNTA([1]characters!$A:$A),MATCH(E$1,[1]characters!$1:$1,0)-MATCH($C$1,[1]characters!$1:$1,0)+1),MATCH(E$1,[1]characters!$1:$1,0)-MATCH($C$1,[1]characters!$1:$1,0)+1,FALSE)</f>
        <v>6</v>
      </c>
      <c r="F104" s="57" t="str">
        <f ca="1">VLOOKUP($C104,OFFSET([1]characters!$A$1,0,0,COUNTA([1]characters!$A:$A),MATCH(F$1,[1]characters!$1:$1,0)-MATCH($C$1,[1]characters!$1:$1,0)+1),MATCH(F$1,[1]characters!$1:$1,0)-MATCH($C$1,[1]characters!$1:$1,0)+1,FALSE)</f>
        <v>DropWizS</v>
      </c>
      <c r="G104" s="21" t="str">
        <f>VLOOKUP(H104,[1]characters!$A:$T,20)</f>
        <v>normal</v>
      </c>
      <c r="H104" s="44">
        <v>816</v>
      </c>
      <c r="I104" s="21" t="str">
        <f>VLOOKUP(H104,[1]characters!$A:$C,3)</f>
        <v>極・二天一流 宮本武蔵</v>
      </c>
      <c r="J104" s="44">
        <v>115</v>
      </c>
      <c r="K104" s="21" t="str">
        <f>VLOOKUP(J104,[1]characters!$A:$C,3,FALSE)</f>
        <v>イエローキャタップ</v>
      </c>
      <c r="L104" s="18">
        <v>1</v>
      </c>
      <c r="M104" s="111">
        <v>1</v>
      </c>
      <c r="N104" s="111">
        <v>1</v>
      </c>
      <c r="O104" s="11">
        <v>200000</v>
      </c>
    </row>
    <row r="105" spans="1:15" ht="21" customHeight="1" x14ac:dyDescent="0.15">
      <c r="A105" s="65" t="str">
        <f t="shared" si="25"/>
        <v>1119_116</v>
      </c>
      <c r="B105" s="218">
        <v>1119</v>
      </c>
      <c r="C105" s="195">
        <f t="shared" si="26"/>
        <v>1119</v>
      </c>
      <c r="D105" s="57" t="str">
        <f ca="1">VLOOKUP($C105,OFFSET([1]characters!$A$1,0,0,COUNTA([1]characters!$A:$A),MATCH(D$1,[1]characters!$1:$1,0)-MATCH($C$1,[1]characters!$1:$1,0)+1),MATCH(D$1,[1]characters!$1:$1,0)-MATCH($C$1,[1]characters!$1:$1,0)+1,FALSE)</f>
        <v>刹・廻天一流 宮本武蔵</v>
      </c>
      <c r="E105" s="57">
        <f ca="1">VLOOKUP($C105,OFFSET([1]characters!$A$1,0,0,COUNTA([1]characters!$A:$A),MATCH(E$1,[1]characters!$1:$1,0)-MATCH($C$1,[1]characters!$1:$1,0)+1),MATCH(E$1,[1]characters!$1:$1,0)-MATCH($C$1,[1]characters!$1:$1,0)+1,FALSE)</f>
        <v>6</v>
      </c>
      <c r="F105" s="57" t="str">
        <f ca="1">VLOOKUP($C105,OFFSET([1]characters!$A$1,0,0,COUNTA([1]characters!$A:$A),MATCH(F$1,[1]characters!$1:$1,0)-MATCH($C$1,[1]characters!$1:$1,0)+1),MATCH(F$1,[1]characters!$1:$1,0)-MATCH($C$1,[1]characters!$1:$1,0)+1,FALSE)</f>
        <v>DropWizS</v>
      </c>
      <c r="G105" s="21" t="str">
        <f>VLOOKUP(H105,[1]characters!$A:$T,20)</f>
        <v>normal</v>
      </c>
      <c r="H105" s="44">
        <v>816</v>
      </c>
      <c r="I105" s="21" t="str">
        <f>VLOOKUP(H105,[1]characters!$A:$C,3)</f>
        <v>極・二天一流 宮本武蔵</v>
      </c>
      <c r="J105" s="44">
        <v>116</v>
      </c>
      <c r="K105" s="21" t="str">
        <f>VLOOKUP(J105,[1]characters!$A:$C,3,FALSE)</f>
        <v>雷のマッドハッター</v>
      </c>
      <c r="L105" s="18">
        <v>1</v>
      </c>
      <c r="M105" s="111">
        <v>1</v>
      </c>
      <c r="N105" s="111">
        <v>1</v>
      </c>
      <c r="O105" s="11">
        <v>200000</v>
      </c>
    </row>
    <row r="106" spans="1:15" ht="21" customHeight="1" x14ac:dyDescent="0.15">
      <c r="A106" s="65" t="str">
        <f t="shared" ref="A106:A113" si="27">B106&amp;"_"&amp;J106</f>
        <v>433_654</v>
      </c>
      <c r="B106" s="218">
        <v>433</v>
      </c>
      <c r="C106" s="195">
        <f t="shared" ref="C106:C113" si="28">B106</f>
        <v>433</v>
      </c>
      <c r="D106" s="57" t="str">
        <f ca="1">VLOOKUP($C106,OFFSET([1]characters!$A$1,0,0,COUNTA([1]characters!$A:$A),MATCH(D$1,[1]characters!$1:$1,0)-MATCH($C$1,[1]characters!$1:$1,0)+1),MATCH(D$1,[1]characters!$1:$1,0)-MATCH($C$1,[1]characters!$1:$1,0)+1,FALSE)</f>
        <v>世稀の現獣 麒麟</v>
      </c>
      <c r="E106" s="57">
        <f ca="1">VLOOKUP($C106,OFFSET([1]characters!$A$1,0,0,COUNTA([1]characters!$A:$A),MATCH(E$1,[1]characters!$1:$1,0)-MATCH($C$1,[1]characters!$1:$1,0)+1),MATCH(E$1,[1]characters!$1:$1,0)-MATCH($C$1,[1]characters!$1:$1,0)+1,FALSE)</f>
        <v>5</v>
      </c>
      <c r="F106" s="57" t="str">
        <f ca="1">VLOOKUP($C106,OFFSET([1]characters!$A$1,0,0,COUNTA([1]characters!$A:$A),MATCH(F$1,[1]characters!$1:$1,0)-MATCH($C$1,[1]characters!$1:$1,0)+1),MATCH(F$1,[1]characters!$1:$1,0)-MATCH($C$1,[1]characters!$1:$1,0)+1,FALSE)</f>
        <v>DropWizSS</v>
      </c>
      <c r="G106" s="21" t="str">
        <f>VLOOKUP(H106,[1]characters!$A:$T,20)</f>
        <v>super</v>
      </c>
      <c r="H106" s="44">
        <v>1120</v>
      </c>
      <c r="I106" s="21" t="str">
        <f>VLOOKUP(H106,[1]characters!$A:$C,3)</f>
        <v>四聖猛煌の皇獣 麒麟</v>
      </c>
      <c r="J106" s="218">
        <v>654</v>
      </c>
      <c r="K106" s="21" t="str">
        <f>VLOOKUP(J106,[1]characters!$A:$C,3,FALSE)</f>
        <v>酒呑童子 ヨミ</v>
      </c>
      <c r="L106" s="18">
        <v>1</v>
      </c>
      <c r="M106" s="111">
        <v>3</v>
      </c>
      <c r="N106" s="111">
        <v>1</v>
      </c>
      <c r="O106" s="11">
        <v>200000</v>
      </c>
    </row>
    <row r="107" spans="1:15" ht="21" customHeight="1" x14ac:dyDescent="0.15">
      <c r="A107" s="65" t="str">
        <f t="shared" si="27"/>
        <v>433_1098</v>
      </c>
      <c r="B107" s="218">
        <v>433</v>
      </c>
      <c r="C107" s="195">
        <f t="shared" si="28"/>
        <v>433</v>
      </c>
      <c r="D107" s="57" t="str">
        <f ca="1">VLOOKUP($C107,OFFSET([1]characters!$A$1,0,0,COUNTA([1]characters!$A:$A),MATCH(D$1,[1]characters!$1:$1,0)-MATCH($C$1,[1]characters!$1:$1,0)+1),MATCH(D$1,[1]characters!$1:$1,0)-MATCH($C$1,[1]characters!$1:$1,0)+1,FALSE)</f>
        <v>世稀の現獣 麒麟</v>
      </c>
      <c r="E107" s="57">
        <f ca="1">VLOOKUP($C107,OFFSET([1]characters!$A$1,0,0,COUNTA([1]characters!$A:$A),MATCH(E$1,[1]characters!$1:$1,0)-MATCH($C$1,[1]characters!$1:$1,0)+1),MATCH(E$1,[1]characters!$1:$1,0)-MATCH($C$1,[1]characters!$1:$1,0)+1,FALSE)</f>
        <v>5</v>
      </c>
      <c r="F107" s="57" t="str">
        <f ca="1">VLOOKUP($C107,OFFSET([1]characters!$A$1,0,0,COUNTA([1]characters!$A:$A),MATCH(F$1,[1]characters!$1:$1,0)-MATCH($C$1,[1]characters!$1:$1,0)+1),MATCH(F$1,[1]characters!$1:$1,0)-MATCH($C$1,[1]characters!$1:$1,0)+1,FALSE)</f>
        <v>DropWizSS</v>
      </c>
      <c r="G107" s="21" t="str">
        <f>VLOOKUP(H107,[1]characters!$A:$T,20)</f>
        <v>super</v>
      </c>
      <c r="H107" s="44">
        <v>1120</v>
      </c>
      <c r="I107" s="21" t="str">
        <f>VLOOKUP(H107,[1]characters!$A:$C,3)</f>
        <v>四聖猛煌の皇獣 麒麟</v>
      </c>
      <c r="J107" s="218">
        <v>1098</v>
      </c>
      <c r="K107" s="21" t="str">
        <f>VLOOKUP(J107,[1]characters!$A:$C,3,FALSE)</f>
        <v>ルピカ</v>
      </c>
      <c r="L107" s="18">
        <v>1</v>
      </c>
      <c r="M107" s="111">
        <v>1</v>
      </c>
      <c r="N107" s="111">
        <v>100</v>
      </c>
      <c r="O107" s="11">
        <v>200000</v>
      </c>
    </row>
    <row r="108" spans="1:15" ht="21" customHeight="1" x14ac:dyDescent="0.15">
      <c r="A108" s="65" t="str">
        <f t="shared" si="27"/>
        <v>433_458</v>
      </c>
      <c r="B108" s="218">
        <v>433</v>
      </c>
      <c r="C108" s="195">
        <f t="shared" si="28"/>
        <v>433</v>
      </c>
      <c r="D108" s="57" t="str">
        <f ca="1">VLOOKUP($C108,OFFSET([1]characters!$A$1,0,0,COUNTA([1]characters!$A:$A),MATCH(D$1,[1]characters!$1:$1,0)-MATCH($C$1,[1]characters!$1:$1,0)+1),MATCH(D$1,[1]characters!$1:$1,0)-MATCH($C$1,[1]characters!$1:$1,0)+1,FALSE)</f>
        <v>世稀の現獣 麒麟</v>
      </c>
      <c r="E108" s="57">
        <f ca="1">VLOOKUP($C108,OFFSET([1]characters!$A$1,0,0,COUNTA([1]characters!$A:$A),MATCH(E$1,[1]characters!$1:$1,0)-MATCH($C$1,[1]characters!$1:$1,0)+1),MATCH(E$1,[1]characters!$1:$1,0)-MATCH($C$1,[1]characters!$1:$1,0)+1,FALSE)</f>
        <v>5</v>
      </c>
      <c r="F108" s="57" t="str">
        <f ca="1">VLOOKUP($C108,OFFSET([1]characters!$A$1,0,0,COUNTA([1]characters!$A:$A),MATCH(F$1,[1]characters!$1:$1,0)-MATCH($C$1,[1]characters!$1:$1,0)+1),MATCH(F$1,[1]characters!$1:$1,0)-MATCH($C$1,[1]characters!$1:$1,0)+1,FALSE)</f>
        <v>DropWizSS</v>
      </c>
      <c r="G108" s="21" t="str">
        <f>VLOOKUP(H108,[1]characters!$A:$T,20)</f>
        <v>super</v>
      </c>
      <c r="H108" s="44">
        <v>1120</v>
      </c>
      <c r="I108" s="21" t="str">
        <f>VLOOKUP(H108,[1]characters!$A:$C,3)</f>
        <v>四聖猛煌の皇獣 麒麟</v>
      </c>
      <c r="J108" s="218">
        <v>458</v>
      </c>
      <c r="K108" s="21" t="str">
        <f>VLOOKUP(J108,[1]characters!$A:$C,3,FALSE)</f>
        <v>嵐龍 スガル</v>
      </c>
      <c r="L108" s="18">
        <v>1</v>
      </c>
      <c r="M108" s="111">
        <v>3</v>
      </c>
      <c r="N108" s="111">
        <v>1</v>
      </c>
      <c r="O108" s="11">
        <v>200000</v>
      </c>
    </row>
    <row r="109" spans="1:15" ht="21" customHeight="1" x14ac:dyDescent="0.15">
      <c r="A109" s="65" t="str">
        <f t="shared" si="27"/>
        <v>802_654</v>
      </c>
      <c r="B109" s="218">
        <v>802</v>
      </c>
      <c r="C109" s="195">
        <f t="shared" si="28"/>
        <v>802</v>
      </c>
      <c r="D109" s="57" t="str">
        <f ca="1">VLOOKUP($C109,OFFSET([1]characters!$A$1,0,0,COUNTA([1]characters!$A:$A),MATCH(D$1,[1]characters!$1:$1,0)-MATCH($C$1,[1]characters!$1:$1,0)+1),MATCH(D$1,[1]characters!$1:$1,0)-MATCH($C$1,[1]characters!$1:$1,0)+1,FALSE)</f>
        <v>四聖結終の超獣 麒麟</v>
      </c>
      <c r="E109" s="57">
        <f ca="1">VLOOKUP($C109,OFFSET([1]characters!$A$1,0,0,COUNTA([1]characters!$A:$A),MATCH(E$1,[1]characters!$1:$1,0)-MATCH($C$1,[1]characters!$1:$1,0)+1),MATCH(E$1,[1]characters!$1:$1,0)-MATCH($C$1,[1]characters!$1:$1,0)+1,FALSE)</f>
        <v>6</v>
      </c>
      <c r="F109" s="57" t="str">
        <f ca="1">VLOOKUP($C109,OFFSET([1]characters!$A$1,0,0,COUNTA([1]characters!$A:$A),MATCH(F$1,[1]characters!$1:$1,0)-MATCH($C$1,[1]characters!$1:$1,0)+1),MATCH(F$1,[1]characters!$1:$1,0)-MATCH($C$1,[1]characters!$1:$1,0)+1,FALSE)</f>
        <v>DropWizSS</v>
      </c>
      <c r="G109" s="21" t="str">
        <f>VLOOKUP(H109,[1]characters!$A:$T,20)</f>
        <v>super</v>
      </c>
      <c r="H109" s="44">
        <v>1120</v>
      </c>
      <c r="I109" s="21" t="str">
        <f>VLOOKUP(H109,[1]characters!$A:$C,3)</f>
        <v>四聖猛煌の皇獣 麒麟</v>
      </c>
      <c r="J109" s="218">
        <v>654</v>
      </c>
      <c r="K109" s="21" t="str">
        <f>VLOOKUP(J109,[1]characters!$A:$C,3,FALSE)</f>
        <v>酒呑童子 ヨミ</v>
      </c>
      <c r="L109" s="18">
        <v>1</v>
      </c>
      <c r="M109" s="111">
        <v>2</v>
      </c>
      <c r="N109" s="111">
        <v>1</v>
      </c>
      <c r="O109" s="11">
        <v>200000</v>
      </c>
    </row>
    <row r="110" spans="1:15" ht="21" customHeight="1" x14ac:dyDescent="0.15">
      <c r="A110" s="65" t="str">
        <f t="shared" si="27"/>
        <v>802_458</v>
      </c>
      <c r="B110" s="218">
        <v>802</v>
      </c>
      <c r="C110" s="195">
        <f t="shared" si="28"/>
        <v>802</v>
      </c>
      <c r="D110" s="57" t="str">
        <f ca="1">VLOOKUP($C110,OFFSET([1]characters!$A$1,0,0,COUNTA([1]characters!$A:$A),MATCH(D$1,[1]characters!$1:$1,0)-MATCH($C$1,[1]characters!$1:$1,0)+1),MATCH(D$1,[1]characters!$1:$1,0)-MATCH($C$1,[1]characters!$1:$1,0)+1,FALSE)</f>
        <v>四聖結終の超獣 麒麟</v>
      </c>
      <c r="E110" s="57">
        <f ca="1">VLOOKUP($C110,OFFSET([1]characters!$A$1,0,0,COUNTA([1]characters!$A:$A),MATCH(E$1,[1]characters!$1:$1,0)-MATCH($C$1,[1]characters!$1:$1,0)+1),MATCH(E$1,[1]characters!$1:$1,0)-MATCH($C$1,[1]characters!$1:$1,0)+1,FALSE)</f>
        <v>6</v>
      </c>
      <c r="F110" s="57" t="str">
        <f ca="1">VLOOKUP($C110,OFFSET([1]characters!$A$1,0,0,COUNTA([1]characters!$A:$A),MATCH(F$1,[1]characters!$1:$1,0)-MATCH($C$1,[1]characters!$1:$1,0)+1),MATCH(F$1,[1]characters!$1:$1,0)-MATCH($C$1,[1]characters!$1:$1,0)+1,FALSE)</f>
        <v>DropWizSS</v>
      </c>
      <c r="G110" s="21" t="str">
        <f>VLOOKUP(H110,[1]characters!$A:$T,20)</f>
        <v>super</v>
      </c>
      <c r="H110" s="44">
        <v>1120</v>
      </c>
      <c r="I110" s="21" t="str">
        <f>VLOOKUP(H110,[1]characters!$A:$C,3)</f>
        <v>四聖猛煌の皇獣 麒麟</v>
      </c>
      <c r="J110" s="218">
        <v>458</v>
      </c>
      <c r="K110" s="21" t="str">
        <f>VLOOKUP(J110,[1]characters!$A:$C,3,FALSE)</f>
        <v>嵐龍 スガル</v>
      </c>
      <c r="L110" s="18">
        <v>1</v>
      </c>
      <c r="M110" s="111">
        <v>2</v>
      </c>
      <c r="N110" s="111">
        <v>1</v>
      </c>
      <c r="O110" s="11">
        <v>200000</v>
      </c>
    </row>
    <row r="111" spans="1:15" ht="21" customHeight="1" x14ac:dyDescent="0.15">
      <c r="A111" s="65" t="str">
        <f t="shared" si="27"/>
        <v>1120_114</v>
      </c>
      <c r="B111" s="218">
        <v>1120</v>
      </c>
      <c r="C111" s="195">
        <f t="shared" si="28"/>
        <v>1120</v>
      </c>
      <c r="D111" s="57" t="str">
        <f ca="1">VLOOKUP($C111,OFFSET([1]characters!$A$1,0,0,COUNTA([1]characters!$A:$A),MATCH(D$1,[1]characters!$1:$1,0)-MATCH($C$1,[1]characters!$1:$1,0)+1),MATCH(D$1,[1]characters!$1:$1,0)-MATCH($C$1,[1]characters!$1:$1,0)+1,FALSE)</f>
        <v>四聖猛煌の皇獣 麒麟</v>
      </c>
      <c r="E111" s="57">
        <f ca="1">VLOOKUP($C111,OFFSET([1]characters!$A$1,0,0,COUNTA([1]characters!$A:$A),MATCH(E$1,[1]characters!$1:$1,0)-MATCH($C$1,[1]characters!$1:$1,0)+1),MATCH(E$1,[1]characters!$1:$1,0)-MATCH($C$1,[1]characters!$1:$1,0)+1,FALSE)</f>
        <v>6</v>
      </c>
      <c r="F111" s="57" t="str">
        <f ca="1">VLOOKUP($C111,OFFSET([1]characters!$A$1,0,0,COUNTA([1]characters!$A:$A),MATCH(F$1,[1]characters!$1:$1,0)-MATCH($C$1,[1]characters!$1:$1,0)+1),MATCH(F$1,[1]characters!$1:$1,0)-MATCH($C$1,[1]characters!$1:$1,0)+1,FALSE)</f>
        <v>DropWizSS</v>
      </c>
      <c r="G111" s="21" t="str">
        <f>VLOOKUP(H111,[1]characters!$A:$T,20)</f>
        <v>normal</v>
      </c>
      <c r="H111" s="44">
        <v>802</v>
      </c>
      <c r="I111" s="21" t="str">
        <f>VLOOKUP(H111,[1]characters!$A:$C,3)</f>
        <v>四聖結終の超獣 麒麟</v>
      </c>
      <c r="J111" s="44">
        <v>114</v>
      </c>
      <c r="K111" s="21" t="str">
        <f>VLOOKUP(J111,[1]characters!$A:$C,3,FALSE)</f>
        <v>イエローラビット</v>
      </c>
      <c r="L111" s="18">
        <v>1</v>
      </c>
      <c r="M111" s="111">
        <v>1</v>
      </c>
      <c r="N111" s="111">
        <v>1</v>
      </c>
      <c r="O111" s="11">
        <v>200000</v>
      </c>
    </row>
    <row r="112" spans="1:15" ht="21" customHeight="1" x14ac:dyDescent="0.15">
      <c r="A112" s="65" t="str">
        <f t="shared" si="27"/>
        <v>1120_115</v>
      </c>
      <c r="B112" s="218">
        <v>1120</v>
      </c>
      <c r="C112" s="195">
        <f t="shared" si="28"/>
        <v>1120</v>
      </c>
      <c r="D112" s="57" t="str">
        <f ca="1">VLOOKUP($C112,OFFSET([1]characters!$A$1,0,0,COUNTA([1]characters!$A:$A),MATCH(D$1,[1]characters!$1:$1,0)-MATCH($C$1,[1]characters!$1:$1,0)+1),MATCH(D$1,[1]characters!$1:$1,0)-MATCH($C$1,[1]characters!$1:$1,0)+1,FALSE)</f>
        <v>四聖猛煌の皇獣 麒麟</v>
      </c>
      <c r="E112" s="57">
        <f ca="1">VLOOKUP($C112,OFFSET([1]characters!$A$1,0,0,COUNTA([1]characters!$A:$A),MATCH(E$1,[1]characters!$1:$1,0)-MATCH($C$1,[1]characters!$1:$1,0)+1),MATCH(E$1,[1]characters!$1:$1,0)-MATCH($C$1,[1]characters!$1:$1,0)+1,FALSE)</f>
        <v>6</v>
      </c>
      <c r="F112" s="57" t="str">
        <f ca="1">VLOOKUP($C112,OFFSET([1]characters!$A$1,0,0,COUNTA([1]characters!$A:$A),MATCH(F$1,[1]characters!$1:$1,0)-MATCH($C$1,[1]characters!$1:$1,0)+1),MATCH(F$1,[1]characters!$1:$1,0)-MATCH($C$1,[1]characters!$1:$1,0)+1,FALSE)</f>
        <v>DropWizSS</v>
      </c>
      <c r="G112" s="21" t="str">
        <f>VLOOKUP(H112,[1]characters!$A:$T,20)</f>
        <v>normal</v>
      </c>
      <c r="H112" s="44">
        <v>802</v>
      </c>
      <c r="I112" s="21" t="str">
        <f>VLOOKUP(H112,[1]characters!$A:$C,3)</f>
        <v>四聖結終の超獣 麒麟</v>
      </c>
      <c r="J112" s="44">
        <v>115</v>
      </c>
      <c r="K112" s="21" t="str">
        <f>VLOOKUP(J112,[1]characters!$A:$C,3,FALSE)</f>
        <v>イエローキャタップ</v>
      </c>
      <c r="L112" s="18">
        <v>1</v>
      </c>
      <c r="M112" s="111">
        <v>1</v>
      </c>
      <c r="N112" s="111">
        <v>1</v>
      </c>
      <c r="O112" s="11">
        <v>200000</v>
      </c>
    </row>
    <row r="113" spans="1:15" ht="21" customHeight="1" x14ac:dyDescent="0.15">
      <c r="A113" s="65" t="str">
        <f t="shared" si="27"/>
        <v>1120_116</v>
      </c>
      <c r="B113" s="218">
        <v>1120</v>
      </c>
      <c r="C113" s="195">
        <f t="shared" si="28"/>
        <v>1120</v>
      </c>
      <c r="D113" s="57" t="str">
        <f ca="1">VLOOKUP($C113,OFFSET([1]characters!$A$1,0,0,COUNTA([1]characters!$A:$A),MATCH(D$1,[1]characters!$1:$1,0)-MATCH($C$1,[1]characters!$1:$1,0)+1),MATCH(D$1,[1]characters!$1:$1,0)-MATCH($C$1,[1]characters!$1:$1,0)+1,FALSE)</f>
        <v>四聖猛煌の皇獣 麒麟</v>
      </c>
      <c r="E113" s="57">
        <f ca="1">VLOOKUP($C113,OFFSET([1]characters!$A$1,0,0,COUNTA([1]characters!$A:$A),MATCH(E$1,[1]characters!$1:$1,0)-MATCH($C$1,[1]characters!$1:$1,0)+1),MATCH(E$1,[1]characters!$1:$1,0)-MATCH($C$1,[1]characters!$1:$1,0)+1,FALSE)</f>
        <v>6</v>
      </c>
      <c r="F113" s="57" t="str">
        <f ca="1">VLOOKUP($C113,OFFSET([1]characters!$A$1,0,0,COUNTA([1]characters!$A:$A),MATCH(F$1,[1]characters!$1:$1,0)-MATCH($C$1,[1]characters!$1:$1,0)+1),MATCH(F$1,[1]characters!$1:$1,0)-MATCH($C$1,[1]characters!$1:$1,0)+1,FALSE)</f>
        <v>DropWizSS</v>
      </c>
      <c r="G113" s="21" t="str">
        <f>VLOOKUP(H113,[1]characters!$A:$T,20)</f>
        <v>normal</v>
      </c>
      <c r="H113" s="44">
        <v>802</v>
      </c>
      <c r="I113" s="21" t="str">
        <f>VLOOKUP(H113,[1]characters!$A:$C,3)</f>
        <v>四聖結終の超獣 麒麟</v>
      </c>
      <c r="J113" s="44">
        <v>116</v>
      </c>
      <c r="K113" s="21" t="str">
        <f>VLOOKUP(J113,[1]characters!$A:$C,3,FALSE)</f>
        <v>雷のマッドハッター</v>
      </c>
      <c r="L113" s="18">
        <v>1</v>
      </c>
      <c r="M113" s="111">
        <v>1</v>
      </c>
      <c r="N113" s="111">
        <v>1</v>
      </c>
      <c r="O113" s="11">
        <v>200000</v>
      </c>
    </row>
  </sheetData>
  <sheetProtection selectLockedCells="1" selectUnlockedCells="1"/>
  <autoFilter ref="B1:L1"/>
  <phoneticPr fontId="22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R11"/>
  <sheetViews>
    <sheetView topLeftCell="D1" zoomScale="124" workbookViewId="0">
      <selection activeCell="Q12" sqref="Q12"/>
    </sheetView>
  </sheetViews>
  <sheetFormatPr baseColWidth="12" defaultRowHeight="15" x14ac:dyDescent="0.15"/>
  <cols>
    <col min="3" max="3" width="22.5" bestFit="1" customWidth="1"/>
    <col min="4" max="4" width="41.5" customWidth="1"/>
    <col min="5" max="5" width="10.1640625" customWidth="1"/>
    <col min="6" max="6" width="18" customWidth="1"/>
    <col min="7" max="7" width="14.1640625" hidden="1" customWidth="1"/>
    <col min="8" max="8" width="66.5" customWidth="1"/>
    <col min="9" max="9" width="77.1640625" hidden="1" customWidth="1"/>
    <col min="10" max="10" width="9.5" hidden="1" customWidth="1"/>
    <col min="11" max="11" width="11" hidden="1" customWidth="1"/>
    <col min="12" max="12" width="12.33203125" hidden="1" customWidth="1"/>
    <col min="13" max="13" width="17.6640625" hidden="1" customWidth="1"/>
    <col min="14" max="14" width="22.83203125" hidden="1" customWidth="1"/>
    <col min="15" max="15" width="6.33203125" bestFit="1" customWidth="1"/>
    <col min="16" max="16" width="184.6640625" hidden="1" customWidth="1"/>
    <col min="17" max="17" width="7.5" bestFit="1" customWidth="1"/>
    <col min="18" max="18" width="6.6640625" bestFit="1" customWidth="1"/>
  </cols>
  <sheetData>
    <row r="1" spans="1:18" s="24" customFormat="1" ht="21" customHeight="1" x14ac:dyDescent="0.15">
      <c r="A1" s="167" t="s">
        <v>244</v>
      </c>
      <c r="B1" s="117" t="s">
        <v>133</v>
      </c>
      <c r="C1" s="118" t="s">
        <v>245</v>
      </c>
      <c r="D1" s="119" t="s">
        <v>155</v>
      </c>
      <c r="E1" s="119" t="s">
        <v>307</v>
      </c>
      <c r="F1" s="119" t="s">
        <v>315</v>
      </c>
      <c r="G1" s="202" t="s">
        <v>318</v>
      </c>
      <c r="H1" s="119" t="s">
        <v>310</v>
      </c>
      <c r="I1" s="202" t="s">
        <v>319</v>
      </c>
      <c r="J1" s="205" t="s">
        <v>320</v>
      </c>
      <c r="K1" s="205" t="s">
        <v>321</v>
      </c>
      <c r="L1" s="205" t="s">
        <v>322</v>
      </c>
      <c r="M1" s="205" t="s">
        <v>323</v>
      </c>
      <c r="N1" s="205" t="s">
        <v>324</v>
      </c>
      <c r="O1" s="119" t="s">
        <v>308</v>
      </c>
      <c r="P1" s="175" t="s">
        <v>246</v>
      </c>
      <c r="Q1" s="197" t="s">
        <v>578</v>
      </c>
      <c r="R1" s="168" t="s">
        <v>247</v>
      </c>
    </row>
    <row r="2" spans="1:18" s="24" customFormat="1" ht="21" customHeight="1" x14ac:dyDescent="0.15">
      <c r="A2" s="66">
        <v>105501</v>
      </c>
      <c r="B2" s="169" t="s">
        <v>187</v>
      </c>
      <c r="C2" s="170" t="s">
        <v>336</v>
      </c>
      <c r="D2" s="170" t="s">
        <v>335</v>
      </c>
      <c r="E2" s="170" t="s">
        <v>309</v>
      </c>
      <c r="F2" s="170" t="s">
        <v>332</v>
      </c>
      <c r="G2" s="204" t="str">
        <f>VLOOKUP(MID(MID(F2,12,100),1,SEARCH("]",MID(F2,12,100),1)-1),[2]文言管理シート!$G:$H,2)</f>
        <v>aaa</v>
      </c>
      <c r="H2" s="170" t="s">
        <v>331</v>
      </c>
      <c r="I2" s="204" t="str">
        <f t="shared" ref="I2:I9" si="0">IFERROR(LEFT(H2,FIND("],",H2)),H2)</f>
        <v>[effect:enhance_unit, target:myself, turn:1, status:attack, val:0.2, calc:mul, animation:enhance_unit_all_attack03]</v>
      </c>
      <c r="J2" s="204">
        <f>FIND("effect:",I2)+7</f>
        <v>9</v>
      </c>
      <c r="K2" s="204">
        <f>IFERROR(FIND(",",I2),LEN(I2))</f>
        <v>21</v>
      </c>
      <c r="L2" s="204">
        <f>FIND("target:",I2)+7</f>
        <v>30</v>
      </c>
      <c r="M2" s="204"/>
      <c r="N2" s="204"/>
      <c r="O2" s="176" t="s">
        <v>311</v>
      </c>
      <c r="P2" s="201" t="str">
        <f t="shared" ref="P2:P11" si="1">"{"&amp;""""&amp;$E$1&amp;""""&amp;":"&amp;""""&amp;E2&amp;""""&amp;","&amp;""""&amp;"type"&amp;""""&amp;":"&amp;""""&amp;"ability"&amp;""""&amp;","&amp;""""&amp;$H$1&amp;""""&amp;":"&amp;""""&amp;H2&amp;""""&amp;","&amp;""""&amp;$F$1&amp;""""&amp;":"&amp;""""&amp;F2&amp;""""&amp;","&amp;""""&amp;$O$1&amp;""""&amp;":"&amp;O2&amp;"}"</f>
        <v>{"ver":"1.7.0","type":"ability","effects":"[effect:enhance_unit, target:myself, turn:1, status:attack, val:0.2, calc:mul, animation:enhance_unit_all_attack03]","conditions":"[condition:fever_gauge,lower:50]    ","priority":0}</v>
      </c>
      <c r="Q2" s="240" t="s">
        <v>581</v>
      </c>
      <c r="R2" s="171">
        <v>3</v>
      </c>
    </row>
    <row r="3" spans="1:18" s="24" customFormat="1" ht="21" customHeight="1" x14ac:dyDescent="0.15">
      <c r="A3" s="66">
        <v>105601</v>
      </c>
      <c r="B3" s="169" t="s">
        <v>187</v>
      </c>
      <c r="C3" s="170" t="s">
        <v>328</v>
      </c>
      <c r="D3" s="170" t="s">
        <v>327</v>
      </c>
      <c r="E3" s="170" t="s">
        <v>309</v>
      </c>
      <c r="F3" s="170" t="s">
        <v>326</v>
      </c>
      <c r="G3" s="204" t="str">
        <f>VLOOKUP(MID(MID(F3,12,100),1,SEARCH("]",MID(F3,12,100),1)-1),[2]文言管理シート!$G:$H,2)</f>
        <v>自身が先頭の時</v>
      </c>
      <c r="H3" s="170" t="s">
        <v>325</v>
      </c>
      <c r="I3" s="204" t="str">
        <f t="shared" si="0"/>
        <v>[effect:enhance_unit, target:myself, turn:1, status:attack, val:0.2, calc:mul, animation:enhance_unit_all_attack03]</v>
      </c>
      <c r="J3" s="204"/>
      <c r="K3" s="204"/>
      <c r="L3" s="204"/>
      <c r="M3" s="204"/>
      <c r="N3" s="204"/>
      <c r="O3" s="176" t="s">
        <v>312</v>
      </c>
      <c r="P3" s="201" t="str">
        <f t="shared" si="1"/>
        <v>{"ver":"1.7.0","type":"ability","effects":"[effect:enhance_unit, target:myself, turn:1, status:attack, val:0.2, calc:mul, animation:enhance_unit_all_attack03]","conditions":"[condition:active_unit]    ","priority":0}</v>
      </c>
      <c r="Q3" s="240" t="s">
        <v>579</v>
      </c>
      <c r="R3" s="171">
        <v>3</v>
      </c>
    </row>
    <row r="4" spans="1:18" s="24" customFormat="1" ht="21" customHeight="1" x14ac:dyDescent="0.15">
      <c r="A4" s="66">
        <v>105701</v>
      </c>
      <c r="B4" s="169" t="s">
        <v>187</v>
      </c>
      <c r="C4" s="170" t="s">
        <v>572</v>
      </c>
      <c r="D4" s="170" t="s">
        <v>333</v>
      </c>
      <c r="E4" s="170" t="s">
        <v>309</v>
      </c>
      <c r="F4" s="170" t="s">
        <v>329</v>
      </c>
      <c r="G4" s="204" t="str">
        <f>VLOOKUP(MID(MID(F4,12,100),1,SEARCH("]",MID(F4,12,100),1)-1),[2]文言管理シート!$G:$H,2)</f>
        <v>aaa</v>
      </c>
      <c r="H4" s="170" t="s">
        <v>330</v>
      </c>
      <c r="I4" s="204" t="str">
        <f t="shared" si="0"/>
        <v>[effect:enhance_unit, target:myself, turn:1, status:attack, val:0.2, calc:mul, animation:enhance_unit_all_attack03]</v>
      </c>
      <c r="J4" s="203"/>
      <c r="K4" s="203"/>
      <c r="L4" s="203"/>
      <c r="M4" s="203"/>
      <c r="N4" s="203"/>
      <c r="O4" s="176" t="s">
        <v>313</v>
      </c>
      <c r="P4" s="201" t="str">
        <f t="shared" si="1"/>
        <v>{"ver":"1.7.0","type":"ability","effects":"[effect:enhance_unit, target:myself, turn:1, status:attack, val:0.2, calc:mul, animation:enhance_unit_all_attack03]","conditions":"[condition:enclose,[condition:active_unit],[condition:panel_chain,count:12],logic:and]","priority":0}</v>
      </c>
      <c r="Q4" s="240" t="s">
        <v>581</v>
      </c>
      <c r="R4" s="171">
        <v>3</v>
      </c>
    </row>
    <row r="5" spans="1:18" s="24" customFormat="1" ht="21" customHeight="1" x14ac:dyDescent="0.15">
      <c r="A5" s="66">
        <v>105801</v>
      </c>
      <c r="B5" s="169" t="s">
        <v>187</v>
      </c>
      <c r="C5" s="170" t="s">
        <v>334</v>
      </c>
      <c r="D5" s="211" t="s">
        <v>377</v>
      </c>
      <c r="E5" s="170" t="s">
        <v>309</v>
      </c>
      <c r="F5" s="170" t="s">
        <v>387</v>
      </c>
      <c r="G5" s="204" t="str">
        <f>VLOOKUP(MID(MID(F5,12,100),1,SEARCH("]",MID(F5,12,100),1)-1),[2]文言管理シート!$G:$H,2)</f>
        <v>自身が先頭の時</v>
      </c>
      <c r="H5" s="170" t="s">
        <v>337</v>
      </c>
      <c r="I5" s="204" t="str">
        <f t="shared" si="0"/>
        <v>[effect:crash_condition, target:myself, val:-1, turn:1]</v>
      </c>
      <c r="J5" s="203"/>
      <c r="K5" s="203"/>
      <c r="L5" s="203"/>
      <c r="M5" s="203"/>
      <c r="N5" s="203"/>
      <c r="O5" s="176" t="s">
        <v>314</v>
      </c>
      <c r="P5" s="201" t="str">
        <f t="shared" si="1"/>
        <v>{"ver":"1.7.0","type":"ability","effects":"[effect:crash_condition, target:myself, val:-1, turn:1]","conditions":"[condition:active_unit]    ","priority":0}</v>
      </c>
      <c r="Q5" s="240" t="s">
        <v>580</v>
      </c>
      <c r="R5" s="171">
        <v>3</v>
      </c>
    </row>
    <row r="6" spans="1:18" s="24" customFormat="1" ht="21" customHeight="1" x14ac:dyDescent="0.15">
      <c r="A6" s="66">
        <v>112201</v>
      </c>
      <c r="B6" s="169" t="s">
        <v>187</v>
      </c>
      <c r="C6" s="170" t="s">
        <v>445</v>
      </c>
      <c r="D6" s="170" t="s">
        <v>446</v>
      </c>
      <c r="E6" s="170" t="s">
        <v>309</v>
      </c>
      <c r="F6" s="170" t="s">
        <v>448</v>
      </c>
      <c r="G6" s="204" t="str">
        <f>VLOOKUP(MID(MID(F6,12,100),1,SEARCH("]",MID(F6,12,100),1)-1),[2]文言管理シート!$G:$H,2)</f>
        <v>aaa</v>
      </c>
      <c r="H6" s="170" t="s">
        <v>447</v>
      </c>
      <c r="I6" s="204" t="str">
        <f t="shared" si="0"/>
        <v>[effect:enhance_unit, target:myself, turn:1, status:attack, val:0.2, calc:mul, animation:enhance_unit_all_attack03]</v>
      </c>
      <c r="J6" s="203"/>
      <c r="K6" s="203"/>
      <c r="L6" s="203"/>
      <c r="M6" s="203"/>
      <c r="N6" s="203"/>
      <c r="O6" s="176" t="s">
        <v>311</v>
      </c>
      <c r="P6" s="201" t="str">
        <f t="shared" si="1"/>
        <v>{"ver":"1.7.0","type":"ability","effects":"[effect:enhance_unit, target:myself, turn:1, status:attack, val:0.2, calc:mul, animation:enhance_unit_all_attack03]","conditions":"[condition:enclose,[condition:active_unit],[condition:panel_total,count:10,type:crash],logic:and]","priority":0}</v>
      </c>
      <c r="Q6" s="240" t="s">
        <v>581</v>
      </c>
      <c r="R6" s="171">
        <v>3</v>
      </c>
    </row>
    <row r="7" spans="1:18" s="24" customFormat="1" ht="21" customHeight="1" x14ac:dyDescent="0.15">
      <c r="A7" s="66">
        <v>112301</v>
      </c>
      <c r="B7" s="169" t="s">
        <v>177</v>
      </c>
      <c r="C7" s="170" t="s">
        <v>473</v>
      </c>
      <c r="D7" s="170" t="s">
        <v>474</v>
      </c>
      <c r="E7" s="170" t="s">
        <v>309</v>
      </c>
      <c r="F7" s="170" t="s">
        <v>471</v>
      </c>
      <c r="G7" s="204" t="str">
        <f>VLOOKUP(MID(MID(F7,12,100),1,SEARCH("]",MID(F7,12,100),1)-1),[2]文言管理シート!$G:$H,2)</f>
        <v>aaa</v>
      </c>
      <c r="H7" s="170" t="s">
        <v>472</v>
      </c>
      <c r="I7" s="204" t="str">
        <f>IFERROR(LEFT(H7,FIND("],",H7)),H7)</f>
        <v>[effect:regenerate, turn:-1, target:unit_all, val:0.2, type:hp_ratio, animation:heal01_unit01]</v>
      </c>
      <c r="J7" s="203"/>
      <c r="K7" s="203"/>
      <c r="L7" s="203"/>
      <c r="M7" s="203"/>
      <c r="N7" s="203"/>
      <c r="O7" s="176" t="s">
        <v>311</v>
      </c>
      <c r="P7" s="201" t="str">
        <f t="shared" si="1"/>
        <v>{"ver":"1.7.0","type":"ability","effects":"[effect:regenerate, turn:-1, target:unit_all, val:0.2, type:hp_ratio, animation:heal01_unit01]","conditions":"[condition:every_floor]","priority":0}</v>
      </c>
      <c r="Q7" s="240" t="s">
        <v>582</v>
      </c>
      <c r="R7" s="171">
        <v>3</v>
      </c>
    </row>
    <row r="8" spans="1:18" s="24" customFormat="1" ht="21" customHeight="1" x14ac:dyDescent="0.15">
      <c r="A8" s="66">
        <v>117901</v>
      </c>
      <c r="B8" s="169" t="s">
        <v>187</v>
      </c>
      <c r="C8" s="170" t="s">
        <v>415</v>
      </c>
      <c r="D8" s="170" t="s">
        <v>416</v>
      </c>
      <c r="E8" s="170" t="s">
        <v>309</v>
      </c>
      <c r="F8" s="170" t="s">
        <v>418</v>
      </c>
      <c r="G8" s="204" t="str">
        <f>VLOOKUP(MID(MID(F8,12,100),1,SEARCH("]",MID(F8,12,100),1)-1),[2]文言管理シート!$G:$H,2)</f>
        <v>aaa</v>
      </c>
      <c r="H8" s="170" t="s">
        <v>417</v>
      </c>
      <c r="I8" s="204" t="str">
        <f t="shared" si="0"/>
        <v>[effect:enhance_unit, target:myself, turn:1, status:attack, val:0.2, calc:mul, animation:enhance_unit_all_attack03]</v>
      </c>
      <c r="J8" s="203"/>
      <c r="K8" s="203"/>
      <c r="L8" s="203"/>
      <c r="M8" s="203"/>
      <c r="N8" s="203"/>
      <c r="O8" s="176" t="s">
        <v>311</v>
      </c>
      <c r="P8" s="201" t="str">
        <f t="shared" si="1"/>
        <v>{"ver":"1.7.0","type":"ability","effects":"[effect:enhance_unit, target:myself, turn:1, status:attack, val:0.2, calc:mul, animation:enhance_unit_all_attack03]","conditions":"[condition:enclose,[condition:active_unit],[condition:panel_total,count:20],logic:and]","priority":0}</v>
      </c>
      <c r="Q8" s="240" t="s">
        <v>581</v>
      </c>
      <c r="R8" s="171">
        <v>3</v>
      </c>
    </row>
    <row r="9" spans="1:18" s="24" customFormat="1" ht="21" customHeight="1" x14ac:dyDescent="0.15">
      <c r="A9" s="66">
        <v>118501</v>
      </c>
      <c r="B9" s="169" t="s">
        <v>187</v>
      </c>
      <c r="C9" s="170" t="s">
        <v>573</v>
      </c>
      <c r="D9" s="170" t="s">
        <v>422</v>
      </c>
      <c r="E9" s="170" t="s">
        <v>309</v>
      </c>
      <c r="F9" s="170" t="s">
        <v>329</v>
      </c>
      <c r="G9" s="204" t="str">
        <f>VLOOKUP(MID(MID(F9,12,100),1,SEARCH("]",MID(F9,12,100),1)-1),[2]文言管理シート!$G:$H,2)</f>
        <v>aaa</v>
      </c>
      <c r="H9" s="170" t="s">
        <v>421</v>
      </c>
      <c r="I9" s="204" t="str">
        <f t="shared" si="0"/>
        <v>[effect:enhance_unit, target:myself, turn:1, status:heal, val:0.2, calc:mul, animation:enhance_unit_all_heal03]</v>
      </c>
      <c r="J9" s="203"/>
      <c r="K9" s="203"/>
      <c r="L9" s="203"/>
      <c r="M9" s="203"/>
      <c r="N9" s="203"/>
      <c r="O9" s="176" t="s">
        <v>311</v>
      </c>
      <c r="P9" s="201" t="str">
        <f t="shared" si="1"/>
        <v>{"ver":"1.7.0","type":"ability","effects":"[effect:enhance_unit, target:myself, turn:1, status:heal, val:0.2, calc:mul, animation:enhance_unit_all_heal03]","conditions":"[condition:enclose,[condition:active_unit],[condition:panel_chain,count:12],logic:and]","priority":0}</v>
      </c>
      <c r="Q9" s="240" t="s">
        <v>583</v>
      </c>
      <c r="R9" s="171">
        <v>3</v>
      </c>
    </row>
    <row r="10" spans="1:18" s="24" customFormat="1" ht="21" customHeight="1" x14ac:dyDescent="0.15">
      <c r="A10" s="66">
        <v>111901</v>
      </c>
      <c r="B10" s="169" t="s">
        <v>177</v>
      </c>
      <c r="C10" s="170" t="s">
        <v>528</v>
      </c>
      <c r="D10" s="170" t="s">
        <v>498</v>
      </c>
      <c r="E10" s="170" t="s">
        <v>309</v>
      </c>
      <c r="F10" s="170" t="s">
        <v>499</v>
      </c>
      <c r="G10" s="204" t="str">
        <f>VLOOKUP(MID(MID(F10,12,100),1,SEARCH("]",MID(F10,12,100),1)-1),[2]文言管理シート!$G:$H,2)</f>
        <v>aaa</v>
      </c>
      <c r="H10" s="170" t="s">
        <v>525</v>
      </c>
      <c r="I10" s="204" t="str">
        <f t="shared" ref="I10" si="2">IFERROR(LEFT(H10,FIND("],",H10)),H10)</f>
        <v>[effect:damage_up, target:myself, val:1.3, turn:1, type01:all,option:killer]</v>
      </c>
      <c r="J10" s="203"/>
      <c r="K10" s="203"/>
      <c r="L10" s="203"/>
      <c r="M10" s="203"/>
      <c r="N10" s="203"/>
      <c r="O10" s="176" t="s">
        <v>311</v>
      </c>
      <c r="P10" s="201" t="str">
        <f t="shared" si="1"/>
        <v>{"ver":"1.7.0","type":"ability","effects":"[effect:damage_up, target:myself, val:1.3, turn:1, type01:all,option:killer]","conditions":"[condition:enclose,[condition:unit_attack_target,tribe:dragon],[condition:unit_attack_target,tribe:human],logic:or]","priority":0}</v>
      </c>
      <c r="Q10" s="240" t="s">
        <v>579</v>
      </c>
      <c r="R10" s="171">
        <v>3</v>
      </c>
    </row>
    <row r="11" spans="1:18" s="24" customFormat="1" ht="21" customHeight="1" x14ac:dyDescent="0.15">
      <c r="A11" s="66">
        <v>112001</v>
      </c>
      <c r="B11" s="169" t="s">
        <v>177</v>
      </c>
      <c r="C11" s="170" t="s">
        <v>522</v>
      </c>
      <c r="D11" s="170" t="s">
        <v>523</v>
      </c>
      <c r="E11" s="170" t="s">
        <v>309</v>
      </c>
      <c r="F11" s="170" t="s">
        <v>503</v>
      </c>
      <c r="G11" s="204" t="str">
        <f>VLOOKUP(MID(MID(F11,12,100),1,SEARCH("]",MID(F11,12,100),1)-1),[2]文言管理シート!$G:$H,2)</f>
        <v>aaa</v>
      </c>
      <c r="H11" s="235" t="s">
        <v>524</v>
      </c>
      <c r="I11" s="204" t="str">
        <f t="shared" ref="I11" si="3">IFERROR(LEFT(H11,FIND("],",H11)),H11)</f>
        <v>[effect:reduction, target:myself, turn:-1, color:blue, val:0.1, animation:reduction_one01]</v>
      </c>
      <c r="J11" s="203"/>
      <c r="K11" s="203"/>
      <c r="L11" s="203"/>
      <c r="M11" s="203"/>
      <c r="N11" s="203"/>
      <c r="O11" s="176" t="s">
        <v>311</v>
      </c>
      <c r="P11" s="201" t="str">
        <f t="shared" si="1"/>
        <v>{"ver":"1.7.0","type":"ability","effects":"[effect:reduction, target:myself, turn:-1, color:blue, val:0.1, animation:reduction_one01],[effect:reduction, target:myself, turn:-1, color:red, val:0.1, animation:reduction_one01]","conditions":"[condition:always]","priority":0}</v>
      </c>
      <c r="Q11" s="240" t="s">
        <v>584</v>
      </c>
      <c r="R11" s="171">
        <v>3</v>
      </c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H27"/>
  <sheetViews>
    <sheetView workbookViewId="0">
      <selection activeCell="F12" sqref="F12"/>
    </sheetView>
  </sheetViews>
  <sheetFormatPr baseColWidth="12" defaultRowHeight="15" x14ac:dyDescent="0.15"/>
  <cols>
    <col min="2" max="2" width="20.5" customWidth="1"/>
    <col min="5" max="5" width="16.33203125" bestFit="1" customWidth="1"/>
    <col min="6" max="6" width="60.33203125" bestFit="1" customWidth="1"/>
  </cols>
  <sheetData>
    <row r="1" spans="1:8" s="24" customFormat="1" ht="21" customHeight="1" x14ac:dyDescent="0.15">
      <c r="A1" s="167" t="s">
        <v>248</v>
      </c>
      <c r="B1" s="172" t="s">
        <v>249</v>
      </c>
      <c r="C1" s="117" t="s">
        <v>250</v>
      </c>
      <c r="D1" s="117" t="s">
        <v>251</v>
      </c>
      <c r="E1" s="173" t="s">
        <v>252</v>
      </c>
      <c r="F1" s="173" t="s">
        <v>253</v>
      </c>
      <c r="G1" s="120" t="s">
        <v>254</v>
      </c>
      <c r="H1" s="167" t="s">
        <v>255</v>
      </c>
    </row>
    <row r="2" spans="1:8" s="4" customFormat="1" ht="21" customHeight="1" x14ac:dyDescent="0.15">
      <c r="A2" s="169">
        <v>1055</v>
      </c>
      <c r="B2" s="174" t="str">
        <f>VLOOKUP(A2,[1]characters!$A:$C,3)</f>
        <v>豪焔の轟暴聖 ベリアル</v>
      </c>
      <c r="C2" s="169">
        <v>1</v>
      </c>
      <c r="D2" s="169">
        <v>105501</v>
      </c>
      <c r="E2" s="175" t="str">
        <f>IF(ISERROR(VLOOKUP(D2,[2]abilities!A:D,3,FALSE))=FALSE,VLOOKUP(D2,[2]abilities!A:D,3),IF(ISERROR(VLOOKUP(D2,abilities!A:D,3,FALSE))=FALSE,VLOOKUP(D2,abilities!A:D,3),"なし"))</f>
        <v>フィーバー50 攻撃力UP</v>
      </c>
      <c r="F2" s="175" t="str">
        <f>IF(ISERROR(VLOOKUP(D2,[2]abilities!A:D,4,FALSE))=FALSE,VLOOKUP(D2,[2]abilities!A:D,4),IF(ISERROR(VLOOKUP(D2,abilities!A:D,4,FALSE))=FALSE,VLOOKUP(D2,abilities!A:D,4),"なし"))</f>
        <v>フィーバーゲージが50％以上の時、自身の攻撃力UP</v>
      </c>
      <c r="G2" s="176" t="s">
        <v>256</v>
      </c>
      <c r="H2" s="176" t="s">
        <v>257</v>
      </c>
    </row>
    <row r="3" spans="1:8" s="4" customFormat="1" ht="21" customHeight="1" x14ac:dyDescent="0.15">
      <c r="A3" s="169">
        <v>1055</v>
      </c>
      <c r="B3" s="174" t="str">
        <f>VLOOKUP(A3,[1]characters!$A:$C,3)</f>
        <v>豪焔の轟暴聖 ベリアル</v>
      </c>
      <c r="C3" s="169">
        <v>2</v>
      </c>
      <c r="D3" s="169">
        <v>103</v>
      </c>
      <c r="E3" s="175" t="str">
        <f>IF(ISERROR(VLOOKUP(D3,[2]abilities!A:D,3,FALSE))=FALSE,VLOOKUP(D3,[2]abilities!A:D,3),IF(ISERROR(VLOOKUP(D3,abilities!A:D,3,FALSE))=FALSE,VLOOKUP(D3,abilities!A:D,3),"なし"))</f>
        <v>お邪魔ブレイク</v>
      </c>
      <c r="F3" s="175" t="str">
        <f>IF(ISERROR(VLOOKUP(D3,[2]abilities!A:D,4,FALSE))=FALSE,VLOOKUP(D3,[2]abilities!A:D,4),IF(ISERROR(VLOOKUP(D3,abilities!A:D,4,FALSE))=FALSE,VLOOKUP(D3,abilities!A:D,4),"なし"))</f>
        <v>自身が先頭の時、お邪魔パネルを破壊できる</v>
      </c>
      <c r="G3" s="176" t="s">
        <v>256</v>
      </c>
      <c r="H3" s="176" t="s">
        <v>257</v>
      </c>
    </row>
    <row r="4" spans="1:8" s="4" customFormat="1" ht="21" customHeight="1" x14ac:dyDescent="0.15">
      <c r="A4" s="169">
        <v>1056</v>
      </c>
      <c r="B4" s="174" t="str">
        <f>VLOOKUP(A4,[1]characters!$A:$C,3)</f>
        <v>神解の預欺皇 オセ</v>
      </c>
      <c r="C4" s="169">
        <v>1</v>
      </c>
      <c r="D4" s="169">
        <v>203</v>
      </c>
      <c r="E4" s="175" t="str">
        <f>IF(ISERROR(VLOOKUP(D4,[2]abilities!A:D,3,FALSE))=FALSE,VLOOKUP(D4,[2]abilities!A:D,3),IF(ISERROR(VLOOKUP(D4,abilities!A:D,3,FALSE))=FALSE,VLOOKUP(D4,abilities!A:D,3),"なし"))</f>
        <v>爆風軽減無効</v>
      </c>
      <c r="F4" s="175" t="str">
        <f>IF(ISERROR(VLOOKUP(D4,[2]abilities!A:D,4,FALSE))=FALSE,VLOOKUP(D4,[2]abilities!A:D,4),IF(ISERROR(VLOOKUP(D4,abilities!A:D,4,FALSE))=FALSE,VLOOKUP(D4,abilities!A:D,4),"なし"))</f>
        <v>自身が先頭の時、爆風軽減を無効化する</v>
      </c>
      <c r="G4" s="176" t="s">
        <v>256</v>
      </c>
      <c r="H4" s="176" t="s">
        <v>257</v>
      </c>
    </row>
    <row r="5" spans="1:8" s="4" customFormat="1" ht="21" customHeight="1" x14ac:dyDescent="0.15">
      <c r="A5" s="169">
        <v>1056</v>
      </c>
      <c r="B5" s="174" t="str">
        <f>VLOOKUP(A5,[1]characters!$A:$C,3)</f>
        <v>神解の預欺皇 オセ</v>
      </c>
      <c r="C5" s="169">
        <v>2</v>
      </c>
      <c r="D5" s="169">
        <v>100</v>
      </c>
      <c r="E5" s="175" t="str">
        <f>IF(ISERROR(VLOOKUP(D5,[2]abilities!A:D,3,FALSE))=FALSE,VLOOKUP(D5,[2]abilities!A:D,3),IF(ISERROR(VLOOKUP(D5,abilities!A:D,3,FALSE))=FALSE,VLOOKUP(D5,abilities!A:D,3),"なし"))</f>
        <v>プロテクトブレイク</v>
      </c>
      <c r="F5" s="175" t="str">
        <f>IF(ISERROR(VLOOKUP(D5,[2]abilities!A:D,4,FALSE))=FALSE,VLOOKUP(D5,[2]abilities!A:D,4),IF(ISERROR(VLOOKUP(D5,abilities!A:D,4,FALSE))=FALSE,VLOOKUP(D5,abilities!A:D,4),"なし"))</f>
        <v>自身が先頭の時、プロテクトを無視してパネル破壊できる</v>
      </c>
      <c r="G5" s="176" t="s">
        <v>256</v>
      </c>
      <c r="H5" s="176" t="s">
        <v>257</v>
      </c>
    </row>
    <row r="6" spans="1:8" s="4" customFormat="1" ht="21" customHeight="1" x14ac:dyDescent="0.15">
      <c r="A6" s="169">
        <v>1057</v>
      </c>
      <c r="B6" s="174" t="str">
        <f>VLOOKUP(A6,[1]characters!$A:$C,3)</f>
        <v>疑愛の永遠公爵 フォルネウス</v>
      </c>
      <c r="C6" s="169">
        <v>1</v>
      </c>
      <c r="D6" s="169">
        <v>105701</v>
      </c>
      <c r="E6" s="175" t="str">
        <f>IF(ISERROR(VLOOKUP(D6,[2]abilities!A:D,3,FALSE))=FALSE,VLOOKUP(D6,[2]abilities!A:D,3),IF(ISERROR(VLOOKUP(D6,abilities!A:D,3,FALSE))=FALSE,VLOOKUP(D6,abilities!A:D,3),"なし"))</f>
        <v>チェイン12 攻撃力UP</v>
      </c>
      <c r="F6" s="175" t="str">
        <f>IF(ISERROR(VLOOKUP(D6,[2]abilities!A:D,4,FALSE))=FALSE,VLOOKUP(D6,[2]abilities!A:D,4),IF(ISERROR(VLOOKUP(D6,abilities!A:D,4,FALSE))=FALSE,VLOOKUP(D6,abilities!A:D,4),"なし"))</f>
        <v>自身が先頭の時、1タップで12チェインをした時に自身の攻撃力UP(1ターンに1度だけ発動)</v>
      </c>
      <c r="G6" s="176" t="s">
        <v>256</v>
      </c>
      <c r="H6" s="176" t="s">
        <v>257</v>
      </c>
    </row>
    <row r="7" spans="1:8" s="4" customFormat="1" ht="21" customHeight="1" x14ac:dyDescent="0.15">
      <c r="A7" s="169">
        <v>1057</v>
      </c>
      <c r="B7" s="174" t="str">
        <f>VLOOKUP(A7,[1]characters!$A:$C,3)</f>
        <v>疑愛の永遠公爵 フォルネウス</v>
      </c>
      <c r="C7" s="169">
        <v>2</v>
      </c>
      <c r="D7" s="169">
        <v>100</v>
      </c>
      <c r="E7" s="175" t="str">
        <f>IF(ISERROR(VLOOKUP(D7,[2]abilities!A:D,3,FALSE))=FALSE,VLOOKUP(D7,[2]abilities!A:D,3),IF(ISERROR(VLOOKUP(D7,abilities!A:D,3,FALSE))=FALSE,VLOOKUP(D7,abilities!A:D,3),"なし"))</f>
        <v>プロテクトブレイク</v>
      </c>
      <c r="F7" s="175" t="str">
        <f>IF(ISERROR(VLOOKUP(D7,[2]abilities!A:D,4,FALSE))=FALSE,VLOOKUP(D7,[2]abilities!A:D,4),IF(ISERROR(VLOOKUP(D7,abilities!A:D,4,FALSE))=FALSE,VLOOKUP(D7,abilities!A:D,4),"なし"))</f>
        <v>自身が先頭の時、プロテクトを無視してパネル破壊できる</v>
      </c>
      <c r="G7" s="176" t="s">
        <v>256</v>
      </c>
      <c r="H7" s="176" t="s">
        <v>257</v>
      </c>
    </row>
    <row r="8" spans="1:8" s="4" customFormat="1" ht="21" customHeight="1" x14ac:dyDescent="0.15">
      <c r="A8" s="169">
        <v>1058</v>
      </c>
      <c r="B8" s="174" t="str">
        <f>VLOOKUP(A8,[1]characters!$A:$C,3)</f>
        <v>黄泉守誘の命神母 イザナミ</v>
      </c>
      <c r="C8" s="169">
        <v>1</v>
      </c>
      <c r="D8" s="169">
        <v>105801</v>
      </c>
      <c r="E8" s="175" t="str">
        <f>IF(ISERROR(VLOOKUP(D8,[2]abilities!A:D,3,FALSE))=FALSE,VLOOKUP(D8,[2]abilities!A:D,3),IF(ISERROR(VLOOKUP(D8,abilities!A:D,3,FALSE))=FALSE,VLOOKUP(D8,abilities!A:D,3),"なし"))</f>
        <v>Cパネル生成短縮</v>
      </c>
      <c r="F8" s="175" t="str">
        <f>IF(ISERROR(VLOOKUP(D8,[2]abilities!A:D,4,FALSE))=FALSE,VLOOKUP(D8,[2]abilities!A:D,4),IF(ISERROR(VLOOKUP(D8,abilities!A:D,4,FALSE))=FALSE,VLOOKUP(D8,abilities!A:D,4),"なし"))</f>
        <v>自身が先頭の時、Cパネル生成に必要なチェイン数を1短縮する</v>
      </c>
      <c r="G8" s="176" t="s">
        <v>256</v>
      </c>
      <c r="H8" s="176" t="s">
        <v>257</v>
      </c>
    </row>
    <row r="9" spans="1:8" s="4" customFormat="1" ht="21" customHeight="1" x14ac:dyDescent="0.15">
      <c r="A9" s="169">
        <v>1058</v>
      </c>
      <c r="B9" s="174" t="str">
        <f>VLOOKUP(A9,[1]characters!$A:$C,3)</f>
        <v>黄泉守誘の命神母 イザナミ</v>
      </c>
      <c r="C9" s="169">
        <v>2</v>
      </c>
      <c r="D9" s="169">
        <v>109</v>
      </c>
      <c r="E9" s="175" t="str">
        <f>IF(ISERROR(VLOOKUP(D9,[2]abilities!A:D,3,FALSE))=FALSE,VLOOKUP(D9,[2]abilities!A:D,3),IF(ISERROR(VLOOKUP(D9,abilities!A:D,3,FALSE))=FALSE,VLOOKUP(D9,abilities!A:D,3),"なし"))</f>
        <v>ダメージパネルブレイク</v>
      </c>
      <c r="F9" s="175" t="str">
        <f>IF(ISERROR(VLOOKUP(D9,[2]abilities!A:D,4,FALSE))=FALSE,VLOOKUP(D9,[2]abilities!A:D,4),IF(ISERROR(VLOOKUP(D9,abilities!A:D,4,FALSE))=FALSE,VLOOKUP(D9,abilities!A:D,4),"なし"))</f>
        <v>自身が先頭の時、ダメージを受けずにダメージパネルを破壊できる</v>
      </c>
      <c r="G9" s="176" t="s">
        <v>256</v>
      </c>
      <c r="H9" s="176" t="s">
        <v>257</v>
      </c>
    </row>
    <row r="10" spans="1:8" s="4" customFormat="1" ht="21" customHeight="1" x14ac:dyDescent="0.15">
      <c r="A10" s="38">
        <v>1116</v>
      </c>
      <c r="B10" s="174" t="str">
        <f>VLOOKUP(A10,[1]characters!$A:$C,3)</f>
        <v>天檄総氏神 アマテラス</v>
      </c>
      <c r="C10" s="169">
        <v>1</v>
      </c>
      <c r="D10" s="169">
        <v>103</v>
      </c>
      <c r="E10" s="175" t="str">
        <f>IF(ISERROR(VLOOKUP(D10,[2]abilities!A:D,3,FALSE))=FALSE,VLOOKUP(D10,[2]abilities!A:D,3),IF(ISERROR(VLOOKUP(D10,abilities!A:D,3,FALSE))=FALSE,VLOOKUP(D10,abilities!A:D,3),"なし"))</f>
        <v>お邪魔ブレイク</v>
      </c>
      <c r="F10" s="175" t="str">
        <f>IF(ISERROR(VLOOKUP(D10,[2]abilities!A:D,4,FALSE))=FALSE,VLOOKUP(D10,[2]abilities!A:D,4),IF(ISERROR(VLOOKUP(D10,abilities!A:D,4,FALSE))=FALSE,VLOOKUP(D10,abilities!A:D,4),"なし"))</f>
        <v>自身が先頭の時、お邪魔パネルを破壊できる</v>
      </c>
      <c r="G10" s="176" t="s">
        <v>256</v>
      </c>
      <c r="H10" s="176" t="s">
        <v>413</v>
      </c>
    </row>
    <row r="11" spans="1:8" s="4" customFormat="1" ht="21" customHeight="1" x14ac:dyDescent="0.15">
      <c r="A11" s="38">
        <v>1116</v>
      </c>
      <c r="B11" s="174" t="str">
        <f>VLOOKUP(A11,[1]characters!$A:$C,3)</f>
        <v>天檄総氏神 アマテラス</v>
      </c>
      <c r="C11" s="169">
        <v>2</v>
      </c>
      <c r="D11" s="169">
        <v>912</v>
      </c>
      <c r="E11" s="175" t="str">
        <f>IF(ISERROR(VLOOKUP(D11,[2]abilities!A:D,3,FALSE))=FALSE,VLOOKUP(D11,[2]abilities!A:D,3),IF(ISERROR(VLOOKUP(D11,abilities!A:D,3,FALSE))=FALSE,VLOOKUP(D11,abilities!A:D,3),"なし"))</f>
        <v>なし</v>
      </c>
      <c r="F11" s="175" t="str">
        <f>IF(ISERROR(VLOOKUP(D11,[2]abilities!A:D,4,FALSE))=FALSE,VLOOKUP(D11,[2]abilities!A:D,4),IF(ISERROR(VLOOKUP(D11,abilities!A:D,4,FALSE))=FALSE,VLOOKUP(D11,abilities!A:D,4),"なし"))</f>
        <v>なし</v>
      </c>
      <c r="G11" s="176" t="s">
        <v>256</v>
      </c>
      <c r="H11" s="176" t="s">
        <v>574</v>
      </c>
    </row>
    <row r="12" spans="1:8" s="4" customFormat="1" ht="21" customHeight="1" x14ac:dyDescent="0.15">
      <c r="A12" s="38">
        <v>1118</v>
      </c>
      <c r="B12" s="174" t="str">
        <f>VLOOKUP(A12,[1]characters!$A:$C,3)</f>
        <v>超過速路の閃導者 ジャンヌ</v>
      </c>
      <c r="C12" s="169">
        <v>1</v>
      </c>
      <c r="D12" s="66">
        <v>200</v>
      </c>
      <c r="E12" s="175" t="str">
        <f>IF(ISERROR(VLOOKUP(D12,[2]abilities!A:D,3,FALSE))=FALSE,VLOOKUP(D12,[2]abilities!A:D,3),IF(ISERROR(VLOOKUP(D12,abilities!A:D,3,FALSE))=FALSE,VLOOKUP(D12,abilities!A:D,3),"なし"))</f>
        <v>ウィルス無効</v>
      </c>
      <c r="F12" s="175" t="str">
        <f>IF(ISERROR(VLOOKUP(D12,[2]abilities!A:D,4,FALSE))=FALSE,VLOOKUP(D12,[2]abilities!A:D,4),IF(ISERROR(VLOOKUP(D12,abilities!A:D,4,FALSE))=FALSE,VLOOKUP(D12,abilities!A:D,4),"なし"))</f>
        <v>自身にかかるウィルスを無効化する</v>
      </c>
      <c r="G12" s="176" t="s">
        <v>256</v>
      </c>
      <c r="H12" s="176" t="s">
        <v>468</v>
      </c>
    </row>
    <row r="13" spans="1:8" s="4" customFormat="1" ht="21" customHeight="1" x14ac:dyDescent="0.15">
      <c r="A13" s="38">
        <v>1121</v>
      </c>
      <c r="B13" s="174" t="str">
        <f>VLOOKUP(A13,[1]characters!$A:$C,3)</f>
        <v>逆燦の機閃刃 オイラー</v>
      </c>
      <c r="C13" s="169">
        <v>1</v>
      </c>
      <c r="D13" s="169">
        <v>204</v>
      </c>
      <c r="E13" s="175" t="str">
        <f>IF(ISERROR(VLOOKUP(D13,[2]abilities!A:D,3,FALSE))=FALSE,VLOOKUP(D13,[2]abilities!A:D,3),IF(ISERROR(VLOOKUP(D13,abilities!A:D,3,FALSE))=FALSE,VLOOKUP(D13,abilities!A:D,3),"なし"))</f>
        <v>爆風強化</v>
      </c>
      <c r="F13" s="175" t="str">
        <f>IF(ISERROR(VLOOKUP(D13,[2]abilities!A:D,4,FALSE))=FALSE,VLOOKUP(D13,[2]abilities!A:D,4),IF(ISERROR(VLOOKUP(D13,abilities!A:D,4,FALSE))=FALSE,VLOOKUP(D13,abilities!A:D,4),"なし"))</f>
        <v>自身が先頭の時、ボムの爆風を強化する</v>
      </c>
      <c r="G13" s="176" t="s">
        <v>256</v>
      </c>
      <c r="H13" s="176" t="s">
        <v>388</v>
      </c>
    </row>
    <row r="14" spans="1:8" s="4" customFormat="1" ht="21" customHeight="1" x14ac:dyDescent="0.15">
      <c r="A14" s="38">
        <v>1121</v>
      </c>
      <c r="B14" s="174" t="str">
        <f>VLOOKUP(A14,[1]characters!$A:$C,3)</f>
        <v>逆燦の機閃刃 オイラー</v>
      </c>
      <c r="C14" s="169">
        <v>2</v>
      </c>
      <c r="D14" s="169">
        <v>203</v>
      </c>
      <c r="E14" s="175" t="str">
        <f>IF(ISERROR(VLOOKUP(D14,[2]abilities!A:D,3,FALSE))=FALSE,VLOOKUP(D14,[2]abilities!A:D,3),IF(ISERROR(VLOOKUP(D14,abilities!A:D,3,FALSE))=FALSE,VLOOKUP(D14,abilities!A:D,3),"なし"))</f>
        <v>爆風軽減無効</v>
      </c>
      <c r="F14" s="175" t="str">
        <f>IF(ISERROR(VLOOKUP(D14,[2]abilities!A:D,4,FALSE))=FALSE,VLOOKUP(D14,[2]abilities!A:D,4),IF(ISERROR(VLOOKUP(D14,abilities!A:D,4,FALSE))=FALSE,VLOOKUP(D14,abilities!A:D,4),"なし"))</f>
        <v>自身が先頭の時、爆風軽減を無効化する</v>
      </c>
      <c r="G14" s="176" t="s">
        <v>256</v>
      </c>
      <c r="H14" s="176" t="s">
        <v>257</v>
      </c>
    </row>
    <row r="15" spans="1:8" s="4" customFormat="1" ht="21" customHeight="1" x14ac:dyDescent="0.15">
      <c r="A15" s="38">
        <v>1122</v>
      </c>
      <c r="B15" s="174" t="str">
        <f>VLOOKUP(A15,[1]characters!$A:$C,3)</f>
        <v>不可能性の現翼 メビウス</v>
      </c>
      <c r="C15" s="169">
        <v>1</v>
      </c>
      <c r="D15" s="169">
        <v>103</v>
      </c>
      <c r="E15" s="175" t="str">
        <f>IF(ISERROR(VLOOKUP(D15,[2]abilities!A:D,3,FALSE))=FALSE,VLOOKUP(D15,[2]abilities!A:D,3),IF(ISERROR(VLOOKUP(D15,abilities!A:D,3,FALSE))=FALSE,VLOOKUP(D15,abilities!A:D,3),"なし"))</f>
        <v>お邪魔ブレイク</v>
      </c>
      <c r="F15" s="175" t="str">
        <f>IF(ISERROR(VLOOKUP(D15,[2]abilities!A:D,4,FALSE))=FALSE,VLOOKUP(D15,[2]abilities!A:D,4),IF(ISERROR(VLOOKUP(D15,abilities!A:D,4,FALSE))=FALSE,VLOOKUP(D15,abilities!A:D,4),"なし"))</f>
        <v>自身が先頭の時、お邪魔パネルを破壊できる</v>
      </c>
      <c r="G15" s="176" t="s">
        <v>256</v>
      </c>
      <c r="H15" s="176" t="s">
        <v>257</v>
      </c>
    </row>
    <row r="16" spans="1:8" s="4" customFormat="1" ht="21" customHeight="1" x14ac:dyDescent="0.15">
      <c r="A16" s="38">
        <v>1122</v>
      </c>
      <c r="B16" s="174" t="str">
        <f>VLOOKUP(A16,[1]characters!$A:$C,3)</f>
        <v>不可能性の現翼 メビウス</v>
      </c>
      <c r="C16" s="169">
        <v>2</v>
      </c>
      <c r="D16" s="66">
        <v>112201</v>
      </c>
      <c r="E16" s="175" t="str">
        <f>IF(ISERROR(VLOOKUP(D16,[2]abilities!A:D,3,FALSE))=FALSE,VLOOKUP(D16,[2]abilities!A:D,3),IF(ISERROR(VLOOKUP(D16,abilities!A:D,3,FALSE))=FALSE,VLOOKUP(D16,abilities!A:D,3),"なし"))</f>
        <v>Cパネルブレイク10 攻撃力UP</v>
      </c>
      <c r="F16" s="175" t="str">
        <f>IF(ISERROR(VLOOKUP(D16,[2]abilities!A:D,4,FALSE))=FALSE,VLOOKUP(D16,[2]abilities!A:D,4),IF(ISERROR(VLOOKUP(D16,abilities!A:D,4,FALSE))=FALSE,VLOOKUP(D16,abilities!A:D,4),"なし"))</f>
        <v>自身が先頭の時、1ターンの間に合計10個以上Cパネルを破壊した場合に攻撃力UP</v>
      </c>
      <c r="G16" s="176" t="s">
        <v>256</v>
      </c>
      <c r="H16" s="176" t="s">
        <v>257</v>
      </c>
    </row>
    <row r="17" spans="1:8" s="4" customFormat="1" ht="21" customHeight="1" x14ac:dyDescent="0.15">
      <c r="A17" s="38">
        <v>1123</v>
      </c>
      <c r="B17" s="174" t="str">
        <f>VLOOKUP(A17,[1]characters!$A:$C,3)</f>
        <v>舞降りし綺鏡羽 ブール</v>
      </c>
      <c r="C17" s="169">
        <v>1</v>
      </c>
      <c r="D17" s="169">
        <v>100</v>
      </c>
      <c r="E17" s="175" t="str">
        <f>IF(ISERROR(VLOOKUP(D17,[2]abilities!A:D,3,FALSE))=FALSE,VLOOKUP(D17,[2]abilities!A:D,3),IF(ISERROR(VLOOKUP(D17,abilities!A:D,3,FALSE))=FALSE,VLOOKUP(D17,abilities!A:D,3),"なし"))</f>
        <v>プロテクトブレイク</v>
      </c>
      <c r="F17" s="175" t="str">
        <f>IF(ISERROR(VLOOKUP(D17,[2]abilities!A:D,4,FALSE))=FALSE,VLOOKUP(D17,[2]abilities!A:D,4),IF(ISERROR(VLOOKUP(D17,abilities!A:D,4,FALSE))=FALSE,VLOOKUP(D17,abilities!A:D,4),"なし"))</f>
        <v>自身が先頭の時、プロテクトを無視してパネル破壊できる</v>
      </c>
      <c r="G17" s="176" t="s">
        <v>256</v>
      </c>
      <c r="H17" s="176" t="s">
        <v>257</v>
      </c>
    </row>
    <row r="18" spans="1:8" s="4" customFormat="1" ht="21" customHeight="1" x14ac:dyDescent="0.15">
      <c r="A18" s="38">
        <v>1123</v>
      </c>
      <c r="B18" s="174" t="str">
        <f>VLOOKUP(A18,[1]characters!$A:$C,3)</f>
        <v>舞降りし綺鏡羽 ブール</v>
      </c>
      <c r="C18" s="169">
        <v>2</v>
      </c>
      <c r="D18" s="66">
        <v>803</v>
      </c>
      <c r="E18" s="175" t="str">
        <f>IF(ISERROR(VLOOKUP(D18,[2]abilities!A:D,3,FALSE))=FALSE,VLOOKUP(D18,[2]abilities!A:D,3),IF(ISERROR(VLOOKUP(D18,abilities!A:D,3,FALSE))=FALSE,VLOOKUP(D18,abilities!A:D,3),"なし"))</f>
        <v>パネルブレイク30 回復力UP</v>
      </c>
      <c r="F18" s="175" t="str">
        <f>IF(ISERROR(VLOOKUP(D18,[2]abilities!A:D,4,FALSE))=FALSE,VLOOKUP(D18,[2]abilities!A:D,4),IF(ISERROR(VLOOKUP(D18,abilities!A:D,4,FALSE))=FALSE,VLOOKUP(D18,abilities!A:D,4),"なし"))</f>
        <v>自身が先頭の時、1ターンの間に合計30個以上パネルを破壊した場合に回復力UP</v>
      </c>
      <c r="G18" s="176" t="s">
        <v>256</v>
      </c>
      <c r="H18" s="176" t="s">
        <v>257</v>
      </c>
    </row>
    <row r="19" spans="1:8" s="4" customFormat="1" ht="21" customHeight="1" x14ac:dyDescent="0.15">
      <c r="A19" s="38">
        <v>1124</v>
      </c>
      <c r="B19" s="174" t="str">
        <f>VLOOKUP(A19,[1]characters!$A:$C,3)</f>
        <v>超絶界析 ラグランジュ</v>
      </c>
      <c r="C19" s="169">
        <v>1</v>
      </c>
      <c r="D19" s="169">
        <v>200</v>
      </c>
      <c r="E19" s="175" t="str">
        <f>IF(ISERROR(VLOOKUP(D19,[2]abilities!A:D,3,FALSE))=FALSE,VLOOKUP(D19,[2]abilities!A:D,3),IF(ISERROR(VLOOKUP(D19,abilities!A:D,3,FALSE))=FALSE,VLOOKUP(D19,abilities!A:D,3),"なし"))</f>
        <v>ウィルス無効</v>
      </c>
      <c r="F19" s="175" t="str">
        <f>IF(ISERROR(VLOOKUP(D19,[2]abilities!A:D,4,FALSE))=FALSE,VLOOKUP(D19,[2]abilities!A:D,4),IF(ISERROR(VLOOKUP(D19,abilities!A:D,4,FALSE))=FALSE,VLOOKUP(D19,abilities!A:D,4),"なし"))</f>
        <v>自身にかかるウィルスを無効化する</v>
      </c>
      <c r="G19" s="176" t="s">
        <v>256</v>
      </c>
      <c r="H19" s="176" t="s">
        <v>388</v>
      </c>
    </row>
    <row r="20" spans="1:8" s="4" customFormat="1" ht="21" customHeight="1" x14ac:dyDescent="0.15">
      <c r="A20" s="38">
        <v>1124</v>
      </c>
      <c r="B20" s="174" t="str">
        <f>VLOOKUP(A20,[1]characters!$A:$C,3)</f>
        <v>超絶界析 ラグランジュ</v>
      </c>
      <c r="C20" s="169">
        <v>2</v>
      </c>
      <c r="D20" s="66">
        <v>105801</v>
      </c>
      <c r="E20" s="175" t="str">
        <f>IF(ISERROR(VLOOKUP(D20,[2]abilities!A:D,3,FALSE))=FALSE,VLOOKUP(D20,[2]abilities!A:D,3),IF(ISERROR(VLOOKUP(D20,abilities!A:D,3,FALSE))=FALSE,VLOOKUP(D20,abilities!A:D,3),"なし"))</f>
        <v>Cパネル生成短縮</v>
      </c>
      <c r="F20" s="175" t="str">
        <f>IF(ISERROR(VLOOKUP(D20,[2]abilities!A:D,4,FALSE))=FALSE,VLOOKUP(D20,[2]abilities!A:D,4),IF(ISERROR(VLOOKUP(D20,abilities!A:D,4,FALSE))=FALSE,VLOOKUP(D20,abilities!A:D,4),"なし"))</f>
        <v>自身が先頭の時、Cパネル生成に必要なチェイン数を1短縮する</v>
      </c>
      <c r="G20" s="176" t="s">
        <v>256</v>
      </c>
      <c r="H20" s="176" t="s">
        <v>257</v>
      </c>
    </row>
    <row r="21" spans="1:8" s="4" customFormat="1" ht="21" customHeight="1" x14ac:dyDescent="0.15">
      <c r="A21" s="38">
        <v>1179</v>
      </c>
      <c r="B21" s="174" t="str">
        <f>VLOOKUP(A21,[1]characters!$A:$C,3)</f>
        <v>厳核なる巨大炉 ハイゼンベルク</v>
      </c>
      <c r="C21" s="169">
        <v>1</v>
      </c>
      <c r="D21" s="169">
        <v>100</v>
      </c>
      <c r="E21" s="175" t="str">
        <f>IF(ISERROR(VLOOKUP(D21,[2]abilities!A:D,3,FALSE))=FALSE,VLOOKUP(D21,[2]abilities!A:D,3),IF(ISERROR(VLOOKUP(D21,abilities!A:D,3,FALSE))=FALSE,VLOOKUP(D21,abilities!A:D,3),"なし"))</f>
        <v>プロテクトブレイク</v>
      </c>
      <c r="F21" s="175" t="str">
        <f>IF(ISERROR(VLOOKUP(D21,[2]abilities!A:D,4,FALSE))=FALSE,VLOOKUP(D21,[2]abilities!A:D,4),IF(ISERROR(VLOOKUP(D21,abilities!A:D,4,FALSE))=FALSE,VLOOKUP(D21,abilities!A:D,4),"なし"))</f>
        <v>自身が先頭の時、プロテクトを無視してパネル破壊できる</v>
      </c>
      <c r="G21" s="176" t="s">
        <v>256</v>
      </c>
      <c r="H21" s="176" t="s">
        <v>257</v>
      </c>
    </row>
    <row r="22" spans="1:8" s="4" customFormat="1" ht="21" customHeight="1" x14ac:dyDescent="0.15">
      <c r="A22" s="38">
        <v>1179</v>
      </c>
      <c r="B22" s="174" t="str">
        <f>VLOOKUP(A22,[1]characters!$A:$C,3)</f>
        <v>厳核なる巨大炉 ハイゼンベルク</v>
      </c>
      <c r="C22" s="169">
        <v>2</v>
      </c>
      <c r="D22" s="66">
        <v>117901</v>
      </c>
      <c r="E22" s="175" t="str">
        <f>IF(ISERROR(VLOOKUP(D22,[2]abilities!A:D,3,FALSE))=FALSE,VLOOKUP(D22,[2]abilities!A:D,3),IF(ISERROR(VLOOKUP(D22,abilities!A:D,3,FALSE))=FALSE,VLOOKUP(D22,abilities!A:D,3),"なし"))</f>
        <v>パネルブレイク20 攻撃力UP</v>
      </c>
      <c r="F22" s="175" t="str">
        <f>IF(ISERROR(VLOOKUP(D22,[2]abilities!A:D,4,FALSE))=FALSE,VLOOKUP(D22,[2]abilities!A:D,4),IF(ISERROR(VLOOKUP(D22,abilities!A:D,4,FALSE))=FALSE,VLOOKUP(D22,abilities!A:D,4),"なし"))</f>
        <v>自身が先頭の時、1ターンの間に合計20個以上パネルを破壊した場合に攻撃力UP</v>
      </c>
      <c r="G22" s="176" t="s">
        <v>256</v>
      </c>
      <c r="H22" s="176" t="s">
        <v>257</v>
      </c>
    </row>
    <row r="23" spans="1:8" s="4" customFormat="1" ht="21" customHeight="1" x14ac:dyDescent="0.15">
      <c r="A23" s="38">
        <v>1185</v>
      </c>
      <c r="B23" s="174" t="str">
        <f>VLOOKUP(A23,[1]characters!$A:$C,3)</f>
        <v>兆銀河団の星観者 ハーシェル</v>
      </c>
      <c r="C23" s="169">
        <v>1</v>
      </c>
      <c r="D23" s="169">
        <v>100</v>
      </c>
      <c r="E23" s="175" t="str">
        <f>IF(ISERROR(VLOOKUP(D23,[2]abilities!A:D,3,FALSE))=FALSE,VLOOKUP(D23,[2]abilities!A:D,3),IF(ISERROR(VLOOKUP(D23,abilities!A:D,3,FALSE))=FALSE,VLOOKUP(D23,abilities!A:D,3),"なし"))</f>
        <v>プロテクトブレイク</v>
      </c>
      <c r="F23" s="175" t="str">
        <f>IF(ISERROR(VLOOKUP(D23,[2]abilities!A:D,4,FALSE))=FALSE,VLOOKUP(D23,[2]abilities!A:D,4),IF(ISERROR(VLOOKUP(D23,abilities!A:D,4,FALSE))=FALSE,VLOOKUP(D23,abilities!A:D,4),"なし"))</f>
        <v>自身が先頭の時、プロテクトを無視してパネル破壊できる</v>
      </c>
      <c r="G23" s="176" t="s">
        <v>256</v>
      </c>
      <c r="H23" s="176" t="s">
        <v>257</v>
      </c>
    </row>
    <row r="24" spans="1:8" s="4" customFormat="1" ht="21" customHeight="1" x14ac:dyDescent="0.15">
      <c r="A24" s="38">
        <v>1185</v>
      </c>
      <c r="B24" s="174" t="str">
        <f>VLOOKUP(A24,[1]characters!$A:$C,3)</f>
        <v>兆銀河団の星観者 ハーシェル</v>
      </c>
      <c r="C24" s="169">
        <v>2</v>
      </c>
      <c r="D24" s="66">
        <v>118501</v>
      </c>
      <c r="E24" s="175" t="str">
        <f>IF(ISERROR(VLOOKUP(D24,[2]abilities!A:D,3,FALSE))=FALSE,VLOOKUP(D24,[2]abilities!A:D,3),IF(ISERROR(VLOOKUP(D24,abilities!A:D,3,FALSE))=FALSE,VLOOKUP(D24,abilities!A:D,3),"なし"))</f>
        <v>赤・青属性耐性10</v>
      </c>
      <c r="F24" s="175" t="str">
        <f>IF(ISERROR(VLOOKUP(D24,[2]abilities!A:D,4,FALSE))=FALSE,VLOOKUP(D24,[2]abilities!A:D,4),IF(ISERROR(VLOOKUP(D24,abilities!A:D,4,FALSE))=FALSE,VLOOKUP(D24,abilities!A:D,4),"なし"))</f>
        <v>自身に対する赤・青属性の敵からの攻撃を10％軽減</v>
      </c>
      <c r="G24" s="176" t="s">
        <v>256</v>
      </c>
      <c r="H24" s="176" t="s">
        <v>257</v>
      </c>
    </row>
    <row r="25" spans="1:8" s="4" customFormat="1" ht="21" customHeight="1" x14ac:dyDescent="0.15">
      <c r="A25" s="38">
        <v>1119</v>
      </c>
      <c r="B25" s="174" t="str">
        <f>VLOOKUP(A25,[1]characters!$A:$C,3)</f>
        <v>刹・廻天一流 宮本武蔵</v>
      </c>
      <c r="C25" s="169">
        <v>1</v>
      </c>
      <c r="D25" s="169">
        <v>111901</v>
      </c>
      <c r="E25" s="175" t="str">
        <f>IF(ISERROR(VLOOKUP(D25,[2]abilities!A:D,3,FALSE))=FALSE,VLOOKUP(D25,[2]abilities!A:D,3),IF(ISERROR(VLOOKUP(D25,abilities!A:D,3,FALSE))=FALSE,VLOOKUP(D25,abilities!A:D,3),"なし"))</f>
        <v>Cパネル生成短縮</v>
      </c>
      <c r="F25" s="175" t="str">
        <f>IF(ISERROR(VLOOKUP(D25,[2]abilities!A:D,4,FALSE))=FALSE,VLOOKUP(D25,[2]abilities!A:D,4),IF(ISERROR(VLOOKUP(D25,abilities!A:D,4,FALSE))=FALSE,VLOOKUP(D25,abilities!A:D,4),"なし"))</f>
        <v>自身が先頭の時、Cパネル生成に必要なチェイン数を1短縮する</v>
      </c>
      <c r="G25" s="176" t="s">
        <v>256</v>
      </c>
      <c r="H25" s="176" t="s">
        <v>500</v>
      </c>
    </row>
    <row r="26" spans="1:8" s="4" customFormat="1" ht="21" customHeight="1" x14ac:dyDescent="0.15">
      <c r="A26" s="38">
        <v>1120</v>
      </c>
      <c r="B26" s="174" t="str">
        <f>VLOOKUP(A26,[1]characters!$A:$C,3)</f>
        <v>四聖猛煌の皇獣 麒麟</v>
      </c>
      <c r="C26" s="169">
        <v>1</v>
      </c>
      <c r="D26" s="66">
        <v>100</v>
      </c>
      <c r="E26" s="175" t="str">
        <f>IF(ISERROR(VLOOKUP(D26,[2]abilities!A:D,3,FALSE))=FALSE,VLOOKUP(D26,[2]abilities!A:D,3),IF(ISERROR(VLOOKUP(D26,abilities!A:D,3,FALSE))=FALSE,VLOOKUP(D26,abilities!A:D,3),"なし"))</f>
        <v>プロテクトブレイク</v>
      </c>
      <c r="F26" s="175" t="str">
        <f>IF(ISERROR(VLOOKUP(D26,[2]abilities!A:D,4,FALSE))=FALSE,VLOOKUP(D26,[2]abilities!A:D,4),IF(ISERROR(VLOOKUP(D26,abilities!A:D,4,FALSE))=FALSE,VLOOKUP(D26,abilities!A:D,4),"なし"))</f>
        <v>自身が先頭の時、プロテクトを無視してパネル破壊できる</v>
      </c>
      <c r="G26" s="176" t="s">
        <v>256</v>
      </c>
      <c r="H26" s="176" t="s">
        <v>502</v>
      </c>
    </row>
    <row r="27" spans="1:8" s="4" customFormat="1" ht="21" customHeight="1" x14ac:dyDescent="0.15">
      <c r="A27" s="38">
        <v>1120</v>
      </c>
      <c r="B27" s="174" t="str">
        <f>VLOOKUP(A27,[1]characters!$A:$C,3)</f>
        <v>四聖猛煌の皇獣 麒麟</v>
      </c>
      <c r="C27" s="169">
        <v>2</v>
      </c>
      <c r="D27" s="169">
        <v>112001</v>
      </c>
      <c r="E27" s="175" t="str">
        <f>IF(ISERROR(VLOOKUP(D27,[2]abilities!A:D,3,FALSE))=FALSE,VLOOKUP(D27,[2]abilities!A:D,3),IF(ISERROR(VLOOKUP(D27,abilities!A:D,3,FALSE))=FALSE,VLOOKUP(D27,abilities!A:D,3),"なし"))</f>
        <v>Cパネル生成短縮</v>
      </c>
      <c r="F27" s="175" t="str">
        <f>IF(ISERROR(VLOOKUP(D27,[2]abilities!A:D,4,FALSE))=FALSE,VLOOKUP(D27,[2]abilities!A:D,4),IF(ISERROR(VLOOKUP(D27,abilities!A:D,4,FALSE))=FALSE,VLOOKUP(D27,abilities!A:D,4),"なし"))</f>
        <v>自身が先頭の時、Cパネル生成に必要なチェイン数を1短縮する</v>
      </c>
      <c r="G27" s="176" t="s">
        <v>256</v>
      </c>
      <c r="H27" s="176" t="s">
        <v>501</v>
      </c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B19"/>
  <sheetViews>
    <sheetView workbookViewId="0">
      <selection activeCell="D2" sqref="D2"/>
    </sheetView>
  </sheetViews>
  <sheetFormatPr baseColWidth="12" defaultRowHeight="15" x14ac:dyDescent="0.15"/>
  <sheetData>
    <row r="1" spans="1:2" x14ac:dyDescent="0.15">
      <c r="A1" t="s">
        <v>530</v>
      </c>
      <c r="B1" t="s">
        <v>531</v>
      </c>
    </row>
    <row r="2" spans="1:2" x14ac:dyDescent="0.15">
      <c r="A2" t="s">
        <v>532</v>
      </c>
      <c r="B2">
        <v>1</v>
      </c>
    </row>
    <row r="3" spans="1:2" x14ac:dyDescent="0.15">
      <c r="A3" t="s">
        <v>533</v>
      </c>
      <c r="B3">
        <v>1</v>
      </c>
    </row>
    <row r="4" spans="1:2" x14ac:dyDescent="0.15">
      <c r="A4" t="s">
        <v>534</v>
      </c>
      <c r="B4">
        <v>1</v>
      </c>
    </row>
    <row r="5" spans="1:2" x14ac:dyDescent="0.15">
      <c r="A5" t="s">
        <v>535</v>
      </c>
      <c r="B5">
        <v>1</v>
      </c>
    </row>
    <row r="6" spans="1:2" x14ac:dyDescent="0.15">
      <c r="A6" t="s">
        <v>536</v>
      </c>
      <c r="B6">
        <v>1</v>
      </c>
    </row>
    <row r="7" spans="1:2" x14ac:dyDescent="0.15">
      <c r="A7" t="s">
        <v>537</v>
      </c>
      <c r="B7">
        <v>1</v>
      </c>
    </row>
    <row r="8" spans="1:2" x14ac:dyDescent="0.15">
      <c r="A8" t="s">
        <v>538</v>
      </c>
      <c r="B8">
        <v>1</v>
      </c>
    </row>
    <row r="9" spans="1:2" x14ac:dyDescent="0.15">
      <c r="A9" t="s">
        <v>539</v>
      </c>
      <c r="B9">
        <v>1</v>
      </c>
    </row>
    <row r="10" spans="1:2" x14ac:dyDescent="0.15">
      <c r="A10" t="s">
        <v>540</v>
      </c>
      <c r="B10">
        <v>1</v>
      </c>
    </row>
    <row r="11" spans="1:2" x14ac:dyDescent="0.15">
      <c r="A11" t="s">
        <v>541</v>
      </c>
      <c r="B11">
        <v>1</v>
      </c>
    </row>
    <row r="12" spans="1:2" x14ac:dyDescent="0.15">
      <c r="A12" t="s">
        <v>542</v>
      </c>
      <c r="B12">
        <v>1</v>
      </c>
    </row>
    <row r="13" spans="1:2" x14ac:dyDescent="0.15">
      <c r="A13" t="s">
        <v>543</v>
      </c>
      <c r="B13">
        <v>0</v>
      </c>
    </row>
    <row r="14" spans="1:2" x14ac:dyDescent="0.15">
      <c r="A14" t="s">
        <v>544</v>
      </c>
      <c r="B14">
        <v>500</v>
      </c>
    </row>
    <row r="15" spans="1:2" x14ac:dyDescent="0.15">
      <c r="A15" t="s">
        <v>545</v>
      </c>
      <c r="B15">
        <v>600</v>
      </c>
    </row>
    <row r="16" spans="1:2" x14ac:dyDescent="0.15">
      <c r="A16" t="s">
        <v>546</v>
      </c>
      <c r="B16">
        <v>700</v>
      </c>
    </row>
    <row r="17" spans="1:2" x14ac:dyDescent="0.15">
      <c r="A17" t="s">
        <v>547</v>
      </c>
      <c r="B17">
        <v>5500</v>
      </c>
    </row>
    <row r="18" spans="1:2" x14ac:dyDescent="0.15">
      <c r="A18" t="s">
        <v>548</v>
      </c>
      <c r="B18">
        <v>6000</v>
      </c>
    </row>
    <row r="19" spans="1:2" x14ac:dyDescent="0.15">
      <c r="A19" t="s">
        <v>549</v>
      </c>
      <c r="B19">
        <v>30000</v>
      </c>
    </row>
  </sheetData>
  <phoneticPr fontId="22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0"/>
  <sheetViews>
    <sheetView showGridLines="0" tabSelected="1" workbookViewId="0">
      <selection activeCell="I20" sqref="I20"/>
    </sheetView>
  </sheetViews>
  <sheetFormatPr baseColWidth="12" defaultColWidth="13" defaultRowHeight="21" customHeight="1" x14ac:dyDescent="0.15"/>
  <cols>
    <col min="1" max="1" width="13" style="4"/>
    <col min="2" max="16384" width="13" style="24"/>
  </cols>
  <sheetData>
    <row r="1" spans="1:9" s="4" customFormat="1" ht="21" customHeight="1" x14ac:dyDescent="0.15">
      <c r="A1" s="31" t="s">
        <v>223</v>
      </c>
      <c r="B1" s="33">
        <v>1</v>
      </c>
      <c r="C1" s="33">
        <v>2</v>
      </c>
      <c r="D1" s="33">
        <v>3</v>
      </c>
      <c r="E1" s="33">
        <v>4</v>
      </c>
      <c r="F1" s="33">
        <v>5</v>
      </c>
      <c r="G1" s="33">
        <v>6</v>
      </c>
      <c r="H1" s="33">
        <v>7</v>
      </c>
      <c r="I1" s="33">
        <v>8</v>
      </c>
    </row>
    <row r="2" spans="1:9" s="4" customFormat="1" ht="21" customHeight="1" x14ac:dyDescent="0.15">
      <c r="A2" s="143" t="s">
        <v>224</v>
      </c>
      <c r="B2" s="144"/>
      <c r="C2" s="145"/>
      <c r="D2" s="146" t="s">
        <v>225</v>
      </c>
      <c r="E2" s="146">
        <v>30</v>
      </c>
      <c r="F2" s="146">
        <v>40</v>
      </c>
      <c r="G2" s="146">
        <f>15+F2</f>
        <v>55</v>
      </c>
      <c r="H2" s="145"/>
      <c r="I2" s="145"/>
    </row>
    <row r="3" spans="1:9" s="4" customFormat="1" ht="21" customHeight="1" x14ac:dyDescent="0.15">
      <c r="A3" s="143" t="s">
        <v>226</v>
      </c>
      <c r="B3" s="147"/>
      <c r="C3" s="148"/>
      <c r="D3" s="149" t="s">
        <v>225</v>
      </c>
      <c r="E3" s="149">
        <v>25</v>
      </c>
      <c r="F3" s="149">
        <v>35</v>
      </c>
      <c r="G3" s="146">
        <f t="shared" ref="G3:G4" si="0">15+F3</f>
        <v>50</v>
      </c>
      <c r="H3" s="148"/>
      <c r="I3" s="148"/>
    </row>
    <row r="4" spans="1:9" s="4" customFormat="1" ht="21" customHeight="1" x14ac:dyDescent="0.15">
      <c r="A4" s="143" t="s">
        <v>227</v>
      </c>
      <c r="B4" s="150"/>
      <c r="C4" s="151"/>
      <c r="D4" s="152">
        <v>10</v>
      </c>
      <c r="E4" s="152">
        <v>20</v>
      </c>
      <c r="F4" s="152">
        <v>30</v>
      </c>
      <c r="G4" s="152">
        <f t="shared" si="0"/>
        <v>45</v>
      </c>
      <c r="H4" s="151"/>
      <c r="I4" s="151"/>
    </row>
    <row r="5" spans="1:9" s="4" customFormat="1" ht="21" customHeight="1" x14ac:dyDescent="0.15">
      <c r="A5" s="162" t="s">
        <v>228</v>
      </c>
      <c r="B5" s="157"/>
      <c r="C5" s="158"/>
      <c r="D5" s="29">
        <v>9</v>
      </c>
      <c r="E5" s="29">
        <v>18</v>
      </c>
      <c r="F5" s="29">
        <v>28</v>
      </c>
      <c r="G5" s="39">
        <v>38</v>
      </c>
      <c r="H5" s="158"/>
      <c r="I5" s="158"/>
    </row>
    <row r="6" spans="1:9" s="4" customFormat="1" ht="21" customHeight="1" x14ac:dyDescent="0.15">
      <c r="A6" s="162" t="s">
        <v>229</v>
      </c>
      <c r="B6" s="157"/>
      <c r="C6" s="158"/>
      <c r="D6" s="29">
        <v>7</v>
      </c>
      <c r="E6" s="29">
        <v>16</v>
      </c>
      <c r="F6" s="68" t="s">
        <v>11</v>
      </c>
      <c r="G6" s="68" t="s">
        <v>11</v>
      </c>
      <c r="H6" s="158"/>
      <c r="I6" s="158"/>
    </row>
    <row r="7" spans="1:9" ht="21" customHeight="1" x14ac:dyDescent="0.15">
      <c r="A7" s="73" t="s">
        <v>230</v>
      </c>
      <c r="B7" s="47" t="s">
        <v>11</v>
      </c>
      <c r="C7" s="47" t="s">
        <v>11</v>
      </c>
      <c r="D7" s="39" t="s">
        <v>225</v>
      </c>
      <c r="E7" s="39" t="s">
        <v>225</v>
      </c>
      <c r="F7" s="39" t="s">
        <v>225</v>
      </c>
      <c r="G7" s="39" t="s">
        <v>225</v>
      </c>
      <c r="H7" s="39" t="s">
        <v>225</v>
      </c>
      <c r="I7" s="39" t="s">
        <v>225</v>
      </c>
    </row>
    <row r="8" spans="1:9" ht="21" customHeight="1" x14ac:dyDescent="0.15">
      <c r="A8" s="74" t="s">
        <v>231</v>
      </c>
      <c r="B8" s="47" t="s">
        <v>11</v>
      </c>
      <c r="C8" s="47" t="s">
        <v>11</v>
      </c>
      <c r="D8" s="39" t="s">
        <v>225</v>
      </c>
      <c r="E8" s="39">
        <v>30</v>
      </c>
      <c r="F8" s="39">
        <v>40</v>
      </c>
      <c r="G8" s="39">
        <f>15+F8</f>
        <v>55</v>
      </c>
      <c r="H8" s="39" t="s">
        <v>225</v>
      </c>
      <c r="I8" s="39" t="s">
        <v>225</v>
      </c>
    </row>
    <row r="9" spans="1:9" s="46" customFormat="1" ht="21" customHeight="1" x14ac:dyDescent="0.15">
      <c r="A9" s="75" t="s">
        <v>232</v>
      </c>
      <c r="B9" s="29" t="s">
        <v>11</v>
      </c>
      <c r="C9" s="29" t="s">
        <v>11</v>
      </c>
      <c r="D9" s="105" t="s">
        <v>225</v>
      </c>
      <c r="E9" s="105">
        <v>25</v>
      </c>
      <c r="F9" s="105">
        <v>35</v>
      </c>
      <c r="G9" s="39">
        <f t="shared" ref="G9:G10" si="1">15+F9</f>
        <v>50</v>
      </c>
      <c r="H9" s="105" t="s">
        <v>225</v>
      </c>
      <c r="I9" s="105" t="s">
        <v>225</v>
      </c>
    </row>
    <row r="10" spans="1:9" ht="21" customHeight="1" x14ac:dyDescent="0.15">
      <c r="A10" s="75" t="s">
        <v>9</v>
      </c>
      <c r="B10" s="68" t="s">
        <v>11</v>
      </c>
      <c r="C10" s="68" t="s">
        <v>11</v>
      </c>
      <c r="D10" s="29">
        <v>10</v>
      </c>
      <c r="E10" s="29">
        <v>20</v>
      </c>
      <c r="F10" s="29">
        <v>30</v>
      </c>
      <c r="G10" s="39">
        <f t="shared" si="1"/>
        <v>45</v>
      </c>
      <c r="H10" s="68" t="s">
        <v>11</v>
      </c>
      <c r="I10" s="68" t="s">
        <v>11</v>
      </c>
    </row>
    <row r="11" spans="1:9" ht="21" customHeight="1" x14ac:dyDescent="0.15">
      <c r="A11" s="75" t="s">
        <v>233</v>
      </c>
      <c r="B11" s="68" t="s">
        <v>11</v>
      </c>
      <c r="C11" s="68" t="s">
        <v>11</v>
      </c>
      <c r="D11" s="29">
        <v>9</v>
      </c>
      <c r="E11" s="29">
        <v>18</v>
      </c>
      <c r="F11" s="29">
        <v>28</v>
      </c>
      <c r="G11" s="39">
        <v>38</v>
      </c>
      <c r="H11" s="68" t="s">
        <v>11</v>
      </c>
      <c r="I11" s="68" t="s">
        <v>11</v>
      </c>
    </row>
    <row r="12" spans="1:9" ht="21" customHeight="1" x14ac:dyDescent="0.15">
      <c r="A12" s="75" t="s">
        <v>234</v>
      </c>
      <c r="B12" s="68" t="s">
        <v>11</v>
      </c>
      <c r="C12" s="68" t="s">
        <v>11</v>
      </c>
      <c r="D12" s="29">
        <v>7</v>
      </c>
      <c r="E12" s="29">
        <v>16</v>
      </c>
      <c r="F12" s="68" t="s">
        <v>11</v>
      </c>
      <c r="G12" s="68" t="s">
        <v>11</v>
      </c>
      <c r="H12" s="68" t="s">
        <v>11</v>
      </c>
      <c r="I12" s="68" t="s">
        <v>11</v>
      </c>
    </row>
    <row r="13" spans="1:9" ht="21" customHeight="1" x14ac:dyDescent="0.15">
      <c r="A13" s="104" t="s">
        <v>235</v>
      </c>
      <c r="B13" s="68" t="s">
        <v>11</v>
      </c>
      <c r="C13" s="68" t="s">
        <v>11</v>
      </c>
      <c r="D13" s="29">
        <v>8</v>
      </c>
      <c r="E13" s="29">
        <v>17</v>
      </c>
      <c r="F13" s="29">
        <v>26</v>
      </c>
      <c r="G13" s="68" t="s">
        <v>11</v>
      </c>
      <c r="H13" s="68" t="s">
        <v>11</v>
      </c>
      <c r="I13" s="68" t="s">
        <v>11</v>
      </c>
    </row>
    <row r="14" spans="1:9" ht="21" customHeight="1" x14ac:dyDescent="0.15">
      <c r="A14" s="75" t="s">
        <v>236</v>
      </c>
      <c r="B14" s="68" t="s">
        <v>11</v>
      </c>
      <c r="C14" s="68" t="s">
        <v>11</v>
      </c>
      <c r="D14" s="29">
        <v>8</v>
      </c>
      <c r="E14" s="29">
        <v>17</v>
      </c>
      <c r="F14" s="29">
        <v>26</v>
      </c>
      <c r="G14" s="68" t="s">
        <v>11</v>
      </c>
      <c r="H14" s="68" t="s">
        <v>11</v>
      </c>
      <c r="I14" s="68" t="s">
        <v>11</v>
      </c>
    </row>
    <row r="15" spans="1:9" ht="21" customHeight="1" x14ac:dyDescent="0.15">
      <c r="A15" s="75" t="s">
        <v>237</v>
      </c>
      <c r="B15" s="68" t="s">
        <v>11</v>
      </c>
      <c r="C15" s="68" t="s">
        <v>11</v>
      </c>
      <c r="D15" s="29">
        <v>6</v>
      </c>
      <c r="E15" s="29">
        <v>14</v>
      </c>
      <c r="F15" s="68" t="s">
        <v>11</v>
      </c>
      <c r="G15" s="68" t="s">
        <v>11</v>
      </c>
      <c r="H15" s="68" t="s">
        <v>11</v>
      </c>
      <c r="I15" s="68" t="s">
        <v>11</v>
      </c>
    </row>
    <row r="16" spans="1:9" ht="21" customHeight="1" x14ac:dyDescent="0.15">
      <c r="A16" s="75" t="s">
        <v>238</v>
      </c>
      <c r="B16" s="68" t="s">
        <v>11</v>
      </c>
      <c r="C16" s="29">
        <v>4</v>
      </c>
      <c r="D16" s="29">
        <v>6</v>
      </c>
      <c r="E16" s="29">
        <v>14</v>
      </c>
      <c r="F16" s="68" t="s">
        <v>11</v>
      </c>
      <c r="G16" s="68" t="s">
        <v>11</v>
      </c>
      <c r="H16" s="68" t="s">
        <v>11</v>
      </c>
      <c r="I16" s="68" t="s">
        <v>11</v>
      </c>
    </row>
    <row r="17" spans="1:9" ht="21" customHeight="1" x14ac:dyDescent="0.15">
      <c r="A17" s="75" t="s">
        <v>8</v>
      </c>
      <c r="B17" s="29">
        <v>2</v>
      </c>
      <c r="C17" s="29">
        <v>4</v>
      </c>
      <c r="D17" s="29">
        <v>6</v>
      </c>
      <c r="E17" s="68" t="s">
        <v>11</v>
      </c>
      <c r="F17" s="68" t="s">
        <v>11</v>
      </c>
      <c r="G17" s="68" t="s">
        <v>11</v>
      </c>
      <c r="H17" s="68" t="s">
        <v>11</v>
      </c>
      <c r="I17" s="68" t="s">
        <v>11</v>
      </c>
    </row>
    <row r="18" spans="1:9" ht="21" customHeight="1" x14ac:dyDescent="0.15">
      <c r="A18" s="76" t="s">
        <v>7</v>
      </c>
      <c r="B18" s="32">
        <v>1</v>
      </c>
      <c r="C18" s="32">
        <v>2</v>
      </c>
      <c r="D18" s="69" t="s">
        <v>11</v>
      </c>
      <c r="E18" s="69" t="s">
        <v>11</v>
      </c>
      <c r="F18" s="69" t="s">
        <v>11</v>
      </c>
      <c r="G18" s="69" t="s">
        <v>11</v>
      </c>
      <c r="H18" s="69" t="s">
        <v>11</v>
      </c>
      <c r="I18" s="69" t="s">
        <v>11</v>
      </c>
    </row>
    <row r="19" spans="1:9" ht="21" customHeight="1" x14ac:dyDescent="0.15">
      <c r="A19" s="77" t="s">
        <v>239</v>
      </c>
      <c r="B19" s="27">
        <v>1</v>
      </c>
      <c r="C19" s="27">
        <v>1</v>
      </c>
      <c r="D19" s="69" t="s">
        <v>11</v>
      </c>
      <c r="E19" s="69" t="s">
        <v>11</v>
      </c>
      <c r="F19" s="69" t="s">
        <v>11</v>
      </c>
      <c r="G19" s="69" t="s">
        <v>11</v>
      </c>
      <c r="H19" s="69" t="s">
        <v>11</v>
      </c>
      <c r="I19" s="69" t="s">
        <v>11</v>
      </c>
    </row>
    <row r="20" spans="1:9" ht="21" customHeight="1" x14ac:dyDescent="0.15">
      <c r="A20" s="38" t="s">
        <v>240</v>
      </c>
      <c r="B20" s="37">
        <v>99</v>
      </c>
      <c r="C20" s="37">
        <v>99</v>
      </c>
      <c r="D20" s="37">
        <v>99</v>
      </c>
      <c r="E20" s="37">
        <v>99</v>
      </c>
      <c r="F20" s="37">
        <v>99</v>
      </c>
      <c r="G20" s="37">
        <v>99</v>
      </c>
      <c r="H20" s="37">
        <v>99</v>
      </c>
      <c r="I20" s="37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0"/>
  <sheetViews>
    <sheetView showGridLines="0" workbookViewId="0">
      <selection activeCell="A9" sqref="A9:XFD9"/>
    </sheetView>
  </sheetViews>
  <sheetFormatPr baseColWidth="12" defaultColWidth="13" defaultRowHeight="21" customHeight="1" x14ac:dyDescent="0.15"/>
  <cols>
    <col min="1" max="1" width="13" style="4"/>
    <col min="2" max="16384" width="13" style="24"/>
  </cols>
  <sheetData>
    <row r="1" spans="1:9" ht="21" customHeight="1" x14ac:dyDescent="0.15">
      <c r="A1" s="33" t="s">
        <v>10</v>
      </c>
      <c r="B1" s="23">
        <v>1</v>
      </c>
      <c r="C1" s="23">
        <v>2</v>
      </c>
      <c r="D1" s="23">
        <v>3</v>
      </c>
      <c r="E1" s="23">
        <v>4</v>
      </c>
      <c r="F1" s="23">
        <v>5</v>
      </c>
      <c r="G1" s="23">
        <v>6</v>
      </c>
      <c r="H1" s="23">
        <v>7</v>
      </c>
      <c r="I1" s="23">
        <v>8</v>
      </c>
    </row>
    <row r="2" spans="1:9" s="4" customFormat="1" ht="21" customHeight="1" x14ac:dyDescent="0.15">
      <c r="A2" s="143" t="s">
        <v>224</v>
      </c>
      <c r="B2" s="159"/>
      <c r="C2" s="145"/>
      <c r="D2" s="153" t="s">
        <v>104</v>
      </c>
      <c r="E2" s="153">
        <v>60</v>
      </c>
      <c r="F2" s="153">
        <v>80</v>
      </c>
      <c r="G2" s="153">
        <v>99</v>
      </c>
      <c r="H2" s="145"/>
      <c r="I2" s="145"/>
    </row>
    <row r="3" spans="1:9" s="4" customFormat="1" ht="21" customHeight="1" x14ac:dyDescent="0.15">
      <c r="A3" s="143" t="s">
        <v>226</v>
      </c>
      <c r="B3" s="160"/>
      <c r="C3" s="148"/>
      <c r="D3" s="153" t="s">
        <v>104</v>
      </c>
      <c r="E3" s="153">
        <v>60</v>
      </c>
      <c r="F3" s="153">
        <v>80</v>
      </c>
      <c r="G3" s="153">
        <v>99</v>
      </c>
      <c r="H3" s="148"/>
      <c r="I3" s="148"/>
    </row>
    <row r="4" spans="1:9" s="4" customFormat="1" ht="21" customHeight="1" x14ac:dyDescent="0.15">
      <c r="A4" s="143" t="s">
        <v>220</v>
      </c>
      <c r="B4" s="161"/>
      <c r="C4" s="151"/>
      <c r="D4" s="153">
        <v>40</v>
      </c>
      <c r="E4" s="153">
        <v>60</v>
      </c>
      <c r="F4" s="153">
        <v>80</v>
      </c>
      <c r="G4" s="153">
        <v>99</v>
      </c>
      <c r="H4" s="151"/>
      <c r="I4" s="151"/>
    </row>
    <row r="5" spans="1:9" s="4" customFormat="1" ht="21" customHeight="1" x14ac:dyDescent="0.15">
      <c r="A5" s="162" t="s">
        <v>228</v>
      </c>
      <c r="B5" s="157"/>
      <c r="C5" s="158"/>
      <c r="D5" s="153">
        <v>40</v>
      </c>
      <c r="E5" s="153">
        <v>60</v>
      </c>
      <c r="F5" s="153">
        <v>80</v>
      </c>
      <c r="G5" s="153">
        <v>99</v>
      </c>
      <c r="H5" s="158"/>
      <c r="I5" s="158"/>
    </row>
    <row r="6" spans="1:9" s="4" customFormat="1" ht="21" customHeight="1" x14ac:dyDescent="0.15">
      <c r="A6" s="162" t="s">
        <v>229</v>
      </c>
      <c r="B6" s="157"/>
      <c r="C6" s="158"/>
      <c r="D6" s="153">
        <v>40</v>
      </c>
      <c r="E6" s="153">
        <v>60</v>
      </c>
      <c r="F6" s="153" t="s">
        <v>104</v>
      </c>
      <c r="G6" s="153" t="s">
        <v>104</v>
      </c>
      <c r="H6" s="158"/>
      <c r="I6" s="158"/>
    </row>
    <row r="7" spans="1:9" ht="21" customHeight="1" x14ac:dyDescent="0.15">
      <c r="A7" s="73" t="s">
        <v>196</v>
      </c>
      <c r="B7" s="40" t="s">
        <v>104</v>
      </c>
      <c r="C7" s="40" t="s">
        <v>104</v>
      </c>
      <c r="D7" s="40" t="s">
        <v>104</v>
      </c>
      <c r="E7" s="40" t="s">
        <v>104</v>
      </c>
      <c r="F7" s="40" t="s">
        <v>104</v>
      </c>
      <c r="G7" s="40" t="s">
        <v>104</v>
      </c>
      <c r="H7" s="40" t="s">
        <v>104</v>
      </c>
      <c r="I7" s="40" t="s">
        <v>104</v>
      </c>
    </row>
    <row r="8" spans="1:9" ht="21" customHeight="1" x14ac:dyDescent="0.15">
      <c r="A8" s="74" t="s">
        <v>231</v>
      </c>
      <c r="B8" s="40" t="s">
        <v>104</v>
      </c>
      <c r="C8" s="40" t="s">
        <v>104</v>
      </c>
      <c r="D8" s="40" t="s">
        <v>104</v>
      </c>
      <c r="E8" s="40">
        <v>60</v>
      </c>
      <c r="F8" s="40">
        <v>80</v>
      </c>
      <c r="G8" s="40">
        <v>99</v>
      </c>
      <c r="H8" s="40" t="s">
        <v>104</v>
      </c>
      <c r="I8" s="40" t="s">
        <v>104</v>
      </c>
    </row>
    <row r="9" spans="1:9" s="46" customFormat="1" ht="21" customHeight="1" x14ac:dyDescent="0.15">
      <c r="A9" s="75" t="s">
        <v>232</v>
      </c>
      <c r="B9" s="66" t="s">
        <v>104</v>
      </c>
      <c r="C9" s="66" t="s">
        <v>104</v>
      </c>
      <c r="D9" s="66" t="s">
        <v>104</v>
      </c>
      <c r="E9" s="66">
        <v>60</v>
      </c>
      <c r="F9" s="66">
        <v>80</v>
      </c>
      <c r="G9" s="66">
        <v>99</v>
      </c>
      <c r="H9" s="66" t="s">
        <v>104</v>
      </c>
      <c r="I9" s="66" t="s">
        <v>104</v>
      </c>
    </row>
    <row r="10" spans="1:9" ht="21" customHeight="1" x14ac:dyDescent="0.15">
      <c r="A10" s="75" t="s">
        <v>9</v>
      </c>
      <c r="B10" s="70" t="s">
        <v>104</v>
      </c>
      <c r="C10" s="70" t="s">
        <v>104</v>
      </c>
      <c r="D10" s="37">
        <v>40</v>
      </c>
      <c r="E10" s="37">
        <v>60</v>
      </c>
      <c r="F10" s="37">
        <v>80</v>
      </c>
      <c r="G10" s="40">
        <v>99</v>
      </c>
      <c r="H10" s="70" t="s">
        <v>104</v>
      </c>
      <c r="I10" s="70" t="s">
        <v>104</v>
      </c>
    </row>
    <row r="11" spans="1:9" ht="21" customHeight="1" x14ac:dyDescent="0.15">
      <c r="A11" s="75" t="s">
        <v>199</v>
      </c>
      <c r="B11" s="70" t="s">
        <v>104</v>
      </c>
      <c r="C11" s="70" t="s">
        <v>104</v>
      </c>
      <c r="D11" s="37">
        <v>40</v>
      </c>
      <c r="E11" s="37">
        <v>60</v>
      </c>
      <c r="F11" s="37">
        <v>80</v>
      </c>
      <c r="G11" s="66">
        <v>99</v>
      </c>
      <c r="H11" s="70" t="s">
        <v>104</v>
      </c>
      <c r="I11" s="70" t="s">
        <v>104</v>
      </c>
    </row>
    <row r="12" spans="1:9" ht="21" customHeight="1" x14ac:dyDescent="0.15">
      <c r="A12" s="75" t="s">
        <v>195</v>
      </c>
      <c r="B12" s="70" t="s">
        <v>104</v>
      </c>
      <c r="C12" s="70" t="s">
        <v>104</v>
      </c>
      <c r="D12" s="37">
        <v>40</v>
      </c>
      <c r="E12" s="37">
        <v>60</v>
      </c>
      <c r="F12" s="70" t="s">
        <v>104</v>
      </c>
      <c r="G12" s="70" t="s">
        <v>104</v>
      </c>
      <c r="H12" s="70" t="s">
        <v>104</v>
      </c>
      <c r="I12" s="70" t="s">
        <v>104</v>
      </c>
    </row>
    <row r="13" spans="1:9" ht="21" customHeight="1" x14ac:dyDescent="0.15">
      <c r="A13" s="104" t="s">
        <v>235</v>
      </c>
      <c r="B13" s="70" t="s">
        <v>104</v>
      </c>
      <c r="C13" s="70" t="s">
        <v>104</v>
      </c>
      <c r="D13" s="37">
        <v>40</v>
      </c>
      <c r="E13" s="37">
        <v>60</v>
      </c>
      <c r="F13" s="37">
        <v>80</v>
      </c>
      <c r="G13" s="70" t="s">
        <v>104</v>
      </c>
      <c r="H13" s="70" t="s">
        <v>104</v>
      </c>
      <c r="I13" s="70" t="s">
        <v>104</v>
      </c>
    </row>
    <row r="14" spans="1:9" ht="21" customHeight="1" x14ac:dyDescent="0.15">
      <c r="A14" s="75" t="s">
        <v>236</v>
      </c>
      <c r="B14" s="70" t="s">
        <v>104</v>
      </c>
      <c r="C14" s="70" t="s">
        <v>104</v>
      </c>
      <c r="D14" s="37">
        <v>40</v>
      </c>
      <c r="E14" s="37">
        <v>60</v>
      </c>
      <c r="F14" s="37">
        <v>80</v>
      </c>
      <c r="G14" s="70" t="s">
        <v>104</v>
      </c>
      <c r="H14" s="70" t="s">
        <v>104</v>
      </c>
      <c r="I14" s="70" t="s">
        <v>104</v>
      </c>
    </row>
    <row r="15" spans="1:9" ht="21" customHeight="1" x14ac:dyDescent="0.15">
      <c r="A15" s="75" t="s">
        <v>100</v>
      </c>
      <c r="B15" s="70" t="s">
        <v>104</v>
      </c>
      <c r="C15" s="37">
        <v>30</v>
      </c>
      <c r="D15" s="37">
        <v>40</v>
      </c>
      <c r="E15" s="37">
        <v>60</v>
      </c>
      <c r="F15" s="70" t="s">
        <v>104</v>
      </c>
      <c r="G15" s="70" t="s">
        <v>104</v>
      </c>
      <c r="H15" s="70" t="s">
        <v>104</v>
      </c>
      <c r="I15" s="70" t="s">
        <v>104</v>
      </c>
    </row>
    <row r="16" spans="1:9" ht="21" customHeight="1" x14ac:dyDescent="0.15">
      <c r="A16" s="75" t="s">
        <v>238</v>
      </c>
      <c r="B16" s="70" t="s">
        <v>104</v>
      </c>
      <c r="C16" s="37">
        <v>30</v>
      </c>
      <c r="D16" s="37">
        <v>40</v>
      </c>
      <c r="E16" s="37">
        <v>60</v>
      </c>
      <c r="F16" s="70" t="s">
        <v>104</v>
      </c>
      <c r="G16" s="70" t="s">
        <v>104</v>
      </c>
      <c r="H16" s="70" t="s">
        <v>104</v>
      </c>
      <c r="I16" s="70" t="s">
        <v>104</v>
      </c>
    </row>
    <row r="17" spans="1:9" ht="21" customHeight="1" x14ac:dyDescent="0.15">
      <c r="A17" s="75" t="s">
        <v>8</v>
      </c>
      <c r="B17" s="37">
        <v>15</v>
      </c>
      <c r="C17" s="37">
        <v>30</v>
      </c>
      <c r="D17" s="37">
        <v>40</v>
      </c>
      <c r="E17" s="70" t="s">
        <v>104</v>
      </c>
      <c r="F17" s="70" t="s">
        <v>104</v>
      </c>
      <c r="G17" s="70" t="s">
        <v>104</v>
      </c>
      <c r="H17" s="70" t="s">
        <v>104</v>
      </c>
      <c r="I17" s="70" t="s">
        <v>104</v>
      </c>
    </row>
    <row r="18" spans="1:9" ht="21" customHeight="1" x14ac:dyDescent="0.15">
      <c r="A18" s="76" t="s">
        <v>7</v>
      </c>
      <c r="B18" s="37">
        <v>15</v>
      </c>
      <c r="C18" s="37">
        <v>30</v>
      </c>
      <c r="D18" s="37">
        <v>40</v>
      </c>
      <c r="E18" s="70" t="s">
        <v>205</v>
      </c>
      <c r="F18" s="70" t="s">
        <v>205</v>
      </c>
      <c r="G18" s="70" t="s">
        <v>205</v>
      </c>
      <c r="H18" s="70" t="s">
        <v>205</v>
      </c>
      <c r="I18" s="70" t="s">
        <v>205</v>
      </c>
    </row>
    <row r="19" spans="1:9" ht="21" customHeight="1" x14ac:dyDescent="0.15">
      <c r="A19" s="77" t="s">
        <v>239</v>
      </c>
      <c r="B19" s="37">
        <v>10</v>
      </c>
      <c r="C19" s="37">
        <v>20</v>
      </c>
      <c r="D19" s="70" t="s">
        <v>205</v>
      </c>
      <c r="E19" s="70" t="s">
        <v>205</v>
      </c>
      <c r="F19" s="70" t="s">
        <v>205</v>
      </c>
      <c r="G19" s="70" t="s">
        <v>205</v>
      </c>
      <c r="H19" s="70" t="s">
        <v>205</v>
      </c>
      <c r="I19" s="70" t="s">
        <v>205</v>
      </c>
    </row>
    <row r="20" spans="1:9" ht="21" customHeight="1" x14ac:dyDescent="0.15">
      <c r="A20" s="38" t="s">
        <v>240</v>
      </c>
      <c r="B20" s="37">
        <v>1</v>
      </c>
      <c r="C20" s="37">
        <v>1</v>
      </c>
      <c r="D20" s="37">
        <v>1</v>
      </c>
      <c r="E20" s="37">
        <v>1</v>
      </c>
      <c r="F20" s="37">
        <v>1</v>
      </c>
      <c r="G20" s="37">
        <v>1</v>
      </c>
      <c r="H20" s="37">
        <v>1</v>
      </c>
      <c r="I20" s="37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1"/>
  <sheetViews>
    <sheetView showGridLines="0" workbookViewId="0">
      <selection activeCell="H23" sqref="H23"/>
    </sheetView>
  </sheetViews>
  <sheetFormatPr baseColWidth="12" defaultColWidth="13" defaultRowHeight="21" customHeight="1" x14ac:dyDescent="0.15"/>
  <cols>
    <col min="1" max="16384" width="13" style="24"/>
  </cols>
  <sheetData>
    <row r="1" spans="1:11" ht="21" customHeight="1" x14ac:dyDescent="0.15">
      <c r="A1" s="49" t="s">
        <v>10</v>
      </c>
      <c r="B1" s="50">
        <v>1</v>
      </c>
      <c r="C1" s="50">
        <v>2</v>
      </c>
      <c r="D1" s="50">
        <v>3</v>
      </c>
      <c r="E1" s="50">
        <v>4</v>
      </c>
      <c r="F1" s="50">
        <v>5</v>
      </c>
      <c r="G1" s="50">
        <v>6</v>
      </c>
      <c r="H1" s="50">
        <v>7</v>
      </c>
      <c r="I1" s="50">
        <v>8</v>
      </c>
    </row>
    <row r="2" spans="1:11" s="4" customFormat="1" ht="21" customHeight="1" x14ac:dyDescent="0.15">
      <c r="A2" s="143" t="s">
        <v>224</v>
      </c>
      <c r="B2" s="144"/>
      <c r="C2" s="145"/>
      <c r="D2" s="153" t="s">
        <v>104</v>
      </c>
      <c r="E2" s="154" t="s">
        <v>55</v>
      </c>
      <c r="F2" s="154" t="s">
        <v>55</v>
      </c>
      <c r="G2" s="154" t="s">
        <v>241</v>
      </c>
      <c r="H2" s="145"/>
      <c r="I2" s="145"/>
    </row>
    <row r="3" spans="1:11" s="4" customFormat="1" ht="21" customHeight="1" x14ac:dyDescent="0.15">
      <c r="A3" s="143" t="s">
        <v>226</v>
      </c>
      <c r="B3" s="147"/>
      <c r="C3" s="148"/>
      <c r="D3" s="154" t="s">
        <v>55</v>
      </c>
      <c r="E3" s="154" t="s">
        <v>55</v>
      </c>
      <c r="F3" s="154" t="s">
        <v>55</v>
      </c>
      <c r="G3" s="154" t="s">
        <v>219</v>
      </c>
      <c r="H3" s="148"/>
      <c r="I3" s="148"/>
    </row>
    <row r="4" spans="1:11" s="4" customFormat="1" ht="21" customHeight="1" x14ac:dyDescent="0.15">
      <c r="A4" s="143" t="s">
        <v>220</v>
      </c>
      <c r="B4" s="150"/>
      <c r="C4" s="151"/>
      <c r="D4" s="155" t="s">
        <v>55</v>
      </c>
      <c r="E4" s="155" t="s">
        <v>55</v>
      </c>
      <c r="F4" s="155" t="s">
        <v>55</v>
      </c>
      <c r="G4" s="154" t="s">
        <v>219</v>
      </c>
      <c r="H4" s="151"/>
      <c r="I4" s="151"/>
    </row>
    <row r="5" spans="1:11" s="4" customFormat="1" ht="21" customHeight="1" x14ac:dyDescent="0.15">
      <c r="A5" s="162" t="s">
        <v>228</v>
      </c>
      <c r="B5" s="157"/>
      <c r="C5" s="158"/>
      <c r="D5" s="155" t="s">
        <v>55</v>
      </c>
      <c r="E5" s="155" t="s">
        <v>55</v>
      </c>
      <c r="F5" s="155" t="s">
        <v>55</v>
      </c>
      <c r="G5" s="154" t="s">
        <v>209</v>
      </c>
      <c r="H5" s="158"/>
      <c r="I5" s="158"/>
    </row>
    <row r="6" spans="1:11" s="4" customFormat="1" ht="21" customHeight="1" x14ac:dyDescent="0.15">
      <c r="A6" s="162" t="s">
        <v>229</v>
      </c>
      <c r="B6" s="157"/>
      <c r="C6" s="158"/>
      <c r="D6" s="163" t="s">
        <v>56</v>
      </c>
      <c r="E6" s="163" t="s">
        <v>56</v>
      </c>
      <c r="F6" s="153" t="s">
        <v>104</v>
      </c>
      <c r="G6" s="153" t="s">
        <v>104</v>
      </c>
      <c r="H6" s="158"/>
      <c r="I6" s="158"/>
    </row>
    <row r="7" spans="1:11" ht="21" customHeight="1" x14ac:dyDescent="0.15">
      <c r="A7" s="73" t="s">
        <v>196</v>
      </c>
      <c r="B7" s="40" t="s">
        <v>104</v>
      </c>
      <c r="C7" s="40" t="s">
        <v>104</v>
      </c>
      <c r="D7" s="40" t="s">
        <v>104</v>
      </c>
      <c r="E7" s="40" t="s">
        <v>104</v>
      </c>
      <c r="F7" s="40" t="s">
        <v>104</v>
      </c>
      <c r="G7" s="40" t="s">
        <v>104</v>
      </c>
      <c r="H7" s="40" t="s">
        <v>104</v>
      </c>
      <c r="I7" s="40" t="s">
        <v>104</v>
      </c>
    </row>
    <row r="8" spans="1:11" ht="21" customHeight="1" x14ac:dyDescent="0.15">
      <c r="A8" s="74" t="s">
        <v>231</v>
      </c>
      <c r="B8" s="40" t="s">
        <v>104</v>
      </c>
      <c r="C8" s="40" t="s">
        <v>104</v>
      </c>
      <c r="D8" s="40" t="s">
        <v>206</v>
      </c>
      <c r="E8" s="52" t="s">
        <v>110</v>
      </c>
      <c r="F8" s="52" t="s">
        <v>110</v>
      </c>
      <c r="G8" s="52" t="s">
        <v>207</v>
      </c>
      <c r="H8" s="40" t="s">
        <v>206</v>
      </c>
      <c r="I8" s="40" t="s">
        <v>104</v>
      </c>
    </row>
    <row r="9" spans="1:11" s="46" customFormat="1" ht="21" customHeight="1" x14ac:dyDescent="0.15">
      <c r="A9" s="75" t="s">
        <v>232</v>
      </c>
      <c r="B9" s="66" t="s">
        <v>104</v>
      </c>
      <c r="C9" s="66" t="s">
        <v>104</v>
      </c>
      <c r="D9" s="66" t="s">
        <v>104</v>
      </c>
      <c r="E9" s="52" t="s">
        <v>55</v>
      </c>
      <c r="F9" s="52" t="s">
        <v>55</v>
      </c>
      <c r="G9" s="52" t="s">
        <v>110</v>
      </c>
      <c r="H9" s="66" t="s">
        <v>208</v>
      </c>
      <c r="I9" s="66" t="s">
        <v>208</v>
      </c>
    </row>
    <row r="10" spans="1:11" ht="21" customHeight="1" x14ac:dyDescent="0.15">
      <c r="A10" s="75" t="s">
        <v>9</v>
      </c>
      <c r="B10" s="70" t="s">
        <v>104</v>
      </c>
      <c r="C10" s="70" t="s">
        <v>104</v>
      </c>
      <c r="D10" s="52" t="s">
        <v>55</v>
      </c>
      <c r="E10" s="52" t="s">
        <v>55</v>
      </c>
      <c r="F10" s="52" t="s">
        <v>55</v>
      </c>
      <c r="G10" s="52" t="s">
        <v>209</v>
      </c>
      <c r="H10" s="70" t="s">
        <v>208</v>
      </c>
      <c r="I10" s="70" t="s">
        <v>208</v>
      </c>
      <c r="K10" s="28" t="s">
        <v>12</v>
      </c>
    </row>
    <row r="11" spans="1:11" ht="21" customHeight="1" x14ac:dyDescent="0.15">
      <c r="A11" s="75" t="s">
        <v>199</v>
      </c>
      <c r="B11" s="70" t="s">
        <v>104</v>
      </c>
      <c r="C11" s="70" t="s">
        <v>104</v>
      </c>
      <c r="D11" s="53" t="s">
        <v>55</v>
      </c>
      <c r="E11" s="53" t="s">
        <v>55</v>
      </c>
      <c r="F11" s="53" t="s">
        <v>55</v>
      </c>
      <c r="G11" s="52" t="s">
        <v>209</v>
      </c>
      <c r="H11" s="70" t="s">
        <v>208</v>
      </c>
      <c r="I11" s="70" t="s">
        <v>208</v>
      </c>
      <c r="K11" s="30" t="s">
        <v>13</v>
      </c>
    </row>
    <row r="12" spans="1:11" ht="21" customHeight="1" x14ac:dyDescent="0.15">
      <c r="A12" s="75" t="s">
        <v>195</v>
      </c>
      <c r="B12" s="70" t="s">
        <v>104</v>
      </c>
      <c r="C12" s="70" t="s">
        <v>104</v>
      </c>
      <c r="D12" s="54" t="s">
        <v>56</v>
      </c>
      <c r="E12" s="54" t="s">
        <v>56</v>
      </c>
      <c r="F12" s="70" t="s">
        <v>104</v>
      </c>
      <c r="G12" s="70" t="s">
        <v>104</v>
      </c>
      <c r="H12" s="70" t="s">
        <v>104</v>
      </c>
      <c r="I12" s="70" t="s">
        <v>104</v>
      </c>
      <c r="K12" s="71" t="s">
        <v>35</v>
      </c>
    </row>
    <row r="13" spans="1:11" ht="21" customHeight="1" x14ac:dyDescent="0.15">
      <c r="A13" s="104" t="s">
        <v>235</v>
      </c>
      <c r="B13" s="70" t="s">
        <v>104</v>
      </c>
      <c r="C13" s="70" t="s">
        <v>104</v>
      </c>
      <c r="D13" s="55" t="s">
        <v>55</v>
      </c>
      <c r="E13" s="55" t="s">
        <v>55</v>
      </c>
      <c r="F13" s="55" t="s">
        <v>55</v>
      </c>
      <c r="G13" s="70" t="s">
        <v>104</v>
      </c>
      <c r="H13" s="70" t="s">
        <v>104</v>
      </c>
      <c r="I13" s="70" t="s">
        <v>104</v>
      </c>
      <c r="K13" s="72"/>
    </row>
    <row r="14" spans="1:11" ht="21" customHeight="1" x14ac:dyDescent="0.15">
      <c r="A14" s="75" t="s">
        <v>236</v>
      </c>
      <c r="B14" s="70" t="s">
        <v>104</v>
      </c>
      <c r="C14" s="70" t="s">
        <v>104</v>
      </c>
      <c r="D14" s="55" t="s">
        <v>55</v>
      </c>
      <c r="E14" s="55" t="s">
        <v>55</v>
      </c>
      <c r="F14" s="55" t="s">
        <v>55</v>
      </c>
      <c r="G14" s="70" t="s">
        <v>104</v>
      </c>
      <c r="H14" s="70" t="s">
        <v>104</v>
      </c>
      <c r="I14" s="70" t="s">
        <v>104</v>
      </c>
    </row>
    <row r="15" spans="1:11" ht="21" customHeight="1" x14ac:dyDescent="0.15">
      <c r="A15" s="75" t="s">
        <v>100</v>
      </c>
      <c r="B15" s="70" t="s">
        <v>104</v>
      </c>
      <c r="C15" s="70" t="s">
        <v>104</v>
      </c>
      <c r="D15" s="55" t="s">
        <v>56</v>
      </c>
      <c r="E15" s="55" t="s">
        <v>56</v>
      </c>
      <c r="F15" s="70" t="s">
        <v>104</v>
      </c>
      <c r="G15" s="70" t="s">
        <v>104</v>
      </c>
      <c r="H15" s="70" t="s">
        <v>104</v>
      </c>
      <c r="I15" s="70" t="s">
        <v>104</v>
      </c>
    </row>
    <row r="16" spans="1:11" ht="21" customHeight="1" x14ac:dyDescent="0.15">
      <c r="A16" s="75" t="s">
        <v>238</v>
      </c>
      <c r="B16" s="70" t="s">
        <v>104</v>
      </c>
      <c r="C16" s="55" t="s">
        <v>56</v>
      </c>
      <c r="D16" s="55" t="s">
        <v>56</v>
      </c>
      <c r="E16" s="55" t="s">
        <v>56</v>
      </c>
      <c r="F16" s="70" t="s">
        <v>104</v>
      </c>
      <c r="G16" s="70" t="s">
        <v>104</v>
      </c>
      <c r="H16" s="70" t="s">
        <v>104</v>
      </c>
      <c r="I16" s="70" t="s">
        <v>104</v>
      </c>
    </row>
    <row r="17" spans="1:9" ht="21" customHeight="1" x14ac:dyDescent="0.15">
      <c r="A17" s="75" t="s">
        <v>8</v>
      </c>
      <c r="B17" s="56" t="s">
        <v>57</v>
      </c>
      <c r="C17" s="56" t="s">
        <v>57</v>
      </c>
      <c r="D17" s="56" t="s">
        <v>57</v>
      </c>
      <c r="E17" s="70" t="s">
        <v>104</v>
      </c>
      <c r="F17" s="70" t="s">
        <v>104</v>
      </c>
      <c r="G17" s="70" t="s">
        <v>104</v>
      </c>
      <c r="H17" s="70" t="s">
        <v>104</v>
      </c>
      <c r="I17" s="70" t="s">
        <v>104</v>
      </c>
    </row>
    <row r="18" spans="1:9" ht="21" customHeight="1" x14ac:dyDescent="0.15">
      <c r="A18" s="76" t="s">
        <v>7</v>
      </c>
      <c r="B18" s="51" t="s">
        <v>58</v>
      </c>
      <c r="C18" s="51" t="s">
        <v>58</v>
      </c>
      <c r="D18" s="70" t="s">
        <v>104</v>
      </c>
      <c r="E18" s="70" t="s">
        <v>104</v>
      </c>
      <c r="F18" s="70" t="s">
        <v>104</v>
      </c>
      <c r="G18" s="70" t="s">
        <v>104</v>
      </c>
      <c r="H18" s="70" t="s">
        <v>104</v>
      </c>
      <c r="I18" s="70" t="s">
        <v>104</v>
      </c>
    </row>
    <row r="19" spans="1:9" ht="21" customHeight="1" x14ac:dyDescent="0.15">
      <c r="A19" s="77" t="s">
        <v>239</v>
      </c>
      <c r="B19" s="53" t="s">
        <v>59</v>
      </c>
      <c r="C19" s="53" t="s">
        <v>59</v>
      </c>
      <c r="D19" s="70" t="s">
        <v>104</v>
      </c>
      <c r="E19" s="70" t="s">
        <v>104</v>
      </c>
      <c r="F19" s="70" t="s">
        <v>104</v>
      </c>
      <c r="G19" s="70" t="s">
        <v>104</v>
      </c>
      <c r="H19" s="70" t="s">
        <v>104</v>
      </c>
      <c r="I19" s="70" t="s">
        <v>104</v>
      </c>
    </row>
    <row r="20" spans="1:9" ht="21" customHeight="1" x14ac:dyDescent="0.15">
      <c r="A20" s="38" t="s">
        <v>240</v>
      </c>
      <c r="B20" s="78" t="s">
        <v>43</v>
      </c>
      <c r="C20" s="78" t="s">
        <v>43</v>
      </c>
      <c r="D20" s="78" t="s">
        <v>43</v>
      </c>
      <c r="E20" s="78" t="s">
        <v>43</v>
      </c>
      <c r="F20" s="78" t="s">
        <v>43</v>
      </c>
      <c r="G20" s="78" t="s">
        <v>43</v>
      </c>
      <c r="H20" s="78" t="s">
        <v>43</v>
      </c>
      <c r="I20" s="78" t="s">
        <v>43</v>
      </c>
    </row>
    <row r="25" spans="1:9" ht="21" customHeight="1" x14ac:dyDescent="0.15">
      <c r="A25" s="24" t="s">
        <v>14</v>
      </c>
    </row>
    <row r="26" spans="1:9" ht="21" customHeight="1" x14ac:dyDescent="0.15">
      <c r="A26" s="22" t="s">
        <v>60</v>
      </c>
      <c r="B26" s="22" t="s">
        <v>61</v>
      </c>
    </row>
    <row r="27" spans="1:9" ht="21" customHeight="1" x14ac:dyDescent="0.15">
      <c r="A27" s="25">
        <v>1</v>
      </c>
      <c r="B27" s="25">
        <v>200</v>
      </c>
    </row>
    <row r="28" spans="1:9" ht="21" customHeight="1" x14ac:dyDescent="0.15">
      <c r="A28" s="25">
        <v>2</v>
      </c>
      <c r="B28" s="25">
        <v>600</v>
      </c>
    </row>
    <row r="29" spans="1:9" ht="21" customHeight="1" x14ac:dyDescent="0.15">
      <c r="A29" s="25">
        <v>3</v>
      </c>
      <c r="B29" s="25">
        <v>1500</v>
      </c>
    </row>
    <row r="30" spans="1:9" ht="21" customHeight="1" x14ac:dyDescent="0.15">
      <c r="A30" s="25">
        <v>4</v>
      </c>
      <c r="B30" s="25">
        <v>3400</v>
      </c>
    </row>
    <row r="31" spans="1:9" ht="21" customHeight="1" x14ac:dyDescent="0.15">
      <c r="A31" s="25">
        <v>5</v>
      </c>
      <c r="B31" s="25">
        <v>6400</v>
      </c>
    </row>
  </sheetData>
  <sheetProtection selectLockedCells="1" selectUnlockedCells="1"/>
  <phoneticPr fontId="9"/>
  <conditionalFormatting sqref="A34:I65540 J1:IV1 J10:J13 L10:IV13 J14:IV65540 J7:IV7">
    <cfRule type="cellIs" dxfId="22" priority="27" stopIfTrue="1" operator="equal">
      <formula>1</formula>
    </cfRule>
  </conditionalFormatting>
  <conditionalFormatting sqref="A24:B25 A32:B33 C24:I33">
    <cfRule type="cellIs" dxfId="21" priority="26" stopIfTrue="1" operator="equal">
      <formula>1</formula>
    </cfRule>
  </conditionalFormatting>
  <conditionalFormatting sqref="K10:K13">
    <cfRule type="cellIs" dxfId="20" priority="22" stopIfTrue="1" operator="equal">
      <formula>1</formula>
    </cfRule>
  </conditionalFormatting>
  <conditionalFormatting sqref="J8:IV8">
    <cfRule type="cellIs" dxfId="19" priority="21" stopIfTrue="1" operator="equal">
      <formula>1</formula>
    </cfRule>
  </conditionalFormatting>
  <conditionalFormatting sqref="J9:IV9">
    <cfRule type="cellIs" dxfId="18" priority="20" stopIfTrue="1" operator="equal">
      <formula>1</formula>
    </cfRule>
  </conditionalFormatting>
  <conditionalFormatting sqref="G19:I19">
    <cfRule type="cellIs" dxfId="17" priority="12" stopIfTrue="1" operator="equal">
      <formula>1</formula>
    </cfRule>
  </conditionalFormatting>
  <conditionalFormatting sqref="D18:G18 F15:G17 H15:I18">
    <cfRule type="cellIs" dxfId="16" priority="11" stopIfTrue="1" operator="equal">
      <formula>1</formula>
    </cfRule>
  </conditionalFormatting>
  <conditionalFormatting sqref="F17:G17">
    <cfRule type="cellIs" dxfId="15" priority="10" stopIfTrue="1" operator="equal">
      <formula>1</formula>
    </cfRule>
  </conditionalFormatting>
  <conditionalFormatting sqref="A20">
    <cfRule type="cellIs" dxfId="14" priority="9" stopIfTrue="1" operator="equal">
      <formula>1</formula>
    </cfRule>
  </conditionalFormatting>
  <conditionalFormatting sqref="G12:I14 H10:I11">
    <cfRule type="cellIs" dxfId="13" priority="8" stopIfTrue="1" operator="equal">
      <formula>1</formula>
    </cfRule>
  </conditionalFormatting>
  <conditionalFormatting sqref="B10:C15">
    <cfRule type="cellIs" dxfId="12" priority="7" stopIfTrue="1" operator="equal">
      <formula>1</formula>
    </cfRule>
  </conditionalFormatting>
  <conditionalFormatting sqref="B16">
    <cfRule type="cellIs" dxfId="11" priority="6" stopIfTrue="1" operator="equal">
      <formula>1</formula>
    </cfRule>
  </conditionalFormatting>
  <conditionalFormatting sqref="E17">
    <cfRule type="cellIs" dxfId="10" priority="5" stopIfTrue="1" operator="equal">
      <formula>1</formula>
    </cfRule>
  </conditionalFormatting>
  <conditionalFormatting sqref="F12">
    <cfRule type="cellIs" dxfId="9" priority="4" stopIfTrue="1" operator="equal">
      <formula>1</formula>
    </cfRule>
  </conditionalFormatting>
  <conditionalFormatting sqref="J2:IV6">
    <cfRule type="cellIs" dxfId="8" priority="3" stopIfTrue="1" operator="equal">
      <formula>1</formula>
    </cfRule>
  </conditionalFormatting>
  <conditionalFormatting sqref="G6">
    <cfRule type="cellIs" dxfId="7" priority="2" stopIfTrue="1" operator="equal">
      <formula>1</formula>
    </cfRule>
  </conditionalFormatting>
  <conditionalFormatting sqref="F6">
    <cfRule type="cellIs" dxfId="6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0"/>
  <sheetViews>
    <sheetView showGridLines="0" workbookViewId="0">
      <selection activeCell="D20" sqref="D20"/>
    </sheetView>
  </sheetViews>
  <sheetFormatPr baseColWidth="12" defaultColWidth="13" defaultRowHeight="21" customHeight="1" x14ac:dyDescent="0.15"/>
  <cols>
    <col min="1" max="1" width="13" style="4"/>
    <col min="2" max="16384" width="13" style="24"/>
  </cols>
  <sheetData>
    <row r="1" spans="1:9" s="4" customFormat="1" ht="21" customHeight="1" x14ac:dyDescent="0.15">
      <c r="A1" s="33" t="s">
        <v>10</v>
      </c>
      <c r="B1" s="33">
        <v>1</v>
      </c>
      <c r="C1" s="33">
        <v>2</v>
      </c>
      <c r="D1" s="33">
        <v>3</v>
      </c>
      <c r="E1" s="33">
        <v>4</v>
      </c>
      <c r="F1" s="33">
        <v>5</v>
      </c>
      <c r="G1" s="33">
        <v>6</v>
      </c>
      <c r="H1" s="33">
        <v>7</v>
      </c>
      <c r="I1" s="33">
        <v>8</v>
      </c>
    </row>
    <row r="2" spans="1:9" s="4" customFormat="1" ht="21" customHeight="1" x14ac:dyDescent="0.15">
      <c r="A2" s="143" t="s">
        <v>217</v>
      </c>
      <c r="B2" s="144"/>
      <c r="C2" s="145"/>
      <c r="D2" s="156" t="s">
        <v>11</v>
      </c>
      <c r="E2" s="156">
        <v>8000</v>
      </c>
      <c r="F2" s="156">
        <v>10000</v>
      </c>
      <c r="G2" s="156">
        <v>14000</v>
      </c>
      <c r="H2" s="145"/>
      <c r="I2" s="145"/>
    </row>
    <row r="3" spans="1:9" s="4" customFormat="1" ht="21" customHeight="1" x14ac:dyDescent="0.15">
      <c r="A3" s="143" t="s">
        <v>218</v>
      </c>
      <c r="B3" s="147"/>
      <c r="C3" s="148"/>
      <c r="D3" s="156" t="s">
        <v>11</v>
      </c>
      <c r="E3" s="156">
        <v>7500</v>
      </c>
      <c r="F3" s="156">
        <v>9500</v>
      </c>
      <c r="G3" s="156">
        <v>13000</v>
      </c>
      <c r="H3" s="148"/>
      <c r="I3" s="148"/>
    </row>
    <row r="4" spans="1:9" s="4" customFormat="1" ht="21" customHeight="1" x14ac:dyDescent="0.15">
      <c r="A4" s="143" t="s">
        <v>220</v>
      </c>
      <c r="B4" s="150"/>
      <c r="C4" s="151"/>
      <c r="D4" s="156">
        <v>5000</v>
      </c>
      <c r="E4" s="156">
        <v>7000</v>
      </c>
      <c r="F4" s="156">
        <v>9000</v>
      </c>
      <c r="G4" s="156">
        <v>12000</v>
      </c>
      <c r="H4" s="151"/>
      <c r="I4" s="151"/>
    </row>
    <row r="5" spans="1:9" s="4" customFormat="1" ht="21" customHeight="1" x14ac:dyDescent="0.15">
      <c r="A5" s="162" t="s">
        <v>221</v>
      </c>
      <c r="B5" s="157"/>
      <c r="C5" s="158"/>
      <c r="D5" s="156">
        <v>4900</v>
      </c>
      <c r="E5" s="156">
        <v>6700</v>
      </c>
      <c r="F5" s="156">
        <v>8500</v>
      </c>
      <c r="G5" s="156">
        <v>11000</v>
      </c>
      <c r="H5" s="158"/>
      <c r="I5" s="158"/>
    </row>
    <row r="6" spans="1:9" s="4" customFormat="1" ht="21" customHeight="1" x14ac:dyDescent="0.15">
      <c r="A6" s="162" t="s">
        <v>222</v>
      </c>
      <c r="B6" s="157"/>
      <c r="C6" s="158"/>
      <c r="D6" s="156">
        <v>4800</v>
      </c>
      <c r="E6" s="156">
        <v>6600</v>
      </c>
      <c r="F6" s="156" t="s">
        <v>11</v>
      </c>
      <c r="G6" s="156" t="s">
        <v>11</v>
      </c>
      <c r="H6" s="158"/>
      <c r="I6" s="158"/>
    </row>
    <row r="7" spans="1:9" ht="21" customHeight="1" x14ac:dyDescent="0.15">
      <c r="A7" s="73" t="s">
        <v>196</v>
      </c>
      <c r="B7" s="47" t="s">
        <v>11</v>
      </c>
      <c r="C7" s="47" t="s">
        <v>11</v>
      </c>
      <c r="D7" s="47" t="s">
        <v>11</v>
      </c>
      <c r="E7" s="47" t="s">
        <v>11</v>
      </c>
      <c r="F7" s="47" t="s">
        <v>11</v>
      </c>
      <c r="G7" s="47" t="s">
        <v>11</v>
      </c>
      <c r="H7" s="47" t="s">
        <v>11</v>
      </c>
      <c r="I7" s="47" t="s">
        <v>11</v>
      </c>
    </row>
    <row r="8" spans="1:9" ht="21" customHeight="1" x14ac:dyDescent="0.15">
      <c r="A8" s="74" t="s">
        <v>197</v>
      </c>
      <c r="B8" s="47" t="s">
        <v>11</v>
      </c>
      <c r="C8" s="47" t="s">
        <v>11</v>
      </c>
      <c r="D8" s="47" t="s">
        <v>11</v>
      </c>
      <c r="E8" s="47">
        <v>8000</v>
      </c>
      <c r="F8" s="29">
        <v>10000</v>
      </c>
      <c r="G8" s="47">
        <v>14000</v>
      </c>
      <c r="H8" s="47" t="s">
        <v>11</v>
      </c>
      <c r="I8" s="47" t="s">
        <v>11</v>
      </c>
    </row>
    <row r="9" spans="1:9" s="46" customFormat="1" ht="21" customHeight="1" x14ac:dyDescent="0.15">
      <c r="A9" s="75" t="s">
        <v>198</v>
      </c>
      <c r="B9" s="29" t="s">
        <v>11</v>
      </c>
      <c r="C9" s="29" t="s">
        <v>11</v>
      </c>
      <c r="D9" s="29" t="s">
        <v>11</v>
      </c>
      <c r="E9" s="29">
        <v>7500</v>
      </c>
      <c r="F9" s="29">
        <v>9500</v>
      </c>
      <c r="G9" s="47">
        <v>13000</v>
      </c>
      <c r="H9" s="29" t="s">
        <v>11</v>
      </c>
      <c r="I9" s="29" t="s">
        <v>11</v>
      </c>
    </row>
    <row r="10" spans="1:9" ht="21" customHeight="1" x14ac:dyDescent="0.15">
      <c r="A10" s="75" t="s">
        <v>9</v>
      </c>
      <c r="B10" s="68" t="s">
        <v>11</v>
      </c>
      <c r="C10" s="68" t="s">
        <v>11</v>
      </c>
      <c r="D10" s="29">
        <v>5000</v>
      </c>
      <c r="E10" s="29">
        <v>7000</v>
      </c>
      <c r="F10" s="29">
        <v>9000</v>
      </c>
      <c r="G10" s="47">
        <v>12000</v>
      </c>
      <c r="H10" s="68" t="s">
        <v>11</v>
      </c>
      <c r="I10" s="68" t="s">
        <v>11</v>
      </c>
    </row>
    <row r="11" spans="1:9" ht="21" customHeight="1" x14ac:dyDescent="0.15">
      <c r="A11" s="75" t="s">
        <v>199</v>
      </c>
      <c r="B11" s="68" t="s">
        <v>11</v>
      </c>
      <c r="C11" s="68" t="s">
        <v>11</v>
      </c>
      <c r="D11" s="29">
        <v>4900</v>
      </c>
      <c r="E11" s="29">
        <v>6700</v>
      </c>
      <c r="F11" s="29">
        <v>8500</v>
      </c>
      <c r="G11" s="47">
        <v>11000</v>
      </c>
      <c r="H11" s="68" t="s">
        <v>11</v>
      </c>
      <c r="I11" s="68" t="s">
        <v>11</v>
      </c>
    </row>
    <row r="12" spans="1:9" ht="21" customHeight="1" x14ac:dyDescent="0.15">
      <c r="A12" s="75" t="s">
        <v>101</v>
      </c>
      <c r="B12" s="68" t="s">
        <v>11</v>
      </c>
      <c r="C12" s="68" t="s">
        <v>11</v>
      </c>
      <c r="D12" s="29">
        <v>4800</v>
      </c>
      <c r="E12" s="29">
        <v>6600</v>
      </c>
      <c r="F12" s="68" t="s">
        <v>11</v>
      </c>
      <c r="G12" s="68" t="s">
        <v>11</v>
      </c>
      <c r="H12" s="68" t="s">
        <v>11</v>
      </c>
      <c r="I12" s="68" t="s">
        <v>11</v>
      </c>
    </row>
    <row r="13" spans="1:9" ht="21" customHeight="1" x14ac:dyDescent="0.15">
      <c r="A13" s="75" t="s">
        <v>200</v>
      </c>
      <c r="B13" s="68" t="s">
        <v>11</v>
      </c>
      <c r="C13" s="68" t="s">
        <v>11</v>
      </c>
      <c r="D13" s="68" t="s">
        <v>11</v>
      </c>
      <c r="E13" s="29">
        <v>6300</v>
      </c>
      <c r="F13" s="68" t="s">
        <v>11</v>
      </c>
      <c r="G13" s="68" t="s">
        <v>11</v>
      </c>
      <c r="H13" s="68" t="s">
        <v>11</v>
      </c>
      <c r="I13" s="68" t="s">
        <v>11</v>
      </c>
    </row>
    <row r="14" spans="1:9" ht="21" customHeight="1" x14ac:dyDescent="0.15">
      <c r="A14" s="75" t="s">
        <v>201</v>
      </c>
      <c r="B14" s="68" t="s">
        <v>11</v>
      </c>
      <c r="C14" s="68" t="s">
        <v>11</v>
      </c>
      <c r="D14" s="29">
        <v>4600</v>
      </c>
      <c r="E14" s="29">
        <v>5800</v>
      </c>
      <c r="F14" s="29">
        <v>7600</v>
      </c>
      <c r="G14" s="68" t="s">
        <v>11</v>
      </c>
      <c r="H14" s="68" t="s">
        <v>11</v>
      </c>
      <c r="I14" s="68" t="s">
        <v>11</v>
      </c>
    </row>
    <row r="15" spans="1:9" ht="21" customHeight="1" x14ac:dyDescent="0.15">
      <c r="A15" s="75" t="s">
        <v>100</v>
      </c>
      <c r="B15" s="68" t="s">
        <v>11</v>
      </c>
      <c r="C15" s="68" t="s">
        <v>11</v>
      </c>
      <c r="D15" s="29">
        <v>4400</v>
      </c>
      <c r="E15" s="29">
        <v>5600</v>
      </c>
      <c r="F15" s="68" t="s">
        <v>11</v>
      </c>
      <c r="G15" s="68" t="s">
        <v>11</v>
      </c>
      <c r="H15" s="68" t="s">
        <v>11</v>
      </c>
      <c r="I15" s="68" t="s">
        <v>11</v>
      </c>
    </row>
    <row r="16" spans="1:9" ht="21" customHeight="1" x14ac:dyDescent="0.15">
      <c r="A16" s="75" t="s">
        <v>202</v>
      </c>
      <c r="B16" s="68" t="s">
        <v>11</v>
      </c>
      <c r="C16" s="29">
        <v>3000</v>
      </c>
      <c r="D16" s="29">
        <v>4200</v>
      </c>
      <c r="E16" s="29">
        <v>5400</v>
      </c>
      <c r="F16" s="68" t="s">
        <v>11</v>
      </c>
      <c r="G16" s="68" t="s">
        <v>11</v>
      </c>
      <c r="H16" s="68" t="s">
        <v>11</v>
      </c>
      <c r="I16" s="68" t="s">
        <v>11</v>
      </c>
    </row>
    <row r="17" spans="1:9" ht="21" customHeight="1" x14ac:dyDescent="0.15">
      <c r="A17" s="75" t="s">
        <v>8</v>
      </c>
      <c r="B17" s="29">
        <v>2000</v>
      </c>
      <c r="C17" s="29">
        <v>2800</v>
      </c>
      <c r="D17" s="29">
        <v>4000</v>
      </c>
      <c r="E17" s="68" t="s">
        <v>11</v>
      </c>
      <c r="F17" s="68" t="s">
        <v>11</v>
      </c>
      <c r="G17" s="68" t="s">
        <v>11</v>
      </c>
      <c r="H17" s="68" t="s">
        <v>11</v>
      </c>
      <c r="I17" s="68" t="s">
        <v>11</v>
      </c>
    </row>
    <row r="18" spans="1:9" ht="21" customHeight="1" x14ac:dyDescent="0.15">
      <c r="A18" s="76" t="s">
        <v>7</v>
      </c>
      <c r="B18" s="29">
        <v>1750</v>
      </c>
      <c r="C18" s="29">
        <v>2550</v>
      </c>
      <c r="D18" s="68" t="s">
        <v>11</v>
      </c>
      <c r="E18" s="68" t="s">
        <v>11</v>
      </c>
      <c r="F18" s="68" t="s">
        <v>11</v>
      </c>
      <c r="G18" s="68" t="s">
        <v>11</v>
      </c>
      <c r="H18" s="68" t="s">
        <v>11</v>
      </c>
      <c r="I18" s="68" t="s">
        <v>11</v>
      </c>
    </row>
    <row r="19" spans="1:9" ht="21" customHeight="1" x14ac:dyDescent="0.15">
      <c r="A19" s="76" t="s">
        <v>203</v>
      </c>
      <c r="B19" s="29">
        <v>1500</v>
      </c>
      <c r="C19" s="29">
        <v>2300</v>
      </c>
      <c r="D19" s="68" t="s">
        <v>11</v>
      </c>
      <c r="E19" s="68" t="s">
        <v>11</v>
      </c>
      <c r="F19" s="68" t="s">
        <v>11</v>
      </c>
      <c r="G19" s="68" t="s">
        <v>11</v>
      </c>
      <c r="H19" s="68" t="s">
        <v>11</v>
      </c>
      <c r="I19" s="68" t="s">
        <v>11</v>
      </c>
    </row>
    <row r="20" spans="1:9" ht="21" customHeight="1" x14ac:dyDescent="0.15">
      <c r="A20" s="38" t="s">
        <v>204</v>
      </c>
      <c r="B20" s="37">
        <v>1000</v>
      </c>
      <c r="C20" s="37">
        <v>1000</v>
      </c>
      <c r="D20" s="37">
        <v>1000</v>
      </c>
      <c r="E20" s="37">
        <v>1000</v>
      </c>
      <c r="F20" s="37">
        <v>1000</v>
      </c>
      <c r="G20" s="37">
        <v>1000</v>
      </c>
      <c r="H20" s="37">
        <v>1000</v>
      </c>
      <c r="I20" s="37">
        <v>1000</v>
      </c>
    </row>
  </sheetData>
  <sheetProtection selectLockedCells="1" selectUnlockedCells="1"/>
  <phoneticPr fontId="9"/>
  <conditionalFormatting sqref="L22:R65541 J1:IU1 L7:R19 S7:IU1048576 J7:K1048576">
    <cfRule type="cellIs" dxfId="5" priority="7" stopIfTrue="1" operator="equal">
      <formula>1</formula>
    </cfRule>
  </conditionalFormatting>
  <conditionalFormatting sqref="A21:I65541">
    <cfRule type="cellIs" dxfId="4" priority="8" stopIfTrue="1" operator="equal">
      <formula>1</formula>
    </cfRule>
  </conditionalFormatting>
  <conditionalFormatting sqref="A20:I20">
    <cfRule type="cellIs" dxfId="3" priority="5" stopIfTrue="1" operator="equal">
      <formula>1</formula>
    </cfRule>
  </conditionalFormatting>
  <conditionalFormatting sqref="J2:IV4">
    <cfRule type="cellIs" dxfId="2" priority="4" stopIfTrue="1" operator="equal">
      <formula>1</formula>
    </cfRule>
  </conditionalFormatting>
  <conditionalFormatting sqref="J5:IV6">
    <cfRule type="cellIs" dxfId="1" priority="3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I14" sqref="I14"/>
    </sheetView>
  </sheetViews>
  <sheetFormatPr baseColWidth="12" defaultColWidth="13" defaultRowHeight="21" customHeight="1" x14ac:dyDescent="0.15"/>
  <cols>
    <col min="1" max="16384" width="13" style="24"/>
  </cols>
  <sheetData>
    <row r="1" spans="1:8" ht="21" customHeight="1" x14ac:dyDescent="0.15">
      <c r="A1" s="24" t="s">
        <v>106</v>
      </c>
      <c r="G1" s="24" t="s">
        <v>107</v>
      </c>
    </row>
    <row r="2" spans="1:8" ht="21" customHeight="1" x14ac:dyDescent="0.15">
      <c r="A2" s="22" t="s">
        <v>15</v>
      </c>
      <c r="B2" s="22" t="s">
        <v>16</v>
      </c>
      <c r="G2" s="22" t="s">
        <v>15</v>
      </c>
      <c r="H2" s="22" t="s">
        <v>16</v>
      </c>
    </row>
    <row r="3" spans="1:8" ht="21" customHeight="1" x14ac:dyDescent="0.15">
      <c r="A3" s="25">
        <v>1</v>
      </c>
      <c r="B3" s="34">
        <v>5000</v>
      </c>
      <c r="G3" s="25">
        <v>1</v>
      </c>
      <c r="H3" s="25">
        <v>75</v>
      </c>
    </row>
    <row r="4" spans="1:8" ht="21" customHeight="1" x14ac:dyDescent="0.15">
      <c r="A4" s="25">
        <v>2</v>
      </c>
      <c r="B4" s="26">
        <v>10000</v>
      </c>
      <c r="G4" s="25">
        <v>2</v>
      </c>
      <c r="H4" s="25">
        <v>150</v>
      </c>
    </row>
    <row r="5" spans="1:8" ht="21" customHeight="1" x14ac:dyDescent="0.15">
      <c r="A5" s="25">
        <v>3</v>
      </c>
      <c r="B5" s="26">
        <v>20000</v>
      </c>
      <c r="G5" s="25">
        <v>3</v>
      </c>
      <c r="H5" s="25">
        <v>300</v>
      </c>
    </row>
    <row r="6" spans="1:8" ht="21" customHeight="1" x14ac:dyDescent="0.15">
      <c r="A6" s="25">
        <v>4</v>
      </c>
      <c r="B6" s="26">
        <v>50000</v>
      </c>
      <c r="G6" s="25">
        <v>4</v>
      </c>
      <c r="H6" s="25">
        <v>600</v>
      </c>
    </row>
    <row r="7" spans="1:8" ht="21" customHeight="1" x14ac:dyDescent="0.15">
      <c r="A7" s="25">
        <v>5</v>
      </c>
      <c r="B7" s="26">
        <v>200000</v>
      </c>
      <c r="G7" s="25">
        <v>5</v>
      </c>
      <c r="H7" s="25">
        <v>900</v>
      </c>
    </row>
    <row r="8" spans="1:8" ht="21" customHeight="1" x14ac:dyDescent="0.15">
      <c r="A8" s="25">
        <v>6</v>
      </c>
      <c r="B8" s="35">
        <v>0</v>
      </c>
      <c r="G8" s="25">
        <v>6</v>
      </c>
      <c r="H8" s="36">
        <v>1200</v>
      </c>
    </row>
    <row r="9" spans="1:8" ht="21" customHeight="1" x14ac:dyDescent="0.15">
      <c r="A9" s="25">
        <v>7</v>
      </c>
      <c r="B9" s="35"/>
      <c r="G9" s="25">
        <v>7</v>
      </c>
      <c r="H9" s="35"/>
    </row>
    <row r="10" spans="1:8" ht="21" customHeight="1" x14ac:dyDescent="0.15">
      <c r="A10" s="25">
        <v>8</v>
      </c>
      <c r="B10" s="35"/>
      <c r="G10" s="25">
        <v>8</v>
      </c>
      <c r="H10" s="35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D55"/>
  <sheetViews>
    <sheetView topLeftCell="A5" workbookViewId="0">
      <selection activeCell="H21" sqref="H21"/>
    </sheetView>
  </sheetViews>
  <sheetFormatPr baseColWidth="12" defaultRowHeight="15" x14ac:dyDescent="0.15"/>
  <sheetData>
    <row r="2" spans="1:4" x14ac:dyDescent="0.15">
      <c r="A2" t="s">
        <v>188</v>
      </c>
      <c r="B2" s="12">
        <v>591</v>
      </c>
    </row>
    <row r="3" spans="1:4" x14ac:dyDescent="0.15">
      <c r="A3" t="s">
        <v>189</v>
      </c>
      <c r="B3" s="130">
        <v>592</v>
      </c>
    </row>
    <row r="4" spans="1:4" x14ac:dyDescent="0.15">
      <c r="A4" t="s">
        <v>190</v>
      </c>
      <c r="B4" s="130">
        <v>593</v>
      </c>
    </row>
    <row r="7" spans="1:4" x14ac:dyDescent="0.15">
      <c r="A7" t="s">
        <v>191</v>
      </c>
    </row>
    <row r="8" spans="1:4" x14ac:dyDescent="0.15">
      <c r="A8" t="str">
        <f>A2 &amp;" "&amp;IF(B2="","",B2)&amp;" "&amp; IFERROR(VLOOKUP(B2,units!A:B,2),"なし")</f>
        <v>R3 591 なし</v>
      </c>
    </row>
    <row r="9" spans="1:4" x14ac:dyDescent="0.15">
      <c r="A9" t="str">
        <f>A3 &amp;" "&amp;IF(B3="","",B3)&amp;" "&amp; IFERROR(VLOOKUP(B3,units!A:B,2),"なし")</f>
        <v>R4 592 なし</v>
      </c>
    </row>
    <row r="10" spans="1:4" x14ac:dyDescent="0.15">
      <c r="A10" t="str">
        <f>A4 &amp;" "&amp;IF(B4="","",B4)&amp;" "&amp; IFERROR(VLOOKUP(B4,units!A:B,2),"なし")</f>
        <v>R5 593 なし</v>
      </c>
    </row>
    <row r="12" spans="1:4" x14ac:dyDescent="0.15">
      <c r="A12" t="s">
        <v>210</v>
      </c>
    </row>
    <row r="13" spans="1:4" x14ac:dyDescent="0.15">
      <c r="B13" t="s">
        <v>214</v>
      </c>
      <c r="C13" t="s">
        <v>215</v>
      </c>
      <c r="D13" t="s">
        <v>216</v>
      </c>
    </row>
    <row r="14" spans="1:4" x14ac:dyDescent="0.15">
      <c r="A14" t="s">
        <v>212</v>
      </c>
      <c r="B14" t="e">
        <f>VLOOKUP($B2,units!$A:$BN,63)</f>
        <v>#N/A</v>
      </c>
      <c r="C14" t="e">
        <f>VLOOKUP($B2,units!$A:$BN,64)</f>
        <v>#N/A</v>
      </c>
      <c r="D14" t="e">
        <f>VLOOKUP($B2,units!$A:$BN,66)</f>
        <v>#N/A</v>
      </c>
    </row>
    <row r="15" spans="1:4" x14ac:dyDescent="0.15">
      <c r="A15" t="s">
        <v>213</v>
      </c>
      <c r="B15" t="e">
        <f>VLOOKUP($B3,units!$A:$BN,63)</f>
        <v>#N/A</v>
      </c>
      <c r="C15" t="e">
        <f>VLOOKUP($B3,units!$A:$BN,64)</f>
        <v>#N/A</v>
      </c>
      <c r="D15" t="e">
        <f>VLOOKUP($B3,units!$A:$BN,66)</f>
        <v>#N/A</v>
      </c>
    </row>
    <row r="16" spans="1:4" x14ac:dyDescent="0.15">
      <c r="A16" t="s">
        <v>211</v>
      </c>
      <c r="B16" t="e">
        <f>VLOOKUP($B4,units!$A:$BN,63)</f>
        <v>#N/A</v>
      </c>
      <c r="C16" t="e">
        <f>VLOOKUP($B4,units!$A:$BN,64)</f>
        <v>#N/A</v>
      </c>
      <c r="D16" t="e">
        <f>VLOOKUP($B4,units!$A:$BN,66)</f>
        <v>#N/A</v>
      </c>
    </row>
    <row r="19" spans="1:1" ht="19" customHeight="1" x14ac:dyDescent="0.15">
      <c r="A19" t="s">
        <v>192</v>
      </c>
    </row>
    <row r="20" spans="1:1" x14ac:dyDescent="0.15">
      <c r="A20" t="str">
        <f>IFERROR(VLOOKUP($B$2,unit_skills!A:I,3),"なし")</f>
        <v>なし</v>
      </c>
    </row>
    <row r="21" spans="1:1" x14ac:dyDescent="0.15">
      <c r="A21" t="str">
        <f>IFERROR(VLOOKUP($B$2,unit_skills!A:I,4),"なし")</f>
        <v>なし</v>
      </c>
    </row>
    <row r="22" spans="1:1" x14ac:dyDescent="0.15">
      <c r="A22" t="str">
        <f>"cost:"&amp;IFERROR(VLOOKUP($B$2,unit_skills!A:I,6),"なし")</f>
        <v>cost:なし</v>
      </c>
    </row>
    <row r="23" spans="1:1" x14ac:dyDescent="0.15">
      <c r="A23" t="str">
        <f>IFERROR(VLOOKUP($B$2,unit_skills!A:I,9),"なし")</f>
        <v>なし</v>
      </c>
    </row>
    <row r="25" spans="1:1" x14ac:dyDescent="0.15">
      <c r="A25" t="str">
        <f>IFERROR(VLOOKUP($B$3,unit_skills!A:I,3),"なし")</f>
        <v>なし</v>
      </c>
    </row>
    <row r="26" spans="1:1" x14ac:dyDescent="0.15">
      <c r="A26" t="str">
        <f>IFERROR(VLOOKUP($B$3,unit_skills!A:I,4),"なし")</f>
        <v>なし</v>
      </c>
    </row>
    <row r="27" spans="1:1" x14ac:dyDescent="0.15">
      <c r="A27" t="str">
        <f>"cost:"&amp;IFERROR(VLOOKUP($B$3,unit_skills!A:I,6),"なし")</f>
        <v>cost:なし</v>
      </c>
    </row>
    <row r="28" spans="1:1" x14ac:dyDescent="0.15">
      <c r="A28" t="str">
        <f>IFERROR(VLOOKUP($B$3,unit_skills!A:I,9),"なし")</f>
        <v>なし</v>
      </c>
    </row>
    <row r="30" spans="1:1" x14ac:dyDescent="0.15">
      <c r="A30" t="str">
        <f>IFERROR(VLOOKUP($B$4,unit_skills!A:I,3),"なし")</f>
        <v>なし</v>
      </c>
    </row>
    <row r="31" spans="1:1" x14ac:dyDescent="0.15">
      <c r="A31" t="str">
        <f>IFERROR(VLOOKUP($B$4,unit_skills!A:I,4),"なし")</f>
        <v>なし</v>
      </c>
    </row>
    <row r="32" spans="1:1" x14ac:dyDescent="0.15">
      <c r="A32" t="str">
        <f>"cost:"&amp;IFERROR(VLOOKUP($B$4,unit_skills!A:I,6),"なし")</f>
        <v>cost:なし</v>
      </c>
    </row>
    <row r="33" spans="1:1" x14ac:dyDescent="0.15">
      <c r="A33" t="str">
        <f>IFERROR(VLOOKUP($B$4,unit_skills!A:I,9),"なし")</f>
        <v>なし</v>
      </c>
    </row>
    <row r="35" spans="1:1" x14ac:dyDescent="0.15">
      <c r="A35" t="s">
        <v>193</v>
      </c>
    </row>
    <row r="36" spans="1:1" x14ac:dyDescent="0.15">
      <c r="A36" t="str">
        <f>IFERROR(VLOOKUP($B$2,crash_skills!A:I,3),"なし")</f>
        <v>なし</v>
      </c>
    </row>
    <row r="37" spans="1:1" x14ac:dyDescent="0.15">
      <c r="A37" t="str">
        <f>IFERROR(VLOOKUP($B$2,crash_skills!A:I,4),"なし")</f>
        <v>なし</v>
      </c>
    </row>
    <row r="38" spans="1:1" x14ac:dyDescent="0.15">
      <c r="A38" t="str">
        <f>IFERROR(VLOOKUP($B$2,crash_skills!A:I,6),"なし")</f>
        <v>なし</v>
      </c>
    </row>
    <row r="40" spans="1:1" x14ac:dyDescent="0.15">
      <c r="A40" t="str">
        <f>IFERROR(VLOOKUP($B$3,crash_skills!A:I,3),"なし")</f>
        <v>なし</v>
      </c>
    </row>
    <row r="41" spans="1:1" x14ac:dyDescent="0.15">
      <c r="A41" t="str">
        <f>IFERROR(VLOOKUP($B$3,crash_skills!A:I,4),"なし")</f>
        <v>なし</v>
      </c>
    </row>
    <row r="42" spans="1:1" x14ac:dyDescent="0.15">
      <c r="A42" t="str">
        <f>IFERROR(VLOOKUP($B$3,crash_skills!A:I,6),"なし")</f>
        <v>なし</v>
      </c>
    </row>
    <row r="44" spans="1:1" x14ac:dyDescent="0.15">
      <c r="A44" t="str">
        <f>IFERROR(VLOOKUP($B$4,crash_skills!A:I,3),"なし")</f>
        <v>なし</v>
      </c>
    </row>
    <row r="45" spans="1:1" x14ac:dyDescent="0.15">
      <c r="A45" t="str">
        <f>IFERROR(VLOOKUP($B$4,crash_skills!A:I,4),"なし")</f>
        <v>なし</v>
      </c>
    </row>
    <row r="46" spans="1:1" x14ac:dyDescent="0.15">
      <c r="A46" t="str">
        <f>IFERROR(VLOOKUP($B$4,crash_skills!A:I,6),"なし")</f>
        <v>なし</v>
      </c>
    </row>
    <row r="48" spans="1:1" x14ac:dyDescent="0.15">
      <c r="A48" t="s">
        <v>194</v>
      </c>
    </row>
    <row r="49" spans="1:1" x14ac:dyDescent="0.15">
      <c r="A49" t="str">
        <f>IFERROR(VLOOKUP($B$3,#REF!,2),"なし")</f>
        <v>なし</v>
      </c>
    </row>
    <row r="50" spans="1:1" x14ac:dyDescent="0.15">
      <c r="A50" t="str">
        <f>IFERROR(VLOOKUP($B$3,#REF!,2),"なし")</f>
        <v>なし</v>
      </c>
    </row>
    <row r="51" spans="1:1" x14ac:dyDescent="0.15">
      <c r="A51" t="str">
        <f>IFERROR(VLOOKUP($B$3,#REF!,2),"なし")</f>
        <v>なし</v>
      </c>
    </row>
    <row r="52" spans="1:1" x14ac:dyDescent="0.15">
      <c r="A52" t="str">
        <f>IFERROR(VLOOKUP($B$3,#REF!,2),"なし")</f>
        <v>なし</v>
      </c>
    </row>
    <row r="53" spans="1:1" x14ac:dyDescent="0.15">
      <c r="A53" t="str">
        <f>IFERROR(VLOOKUP($B$3,#REF!,2),"なし")</f>
        <v>なし</v>
      </c>
    </row>
    <row r="55" spans="1:1" x14ac:dyDescent="0.15">
      <c r="A55" s="142"/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output</vt:lpstr>
      <vt:lpstr>units</vt:lpstr>
      <vt:lpstr>unit_skills</vt:lpstr>
      <vt:lpstr>crash_skills</vt:lpstr>
      <vt:lpstr>unit_serifs</vt:lpstr>
      <vt:lpstr>fork_awake_units</vt:lpstr>
      <vt:lpstr>awake_materials</vt:lpstr>
      <vt:lpstr>abilities</vt:lpstr>
      <vt:lpstr>unit_abilities</vt:lpstr>
      <vt:lpstr>→base値</vt:lpstr>
      <vt:lpstr>ghosts_label</vt:lpstr>
      <vt:lpstr>コスト</vt:lpstr>
      <vt:lpstr>レベル</vt:lpstr>
      <vt:lpstr>経験値</vt:lpstr>
      <vt:lpstr>RC6SV</vt:lpstr>
      <vt:lpstr>ビット</vt:lpstr>
      <vt:lpstr>チェックシート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2017-06-06T07:27:08Z</dcterms:modified>
</cp:coreProperties>
</file>