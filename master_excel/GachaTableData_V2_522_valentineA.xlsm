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6"/>
  </bookViews>
  <sheets>
    <sheet name="確率の考え方" sheetId="110" r:id="rId1"/>
    <sheet name="Sheet1" sheetId="107" r:id="rId2"/>
    <sheet name="output" sheetId="103" r:id="rId3"/>
    <sheet name="input_522010" sheetId="157" r:id="rId4"/>
    <sheet name="tables_522010" sheetId="158" r:id="rId5"/>
    <sheet name="input_522100" sheetId="153" r:id="rId6"/>
    <sheet name="tables_522100" sheetId="154" r:id="rId7"/>
    <sheet name="tables_settle_522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tables_522010!$A$1:$V$356</definedName>
    <definedName name="_xlnm._FilterDatabase" localSheetId="6" hidden="1">tables_522100!$A$1:$V$356</definedName>
    <definedName name="_xlnm._FilterDatabase" localSheetId="7" hidden="1">tables_settle_522105!$A$1:$V$3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57" l="1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48" i="158"/>
  <c r="D348" i="158"/>
  <c r="J348" i="158"/>
  <c r="E348" i="158"/>
  <c r="F348" i="158"/>
  <c r="C348" i="158"/>
  <c r="I349" i="158"/>
  <c r="D349" i="158"/>
  <c r="J349" i="158"/>
  <c r="E349" i="158"/>
  <c r="F349" i="158"/>
  <c r="C349" i="158"/>
  <c r="I350" i="158"/>
  <c r="D350" i="158"/>
  <c r="J350" i="158"/>
  <c r="E350" i="158"/>
  <c r="F350" i="158"/>
  <c r="C350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I356" i="158"/>
  <c r="D356" i="158"/>
  <c r="J356" i="158"/>
  <c r="E356" i="158"/>
  <c r="F356" i="158"/>
  <c r="C356" i="158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F6" i="157"/>
  <c r="E6" i="157"/>
  <c r="E20" i="157"/>
  <c r="E19" i="157"/>
  <c r="B19" i="157"/>
  <c r="E23" i="157"/>
  <c r="B23" i="157"/>
  <c r="E26" i="157"/>
  <c r="B26" i="157"/>
  <c r="F5" i="157"/>
  <c r="E5" i="157"/>
  <c r="E28" i="157"/>
  <c r="B28" i="157"/>
  <c r="E29" i="157"/>
  <c r="B29" i="157"/>
  <c r="B21" i="157"/>
  <c r="B20" i="157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I346" i="154"/>
  <c r="D346" i="154"/>
  <c r="J346" i="154"/>
  <c r="E346" i="154"/>
  <c r="F346" i="154"/>
  <c r="C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56" i="154"/>
  <c r="D356" i="154"/>
  <c r="J356" i="154"/>
  <c r="E356" i="154"/>
  <c r="F356" i="154"/>
  <c r="C356" i="154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F6" i="153"/>
  <c r="E6" i="153"/>
  <c r="E25" i="153"/>
  <c r="B25" i="153"/>
  <c r="E24" i="157"/>
  <c r="B24" i="157"/>
  <c r="A2" i="157"/>
  <c r="A37" i="157"/>
  <c r="G26" i="157"/>
  <c r="H26" i="157"/>
  <c r="O50" i="158"/>
  <c r="E18" i="157"/>
  <c r="B18" i="157"/>
  <c r="E17" i="157"/>
  <c r="B17" i="157"/>
  <c r="E22" i="157"/>
  <c r="B22" i="157"/>
  <c r="E25" i="157"/>
  <c r="B25" i="157"/>
  <c r="E27" i="157"/>
  <c r="B27" i="157"/>
  <c r="E30" i="157"/>
  <c r="B30" i="157"/>
  <c r="B31" i="157"/>
  <c r="F5" i="153"/>
  <c r="E30" i="153"/>
  <c r="E5" i="153"/>
  <c r="B30" i="153"/>
  <c r="C30" i="153"/>
  <c r="D30" i="153"/>
  <c r="F30" i="153"/>
  <c r="A37" i="153"/>
  <c r="G30" i="153"/>
  <c r="H30" i="153"/>
  <c r="I30" i="153"/>
  <c r="J30" i="153"/>
  <c r="A2" i="153"/>
  <c r="A351" i="154"/>
  <c r="H351" i="154"/>
  <c r="K351" i="154"/>
  <c r="L351" i="154"/>
  <c r="M351" i="154"/>
  <c r="N351" i="154"/>
  <c r="E23" i="153"/>
  <c r="B23" i="153"/>
  <c r="G23" i="153"/>
  <c r="H23" i="153"/>
  <c r="R3" i="153"/>
  <c r="O351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E28" i="153"/>
  <c r="B28" i="153"/>
  <c r="E29" i="153"/>
  <c r="B29" i="153"/>
  <c r="B21" i="153"/>
  <c r="B20" i="153"/>
  <c r="G20" i="153"/>
  <c r="H20" i="153"/>
  <c r="O52" i="154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R4" i="153"/>
  <c r="O352" i="154"/>
  <c r="R5" i="153"/>
  <c r="O353" i="154"/>
  <c r="R6" i="153"/>
  <c r="O354" i="154"/>
  <c r="R7" i="153"/>
  <c r="O355" i="154"/>
  <c r="R8" i="153"/>
  <c r="O356" i="154"/>
  <c r="P351" i="154"/>
  <c r="A352" i="154"/>
  <c r="H352" i="154"/>
  <c r="K352" i="154"/>
  <c r="L352" i="154"/>
  <c r="M352" i="154"/>
  <c r="N352" i="154"/>
  <c r="P352" i="154"/>
  <c r="A353" i="154"/>
  <c r="H353" i="154"/>
  <c r="K353" i="154"/>
  <c r="L353" i="154"/>
  <c r="M353" i="154"/>
  <c r="N353" i="154"/>
  <c r="P353" i="154"/>
  <c r="A354" i="154"/>
  <c r="H354" i="154"/>
  <c r="K354" i="154"/>
  <c r="L354" i="154"/>
  <c r="M354" i="154"/>
  <c r="N354" i="154"/>
  <c r="P354" i="154"/>
  <c r="A355" i="154"/>
  <c r="H355" i="154"/>
  <c r="K355" i="154"/>
  <c r="L355" i="154"/>
  <c r="M355" i="154"/>
  <c r="N355" i="154"/>
  <c r="P355" i="154"/>
  <c r="A356" i="154"/>
  <c r="H356" i="154"/>
  <c r="K356" i="154"/>
  <c r="L356" i="154"/>
  <c r="M356" i="154"/>
  <c r="N356" i="154"/>
  <c r="P356" i="154"/>
  <c r="E21" i="157"/>
  <c r="E32" i="157"/>
  <c r="C30" i="157"/>
  <c r="D30" i="157"/>
  <c r="F30" i="157"/>
  <c r="G30" i="157"/>
  <c r="H30" i="157"/>
  <c r="I30" i="157"/>
  <c r="J30" i="157"/>
  <c r="A356" i="158"/>
  <c r="H356" i="158"/>
  <c r="K356" i="158"/>
  <c r="L356" i="158"/>
  <c r="M356" i="158"/>
  <c r="N356" i="158"/>
  <c r="G23" i="157"/>
  <c r="H23" i="157"/>
  <c r="R8" i="157"/>
  <c r="O356" i="158"/>
  <c r="G17" i="157"/>
  <c r="H17" i="157"/>
  <c r="O2" i="158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O44" i="158"/>
  <c r="O45" i="158"/>
  <c r="O46" i="158"/>
  <c r="O47" i="158"/>
  <c r="O48" i="158"/>
  <c r="O49" i="158"/>
  <c r="G19" i="157"/>
  <c r="H19" i="157"/>
  <c r="O51" i="158"/>
  <c r="G20" i="157"/>
  <c r="H20" i="157"/>
  <c r="O52" i="158"/>
  <c r="G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R3" i="157"/>
  <c r="O351" i="158"/>
  <c r="R4" i="157"/>
  <c r="O352" i="158"/>
  <c r="R5" i="157"/>
  <c r="O353" i="158"/>
  <c r="R6" i="157"/>
  <c r="O354" i="158"/>
  <c r="R7" i="157"/>
  <c r="O355" i="158"/>
  <c r="P356" i="158"/>
  <c r="A354" i="158"/>
  <c r="H354" i="158"/>
  <c r="K354" i="158"/>
  <c r="L354" i="158"/>
  <c r="M354" i="158"/>
  <c r="N354" i="158"/>
  <c r="P354" i="158"/>
  <c r="A355" i="158"/>
  <c r="H355" i="158"/>
  <c r="K355" i="158"/>
  <c r="L355" i="158"/>
  <c r="M355" i="158"/>
  <c r="N355" i="158"/>
  <c r="P355" i="158"/>
  <c r="A353" i="158"/>
  <c r="H353" i="158"/>
  <c r="K353" i="158"/>
  <c r="L353" i="158"/>
  <c r="M353" i="158"/>
  <c r="N353" i="158"/>
  <c r="P353" i="158"/>
  <c r="A352" i="158"/>
  <c r="H352" i="158"/>
  <c r="K352" i="158"/>
  <c r="L352" i="158"/>
  <c r="M352" i="158"/>
  <c r="N352" i="158"/>
  <c r="P352" i="158"/>
  <c r="A351" i="158"/>
  <c r="H351" i="158"/>
  <c r="K351" i="158"/>
  <c r="L351" i="158"/>
  <c r="M351" i="158"/>
  <c r="N351" i="158"/>
  <c r="P351" i="158"/>
  <c r="A346" i="158"/>
  <c r="H346" i="158"/>
  <c r="K346" i="158"/>
  <c r="L346" i="158"/>
  <c r="M346" i="158"/>
  <c r="N346" i="158"/>
  <c r="G32" i="157"/>
  <c r="H32" i="157"/>
  <c r="R9" i="157"/>
  <c r="R10" i="157"/>
  <c r="R11" i="157"/>
  <c r="R12" i="157"/>
  <c r="R13" i="157"/>
  <c r="R14" i="157"/>
  <c r="R15" i="157"/>
  <c r="P346" i="158"/>
  <c r="A347" i="158"/>
  <c r="H347" i="158"/>
  <c r="K347" i="158"/>
  <c r="L347" i="158"/>
  <c r="M347" i="158"/>
  <c r="N347" i="158"/>
  <c r="P347" i="158"/>
  <c r="A348" i="158"/>
  <c r="H348" i="158"/>
  <c r="K348" i="158"/>
  <c r="L348" i="158"/>
  <c r="M348" i="158"/>
  <c r="N348" i="158"/>
  <c r="P348" i="158"/>
  <c r="A349" i="158"/>
  <c r="H349" i="158"/>
  <c r="K349" i="158"/>
  <c r="L349" i="158"/>
  <c r="M349" i="158"/>
  <c r="N349" i="158"/>
  <c r="P349" i="158"/>
  <c r="A350" i="158"/>
  <c r="H350" i="158"/>
  <c r="K350" i="158"/>
  <c r="L350" i="158"/>
  <c r="M350" i="158"/>
  <c r="N350" i="158"/>
  <c r="P350" i="158"/>
  <c r="A346" i="154"/>
  <c r="H346" i="154"/>
  <c r="K346" i="154"/>
  <c r="L346" i="154"/>
  <c r="M346" i="154"/>
  <c r="N346" i="154"/>
  <c r="E32" i="153"/>
  <c r="G32" i="153"/>
  <c r="H32" i="153"/>
  <c r="R9" i="153"/>
  <c r="R10" i="153"/>
  <c r="R11" i="153"/>
  <c r="R12" i="153"/>
  <c r="P346" i="154"/>
  <c r="A347" i="154"/>
  <c r="H347" i="154"/>
  <c r="K347" i="154"/>
  <c r="L347" i="154"/>
  <c r="M347" i="154"/>
  <c r="N347" i="154"/>
  <c r="P347" i="154"/>
  <c r="A348" i="154"/>
  <c r="H348" i="154"/>
  <c r="K348" i="154"/>
  <c r="L348" i="154"/>
  <c r="M348" i="154"/>
  <c r="N348" i="154"/>
  <c r="P348" i="154"/>
  <c r="A349" i="154"/>
  <c r="H349" i="154"/>
  <c r="K349" i="154"/>
  <c r="L349" i="154"/>
  <c r="M349" i="154"/>
  <c r="N349" i="154"/>
  <c r="P349" i="154"/>
  <c r="A350" i="154"/>
  <c r="H350" i="154"/>
  <c r="K350" i="154"/>
  <c r="L350" i="154"/>
  <c r="M350" i="154"/>
  <c r="N350" i="154"/>
  <c r="P350" i="154"/>
  <c r="C19" i="157"/>
  <c r="P2" i="154"/>
  <c r="P2" i="158"/>
  <c r="C20" i="157"/>
  <c r="C20" i="153"/>
  <c r="P4" i="159"/>
  <c r="N4" i="159"/>
  <c r="M4" i="159"/>
  <c r="L4" i="159"/>
  <c r="K4" i="159"/>
  <c r="J4" i="159"/>
  <c r="I4" i="159"/>
  <c r="H4" i="159"/>
  <c r="F4" i="159"/>
  <c r="E4" i="159"/>
  <c r="D4" i="159"/>
  <c r="C4" i="159"/>
  <c r="P3" i="159"/>
  <c r="N3" i="159"/>
  <c r="M3" i="159"/>
  <c r="L3" i="159"/>
  <c r="K3" i="159"/>
  <c r="J3" i="159"/>
  <c r="I3" i="159"/>
  <c r="H3" i="159"/>
  <c r="F3" i="159"/>
  <c r="E3" i="159"/>
  <c r="D3" i="159"/>
  <c r="C3" i="159"/>
  <c r="P2" i="159"/>
  <c r="N2" i="159"/>
  <c r="M2" i="159"/>
  <c r="L2" i="159"/>
  <c r="K2" i="159"/>
  <c r="J2" i="159"/>
  <c r="I2" i="159"/>
  <c r="H2" i="159"/>
  <c r="F2" i="159"/>
  <c r="E2" i="159"/>
  <c r="D2" i="159"/>
  <c r="C2" i="159"/>
  <c r="H343" i="158"/>
  <c r="K343" i="158"/>
  <c r="L343" i="158"/>
  <c r="M343" i="158"/>
  <c r="N343" i="158"/>
  <c r="H344" i="158"/>
  <c r="K344" i="158"/>
  <c r="L344" i="158"/>
  <c r="M344" i="158"/>
  <c r="N344" i="158"/>
  <c r="H345" i="158"/>
  <c r="K345" i="158"/>
  <c r="L345" i="158"/>
  <c r="M345" i="158"/>
  <c r="N345" i="158"/>
  <c r="A343" i="158"/>
  <c r="A344" i="158"/>
  <c r="A345" i="158"/>
  <c r="H341" i="154"/>
  <c r="K341" i="154"/>
  <c r="L341" i="154"/>
  <c r="M341" i="154"/>
  <c r="N341" i="154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A341" i="154"/>
  <c r="A342" i="154"/>
  <c r="A343" i="154"/>
  <c r="A344" i="154"/>
  <c r="A345" i="154"/>
  <c r="P138" i="154"/>
  <c r="P139" i="154"/>
  <c r="P140" i="154"/>
  <c r="P141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F49" i="153"/>
  <c r="F50" i="153"/>
  <c r="G49" i="153"/>
  <c r="F42" i="153"/>
  <c r="G42" i="153"/>
  <c r="B31" i="153"/>
  <c r="H341" i="158"/>
  <c r="K341" i="158"/>
  <c r="L341" i="158"/>
  <c r="M341" i="158"/>
  <c r="N341" i="158"/>
  <c r="H342" i="158"/>
  <c r="K342" i="158"/>
  <c r="L342" i="158"/>
  <c r="M342" i="158"/>
  <c r="N342" i="158"/>
  <c r="A341" i="158"/>
  <c r="A342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6" i="153"/>
  <c r="M5" i="153"/>
  <c r="M4" i="153"/>
  <c r="M3" i="153"/>
  <c r="F43" i="153"/>
  <c r="G43" i="153"/>
  <c r="C21" i="157"/>
  <c r="C22" i="157"/>
  <c r="C23" i="157"/>
  <c r="C24" i="157"/>
  <c r="C25" i="157"/>
  <c r="C26" i="157"/>
  <c r="C27" i="157"/>
  <c r="C28" i="157"/>
  <c r="C29" i="157"/>
  <c r="C31" i="157"/>
  <c r="C32" i="157"/>
  <c r="C33" i="157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H325" i="158"/>
  <c r="K325" i="158"/>
  <c r="L325" i="158"/>
  <c r="M325" i="158"/>
  <c r="N325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2" i="157"/>
  <c r="B43" i="157"/>
  <c r="B44" i="157"/>
  <c r="B46" i="157"/>
  <c r="B47" i="157"/>
  <c r="I32" i="157"/>
  <c r="J32" i="157"/>
  <c r="F32" i="157"/>
  <c r="D32" i="157"/>
  <c r="I31" i="157"/>
  <c r="J31" i="157"/>
  <c r="F31" i="157"/>
  <c r="D31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R18" i="157"/>
  <c r="P18" i="157"/>
  <c r="O18" i="157"/>
  <c r="M18" i="157"/>
  <c r="C18" i="157"/>
  <c r="R17" i="157"/>
  <c r="P17" i="157"/>
  <c r="O17" i="157"/>
  <c r="M17" i="157"/>
  <c r="C17" i="157"/>
  <c r="V16" i="157"/>
  <c r="R16" i="157"/>
  <c r="P16" i="157"/>
  <c r="O16" i="157"/>
  <c r="M16" i="157"/>
  <c r="V15" i="157"/>
  <c r="P15" i="157"/>
  <c r="O15" i="157"/>
  <c r="M15" i="157"/>
  <c r="V14" i="157"/>
  <c r="P14" i="157"/>
  <c r="O14" i="157"/>
  <c r="M14" i="157"/>
  <c r="V13" i="157"/>
  <c r="P13" i="157"/>
  <c r="O13" i="157"/>
  <c r="M13" i="157"/>
  <c r="V12" i="157"/>
  <c r="P12" i="157"/>
  <c r="O12" i="157"/>
  <c r="M12" i="157"/>
  <c r="V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1" i="153"/>
  <c r="B43" i="153"/>
  <c r="B44" i="153"/>
  <c r="B45" i="153"/>
  <c r="B46" i="153"/>
  <c r="B47" i="153"/>
  <c r="F41" i="153"/>
  <c r="G41" i="153"/>
  <c r="C19" i="153"/>
  <c r="C21" i="153"/>
  <c r="C22" i="153"/>
  <c r="C23" i="153"/>
  <c r="C24" i="153"/>
  <c r="C25" i="153"/>
  <c r="C26" i="153"/>
  <c r="C27" i="153"/>
  <c r="C28" i="153"/>
  <c r="C29" i="153"/>
  <c r="C31" i="153"/>
  <c r="C32" i="153"/>
  <c r="C33" i="153"/>
  <c r="I32" i="153"/>
  <c r="J32" i="153"/>
  <c r="F32" i="153"/>
  <c r="D32" i="153"/>
  <c r="I31" i="153"/>
  <c r="J31" i="153"/>
  <c r="F31" i="153"/>
  <c r="D31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17" i="153"/>
  <c r="P17" i="153"/>
  <c r="O17" i="153"/>
  <c r="M17" i="153"/>
  <c r="R16" i="153"/>
  <c r="P16" i="153"/>
  <c r="O16" i="153"/>
  <c r="M16" i="153"/>
  <c r="I19" i="153"/>
  <c r="J19" i="153"/>
  <c r="F19" i="153"/>
  <c r="D19" i="153"/>
  <c r="R15" i="153"/>
  <c r="P15" i="153"/>
  <c r="O15" i="153"/>
  <c r="M15" i="153"/>
  <c r="I18" i="153"/>
  <c r="J18" i="153"/>
  <c r="F18" i="153"/>
  <c r="C18" i="153"/>
  <c r="D18" i="153"/>
  <c r="R14" i="153"/>
  <c r="P14" i="153"/>
  <c r="O14" i="153"/>
  <c r="M14" i="153"/>
  <c r="I17" i="153"/>
  <c r="J17" i="153"/>
  <c r="F17" i="153"/>
  <c r="C17" i="153"/>
  <c r="D17" i="153"/>
  <c r="V16" i="153"/>
  <c r="R13" i="153"/>
  <c r="P13" i="153"/>
  <c r="O13" i="153"/>
  <c r="M13" i="153"/>
  <c r="V15" i="153"/>
  <c r="P12" i="153"/>
  <c r="O12" i="153"/>
  <c r="M12" i="153"/>
  <c r="V14" i="153"/>
  <c r="P11" i="153"/>
  <c r="O11" i="153"/>
  <c r="M11" i="153"/>
  <c r="V13" i="153"/>
  <c r="P10" i="153"/>
  <c r="O10" i="153"/>
  <c r="M10" i="153"/>
  <c r="V12" i="153"/>
  <c r="P9" i="153"/>
  <c r="O9" i="153"/>
  <c r="M9" i="153"/>
  <c r="V11" i="153"/>
  <c r="V10" i="153"/>
  <c r="P8" i="153"/>
  <c r="O8" i="153"/>
  <c r="M8" i="153"/>
  <c r="V9" i="153"/>
  <c r="V8" i="153"/>
  <c r="P7" i="153"/>
  <c r="O7" i="153"/>
  <c r="M7" i="153"/>
  <c r="V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3" i="153"/>
  <c r="D33" i="153"/>
  <c r="F46" i="153"/>
  <c r="F47" i="153"/>
  <c r="B42" i="153"/>
  <c r="B48" i="153"/>
  <c r="C41" i="153"/>
  <c r="C42" i="153"/>
  <c r="C43" i="153"/>
  <c r="C44" i="153"/>
  <c r="C45" i="153"/>
  <c r="C46" i="153"/>
  <c r="C47" i="153"/>
  <c r="C48" i="153"/>
  <c r="F48" i="153"/>
  <c r="D17" i="157"/>
  <c r="F17" i="157"/>
  <c r="I17" i="157"/>
  <c r="J17" i="157"/>
  <c r="D18" i="157"/>
  <c r="F18" i="157"/>
  <c r="I18" i="157"/>
  <c r="J18" i="157"/>
  <c r="D19" i="157"/>
  <c r="F19" i="157"/>
  <c r="I19" i="157"/>
  <c r="J19" i="157"/>
  <c r="D21" i="157"/>
  <c r="F21" i="157"/>
  <c r="I21" i="157"/>
  <c r="J21" i="157"/>
  <c r="B33" i="157"/>
  <c r="D33" i="157"/>
  <c r="F41" i="157"/>
  <c r="G41" i="157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4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F46" i="157"/>
  <c r="F47" i="157"/>
  <c r="B41" i="157"/>
  <c r="B45" i="157"/>
  <c r="B48" i="157"/>
  <c r="C41" i="157"/>
  <c r="C42" i="157"/>
  <c r="C43" i="157"/>
  <c r="C44" i="157"/>
  <c r="C45" i="157"/>
  <c r="C46" i="157"/>
  <c r="C47" i="157"/>
  <c r="C48" i="157"/>
  <c r="F48" i="157"/>
  <c r="F43" i="157"/>
  <c r="G43" i="157"/>
  <c r="F42" i="157"/>
  <c r="G42" i="157"/>
  <c r="F49" i="157"/>
  <c r="F50" i="157"/>
  <c r="G49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<sst xmlns="http://schemas.openxmlformats.org/spreadsheetml/2006/main" count="535" uniqueCount="256">
  <si>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</si>
  <si>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</si>
  <si>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</si>
  <si>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</si>
  <si>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</si>
  <si>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</si>
  <si>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</si>
  <si>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</si>
  <si>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</si>
  <si>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</si>
  <si>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</si>
  <si>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</si>
  <si>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</si>
  <si>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</si>
  <si>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</si>
  <si>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</si>
  <si>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</si>
  <si>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</si>
  <si>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</si>
  <si>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</si>
  <si>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</si>
  <si>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</si>
  <si>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</si>
  <si>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</si>
  <si>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</si>
  <si>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</si>
  <si>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</si>
  <si>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</si>
  <si>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</si>
  <si>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</si>
  <si>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</si>
  <si>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</si>
  <si>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</si>
  <si>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</si>
  <si>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</si>
  <si>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</si>
  <si>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</si>
  <si>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</si>
  <si>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</si>
  <si>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</si>
  <si>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</si>
  <si>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</si>
  <si>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</si>
  <si>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</si>
  <si>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</si>
  <si>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</si>
  <si>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</si>
  <si>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</si>
  <si>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</si>
  <si>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</si>
  <si>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</si>
  <si>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</si>
  <si>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</si>
  <si>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</si>
  <si>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</si>
  <si>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</si>
  <si>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</si>
  <si>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</si>
  <si>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</si>
  <si>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</si>
  <si>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</si>
  <si>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</si>
  <si>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</si>
  <si>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</si>
  <si>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</si>
  <si>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</si>
  <si>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</si>
  <si>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</si>
  <si>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</si>
  <si>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</si>
  <si>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</si>
  <si>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</si>
  <si>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</si>
  <si>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</si>
  <si>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</si>
  <si>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</si>
  <si>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</si>
  <si>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</si>
  <si>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</si>
  <si>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</si>
  <si>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</si>
  <si>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</si>
  <si>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</si>
  <si>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</si>
  <si>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</si>
  <si>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</si>
  <si>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</si>
  <si>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</si>
  <si>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</si>
  <si>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</si>
  <si>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</si>
  <si>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</si>
  <si>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</si>
  <si>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</si>
  <si>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</si>
  <si>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</si>
  <si>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</si>
  <si>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</si>
  <si>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</si>
  <si>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</si>
  <si>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</si>
  <si>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</si>
  <si>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</si>
  <si>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</si>
  <si>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</si>
  <si>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</si>
  <si>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</si>
  <si>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</si>
  <si>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</si>
  <si>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</si>
  <si>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</si>
  <si>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</si>
  <si>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</si>
  <si>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</si>
  <si>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</si>
  <si>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</si>
  <si>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</si>
  <si>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</si>
  <si>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</si>
  <si>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</si>
  <si>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</si>
  <si>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</si>
  <si>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</si>
  <si>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</si>
  <si>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</si>
  <si>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</si>
  <si>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</si>
  <si>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</si>
  <si>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</si>
  <si>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</si>
  <si>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</si>
  <si>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</si>
  <si>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</si>
  <si>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</si>
  <si>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</si>
  <si>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</si>
  <si>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</si>
  <si>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</si>
  <si>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</si>
  <si>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</si>
  <si>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</si>
  <si>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</si>
  <si>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</si>
  <si>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</si>
  <si>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</si>
  <si>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</si>
  <si>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</si>
  <si>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</si>
  <si>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</si>
  <si>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</si>
  <si>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</si>
  <si>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</si>
  <si>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</si>
  <si>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</si>
  <si>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</si>
  <si>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</si>
  <si>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</si>
  <si>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</si>
  <si>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</si>
  <si>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</si>
  <si>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</si>
  <si>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</si>
  <si>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</si>
  <si>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</si>
  <si>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</si>
  <si>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</si>
  <si>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</si>
  <si>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</si>
  <si>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</si>
  <si>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</si>
  <si>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</si>
  <si>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</si>
  <si>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</si>
  <si>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</si>
  <si>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</si>
  <si>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</si>
  <si>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</si>
  <si>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</si>
  <si>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</si>
  <si>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</si>
  <si>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</si>
  <si>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</si>
  <si>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</si>
  <si>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</si>
  <si>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</si>
  <si>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</si>
  <si>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</si>
  <si>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</si>
  <si>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</si>
  <si>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</si>
  <si>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</si>
  <si>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</si>
  <si>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</si>
  <si>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</si>
  <si>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</si>
  <si>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</si>
  <si>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</si>
  <si>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</si>
  <si>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</si>
  <si>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</si>
  <si>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</si>
  <si>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</si>
  <si>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</si>
  <si>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</si>
  <si>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</si>
  <si>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</si>
  <si>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</si>
  <si>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</si>
  <si>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</si>
  <si>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</si>
  <si>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</si>
  <si>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</si>
  <si>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</si>
  <si>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</si>
  <si>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</si>
  <si>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</si>
  <si>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</si>
  <si>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</si>
  <si>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</si>
  <si>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</si>
  <si>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</si>
  <si>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</si>
  <si>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</si>
  <si>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</si>
  <si>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</si>
  <si>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</si>
  <si>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</si>
  <si>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</si>
  <si>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</si>
  <si>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</si>
  <si>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</si>
  <si>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</si>
  <si>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</si>
  <si>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</si>
  <si>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</si>
  <si>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</si>
  <si>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</si>
  <si>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</si>
  <si>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</si>
  <si>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</si>
  <si>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</si>
  <si>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</si>
  <si>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</si>
  <si>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</si>
  <si>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</si>
  <si>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</si>
  <si>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</si>
  <si>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gacha_settle_tables_</t>
    <phoneticPr fontId="22"/>
  </si>
  <si>
    <t>.tmp</t>
    <phoneticPr fontId="55"/>
  </si>
  <si>
    <t>PremiumSSw</t>
    <phoneticPr fontId="22"/>
  </si>
  <si>
    <t>PremiumSSw</t>
    <phoneticPr fontId="22"/>
  </si>
  <si>
    <t>old</t>
    <phoneticPr fontId="22"/>
  </si>
  <si>
    <t>PremiumSS6R5only</t>
    <phoneticPr fontId="22"/>
  </si>
  <si>
    <t>tables_522100</t>
    <phoneticPr fontId="22"/>
  </si>
  <si>
    <t>tables_522010</t>
    <phoneticPr fontId="22"/>
  </si>
  <si>
    <t>tables_settle_522105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</si>
</sst>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</borders>
  <cellStyleXfs count="3668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</cellStyleXfs>
  <cellXfs count="106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6" fillId="4" borderId="1" xfId="2978" applyFont="1" applyFill="1" applyBorder="1"/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2978" applyFont="1" applyBorder="1"/>
    <xf numFmtId="0" fontId="4" fillId="4" borderId="1" xfId="2978" applyFont="1" applyFill="1" applyBorder="1"/>
    <xf numFmtId="0" fontId="27" fillId="3" borderId="14" xfId="2" applyFont="1" applyFill="1" applyBorder="1" applyAlignment="1">
      <alignment vertical="center"/>
    </xf>
    <xf numFmtId="0" fontId="3" fillId="0" borderId="1" xfId="3036" applyFont="1" applyBorder="1"/>
    <xf numFmtId="0" fontId="27" fillId="0" borderId="0" xfId="2" applyFont="1" applyBorder="1" applyAlignment="1">
      <alignment vertical="center"/>
    </xf>
    <xf numFmtId="0" fontId="27" fillId="0" borderId="0" xfId="2" applyFont="1" applyFill="1" applyAlignment="1">
      <alignment vertical="center"/>
    </xf>
    <xf numFmtId="0" fontId="54" fillId="4" borderId="1" xfId="0" applyFont="1" applyFill="1" applyBorder="1" applyAlignment="1">
      <alignment vertical="center"/>
    </xf>
    <xf numFmtId="0" fontId="0" fillId="0" borderId="14" xfId="0" applyBorder="1"/>
    <xf numFmtId="178" fontId="0" fillId="0" borderId="14" xfId="0" applyNumberFormat="1" applyBorder="1"/>
    <xf numFmtId="0" fontId="0" fillId="0" borderId="0" xfId="0" applyFill="1" applyBorder="1"/>
    <xf numFmtId="0" fontId="0" fillId="0" borderId="17" xfId="0" applyFill="1" applyBorder="1"/>
    <xf numFmtId="10" fontId="0" fillId="0" borderId="17" xfId="0" applyNumberFormat="1" applyBorder="1"/>
    <xf numFmtId="0" fontId="2" fillId="4" borderId="1" xfId="2978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heal</v>
          </cell>
          <cell r="L1327" t="str">
            <v>回復タイプ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heal</v>
          </cell>
          <cell r="L1328" t="str">
            <v>回復タイプ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attack</v>
          </cell>
          <cell r="L1331" t="str">
            <v>攻撃タイプ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attack</v>
          </cell>
          <cell r="L1332" t="str">
            <v>攻撃タイプ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green</v>
          </cell>
          <cell r="I1333">
            <v>4</v>
          </cell>
          <cell r="J1333" t="str">
            <v>PremiumS</v>
          </cell>
          <cell r="K1333" t="str">
            <v>heal</v>
          </cell>
          <cell r="L1333" t="str">
            <v>回復タイプ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green</v>
          </cell>
          <cell r="I1334">
            <v>5</v>
          </cell>
          <cell r="J1334" t="str">
            <v>PremiumS</v>
          </cell>
          <cell r="K1334" t="str">
            <v>heal</v>
          </cell>
          <cell r="L1334" t="str">
            <v>回復タイプ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red</v>
          </cell>
          <cell r="I1335">
            <v>5</v>
          </cell>
          <cell r="J1335" t="str">
            <v>PremiumSSw</v>
          </cell>
          <cell r="K1335" t="str">
            <v>hp</v>
          </cell>
          <cell r="L1335" t="str">
            <v>体力タイプ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red</v>
          </cell>
          <cell r="I1336">
            <v>6</v>
          </cell>
          <cell r="J1336" t="str">
            <v>PremiumSSw</v>
          </cell>
          <cell r="K1336" t="str">
            <v>hp</v>
          </cell>
          <cell r="L1336" t="str">
            <v>体力タイプ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1414</v>
          </cell>
          <cell r="B1382" t="str">
            <v>ja</v>
          </cell>
          <cell r="C1382" t="str">
            <v>炎のミリオンダック 7</v>
          </cell>
          <cell r="D1382" t="str">
            <v>未定</v>
          </cell>
          <cell r="E1382" t="str">
            <v>執行者</v>
          </cell>
          <cell r="F1382" t="str">
            <v>格好いい</v>
          </cell>
          <cell r="G1382" t="str">
            <v>不明</v>
          </cell>
          <cell r="H1382" t="str">
            <v>red</v>
          </cell>
          <cell r="I1382">
            <v>6</v>
          </cell>
          <cell r="J1382" t="str">
            <v>Material</v>
          </cell>
          <cell r="K1382" t="str">
            <v>exp</v>
          </cell>
          <cell r="L1382" t="str">
            <v>強化素材タイプ</v>
          </cell>
          <cell r="M1382" t="str">
            <v>unknown</v>
          </cell>
        </row>
        <row r="1383">
          <cell r="A1383">
            <v>1415</v>
          </cell>
          <cell r="B1383" t="str">
            <v>ja</v>
          </cell>
          <cell r="C1383" t="str">
            <v>森のミリオンダック 7</v>
          </cell>
          <cell r="D1383" t="str">
            <v>未定</v>
          </cell>
          <cell r="E1383" t="str">
            <v>執行者</v>
          </cell>
          <cell r="F1383" t="str">
            <v>格好いい</v>
          </cell>
          <cell r="G1383" t="str">
            <v>不明</v>
          </cell>
          <cell r="H1383" t="str">
            <v>green</v>
          </cell>
          <cell r="I1383">
            <v>6</v>
          </cell>
          <cell r="J1383" t="str">
            <v>Material</v>
          </cell>
          <cell r="K1383" t="str">
            <v>exp</v>
          </cell>
          <cell r="L1383" t="str">
            <v>強化素材タイプ</v>
          </cell>
          <cell r="M1383" t="str">
            <v>unknown</v>
          </cell>
        </row>
        <row r="1384">
          <cell r="A1384">
            <v>1416</v>
          </cell>
          <cell r="B1384" t="str">
            <v>ja</v>
          </cell>
          <cell r="C1384" t="str">
            <v>水のミリオンダック 7</v>
          </cell>
          <cell r="D1384" t="str">
            <v>未定</v>
          </cell>
          <cell r="E1384" t="str">
            <v>執行者</v>
          </cell>
          <cell r="F1384" t="str">
            <v>格好いい</v>
          </cell>
          <cell r="G1384" t="str">
            <v>不明</v>
          </cell>
          <cell r="H1384" t="str">
            <v>blue</v>
          </cell>
          <cell r="I1384">
            <v>6</v>
          </cell>
          <cell r="J1384" t="str">
            <v>Material</v>
          </cell>
          <cell r="K1384" t="str">
            <v>exp</v>
          </cell>
          <cell r="L1384" t="str">
            <v>強化素材タイプ</v>
          </cell>
          <cell r="M1384" t="str">
            <v>unknown</v>
          </cell>
        </row>
        <row r="1385">
          <cell r="A1385">
            <v>1417</v>
          </cell>
          <cell r="B1385" t="str">
            <v>ja</v>
          </cell>
          <cell r="C1385" t="str">
            <v>雷のミリオンダック 7</v>
          </cell>
          <cell r="D1385" t="str">
            <v>未定</v>
          </cell>
          <cell r="E1385" t="str">
            <v>執行者</v>
          </cell>
          <cell r="F1385" t="str">
            <v>格好いい</v>
          </cell>
          <cell r="G1385" t="str">
            <v>不明</v>
          </cell>
          <cell r="H1385" t="str">
            <v>yellow</v>
          </cell>
          <cell r="I1385">
            <v>6</v>
          </cell>
          <cell r="J1385" t="str">
            <v>Material</v>
          </cell>
          <cell r="K1385" t="str">
            <v>exp</v>
          </cell>
          <cell r="L1385" t="str">
            <v>強化素材タイプ</v>
          </cell>
          <cell r="M1385" t="str">
            <v>unknown</v>
          </cell>
        </row>
        <row r="1386">
          <cell r="A1386">
            <v>1424</v>
          </cell>
          <cell r="B1386" t="str">
            <v>ja</v>
          </cell>
          <cell r="C1386" t="str">
            <v>夏フロイト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6</v>
          </cell>
          <cell r="J1386" t="str">
            <v>PremiumSSS</v>
          </cell>
          <cell r="K1386" t="str">
            <v>balance</v>
          </cell>
          <cell r="L1386" t="str">
            <v>バランスタイプ</v>
          </cell>
          <cell r="M1386" t="str">
            <v>academia</v>
          </cell>
        </row>
        <row r="1387">
          <cell r="A1387">
            <v>1504</v>
          </cell>
          <cell r="B1387" t="str">
            <v>ja</v>
          </cell>
          <cell r="C1387" t="str">
            <v>ネコ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red</v>
          </cell>
          <cell r="I1387">
            <v>1</v>
          </cell>
          <cell r="J1387" t="str">
            <v>Drop1T</v>
          </cell>
          <cell r="K1387" t="str">
            <v>balance</v>
          </cell>
          <cell r="L1387" t="str">
            <v>バランスタイプ</v>
          </cell>
          <cell r="M1387" t="str">
            <v>unknown</v>
          </cell>
        </row>
        <row r="1388">
          <cell r="A1388">
            <v>1505</v>
          </cell>
          <cell r="B1388" t="str">
            <v>ja</v>
          </cell>
          <cell r="C1388" t="str">
            <v>タンクネコ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1</v>
          </cell>
          <cell r="J1388" t="str">
            <v>Drop1T</v>
          </cell>
          <cell r="K1388" t="str">
            <v>hp</v>
          </cell>
          <cell r="L1388" t="str">
            <v>体力タイプ</v>
          </cell>
          <cell r="M1388" t="str">
            <v>unknown</v>
          </cell>
        </row>
        <row r="1389">
          <cell r="A1389">
            <v>1506</v>
          </cell>
          <cell r="B1389" t="str">
            <v>ja</v>
          </cell>
          <cell r="C1389" t="str">
            <v>バトルネコ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 t="str">
            <v>yellow</v>
          </cell>
          <cell r="I1389">
            <v>2</v>
          </cell>
          <cell r="J1389" t="str">
            <v>Drop1S</v>
          </cell>
          <cell r="K1389" t="str">
            <v>attack</v>
          </cell>
          <cell r="L1389" t="str">
            <v>攻撃タイプ</v>
          </cell>
          <cell r="M1389" t="str">
            <v>unknown</v>
          </cell>
        </row>
        <row r="1390">
          <cell r="A1390">
            <v>1507</v>
          </cell>
          <cell r="B1390" t="str">
            <v>ja</v>
          </cell>
          <cell r="C1390" t="str">
            <v>キモネコ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 t="str">
            <v>blue</v>
          </cell>
          <cell r="I1390">
            <v>3</v>
          </cell>
          <cell r="J1390" t="str">
            <v>Drop2N</v>
          </cell>
          <cell r="K1390" t="str">
            <v>technical</v>
          </cell>
          <cell r="L1390" t="str">
            <v>テクニカルタイプ</v>
          </cell>
          <cell r="M1390" t="str">
            <v>unknown</v>
          </cell>
        </row>
        <row r="1391">
          <cell r="A1391">
            <v>1508</v>
          </cell>
          <cell r="B1391" t="str">
            <v>ja</v>
          </cell>
          <cell r="C1391" t="str">
            <v>ネコノトリ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 t="str">
            <v>red</v>
          </cell>
          <cell r="I1391">
            <v>4</v>
          </cell>
          <cell r="J1391" t="str">
            <v>Drop2N</v>
          </cell>
          <cell r="K1391" t="str">
            <v>balance</v>
          </cell>
          <cell r="L1391" t="str">
            <v>バランスタイプ</v>
          </cell>
          <cell r="M1391" t="str">
            <v>unknown</v>
          </cell>
        </row>
        <row r="1392">
          <cell r="A1392">
            <v>1509</v>
          </cell>
          <cell r="B1392" t="str">
            <v>ja</v>
          </cell>
          <cell r="C1392" t="str">
            <v>巨神ネコ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 t="str">
            <v>green</v>
          </cell>
          <cell r="I1392">
            <v>5</v>
          </cell>
          <cell r="J1392" t="str">
            <v>Drop2N</v>
          </cell>
          <cell r="K1392" t="str">
            <v>hp</v>
          </cell>
          <cell r="L1392" t="str">
            <v>体力タイプ</v>
          </cell>
          <cell r="M1392" t="str">
            <v>god</v>
          </cell>
        </row>
        <row r="1393">
          <cell r="A1393">
            <v>1510</v>
          </cell>
          <cell r="B1393" t="str">
            <v>ja</v>
          </cell>
          <cell r="C1393" t="str">
            <v>ネコヴァルキリー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yellow</v>
          </cell>
          <cell r="I1393">
            <v>4</v>
          </cell>
          <cell r="J1393" t="str">
            <v>DropWizS</v>
          </cell>
          <cell r="K1393" t="str">
            <v>balance</v>
          </cell>
          <cell r="L1393" t="str">
            <v>バランスタイプ</v>
          </cell>
          <cell r="M1393" t="str">
            <v>god</v>
          </cell>
        </row>
        <row r="1394">
          <cell r="A1394">
            <v>1511</v>
          </cell>
          <cell r="B1394" t="str">
            <v>ja</v>
          </cell>
          <cell r="C1394" t="str">
            <v>ネコヴァルキリー・真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yellow</v>
          </cell>
          <cell r="I1394">
            <v>5</v>
          </cell>
          <cell r="J1394" t="str">
            <v>DropWizS</v>
          </cell>
          <cell r="K1394" t="str">
            <v>balance</v>
          </cell>
          <cell r="L1394" t="str">
            <v>バランスタイプ</v>
          </cell>
          <cell r="M1394" t="str">
            <v>god</v>
          </cell>
        </row>
        <row r="1395">
          <cell r="A1395">
            <v>1512</v>
          </cell>
          <cell r="B1395" t="str">
            <v>ja</v>
          </cell>
          <cell r="C1395" t="str">
            <v>ネコヴァルキリー・聖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yellow</v>
          </cell>
          <cell r="I1395">
            <v>6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god</v>
          </cell>
        </row>
        <row r="1396">
          <cell r="A1396">
            <v>1513</v>
          </cell>
          <cell r="B1396" t="str">
            <v>ja</v>
          </cell>
          <cell r="C1396" t="str">
            <v>金ネコ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yellow</v>
          </cell>
          <cell r="I1396">
            <v>4</v>
          </cell>
          <cell r="J1396" t="str">
            <v>Material</v>
          </cell>
          <cell r="K1396" t="str">
            <v>coin</v>
          </cell>
          <cell r="L1396" t="str">
            <v>コインタイプ</v>
          </cell>
          <cell r="M1396" t="str">
            <v>unknown</v>
          </cell>
        </row>
        <row r="1397">
          <cell r="A1397">
            <v>1514</v>
          </cell>
          <cell r="B1397" t="str">
            <v>ja</v>
          </cell>
          <cell r="C1397" t="str">
            <v>金ネコビルダー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Material</v>
          </cell>
          <cell r="K1397" t="str">
            <v>coin</v>
          </cell>
          <cell r="L1397" t="str">
            <v>コインタイプ</v>
          </cell>
          <cell r="M1397" t="str">
            <v>unknown</v>
          </cell>
        </row>
        <row r="1398">
          <cell r="A1398">
            <v>1515</v>
          </cell>
          <cell r="B1398" t="str">
            <v>ja</v>
          </cell>
          <cell r="C1398" t="str">
            <v>メタルネコ（赤）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red</v>
          </cell>
          <cell r="I1398">
            <v>4</v>
          </cell>
          <cell r="J1398" t="str">
            <v>Material</v>
          </cell>
          <cell r="K1398" t="str">
            <v>exp</v>
          </cell>
          <cell r="L1398" t="str">
            <v>強化素材タイプ</v>
          </cell>
          <cell r="M1398" t="str">
            <v>unknown</v>
          </cell>
        </row>
        <row r="1399">
          <cell r="A1399">
            <v>1516</v>
          </cell>
          <cell r="B1399" t="str">
            <v>ja</v>
          </cell>
          <cell r="C1399" t="str">
            <v>メタルネコビルダー（赤）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red</v>
          </cell>
          <cell r="I1399">
            <v>5</v>
          </cell>
          <cell r="J1399" t="str">
            <v>Material</v>
          </cell>
          <cell r="K1399" t="str">
            <v>exp</v>
          </cell>
          <cell r="L1399" t="str">
            <v>強化素材タイプ</v>
          </cell>
          <cell r="M1399" t="str">
            <v>unknown</v>
          </cell>
        </row>
        <row r="1400">
          <cell r="A1400">
            <v>1517</v>
          </cell>
          <cell r="B1400" t="str">
            <v>ja</v>
          </cell>
          <cell r="C1400" t="str">
            <v>メタルネコ（青）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 t="str">
            <v>blue</v>
          </cell>
          <cell r="I1400">
            <v>4</v>
          </cell>
          <cell r="J1400" t="str">
            <v>Material</v>
          </cell>
          <cell r="K1400" t="str">
            <v>exp</v>
          </cell>
          <cell r="L1400" t="str">
            <v>強化素材タイプ</v>
          </cell>
          <cell r="M1400" t="str">
            <v>unknown</v>
          </cell>
        </row>
        <row r="1401">
          <cell r="A1401">
            <v>1518</v>
          </cell>
          <cell r="B1401" t="str">
            <v>ja</v>
          </cell>
          <cell r="C1401" t="str">
            <v>メタルネコビルダー（青）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 t="str">
            <v>blue</v>
          </cell>
          <cell r="I1401">
            <v>5</v>
          </cell>
          <cell r="J1401" t="str">
            <v>Material</v>
          </cell>
          <cell r="K1401" t="str">
            <v>exp</v>
          </cell>
          <cell r="L1401" t="str">
            <v>強化素材タイプ</v>
          </cell>
          <cell r="M1401" t="str">
            <v>unknown</v>
          </cell>
        </row>
        <row r="1402">
          <cell r="A1402">
            <v>1519</v>
          </cell>
          <cell r="B1402" t="str">
            <v>ja</v>
          </cell>
          <cell r="C1402" t="str">
            <v>メタルネコ（緑）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 t="str">
            <v>green</v>
          </cell>
          <cell r="I1402">
            <v>4</v>
          </cell>
          <cell r="J1402" t="str">
            <v>Material</v>
          </cell>
          <cell r="K1402" t="str">
            <v>exp</v>
          </cell>
          <cell r="L1402" t="str">
            <v>強化素材タイプ</v>
          </cell>
          <cell r="M1402" t="str">
            <v>unknown</v>
          </cell>
        </row>
        <row r="1403">
          <cell r="A1403">
            <v>1520</v>
          </cell>
          <cell r="B1403" t="str">
            <v>ja</v>
          </cell>
          <cell r="C1403" t="str">
            <v>メタルネコビルダー（緑）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green</v>
          </cell>
          <cell r="I1403">
            <v>5</v>
          </cell>
          <cell r="J1403" t="str">
            <v>Material</v>
          </cell>
          <cell r="K1403" t="str">
            <v>exp</v>
          </cell>
          <cell r="L1403" t="str">
            <v>強化素材タイプ</v>
          </cell>
          <cell r="M1403" t="str">
            <v>unknown</v>
          </cell>
        </row>
        <row r="1404">
          <cell r="A1404">
            <v>1521</v>
          </cell>
          <cell r="B1404" t="str">
            <v>ja</v>
          </cell>
          <cell r="C1404" t="str">
            <v>メタルネコ（黄）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yellow</v>
          </cell>
          <cell r="I1404">
            <v>4</v>
          </cell>
          <cell r="J1404" t="str">
            <v>Material</v>
          </cell>
          <cell r="K1404" t="str">
            <v>exp</v>
          </cell>
          <cell r="L1404" t="str">
            <v>強化素材タイプ</v>
          </cell>
          <cell r="M1404" t="str">
            <v>unknown</v>
          </cell>
        </row>
        <row r="1405">
          <cell r="A1405">
            <v>1522</v>
          </cell>
          <cell r="B1405" t="str">
            <v>ja</v>
          </cell>
          <cell r="C1405" t="str">
            <v>メタルネコビルダー（黄）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yellow</v>
          </cell>
          <cell r="I1405">
            <v>5</v>
          </cell>
          <cell r="J1405" t="str">
            <v>Material</v>
          </cell>
          <cell r="K1405" t="str">
            <v>exp</v>
          </cell>
          <cell r="L1405" t="str">
            <v>強化素材タイプ</v>
          </cell>
          <cell r="M1405" t="str">
            <v>unknown</v>
          </cell>
        </row>
        <row r="1406">
          <cell r="A1406">
            <v>1523</v>
          </cell>
          <cell r="B1406" t="str">
            <v>ja</v>
          </cell>
          <cell r="C1406" t="str">
            <v>ネコムート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animal</v>
          </cell>
        </row>
        <row r="1407">
          <cell r="A1407">
            <v>1524</v>
          </cell>
          <cell r="B1407" t="str">
            <v>ja</v>
          </cell>
          <cell r="C1407" t="str">
            <v>狂乱のネコムート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blue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animal</v>
          </cell>
        </row>
        <row r="1408">
          <cell r="A1408">
            <v>1525</v>
          </cell>
          <cell r="B1408" t="str">
            <v>ja</v>
          </cell>
          <cell r="C1408" t="str">
            <v>狂乱のネコ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red</v>
          </cell>
          <cell r="I1408">
            <v>5</v>
          </cell>
          <cell r="J1408" t="str">
            <v>DropWizSS</v>
          </cell>
          <cell r="K1408" t="str">
            <v>balance</v>
          </cell>
          <cell r="L1408" t="str">
            <v>バランスタイプ</v>
          </cell>
          <cell r="M1408" t="str">
            <v>animal</v>
          </cell>
        </row>
        <row r="1409">
          <cell r="A1409">
            <v>1526</v>
          </cell>
          <cell r="B1409" t="str">
            <v>ja</v>
          </cell>
          <cell r="C1409" t="str">
            <v>狂乱のネコビルダー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red</v>
          </cell>
          <cell r="I1409">
            <v>6</v>
          </cell>
          <cell r="J1409" t="str">
            <v>DropWizSS</v>
          </cell>
          <cell r="K1409" t="str">
            <v>balance</v>
          </cell>
          <cell r="L1409" t="str">
            <v>バランスタイプ</v>
          </cell>
          <cell r="M1409" t="str">
            <v>animal</v>
          </cell>
        </row>
        <row r="1410">
          <cell r="A1410">
            <v>1527</v>
          </cell>
          <cell r="B1410" t="str">
            <v>ja</v>
          </cell>
          <cell r="C1410" t="str">
            <v>ネコ魔剣士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red</v>
          </cell>
          <cell r="I1410">
            <v>4</v>
          </cell>
          <cell r="J1410" t="str">
            <v>PremiumS</v>
          </cell>
          <cell r="K1410" t="str">
            <v>attack</v>
          </cell>
          <cell r="L1410" t="str">
            <v>攻撃タイプ</v>
          </cell>
          <cell r="M1410" t="str">
            <v>animal</v>
          </cell>
        </row>
        <row r="1411">
          <cell r="A1411">
            <v>1528</v>
          </cell>
          <cell r="B1411" t="str">
            <v>ja</v>
          </cell>
          <cell r="C1411" t="str">
            <v>双剣ネコ魔剣士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red</v>
          </cell>
          <cell r="I1411">
            <v>5</v>
          </cell>
          <cell r="J1411" t="str">
            <v>PremiumS</v>
          </cell>
          <cell r="K1411" t="str">
            <v>attack</v>
          </cell>
          <cell r="L1411" t="str">
            <v>攻撃タイプ</v>
          </cell>
          <cell r="M1411" t="str">
            <v>animal</v>
          </cell>
        </row>
        <row r="1412">
          <cell r="A1412">
            <v>1529</v>
          </cell>
          <cell r="B1412" t="str">
            <v>ja</v>
          </cell>
          <cell r="C1412" t="str">
            <v>ねこ海賊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4</v>
          </cell>
          <cell r="J1412" t="str">
            <v>PremiumS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1530</v>
          </cell>
          <cell r="B1413" t="str">
            <v>ja</v>
          </cell>
          <cell r="C1413" t="str">
            <v>ニャーコック船長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blue</v>
          </cell>
          <cell r="I1413">
            <v>5</v>
          </cell>
          <cell r="J1413" t="str">
            <v>PremiumS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1531</v>
          </cell>
          <cell r="B1414" t="str">
            <v>ja</v>
          </cell>
          <cell r="C1414" t="str">
            <v>ねこジュラ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green</v>
          </cell>
          <cell r="I1414">
            <v>4</v>
          </cell>
          <cell r="J1414" t="str">
            <v>PremiumS</v>
          </cell>
          <cell r="K1414" t="str">
            <v>technical</v>
          </cell>
          <cell r="L1414" t="str">
            <v>テクニカルタイプ</v>
          </cell>
          <cell r="M1414" t="str">
            <v>animal</v>
          </cell>
        </row>
        <row r="1415">
          <cell r="A1415">
            <v>1532</v>
          </cell>
          <cell r="B1415" t="str">
            <v>ja</v>
          </cell>
          <cell r="C1415" t="str">
            <v>ねこジュラシッター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green</v>
          </cell>
          <cell r="I1415">
            <v>5</v>
          </cell>
          <cell r="J1415" t="str">
            <v>PremiumS</v>
          </cell>
          <cell r="K1415" t="str">
            <v>technical</v>
          </cell>
          <cell r="L1415" t="str">
            <v>テクニカルタイプ</v>
          </cell>
          <cell r="M1415" t="str">
            <v>animal</v>
          </cell>
        </row>
        <row r="1416">
          <cell r="A1416">
            <v>1533</v>
          </cell>
          <cell r="B1416" t="str">
            <v>ja</v>
          </cell>
          <cell r="C1416" t="str">
            <v>ネコエステ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yellow</v>
          </cell>
          <cell r="I1416">
            <v>4</v>
          </cell>
          <cell r="J1416" t="str">
            <v>PremiumS</v>
          </cell>
          <cell r="K1416" t="str">
            <v>attack</v>
          </cell>
          <cell r="L1416" t="str">
            <v>攻撃タイプ</v>
          </cell>
          <cell r="M1416" t="str">
            <v>animal</v>
          </cell>
        </row>
        <row r="1417">
          <cell r="A1417">
            <v>1534</v>
          </cell>
          <cell r="B1417" t="str">
            <v>ja</v>
          </cell>
          <cell r="C1417" t="str">
            <v>ネコジェンヌ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yellow</v>
          </cell>
          <cell r="I1417">
            <v>5</v>
          </cell>
          <cell r="J1417" t="str">
            <v>PremiumS</v>
          </cell>
          <cell r="K1417" t="str">
            <v>attack</v>
          </cell>
          <cell r="L1417" t="str">
            <v>攻撃タイプ</v>
          </cell>
          <cell r="M1417" t="str">
            <v>animal</v>
          </cell>
        </row>
        <row r="1418">
          <cell r="A1418">
            <v>1535</v>
          </cell>
          <cell r="B1418" t="str">
            <v>ja</v>
          </cell>
          <cell r="C1418" t="str">
            <v>ねこナース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red</v>
          </cell>
          <cell r="I1418">
            <v>5</v>
          </cell>
          <cell r="J1418" t="str">
            <v>PremiumSS</v>
          </cell>
          <cell r="K1418" t="str">
            <v>technical</v>
          </cell>
          <cell r="L1418" t="str">
            <v>テクニカルタイプ</v>
          </cell>
          <cell r="M1418" t="str">
            <v>god</v>
          </cell>
        </row>
        <row r="1419">
          <cell r="A1419">
            <v>1536</v>
          </cell>
          <cell r="B1419" t="str">
            <v>ja</v>
          </cell>
          <cell r="C1419" t="str">
            <v>ハートフルねこナース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red</v>
          </cell>
          <cell r="I1419">
            <v>6</v>
          </cell>
          <cell r="J1419" t="str">
            <v>PremiumSS</v>
          </cell>
          <cell r="K1419" t="str">
            <v>technical</v>
          </cell>
          <cell r="L1419" t="str">
            <v>テクニカルタイプ</v>
          </cell>
          <cell r="M1419" t="str">
            <v>god</v>
          </cell>
        </row>
        <row r="1420">
          <cell r="A1420">
            <v>1537</v>
          </cell>
          <cell r="B1420" t="str">
            <v>ja</v>
          </cell>
          <cell r="C1420" t="str">
            <v>キャットマンダディ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blue</v>
          </cell>
          <cell r="I1420">
            <v>5</v>
          </cell>
          <cell r="J1420" t="str">
            <v>PremiumSSS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1538</v>
          </cell>
          <cell r="B1421" t="str">
            <v>ja</v>
          </cell>
          <cell r="C1421" t="str">
            <v>キャットマンダーク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blue</v>
          </cell>
          <cell r="I1421">
            <v>6</v>
          </cell>
          <cell r="J1421" t="str">
            <v>PremiumSSS</v>
          </cell>
          <cell r="K1421" t="str">
            <v>balance</v>
          </cell>
          <cell r="L1421" t="str">
            <v>バランスタイプ</v>
          </cell>
          <cell r="M1421" t="str">
            <v>unknown</v>
          </cell>
        </row>
        <row r="1422">
          <cell r="A1422">
            <v>1539</v>
          </cell>
          <cell r="B1422" t="str">
            <v>ja</v>
          </cell>
          <cell r="C1422" t="str">
            <v>雷神のサンディア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attack</v>
          </cell>
          <cell r="L1422" t="str">
            <v>攻撃タイプ</v>
          </cell>
          <cell r="M1422" t="str">
            <v>god</v>
          </cell>
        </row>
        <row r="1423">
          <cell r="A1423">
            <v>1540</v>
          </cell>
          <cell r="B1423" t="str">
            <v>ja</v>
          </cell>
          <cell r="C1423" t="str">
            <v>雷神のサンディアβ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6</v>
          </cell>
          <cell r="J1423" t="str">
            <v>PremiumSS</v>
          </cell>
          <cell r="K1423" t="str">
            <v>attack</v>
          </cell>
          <cell r="L1423" t="str">
            <v>攻撃タイプ</v>
          </cell>
          <cell r="M1423" t="str">
            <v>god</v>
          </cell>
        </row>
        <row r="1424">
          <cell r="A1424">
            <v>1541</v>
          </cell>
          <cell r="B1424" t="str">
            <v>ja</v>
          </cell>
          <cell r="C1424" t="str">
            <v>美女神アフロディーテ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red</v>
          </cell>
          <cell r="I1424">
            <v>5</v>
          </cell>
          <cell r="J1424" t="str">
            <v>PremiumSSS</v>
          </cell>
          <cell r="K1424" t="str">
            <v>technical</v>
          </cell>
          <cell r="L1424" t="str">
            <v>テクニカルタイプ</v>
          </cell>
          <cell r="M1424" t="str">
            <v>god</v>
          </cell>
        </row>
        <row r="1425">
          <cell r="A1425">
            <v>1542</v>
          </cell>
          <cell r="B1425" t="str">
            <v>ja</v>
          </cell>
          <cell r="C1425" t="str">
            <v>メガロディーテ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red</v>
          </cell>
          <cell r="I1425">
            <v>6</v>
          </cell>
          <cell r="J1425" t="str">
            <v>PremiumSSS</v>
          </cell>
          <cell r="K1425" t="str">
            <v>technical</v>
          </cell>
          <cell r="L1425" t="str">
            <v>テクニカルタイプ</v>
          </cell>
          <cell r="M1425" t="str">
            <v>god</v>
          </cell>
        </row>
        <row r="1426">
          <cell r="A1426">
            <v>1543</v>
          </cell>
          <cell r="B1426" t="str">
            <v>ja</v>
          </cell>
          <cell r="C1426" t="str">
            <v>ツルの恩返し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blue</v>
          </cell>
          <cell r="I1426">
            <v>6</v>
          </cell>
          <cell r="J1426" t="str">
            <v>PremiumSSS</v>
          </cell>
          <cell r="K1426" t="str">
            <v>attack</v>
          </cell>
          <cell r="L1426" t="str">
            <v>攻撃タイプ</v>
          </cell>
          <cell r="M1426" t="str">
            <v>academia</v>
          </cell>
        </row>
        <row r="1427">
          <cell r="A1427">
            <v>1544</v>
          </cell>
          <cell r="B1427" t="str">
            <v>ja</v>
          </cell>
          <cell r="C1427" t="str">
            <v>銀河戦士コスモ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blue</v>
          </cell>
          <cell r="I1427">
            <v>6</v>
          </cell>
          <cell r="J1427" t="str">
            <v>PremiumSSS</v>
          </cell>
          <cell r="K1427" t="str">
            <v>attack</v>
          </cell>
          <cell r="L1427" t="str">
            <v>攻撃タイプ</v>
          </cell>
          <cell r="M1427" t="str">
            <v>academia</v>
          </cell>
        </row>
        <row r="1428">
          <cell r="A1428">
            <v>1545</v>
          </cell>
          <cell r="B1428" t="str">
            <v>ja</v>
          </cell>
          <cell r="C1428" t="str">
            <v>ネコルガ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green</v>
          </cell>
          <cell r="I1428">
            <v>5</v>
          </cell>
          <cell r="J1428" t="str">
            <v>PremiumSS</v>
          </cell>
          <cell r="K1428" t="str">
            <v>hp</v>
          </cell>
          <cell r="L1428" t="str">
            <v>体力タイプ</v>
          </cell>
          <cell r="M1428" t="str">
            <v>unknown</v>
          </cell>
        </row>
        <row r="1429">
          <cell r="A1429">
            <v>1546</v>
          </cell>
          <cell r="B1429" t="str">
            <v>ja</v>
          </cell>
          <cell r="C1429" t="str">
            <v>ケセランパサラン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green</v>
          </cell>
          <cell r="I1429">
            <v>6</v>
          </cell>
          <cell r="J1429" t="str">
            <v>PremiumSS</v>
          </cell>
          <cell r="K1429" t="str">
            <v>hp</v>
          </cell>
          <cell r="L1429" t="str">
            <v>体力タイプ</v>
          </cell>
          <cell r="M1429" t="str">
            <v>unknown</v>
          </cell>
        </row>
        <row r="1430">
          <cell r="A1430">
            <v>1547</v>
          </cell>
          <cell r="B1430" t="str">
            <v>ja</v>
          </cell>
          <cell r="C1430" t="str">
            <v>ネコフラワー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green</v>
          </cell>
          <cell r="I1430">
            <v>4</v>
          </cell>
          <cell r="J1430" t="str">
            <v>Drop2N</v>
          </cell>
          <cell r="K1430" t="str">
            <v>hp</v>
          </cell>
          <cell r="L1430" t="str">
            <v>体力タイプ</v>
          </cell>
          <cell r="M1430" t="str">
            <v>animal</v>
          </cell>
        </row>
        <row r="1431">
          <cell r="A1431">
            <v>1548</v>
          </cell>
          <cell r="B1431" t="str">
            <v>ja</v>
          </cell>
          <cell r="C1431" t="str">
            <v>にゃんこ扇風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5</v>
          </cell>
          <cell r="J1431" t="str">
            <v>Drop2N</v>
          </cell>
          <cell r="K1431" t="str">
            <v>hp</v>
          </cell>
          <cell r="L1431" t="str">
            <v>体力タイプ</v>
          </cell>
          <cell r="M1431" t="str">
            <v>animal</v>
          </cell>
        </row>
        <row r="1432">
          <cell r="A1432">
            <v>1549</v>
          </cell>
          <cell r="B1432" t="str">
            <v>ja</v>
          </cell>
          <cell r="C1432" t="str">
            <v>ネコリンゴ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DropWizS</v>
          </cell>
          <cell r="K1432" t="str">
            <v>balance</v>
          </cell>
          <cell r="L1432" t="str">
            <v>バランスタイプ</v>
          </cell>
          <cell r="M1432" t="str">
            <v>unknown</v>
          </cell>
        </row>
        <row r="1433">
          <cell r="A1433">
            <v>1550</v>
          </cell>
          <cell r="B1433" t="str">
            <v>ja</v>
          </cell>
          <cell r="C1433" t="str">
            <v>カオルくん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green</v>
          </cell>
          <cell r="I1433">
            <v>6</v>
          </cell>
          <cell r="J1433" t="str">
            <v>DropWizS</v>
          </cell>
          <cell r="K1433" t="str">
            <v>balance</v>
          </cell>
          <cell r="L1433" t="str">
            <v>バランスタイプ</v>
          </cell>
          <cell r="M1433" t="str">
            <v>unknown</v>
          </cell>
        </row>
        <row r="1434">
          <cell r="A1434">
            <v>5001</v>
          </cell>
          <cell r="B1434" t="str">
            <v>ja</v>
          </cell>
          <cell r="C1434" t="str">
            <v>ガルーダ</v>
          </cell>
          <cell r="D1434" t="str">
            <v>ノーマルクエスト</v>
          </cell>
          <cell r="E1434" t="str">
            <v>QoH</v>
          </cell>
          <cell r="F1434" t="str">
            <v>世界観</v>
          </cell>
          <cell r="G1434" t="str">
            <v>不明</v>
          </cell>
          <cell r="H1434" t="str">
            <v>red</v>
          </cell>
          <cell r="I1434">
            <v>5</v>
          </cell>
          <cell r="J1434" t="str">
            <v>PremiumSSw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5002</v>
          </cell>
          <cell r="B1435" t="str">
            <v>ja</v>
          </cell>
          <cell r="C1435" t="str">
            <v>ガルーダ★６</v>
          </cell>
          <cell r="D1435" t="str">
            <v>ノーマルクエスト</v>
          </cell>
          <cell r="E1435" t="str">
            <v>アバター</v>
          </cell>
          <cell r="F1435" t="str">
            <v>世界観</v>
          </cell>
          <cell r="G1435" t="str">
            <v>男性</v>
          </cell>
          <cell r="H1435" t="str">
            <v>red</v>
          </cell>
          <cell r="I1435">
            <v>6</v>
          </cell>
          <cell r="J1435" t="str">
            <v>PremiumSSw</v>
          </cell>
          <cell r="K1435" t="str">
            <v>attack</v>
          </cell>
          <cell r="L1435" t="str">
            <v>攻撃タイプ</v>
          </cell>
          <cell r="M1435" t="str">
            <v>god</v>
          </cell>
        </row>
        <row r="1436">
          <cell r="A1436">
            <v>5003</v>
          </cell>
          <cell r="B1436" t="str">
            <v>ja</v>
          </cell>
          <cell r="C1436" t="str">
            <v>ナーガ</v>
          </cell>
          <cell r="D1436" t="str">
            <v>リンクガチャ:4神</v>
          </cell>
          <cell r="E1436" t="str">
            <v>守護神</v>
          </cell>
          <cell r="F1436" t="str">
            <v>格好いい</v>
          </cell>
          <cell r="G1436" t="str">
            <v>不明</v>
          </cell>
          <cell r="H1436" t="str">
            <v>green</v>
          </cell>
          <cell r="I1436">
            <v>5</v>
          </cell>
          <cell r="J1436" t="str">
            <v>DropWizS</v>
          </cell>
          <cell r="K1436" t="str">
            <v>technical</v>
          </cell>
          <cell r="L1436" t="str">
            <v>テクニカルタイプ</v>
          </cell>
          <cell r="M1436" t="str">
            <v>animal</v>
          </cell>
        </row>
        <row r="1437">
          <cell r="A1437">
            <v>5004</v>
          </cell>
          <cell r="B1437" t="str">
            <v>ja</v>
          </cell>
          <cell r="C1437" t="str">
            <v>ナーガ★６</v>
          </cell>
          <cell r="D1437" t="str">
            <v>ノーマルクエスト</v>
          </cell>
          <cell r="E1437" t="str">
            <v>アバター</v>
          </cell>
          <cell r="F1437" t="str">
            <v>世界観</v>
          </cell>
          <cell r="G1437" t="str">
            <v>不明</v>
          </cell>
          <cell r="H1437" t="str">
            <v>green</v>
          </cell>
          <cell r="I1437">
            <v>6</v>
          </cell>
          <cell r="J1437" t="str">
            <v>DropWizS</v>
          </cell>
          <cell r="K1437" t="str">
            <v>technical</v>
          </cell>
          <cell r="L1437" t="str">
            <v>テクニカルタイプ</v>
          </cell>
          <cell r="M1437" t="str">
            <v>animal</v>
          </cell>
        </row>
        <row r="1438">
          <cell r="A1438">
            <v>5005</v>
          </cell>
          <cell r="B1438" t="str">
            <v>ja</v>
          </cell>
          <cell r="C1438" t="str">
            <v>カーミラ</v>
          </cell>
          <cell r="D1438" t="str">
            <v>ノーマルクエスト</v>
          </cell>
          <cell r="E1438" t="str">
            <v>QoH</v>
          </cell>
          <cell r="F1438" t="str">
            <v>世界観</v>
          </cell>
          <cell r="G1438" t="str">
            <v>不明</v>
          </cell>
          <cell r="H1438" t="str">
            <v>green</v>
          </cell>
          <cell r="I1438">
            <v>5</v>
          </cell>
          <cell r="J1438" t="str">
            <v>PremiumSSw</v>
          </cell>
          <cell r="K1438" t="str">
            <v>balance</v>
          </cell>
          <cell r="L1438" t="str">
            <v>バランスタイプ</v>
          </cell>
          <cell r="M1438" t="str">
            <v>demon</v>
          </cell>
        </row>
        <row r="1439">
          <cell r="A1439">
            <v>5006</v>
          </cell>
          <cell r="B1439" t="str">
            <v>ja</v>
          </cell>
          <cell r="C1439" t="str">
            <v>カーミラ★６</v>
          </cell>
          <cell r="D1439" t="str">
            <v>ノーマルクエスト</v>
          </cell>
          <cell r="E1439" t="str">
            <v>アバター</v>
          </cell>
          <cell r="F1439" t="str">
            <v>世界観</v>
          </cell>
          <cell r="G1439" t="str">
            <v>男性</v>
          </cell>
          <cell r="H1439" t="str">
            <v>green</v>
          </cell>
          <cell r="I1439">
            <v>6</v>
          </cell>
          <cell r="J1439" t="str">
            <v>PremiumSSw</v>
          </cell>
          <cell r="K1439" t="str">
            <v>balance</v>
          </cell>
          <cell r="L1439" t="str">
            <v>バランスタイプ</v>
          </cell>
          <cell r="M1439" t="str">
            <v>demon</v>
          </cell>
        </row>
        <row r="1440">
          <cell r="A1440">
            <v>5007</v>
          </cell>
          <cell r="B1440" t="str">
            <v>ja</v>
          </cell>
          <cell r="C1440" t="str">
            <v>ヘルシング</v>
          </cell>
          <cell r="D1440" t="str">
            <v>リンクガチャ:4神</v>
          </cell>
          <cell r="E1440" t="str">
            <v>守護神</v>
          </cell>
          <cell r="F1440" t="str">
            <v>格好いい</v>
          </cell>
          <cell r="G1440" t="str">
            <v>不明</v>
          </cell>
          <cell r="H1440" t="str">
            <v>yellow</v>
          </cell>
          <cell r="I1440">
            <v>5</v>
          </cell>
          <cell r="J1440" t="str">
            <v>DropWizS</v>
          </cell>
          <cell r="K1440" t="str">
            <v>attack</v>
          </cell>
          <cell r="L1440" t="str">
            <v>攻撃タイプ</v>
          </cell>
          <cell r="M1440" t="str">
            <v>human</v>
          </cell>
        </row>
        <row r="1441">
          <cell r="A1441">
            <v>5008</v>
          </cell>
          <cell r="B1441" t="str">
            <v>ja</v>
          </cell>
          <cell r="C1441" t="str">
            <v>ヘルシング★６</v>
          </cell>
          <cell r="D1441" t="str">
            <v>ノーマルクエスト</v>
          </cell>
          <cell r="E1441" t="str">
            <v>アバター</v>
          </cell>
          <cell r="F1441" t="str">
            <v>世界観</v>
          </cell>
          <cell r="G1441" t="str">
            <v>不明</v>
          </cell>
          <cell r="H1441" t="str">
            <v>yellow</v>
          </cell>
          <cell r="I1441">
            <v>6</v>
          </cell>
          <cell r="J1441" t="str">
            <v>DropWizS</v>
          </cell>
          <cell r="K1441" t="str">
            <v>attack</v>
          </cell>
          <cell r="L1441" t="str">
            <v>攻撃タイプ</v>
          </cell>
          <cell r="M1441" t="str">
            <v>human</v>
          </cell>
        </row>
        <row r="1442">
          <cell r="A1442">
            <v>6001</v>
          </cell>
          <cell r="B1442" t="str">
            <v>ja</v>
          </cell>
          <cell r="C1442" t="str">
            <v>ジェリー</v>
          </cell>
          <cell r="D1442" t="str">
            <v>ノーマルクエスト</v>
          </cell>
          <cell r="E1442" t="str">
            <v>QoH</v>
          </cell>
          <cell r="F1442" t="str">
            <v>世界観</v>
          </cell>
          <cell r="G1442" t="str">
            <v>不明</v>
          </cell>
          <cell r="H1442" t="str">
            <v>red</v>
          </cell>
          <cell r="I1442">
            <v>1</v>
          </cell>
          <cell r="J1442" t="str">
            <v>Drop1T</v>
          </cell>
          <cell r="K1442" t="str">
            <v>ra</v>
          </cell>
          <cell r="L1442" t="str">
            <v>ラグランジュチャレンジ</v>
          </cell>
          <cell r="M1442" t="str">
            <v>unknown</v>
          </cell>
        </row>
        <row r="1443">
          <cell r="A1443">
            <v>6002</v>
          </cell>
          <cell r="B1443" t="str">
            <v>ja</v>
          </cell>
          <cell r="C1443" t="str">
            <v>ヨシタカ</v>
          </cell>
          <cell r="D1443" t="str">
            <v>ノーマルクエスト</v>
          </cell>
          <cell r="E1443" t="str">
            <v>アバター</v>
          </cell>
          <cell r="F1443" t="str">
            <v>世界観</v>
          </cell>
          <cell r="G1443" t="str">
            <v>男性</v>
          </cell>
          <cell r="H1443" t="str">
            <v>red</v>
          </cell>
          <cell r="I1443">
            <v>2</v>
          </cell>
          <cell r="J1443" t="str">
            <v>Drop1N</v>
          </cell>
          <cell r="K1443" t="str">
            <v>ra</v>
          </cell>
          <cell r="L1443" t="str">
            <v>ラグランジュチャレンジ</v>
          </cell>
          <cell r="M1443" t="str">
            <v>human</v>
          </cell>
        </row>
        <row r="1444">
          <cell r="A1444">
            <v>6003</v>
          </cell>
          <cell r="B1444" t="str">
            <v>ja</v>
          </cell>
          <cell r="C1444" t="str">
            <v>朱雀</v>
          </cell>
          <cell r="D1444" t="str">
            <v>リンクガチャ:4神</v>
          </cell>
          <cell r="E1444" t="str">
            <v>守護神</v>
          </cell>
          <cell r="F1444" t="str">
            <v>格好いい</v>
          </cell>
          <cell r="G1444" t="str">
            <v>不明</v>
          </cell>
          <cell r="H1444" t="str">
            <v>red</v>
          </cell>
          <cell r="I1444">
            <v>3</v>
          </cell>
          <cell r="J1444" t="str">
            <v>Drop2N</v>
          </cell>
          <cell r="K1444" t="str">
            <v>ra</v>
          </cell>
          <cell r="L1444" t="str">
            <v>ラグランジュチャレンジ</v>
          </cell>
          <cell r="M1444" t="str">
            <v>animal</v>
          </cell>
        </row>
        <row r="1445">
          <cell r="A1445">
            <v>6004</v>
          </cell>
          <cell r="B1445" t="str">
            <v>ja</v>
          </cell>
          <cell r="C1445" t="str">
            <v>ブレット</v>
          </cell>
          <cell r="D1445" t="str">
            <v>ノーマルクエスト</v>
          </cell>
          <cell r="E1445" t="str">
            <v>アバター</v>
          </cell>
          <cell r="F1445" t="str">
            <v>世界観</v>
          </cell>
          <cell r="G1445" t="str">
            <v>不明</v>
          </cell>
          <cell r="H1445" t="str">
            <v>red</v>
          </cell>
          <cell r="I1445">
            <v>1</v>
          </cell>
          <cell r="J1445" t="str">
            <v>Drop1W</v>
          </cell>
          <cell r="K1445" t="str">
            <v>ra</v>
          </cell>
          <cell r="L1445" t="str">
            <v>ラグランジュチャレンジ</v>
          </cell>
          <cell r="M1445" t="str">
            <v>animal</v>
          </cell>
        </row>
        <row r="1446">
          <cell r="A1446">
            <v>6005</v>
          </cell>
          <cell r="B1446" t="str">
            <v>ja</v>
          </cell>
          <cell r="C1446" t="str">
            <v>孤神 テティス</v>
          </cell>
          <cell r="D1446" t="str">
            <v>初期ガチャ</v>
          </cell>
          <cell r="E1446" t="str">
            <v>管理者</v>
          </cell>
          <cell r="F1446" t="str">
            <v>美しい</v>
          </cell>
          <cell r="G1446" t="str">
            <v>女性</v>
          </cell>
          <cell r="H1446" t="str">
            <v>blue</v>
          </cell>
          <cell r="I1446">
            <v>4</v>
          </cell>
          <cell r="J1446" t="str">
            <v>PremiumN</v>
          </cell>
          <cell r="K1446" t="str">
            <v>ra</v>
          </cell>
          <cell r="L1446" t="str">
            <v>ラグランジュチャレンジ</v>
          </cell>
          <cell r="M1446" t="str">
            <v>god</v>
          </cell>
        </row>
        <row r="1447">
          <cell r="A1447">
            <v>6006</v>
          </cell>
          <cell r="B1447" t="str">
            <v>ja</v>
          </cell>
          <cell r="C1447" t="str">
            <v>海底の孤高神 テティス</v>
          </cell>
          <cell r="D1447" t="str">
            <v>初期ガチャ</v>
          </cell>
          <cell r="E1447" t="str">
            <v>管理者</v>
          </cell>
          <cell r="F1447" t="str">
            <v>美しい</v>
          </cell>
          <cell r="G1447" t="str">
            <v>女性</v>
          </cell>
          <cell r="H1447" t="str">
            <v>blue</v>
          </cell>
          <cell r="I1447">
            <v>5</v>
          </cell>
          <cell r="J1447" t="str">
            <v>PremiumN</v>
          </cell>
          <cell r="K1447" t="str">
            <v>ra</v>
          </cell>
          <cell r="L1447" t="str">
            <v>ラグランジュチャレンジ</v>
          </cell>
          <cell r="M1447" t="str">
            <v>god</v>
          </cell>
        </row>
        <row r="1448">
          <cell r="A1448">
            <v>6007</v>
          </cell>
          <cell r="B1448" t="str">
            <v>ja</v>
          </cell>
          <cell r="C1448" t="str">
            <v>番犬 ケルベロス</v>
          </cell>
          <cell r="D1448" t="str">
            <v>初期ガチャ</v>
          </cell>
          <cell r="E1448" t="str">
            <v>破界者</v>
          </cell>
          <cell r="F1448" t="str">
            <v>可愛い</v>
          </cell>
          <cell r="G1448" t="str">
            <v>女性</v>
          </cell>
          <cell r="H1448" t="str">
            <v>red</v>
          </cell>
          <cell r="I1448">
            <v>4</v>
          </cell>
          <cell r="J1448" t="str">
            <v>PremiumN</v>
          </cell>
          <cell r="K1448" t="str">
            <v>ra</v>
          </cell>
          <cell r="L1448" t="str">
            <v>ラグランジュチャレンジ</v>
          </cell>
          <cell r="M1448" t="str">
            <v>animal</v>
          </cell>
        </row>
        <row r="1449">
          <cell r="A1449">
            <v>6008</v>
          </cell>
          <cell r="B1449" t="str">
            <v>ja</v>
          </cell>
          <cell r="C1449" t="str">
            <v>焔神 プロメテウス</v>
          </cell>
          <cell r="D1449" t="str">
            <v>初期ガチャ</v>
          </cell>
          <cell r="E1449" t="str">
            <v>管理者</v>
          </cell>
          <cell r="F1449" t="str">
            <v>格好いい</v>
          </cell>
          <cell r="G1449" t="str">
            <v>男性</v>
          </cell>
          <cell r="H1449" t="str">
            <v>red</v>
          </cell>
          <cell r="I1449">
            <v>4</v>
          </cell>
          <cell r="J1449" t="str">
            <v>PremiumN</v>
          </cell>
          <cell r="K1449" t="str">
            <v>ra</v>
          </cell>
          <cell r="L1449" t="str">
            <v>ラグランジュチャレンジ</v>
          </cell>
          <cell r="M1449" t="str">
            <v>god</v>
          </cell>
        </row>
        <row r="1450">
          <cell r="A1450">
            <v>6009</v>
          </cell>
          <cell r="B1450" t="str">
            <v>ja</v>
          </cell>
          <cell r="C1450" t="str">
            <v>超越自我 ラグランジュ</v>
          </cell>
          <cell r="D1450" t="str">
            <v>ガチャ:フィーバーフェス02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PremiumSSS</v>
          </cell>
          <cell r="K1450" t="str">
            <v>ra</v>
          </cell>
          <cell r="L1450" t="str">
            <v>ラグランジュチャレンジ</v>
          </cell>
          <cell r="M1450" t="str">
            <v>human</v>
          </cell>
        </row>
        <row r="1451">
          <cell r="A1451">
            <v>6010</v>
          </cell>
          <cell r="B1451" t="str">
            <v>ja</v>
          </cell>
          <cell r="C1451" t="str">
            <v>超越凌駕 ラグランジュ</v>
          </cell>
          <cell r="D1451" t="str">
            <v>ガチャ:フィーバーフェス02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6</v>
          </cell>
          <cell r="J1451" t="str">
            <v>PremiumSSS</v>
          </cell>
          <cell r="K1451" t="str">
            <v>ra</v>
          </cell>
          <cell r="L1451" t="str">
            <v>ラグランジュチャレンジ</v>
          </cell>
          <cell r="M1451" t="str">
            <v>human</v>
          </cell>
        </row>
        <row r="1452">
          <cell r="A1452">
            <v>6011</v>
          </cell>
          <cell r="B1452" t="str">
            <v>ja</v>
          </cell>
          <cell r="C1452" t="str">
            <v>パトドッグリーダー ポチ</v>
          </cell>
          <cell r="D1452" t="str">
            <v>ガチャ:フィーバーフェス02</v>
          </cell>
          <cell r="E1452" t="str">
            <v>執行者</v>
          </cell>
          <cell r="F1452" t="str">
            <v>格好いい</v>
          </cell>
          <cell r="G1452" t="str">
            <v>男性</v>
          </cell>
          <cell r="H1452" t="str">
            <v>blue</v>
          </cell>
          <cell r="I1452">
            <v>2</v>
          </cell>
          <cell r="J1452" t="str">
            <v>Drop1T</v>
          </cell>
          <cell r="K1452" t="str">
            <v>ra002</v>
          </cell>
          <cell r="L1452" t="str">
            <v>ユークリッドチャレンジ</v>
          </cell>
          <cell r="M1452" t="str">
            <v>unknown</v>
          </cell>
        </row>
        <row r="1453">
          <cell r="A1453">
            <v>6012</v>
          </cell>
          <cell r="B1453" t="str">
            <v>ja</v>
          </cell>
          <cell r="C1453" t="str">
            <v>ミミ</v>
          </cell>
          <cell r="D1453" t="str">
            <v>ガチャ:フィーバーフェス02</v>
          </cell>
          <cell r="E1453" t="str">
            <v>執行者</v>
          </cell>
          <cell r="F1453" t="str">
            <v>格好いい</v>
          </cell>
          <cell r="G1453" t="str">
            <v>男性</v>
          </cell>
          <cell r="H1453" t="str">
            <v>yellow</v>
          </cell>
          <cell r="I1453">
            <v>1</v>
          </cell>
          <cell r="J1453" t="str">
            <v>Drop1W</v>
          </cell>
          <cell r="K1453" t="str">
            <v>ra002</v>
          </cell>
          <cell r="L1453" t="str">
            <v>ユークリッドチャレンジ</v>
          </cell>
          <cell r="M1453" t="str">
            <v>animal</v>
          </cell>
        </row>
        <row r="1454">
          <cell r="A1454">
            <v>6013</v>
          </cell>
          <cell r="B1454" t="str">
            <v>ja</v>
          </cell>
          <cell r="C1454" t="str">
            <v>護衛機人 スケアクロウ</v>
          </cell>
          <cell r="D1454" t="str">
            <v>ガチャ:フィーバーフェス02</v>
          </cell>
          <cell r="E1454" t="str">
            <v>執行者</v>
          </cell>
          <cell r="F1454" t="str">
            <v>格好いい</v>
          </cell>
          <cell r="G1454" t="str">
            <v>男性</v>
          </cell>
          <cell r="H1454" t="str">
            <v>blue</v>
          </cell>
          <cell r="I1454">
            <v>2</v>
          </cell>
          <cell r="J1454" t="str">
            <v>Drop1N</v>
          </cell>
          <cell r="K1454" t="str">
            <v>ra002</v>
          </cell>
          <cell r="L1454" t="str">
            <v>ユークリッドチャレンジ</v>
          </cell>
          <cell r="M1454" t="str">
            <v>machine</v>
          </cell>
        </row>
        <row r="1455">
          <cell r="A1455">
            <v>6014</v>
          </cell>
          <cell r="B1455" t="str">
            <v>ja</v>
          </cell>
          <cell r="C1455" t="str">
            <v>月下の人狼 ローレンス</v>
          </cell>
          <cell r="D1455" t="str">
            <v>ガチャ:フィーバーフェス02</v>
          </cell>
          <cell r="E1455" t="str">
            <v>執行者</v>
          </cell>
          <cell r="F1455" t="str">
            <v>格好いい</v>
          </cell>
          <cell r="G1455" t="str">
            <v>男性</v>
          </cell>
          <cell r="H1455" t="str">
            <v>blue</v>
          </cell>
          <cell r="I1455">
            <v>4</v>
          </cell>
          <cell r="J1455" t="str">
            <v>PremiumW</v>
          </cell>
          <cell r="K1455" t="str">
            <v>ra002</v>
          </cell>
          <cell r="L1455" t="str">
            <v>ユークリッドチャレンジ</v>
          </cell>
          <cell r="M1455" t="str">
            <v>animal</v>
          </cell>
        </row>
        <row r="1456">
          <cell r="A1456">
            <v>6015</v>
          </cell>
          <cell r="B1456" t="str">
            <v>ja</v>
          </cell>
          <cell r="C1456" t="str">
            <v>フレイヤ</v>
          </cell>
          <cell r="D1456" t="str">
            <v>ガチャ:フィーバーフェス02</v>
          </cell>
          <cell r="E1456" t="str">
            <v>執行者</v>
          </cell>
          <cell r="F1456" t="str">
            <v>格好いい</v>
          </cell>
          <cell r="G1456" t="str">
            <v>男性</v>
          </cell>
          <cell r="H1456" t="str">
            <v>blue</v>
          </cell>
          <cell r="I1456">
            <v>4</v>
          </cell>
          <cell r="J1456" t="str">
            <v>PremiumSS</v>
          </cell>
          <cell r="K1456" t="str">
            <v>ra002</v>
          </cell>
          <cell r="L1456" t="str">
            <v>ユークリッドチャレンジ</v>
          </cell>
          <cell r="M1456" t="str">
            <v>animal</v>
          </cell>
        </row>
        <row r="1457">
          <cell r="A1457">
            <v>6016</v>
          </cell>
          <cell r="B1457" t="str">
            <v>ja</v>
          </cell>
          <cell r="C1457" t="str">
            <v>根原論理 ユークリッド</v>
          </cell>
          <cell r="D1457" t="str">
            <v>ガチャ:フィーバーフェス02</v>
          </cell>
          <cell r="E1457" t="str">
            <v>執行者</v>
          </cell>
          <cell r="F1457" t="str">
            <v>格好いい</v>
          </cell>
          <cell r="G1457" t="str">
            <v>男性</v>
          </cell>
          <cell r="H1457" t="str">
            <v>blue</v>
          </cell>
          <cell r="I1457">
            <v>5</v>
          </cell>
          <cell r="J1457" t="str">
            <v>PremiumSSS</v>
          </cell>
          <cell r="K1457" t="str">
            <v>ra002</v>
          </cell>
          <cell r="L1457" t="str">
            <v>ユークリッドチャレンジ</v>
          </cell>
          <cell r="M1457" t="str">
            <v>human</v>
          </cell>
        </row>
        <row r="1458">
          <cell r="A1458">
            <v>6017</v>
          </cell>
          <cell r="B1458" t="str">
            <v>ja</v>
          </cell>
          <cell r="C1458" t="str">
            <v>不朽の極論 ユークリッド</v>
          </cell>
          <cell r="D1458" t="str">
            <v>ガチャ:フィーバーフェス02</v>
          </cell>
          <cell r="E1458" t="str">
            <v>執行者</v>
          </cell>
          <cell r="F1458" t="str">
            <v>格好いい</v>
          </cell>
          <cell r="G1458" t="str">
            <v>男性</v>
          </cell>
          <cell r="H1458" t="str">
            <v>blue</v>
          </cell>
          <cell r="I1458">
            <v>6</v>
          </cell>
          <cell r="J1458" t="str">
            <v>PremiumSSS</v>
          </cell>
          <cell r="K1458" t="str">
            <v>ra002</v>
          </cell>
          <cell r="L1458" t="str">
            <v>ユークリッドチャレンジ</v>
          </cell>
          <cell r="M1458" t="str">
            <v>human</v>
          </cell>
        </row>
        <row r="1459">
          <cell r="A1459">
            <v>6018</v>
          </cell>
          <cell r="B1459" t="str">
            <v>ja</v>
          </cell>
          <cell r="C1459" t="str">
            <v>ハヅル</v>
          </cell>
          <cell r="D1459" t="str">
            <v>ガチャ:フィーバーフェス02</v>
          </cell>
          <cell r="E1459" t="str">
            <v>執行者</v>
          </cell>
          <cell r="F1459" t="str">
            <v>格好いい</v>
          </cell>
          <cell r="G1459" t="str">
            <v>男性</v>
          </cell>
          <cell r="H1459" t="str">
            <v>red</v>
          </cell>
          <cell r="I1459">
            <v>4</v>
          </cell>
          <cell r="J1459" t="str">
            <v>PremiumSS</v>
          </cell>
          <cell r="K1459" t="str">
            <v>ra002</v>
          </cell>
          <cell r="L1459" t="str">
            <v>ユークリッドチャレンジ</v>
          </cell>
          <cell r="M1459" t="str">
            <v>animal</v>
          </cell>
        </row>
        <row r="1460">
          <cell r="A1460">
            <v>6019</v>
          </cell>
          <cell r="B1460" t="str">
            <v>ja</v>
          </cell>
          <cell r="C1460" t="str">
            <v>天織羽鶴 ハヅル</v>
          </cell>
          <cell r="D1460" t="str">
            <v>ガチャ:フィーバーフェス02</v>
          </cell>
          <cell r="E1460" t="str">
            <v>執行者</v>
          </cell>
          <cell r="F1460" t="str">
            <v>格好いい</v>
          </cell>
          <cell r="G1460" t="str">
            <v>男性</v>
          </cell>
          <cell r="H1460" t="str">
            <v>red</v>
          </cell>
          <cell r="I1460">
            <v>5</v>
          </cell>
          <cell r="J1460" t="str">
            <v>PremiumSS</v>
          </cell>
          <cell r="K1460" t="str">
            <v>ra002</v>
          </cell>
          <cell r="L1460" t="str">
            <v>ユークリッドチャレンジ</v>
          </cell>
          <cell r="M1460" t="str">
            <v>animal</v>
          </cell>
        </row>
        <row r="1461">
          <cell r="A1461">
            <v>6020</v>
          </cell>
          <cell r="B1461" t="str">
            <v>ja</v>
          </cell>
          <cell r="C1461" t="str">
            <v>ミズチ</v>
          </cell>
          <cell r="D1461" t="str">
            <v>ガチャ:フィーバーフェス02</v>
          </cell>
          <cell r="E1461" t="str">
            <v>執行者</v>
          </cell>
          <cell r="F1461" t="str">
            <v>格好いい</v>
          </cell>
          <cell r="G1461" t="str">
            <v>男性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ra002</v>
          </cell>
          <cell r="L1461" t="str">
            <v>ユークリッドチャレンジ</v>
          </cell>
          <cell r="M1461" t="str">
            <v>dragon</v>
          </cell>
        </row>
        <row r="1462">
          <cell r="A1462">
            <v>8001</v>
          </cell>
          <cell r="B1462" t="str">
            <v>ja</v>
          </cell>
          <cell r="C1462" t="str">
            <v>媽祖</v>
          </cell>
          <cell r="D1462" t="str">
            <v>イベント:ミクコラボ01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yellow</v>
          </cell>
          <cell r="I1462">
            <v>5</v>
          </cell>
          <cell r="J1462" t="str">
            <v>PremiumSS</v>
          </cell>
          <cell r="K1462" t="str">
            <v>attack</v>
          </cell>
          <cell r="L1462" t="str">
            <v>攻撃タイプ</v>
          </cell>
          <cell r="M1462" t="str">
            <v>god</v>
          </cell>
        </row>
        <row r="1463">
          <cell r="A1463">
            <v>8002</v>
          </cell>
          <cell r="B1463" t="str">
            <v>ja</v>
          </cell>
          <cell r="C1463" t="str">
            <v>宣導する天海妃 媽祖</v>
          </cell>
          <cell r="D1463" t="str">
            <v>イベント:ミクコラボ01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yellow</v>
          </cell>
          <cell r="I1463">
            <v>6</v>
          </cell>
          <cell r="J1463" t="str">
            <v>PremiumSS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8003</v>
          </cell>
          <cell r="B1464" t="str">
            <v>ja</v>
          </cell>
          <cell r="C1464" t="str">
            <v>蛟龍</v>
          </cell>
          <cell r="D1464" t="str">
            <v>イベント:ミクコラボ01</v>
          </cell>
          <cell r="E1464" t="str">
            <v>執行者</v>
          </cell>
          <cell r="F1464" t="str">
            <v>格好いい</v>
          </cell>
          <cell r="G1464" t="str">
            <v>不明</v>
          </cell>
          <cell r="H1464" t="str">
            <v>blue</v>
          </cell>
          <cell r="I1464">
            <v>5</v>
          </cell>
          <cell r="J1464" t="str">
            <v>DropWizS</v>
          </cell>
          <cell r="K1464" t="str">
            <v>hp</v>
          </cell>
          <cell r="L1464" t="str">
            <v>体力タイプ</v>
          </cell>
          <cell r="M1464" t="str">
            <v>dragon</v>
          </cell>
        </row>
        <row r="1465">
          <cell r="A1465">
            <v>8004</v>
          </cell>
          <cell r="B1465" t="str">
            <v>ja</v>
          </cell>
          <cell r="C1465" t="str">
            <v>呼嵐の蒼棲龍 蛟龍</v>
          </cell>
          <cell r="D1465" t="str">
            <v>イベント:ミクコラボ01</v>
          </cell>
          <cell r="E1465" t="str">
            <v>執行者</v>
          </cell>
          <cell r="F1465" t="str">
            <v>格好いい</v>
          </cell>
          <cell r="G1465" t="str">
            <v>不明</v>
          </cell>
          <cell r="H1465" t="str">
            <v>blue</v>
          </cell>
          <cell r="I1465">
            <v>6</v>
          </cell>
          <cell r="J1465" t="str">
            <v>DropWizS</v>
          </cell>
          <cell r="K1465" t="str">
            <v>hp</v>
          </cell>
          <cell r="L1465" t="str">
            <v>体力タイプ</v>
          </cell>
          <cell r="M1465" t="str">
            <v>dragon</v>
          </cell>
        </row>
        <row r="1466">
          <cell r="A1466">
            <v>8005</v>
          </cell>
          <cell r="B1466" t="str">
            <v>ja</v>
          </cell>
          <cell r="C1466" t="str">
            <v>三蔵法師</v>
          </cell>
          <cell r="D1466" t="str">
            <v>イベント:ミクコラボ01</v>
          </cell>
          <cell r="E1466" t="str">
            <v>執行者</v>
          </cell>
          <cell r="F1466" t="str">
            <v>格好いい</v>
          </cell>
          <cell r="G1466" t="str">
            <v>不明</v>
          </cell>
          <cell r="H1466" t="str">
            <v>blue</v>
          </cell>
          <cell r="I1466">
            <v>5</v>
          </cell>
          <cell r="J1466" t="str">
            <v>PremiumSS</v>
          </cell>
          <cell r="K1466" t="str">
            <v>balance</v>
          </cell>
          <cell r="L1466" t="str">
            <v>バランスタイプ</v>
          </cell>
          <cell r="M1466" t="str">
            <v>human</v>
          </cell>
        </row>
        <row r="1467">
          <cell r="A1467">
            <v>8006</v>
          </cell>
          <cell r="B1467" t="str">
            <v>ja</v>
          </cell>
          <cell r="C1467" t="str">
            <v>慈戒の呪封使 三蔵法師</v>
          </cell>
          <cell r="D1467" t="str">
            <v>イベント:ミクコラボ01</v>
          </cell>
          <cell r="E1467" t="str">
            <v>執行者</v>
          </cell>
          <cell r="F1467" t="str">
            <v>格好いい</v>
          </cell>
          <cell r="G1467" t="str">
            <v>不明</v>
          </cell>
          <cell r="H1467" t="str">
            <v>blue</v>
          </cell>
          <cell r="I1467">
            <v>6</v>
          </cell>
          <cell r="J1467" t="str">
            <v>PremiumSS</v>
          </cell>
          <cell r="K1467" t="str">
            <v>balance</v>
          </cell>
          <cell r="L1467" t="str">
            <v>バランスタイプ</v>
          </cell>
          <cell r="M1467" t="str">
            <v>human</v>
          </cell>
        </row>
        <row r="1468">
          <cell r="A1468">
            <v>8007</v>
          </cell>
          <cell r="B1468" t="str">
            <v>ja</v>
          </cell>
          <cell r="C1468" t="str">
            <v>孫悟空</v>
          </cell>
          <cell r="D1468" t="str">
            <v>イベント:ミクコラボ01</v>
          </cell>
          <cell r="E1468" t="str">
            <v>執行者</v>
          </cell>
          <cell r="F1468" t="str">
            <v>格好いい</v>
          </cell>
          <cell r="G1468" t="str">
            <v>不明</v>
          </cell>
          <cell r="H1468" t="str">
            <v>red</v>
          </cell>
          <cell r="I1468">
            <v>5</v>
          </cell>
          <cell r="J1468" t="str">
            <v>DropWizS</v>
          </cell>
          <cell r="K1468" t="str">
            <v>attack</v>
          </cell>
          <cell r="L1468" t="str">
            <v>攻撃タイプ</v>
          </cell>
          <cell r="M1468" t="str">
            <v>animal</v>
          </cell>
        </row>
        <row r="1469">
          <cell r="A1469">
            <v>8008</v>
          </cell>
          <cell r="B1469" t="str">
            <v>ja</v>
          </cell>
          <cell r="C1469" t="str">
            <v>花果の天猿仙人 孫悟空</v>
          </cell>
          <cell r="D1469" t="str">
            <v>イベント:ミクコラボ01</v>
          </cell>
          <cell r="E1469" t="str">
            <v>執行者</v>
          </cell>
          <cell r="F1469" t="str">
            <v>格好いい</v>
          </cell>
          <cell r="G1469" t="str">
            <v>不明</v>
          </cell>
          <cell r="H1469" t="str">
            <v>red</v>
          </cell>
          <cell r="I1469">
            <v>6</v>
          </cell>
          <cell r="J1469" t="str">
            <v>DropWizS</v>
          </cell>
          <cell r="K1469" t="str">
            <v>attack</v>
          </cell>
          <cell r="L1469" t="str">
            <v>攻撃タイプ</v>
          </cell>
          <cell r="M1469" t="str">
            <v>animal</v>
          </cell>
        </row>
        <row r="1470">
          <cell r="A1470">
            <v>8009</v>
          </cell>
          <cell r="B1470" t="str">
            <v>ja</v>
          </cell>
          <cell r="C1470" t="str">
            <v>西王娘娘</v>
          </cell>
          <cell r="D1470" t="str">
            <v>イベント:ミクコラボ01</v>
          </cell>
          <cell r="E1470" t="str">
            <v>執行者</v>
          </cell>
          <cell r="F1470" t="str">
            <v>格好いい</v>
          </cell>
          <cell r="G1470" t="str">
            <v>不明</v>
          </cell>
          <cell r="H1470" t="str">
            <v>green</v>
          </cell>
          <cell r="I1470">
            <v>5</v>
          </cell>
          <cell r="J1470" t="str">
            <v>PremiumSS</v>
          </cell>
          <cell r="K1470" t="str">
            <v>attack</v>
          </cell>
          <cell r="L1470" t="str">
            <v>攻撃タイプ</v>
          </cell>
          <cell r="M1470" t="str">
            <v>god</v>
          </cell>
        </row>
        <row r="1471">
          <cell r="A1471">
            <v>8010</v>
          </cell>
          <cell r="B1471" t="str">
            <v>ja</v>
          </cell>
          <cell r="C1471" t="str">
            <v>極楽瑶池の聖母 西王娘娘</v>
          </cell>
          <cell r="D1471" t="str">
            <v>イベント:ミクコラボ01</v>
          </cell>
          <cell r="E1471" t="str">
            <v>執行者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6</v>
          </cell>
          <cell r="J1471" t="str">
            <v>PremiumSS</v>
          </cell>
          <cell r="K1471" t="str">
            <v>attack</v>
          </cell>
          <cell r="L1471" t="str">
            <v>攻撃タイプ</v>
          </cell>
          <cell r="M1471" t="str">
            <v>god</v>
          </cell>
        </row>
        <row r="1472">
          <cell r="A1472">
            <v>8011</v>
          </cell>
          <cell r="B1472" t="str">
            <v>ja</v>
          </cell>
          <cell r="C1472" t="str">
            <v>月下老人</v>
          </cell>
          <cell r="D1472" t="str">
            <v>イベント:ミクコラボ01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5</v>
          </cell>
          <cell r="J1472" t="str">
            <v>DropWizS</v>
          </cell>
          <cell r="K1472" t="str">
            <v>balance</v>
          </cell>
          <cell r="L1472" t="str">
            <v>バランスタイプ</v>
          </cell>
          <cell r="M1472" t="str">
            <v>god</v>
          </cell>
        </row>
        <row r="1473">
          <cell r="A1473">
            <v>8012</v>
          </cell>
          <cell r="B1473" t="str">
            <v>ja</v>
          </cell>
          <cell r="C1473" t="str">
            <v>破戀斬る縁剣 月下老人</v>
          </cell>
          <cell r="D1473" t="str">
            <v>イベント:ミクコラボ01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DropWizS</v>
          </cell>
          <cell r="K1473" t="str">
            <v>balance</v>
          </cell>
          <cell r="L1473" t="str">
            <v>バランスタイプ</v>
          </cell>
          <cell r="M1473" t="str">
            <v>god</v>
          </cell>
        </row>
        <row r="1474">
          <cell r="A1474">
            <v>8013</v>
          </cell>
          <cell r="B1474" t="str">
            <v>ja</v>
          </cell>
          <cell r="C1474" t="str">
            <v>初音ミクV3</v>
          </cell>
          <cell r="D1474" t="str">
            <v>初音ミクV3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yellow</v>
          </cell>
          <cell r="I1474">
            <v>4</v>
          </cell>
          <cell r="J1474" t="str">
            <v>DropWizS</v>
          </cell>
          <cell r="K1474" t="str">
            <v>balance</v>
          </cell>
          <cell r="L1474" t="str">
            <v>バランスタイプ</v>
          </cell>
          <cell r="M1474" t="str">
            <v>unknown</v>
          </cell>
        </row>
        <row r="1475">
          <cell r="A1475">
            <v>8014</v>
          </cell>
          <cell r="B1475" t="str">
            <v>ja</v>
          </cell>
          <cell r="C1475" t="str">
            <v>初音ミクV3</v>
          </cell>
          <cell r="D1475" t="str">
            <v>初音ミクV3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yellow</v>
          </cell>
          <cell r="I1475">
            <v>5</v>
          </cell>
          <cell r="J1475" t="str">
            <v>DropWizS</v>
          </cell>
          <cell r="K1475" t="str">
            <v>balance</v>
          </cell>
          <cell r="L1475" t="str">
            <v>バランスタイプ</v>
          </cell>
          <cell r="M1475" t="str">
            <v>unknown</v>
          </cell>
        </row>
        <row r="1476">
          <cell r="A1476">
            <v>8015</v>
          </cell>
          <cell r="B1476" t="str">
            <v>ja</v>
          </cell>
          <cell r="C1476" t="str">
            <v>初音ミク・アペンド</v>
          </cell>
          <cell r="D1476" t="str">
            <v>初音ミク・アペンド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green</v>
          </cell>
          <cell r="I1476">
            <v>4</v>
          </cell>
          <cell r="J1476" t="str">
            <v>PremiumSSS</v>
          </cell>
          <cell r="K1476" t="str">
            <v>technical</v>
          </cell>
          <cell r="L1476" t="str">
            <v>テクニカルタイプ</v>
          </cell>
          <cell r="M1476" t="str">
            <v>unknown</v>
          </cell>
        </row>
        <row r="1477">
          <cell r="A1477">
            <v>8016</v>
          </cell>
          <cell r="B1477" t="str">
            <v>ja</v>
          </cell>
          <cell r="C1477" t="str">
            <v>初音ミク・アペンド</v>
          </cell>
          <cell r="D1477" t="str">
            <v>初音ミク・アペンド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green</v>
          </cell>
          <cell r="I1477">
            <v>5</v>
          </cell>
          <cell r="J1477" t="str">
            <v>PremiumSSS</v>
          </cell>
          <cell r="K1477" t="str">
            <v>technical</v>
          </cell>
          <cell r="L1477" t="str">
            <v>テクニカルタイプ</v>
          </cell>
          <cell r="M1477" t="str">
            <v>unknown</v>
          </cell>
        </row>
        <row r="1478">
          <cell r="A1478">
            <v>8017</v>
          </cell>
          <cell r="B1478" t="str">
            <v>ja</v>
          </cell>
          <cell r="C1478" t="str">
            <v>初音ミク</v>
          </cell>
          <cell r="D1478" t="str">
            <v>初音ミク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green</v>
          </cell>
          <cell r="I1478">
            <v>4</v>
          </cell>
          <cell r="J1478" t="str">
            <v>PremiumSSS</v>
          </cell>
          <cell r="K1478" t="str">
            <v>balance</v>
          </cell>
          <cell r="L1478" t="str">
            <v>バランスタイプ</v>
          </cell>
          <cell r="M1478" t="str">
            <v>unknown</v>
          </cell>
        </row>
        <row r="1479">
          <cell r="A1479">
            <v>8018</v>
          </cell>
          <cell r="B1479" t="str">
            <v>ja</v>
          </cell>
          <cell r="C1479" t="str">
            <v>初音ミク</v>
          </cell>
          <cell r="D1479" t="str">
            <v>初音ミク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green</v>
          </cell>
          <cell r="I1479">
            <v>5</v>
          </cell>
          <cell r="J1479" t="str">
            <v>PremiumSSS</v>
          </cell>
          <cell r="K1479" t="str">
            <v>balance</v>
          </cell>
          <cell r="L1479" t="str">
            <v>バランスタイプ</v>
          </cell>
          <cell r="M1479" t="str">
            <v>unknown</v>
          </cell>
        </row>
        <row r="1480">
          <cell r="A1480">
            <v>8019</v>
          </cell>
          <cell r="B1480" t="str">
            <v>ja</v>
          </cell>
          <cell r="C1480" t="str">
            <v>鏡音リン</v>
          </cell>
          <cell r="D1480" t="str">
            <v>鏡音リン</v>
          </cell>
          <cell r="E1480" t="str">
            <v>執行者</v>
          </cell>
          <cell r="F1480" t="str">
            <v>格好いい</v>
          </cell>
          <cell r="G1480" t="str">
            <v>男性</v>
          </cell>
          <cell r="H1480" t="str">
            <v>yellow</v>
          </cell>
          <cell r="I1480">
            <v>4</v>
          </cell>
          <cell r="J1480" t="str">
            <v>PremiumSS</v>
          </cell>
          <cell r="K1480" t="str">
            <v>balance</v>
          </cell>
          <cell r="L1480" t="str">
            <v>バランスタイプ</v>
          </cell>
          <cell r="M1480" t="str">
            <v>unknown</v>
          </cell>
        </row>
        <row r="1481">
          <cell r="A1481">
            <v>8020</v>
          </cell>
          <cell r="B1481" t="str">
            <v>ja</v>
          </cell>
          <cell r="C1481" t="str">
            <v>鏡音リン</v>
          </cell>
          <cell r="D1481" t="str">
            <v>鏡音リン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yellow</v>
          </cell>
          <cell r="I1481">
            <v>5</v>
          </cell>
          <cell r="J1481" t="str">
            <v>PremiumSS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8021</v>
          </cell>
          <cell r="B1482" t="str">
            <v>ja</v>
          </cell>
          <cell r="C1482" t="str">
            <v>鏡音レン</v>
          </cell>
          <cell r="D1482" t="str">
            <v>鏡音レン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yellow</v>
          </cell>
          <cell r="I1482">
            <v>4</v>
          </cell>
          <cell r="J1482" t="str">
            <v>PremiumSS</v>
          </cell>
          <cell r="K1482" t="str">
            <v>heal</v>
          </cell>
          <cell r="L1482" t="str">
            <v>回復タイプ</v>
          </cell>
          <cell r="M1482" t="str">
            <v>unknown</v>
          </cell>
        </row>
        <row r="1483">
          <cell r="A1483">
            <v>8022</v>
          </cell>
          <cell r="B1483" t="str">
            <v>ja</v>
          </cell>
          <cell r="C1483" t="str">
            <v>鏡音レン</v>
          </cell>
          <cell r="D1483" t="str">
            <v>鏡音レン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yellow</v>
          </cell>
          <cell r="I1483">
            <v>5</v>
          </cell>
          <cell r="J1483" t="str">
            <v>PremiumSS</v>
          </cell>
          <cell r="K1483" t="str">
            <v>heal</v>
          </cell>
          <cell r="L1483" t="str">
            <v>回復タイプ</v>
          </cell>
          <cell r="M1483" t="str">
            <v>unknown</v>
          </cell>
        </row>
        <row r="1484">
          <cell r="A1484">
            <v>8023</v>
          </cell>
          <cell r="B1484" t="str">
            <v>ja</v>
          </cell>
          <cell r="C1484" t="str">
            <v>巡音ルカ</v>
          </cell>
          <cell r="D1484" t="str">
            <v>巡音ルカ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red</v>
          </cell>
          <cell r="I1484">
            <v>3</v>
          </cell>
          <cell r="J1484" t="str">
            <v>PremiumS</v>
          </cell>
          <cell r="K1484" t="str">
            <v>attack</v>
          </cell>
          <cell r="L1484" t="str">
            <v>攻撃タイプ</v>
          </cell>
          <cell r="M1484" t="str">
            <v>unknown</v>
          </cell>
        </row>
        <row r="1485">
          <cell r="A1485">
            <v>8024</v>
          </cell>
          <cell r="B1485" t="str">
            <v>ja</v>
          </cell>
          <cell r="C1485" t="str">
            <v>巡音ルカ</v>
          </cell>
          <cell r="D1485" t="str">
            <v>巡音ルカ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4</v>
          </cell>
          <cell r="J1485" t="str">
            <v>PremiumS</v>
          </cell>
          <cell r="K1485" t="str">
            <v>attack</v>
          </cell>
          <cell r="L1485" t="str">
            <v>攻撃タイプ</v>
          </cell>
          <cell r="M1485" t="str">
            <v>unknown</v>
          </cell>
        </row>
        <row r="1486">
          <cell r="A1486">
            <v>8025</v>
          </cell>
          <cell r="B1486" t="str">
            <v>ja</v>
          </cell>
          <cell r="C1486" t="str">
            <v>MEIKO</v>
          </cell>
          <cell r="D1486" t="str">
            <v>MEIKO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red</v>
          </cell>
          <cell r="I1486">
            <v>3</v>
          </cell>
          <cell r="J1486" t="str">
            <v>PremiumS</v>
          </cell>
          <cell r="K1486" t="str">
            <v>hp</v>
          </cell>
          <cell r="L1486" t="str">
            <v>体力タイプ</v>
          </cell>
          <cell r="M1486" t="str">
            <v>unknown</v>
          </cell>
        </row>
        <row r="1487">
          <cell r="A1487">
            <v>8026</v>
          </cell>
          <cell r="B1487" t="str">
            <v>ja</v>
          </cell>
          <cell r="C1487" t="str">
            <v>MEIKO</v>
          </cell>
          <cell r="D1487" t="str">
            <v>MEIKO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red</v>
          </cell>
          <cell r="I1487">
            <v>4</v>
          </cell>
          <cell r="J1487" t="str">
            <v>PremiumS</v>
          </cell>
          <cell r="K1487" t="str">
            <v>hp</v>
          </cell>
          <cell r="L1487" t="str">
            <v>体力タイプ</v>
          </cell>
          <cell r="M1487" t="str">
            <v>unknown</v>
          </cell>
        </row>
        <row r="1488">
          <cell r="A1488">
            <v>8027</v>
          </cell>
          <cell r="B1488" t="str">
            <v>ja</v>
          </cell>
          <cell r="C1488" t="str">
            <v>KAITO</v>
          </cell>
          <cell r="D1488" t="str">
            <v>KAITO</v>
          </cell>
          <cell r="E1488" t="str">
            <v>執行者</v>
          </cell>
          <cell r="F1488" t="str">
            <v>格好いい</v>
          </cell>
          <cell r="G1488" t="str">
            <v>女性</v>
          </cell>
          <cell r="H1488" t="str">
            <v>blue</v>
          </cell>
          <cell r="I1488">
            <v>3</v>
          </cell>
          <cell r="J1488" t="str">
            <v>PremiumS</v>
          </cell>
          <cell r="K1488" t="str">
            <v>technical</v>
          </cell>
          <cell r="L1488" t="str">
            <v>テクニカルタイプ</v>
          </cell>
          <cell r="M1488" t="str">
            <v>unknown</v>
          </cell>
        </row>
        <row r="1489">
          <cell r="A1489">
            <v>8028</v>
          </cell>
          <cell r="B1489" t="str">
            <v>ja</v>
          </cell>
          <cell r="C1489" t="str">
            <v>KAITO</v>
          </cell>
          <cell r="D1489" t="str">
            <v>KAITO</v>
          </cell>
          <cell r="E1489" t="str">
            <v>執行者</v>
          </cell>
          <cell r="F1489" t="str">
            <v>格好いい</v>
          </cell>
          <cell r="G1489" t="str">
            <v>女性</v>
          </cell>
          <cell r="H1489" t="str">
            <v>blue</v>
          </cell>
          <cell r="I1489">
            <v>4</v>
          </cell>
          <cell r="J1489" t="str">
            <v>PremiumS</v>
          </cell>
          <cell r="K1489" t="str">
            <v>technical</v>
          </cell>
          <cell r="L1489" t="str">
            <v>テクニカルタイプ</v>
          </cell>
          <cell r="M1489" t="str">
            <v>unknown</v>
          </cell>
        </row>
        <row r="1490">
          <cell r="A1490">
            <v>8029</v>
          </cell>
          <cell r="B1490" t="str">
            <v>ja</v>
          </cell>
          <cell r="C1490" t="str">
            <v>Expoミク</v>
          </cell>
          <cell r="D1490" t="str">
            <v>Expoミク</v>
          </cell>
          <cell r="E1490" t="str">
            <v>執行者</v>
          </cell>
          <cell r="F1490" t="str">
            <v>格好いい</v>
          </cell>
          <cell r="G1490" t="str">
            <v>女性</v>
          </cell>
          <cell r="H1490" t="str">
            <v>blue</v>
          </cell>
          <cell r="I1490">
            <v>4</v>
          </cell>
          <cell r="J1490" t="str">
            <v>Drop2N</v>
          </cell>
          <cell r="K1490" t="str">
            <v>heal</v>
          </cell>
          <cell r="L1490" t="str">
            <v>回復タイプ</v>
          </cell>
          <cell r="M1490" t="str">
            <v>unknown</v>
          </cell>
        </row>
        <row r="1491">
          <cell r="A1491">
            <v>8030</v>
          </cell>
          <cell r="B1491" t="str">
            <v>ja</v>
          </cell>
          <cell r="C1491" t="str">
            <v>Expoミク</v>
          </cell>
          <cell r="D1491" t="str">
            <v>Expoミク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blue</v>
          </cell>
          <cell r="I1491">
            <v>5</v>
          </cell>
          <cell r="J1491" t="str">
            <v>Drop2N</v>
          </cell>
          <cell r="K1491" t="str">
            <v>heal</v>
          </cell>
          <cell r="L1491" t="str">
            <v>回復タイプ</v>
          </cell>
          <cell r="M1491" t="str">
            <v>unknown</v>
          </cell>
        </row>
        <row r="1492">
          <cell r="A1492">
            <v>8031</v>
          </cell>
          <cell r="B1492" t="str">
            <v>ja</v>
          </cell>
          <cell r="C1492" t="str">
            <v>閻羅王</v>
          </cell>
          <cell r="D1492" t="str">
            <v>Expoミク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red</v>
          </cell>
          <cell r="I1492">
            <v>5</v>
          </cell>
          <cell r="J1492" t="str">
            <v>PremiumSS</v>
          </cell>
          <cell r="K1492" t="str">
            <v>balance</v>
          </cell>
          <cell r="L1492" t="str">
            <v>バランスタイプ</v>
          </cell>
          <cell r="M1492" t="str">
            <v>god</v>
          </cell>
        </row>
        <row r="1493">
          <cell r="A1493">
            <v>8032</v>
          </cell>
          <cell r="B1493" t="str">
            <v>ja</v>
          </cell>
          <cell r="C1493" t="str">
            <v>六道輪廻の絶獄 閻羅王</v>
          </cell>
          <cell r="D1493" t="str">
            <v>Expoミク</v>
          </cell>
          <cell r="E1493" t="str">
            <v>執行者</v>
          </cell>
          <cell r="F1493" t="str">
            <v>格好いい</v>
          </cell>
          <cell r="G1493" t="str">
            <v>女性</v>
          </cell>
          <cell r="H1493" t="str">
            <v>red</v>
          </cell>
          <cell r="I1493">
            <v>6</v>
          </cell>
          <cell r="J1493" t="str">
            <v>PremiumSS</v>
          </cell>
          <cell r="K1493" t="str">
            <v>balance</v>
          </cell>
          <cell r="L1493" t="str">
            <v>バランスタイプ</v>
          </cell>
          <cell r="M1493" t="str">
            <v>god</v>
          </cell>
        </row>
        <row r="1494">
          <cell r="A1494">
            <v>8033</v>
          </cell>
          <cell r="B1494" t="str">
            <v>ja</v>
          </cell>
          <cell r="C1494" t="str">
            <v>牛頭馬面</v>
          </cell>
          <cell r="D1494" t="str">
            <v>Expoミク</v>
          </cell>
          <cell r="E1494" t="str">
            <v>執行者</v>
          </cell>
          <cell r="F1494" t="str">
            <v>格好いい</v>
          </cell>
          <cell r="G1494" t="str">
            <v>女性</v>
          </cell>
          <cell r="H1494" t="str">
            <v>green</v>
          </cell>
          <cell r="I1494">
            <v>5</v>
          </cell>
          <cell r="J1494" t="str">
            <v>DropWizS</v>
          </cell>
          <cell r="K1494" t="str">
            <v>attack</v>
          </cell>
          <cell r="L1494" t="str">
            <v>攻撃タイプ</v>
          </cell>
          <cell r="M1494" t="str">
            <v>god</v>
          </cell>
        </row>
        <row r="1495">
          <cell r="A1495">
            <v>8034</v>
          </cell>
          <cell r="B1495" t="str">
            <v>ja</v>
          </cell>
          <cell r="C1495" t="str">
            <v>冥府狩る魂使 牛頭馬面</v>
          </cell>
          <cell r="D1495" t="str">
            <v>Expoミク</v>
          </cell>
          <cell r="E1495" t="str">
            <v>執行者</v>
          </cell>
          <cell r="F1495" t="str">
            <v>格好いい</v>
          </cell>
          <cell r="G1495" t="str">
            <v>女性</v>
          </cell>
          <cell r="H1495" t="str">
            <v>green</v>
          </cell>
          <cell r="I1495">
            <v>6</v>
          </cell>
          <cell r="J1495" t="str">
            <v>DropWizS</v>
          </cell>
          <cell r="K1495" t="str">
            <v>attack</v>
          </cell>
          <cell r="L1495" t="str">
            <v>攻撃タイプ</v>
          </cell>
          <cell r="M1495" t="str">
            <v>god</v>
          </cell>
        </row>
        <row r="1496">
          <cell r="A1496">
            <v>8035</v>
          </cell>
          <cell r="B1496" t="str">
            <v>ja</v>
          </cell>
          <cell r="C1496" t="str">
            <v>飛衛</v>
          </cell>
          <cell r="D1496" t="str">
            <v>Expoミク</v>
          </cell>
          <cell r="E1496" t="str">
            <v>執行者</v>
          </cell>
          <cell r="F1496" t="str">
            <v>格好いい</v>
          </cell>
          <cell r="G1496" t="str">
            <v>女性</v>
          </cell>
          <cell r="H1496" t="str">
            <v>blue</v>
          </cell>
          <cell r="I1496">
            <v>5</v>
          </cell>
          <cell r="J1496" t="str">
            <v>PremiumSS</v>
          </cell>
          <cell r="K1496" t="str">
            <v>heal</v>
          </cell>
          <cell r="L1496" t="str">
            <v>回復タイプ</v>
          </cell>
          <cell r="M1496" t="str">
            <v>human</v>
          </cell>
        </row>
        <row r="1497">
          <cell r="A1497">
            <v>8036</v>
          </cell>
          <cell r="B1497" t="str">
            <v>ja</v>
          </cell>
          <cell r="C1497" t="str">
            <v>レア６飛衛</v>
          </cell>
          <cell r="D1497" t="str">
            <v>Expoミク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blue</v>
          </cell>
          <cell r="I1497">
            <v>6</v>
          </cell>
          <cell r="J1497" t="str">
            <v>PremiumSS</v>
          </cell>
          <cell r="K1497" t="str">
            <v>heal</v>
          </cell>
          <cell r="L1497" t="str">
            <v>回復タイプ</v>
          </cell>
          <cell r="M1497" t="str">
            <v>human</v>
          </cell>
        </row>
        <row r="1498">
          <cell r="A1498">
            <v>8037</v>
          </cell>
          <cell r="B1498" t="str">
            <v>ja</v>
          </cell>
          <cell r="C1498" t="str">
            <v>紀昌</v>
          </cell>
          <cell r="D1498" t="str">
            <v>Expoミク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red</v>
          </cell>
          <cell r="I1498">
            <v>5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human</v>
          </cell>
        </row>
        <row r="1499">
          <cell r="A1499">
            <v>8038</v>
          </cell>
          <cell r="B1499" t="str">
            <v>ja</v>
          </cell>
          <cell r="C1499" t="str">
            <v>レア６紀昌</v>
          </cell>
          <cell r="D1499" t="str">
            <v>Expoミク</v>
          </cell>
          <cell r="E1499" t="str">
            <v>執行者</v>
          </cell>
          <cell r="F1499" t="str">
            <v>格好いい</v>
          </cell>
          <cell r="G1499" t="str">
            <v>女性</v>
          </cell>
          <cell r="H1499" t="str">
            <v>red</v>
          </cell>
          <cell r="I1499">
            <v>6</v>
          </cell>
          <cell r="J1499" t="str">
            <v>DropWizS</v>
          </cell>
          <cell r="K1499" t="str">
            <v>attack</v>
          </cell>
          <cell r="L1499" t="str">
            <v>攻撃タイプ</v>
          </cell>
          <cell r="M1499" t="str">
            <v>human</v>
          </cell>
        </row>
        <row r="1500">
          <cell r="A1500">
            <v>8039</v>
          </cell>
          <cell r="B1500" t="str">
            <v>ja</v>
          </cell>
          <cell r="C1500" t="str">
            <v>何仙姑</v>
          </cell>
          <cell r="D1500" t="str">
            <v>Expoミク</v>
          </cell>
          <cell r="E1500" t="str">
            <v>執行者</v>
          </cell>
          <cell r="F1500" t="str">
            <v>格好いい</v>
          </cell>
          <cell r="G1500" t="str">
            <v>女性</v>
          </cell>
          <cell r="H1500" t="str">
            <v>yellow</v>
          </cell>
          <cell r="I1500">
            <v>5</v>
          </cell>
          <cell r="J1500" t="str">
            <v>PremiumSSw</v>
          </cell>
          <cell r="K1500" t="str">
            <v>hp</v>
          </cell>
          <cell r="L1500" t="str">
            <v>体力タイプ</v>
          </cell>
          <cell r="M1500" t="str">
            <v>god</v>
          </cell>
        </row>
        <row r="1501">
          <cell r="A1501">
            <v>8040</v>
          </cell>
          <cell r="B1501" t="str">
            <v>ja</v>
          </cell>
          <cell r="C1501" t="str">
            <v>レア６何仙姑</v>
          </cell>
          <cell r="D1501" t="str">
            <v>Expoミク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6</v>
          </cell>
          <cell r="J1501" t="str">
            <v>PremiumSSw</v>
          </cell>
          <cell r="K1501" t="str">
            <v>hp</v>
          </cell>
          <cell r="L1501" t="str">
            <v>体力タイプ</v>
          </cell>
          <cell r="M1501" t="str">
            <v>god</v>
          </cell>
        </row>
        <row r="1502">
          <cell r="A1502">
            <v>8041</v>
          </cell>
          <cell r="B1502" t="str">
            <v>ja</v>
          </cell>
          <cell r="C1502" t="str">
            <v>藍采和</v>
          </cell>
          <cell r="D1502" t="str">
            <v>Expoミク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blue</v>
          </cell>
          <cell r="I1502">
            <v>5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8042</v>
          </cell>
          <cell r="B1503" t="str">
            <v>ja</v>
          </cell>
          <cell r="C1503" t="str">
            <v>レア６藍采和</v>
          </cell>
          <cell r="D1503" t="str">
            <v>Expoミク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blue</v>
          </cell>
          <cell r="I1503">
            <v>6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god</v>
          </cell>
        </row>
        <row r="1504">
          <cell r="A1504">
            <v>8043</v>
          </cell>
          <cell r="B1504" t="str">
            <v>ja</v>
          </cell>
          <cell r="C1504" t="str">
            <v>サンリオキャラ大集合+アザゼル</v>
          </cell>
          <cell r="D1504" t="str">
            <v>サンリオキャラ大集合+アザゼル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green</v>
          </cell>
          <cell r="I1504">
            <v>5</v>
          </cell>
          <cell r="J1504" t="str">
            <v>DropWizS</v>
          </cell>
          <cell r="K1504" t="str">
            <v>technical</v>
          </cell>
          <cell r="L1504" t="str">
            <v>テクニカルタイプ</v>
          </cell>
          <cell r="M1504" t="str">
            <v>ss</v>
          </cell>
        </row>
        <row r="1505">
          <cell r="A1505">
            <v>8044</v>
          </cell>
          <cell r="B1505" t="str">
            <v>ja</v>
          </cell>
          <cell r="C1505" t="str">
            <v>サンリオキャラ大集合+アザゼル</v>
          </cell>
          <cell r="D1505" t="str">
            <v>サンリオキャラ大集合+アザゼル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6</v>
          </cell>
          <cell r="J1505" t="str">
            <v>DropWizS</v>
          </cell>
          <cell r="K1505" t="str">
            <v>technical</v>
          </cell>
          <cell r="L1505" t="str">
            <v>テクニカルタイプ</v>
          </cell>
          <cell r="M1505" t="str">
            <v>ss</v>
          </cell>
        </row>
        <row r="1506">
          <cell r="A1506">
            <v>8045</v>
          </cell>
          <cell r="B1506" t="str">
            <v>ja</v>
          </cell>
          <cell r="C1506" t="str">
            <v>ニムダ_サンリオキャラ混じり</v>
          </cell>
          <cell r="D1506" t="str">
            <v>ニムダ_サンリオキャラ混じり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yellow</v>
          </cell>
          <cell r="I1506">
            <v>4</v>
          </cell>
          <cell r="J1506" t="str">
            <v>Drop2N</v>
          </cell>
          <cell r="K1506" t="str">
            <v>technical</v>
          </cell>
          <cell r="L1506" t="str">
            <v>テクニカルタイプ</v>
          </cell>
          <cell r="M1506" t="str">
            <v>ss</v>
          </cell>
        </row>
        <row r="1507">
          <cell r="A1507">
            <v>8046</v>
          </cell>
          <cell r="B1507" t="str">
            <v>ja</v>
          </cell>
          <cell r="C1507" t="str">
            <v>ニムダ_サンリオキャラ混じり</v>
          </cell>
          <cell r="D1507" t="str">
            <v>ニムダ_サンリオキャラ混じり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Drop2N</v>
          </cell>
          <cell r="K1507" t="str">
            <v>technical</v>
          </cell>
          <cell r="L1507" t="str">
            <v>テクニカルタイプ</v>
          </cell>
          <cell r="M1507" t="str">
            <v>ss</v>
          </cell>
        </row>
        <row r="1508">
          <cell r="A1508">
            <v>8047</v>
          </cell>
          <cell r="B1508" t="str">
            <v>ja</v>
          </cell>
          <cell r="C1508" t="str">
            <v>ハローキティ</v>
          </cell>
          <cell r="D1508" t="str">
            <v>ハローキティ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red</v>
          </cell>
          <cell r="I1508">
            <v>4</v>
          </cell>
          <cell r="J1508" t="str">
            <v>Drop2N</v>
          </cell>
          <cell r="K1508" t="str">
            <v>balance</v>
          </cell>
          <cell r="L1508" t="str">
            <v>バランスタイプ</v>
          </cell>
          <cell r="M1508" t="str">
            <v>ss</v>
          </cell>
        </row>
        <row r="1509">
          <cell r="A1509">
            <v>8048</v>
          </cell>
          <cell r="B1509" t="str">
            <v>ja</v>
          </cell>
          <cell r="C1509" t="str">
            <v>ハローキティ</v>
          </cell>
          <cell r="D1509" t="str">
            <v>ハローキティ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red</v>
          </cell>
          <cell r="I1509">
            <v>5</v>
          </cell>
          <cell r="J1509" t="str">
            <v>Drop2N</v>
          </cell>
          <cell r="K1509" t="str">
            <v>balance</v>
          </cell>
          <cell r="L1509" t="str">
            <v>バランスタイプ</v>
          </cell>
          <cell r="M1509" t="str">
            <v>ss</v>
          </cell>
        </row>
        <row r="1510">
          <cell r="A1510">
            <v>8049</v>
          </cell>
          <cell r="B1510" t="str">
            <v>ja</v>
          </cell>
          <cell r="C1510" t="str">
            <v>KIRIMIちゃん</v>
          </cell>
          <cell r="D1510" t="str">
            <v>KIRIMIちゃん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red</v>
          </cell>
          <cell r="I1510">
            <v>4</v>
          </cell>
          <cell r="J1510" t="str">
            <v>Drop2N</v>
          </cell>
          <cell r="K1510" t="str">
            <v>hp</v>
          </cell>
          <cell r="L1510" t="str">
            <v>体力タイプ</v>
          </cell>
          <cell r="M1510" t="str">
            <v>ss</v>
          </cell>
        </row>
        <row r="1511">
          <cell r="A1511">
            <v>8050</v>
          </cell>
          <cell r="B1511" t="str">
            <v>ja</v>
          </cell>
          <cell r="C1511" t="str">
            <v>KIRIMIちゃん</v>
          </cell>
          <cell r="D1511" t="str">
            <v>KIRIMIちゃん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red</v>
          </cell>
          <cell r="I1511">
            <v>5</v>
          </cell>
          <cell r="J1511" t="str">
            <v>Drop2N</v>
          </cell>
          <cell r="K1511" t="str">
            <v>hp</v>
          </cell>
          <cell r="L1511" t="str">
            <v>体力タイプ</v>
          </cell>
          <cell r="M1511" t="str">
            <v>ss</v>
          </cell>
        </row>
        <row r="1512">
          <cell r="A1512">
            <v>8051</v>
          </cell>
          <cell r="B1512" t="str">
            <v>ja</v>
          </cell>
          <cell r="C1512" t="str">
            <v>ハローキティのリボン</v>
          </cell>
          <cell r="D1512" t="str">
            <v>ハローキティのリボン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red</v>
          </cell>
          <cell r="I1512">
            <v>5</v>
          </cell>
          <cell r="J1512" t="str">
            <v>Drop2N</v>
          </cell>
          <cell r="K1512" t="str">
            <v>evolution</v>
          </cell>
          <cell r="L1512" t="str">
            <v>覚醒素材タイプ</v>
          </cell>
          <cell r="M1512" t="str">
            <v>ss</v>
          </cell>
        </row>
        <row r="1513">
          <cell r="A1513">
            <v>8052</v>
          </cell>
          <cell r="B1513" t="str">
            <v>ja</v>
          </cell>
          <cell r="C1513" t="str">
            <v>ママの作ったアップルパイ</v>
          </cell>
          <cell r="D1513" t="str">
            <v>ママの作ったアップルパイ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4</v>
          </cell>
          <cell r="J1513" t="str">
            <v>Drop2N</v>
          </cell>
          <cell r="K1513" t="str">
            <v>evolution</v>
          </cell>
          <cell r="L1513" t="str">
            <v>覚醒素材タイプ</v>
          </cell>
          <cell r="M1513" t="str">
            <v>ss</v>
          </cell>
        </row>
        <row r="1514">
          <cell r="A1514">
            <v>8053</v>
          </cell>
          <cell r="B1514" t="str">
            <v>ja</v>
          </cell>
          <cell r="C1514" t="str">
            <v>D.R.T.H__キティコスプレ</v>
          </cell>
          <cell r="D1514" t="str">
            <v>D.R.T.H__キティコスプレ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5</v>
          </cell>
          <cell r="J1514" t="str">
            <v>PremiumSS</v>
          </cell>
          <cell r="K1514" t="str">
            <v>balance</v>
          </cell>
          <cell r="L1514" t="str">
            <v>バランスタイプ</v>
          </cell>
          <cell r="M1514" t="str">
            <v>ss</v>
          </cell>
        </row>
        <row r="1515">
          <cell r="A1515">
            <v>8054</v>
          </cell>
          <cell r="B1515" t="str">
            <v>ja</v>
          </cell>
          <cell r="C1515" t="str">
            <v>D.R.T.H__キティコスプレ</v>
          </cell>
          <cell r="D1515" t="str">
            <v>D.R.T.H__キティコスプレ</v>
          </cell>
          <cell r="E1515" t="str">
            <v>執行者</v>
          </cell>
          <cell r="F1515" t="str">
            <v>格好いい</v>
          </cell>
          <cell r="G1515" t="str">
            <v>女性</v>
          </cell>
          <cell r="H1515" t="str">
            <v>red</v>
          </cell>
          <cell r="I1515">
            <v>6</v>
          </cell>
          <cell r="J1515" t="str">
            <v>PremiumSS</v>
          </cell>
          <cell r="K1515" t="str">
            <v>balance</v>
          </cell>
          <cell r="L1515" t="str">
            <v>バランスタイプ</v>
          </cell>
          <cell r="M1515" t="str">
            <v>ss</v>
          </cell>
        </row>
        <row r="1516">
          <cell r="A1516">
            <v>8055</v>
          </cell>
          <cell r="B1516" t="str">
            <v>ja</v>
          </cell>
          <cell r="C1516" t="str">
            <v>マイメロディ</v>
          </cell>
          <cell r="D1516" t="str">
            <v>マイメロディ</v>
          </cell>
          <cell r="E1516" t="str">
            <v>執行者</v>
          </cell>
          <cell r="F1516" t="str">
            <v>格好いい</v>
          </cell>
          <cell r="G1516" t="str">
            <v>女性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attack</v>
          </cell>
          <cell r="L1516" t="str">
            <v>攻撃タイプ</v>
          </cell>
          <cell r="M1516" t="str">
            <v>ss</v>
          </cell>
        </row>
        <row r="1517">
          <cell r="A1517">
            <v>8056</v>
          </cell>
          <cell r="B1517" t="str">
            <v>ja</v>
          </cell>
          <cell r="C1517" t="str">
            <v>マイメロディ</v>
          </cell>
          <cell r="D1517" t="str">
            <v>マイメロディ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red</v>
          </cell>
          <cell r="I1517">
            <v>5</v>
          </cell>
          <cell r="J1517" t="str">
            <v>PremiumS</v>
          </cell>
          <cell r="K1517" t="str">
            <v>attack</v>
          </cell>
          <cell r="L1517" t="str">
            <v>攻撃タイプ</v>
          </cell>
          <cell r="M1517" t="str">
            <v>ss</v>
          </cell>
        </row>
        <row r="1518">
          <cell r="A1518">
            <v>8057</v>
          </cell>
          <cell r="B1518" t="str">
            <v>ja</v>
          </cell>
          <cell r="C1518" t="str">
            <v>ニーベルゲン_シナモロールコスプレ</v>
          </cell>
          <cell r="D1518" t="str">
            <v>ニーベルゲン_シナモロールコスプレ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green</v>
          </cell>
          <cell r="I1518">
            <v>4</v>
          </cell>
          <cell r="J1518" t="str">
            <v>PremiumS</v>
          </cell>
          <cell r="K1518" t="str">
            <v>balance</v>
          </cell>
          <cell r="L1518" t="str">
            <v>バランスタイプ</v>
          </cell>
          <cell r="M1518" t="str">
            <v>ss</v>
          </cell>
        </row>
        <row r="1519">
          <cell r="A1519">
            <v>8058</v>
          </cell>
          <cell r="B1519" t="str">
            <v>ja</v>
          </cell>
          <cell r="C1519" t="str">
            <v>ニーベルゲン_シナモロールコスプレ</v>
          </cell>
          <cell r="D1519" t="str">
            <v>ニーベルゲン_シナモロールコスプレ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green</v>
          </cell>
          <cell r="I1519">
            <v>5</v>
          </cell>
          <cell r="J1519" t="str">
            <v>PremiumS</v>
          </cell>
          <cell r="K1519" t="str">
            <v>balance</v>
          </cell>
          <cell r="L1519" t="str">
            <v>バランスタイプ</v>
          </cell>
          <cell r="M1519" t="str">
            <v>ss</v>
          </cell>
        </row>
        <row r="1520">
          <cell r="A1520">
            <v>8059</v>
          </cell>
          <cell r="B1520" t="str">
            <v>ja</v>
          </cell>
          <cell r="C1520" t="str">
            <v>カカシ_マイメロディコスプレ</v>
          </cell>
          <cell r="D1520" t="str">
            <v>カカシ_マイメロディコスプレ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green</v>
          </cell>
          <cell r="I1520">
            <v>4</v>
          </cell>
          <cell r="J1520" t="str">
            <v>PremiumS</v>
          </cell>
          <cell r="K1520" t="str">
            <v>technical</v>
          </cell>
          <cell r="L1520" t="str">
            <v>テクニカルタイプ</v>
          </cell>
          <cell r="M1520" t="str">
            <v>ss</v>
          </cell>
        </row>
        <row r="1521">
          <cell r="A1521">
            <v>8060</v>
          </cell>
          <cell r="B1521" t="str">
            <v>ja</v>
          </cell>
          <cell r="C1521" t="str">
            <v>カカシ_マイメロディコスプレ</v>
          </cell>
          <cell r="D1521" t="str">
            <v>カカシ_マイメロディコスプレ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green</v>
          </cell>
          <cell r="I1521">
            <v>5</v>
          </cell>
          <cell r="J1521" t="str">
            <v>PremiumS</v>
          </cell>
          <cell r="K1521" t="str">
            <v>technical</v>
          </cell>
          <cell r="L1521" t="str">
            <v>テクニカルタイプ</v>
          </cell>
          <cell r="M1521" t="str">
            <v>ss</v>
          </cell>
        </row>
        <row r="1522">
          <cell r="A1522">
            <v>8061</v>
          </cell>
          <cell r="B1522" t="str">
            <v>ja</v>
          </cell>
          <cell r="C1522" t="str">
            <v>ケロケロけろっぴ</v>
          </cell>
          <cell r="D1522" t="str">
            <v>ケロケロけろっぴ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green</v>
          </cell>
          <cell r="I1522">
            <v>3</v>
          </cell>
          <cell r="J1522" t="str">
            <v>PremiumS</v>
          </cell>
          <cell r="K1522" t="str">
            <v>balance</v>
          </cell>
          <cell r="L1522" t="str">
            <v>バランスタイプ</v>
          </cell>
          <cell r="M1522" t="str">
            <v>ss</v>
          </cell>
        </row>
        <row r="1523">
          <cell r="A1523">
            <v>8062</v>
          </cell>
          <cell r="B1523" t="str">
            <v>ja</v>
          </cell>
          <cell r="C1523" t="str">
            <v>ケロケロけろっぴ</v>
          </cell>
          <cell r="D1523" t="str">
            <v>ケロケロけろっぴ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4</v>
          </cell>
          <cell r="J1523" t="str">
            <v>PremiumS</v>
          </cell>
          <cell r="K1523" t="str">
            <v>balance</v>
          </cell>
          <cell r="L1523" t="str">
            <v>バランスタイプ</v>
          </cell>
          <cell r="M1523" t="str">
            <v>ss</v>
          </cell>
        </row>
        <row r="1524">
          <cell r="A1524">
            <v>8063</v>
          </cell>
          <cell r="B1524" t="str">
            <v>ja</v>
          </cell>
          <cell r="C1524" t="str">
            <v>モルドレッド_ポムポムプリンコスプレ</v>
          </cell>
          <cell r="D1524" t="str">
            <v>モルドレッド_ポムポムプリンコスプレ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5</v>
          </cell>
          <cell r="J1524" t="str">
            <v>PremiumSS</v>
          </cell>
          <cell r="K1524" t="str">
            <v>heal</v>
          </cell>
          <cell r="L1524" t="str">
            <v>回復タイプ</v>
          </cell>
          <cell r="M1524" t="str">
            <v>ss</v>
          </cell>
        </row>
        <row r="1525">
          <cell r="A1525">
            <v>8064</v>
          </cell>
          <cell r="B1525" t="str">
            <v>ja</v>
          </cell>
          <cell r="C1525" t="str">
            <v>モルドレッド_ポムポムプリンコスプレ</v>
          </cell>
          <cell r="D1525" t="str">
            <v>モルドレッド_ポムポムプリンコスプレ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6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ss</v>
          </cell>
        </row>
        <row r="1526">
          <cell r="A1526">
            <v>8065</v>
          </cell>
          <cell r="B1526" t="str">
            <v>ja</v>
          </cell>
          <cell r="C1526" t="str">
            <v>クロミ</v>
          </cell>
          <cell r="D1526" t="str">
            <v>クロミ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3</v>
          </cell>
          <cell r="J1526" t="str">
            <v>PremiumS</v>
          </cell>
          <cell r="K1526" t="str">
            <v>technical</v>
          </cell>
          <cell r="L1526" t="str">
            <v>テクニカルタイプ</v>
          </cell>
          <cell r="M1526" t="str">
            <v>ss</v>
          </cell>
        </row>
        <row r="1527">
          <cell r="A1527">
            <v>8066</v>
          </cell>
          <cell r="B1527" t="str">
            <v>ja</v>
          </cell>
          <cell r="C1527" t="str">
            <v>クロミ</v>
          </cell>
          <cell r="D1527" t="str">
            <v>クロミ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blue</v>
          </cell>
          <cell r="I1527">
            <v>4</v>
          </cell>
          <cell r="J1527" t="str">
            <v>PremiumS</v>
          </cell>
          <cell r="K1527" t="str">
            <v>technical</v>
          </cell>
          <cell r="L1527" t="str">
            <v>テクニカルタイプ</v>
          </cell>
          <cell r="M1527" t="str">
            <v>ss</v>
          </cell>
        </row>
        <row r="1528">
          <cell r="A1528">
            <v>8067</v>
          </cell>
          <cell r="B1528" t="str">
            <v>ja</v>
          </cell>
          <cell r="C1528" t="str">
            <v>バッドばつ丸</v>
          </cell>
          <cell r="D1528" t="str">
            <v>バッドばつ丸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blue</v>
          </cell>
          <cell r="I1528">
            <v>3</v>
          </cell>
          <cell r="J1528" t="str">
            <v>PremiumS</v>
          </cell>
          <cell r="K1528" t="str">
            <v>attack</v>
          </cell>
          <cell r="L1528" t="str">
            <v>攻撃タイプ</v>
          </cell>
          <cell r="M1528" t="str">
            <v>ss</v>
          </cell>
        </row>
        <row r="1529">
          <cell r="A1529">
            <v>8068</v>
          </cell>
          <cell r="B1529" t="str">
            <v>ja</v>
          </cell>
          <cell r="C1529" t="str">
            <v>バッドばつ丸</v>
          </cell>
          <cell r="D1529" t="str">
            <v>バッドばつ丸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blue</v>
          </cell>
          <cell r="I1529">
            <v>4</v>
          </cell>
          <cell r="J1529" t="str">
            <v>PremiumS</v>
          </cell>
          <cell r="K1529" t="str">
            <v>attack</v>
          </cell>
          <cell r="L1529" t="str">
            <v>攻撃タイプ</v>
          </cell>
          <cell r="M1529" t="str">
            <v>ss</v>
          </cell>
        </row>
        <row r="1530">
          <cell r="A1530">
            <v>8069</v>
          </cell>
          <cell r="B1530" t="str">
            <v>ja</v>
          </cell>
          <cell r="C1530" t="str">
            <v>シナモロール</v>
          </cell>
          <cell r="D1530" t="str">
            <v>シナモロール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4</v>
          </cell>
          <cell r="J1530" t="str">
            <v>PremiumS</v>
          </cell>
          <cell r="K1530" t="str">
            <v>heal</v>
          </cell>
          <cell r="L1530" t="str">
            <v>回復タイプ</v>
          </cell>
          <cell r="M1530" t="str">
            <v>ss</v>
          </cell>
        </row>
        <row r="1531">
          <cell r="A1531">
            <v>8070</v>
          </cell>
          <cell r="B1531" t="str">
            <v>ja</v>
          </cell>
          <cell r="C1531" t="str">
            <v>シナモロール</v>
          </cell>
          <cell r="D1531" t="str">
            <v>シナモロール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yellow</v>
          </cell>
          <cell r="I1531">
            <v>5</v>
          </cell>
          <cell r="J1531" t="str">
            <v>PremiumS</v>
          </cell>
          <cell r="K1531" t="str">
            <v>heal</v>
          </cell>
          <cell r="L1531" t="str">
            <v>回復タイプ</v>
          </cell>
          <cell r="M1531" t="str">
            <v>ss</v>
          </cell>
        </row>
        <row r="1532">
          <cell r="A1532">
            <v>8071</v>
          </cell>
          <cell r="B1532" t="str">
            <v>ja</v>
          </cell>
          <cell r="C1532" t="str">
            <v>ポムポムプリン</v>
          </cell>
          <cell r="D1532" t="str">
            <v>ポムポムプリン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yellow</v>
          </cell>
          <cell r="I1532">
            <v>3</v>
          </cell>
          <cell r="J1532" t="str">
            <v>PremiumS</v>
          </cell>
          <cell r="K1532" t="str">
            <v>hp</v>
          </cell>
          <cell r="L1532" t="str">
            <v>体力タイプ</v>
          </cell>
          <cell r="M1532" t="str">
            <v>ss</v>
          </cell>
        </row>
        <row r="1533">
          <cell r="A1533">
            <v>8072</v>
          </cell>
          <cell r="B1533" t="str">
            <v>ja</v>
          </cell>
          <cell r="C1533" t="str">
            <v>ポムポムプリン</v>
          </cell>
          <cell r="D1533" t="str">
            <v>ポムポムプリン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yellow</v>
          </cell>
          <cell r="I1533">
            <v>4</v>
          </cell>
          <cell r="J1533" t="str">
            <v>PremiumS</v>
          </cell>
          <cell r="K1533" t="str">
            <v>hp</v>
          </cell>
          <cell r="L1533" t="str">
            <v>体力タイプ</v>
          </cell>
          <cell r="M1533" t="str">
            <v>ss</v>
          </cell>
        </row>
        <row r="1534">
          <cell r="A1534">
            <v>8073</v>
          </cell>
          <cell r="B1534" t="str">
            <v>ja</v>
          </cell>
          <cell r="C1534" t="str">
            <v>星海祈る天光妃 媽祖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yellow</v>
          </cell>
          <cell r="I1534">
            <v>6</v>
          </cell>
          <cell r="J1534" t="str">
            <v>PremiumSS</v>
          </cell>
          <cell r="K1534" t="str">
            <v>attack</v>
          </cell>
          <cell r="L1534" t="str">
            <v>攻撃タイプ</v>
          </cell>
          <cell r="M1534" t="str">
            <v>human</v>
          </cell>
        </row>
        <row r="1535">
          <cell r="A1535">
            <v>8074</v>
          </cell>
          <cell r="B1535" t="str">
            <v>ja</v>
          </cell>
          <cell r="C1535" t="str">
            <v>海戀の絶龍姫 蛟龍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blue</v>
          </cell>
          <cell r="I1535">
            <v>6</v>
          </cell>
          <cell r="J1535" t="str">
            <v>DropWizS</v>
          </cell>
          <cell r="K1535" t="str">
            <v>hp</v>
          </cell>
          <cell r="L1535" t="str">
            <v>体力タイプ</v>
          </cell>
          <cell r="M1535" t="str">
            <v>dragon</v>
          </cell>
        </row>
        <row r="1536">
          <cell r="A1536">
            <v>8075</v>
          </cell>
          <cell r="B1536" t="str">
            <v>ja</v>
          </cell>
          <cell r="C1536" t="str">
            <v>三蔵法師_超覚醒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blue</v>
          </cell>
          <cell r="I1536">
            <v>6</v>
          </cell>
          <cell r="J1536" t="str">
            <v>PremiumSS</v>
          </cell>
          <cell r="K1536" t="str">
            <v>balance</v>
          </cell>
          <cell r="L1536" t="str">
            <v>バランスタイプ</v>
          </cell>
          <cell r="M1536" t="str">
            <v>god</v>
          </cell>
        </row>
        <row r="1537">
          <cell r="A1537">
            <v>8076</v>
          </cell>
          <cell r="B1537" t="str">
            <v>ja</v>
          </cell>
          <cell r="C1537" t="str">
            <v>孫悟空_超覚醒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6</v>
          </cell>
          <cell r="J1537" t="str">
            <v>DropWizS</v>
          </cell>
          <cell r="K1537" t="str">
            <v>attack</v>
          </cell>
          <cell r="L1537" t="str">
            <v>攻撃タイプ</v>
          </cell>
          <cell r="M1537" t="str">
            <v>unknown</v>
          </cell>
        </row>
        <row r="1538">
          <cell r="A1538">
            <v>8077</v>
          </cell>
          <cell r="B1538" t="str">
            <v>ja</v>
          </cell>
          <cell r="C1538" t="str">
            <v>鄭成功</v>
          </cell>
          <cell r="D1538" t="str">
            <v>ポムポムプリン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5</v>
          </cell>
          <cell r="J1538" t="str">
            <v>PremiumSS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8078</v>
          </cell>
          <cell r="B1539" t="str">
            <v>ja</v>
          </cell>
          <cell r="C1539" t="str">
            <v>レア６鄭成功</v>
          </cell>
          <cell r="D1539" t="str">
            <v>ポムポムプリン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blue</v>
          </cell>
          <cell r="I1539">
            <v>6</v>
          </cell>
          <cell r="J1539" t="str">
            <v>PremiumSS</v>
          </cell>
          <cell r="K1539" t="str">
            <v>attack</v>
          </cell>
          <cell r="L1539" t="str">
            <v>攻撃タイプ</v>
          </cell>
          <cell r="M1539" t="str">
            <v>human</v>
          </cell>
        </row>
        <row r="1540">
          <cell r="A1540">
            <v>8079</v>
          </cell>
          <cell r="B1540" t="str">
            <v>ja</v>
          </cell>
          <cell r="C1540" t="str">
            <v>赤鬼</v>
          </cell>
          <cell r="D1540" t="str">
            <v>ポムポムプリン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DropWizS</v>
          </cell>
          <cell r="K1540" t="str">
            <v>hp</v>
          </cell>
          <cell r="L1540" t="str">
            <v>体力タイプ</v>
          </cell>
          <cell r="M1540" t="str">
            <v>dragon</v>
          </cell>
        </row>
        <row r="1541">
          <cell r="A1541">
            <v>8080</v>
          </cell>
          <cell r="B1541" t="str">
            <v>ja</v>
          </cell>
          <cell r="C1541" t="str">
            <v>レア６赤鬼</v>
          </cell>
          <cell r="D1541" t="str">
            <v>ポムポムプリン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6</v>
          </cell>
          <cell r="J1541" t="str">
            <v>DropWizS</v>
          </cell>
          <cell r="K1541" t="str">
            <v>hp</v>
          </cell>
          <cell r="L1541" t="str">
            <v>体力タイプ</v>
          </cell>
          <cell r="M1541" t="str">
            <v>dragon</v>
          </cell>
        </row>
        <row r="1542">
          <cell r="A1542">
            <v>8081</v>
          </cell>
          <cell r="B1542" t="str">
            <v>ja</v>
          </cell>
          <cell r="C1542" t="str">
            <v>関羽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 t="str">
            <v>green</v>
          </cell>
          <cell r="I1542">
            <v>5</v>
          </cell>
          <cell r="J1542" t="str">
            <v>PremiumSSS</v>
          </cell>
          <cell r="K1542" t="str">
            <v>balance</v>
          </cell>
          <cell r="L1542" t="str">
            <v>バランスタイプ</v>
          </cell>
          <cell r="M1542" t="str">
            <v>samurai</v>
          </cell>
        </row>
        <row r="1543">
          <cell r="A1543">
            <v>8082</v>
          </cell>
          <cell r="B1543" t="str">
            <v>ja</v>
          </cell>
          <cell r="C1543" t="str">
            <v>★６関羽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 t="str">
            <v>green</v>
          </cell>
          <cell r="I1543">
            <v>6</v>
          </cell>
          <cell r="J1543" t="str">
            <v>PremiumSSS</v>
          </cell>
          <cell r="K1543" t="str">
            <v>balance</v>
          </cell>
          <cell r="L1543" t="str">
            <v>バランスタイプ</v>
          </cell>
          <cell r="M1543" t="str">
            <v>samurai</v>
          </cell>
        </row>
        <row r="1544">
          <cell r="A1544">
            <v>8083</v>
          </cell>
          <cell r="B1544" t="str">
            <v>ja</v>
          </cell>
          <cell r="C1544" t="str">
            <v>曹操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 t="str">
            <v>yellow</v>
          </cell>
          <cell r="I1544">
            <v>5</v>
          </cell>
          <cell r="J1544" t="str">
            <v>DropWizSS</v>
          </cell>
          <cell r="K1544" t="str">
            <v>technical</v>
          </cell>
          <cell r="L1544" t="str">
            <v>テクニカルタイプ</v>
          </cell>
          <cell r="M1544" t="str">
            <v>samurai</v>
          </cell>
        </row>
        <row r="1545">
          <cell r="A1545">
            <v>8084</v>
          </cell>
          <cell r="B1545" t="str">
            <v>ja</v>
          </cell>
          <cell r="C1545" t="str">
            <v>★６曹操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 t="str">
            <v>yellow</v>
          </cell>
          <cell r="I1545">
            <v>6</v>
          </cell>
          <cell r="J1545" t="str">
            <v>DropWizSS</v>
          </cell>
          <cell r="K1545" t="str">
            <v>technical</v>
          </cell>
          <cell r="L1545" t="str">
            <v>テクニカルタイプ</v>
          </cell>
          <cell r="M1545" t="str">
            <v>samurai</v>
          </cell>
        </row>
        <row r="1546">
          <cell r="A1546">
            <v>8087</v>
          </cell>
          <cell r="B1546" t="str">
            <v>ja</v>
          </cell>
          <cell r="C1546" t="str">
            <v>財神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 t="str">
            <v>red</v>
          </cell>
          <cell r="I1546">
            <v>5</v>
          </cell>
          <cell r="J1546" t="str">
            <v>PremiumSSS</v>
          </cell>
          <cell r="K1546" t="str">
            <v>technical</v>
          </cell>
          <cell r="L1546" t="str">
            <v>テクニカルタイプ</v>
          </cell>
          <cell r="M1546" t="str">
            <v>god</v>
          </cell>
        </row>
        <row r="1547">
          <cell r="A1547">
            <v>8088</v>
          </cell>
          <cell r="B1547" t="str">
            <v>ja</v>
          </cell>
          <cell r="C1547" t="str">
            <v>★６財神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 t="str">
            <v>red</v>
          </cell>
          <cell r="I1547">
            <v>6</v>
          </cell>
          <cell r="J1547" t="str">
            <v>PremiumSSS</v>
          </cell>
          <cell r="K1547" t="str">
            <v>technical</v>
          </cell>
          <cell r="L1547" t="str">
            <v>テクニカルタイプ</v>
          </cell>
          <cell r="M1547" t="str">
            <v>god</v>
          </cell>
        </row>
        <row r="1548">
          <cell r="A1548">
            <v>8089</v>
          </cell>
          <cell r="B1548" t="str">
            <v>ja</v>
          </cell>
          <cell r="C1548" t="str">
            <v>年獣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 t="str">
            <v>green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animal</v>
          </cell>
        </row>
        <row r="1549">
          <cell r="A1549">
            <v>8090</v>
          </cell>
          <cell r="B1549" t="str">
            <v>ja</v>
          </cell>
          <cell r="C1549" t="str">
            <v>★６年獣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 t="str">
            <v>green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animal</v>
          </cell>
        </row>
        <row r="1550">
          <cell r="A1550">
            <v>8095</v>
          </cell>
          <cell r="B1550" t="str">
            <v>ja</v>
          </cell>
          <cell r="C1550" t="str">
            <v>バハムートダック赤</v>
          </cell>
          <cell r="D1550" t="str">
            <v>ポムポムプリン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Material</v>
          </cell>
          <cell r="K1550" t="str">
            <v>exp</v>
          </cell>
          <cell r="L1550" t="str">
            <v>強化素材タイプ</v>
          </cell>
          <cell r="M1550" t="str">
            <v>unknown</v>
          </cell>
        </row>
        <row r="1551">
          <cell r="A1551">
            <v>8096</v>
          </cell>
          <cell r="B1551" t="str">
            <v>ja</v>
          </cell>
          <cell r="C1551" t="str">
            <v>バハムートダック緑</v>
          </cell>
          <cell r="D1551" t="str">
            <v>ポムポムプリン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6</v>
          </cell>
          <cell r="J1551" t="str">
            <v>Material</v>
          </cell>
          <cell r="K1551" t="str">
            <v>exp</v>
          </cell>
          <cell r="L1551" t="str">
            <v>強化素材タイプ</v>
          </cell>
          <cell r="M1551" t="str">
            <v>unknown</v>
          </cell>
        </row>
        <row r="1552">
          <cell r="A1552">
            <v>8097</v>
          </cell>
          <cell r="B1552" t="str">
            <v>ja</v>
          </cell>
          <cell r="C1552" t="str">
            <v>バハムートダック青</v>
          </cell>
          <cell r="D1552" t="str">
            <v>ポムポムプリン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blue</v>
          </cell>
          <cell r="I1552">
            <v>6</v>
          </cell>
          <cell r="J1552" t="str">
            <v>Material</v>
          </cell>
          <cell r="K1552" t="str">
            <v>exp</v>
          </cell>
          <cell r="L1552" t="str">
            <v>強化素材タイプ</v>
          </cell>
          <cell r="M1552" t="str">
            <v>unknown</v>
          </cell>
        </row>
        <row r="1553">
          <cell r="A1553">
            <v>8098</v>
          </cell>
          <cell r="B1553" t="str">
            <v>ja</v>
          </cell>
          <cell r="C1553" t="str">
            <v>バハムートダック黄</v>
          </cell>
          <cell r="D1553" t="str">
            <v>ポムポムプリン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yellow</v>
          </cell>
          <cell r="I1553">
            <v>6</v>
          </cell>
          <cell r="J1553" t="str">
            <v>Material</v>
          </cell>
          <cell r="K1553" t="str">
            <v>exp</v>
          </cell>
          <cell r="L1553" t="str">
            <v>強化素材タイプ</v>
          </cell>
          <cell r="M1553" t="str">
            <v>unknown</v>
          </cell>
        </row>
        <row r="1554">
          <cell r="A1554">
            <v>8099</v>
          </cell>
          <cell r="B1554" t="str">
            <v>ja</v>
          </cell>
          <cell r="C1554" t="str">
            <v>リトルハンプティ</v>
          </cell>
          <cell r="D1554" t="str">
            <v>各属性相性良3・黄・R455</v>
          </cell>
          <cell r="E1554" t="str">
            <v>執行者</v>
          </cell>
          <cell r="F1554" t="str">
            <v>格好いい</v>
          </cell>
          <cell r="G1554" t="str">
            <v>男性</v>
          </cell>
          <cell r="H1554" t="str">
            <v>green</v>
          </cell>
          <cell r="I1554">
            <v>6</v>
          </cell>
          <cell r="J1554" t="str">
            <v>Material</v>
          </cell>
          <cell r="K1554" t="str">
            <v>evolution</v>
          </cell>
          <cell r="L1554" t="str">
            <v>覚醒素材タイプ</v>
          </cell>
          <cell r="M155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5" sqref="C15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14" sqref="F1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9" t="s">
        <v>246</v>
      </c>
      <c r="B2" s="61" t="s">
        <v>110</v>
      </c>
      <c r="C2" s="50" t="str">
        <f t="shared" ref="C2" si="0">RIGHT(F2,6)</f>
        <v>522100</v>
      </c>
      <c r="D2" s="19" t="s">
        <v>45</v>
      </c>
      <c r="E2" s="17" t="str">
        <f t="shared" ref="E2" si="1">B2&amp;C2&amp;D2</f>
        <v>gacha_select_tables_522100.tmp</v>
      </c>
      <c r="F2" s="105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0" t="s">
        <v>246</v>
      </c>
      <c r="B3" s="61" t="s">
        <v>110</v>
      </c>
      <c r="C3" s="50" t="str">
        <f t="shared" ref="C3:C7" si="2">RIGHT(F3,6)</f>
        <v>522010</v>
      </c>
      <c r="D3" s="19" t="s">
        <v>45</v>
      </c>
      <c r="E3" s="17" t="str">
        <f t="shared" ref="E3:E10" si="3">B3&amp;C3&amp;D3</f>
        <v>gacha_select_tables_522010.tmp</v>
      </c>
      <c r="F3" s="105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3" t="s">
        <v>247</v>
      </c>
      <c r="C4" s="94" t="str">
        <f t="shared" si="2"/>
        <v>522105</v>
      </c>
      <c r="D4" s="19" t="s">
        <v>248</v>
      </c>
      <c r="E4" s="17" t="str">
        <f t="shared" si="3"/>
        <v>gacha_settle_tables_522105.tmp</v>
      </c>
      <c r="F4" s="105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8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8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8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B19" sqref="B19:B21"/>
    </sheetView>
  </sheetViews>
  <sheetFormatPr baseColWidth="12" defaultRowHeight="14" x14ac:dyDescent="0.15"/>
  <cols>
    <col min="1" max="2" width="24.19921875" bestFit="1" customWidth="1"/>
    <col min="17" max="17" width="16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7">
        <v>1352</v>
      </c>
      <c r="M3" s="37" t="str">
        <f>VLOOKUP(L3,[1]characters!$A:$C,3,FALSE)</f>
        <v>トウカ</v>
      </c>
      <c r="N3" s="63">
        <v>1.2999999999999999E-2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VLOOKUP(L3,tables_522010!B:C,2,FALSE)</f>
        <v>PremiumSS5R5only</v>
      </c>
      <c r="R3" s="62">
        <f t="shared" ref="R3:R20" si="1">N3*A$37</f>
        <v>1704300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7">
        <v>1355</v>
      </c>
      <c r="M4" s="37" t="str">
        <f>VLOOKUP(L4,[1]characters!$A:$C,3,FALSE)</f>
        <v>恋する燦天使 メタトロン・エモ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VLOOKUP(L4,tables_522010!B:C,2,FALSE)</f>
        <v>PremiumSS6R5only</v>
      </c>
      <c r="R4" s="62">
        <f t="shared" si="1"/>
        <v>2622000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1-SUM(B6:B8)</f>
        <v>0.44999999999999996</v>
      </c>
      <c r="D5" t="s">
        <v>201</v>
      </c>
      <c r="E5" s="43">
        <f>(B11-H5)/(F5-I5)</f>
        <v>7.2463768115942019E-4</v>
      </c>
      <c r="F5">
        <f>COUNTIF(tables_522010!C:C,input_522010!A28)+COUNTIF(tables_522010!C:C,input_522010!A29)+COUNTIF(input_522010!Q:Q,input_522010!A30)-COUNTIF(input_522010!Q:Q,input_522010!A28)</f>
        <v>72</v>
      </c>
      <c r="H5" s="84">
        <v>5.2999999999999999E-2</v>
      </c>
      <c r="I5" s="31">
        <v>3</v>
      </c>
      <c r="L5" s="97">
        <v>1356</v>
      </c>
      <c r="M5" s="37" t="str">
        <f>VLOOKUP(L5,[1]characters!$A:$C,3,FALSE)</f>
        <v>恋狐の甘味振舞 タマモ</v>
      </c>
      <c r="N5" s="63">
        <v>0.05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VLOOKUP(L5,tables_522010!B:C,2,FALSE)</f>
        <v>Premium5R3less</v>
      </c>
      <c r="R5" s="62">
        <f t="shared" si="1"/>
        <v>6555000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7.8631578947368427E-3</v>
      </c>
      <c r="F6">
        <f>(COUNTIF(tables_522010!C:C,input_522010!A25)+COUNTIF(tables_522010!C:C,input_522010!A18)+COUNTIF(tables_522010!C:C,input_522010!A20)+COUNTIF(tables_522010!C:C,input_522010!A22))+COUNTIF(Q:Q,A23)</f>
        <v>98</v>
      </c>
      <c r="H6" s="84">
        <v>0.15</v>
      </c>
      <c r="I6" s="31">
        <v>3</v>
      </c>
      <c r="L6" s="97">
        <v>1357</v>
      </c>
      <c r="M6" s="37" t="str">
        <f>VLOOKUP(L6,[1]characters!$A:$C,3,FALSE)</f>
        <v>甘美なる想導司書 アズラエル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VLOOKUP(L6,tables_522010!B:C,2,FALSE)</f>
        <v>Premium5R3less</v>
      </c>
      <c r="R6" s="62">
        <f t="shared" si="1"/>
        <v>6555000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100" t="s">
        <v>70</v>
      </c>
      <c r="B7" s="101">
        <v>0.05</v>
      </c>
      <c r="L7" s="97">
        <v>1358</v>
      </c>
      <c r="M7" s="37" t="str">
        <f>VLOOKUP(L7,[1]characters!$A:$C,3,FALSE)</f>
        <v>暴走する恋激火 バハムート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VLOOKUP(L7,tables_522010!B:C,2,FALSE)</f>
        <v>Premium5R3less</v>
      </c>
      <c r="R7" s="62">
        <f t="shared" si="1"/>
        <v>6555000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103"/>
      <c r="B8" s="104"/>
      <c r="E8" s="76"/>
      <c r="L8" s="97">
        <v>1363</v>
      </c>
      <c r="M8" s="37" t="str">
        <f>VLOOKUP(L8,[1]characters!$A:$C,3,FALSE)</f>
        <v>聖白の夢菓子 ヴァニレ</v>
      </c>
      <c r="N8" s="63">
        <v>0.02</v>
      </c>
      <c r="O8" s="37">
        <f>VLOOKUP(L8,[1]characters!$A:$I,9,FALSE)</f>
        <v>6</v>
      </c>
      <c r="P8" s="37" t="str">
        <f>VLOOKUP(L8,[1]characters!$A:$J,10,FALSE)</f>
        <v>PremiumSS</v>
      </c>
      <c r="Q8" s="37" t="str">
        <f>VLOOKUP(L8,tables_522010!B:C,2,FALSE)</f>
        <v>PremiumSS6R5only</v>
      </c>
      <c r="R8" s="62">
        <f t="shared" si="1"/>
        <v>2622000</v>
      </c>
      <c r="S8">
        <v>598</v>
      </c>
      <c r="U8" s="33" t="s">
        <v>197</v>
      </c>
      <c r="V8" s="54">
        <f t="shared" si="0"/>
        <v>0.15000000000000002</v>
      </c>
    </row>
    <row r="9" spans="1:22" x14ac:dyDescent="0.15">
      <c r="A9" s="35" t="s">
        <v>54</v>
      </c>
      <c r="B9" s="35"/>
      <c r="L9" s="1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0.89700000000000002</v>
      </c>
      <c r="L10" s="1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0.10299999999999999</v>
      </c>
      <c r="L11" s="1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1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L13" s="1"/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L14" s="1"/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1.2999999999999999E-2</v>
      </c>
    </row>
    <row r="15" spans="1:22" x14ac:dyDescent="0.15">
      <c r="A15" s="36" t="s">
        <v>57</v>
      </c>
      <c r="B15" s="36"/>
      <c r="C15" t="s">
        <v>83</v>
      </c>
      <c r="L15" s="98"/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E17*E6-B18</f>
        <v>7.0768421052631578E-2</v>
      </c>
      <c r="C17" s="85">
        <f t="shared" ref="C17:C32" si="2">SUMIF(Q:Q,A17,N:N)</f>
        <v>0</v>
      </c>
      <c r="D17" s="74">
        <f t="shared" ref="D17:D33" si="3">B17-C17</f>
        <v>7.0768421052631578E-2</v>
      </c>
      <c r="E17">
        <f>COUNTIF(tables_522010!C:C,input_522010!A17)-COUNTIF(Q:Q,A17)</f>
        <v>20</v>
      </c>
      <c r="F17" s="43">
        <f>IFERROR(B17/E17,0)</f>
        <v>3.5384210526315787E-3</v>
      </c>
      <c r="G17">
        <f t="shared" ref="G17:G32" si="4">A$37*B17</f>
        <v>9277740</v>
      </c>
      <c r="H17">
        <f t="shared" ref="H17:H32" si="5">IFERROR(ROUND(G17/E17,5),0)</f>
        <v>463887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E18*E6*SUM(B6:B7)</f>
        <v>8.6494736842105277E-2</v>
      </c>
      <c r="C18" s="85">
        <f t="shared" si="2"/>
        <v>0</v>
      </c>
      <c r="D18" s="74">
        <f t="shared" si="3"/>
        <v>8.6494736842105277E-2</v>
      </c>
      <c r="E18">
        <f>COUNTIF(tables_522010!C:C,input_522010!A18)-COUNTIF(Q:Q,A18)</f>
        <v>20</v>
      </c>
      <c r="F18" s="43">
        <f>IFERROR(B18/E18,0)</f>
        <v>4.324736842105264E-3</v>
      </c>
      <c r="G18">
        <f t="shared" si="4"/>
        <v>11339460.000000002</v>
      </c>
      <c r="H18">
        <f t="shared" si="5"/>
        <v>566973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VLOOKUP(L18,tables_522010!B:C,2,FALSE)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0.18399789473684211</v>
      </c>
      <c r="C19" s="85">
        <f t="shared" si="2"/>
        <v>0</v>
      </c>
      <c r="D19" s="74">
        <f t="shared" si="3"/>
        <v>0.18399789473684211</v>
      </c>
      <c r="E19">
        <f>COUNTIF(tables_522010!C:C,input_522010!A19)-COUNTIF(Q:Q,A19)</f>
        <v>52</v>
      </c>
      <c r="F19" s="43">
        <f t="shared" ref="F19:F32" si="8">IFERROR(B19/E19,0)</f>
        <v>3.5384210526315791E-3</v>
      </c>
      <c r="G19">
        <f t="shared" si="4"/>
        <v>24122124</v>
      </c>
      <c r="H19">
        <f t="shared" si="5"/>
        <v>463887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VLOOKUP(L19,tables_522010!B:C,2,FALSE)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E$6*E20-B19-B21</f>
        <v>0.21701253241800159</v>
      </c>
      <c r="C20" s="85">
        <f t="shared" si="2"/>
        <v>0</v>
      </c>
      <c r="D20" s="74">
        <f t="shared" si="3"/>
        <v>0.21701253241800159</v>
      </c>
      <c r="E20">
        <f>COUNTIF(tables_522010!C:C,input_522010!A20)-COUNTIF(Q:Q,A20)</f>
        <v>52</v>
      </c>
      <c r="F20" s="43">
        <f t="shared" si="8"/>
        <v>4.173317931115415E-3</v>
      </c>
      <c r="G20">
        <f t="shared" si="4"/>
        <v>28450343.000000007</v>
      </c>
      <c r="H20">
        <f t="shared" si="5"/>
        <v>547121.98077000002</v>
      </c>
      <c r="I20">
        <f t="shared" si="6"/>
        <v>0.98077000002376735</v>
      </c>
      <c r="J20">
        <f t="shared" si="7"/>
        <v>1.0196070434207476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VLOOKUP(L20,tables_522010!B:C,2,FALSE)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7.8737833714721608E-3</v>
      </c>
      <c r="C21" s="85">
        <f t="shared" si="2"/>
        <v>0</v>
      </c>
      <c r="D21" s="74">
        <f t="shared" si="3"/>
        <v>7.8737833714721608E-3</v>
      </c>
      <c r="E21">
        <f>COUNTIF(tables_522010!C:C,input_522010!A21)-COUNTIF(Q:Q,A21)</f>
        <v>52</v>
      </c>
      <c r="F21" s="43">
        <f t="shared" si="8"/>
        <v>1.5141891098984924E-4</v>
      </c>
      <c r="G21">
        <f t="shared" si="4"/>
        <v>1032253.0000000002</v>
      </c>
      <c r="H21">
        <f t="shared" si="5"/>
        <v>19851.019230000002</v>
      </c>
      <c r="I21">
        <f t="shared" si="6"/>
        <v>1.92300000016985E-2</v>
      </c>
      <c r="J21">
        <f t="shared" si="7"/>
        <v>52.00208007861022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0.13957105263157896</v>
      </c>
      <c r="C22" s="85">
        <f t="shared" si="2"/>
        <v>0</v>
      </c>
      <c r="D22" s="74">
        <f t="shared" si="3"/>
        <v>0.13957105263157896</v>
      </c>
      <c r="E22">
        <f>COUNTIF(tables_522010!C:C,input_522010!A22)-COUNTIF(Q:Q,A22)</f>
        <v>19</v>
      </c>
      <c r="F22" s="43">
        <f t="shared" si="8"/>
        <v>7.3458448753462606E-3</v>
      </c>
      <c r="G22">
        <f t="shared" si="4"/>
        <v>18297765</v>
      </c>
      <c r="H22">
        <f t="shared" si="5"/>
        <v>963040.26315999997</v>
      </c>
      <c r="I22">
        <f t="shared" si="6"/>
        <v>0.26315999997314066</v>
      </c>
      <c r="J22">
        <f t="shared" si="7"/>
        <v>3.7999696006310408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9.8289473684210552E-3</v>
      </c>
      <c r="C23" s="85">
        <f t="shared" si="2"/>
        <v>0.15000000000000002</v>
      </c>
      <c r="D23" s="74">
        <f t="shared" si="3"/>
        <v>-0.14017105263157897</v>
      </c>
      <c r="E23">
        <f>COUNTIF(tables_522010!C:C,input_522010!A23)-COUNTIF(Q:Q,A23)</f>
        <v>25</v>
      </c>
      <c r="F23" s="43">
        <f t="shared" si="8"/>
        <v>3.9315789473684222E-4</v>
      </c>
      <c r="G23">
        <f t="shared" si="4"/>
        <v>1288575.0000000002</v>
      </c>
      <c r="H23">
        <f t="shared" si="5"/>
        <v>51543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1.4153684210526315E-2</v>
      </c>
      <c r="C24" s="85">
        <f t="shared" si="2"/>
        <v>0</v>
      </c>
      <c r="D24" s="74">
        <f t="shared" si="3"/>
        <v>1.4153684210526315E-2</v>
      </c>
      <c r="E24">
        <f>COUNTIF(tables_522010!C:C,input_522010!A24)-COUNTIF(Q:Q,A24)</f>
        <v>4</v>
      </c>
      <c r="F24" s="43">
        <f t="shared" si="8"/>
        <v>3.5384210526315787E-3</v>
      </c>
      <c r="G24">
        <f t="shared" si="4"/>
        <v>1855547.9999999998</v>
      </c>
      <c r="H24">
        <f t="shared" si="5"/>
        <v>463887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1.5726315789473685E-2</v>
      </c>
      <c r="C25" s="85">
        <f t="shared" si="2"/>
        <v>0</v>
      </c>
      <c r="D25" s="74">
        <f t="shared" si="3"/>
        <v>1.5726315789473685E-2</v>
      </c>
      <c r="E25">
        <f>COUNTIF(tables_522010!C:C,input_522010!A25)-COUNTIF(Q:Q,A25)</f>
        <v>4</v>
      </c>
      <c r="F25" s="43">
        <f t="shared" si="8"/>
        <v>3.9315789473684214E-3</v>
      </c>
      <c r="G25">
        <f t="shared" si="4"/>
        <v>2061720.0000000002</v>
      </c>
      <c r="H25">
        <f t="shared" si="5"/>
        <v>515430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1.5726315789473687E-3</v>
      </c>
      <c r="C26" s="85">
        <f t="shared" si="2"/>
        <v>0</v>
      </c>
      <c r="D26" s="74">
        <f t="shared" si="3"/>
        <v>1.5726315789473687E-3</v>
      </c>
      <c r="E26">
        <f>COUNTIF(tables_522010!C:C,input_522010!A26)-COUNTIF(Q:Q,A26)</f>
        <v>4</v>
      </c>
      <c r="F26" s="43">
        <f t="shared" si="8"/>
        <v>3.9315789473684217E-4</v>
      </c>
      <c r="G26">
        <f t="shared" si="4"/>
        <v>206172.00000000003</v>
      </c>
      <c r="H26">
        <f t="shared" si="5"/>
        <v>51543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1.9275362318840576E-2</v>
      </c>
      <c r="C27" s="85">
        <f t="shared" si="2"/>
        <v>0</v>
      </c>
      <c r="D27" s="74">
        <f t="shared" si="3"/>
        <v>1.9275362318840576E-2</v>
      </c>
      <c r="E27">
        <f>COUNTIF(tables_522010!C:C,input_522010!A27)-COUNTIF(Q:Q,A27)</f>
        <v>28</v>
      </c>
      <c r="F27" s="43">
        <f>IFERROR(B27/E27,0)</f>
        <v>6.884057971014492E-4</v>
      </c>
      <c r="G27">
        <f t="shared" si="4"/>
        <v>2526999.9999999995</v>
      </c>
      <c r="H27">
        <f t="shared" si="5"/>
        <v>90250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1.0144927536231885E-3</v>
      </c>
      <c r="C28" s="85">
        <f t="shared" si="2"/>
        <v>0</v>
      </c>
      <c r="D28" s="74">
        <f t="shared" si="3"/>
        <v>1.0144927536231885E-3</v>
      </c>
      <c r="E28">
        <f>COUNTIF(tables_522010!C:C,input_522010!A28)-COUNTIF(Q:Q,A28)</f>
        <v>28</v>
      </c>
      <c r="F28" s="43">
        <f t="shared" si="8"/>
        <v>3.6231884057971014E-5</v>
      </c>
      <c r="G28">
        <f t="shared" si="4"/>
        <v>133000</v>
      </c>
      <c r="H28">
        <f t="shared" si="5"/>
        <v>4750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2.9710144927536229E-2</v>
      </c>
      <c r="C29" s="85">
        <f t="shared" si="2"/>
        <v>1.2999999999999999E-2</v>
      </c>
      <c r="D29" s="74">
        <f t="shared" si="3"/>
        <v>1.6710144927536232E-2</v>
      </c>
      <c r="E29">
        <f>COUNTIF(tables_522010!C:C,input_522010!A29)-COUNTIF(Q:Q,A29)</f>
        <v>41</v>
      </c>
      <c r="F29" s="43">
        <f t="shared" si="8"/>
        <v>7.2463768115942019E-4</v>
      </c>
      <c r="G29">
        <f t="shared" si="4"/>
        <v>3894999.9999999995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252</v>
      </c>
      <c r="B30" s="56">
        <f>E$5*E30</f>
        <v>0</v>
      </c>
      <c r="C30" s="85">
        <f t="shared" si="2"/>
        <v>0.04</v>
      </c>
      <c r="D30" s="74">
        <f t="shared" ref="D30" si="9">B30-C30</f>
        <v>-0.04</v>
      </c>
      <c r="E30">
        <f>COUNTIF(tables_522010!C:C,input_522010!A30)-COUNTIF(Q:Q,A30)</f>
        <v>0</v>
      </c>
      <c r="F30" s="43">
        <f t="shared" ref="F30" si="10">IFERROR(B30/E30,0)</f>
        <v>0</v>
      </c>
      <c r="G30">
        <f t="shared" si="4"/>
        <v>0</v>
      </c>
      <c r="H30">
        <f t="shared" ref="H30" si="11">IFERROR(ROUND(G30/E30,5),0)</f>
        <v>0</v>
      </c>
      <c r="I30">
        <f t="shared" ref="I30" si="12">MOD(H30,1)</f>
        <v>0</v>
      </c>
      <c r="J30">
        <f t="shared" ref="J30" si="13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COUNTIF(tables_522010!C:C,input_522010!A31)-COUNTIF(Q:Q,A31)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COUNTIF(tables_522010!C:C,input_522010!A32)-COUNTIF(Q:Q,A32)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L32" s="57"/>
      <c r="M32" s="57"/>
      <c r="N32" s="58"/>
      <c r="O32" s="57"/>
      <c r="P32" s="57"/>
      <c r="Q32" s="57"/>
      <c r="R32" s="59"/>
    </row>
    <row r="33" spans="1:18" x14ac:dyDescent="0.15">
      <c r="A33" s="39" t="s">
        <v>59</v>
      </c>
      <c r="B33" s="40">
        <f>SUM(B17:B32)</f>
        <v>0.79700000000000015</v>
      </c>
      <c r="C33" s="41">
        <f>SUM(C19:C32)</f>
        <v>0.20300000000000004</v>
      </c>
      <c r="D33" s="42">
        <f t="shared" si="3"/>
        <v>0.59400000000000008</v>
      </c>
      <c r="L33" s="57"/>
      <c r="M33" s="57"/>
      <c r="N33" s="57"/>
      <c r="O33" s="57"/>
      <c r="P33" s="57"/>
      <c r="Q33" s="57"/>
      <c r="R33" s="59"/>
    </row>
    <row r="35" spans="1:18" x14ac:dyDescent="0.15">
      <c r="E35" s="55"/>
      <c r="F35" s="55"/>
    </row>
    <row r="36" spans="1:18" x14ac:dyDescent="0.15">
      <c r="A36" t="s">
        <v>73</v>
      </c>
    </row>
    <row r="37" spans="1:18" x14ac:dyDescent="0.15">
      <c r="A37" s="31">
        <f>LCM(F5-I5,F6-I6)*1000*2*2*5</f>
        <v>131100000</v>
      </c>
    </row>
    <row r="39" spans="1:18" x14ac:dyDescent="0.15">
      <c r="A39" s="47" t="s">
        <v>76</v>
      </c>
    </row>
    <row r="40" spans="1:18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18" x14ac:dyDescent="0.15">
      <c r="A41" s="33" t="s">
        <v>103</v>
      </c>
      <c r="B41">
        <f ca="1">SUMIF(tables_522010!C:C,input_522010!A41,tables_522010!O:O)</f>
        <v>24122124</v>
      </c>
      <c r="C41" s="54">
        <f t="shared" ref="C41:C47" ca="1" si="14">B41/B$48</f>
        <v>0.4287255672826597</v>
      </c>
      <c r="E41">
        <v>3</v>
      </c>
      <c r="F41">
        <f ca="1">SUMIF(tables_522010!J:J,input_522010!E41,tables_522010!O:O)</f>
        <v>35255412</v>
      </c>
      <c r="G41">
        <f ca="1">F41/A37</f>
        <v>0.26891999999999999</v>
      </c>
    </row>
    <row r="42" spans="1:18" x14ac:dyDescent="0.15">
      <c r="A42" s="33" t="s">
        <v>104</v>
      </c>
      <c r="B42">
        <f ca="1">SUMIF(tables_522010!C:C,input_522010!A42,tables_522010!O:O)</f>
        <v>28450343.00003998</v>
      </c>
      <c r="C42" s="54">
        <f t="shared" ca="1" si="14"/>
        <v>0.50565155216341595</v>
      </c>
      <c r="E42">
        <v>4</v>
      </c>
      <c r="F42">
        <f ca="1">SUMIF(tables_522010!J:J,input_522010!E42,tables_522010!O:O)</f>
        <v>62676288.000079922</v>
      </c>
      <c r="G42">
        <f ca="1">F42/A37</f>
        <v>0.47808000000060963</v>
      </c>
    </row>
    <row r="43" spans="1:18" x14ac:dyDescent="0.15">
      <c r="A43" s="33" t="s">
        <v>106</v>
      </c>
      <c r="B43">
        <f ca="1">SUMIF(tables_522010!C:C,input_522010!A43,tables_522010!O:O)</f>
        <v>2527000</v>
      </c>
      <c r="C43" s="54">
        <f t="shared" ca="1" si="14"/>
        <v>4.4912691292163208E-2</v>
      </c>
      <c r="E43">
        <v>5</v>
      </c>
      <c r="F43">
        <f ca="1">SUMIF(tables_522010!J:J,input_522010!E43,tables_522010!O:O)</f>
        <v>27924299.999959998</v>
      </c>
      <c r="G43">
        <f ca="1">F43/A37</f>
        <v>0.21299999999969488</v>
      </c>
    </row>
    <row r="44" spans="1:18" x14ac:dyDescent="0.15">
      <c r="A44" s="33" t="s">
        <v>109</v>
      </c>
      <c r="B44">
        <f>SUMIF(tables_522010!C:C,input_522010!A44,tables_522010!O:O)</f>
        <v>0</v>
      </c>
      <c r="C44" s="54">
        <f t="shared" ca="1" si="14"/>
        <v>0</v>
      </c>
      <c r="F44" s="55"/>
    </row>
    <row r="45" spans="1:18" x14ac:dyDescent="0.15">
      <c r="A45" s="33" t="s">
        <v>105</v>
      </c>
      <c r="B45">
        <f ca="1">SUMIF(tables_522010!C:C,input_522010!A45,tables_522010!O:O)</f>
        <v>1032252.9999599991</v>
      </c>
      <c r="C45" s="54">
        <f t="shared" ca="1" si="14"/>
        <v>1.8346363404278906E-2</v>
      </c>
      <c r="E45" t="s">
        <v>54</v>
      </c>
      <c r="F45" s="55"/>
    </row>
    <row r="46" spans="1:18" x14ac:dyDescent="0.15">
      <c r="A46" s="33" t="s">
        <v>107</v>
      </c>
      <c r="B46">
        <f ca="1">SUMIF(tables_522010!C:C,input_522010!A46,tables_522010!O:O)</f>
        <v>133000</v>
      </c>
      <c r="C46" s="54">
        <f t="shared" ca="1" si="14"/>
        <v>2.3638258574822739E-3</v>
      </c>
      <c r="E46" t="s">
        <v>204</v>
      </c>
      <c r="F46" s="55">
        <f ca="1">SUMIF(tables_522010!I:I,input_522010!E46,tables_522010!P:P)</f>
        <v>0.15962210526310913</v>
      </c>
    </row>
    <row r="47" spans="1:18" x14ac:dyDescent="0.15">
      <c r="A47" s="33" t="s">
        <v>108</v>
      </c>
      <c r="B47">
        <f>SUMIF(tables_522010!C:C,input_522010!A47,tables_522010!O:O)</f>
        <v>0</v>
      </c>
      <c r="C47" s="54">
        <f t="shared" ca="1" si="14"/>
        <v>0</v>
      </c>
      <c r="E47" t="s">
        <v>205</v>
      </c>
      <c r="F47" s="55">
        <f ca="1">SUMIF(tables_522010!I:I,input_522010!E47,tables_522010!P:P)</f>
        <v>0.15726315789468881</v>
      </c>
    </row>
    <row r="48" spans="1:18" x14ac:dyDescent="0.15">
      <c r="A48" s="39" t="s">
        <v>59</v>
      </c>
      <c r="B48">
        <f ca="1">SUM(B41:B47)</f>
        <v>56264719.999999978</v>
      </c>
      <c r="C48" s="55">
        <f ca="1">SUM(C41:C47)</f>
        <v>1</v>
      </c>
      <c r="E48" t="s">
        <v>206</v>
      </c>
      <c r="F48" s="55">
        <f ca="1">SUMIF(tables_522010!I:I,input_522010!E48,tables_522010!P:P)</f>
        <v>0.58011473684223225</v>
      </c>
    </row>
    <row r="49" spans="5:7" x14ac:dyDescent="0.15">
      <c r="E49" t="s">
        <v>207</v>
      </c>
      <c r="F49" s="55">
        <f ca="1">SUMIF(tables_522010!I:I,input_522010!E49,tables_522010!P:P)</f>
        <v>8.4202898550698888E-2</v>
      </c>
      <c r="G49" s="55">
        <f ca="1">0.05-F49-F50</f>
        <v>-5.2999999999968496E-2</v>
      </c>
    </row>
    <row r="50" spans="5:7" x14ac:dyDescent="0.15">
      <c r="E50" t="s">
        <v>249</v>
      </c>
      <c r="F50" s="55">
        <f ca="1">SUMIF(tables_522010!I:I,input_522010!E50,tables_522010!P:P)</f>
        <v>1.8797101449269611E-2</v>
      </c>
      <c r="G50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6"/>
  <sheetViews>
    <sheetView showGridLines="0" zoomScale="75" zoomScaleNormal="75" zoomScalePageLayoutView="75" workbookViewId="0">
      <pane ySplit="1" topLeftCell="A2" activePane="bottomLeft" state="frozen"/>
      <selection activeCell="H276" sqref="H276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21.796875" style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input_522010!A$2</f>
        <v>522010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IFERROR(VLOOKUP(B2,input_522010!L:R,7,FALSE),VLOOKUP(tables_522010!C2,input_522010!A:H,8,FALSE))</f>
        <v>463887</v>
      </c>
      <c r="P2" s="46">
        <f t="shared" ref="P2:P65" ca="1" si="1">O2/SUM(O:O)</f>
        <v>3.5384210526304967E-3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input_522010!A$2</f>
        <v>522010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IFERROR(VLOOKUP(B3,input_522010!L:R,7,FALSE),VLOOKUP(tables_522010!C3,input_522010!A:H,8,FALSE))</f>
        <v>566973</v>
      </c>
      <c r="P3" s="46">
        <f t="shared" ca="1" si="1"/>
        <v>4.3247368421039404E-3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input_522010!A$2</f>
        <v>522010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IFERROR(VLOOKUP(B4,input_522010!L:R,7,FALSE),VLOOKUP(tables_522010!C4,input_522010!A:H,8,FALSE))</f>
        <v>463887</v>
      </c>
      <c r="P4" s="46">
        <f t="shared" ca="1" si="1"/>
        <v>3.5384210526304967E-3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input_522010!A$2</f>
        <v>522010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IFERROR(VLOOKUP(B5,input_522010!L:R,7,FALSE),VLOOKUP(tables_522010!C5,input_522010!A:H,8,FALSE))</f>
        <v>566973</v>
      </c>
      <c r="P5" s="46">
        <f t="shared" ca="1" si="1"/>
        <v>4.3247368421039404E-3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input_522010!A$2</f>
        <v>522010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IFERROR(VLOOKUP(B6,input_522010!L:R,7,FALSE),VLOOKUP(tables_522010!C6,input_522010!A:H,8,FALSE))</f>
        <v>463887</v>
      </c>
      <c r="P6" s="46">
        <f t="shared" ca="1" si="1"/>
        <v>3.5384210526304967E-3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input_522010!A$2</f>
        <v>522010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IFERROR(VLOOKUP(B7,input_522010!L:R,7,FALSE),VLOOKUP(tables_522010!C7,input_522010!A:H,8,FALSE))</f>
        <v>566973</v>
      </c>
      <c r="P7" s="46">
        <f t="shared" ca="1" si="1"/>
        <v>4.3247368421039404E-3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input_522010!A$2</f>
        <v>522010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IFERROR(VLOOKUP(B8,input_522010!L:R,7,FALSE),VLOOKUP(tables_522010!C8,input_522010!A:H,8,FALSE))</f>
        <v>463887</v>
      </c>
      <c r="P8" s="46">
        <f t="shared" ca="1" si="1"/>
        <v>3.5384210526304967E-3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input_522010!A$2</f>
        <v>522010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IFERROR(VLOOKUP(B9,input_522010!L:R,7,FALSE),VLOOKUP(tables_522010!C9,input_522010!A:H,8,FALSE))</f>
        <v>566973</v>
      </c>
      <c r="P9" s="46">
        <f t="shared" ca="1" si="1"/>
        <v>4.3247368421039404E-3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input_522010!A$2</f>
        <v>522010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IFERROR(VLOOKUP(B10,input_522010!L:R,7,FALSE),VLOOKUP(tables_522010!C10,input_522010!A:H,8,FALSE))</f>
        <v>463887</v>
      </c>
      <c r="P10" s="46">
        <f t="shared" ca="1" si="1"/>
        <v>3.5384210526304967E-3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input_522010!A$2</f>
        <v>522010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IFERROR(VLOOKUP(B11,input_522010!L:R,7,FALSE),VLOOKUP(tables_522010!C11,input_522010!A:H,8,FALSE))</f>
        <v>566973</v>
      </c>
      <c r="P11" s="46">
        <f t="shared" ca="1" si="1"/>
        <v>4.3247368421039404E-3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input_522010!A$2</f>
        <v>522010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IFERROR(VLOOKUP(B12,input_522010!L:R,7,FALSE),VLOOKUP(tables_522010!C12,input_522010!A:H,8,FALSE))</f>
        <v>463887</v>
      </c>
      <c r="P12" s="46">
        <f t="shared" ca="1" si="1"/>
        <v>3.5384210526304967E-3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input_522010!A$2</f>
        <v>522010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IFERROR(VLOOKUP(B13,input_522010!L:R,7,FALSE),VLOOKUP(tables_522010!C13,input_522010!A:H,8,FALSE))</f>
        <v>566973</v>
      </c>
      <c r="P13" s="46">
        <f t="shared" ca="1" si="1"/>
        <v>4.3247368421039404E-3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input_522010!A$2</f>
        <v>522010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IFERROR(VLOOKUP(B14,input_522010!L:R,7,FALSE),VLOOKUP(tables_522010!C14,input_522010!A:H,8,FALSE))</f>
        <v>463887</v>
      </c>
      <c r="P14" s="46">
        <f t="shared" ca="1" si="1"/>
        <v>3.5384210526304967E-3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input_522010!A$2</f>
        <v>522010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IFERROR(VLOOKUP(B15,input_522010!L:R,7,FALSE),VLOOKUP(tables_522010!C15,input_522010!A:H,8,FALSE))</f>
        <v>566973</v>
      </c>
      <c r="P15" s="46">
        <f t="shared" ca="1" si="1"/>
        <v>4.3247368421039404E-3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input_522010!A$2</f>
        <v>522010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IFERROR(VLOOKUP(B16,input_522010!L:R,7,FALSE),VLOOKUP(tables_522010!C16,input_522010!A:H,8,FALSE))</f>
        <v>463887</v>
      </c>
      <c r="P16" s="46">
        <f t="shared" ca="1" si="1"/>
        <v>3.5384210526304967E-3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input_522010!A$2</f>
        <v>522010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IFERROR(VLOOKUP(B17,input_522010!L:R,7,FALSE),VLOOKUP(tables_522010!C17,input_522010!A:H,8,FALSE))</f>
        <v>566973</v>
      </c>
      <c r="P17" s="46">
        <f t="shared" ca="1" si="1"/>
        <v>4.3247368421039404E-3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input_522010!A$2</f>
        <v>522010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IFERROR(VLOOKUP(B18,input_522010!L:R,7,FALSE),VLOOKUP(tables_522010!C18,input_522010!A:H,8,FALSE))</f>
        <v>463887</v>
      </c>
      <c r="P18" s="46">
        <f t="shared" ca="1" si="1"/>
        <v>3.5384210526304967E-3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input_522010!A$2</f>
        <v>522010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IFERROR(VLOOKUP(B19,input_522010!L:R,7,FALSE),VLOOKUP(tables_522010!C19,input_522010!A:H,8,FALSE))</f>
        <v>566973</v>
      </c>
      <c r="P19" s="46">
        <f t="shared" ca="1" si="1"/>
        <v>4.3247368421039404E-3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input_522010!A$2</f>
        <v>522010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IFERROR(VLOOKUP(B20,input_522010!L:R,7,FALSE),VLOOKUP(tables_522010!C20,input_522010!A:H,8,FALSE))</f>
        <v>463887</v>
      </c>
      <c r="P20" s="46">
        <f t="shared" ca="1" si="1"/>
        <v>3.5384210526304967E-3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input_522010!A$2</f>
        <v>522010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IFERROR(VLOOKUP(B21,input_522010!L:R,7,FALSE),VLOOKUP(tables_522010!C21,input_522010!A:H,8,FALSE))</f>
        <v>566973</v>
      </c>
      <c r="P21" s="46">
        <f t="shared" ca="1" si="1"/>
        <v>4.3247368421039404E-3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input_522010!A$2</f>
        <v>522010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IFERROR(VLOOKUP(B22,input_522010!L:R,7,FALSE),VLOOKUP(tables_522010!C22,input_522010!A:H,8,FALSE))</f>
        <v>463887</v>
      </c>
      <c r="P22" s="46">
        <f t="shared" ca="1" si="1"/>
        <v>3.5384210526304967E-3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input_522010!A$2</f>
        <v>522010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IFERROR(VLOOKUP(B23,input_522010!L:R,7,FALSE),VLOOKUP(tables_522010!C23,input_522010!A:H,8,FALSE))</f>
        <v>566973</v>
      </c>
      <c r="P23" s="46">
        <f t="shared" ca="1" si="1"/>
        <v>4.3247368421039404E-3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input_522010!A$2</f>
        <v>522010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IFERROR(VLOOKUP(B24,input_522010!L:R,7,FALSE),VLOOKUP(tables_522010!C24,input_522010!A:H,8,FALSE))</f>
        <v>463887</v>
      </c>
      <c r="P24" s="46">
        <f t="shared" ca="1" si="1"/>
        <v>3.5384210526304967E-3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input_522010!A$2</f>
        <v>522010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IFERROR(VLOOKUP(B25,input_522010!L:R,7,FALSE),VLOOKUP(tables_522010!C25,input_522010!A:H,8,FALSE))</f>
        <v>566973</v>
      </c>
      <c r="P25" s="46">
        <f t="shared" ca="1" si="1"/>
        <v>4.3247368421039404E-3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input_522010!A$2</f>
        <v>522010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IFERROR(VLOOKUP(B26,input_522010!L:R,7,FALSE),VLOOKUP(tables_522010!C26,input_522010!A:H,8,FALSE))</f>
        <v>463887</v>
      </c>
      <c r="P26" s="46">
        <f t="shared" ca="1" si="1"/>
        <v>3.5384210526304967E-3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input_522010!A$2</f>
        <v>522010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IFERROR(VLOOKUP(B27,input_522010!L:R,7,FALSE),VLOOKUP(tables_522010!C27,input_522010!A:H,8,FALSE))</f>
        <v>566973</v>
      </c>
      <c r="P27" s="46">
        <f t="shared" ca="1" si="1"/>
        <v>4.3247368421039404E-3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input_522010!A$2</f>
        <v>522010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IFERROR(VLOOKUP(B28,input_522010!L:R,7,FALSE),VLOOKUP(tables_522010!C28,input_522010!A:H,8,FALSE))</f>
        <v>463887</v>
      </c>
      <c r="P28" s="46">
        <f t="shared" ca="1" si="1"/>
        <v>3.5384210526304967E-3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input_522010!A$2</f>
        <v>522010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IFERROR(VLOOKUP(B29,input_522010!L:R,7,FALSE),VLOOKUP(tables_522010!C29,input_522010!A:H,8,FALSE))</f>
        <v>566973</v>
      </c>
      <c r="P29" s="46">
        <f t="shared" ca="1" si="1"/>
        <v>4.3247368421039404E-3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input_522010!A$2</f>
        <v>522010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IFERROR(VLOOKUP(B30,input_522010!L:R,7,FALSE),VLOOKUP(tables_522010!C30,input_522010!A:H,8,FALSE))</f>
        <v>463887</v>
      </c>
      <c r="P30" s="46">
        <f t="shared" ca="1" si="1"/>
        <v>3.5384210526304967E-3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input_522010!A$2</f>
        <v>522010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IFERROR(VLOOKUP(B31,input_522010!L:R,7,FALSE),VLOOKUP(tables_522010!C31,input_522010!A:H,8,FALSE))</f>
        <v>566973</v>
      </c>
      <c r="P31" s="46">
        <f t="shared" ca="1" si="1"/>
        <v>4.3247368421039404E-3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input_522010!A$2</f>
        <v>522010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IFERROR(VLOOKUP(B32,input_522010!L:R,7,FALSE),VLOOKUP(tables_522010!C32,input_522010!A:H,8,FALSE))</f>
        <v>463887</v>
      </c>
      <c r="P32" s="46">
        <f t="shared" ca="1" si="1"/>
        <v>3.5384210526304967E-3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input_522010!A$2</f>
        <v>522010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IFERROR(VLOOKUP(B33,input_522010!L:R,7,FALSE),VLOOKUP(tables_522010!C33,input_522010!A:H,8,FALSE))</f>
        <v>566973</v>
      </c>
      <c r="P33" s="46">
        <f t="shared" ca="1" si="1"/>
        <v>4.3247368421039404E-3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input_522010!A$2</f>
        <v>522010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IFERROR(VLOOKUP(B34,input_522010!L:R,7,FALSE),VLOOKUP(tables_522010!C34,input_522010!A:H,8,FALSE))</f>
        <v>463887</v>
      </c>
      <c r="P34" s="46">
        <f t="shared" ca="1" si="1"/>
        <v>3.5384210526304967E-3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input_522010!A$2</f>
        <v>522010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IFERROR(VLOOKUP(B35,input_522010!L:R,7,FALSE),VLOOKUP(tables_522010!C35,input_522010!A:H,8,FALSE))</f>
        <v>566973</v>
      </c>
      <c r="P35" s="46">
        <f t="shared" ca="1" si="1"/>
        <v>4.3247368421039404E-3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input_522010!A$2</f>
        <v>522010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IFERROR(VLOOKUP(B36,input_522010!L:R,7,FALSE),VLOOKUP(tables_522010!C36,input_522010!A:H,8,FALSE))</f>
        <v>463887</v>
      </c>
      <c r="P36" s="46">
        <f t="shared" ca="1" si="1"/>
        <v>3.5384210526304967E-3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input_522010!A$2</f>
        <v>522010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IFERROR(VLOOKUP(B37,input_522010!L:R,7,FALSE),VLOOKUP(tables_522010!C37,input_522010!A:H,8,FALSE))</f>
        <v>566973</v>
      </c>
      <c r="P37" s="46">
        <f t="shared" ca="1" si="1"/>
        <v>4.3247368421039404E-3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input_522010!A$2</f>
        <v>522010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IFERROR(VLOOKUP(B38,input_522010!L:R,7,FALSE),VLOOKUP(tables_522010!C38,input_522010!A:H,8,FALSE))</f>
        <v>463887</v>
      </c>
      <c r="P38" s="46">
        <f t="shared" ca="1" si="1"/>
        <v>3.5384210526304967E-3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input_522010!A$2</f>
        <v>522010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IFERROR(VLOOKUP(B39,input_522010!L:R,7,FALSE),VLOOKUP(tables_522010!C39,input_522010!A:H,8,FALSE))</f>
        <v>566973</v>
      </c>
      <c r="P39" s="46">
        <f t="shared" ca="1" si="1"/>
        <v>4.3247368421039404E-3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input_522010!A$2</f>
        <v>522010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IFERROR(VLOOKUP(B40,input_522010!L:R,7,FALSE),VLOOKUP(tables_522010!C40,input_522010!A:H,8,FALSE))</f>
        <v>463887</v>
      </c>
      <c r="P40" s="46">
        <f t="shared" ca="1" si="1"/>
        <v>3.5384210526304967E-3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input_522010!A$2</f>
        <v>522010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IFERROR(VLOOKUP(B41,input_522010!L:R,7,FALSE),VLOOKUP(tables_522010!C41,input_522010!A:H,8,FALSE))</f>
        <v>566973</v>
      </c>
      <c r="P41" s="46">
        <f t="shared" ca="1" si="1"/>
        <v>4.3247368421039404E-3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input_522010!A$2</f>
        <v>522010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IFERROR(VLOOKUP(B42,input_522010!L:R,7,FALSE),VLOOKUP(tables_522010!C42,input_522010!A:H,8,FALSE))</f>
        <v>463887</v>
      </c>
      <c r="P42" s="46">
        <f t="shared" ca="1" si="1"/>
        <v>3.5384210526304967E-3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input_522010!A$2</f>
        <v>522010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IFERROR(VLOOKUP(B43,input_522010!L:R,7,FALSE),VLOOKUP(tables_522010!C43,input_522010!A:H,8,FALSE))</f>
        <v>515430</v>
      </c>
      <c r="P43" s="46">
        <f t="shared" ca="1" si="1"/>
        <v>3.9315789473672183E-3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input_522010!A$2</f>
        <v>522010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IFERROR(VLOOKUP(B44,input_522010!L:R,7,FALSE),VLOOKUP(tables_522010!C44,input_522010!A:H,8,FALSE))</f>
        <v>51543</v>
      </c>
      <c r="P44" s="46">
        <f t="shared" ca="1" si="1"/>
        <v>3.9315789473672188E-4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input_522010!A$2</f>
        <v>522010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IFERROR(VLOOKUP(B45,input_522010!L:R,7,FALSE),VLOOKUP(tables_522010!C45,input_522010!A:H,8,FALSE))</f>
        <v>463887</v>
      </c>
      <c r="P45" s="46">
        <f t="shared" ca="1" si="1"/>
        <v>3.5384210526304967E-3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input_522010!A$2</f>
        <v>522010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IFERROR(VLOOKUP(B46,input_522010!L:R,7,FALSE),VLOOKUP(tables_522010!C46,input_522010!A:H,8,FALSE))</f>
        <v>515430</v>
      </c>
      <c r="P46" s="46">
        <f t="shared" ca="1" si="1"/>
        <v>3.9315789473672183E-3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input_522010!A$2</f>
        <v>522010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IFERROR(VLOOKUP(B47,input_522010!L:R,7,FALSE),VLOOKUP(tables_522010!C47,input_522010!A:H,8,FALSE))</f>
        <v>51543</v>
      </c>
      <c r="P47" s="46">
        <f t="shared" ca="1" si="1"/>
        <v>3.9315789473672188E-4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input_522010!A$2</f>
        <v>522010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IFERROR(VLOOKUP(B48,input_522010!L:R,7,FALSE),VLOOKUP(tables_522010!C48,input_522010!A:H,8,FALSE))</f>
        <v>463887</v>
      </c>
      <c r="P48" s="46">
        <f t="shared" ca="1" si="1"/>
        <v>3.5384210526304967E-3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input_522010!A$2</f>
        <v>522010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IFERROR(VLOOKUP(B49,input_522010!L:R,7,FALSE),VLOOKUP(tables_522010!C49,input_522010!A:H,8,FALSE))</f>
        <v>515430</v>
      </c>
      <c r="P49" s="46">
        <f t="shared" ca="1" si="1"/>
        <v>3.9315789473672183E-3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input_522010!A$2</f>
        <v>522010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IFERROR(VLOOKUP(B50,input_522010!L:R,7,FALSE),VLOOKUP(tables_522010!C50,input_522010!A:H,8,FALSE))</f>
        <v>51543</v>
      </c>
      <c r="P50" s="46">
        <f t="shared" ca="1" si="1"/>
        <v>3.9315789473672188E-4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input_522010!A$2</f>
        <v>522010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IFERROR(VLOOKUP(B51,input_522010!L:R,7,FALSE),VLOOKUP(tables_522010!C51,input_522010!A:H,8,FALSE))</f>
        <v>463887</v>
      </c>
      <c r="P51" s="46">
        <f t="shared" ca="1" si="1"/>
        <v>3.5384210526304967E-3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input_522010!A$2</f>
        <v>522010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IFERROR(VLOOKUP(B52,input_522010!L:R,7,FALSE),VLOOKUP(tables_522010!C52,input_522010!A:H,8,FALSE))</f>
        <v>547121.98077000002</v>
      </c>
      <c r="P52" s="46">
        <f t="shared" ca="1" si="1"/>
        <v>4.1733179311200051E-3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input_522010!A$2</f>
        <v>522010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IFERROR(VLOOKUP(B53,input_522010!L:R,7,FALSE),VLOOKUP(tables_522010!C53,input_522010!A:H,8,FALSE))</f>
        <v>19851.019230000002</v>
      </c>
      <c r="P53" s="46">
        <f t="shared" ca="1" si="1"/>
        <v>1.514189109839354E-4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input_522010!A$2</f>
        <v>522010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IFERROR(VLOOKUP(B54,input_522010!L:R,7,FALSE),VLOOKUP(tables_522010!C54,input_522010!A:H,8,FALSE))</f>
        <v>463887</v>
      </c>
      <c r="P54" s="46">
        <f t="shared" ca="1" si="1"/>
        <v>3.5384210526304967E-3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input_522010!A$2</f>
        <v>522010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IFERROR(VLOOKUP(B55,input_522010!L:R,7,FALSE),VLOOKUP(tables_522010!C55,input_522010!A:H,8,FALSE))</f>
        <v>547121.98077000002</v>
      </c>
      <c r="P55" s="46">
        <f t="shared" ca="1" si="1"/>
        <v>4.1733179311200051E-3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input_522010!A$2</f>
        <v>522010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IFERROR(VLOOKUP(B56,input_522010!L:R,7,FALSE),VLOOKUP(tables_522010!C56,input_522010!A:H,8,FALSE))</f>
        <v>19851.019230000002</v>
      </c>
      <c r="P56" s="46">
        <f t="shared" ca="1" si="1"/>
        <v>1.514189109839354E-4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input_522010!A$2</f>
        <v>522010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IFERROR(VLOOKUP(B57,input_522010!L:R,7,FALSE),VLOOKUP(tables_522010!C57,input_522010!A:H,8,FALSE))</f>
        <v>463887</v>
      </c>
      <c r="P57" s="46">
        <f t="shared" ca="1" si="1"/>
        <v>3.5384210526304967E-3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input_522010!A$2</f>
        <v>522010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IFERROR(VLOOKUP(B58,input_522010!L:R,7,FALSE),VLOOKUP(tables_522010!C58,input_522010!A:H,8,FALSE))</f>
        <v>547121.98077000002</v>
      </c>
      <c r="P58" s="46">
        <f t="shared" ca="1" si="1"/>
        <v>4.1733179311200051E-3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input_522010!A$2</f>
        <v>522010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IFERROR(VLOOKUP(B59,input_522010!L:R,7,FALSE),VLOOKUP(tables_522010!C59,input_522010!A:H,8,FALSE))</f>
        <v>19851.019230000002</v>
      </c>
      <c r="P59" s="46">
        <f t="shared" ca="1" si="1"/>
        <v>1.514189109839354E-4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input_522010!A$2</f>
        <v>522010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IFERROR(VLOOKUP(B60,input_522010!L:R,7,FALSE),VLOOKUP(tables_522010!C60,input_522010!A:H,8,FALSE))</f>
        <v>463887</v>
      </c>
      <c r="P60" s="46">
        <f t="shared" ca="1" si="1"/>
        <v>3.5384210526304967E-3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input_522010!A$2</f>
        <v>522010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95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IFERROR(VLOOKUP(B61,input_522010!L:R,7,FALSE),VLOOKUP(tables_522010!C61,input_522010!A:H,8,FALSE))</f>
        <v>547121.98077000002</v>
      </c>
      <c r="P61" s="46">
        <f t="shared" ca="1" si="1"/>
        <v>4.1733179311200051E-3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input_522010!A$2</f>
        <v>522010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IFERROR(VLOOKUP(B62,input_522010!L:R,7,FALSE),VLOOKUP(tables_522010!C62,input_522010!A:H,8,FALSE))</f>
        <v>19851.019230000002</v>
      </c>
      <c r="P62" s="46">
        <f t="shared" ca="1" si="1"/>
        <v>1.514189109839354E-4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input_522010!A$2</f>
        <v>522010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IFERROR(VLOOKUP(B63,input_522010!L:R,7,FALSE),VLOOKUP(tables_522010!C63,input_522010!A:H,8,FALSE))</f>
        <v>463887</v>
      </c>
      <c r="P63" s="46">
        <f t="shared" ca="1" si="1"/>
        <v>3.5384210526304967E-3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input_522010!A$2</f>
        <v>522010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IFERROR(VLOOKUP(B64,input_522010!L:R,7,FALSE),VLOOKUP(tables_522010!C64,input_522010!A:H,8,FALSE))</f>
        <v>547121.98077000002</v>
      </c>
      <c r="P64" s="46">
        <f t="shared" ca="1" si="1"/>
        <v>4.1733179311200051E-3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input_522010!A$2</f>
        <v>522010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IFERROR(VLOOKUP(B65,input_522010!L:R,7,FALSE),VLOOKUP(tables_522010!C65,input_522010!A:H,8,FALSE))</f>
        <v>19851.019230000002</v>
      </c>
      <c r="P65" s="46">
        <f t="shared" ca="1" si="1"/>
        <v>1.514189109839354E-4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input_522010!A$2</f>
        <v>522010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IFERROR(VLOOKUP(B66,input_522010!L:R,7,FALSE),VLOOKUP(tables_522010!C66,input_522010!A:H,8,FALSE))</f>
        <v>463887</v>
      </c>
      <c r="P66" s="46">
        <f t="shared" ref="P66:P129" ca="1" si="4">O66/SUM(O:O)</f>
        <v>3.5384210526304967E-3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input_522010!A$2</f>
        <v>522010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IFERROR(VLOOKUP(B67,input_522010!L:R,7,FALSE),VLOOKUP(tables_522010!C67,input_522010!A:H,8,FALSE))</f>
        <v>547121.98077000002</v>
      </c>
      <c r="P67" s="46">
        <f t="shared" ca="1" si="4"/>
        <v>4.1733179311200051E-3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input_522010!A$2</f>
        <v>522010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IFERROR(VLOOKUP(B68,input_522010!L:R,7,FALSE),VLOOKUP(tables_522010!C68,input_522010!A:H,8,FALSE))</f>
        <v>19851.019230000002</v>
      </c>
      <c r="P68" s="46">
        <f t="shared" ca="1" si="4"/>
        <v>1.514189109839354E-4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input_522010!A$2</f>
        <v>522010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IFERROR(VLOOKUP(B69,input_522010!L:R,7,FALSE),VLOOKUP(tables_522010!C69,input_522010!A:H,8,FALSE))</f>
        <v>463887</v>
      </c>
      <c r="P69" s="46">
        <f t="shared" ca="1" si="4"/>
        <v>3.5384210526304967E-3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input_522010!A$2</f>
        <v>522010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IFERROR(VLOOKUP(B70,input_522010!L:R,7,FALSE),VLOOKUP(tables_522010!C70,input_522010!A:H,8,FALSE))</f>
        <v>547121.98077000002</v>
      </c>
      <c r="P70" s="46">
        <f t="shared" ca="1" si="4"/>
        <v>4.1733179311200051E-3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input_522010!A$2</f>
        <v>522010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IFERROR(VLOOKUP(B71,input_522010!L:R,7,FALSE),VLOOKUP(tables_522010!C71,input_522010!A:H,8,FALSE))</f>
        <v>19851.019230000002</v>
      </c>
      <c r="P71" s="46">
        <f t="shared" ca="1" si="4"/>
        <v>1.514189109839354E-4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input_522010!A$2</f>
        <v>522010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IFERROR(VLOOKUP(B72,input_522010!L:R,7,FALSE),VLOOKUP(tables_522010!C72,input_522010!A:H,8,FALSE))</f>
        <v>463887</v>
      </c>
      <c r="P72" s="46">
        <f t="shared" ca="1" si="4"/>
        <v>3.5384210526304967E-3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input_522010!A$2</f>
        <v>522010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IFERROR(VLOOKUP(B73,input_522010!L:R,7,FALSE),VLOOKUP(tables_522010!C73,input_522010!A:H,8,FALSE))</f>
        <v>547121.98077000002</v>
      </c>
      <c r="P73" s="46">
        <f t="shared" ca="1" si="4"/>
        <v>4.1733179311200051E-3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input_522010!A$2</f>
        <v>522010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IFERROR(VLOOKUP(B74,input_522010!L:R,7,FALSE),VLOOKUP(tables_522010!C74,input_522010!A:H,8,FALSE))</f>
        <v>19851.019230000002</v>
      </c>
      <c r="P74" s="46">
        <f t="shared" ca="1" si="4"/>
        <v>1.514189109839354E-4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input_522010!A$2</f>
        <v>522010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IFERROR(VLOOKUP(B75,input_522010!L:R,7,FALSE),VLOOKUP(tables_522010!C75,input_522010!A:H,8,FALSE))</f>
        <v>463887</v>
      </c>
      <c r="P75" s="46">
        <f t="shared" ca="1" si="4"/>
        <v>3.5384210526304967E-3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input_522010!A$2</f>
        <v>522010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IFERROR(VLOOKUP(B76,input_522010!L:R,7,FALSE),VLOOKUP(tables_522010!C76,input_522010!A:H,8,FALSE))</f>
        <v>547121.98077000002</v>
      </c>
      <c r="P76" s="46">
        <f t="shared" ca="1" si="4"/>
        <v>4.1733179311200051E-3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input_522010!A$2</f>
        <v>522010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IFERROR(VLOOKUP(B77,input_522010!L:R,7,FALSE),VLOOKUP(tables_522010!C77,input_522010!A:H,8,FALSE))</f>
        <v>19851.019230000002</v>
      </c>
      <c r="P77" s="46">
        <f t="shared" ca="1" si="4"/>
        <v>1.514189109839354E-4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input_522010!A$2</f>
        <v>522010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IFERROR(VLOOKUP(B78,input_522010!L:R,7,FALSE),VLOOKUP(tables_522010!C78,input_522010!A:H,8,FALSE))</f>
        <v>463887</v>
      </c>
      <c r="P78" s="46">
        <f t="shared" ca="1" si="4"/>
        <v>3.5384210526304967E-3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input_522010!A$2</f>
        <v>522010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IFERROR(VLOOKUP(B79,input_522010!L:R,7,FALSE),VLOOKUP(tables_522010!C79,input_522010!A:H,8,FALSE))</f>
        <v>547121.98077000002</v>
      </c>
      <c r="P79" s="46">
        <f t="shared" ca="1" si="4"/>
        <v>4.1733179311200051E-3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input_522010!A$2</f>
        <v>522010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IFERROR(VLOOKUP(B80,input_522010!L:R,7,FALSE),VLOOKUP(tables_522010!C80,input_522010!A:H,8,FALSE))</f>
        <v>19851.019230000002</v>
      </c>
      <c r="P80" s="46">
        <f t="shared" ca="1" si="4"/>
        <v>1.514189109839354E-4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input_522010!A$2</f>
        <v>522010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IFERROR(VLOOKUP(B81,input_522010!L:R,7,FALSE),VLOOKUP(tables_522010!C81,input_522010!A:H,8,FALSE))</f>
        <v>463887</v>
      </c>
      <c r="P81" s="46">
        <f t="shared" ca="1" si="4"/>
        <v>3.5384210526304967E-3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input_522010!A$2</f>
        <v>522010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IFERROR(VLOOKUP(B82,input_522010!L:R,7,FALSE),VLOOKUP(tables_522010!C82,input_522010!A:H,8,FALSE))</f>
        <v>547121.98077000002</v>
      </c>
      <c r="P82" s="46">
        <f t="shared" ca="1" si="4"/>
        <v>4.1733179311200051E-3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input_522010!A$2</f>
        <v>522010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IFERROR(VLOOKUP(B83,input_522010!L:R,7,FALSE),VLOOKUP(tables_522010!C83,input_522010!A:H,8,FALSE))</f>
        <v>19851.019230000002</v>
      </c>
      <c r="P83" s="46">
        <f t="shared" ca="1" si="4"/>
        <v>1.514189109839354E-4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input_522010!A$2</f>
        <v>522010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IFERROR(VLOOKUP(B84,input_522010!L:R,7,FALSE),VLOOKUP(tables_522010!C84,input_522010!A:H,8,FALSE))</f>
        <v>463887</v>
      </c>
      <c r="P84" s="46">
        <f t="shared" ca="1" si="4"/>
        <v>3.5384210526304967E-3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input_522010!A$2</f>
        <v>522010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IFERROR(VLOOKUP(B85,input_522010!L:R,7,FALSE),VLOOKUP(tables_522010!C85,input_522010!A:H,8,FALSE))</f>
        <v>547121.98077000002</v>
      </c>
      <c r="P85" s="46">
        <f t="shared" ca="1" si="4"/>
        <v>4.1733179311200051E-3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input_522010!A$2</f>
        <v>522010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IFERROR(VLOOKUP(B86,input_522010!L:R,7,FALSE),VLOOKUP(tables_522010!C86,input_522010!A:H,8,FALSE))</f>
        <v>19851.019230000002</v>
      </c>
      <c r="P86" s="46">
        <f t="shared" ca="1" si="4"/>
        <v>1.514189109839354E-4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input_522010!A$2</f>
        <v>522010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IFERROR(VLOOKUP(B87,input_522010!L:R,7,FALSE),VLOOKUP(tables_522010!C87,input_522010!A:H,8,FALSE))</f>
        <v>463887</v>
      </c>
      <c r="P87" s="46">
        <f t="shared" ca="1" si="4"/>
        <v>3.5384210526304967E-3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input_522010!A$2</f>
        <v>522010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IFERROR(VLOOKUP(B88,input_522010!L:R,7,FALSE),VLOOKUP(tables_522010!C88,input_522010!A:H,8,FALSE))</f>
        <v>547121.98077000002</v>
      </c>
      <c r="P88" s="46">
        <f t="shared" ca="1" si="4"/>
        <v>4.1733179311200051E-3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input_522010!A$2</f>
        <v>522010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IFERROR(VLOOKUP(B89,input_522010!L:R,7,FALSE),VLOOKUP(tables_522010!C89,input_522010!A:H,8,FALSE))</f>
        <v>19851.019230000002</v>
      </c>
      <c r="P89" s="46">
        <f t="shared" ca="1" si="4"/>
        <v>1.514189109839354E-4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input_522010!A$2</f>
        <v>522010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IFERROR(VLOOKUP(B90,input_522010!L:R,7,FALSE),VLOOKUP(tables_522010!C90,input_522010!A:H,8,FALSE))</f>
        <v>463887</v>
      </c>
      <c r="P90" s="46">
        <f t="shared" ca="1" si="4"/>
        <v>3.5384210526304967E-3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input_522010!A$2</f>
        <v>522010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IFERROR(VLOOKUP(B91,input_522010!L:R,7,FALSE),VLOOKUP(tables_522010!C91,input_522010!A:H,8,FALSE))</f>
        <v>547121.98077000002</v>
      </c>
      <c r="P91" s="46">
        <f t="shared" ca="1" si="4"/>
        <v>4.1733179311200051E-3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input_522010!A$2</f>
        <v>522010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IFERROR(VLOOKUP(B92,input_522010!L:R,7,FALSE),VLOOKUP(tables_522010!C92,input_522010!A:H,8,FALSE))</f>
        <v>19851.019230000002</v>
      </c>
      <c r="P92" s="46">
        <f t="shared" ca="1" si="4"/>
        <v>1.514189109839354E-4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input_522010!A$2</f>
        <v>522010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IFERROR(VLOOKUP(B93,input_522010!L:R,7,FALSE),VLOOKUP(tables_522010!C93,input_522010!A:H,8,FALSE))</f>
        <v>463887</v>
      </c>
      <c r="P93" s="46">
        <f t="shared" ca="1" si="4"/>
        <v>3.5384210526304967E-3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input_522010!A$2</f>
        <v>522010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IFERROR(VLOOKUP(B94,input_522010!L:R,7,FALSE),VLOOKUP(tables_522010!C94,input_522010!A:H,8,FALSE))</f>
        <v>547121.98077000002</v>
      </c>
      <c r="P94" s="46">
        <f t="shared" ca="1" si="4"/>
        <v>4.1733179311200051E-3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input_522010!A$2</f>
        <v>522010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IFERROR(VLOOKUP(B95,input_522010!L:R,7,FALSE),VLOOKUP(tables_522010!C95,input_522010!A:H,8,FALSE))</f>
        <v>19851.019230000002</v>
      </c>
      <c r="P95" s="46">
        <f t="shared" ca="1" si="4"/>
        <v>1.514189109839354E-4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input_522010!A$2</f>
        <v>522010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IFERROR(VLOOKUP(B96,input_522010!L:R,7,FALSE),VLOOKUP(tables_522010!C96,input_522010!A:H,8,FALSE))</f>
        <v>463887</v>
      </c>
      <c r="P96" s="46">
        <f t="shared" ca="1" si="4"/>
        <v>3.5384210526304967E-3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input_522010!A$2</f>
        <v>522010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IFERROR(VLOOKUP(B97,input_522010!L:R,7,FALSE),VLOOKUP(tables_522010!C97,input_522010!A:H,8,FALSE))</f>
        <v>547121.98077000002</v>
      </c>
      <c r="P97" s="46">
        <f t="shared" ca="1" si="4"/>
        <v>4.1733179311200051E-3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input_522010!A$2</f>
        <v>522010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IFERROR(VLOOKUP(B98,input_522010!L:R,7,FALSE),VLOOKUP(tables_522010!C98,input_522010!A:H,8,FALSE))</f>
        <v>19851.019230000002</v>
      </c>
      <c r="P98" s="46">
        <f t="shared" ca="1" si="4"/>
        <v>1.514189109839354E-4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input_522010!A$2</f>
        <v>522010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IFERROR(VLOOKUP(B99,input_522010!L:R,7,FALSE),VLOOKUP(tables_522010!C99,input_522010!A:H,8,FALSE))</f>
        <v>463887</v>
      </c>
      <c r="P99" s="46">
        <f t="shared" ca="1" si="4"/>
        <v>3.5384210526304967E-3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input_522010!A$2</f>
        <v>522010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IFERROR(VLOOKUP(B100,input_522010!L:R,7,FALSE),VLOOKUP(tables_522010!C100,input_522010!A:H,8,FALSE))</f>
        <v>547121.98077000002</v>
      </c>
      <c r="P100" s="46">
        <f t="shared" ca="1" si="4"/>
        <v>4.1733179311200051E-3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input_522010!A$2</f>
        <v>522010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IFERROR(VLOOKUP(B101,input_522010!L:R,7,FALSE),VLOOKUP(tables_522010!C101,input_522010!A:H,8,FALSE))</f>
        <v>19851.019230000002</v>
      </c>
      <c r="P101" s="46">
        <f t="shared" ca="1" si="4"/>
        <v>1.514189109839354E-4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input_522010!A$2</f>
        <v>522010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IFERROR(VLOOKUP(B102,input_522010!L:R,7,FALSE),VLOOKUP(tables_522010!C102,input_522010!A:H,8,FALSE))</f>
        <v>463887</v>
      </c>
      <c r="P102" s="46">
        <f t="shared" ca="1" si="4"/>
        <v>3.5384210526304967E-3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input_522010!A$2</f>
        <v>522010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IFERROR(VLOOKUP(B103,input_522010!L:R,7,FALSE),VLOOKUP(tables_522010!C103,input_522010!A:H,8,FALSE))</f>
        <v>547121.98077000002</v>
      </c>
      <c r="P103" s="46">
        <f t="shared" ca="1" si="4"/>
        <v>4.1733179311200051E-3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input_522010!A$2</f>
        <v>522010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IFERROR(VLOOKUP(B104,input_522010!L:R,7,FALSE),VLOOKUP(tables_522010!C104,input_522010!A:H,8,FALSE))</f>
        <v>19851.019230000002</v>
      </c>
      <c r="P104" s="46">
        <f t="shared" ca="1" si="4"/>
        <v>1.514189109839354E-4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input_522010!A$2</f>
        <v>522010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IFERROR(VLOOKUP(B105,input_522010!L:R,7,FALSE),VLOOKUP(tables_522010!C105,input_522010!A:H,8,FALSE))</f>
        <v>463887</v>
      </c>
      <c r="P105" s="46">
        <f t="shared" ca="1" si="4"/>
        <v>3.5384210526304967E-3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input_522010!A$2</f>
        <v>522010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IFERROR(VLOOKUP(B106,input_522010!L:R,7,FALSE),VLOOKUP(tables_522010!C106,input_522010!A:H,8,FALSE))</f>
        <v>547121.98077000002</v>
      </c>
      <c r="P106" s="46">
        <f t="shared" ca="1" si="4"/>
        <v>4.1733179311200051E-3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input_522010!A$2</f>
        <v>522010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IFERROR(VLOOKUP(B107,input_522010!L:R,7,FALSE),VLOOKUP(tables_522010!C107,input_522010!A:H,8,FALSE))</f>
        <v>19851.019230000002</v>
      </c>
      <c r="P107" s="46">
        <f t="shared" ca="1" si="4"/>
        <v>1.514189109839354E-4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input_522010!A$2</f>
        <v>522010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IFERROR(VLOOKUP(B108,input_522010!L:R,7,FALSE),VLOOKUP(tables_522010!C108,input_522010!A:H,8,FALSE))</f>
        <v>463887</v>
      </c>
      <c r="P108" s="46">
        <f t="shared" ca="1" si="4"/>
        <v>3.5384210526304967E-3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input_522010!A$2</f>
        <v>522010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IFERROR(VLOOKUP(B109,input_522010!L:R,7,FALSE),VLOOKUP(tables_522010!C109,input_522010!A:H,8,FALSE))</f>
        <v>547121.98077000002</v>
      </c>
      <c r="P109" s="46">
        <f t="shared" ca="1" si="4"/>
        <v>4.1733179311200051E-3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input_522010!A$2</f>
        <v>522010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IFERROR(VLOOKUP(B110,input_522010!L:R,7,FALSE),VLOOKUP(tables_522010!C110,input_522010!A:H,8,FALSE))</f>
        <v>19851.019230000002</v>
      </c>
      <c r="P110" s="46">
        <f t="shared" ca="1" si="4"/>
        <v>1.514189109839354E-4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input_522010!A$2</f>
        <v>522010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IFERROR(VLOOKUP(B111,input_522010!L:R,7,FALSE),VLOOKUP(tables_522010!C111,input_522010!A:H,8,FALSE))</f>
        <v>463887</v>
      </c>
      <c r="P111" s="46">
        <f t="shared" ca="1" si="4"/>
        <v>3.5384210526304967E-3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input_522010!A$2</f>
        <v>522010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IFERROR(VLOOKUP(B112,input_522010!L:R,7,FALSE),VLOOKUP(tables_522010!C112,input_522010!A:H,8,FALSE))</f>
        <v>515430</v>
      </c>
      <c r="P112" s="46">
        <f t="shared" ca="1" si="4"/>
        <v>3.9315789473672183E-3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input_522010!A$2</f>
        <v>522010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IFERROR(VLOOKUP(B113,input_522010!L:R,7,FALSE),VLOOKUP(tables_522010!C113,input_522010!A:H,8,FALSE))</f>
        <v>51543</v>
      </c>
      <c r="P113" s="46">
        <f t="shared" ca="1" si="4"/>
        <v>3.9315789473672188E-4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input_522010!A$2</f>
        <v>522010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IFERROR(VLOOKUP(B114,input_522010!L:R,7,FALSE),VLOOKUP(tables_522010!C114,input_522010!A:H,8,FALSE))</f>
        <v>463887</v>
      </c>
      <c r="P114" s="46">
        <f t="shared" ca="1" si="4"/>
        <v>3.5384210526304967E-3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input_522010!A$2</f>
        <v>522010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IFERROR(VLOOKUP(B115,input_522010!L:R,7,FALSE),VLOOKUP(tables_522010!C115,input_522010!A:H,8,FALSE))</f>
        <v>547121.98077000002</v>
      </c>
      <c r="P115" s="46">
        <f t="shared" ca="1" si="4"/>
        <v>4.1733179311200051E-3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input_522010!A$2</f>
        <v>522010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IFERROR(VLOOKUP(B116,input_522010!L:R,7,FALSE),VLOOKUP(tables_522010!C116,input_522010!A:H,8,FALSE))</f>
        <v>19851.019230000002</v>
      </c>
      <c r="P116" s="46">
        <f t="shared" ca="1" si="4"/>
        <v>1.514189109839354E-4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input_522010!A$2</f>
        <v>522010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IFERROR(VLOOKUP(B117,input_522010!L:R,7,FALSE),VLOOKUP(tables_522010!C117,input_522010!A:H,8,FALSE))</f>
        <v>463887</v>
      </c>
      <c r="P117" s="46">
        <f t="shared" ca="1" si="4"/>
        <v>3.5384210526304967E-3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input_522010!A$2</f>
        <v>522010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IFERROR(VLOOKUP(B118,input_522010!L:R,7,FALSE),VLOOKUP(tables_522010!C118,input_522010!A:H,8,FALSE))</f>
        <v>547121.98077000002</v>
      </c>
      <c r="P118" s="46">
        <f t="shared" ca="1" si="4"/>
        <v>4.1733179311200051E-3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input_522010!A$2</f>
        <v>522010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IFERROR(VLOOKUP(B119,input_522010!L:R,7,FALSE),VLOOKUP(tables_522010!C119,input_522010!A:H,8,FALSE))</f>
        <v>19851.019230000002</v>
      </c>
      <c r="P119" s="46">
        <f t="shared" ca="1" si="4"/>
        <v>1.514189109839354E-4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input_522010!A$2</f>
        <v>522010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IFERROR(VLOOKUP(B120,input_522010!L:R,7,FALSE),VLOOKUP(tables_522010!C120,input_522010!A:H,8,FALSE))</f>
        <v>463887</v>
      </c>
      <c r="P120" s="46">
        <f t="shared" ca="1" si="4"/>
        <v>3.5384210526304967E-3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input_522010!A$2</f>
        <v>522010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IFERROR(VLOOKUP(B121,input_522010!L:R,7,FALSE),VLOOKUP(tables_522010!C121,input_522010!A:H,8,FALSE))</f>
        <v>547121.98077000002</v>
      </c>
      <c r="P121" s="46">
        <f t="shared" ca="1" si="4"/>
        <v>4.1733179311200051E-3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input_522010!A$2</f>
        <v>522010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IFERROR(VLOOKUP(B122,input_522010!L:R,7,FALSE),VLOOKUP(tables_522010!C122,input_522010!A:H,8,FALSE))</f>
        <v>19851.019230000002</v>
      </c>
      <c r="P122" s="46">
        <f t="shared" ca="1" si="4"/>
        <v>1.514189109839354E-4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input_522010!A$2</f>
        <v>522010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IFERROR(VLOOKUP(B123,input_522010!L:R,7,FALSE),VLOOKUP(tables_522010!C123,input_522010!A:H,8,FALSE))</f>
        <v>463887</v>
      </c>
      <c r="P123" s="46">
        <f t="shared" ca="1" si="4"/>
        <v>3.5384210526304967E-3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input_522010!A$2</f>
        <v>522010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IFERROR(VLOOKUP(B124,input_522010!L:R,7,FALSE),VLOOKUP(tables_522010!C124,input_522010!A:H,8,FALSE))</f>
        <v>547121.98077000002</v>
      </c>
      <c r="P124" s="46">
        <f t="shared" ca="1" si="4"/>
        <v>4.1733179311200051E-3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input_522010!A$2</f>
        <v>522010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IFERROR(VLOOKUP(B125,input_522010!L:R,7,FALSE),VLOOKUP(tables_522010!C125,input_522010!A:H,8,FALSE))</f>
        <v>19851.019230000002</v>
      </c>
      <c r="P125" s="46">
        <f t="shared" ca="1" si="4"/>
        <v>1.514189109839354E-4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input_522010!A$2</f>
        <v>522010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IFERROR(VLOOKUP(B126,input_522010!L:R,7,FALSE),VLOOKUP(tables_522010!C126,input_522010!A:H,8,FALSE))</f>
        <v>463887</v>
      </c>
      <c r="P126" s="46">
        <f t="shared" ca="1" si="4"/>
        <v>3.5384210526304967E-3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input_522010!A$2</f>
        <v>522010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IFERROR(VLOOKUP(B127,input_522010!L:R,7,FALSE),VLOOKUP(tables_522010!C127,input_522010!A:H,8,FALSE))</f>
        <v>547121.98077000002</v>
      </c>
      <c r="P127" s="46">
        <f t="shared" ca="1" si="4"/>
        <v>4.1733179311200051E-3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input_522010!A$2</f>
        <v>522010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IFERROR(VLOOKUP(B128,input_522010!L:R,7,FALSE),VLOOKUP(tables_522010!C128,input_522010!A:H,8,FALSE))</f>
        <v>19851.019230000002</v>
      </c>
      <c r="P128" s="46">
        <f t="shared" ca="1" si="4"/>
        <v>1.514189109839354E-4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input_522010!A$2</f>
        <v>522010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IFERROR(VLOOKUP(B129,input_522010!L:R,7,FALSE),VLOOKUP(tables_522010!C129,input_522010!A:H,8,FALSE))</f>
        <v>463887</v>
      </c>
      <c r="P129" s="46">
        <f t="shared" ca="1" si="4"/>
        <v>3.5384210526304967E-3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input_522010!A$2</f>
        <v>522010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IFERROR(VLOOKUP(B130,input_522010!L:R,7,FALSE),VLOOKUP(tables_522010!C130,input_522010!A:H,8,FALSE))</f>
        <v>547121.98077000002</v>
      </c>
      <c r="P130" s="46">
        <f t="shared" ref="P130:P193" ca="1" si="7">O130/SUM(O:O)</f>
        <v>4.1733179311200051E-3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input_522010!A$2</f>
        <v>522010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IFERROR(VLOOKUP(B131,input_522010!L:R,7,FALSE),VLOOKUP(tables_522010!C131,input_522010!A:H,8,FALSE))</f>
        <v>19851.019230000002</v>
      </c>
      <c r="P131" s="46">
        <f t="shared" ca="1" si="7"/>
        <v>1.514189109839354E-4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input_522010!A$2</f>
        <v>522010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IFERROR(VLOOKUP(B132,input_522010!L:R,7,FALSE),VLOOKUP(tables_522010!C132,input_522010!A:H,8,FALSE))</f>
        <v>463887</v>
      </c>
      <c r="P132" s="46">
        <f t="shared" ca="1" si="7"/>
        <v>3.5384210526304967E-3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input_522010!A$2</f>
        <v>522010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IFERROR(VLOOKUP(B133,input_522010!L:R,7,FALSE),VLOOKUP(tables_522010!C133,input_522010!A:H,8,FALSE))</f>
        <v>547121.98077000002</v>
      </c>
      <c r="P133" s="46">
        <f t="shared" ca="1" si="7"/>
        <v>4.1733179311200051E-3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input_522010!A$2</f>
        <v>522010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IFERROR(VLOOKUP(B134,input_522010!L:R,7,FALSE),VLOOKUP(tables_522010!C134,input_522010!A:H,8,FALSE))</f>
        <v>19851.019230000002</v>
      </c>
      <c r="P134" s="46">
        <f t="shared" ca="1" si="7"/>
        <v>1.514189109839354E-4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input_522010!A$2</f>
        <v>522010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IFERROR(VLOOKUP(B135,input_522010!L:R,7,FALSE),VLOOKUP(tables_522010!C135,input_522010!A:H,8,FALSE))</f>
        <v>463887</v>
      </c>
      <c r="P135" s="46">
        <f t="shared" ca="1" si="7"/>
        <v>3.5384210526304967E-3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input_522010!A$2</f>
        <v>522010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IFERROR(VLOOKUP(B136,input_522010!L:R,7,FALSE),VLOOKUP(tables_522010!C136,input_522010!A:H,8,FALSE))</f>
        <v>547121.98077000002</v>
      </c>
      <c r="P136" s="46">
        <f t="shared" ca="1" si="7"/>
        <v>4.1733179311200051E-3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input_522010!A$2</f>
        <v>522010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IFERROR(VLOOKUP(B137,input_522010!L:R,7,FALSE),VLOOKUP(tables_522010!C137,input_522010!A:H,8,FALSE))</f>
        <v>19851.019230000002</v>
      </c>
      <c r="P137" s="46">
        <f t="shared" ca="1" si="7"/>
        <v>1.514189109839354E-4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input_522010!A$2</f>
        <v>522010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IFERROR(VLOOKUP(B138,input_522010!L:R,7,FALSE),VLOOKUP(tables_522010!C138,input_522010!A:H,8,FALSE))</f>
        <v>90250</v>
      </c>
      <c r="P138" s="46">
        <f t="shared" ca="1" si="7"/>
        <v>6.8840579710123875E-4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input_522010!A$2</f>
        <v>522010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IFERROR(VLOOKUP(B139,input_522010!L:R,7,FALSE),VLOOKUP(tables_522010!C139,input_522010!A:H,8,FALSE))</f>
        <v>4750</v>
      </c>
      <c r="P139" s="46">
        <f t="shared" ca="1" si="7"/>
        <v>3.6231884057959934E-5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input_522010!A$2</f>
        <v>522010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IFERROR(VLOOKUP(B140,input_522010!L:R,7,FALSE),VLOOKUP(tables_522010!C140,input_522010!A:H,8,FALSE))</f>
        <v>90250</v>
      </c>
      <c r="P140" s="46">
        <f t="shared" ca="1" si="7"/>
        <v>6.8840579710123875E-4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input_522010!A$2</f>
        <v>522010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IFERROR(VLOOKUP(B141,input_522010!L:R,7,FALSE),VLOOKUP(tables_522010!C141,input_522010!A:H,8,FALSE))</f>
        <v>4750</v>
      </c>
      <c r="P141" s="46">
        <f t="shared" ca="1" si="7"/>
        <v>3.6231884057959934E-5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input_522010!A$2</f>
        <v>522010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IFERROR(VLOOKUP(B142,input_522010!L:R,7,FALSE),VLOOKUP(tables_522010!C142,input_522010!A:H,8,FALSE))</f>
        <v>90250</v>
      </c>
      <c r="P142" s="46">
        <f t="shared" ca="1" si="7"/>
        <v>6.8840579710123875E-4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input_522010!A$2</f>
        <v>522010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IFERROR(VLOOKUP(B143,input_522010!L:R,7,FALSE),VLOOKUP(tables_522010!C143,input_522010!A:H,8,FALSE))</f>
        <v>4750</v>
      </c>
      <c r="P143" s="46">
        <f t="shared" ca="1" si="7"/>
        <v>3.6231884057959934E-5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input_522010!A$2</f>
        <v>522010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IFERROR(VLOOKUP(B144,input_522010!L:R,7,FALSE),VLOOKUP(tables_522010!C144,input_522010!A:H,8,FALSE))</f>
        <v>90250</v>
      </c>
      <c r="P144" s="46">
        <f t="shared" ca="1" si="7"/>
        <v>6.8840579710123875E-4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input_522010!A$2</f>
        <v>522010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IFERROR(VLOOKUP(B145,input_522010!L:R,7,FALSE),VLOOKUP(tables_522010!C145,input_522010!A:H,8,FALSE))</f>
        <v>4750</v>
      </c>
      <c r="P145" s="46">
        <f t="shared" ca="1" si="7"/>
        <v>3.6231884057959934E-5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input_522010!A$2</f>
        <v>522010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IFERROR(VLOOKUP(B146,input_522010!L:R,7,FALSE),VLOOKUP(tables_522010!C146,input_522010!A:H,8,FALSE))</f>
        <v>463887</v>
      </c>
      <c r="P146" s="46">
        <f t="shared" ca="1" si="7"/>
        <v>3.5384210526304967E-3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input_522010!A$2</f>
        <v>522010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IFERROR(VLOOKUP(B147,input_522010!L:R,7,FALSE),VLOOKUP(tables_522010!C147,input_522010!A:H,8,FALSE))</f>
        <v>547121.98077000002</v>
      </c>
      <c r="P147" s="46">
        <f t="shared" ca="1" si="7"/>
        <v>4.1733179311200051E-3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input_522010!A$2</f>
        <v>522010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IFERROR(VLOOKUP(B148,input_522010!L:R,7,FALSE),VLOOKUP(tables_522010!C148,input_522010!A:H,8,FALSE))</f>
        <v>19851.019230000002</v>
      </c>
      <c r="P148" s="46">
        <f t="shared" ca="1" si="7"/>
        <v>1.514189109839354E-4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input_522010!A$2</f>
        <v>522010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IFERROR(VLOOKUP(B149,input_522010!L:R,7,FALSE),VLOOKUP(tables_522010!C149,input_522010!A:H,8,FALSE))</f>
        <v>90250</v>
      </c>
      <c r="P149" s="46">
        <f t="shared" ca="1" si="7"/>
        <v>6.8840579710123875E-4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input_522010!A$2</f>
        <v>522010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IFERROR(VLOOKUP(B150,input_522010!L:R,7,FALSE),VLOOKUP(tables_522010!C150,input_522010!A:H,8,FALSE))</f>
        <v>4750</v>
      </c>
      <c r="P150" s="46">
        <f t="shared" ca="1" si="7"/>
        <v>3.6231884057959934E-5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input_522010!A$2</f>
        <v>522010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IFERROR(VLOOKUP(B151,input_522010!L:R,7,FALSE),VLOOKUP(tables_522010!C151,input_522010!A:H,8,FALSE))</f>
        <v>90250</v>
      </c>
      <c r="P151" s="46">
        <f t="shared" ca="1" si="7"/>
        <v>6.8840579710123875E-4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input_522010!A$2</f>
        <v>522010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IFERROR(VLOOKUP(B152,input_522010!L:R,7,FALSE),VLOOKUP(tables_522010!C152,input_522010!A:H,8,FALSE))</f>
        <v>4750</v>
      </c>
      <c r="P152" s="46">
        <f t="shared" ca="1" si="7"/>
        <v>3.6231884057959934E-5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input_522010!A$2</f>
        <v>522010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IFERROR(VLOOKUP(B153,input_522010!L:R,7,FALSE),VLOOKUP(tables_522010!C153,input_522010!A:H,8,FALSE))</f>
        <v>463887</v>
      </c>
      <c r="P153" s="46">
        <f t="shared" ca="1" si="7"/>
        <v>3.5384210526304967E-3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input_522010!A$2</f>
        <v>522010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IFERROR(VLOOKUP(B154,input_522010!L:R,7,FALSE),VLOOKUP(tables_522010!C154,input_522010!A:H,8,FALSE))</f>
        <v>547121.98077000002</v>
      </c>
      <c r="P154" s="46">
        <f t="shared" ca="1" si="7"/>
        <v>4.1733179311200051E-3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input_522010!A$2</f>
        <v>522010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IFERROR(VLOOKUP(B155,input_522010!L:R,7,FALSE),VLOOKUP(tables_522010!C155,input_522010!A:H,8,FALSE))</f>
        <v>19851.019230000002</v>
      </c>
      <c r="P155" s="46">
        <f t="shared" ca="1" si="7"/>
        <v>1.514189109839354E-4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input_522010!A$2</f>
        <v>522010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IFERROR(VLOOKUP(B156,input_522010!L:R,7,FALSE),VLOOKUP(tables_522010!C156,input_522010!A:H,8,FALSE))</f>
        <v>90250</v>
      </c>
      <c r="P156" s="46">
        <f t="shared" ca="1" si="7"/>
        <v>6.8840579710123875E-4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input_522010!A$2</f>
        <v>522010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IFERROR(VLOOKUP(B157,input_522010!L:R,7,FALSE),VLOOKUP(tables_522010!C157,input_522010!A:H,8,FALSE))</f>
        <v>4750</v>
      </c>
      <c r="P157" s="46">
        <f t="shared" ca="1" si="7"/>
        <v>3.6231884057959934E-5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input_522010!A$2</f>
        <v>522010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IFERROR(VLOOKUP(B158,input_522010!L:R,7,FALSE),VLOOKUP(tables_522010!C158,input_522010!A:H,8,FALSE))</f>
        <v>463887</v>
      </c>
      <c r="P158" s="46">
        <f t="shared" ca="1" si="7"/>
        <v>3.5384210526304967E-3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input_522010!A$2</f>
        <v>522010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IFERROR(VLOOKUP(B159,input_522010!L:R,7,FALSE),VLOOKUP(tables_522010!C159,input_522010!A:H,8,FALSE))</f>
        <v>547121.98077000002</v>
      </c>
      <c r="P159" s="46">
        <f t="shared" ca="1" si="7"/>
        <v>4.1733179311200051E-3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input_522010!A$2</f>
        <v>522010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IFERROR(VLOOKUP(B160,input_522010!L:R,7,FALSE),VLOOKUP(tables_522010!C160,input_522010!A:H,8,FALSE))</f>
        <v>19851.019230000002</v>
      </c>
      <c r="P160" s="46">
        <f t="shared" ca="1" si="7"/>
        <v>1.514189109839354E-4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input_522010!A$2</f>
        <v>522010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IFERROR(VLOOKUP(B161,input_522010!L:R,7,FALSE),VLOOKUP(tables_522010!C161,input_522010!A:H,8,FALSE))</f>
        <v>463887</v>
      </c>
      <c r="P161" s="46">
        <f t="shared" ca="1" si="7"/>
        <v>3.5384210526304967E-3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input_522010!A$2</f>
        <v>522010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IFERROR(VLOOKUP(B162,input_522010!L:R,7,FALSE),VLOOKUP(tables_522010!C162,input_522010!A:H,8,FALSE))</f>
        <v>547121.98077000002</v>
      </c>
      <c r="P162" s="46">
        <f t="shared" ca="1" si="7"/>
        <v>4.1733179311200051E-3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input_522010!A$2</f>
        <v>522010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IFERROR(VLOOKUP(B163,input_522010!L:R,7,FALSE),VLOOKUP(tables_522010!C163,input_522010!A:H,8,FALSE))</f>
        <v>19851.019230000002</v>
      </c>
      <c r="P163" s="46">
        <f t="shared" ca="1" si="7"/>
        <v>1.514189109839354E-4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input_522010!A$2</f>
        <v>522010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IFERROR(VLOOKUP(B164,input_522010!L:R,7,FALSE),VLOOKUP(tables_522010!C164,input_522010!A:H,8,FALSE))</f>
        <v>90250</v>
      </c>
      <c r="P164" s="46">
        <f t="shared" ca="1" si="7"/>
        <v>6.8840579710123875E-4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input_522010!A$2</f>
        <v>522010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IFERROR(VLOOKUP(B165,input_522010!L:R,7,FALSE),VLOOKUP(tables_522010!C165,input_522010!A:H,8,FALSE))</f>
        <v>4750</v>
      </c>
      <c r="P165" s="46">
        <f t="shared" ca="1" si="7"/>
        <v>3.6231884057959934E-5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input_522010!A$2</f>
        <v>522010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IFERROR(VLOOKUP(B166,input_522010!L:R,7,FALSE),VLOOKUP(tables_522010!C166,input_522010!A:H,8,FALSE))</f>
        <v>463887</v>
      </c>
      <c r="P166" s="46">
        <f t="shared" ca="1" si="7"/>
        <v>3.5384210526304967E-3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input_522010!A$2</f>
        <v>522010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IFERROR(VLOOKUP(B167,input_522010!L:R,7,FALSE),VLOOKUP(tables_522010!C167,input_522010!A:H,8,FALSE))</f>
        <v>547121.98077000002</v>
      </c>
      <c r="P167" s="46">
        <f t="shared" ca="1" si="7"/>
        <v>4.1733179311200051E-3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input_522010!A$2</f>
        <v>522010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IFERROR(VLOOKUP(B168,input_522010!L:R,7,FALSE),VLOOKUP(tables_522010!C168,input_522010!A:H,8,FALSE))</f>
        <v>19851.019230000002</v>
      </c>
      <c r="P168" s="46">
        <f t="shared" ca="1" si="7"/>
        <v>1.514189109839354E-4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input_522010!A$2</f>
        <v>522010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IFERROR(VLOOKUP(B169,input_522010!L:R,7,FALSE),VLOOKUP(tables_522010!C169,input_522010!A:H,8,FALSE))</f>
        <v>90250</v>
      </c>
      <c r="P169" s="46">
        <f t="shared" ca="1" si="7"/>
        <v>6.8840579710123875E-4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input_522010!A$2</f>
        <v>522010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IFERROR(VLOOKUP(B170,input_522010!L:R,7,FALSE),VLOOKUP(tables_522010!C170,input_522010!A:H,8,FALSE))</f>
        <v>4750</v>
      </c>
      <c r="P170" s="46">
        <f t="shared" ca="1" si="7"/>
        <v>3.6231884057959934E-5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input_522010!A$2</f>
        <v>522010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IFERROR(VLOOKUP(B171,input_522010!L:R,7,FALSE),VLOOKUP(tables_522010!C171,input_522010!A:H,8,FALSE))</f>
        <v>463887</v>
      </c>
      <c r="P171" s="46">
        <f t="shared" ca="1" si="7"/>
        <v>3.5384210526304967E-3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input_522010!A$2</f>
        <v>522010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IFERROR(VLOOKUP(B172,input_522010!L:R,7,FALSE),VLOOKUP(tables_522010!C172,input_522010!A:H,8,FALSE))</f>
        <v>547121.98077000002</v>
      </c>
      <c r="P172" s="46">
        <f t="shared" ca="1" si="7"/>
        <v>4.1733179311200051E-3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input_522010!A$2</f>
        <v>522010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IFERROR(VLOOKUP(B173,input_522010!L:R,7,FALSE),VLOOKUP(tables_522010!C173,input_522010!A:H,8,FALSE))</f>
        <v>19851.019230000002</v>
      </c>
      <c r="P173" s="46">
        <f t="shared" ca="1" si="7"/>
        <v>1.514189109839354E-4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input_522010!A$2</f>
        <v>522010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IFERROR(VLOOKUP(B174,input_522010!L:R,7,FALSE),VLOOKUP(tables_522010!C174,input_522010!A:H,8,FALSE))</f>
        <v>90250</v>
      </c>
      <c r="P174" s="46">
        <f t="shared" ca="1" si="7"/>
        <v>6.8840579710123875E-4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input_522010!A$2</f>
        <v>522010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IFERROR(VLOOKUP(B175,input_522010!L:R,7,FALSE),VLOOKUP(tables_522010!C175,input_522010!A:H,8,FALSE))</f>
        <v>4750</v>
      </c>
      <c r="P175" s="46">
        <f t="shared" ca="1" si="7"/>
        <v>3.6231884057959934E-5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input_522010!A$2</f>
        <v>522010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IFERROR(VLOOKUP(B176,input_522010!L:R,7,FALSE),VLOOKUP(tables_522010!C176,input_522010!A:H,8,FALSE))</f>
        <v>90250</v>
      </c>
      <c r="P176" s="46">
        <f t="shared" ca="1" si="7"/>
        <v>6.8840579710123875E-4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input_522010!A$2</f>
        <v>522010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IFERROR(VLOOKUP(B177,input_522010!L:R,7,FALSE),VLOOKUP(tables_522010!C177,input_522010!A:H,8,FALSE))</f>
        <v>4750</v>
      </c>
      <c r="P177" s="46">
        <f t="shared" ca="1" si="7"/>
        <v>3.6231884057959934E-5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input_522010!A$2</f>
        <v>522010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IFERROR(VLOOKUP(B178,input_522010!L:R,7,FALSE),VLOOKUP(tables_522010!C178,input_522010!A:H,8,FALSE))</f>
        <v>463887</v>
      </c>
      <c r="P178" s="46">
        <f t="shared" ca="1" si="7"/>
        <v>3.5384210526304967E-3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input_522010!A$2</f>
        <v>522010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IFERROR(VLOOKUP(B179,input_522010!L:R,7,FALSE),VLOOKUP(tables_522010!C179,input_522010!A:H,8,FALSE))</f>
        <v>547121.98077000002</v>
      </c>
      <c r="P179" s="46">
        <f t="shared" ca="1" si="7"/>
        <v>4.1733179311200051E-3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input_522010!A$2</f>
        <v>522010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IFERROR(VLOOKUP(B180,input_522010!L:R,7,FALSE),VLOOKUP(tables_522010!C180,input_522010!A:H,8,FALSE))</f>
        <v>19851.019230000002</v>
      </c>
      <c r="P180" s="46">
        <f t="shared" ca="1" si="7"/>
        <v>1.514189109839354E-4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input_522010!A$2</f>
        <v>522010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IFERROR(VLOOKUP(B181,input_522010!L:R,7,FALSE),VLOOKUP(tables_522010!C181,input_522010!A:H,8,FALSE))</f>
        <v>463887</v>
      </c>
      <c r="P181" s="46">
        <f t="shared" ca="1" si="7"/>
        <v>3.5384210526304967E-3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input_522010!A$2</f>
        <v>522010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IFERROR(VLOOKUP(B182,input_522010!L:R,7,FALSE),VLOOKUP(tables_522010!C182,input_522010!A:H,8,FALSE))</f>
        <v>547121.98077000002</v>
      </c>
      <c r="P182" s="46">
        <f t="shared" ca="1" si="7"/>
        <v>4.1733179311200051E-3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input_522010!A$2</f>
        <v>522010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IFERROR(VLOOKUP(B183,input_522010!L:R,7,FALSE),VLOOKUP(tables_522010!C183,input_522010!A:H,8,FALSE))</f>
        <v>19851.019230000002</v>
      </c>
      <c r="P183" s="46">
        <f t="shared" ca="1" si="7"/>
        <v>1.514189109839354E-4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input_522010!A$2</f>
        <v>522010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IFERROR(VLOOKUP(B184,input_522010!L:R,7,FALSE),VLOOKUP(tables_522010!C184,input_522010!A:H,8,FALSE))</f>
        <v>90250</v>
      </c>
      <c r="P184" s="46">
        <f t="shared" ca="1" si="7"/>
        <v>6.8840579710123875E-4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input_522010!A$2</f>
        <v>522010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IFERROR(VLOOKUP(B185,input_522010!L:R,7,FALSE),VLOOKUP(tables_522010!C185,input_522010!A:H,8,FALSE))</f>
        <v>4750</v>
      </c>
      <c r="P185" s="46">
        <f t="shared" ca="1" si="7"/>
        <v>3.6231884057959934E-5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input_522010!A$2</f>
        <v>522010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IFERROR(VLOOKUP(B186,input_522010!L:R,7,FALSE),VLOOKUP(tables_522010!C186,input_522010!A:H,8,FALSE))</f>
        <v>463887</v>
      </c>
      <c r="P186" s="46">
        <f t="shared" ca="1" si="7"/>
        <v>3.5384210526304967E-3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input_522010!A$2</f>
        <v>522010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IFERROR(VLOOKUP(B187,input_522010!L:R,7,FALSE),VLOOKUP(tables_522010!C187,input_522010!A:H,8,FALSE))</f>
        <v>547121.98077000002</v>
      </c>
      <c r="P187" s="46">
        <f t="shared" ca="1" si="7"/>
        <v>4.1733179311200051E-3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input_522010!A$2</f>
        <v>522010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IFERROR(VLOOKUP(B188,input_522010!L:R,7,FALSE),VLOOKUP(tables_522010!C188,input_522010!A:H,8,FALSE))</f>
        <v>19851.019230000002</v>
      </c>
      <c r="P188" s="46">
        <f t="shared" ca="1" si="7"/>
        <v>1.514189109839354E-4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input_522010!A$2</f>
        <v>522010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IFERROR(VLOOKUP(B189,input_522010!L:R,7,FALSE),VLOOKUP(tables_522010!C189,input_522010!A:H,8,FALSE))</f>
        <v>90250</v>
      </c>
      <c r="P189" s="46">
        <f t="shared" ca="1" si="7"/>
        <v>6.8840579710123875E-4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input_522010!A$2</f>
        <v>522010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IFERROR(VLOOKUP(B190,input_522010!L:R,7,FALSE),VLOOKUP(tables_522010!C190,input_522010!A:H,8,FALSE))</f>
        <v>4750</v>
      </c>
      <c r="P190" s="46">
        <f t="shared" ca="1" si="7"/>
        <v>3.6231884057959934E-5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input_522010!A$2</f>
        <v>522010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IFERROR(VLOOKUP(B191,input_522010!L:R,7,FALSE),VLOOKUP(tables_522010!C191,input_522010!A:H,8,FALSE))</f>
        <v>90250</v>
      </c>
      <c r="P191" s="46">
        <f t="shared" ca="1" si="7"/>
        <v>6.8840579710123875E-4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input_522010!A$2</f>
        <v>522010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IFERROR(VLOOKUP(B192,input_522010!L:R,7,FALSE),VLOOKUP(tables_522010!C192,input_522010!A:H,8,FALSE))</f>
        <v>4750</v>
      </c>
      <c r="P192" s="46">
        <f t="shared" ca="1" si="7"/>
        <v>3.6231884057959934E-5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input_522010!A$2</f>
        <v>522010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IFERROR(VLOOKUP(B193,input_522010!L:R,7,FALSE),VLOOKUP(tables_522010!C193,input_522010!A:H,8,FALSE))</f>
        <v>463887</v>
      </c>
      <c r="P193" s="46">
        <f t="shared" ca="1" si="7"/>
        <v>3.5384210526304967E-3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input_522010!A$2</f>
        <v>522010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IFERROR(VLOOKUP(B194,input_522010!L:R,7,FALSE),VLOOKUP(tables_522010!C194,input_522010!A:H,8,FALSE))</f>
        <v>547121.98077000002</v>
      </c>
      <c r="P194" s="46">
        <f t="shared" ref="P194:P257" ca="1" si="10">O194/SUM(O:O)</f>
        <v>4.1733179311200051E-3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input_522010!A$2</f>
        <v>522010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IFERROR(VLOOKUP(B195,input_522010!L:R,7,FALSE),VLOOKUP(tables_522010!C195,input_522010!A:H,8,FALSE))</f>
        <v>19851.019230000002</v>
      </c>
      <c r="P195" s="46">
        <f t="shared" ca="1" si="10"/>
        <v>1.514189109839354E-4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input_522010!A$2</f>
        <v>522010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IFERROR(VLOOKUP(B196,input_522010!L:R,7,FALSE),VLOOKUP(tables_522010!C196,input_522010!A:H,8,FALSE))</f>
        <v>90250</v>
      </c>
      <c r="P196" s="46">
        <f t="shared" ca="1" si="10"/>
        <v>6.8840579710123875E-4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input_522010!A$2</f>
        <v>522010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IFERROR(VLOOKUP(B197,input_522010!L:R,7,FALSE),VLOOKUP(tables_522010!C197,input_522010!A:H,8,FALSE))</f>
        <v>4750</v>
      </c>
      <c r="P197" s="46">
        <f t="shared" ca="1" si="10"/>
        <v>3.6231884057959934E-5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input_522010!A$2</f>
        <v>522010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IFERROR(VLOOKUP(B198,input_522010!L:R,7,FALSE),VLOOKUP(tables_522010!C198,input_522010!A:H,8,FALSE))</f>
        <v>463887</v>
      </c>
      <c r="P198" s="46">
        <f t="shared" ca="1" si="10"/>
        <v>3.5384210526304967E-3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input_522010!A$2</f>
        <v>522010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IFERROR(VLOOKUP(B199,input_522010!L:R,7,FALSE),VLOOKUP(tables_522010!C199,input_522010!A:H,8,FALSE))</f>
        <v>547121.98077000002</v>
      </c>
      <c r="P199" s="46">
        <f t="shared" ca="1" si="10"/>
        <v>4.1733179311200051E-3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input_522010!A$2</f>
        <v>522010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IFERROR(VLOOKUP(B200,input_522010!L:R,7,FALSE),VLOOKUP(tables_522010!C200,input_522010!A:H,8,FALSE))</f>
        <v>19851.019230000002</v>
      </c>
      <c r="P200" s="46">
        <f t="shared" ca="1" si="10"/>
        <v>1.514189109839354E-4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input_522010!A$2</f>
        <v>522010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IFERROR(VLOOKUP(B201,input_522010!L:R,7,FALSE),VLOOKUP(tables_522010!C201,input_522010!A:H,8,FALSE))</f>
        <v>90250</v>
      </c>
      <c r="P201" s="46">
        <f t="shared" ca="1" si="10"/>
        <v>6.8840579710123875E-4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input_522010!A$2</f>
        <v>522010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IFERROR(VLOOKUP(B202,input_522010!L:R,7,FALSE),VLOOKUP(tables_522010!C202,input_522010!A:H,8,FALSE))</f>
        <v>4750</v>
      </c>
      <c r="P202" s="46">
        <f t="shared" ca="1" si="10"/>
        <v>3.6231884057959934E-5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input_522010!A$2</f>
        <v>522010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IFERROR(VLOOKUP(B203,input_522010!L:R,7,FALSE),VLOOKUP(tables_522010!C203,input_522010!A:H,8,FALSE))</f>
        <v>463887</v>
      </c>
      <c r="P203" s="46">
        <f t="shared" ca="1" si="10"/>
        <v>3.5384210526304967E-3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input_522010!A$2</f>
        <v>522010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IFERROR(VLOOKUP(B204,input_522010!L:R,7,FALSE),VLOOKUP(tables_522010!C204,input_522010!A:H,8,FALSE))</f>
        <v>547121.98077000002</v>
      </c>
      <c r="P204" s="46">
        <f t="shared" ca="1" si="10"/>
        <v>4.1733179311200051E-3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input_522010!A$2</f>
        <v>522010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IFERROR(VLOOKUP(B205,input_522010!L:R,7,FALSE),VLOOKUP(tables_522010!C205,input_522010!A:H,8,FALSE))</f>
        <v>19851.019230000002</v>
      </c>
      <c r="P205" s="46">
        <f t="shared" ca="1" si="10"/>
        <v>1.514189109839354E-4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input_522010!A$2</f>
        <v>522010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IFERROR(VLOOKUP(B206,input_522010!L:R,7,FALSE),VLOOKUP(tables_522010!C206,input_522010!A:H,8,FALSE))</f>
        <v>90250</v>
      </c>
      <c r="P206" s="46">
        <f t="shared" ca="1" si="10"/>
        <v>6.8840579710123875E-4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input_522010!A$2</f>
        <v>522010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IFERROR(VLOOKUP(B207,input_522010!L:R,7,FALSE),VLOOKUP(tables_522010!C207,input_522010!A:H,8,FALSE))</f>
        <v>4750</v>
      </c>
      <c r="P207" s="46">
        <f t="shared" ca="1" si="10"/>
        <v>3.6231884057959934E-5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input_522010!A$2</f>
        <v>522010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IFERROR(VLOOKUP(B208,input_522010!L:R,7,FALSE),VLOOKUP(tables_522010!C208,input_522010!A:H,8,FALSE))</f>
        <v>90250</v>
      </c>
      <c r="P208" s="46">
        <f t="shared" ca="1" si="10"/>
        <v>6.8840579710123875E-4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input_522010!A$2</f>
        <v>522010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IFERROR(VLOOKUP(B209,input_522010!L:R,7,FALSE),VLOOKUP(tables_522010!C209,input_522010!A:H,8,FALSE))</f>
        <v>4750</v>
      </c>
      <c r="P209" s="46">
        <f t="shared" ca="1" si="10"/>
        <v>3.6231884057959934E-5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input_522010!A$2</f>
        <v>522010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IFERROR(VLOOKUP(B210,input_522010!L:R,7,FALSE),VLOOKUP(tables_522010!C210,input_522010!A:H,8,FALSE))</f>
        <v>463887</v>
      </c>
      <c r="P210" s="46">
        <f t="shared" ca="1" si="10"/>
        <v>3.5384210526304967E-3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input_522010!A$2</f>
        <v>522010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IFERROR(VLOOKUP(B211,input_522010!L:R,7,FALSE),VLOOKUP(tables_522010!C211,input_522010!A:H,8,FALSE))</f>
        <v>547121.98077000002</v>
      </c>
      <c r="P211" s="46">
        <f t="shared" ca="1" si="10"/>
        <v>4.1733179311200051E-3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input_522010!A$2</f>
        <v>522010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IFERROR(VLOOKUP(B212,input_522010!L:R,7,FALSE),VLOOKUP(tables_522010!C212,input_522010!A:H,8,FALSE))</f>
        <v>19851.019230000002</v>
      </c>
      <c r="P212" s="46">
        <f t="shared" ca="1" si="10"/>
        <v>1.514189109839354E-4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input_522010!A$2</f>
        <v>522010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IFERROR(VLOOKUP(B213,input_522010!L:R,7,FALSE),VLOOKUP(tables_522010!C213,input_522010!A:H,8,FALSE))</f>
        <v>90250</v>
      </c>
      <c r="P213" s="46">
        <f t="shared" ca="1" si="10"/>
        <v>6.8840579710123875E-4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input_522010!A$2</f>
        <v>522010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IFERROR(VLOOKUP(B214,input_522010!L:R,7,FALSE),VLOOKUP(tables_522010!C214,input_522010!A:H,8,FALSE))</f>
        <v>4750</v>
      </c>
      <c r="P214" s="46">
        <f t="shared" ca="1" si="10"/>
        <v>3.6231884057959934E-5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input_522010!A$2</f>
        <v>522010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IFERROR(VLOOKUP(B215,input_522010!L:R,7,FALSE),VLOOKUP(tables_522010!C215,input_522010!A:H,8,FALSE))</f>
        <v>51543</v>
      </c>
      <c r="P215" s="46">
        <f t="shared" ca="1" si="10"/>
        <v>3.9315789473672188E-4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input_522010!A$2</f>
        <v>522010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IFERROR(VLOOKUP(B216,input_522010!L:R,7,FALSE),VLOOKUP(tables_522010!C216,input_522010!A:H,8,FALSE))</f>
        <v>51543</v>
      </c>
      <c r="P216" s="46">
        <f t="shared" ca="1" si="10"/>
        <v>3.9315789473672188E-4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input_522010!A$2</f>
        <v>522010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IFERROR(VLOOKUP(B217,input_522010!L:R,7,FALSE),VLOOKUP(tables_522010!C217,input_522010!A:H,8,FALSE))</f>
        <v>51543</v>
      </c>
      <c r="P217" s="46">
        <f t="shared" ca="1" si="10"/>
        <v>3.9315789473672188E-4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input_522010!A$2</f>
        <v>522010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IFERROR(VLOOKUP(B218,input_522010!L:R,7,FALSE),VLOOKUP(tables_522010!C218,input_522010!A:H,8,FALSE))</f>
        <v>51543</v>
      </c>
      <c r="P218" s="46">
        <f t="shared" ca="1" si="10"/>
        <v>3.9315789473672188E-4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input_522010!A$2</f>
        <v>522010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IFERROR(VLOOKUP(B219,input_522010!L:R,7,FALSE),VLOOKUP(tables_522010!C219,input_522010!A:H,8,FALSE))</f>
        <v>51543</v>
      </c>
      <c r="P219" s="46">
        <f t="shared" ca="1" si="10"/>
        <v>3.9315789473672188E-4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input_522010!A$2</f>
        <v>522010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IFERROR(VLOOKUP(B220,input_522010!L:R,7,FALSE),VLOOKUP(tables_522010!C220,input_522010!A:H,8,FALSE))</f>
        <v>51543</v>
      </c>
      <c r="P220" s="46">
        <f t="shared" ca="1" si="10"/>
        <v>3.9315789473672188E-4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input_522010!A$2</f>
        <v>522010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IFERROR(VLOOKUP(B221,input_522010!L:R,7,FALSE),VLOOKUP(tables_522010!C221,input_522010!A:H,8,FALSE))</f>
        <v>90250</v>
      </c>
      <c r="P221" s="46">
        <f t="shared" ca="1" si="10"/>
        <v>6.8840579710123875E-4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input_522010!A$2</f>
        <v>522010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IFERROR(VLOOKUP(B222,input_522010!L:R,7,FALSE),VLOOKUP(tables_522010!C222,input_522010!A:H,8,FALSE))</f>
        <v>4750</v>
      </c>
      <c r="P222" s="46">
        <f t="shared" ca="1" si="10"/>
        <v>3.6231884057959934E-5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input_522010!A$2</f>
        <v>522010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IFERROR(VLOOKUP(B223,input_522010!L:R,7,FALSE),VLOOKUP(tables_522010!C223,input_522010!A:H,8,FALSE))</f>
        <v>463887</v>
      </c>
      <c r="P223" s="46">
        <f t="shared" ca="1" si="10"/>
        <v>3.5384210526304967E-3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input_522010!A$2</f>
        <v>522010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IFERROR(VLOOKUP(B224,input_522010!L:R,7,FALSE),VLOOKUP(tables_522010!C224,input_522010!A:H,8,FALSE))</f>
        <v>547121.98077000002</v>
      </c>
      <c r="P224" s="46">
        <f t="shared" ca="1" si="10"/>
        <v>4.1733179311200051E-3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input_522010!A$2</f>
        <v>522010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IFERROR(VLOOKUP(B225,input_522010!L:R,7,FALSE),VLOOKUP(tables_522010!C225,input_522010!A:H,8,FALSE))</f>
        <v>19851.019230000002</v>
      </c>
      <c r="P225" s="46">
        <f t="shared" ca="1" si="10"/>
        <v>1.514189109839354E-4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input_522010!A$2</f>
        <v>522010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IFERROR(VLOOKUP(B226,input_522010!L:R,7,FALSE),VLOOKUP(tables_522010!C226,input_522010!A:H,8,FALSE))</f>
        <v>463887</v>
      </c>
      <c r="P226" s="46">
        <f t="shared" ca="1" si="10"/>
        <v>3.5384210526304967E-3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input_522010!A$2</f>
        <v>522010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IFERROR(VLOOKUP(B227,input_522010!L:R,7,FALSE),VLOOKUP(tables_522010!C227,input_522010!A:H,8,FALSE))</f>
        <v>547121.98077000002</v>
      </c>
      <c r="P227" s="46">
        <f t="shared" ca="1" si="10"/>
        <v>4.1733179311200051E-3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input_522010!A$2</f>
        <v>522010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IFERROR(VLOOKUP(B228,input_522010!L:R,7,FALSE),VLOOKUP(tables_522010!C228,input_522010!A:H,8,FALSE))</f>
        <v>19851.019230000002</v>
      </c>
      <c r="P228" s="46">
        <f t="shared" ca="1" si="10"/>
        <v>1.514189109839354E-4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input_522010!A$2</f>
        <v>522010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IFERROR(VLOOKUP(B229,input_522010!L:R,7,FALSE),VLOOKUP(tables_522010!C229,input_522010!A:H,8,FALSE))</f>
        <v>90250</v>
      </c>
      <c r="P229" s="46">
        <f t="shared" ca="1" si="10"/>
        <v>6.8840579710123875E-4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input_522010!A$2</f>
        <v>522010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IFERROR(VLOOKUP(B230,input_522010!L:R,7,FALSE),VLOOKUP(tables_522010!C230,input_522010!A:H,8,FALSE))</f>
        <v>4750</v>
      </c>
      <c r="P230" s="46">
        <f t="shared" ca="1" si="10"/>
        <v>3.6231884057959934E-5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input_522010!A$2</f>
        <v>522010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IFERROR(VLOOKUP(B231,input_522010!L:R,7,FALSE),VLOOKUP(tables_522010!C231,input_522010!A:H,8,FALSE))</f>
        <v>463887</v>
      </c>
      <c r="P231" s="46">
        <f t="shared" ca="1" si="10"/>
        <v>3.5384210526304967E-3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input_522010!A$2</f>
        <v>522010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IFERROR(VLOOKUP(B232,input_522010!L:R,7,FALSE),VLOOKUP(tables_522010!C232,input_522010!A:H,8,FALSE))</f>
        <v>547121.98077000002</v>
      </c>
      <c r="P232" s="46">
        <f t="shared" ca="1" si="10"/>
        <v>4.1733179311200051E-3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input_522010!A$2</f>
        <v>522010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IFERROR(VLOOKUP(B233,input_522010!L:R,7,FALSE),VLOOKUP(tables_522010!C233,input_522010!A:H,8,FALSE))</f>
        <v>19851.019230000002</v>
      </c>
      <c r="P233" s="46">
        <f t="shared" ca="1" si="10"/>
        <v>1.514189109839354E-4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input_522010!A$2</f>
        <v>522010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IFERROR(VLOOKUP(B234,input_522010!L:R,7,FALSE),VLOOKUP(tables_522010!C234,input_522010!A:H,8,FALSE))</f>
        <v>463887</v>
      </c>
      <c r="P234" s="46">
        <f t="shared" ca="1" si="10"/>
        <v>3.5384210526304967E-3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input_522010!A$2</f>
        <v>522010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IFERROR(VLOOKUP(B235,input_522010!L:R,7,FALSE),VLOOKUP(tables_522010!C235,input_522010!A:H,8,FALSE))</f>
        <v>547121.98077000002</v>
      </c>
      <c r="P235" s="46">
        <f t="shared" ca="1" si="10"/>
        <v>4.1733179311200051E-3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input_522010!A$2</f>
        <v>522010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IFERROR(VLOOKUP(B236,input_522010!L:R,7,FALSE),VLOOKUP(tables_522010!C236,input_522010!A:H,8,FALSE))</f>
        <v>19851.019230000002</v>
      </c>
      <c r="P236" s="46">
        <f t="shared" ca="1" si="10"/>
        <v>1.514189109839354E-4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input_522010!A$2</f>
        <v>522010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IFERROR(VLOOKUP(B237,input_522010!L:R,7,FALSE),VLOOKUP(tables_522010!C237,input_522010!A:H,8,FALSE))</f>
        <v>90250</v>
      </c>
      <c r="P237" s="46">
        <f t="shared" ca="1" si="10"/>
        <v>6.8840579710123875E-4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input_522010!A$2</f>
        <v>522010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IFERROR(VLOOKUP(B238,input_522010!L:R,7,FALSE),VLOOKUP(tables_522010!C238,input_522010!A:H,8,FALSE))</f>
        <v>4750</v>
      </c>
      <c r="P238" s="46">
        <f t="shared" ca="1" si="10"/>
        <v>3.6231884057959934E-5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input_522010!A$2</f>
        <v>522010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IFERROR(VLOOKUP(B239,input_522010!L:R,7,FALSE),VLOOKUP(tables_522010!C239,input_522010!A:H,8,FALSE))</f>
        <v>463887</v>
      </c>
      <c r="P239" s="46">
        <f t="shared" ca="1" si="10"/>
        <v>3.5384210526304967E-3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input_522010!A$2</f>
        <v>522010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IFERROR(VLOOKUP(B240,input_522010!L:R,7,FALSE),VLOOKUP(tables_522010!C240,input_522010!A:H,8,FALSE))</f>
        <v>547121.98077000002</v>
      </c>
      <c r="P240" s="46">
        <f t="shared" ca="1" si="10"/>
        <v>4.1733179311200051E-3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input_522010!A$2</f>
        <v>522010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IFERROR(VLOOKUP(B241,input_522010!L:R,7,FALSE),VLOOKUP(tables_522010!C241,input_522010!A:H,8,FALSE))</f>
        <v>19851.019230000002</v>
      </c>
      <c r="P241" s="46">
        <f t="shared" ca="1" si="10"/>
        <v>1.514189109839354E-4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input_522010!A$2</f>
        <v>522010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IFERROR(VLOOKUP(B242,input_522010!L:R,7,FALSE),VLOOKUP(tables_522010!C242,input_522010!A:H,8,FALSE))</f>
        <v>90250</v>
      </c>
      <c r="P242" s="46">
        <f t="shared" ca="1" si="10"/>
        <v>6.8840579710123875E-4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input_522010!A$2</f>
        <v>522010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IFERROR(VLOOKUP(B243,input_522010!L:R,7,FALSE),VLOOKUP(tables_522010!C243,input_522010!A:H,8,FALSE))</f>
        <v>4750</v>
      </c>
      <c r="P243" s="46">
        <f t="shared" ca="1" si="10"/>
        <v>3.6231884057959934E-5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input_522010!A$2</f>
        <v>522010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IFERROR(VLOOKUP(B244,input_522010!L:R,7,FALSE),VLOOKUP(tables_522010!C244,input_522010!A:H,8,FALSE))</f>
        <v>90250</v>
      </c>
      <c r="P244" s="46">
        <f t="shared" ca="1" si="10"/>
        <v>6.8840579710123875E-4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input_522010!A$2</f>
        <v>522010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IFERROR(VLOOKUP(B245,input_522010!L:R,7,FALSE),VLOOKUP(tables_522010!C245,input_522010!A:H,8,FALSE))</f>
        <v>4750</v>
      </c>
      <c r="P245" s="46">
        <f t="shared" ca="1" si="10"/>
        <v>3.6231884057959934E-5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input_522010!A$2</f>
        <v>522010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IFERROR(VLOOKUP(B246,input_522010!L:R,7,FALSE),VLOOKUP(tables_522010!C246,input_522010!A:H,8,FALSE))</f>
        <v>463887</v>
      </c>
      <c r="P246" s="46">
        <f t="shared" ca="1" si="10"/>
        <v>3.5384210526304967E-3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input_522010!A$2</f>
        <v>522010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IFERROR(VLOOKUP(B247,input_522010!L:R,7,FALSE),VLOOKUP(tables_522010!C247,input_522010!A:H,8,FALSE))</f>
        <v>547121.98077000002</v>
      </c>
      <c r="P247" s="46">
        <f t="shared" ca="1" si="10"/>
        <v>4.1733179311200051E-3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input_522010!A$2</f>
        <v>522010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IFERROR(VLOOKUP(B248,input_522010!L:R,7,FALSE),VLOOKUP(tables_522010!C248,input_522010!A:H,8,FALSE))</f>
        <v>19851.019230000002</v>
      </c>
      <c r="P248" s="46">
        <f t="shared" ca="1" si="10"/>
        <v>1.514189109839354E-4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input_522010!A$2</f>
        <v>522010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IFERROR(VLOOKUP(B249,input_522010!L:R,7,FALSE),VLOOKUP(tables_522010!C249,input_522010!A:H,8,FALSE))</f>
        <v>463887</v>
      </c>
      <c r="P249" s="46">
        <f t="shared" ca="1" si="10"/>
        <v>3.5384210526304967E-3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input_522010!A$2</f>
        <v>522010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IFERROR(VLOOKUP(B250,input_522010!L:R,7,FALSE),VLOOKUP(tables_522010!C250,input_522010!A:H,8,FALSE))</f>
        <v>547121.98077000002</v>
      </c>
      <c r="P250" s="46">
        <f t="shared" ca="1" si="10"/>
        <v>4.1733179311200051E-3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input_522010!A$2</f>
        <v>522010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IFERROR(VLOOKUP(B251,input_522010!L:R,7,FALSE),VLOOKUP(tables_522010!C251,input_522010!A:H,8,FALSE))</f>
        <v>19851.019230000002</v>
      </c>
      <c r="P251" s="46">
        <f t="shared" ca="1" si="10"/>
        <v>1.514189109839354E-4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input_522010!A$2</f>
        <v>522010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IFERROR(VLOOKUP(B252,input_522010!L:R,7,FALSE),VLOOKUP(tables_522010!C252,input_522010!A:H,8,FALSE))</f>
        <v>463887</v>
      </c>
      <c r="P252" s="46">
        <f t="shared" ca="1" si="10"/>
        <v>3.5384210526304967E-3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input_522010!A$2</f>
        <v>522010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IFERROR(VLOOKUP(B253,input_522010!L:R,7,FALSE),VLOOKUP(tables_522010!C253,input_522010!A:H,8,FALSE))</f>
        <v>547121.98077000002</v>
      </c>
      <c r="P253" s="46">
        <f t="shared" ca="1" si="10"/>
        <v>4.1733179311200051E-3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input_522010!A$2</f>
        <v>522010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IFERROR(VLOOKUP(B254,input_522010!L:R,7,FALSE),VLOOKUP(tables_522010!C254,input_522010!A:H,8,FALSE))</f>
        <v>19851.019230000002</v>
      </c>
      <c r="P254" s="46">
        <f t="shared" ca="1" si="10"/>
        <v>1.514189109839354E-4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input_522010!A$2</f>
        <v>522010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IFERROR(VLOOKUP(B255,input_522010!L:R,7,FALSE),VLOOKUP(tables_522010!C255,input_522010!A:H,8,FALSE))</f>
        <v>463887</v>
      </c>
      <c r="P255" s="46">
        <f t="shared" ca="1" si="10"/>
        <v>3.5384210526304967E-3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input_522010!A$2</f>
        <v>522010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IFERROR(VLOOKUP(B256,input_522010!L:R,7,FALSE),VLOOKUP(tables_522010!C256,input_522010!A:H,8,FALSE))</f>
        <v>547121.98077000002</v>
      </c>
      <c r="P256" s="46">
        <f t="shared" ca="1" si="10"/>
        <v>4.1733179311200051E-3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input_522010!A$2</f>
        <v>522010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IFERROR(VLOOKUP(B257,input_522010!L:R,7,FALSE),VLOOKUP(tables_522010!C257,input_522010!A:H,8,FALSE))</f>
        <v>19851.019230000002</v>
      </c>
      <c r="P257" s="46">
        <f t="shared" ca="1" si="10"/>
        <v>1.514189109839354E-4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input_522010!A$2</f>
        <v>522010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IFERROR(VLOOKUP(B258,input_522010!L:R,7,FALSE),VLOOKUP(tables_522010!C258,input_522010!A:H,8,FALSE))</f>
        <v>90250</v>
      </c>
      <c r="P258" s="46">
        <f t="shared" ref="P258:P321" ca="1" si="13">O258/SUM(O:O)</f>
        <v>6.8840579710123875E-4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input_522010!A$2</f>
        <v>522010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IFERROR(VLOOKUP(B259,input_522010!L:R,7,FALSE),VLOOKUP(tables_522010!C259,input_522010!A:H,8,FALSE))</f>
        <v>4750</v>
      </c>
      <c r="P259" s="46">
        <f t="shared" ca="1" si="13"/>
        <v>3.6231884057959934E-5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input_522010!A$2</f>
        <v>522010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IFERROR(VLOOKUP(B260,input_522010!L:R,7,FALSE),VLOOKUP(tables_522010!C260,input_522010!A:H,8,FALSE))</f>
        <v>90250</v>
      </c>
      <c r="P260" s="46">
        <f t="shared" ca="1" si="13"/>
        <v>6.8840579710123875E-4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input_522010!A$2</f>
        <v>522010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IFERROR(VLOOKUP(B261,input_522010!L:R,7,FALSE),VLOOKUP(tables_522010!C261,input_522010!A:H,8,FALSE))</f>
        <v>4750</v>
      </c>
      <c r="P261" s="46">
        <f t="shared" ca="1" si="13"/>
        <v>3.6231884057959934E-5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input_522010!A$2</f>
        <v>522010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IFERROR(VLOOKUP(B262,input_522010!L:R,7,FALSE),VLOOKUP(tables_522010!C262,input_522010!A:H,8,FALSE))</f>
        <v>963040.26315999997</v>
      </c>
      <c r="P262" s="46">
        <f t="shared" ca="1" si="13"/>
        <v>7.3458448753600716E-3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input_522010!A$2</f>
        <v>522010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IFERROR(VLOOKUP(B263,input_522010!L:R,7,FALSE),VLOOKUP(tables_522010!C263,input_522010!A:H,8,FALSE))</f>
        <v>51543</v>
      </c>
      <c r="P263" s="46">
        <f t="shared" ca="1" si="13"/>
        <v>3.9315789473672188E-4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input_522010!A$2</f>
        <v>522010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IFERROR(VLOOKUP(B264,input_522010!L:R,7,FALSE),VLOOKUP(tables_522010!C264,input_522010!A:H,8,FALSE))</f>
        <v>963040.26315999997</v>
      </c>
      <c r="P264" s="46">
        <f t="shared" ca="1" si="13"/>
        <v>7.3458448753600716E-3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input_522010!A$2</f>
        <v>522010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IFERROR(VLOOKUP(B265,input_522010!L:R,7,FALSE),VLOOKUP(tables_522010!C265,input_522010!A:H,8,FALSE))</f>
        <v>51543</v>
      </c>
      <c r="P265" s="46">
        <f t="shared" ca="1" si="13"/>
        <v>3.9315789473672188E-4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input_522010!A$2</f>
        <v>522010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IFERROR(VLOOKUP(B266,input_522010!L:R,7,FALSE),VLOOKUP(tables_522010!C266,input_522010!A:H,8,FALSE))</f>
        <v>95000</v>
      </c>
      <c r="P266" s="46">
        <f t="shared" ca="1" si="13"/>
        <v>7.2463768115919869E-4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input_522010!A$2</f>
        <v>522010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IFERROR(VLOOKUP(B267,input_522010!L:R,7,FALSE),VLOOKUP(tables_522010!C267,input_522010!A:H,8,FALSE))</f>
        <v>95000</v>
      </c>
      <c r="P267" s="46">
        <f t="shared" ca="1" si="13"/>
        <v>7.2463768115919869E-4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input_522010!A$2</f>
        <v>522010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IFERROR(VLOOKUP(B268,input_522010!L:R,7,FALSE),VLOOKUP(tables_522010!C268,input_522010!A:H,8,FALSE))</f>
        <v>95000</v>
      </c>
      <c r="P268" s="46">
        <f t="shared" ca="1" si="13"/>
        <v>7.2463768115919869E-4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input_522010!A$2</f>
        <v>522010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IFERROR(VLOOKUP(B269,input_522010!L:R,7,FALSE),VLOOKUP(tables_522010!C269,input_522010!A:H,8,FALSE))</f>
        <v>95000</v>
      </c>
      <c r="P269" s="46">
        <f t="shared" ca="1" si="13"/>
        <v>7.2463768115919869E-4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input_522010!A$2</f>
        <v>522010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IFERROR(VLOOKUP(B270,input_522010!L:R,7,FALSE),VLOOKUP(tables_522010!C270,input_522010!A:H,8,FALSE))</f>
        <v>963040.26315999997</v>
      </c>
      <c r="P270" s="46">
        <f t="shared" ca="1" si="13"/>
        <v>7.3458448753600716E-3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input_522010!A$2</f>
        <v>522010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IFERROR(VLOOKUP(B271,input_522010!L:R,7,FALSE),VLOOKUP(tables_522010!C271,input_522010!A:H,8,FALSE))</f>
        <v>51543</v>
      </c>
      <c r="P271" s="46">
        <f t="shared" ca="1" si="13"/>
        <v>3.9315789473672188E-4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input_522010!A$2</f>
        <v>522010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IFERROR(VLOOKUP(B272,input_522010!L:R,7,FALSE),VLOOKUP(tables_522010!C272,input_522010!A:H,8,FALSE))</f>
        <v>963040.26315999997</v>
      </c>
      <c r="P272" s="46">
        <f t="shared" ca="1" si="13"/>
        <v>7.3458448753600716E-3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input_522010!A$2</f>
        <v>522010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IFERROR(VLOOKUP(B273,input_522010!L:R,7,FALSE),VLOOKUP(tables_522010!C273,input_522010!A:H,8,FALSE))</f>
        <v>51543</v>
      </c>
      <c r="P273" s="46">
        <f t="shared" ca="1" si="13"/>
        <v>3.9315789473672188E-4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input_522010!A$2</f>
        <v>522010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IFERROR(VLOOKUP(B274,input_522010!L:R,7,FALSE),VLOOKUP(tables_522010!C274,input_522010!A:H,8,FALSE))</f>
        <v>90250</v>
      </c>
      <c r="P274" s="46">
        <f t="shared" ca="1" si="13"/>
        <v>6.8840579710123875E-4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input_522010!A$2</f>
        <v>522010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IFERROR(VLOOKUP(B275,input_522010!L:R,7,FALSE),VLOOKUP(tables_522010!C275,input_522010!A:H,8,FALSE))</f>
        <v>4750</v>
      </c>
      <c r="P275" s="46">
        <f t="shared" ca="1" si="13"/>
        <v>3.6231884057959934E-5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input_522010!A$2</f>
        <v>522010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IFERROR(VLOOKUP(B276,input_522010!L:R,7,FALSE),VLOOKUP(tables_522010!C276,input_522010!A:H,8,FALSE))</f>
        <v>90250</v>
      </c>
      <c r="P276" s="46">
        <f t="shared" ca="1" si="13"/>
        <v>6.8840579710123875E-4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input_522010!A$2</f>
        <v>522010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IFERROR(VLOOKUP(B277,input_522010!L:R,7,FALSE),VLOOKUP(tables_522010!C277,input_522010!A:H,8,FALSE))</f>
        <v>4750</v>
      </c>
      <c r="P277" s="46">
        <f t="shared" ca="1" si="13"/>
        <v>3.6231884057959934E-5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input_522010!A$2</f>
        <v>522010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IFERROR(VLOOKUP(B278,input_522010!L:R,7,FALSE),VLOOKUP(tables_522010!C278,input_522010!A:H,8,FALSE))</f>
        <v>463887</v>
      </c>
      <c r="P278" s="46">
        <f t="shared" ca="1" si="13"/>
        <v>3.5384210526304967E-3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input_522010!A$2</f>
        <v>522010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IFERROR(VLOOKUP(B279,input_522010!L:R,7,FALSE),VLOOKUP(tables_522010!C279,input_522010!A:H,8,FALSE))</f>
        <v>547121.98077000002</v>
      </c>
      <c r="P279" s="46">
        <f t="shared" ca="1" si="13"/>
        <v>4.1733179311200051E-3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input_522010!A$2</f>
        <v>522010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IFERROR(VLOOKUP(B280,input_522010!L:R,7,FALSE),VLOOKUP(tables_522010!C280,input_522010!A:H,8,FALSE))</f>
        <v>19851.019230000002</v>
      </c>
      <c r="P280" s="46">
        <f t="shared" ca="1" si="13"/>
        <v>1.514189109839354E-4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input_522010!A$2</f>
        <v>522010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IFERROR(VLOOKUP(B281,input_522010!L:R,7,FALSE),VLOOKUP(tables_522010!C281,input_522010!A:H,8,FALSE))</f>
        <v>463887</v>
      </c>
      <c r="P281" s="46">
        <f t="shared" ca="1" si="13"/>
        <v>3.5384210526304967E-3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input_522010!A$2</f>
        <v>522010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IFERROR(VLOOKUP(B282,input_522010!L:R,7,FALSE),VLOOKUP(tables_522010!C282,input_522010!A:H,8,FALSE))</f>
        <v>547121.98077000002</v>
      </c>
      <c r="P282" s="46">
        <f t="shared" ca="1" si="13"/>
        <v>4.1733179311200051E-3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input_522010!A$2</f>
        <v>522010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IFERROR(VLOOKUP(B283,input_522010!L:R,7,FALSE),VLOOKUP(tables_522010!C283,input_522010!A:H,8,FALSE))</f>
        <v>19851.019230000002</v>
      </c>
      <c r="P283" s="46">
        <f t="shared" ca="1" si="13"/>
        <v>1.514189109839354E-4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input_522010!A$2</f>
        <v>522010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IFERROR(VLOOKUP(B284,input_522010!L:R,7,FALSE),VLOOKUP(tables_522010!C284,input_522010!A:H,8,FALSE))</f>
        <v>95000</v>
      </c>
      <c r="P284" s="46">
        <f t="shared" ca="1" si="13"/>
        <v>7.2463768115919869E-4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input_522010!A$2</f>
        <v>522010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IFERROR(VLOOKUP(B285,input_522010!L:R,7,FALSE),VLOOKUP(tables_522010!C285,input_522010!A:H,8,FALSE))</f>
        <v>95000</v>
      </c>
      <c r="P285" s="46">
        <f t="shared" ca="1" si="13"/>
        <v>7.2463768115919869E-4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input_522010!A$2</f>
        <v>522010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IFERROR(VLOOKUP(B286,input_522010!L:R,7,FALSE),VLOOKUP(tables_522010!C286,input_522010!A:H,8,FALSE))</f>
        <v>963040.26315999997</v>
      </c>
      <c r="P286" s="46">
        <f t="shared" ca="1" si="13"/>
        <v>7.3458448753600716E-3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input_522010!A$2</f>
        <v>522010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IFERROR(VLOOKUP(B287,input_522010!L:R,7,FALSE),VLOOKUP(tables_522010!C287,input_522010!A:H,8,FALSE))</f>
        <v>51543</v>
      </c>
      <c r="P287" s="46">
        <f t="shared" ca="1" si="13"/>
        <v>3.9315789473672188E-4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input_522010!A$2</f>
        <v>522010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IFERROR(VLOOKUP(B288,input_522010!L:R,7,FALSE),VLOOKUP(tables_522010!C288,input_522010!A:H,8,FALSE))</f>
        <v>963040.26315999997</v>
      </c>
      <c r="P288" s="46">
        <f t="shared" ca="1" si="13"/>
        <v>7.3458448753600716E-3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input_522010!A$2</f>
        <v>522010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IFERROR(VLOOKUP(B289,input_522010!L:R,7,FALSE),VLOOKUP(tables_522010!C289,input_522010!A:H,8,FALSE))</f>
        <v>51543</v>
      </c>
      <c r="P289" s="46">
        <f t="shared" ca="1" si="13"/>
        <v>3.9315789473672188E-4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input_522010!A$2</f>
        <v>522010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IFERROR(VLOOKUP(B290,input_522010!L:R,7,FALSE),VLOOKUP(tables_522010!C290,input_522010!A:H,8,FALSE))</f>
        <v>963040.26315999997</v>
      </c>
      <c r="P290" s="46">
        <f t="shared" ca="1" si="13"/>
        <v>7.3458448753600716E-3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input_522010!A$2</f>
        <v>522010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IFERROR(VLOOKUP(B291,input_522010!L:R,7,FALSE),VLOOKUP(tables_522010!C291,input_522010!A:H,8,FALSE))</f>
        <v>51543</v>
      </c>
      <c r="P291" s="46">
        <f t="shared" ca="1" si="13"/>
        <v>3.9315789473672188E-4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input_522010!A$2</f>
        <v>522010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IFERROR(VLOOKUP(B292,input_522010!L:R,7,FALSE),VLOOKUP(tables_522010!C292,input_522010!A:H,8,FALSE))</f>
        <v>963040.26315999997</v>
      </c>
      <c r="P292" s="46">
        <f t="shared" ca="1" si="13"/>
        <v>7.3458448753600716E-3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input_522010!A$2</f>
        <v>522010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IFERROR(VLOOKUP(B293,input_522010!L:R,7,FALSE),VLOOKUP(tables_522010!C293,input_522010!A:H,8,FALSE))</f>
        <v>51543</v>
      </c>
      <c r="P293" s="46">
        <f t="shared" ca="1" si="13"/>
        <v>3.9315789473672188E-4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input_522010!A$2</f>
        <v>522010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IFERROR(VLOOKUP(B294,input_522010!L:R,7,FALSE),VLOOKUP(tables_522010!C294,input_522010!A:H,8,FALSE))</f>
        <v>95000</v>
      </c>
      <c r="P294" s="46">
        <f t="shared" ca="1" si="13"/>
        <v>7.2463768115919869E-4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input_522010!A$2</f>
        <v>522010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IFERROR(VLOOKUP(B295,input_522010!L:R,7,FALSE),VLOOKUP(tables_522010!C295,input_522010!A:H,8,FALSE))</f>
        <v>95000</v>
      </c>
      <c r="P295" s="46">
        <f t="shared" ca="1" si="13"/>
        <v>7.2463768115919869E-4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input_522010!A$2</f>
        <v>522010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IFERROR(VLOOKUP(B296,input_522010!L:R,7,FALSE),VLOOKUP(tables_522010!C296,input_522010!A:H,8,FALSE))</f>
        <v>95000</v>
      </c>
      <c r="P296" s="46">
        <f t="shared" ca="1" si="13"/>
        <v>7.2463768115919869E-4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input_522010!A$2</f>
        <v>522010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IFERROR(VLOOKUP(B297,input_522010!L:R,7,FALSE),VLOOKUP(tables_522010!C297,input_522010!A:H,8,FALSE))</f>
        <v>963040.26315999997</v>
      </c>
      <c r="P297" s="46">
        <f t="shared" ca="1" si="13"/>
        <v>7.3458448753600716E-3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input_522010!A$2</f>
        <v>522010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IFERROR(VLOOKUP(B298,input_522010!L:R,7,FALSE),VLOOKUP(tables_522010!C298,input_522010!A:H,8,FALSE))</f>
        <v>51543</v>
      </c>
      <c r="P298" s="46">
        <f t="shared" ca="1" si="13"/>
        <v>3.9315789473672188E-4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input_522010!A$2</f>
        <v>522010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IFERROR(VLOOKUP(B299,input_522010!L:R,7,FALSE),VLOOKUP(tables_522010!C299,input_522010!A:H,8,FALSE))</f>
        <v>95000</v>
      </c>
      <c r="P299" s="46">
        <f t="shared" ca="1" si="13"/>
        <v>7.2463768115919869E-4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input_522010!A$2</f>
        <v>522010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IFERROR(VLOOKUP(B300,input_522010!L:R,7,FALSE),VLOOKUP(tables_522010!C300,input_522010!A:H,8,FALSE))</f>
        <v>95000</v>
      </c>
      <c r="P300" s="46">
        <f t="shared" ca="1" si="13"/>
        <v>7.2463768115919869E-4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input_522010!A$2</f>
        <v>522010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IFERROR(VLOOKUP(B301,input_522010!L:R,7,FALSE),VLOOKUP(tables_522010!C301,input_522010!A:H,8,FALSE))</f>
        <v>95000</v>
      </c>
      <c r="P301" s="46">
        <f t="shared" ca="1" si="13"/>
        <v>7.2463768115919869E-4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input_522010!A$2</f>
        <v>522010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IFERROR(VLOOKUP(B302,input_522010!L:R,7,FALSE),VLOOKUP(tables_522010!C302,input_522010!A:H,8,FALSE))</f>
        <v>95000</v>
      </c>
      <c r="P302" s="46">
        <f t="shared" ca="1" si="13"/>
        <v>7.2463768115919869E-4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input_522010!A$2</f>
        <v>522010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IFERROR(VLOOKUP(B303,input_522010!L:R,7,FALSE),VLOOKUP(tables_522010!C303,input_522010!A:H,8,FALSE))</f>
        <v>963040.26315999997</v>
      </c>
      <c r="P303" s="46">
        <f t="shared" ca="1" si="13"/>
        <v>7.3458448753600716E-3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input_522010!A$2</f>
        <v>522010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IFERROR(VLOOKUP(B304,input_522010!L:R,7,FALSE),VLOOKUP(tables_522010!C304,input_522010!A:H,8,FALSE))</f>
        <v>51543</v>
      </c>
      <c r="P304" s="46">
        <f t="shared" ca="1" si="13"/>
        <v>3.9315789473672188E-4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input_522010!A$2</f>
        <v>522010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IFERROR(VLOOKUP(B305,input_522010!L:R,7,FALSE),VLOOKUP(tables_522010!C305,input_522010!A:H,8,FALSE))</f>
        <v>95000</v>
      </c>
      <c r="P305" s="46">
        <f t="shared" ca="1" si="13"/>
        <v>7.2463768115919869E-4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input_522010!A$2</f>
        <v>522010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IFERROR(VLOOKUP(B306,input_522010!L:R,7,FALSE),VLOOKUP(tables_522010!C306,input_522010!A:H,8,FALSE))</f>
        <v>963040.26315999997</v>
      </c>
      <c r="P306" s="46">
        <f t="shared" ca="1" si="13"/>
        <v>7.3458448753600716E-3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input_522010!A$2</f>
        <v>522010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IFERROR(VLOOKUP(B307,input_522010!L:R,7,FALSE),VLOOKUP(tables_522010!C307,input_522010!A:H,8,FALSE))</f>
        <v>51543</v>
      </c>
      <c r="P307" s="46">
        <f t="shared" ca="1" si="13"/>
        <v>3.9315789473672188E-4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input_522010!A$2</f>
        <v>522010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IFERROR(VLOOKUP(B308,input_522010!L:R,7,FALSE),VLOOKUP(tables_522010!C308,input_522010!A:H,8,FALSE))</f>
        <v>95000</v>
      </c>
      <c r="P308" s="46">
        <f t="shared" ca="1" si="13"/>
        <v>7.2463768115919869E-4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input_522010!A$2</f>
        <v>522010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IFERROR(VLOOKUP(B309,input_522010!L:R,7,FALSE),VLOOKUP(tables_522010!C309,input_522010!A:H,8,FALSE))</f>
        <v>95000</v>
      </c>
      <c r="P309" s="46">
        <f t="shared" ca="1" si="13"/>
        <v>7.2463768115919869E-4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input_522010!A$2</f>
        <v>522010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IFERROR(VLOOKUP(B310,input_522010!L:R,7,FALSE),VLOOKUP(tables_522010!C310,input_522010!A:H,8,FALSE))</f>
        <v>95000</v>
      </c>
      <c r="P310" s="46">
        <f t="shared" ca="1" si="13"/>
        <v>7.2463768115919869E-4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input_522010!A$2</f>
        <v>522010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IFERROR(VLOOKUP(B311,input_522010!L:R,7,FALSE),VLOOKUP(tables_522010!C311,input_522010!A:H,8,FALSE))</f>
        <v>963040.26315999997</v>
      </c>
      <c r="P311" s="46">
        <f t="shared" ca="1" si="13"/>
        <v>7.3458448753600716E-3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input_522010!A$2</f>
        <v>522010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IFERROR(VLOOKUP(B312,input_522010!L:R,7,FALSE),VLOOKUP(tables_522010!C312,input_522010!A:H,8,FALSE))</f>
        <v>51543</v>
      </c>
      <c r="P312" s="46">
        <f t="shared" ca="1" si="13"/>
        <v>3.9315789473672188E-4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input_522010!A$2</f>
        <v>522010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IFERROR(VLOOKUP(B313,input_522010!L:R,7,FALSE),VLOOKUP(tables_522010!C313,input_522010!A:H,8,FALSE))</f>
        <v>95000</v>
      </c>
      <c r="P313" s="46">
        <f t="shared" ca="1" si="13"/>
        <v>7.2463768115919869E-4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input_522010!A$2</f>
        <v>522010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IFERROR(VLOOKUP(B314,input_522010!L:R,7,FALSE),VLOOKUP(tables_522010!C314,input_522010!A:H,8,FALSE))</f>
        <v>95000</v>
      </c>
      <c r="P314" s="46">
        <f t="shared" ca="1" si="13"/>
        <v>7.2463768115919869E-4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input_522010!A$2</f>
        <v>522010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IFERROR(VLOOKUP(B315,input_522010!L:R,7,FALSE),VLOOKUP(tables_522010!C315,input_522010!A:H,8,FALSE))</f>
        <v>95000</v>
      </c>
      <c r="P315" s="46">
        <f t="shared" ca="1" si="13"/>
        <v>7.2463768115919869E-4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input_522010!A$2</f>
        <v>522010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IFERROR(VLOOKUP(B316,input_522010!L:R,7,FALSE),VLOOKUP(tables_522010!C316,input_522010!A:H,8,FALSE))</f>
        <v>95000</v>
      </c>
      <c r="P316" s="46">
        <f t="shared" ca="1" si="13"/>
        <v>7.2463768115919869E-4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input_522010!A$2</f>
        <v>522010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IFERROR(VLOOKUP(B317,input_522010!L:R,7,FALSE),VLOOKUP(tables_522010!C317,input_522010!A:H,8,FALSE))</f>
        <v>95000</v>
      </c>
      <c r="P317" s="46">
        <f t="shared" ca="1" si="13"/>
        <v>7.2463768115919869E-4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input_522010!A$2</f>
        <v>522010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IFERROR(VLOOKUP(B318,input_522010!L:R,7,FALSE),VLOOKUP(tables_522010!C318,input_522010!A:H,8,FALSE))</f>
        <v>963040.26315999997</v>
      </c>
      <c r="P318" s="46">
        <f t="shared" ca="1" si="13"/>
        <v>7.3458448753600716E-3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input_522010!A$2</f>
        <v>522010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IFERROR(VLOOKUP(B319,input_522010!L:R,7,FALSE),VLOOKUP(tables_522010!C319,input_522010!A:H,8,FALSE))</f>
        <v>51543</v>
      </c>
      <c r="P319" s="46">
        <f t="shared" ca="1" si="13"/>
        <v>3.9315789473672188E-4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input_522010!A$2</f>
        <v>522010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IFERROR(VLOOKUP(B320,input_522010!L:R,7,FALSE),VLOOKUP(tables_522010!C320,input_522010!A:H,8,FALSE))</f>
        <v>95000</v>
      </c>
      <c r="P320" s="46">
        <f t="shared" ca="1" si="13"/>
        <v>7.2463768115919869E-4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input_522010!A$2</f>
        <v>522010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IFERROR(VLOOKUP(B321,input_522010!L:R,7,FALSE),VLOOKUP(tables_522010!C321,input_522010!A:H,8,FALSE))</f>
        <v>95000</v>
      </c>
      <c r="P321" s="46">
        <f t="shared" ca="1" si="13"/>
        <v>7.2463768115919869E-4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input_522010!A$2</f>
        <v>522010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IFERROR(VLOOKUP(B322,input_522010!L:R,7,FALSE),VLOOKUP(tables_522010!C322,input_522010!A:H,8,FALSE))</f>
        <v>95000</v>
      </c>
      <c r="P322" s="46">
        <f t="shared" ref="P322:P353" ca="1" si="23">O322/SUM(O:O)</f>
        <v>7.2463768115919869E-4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input_522010!A$2</f>
        <v>522010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IFERROR(VLOOKUP(B323,input_522010!L:R,7,FALSE),VLOOKUP(tables_522010!C323,input_522010!A:H,8,FALSE))</f>
        <v>95000</v>
      </c>
      <c r="P323" s="46">
        <f t="shared" ca="1" si="23"/>
        <v>7.2463768115919869E-4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input_522010!A$2</f>
        <v>522010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IFERROR(VLOOKUP(B324,input_522010!L:R,7,FALSE),VLOOKUP(tables_522010!C324,input_522010!A:H,8,FALSE))</f>
        <v>963040.26315999997</v>
      </c>
      <c r="P324" s="46">
        <f t="shared" ca="1" si="23"/>
        <v>7.3458448753600716E-3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input_522010!A$2</f>
        <v>522010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IFERROR(VLOOKUP(B325,input_522010!L:R,7,FALSE),VLOOKUP(tables_522010!C325,input_522010!A:H,8,FALSE))</f>
        <v>51543</v>
      </c>
      <c r="P325" s="46">
        <f t="shared" ca="1" si="23"/>
        <v>3.9315789473672188E-4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input_522010!A$2</f>
        <v>522010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IFERROR(VLOOKUP(B326,input_522010!L:R,7,FALSE),VLOOKUP(tables_522010!C326,input_522010!A:H,8,FALSE))</f>
        <v>963040.26315999997</v>
      </c>
      <c r="P326" s="46">
        <f t="shared" ca="1" si="23"/>
        <v>7.3458448753600716E-3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input_522010!A$2</f>
        <v>522010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IFERROR(VLOOKUP(B327,input_522010!L:R,7,FALSE),VLOOKUP(tables_522010!C327,input_522010!A:H,8,FALSE))</f>
        <v>51543</v>
      </c>
      <c r="P327" s="46">
        <f t="shared" ca="1" si="23"/>
        <v>3.9315789473672188E-4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input_522010!A$2</f>
        <v>522010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IFERROR(VLOOKUP(B328,input_522010!L:R,7,FALSE),VLOOKUP(tables_522010!C328,input_522010!A:H,8,FALSE))</f>
        <v>95000</v>
      </c>
      <c r="P328" s="46">
        <f t="shared" ca="1" si="23"/>
        <v>7.2463768115919869E-4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input_522010!A$2</f>
        <v>522010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IFERROR(VLOOKUP(B329,input_522010!L:R,7,FALSE),VLOOKUP(tables_522010!C329,input_522010!A:H,8,FALSE))</f>
        <v>95000</v>
      </c>
      <c r="P329" s="46">
        <f t="shared" ca="1" si="23"/>
        <v>7.2463768115919869E-4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input_522010!A$2</f>
        <v>522010</v>
      </c>
      <c r="B330" s="2">
        <v>1157</v>
      </c>
      <c r="C330" s="7" t="str">
        <f t="shared" si="25"/>
        <v>PremiumSS5R5only</v>
      </c>
      <c r="D330" s="95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IFERROR(VLOOKUP(B330,input_522010!L:R,7,FALSE),VLOOKUP(tables_522010!C330,input_522010!A:H,8,FALSE))</f>
        <v>95000</v>
      </c>
      <c r="P330" s="46">
        <f t="shared" ca="1" si="23"/>
        <v>7.2463768115919869E-4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input_522010!A$2</f>
        <v>522010</v>
      </c>
      <c r="B331" s="60">
        <v>1214</v>
      </c>
      <c r="C331" s="7" t="str">
        <f t="shared" ref="C331:C335" si="26">D331&amp;J331&amp;E331&amp;F331&amp;G331</f>
        <v>PremiumSS5R5only</v>
      </c>
      <c r="D331" s="95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IFERROR(VLOOKUP(B331,input_522010!L:R,7,FALSE),VLOOKUP(tables_522010!C331,input_522010!A:H,8,FALSE))</f>
        <v>95000</v>
      </c>
      <c r="P331" s="46">
        <f t="shared" ca="1" si="23"/>
        <v>7.2463768115919869E-4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input_522010!A$2</f>
        <v>522010</v>
      </c>
      <c r="B332" s="60">
        <v>1212</v>
      </c>
      <c r="C332" s="7" t="str">
        <f t="shared" si="26"/>
        <v>PremiumSS5R5only</v>
      </c>
      <c r="D332" s="95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IFERROR(VLOOKUP(B332,input_522010!L:R,7,FALSE),VLOOKUP(tables_522010!C332,input_522010!A:H,8,FALSE))</f>
        <v>95000</v>
      </c>
      <c r="P332" s="46">
        <f t="shared" ca="1" si="23"/>
        <v>7.2463768115919869E-4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input_522010!A$2</f>
        <v>522010</v>
      </c>
      <c r="B333" s="60">
        <v>1208</v>
      </c>
      <c r="C333" s="7" t="str">
        <f t="shared" si="26"/>
        <v>PremiumSS5R5only</v>
      </c>
      <c r="D333" s="95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IFERROR(VLOOKUP(B333,input_522010!L:R,7,FALSE),VLOOKUP(tables_522010!C333,input_522010!A:H,8,FALSE))</f>
        <v>95000</v>
      </c>
      <c r="P333" s="46">
        <f t="shared" ca="1" si="23"/>
        <v>7.2463768115919869E-4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input_522010!A$2</f>
        <v>522010</v>
      </c>
      <c r="B334" s="91">
        <v>1210</v>
      </c>
      <c r="C334" s="7" t="str">
        <f t="shared" si="26"/>
        <v>Premium4R3less</v>
      </c>
      <c r="D334" s="95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IFERROR(VLOOKUP(B334,input_522010!L:R,7,FALSE),VLOOKUP(tables_522010!C334,input_522010!A:H,8,FALSE))</f>
        <v>963040.26315999997</v>
      </c>
      <c r="P334" s="46">
        <f t="shared" ca="1" si="23"/>
        <v>7.3458448753600716E-3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input_522010!A$2</f>
        <v>522010</v>
      </c>
      <c r="B335" s="60">
        <v>1211</v>
      </c>
      <c r="C335" s="7" t="str">
        <f t="shared" si="26"/>
        <v>Premium5R3less</v>
      </c>
      <c r="D335" s="95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IFERROR(VLOOKUP(B335,input_522010!L:R,7,FALSE),VLOOKUP(tables_522010!C335,input_522010!A:H,8,FALSE))</f>
        <v>51543</v>
      </c>
      <c r="P335" s="46">
        <f t="shared" ca="1" si="23"/>
        <v>3.9315789473672188E-4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input_522010!A$2</f>
        <v>522010</v>
      </c>
      <c r="B336" s="2">
        <v>1224</v>
      </c>
      <c r="C336" s="7" t="str">
        <f t="shared" ref="C336:C340" si="28">D336&amp;J336&amp;E336&amp;F336&amp;G336</f>
        <v>Premium4R3less</v>
      </c>
      <c r="D336" s="95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IFERROR(VLOOKUP(B336,input_522010!L:R,7,FALSE),VLOOKUP(tables_522010!C336,input_522010!A:H,8,FALSE))</f>
        <v>963040.26315999997</v>
      </c>
      <c r="P336" s="46">
        <f t="shared" ca="1" si="23"/>
        <v>7.3458448753600716E-3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input_522010!A$2</f>
        <v>522010</v>
      </c>
      <c r="B337" s="2">
        <v>1225</v>
      </c>
      <c r="C337" s="7" t="str">
        <f t="shared" si="28"/>
        <v>Premium5R3less</v>
      </c>
      <c r="D337" s="95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IFERROR(VLOOKUP(B337,input_522010!L:R,7,FALSE),VLOOKUP(tables_522010!C337,input_522010!A:H,8,FALSE))</f>
        <v>51543</v>
      </c>
      <c r="P337" s="46">
        <f t="shared" ca="1" si="23"/>
        <v>3.9315789473672188E-4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input_522010!A$2</f>
        <v>522010</v>
      </c>
      <c r="B338" s="2">
        <v>1226</v>
      </c>
      <c r="C338" s="7" t="str">
        <f t="shared" si="28"/>
        <v>PremiumSS5R5only</v>
      </c>
      <c r="D338" s="95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IFERROR(VLOOKUP(B338,input_522010!L:R,7,FALSE),VLOOKUP(tables_522010!C338,input_522010!A:H,8,FALSE))</f>
        <v>95000</v>
      </c>
      <c r="P338" s="46">
        <f t="shared" ca="1" si="23"/>
        <v>7.2463768115919869E-4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input_522010!A$2</f>
        <v>522010</v>
      </c>
      <c r="B339" s="2">
        <v>1228</v>
      </c>
      <c r="C339" s="7" t="str">
        <f t="shared" si="28"/>
        <v>PremiumSS5R5only</v>
      </c>
      <c r="D339" s="95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IFERROR(VLOOKUP(B339,input_522010!L:R,7,FALSE),VLOOKUP(tables_522010!C339,input_522010!A:H,8,FALSE))</f>
        <v>95000</v>
      </c>
      <c r="P339" s="46">
        <f t="shared" ca="1" si="23"/>
        <v>7.2463768115919869E-4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input_522010!A$2</f>
        <v>522010</v>
      </c>
      <c r="B340" s="2">
        <v>1230</v>
      </c>
      <c r="C340" s="7" t="str">
        <f t="shared" si="28"/>
        <v>PremiumSS5R5only</v>
      </c>
      <c r="D340" s="95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IFERROR(VLOOKUP(B340,input_522010!L:R,7,FALSE),VLOOKUP(tables_522010!C340,input_522010!A:H,8,FALSE))</f>
        <v>95000</v>
      </c>
      <c r="P340" s="46">
        <f t="shared" ca="1" si="23"/>
        <v>7.2463768115919869E-4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input_522010!A$2</f>
        <v>522010</v>
      </c>
      <c r="B341" s="97">
        <v>1244</v>
      </c>
      <c r="C341" s="7" t="str">
        <f t="shared" ref="C341:C342" si="30">D341&amp;J341&amp;E341&amp;F341&amp;G341</f>
        <v>PremiumSS5R5only</v>
      </c>
      <c r="D341" s="95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IFERROR(VLOOKUP(B341,input_522010!L:R,7,FALSE),VLOOKUP(tables_522010!C341,input_522010!A:H,8,FALSE))</f>
        <v>95000</v>
      </c>
      <c r="P341" s="46">
        <f t="shared" ca="1" si="23"/>
        <v>7.2463768115919869E-4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input_522010!A$2</f>
        <v>522010</v>
      </c>
      <c r="B342" s="97">
        <v>1246</v>
      </c>
      <c r="C342" s="7" t="str">
        <f t="shared" si="30"/>
        <v>PremiumSS5R5only</v>
      </c>
      <c r="D342" s="95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IFERROR(VLOOKUP(B342,input_522010!L:R,7,FALSE),VLOOKUP(tables_522010!C342,input_522010!A:H,8,FALSE))</f>
        <v>95000</v>
      </c>
      <c r="P342" s="46">
        <f t="shared" ca="1" si="23"/>
        <v>7.2463768115919869E-4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input_522010!A$2</f>
        <v>522010</v>
      </c>
      <c r="B343" s="97">
        <v>1248</v>
      </c>
      <c r="C343" s="7" t="str">
        <f t="shared" ref="C343:C345" si="32">D343&amp;J343&amp;E343&amp;F343&amp;G343</f>
        <v>Premium4R3less</v>
      </c>
      <c r="D343" s="95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IFERROR(VLOOKUP(B343,input_522010!L:R,7,FALSE),VLOOKUP(tables_522010!C343,input_522010!A:H,8,FALSE))</f>
        <v>963040.26315999997</v>
      </c>
      <c r="P343" s="46">
        <f t="shared" ca="1" si="23"/>
        <v>7.3458448753600716E-3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input_522010!A$2</f>
        <v>522010</v>
      </c>
      <c r="B344" s="97">
        <v>1249</v>
      </c>
      <c r="C344" s="7" t="str">
        <f t="shared" si="32"/>
        <v>Premium5R3less</v>
      </c>
      <c r="D344" s="95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IFERROR(VLOOKUP(B344,input_522010!L:R,7,FALSE),VLOOKUP(tables_522010!C344,input_522010!A:H,8,FALSE))</f>
        <v>51543</v>
      </c>
      <c r="P344" s="46">
        <f t="shared" ca="1" si="23"/>
        <v>3.9315789473672188E-4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input_522010!A$2</f>
        <v>522010</v>
      </c>
      <c r="B345" s="97">
        <v>1250</v>
      </c>
      <c r="C345" s="7" t="str">
        <f t="shared" si="32"/>
        <v>PremiumSS5R5only</v>
      </c>
      <c r="D345" s="95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IFERROR(VLOOKUP(B345,input_522010!L:R,7,FALSE),VLOOKUP(tables_522010!C345,input_522010!A:H,8,FALSE))</f>
        <v>95000</v>
      </c>
      <c r="P345" s="46">
        <f t="shared" ca="1" si="23"/>
        <v>7.2463768115919869E-4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input_522010!A$2</f>
        <v>522010</v>
      </c>
      <c r="B346" s="97">
        <v>1260</v>
      </c>
      <c r="C346" s="7" t="str">
        <f t="shared" ref="C346:C350" si="34">D346&amp;J346&amp;E346&amp;F346&amp;G346</f>
        <v>PremiumSS5R5only</v>
      </c>
      <c r="D346" s="95" t="str">
        <f t="shared" ref="D346:D350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IFERROR(VLOOKUP(B346,input_522010!L:R,7,FALSE),VLOOKUP(tables_522010!C346,input_522010!A:H,8,FALSE))</f>
        <v>95000</v>
      </c>
      <c r="P346" s="46">
        <f t="shared" ca="1" si="23"/>
        <v>7.2463768115919869E-4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input_522010!A$2</f>
        <v>522010</v>
      </c>
      <c r="B347" s="97">
        <v>1262</v>
      </c>
      <c r="C347" s="7" t="str">
        <f t="shared" si="34"/>
        <v>PremiumSS5R5only</v>
      </c>
      <c r="D347" s="95" t="str">
        <f t="shared" si="35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IFERROR(VLOOKUP(B347,input_522010!L:R,7,FALSE),VLOOKUP(tables_522010!C347,input_522010!A:H,8,FALSE))</f>
        <v>95000</v>
      </c>
      <c r="P347" s="46">
        <f t="shared" ca="1" si="23"/>
        <v>7.2463768115919869E-4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input_522010!A$2</f>
        <v>522010</v>
      </c>
      <c r="B348" s="97">
        <v>1264</v>
      </c>
      <c r="C348" s="7" t="str">
        <f t="shared" si="34"/>
        <v>PremiumSS5R5only</v>
      </c>
      <c r="D348" s="95" t="str">
        <f t="shared" si="35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IFERROR(VLOOKUP(B348,input_522010!L:R,7,FALSE),VLOOKUP(tables_522010!C348,input_522010!A:H,8,FALSE))</f>
        <v>95000</v>
      </c>
      <c r="P348" s="46">
        <f t="shared" ca="1" si="23"/>
        <v>7.2463768115919869E-4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input_522010!A$2</f>
        <v>522010</v>
      </c>
      <c r="B349" s="97">
        <v>1266</v>
      </c>
      <c r="C349" s="7" t="str">
        <f t="shared" si="34"/>
        <v>Premium4R3less</v>
      </c>
      <c r="D349" s="95" t="str">
        <f t="shared" si="35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IFERROR(VLOOKUP(B349,input_522010!L:R,7,FALSE),VLOOKUP(tables_522010!C349,input_522010!A:H,8,FALSE))</f>
        <v>963040.26315999997</v>
      </c>
      <c r="P349" s="46">
        <f t="shared" ca="1" si="23"/>
        <v>7.3458448753600716E-3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input_522010!A$2</f>
        <v>522010</v>
      </c>
      <c r="B350" s="97">
        <v>1267</v>
      </c>
      <c r="C350" s="7" t="str">
        <f t="shared" si="34"/>
        <v>Premium5R3less</v>
      </c>
      <c r="D350" s="95" t="str">
        <f t="shared" si="35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IFERROR(VLOOKUP(B350,input_522010!L:R,7,FALSE),VLOOKUP(tables_522010!C350,input_522010!A:H,8,FALSE))</f>
        <v>51543</v>
      </c>
      <c r="P350" s="46">
        <f t="shared" ca="1" si="23"/>
        <v>3.9315789473672188E-4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input_522010!A$2</f>
        <v>522010</v>
      </c>
      <c r="B351" s="97">
        <v>1352</v>
      </c>
      <c r="C351" s="7" t="str">
        <f t="shared" ref="C351" si="36">D351&amp;J351&amp;E351&amp;F351&amp;G351</f>
        <v>PremiumSS5R5only</v>
      </c>
      <c r="D351" s="95" t="str">
        <f t="shared" ref="D351" si="37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トウカ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blue</v>
      </c>
      <c r="L351" s="7" t="str">
        <f>VLOOKUP(B351,[1]characters!$A:$K,11,FALSE)</f>
        <v>technical</v>
      </c>
      <c r="M351" s="7" t="str">
        <f>VLOOKUP(B351,[1]characters!$A:$M,13,FALSE)</f>
        <v>human</v>
      </c>
      <c r="N351" s="7">
        <f>VLOOKUP(B351,[1]characters!$A:$G,7,FALSE)</f>
        <v>0</v>
      </c>
      <c r="O351" s="45">
        <f>IFERROR(VLOOKUP(B351,input_522010!L:R,7,FALSE),VLOOKUP(tables_522010!C351,input_522010!A:H,8,FALSE))</f>
        <v>1704300</v>
      </c>
      <c r="P351" s="46">
        <f t="shared" ca="1" si="23"/>
        <v>1.2999999999996023E-2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99">
        <v>5</v>
      </c>
    </row>
    <row r="352" spans="1:22" ht="21" customHeight="1" x14ac:dyDescent="0.15">
      <c r="A352" s="2" t="str">
        <f ca="1">input_522010!A$2</f>
        <v>522010</v>
      </c>
      <c r="B352" s="97">
        <v>1355</v>
      </c>
      <c r="C352" s="7" t="str">
        <f t="shared" ref="C352" si="38">D352&amp;J352&amp;E352&amp;F352&amp;G352</f>
        <v>PremiumSS6R5only</v>
      </c>
      <c r="D352" s="95" t="str">
        <f t="shared" ref="D352" si="39">IF(OR(I352="PremiumSS",I352="PremiumSSw"),"PremiumSS",IF(I352="PremiumSSS",I352,IF(I352="PremiumW",IF(J352=5,"premium",I352),"Premium")))</f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恋する燦天使 メタトロン・エモ</v>
      </c>
      <c r="I352" s="7" t="str">
        <f>VLOOKUP(B352,[1]characters!$A:$J,10,FALSE)</f>
        <v>PremiumSS</v>
      </c>
      <c r="J352" s="7">
        <f>VLOOKUP(B352,[1]characters!$A:$I,9,FALSE)</f>
        <v>6</v>
      </c>
      <c r="K352" s="7" t="str">
        <f>VLOOKUP(B352,[1]characters!$A:$H,8,FALSE)</f>
        <v>yellow</v>
      </c>
      <c r="L352" s="7" t="str">
        <f>VLOOKUP(B352,[1]characters!$A:$K,11,FALSE)</f>
        <v>balance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>IFERROR(VLOOKUP(B352,input_522010!L:R,7,FALSE),VLOOKUP(tables_522010!C352,input_522010!A:H,8,FALSE))</f>
        <v>2622000</v>
      </c>
      <c r="P352" s="46">
        <f t="shared" ca="1" si="23"/>
        <v>1.9999999999993884E-2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99">
        <v>5</v>
      </c>
    </row>
    <row r="353" spans="1:22" ht="21" customHeight="1" x14ac:dyDescent="0.15">
      <c r="A353" s="2" t="str">
        <f ca="1">input_522010!A$2</f>
        <v>522010</v>
      </c>
      <c r="B353" s="97">
        <v>1356</v>
      </c>
      <c r="C353" s="7" t="str">
        <f t="shared" ref="C353" si="40">D353&amp;J353&amp;E353&amp;F353&amp;G353</f>
        <v>Premium5R3less</v>
      </c>
      <c r="D353" s="95" t="str">
        <f t="shared" ref="D353" si="41">IF(OR(I353="PremiumSS",I353="PremiumSSw"),"PremiumSS",IF(I353="PremiumSSS",I353,IF(I353="PremiumW",IF(J353=5,"premium",I353),"Premium")))</f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恋狐の甘味振舞 タマモ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red</v>
      </c>
      <c r="L353" s="7" t="str">
        <f>VLOOKUP(B353,[1]characters!$A:$K,11,FALSE)</f>
        <v>balance</v>
      </c>
      <c r="M353" s="7" t="str">
        <f>VLOOKUP(B353,[1]characters!$A:$M,13,FALSE)</f>
        <v>animal</v>
      </c>
      <c r="N353" s="7">
        <f>VLOOKUP(B353,[1]characters!$A:$G,7,FALSE)</f>
        <v>0</v>
      </c>
      <c r="O353" s="45">
        <f>IFERROR(VLOOKUP(B353,input_522010!L:R,7,FALSE),VLOOKUP(tables_522010!C353,input_522010!A:H,8,FALSE))</f>
        <v>6555000</v>
      </c>
      <c r="P353" s="46">
        <f t="shared" ca="1" si="23"/>
        <v>4.9999999999984709E-2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99">
        <v>5</v>
      </c>
    </row>
    <row r="354" spans="1:22" ht="21" customHeight="1" x14ac:dyDescent="0.15">
      <c r="A354" s="2" t="str">
        <f ca="1">input_522010!A$2</f>
        <v>522010</v>
      </c>
      <c r="B354" s="97">
        <v>1357</v>
      </c>
      <c r="C354" s="7" t="str">
        <f t="shared" ref="C354:C355" si="42">D354&amp;J354&amp;E354&amp;F354&amp;G354</f>
        <v>Premium5R3less</v>
      </c>
      <c r="D354" s="95" t="str">
        <f t="shared" ref="D354:D355" si="43">IF(OR(I354="PremiumSS",I354="PremiumSSw"),"PremiumSS",IF(I354="PremiumSSS",I354,IF(I354="PremiumW",IF(J354=5,"premium",I354),"Premium")))</f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甘美なる想導司書 アズラエル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balance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>IFERROR(VLOOKUP(B354,input_522010!L:R,7,FALSE),VLOOKUP(tables_522010!C354,input_522010!A:H,8,FALSE))</f>
        <v>6555000</v>
      </c>
      <c r="P354" s="46">
        <f t="shared" ref="P354:P356" ca="1" si="44">O354/SUM(O:O)</f>
        <v>4.9999999999984709E-2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99">
        <v>5</v>
      </c>
    </row>
    <row r="355" spans="1:22" ht="21" customHeight="1" x14ac:dyDescent="0.15">
      <c r="A355" s="2" t="str">
        <f ca="1">input_522010!A$2</f>
        <v>522010</v>
      </c>
      <c r="B355" s="97">
        <v>1358</v>
      </c>
      <c r="C355" s="7" t="str">
        <f t="shared" si="42"/>
        <v>Premium5R3less</v>
      </c>
      <c r="D355" s="95" t="str">
        <f t="shared" si="43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暴走する恋激火 バハムート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heal</v>
      </c>
      <c r="M355" s="7" t="str">
        <f>VLOOKUP(B355,[1]characters!$A:$M,13,FALSE)</f>
        <v>dragon</v>
      </c>
      <c r="N355" s="7">
        <f>VLOOKUP(B355,[1]characters!$A:$G,7,FALSE)</f>
        <v>0</v>
      </c>
      <c r="O355" s="45">
        <f>IFERROR(VLOOKUP(B355,input_522010!L:R,7,FALSE),VLOOKUP(tables_522010!C355,input_522010!A:H,8,FALSE))</f>
        <v>6555000</v>
      </c>
      <c r="P355" s="46">
        <f t="shared" ca="1" si="44"/>
        <v>4.9999999999984709E-2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99">
        <v>5</v>
      </c>
    </row>
    <row r="356" spans="1:22" ht="21" customHeight="1" x14ac:dyDescent="0.15">
      <c r="A356" s="2" t="str">
        <f ca="1">input_522010!A$2</f>
        <v>522010</v>
      </c>
      <c r="B356" s="97">
        <v>1363</v>
      </c>
      <c r="C356" s="7" t="str">
        <f t="shared" ref="C356" si="45">D356&amp;J356&amp;E356&amp;F356&amp;G356</f>
        <v>PremiumSS6R5only</v>
      </c>
      <c r="D356" s="95" t="str">
        <f t="shared" ref="D356" si="46">IF(OR(I356="PremiumSS",I356="PremiumSSw"),"PremiumSS",IF(I356="PremiumSSS",I356,IF(I356="PremiumW",IF(J356=5,"premium",I356),"Premium")))</f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聖白の夢菓子 ヴァニレ</v>
      </c>
      <c r="I356" s="7" t="str">
        <f>VLOOKUP(B356,[1]characters!$A:$J,10,FALSE)</f>
        <v>PremiumSS</v>
      </c>
      <c r="J356" s="7">
        <f>VLOOKUP(B356,[1]characters!$A:$I,9,FALSE)</f>
        <v>6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>IFERROR(VLOOKUP(B356,input_522010!L:R,7,FALSE),VLOOKUP(tables_522010!C356,input_522010!A:H,8,FALSE))</f>
        <v>2622000</v>
      </c>
      <c r="P356" s="46">
        <f t="shared" ca="1" si="44"/>
        <v>1.9999999999993884E-2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9">
        <v>5</v>
      </c>
    </row>
  </sheetData>
  <autoFilter ref="A1:V35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B5" sqref="B5:B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522100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97">
        <v>1352</v>
      </c>
      <c r="M3" s="37" t="str">
        <f>VLOOKUP(L3,[1]characters!$A:$C,3,FALSE)</f>
        <v>トウカ</v>
      </c>
      <c r="N3" s="63">
        <v>1.2999999999999999E-2</v>
      </c>
      <c r="O3" s="37">
        <f>VLOOKUP(L3,[1]characters!$A:$I,9,FALSE)</f>
        <v>5</v>
      </c>
      <c r="P3" s="37" t="str">
        <f>VLOOKUP(L3,[1]characters!$A:$J,10,FALSE)</f>
        <v>PremiumSSw</v>
      </c>
      <c r="Q3" s="37" t="str">
        <f>VLOOKUP(L3,tables_522100!B:C,2,FALSE)</f>
        <v>PremiumSS5R5only</v>
      </c>
      <c r="R3" s="62">
        <f t="shared" ref="R3:R17" si="1">N3*A$37</f>
        <v>1704300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97">
        <v>1355</v>
      </c>
      <c r="M4" s="37" t="str">
        <f>VLOOKUP(L4,[1]characters!$A:$C,3,FALSE)</f>
        <v>恋する燦天使 メタトロン・エモ</v>
      </c>
      <c r="N4" s="63">
        <v>0.02</v>
      </c>
      <c r="O4" s="37">
        <f>VLOOKUP(L4,[1]characters!$A:$I,9,FALSE)</f>
        <v>6</v>
      </c>
      <c r="P4" s="37" t="str">
        <f>VLOOKUP(L4,[1]characters!$A:$J,10,FALSE)</f>
        <v>PremiumSS</v>
      </c>
      <c r="Q4" s="37" t="str">
        <f>VLOOKUP(L4,tables_522100!B:C,2,FALSE)</f>
        <v>PremiumSS6R5only</v>
      </c>
      <c r="R4" s="62">
        <f t="shared" si="1"/>
        <v>2622000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7.2463768115942019E-4</v>
      </c>
      <c r="F5">
        <f>COUNTIF(tables_522100!C:C,input_522010!A28)+COUNTIF(tables_522100!C:C,input_522100!A29)+COUNTIF(input_522100!Q:Q,input_522100!A30)-COUNTIF(input_522100!Q:Q,input_522100!A28)</f>
        <v>72</v>
      </c>
      <c r="H5" s="84">
        <v>5.2999999999999999E-2</v>
      </c>
      <c r="I5" s="31">
        <v>3</v>
      </c>
      <c r="L5" s="97">
        <v>1356</v>
      </c>
      <c r="M5" s="37" t="str">
        <f>VLOOKUP(L5,[1]characters!$A:$C,3,FALSE)</f>
        <v>恋狐の甘味振舞 タマモ</v>
      </c>
      <c r="N5" s="63">
        <v>0.05</v>
      </c>
      <c r="O5" s="37">
        <f>VLOOKUP(L5,[1]characters!$A:$I,9,FALSE)</f>
        <v>5</v>
      </c>
      <c r="P5" s="37" t="str">
        <f>VLOOKUP(L5,[1]characters!$A:$J,10,FALSE)</f>
        <v>PremiumS</v>
      </c>
      <c r="Q5" s="37" t="str">
        <f>VLOOKUP(L5,tables_522100!B:C,2,FALSE)</f>
        <v>Premium5R3less</v>
      </c>
      <c r="R5" s="62">
        <f t="shared" si="1"/>
        <v>6555000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7.8631578947368427E-3</v>
      </c>
      <c r="F6">
        <f>COUNTIF(tables_522100!C:C,input_522100!A25)+COUNTIF(tables_522100!C:C,input_522100!A18)+COUNTIF(tables_522100!C:C,input_522100!A20)+COUNTIF(tables_522100!C:C,input_522100!A22)+COUNTIF(Q:Q,A23)</f>
        <v>98</v>
      </c>
      <c r="H6" s="84">
        <v>0.15</v>
      </c>
      <c r="I6" s="31">
        <v>3</v>
      </c>
      <c r="L6" s="97">
        <v>1357</v>
      </c>
      <c r="M6" s="37" t="str">
        <f>VLOOKUP(L6,[1]characters!$A:$C,3,FALSE)</f>
        <v>甘美なる想導司書 アズラエル</v>
      </c>
      <c r="N6" s="63">
        <v>0.05</v>
      </c>
      <c r="O6" s="37">
        <f>VLOOKUP(L6,[1]characters!$A:$I,9,FALSE)</f>
        <v>5</v>
      </c>
      <c r="P6" s="37" t="str">
        <f>VLOOKUP(L6,[1]characters!$A:$J,10,FALSE)</f>
        <v>PremiumS</v>
      </c>
      <c r="Q6" s="37" t="str">
        <f>VLOOKUP(L6,tables_522100!B:C,2,FALSE)</f>
        <v>Premium5R3less</v>
      </c>
      <c r="R6" s="62">
        <f t="shared" si="1"/>
        <v>6555000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97">
        <v>1358</v>
      </c>
      <c r="M7" s="37" t="str">
        <f>VLOOKUP(L7,[1]characters!$A:$C,3,FALSE)</f>
        <v>暴走する恋激火 バハムート</v>
      </c>
      <c r="N7" s="63">
        <v>0.05</v>
      </c>
      <c r="O7" s="37">
        <f>VLOOKUP(L7,[1]characters!$A:$I,9,FALSE)</f>
        <v>5</v>
      </c>
      <c r="P7" s="37" t="str">
        <f>VLOOKUP(L7,[1]characters!$A:$J,10,FALSE)</f>
        <v>PremiumS</v>
      </c>
      <c r="Q7" s="37" t="str">
        <f>VLOOKUP(L7,tables_522100!B:C,2,FALSE)</f>
        <v>Premium5R3less</v>
      </c>
      <c r="R7" s="62">
        <f t="shared" si="1"/>
        <v>6555000</v>
      </c>
      <c r="S7">
        <v>598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97">
        <v>1363</v>
      </c>
      <c r="M8" s="37" t="str">
        <f>VLOOKUP(L8,[1]characters!$A:$C,3,FALSE)</f>
        <v>聖白の夢菓子 ヴァニレ</v>
      </c>
      <c r="N8" s="63">
        <v>0.02</v>
      </c>
      <c r="O8" s="37">
        <f>VLOOKUP(L8,[1]characters!$A:$I,9,FALSE)</f>
        <v>6</v>
      </c>
      <c r="P8" s="37" t="str">
        <f>VLOOKUP(L8,[1]characters!$A:$J,10,FALSE)</f>
        <v>PremiumSS</v>
      </c>
      <c r="Q8" s="37" t="str">
        <f>VLOOKUP(L8,tables_522100!B:C,2,FALSE)</f>
        <v>PremiumSS6R5only</v>
      </c>
      <c r="R8" s="62">
        <f t="shared" si="1"/>
        <v>2622000</v>
      </c>
      <c r="S8">
        <v>391</v>
      </c>
      <c r="U8" s="33" t="s">
        <v>197</v>
      </c>
      <c r="V8" s="54">
        <f t="shared" si="0"/>
        <v>0.15000000000000002</v>
      </c>
    </row>
    <row r="9" spans="1:22" x14ac:dyDescent="0.15">
      <c r="A9" s="35" t="s">
        <v>54</v>
      </c>
      <c r="B9" s="35"/>
      <c r="L9" s="1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VLOOKUP(L9,tables_522100!B:C,2,FALSE)</f>
        <v>#N/A</v>
      </c>
      <c r="R9" s="62">
        <f t="shared" si="1"/>
        <v>0</v>
      </c>
      <c r="S9">
        <v>496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v>0.89700000000000002</v>
      </c>
      <c r="C10" t="s">
        <v>208</v>
      </c>
      <c r="L10" s="1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VLOOKUP(L10,tables_522100!B:C,2,FALSE)</f>
        <v>#N/A</v>
      </c>
      <c r="R10" s="62">
        <f t="shared" si="1"/>
        <v>0</v>
      </c>
      <c r="S10">
        <v>497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0.10299999999999999</v>
      </c>
      <c r="C11" t="s">
        <v>242</v>
      </c>
      <c r="L11" s="1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VLOOKUP(L11,tables_522100!B:C,2,FALSE)</f>
        <v>#N/A</v>
      </c>
      <c r="R11" s="62">
        <f t="shared" si="1"/>
        <v>0</v>
      </c>
      <c r="S11">
        <v>498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L12" s="98"/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VLOOKUP(L12,tables_522100!B:C,2,FALSE)</f>
        <v>#N/A</v>
      </c>
      <c r="R12" s="62">
        <f t="shared" si="1"/>
        <v>0</v>
      </c>
      <c r="S12">
        <v>395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VLOOKUP(L13,tables_522100!B:C,2,FALSE)</f>
        <v>#N/A</v>
      </c>
      <c r="R13" s="62">
        <f t="shared" si="1"/>
        <v>0</v>
      </c>
      <c r="S13">
        <v>396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VLOOKUP(L14,tables_522100!B:C,2,FALSE)</f>
        <v>#N/A</v>
      </c>
      <c r="R14" s="62">
        <f t="shared" si="1"/>
        <v>0</v>
      </c>
      <c r="S14">
        <v>397</v>
      </c>
      <c r="U14" s="33" t="s">
        <v>199</v>
      </c>
      <c r="V14" s="54">
        <f t="shared" si="0"/>
        <v>1.2999999999999999E-2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VLOOKUP(L15,tables_522100!B:C,2,FALSE)</f>
        <v>#N/A</v>
      </c>
      <c r="R15" s="62">
        <f t="shared" si="1"/>
        <v>0</v>
      </c>
      <c r="S15">
        <v>324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VLOOKUP(L16,tables_522100!B:C,2,FALSE)</f>
        <v>#N/A</v>
      </c>
      <c r="R16" s="62">
        <f t="shared" si="1"/>
        <v>0</v>
      </c>
      <c r="S16">
        <v>325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2" si="2">SUMIF(Q:Q,A17,N:N)</f>
        <v>0</v>
      </c>
      <c r="D17" s="74">
        <f t="shared" ref="D17:D33" si="3">B17-C17</f>
        <v>0</v>
      </c>
      <c r="E17">
        <f>COUNTIF(tables_522100!C:C,input_522100!A17)-COUNTIF(Q:Q,A17)</f>
        <v>20</v>
      </c>
      <c r="F17" s="43">
        <f>IFERROR(B17/E17,0)</f>
        <v>0</v>
      </c>
      <c r="G17">
        <f t="shared" ref="G17:G32" si="4">A$37*B17</f>
        <v>0</v>
      </c>
      <c r="H17">
        <f t="shared" ref="H17:H32" si="5">IFERROR(ROUND(G17/E17,5),0)</f>
        <v>0</v>
      </c>
      <c r="I17">
        <f t="shared" ref="I17:I32" si="6">MOD(H17,1)</f>
        <v>0</v>
      </c>
      <c r="J17">
        <f t="shared" ref="J17:J32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VLOOKUP(L17,tables_522100!B:C,2,FALSE)</f>
        <v>#N/A</v>
      </c>
      <c r="R17" s="62">
        <f t="shared" si="1"/>
        <v>0</v>
      </c>
      <c r="S17">
        <v>809</v>
      </c>
    </row>
    <row r="18" spans="1:19" x14ac:dyDescent="0.15">
      <c r="A18" s="33" t="s">
        <v>191</v>
      </c>
      <c r="B18" s="56">
        <f>E$6*E18-B17</f>
        <v>0.15726315789473685</v>
      </c>
      <c r="C18" s="85">
        <f t="shared" si="2"/>
        <v>0</v>
      </c>
      <c r="D18" s="74">
        <f t="shared" si="3"/>
        <v>0.15726315789473685</v>
      </c>
      <c r="E18">
        <f>COUNTIF(tables_522100!C:C,input_522100!A18)-COUNTIF(Q:Q,A18)</f>
        <v>20</v>
      </c>
      <c r="F18" s="43">
        <f>IFERROR(B18/E18,0)</f>
        <v>7.8631578947368427E-3</v>
      </c>
      <c r="G18">
        <f t="shared" si="4"/>
        <v>20617200</v>
      </c>
      <c r="H18">
        <f t="shared" si="5"/>
        <v>1030860</v>
      </c>
      <c r="I18">
        <f t="shared" si="6"/>
        <v>0</v>
      </c>
      <c r="J18">
        <f t="shared" si="7"/>
        <v>1</v>
      </c>
      <c r="L18" s="57"/>
      <c r="M18" s="57"/>
      <c r="N18" s="58"/>
      <c r="O18" s="57"/>
      <c r="P18" s="57"/>
      <c r="Q18" s="57"/>
      <c r="R18" s="59"/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COUNTIF(tables_522100!C:C,input_522100!A19)-COUNTIF(Q:Q,A19)</f>
        <v>52</v>
      </c>
      <c r="F19" s="43">
        <f t="shared" ref="F19:F32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57"/>
      <c r="M19" s="57"/>
      <c r="N19" s="58"/>
      <c r="O19" s="57"/>
      <c r="P19" s="57"/>
      <c r="Q19" s="57"/>
      <c r="R19" s="59"/>
    </row>
    <row r="20" spans="1:19" x14ac:dyDescent="0.15">
      <c r="A20" s="33" t="s">
        <v>98</v>
      </c>
      <c r="B20" s="92">
        <f>E20*E6-B21</f>
        <v>0.4010104271548437</v>
      </c>
      <c r="C20" s="85">
        <f t="shared" si="2"/>
        <v>0</v>
      </c>
      <c r="D20" s="74">
        <f t="shared" si="3"/>
        <v>0.4010104271548437</v>
      </c>
      <c r="E20">
        <f>COUNTIF(tables_522100!C:C,input_522100!A20)-COUNTIF(Q:Q,A20)</f>
        <v>52</v>
      </c>
      <c r="F20" s="43">
        <f t="shared" si="8"/>
        <v>7.7117389837469946E-3</v>
      </c>
      <c r="G20">
        <f t="shared" si="4"/>
        <v>52572467.000000007</v>
      </c>
      <c r="H20">
        <f t="shared" si="5"/>
        <v>1011008.98077</v>
      </c>
      <c r="I20">
        <f t="shared" si="6"/>
        <v>0.98077000002376735</v>
      </c>
      <c r="J20">
        <f t="shared" si="7"/>
        <v>1.0196070434207476</v>
      </c>
      <c r="L20" s="57"/>
      <c r="M20" s="57"/>
      <c r="N20" s="58"/>
      <c r="O20" s="57"/>
      <c r="P20" s="57"/>
      <c r="Q20" s="57"/>
      <c r="R20" s="59"/>
    </row>
    <row r="21" spans="1:19" x14ac:dyDescent="0.15">
      <c r="A21" s="33" t="s">
        <v>99</v>
      </c>
      <c r="B21" s="56">
        <f>B7-B23-B26-B28-B29</f>
        <v>7.8737833714721608E-3</v>
      </c>
      <c r="C21" s="85">
        <f t="shared" si="2"/>
        <v>0</v>
      </c>
      <c r="D21" s="74">
        <f t="shared" si="3"/>
        <v>7.8737833714721608E-3</v>
      </c>
      <c r="E21">
        <f>COUNTIF(tables_522100!C:C,input_522100!A21)-COUNTIF(Q:Q,A21)</f>
        <v>52</v>
      </c>
      <c r="F21" s="43">
        <f t="shared" si="8"/>
        <v>1.5141891098984924E-4</v>
      </c>
      <c r="G21">
        <f t="shared" si="4"/>
        <v>1032253.0000000002</v>
      </c>
      <c r="H21">
        <f t="shared" si="5"/>
        <v>19851.019230000002</v>
      </c>
      <c r="I21">
        <f t="shared" si="6"/>
        <v>1.92300000016985E-2</v>
      </c>
      <c r="J21">
        <f t="shared" si="7"/>
        <v>52.00208007861022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0.13957105263157896</v>
      </c>
      <c r="C22" s="85">
        <f t="shared" si="2"/>
        <v>0</v>
      </c>
      <c r="D22" s="74">
        <f t="shared" si="3"/>
        <v>0.13957105263157896</v>
      </c>
      <c r="E22">
        <f>COUNTIF(tables_522100!C:C,input_522100!A22)-COUNTIF(Q:Q,A22)</f>
        <v>19</v>
      </c>
      <c r="F22" s="43">
        <f t="shared" si="8"/>
        <v>7.3458448753462606E-3</v>
      </c>
      <c r="G22">
        <f t="shared" si="4"/>
        <v>18297765</v>
      </c>
      <c r="H22">
        <f t="shared" si="5"/>
        <v>963040.26315999997</v>
      </c>
      <c r="I22">
        <f t="shared" si="6"/>
        <v>0.26315999997314066</v>
      </c>
      <c r="J22">
        <f t="shared" si="7"/>
        <v>3.7999696006310408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9.8289473684210552E-3</v>
      </c>
      <c r="C23" s="85">
        <f t="shared" si="2"/>
        <v>0.15000000000000002</v>
      </c>
      <c r="D23" s="74">
        <f t="shared" si="3"/>
        <v>-0.14017105263157897</v>
      </c>
      <c r="E23">
        <f>COUNTIF(tables_522100!C:C,input_522100!A23)-COUNTIF(Q:Q,A23)</f>
        <v>25</v>
      </c>
      <c r="F23" s="43">
        <f t="shared" si="8"/>
        <v>3.9315789473684222E-4</v>
      </c>
      <c r="G23">
        <f t="shared" si="4"/>
        <v>1288575.0000000002</v>
      </c>
      <c r="H23">
        <f t="shared" si="5"/>
        <v>51543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COUNTIF(tables_522100!C:C,input_522100!A24)-COUNTIF(Q:Q,A24)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2.988E-2</v>
      </c>
      <c r="C25" s="85">
        <f t="shared" si="2"/>
        <v>0</v>
      </c>
      <c r="D25" s="74">
        <f t="shared" si="3"/>
        <v>2.988E-2</v>
      </c>
      <c r="E25">
        <f>COUNTIF(tables_522100!C:C,input_522100!A25)-COUNTIF(Q:Q,A25)</f>
        <v>4</v>
      </c>
      <c r="F25" s="43">
        <f t="shared" si="8"/>
        <v>7.4700000000000001E-3</v>
      </c>
      <c r="G25">
        <f t="shared" si="4"/>
        <v>3917268</v>
      </c>
      <c r="H25">
        <f t="shared" si="5"/>
        <v>979317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1.5726315789473687E-3</v>
      </c>
      <c r="C26" s="85">
        <f t="shared" si="2"/>
        <v>0</v>
      </c>
      <c r="D26" s="74">
        <f t="shared" si="3"/>
        <v>1.5726315789473687E-3</v>
      </c>
      <c r="E26">
        <f>COUNTIF(tables_522100!C:C,input_522100!A26)-COUNTIF(Q:Q,A26)</f>
        <v>4</v>
      </c>
      <c r="F26" s="43">
        <f t="shared" si="8"/>
        <v>3.9315789473684217E-4</v>
      </c>
      <c r="G26">
        <f t="shared" si="4"/>
        <v>206172.00000000003</v>
      </c>
      <c r="H26">
        <f t="shared" si="5"/>
        <v>51543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1.9275362318840576E-2</v>
      </c>
      <c r="C27" s="85">
        <f t="shared" si="2"/>
        <v>0</v>
      </c>
      <c r="D27" s="74">
        <f t="shared" si="3"/>
        <v>1.9275362318840576E-2</v>
      </c>
      <c r="E27">
        <f>COUNTIF(tables_522100!C:C,input_522100!A27)-COUNTIF(Q:Q,A27)</f>
        <v>28</v>
      </c>
      <c r="F27" s="43">
        <f>IFERROR(B27/E27,0)</f>
        <v>6.884057971014492E-4</v>
      </c>
      <c r="G27">
        <f t="shared" si="4"/>
        <v>2526999.9999999995</v>
      </c>
      <c r="H27">
        <f t="shared" si="5"/>
        <v>90250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1.0144927536231885E-3</v>
      </c>
      <c r="C28" s="85">
        <f t="shared" si="2"/>
        <v>0</v>
      </c>
      <c r="D28" s="74">
        <f t="shared" si="3"/>
        <v>1.0144927536231885E-3</v>
      </c>
      <c r="E28">
        <f>COUNTIF(tables_522100!C:C,input_522100!A28)-COUNTIF(Q:Q,A28)</f>
        <v>28</v>
      </c>
      <c r="F28" s="43">
        <f t="shared" si="8"/>
        <v>3.6231884057971014E-5</v>
      </c>
      <c r="G28">
        <f t="shared" si="4"/>
        <v>133000</v>
      </c>
      <c r="H28">
        <f t="shared" si="5"/>
        <v>4750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2.9710144927536229E-2</v>
      </c>
      <c r="C29" s="85">
        <f t="shared" si="2"/>
        <v>1.2999999999999999E-2</v>
      </c>
      <c r="D29" s="74">
        <f t="shared" si="3"/>
        <v>1.6710144927536232E-2</v>
      </c>
      <c r="E29">
        <f>COUNTIF(tables_522100!C:C,input_522100!A29)-COUNTIF(Q:Q,A29)</f>
        <v>41</v>
      </c>
      <c r="F29" s="43">
        <f t="shared" si="8"/>
        <v>7.2463768115942019E-4</v>
      </c>
      <c r="G29">
        <f t="shared" si="4"/>
        <v>3894999.9999999995</v>
      </c>
      <c r="H29">
        <f t="shared" si="5"/>
        <v>95000</v>
      </c>
      <c r="I29">
        <f t="shared" si="6"/>
        <v>0</v>
      </c>
      <c r="J29">
        <f t="shared" si="7"/>
        <v>1</v>
      </c>
      <c r="L29" s="57"/>
      <c r="M29" s="57"/>
      <c r="N29" s="57"/>
      <c r="O29" s="57"/>
      <c r="P29" s="57"/>
      <c r="Q29" s="57"/>
      <c r="R29" s="59"/>
    </row>
    <row r="30" spans="1:19" x14ac:dyDescent="0.15">
      <c r="A30" s="33" t="s">
        <v>252</v>
      </c>
      <c r="B30" s="56">
        <f>E$5*E30</f>
        <v>0</v>
      </c>
      <c r="C30" s="85">
        <f t="shared" si="2"/>
        <v>0.04</v>
      </c>
      <c r="D30" s="74">
        <f t="shared" ref="D30" si="9">B30-C30</f>
        <v>-0.04</v>
      </c>
      <c r="E30">
        <f>COUNTIF(tables_522100!C:C,input_522100!A30)-COUNTIF(Q:Q,A30)</f>
        <v>0</v>
      </c>
      <c r="F30" s="43">
        <f t="shared" ref="F30" si="10">IFERROR(B30/E30,0)</f>
        <v>0</v>
      </c>
      <c r="G30">
        <f t="shared" ref="G30" si="11">A$37*B30</f>
        <v>0</v>
      </c>
      <c r="H30">
        <f t="shared" ref="H30" si="12">IFERROR(ROUND(G30/E30,5),0)</f>
        <v>0</v>
      </c>
      <c r="I30">
        <f t="shared" ref="I30" si="13">MOD(H30,1)</f>
        <v>0</v>
      </c>
      <c r="J30">
        <f t="shared" ref="J30" si="14">IFERROR(1/I30,1)</f>
        <v>1</v>
      </c>
      <c r="L30" s="102"/>
      <c r="M30" s="102"/>
      <c r="N30" s="102"/>
      <c r="O30" s="102"/>
      <c r="P30" s="102"/>
      <c r="Q30" s="102"/>
      <c r="R30" s="59"/>
    </row>
    <row r="31" spans="1:19" x14ac:dyDescent="0.15">
      <c r="A31" s="33" t="s">
        <v>239</v>
      </c>
      <c r="B31" s="56">
        <f>0</f>
        <v>0</v>
      </c>
      <c r="C31" s="85">
        <f t="shared" si="2"/>
        <v>0</v>
      </c>
      <c r="D31" s="74">
        <f t="shared" si="3"/>
        <v>0</v>
      </c>
      <c r="E31">
        <f>COUNTIF(tables_522100!C:C,input_522100!A31)-COUNTIF(Q:Q,A31)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</row>
    <row r="32" spans="1:19" x14ac:dyDescent="0.15">
      <c r="A32" s="33" t="s">
        <v>240</v>
      </c>
      <c r="B32" s="56">
        <v>0</v>
      </c>
      <c r="C32" s="85">
        <f t="shared" si="2"/>
        <v>0</v>
      </c>
      <c r="D32" s="74">
        <f t="shared" si="3"/>
        <v>0</v>
      </c>
      <c r="E32">
        <f>COUNTIF(tables_522100!C:C,input_522100!A32)-COUNTIF(Q:Q,A32)</f>
        <v>0</v>
      </c>
      <c r="F32" s="43">
        <f t="shared" si="8"/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</row>
    <row r="33" spans="1:7" x14ac:dyDescent="0.15">
      <c r="A33" s="39" t="s">
        <v>59</v>
      </c>
      <c r="B33" s="40">
        <f>SUM(B17:B32)</f>
        <v>0.79700000000000015</v>
      </c>
      <c r="C33" s="41">
        <f>SUM(C19:C32)</f>
        <v>0.20300000000000004</v>
      </c>
      <c r="D33" s="42">
        <f t="shared" si="3"/>
        <v>0.59400000000000008</v>
      </c>
    </row>
    <row r="35" spans="1:7" x14ac:dyDescent="0.15">
      <c r="E35" s="55"/>
      <c r="F35" s="55"/>
    </row>
    <row r="36" spans="1:7" x14ac:dyDescent="0.15">
      <c r="A36" t="s">
        <v>73</v>
      </c>
    </row>
    <row r="37" spans="1:7" x14ac:dyDescent="0.15">
      <c r="A37" s="31">
        <f>LCM(F5-I5,F6-I6)*1000*2*2*5</f>
        <v>131100000</v>
      </c>
    </row>
    <row r="39" spans="1:7" x14ac:dyDescent="0.15">
      <c r="A39" s="47" t="s">
        <v>76</v>
      </c>
    </row>
    <row r="40" spans="1:7" x14ac:dyDescent="0.15">
      <c r="A40" s="33" t="s">
        <v>60</v>
      </c>
      <c r="B40" t="s">
        <v>74</v>
      </c>
      <c r="C40" t="s">
        <v>100</v>
      </c>
      <c r="E40" t="s">
        <v>101</v>
      </c>
      <c r="F40" t="s">
        <v>2</v>
      </c>
      <c r="G40" t="s">
        <v>63</v>
      </c>
    </row>
    <row r="41" spans="1:7" x14ac:dyDescent="0.15">
      <c r="A41" s="33" t="s">
        <v>103</v>
      </c>
      <c r="B41">
        <f ca="1">SUMIF(tables_522100!C:C,input_522100!A41,tables_522100!O:O)</f>
        <v>0</v>
      </c>
      <c r="C41" s="54">
        <f t="shared" ref="C41:C47" ca="1" si="15">B41/B$48</f>
        <v>0</v>
      </c>
      <c r="E41">
        <v>3</v>
      </c>
      <c r="F41">
        <f ca="1">SUMIF(tables_522100!J:J,input_522100!E41,tables_522100!O:O)</f>
        <v>0</v>
      </c>
      <c r="G41">
        <f ca="1">F41/A37</f>
        <v>0</v>
      </c>
    </row>
    <row r="42" spans="1:7" x14ac:dyDescent="0.15">
      <c r="A42" s="33" t="s">
        <v>104</v>
      </c>
      <c r="B42">
        <f ca="1">SUMIF(tables_522100!C:C,input_522100!A42,tables_522100!O:O)</f>
        <v>52572467.000039972</v>
      </c>
      <c r="C42" s="54">
        <f t="shared" ca="1" si="15"/>
        <v>0.9343771194460756</v>
      </c>
      <c r="E42">
        <v>4</v>
      </c>
      <c r="F42">
        <f ca="1">SUMIF(tables_522100!J:J,input_522100!E42,tables_522100!O:O)</f>
        <v>97931700.000080153</v>
      </c>
      <c r="G42">
        <f ca="1">F42/A37</f>
        <v>0.7470000000006114</v>
      </c>
    </row>
    <row r="43" spans="1:7" x14ac:dyDescent="0.15">
      <c r="A43" s="33" t="s">
        <v>106</v>
      </c>
      <c r="B43">
        <f ca="1">SUMIF(tables_522100!C:C,input_522100!A43,tables_522100!O:O)</f>
        <v>2527000</v>
      </c>
      <c r="C43" s="54">
        <f t="shared" ca="1" si="15"/>
        <v>4.4912691292163215E-2</v>
      </c>
      <c r="E43">
        <v>5</v>
      </c>
      <c r="F43">
        <f ca="1">SUMIF(tables_522100!J:J,input_522100!E43,tables_522100!O:O)</f>
        <v>27924299.999959998</v>
      </c>
      <c r="G43">
        <f ca="1">F43/A37</f>
        <v>0.21299999999969488</v>
      </c>
    </row>
    <row r="44" spans="1:7" x14ac:dyDescent="0.15">
      <c r="A44" s="33" t="s">
        <v>109</v>
      </c>
      <c r="B44">
        <f>SUMIF(tables_522100!C:C,input_522100!A44,tables_522100!O:O)</f>
        <v>0</v>
      </c>
      <c r="C44" s="54">
        <f t="shared" ca="1" si="15"/>
        <v>0</v>
      </c>
      <c r="F44" s="55"/>
    </row>
    <row r="45" spans="1:7" x14ac:dyDescent="0.15">
      <c r="A45" s="33" t="s">
        <v>105</v>
      </c>
      <c r="B45">
        <f ca="1">SUMIF(tables_522100!C:C,input_522100!A45,tables_522100!O:O)</f>
        <v>1032252.9999599991</v>
      </c>
      <c r="C45" s="54">
        <f t="shared" ca="1" si="15"/>
        <v>1.834636340427891E-2</v>
      </c>
      <c r="E45" t="s">
        <v>54</v>
      </c>
      <c r="F45" s="55"/>
    </row>
    <row r="46" spans="1:7" x14ac:dyDescent="0.15">
      <c r="A46" s="33" t="s">
        <v>107</v>
      </c>
      <c r="B46">
        <f ca="1">SUMIF(tables_522100!C:C,input_522100!A46,tables_522100!O:O)</f>
        <v>133000</v>
      </c>
      <c r="C46" s="54">
        <f t="shared" ca="1" si="15"/>
        <v>2.3638258574822744E-3</v>
      </c>
      <c r="E46" t="s">
        <v>204</v>
      </c>
      <c r="F46" s="55">
        <f ca="1">SUMIF(tables_522100!I:I,input_522100!E46,tables_522100!P:P)</f>
        <v>0.15962210526310913</v>
      </c>
    </row>
    <row r="47" spans="1:7" x14ac:dyDescent="0.15">
      <c r="A47" s="33" t="s">
        <v>108</v>
      </c>
      <c r="B47">
        <f>SUMIF(tables_522100!C:C,input_522100!A47,tables_522100!O:O)</f>
        <v>0</v>
      </c>
      <c r="C47" s="54">
        <f t="shared" ca="1" si="15"/>
        <v>0</v>
      </c>
      <c r="E47" t="s">
        <v>205</v>
      </c>
      <c r="F47" s="55">
        <f ca="1">SUMIF(tables_522100!I:I,input_522100!E47,tables_522100!P:P)</f>
        <v>0.15726315789468881</v>
      </c>
    </row>
    <row r="48" spans="1:7" x14ac:dyDescent="0.15">
      <c r="A48" s="39" t="s">
        <v>59</v>
      </c>
      <c r="B48">
        <f ca="1">SUM(B41:B47)</f>
        <v>56264719.99999997</v>
      </c>
      <c r="C48" s="55">
        <f ca="1">SUM(C41:C47)</f>
        <v>1</v>
      </c>
      <c r="E48" t="s">
        <v>206</v>
      </c>
      <c r="F48" s="55">
        <f ca="1">SUMIF(tables_522100!I:I,input_522100!E48,tables_522100!P:P)</f>
        <v>0.58011473684223225</v>
      </c>
    </row>
    <row r="49" spans="5:7" x14ac:dyDescent="0.15">
      <c r="E49" t="s">
        <v>207</v>
      </c>
      <c r="F49" s="55">
        <f ca="1">SUMIF(tables_522100!I:I,input_522100!E49,tables_522100!P:P)</f>
        <v>8.4202898550698888E-2</v>
      </c>
      <c r="G49" s="55">
        <f ca="1">0.05-F49-F50</f>
        <v>-5.2999999999968496E-2</v>
      </c>
    </row>
    <row r="50" spans="5:7" x14ac:dyDescent="0.15">
      <c r="E50" t="s">
        <v>250</v>
      </c>
      <c r="F50" s="55">
        <f ca="1">SUMIF(tables_522100!I:I,input_522100!E50,tables_522100!P:P)</f>
        <v>1.8797101449269611E-2</v>
      </c>
      <c r="G50">
        <v>3.0000000001684664E-3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6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input_522100!A$2</f>
        <v>522100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IFERROR(VLOOKUP(B2,input_522100!L:R,7,FALSE),VLOOKUP(tables_522100!C2,input_522100!A:H,8,FALSE))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input_522100!A$2</f>
        <v>522100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IFERROR(VLOOKUP(B3,input_522100!L:R,7,FALSE),VLOOKUP(tables_522100!C3,input_522100!A:H,8,FALSE))</f>
        <v>1030860</v>
      </c>
      <c r="P3" s="46">
        <f t="shared" ca="1" si="1"/>
        <v>7.8631578947344367E-3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input_522100!A$2</f>
        <v>522100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IFERROR(VLOOKUP(B4,input_522100!L:R,7,FALSE),VLOOKUP(tables_522100!C4,input_522100!A:H,8,FALSE))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input_522100!A$2</f>
        <v>522100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IFERROR(VLOOKUP(B5,input_522100!L:R,7,FALSE),VLOOKUP(tables_522100!C5,input_522100!A:H,8,FALSE))</f>
        <v>1030860</v>
      </c>
      <c r="P5" s="46">
        <f t="shared" ca="1" si="1"/>
        <v>7.8631578947344367E-3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input_522100!A$2</f>
        <v>522100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IFERROR(VLOOKUP(B6,input_522100!L:R,7,FALSE),VLOOKUP(tables_522100!C6,input_522100!A:H,8,FALSE))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input_522100!A$2</f>
        <v>522100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IFERROR(VLOOKUP(B7,input_522100!L:R,7,FALSE),VLOOKUP(tables_522100!C7,input_522100!A:H,8,FALSE))</f>
        <v>1030860</v>
      </c>
      <c r="P7" s="46">
        <f t="shared" ca="1" si="1"/>
        <v>7.8631578947344367E-3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input_522100!A$2</f>
        <v>522100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IFERROR(VLOOKUP(B8,input_522100!L:R,7,FALSE),VLOOKUP(tables_522100!C8,input_522100!A:H,8,FALSE))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input_522100!A$2</f>
        <v>522100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IFERROR(VLOOKUP(B9,input_522100!L:R,7,FALSE),VLOOKUP(tables_522100!C9,input_522100!A:H,8,FALSE))</f>
        <v>1030860</v>
      </c>
      <c r="P9" s="46">
        <f t="shared" ca="1" si="1"/>
        <v>7.8631578947344367E-3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input_522100!A$2</f>
        <v>522100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IFERROR(VLOOKUP(B10,input_522100!L:R,7,FALSE),VLOOKUP(tables_522100!C10,input_522100!A:H,8,FALSE))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input_522100!A$2</f>
        <v>522100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IFERROR(VLOOKUP(B11,input_522100!L:R,7,FALSE),VLOOKUP(tables_522100!C11,input_522100!A:H,8,FALSE))</f>
        <v>1030860</v>
      </c>
      <c r="P11" s="46">
        <f t="shared" ca="1" si="1"/>
        <v>7.8631578947344367E-3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input_522100!A$2</f>
        <v>522100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IFERROR(VLOOKUP(B12,input_522100!L:R,7,FALSE),VLOOKUP(tables_522100!C12,input_522100!A:H,8,FALSE))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input_522100!A$2</f>
        <v>522100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IFERROR(VLOOKUP(B13,input_522100!L:R,7,FALSE),VLOOKUP(tables_522100!C13,input_522100!A:H,8,FALSE))</f>
        <v>1030860</v>
      </c>
      <c r="P13" s="46">
        <f t="shared" ca="1" si="1"/>
        <v>7.8631578947344367E-3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input_522100!A$2</f>
        <v>522100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IFERROR(VLOOKUP(B14,input_522100!L:R,7,FALSE),VLOOKUP(tables_522100!C14,input_522100!A:H,8,FALSE))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input_522100!A$2</f>
        <v>522100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IFERROR(VLOOKUP(B15,input_522100!L:R,7,FALSE),VLOOKUP(tables_522100!C15,input_522100!A:H,8,FALSE))</f>
        <v>1030860</v>
      </c>
      <c r="P15" s="46">
        <f t="shared" ca="1" si="1"/>
        <v>7.8631578947344367E-3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input_522100!A$2</f>
        <v>522100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IFERROR(VLOOKUP(B16,input_522100!L:R,7,FALSE),VLOOKUP(tables_522100!C16,input_522100!A:H,8,FALSE))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input_522100!A$2</f>
        <v>522100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IFERROR(VLOOKUP(B17,input_522100!L:R,7,FALSE),VLOOKUP(tables_522100!C17,input_522100!A:H,8,FALSE))</f>
        <v>1030860</v>
      </c>
      <c r="P17" s="46">
        <f t="shared" ca="1" si="1"/>
        <v>7.8631578947344367E-3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input_522100!A$2</f>
        <v>522100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IFERROR(VLOOKUP(B18,input_522100!L:R,7,FALSE),VLOOKUP(tables_522100!C18,input_522100!A:H,8,FALSE))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input_522100!A$2</f>
        <v>522100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IFERROR(VLOOKUP(B19,input_522100!L:R,7,FALSE),VLOOKUP(tables_522100!C19,input_522100!A:H,8,FALSE))</f>
        <v>1030860</v>
      </c>
      <c r="P19" s="46">
        <f t="shared" ca="1" si="1"/>
        <v>7.8631578947344367E-3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input_522100!A$2</f>
        <v>522100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IFERROR(VLOOKUP(B20,input_522100!L:R,7,FALSE),VLOOKUP(tables_522100!C20,input_522100!A:H,8,FALSE))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input_522100!A$2</f>
        <v>522100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IFERROR(VLOOKUP(B21,input_522100!L:R,7,FALSE),VLOOKUP(tables_522100!C21,input_522100!A:H,8,FALSE))</f>
        <v>1030860</v>
      </c>
      <c r="P21" s="46">
        <f t="shared" ca="1" si="1"/>
        <v>7.8631578947344367E-3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input_522100!A$2</f>
        <v>522100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IFERROR(VLOOKUP(B22,input_522100!L:R,7,FALSE),VLOOKUP(tables_522100!C22,input_522100!A:H,8,FALSE))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input_522100!A$2</f>
        <v>522100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IFERROR(VLOOKUP(B23,input_522100!L:R,7,FALSE),VLOOKUP(tables_522100!C23,input_522100!A:H,8,FALSE))</f>
        <v>1030860</v>
      </c>
      <c r="P23" s="46">
        <f t="shared" ca="1" si="1"/>
        <v>7.8631578947344367E-3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input_522100!A$2</f>
        <v>522100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IFERROR(VLOOKUP(B24,input_522100!L:R,7,FALSE),VLOOKUP(tables_522100!C24,input_522100!A:H,8,FALSE))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input_522100!A$2</f>
        <v>522100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IFERROR(VLOOKUP(B25,input_522100!L:R,7,FALSE),VLOOKUP(tables_522100!C25,input_522100!A:H,8,FALSE))</f>
        <v>1030860</v>
      </c>
      <c r="P25" s="46">
        <f t="shared" ca="1" si="1"/>
        <v>7.8631578947344367E-3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input_522100!A$2</f>
        <v>522100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IFERROR(VLOOKUP(B26,input_522100!L:R,7,FALSE),VLOOKUP(tables_522100!C26,input_522100!A:H,8,FALSE))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input_522100!A$2</f>
        <v>522100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IFERROR(VLOOKUP(B27,input_522100!L:R,7,FALSE),VLOOKUP(tables_522100!C27,input_522100!A:H,8,FALSE))</f>
        <v>1030860</v>
      </c>
      <c r="P27" s="46">
        <f t="shared" ca="1" si="1"/>
        <v>7.8631578947344367E-3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input_522100!A$2</f>
        <v>522100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IFERROR(VLOOKUP(B28,input_522100!L:R,7,FALSE),VLOOKUP(tables_522100!C28,input_522100!A:H,8,FALSE))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input_522100!A$2</f>
        <v>522100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IFERROR(VLOOKUP(B29,input_522100!L:R,7,FALSE),VLOOKUP(tables_522100!C29,input_522100!A:H,8,FALSE))</f>
        <v>1030860</v>
      </c>
      <c r="P29" s="46">
        <f t="shared" ca="1" si="1"/>
        <v>7.8631578947344367E-3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input_522100!A$2</f>
        <v>522100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IFERROR(VLOOKUP(B30,input_522100!L:R,7,FALSE),VLOOKUP(tables_522100!C30,input_522100!A:H,8,FALSE))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input_522100!A$2</f>
        <v>522100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IFERROR(VLOOKUP(B31,input_522100!L:R,7,FALSE),VLOOKUP(tables_522100!C31,input_522100!A:H,8,FALSE))</f>
        <v>1030860</v>
      </c>
      <c r="P31" s="46">
        <f t="shared" ca="1" si="1"/>
        <v>7.8631578947344367E-3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input_522100!A$2</f>
        <v>522100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IFERROR(VLOOKUP(B32,input_522100!L:R,7,FALSE),VLOOKUP(tables_522100!C32,input_522100!A:H,8,FALSE))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input_522100!A$2</f>
        <v>522100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IFERROR(VLOOKUP(B33,input_522100!L:R,7,FALSE),VLOOKUP(tables_522100!C33,input_522100!A:H,8,FALSE))</f>
        <v>1030860</v>
      </c>
      <c r="P33" s="46">
        <f t="shared" ca="1" si="1"/>
        <v>7.8631578947344367E-3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input_522100!A$2</f>
        <v>522100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IFERROR(VLOOKUP(B34,input_522100!L:R,7,FALSE),VLOOKUP(tables_522100!C34,input_522100!A:H,8,FALSE))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input_522100!A$2</f>
        <v>522100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IFERROR(VLOOKUP(B35,input_522100!L:R,7,FALSE),VLOOKUP(tables_522100!C35,input_522100!A:H,8,FALSE))</f>
        <v>1030860</v>
      </c>
      <c r="P35" s="46">
        <f t="shared" ca="1" si="1"/>
        <v>7.8631578947344367E-3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input_522100!A$2</f>
        <v>522100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IFERROR(VLOOKUP(B36,input_522100!L:R,7,FALSE),VLOOKUP(tables_522100!C36,input_522100!A:H,8,FALSE))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input_522100!A$2</f>
        <v>522100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IFERROR(VLOOKUP(B37,input_522100!L:R,7,FALSE),VLOOKUP(tables_522100!C37,input_522100!A:H,8,FALSE))</f>
        <v>1030860</v>
      </c>
      <c r="P37" s="46">
        <f t="shared" ca="1" si="1"/>
        <v>7.8631578947344367E-3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input_522100!A$2</f>
        <v>522100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IFERROR(VLOOKUP(B38,input_522100!L:R,7,FALSE),VLOOKUP(tables_522100!C38,input_522100!A:H,8,FALSE))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input_522100!A$2</f>
        <v>522100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IFERROR(VLOOKUP(B39,input_522100!L:R,7,FALSE),VLOOKUP(tables_522100!C39,input_522100!A:H,8,FALSE))</f>
        <v>1030860</v>
      </c>
      <c r="P39" s="46">
        <f t="shared" ca="1" si="1"/>
        <v>7.8631578947344367E-3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input_522100!A$2</f>
        <v>522100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IFERROR(VLOOKUP(B40,input_522100!L:R,7,FALSE),VLOOKUP(tables_522100!C40,input_522100!A:H,8,FALSE))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input_522100!A$2</f>
        <v>522100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IFERROR(VLOOKUP(B41,input_522100!L:R,7,FALSE),VLOOKUP(tables_522100!C41,input_522100!A:H,8,FALSE))</f>
        <v>1030860</v>
      </c>
      <c r="P41" s="46">
        <f t="shared" ca="1" si="1"/>
        <v>7.8631578947344367E-3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input_522100!A$2</f>
        <v>522100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IFERROR(VLOOKUP(B42,input_522100!L:R,7,FALSE),VLOOKUP(tables_522100!C42,input_522100!A:H,8,FALSE))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input_522100!A$2</f>
        <v>522100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IFERROR(VLOOKUP(B43,input_522100!L:R,7,FALSE),VLOOKUP(tables_522100!C43,input_522100!A:H,8,FALSE))</f>
        <v>979317</v>
      </c>
      <c r="P43" s="46">
        <f t="shared" ca="1" si="1"/>
        <v>7.4699999999977154E-3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input_522100!A$2</f>
        <v>522100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IFERROR(VLOOKUP(B44,input_522100!L:R,7,FALSE),VLOOKUP(tables_522100!C44,input_522100!A:H,8,FALSE))</f>
        <v>51543</v>
      </c>
      <c r="P44" s="46">
        <f t="shared" ca="1" si="1"/>
        <v>3.9315789473672188E-4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input_522100!A$2</f>
        <v>522100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IFERROR(VLOOKUP(B45,input_522100!L:R,7,FALSE),VLOOKUP(tables_522100!C45,input_522100!A:H,8,FALSE))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input_522100!A$2</f>
        <v>522100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IFERROR(VLOOKUP(B46,input_522100!L:R,7,FALSE),VLOOKUP(tables_522100!C46,input_522100!A:H,8,FALSE))</f>
        <v>979317</v>
      </c>
      <c r="P46" s="46">
        <f t="shared" ca="1" si="1"/>
        <v>7.4699999999977154E-3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input_522100!A$2</f>
        <v>522100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IFERROR(VLOOKUP(B47,input_522100!L:R,7,FALSE),VLOOKUP(tables_522100!C47,input_522100!A:H,8,FALSE))</f>
        <v>51543</v>
      </c>
      <c r="P47" s="46">
        <f t="shared" ca="1" si="1"/>
        <v>3.9315789473672188E-4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input_522100!A$2</f>
        <v>522100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IFERROR(VLOOKUP(B48,input_522100!L:R,7,FALSE),VLOOKUP(tables_522100!C48,input_522100!A:H,8,FALSE))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input_522100!A$2</f>
        <v>522100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IFERROR(VLOOKUP(B49,input_522100!L:R,7,FALSE),VLOOKUP(tables_522100!C49,input_522100!A:H,8,FALSE))</f>
        <v>979317</v>
      </c>
      <c r="P49" s="46">
        <f t="shared" ca="1" si="1"/>
        <v>7.4699999999977154E-3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input_522100!A$2</f>
        <v>522100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IFERROR(VLOOKUP(B50,input_522100!L:R,7,FALSE),VLOOKUP(tables_522100!C50,input_522100!A:H,8,FALSE))</f>
        <v>51543</v>
      </c>
      <c r="P50" s="46">
        <f t="shared" ca="1" si="1"/>
        <v>3.9315789473672188E-4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input_522100!A$2</f>
        <v>522100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IFERROR(VLOOKUP(B51,input_522100!L:R,7,FALSE),VLOOKUP(tables_522100!C51,input_522100!A:H,8,FALSE))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input_522100!A$2</f>
        <v>522100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IFERROR(VLOOKUP(B52,input_522100!L:R,7,FALSE),VLOOKUP(tables_522100!C52,input_522100!A:H,8,FALSE))</f>
        <v>1011008.98077</v>
      </c>
      <c r="P52" s="46">
        <f t="shared" ca="1" si="1"/>
        <v>7.7117389837505022E-3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input_522100!A$2</f>
        <v>522100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IFERROR(VLOOKUP(B53,input_522100!L:R,7,FALSE),VLOOKUP(tables_522100!C53,input_522100!A:H,8,FALSE))</f>
        <v>19851.019230000002</v>
      </c>
      <c r="P53" s="46">
        <f t="shared" ca="1" si="1"/>
        <v>1.514189109839354E-4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input_522100!A$2</f>
        <v>522100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IFERROR(VLOOKUP(B54,input_522100!L:R,7,FALSE),VLOOKUP(tables_522100!C54,input_522100!A:H,8,FALSE))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input_522100!A$2</f>
        <v>522100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IFERROR(VLOOKUP(B55,input_522100!L:R,7,FALSE),VLOOKUP(tables_522100!C55,input_522100!A:H,8,FALSE))</f>
        <v>1011008.98077</v>
      </c>
      <c r="P55" s="46">
        <f t="shared" ca="1" si="1"/>
        <v>7.7117389837505022E-3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input_522100!A$2</f>
        <v>522100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IFERROR(VLOOKUP(B56,input_522100!L:R,7,FALSE),VLOOKUP(tables_522100!C56,input_522100!A:H,8,FALSE))</f>
        <v>19851.019230000002</v>
      </c>
      <c r="P56" s="46">
        <f t="shared" ca="1" si="1"/>
        <v>1.514189109839354E-4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input_522100!A$2</f>
        <v>522100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IFERROR(VLOOKUP(B57,input_522100!L:R,7,FALSE),VLOOKUP(tables_522100!C57,input_522100!A:H,8,FALSE))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input_522100!A$2</f>
        <v>522100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IFERROR(VLOOKUP(B58,input_522100!L:R,7,FALSE),VLOOKUP(tables_522100!C58,input_522100!A:H,8,FALSE))</f>
        <v>1011008.98077</v>
      </c>
      <c r="P58" s="46">
        <f t="shared" ca="1" si="1"/>
        <v>7.7117389837505022E-3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input_522100!A$2</f>
        <v>522100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IFERROR(VLOOKUP(B59,input_522100!L:R,7,FALSE),VLOOKUP(tables_522100!C59,input_522100!A:H,8,FALSE))</f>
        <v>19851.019230000002</v>
      </c>
      <c r="P59" s="46">
        <f t="shared" ca="1" si="1"/>
        <v>1.514189109839354E-4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input_522100!A$2</f>
        <v>522100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IFERROR(VLOOKUP(B60,input_522100!L:R,7,FALSE),VLOOKUP(tables_522100!C60,input_522100!A:H,8,FALSE))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input_522100!A$2</f>
        <v>522100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IFERROR(VLOOKUP(B61,input_522100!L:R,7,FALSE),VLOOKUP(tables_522100!C61,input_522100!A:H,8,FALSE))</f>
        <v>1011008.98077</v>
      </c>
      <c r="P61" s="46">
        <f t="shared" ca="1" si="1"/>
        <v>7.7117389837505022E-3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input_522100!A$2</f>
        <v>522100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IFERROR(VLOOKUP(B62,input_522100!L:R,7,FALSE),VLOOKUP(tables_522100!C62,input_522100!A:H,8,FALSE))</f>
        <v>19851.019230000002</v>
      </c>
      <c r="P62" s="46">
        <f t="shared" ca="1" si="1"/>
        <v>1.514189109839354E-4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input_522100!A$2</f>
        <v>522100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IFERROR(VLOOKUP(B63,input_522100!L:R,7,FALSE),VLOOKUP(tables_522100!C63,input_522100!A:H,8,FALSE))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input_522100!A$2</f>
        <v>522100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IFERROR(VLOOKUP(B64,input_522100!L:R,7,FALSE),VLOOKUP(tables_522100!C64,input_522100!A:H,8,FALSE))</f>
        <v>1011008.98077</v>
      </c>
      <c r="P64" s="46">
        <f t="shared" ca="1" si="1"/>
        <v>7.7117389837505022E-3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input_522100!A$2</f>
        <v>522100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IFERROR(VLOOKUP(B65,input_522100!L:R,7,FALSE),VLOOKUP(tables_522100!C65,input_522100!A:H,8,FALSE))</f>
        <v>19851.019230000002</v>
      </c>
      <c r="P65" s="46">
        <f t="shared" ca="1" si="1"/>
        <v>1.514189109839354E-4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input_522100!A$2</f>
        <v>522100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IFERROR(VLOOKUP(B66,input_522100!L:R,7,FALSE),VLOOKUP(tables_522100!C66,input_522100!A:H,8,FALSE))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input_522100!A$2</f>
        <v>522100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IFERROR(VLOOKUP(B67,input_522100!L:R,7,FALSE),VLOOKUP(tables_522100!C67,input_522100!A:H,8,FALSE))</f>
        <v>1011008.98077</v>
      </c>
      <c r="P67" s="46">
        <f t="shared" ca="1" si="4"/>
        <v>7.7117389837505022E-3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input_522100!A$2</f>
        <v>522100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IFERROR(VLOOKUP(B68,input_522100!L:R,7,FALSE),VLOOKUP(tables_522100!C68,input_522100!A:H,8,FALSE))</f>
        <v>19851.019230000002</v>
      </c>
      <c r="P68" s="46">
        <f t="shared" ca="1" si="4"/>
        <v>1.514189109839354E-4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input_522100!A$2</f>
        <v>522100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IFERROR(VLOOKUP(B69,input_522100!L:R,7,FALSE),VLOOKUP(tables_522100!C69,input_522100!A:H,8,FALSE))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input_522100!A$2</f>
        <v>522100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IFERROR(VLOOKUP(B70,input_522100!L:R,7,FALSE),VLOOKUP(tables_522100!C70,input_522100!A:H,8,FALSE))</f>
        <v>1011008.98077</v>
      </c>
      <c r="P70" s="46">
        <f t="shared" ca="1" si="4"/>
        <v>7.7117389837505022E-3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input_522100!A$2</f>
        <v>522100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IFERROR(VLOOKUP(B71,input_522100!L:R,7,FALSE),VLOOKUP(tables_522100!C71,input_522100!A:H,8,FALSE))</f>
        <v>19851.019230000002</v>
      </c>
      <c r="P71" s="46">
        <f t="shared" ca="1" si="4"/>
        <v>1.514189109839354E-4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input_522100!A$2</f>
        <v>522100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IFERROR(VLOOKUP(B72,input_522100!L:R,7,FALSE),VLOOKUP(tables_522100!C72,input_522100!A:H,8,FALSE))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input_522100!A$2</f>
        <v>522100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IFERROR(VLOOKUP(B73,input_522100!L:R,7,FALSE),VLOOKUP(tables_522100!C73,input_522100!A:H,8,FALSE))</f>
        <v>1011008.98077</v>
      </c>
      <c r="P73" s="46">
        <f t="shared" ca="1" si="4"/>
        <v>7.7117389837505022E-3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input_522100!A$2</f>
        <v>522100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IFERROR(VLOOKUP(B74,input_522100!L:R,7,FALSE),VLOOKUP(tables_522100!C74,input_522100!A:H,8,FALSE))</f>
        <v>19851.019230000002</v>
      </c>
      <c r="P74" s="46">
        <f t="shared" ca="1" si="4"/>
        <v>1.514189109839354E-4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input_522100!A$2</f>
        <v>522100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IFERROR(VLOOKUP(B75,input_522100!L:R,7,FALSE),VLOOKUP(tables_522100!C75,input_522100!A:H,8,FALSE))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input_522100!A$2</f>
        <v>522100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IFERROR(VLOOKUP(B76,input_522100!L:R,7,FALSE),VLOOKUP(tables_522100!C76,input_522100!A:H,8,FALSE))</f>
        <v>1011008.98077</v>
      </c>
      <c r="P76" s="46">
        <f t="shared" ca="1" si="4"/>
        <v>7.7117389837505022E-3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input_522100!A$2</f>
        <v>522100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IFERROR(VLOOKUP(B77,input_522100!L:R,7,FALSE),VLOOKUP(tables_522100!C77,input_522100!A:H,8,FALSE))</f>
        <v>19851.019230000002</v>
      </c>
      <c r="P77" s="46">
        <f t="shared" ca="1" si="4"/>
        <v>1.514189109839354E-4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input_522100!A$2</f>
        <v>522100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IFERROR(VLOOKUP(B78,input_522100!L:R,7,FALSE),VLOOKUP(tables_522100!C78,input_522100!A:H,8,FALSE))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input_522100!A$2</f>
        <v>522100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IFERROR(VLOOKUP(B79,input_522100!L:R,7,FALSE),VLOOKUP(tables_522100!C79,input_522100!A:H,8,FALSE))</f>
        <v>1011008.98077</v>
      </c>
      <c r="P79" s="46">
        <f t="shared" ca="1" si="4"/>
        <v>7.7117389837505022E-3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input_522100!A$2</f>
        <v>522100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IFERROR(VLOOKUP(B80,input_522100!L:R,7,FALSE),VLOOKUP(tables_522100!C80,input_522100!A:H,8,FALSE))</f>
        <v>19851.019230000002</v>
      </c>
      <c r="P80" s="46">
        <f t="shared" ca="1" si="4"/>
        <v>1.514189109839354E-4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input_522100!A$2</f>
        <v>522100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IFERROR(VLOOKUP(B81,input_522100!L:R,7,FALSE),VLOOKUP(tables_522100!C81,input_522100!A:H,8,FALSE))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input_522100!A$2</f>
        <v>522100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IFERROR(VLOOKUP(B82,input_522100!L:R,7,FALSE),VLOOKUP(tables_522100!C82,input_522100!A:H,8,FALSE))</f>
        <v>1011008.98077</v>
      </c>
      <c r="P82" s="46">
        <f t="shared" ca="1" si="4"/>
        <v>7.7117389837505022E-3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input_522100!A$2</f>
        <v>522100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IFERROR(VLOOKUP(B83,input_522100!L:R,7,FALSE),VLOOKUP(tables_522100!C83,input_522100!A:H,8,FALSE))</f>
        <v>19851.019230000002</v>
      </c>
      <c r="P83" s="46">
        <f t="shared" ca="1" si="4"/>
        <v>1.514189109839354E-4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input_522100!A$2</f>
        <v>522100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IFERROR(VLOOKUP(B84,input_522100!L:R,7,FALSE),VLOOKUP(tables_522100!C84,input_522100!A:H,8,FALSE))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input_522100!A$2</f>
        <v>522100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IFERROR(VLOOKUP(B85,input_522100!L:R,7,FALSE),VLOOKUP(tables_522100!C85,input_522100!A:H,8,FALSE))</f>
        <v>1011008.98077</v>
      </c>
      <c r="P85" s="46">
        <f t="shared" ca="1" si="4"/>
        <v>7.7117389837505022E-3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input_522100!A$2</f>
        <v>522100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IFERROR(VLOOKUP(B86,input_522100!L:R,7,FALSE),VLOOKUP(tables_522100!C86,input_522100!A:H,8,FALSE))</f>
        <v>19851.019230000002</v>
      </c>
      <c r="P86" s="46">
        <f t="shared" ca="1" si="4"/>
        <v>1.514189109839354E-4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input_522100!A$2</f>
        <v>522100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IFERROR(VLOOKUP(B87,input_522100!L:R,7,FALSE),VLOOKUP(tables_522100!C87,input_522100!A:H,8,FALSE))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input_522100!A$2</f>
        <v>522100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IFERROR(VLOOKUP(B88,input_522100!L:R,7,FALSE),VLOOKUP(tables_522100!C88,input_522100!A:H,8,FALSE))</f>
        <v>1011008.98077</v>
      </c>
      <c r="P88" s="46">
        <f t="shared" ca="1" si="4"/>
        <v>7.7117389837505022E-3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input_522100!A$2</f>
        <v>522100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IFERROR(VLOOKUP(B89,input_522100!L:R,7,FALSE),VLOOKUP(tables_522100!C89,input_522100!A:H,8,FALSE))</f>
        <v>19851.019230000002</v>
      </c>
      <c r="P89" s="46">
        <f t="shared" ca="1" si="4"/>
        <v>1.514189109839354E-4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input_522100!A$2</f>
        <v>522100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IFERROR(VLOOKUP(B90,input_522100!L:R,7,FALSE),VLOOKUP(tables_522100!C90,input_522100!A:H,8,FALSE))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input_522100!A$2</f>
        <v>522100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IFERROR(VLOOKUP(B91,input_522100!L:R,7,FALSE),VLOOKUP(tables_522100!C91,input_522100!A:H,8,FALSE))</f>
        <v>1011008.98077</v>
      </c>
      <c r="P91" s="46">
        <f t="shared" ca="1" si="4"/>
        <v>7.7117389837505022E-3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input_522100!A$2</f>
        <v>522100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IFERROR(VLOOKUP(B92,input_522100!L:R,7,FALSE),VLOOKUP(tables_522100!C92,input_522100!A:H,8,FALSE))</f>
        <v>19851.019230000002</v>
      </c>
      <c r="P92" s="46">
        <f t="shared" ca="1" si="4"/>
        <v>1.514189109839354E-4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input_522100!A$2</f>
        <v>522100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IFERROR(VLOOKUP(B93,input_522100!L:R,7,FALSE),VLOOKUP(tables_522100!C93,input_522100!A:H,8,FALSE))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input_522100!A$2</f>
        <v>522100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IFERROR(VLOOKUP(B94,input_522100!L:R,7,FALSE),VLOOKUP(tables_522100!C94,input_522100!A:H,8,FALSE))</f>
        <v>1011008.98077</v>
      </c>
      <c r="P94" s="46">
        <f t="shared" ca="1" si="4"/>
        <v>7.7117389837505022E-3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input_522100!A$2</f>
        <v>522100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IFERROR(VLOOKUP(B95,input_522100!L:R,7,FALSE),VLOOKUP(tables_522100!C95,input_522100!A:H,8,FALSE))</f>
        <v>19851.019230000002</v>
      </c>
      <c r="P95" s="46">
        <f t="shared" ca="1" si="4"/>
        <v>1.514189109839354E-4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input_522100!A$2</f>
        <v>522100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IFERROR(VLOOKUP(B96,input_522100!L:R,7,FALSE),VLOOKUP(tables_522100!C96,input_522100!A:H,8,FALSE))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input_522100!A$2</f>
        <v>522100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IFERROR(VLOOKUP(B97,input_522100!L:R,7,FALSE),VLOOKUP(tables_522100!C97,input_522100!A:H,8,FALSE))</f>
        <v>1011008.98077</v>
      </c>
      <c r="P97" s="46">
        <f t="shared" ca="1" si="4"/>
        <v>7.7117389837505022E-3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input_522100!A$2</f>
        <v>522100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IFERROR(VLOOKUP(B98,input_522100!L:R,7,FALSE),VLOOKUP(tables_522100!C98,input_522100!A:H,8,FALSE))</f>
        <v>19851.019230000002</v>
      </c>
      <c r="P98" s="46">
        <f t="shared" ca="1" si="4"/>
        <v>1.514189109839354E-4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input_522100!A$2</f>
        <v>522100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IFERROR(VLOOKUP(B99,input_522100!L:R,7,FALSE),VLOOKUP(tables_522100!C99,input_522100!A:H,8,FALSE))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input_522100!A$2</f>
        <v>522100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IFERROR(VLOOKUP(B100,input_522100!L:R,7,FALSE),VLOOKUP(tables_522100!C100,input_522100!A:H,8,FALSE))</f>
        <v>1011008.98077</v>
      </c>
      <c r="P100" s="46">
        <f t="shared" ca="1" si="4"/>
        <v>7.7117389837505022E-3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input_522100!A$2</f>
        <v>522100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IFERROR(VLOOKUP(B101,input_522100!L:R,7,FALSE),VLOOKUP(tables_522100!C101,input_522100!A:H,8,FALSE))</f>
        <v>19851.019230000002</v>
      </c>
      <c r="P101" s="46">
        <f t="shared" ca="1" si="4"/>
        <v>1.514189109839354E-4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input_522100!A$2</f>
        <v>522100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IFERROR(VLOOKUP(B102,input_522100!L:R,7,FALSE),VLOOKUP(tables_522100!C102,input_522100!A:H,8,FALSE))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input_522100!A$2</f>
        <v>522100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IFERROR(VLOOKUP(B103,input_522100!L:R,7,FALSE),VLOOKUP(tables_522100!C103,input_522100!A:H,8,FALSE))</f>
        <v>1011008.98077</v>
      </c>
      <c r="P103" s="46">
        <f t="shared" ca="1" si="4"/>
        <v>7.7117389837505022E-3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input_522100!A$2</f>
        <v>522100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IFERROR(VLOOKUP(B104,input_522100!L:R,7,FALSE),VLOOKUP(tables_522100!C104,input_522100!A:H,8,FALSE))</f>
        <v>19851.019230000002</v>
      </c>
      <c r="P104" s="46">
        <f t="shared" ca="1" si="4"/>
        <v>1.514189109839354E-4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input_522100!A$2</f>
        <v>522100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IFERROR(VLOOKUP(B105,input_522100!L:R,7,FALSE),VLOOKUP(tables_522100!C105,input_522100!A:H,8,FALSE))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input_522100!A$2</f>
        <v>522100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IFERROR(VLOOKUP(B106,input_522100!L:R,7,FALSE),VLOOKUP(tables_522100!C106,input_522100!A:H,8,FALSE))</f>
        <v>1011008.98077</v>
      </c>
      <c r="P106" s="46">
        <f t="shared" ca="1" si="4"/>
        <v>7.7117389837505022E-3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input_522100!A$2</f>
        <v>522100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IFERROR(VLOOKUP(B107,input_522100!L:R,7,FALSE),VLOOKUP(tables_522100!C107,input_522100!A:H,8,FALSE))</f>
        <v>19851.019230000002</v>
      </c>
      <c r="P107" s="46">
        <f t="shared" ca="1" si="4"/>
        <v>1.514189109839354E-4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input_522100!A$2</f>
        <v>522100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IFERROR(VLOOKUP(B108,input_522100!L:R,7,FALSE),VLOOKUP(tables_522100!C108,input_522100!A:H,8,FALSE))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input_522100!A$2</f>
        <v>522100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IFERROR(VLOOKUP(B109,input_522100!L:R,7,FALSE),VLOOKUP(tables_522100!C109,input_522100!A:H,8,FALSE))</f>
        <v>1011008.98077</v>
      </c>
      <c r="P109" s="46">
        <f t="shared" ca="1" si="4"/>
        <v>7.7117389837505022E-3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input_522100!A$2</f>
        <v>522100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IFERROR(VLOOKUP(B110,input_522100!L:R,7,FALSE),VLOOKUP(tables_522100!C110,input_522100!A:H,8,FALSE))</f>
        <v>19851.019230000002</v>
      </c>
      <c r="P110" s="46">
        <f t="shared" ca="1" si="4"/>
        <v>1.514189109839354E-4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input_522100!A$2</f>
        <v>522100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IFERROR(VLOOKUP(B111,input_522100!L:R,7,FALSE),VLOOKUP(tables_522100!C111,input_522100!A:H,8,FALSE))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input_522100!A$2</f>
        <v>522100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IFERROR(VLOOKUP(B112,input_522100!L:R,7,FALSE),VLOOKUP(tables_522100!C112,input_522100!A:H,8,FALSE))</f>
        <v>979317</v>
      </c>
      <c r="P112" s="46">
        <f t="shared" ca="1" si="4"/>
        <v>7.4699999999977154E-3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input_522100!A$2</f>
        <v>522100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IFERROR(VLOOKUP(B113,input_522100!L:R,7,FALSE),VLOOKUP(tables_522100!C113,input_522100!A:H,8,FALSE))</f>
        <v>51543</v>
      </c>
      <c r="P113" s="46">
        <f t="shared" ca="1" si="4"/>
        <v>3.9315789473672188E-4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input_522100!A$2</f>
        <v>522100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IFERROR(VLOOKUP(B114,input_522100!L:R,7,FALSE),VLOOKUP(tables_522100!C114,input_522100!A:H,8,FALSE))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input_522100!A$2</f>
        <v>522100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IFERROR(VLOOKUP(B115,input_522100!L:R,7,FALSE),VLOOKUP(tables_522100!C115,input_522100!A:H,8,FALSE))</f>
        <v>1011008.98077</v>
      </c>
      <c r="P115" s="46">
        <f t="shared" ca="1" si="4"/>
        <v>7.7117389837505022E-3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input_522100!A$2</f>
        <v>522100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IFERROR(VLOOKUP(B116,input_522100!L:R,7,FALSE),VLOOKUP(tables_522100!C116,input_522100!A:H,8,FALSE))</f>
        <v>19851.019230000002</v>
      </c>
      <c r="P116" s="46">
        <f t="shared" ca="1" si="4"/>
        <v>1.514189109839354E-4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input_522100!A$2</f>
        <v>522100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IFERROR(VLOOKUP(B117,input_522100!L:R,7,FALSE),VLOOKUP(tables_522100!C117,input_522100!A:H,8,FALSE))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input_522100!A$2</f>
        <v>522100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IFERROR(VLOOKUP(B118,input_522100!L:R,7,FALSE),VLOOKUP(tables_522100!C118,input_522100!A:H,8,FALSE))</f>
        <v>1011008.98077</v>
      </c>
      <c r="P118" s="46">
        <f t="shared" ca="1" si="4"/>
        <v>7.7117389837505022E-3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input_522100!A$2</f>
        <v>522100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IFERROR(VLOOKUP(B119,input_522100!L:R,7,FALSE),VLOOKUP(tables_522100!C119,input_522100!A:H,8,FALSE))</f>
        <v>19851.019230000002</v>
      </c>
      <c r="P119" s="46">
        <f t="shared" ca="1" si="4"/>
        <v>1.514189109839354E-4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input_522100!A$2</f>
        <v>522100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IFERROR(VLOOKUP(B120,input_522100!L:R,7,FALSE),VLOOKUP(tables_522100!C120,input_522100!A:H,8,FALSE))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input_522100!A$2</f>
        <v>522100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IFERROR(VLOOKUP(B121,input_522100!L:R,7,FALSE),VLOOKUP(tables_522100!C121,input_522100!A:H,8,FALSE))</f>
        <v>1011008.98077</v>
      </c>
      <c r="P121" s="46">
        <f t="shared" ca="1" si="4"/>
        <v>7.7117389837505022E-3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input_522100!A$2</f>
        <v>522100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IFERROR(VLOOKUP(B122,input_522100!L:R,7,FALSE),VLOOKUP(tables_522100!C122,input_522100!A:H,8,FALSE))</f>
        <v>19851.019230000002</v>
      </c>
      <c r="P122" s="46">
        <f t="shared" ca="1" si="4"/>
        <v>1.514189109839354E-4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input_522100!A$2</f>
        <v>522100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IFERROR(VLOOKUP(B123,input_522100!L:R,7,FALSE),VLOOKUP(tables_522100!C123,input_522100!A:H,8,FALSE))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input_522100!A$2</f>
        <v>522100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IFERROR(VLOOKUP(B124,input_522100!L:R,7,FALSE),VLOOKUP(tables_522100!C124,input_522100!A:H,8,FALSE))</f>
        <v>1011008.98077</v>
      </c>
      <c r="P124" s="46">
        <f t="shared" ca="1" si="4"/>
        <v>7.7117389837505022E-3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input_522100!A$2</f>
        <v>522100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IFERROR(VLOOKUP(B125,input_522100!L:R,7,FALSE),VLOOKUP(tables_522100!C125,input_522100!A:H,8,FALSE))</f>
        <v>19851.019230000002</v>
      </c>
      <c r="P125" s="46">
        <f t="shared" ca="1" si="4"/>
        <v>1.514189109839354E-4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input_522100!A$2</f>
        <v>522100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IFERROR(VLOOKUP(B126,input_522100!L:R,7,FALSE),VLOOKUP(tables_522100!C126,input_522100!A:H,8,FALSE))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input_522100!A$2</f>
        <v>522100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IFERROR(VLOOKUP(B127,input_522100!L:R,7,FALSE),VLOOKUP(tables_522100!C127,input_522100!A:H,8,FALSE))</f>
        <v>1011008.98077</v>
      </c>
      <c r="P127" s="46">
        <f t="shared" ca="1" si="4"/>
        <v>7.7117389837505022E-3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input_522100!A$2</f>
        <v>522100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IFERROR(VLOOKUP(B128,input_522100!L:R,7,FALSE),VLOOKUP(tables_522100!C128,input_522100!A:H,8,FALSE))</f>
        <v>19851.019230000002</v>
      </c>
      <c r="P128" s="46">
        <f t="shared" ca="1" si="4"/>
        <v>1.514189109839354E-4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input_522100!A$2</f>
        <v>522100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IFERROR(VLOOKUP(B129,input_522100!L:R,7,FALSE),VLOOKUP(tables_522100!C129,input_522100!A:H,8,FALSE))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input_522100!A$2</f>
        <v>522100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IFERROR(VLOOKUP(B130,input_522100!L:R,7,FALSE),VLOOKUP(tables_522100!C130,input_522100!A:H,8,FALSE))</f>
        <v>1011008.98077</v>
      </c>
      <c r="P130" s="46">
        <f t="shared" ref="P130:P193" ca="1" si="7">O130/SUM(O:O)</f>
        <v>7.7117389837505022E-3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input_522100!A$2</f>
        <v>522100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IFERROR(VLOOKUP(B131,input_522100!L:R,7,FALSE),VLOOKUP(tables_522100!C131,input_522100!A:H,8,FALSE))</f>
        <v>19851.019230000002</v>
      </c>
      <c r="P131" s="46">
        <f t="shared" ca="1" si="7"/>
        <v>1.514189109839354E-4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input_522100!A$2</f>
        <v>522100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IFERROR(VLOOKUP(B132,input_522100!L:R,7,FALSE),VLOOKUP(tables_522100!C132,input_522100!A:H,8,FALSE))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input_522100!A$2</f>
        <v>522100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IFERROR(VLOOKUP(B133,input_522100!L:R,7,FALSE),VLOOKUP(tables_522100!C133,input_522100!A:H,8,FALSE))</f>
        <v>1011008.98077</v>
      </c>
      <c r="P133" s="46">
        <f t="shared" ca="1" si="7"/>
        <v>7.7117389837505022E-3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input_522100!A$2</f>
        <v>522100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IFERROR(VLOOKUP(B134,input_522100!L:R,7,FALSE),VLOOKUP(tables_522100!C134,input_522100!A:H,8,FALSE))</f>
        <v>19851.019230000002</v>
      </c>
      <c r="P134" s="46">
        <f t="shared" ca="1" si="7"/>
        <v>1.514189109839354E-4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input_522100!A$2</f>
        <v>522100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IFERROR(VLOOKUP(B135,input_522100!L:R,7,FALSE),VLOOKUP(tables_522100!C135,input_522100!A:H,8,FALSE))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input_522100!A$2</f>
        <v>522100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IFERROR(VLOOKUP(B136,input_522100!L:R,7,FALSE),VLOOKUP(tables_522100!C136,input_522100!A:H,8,FALSE))</f>
        <v>1011008.98077</v>
      </c>
      <c r="P136" s="46">
        <f t="shared" ca="1" si="7"/>
        <v>7.7117389837505022E-3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input_522100!A$2</f>
        <v>522100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IFERROR(VLOOKUP(B137,input_522100!L:R,7,FALSE),VLOOKUP(tables_522100!C137,input_522100!A:H,8,FALSE))</f>
        <v>19851.019230000002</v>
      </c>
      <c r="P137" s="46">
        <f t="shared" ca="1" si="7"/>
        <v>1.514189109839354E-4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input_522100!A$2</f>
        <v>522100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IFERROR(VLOOKUP(B138,input_522100!L:R,7,FALSE),VLOOKUP(tables_522100!C138,input_522100!A:H,8,FALSE))</f>
        <v>90250</v>
      </c>
      <c r="P138" s="46">
        <f t="shared" ca="1" si="7"/>
        <v>6.8840579710123875E-4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input_522100!A$2</f>
        <v>522100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IFERROR(VLOOKUP(B139,input_522100!L:R,7,FALSE),VLOOKUP(tables_522100!C139,input_522100!A:H,8,FALSE))</f>
        <v>4750</v>
      </c>
      <c r="P139" s="46">
        <f t="shared" ca="1" si="7"/>
        <v>3.6231884057959934E-5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input_522100!A$2</f>
        <v>522100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IFERROR(VLOOKUP(B140,input_522100!L:R,7,FALSE),VLOOKUP(tables_522100!C140,input_522100!A:H,8,FALSE))</f>
        <v>90250</v>
      </c>
      <c r="P140" s="46">
        <f t="shared" ca="1" si="7"/>
        <v>6.8840579710123875E-4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input_522100!A$2</f>
        <v>522100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IFERROR(VLOOKUP(B141,input_522100!L:R,7,FALSE),VLOOKUP(tables_522100!C141,input_522100!A:H,8,FALSE))</f>
        <v>4750</v>
      </c>
      <c r="P141" s="46">
        <f t="shared" ca="1" si="7"/>
        <v>3.6231884057959934E-5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input_522100!A$2</f>
        <v>522100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IFERROR(VLOOKUP(B142,input_522100!L:R,7,FALSE),VLOOKUP(tables_522100!C142,input_522100!A:H,8,FALSE))</f>
        <v>90250</v>
      </c>
      <c r="P142" s="46">
        <f t="shared" ca="1" si="7"/>
        <v>6.8840579710123875E-4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input_522100!A$2</f>
        <v>522100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IFERROR(VLOOKUP(B143,input_522100!L:R,7,FALSE),VLOOKUP(tables_522100!C143,input_522100!A:H,8,FALSE))</f>
        <v>4750</v>
      </c>
      <c r="P143" s="46">
        <f t="shared" ca="1" si="7"/>
        <v>3.6231884057959934E-5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input_522100!A$2</f>
        <v>522100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IFERROR(VLOOKUP(B144,input_522100!L:R,7,FALSE),VLOOKUP(tables_522100!C144,input_522100!A:H,8,FALSE))</f>
        <v>90250</v>
      </c>
      <c r="P144" s="46">
        <f t="shared" ca="1" si="7"/>
        <v>6.8840579710123875E-4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input_522100!A$2</f>
        <v>522100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IFERROR(VLOOKUP(B145,input_522100!L:R,7,FALSE),VLOOKUP(tables_522100!C145,input_522100!A:H,8,FALSE))</f>
        <v>4750</v>
      </c>
      <c r="P145" s="46">
        <f t="shared" ca="1" si="7"/>
        <v>3.6231884057959934E-5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input_522100!A$2</f>
        <v>522100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IFERROR(VLOOKUP(B146,input_522100!L:R,7,FALSE),VLOOKUP(tables_522100!C146,input_522100!A:H,8,FALSE))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input_522100!A$2</f>
        <v>522100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IFERROR(VLOOKUP(B147,input_522100!L:R,7,FALSE),VLOOKUP(tables_522100!C147,input_522100!A:H,8,FALSE))</f>
        <v>1011008.98077</v>
      </c>
      <c r="P147" s="46">
        <f t="shared" ca="1" si="7"/>
        <v>7.7117389837505022E-3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input_522100!A$2</f>
        <v>522100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IFERROR(VLOOKUP(B148,input_522100!L:R,7,FALSE),VLOOKUP(tables_522100!C148,input_522100!A:H,8,FALSE))</f>
        <v>19851.019230000002</v>
      </c>
      <c r="P148" s="46">
        <f t="shared" ca="1" si="7"/>
        <v>1.514189109839354E-4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input_522100!A$2</f>
        <v>522100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IFERROR(VLOOKUP(B149,input_522100!L:R,7,FALSE),VLOOKUP(tables_522100!C149,input_522100!A:H,8,FALSE))</f>
        <v>90250</v>
      </c>
      <c r="P149" s="46">
        <f t="shared" ca="1" si="7"/>
        <v>6.8840579710123875E-4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input_522100!A$2</f>
        <v>522100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IFERROR(VLOOKUP(B150,input_522100!L:R,7,FALSE),VLOOKUP(tables_522100!C150,input_522100!A:H,8,FALSE))</f>
        <v>4750</v>
      </c>
      <c r="P150" s="46">
        <f t="shared" ca="1" si="7"/>
        <v>3.6231884057959934E-5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input_522100!A$2</f>
        <v>522100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IFERROR(VLOOKUP(B151,input_522100!L:R,7,FALSE),VLOOKUP(tables_522100!C151,input_522100!A:H,8,FALSE))</f>
        <v>90250</v>
      </c>
      <c r="P151" s="46">
        <f t="shared" ca="1" si="7"/>
        <v>6.8840579710123875E-4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input_522100!A$2</f>
        <v>522100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IFERROR(VLOOKUP(B152,input_522100!L:R,7,FALSE),VLOOKUP(tables_522100!C152,input_522100!A:H,8,FALSE))</f>
        <v>4750</v>
      </c>
      <c r="P152" s="46">
        <f t="shared" ca="1" si="7"/>
        <v>3.6231884057959934E-5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input_522100!A$2</f>
        <v>522100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IFERROR(VLOOKUP(B153,input_522100!L:R,7,FALSE),VLOOKUP(tables_522100!C153,input_522100!A:H,8,FALSE))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input_522100!A$2</f>
        <v>522100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IFERROR(VLOOKUP(B154,input_522100!L:R,7,FALSE),VLOOKUP(tables_522100!C154,input_522100!A:H,8,FALSE))</f>
        <v>1011008.98077</v>
      </c>
      <c r="P154" s="46">
        <f t="shared" ca="1" si="7"/>
        <v>7.7117389837505022E-3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input_522100!A$2</f>
        <v>522100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IFERROR(VLOOKUP(B155,input_522100!L:R,7,FALSE),VLOOKUP(tables_522100!C155,input_522100!A:H,8,FALSE))</f>
        <v>19851.019230000002</v>
      </c>
      <c r="P155" s="46">
        <f t="shared" ca="1" si="7"/>
        <v>1.514189109839354E-4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input_522100!A$2</f>
        <v>522100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IFERROR(VLOOKUP(B156,input_522100!L:R,7,FALSE),VLOOKUP(tables_522100!C156,input_522100!A:H,8,FALSE))</f>
        <v>90250</v>
      </c>
      <c r="P156" s="46">
        <f t="shared" ca="1" si="7"/>
        <v>6.8840579710123875E-4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input_522100!A$2</f>
        <v>522100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IFERROR(VLOOKUP(B157,input_522100!L:R,7,FALSE),VLOOKUP(tables_522100!C157,input_522100!A:H,8,FALSE))</f>
        <v>4750</v>
      </c>
      <c r="P157" s="46">
        <f t="shared" ca="1" si="7"/>
        <v>3.6231884057959934E-5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input_522100!A$2</f>
        <v>522100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IFERROR(VLOOKUP(B158,input_522100!L:R,7,FALSE),VLOOKUP(tables_522100!C158,input_522100!A:H,8,FALSE))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input_522100!A$2</f>
        <v>522100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IFERROR(VLOOKUP(B159,input_522100!L:R,7,FALSE),VLOOKUP(tables_522100!C159,input_522100!A:H,8,FALSE))</f>
        <v>1011008.98077</v>
      </c>
      <c r="P159" s="46">
        <f t="shared" ca="1" si="7"/>
        <v>7.7117389837505022E-3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input_522100!A$2</f>
        <v>522100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IFERROR(VLOOKUP(B160,input_522100!L:R,7,FALSE),VLOOKUP(tables_522100!C160,input_522100!A:H,8,FALSE))</f>
        <v>19851.019230000002</v>
      </c>
      <c r="P160" s="46">
        <f t="shared" ca="1" si="7"/>
        <v>1.514189109839354E-4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input_522100!A$2</f>
        <v>522100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IFERROR(VLOOKUP(B161,input_522100!L:R,7,FALSE),VLOOKUP(tables_522100!C161,input_522100!A:H,8,FALSE))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input_522100!A$2</f>
        <v>522100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IFERROR(VLOOKUP(B162,input_522100!L:R,7,FALSE),VLOOKUP(tables_522100!C162,input_522100!A:H,8,FALSE))</f>
        <v>1011008.98077</v>
      </c>
      <c r="P162" s="46">
        <f t="shared" ca="1" si="7"/>
        <v>7.7117389837505022E-3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input_522100!A$2</f>
        <v>522100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IFERROR(VLOOKUP(B163,input_522100!L:R,7,FALSE),VLOOKUP(tables_522100!C163,input_522100!A:H,8,FALSE))</f>
        <v>19851.019230000002</v>
      </c>
      <c r="P163" s="46">
        <f t="shared" ca="1" si="7"/>
        <v>1.514189109839354E-4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input_522100!A$2</f>
        <v>522100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IFERROR(VLOOKUP(B164,input_522100!L:R,7,FALSE),VLOOKUP(tables_522100!C164,input_522100!A:H,8,FALSE))</f>
        <v>90250</v>
      </c>
      <c r="P164" s="46">
        <f t="shared" ca="1" si="7"/>
        <v>6.8840579710123875E-4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input_522100!A$2</f>
        <v>522100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IFERROR(VLOOKUP(B165,input_522100!L:R,7,FALSE),VLOOKUP(tables_522100!C165,input_522100!A:H,8,FALSE))</f>
        <v>4750</v>
      </c>
      <c r="P165" s="46">
        <f t="shared" ca="1" si="7"/>
        <v>3.6231884057959934E-5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input_522100!A$2</f>
        <v>522100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IFERROR(VLOOKUP(B166,input_522100!L:R,7,FALSE),VLOOKUP(tables_522100!C166,input_522100!A:H,8,FALSE))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input_522100!A$2</f>
        <v>522100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IFERROR(VLOOKUP(B167,input_522100!L:R,7,FALSE),VLOOKUP(tables_522100!C167,input_522100!A:H,8,FALSE))</f>
        <v>1011008.98077</v>
      </c>
      <c r="P167" s="46">
        <f t="shared" ca="1" si="7"/>
        <v>7.7117389837505022E-3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input_522100!A$2</f>
        <v>522100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IFERROR(VLOOKUP(B168,input_522100!L:R,7,FALSE),VLOOKUP(tables_522100!C168,input_522100!A:H,8,FALSE))</f>
        <v>19851.019230000002</v>
      </c>
      <c r="P168" s="46">
        <f t="shared" ca="1" si="7"/>
        <v>1.514189109839354E-4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input_522100!A$2</f>
        <v>522100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IFERROR(VLOOKUP(B169,input_522100!L:R,7,FALSE),VLOOKUP(tables_522100!C169,input_522100!A:H,8,FALSE))</f>
        <v>90250</v>
      </c>
      <c r="P169" s="46">
        <f t="shared" ca="1" si="7"/>
        <v>6.8840579710123875E-4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input_522100!A$2</f>
        <v>522100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IFERROR(VLOOKUP(B170,input_522100!L:R,7,FALSE),VLOOKUP(tables_522100!C170,input_522100!A:H,8,FALSE))</f>
        <v>4750</v>
      </c>
      <c r="P170" s="46">
        <f t="shared" ca="1" si="7"/>
        <v>3.6231884057959934E-5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input_522100!A$2</f>
        <v>522100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IFERROR(VLOOKUP(B171,input_522100!L:R,7,FALSE),VLOOKUP(tables_522100!C171,input_522100!A:H,8,FALSE))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input_522100!A$2</f>
        <v>522100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IFERROR(VLOOKUP(B172,input_522100!L:R,7,FALSE),VLOOKUP(tables_522100!C172,input_522100!A:H,8,FALSE))</f>
        <v>1011008.98077</v>
      </c>
      <c r="P172" s="46">
        <f t="shared" ca="1" si="7"/>
        <v>7.7117389837505022E-3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input_522100!A$2</f>
        <v>522100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IFERROR(VLOOKUP(B173,input_522100!L:R,7,FALSE),VLOOKUP(tables_522100!C173,input_522100!A:H,8,FALSE))</f>
        <v>19851.019230000002</v>
      </c>
      <c r="P173" s="46">
        <f t="shared" ca="1" si="7"/>
        <v>1.514189109839354E-4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input_522100!A$2</f>
        <v>522100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IFERROR(VLOOKUP(B174,input_522100!L:R,7,FALSE),VLOOKUP(tables_522100!C174,input_522100!A:H,8,FALSE))</f>
        <v>90250</v>
      </c>
      <c r="P174" s="46">
        <f t="shared" ca="1" si="7"/>
        <v>6.8840579710123875E-4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input_522100!A$2</f>
        <v>522100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IFERROR(VLOOKUP(B175,input_522100!L:R,7,FALSE),VLOOKUP(tables_522100!C175,input_522100!A:H,8,FALSE))</f>
        <v>4750</v>
      </c>
      <c r="P175" s="46">
        <f t="shared" ca="1" si="7"/>
        <v>3.6231884057959934E-5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input_522100!A$2</f>
        <v>522100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IFERROR(VLOOKUP(B176,input_522100!L:R,7,FALSE),VLOOKUP(tables_522100!C176,input_522100!A:H,8,FALSE))</f>
        <v>90250</v>
      </c>
      <c r="P176" s="46">
        <f t="shared" ca="1" si="7"/>
        <v>6.8840579710123875E-4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input_522100!A$2</f>
        <v>522100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IFERROR(VLOOKUP(B177,input_522100!L:R,7,FALSE),VLOOKUP(tables_522100!C177,input_522100!A:H,8,FALSE))</f>
        <v>4750</v>
      </c>
      <c r="P177" s="46">
        <f t="shared" ca="1" si="7"/>
        <v>3.6231884057959934E-5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input_522100!A$2</f>
        <v>522100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IFERROR(VLOOKUP(B178,input_522100!L:R,7,FALSE),VLOOKUP(tables_522100!C178,input_522100!A:H,8,FALSE))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input_522100!A$2</f>
        <v>522100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IFERROR(VLOOKUP(B179,input_522100!L:R,7,FALSE),VLOOKUP(tables_522100!C179,input_522100!A:H,8,FALSE))</f>
        <v>1011008.98077</v>
      </c>
      <c r="P179" s="46">
        <f t="shared" ca="1" si="7"/>
        <v>7.7117389837505022E-3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input_522100!A$2</f>
        <v>522100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IFERROR(VLOOKUP(B180,input_522100!L:R,7,FALSE),VLOOKUP(tables_522100!C180,input_522100!A:H,8,FALSE))</f>
        <v>19851.019230000002</v>
      </c>
      <c r="P180" s="46">
        <f t="shared" ca="1" si="7"/>
        <v>1.514189109839354E-4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input_522100!A$2</f>
        <v>522100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IFERROR(VLOOKUP(B181,input_522100!L:R,7,FALSE),VLOOKUP(tables_522100!C181,input_522100!A:H,8,FALSE))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input_522100!A$2</f>
        <v>522100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IFERROR(VLOOKUP(B182,input_522100!L:R,7,FALSE),VLOOKUP(tables_522100!C182,input_522100!A:H,8,FALSE))</f>
        <v>1011008.98077</v>
      </c>
      <c r="P182" s="46">
        <f t="shared" ca="1" si="7"/>
        <v>7.7117389837505022E-3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input_522100!A$2</f>
        <v>522100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IFERROR(VLOOKUP(B183,input_522100!L:R,7,FALSE),VLOOKUP(tables_522100!C183,input_522100!A:H,8,FALSE))</f>
        <v>19851.019230000002</v>
      </c>
      <c r="P183" s="46">
        <f t="shared" ca="1" si="7"/>
        <v>1.514189109839354E-4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input_522100!A$2</f>
        <v>522100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IFERROR(VLOOKUP(B184,input_522100!L:R,7,FALSE),VLOOKUP(tables_522100!C184,input_522100!A:H,8,FALSE))</f>
        <v>90250</v>
      </c>
      <c r="P184" s="46">
        <f t="shared" ca="1" si="7"/>
        <v>6.8840579710123875E-4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input_522100!A$2</f>
        <v>522100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IFERROR(VLOOKUP(B185,input_522100!L:R,7,FALSE),VLOOKUP(tables_522100!C185,input_522100!A:H,8,FALSE))</f>
        <v>4750</v>
      </c>
      <c r="P185" s="46">
        <f t="shared" ca="1" si="7"/>
        <v>3.6231884057959934E-5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input_522100!A$2</f>
        <v>522100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IFERROR(VLOOKUP(B186,input_522100!L:R,7,FALSE),VLOOKUP(tables_522100!C186,input_522100!A:H,8,FALSE))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input_522100!A$2</f>
        <v>522100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IFERROR(VLOOKUP(B187,input_522100!L:R,7,FALSE),VLOOKUP(tables_522100!C187,input_522100!A:H,8,FALSE))</f>
        <v>1011008.98077</v>
      </c>
      <c r="P187" s="46">
        <f t="shared" ca="1" si="7"/>
        <v>7.7117389837505022E-3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input_522100!A$2</f>
        <v>522100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IFERROR(VLOOKUP(B188,input_522100!L:R,7,FALSE),VLOOKUP(tables_522100!C188,input_522100!A:H,8,FALSE))</f>
        <v>19851.019230000002</v>
      </c>
      <c r="P188" s="46">
        <f t="shared" ca="1" si="7"/>
        <v>1.514189109839354E-4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input_522100!A$2</f>
        <v>522100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IFERROR(VLOOKUP(B189,input_522100!L:R,7,FALSE),VLOOKUP(tables_522100!C189,input_522100!A:H,8,FALSE))</f>
        <v>90250</v>
      </c>
      <c r="P189" s="46">
        <f t="shared" ca="1" si="7"/>
        <v>6.8840579710123875E-4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input_522100!A$2</f>
        <v>522100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IFERROR(VLOOKUP(B190,input_522100!L:R,7,FALSE),VLOOKUP(tables_522100!C190,input_522100!A:H,8,FALSE))</f>
        <v>4750</v>
      </c>
      <c r="P190" s="46">
        <f t="shared" ca="1" si="7"/>
        <v>3.6231884057959934E-5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input_522100!A$2</f>
        <v>522100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IFERROR(VLOOKUP(B191,input_522100!L:R,7,FALSE),VLOOKUP(tables_522100!C191,input_522100!A:H,8,FALSE))</f>
        <v>90250</v>
      </c>
      <c r="P191" s="46">
        <f t="shared" ca="1" si="7"/>
        <v>6.8840579710123875E-4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input_522100!A$2</f>
        <v>522100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IFERROR(VLOOKUP(B192,input_522100!L:R,7,FALSE),VLOOKUP(tables_522100!C192,input_522100!A:H,8,FALSE))</f>
        <v>4750</v>
      </c>
      <c r="P192" s="46">
        <f t="shared" ca="1" si="7"/>
        <v>3.6231884057959934E-5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input_522100!A$2</f>
        <v>522100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IFERROR(VLOOKUP(B193,input_522100!L:R,7,FALSE),VLOOKUP(tables_522100!C193,input_522100!A:H,8,FALSE))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input_522100!A$2</f>
        <v>522100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IFERROR(VLOOKUP(B194,input_522100!L:R,7,FALSE),VLOOKUP(tables_522100!C194,input_522100!A:H,8,FALSE))</f>
        <v>1011008.98077</v>
      </c>
      <c r="P194" s="46">
        <f t="shared" ref="P194:P257" ca="1" si="10">O194/SUM(O:O)</f>
        <v>7.7117389837505022E-3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input_522100!A$2</f>
        <v>522100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IFERROR(VLOOKUP(B195,input_522100!L:R,7,FALSE),VLOOKUP(tables_522100!C195,input_522100!A:H,8,FALSE))</f>
        <v>19851.019230000002</v>
      </c>
      <c r="P195" s="46">
        <f t="shared" ca="1" si="10"/>
        <v>1.514189109839354E-4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input_522100!A$2</f>
        <v>522100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IFERROR(VLOOKUP(B196,input_522100!L:R,7,FALSE),VLOOKUP(tables_522100!C196,input_522100!A:H,8,FALSE))</f>
        <v>90250</v>
      </c>
      <c r="P196" s="46">
        <f t="shared" ca="1" si="10"/>
        <v>6.8840579710123875E-4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input_522100!A$2</f>
        <v>522100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IFERROR(VLOOKUP(B197,input_522100!L:R,7,FALSE),VLOOKUP(tables_522100!C197,input_522100!A:H,8,FALSE))</f>
        <v>4750</v>
      </c>
      <c r="P197" s="46">
        <f t="shared" ca="1" si="10"/>
        <v>3.6231884057959934E-5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input_522100!A$2</f>
        <v>522100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IFERROR(VLOOKUP(B198,input_522100!L:R,7,FALSE),VLOOKUP(tables_522100!C198,input_522100!A:H,8,FALSE))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input_522100!A$2</f>
        <v>522100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IFERROR(VLOOKUP(B199,input_522100!L:R,7,FALSE),VLOOKUP(tables_522100!C199,input_522100!A:H,8,FALSE))</f>
        <v>1011008.98077</v>
      </c>
      <c r="P199" s="46">
        <f t="shared" ca="1" si="10"/>
        <v>7.7117389837505022E-3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input_522100!A$2</f>
        <v>522100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IFERROR(VLOOKUP(B200,input_522100!L:R,7,FALSE),VLOOKUP(tables_522100!C200,input_522100!A:H,8,FALSE))</f>
        <v>19851.019230000002</v>
      </c>
      <c r="P200" s="46">
        <f t="shared" ca="1" si="10"/>
        <v>1.514189109839354E-4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input_522100!A$2</f>
        <v>522100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IFERROR(VLOOKUP(B201,input_522100!L:R,7,FALSE),VLOOKUP(tables_522100!C201,input_522100!A:H,8,FALSE))</f>
        <v>90250</v>
      </c>
      <c r="P201" s="46">
        <f t="shared" ca="1" si="10"/>
        <v>6.8840579710123875E-4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input_522100!A$2</f>
        <v>522100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IFERROR(VLOOKUP(B202,input_522100!L:R,7,FALSE),VLOOKUP(tables_522100!C202,input_522100!A:H,8,FALSE))</f>
        <v>4750</v>
      </c>
      <c r="P202" s="46">
        <f t="shared" ca="1" si="10"/>
        <v>3.6231884057959934E-5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input_522100!A$2</f>
        <v>522100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IFERROR(VLOOKUP(B203,input_522100!L:R,7,FALSE),VLOOKUP(tables_522100!C203,input_522100!A:H,8,FALSE))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input_522100!A$2</f>
        <v>522100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IFERROR(VLOOKUP(B204,input_522100!L:R,7,FALSE),VLOOKUP(tables_522100!C204,input_522100!A:H,8,FALSE))</f>
        <v>1011008.98077</v>
      </c>
      <c r="P204" s="46">
        <f t="shared" ca="1" si="10"/>
        <v>7.7117389837505022E-3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input_522100!A$2</f>
        <v>522100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IFERROR(VLOOKUP(B205,input_522100!L:R,7,FALSE),VLOOKUP(tables_522100!C205,input_522100!A:H,8,FALSE))</f>
        <v>19851.019230000002</v>
      </c>
      <c r="P205" s="46">
        <f t="shared" ca="1" si="10"/>
        <v>1.514189109839354E-4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input_522100!A$2</f>
        <v>522100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IFERROR(VLOOKUP(B206,input_522100!L:R,7,FALSE),VLOOKUP(tables_522100!C206,input_522100!A:H,8,FALSE))</f>
        <v>90250</v>
      </c>
      <c r="P206" s="46">
        <f t="shared" ca="1" si="10"/>
        <v>6.8840579710123875E-4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input_522100!A$2</f>
        <v>522100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IFERROR(VLOOKUP(B207,input_522100!L:R,7,FALSE),VLOOKUP(tables_522100!C207,input_522100!A:H,8,FALSE))</f>
        <v>4750</v>
      </c>
      <c r="P207" s="46">
        <f t="shared" ca="1" si="10"/>
        <v>3.6231884057959934E-5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input_522100!A$2</f>
        <v>522100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IFERROR(VLOOKUP(B208,input_522100!L:R,7,FALSE),VLOOKUP(tables_522100!C208,input_522100!A:H,8,FALSE))</f>
        <v>90250</v>
      </c>
      <c r="P208" s="46">
        <f t="shared" ca="1" si="10"/>
        <v>6.8840579710123875E-4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input_522100!A$2</f>
        <v>522100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IFERROR(VLOOKUP(B209,input_522100!L:R,7,FALSE),VLOOKUP(tables_522100!C209,input_522100!A:H,8,FALSE))</f>
        <v>4750</v>
      </c>
      <c r="P209" s="46">
        <f t="shared" ca="1" si="10"/>
        <v>3.6231884057959934E-5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input_522100!A$2</f>
        <v>522100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IFERROR(VLOOKUP(B210,input_522100!L:R,7,FALSE),VLOOKUP(tables_522100!C210,input_522100!A:H,8,FALSE))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input_522100!A$2</f>
        <v>522100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IFERROR(VLOOKUP(B211,input_522100!L:R,7,FALSE),VLOOKUP(tables_522100!C211,input_522100!A:H,8,FALSE))</f>
        <v>1011008.98077</v>
      </c>
      <c r="P211" s="46">
        <f t="shared" ca="1" si="10"/>
        <v>7.7117389837505022E-3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input_522100!A$2</f>
        <v>522100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IFERROR(VLOOKUP(B212,input_522100!L:R,7,FALSE),VLOOKUP(tables_522100!C212,input_522100!A:H,8,FALSE))</f>
        <v>19851.019230000002</v>
      </c>
      <c r="P212" s="46">
        <f t="shared" ca="1" si="10"/>
        <v>1.514189109839354E-4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input_522100!A$2</f>
        <v>522100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IFERROR(VLOOKUP(B213,input_522100!L:R,7,FALSE),VLOOKUP(tables_522100!C213,input_522100!A:H,8,FALSE))</f>
        <v>90250</v>
      </c>
      <c r="P213" s="46">
        <f t="shared" ca="1" si="10"/>
        <v>6.8840579710123875E-4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input_522100!A$2</f>
        <v>522100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IFERROR(VLOOKUP(B214,input_522100!L:R,7,FALSE),VLOOKUP(tables_522100!C214,input_522100!A:H,8,FALSE))</f>
        <v>4750</v>
      </c>
      <c r="P214" s="46">
        <f t="shared" ca="1" si="10"/>
        <v>3.6231884057959934E-5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input_522100!A$2</f>
        <v>522100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IFERROR(VLOOKUP(B215,input_522100!L:R,7,FALSE),VLOOKUP(tables_522100!C215,input_522100!A:H,8,FALSE))</f>
        <v>51543</v>
      </c>
      <c r="P215" s="46">
        <f t="shared" ca="1" si="10"/>
        <v>3.9315789473672188E-4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input_522100!A$2</f>
        <v>522100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IFERROR(VLOOKUP(B216,input_522100!L:R,7,FALSE),VLOOKUP(tables_522100!C216,input_522100!A:H,8,FALSE))</f>
        <v>51543</v>
      </c>
      <c r="P216" s="46">
        <f t="shared" ca="1" si="10"/>
        <v>3.9315789473672188E-4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input_522100!A$2</f>
        <v>522100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IFERROR(VLOOKUP(B217,input_522100!L:R,7,FALSE),VLOOKUP(tables_522100!C217,input_522100!A:H,8,FALSE))</f>
        <v>51543</v>
      </c>
      <c r="P217" s="46">
        <f t="shared" ca="1" si="10"/>
        <v>3.9315789473672188E-4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input_522100!A$2</f>
        <v>522100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IFERROR(VLOOKUP(B218,input_522100!L:R,7,FALSE),VLOOKUP(tables_522100!C218,input_522100!A:H,8,FALSE))</f>
        <v>51543</v>
      </c>
      <c r="P218" s="46">
        <f t="shared" ca="1" si="10"/>
        <v>3.9315789473672188E-4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input_522100!A$2</f>
        <v>522100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IFERROR(VLOOKUP(B219,input_522100!L:R,7,FALSE),VLOOKUP(tables_522100!C219,input_522100!A:H,8,FALSE))</f>
        <v>51543</v>
      </c>
      <c r="P219" s="46">
        <f t="shared" ca="1" si="10"/>
        <v>3.9315789473672188E-4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input_522100!A$2</f>
        <v>522100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IFERROR(VLOOKUP(B220,input_522100!L:R,7,FALSE),VLOOKUP(tables_522100!C220,input_522100!A:H,8,FALSE))</f>
        <v>51543</v>
      </c>
      <c r="P220" s="46">
        <f t="shared" ca="1" si="10"/>
        <v>3.9315789473672188E-4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input_522100!A$2</f>
        <v>522100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IFERROR(VLOOKUP(B221,input_522100!L:R,7,FALSE),VLOOKUP(tables_522100!C221,input_522100!A:H,8,FALSE))</f>
        <v>90250</v>
      </c>
      <c r="P221" s="46">
        <f t="shared" ca="1" si="10"/>
        <v>6.8840579710123875E-4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input_522100!A$2</f>
        <v>522100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IFERROR(VLOOKUP(B222,input_522100!L:R,7,FALSE),VLOOKUP(tables_522100!C222,input_522100!A:H,8,FALSE))</f>
        <v>4750</v>
      </c>
      <c r="P222" s="46">
        <f t="shared" ca="1" si="10"/>
        <v>3.6231884057959934E-5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input_522100!A$2</f>
        <v>522100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IFERROR(VLOOKUP(B223,input_522100!L:R,7,FALSE),VLOOKUP(tables_522100!C223,input_522100!A:H,8,FALSE))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input_522100!A$2</f>
        <v>522100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IFERROR(VLOOKUP(B224,input_522100!L:R,7,FALSE),VLOOKUP(tables_522100!C224,input_522100!A:H,8,FALSE))</f>
        <v>1011008.98077</v>
      </c>
      <c r="P224" s="46">
        <f t="shared" ca="1" si="10"/>
        <v>7.7117389837505022E-3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input_522100!A$2</f>
        <v>522100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IFERROR(VLOOKUP(B225,input_522100!L:R,7,FALSE),VLOOKUP(tables_522100!C225,input_522100!A:H,8,FALSE))</f>
        <v>19851.019230000002</v>
      </c>
      <c r="P225" s="46">
        <f t="shared" ca="1" si="10"/>
        <v>1.514189109839354E-4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input_522100!A$2</f>
        <v>522100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IFERROR(VLOOKUP(B226,input_522100!L:R,7,FALSE),VLOOKUP(tables_522100!C226,input_522100!A:H,8,FALSE))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input_522100!A$2</f>
        <v>522100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IFERROR(VLOOKUP(B227,input_522100!L:R,7,FALSE),VLOOKUP(tables_522100!C227,input_522100!A:H,8,FALSE))</f>
        <v>1011008.98077</v>
      </c>
      <c r="P227" s="46">
        <f t="shared" ca="1" si="10"/>
        <v>7.7117389837505022E-3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input_522100!A$2</f>
        <v>522100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IFERROR(VLOOKUP(B228,input_522100!L:R,7,FALSE),VLOOKUP(tables_522100!C228,input_522100!A:H,8,FALSE))</f>
        <v>19851.019230000002</v>
      </c>
      <c r="P228" s="46">
        <f t="shared" ca="1" si="10"/>
        <v>1.514189109839354E-4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input_522100!A$2</f>
        <v>522100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IFERROR(VLOOKUP(B229,input_522100!L:R,7,FALSE),VLOOKUP(tables_522100!C229,input_522100!A:H,8,FALSE))</f>
        <v>90250</v>
      </c>
      <c r="P229" s="46">
        <f t="shared" ca="1" si="10"/>
        <v>6.8840579710123875E-4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input_522100!A$2</f>
        <v>522100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IFERROR(VLOOKUP(B230,input_522100!L:R,7,FALSE),VLOOKUP(tables_522100!C230,input_522100!A:H,8,FALSE))</f>
        <v>4750</v>
      </c>
      <c r="P230" s="46">
        <f t="shared" ca="1" si="10"/>
        <v>3.6231884057959934E-5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input_522100!A$2</f>
        <v>522100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IFERROR(VLOOKUP(B231,input_522100!L:R,7,FALSE),VLOOKUP(tables_522100!C231,input_522100!A:H,8,FALSE))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input_522100!A$2</f>
        <v>522100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IFERROR(VLOOKUP(B232,input_522100!L:R,7,FALSE),VLOOKUP(tables_522100!C232,input_522100!A:H,8,FALSE))</f>
        <v>1011008.98077</v>
      </c>
      <c r="P232" s="46">
        <f t="shared" ca="1" si="10"/>
        <v>7.7117389837505022E-3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input_522100!A$2</f>
        <v>522100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IFERROR(VLOOKUP(B233,input_522100!L:R,7,FALSE),VLOOKUP(tables_522100!C233,input_522100!A:H,8,FALSE))</f>
        <v>19851.019230000002</v>
      </c>
      <c r="P233" s="46">
        <f t="shared" ca="1" si="10"/>
        <v>1.514189109839354E-4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input_522100!A$2</f>
        <v>522100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IFERROR(VLOOKUP(B234,input_522100!L:R,7,FALSE),VLOOKUP(tables_522100!C234,input_522100!A:H,8,FALSE))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input_522100!A$2</f>
        <v>522100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IFERROR(VLOOKUP(B235,input_522100!L:R,7,FALSE),VLOOKUP(tables_522100!C235,input_522100!A:H,8,FALSE))</f>
        <v>1011008.98077</v>
      </c>
      <c r="P235" s="46">
        <f t="shared" ca="1" si="10"/>
        <v>7.7117389837505022E-3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input_522100!A$2</f>
        <v>522100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IFERROR(VLOOKUP(B236,input_522100!L:R,7,FALSE),VLOOKUP(tables_522100!C236,input_522100!A:H,8,FALSE))</f>
        <v>19851.019230000002</v>
      </c>
      <c r="P236" s="46">
        <f t="shared" ca="1" si="10"/>
        <v>1.514189109839354E-4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input_522100!A$2</f>
        <v>522100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IFERROR(VLOOKUP(B237,input_522100!L:R,7,FALSE),VLOOKUP(tables_522100!C237,input_522100!A:H,8,FALSE))</f>
        <v>90250</v>
      </c>
      <c r="P237" s="46">
        <f t="shared" ca="1" si="10"/>
        <v>6.8840579710123875E-4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input_522100!A$2</f>
        <v>522100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IFERROR(VLOOKUP(B238,input_522100!L:R,7,FALSE),VLOOKUP(tables_522100!C238,input_522100!A:H,8,FALSE))</f>
        <v>4750</v>
      </c>
      <c r="P238" s="46">
        <f t="shared" ca="1" si="10"/>
        <v>3.6231884057959934E-5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input_522100!A$2</f>
        <v>522100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IFERROR(VLOOKUP(B239,input_522100!L:R,7,FALSE),VLOOKUP(tables_522100!C239,input_522100!A:H,8,FALSE))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input_522100!A$2</f>
        <v>522100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IFERROR(VLOOKUP(B240,input_522100!L:R,7,FALSE),VLOOKUP(tables_522100!C240,input_522100!A:H,8,FALSE))</f>
        <v>1011008.98077</v>
      </c>
      <c r="P240" s="46">
        <f t="shared" ca="1" si="10"/>
        <v>7.7117389837505022E-3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input_522100!A$2</f>
        <v>522100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IFERROR(VLOOKUP(B241,input_522100!L:R,7,FALSE),VLOOKUP(tables_522100!C241,input_522100!A:H,8,FALSE))</f>
        <v>19851.019230000002</v>
      </c>
      <c r="P241" s="46">
        <f t="shared" ca="1" si="10"/>
        <v>1.514189109839354E-4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input_522100!A$2</f>
        <v>522100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IFERROR(VLOOKUP(B242,input_522100!L:R,7,FALSE),VLOOKUP(tables_522100!C242,input_522100!A:H,8,FALSE))</f>
        <v>90250</v>
      </c>
      <c r="P242" s="46">
        <f t="shared" ca="1" si="10"/>
        <v>6.8840579710123875E-4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input_522100!A$2</f>
        <v>522100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IFERROR(VLOOKUP(B243,input_522100!L:R,7,FALSE),VLOOKUP(tables_522100!C243,input_522100!A:H,8,FALSE))</f>
        <v>4750</v>
      </c>
      <c r="P243" s="46">
        <f t="shared" ca="1" si="10"/>
        <v>3.6231884057959934E-5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input_522100!A$2</f>
        <v>522100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IFERROR(VLOOKUP(B244,input_522100!L:R,7,FALSE),VLOOKUP(tables_522100!C244,input_522100!A:H,8,FALSE))</f>
        <v>90250</v>
      </c>
      <c r="P244" s="46">
        <f t="shared" ca="1" si="10"/>
        <v>6.8840579710123875E-4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input_522100!A$2</f>
        <v>522100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IFERROR(VLOOKUP(B245,input_522100!L:R,7,FALSE),VLOOKUP(tables_522100!C245,input_522100!A:H,8,FALSE))</f>
        <v>4750</v>
      </c>
      <c r="P245" s="46">
        <f t="shared" ca="1" si="10"/>
        <v>3.6231884057959934E-5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input_522100!A$2</f>
        <v>522100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IFERROR(VLOOKUP(B246,input_522100!L:R,7,FALSE),VLOOKUP(tables_522100!C246,input_522100!A:H,8,FALSE))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input_522100!A$2</f>
        <v>522100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IFERROR(VLOOKUP(B247,input_522100!L:R,7,FALSE),VLOOKUP(tables_522100!C247,input_522100!A:H,8,FALSE))</f>
        <v>1011008.98077</v>
      </c>
      <c r="P247" s="46">
        <f t="shared" ca="1" si="10"/>
        <v>7.7117389837505022E-3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input_522100!A$2</f>
        <v>522100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IFERROR(VLOOKUP(B248,input_522100!L:R,7,FALSE),VLOOKUP(tables_522100!C248,input_522100!A:H,8,FALSE))</f>
        <v>19851.019230000002</v>
      </c>
      <c r="P248" s="46">
        <f t="shared" ca="1" si="10"/>
        <v>1.514189109839354E-4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input_522100!A$2</f>
        <v>522100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IFERROR(VLOOKUP(B249,input_522100!L:R,7,FALSE),VLOOKUP(tables_522100!C249,input_522100!A:H,8,FALSE))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input_522100!A$2</f>
        <v>522100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IFERROR(VLOOKUP(B250,input_522100!L:R,7,FALSE),VLOOKUP(tables_522100!C250,input_522100!A:H,8,FALSE))</f>
        <v>1011008.98077</v>
      </c>
      <c r="P250" s="46">
        <f t="shared" ca="1" si="10"/>
        <v>7.7117389837505022E-3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input_522100!A$2</f>
        <v>522100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IFERROR(VLOOKUP(B251,input_522100!L:R,7,FALSE),VLOOKUP(tables_522100!C251,input_522100!A:H,8,FALSE))</f>
        <v>19851.019230000002</v>
      </c>
      <c r="P251" s="46">
        <f t="shared" ca="1" si="10"/>
        <v>1.514189109839354E-4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input_522100!A$2</f>
        <v>522100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IFERROR(VLOOKUP(B252,input_522100!L:R,7,FALSE),VLOOKUP(tables_522100!C252,input_522100!A:H,8,FALSE))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input_522100!A$2</f>
        <v>522100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IFERROR(VLOOKUP(B253,input_522100!L:R,7,FALSE),VLOOKUP(tables_522100!C253,input_522100!A:H,8,FALSE))</f>
        <v>1011008.98077</v>
      </c>
      <c r="P253" s="46">
        <f t="shared" ca="1" si="10"/>
        <v>7.7117389837505022E-3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input_522100!A$2</f>
        <v>522100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IFERROR(VLOOKUP(B254,input_522100!L:R,7,FALSE),VLOOKUP(tables_522100!C254,input_522100!A:H,8,FALSE))</f>
        <v>19851.019230000002</v>
      </c>
      <c r="P254" s="46">
        <f t="shared" ca="1" si="10"/>
        <v>1.514189109839354E-4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input_522100!A$2</f>
        <v>522100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IFERROR(VLOOKUP(B255,input_522100!L:R,7,FALSE),VLOOKUP(tables_522100!C255,input_522100!A:H,8,FALSE))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input_522100!A$2</f>
        <v>522100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IFERROR(VLOOKUP(B256,input_522100!L:R,7,FALSE),VLOOKUP(tables_522100!C256,input_522100!A:H,8,FALSE))</f>
        <v>1011008.98077</v>
      </c>
      <c r="P256" s="46">
        <f t="shared" ca="1" si="10"/>
        <v>7.7117389837505022E-3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input_522100!A$2</f>
        <v>522100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IFERROR(VLOOKUP(B257,input_522100!L:R,7,FALSE),VLOOKUP(tables_522100!C257,input_522100!A:H,8,FALSE))</f>
        <v>19851.019230000002</v>
      </c>
      <c r="P257" s="46">
        <f t="shared" ca="1" si="10"/>
        <v>1.514189109839354E-4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input_522100!A$2</f>
        <v>522100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IFERROR(VLOOKUP(B258,input_522100!L:R,7,FALSE),VLOOKUP(tables_522100!C258,input_522100!A:H,8,FALSE))</f>
        <v>90250</v>
      </c>
      <c r="P258" s="46">
        <f t="shared" ref="P258:P321" ca="1" si="13">O258/SUM(O:O)</f>
        <v>6.8840579710123875E-4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input_522100!A$2</f>
        <v>522100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IFERROR(VLOOKUP(B259,input_522100!L:R,7,FALSE),VLOOKUP(tables_522100!C259,input_522100!A:H,8,FALSE))</f>
        <v>4750</v>
      </c>
      <c r="P259" s="46">
        <f t="shared" ca="1" si="13"/>
        <v>3.6231884057959934E-5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input_522100!A$2</f>
        <v>522100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IFERROR(VLOOKUP(B260,input_522100!L:R,7,FALSE),VLOOKUP(tables_522100!C260,input_522100!A:H,8,FALSE))</f>
        <v>90250</v>
      </c>
      <c r="P260" s="46">
        <f t="shared" ca="1" si="13"/>
        <v>6.8840579710123875E-4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input_522100!A$2</f>
        <v>522100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IFERROR(VLOOKUP(B261,input_522100!L:R,7,FALSE),VLOOKUP(tables_522100!C261,input_522100!A:H,8,FALSE))</f>
        <v>4750</v>
      </c>
      <c r="P261" s="46">
        <f t="shared" ca="1" si="13"/>
        <v>3.6231884057959934E-5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input_522100!A$2</f>
        <v>522100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IFERROR(VLOOKUP(B262,input_522100!L:R,7,FALSE),VLOOKUP(tables_522100!C262,input_522100!A:H,8,FALSE))</f>
        <v>963040.26315999997</v>
      </c>
      <c r="P262" s="46">
        <f t="shared" ca="1" si="13"/>
        <v>7.3458448753600716E-3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input_522100!A$2</f>
        <v>522100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IFERROR(VLOOKUP(B263,input_522100!L:R,7,FALSE),VLOOKUP(tables_522100!C263,input_522100!A:H,8,FALSE))</f>
        <v>51543</v>
      </c>
      <c r="P263" s="46">
        <f t="shared" ca="1" si="13"/>
        <v>3.9315789473672188E-4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input_522100!A$2</f>
        <v>522100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IFERROR(VLOOKUP(B264,input_522100!L:R,7,FALSE),VLOOKUP(tables_522100!C264,input_522100!A:H,8,FALSE))</f>
        <v>963040.26315999997</v>
      </c>
      <c r="P264" s="46">
        <f t="shared" ca="1" si="13"/>
        <v>7.3458448753600716E-3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input_522100!A$2</f>
        <v>522100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IFERROR(VLOOKUP(B265,input_522100!L:R,7,FALSE),VLOOKUP(tables_522100!C265,input_522100!A:H,8,FALSE))</f>
        <v>51543</v>
      </c>
      <c r="P265" s="46">
        <f t="shared" ca="1" si="13"/>
        <v>3.9315789473672188E-4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input_522100!A$2</f>
        <v>522100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IFERROR(VLOOKUP(B266,input_522100!L:R,7,FALSE),VLOOKUP(tables_522100!C266,input_522100!A:H,8,FALSE))</f>
        <v>95000</v>
      </c>
      <c r="P266" s="46">
        <f t="shared" ca="1" si="13"/>
        <v>7.2463768115919869E-4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input_522100!A$2</f>
        <v>522100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IFERROR(VLOOKUP(B267,input_522100!L:R,7,FALSE),VLOOKUP(tables_522100!C267,input_522100!A:H,8,FALSE))</f>
        <v>95000</v>
      </c>
      <c r="P267" s="46">
        <f t="shared" ca="1" si="13"/>
        <v>7.2463768115919869E-4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input_522100!A$2</f>
        <v>522100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IFERROR(VLOOKUP(B268,input_522100!L:R,7,FALSE),VLOOKUP(tables_522100!C268,input_522100!A:H,8,FALSE))</f>
        <v>95000</v>
      </c>
      <c r="P268" s="46">
        <f t="shared" ca="1" si="13"/>
        <v>7.2463768115919869E-4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input_522100!A$2</f>
        <v>522100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IFERROR(VLOOKUP(B269,input_522100!L:R,7,FALSE),VLOOKUP(tables_522100!C269,input_522100!A:H,8,FALSE))</f>
        <v>95000</v>
      </c>
      <c r="P269" s="46">
        <f t="shared" ca="1" si="13"/>
        <v>7.2463768115919869E-4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input_522100!A$2</f>
        <v>522100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IFERROR(VLOOKUP(B270,input_522100!L:R,7,FALSE),VLOOKUP(tables_522100!C270,input_522100!A:H,8,FALSE))</f>
        <v>963040.26315999997</v>
      </c>
      <c r="P270" s="46">
        <f t="shared" ca="1" si="13"/>
        <v>7.3458448753600716E-3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input_522100!A$2</f>
        <v>522100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IFERROR(VLOOKUP(B271,input_522100!L:R,7,FALSE),VLOOKUP(tables_522100!C271,input_522100!A:H,8,FALSE))</f>
        <v>51543</v>
      </c>
      <c r="P271" s="46">
        <f t="shared" ca="1" si="13"/>
        <v>3.9315789473672188E-4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input_522100!A$2</f>
        <v>522100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IFERROR(VLOOKUP(B272,input_522100!L:R,7,FALSE),VLOOKUP(tables_522100!C272,input_522100!A:H,8,FALSE))</f>
        <v>963040.26315999997</v>
      </c>
      <c r="P272" s="46">
        <f t="shared" ca="1" si="13"/>
        <v>7.3458448753600716E-3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input_522100!A$2</f>
        <v>522100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IFERROR(VLOOKUP(B273,input_522100!L:R,7,FALSE),VLOOKUP(tables_522100!C273,input_522100!A:H,8,FALSE))</f>
        <v>51543</v>
      </c>
      <c r="P273" s="46">
        <f t="shared" ca="1" si="13"/>
        <v>3.9315789473672188E-4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input_522100!A$2</f>
        <v>522100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IFERROR(VLOOKUP(B274,input_522100!L:R,7,FALSE),VLOOKUP(tables_522100!C274,input_522100!A:H,8,FALSE))</f>
        <v>90250</v>
      </c>
      <c r="P274" s="46">
        <f t="shared" ca="1" si="13"/>
        <v>6.8840579710123875E-4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input_522100!A$2</f>
        <v>522100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IFERROR(VLOOKUP(B275,input_522100!L:R,7,FALSE),VLOOKUP(tables_522100!C275,input_522100!A:H,8,FALSE))</f>
        <v>4750</v>
      </c>
      <c r="P275" s="46">
        <f t="shared" ca="1" si="13"/>
        <v>3.6231884057959934E-5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input_522100!A$2</f>
        <v>522100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IFERROR(VLOOKUP(B276,input_522100!L:R,7,FALSE),VLOOKUP(tables_522100!C276,input_522100!A:H,8,FALSE))</f>
        <v>90250</v>
      </c>
      <c r="P276" s="46">
        <f t="shared" ca="1" si="13"/>
        <v>6.8840579710123875E-4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input_522100!A$2</f>
        <v>522100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IFERROR(VLOOKUP(B277,input_522100!L:R,7,FALSE),VLOOKUP(tables_522100!C277,input_522100!A:H,8,FALSE))</f>
        <v>4750</v>
      </c>
      <c r="P277" s="46">
        <f t="shared" ca="1" si="13"/>
        <v>3.6231884057959934E-5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input_522100!A$2</f>
        <v>522100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IFERROR(VLOOKUP(B278,input_522100!L:R,7,FALSE),VLOOKUP(tables_522100!C278,input_522100!A:H,8,FALSE))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input_522100!A$2</f>
        <v>522100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IFERROR(VLOOKUP(B279,input_522100!L:R,7,FALSE),VLOOKUP(tables_522100!C279,input_522100!A:H,8,FALSE))</f>
        <v>1011008.98077</v>
      </c>
      <c r="P279" s="46">
        <f t="shared" ca="1" si="13"/>
        <v>7.7117389837505022E-3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input_522100!A$2</f>
        <v>522100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IFERROR(VLOOKUP(B280,input_522100!L:R,7,FALSE),VLOOKUP(tables_522100!C280,input_522100!A:H,8,FALSE))</f>
        <v>19851.019230000002</v>
      </c>
      <c r="P280" s="46">
        <f t="shared" ca="1" si="13"/>
        <v>1.514189109839354E-4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input_522100!A$2</f>
        <v>522100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IFERROR(VLOOKUP(B281,input_522100!L:R,7,FALSE),VLOOKUP(tables_522100!C281,input_522100!A:H,8,FALSE))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input_522100!A$2</f>
        <v>522100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IFERROR(VLOOKUP(B282,input_522100!L:R,7,FALSE),VLOOKUP(tables_522100!C282,input_522100!A:H,8,FALSE))</f>
        <v>1011008.98077</v>
      </c>
      <c r="P282" s="46">
        <f t="shared" ca="1" si="13"/>
        <v>7.7117389837505022E-3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input_522100!A$2</f>
        <v>522100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IFERROR(VLOOKUP(B283,input_522100!L:R,7,FALSE),VLOOKUP(tables_522100!C283,input_522100!A:H,8,FALSE))</f>
        <v>19851.019230000002</v>
      </c>
      <c r="P283" s="46">
        <f t="shared" ca="1" si="13"/>
        <v>1.514189109839354E-4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input_522100!A$2</f>
        <v>522100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IFERROR(VLOOKUP(B284,input_522100!L:R,7,FALSE),VLOOKUP(tables_522100!C284,input_522100!A:H,8,FALSE))</f>
        <v>95000</v>
      </c>
      <c r="P284" s="46">
        <f t="shared" ca="1" si="13"/>
        <v>7.2463768115919869E-4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input_522100!A$2</f>
        <v>522100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IFERROR(VLOOKUP(B285,input_522100!L:R,7,FALSE),VLOOKUP(tables_522100!C285,input_522100!A:H,8,FALSE))</f>
        <v>95000</v>
      </c>
      <c r="P285" s="46">
        <f t="shared" ca="1" si="13"/>
        <v>7.2463768115919869E-4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input_522100!A$2</f>
        <v>522100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IFERROR(VLOOKUP(B286,input_522100!L:R,7,FALSE),VLOOKUP(tables_522100!C286,input_522100!A:H,8,FALSE))</f>
        <v>963040.26315999997</v>
      </c>
      <c r="P286" s="46">
        <f t="shared" ca="1" si="13"/>
        <v>7.3458448753600716E-3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input_522100!A$2</f>
        <v>522100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IFERROR(VLOOKUP(B287,input_522100!L:R,7,FALSE),VLOOKUP(tables_522100!C287,input_522100!A:H,8,FALSE))</f>
        <v>51543</v>
      </c>
      <c r="P287" s="46">
        <f t="shared" ca="1" si="13"/>
        <v>3.9315789473672188E-4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input_522100!A$2</f>
        <v>522100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IFERROR(VLOOKUP(B288,input_522100!L:R,7,FALSE),VLOOKUP(tables_522100!C288,input_522100!A:H,8,FALSE))</f>
        <v>963040.26315999997</v>
      </c>
      <c r="P288" s="46">
        <f t="shared" ca="1" si="13"/>
        <v>7.3458448753600716E-3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input_522100!A$2</f>
        <v>522100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IFERROR(VLOOKUP(B289,input_522100!L:R,7,FALSE),VLOOKUP(tables_522100!C289,input_522100!A:H,8,FALSE))</f>
        <v>51543</v>
      </c>
      <c r="P289" s="46">
        <f t="shared" ca="1" si="13"/>
        <v>3.9315789473672188E-4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input_522100!A$2</f>
        <v>522100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IFERROR(VLOOKUP(B290,input_522100!L:R,7,FALSE),VLOOKUP(tables_522100!C290,input_522100!A:H,8,FALSE))</f>
        <v>963040.26315999997</v>
      </c>
      <c r="P290" s="46">
        <f t="shared" ca="1" si="13"/>
        <v>7.3458448753600716E-3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input_522100!A$2</f>
        <v>522100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IFERROR(VLOOKUP(B291,input_522100!L:R,7,FALSE),VLOOKUP(tables_522100!C291,input_522100!A:H,8,FALSE))</f>
        <v>51543</v>
      </c>
      <c r="P291" s="46">
        <f t="shared" ca="1" si="13"/>
        <v>3.9315789473672188E-4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input_522100!A$2</f>
        <v>522100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IFERROR(VLOOKUP(B292,input_522100!L:R,7,FALSE),VLOOKUP(tables_522100!C292,input_522100!A:H,8,FALSE))</f>
        <v>963040.26315999997</v>
      </c>
      <c r="P292" s="46">
        <f t="shared" ca="1" si="13"/>
        <v>7.3458448753600716E-3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input_522100!A$2</f>
        <v>522100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IFERROR(VLOOKUP(B293,input_522100!L:R,7,FALSE),VLOOKUP(tables_522100!C293,input_522100!A:H,8,FALSE))</f>
        <v>51543</v>
      </c>
      <c r="P293" s="46">
        <f t="shared" ca="1" si="13"/>
        <v>3.9315789473672188E-4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input_522100!A$2</f>
        <v>522100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IFERROR(VLOOKUP(B294,input_522100!L:R,7,FALSE),VLOOKUP(tables_522100!C294,input_522100!A:H,8,FALSE))</f>
        <v>95000</v>
      </c>
      <c r="P294" s="46">
        <f t="shared" ca="1" si="13"/>
        <v>7.2463768115919869E-4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input_522100!A$2</f>
        <v>522100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IFERROR(VLOOKUP(B295,input_522100!L:R,7,FALSE),VLOOKUP(tables_522100!C295,input_522100!A:H,8,FALSE))</f>
        <v>95000</v>
      </c>
      <c r="P295" s="46">
        <f t="shared" ca="1" si="13"/>
        <v>7.2463768115919869E-4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input_522100!A$2</f>
        <v>522100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IFERROR(VLOOKUP(B296,input_522100!L:R,7,FALSE),VLOOKUP(tables_522100!C296,input_522100!A:H,8,FALSE))</f>
        <v>95000</v>
      </c>
      <c r="P296" s="46">
        <f t="shared" ca="1" si="13"/>
        <v>7.2463768115919869E-4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input_522100!A$2</f>
        <v>522100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IFERROR(VLOOKUP(B297,input_522100!L:R,7,FALSE),VLOOKUP(tables_522100!C297,input_522100!A:H,8,FALSE))</f>
        <v>963040.26315999997</v>
      </c>
      <c r="P297" s="46">
        <f t="shared" ca="1" si="13"/>
        <v>7.3458448753600716E-3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input_522100!A$2</f>
        <v>522100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IFERROR(VLOOKUP(B298,input_522100!L:R,7,FALSE),VLOOKUP(tables_522100!C298,input_522100!A:H,8,FALSE))</f>
        <v>51543</v>
      </c>
      <c r="P298" s="46">
        <f t="shared" ca="1" si="13"/>
        <v>3.9315789473672188E-4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input_522100!A$2</f>
        <v>522100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IFERROR(VLOOKUP(B299,input_522100!L:R,7,FALSE),VLOOKUP(tables_522100!C299,input_522100!A:H,8,FALSE))</f>
        <v>95000</v>
      </c>
      <c r="P299" s="46">
        <f t="shared" ca="1" si="13"/>
        <v>7.2463768115919869E-4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input_522100!A$2</f>
        <v>522100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IFERROR(VLOOKUP(B300,input_522100!L:R,7,FALSE),VLOOKUP(tables_522100!C300,input_522100!A:H,8,FALSE))</f>
        <v>95000</v>
      </c>
      <c r="P300" s="46">
        <f t="shared" ca="1" si="13"/>
        <v>7.2463768115919869E-4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input_522100!A$2</f>
        <v>522100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IFERROR(VLOOKUP(B301,input_522100!L:R,7,FALSE),VLOOKUP(tables_522100!C301,input_522100!A:H,8,FALSE))</f>
        <v>95000</v>
      </c>
      <c r="P301" s="46">
        <f t="shared" ca="1" si="13"/>
        <v>7.2463768115919869E-4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input_522100!A$2</f>
        <v>522100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IFERROR(VLOOKUP(B302,input_522100!L:R,7,FALSE),VLOOKUP(tables_522100!C302,input_522100!A:H,8,FALSE))</f>
        <v>95000</v>
      </c>
      <c r="P302" s="46">
        <f t="shared" ca="1" si="13"/>
        <v>7.2463768115919869E-4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input_522100!A$2</f>
        <v>522100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IFERROR(VLOOKUP(B303,input_522100!L:R,7,FALSE),VLOOKUP(tables_522100!C303,input_522100!A:H,8,FALSE))</f>
        <v>963040.26315999997</v>
      </c>
      <c r="P303" s="46">
        <f t="shared" ca="1" si="13"/>
        <v>7.3458448753600716E-3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input_522100!A$2</f>
        <v>522100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IFERROR(VLOOKUP(B304,input_522100!L:R,7,FALSE),VLOOKUP(tables_522100!C304,input_522100!A:H,8,FALSE))</f>
        <v>51543</v>
      </c>
      <c r="P304" s="46">
        <f t="shared" ca="1" si="13"/>
        <v>3.9315789473672188E-4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input_522100!A$2</f>
        <v>522100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IFERROR(VLOOKUP(B305,input_522100!L:R,7,FALSE),VLOOKUP(tables_522100!C305,input_522100!A:H,8,FALSE))</f>
        <v>95000</v>
      </c>
      <c r="P305" s="46">
        <f t="shared" ca="1" si="13"/>
        <v>7.2463768115919869E-4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input_522100!A$2</f>
        <v>522100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IFERROR(VLOOKUP(B306,input_522100!L:R,7,FALSE),VLOOKUP(tables_522100!C306,input_522100!A:H,8,FALSE))</f>
        <v>963040.26315999997</v>
      </c>
      <c r="P306" s="46">
        <f t="shared" ca="1" si="13"/>
        <v>7.3458448753600716E-3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input_522100!A$2</f>
        <v>522100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IFERROR(VLOOKUP(B307,input_522100!L:R,7,FALSE),VLOOKUP(tables_522100!C307,input_522100!A:H,8,FALSE))</f>
        <v>51543</v>
      </c>
      <c r="P307" s="46">
        <f t="shared" ca="1" si="13"/>
        <v>3.9315789473672188E-4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input_522100!A$2</f>
        <v>522100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IFERROR(VLOOKUP(B308,input_522100!L:R,7,FALSE),VLOOKUP(tables_522100!C308,input_522100!A:H,8,FALSE))</f>
        <v>95000</v>
      </c>
      <c r="P308" s="46">
        <f t="shared" ca="1" si="13"/>
        <v>7.2463768115919869E-4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input_522100!A$2</f>
        <v>522100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IFERROR(VLOOKUP(B309,input_522100!L:R,7,FALSE),VLOOKUP(tables_522100!C309,input_522100!A:H,8,FALSE))</f>
        <v>95000</v>
      </c>
      <c r="P309" s="46">
        <f t="shared" ca="1" si="13"/>
        <v>7.2463768115919869E-4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input_522100!A$2</f>
        <v>522100</v>
      </c>
      <c r="B310" s="5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IFERROR(VLOOKUP(B310,input_522100!L:R,7,FALSE),VLOOKUP(tables_522100!C310,input_522100!A:H,8,FALSE))</f>
        <v>95000</v>
      </c>
      <c r="P310" s="46">
        <f t="shared" ca="1" si="13"/>
        <v>7.2463768115919869E-4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input_522100!A$2</f>
        <v>522100</v>
      </c>
      <c r="B311" s="5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IFERROR(VLOOKUP(B311,input_522100!L:R,7,FALSE),VLOOKUP(tables_522100!C311,input_522100!A:H,8,FALSE))</f>
        <v>963040.26315999997</v>
      </c>
      <c r="P311" s="46">
        <f t="shared" ca="1" si="13"/>
        <v>7.3458448753600716E-3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input_522100!A$2</f>
        <v>522100</v>
      </c>
      <c r="B312" s="5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IFERROR(VLOOKUP(B312,input_522100!L:R,7,FALSE),VLOOKUP(tables_522100!C312,input_522100!A:H,8,FALSE))</f>
        <v>51543</v>
      </c>
      <c r="P312" s="46">
        <f t="shared" ca="1" si="13"/>
        <v>3.9315789473672188E-4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input_522100!A$2</f>
        <v>522100</v>
      </c>
      <c r="B313" s="5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IFERROR(VLOOKUP(B313,input_522100!L:R,7,FALSE),VLOOKUP(tables_522100!C313,input_522100!A:H,8,FALSE))</f>
        <v>95000</v>
      </c>
      <c r="P313" s="46">
        <f t="shared" ca="1" si="13"/>
        <v>7.2463768115919869E-4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input_522100!A$2</f>
        <v>522100</v>
      </c>
      <c r="B314" s="5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IFERROR(VLOOKUP(B314,input_522100!L:R,7,FALSE),VLOOKUP(tables_522100!C314,input_522100!A:H,8,FALSE))</f>
        <v>95000</v>
      </c>
      <c r="P314" s="46">
        <f t="shared" ca="1" si="13"/>
        <v>7.2463768115919869E-4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input_522100!A$2</f>
        <v>522100</v>
      </c>
      <c r="B315" s="5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IFERROR(VLOOKUP(B315,input_522100!L:R,7,FALSE),VLOOKUP(tables_522100!C315,input_522100!A:H,8,FALSE))</f>
        <v>95000</v>
      </c>
      <c r="P315" s="46">
        <f t="shared" ca="1" si="13"/>
        <v>7.2463768115919869E-4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input_522100!A$2</f>
        <v>522100</v>
      </c>
      <c r="B316" s="5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IFERROR(VLOOKUP(B316,input_522100!L:R,7,FALSE),VLOOKUP(tables_522100!C316,input_522100!A:H,8,FALSE))</f>
        <v>95000</v>
      </c>
      <c r="P316" s="46">
        <f t="shared" ca="1" si="13"/>
        <v>7.2463768115919869E-4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input_522100!A$2</f>
        <v>522100</v>
      </c>
      <c r="B317" s="5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IFERROR(VLOOKUP(B317,input_522100!L:R,7,FALSE),VLOOKUP(tables_522100!C317,input_522100!A:H,8,FALSE))</f>
        <v>95000</v>
      </c>
      <c r="P317" s="46">
        <f t="shared" ca="1" si="13"/>
        <v>7.2463768115919869E-4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input_522100!A$2</f>
        <v>522100</v>
      </c>
      <c r="B318" s="5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IFERROR(VLOOKUP(B318,input_522100!L:R,7,FALSE),VLOOKUP(tables_522100!C318,input_522100!A:H,8,FALSE))</f>
        <v>963040.26315999997</v>
      </c>
      <c r="P318" s="46">
        <f t="shared" ca="1" si="13"/>
        <v>7.3458448753600716E-3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input_522100!A$2</f>
        <v>522100</v>
      </c>
      <c r="B319" s="5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IFERROR(VLOOKUP(B319,input_522100!L:R,7,FALSE),VLOOKUP(tables_522100!C319,input_522100!A:H,8,FALSE))</f>
        <v>51543</v>
      </c>
      <c r="P319" s="46">
        <f t="shared" ca="1" si="13"/>
        <v>3.9315789473672188E-4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input_522100!A$2</f>
        <v>522100</v>
      </c>
      <c r="B320" s="5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IFERROR(VLOOKUP(B320,input_522100!L:R,7,FALSE),VLOOKUP(tables_522100!C320,input_522100!A:H,8,FALSE))</f>
        <v>95000</v>
      </c>
      <c r="P320" s="46">
        <f t="shared" ca="1" si="13"/>
        <v>7.2463768115919869E-4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input_522100!A$2</f>
        <v>522100</v>
      </c>
      <c r="B321" s="5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IFERROR(VLOOKUP(B321,input_522100!L:R,7,FALSE),VLOOKUP(tables_522100!C321,input_522100!A:H,8,FALSE))</f>
        <v>95000</v>
      </c>
      <c r="P321" s="46">
        <f t="shared" ca="1" si="13"/>
        <v>7.2463768115919869E-4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input_522100!A$2</f>
        <v>522100</v>
      </c>
      <c r="B322" s="5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IFERROR(VLOOKUP(B322,input_522100!L:R,7,FALSE),VLOOKUP(tables_522100!C322,input_522100!A:H,8,FALSE))</f>
        <v>95000</v>
      </c>
      <c r="P322" s="46">
        <f t="shared" ref="P322:P350" ca="1" si="26">O322/SUM(O:O)</f>
        <v>7.2463768115919869E-4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input_522100!A$2</f>
        <v>522100</v>
      </c>
      <c r="B323" s="5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IFERROR(VLOOKUP(B323,input_522100!L:R,7,FALSE),VLOOKUP(tables_522100!C323,input_522100!A:H,8,FALSE))</f>
        <v>95000</v>
      </c>
      <c r="P323" s="46">
        <f t="shared" ca="1" si="26"/>
        <v>7.2463768115919869E-4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input_522100!A$2</f>
        <v>522100</v>
      </c>
      <c r="B324" s="2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IFERROR(VLOOKUP(B324,input_522100!L:R,7,FALSE),VLOOKUP(tables_522100!C324,input_522100!A:H,8,FALSE))</f>
        <v>963040.26315999997</v>
      </c>
      <c r="P324" s="46">
        <f t="shared" ca="1" si="26"/>
        <v>7.3458448753600716E-3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input_522100!A$2</f>
        <v>522100</v>
      </c>
      <c r="B325" s="2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IFERROR(VLOOKUP(B325,input_522100!L:R,7,FALSE),VLOOKUP(tables_522100!C325,input_522100!A:H,8,FALSE))</f>
        <v>51543</v>
      </c>
      <c r="P325" s="46">
        <f t="shared" ca="1" si="26"/>
        <v>3.9315789473672188E-4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input_522100!A$2</f>
        <v>522100</v>
      </c>
      <c r="B326" s="2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IFERROR(VLOOKUP(B326,input_522100!L:R,7,FALSE),VLOOKUP(tables_522100!C326,input_522100!A:H,8,FALSE))</f>
        <v>963040.26315999997</v>
      </c>
      <c r="P326" s="46">
        <f t="shared" ca="1" si="26"/>
        <v>7.3458448753600716E-3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input_522100!A$2</f>
        <v>522100</v>
      </c>
      <c r="B327" s="2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IFERROR(VLOOKUP(B327,input_522100!L:R,7,FALSE),VLOOKUP(tables_522100!C327,input_522100!A:H,8,FALSE))</f>
        <v>51543</v>
      </c>
      <c r="P327" s="46">
        <f t="shared" ca="1" si="26"/>
        <v>3.9315789473672188E-4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input_522100!A$2</f>
        <v>522100</v>
      </c>
      <c r="B328" s="2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IFERROR(VLOOKUP(B328,input_522100!L:R,7,FALSE),VLOOKUP(tables_522100!C328,input_522100!A:H,8,FALSE))</f>
        <v>95000</v>
      </c>
      <c r="P328" s="46">
        <f t="shared" ca="1" si="26"/>
        <v>7.2463768115919869E-4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input_522100!A$2</f>
        <v>522100</v>
      </c>
      <c r="B329" s="2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IFERROR(VLOOKUP(B329,input_522100!L:R,7,FALSE),VLOOKUP(tables_522100!C329,input_522100!A:H,8,FALSE))</f>
        <v>95000</v>
      </c>
      <c r="P329" s="46">
        <f t="shared" ca="1" si="26"/>
        <v>7.2463768115919869E-4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input_522100!A$2</f>
        <v>522100</v>
      </c>
      <c r="B330" s="2">
        <v>1157</v>
      </c>
      <c r="C330" s="7" t="str">
        <f t="shared" si="28"/>
        <v>PremiumSS5R5only</v>
      </c>
      <c r="D330" s="95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IFERROR(VLOOKUP(B330,input_522100!L:R,7,FALSE),VLOOKUP(tables_522100!C330,input_522100!A:H,8,FALSE))</f>
        <v>95000</v>
      </c>
      <c r="P330" s="46">
        <f t="shared" ca="1" si="26"/>
        <v>7.2463768115919869E-4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input_522100!A$2</f>
        <v>522100</v>
      </c>
      <c r="B331" s="60">
        <v>1214</v>
      </c>
      <c r="C331" s="7" t="str">
        <f t="shared" ref="C331:C335" si="29">D331&amp;J331&amp;E331&amp;F331&amp;G331</f>
        <v>PremiumSS5R5only</v>
      </c>
      <c r="D331" s="95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IFERROR(VLOOKUP(B331,input_522100!L:R,7,FALSE),VLOOKUP(tables_522100!C331,input_522100!A:H,8,FALSE))</f>
        <v>95000</v>
      </c>
      <c r="P331" s="46">
        <f t="shared" ca="1" si="26"/>
        <v>7.2463768115919869E-4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input_522100!A$2</f>
        <v>522100</v>
      </c>
      <c r="B332" s="60">
        <v>1212</v>
      </c>
      <c r="C332" s="7" t="str">
        <f t="shared" si="29"/>
        <v>PremiumSS5R5only</v>
      </c>
      <c r="D332" s="95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IFERROR(VLOOKUP(B332,input_522100!L:R,7,FALSE),VLOOKUP(tables_522100!C332,input_522100!A:H,8,FALSE))</f>
        <v>95000</v>
      </c>
      <c r="P332" s="46">
        <f t="shared" ca="1" si="26"/>
        <v>7.2463768115919869E-4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input_522100!A$2</f>
        <v>522100</v>
      </c>
      <c r="B333" s="60">
        <v>1208</v>
      </c>
      <c r="C333" s="7" t="str">
        <f t="shared" si="29"/>
        <v>PremiumSS5R5only</v>
      </c>
      <c r="D333" s="95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IFERROR(VLOOKUP(B333,input_522100!L:R,7,FALSE),VLOOKUP(tables_522100!C333,input_522100!A:H,8,FALSE))</f>
        <v>95000</v>
      </c>
      <c r="P333" s="46">
        <f t="shared" ca="1" si="26"/>
        <v>7.2463768115919869E-4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input_522100!A$2</f>
        <v>522100</v>
      </c>
      <c r="B334" s="91">
        <v>1210</v>
      </c>
      <c r="C334" s="7" t="str">
        <f t="shared" si="29"/>
        <v>Premium4R3less</v>
      </c>
      <c r="D334" s="95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IFERROR(VLOOKUP(B334,input_522100!L:R,7,FALSE),VLOOKUP(tables_522100!C334,input_522100!A:H,8,FALSE))</f>
        <v>963040.26315999997</v>
      </c>
      <c r="P334" s="46">
        <f t="shared" ca="1" si="26"/>
        <v>7.3458448753600716E-3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input_522100!A$2</f>
        <v>522100</v>
      </c>
      <c r="B335" s="60">
        <v>1211</v>
      </c>
      <c r="C335" s="7" t="str">
        <f t="shared" si="29"/>
        <v>Premium5R3less</v>
      </c>
      <c r="D335" s="95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IFERROR(VLOOKUP(B335,input_522100!L:R,7,FALSE),VLOOKUP(tables_522100!C335,input_522100!A:H,8,FALSE))</f>
        <v>51543</v>
      </c>
      <c r="P335" s="46">
        <f t="shared" ca="1" si="26"/>
        <v>3.9315789473672188E-4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input_522100!A$2</f>
        <v>522100</v>
      </c>
      <c r="B336" s="2">
        <v>1224</v>
      </c>
      <c r="C336" s="7" t="str">
        <f t="shared" ref="C336:C340" si="31">D336&amp;J336&amp;E336&amp;F336&amp;G336</f>
        <v>Premium4R3less</v>
      </c>
      <c r="D336" s="95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IFERROR(VLOOKUP(B336,input_522100!L:R,7,FALSE),VLOOKUP(tables_522100!C336,input_522100!A:H,8,FALSE))</f>
        <v>963040.26315999997</v>
      </c>
      <c r="P336" s="46">
        <f t="shared" ca="1" si="26"/>
        <v>7.3458448753600716E-3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input_522100!A$2</f>
        <v>522100</v>
      </c>
      <c r="B337" s="2">
        <v>1225</v>
      </c>
      <c r="C337" s="7" t="str">
        <f t="shared" si="31"/>
        <v>Premium5R3less</v>
      </c>
      <c r="D337" s="95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IFERROR(VLOOKUP(B337,input_522100!L:R,7,FALSE),VLOOKUP(tables_522100!C337,input_522100!A:H,8,FALSE))</f>
        <v>51543</v>
      </c>
      <c r="P337" s="46">
        <f t="shared" ca="1" si="26"/>
        <v>3.9315789473672188E-4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input_522100!A$2</f>
        <v>522100</v>
      </c>
      <c r="B338" s="2">
        <v>1226</v>
      </c>
      <c r="C338" s="7" t="str">
        <f t="shared" si="31"/>
        <v>PremiumSS5R5only</v>
      </c>
      <c r="D338" s="95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IFERROR(VLOOKUP(B338,input_522100!L:R,7,FALSE),VLOOKUP(tables_522100!C338,input_522100!A:H,8,FALSE))</f>
        <v>95000</v>
      </c>
      <c r="P338" s="46">
        <f t="shared" ca="1" si="26"/>
        <v>7.2463768115919869E-4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input_522100!A$2</f>
        <v>522100</v>
      </c>
      <c r="B339" s="2">
        <v>1228</v>
      </c>
      <c r="C339" s="7" t="str">
        <f t="shared" si="31"/>
        <v>PremiumSS5R5only</v>
      </c>
      <c r="D339" s="95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IFERROR(VLOOKUP(B339,input_522100!L:R,7,FALSE),VLOOKUP(tables_522100!C339,input_522100!A:H,8,FALSE))</f>
        <v>95000</v>
      </c>
      <c r="P339" s="46">
        <f t="shared" ca="1" si="26"/>
        <v>7.2463768115919869E-4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input_522100!A$2</f>
        <v>522100</v>
      </c>
      <c r="B340" s="2">
        <v>1230</v>
      </c>
      <c r="C340" s="7" t="str">
        <f t="shared" si="31"/>
        <v>PremiumSS5R5only</v>
      </c>
      <c r="D340" s="95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IFERROR(VLOOKUP(B340,input_522100!L:R,7,FALSE),VLOOKUP(tables_522100!C340,input_522100!A:H,8,FALSE))</f>
        <v>95000</v>
      </c>
      <c r="P340" s="46">
        <f t="shared" ca="1" si="26"/>
        <v>7.2463768115919869E-4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input_522100!A$2</f>
        <v>522100</v>
      </c>
      <c r="B341" s="97">
        <v>1244</v>
      </c>
      <c r="C341" s="7" t="str">
        <f t="shared" ref="C341:C345" si="33">D341&amp;J341&amp;E341&amp;F341&amp;G341</f>
        <v>PremiumSS5R5only</v>
      </c>
      <c r="D341" s="95" t="str">
        <f t="shared" ref="D341:D345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IFERROR(VLOOKUP(B341,input_522100!L:R,7,FALSE),VLOOKUP(tables_522100!C341,input_522100!A:H,8,FALSE))</f>
        <v>95000</v>
      </c>
      <c r="P341" s="46">
        <f t="shared" ca="1" si="26"/>
        <v>7.2463768115919869E-4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input_522100!A$2</f>
        <v>522100</v>
      </c>
      <c r="B342" s="97">
        <v>1246</v>
      </c>
      <c r="C342" s="7" t="str">
        <f t="shared" si="33"/>
        <v>PremiumSS5R5only</v>
      </c>
      <c r="D342" s="95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IFERROR(VLOOKUP(B342,input_522100!L:R,7,FALSE),VLOOKUP(tables_522100!C342,input_522100!A:H,8,FALSE))</f>
        <v>95000</v>
      </c>
      <c r="P342" s="46">
        <f t="shared" ca="1" si="26"/>
        <v>7.2463768115919869E-4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input_522100!A$2</f>
        <v>522100</v>
      </c>
      <c r="B343" s="97">
        <v>1248</v>
      </c>
      <c r="C343" s="7" t="str">
        <f t="shared" si="33"/>
        <v>Premium4R3less</v>
      </c>
      <c r="D343" s="95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IFERROR(VLOOKUP(B343,input_522100!L:R,7,FALSE),VLOOKUP(tables_522100!C343,input_522100!A:H,8,FALSE))</f>
        <v>963040.26315999997</v>
      </c>
      <c r="P343" s="46">
        <f t="shared" ca="1" si="26"/>
        <v>7.3458448753600716E-3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input_522100!A$2</f>
        <v>522100</v>
      </c>
      <c r="B344" s="97">
        <v>1249</v>
      </c>
      <c r="C344" s="7" t="str">
        <f t="shared" si="33"/>
        <v>Premium5R3less</v>
      </c>
      <c r="D344" s="95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IFERROR(VLOOKUP(B344,input_522100!L:R,7,FALSE),VLOOKUP(tables_522100!C344,input_522100!A:H,8,FALSE))</f>
        <v>51543</v>
      </c>
      <c r="P344" s="46">
        <f t="shared" ca="1" si="26"/>
        <v>3.9315789473672188E-4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input_522100!A$2</f>
        <v>522100</v>
      </c>
      <c r="B345" s="97">
        <v>1250</v>
      </c>
      <c r="C345" s="7" t="str">
        <f t="shared" si="33"/>
        <v>PremiumSS5R5only</v>
      </c>
      <c r="D345" s="95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IFERROR(VLOOKUP(B345,input_522100!L:R,7,FALSE),VLOOKUP(tables_522100!C345,input_522100!A:H,8,FALSE))</f>
        <v>95000</v>
      </c>
      <c r="P345" s="46">
        <f t="shared" ca="1" si="26"/>
        <v>7.2463768115919869E-4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input_522100!A$2</f>
        <v>522100</v>
      </c>
      <c r="B346" s="97">
        <v>1260</v>
      </c>
      <c r="C346" s="7" t="str">
        <f t="shared" ref="C346:C350" si="35">D346&amp;J346&amp;E346&amp;F346&amp;G346</f>
        <v>PremiumSS5R5only</v>
      </c>
      <c r="D346" s="95" t="str">
        <f t="shared" ref="D346:D350" si="36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IFERROR(VLOOKUP(B346,input_522100!L:R,7,FALSE),VLOOKUP(tables_522100!C346,input_522100!A:H,8,FALSE))</f>
        <v>95000</v>
      </c>
      <c r="P346" s="46">
        <f t="shared" ca="1" si="26"/>
        <v>7.2463768115919869E-4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input_522100!A$2</f>
        <v>522100</v>
      </c>
      <c r="B347" s="97">
        <v>1262</v>
      </c>
      <c r="C347" s="7" t="str">
        <f t="shared" si="35"/>
        <v>PremiumSS5R5only</v>
      </c>
      <c r="D347" s="95" t="str">
        <f t="shared" si="36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IFERROR(VLOOKUP(B347,input_522100!L:R,7,FALSE),VLOOKUP(tables_522100!C347,input_522100!A:H,8,FALSE))</f>
        <v>95000</v>
      </c>
      <c r="P347" s="46">
        <f t="shared" ca="1" si="26"/>
        <v>7.2463768115919869E-4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input_522100!A$2</f>
        <v>522100</v>
      </c>
      <c r="B348" s="97">
        <v>1264</v>
      </c>
      <c r="C348" s="7" t="str">
        <f t="shared" si="35"/>
        <v>PremiumSS5R5only</v>
      </c>
      <c r="D348" s="95" t="str">
        <f t="shared" si="36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IFERROR(VLOOKUP(B348,input_522100!L:R,7,FALSE),VLOOKUP(tables_522100!C348,input_522100!A:H,8,FALSE))</f>
        <v>95000</v>
      </c>
      <c r="P348" s="46">
        <f t="shared" ca="1" si="26"/>
        <v>7.2463768115919869E-4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input_522100!A$2</f>
        <v>522100</v>
      </c>
      <c r="B349" s="97">
        <v>1266</v>
      </c>
      <c r="C349" s="7" t="str">
        <f t="shared" si="35"/>
        <v>Premium4R3less</v>
      </c>
      <c r="D349" s="95" t="str">
        <f t="shared" si="36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IFERROR(VLOOKUP(B349,input_522100!L:R,7,FALSE),VLOOKUP(tables_522100!C349,input_522100!A:H,8,FALSE))</f>
        <v>963040.26315999997</v>
      </c>
      <c r="P349" s="46">
        <f t="shared" ca="1" si="26"/>
        <v>7.3458448753600716E-3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input_522100!A$2</f>
        <v>522100</v>
      </c>
      <c r="B350" s="97">
        <v>1267</v>
      </c>
      <c r="C350" s="7" t="str">
        <f t="shared" si="35"/>
        <v>Premium5R3less</v>
      </c>
      <c r="D350" s="95" t="str">
        <f t="shared" si="36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IFERROR(VLOOKUP(B350,input_522100!L:R,7,FALSE),VLOOKUP(tables_522100!C350,input_522100!A:H,8,FALSE))</f>
        <v>51543</v>
      </c>
      <c r="P350" s="46">
        <f t="shared" ca="1" si="26"/>
        <v>3.9315789473672188E-4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input_522100!A$2</f>
        <v>522100</v>
      </c>
      <c r="B351" s="97">
        <v>1352</v>
      </c>
      <c r="C351" s="7" t="str">
        <f t="shared" ref="C351:C356" si="37">D351&amp;J351&amp;E351&amp;F351&amp;G351</f>
        <v>PremiumSS5R5only</v>
      </c>
      <c r="D351" s="95" t="str">
        <f t="shared" ref="D351:D356" si="38">IF(OR(I351="PremiumSS",I351="PremiumSSw"),"PremiumSS",IF(I351="PremiumSSS",I351,IF(I351="PremiumW",IF(J351=5,"premium",I351),"Premium")))</f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トウカ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blue</v>
      </c>
      <c r="L351" s="7" t="str">
        <f>VLOOKUP(B351,[1]characters!$A:$K,11,FALSE)</f>
        <v>technical</v>
      </c>
      <c r="M351" s="7" t="str">
        <f>VLOOKUP(B351,[1]characters!$A:$M,13,FALSE)</f>
        <v>human</v>
      </c>
      <c r="N351" s="7">
        <f>VLOOKUP(B351,[1]characters!$A:$G,7,FALSE)</f>
        <v>0</v>
      </c>
      <c r="O351" s="45">
        <f>IFERROR(VLOOKUP(B351,input_522100!L:R,7,FALSE),VLOOKUP(tables_522100!C351,input_522100!A:H,8,FALSE))</f>
        <v>1704300</v>
      </c>
      <c r="P351" s="46">
        <f t="shared" ref="P351:P356" ca="1" si="39">O351/SUM(O:O)</f>
        <v>1.2999999999996023E-2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99">
        <v>5</v>
      </c>
    </row>
    <row r="352" spans="1:22" ht="21" customHeight="1" x14ac:dyDescent="0.15">
      <c r="A352" s="2" t="str">
        <f ca="1">input_522100!A$2</f>
        <v>522100</v>
      </c>
      <c r="B352" s="97">
        <v>1355</v>
      </c>
      <c r="C352" s="7" t="str">
        <f t="shared" si="37"/>
        <v>PremiumSS6R5only</v>
      </c>
      <c r="D352" s="95" t="str">
        <f t="shared" si="38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恋する燦天使 メタトロン・エモ</v>
      </c>
      <c r="I352" s="7" t="str">
        <f>VLOOKUP(B352,[1]characters!$A:$J,10,FALSE)</f>
        <v>PremiumSS</v>
      </c>
      <c r="J352" s="7">
        <f>VLOOKUP(B352,[1]characters!$A:$I,9,FALSE)</f>
        <v>6</v>
      </c>
      <c r="K352" s="7" t="str">
        <f>VLOOKUP(B352,[1]characters!$A:$H,8,FALSE)</f>
        <v>yellow</v>
      </c>
      <c r="L352" s="7" t="str">
        <f>VLOOKUP(B352,[1]characters!$A:$K,11,FALSE)</f>
        <v>balance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>IFERROR(VLOOKUP(B352,input_522100!L:R,7,FALSE),VLOOKUP(tables_522100!C352,input_522100!A:H,8,FALSE))</f>
        <v>2622000</v>
      </c>
      <c r="P352" s="46">
        <f t="shared" ca="1" si="39"/>
        <v>1.9999999999993884E-2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99">
        <v>5</v>
      </c>
    </row>
    <row r="353" spans="1:22" ht="21" customHeight="1" x14ac:dyDescent="0.15">
      <c r="A353" s="2" t="str">
        <f ca="1">input_522100!A$2</f>
        <v>522100</v>
      </c>
      <c r="B353" s="97">
        <v>1356</v>
      </c>
      <c r="C353" s="7" t="str">
        <f t="shared" si="37"/>
        <v>Premium5R3less</v>
      </c>
      <c r="D353" s="95" t="str">
        <f t="shared" si="38"/>
        <v>Premium</v>
      </c>
      <c r="E353" s="7" t="str">
        <f>IF(COUNTIF('R6追加前'!A:A,B353)=0,IF(OR(I353="PremiumSS",I353="PremiumSSw"),"R5only","R3less"),"")</f>
        <v>R3less</v>
      </c>
      <c r="F353" s="7" t="str">
        <f>IF(COUNTIF('R6開放'!A:A,B353)&gt;0,"R6release","")</f>
        <v/>
      </c>
      <c r="G353" s="7"/>
      <c r="H353" s="7" t="str">
        <f>VLOOKUP(B353,[1]characters!$A:$C,3,FALSE)</f>
        <v>恋狐の甘味振舞 タマモ</v>
      </c>
      <c r="I353" s="7" t="str">
        <f>VLOOKUP(B353,[1]characters!$A:$J,10,FALSE)</f>
        <v>PremiumS</v>
      </c>
      <c r="J353" s="7">
        <f>VLOOKUP(B353,[1]characters!$A:$I,9,FALSE)</f>
        <v>5</v>
      </c>
      <c r="K353" s="7" t="str">
        <f>VLOOKUP(B353,[1]characters!$A:$H,8,FALSE)</f>
        <v>red</v>
      </c>
      <c r="L353" s="7" t="str">
        <f>VLOOKUP(B353,[1]characters!$A:$K,11,FALSE)</f>
        <v>balance</v>
      </c>
      <c r="M353" s="7" t="str">
        <f>VLOOKUP(B353,[1]characters!$A:$M,13,FALSE)</f>
        <v>animal</v>
      </c>
      <c r="N353" s="7">
        <f>VLOOKUP(B353,[1]characters!$A:$G,7,FALSE)</f>
        <v>0</v>
      </c>
      <c r="O353" s="45">
        <f>IFERROR(VLOOKUP(B353,input_522100!L:R,7,FALSE),VLOOKUP(tables_522100!C353,input_522100!A:H,8,FALSE))</f>
        <v>6555000</v>
      </c>
      <c r="P353" s="46">
        <f t="shared" ca="1" si="39"/>
        <v>4.9999999999984709E-2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99">
        <v>5</v>
      </c>
    </row>
    <row r="354" spans="1:22" ht="21" customHeight="1" x14ac:dyDescent="0.15">
      <c r="A354" s="2" t="str">
        <f ca="1">input_522100!A$2</f>
        <v>522100</v>
      </c>
      <c r="B354" s="97">
        <v>1357</v>
      </c>
      <c r="C354" s="7" t="str">
        <f t="shared" si="37"/>
        <v>Premium5R3less</v>
      </c>
      <c r="D354" s="95" t="str">
        <f t="shared" si="38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甘美なる想導司書 アズラエル</v>
      </c>
      <c r="I354" s="7" t="str">
        <f>VLOOKUP(B354,[1]characters!$A:$J,10,FALSE)</f>
        <v>PremiumS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balance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>IFERROR(VLOOKUP(B354,input_522100!L:R,7,FALSE),VLOOKUP(tables_522100!C354,input_522100!A:H,8,FALSE))</f>
        <v>6555000</v>
      </c>
      <c r="P354" s="46">
        <f t="shared" ca="1" si="39"/>
        <v>4.9999999999984709E-2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99">
        <v>5</v>
      </c>
    </row>
    <row r="355" spans="1:22" ht="21" customHeight="1" x14ac:dyDescent="0.15">
      <c r="A355" s="2" t="str">
        <f ca="1">input_522100!A$2</f>
        <v>522100</v>
      </c>
      <c r="B355" s="97">
        <v>1358</v>
      </c>
      <c r="C355" s="7" t="str">
        <f t="shared" si="37"/>
        <v>Premium5R3less</v>
      </c>
      <c r="D355" s="95" t="str">
        <f t="shared" si="38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暴走する恋激火 バハムート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heal</v>
      </c>
      <c r="M355" s="7" t="str">
        <f>VLOOKUP(B355,[1]characters!$A:$M,13,FALSE)</f>
        <v>dragon</v>
      </c>
      <c r="N355" s="7">
        <f>VLOOKUP(B355,[1]characters!$A:$G,7,FALSE)</f>
        <v>0</v>
      </c>
      <c r="O355" s="45">
        <f>IFERROR(VLOOKUP(B355,input_522100!L:R,7,FALSE),VLOOKUP(tables_522100!C355,input_522100!A:H,8,FALSE))</f>
        <v>6555000</v>
      </c>
      <c r="P355" s="46">
        <f t="shared" ca="1" si="39"/>
        <v>4.9999999999984709E-2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99">
        <v>5</v>
      </c>
    </row>
    <row r="356" spans="1:22" ht="21" customHeight="1" x14ac:dyDescent="0.15">
      <c r="A356" s="2" t="str">
        <f ca="1">input_522100!A$2</f>
        <v>522100</v>
      </c>
      <c r="B356" s="97">
        <v>1363</v>
      </c>
      <c r="C356" s="7" t="str">
        <f t="shared" si="37"/>
        <v>PremiumSS6R5only</v>
      </c>
      <c r="D356" s="95" t="str">
        <f t="shared" si="38"/>
        <v>PremiumSS</v>
      </c>
      <c r="E356" s="7" t="str">
        <f>IF(COUNTIF('R6追加前'!A:A,B356)=0,IF(OR(I356="PremiumSS",I356="PremiumSSw"),"R5only","R3less"),"")</f>
        <v>R5only</v>
      </c>
      <c r="F356" s="7" t="str">
        <f>IF(COUNTIF('R6開放'!A:A,B356)&gt;0,"R6release","")</f>
        <v/>
      </c>
      <c r="G356" s="7"/>
      <c r="H356" s="7" t="str">
        <f>VLOOKUP(B356,[1]characters!$A:$C,3,FALSE)</f>
        <v>聖白の夢菓子 ヴァニレ</v>
      </c>
      <c r="I356" s="7" t="str">
        <f>VLOOKUP(B356,[1]characters!$A:$J,10,FALSE)</f>
        <v>PremiumSS</v>
      </c>
      <c r="J356" s="7">
        <f>VLOOKUP(B356,[1]characters!$A:$I,9,FALSE)</f>
        <v>6</v>
      </c>
      <c r="K356" s="7" t="str">
        <f>VLOOKUP(B356,[1]characters!$A:$H,8,FALSE)</f>
        <v>blue</v>
      </c>
      <c r="L356" s="7" t="str">
        <f>VLOOKUP(B356,[1]characters!$A:$K,11,FALSE)</f>
        <v>attack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>IFERROR(VLOOKUP(B356,input_522100!L:R,7,FALSE),VLOOKUP(tables_522100!C356,input_522100!A:H,8,FALSE))</f>
        <v>2622000</v>
      </c>
      <c r="P356" s="46">
        <f t="shared" ca="1" si="39"/>
        <v>1.9999999999993884E-2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99">
        <v>5</v>
      </c>
    </row>
  </sheetData>
  <autoFilter ref="A1:V356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J21" sqref="J2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522105</v>
      </c>
      <c r="B2" s="97">
        <v>1352</v>
      </c>
      <c r="C2" s="7" t="str">
        <f t="shared" ref="C2:C4" si="0">D2&amp;J2&amp;E2&amp;F2&amp;G2</f>
        <v>PremiumSS5R5only</v>
      </c>
      <c r="D2" s="95" t="str">
        <f t="shared" ref="D2:D4" si="1">IF(OR(I2="PremiumSS",I2="PremiumSSw"),"PremiumSS",IF(I2="PremiumSSS",I2,IF(I2="PremiumW",IF(J2=5,"premium",I2),"Premium")))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トウカ</v>
      </c>
      <c r="I2" s="7" t="str">
        <f>VLOOKUP(B2,[1]characters!$A:$J,10,FALSE)</f>
        <v>PremiumSSw</v>
      </c>
      <c r="J2" s="7">
        <f>VLOOKUP(B2,[1]characters!$A:$I,9,FALSE)</f>
        <v>5</v>
      </c>
      <c r="K2" s="7" t="str">
        <f>VLOOKUP(B2,[1]characters!$A:$H,8,FALSE)</f>
        <v>blue</v>
      </c>
      <c r="L2" s="7" t="str">
        <f>VLOOKUP(B2,[1]characters!$A:$K,11,FALSE)</f>
        <v>technical</v>
      </c>
      <c r="M2" s="7" t="str">
        <f>VLOOKUP(B2,[1]characters!$A:$M,13,FALSE)</f>
        <v>human</v>
      </c>
      <c r="N2" s="7">
        <f>VLOOKUP(B2,[1]characters!$A:$G,7,FALSE)</f>
        <v>0</v>
      </c>
      <c r="O2" s="45">
        <v>200</v>
      </c>
      <c r="P2" s="46">
        <f>O2/SUM(O:O)</f>
        <v>0.2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99">
        <v>5</v>
      </c>
    </row>
    <row r="3" spans="1:22" ht="21" customHeight="1" x14ac:dyDescent="0.15">
      <c r="A3" s="2">
        <v>522105</v>
      </c>
      <c r="B3" s="97">
        <v>1355</v>
      </c>
      <c r="C3" s="7" t="str">
        <f t="shared" si="0"/>
        <v>PremiumSS6R5only</v>
      </c>
      <c r="D3" s="95" t="str">
        <f t="shared" si="1"/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恋する燦天使 メタトロン・エモ</v>
      </c>
      <c r="I3" s="7" t="str">
        <f>VLOOKUP(B3,[1]characters!$A:$J,10,FALSE)</f>
        <v>PremiumSS</v>
      </c>
      <c r="J3" s="7">
        <f>VLOOKUP(B3,[1]characters!$A:$I,9,FALSE)</f>
        <v>6</v>
      </c>
      <c r="K3" s="7" t="str">
        <f>VLOOKUP(B3,[1]characters!$A:$H,8,FALSE)</f>
        <v>yellow</v>
      </c>
      <c r="L3" s="7" t="str">
        <f>VLOOKUP(B3,[1]characters!$A:$K,11,FALSE)</f>
        <v>balance</v>
      </c>
      <c r="M3" s="7" t="str">
        <f>VLOOKUP(B3,[1]characters!$A:$M,13,FALSE)</f>
        <v>god</v>
      </c>
      <c r="N3" s="7">
        <f>VLOOKUP(B3,[1]characters!$A:$G,7,FALSE)</f>
        <v>0</v>
      </c>
      <c r="O3" s="45">
        <v>400</v>
      </c>
      <c r="P3" s="46">
        <f>O3/SUM(O:O)</f>
        <v>0.4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99">
        <v>5</v>
      </c>
    </row>
    <row r="4" spans="1:22" ht="21" customHeight="1" x14ac:dyDescent="0.15">
      <c r="A4" s="2">
        <v>522105</v>
      </c>
      <c r="B4" s="97">
        <v>1363</v>
      </c>
      <c r="C4" s="7" t="str">
        <f t="shared" si="0"/>
        <v>PremiumSS6R5only</v>
      </c>
      <c r="D4" s="95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聖白の夢菓子 ヴァニレ</v>
      </c>
      <c r="I4" s="7" t="str">
        <f>VLOOKUP(B4,[1]characters!$A:$J,10,FALSE)</f>
        <v>PremiumSS</v>
      </c>
      <c r="J4" s="7">
        <f>VLOOKUP(B4,[1]characters!$A:$I,9,FALSE)</f>
        <v>6</v>
      </c>
      <c r="K4" s="7" t="str">
        <f>VLOOKUP(B4,[1]characters!$A:$H,8,FALSE)</f>
        <v>blue</v>
      </c>
      <c r="L4" s="7" t="str">
        <f>VLOOKUP(B4,[1]characters!$A:$K,11,FALSE)</f>
        <v>attack</v>
      </c>
      <c r="M4" s="7" t="str">
        <f>VLOOKUP(B4,[1]characters!$A:$M,13,FALSE)</f>
        <v>human</v>
      </c>
      <c r="N4" s="7">
        <f>VLOOKUP(B4,[1]characters!$A:$G,7,FALSE)</f>
        <v>0</v>
      </c>
      <c r="O4" s="45">
        <v>400</v>
      </c>
      <c r="P4" s="46">
        <f>O4/SUM(O:O)</f>
        <v>0.4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99">
        <v>5</v>
      </c>
    </row>
  </sheetData>
  <autoFilter ref="A1:V3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D8" sqref="D8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6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input_522010</vt:lpstr>
      <vt:lpstr>tables_522010</vt:lpstr>
      <vt:lpstr>input_522100</vt:lpstr>
      <vt:lpstr>tables_522100</vt:lpstr>
      <vt:lpstr>tables_settle_522105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2017-02-10T04:56:41Z</dcterms:modified>
</cp:coreProperties>
</file>