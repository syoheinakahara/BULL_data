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725" codeName="{8C4F1C90-05EB-6A55-5F09-09C24B55AC0B}"/>
  <workbookPr codeName="ThisWorkbook" autoCompressPictures="0"/>
  <bookViews>
    <workbookView xWindow="480" yWindow="280" windowWidth="27720" windowHeight="13800" activeTab="1"/>
  </bookViews>
  <sheets>
    <sheet name="floors_cp_quests" sheetId="2" r:id="rId1"/>
    <sheet name="enemy_habitats_cp_quests" sheetId="1" r:id="rId2"/>
    <sheet name="floors_cp_quests.tmp" sheetId="5" r:id="rId3"/>
    <sheet name="enemy_habitats_cp_quests.tmp" sheetId="6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1" hidden="1">enemy_habitats_cp_quests!$B$1:$AE$306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5" l="1"/>
  <c r="A1" i="5"/>
  <c r="A116" i="5"/>
  <c r="B1" i="5"/>
  <c r="F116" i="5"/>
  <c r="E116" i="5"/>
  <c r="D116" i="5"/>
  <c r="C116" i="5"/>
  <c r="B116" i="5"/>
  <c r="A115" i="5"/>
  <c r="F115" i="5"/>
  <c r="E115" i="5"/>
  <c r="D115" i="5"/>
  <c r="C115" i="5"/>
  <c r="B115" i="5"/>
  <c r="A114" i="5"/>
  <c r="F114" i="5"/>
  <c r="E114" i="5"/>
  <c r="D114" i="5"/>
  <c r="C114" i="5"/>
  <c r="B114" i="5"/>
  <c r="A113" i="5"/>
  <c r="F113" i="5"/>
  <c r="E113" i="5"/>
  <c r="D113" i="5"/>
  <c r="C113" i="5"/>
  <c r="B113" i="5"/>
  <c r="A112" i="5"/>
  <c r="F112" i="5"/>
  <c r="E112" i="5"/>
  <c r="D112" i="5"/>
  <c r="C112" i="5"/>
  <c r="B112" i="5"/>
  <c r="A111" i="5"/>
  <c r="F111" i="5"/>
  <c r="E111" i="5"/>
  <c r="D111" i="5"/>
  <c r="C111" i="5"/>
  <c r="B111" i="5"/>
  <c r="A110" i="5"/>
  <c r="F110" i="5"/>
  <c r="E110" i="5"/>
  <c r="D110" i="5"/>
  <c r="C110" i="5"/>
  <c r="B110" i="5"/>
  <c r="A109" i="5"/>
  <c r="F109" i="5"/>
  <c r="E109" i="5"/>
  <c r="D109" i="5"/>
  <c r="C109" i="5"/>
  <c r="B109" i="5"/>
  <c r="A108" i="5"/>
  <c r="F108" i="5"/>
  <c r="E108" i="5"/>
  <c r="D108" i="5"/>
  <c r="C108" i="5"/>
  <c r="B108" i="5"/>
  <c r="A107" i="5"/>
  <c r="F107" i="5"/>
  <c r="E107" i="5"/>
  <c r="D107" i="5"/>
  <c r="C107" i="5"/>
  <c r="B107" i="5"/>
  <c r="A106" i="5"/>
  <c r="F106" i="5"/>
  <c r="E106" i="5"/>
  <c r="D106" i="5"/>
  <c r="C106" i="5"/>
  <c r="B106" i="5"/>
  <c r="A105" i="5"/>
  <c r="F105" i="5"/>
  <c r="E105" i="5"/>
  <c r="D105" i="5"/>
  <c r="C105" i="5"/>
  <c r="B105" i="5"/>
  <c r="A104" i="5"/>
  <c r="F104" i="5"/>
  <c r="E104" i="5"/>
  <c r="D104" i="5"/>
  <c r="C104" i="5"/>
  <c r="B104" i="5"/>
  <c r="A103" i="5"/>
  <c r="F103" i="5"/>
  <c r="E103" i="5"/>
  <c r="D103" i="5"/>
  <c r="C103" i="5"/>
  <c r="B103" i="5"/>
  <c r="A102" i="5"/>
  <c r="F102" i="5"/>
  <c r="E102" i="5"/>
  <c r="D102" i="5"/>
  <c r="C102" i="5"/>
  <c r="B102" i="5"/>
  <c r="A101" i="5"/>
  <c r="F101" i="5"/>
  <c r="E101" i="5"/>
  <c r="D101" i="5"/>
  <c r="C101" i="5"/>
  <c r="B101" i="5"/>
  <c r="A100" i="5"/>
  <c r="F100" i="5"/>
  <c r="E100" i="5"/>
  <c r="D100" i="5"/>
  <c r="C100" i="5"/>
  <c r="B100" i="5"/>
  <c r="A99" i="5"/>
  <c r="F99" i="5"/>
  <c r="E99" i="5"/>
  <c r="D99" i="5"/>
  <c r="C99" i="5"/>
  <c r="B99" i="5"/>
  <c r="A98" i="5"/>
  <c r="F98" i="5"/>
  <c r="E98" i="5"/>
  <c r="D98" i="5"/>
  <c r="C98" i="5"/>
  <c r="B98" i="5"/>
  <c r="A97" i="5"/>
  <c r="F97" i="5"/>
  <c r="E97" i="5"/>
  <c r="D97" i="5"/>
  <c r="C97" i="5"/>
  <c r="B97" i="5"/>
  <c r="A96" i="5"/>
  <c r="F96" i="5"/>
  <c r="E96" i="5"/>
  <c r="D96" i="5"/>
  <c r="C96" i="5"/>
  <c r="B96" i="5"/>
  <c r="A95" i="5"/>
  <c r="F95" i="5"/>
  <c r="E95" i="5"/>
  <c r="D95" i="5"/>
  <c r="C95" i="5"/>
  <c r="B95" i="5"/>
  <c r="A94" i="5"/>
  <c r="F94" i="5"/>
  <c r="E94" i="5"/>
  <c r="D94" i="5"/>
  <c r="C94" i="5"/>
  <c r="B94" i="5"/>
  <c r="A93" i="5"/>
  <c r="F93" i="5"/>
  <c r="E93" i="5"/>
  <c r="D93" i="5"/>
  <c r="C93" i="5"/>
  <c r="B93" i="5"/>
  <c r="A92" i="5"/>
  <c r="F92" i="5"/>
  <c r="E92" i="5"/>
  <c r="D92" i="5"/>
  <c r="C92" i="5"/>
  <c r="B92" i="5"/>
  <c r="A91" i="5"/>
  <c r="F91" i="5"/>
  <c r="E91" i="5"/>
  <c r="D91" i="5"/>
  <c r="C91" i="5"/>
  <c r="B91" i="5"/>
  <c r="A90" i="5"/>
  <c r="F90" i="5"/>
  <c r="E90" i="5"/>
  <c r="D90" i="5"/>
  <c r="C90" i="5"/>
  <c r="B90" i="5"/>
  <c r="A89" i="5"/>
  <c r="F89" i="5"/>
  <c r="E89" i="5"/>
  <c r="D89" i="5"/>
  <c r="C89" i="5"/>
  <c r="B89" i="5"/>
  <c r="A88" i="5"/>
  <c r="F88" i="5"/>
  <c r="E88" i="5"/>
  <c r="D88" i="5"/>
  <c r="C88" i="5"/>
  <c r="B88" i="5"/>
  <c r="A87" i="5"/>
  <c r="F87" i="5"/>
  <c r="E87" i="5"/>
  <c r="D87" i="5"/>
  <c r="C87" i="5"/>
  <c r="B87" i="5"/>
  <c r="A86" i="5"/>
  <c r="F86" i="5"/>
  <c r="E86" i="5"/>
  <c r="D86" i="5"/>
  <c r="C86" i="5"/>
  <c r="B86" i="5"/>
  <c r="A85" i="5"/>
  <c r="F85" i="5"/>
  <c r="E85" i="5"/>
  <c r="D85" i="5"/>
  <c r="C85" i="5"/>
  <c r="B85" i="5"/>
  <c r="A84" i="5"/>
  <c r="F84" i="5"/>
  <c r="E84" i="5"/>
  <c r="D84" i="5"/>
  <c r="C84" i="5"/>
  <c r="B84" i="5"/>
  <c r="A83" i="5"/>
  <c r="F83" i="5"/>
  <c r="E83" i="5"/>
  <c r="D83" i="5"/>
  <c r="C83" i="5"/>
  <c r="B83" i="5"/>
  <c r="A82" i="5"/>
  <c r="F82" i="5"/>
  <c r="E82" i="5"/>
  <c r="D82" i="5"/>
  <c r="C82" i="5"/>
  <c r="B82" i="5"/>
  <c r="A81" i="5"/>
  <c r="F81" i="5"/>
  <c r="E81" i="5"/>
  <c r="D81" i="5"/>
  <c r="C81" i="5"/>
  <c r="B81" i="5"/>
  <c r="A80" i="5"/>
  <c r="F80" i="5"/>
  <c r="E80" i="5"/>
  <c r="D80" i="5"/>
  <c r="C80" i="5"/>
  <c r="B80" i="5"/>
  <c r="A79" i="5"/>
  <c r="F79" i="5"/>
  <c r="E79" i="5"/>
  <c r="D79" i="5"/>
  <c r="C79" i="5"/>
  <c r="B79" i="5"/>
  <c r="A78" i="5"/>
  <c r="F78" i="5"/>
  <c r="E78" i="5"/>
  <c r="D78" i="5"/>
  <c r="C78" i="5"/>
  <c r="B78" i="5"/>
  <c r="A77" i="5"/>
  <c r="F77" i="5"/>
  <c r="E77" i="5"/>
  <c r="D77" i="5"/>
  <c r="C77" i="5"/>
  <c r="B77" i="5"/>
  <c r="A76" i="5"/>
  <c r="F76" i="5"/>
  <c r="E76" i="5"/>
  <c r="D76" i="5"/>
  <c r="C76" i="5"/>
  <c r="B76" i="5"/>
  <c r="A75" i="5"/>
  <c r="F75" i="5"/>
  <c r="E75" i="5"/>
  <c r="D75" i="5"/>
  <c r="C75" i="5"/>
  <c r="B75" i="5"/>
  <c r="A74" i="5"/>
  <c r="F74" i="5"/>
  <c r="E74" i="5"/>
  <c r="D74" i="5"/>
  <c r="C74" i="5"/>
  <c r="B74" i="5"/>
  <c r="A73" i="5"/>
  <c r="F73" i="5"/>
  <c r="E73" i="5"/>
  <c r="D73" i="5"/>
  <c r="C73" i="5"/>
  <c r="B73" i="5"/>
  <c r="A72" i="5"/>
  <c r="F72" i="5"/>
  <c r="E72" i="5"/>
  <c r="D72" i="5"/>
  <c r="C72" i="5"/>
  <c r="B72" i="5"/>
  <c r="A71" i="5"/>
  <c r="F71" i="5"/>
  <c r="E71" i="5"/>
  <c r="D71" i="5"/>
  <c r="C71" i="5"/>
  <c r="B71" i="5"/>
  <c r="A70" i="5"/>
  <c r="F70" i="5"/>
  <c r="E70" i="5"/>
  <c r="D70" i="5"/>
  <c r="C70" i="5"/>
  <c r="B70" i="5"/>
  <c r="A69" i="5"/>
  <c r="F69" i="5"/>
  <c r="E69" i="5"/>
  <c r="D69" i="5"/>
  <c r="C69" i="5"/>
  <c r="B69" i="5"/>
  <c r="A68" i="5"/>
  <c r="F68" i="5"/>
  <c r="E68" i="5"/>
  <c r="D68" i="5"/>
  <c r="C68" i="5"/>
  <c r="B68" i="5"/>
  <c r="A67" i="5"/>
  <c r="F67" i="5"/>
  <c r="E67" i="5"/>
  <c r="D67" i="5"/>
  <c r="C67" i="5"/>
  <c r="B67" i="5"/>
  <c r="A66" i="5"/>
  <c r="F66" i="5"/>
  <c r="E66" i="5"/>
  <c r="D66" i="5"/>
  <c r="C66" i="5"/>
  <c r="B66" i="5"/>
  <c r="A65" i="5"/>
  <c r="F65" i="5"/>
  <c r="E65" i="5"/>
  <c r="D65" i="5"/>
  <c r="C65" i="5"/>
  <c r="B65" i="5"/>
  <c r="A64" i="5"/>
  <c r="F64" i="5"/>
  <c r="E64" i="5"/>
  <c r="D64" i="5"/>
  <c r="C64" i="5"/>
  <c r="B64" i="5"/>
  <c r="A63" i="5"/>
  <c r="F63" i="5"/>
  <c r="E63" i="5"/>
  <c r="D63" i="5"/>
  <c r="C63" i="5"/>
  <c r="B63" i="5"/>
  <c r="A62" i="5"/>
  <c r="F62" i="5"/>
  <c r="E62" i="5"/>
  <c r="D62" i="5"/>
  <c r="C62" i="5"/>
  <c r="B62" i="5"/>
  <c r="A61" i="5"/>
  <c r="F61" i="5"/>
  <c r="E61" i="5"/>
  <c r="D61" i="5"/>
  <c r="C61" i="5"/>
  <c r="B61" i="5"/>
  <c r="A60" i="5"/>
  <c r="F60" i="5"/>
  <c r="E60" i="5"/>
  <c r="D60" i="5"/>
  <c r="C60" i="5"/>
  <c r="B60" i="5"/>
  <c r="A59" i="5"/>
  <c r="F59" i="5"/>
  <c r="E59" i="5"/>
  <c r="D59" i="5"/>
  <c r="C59" i="5"/>
  <c r="B59" i="5"/>
  <c r="A58" i="5"/>
  <c r="F58" i="5"/>
  <c r="E58" i="5"/>
  <c r="D58" i="5"/>
  <c r="C58" i="5"/>
  <c r="B58" i="5"/>
  <c r="A57" i="5"/>
  <c r="F57" i="5"/>
  <c r="E57" i="5"/>
  <c r="D57" i="5"/>
  <c r="C57" i="5"/>
  <c r="B57" i="5"/>
  <c r="A56" i="5"/>
  <c r="F56" i="5"/>
  <c r="E56" i="5"/>
  <c r="D56" i="5"/>
  <c r="C56" i="5"/>
  <c r="B56" i="5"/>
  <c r="A55" i="5"/>
  <c r="F55" i="5"/>
  <c r="E55" i="5"/>
  <c r="D55" i="5"/>
  <c r="C55" i="5"/>
  <c r="B55" i="5"/>
  <c r="A54" i="5"/>
  <c r="F54" i="5"/>
  <c r="E54" i="5"/>
  <c r="D54" i="5"/>
  <c r="C54" i="5"/>
  <c r="B54" i="5"/>
  <c r="A53" i="5"/>
  <c r="F53" i="5"/>
  <c r="E53" i="5"/>
  <c r="D53" i="5"/>
  <c r="C53" i="5"/>
  <c r="B53" i="5"/>
  <c r="A52" i="5"/>
  <c r="F52" i="5"/>
  <c r="E52" i="5"/>
  <c r="D52" i="5"/>
  <c r="C52" i="5"/>
  <c r="B52" i="5"/>
  <c r="A51" i="5"/>
  <c r="F51" i="5"/>
  <c r="E51" i="5"/>
  <c r="D51" i="5"/>
  <c r="C51" i="5"/>
  <c r="B51" i="5"/>
  <c r="A50" i="5"/>
  <c r="F50" i="5"/>
  <c r="E50" i="5"/>
  <c r="D50" i="5"/>
  <c r="C50" i="5"/>
  <c r="B50" i="5"/>
  <c r="A49" i="5"/>
  <c r="F49" i="5"/>
  <c r="E49" i="5"/>
  <c r="D49" i="5"/>
  <c r="C49" i="5"/>
  <c r="B49" i="5"/>
  <c r="A48" i="5"/>
  <c r="F48" i="5"/>
  <c r="E48" i="5"/>
  <c r="D48" i="5"/>
  <c r="C48" i="5"/>
  <c r="B48" i="5"/>
  <c r="A47" i="5"/>
  <c r="F47" i="5"/>
  <c r="E47" i="5"/>
  <c r="D47" i="5"/>
  <c r="C47" i="5"/>
  <c r="B47" i="5"/>
  <c r="A46" i="5"/>
  <c r="F46" i="5"/>
  <c r="E46" i="5"/>
  <c r="D46" i="5"/>
  <c r="C46" i="5"/>
  <c r="B46" i="5"/>
  <c r="A45" i="5"/>
  <c r="F45" i="5"/>
  <c r="E45" i="5"/>
  <c r="D45" i="5"/>
  <c r="C45" i="5"/>
  <c r="B45" i="5"/>
  <c r="A44" i="5"/>
  <c r="F44" i="5"/>
  <c r="E44" i="5"/>
  <c r="D44" i="5"/>
  <c r="C44" i="5"/>
  <c r="B44" i="5"/>
  <c r="A43" i="5"/>
  <c r="F43" i="5"/>
  <c r="E43" i="5"/>
  <c r="D43" i="5"/>
  <c r="C43" i="5"/>
  <c r="B43" i="5"/>
  <c r="A42" i="5"/>
  <c r="F42" i="5"/>
  <c r="E42" i="5"/>
  <c r="D42" i="5"/>
  <c r="C42" i="5"/>
  <c r="B42" i="5"/>
  <c r="A41" i="5"/>
  <c r="F41" i="5"/>
  <c r="E41" i="5"/>
  <c r="D41" i="5"/>
  <c r="C41" i="5"/>
  <c r="B41" i="5"/>
  <c r="A40" i="5"/>
  <c r="F40" i="5"/>
  <c r="E40" i="5"/>
  <c r="D40" i="5"/>
  <c r="C40" i="5"/>
  <c r="B40" i="5"/>
  <c r="A39" i="5"/>
  <c r="F39" i="5"/>
  <c r="E39" i="5"/>
  <c r="D39" i="5"/>
  <c r="C39" i="5"/>
  <c r="B39" i="5"/>
  <c r="A38" i="5"/>
  <c r="F38" i="5"/>
  <c r="E38" i="5"/>
  <c r="D38" i="5"/>
  <c r="C38" i="5"/>
  <c r="B38" i="5"/>
  <c r="A37" i="5"/>
  <c r="F37" i="5"/>
  <c r="E37" i="5"/>
  <c r="D37" i="5"/>
  <c r="C37" i="5"/>
  <c r="B37" i="5"/>
  <c r="A36" i="5"/>
  <c r="F36" i="5"/>
  <c r="E36" i="5"/>
  <c r="D36" i="5"/>
  <c r="C36" i="5"/>
  <c r="B36" i="5"/>
  <c r="A35" i="5"/>
  <c r="F35" i="5"/>
  <c r="E35" i="5"/>
  <c r="D35" i="5"/>
  <c r="C35" i="5"/>
  <c r="B35" i="5"/>
  <c r="A34" i="5"/>
  <c r="F34" i="5"/>
  <c r="E34" i="5"/>
  <c r="D34" i="5"/>
  <c r="C34" i="5"/>
  <c r="B34" i="5"/>
  <c r="A33" i="5"/>
  <c r="F33" i="5"/>
  <c r="E33" i="5"/>
  <c r="D33" i="5"/>
  <c r="C33" i="5"/>
  <c r="B33" i="5"/>
  <c r="A32" i="5"/>
  <c r="F32" i="5"/>
  <c r="E32" i="5"/>
  <c r="D32" i="5"/>
  <c r="C32" i="5"/>
  <c r="B32" i="5"/>
  <c r="A31" i="5"/>
  <c r="F31" i="5"/>
  <c r="E31" i="5"/>
  <c r="D31" i="5"/>
  <c r="C31" i="5"/>
  <c r="B31" i="5"/>
  <c r="A30" i="5"/>
  <c r="F30" i="5"/>
  <c r="E30" i="5"/>
  <c r="D30" i="5"/>
  <c r="C30" i="5"/>
  <c r="B30" i="5"/>
  <c r="A29" i="5"/>
  <c r="F29" i="5"/>
  <c r="E29" i="5"/>
  <c r="D29" i="5"/>
  <c r="C29" i="5"/>
  <c r="B29" i="5"/>
  <c r="A28" i="5"/>
  <c r="F28" i="5"/>
  <c r="E28" i="5"/>
  <c r="D28" i="5"/>
  <c r="C28" i="5"/>
  <c r="B28" i="5"/>
  <c r="A27" i="5"/>
  <c r="F27" i="5"/>
  <c r="E27" i="5"/>
  <c r="D27" i="5"/>
  <c r="C27" i="5"/>
  <c r="B27" i="5"/>
  <c r="A26" i="5"/>
  <c r="F26" i="5"/>
  <c r="E26" i="5"/>
  <c r="D26" i="5"/>
  <c r="C26" i="5"/>
  <c r="B26" i="5"/>
  <c r="A25" i="5"/>
  <c r="F25" i="5"/>
  <c r="E25" i="5"/>
  <c r="D25" i="5"/>
  <c r="C25" i="5"/>
  <c r="B25" i="5"/>
  <c r="A24" i="5"/>
  <c r="F24" i="5"/>
  <c r="E24" i="5"/>
  <c r="D24" i="5"/>
  <c r="C24" i="5"/>
  <c r="B24" i="5"/>
  <c r="A23" i="5"/>
  <c r="F23" i="5"/>
  <c r="E23" i="5"/>
  <c r="D23" i="5"/>
  <c r="C23" i="5"/>
  <c r="B23" i="5"/>
  <c r="A22" i="5"/>
  <c r="F22" i="5"/>
  <c r="E22" i="5"/>
  <c r="D22" i="5"/>
  <c r="C22" i="5"/>
  <c r="B22" i="5"/>
  <c r="A21" i="5"/>
  <c r="F21" i="5"/>
  <c r="E21" i="5"/>
  <c r="D21" i="5"/>
  <c r="C21" i="5"/>
  <c r="B21" i="5"/>
  <c r="A20" i="5"/>
  <c r="F20" i="5"/>
  <c r="E20" i="5"/>
  <c r="D20" i="5"/>
  <c r="C20" i="5"/>
  <c r="B20" i="5"/>
  <c r="A19" i="5"/>
  <c r="F19" i="5"/>
  <c r="E19" i="5"/>
  <c r="D19" i="5"/>
  <c r="C19" i="5"/>
  <c r="B19" i="5"/>
  <c r="A18" i="5"/>
  <c r="F18" i="5"/>
  <c r="E18" i="5"/>
  <c r="D18" i="5"/>
  <c r="C18" i="5"/>
  <c r="B18" i="5"/>
  <c r="A17" i="5"/>
  <c r="F17" i="5"/>
  <c r="E17" i="5"/>
  <c r="D17" i="5"/>
  <c r="C17" i="5"/>
  <c r="B17" i="5"/>
  <c r="A16" i="5"/>
  <c r="F16" i="5"/>
  <c r="E16" i="5"/>
  <c r="D16" i="5"/>
  <c r="C16" i="5"/>
  <c r="B16" i="5"/>
  <c r="A15" i="5"/>
  <c r="F15" i="5"/>
  <c r="E15" i="5"/>
  <c r="D15" i="5"/>
  <c r="C15" i="5"/>
  <c r="B15" i="5"/>
  <c r="A14" i="5"/>
  <c r="F14" i="5"/>
  <c r="E14" i="5"/>
  <c r="D14" i="5"/>
  <c r="C14" i="5"/>
  <c r="B14" i="5"/>
  <c r="A13" i="5"/>
  <c r="F13" i="5"/>
  <c r="E13" i="5"/>
  <c r="D13" i="5"/>
  <c r="C13" i="5"/>
  <c r="B13" i="5"/>
  <c r="A12" i="5"/>
  <c r="F12" i="5"/>
  <c r="E12" i="5"/>
  <c r="D12" i="5"/>
  <c r="C12" i="5"/>
  <c r="B12" i="5"/>
  <c r="A11" i="5"/>
  <c r="F11" i="5"/>
  <c r="E11" i="5"/>
  <c r="D11" i="5"/>
  <c r="C11" i="5"/>
  <c r="B11" i="5"/>
  <c r="A10" i="5"/>
  <c r="F10" i="5"/>
  <c r="E10" i="5"/>
  <c r="D10" i="5"/>
  <c r="C10" i="5"/>
  <c r="B10" i="5"/>
  <c r="A9" i="5"/>
  <c r="F9" i="5"/>
  <c r="E9" i="5"/>
  <c r="D9" i="5"/>
  <c r="C9" i="5"/>
  <c r="B9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G115" i="2"/>
  <c r="H115" i="2"/>
  <c r="E115" i="2"/>
  <c r="D115" i="2"/>
  <c r="A115" i="2"/>
  <c r="B115" i="2"/>
  <c r="G114" i="2"/>
  <c r="H114" i="2"/>
  <c r="E114" i="2"/>
  <c r="D114" i="2"/>
  <c r="A114" i="2"/>
  <c r="B114" i="2"/>
  <c r="G113" i="2"/>
  <c r="H113" i="2"/>
  <c r="E113" i="2"/>
  <c r="D113" i="2"/>
  <c r="A113" i="2"/>
  <c r="B113" i="2"/>
  <c r="G112" i="2"/>
  <c r="H112" i="2"/>
  <c r="E112" i="2"/>
  <c r="D112" i="2"/>
  <c r="A112" i="2"/>
  <c r="B112" i="2"/>
  <c r="G111" i="2"/>
  <c r="H111" i="2"/>
  <c r="E111" i="2"/>
  <c r="D111" i="2"/>
  <c r="A111" i="2"/>
  <c r="B111" i="2"/>
  <c r="G110" i="2"/>
  <c r="H110" i="2"/>
  <c r="E110" i="2"/>
  <c r="D110" i="2"/>
  <c r="A110" i="2"/>
  <c r="B110" i="2"/>
  <c r="G109" i="2"/>
  <c r="H109" i="2"/>
  <c r="E109" i="2"/>
  <c r="D109" i="2"/>
  <c r="A109" i="2"/>
  <c r="B109" i="2"/>
  <c r="G108" i="2"/>
  <c r="H108" i="2"/>
  <c r="E108" i="2"/>
  <c r="D108" i="2"/>
  <c r="A108" i="2"/>
  <c r="B108" i="2"/>
  <c r="G107" i="2"/>
  <c r="H107" i="2"/>
  <c r="E107" i="2"/>
  <c r="D107" i="2"/>
  <c r="A107" i="2"/>
  <c r="B107" i="2"/>
  <c r="G106" i="2"/>
  <c r="H106" i="2"/>
  <c r="E106" i="2"/>
  <c r="D106" i="2"/>
  <c r="A106" i="2"/>
  <c r="B106" i="2"/>
  <c r="G105" i="2"/>
  <c r="H105" i="2"/>
  <c r="E105" i="2"/>
  <c r="D105" i="2"/>
  <c r="A105" i="2"/>
  <c r="B105" i="2"/>
  <c r="G104" i="2"/>
  <c r="H104" i="2"/>
  <c r="E104" i="2"/>
  <c r="D104" i="2"/>
  <c r="A104" i="2"/>
  <c r="B104" i="2"/>
  <c r="G103" i="2"/>
  <c r="H103" i="2"/>
  <c r="E103" i="2"/>
  <c r="D103" i="2"/>
  <c r="A103" i="2"/>
  <c r="B103" i="2"/>
  <c r="G102" i="2"/>
  <c r="H102" i="2"/>
  <c r="E102" i="2"/>
  <c r="D102" i="2"/>
  <c r="A102" i="2"/>
  <c r="B102" i="2"/>
  <c r="G101" i="2"/>
  <c r="H101" i="2"/>
  <c r="E101" i="2"/>
  <c r="D101" i="2"/>
  <c r="A101" i="2"/>
  <c r="B101" i="2"/>
  <c r="C1" i="6"/>
  <c r="A1" i="6"/>
  <c r="A382" i="6"/>
  <c r="X2" i="1"/>
  <c r="A2" i="1"/>
  <c r="X3" i="1"/>
  <c r="A3" i="1"/>
  <c r="X4" i="1"/>
  <c r="A4" i="1"/>
  <c r="X5" i="1"/>
  <c r="A5" i="1"/>
  <c r="X6" i="1"/>
  <c r="A6" i="1"/>
  <c r="X7" i="1"/>
  <c r="A7" i="1"/>
  <c r="X8" i="1"/>
  <c r="A8" i="1"/>
  <c r="X9" i="1"/>
  <c r="A9" i="1"/>
  <c r="X10" i="1"/>
  <c r="A10" i="1"/>
  <c r="X11" i="1"/>
  <c r="A11" i="1"/>
  <c r="X12" i="1"/>
  <c r="A12" i="1"/>
  <c r="X13" i="1"/>
  <c r="A13" i="1"/>
  <c r="X14" i="1"/>
  <c r="A14" i="1"/>
  <c r="X15" i="1"/>
  <c r="A15" i="1"/>
  <c r="X16" i="1"/>
  <c r="A16" i="1"/>
  <c r="X17" i="1"/>
  <c r="A17" i="1"/>
  <c r="X18" i="1"/>
  <c r="A18" i="1"/>
  <c r="X19" i="1"/>
  <c r="A19" i="1"/>
  <c r="X20" i="1"/>
  <c r="A20" i="1"/>
  <c r="X21" i="1"/>
  <c r="A21" i="1"/>
  <c r="X22" i="1"/>
  <c r="A22" i="1"/>
  <c r="X23" i="1"/>
  <c r="A23" i="1"/>
  <c r="X24" i="1"/>
  <c r="A24" i="1"/>
  <c r="X25" i="1"/>
  <c r="A25" i="1"/>
  <c r="X26" i="1"/>
  <c r="A26" i="1"/>
  <c r="X27" i="1"/>
  <c r="A27" i="1"/>
  <c r="X28" i="1"/>
  <c r="A28" i="1"/>
  <c r="X29" i="1"/>
  <c r="A29" i="1"/>
  <c r="X30" i="1"/>
  <c r="A30" i="1"/>
  <c r="X31" i="1"/>
  <c r="A31" i="1"/>
  <c r="X32" i="1"/>
  <c r="A32" i="1"/>
  <c r="X33" i="1"/>
  <c r="A33" i="1"/>
  <c r="X34" i="1"/>
  <c r="A34" i="1"/>
  <c r="X35" i="1"/>
  <c r="A35" i="1"/>
  <c r="X36" i="1"/>
  <c r="A36" i="1"/>
  <c r="X37" i="1"/>
  <c r="A37" i="1"/>
  <c r="X38" i="1"/>
  <c r="A38" i="1"/>
  <c r="X39" i="1"/>
  <c r="A39" i="1"/>
  <c r="X40" i="1"/>
  <c r="A40" i="1"/>
  <c r="X41" i="1"/>
  <c r="A41" i="1"/>
  <c r="X42" i="1"/>
  <c r="A42" i="1"/>
  <c r="X43" i="1"/>
  <c r="A43" i="1"/>
  <c r="X44" i="1"/>
  <c r="A44" i="1"/>
  <c r="X45" i="1"/>
  <c r="A45" i="1"/>
  <c r="X46" i="1"/>
  <c r="A46" i="1"/>
  <c r="X47" i="1"/>
  <c r="A47" i="1"/>
  <c r="X48" i="1"/>
  <c r="A48" i="1"/>
  <c r="X49" i="1"/>
  <c r="A49" i="1"/>
  <c r="X50" i="1"/>
  <c r="A50" i="1"/>
  <c r="X51" i="1"/>
  <c r="A51" i="1"/>
  <c r="X52" i="1"/>
  <c r="A52" i="1"/>
  <c r="X53" i="1"/>
  <c r="A53" i="1"/>
  <c r="X54" i="1"/>
  <c r="A54" i="1"/>
  <c r="X55" i="1"/>
  <c r="A55" i="1"/>
  <c r="X56" i="1"/>
  <c r="A56" i="1"/>
  <c r="X57" i="1"/>
  <c r="A57" i="1"/>
  <c r="X58" i="1"/>
  <c r="A58" i="1"/>
  <c r="X59" i="1"/>
  <c r="A59" i="1"/>
  <c r="X60" i="1"/>
  <c r="A60" i="1"/>
  <c r="X61" i="1"/>
  <c r="A61" i="1"/>
  <c r="X62" i="1"/>
  <c r="A62" i="1"/>
  <c r="X63" i="1"/>
  <c r="A63" i="1"/>
  <c r="X64" i="1"/>
  <c r="A64" i="1"/>
  <c r="X65" i="1"/>
  <c r="A65" i="1"/>
  <c r="X66" i="1"/>
  <c r="A66" i="1"/>
  <c r="X67" i="1"/>
  <c r="A67" i="1"/>
  <c r="X68" i="1"/>
  <c r="A68" i="1"/>
  <c r="X69" i="1"/>
  <c r="A69" i="1"/>
  <c r="X70" i="1"/>
  <c r="A70" i="1"/>
  <c r="X71" i="1"/>
  <c r="A71" i="1"/>
  <c r="X72" i="1"/>
  <c r="A72" i="1"/>
  <c r="X73" i="1"/>
  <c r="A73" i="1"/>
  <c r="X74" i="1"/>
  <c r="A74" i="1"/>
  <c r="X75" i="1"/>
  <c r="A75" i="1"/>
  <c r="X76" i="1"/>
  <c r="A76" i="1"/>
  <c r="X77" i="1"/>
  <c r="A77" i="1"/>
  <c r="X78" i="1"/>
  <c r="A78" i="1"/>
  <c r="X79" i="1"/>
  <c r="A79" i="1"/>
  <c r="X80" i="1"/>
  <c r="A80" i="1"/>
  <c r="X81" i="1"/>
  <c r="A81" i="1"/>
  <c r="X82" i="1"/>
  <c r="A82" i="1"/>
  <c r="X83" i="1"/>
  <c r="A83" i="1"/>
  <c r="X84" i="1"/>
  <c r="A84" i="1"/>
  <c r="X85" i="1"/>
  <c r="A85" i="1"/>
  <c r="X86" i="1"/>
  <c r="A86" i="1"/>
  <c r="X87" i="1"/>
  <c r="A87" i="1"/>
  <c r="X88" i="1"/>
  <c r="A88" i="1"/>
  <c r="X89" i="1"/>
  <c r="A89" i="1"/>
  <c r="X90" i="1"/>
  <c r="A90" i="1"/>
  <c r="X91" i="1"/>
  <c r="A91" i="1"/>
  <c r="X92" i="1"/>
  <c r="A92" i="1"/>
  <c r="X93" i="1"/>
  <c r="A93" i="1"/>
  <c r="X94" i="1"/>
  <c r="A94" i="1"/>
  <c r="X95" i="1"/>
  <c r="A95" i="1"/>
  <c r="X96" i="1"/>
  <c r="A96" i="1"/>
  <c r="X97" i="1"/>
  <c r="A97" i="1"/>
  <c r="X98" i="1"/>
  <c r="A98" i="1"/>
  <c r="X99" i="1"/>
  <c r="A99" i="1"/>
  <c r="X100" i="1"/>
  <c r="A100" i="1"/>
  <c r="X101" i="1"/>
  <c r="A101" i="1"/>
  <c r="X102" i="1"/>
  <c r="A102" i="1"/>
  <c r="X103" i="1"/>
  <c r="A103" i="1"/>
  <c r="X104" i="1"/>
  <c r="A104" i="1"/>
  <c r="X105" i="1"/>
  <c r="A105" i="1"/>
  <c r="X106" i="1"/>
  <c r="A106" i="1"/>
  <c r="X107" i="1"/>
  <c r="A107" i="1"/>
  <c r="X108" i="1"/>
  <c r="A108" i="1"/>
  <c r="X109" i="1"/>
  <c r="A109" i="1"/>
  <c r="X110" i="1"/>
  <c r="A110" i="1"/>
  <c r="X111" i="1"/>
  <c r="A111" i="1"/>
  <c r="X112" i="1"/>
  <c r="A112" i="1"/>
  <c r="X113" i="1"/>
  <c r="A113" i="1"/>
  <c r="X114" i="1"/>
  <c r="A114" i="1"/>
  <c r="X115" i="1"/>
  <c r="A115" i="1"/>
  <c r="X116" i="1"/>
  <c r="A116" i="1"/>
  <c r="X117" i="1"/>
  <c r="A117" i="1"/>
  <c r="X118" i="1"/>
  <c r="A118" i="1"/>
  <c r="X119" i="1"/>
  <c r="A119" i="1"/>
  <c r="X120" i="1"/>
  <c r="A120" i="1"/>
  <c r="X121" i="1"/>
  <c r="A121" i="1"/>
  <c r="X122" i="1"/>
  <c r="A122" i="1"/>
  <c r="X123" i="1"/>
  <c r="A123" i="1"/>
  <c r="X124" i="1"/>
  <c r="A124" i="1"/>
  <c r="X125" i="1"/>
  <c r="A125" i="1"/>
  <c r="X126" i="1"/>
  <c r="A126" i="1"/>
  <c r="X127" i="1"/>
  <c r="A127" i="1"/>
  <c r="X128" i="1"/>
  <c r="A128" i="1"/>
  <c r="X129" i="1"/>
  <c r="A129" i="1"/>
  <c r="X130" i="1"/>
  <c r="A130" i="1"/>
  <c r="X131" i="1"/>
  <c r="A131" i="1"/>
  <c r="X132" i="1"/>
  <c r="A132" i="1"/>
  <c r="X133" i="1"/>
  <c r="A133" i="1"/>
  <c r="X134" i="1"/>
  <c r="A134" i="1"/>
  <c r="X135" i="1"/>
  <c r="A135" i="1"/>
  <c r="X136" i="1"/>
  <c r="A136" i="1"/>
  <c r="X137" i="1"/>
  <c r="A137" i="1"/>
  <c r="X138" i="1"/>
  <c r="A138" i="1"/>
  <c r="X139" i="1"/>
  <c r="A139" i="1"/>
  <c r="X140" i="1"/>
  <c r="A140" i="1"/>
  <c r="X141" i="1"/>
  <c r="A141" i="1"/>
  <c r="X142" i="1"/>
  <c r="A142" i="1"/>
  <c r="X143" i="1"/>
  <c r="A143" i="1"/>
  <c r="X144" i="1"/>
  <c r="A144" i="1"/>
  <c r="X145" i="1"/>
  <c r="A145" i="1"/>
  <c r="X146" i="1"/>
  <c r="A146" i="1"/>
  <c r="X147" i="1"/>
  <c r="A147" i="1"/>
  <c r="X148" i="1"/>
  <c r="A148" i="1"/>
  <c r="X149" i="1"/>
  <c r="A149" i="1"/>
  <c r="X150" i="1"/>
  <c r="A150" i="1"/>
  <c r="X151" i="1"/>
  <c r="A151" i="1"/>
  <c r="X152" i="1"/>
  <c r="A152" i="1"/>
  <c r="X153" i="1"/>
  <c r="A153" i="1"/>
  <c r="X154" i="1"/>
  <c r="A154" i="1"/>
  <c r="X155" i="1"/>
  <c r="A155" i="1"/>
  <c r="X156" i="1"/>
  <c r="A156" i="1"/>
  <c r="X157" i="1"/>
  <c r="A157" i="1"/>
  <c r="X158" i="1"/>
  <c r="A158" i="1"/>
  <c r="X159" i="1"/>
  <c r="A159" i="1"/>
  <c r="X160" i="1"/>
  <c r="A160" i="1"/>
  <c r="X161" i="1"/>
  <c r="A161" i="1"/>
  <c r="X162" i="1"/>
  <c r="A162" i="1"/>
  <c r="X163" i="1"/>
  <c r="A163" i="1"/>
  <c r="X164" i="1"/>
  <c r="A164" i="1"/>
  <c r="X165" i="1"/>
  <c r="A165" i="1"/>
  <c r="X166" i="1"/>
  <c r="A166" i="1"/>
  <c r="X167" i="1"/>
  <c r="A167" i="1"/>
  <c r="X168" i="1"/>
  <c r="A168" i="1"/>
  <c r="X169" i="1"/>
  <c r="A169" i="1"/>
  <c r="X170" i="1"/>
  <c r="A170" i="1"/>
  <c r="X171" i="1"/>
  <c r="A171" i="1"/>
  <c r="X172" i="1"/>
  <c r="A172" i="1"/>
  <c r="X173" i="1"/>
  <c r="A173" i="1"/>
  <c r="X174" i="1"/>
  <c r="A174" i="1"/>
  <c r="X175" i="1"/>
  <c r="A175" i="1"/>
  <c r="X176" i="1"/>
  <c r="A176" i="1"/>
  <c r="X177" i="1"/>
  <c r="A177" i="1"/>
  <c r="X178" i="1"/>
  <c r="A178" i="1"/>
  <c r="X179" i="1"/>
  <c r="A179" i="1"/>
  <c r="X180" i="1"/>
  <c r="A180" i="1"/>
  <c r="X181" i="1"/>
  <c r="A181" i="1"/>
  <c r="X182" i="1"/>
  <c r="A182" i="1"/>
  <c r="X183" i="1"/>
  <c r="A183" i="1"/>
  <c r="X184" i="1"/>
  <c r="A184" i="1"/>
  <c r="X185" i="1"/>
  <c r="A185" i="1"/>
  <c r="X186" i="1"/>
  <c r="A186" i="1"/>
  <c r="X187" i="1"/>
  <c r="A187" i="1"/>
  <c r="X188" i="1"/>
  <c r="A188" i="1"/>
  <c r="X189" i="1"/>
  <c r="A189" i="1"/>
  <c r="X190" i="1"/>
  <c r="A190" i="1"/>
  <c r="X191" i="1"/>
  <c r="A191" i="1"/>
  <c r="X192" i="1"/>
  <c r="A192" i="1"/>
  <c r="X193" i="1"/>
  <c r="A193" i="1"/>
  <c r="X194" i="1"/>
  <c r="A194" i="1"/>
  <c r="X195" i="1"/>
  <c r="A195" i="1"/>
  <c r="X196" i="1"/>
  <c r="A196" i="1"/>
  <c r="X197" i="1"/>
  <c r="A197" i="1"/>
  <c r="X198" i="1"/>
  <c r="A198" i="1"/>
  <c r="X199" i="1"/>
  <c r="A199" i="1"/>
  <c r="X200" i="1"/>
  <c r="A200" i="1"/>
  <c r="X201" i="1"/>
  <c r="A201" i="1"/>
  <c r="X202" i="1"/>
  <c r="A202" i="1"/>
  <c r="X203" i="1"/>
  <c r="A203" i="1"/>
  <c r="X204" i="1"/>
  <c r="A204" i="1"/>
  <c r="X205" i="1"/>
  <c r="A205" i="1"/>
  <c r="X206" i="1"/>
  <c r="A206" i="1"/>
  <c r="X207" i="1"/>
  <c r="A207" i="1"/>
  <c r="X208" i="1"/>
  <c r="A208" i="1"/>
  <c r="X209" i="1"/>
  <c r="A209" i="1"/>
  <c r="X210" i="1"/>
  <c r="A210" i="1"/>
  <c r="X211" i="1"/>
  <c r="A211" i="1"/>
  <c r="X212" i="1"/>
  <c r="A212" i="1"/>
  <c r="X213" i="1"/>
  <c r="A213" i="1"/>
  <c r="X214" i="1"/>
  <c r="A214" i="1"/>
  <c r="X215" i="1"/>
  <c r="A215" i="1"/>
  <c r="X216" i="1"/>
  <c r="A216" i="1"/>
  <c r="X217" i="1"/>
  <c r="A217" i="1"/>
  <c r="X218" i="1"/>
  <c r="A218" i="1"/>
  <c r="X219" i="1"/>
  <c r="A219" i="1"/>
  <c r="X220" i="1"/>
  <c r="A220" i="1"/>
  <c r="X221" i="1"/>
  <c r="A221" i="1"/>
  <c r="X222" i="1"/>
  <c r="A222" i="1"/>
  <c r="X223" i="1"/>
  <c r="A223" i="1"/>
  <c r="X224" i="1"/>
  <c r="A224" i="1"/>
  <c r="X225" i="1"/>
  <c r="A225" i="1"/>
  <c r="X226" i="1"/>
  <c r="A226" i="1"/>
  <c r="X227" i="1"/>
  <c r="A227" i="1"/>
  <c r="X228" i="1"/>
  <c r="A228" i="1"/>
  <c r="X229" i="1"/>
  <c r="A229" i="1"/>
  <c r="X230" i="1"/>
  <c r="A230" i="1"/>
  <c r="X232" i="1"/>
  <c r="A232" i="1"/>
  <c r="X233" i="1"/>
  <c r="A233" i="1"/>
  <c r="X234" i="1"/>
  <c r="A234" i="1"/>
  <c r="X235" i="1"/>
  <c r="A235" i="1"/>
  <c r="X236" i="1"/>
  <c r="A236" i="1"/>
  <c r="X237" i="1"/>
  <c r="A237" i="1"/>
  <c r="X238" i="1"/>
  <c r="A238" i="1"/>
  <c r="X239" i="1"/>
  <c r="A239" i="1"/>
  <c r="X240" i="1"/>
  <c r="A240" i="1"/>
  <c r="X241" i="1"/>
  <c r="A241" i="1"/>
  <c r="X242" i="1"/>
  <c r="A242" i="1"/>
  <c r="X243" i="1"/>
  <c r="A243" i="1"/>
  <c r="X244" i="1"/>
  <c r="A244" i="1"/>
  <c r="X245" i="1"/>
  <c r="A245" i="1"/>
  <c r="X246" i="1"/>
  <c r="A246" i="1"/>
  <c r="X247" i="1"/>
  <c r="A247" i="1"/>
  <c r="X248" i="1"/>
  <c r="A248" i="1"/>
  <c r="X249" i="1"/>
  <c r="A249" i="1"/>
  <c r="X250" i="1"/>
  <c r="A250" i="1"/>
  <c r="X251" i="1"/>
  <c r="A251" i="1"/>
  <c r="X252" i="1"/>
  <c r="A252" i="1"/>
  <c r="X253" i="1"/>
  <c r="A253" i="1"/>
  <c r="X254" i="1"/>
  <c r="A254" i="1"/>
  <c r="X255" i="1"/>
  <c r="A255" i="1"/>
  <c r="X256" i="1"/>
  <c r="A256" i="1"/>
  <c r="X257" i="1"/>
  <c r="A257" i="1"/>
  <c r="X258" i="1"/>
  <c r="A258" i="1"/>
  <c r="X259" i="1"/>
  <c r="A259" i="1"/>
  <c r="X260" i="1"/>
  <c r="A260" i="1"/>
  <c r="X261" i="1"/>
  <c r="A261" i="1"/>
  <c r="X266" i="1"/>
  <c r="A266" i="1"/>
  <c r="X267" i="1"/>
  <c r="A267" i="1"/>
  <c r="X272" i="1"/>
  <c r="A272" i="1"/>
  <c r="X274" i="1"/>
  <c r="A274" i="1"/>
  <c r="X275" i="1"/>
  <c r="A275" i="1"/>
  <c r="X276" i="1"/>
  <c r="A276" i="1"/>
  <c r="X281" i="1"/>
  <c r="A281" i="1"/>
  <c r="X282" i="1"/>
  <c r="A282" i="1"/>
  <c r="X283" i="1"/>
  <c r="A283" i="1"/>
  <c r="X284" i="1"/>
  <c r="A284" i="1"/>
  <c r="X285" i="1"/>
  <c r="A285" i="1"/>
  <c r="X286" i="1"/>
  <c r="A286" i="1"/>
  <c r="X287" i="1"/>
  <c r="A287" i="1"/>
  <c r="X288" i="1"/>
  <c r="A288" i="1"/>
  <c r="X289" i="1"/>
  <c r="A289" i="1"/>
  <c r="X290" i="1"/>
  <c r="A290" i="1"/>
  <c r="X291" i="1"/>
  <c r="A291" i="1"/>
  <c r="X292" i="1"/>
  <c r="A292" i="1"/>
  <c r="X293" i="1"/>
  <c r="A293" i="1"/>
  <c r="X294" i="1"/>
  <c r="A294" i="1"/>
  <c r="X295" i="1"/>
  <c r="A295" i="1"/>
  <c r="X296" i="1"/>
  <c r="A296" i="1"/>
  <c r="X297" i="1"/>
  <c r="A297" i="1"/>
  <c r="X298" i="1"/>
  <c r="A298" i="1"/>
  <c r="X299" i="1"/>
  <c r="A299" i="1"/>
  <c r="X300" i="1"/>
  <c r="A300" i="1"/>
  <c r="X302" i="1"/>
  <c r="A302" i="1"/>
  <c r="X303" i="1"/>
  <c r="A303" i="1"/>
  <c r="X304" i="1"/>
  <c r="A304" i="1"/>
  <c r="X305" i="1"/>
  <c r="A305" i="1"/>
  <c r="X307" i="1"/>
  <c r="A307" i="1"/>
  <c r="X308" i="1"/>
  <c r="A308" i="1"/>
  <c r="X309" i="1"/>
  <c r="A309" i="1"/>
  <c r="X310" i="1"/>
  <c r="A310" i="1"/>
  <c r="X311" i="1"/>
  <c r="A311" i="1"/>
  <c r="X312" i="1"/>
  <c r="A312" i="1"/>
  <c r="X313" i="1"/>
  <c r="A313" i="1"/>
  <c r="X314" i="1"/>
  <c r="A314" i="1"/>
  <c r="X315" i="1"/>
  <c r="A315" i="1"/>
  <c r="X316" i="1"/>
  <c r="A316" i="1"/>
  <c r="X317" i="1"/>
  <c r="A317" i="1"/>
  <c r="X318" i="1"/>
  <c r="A318" i="1"/>
  <c r="X319" i="1"/>
  <c r="A319" i="1"/>
  <c r="X320" i="1"/>
  <c r="A320" i="1"/>
  <c r="X321" i="1"/>
  <c r="A321" i="1"/>
  <c r="X322" i="1"/>
  <c r="A322" i="1"/>
  <c r="X323" i="1"/>
  <c r="A323" i="1"/>
  <c r="X324" i="1"/>
  <c r="A324" i="1"/>
  <c r="X325" i="1"/>
  <c r="A325" i="1"/>
  <c r="X326" i="1"/>
  <c r="A326" i="1"/>
  <c r="X327" i="1"/>
  <c r="A327" i="1"/>
  <c r="X328" i="1"/>
  <c r="A328" i="1"/>
  <c r="X329" i="1"/>
  <c r="A329" i="1"/>
  <c r="X330" i="1"/>
  <c r="A330" i="1"/>
  <c r="X331" i="1"/>
  <c r="A331" i="1"/>
  <c r="X332" i="1"/>
  <c r="A332" i="1"/>
  <c r="X333" i="1"/>
  <c r="A333" i="1"/>
  <c r="X334" i="1"/>
  <c r="A334" i="1"/>
  <c r="X335" i="1"/>
  <c r="A335" i="1"/>
  <c r="X336" i="1"/>
  <c r="A336" i="1"/>
  <c r="X341" i="1"/>
  <c r="A341" i="1"/>
  <c r="X342" i="1"/>
  <c r="A342" i="1"/>
  <c r="X347" i="1"/>
  <c r="A347" i="1"/>
  <c r="X349" i="1"/>
  <c r="A349" i="1"/>
  <c r="X350" i="1"/>
  <c r="A350" i="1"/>
  <c r="X351" i="1"/>
  <c r="A351" i="1"/>
  <c r="X356" i="1"/>
  <c r="A356" i="1"/>
  <c r="X357" i="1"/>
  <c r="A357" i="1"/>
  <c r="X358" i="1"/>
  <c r="A358" i="1"/>
  <c r="X359" i="1"/>
  <c r="A359" i="1"/>
  <c r="X360" i="1"/>
  <c r="A360" i="1"/>
  <c r="X361" i="1"/>
  <c r="A361" i="1"/>
  <c r="X362" i="1"/>
  <c r="A362" i="1"/>
  <c r="X363" i="1"/>
  <c r="A363" i="1"/>
  <c r="X364" i="1"/>
  <c r="A364" i="1"/>
  <c r="X365" i="1"/>
  <c r="A365" i="1"/>
  <c r="X366" i="1"/>
  <c r="A366" i="1"/>
  <c r="X367" i="1"/>
  <c r="A367" i="1"/>
  <c r="X368" i="1"/>
  <c r="A368" i="1"/>
  <c r="X369" i="1"/>
  <c r="A369" i="1"/>
  <c r="X370" i="1"/>
  <c r="A370" i="1"/>
  <c r="X371" i="1"/>
  <c r="A371" i="1"/>
  <c r="X372" i="1"/>
  <c r="A372" i="1"/>
  <c r="X373" i="1"/>
  <c r="A373" i="1"/>
  <c r="X374" i="1"/>
  <c r="A374" i="1"/>
  <c r="X375" i="1"/>
  <c r="A375" i="1"/>
  <c r="X377" i="1"/>
  <c r="A377" i="1"/>
  <c r="X378" i="1"/>
  <c r="A378" i="1"/>
  <c r="X379" i="1"/>
  <c r="A379" i="1"/>
  <c r="X380" i="1"/>
  <c r="A380" i="1"/>
  <c r="B1" i="6"/>
  <c r="W382" i="6"/>
  <c r="V382" i="6"/>
  <c r="U382" i="6"/>
  <c r="T382" i="6"/>
  <c r="S382" i="6"/>
  <c r="R382" i="6"/>
  <c r="AA381" i="1"/>
  <c r="AD381" i="1"/>
  <c r="Q382" i="6"/>
  <c r="P382" i="6"/>
  <c r="O382" i="6"/>
  <c r="N382" i="6"/>
  <c r="M382" i="6"/>
  <c r="L382" i="6"/>
  <c r="K382" i="6"/>
  <c r="J382" i="6"/>
  <c r="I382" i="6"/>
  <c r="H382" i="6"/>
  <c r="G382" i="6"/>
  <c r="F382" i="6"/>
  <c r="E382" i="6"/>
  <c r="D382" i="6"/>
  <c r="C382" i="6"/>
  <c r="B382" i="6"/>
  <c r="A381" i="6"/>
  <c r="W381" i="6"/>
  <c r="V381" i="6"/>
  <c r="U381" i="6"/>
  <c r="T381" i="6"/>
  <c r="S381" i="6"/>
  <c r="R381" i="6"/>
  <c r="AA380" i="1"/>
  <c r="AD380" i="1"/>
  <c r="Q381" i="6"/>
  <c r="P381" i="6"/>
  <c r="O381" i="6"/>
  <c r="N381" i="6"/>
  <c r="M381" i="6"/>
  <c r="L381" i="6"/>
  <c r="K381" i="6"/>
  <c r="T380" i="1"/>
  <c r="J381" i="6"/>
  <c r="I381" i="6"/>
  <c r="H381" i="6"/>
  <c r="G381" i="6"/>
  <c r="F381" i="6"/>
  <c r="E381" i="6"/>
  <c r="D381" i="6"/>
  <c r="C381" i="6"/>
  <c r="B381" i="6"/>
  <c r="A380" i="6"/>
  <c r="W380" i="6"/>
  <c r="V380" i="6"/>
  <c r="U380" i="6"/>
  <c r="T380" i="6"/>
  <c r="S380" i="6"/>
  <c r="R380" i="6"/>
  <c r="AA379" i="1"/>
  <c r="AD379" i="1"/>
  <c r="Q380" i="6"/>
  <c r="P380" i="6"/>
  <c r="O380" i="6"/>
  <c r="N380" i="6"/>
  <c r="M380" i="6"/>
  <c r="L380" i="6"/>
  <c r="K380" i="6"/>
  <c r="T379" i="1"/>
  <c r="J380" i="6"/>
  <c r="I380" i="6"/>
  <c r="H380" i="6"/>
  <c r="G380" i="6"/>
  <c r="F380" i="6"/>
  <c r="E380" i="6"/>
  <c r="D380" i="6"/>
  <c r="C380" i="6"/>
  <c r="B380" i="6"/>
  <c r="A379" i="6"/>
  <c r="W379" i="6"/>
  <c r="V379" i="6"/>
  <c r="U379" i="6"/>
  <c r="T379" i="6"/>
  <c r="S379" i="6"/>
  <c r="R379" i="6"/>
  <c r="AA378" i="1"/>
  <c r="AD378" i="1"/>
  <c r="Q379" i="6"/>
  <c r="P379" i="6"/>
  <c r="O379" i="6"/>
  <c r="N379" i="6"/>
  <c r="M379" i="6"/>
  <c r="L379" i="6"/>
  <c r="K379" i="6"/>
  <c r="T378" i="1"/>
  <c r="J379" i="6"/>
  <c r="I379" i="6"/>
  <c r="H379" i="6"/>
  <c r="G379" i="6"/>
  <c r="F379" i="6"/>
  <c r="E379" i="6"/>
  <c r="D379" i="6"/>
  <c r="C379" i="6"/>
  <c r="B379" i="6"/>
  <c r="A378" i="6"/>
  <c r="W378" i="6"/>
  <c r="V378" i="6"/>
  <c r="U378" i="6"/>
  <c r="T378" i="6"/>
  <c r="S378" i="6"/>
  <c r="R378" i="6"/>
  <c r="AA377" i="1"/>
  <c r="AD377" i="1"/>
  <c r="Q378" i="6"/>
  <c r="P378" i="6"/>
  <c r="O378" i="6"/>
  <c r="N378" i="6"/>
  <c r="M378" i="6"/>
  <c r="L378" i="6"/>
  <c r="K378" i="6"/>
  <c r="T377" i="1"/>
  <c r="J378" i="6"/>
  <c r="I378" i="6"/>
  <c r="H378" i="6"/>
  <c r="G378" i="6"/>
  <c r="F378" i="6"/>
  <c r="E378" i="6"/>
  <c r="D378" i="6"/>
  <c r="C378" i="6"/>
  <c r="B378" i="6"/>
  <c r="A377" i="6"/>
  <c r="W377" i="6"/>
  <c r="V377" i="6"/>
  <c r="U377" i="6"/>
  <c r="T377" i="6"/>
  <c r="S377" i="6"/>
  <c r="R377" i="6"/>
  <c r="AA376" i="1"/>
  <c r="AD376" i="1"/>
  <c r="Q377" i="6"/>
  <c r="P377" i="6"/>
  <c r="O377" i="6"/>
  <c r="N377" i="6"/>
  <c r="M377" i="6"/>
  <c r="L377" i="6"/>
  <c r="K377" i="6"/>
  <c r="J377" i="6"/>
  <c r="I377" i="6"/>
  <c r="H377" i="6"/>
  <c r="G377" i="6"/>
  <c r="F377" i="6"/>
  <c r="E377" i="6"/>
  <c r="D377" i="6"/>
  <c r="C377" i="6"/>
  <c r="B377" i="6"/>
  <c r="A376" i="6"/>
  <c r="W376" i="6"/>
  <c r="V376" i="6"/>
  <c r="U376" i="6"/>
  <c r="T376" i="6"/>
  <c r="S376" i="6"/>
  <c r="R376" i="6"/>
  <c r="AA375" i="1"/>
  <c r="AD375" i="1"/>
  <c r="Q376" i="6"/>
  <c r="P376" i="6"/>
  <c r="O376" i="6"/>
  <c r="N376" i="6"/>
  <c r="M376" i="6"/>
  <c r="L376" i="6"/>
  <c r="K376" i="6"/>
  <c r="J376" i="6"/>
  <c r="I376" i="6"/>
  <c r="H376" i="6"/>
  <c r="G376" i="6"/>
  <c r="F376" i="6"/>
  <c r="E376" i="6"/>
  <c r="D376" i="6"/>
  <c r="C376" i="6"/>
  <c r="B376" i="6"/>
  <c r="A375" i="6"/>
  <c r="W375" i="6"/>
  <c r="V375" i="6"/>
  <c r="U375" i="6"/>
  <c r="T375" i="6"/>
  <c r="S375" i="6"/>
  <c r="R375" i="6"/>
  <c r="AA374" i="1"/>
  <c r="AD374" i="1"/>
  <c r="Q375" i="6"/>
  <c r="P375" i="6"/>
  <c r="O375" i="6"/>
  <c r="N375" i="6"/>
  <c r="M375" i="6"/>
  <c r="L375" i="6"/>
  <c r="K375" i="6"/>
  <c r="T374" i="1"/>
  <c r="J375" i="6"/>
  <c r="I375" i="6"/>
  <c r="H375" i="6"/>
  <c r="G375" i="6"/>
  <c r="F375" i="6"/>
  <c r="E375" i="6"/>
  <c r="D375" i="6"/>
  <c r="C375" i="6"/>
  <c r="B375" i="6"/>
  <c r="A374" i="6"/>
  <c r="W374" i="6"/>
  <c r="V374" i="6"/>
  <c r="U374" i="6"/>
  <c r="T374" i="6"/>
  <c r="S374" i="6"/>
  <c r="R374" i="6"/>
  <c r="AA373" i="1"/>
  <c r="AD373" i="1"/>
  <c r="Q374" i="6"/>
  <c r="P374" i="6"/>
  <c r="O374" i="6"/>
  <c r="N374" i="6"/>
  <c r="M374" i="6"/>
  <c r="L374" i="6"/>
  <c r="K374" i="6"/>
  <c r="T373" i="1"/>
  <c r="J374" i="6"/>
  <c r="I374" i="6"/>
  <c r="H374" i="6"/>
  <c r="G374" i="6"/>
  <c r="F374" i="6"/>
  <c r="E374" i="6"/>
  <c r="D374" i="6"/>
  <c r="C374" i="6"/>
  <c r="B374" i="6"/>
  <c r="A373" i="6"/>
  <c r="W373" i="6"/>
  <c r="V373" i="6"/>
  <c r="U373" i="6"/>
  <c r="T373" i="6"/>
  <c r="S373" i="6"/>
  <c r="R373" i="6"/>
  <c r="AA372" i="1"/>
  <c r="AD372" i="1"/>
  <c r="Q373" i="6"/>
  <c r="P373" i="6"/>
  <c r="O373" i="6"/>
  <c r="N373" i="6"/>
  <c r="M373" i="6"/>
  <c r="L373" i="6"/>
  <c r="K373" i="6"/>
  <c r="T372" i="1"/>
  <c r="J373" i="6"/>
  <c r="I373" i="6"/>
  <c r="H373" i="6"/>
  <c r="G373" i="6"/>
  <c r="F373" i="6"/>
  <c r="E373" i="6"/>
  <c r="D373" i="6"/>
  <c r="C373" i="6"/>
  <c r="B373" i="6"/>
  <c r="A372" i="6"/>
  <c r="W372" i="6"/>
  <c r="V372" i="6"/>
  <c r="U372" i="6"/>
  <c r="T372" i="6"/>
  <c r="S372" i="6"/>
  <c r="R372" i="6"/>
  <c r="AA371" i="1"/>
  <c r="AD371" i="1"/>
  <c r="Q372" i="6"/>
  <c r="P372" i="6"/>
  <c r="O372" i="6"/>
  <c r="N372" i="6"/>
  <c r="M372" i="6"/>
  <c r="L372" i="6"/>
  <c r="K372" i="6"/>
  <c r="T371" i="1"/>
  <c r="J372" i="6"/>
  <c r="I372" i="6"/>
  <c r="H372" i="6"/>
  <c r="G372" i="6"/>
  <c r="F372" i="6"/>
  <c r="E372" i="6"/>
  <c r="D372" i="6"/>
  <c r="C372" i="6"/>
  <c r="B372" i="6"/>
  <c r="A371" i="6"/>
  <c r="W371" i="6"/>
  <c r="V371" i="6"/>
  <c r="U371" i="6"/>
  <c r="T371" i="6"/>
  <c r="S371" i="6"/>
  <c r="R371" i="6"/>
  <c r="AA370" i="1"/>
  <c r="AD370" i="1"/>
  <c r="Q371" i="6"/>
  <c r="P371" i="6"/>
  <c r="O371" i="6"/>
  <c r="N371" i="6"/>
  <c r="M371" i="6"/>
  <c r="L371" i="6"/>
  <c r="K371" i="6"/>
  <c r="J371" i="6"/>
  <c r="I371" i="6"/>
  <c r="H371" i="6"/>
  <c r="G371" i="6"/>
  <c r="F371" i="6"/>
  <c r="E371" i="6"/>
  <c r="D371" i="6"/>
  <c r="C371" i="6"/>
  <c r="B371" i="6"/>
  <c r="A370" i="6"/>
  <c r="W370" i="6"/>
  <c r="V370" i="6"/>
  <c r="U370" i="6"/>
  <c r="T370" i="6"/>
  <c r="S370" i="6"/>
  <c r="R370" i="6"/>
  <c r="AA369" i="1"/>
  <c r="AD369" i="1"/>
  <c r="Q370" i="6"/>
  <c r="P370" i="6"/>
  <c r="O370" i="6"/>
  <c r="N370" i="6"/>
  <c r="M370" i="6"/>
  <c r="L370" i="6"/>
  <c r="K370" i="6"/>
  <c r="J370" i="6"/>
  <c r="I370" i="6"/>
  <c r="H370" i="6"/>
  <c r="G370" i="6"/>
  <c r="F370" i="6"/>
  <c r="E370" i="6"/>
  <c r="D370" i="6"/>
  <c r="C370" i="6"/>
  <c r="B370" i="6"/>
  <c r="A369" i="6"/>
  <c r="W369" i="6"/>
  <c r="V369" i="6"/>
  <c r="U369" i="6"/>
  <c r="T369" i="6"/>
  <c r="S369" i="6"/>
  <c r="R369" i="6"/>
  <c r="AA368" i="1"/>
  <c r="AD368" i="1"/>
  <c r="Q369" i="6"/>
  <c r="P369" i="6"/>
  <c r="O369" i="6"/>
  <c r="N369" i="6"/>
  <c r="M369" i="6"/>
  <c r="L369" i="6"/>
  <c r="K369" i="6"/>
  <c r="T368" i="1"/>
  <c r="J369" i="6"/>
  <c r="I369" i="6"/>
  <c r="H369" i="6"/>
  <c r="G369" i="6"/>
  <c r="F369" i="6"/>
  <c r="E369" i="6"/>
  <c r="D369" i="6"/>
  <c r="C369" i="6"/>
  <c r="B369" i="6"/>
  <c r="A368" i="6"/>
  <c r="W368" i="6"/>
  <c r="V368" i="6"/>
  <c r="U368" i="6"/>
  <c r="T368" i="6"/>
  <c r="S368" i="6"/>
  <c r="R368" i="6"/>
  <c r="AA367" i="1"/>
  <c r="AD367" i="1"/>
  <c r="Q368" i="6"/>
  <c r="P368" i="6"/>
  <c r="O368" i="6"/>
  <c r="N368" i="6"/>
  <c r="M368" i="6"/>
  <c r="L368" i="6"/>
  <c r="K368" i="6"/>
  <c r="T367" i="1"/>
  <c r="J368" i="6"/>
  <c r="I368" i="6"/>
  <c r="H368" i="6"/>
  <c r="G368" i="6"/>
  <c r="F368" i="6"/>
  <c r="E368" i="6"/>
  <c r="D368" i="6"/>
  <c r="C368" i="6"/>
  <c r="B368" i="6"/>
  <c r="A367" i="6"/>
  <c r="W367" i="6"/>
  <c r="V367" i="6"/>
  <c r="U367" i="6"/>
  <c r="T367" i="6"/>
  <c r="S367" i="6"/>
  <c r="R367" i="6"/>
  <c r="AA366" i="1"/>
  <c r="AD366" i="1"/>
  <c r="Q367" i="6"/>
  <c r="P367" i="6"/>
  <c r="O367" i="6"/>
  <c r="N367" i="6"/>
  <c r="M367" i="6"/>
  <c r="L367" i="6"/>
  <c r="K367" i="6"/>
  <c r="T366" i="1"/>
  <c r="J367" i="6"/>
  <c r="I367" i="6"/>
  <c r="H367" i="6"/>
  <c r="G367" i="6"/>
  <c r="F367" i="6"/>
  <c r="E367" i="6"/>
  <c r="D367" i="6"/>
  <c r="C367" i="6"/>
  <c r="B367" i="6"/>
  <c r="A366" i="6"/>
  <c r="W366" i="6"/>
  <c r="V366" i="6"/>
  <c r="U366" i="6"/>
  <c r="T366" i="6"/>
  <c r="S366" i="6"/>
  <c r="R366" i="6"/>
  <c r="AA365" i="1"/>
  <c r="AD365" i="1"/>
  <c r="Q366" i="6"/>
  <c r="P366" i="6"/>
  <c r="O366" i="6"/>
  <c r="N366" i="6"/>
  <c r="M366" i="6"/>
  <c r="L366" i="6"/>
  <c r="K366" i="6"/>
  <c r="T365" i="1"/>
  <c r="J366" i="6"/>
  <c r="I366" i="6"/>
  <c r="H366" i="6"/>
  <c r="G366" i="6"/>
  <c r="F366" i="6"/>
  <c r="E366" i="6"/>
  <c r="D366" i="6"/>
  <c r="C366" i="6"/>
  <c r="B366" i="6"/>
  <c r="A365" i="6"/>
  <c r="W365" i="6"/>
  <c r="V365" i="6"/>
  <c r="U365" i="6"/>
  <c r="T365" i="6"/>
  <c r="S365" i="6"/>
  <c r="R365" i="6"/>
  <c r="AA364" i="1"/>
  <c r="AD364" i="1"/>
  <c r="Q365" i="6"/>
  <c r="P365" i="6"/>
  <c r="O365" i="6"/>
  <c r="N365" i="6"/>
  <c r="M365" i="6"/>
  <c r="L365" i="6"/>
  <c r="K365" i="6"/>
  <c r="J365" i="6"/>
  <c r="I365" i="6"/>
  <c r="H365" i="6"/>
  <c r="G365" i="6"/>
  <c r="F365" i="6"/>
  <c r="E365" i="6"/>
  <c r="D365" i="6"/>
  <c r="C365" i="6"/>
  <c r="B365" i="6"/>
  <c r="A364" i="6"/>
  <c r="W364" i="6"/>
  <c r="V364" i="6"/>
  <c r="U364" i="6"/>
  <c r="T364" i="6"/>
  <c r="S364" i="6"/>
  <c r="R364" i="6"/>
  <c r="AA363" i="1"/>
  <c r="AD363" i="1"/>
  <c r="Q364" i="6"/>
  <c r="P364" i="6"/>
  <c r="O364" i="6"/>
  <c r="N364" i="6"/>
  <c r="M364" i="6"/>
  <c r="L364" i="6"/>
  <c r="K364" i="6"/>
  <c r="J364" i="6"/>
  <c r="I364" i="6"/>
  <c r="H364" i="6"/>
  <c r="G364" i="6"/>
  <c r="F364" i="6"/>
  <c r="E364" i="6"/>
  <c r="D364" i="6"/>
  <c r="C364" i="6"/>
  <c r="B364" i="6"/>
  <c r="A363" i="6"/>
  <c r="W363" i="6"/>
  <c r="V363" i="6"/>
  <c r="U363" i="6"/>
  <c r="T363" i="6"/>
  <c r="S363" i="6"/>
  <c r="R363" i="6"/>
  <c r="AA362" i="1"/>
  <c r="AD362" i="1"/>
  <c r="Q363" i="6"/>
  <c r="P363" i="6"/>
  <c r="O363" i="6"/>
  <c r="N363" i="6"/>
  <c r="M363" i="6"/>
  <c r="L363" i="6"/>
  <c r="K363" i="6"/>
  <c r="T362" i="1"/>
  <c r="J363" i="6"/>
  <c r="I363" i="6"/>
  <c r="H363" i="6"/>
  <c r="G363" i="6"/>
  <c r="F363" i="6"/>
  <c r="E363" i="6"/>
  <c r="D363" i="6"/>
  <c r="C363" i="6"/>
  <c r="B363" i="6"/>
  <c r="A362" i="6"/>
  <c r="W362" i="6"/>
  <c r="V362" i="6"/>
  <c r="U362" i="6"/>
  <c r="T362" i="6"/>
  <c r="S362" i="6"/>
  <c r="R362" i="6"/>
  <c r="AA361" i="1"/>
  <c r="AD361" i="1"/>
  <c r="Q362" i="6"/>
  <c r="P362" i="6"/>
  <c r="O362" i="6"/>
  <c r="N362" i="6"/>
  <c r="M362" i="6"/>
  <c r="L362" i="6"/>
  <c r="K362" i="6"/>
  <c r="T361" i="1"/>
  <c r="J362" i="6"/>
  <c r="I362" i="6"/>
  <c r="H362" i="6"/>
  <c r="G362" i="6"/>
  <c r="F362" i="6"/>
  <c r="E362" i="6"/>
  <c r="D362" i="6"/>
  <c r="C362" i="6"/>
  <c r="B362" i="6"/>
  <c r="A361" i="6"/>
  <c r="W361" i="6"/>
  <c r="V361" i="6"/>
  <c r="U361" i="6"/>
  <c r="T361" i="6"/>
  <c r="S361" i="6"/>
  <c r="R361" i="6"/>
  <c r="AA360" i="1"/>
  <c r="AD360" i="1"/>
  <c r="Q361" i="6"/>
  <c r="P361" i="6"/>
  <c r="O361" i="6"/>
  <c r="N361" i="6"/>
  <c r="M361" i="6"/>
  <c r="L361" i="6"/>
  <c r="K361" i="6"/>
  <c r="T360" i="1"/>
  <c r="J361" i="6"/>
  <c r="I361" i="6"/>
  <c r="H361" i="6"/>
  <c r="G361" i="6"/>
  <c r="F361" i="6"/>
  <c r="E361" i="6"/>
  <c r="D361" i="6"/>
  <c r="C361" i="6"/>
  <c r="B361" i="6"/>
  <c r="A360" i="6"/>
  <c r="W360" i="6"/>
  <c r="V360" i="6"/>
  <c r="U360" i="6"/>
  <c r="T360" i="6"/>
  <c r="S360" i="6"/>
  <c r="R360" i="6"/>
  <c r="AA359" i="1"/>
  <c r="AD359" i="1"/>
  <c r="Q360" i="6"/>
  <c r="P360" i="6"/>
  <c r="O360" i="6"/>
  <c r="N360" i="6"/>
  <c r="M360" i="6"/>
  <c r="L360" i="6"/>
  <c r="K360" i="6"/>
  <c r="T359" i="1"/>
  <c r="J360" i="6"/>
  <c r="I360" i="6"/>
  <c r="H360" i="6"/>
  <c r="G360" i="6"/>
  <c r="F360" i="6"/>
  <c r="E360" i="6"/>
  <c r="D360" i="6"/>
  <c r="C360" i="6"/>
  <c r="B360" i="6"/>
  <c r="A359" i="6"/>
  <c r="W359" i="6"/>
  <c r="V359" i="6"/>
  <c r="U359" i="6"/>
  <c r="T359" i="6"/>
  <c r="S359" i="6"/>
  <c r="R359" i="6"/>
  <c r="AA358" i="1"/>
  <c r="AD358" i="1"/>
  <c r="Q359" i="6"/>
  <c r="P359" i="6"/>
  <c r="O359" i="6"/>
  <c r="N359" i="6"/>
  <c r="M359" i="6"/>
  <c r="L359" i="6"/>
  <c r="K359" i="6"/>
  <c r="J359" i="6"/>
  <c r="I359" i="6"/>
  <c r="H359" i="6"/>
  <c r="G359" i="6"/>
  <c r="F359" i="6"/>
  <c r="E359" i="6"/>
  <c r="D359" i="6"/>
  <c r="C359" i="6"/>
  <c r="B359" i="6"/>
  <c r="A358" i="6"/>
  <c r="W358" i="6"/>
  <c r="V358" i="6"/>
  <c r="U358" i="6"/>
  <c r="T358" i="6"/>
  <c r="S358" i="6"/>
  <c r="R358" i="6"/>
  <c r="AA357" i="1"/>
  <c r="AD357" i="1"/>
  <c r="Q358" i="6"/>
  <c r="P358" i="6"/>
  <c r="O358" i="6"/>
  <c r="N358" i="6"/>
  <c r="M358" i="6"/>
  <c r="L358" i="6"/>
  <c r="K358" i="6"/>
  <c r="J358" i="6"/>
  <c r="I358" i="6"/>
  <c r="H358" i="6"/>
  <c r="G358" i="6"/>
  <c r="F358" i="6"/>
  <c r="E358" i="6"/>
  <c r="D358" i="6"/>
  <c r="C358" i="6"/>
  <c r="B358" i="6"/>
  <c r="A357" i="6"/>
  <c r="W357" i="6"/>
  <c r="V357" i="6"/>
  <c r="U357" i="6"/>
  <c r="T357" i="6"/>
  <c r="S357" i="6"/>
  <c r="R357" i="6"/>
  <c r="AA356" i="1"/>
  <c r="AD356" i="1"/>
  <c r="Q357" i="6"/>
  <c r="P357" i="6"/>
  <c r="O357" i="6"/>
  <c r="N357" i="6"/>
  <c r="M357" i="6"/>
  <c r="L357" i="6"/>
  <c r="K357" i="6"/>
  <c r="J357" i="6"/>
  <c r="I357" i="6"/>
  <c r="H357" i="6"/>
  <c r="G357" i="6"/>
  <c r="F357" i="6"/>
  <c r="E357" i="6"/>
  <c r="D357" i="6"/>
  <c r="C357" i="6"/>
  <c r="B357" i="6"/>
  <c r="A356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K356" i="6"/>
  <c r="J356" i="6"/>
  <c r="I356" i="6"/>
  <c r="H356" i="6"/>
  <c r="G356" i="6"/>
  <c r="F356" i="6"/>
  <c r="E356" i="6"/>
  <c r="D356" i="6"/>
  <c r="C356" i="6"/>
  <c r="B356" i="6"/>
  <c r="A355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K355" i="6"/>
  <c r="J355" i="6"/>
  <c r="I355" i="6"/>
  <c r="H355" i="6"/>
  <c r="G355" i="6"/>
  <c r="F355" i="6"/>
  <c r="E355" i="6"/>
  <c r="D355" i="6"/>
  <c r="C355" i="6"/>
  <c r="B355" i="6"/>
  <c r="A354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K354" i="6"/>
  <c r="J354" i="6"/>
  <c r="I354" i="6"/>
  <c r="H354" i="6"/>
  <c r="G354" i="6"/>
  <c r="F354" i="6"/>
  <c r="E354" i="6"/>
  <c r="D354" i="6"/>
  <c r="C354" i="6"/>
  <c r="B354" i="6"/>
  <c r="A353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K353" i="6"/>
  <c r="J353" i="6"/>
  <c r="I353" i="6"/>
  <c r="H353" i="6"/>
  <c r="G353" i="6"/>
  <c r="F353" i="6"/>
  <c r="E353" i="6"/>
  <c r="D353" i="6"/>
  <c r="C353" i="6"/>
  <c r="B353" i="6"/>
  <c r="A352" i="6"/>
  <c r="W352" i="6"/>
  <c r="V352" i="6"/>
  <c r="U352" i="6"/>
  <c r="T352" i="6"/>
  <c r="S352" i="6"/>
  <c r="R352" i="6"/>
  <c r="AA351" i="1"/>
  <c r="AD351" i="1"/>
  <c r="Q352" i="6"/>
  <c r="P352" i="6"/>
  <c r="O352" i="6"/>
  <c r="N352" i="6"/>
  <c r="M352" i="6"/>
  <c r="L352" i="6"/>
  <c r="K352" i="6"/>
  <c r="J352" i="6"/>
  <c r="I352" i="6"/>
  <c r="H352" i="6"/>
  <c r="G352" i="6"/>
  <c r="F352" i="6"/>
  <c r="E352" i="6"/>
  <c r="D352" i="6"/>
  <c r="C352" i="6"/>
  <c r="B352" i="6"/>
  <c r="A351" i="6"/>
  <c r="W351" i="6"/>
  <c r="V351" i="6"/>
  <c r="U351" i="6"/>
  <c r="T351" i="6"/>
  <c r="S351" i="6"/>
  <c r="R351" i="6"/>
  <c r="AA350" i="1"/>
  <c r="AD350" i="1"/>
  <c r="Q351" i="6"/>
  <c r="P351" i="6"/>
  <c r="O351" i="6"/>
  <c r="N351" i="6"/>
  <c r="M351" i="6"/>
  <c r="L351" i="6"/>
  <c r="K351" i="6"/>
  <c r="J351" i="6"/>
  <c r="I351" i="6"/>
  <c r="H351" i="6"/>
  <c r="G351" i="6"/>
  <c r="F351" i="6"/>
  <c r="E351" i="6"/>
  <c r="D351" i="6"/>
  <c r="C351" i="6"/>
  <c r="B351" i="6"/>
  <c r="A350" i="6"/>
  <c r="W350" i="6"/>
  <c r="V350" i="6"/>
  <c r="U350" i="6"/>
  <c r="T350" i="6"/>
  <c r="S350" i="6"/>
  <c r="R350" i="6"/>
  <c r="AA349" i="1"/>
  <c r="AD349" i="1"/>
  <c r="Q350" i="6"/>
  <c r="P350" i="6"/>
  <c r="O350" i="6"/>
  <c r="N350" i="6"/>
  <c r="M350" i="6"/>
  <c r="L350" i="6"/>
  <c r="K350" i="6"/>
  <c r="J350" i="6"/>
  <c r="I350" i="6"/>
  <c r="H350" i="6"/>
  <c r="G350" i="6"/>
  <c r="F350" i="6"/>
  <c r="E350" i="6"/>
  <c r="D350" i="6"/>
  <c r="C350" i="6"/>
  <c r="B350" i="6"/>
  <c r="A349" i="6"/>
  <c r="W349" i="6"/>
  <c r="V349" i="6"/>
  <c r="U349" i="6"/>
  <c r="T349" i="6"/>
  <c r="S349" i="6"/>
  <c r="R349" i="6"/>
  <c r="AA348" i="1"/>
  <c r="AD348" i="1"/>
  <c r="Q349" i="6"/>
  <c r="P349" i="6"/>
  <c r="O349" i="6"/>
  <c r="N349" i="6"/>
  <c r="M349" i="6"/>
  <c r="L349" i="6"/>
  <c r="K349" i="6"/>
  <c r="J349" i="6"/>
  <c r="I349" i="6"/>
  <c r="H349" i="6"/>
  <c r="G349" i="6"/>
  <c r="F349" i="6"/>
  <c r="E349" i="6"/>
  <c r="D349" i="6"/>
  <c r="C349" i="6"/>
  <c r="B349" i="6"/>
  <c r="A348" i="6"/>
  <c r="W348" i="6"/>
  <c r="V348" i="6"/>
  <c r="U348" i="6"/>
  <c r="T348" i="6"/>
  <c r="S348" i="6"/>
  <c r="R348" i="6"/>
  <c r="AA347" i="1"/>
  <c r="AD347" i="1"/>
  <c r="Q348" i="6"/>
  <c r="P348" i="6"/>
  <c r="O348" i="6"/>
  <c r="N348" i="6"/>
  <c r="M348" i="6"/>
  <c r="L348" i="6"/>
  <c r="K348" i="6"/>
  <c r="J348" i="6"/>
  <c r="I348" i="6"/>
  <c r="H348" i="6"/>
  <c r="G348" i="6"/>
  <c r="F348" i="6"/>
  <c r="E348" i="6"/>
  <c r="D348" i="6"/>
  <c r="C348" i="6"/>
  <c r="B348" i="6"/>
  <c r="A347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K347" i="6"/>
  <c r="J347" i="6"/>
  <c r="I347" i="6"/>
  <c r="H347" i="6"/>
  <c r="G347" i="6"/>
  <c r="F347" i="6"/>
  <c r="E347" i="6"/>
  <c r="D347" i="6"/>
  <c r="C347" i="6"/>
  <c r="B347" i="6"/>
  <c r="A346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K346" i="6"/>
  <c r="J346" i="6"/>
  <c r="I346" i="6"/>
  <c r="H346" i="6"/>
  <c r="G346" i="6"/>
  <c r="F346" i="6"/>
  <c r="E346" i="6"/>
  <c r="D346" i="6"/>
  <c r="C346" i="6"/>
  <c r="B346" i="6"/>
  <c r="A345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K345" i="6"/>
  <c r="J345" i="6"/>
  <c r="I345" i="6"/>
  <c r="H345" i="6"/>
  <c r="G345" i="6"/>
  <c r="F345" i="6"/>
  <c r="E345" i="6"/>
  <c r="D345" i="6"/>
  <c r="C345" i="6"/>
  <c r="B345" i="6"/>
  <c r="A344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K344" i="6"/>
  <c r="J344" i="6"/>
  <c r="I344" i="6"/>
  <c r="H344" i="6"/>
  <c r="G344" i="6"/>
  <c r="F344" i="6"/>
  <c r="E344" i="6"/>
  <c r="D344" i="6"/>
  <c r="C344" i="6"/>
  <c r="B344" i="6"/>
  <c r="A343" i="6"/>
  <c r="W343" i="6"/>
  <c r="V343" i="6"/>
  <c r="U343" i="6"/>
  <c r="T343" i="6"/>
  <c r="S343" i="6"/>
  <c r="R343" i="6"/>
  <c r="AA342" i="1"/>
  <c r="AD342" i="1"/>
  <c r="Q343" i="6"/>
  <c r="P343" i="6"/>
  <c r="O343" i="6"/>
  <c r="N343" i="6"/>
  <c r="M343" i="6"/>
  <c r="L343" i="6"/>
  <c r="K343" i="6"/>
  <c r="J343" i="6"/>
  <c r="I343" i="6"/>
  <c r="H343" i="6"/>
  <c r="G343" i="6"/>
  <c r="F343" i="6"/>
  <c r="E343" i="6"/>
  <c r="D343" i="6"/>
  <c r="C343" i="6"/>
  <c r="B343" i="6"/>
  <c r="A342" i="6"/>
  <c r="W342" i="6"/>
  <c r="V342" i="6"/>
  <c r="U342" i="6"/>
  <c r="T342" i="6"/>
  <c r="S342" i="6"/>
  <c r="R342" i="6"/>
  <c r="AA341" i="1"/>
  <c r="AD341" i="1"/>
  <c r="Q342" i="6"/>
  <c r="P342" i="6"/>
  <c r="O342" i="6"/>
  <c r="N342" i="6"/>
  <c r="M342" i="6"/>
  <c r="L342" i="6"/>
  <c r="K342" i="6"/>
  <c r="J342" i="6"/>
  <c r="I342" i="6"/>
  <c r="H342" i="6"/>
  <c r="G342" i="6"/>
  <c r="F342" i="6"/>
  <c r="E342" i="6"/>
  <c r="D342" i="6"/>
  <c r="C342" i="6"/>
  <c r="B342" i="6"/>
  <c r="A341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K341" i="6"/>
  <c r="J341" i="6"/>
  <c r="I341" i="6"/>
  <c r="H341" i="6"/>
  <c r="G341" i="6"/>
  <c r="F341" i="6"/>
  <c r="E341" i="6"/>
  <c r="D341" i="6"/>
  <c r="C341" i="6"/>
  <c r="B341" i="6"/>
  <c r="A340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K340" i="6"/>
  <c r="J340" i="6"/>
  <c r="I340" i="6"/>
  <c r="H340" i="6"/>
  <c r="G340" i="6"/>
  <c r="F340" i="6"/>
  <c r="E340" i="6"/>
  <c r="D340" i="6"/>
  <c r="C340" i="6"/>
  <c r="B340" i="6"/>
  <c r="A339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K339" i="6"/>
  <c r="J339" i="6"/>
  <c r="I339" i="6"/>
  <c r="H339" i="6"/>
  <c r="G339" i="6"/>
  <c r="F339" i="6"/>
  <c r="E339" i="6"/>
  <c r="D339" i="6"/>
  <c r="C339" i="6"/>
  <c r="B339" i="6"/>
  <c r="A338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K338" i="6"/>
  <c r="J338" i="6"/>
  <c r="I338" i="6"/>
  <c r="H338" i="6"/>
  <c r="G338" i="6"/>
  <c r="F338" i="6"/>
  <c r="E338" i="6"/>
  <c r="D338" i="6"/>
  <c r="C338" i="6"/>
  <c r="B338" i="6"/>
  <c r="A337" i="6"/>
  <c r="W337" i="6"/>
  <c r="V337" i="6"/>
  <c r="U337" i="6"/>
  <c r="T337" i="6"/>
  <c r="S337" i="6"/>
  <c r="R337" i="6"/>
  <c r="AA336" i="1"/>
  <c r="AD336" i="1"/>
  <c r="Q337" i="6"/>
  <c r="P337" i="6"/>
  <c r="O337" i="6"/>
  <c r="N337" i="6"/>
  <c r="M337" i="6"/>
  <c r="L337" i="6"/>
  <c r="K337" i="6"/>
  <c r="J337" i="6"/>
  <c r="I337" i="6"/>
  <c r="H337" i="6"/>
  <c r="G337" i="6"/>
  <c r="F337" i="6"/>
  <c r="E337" i="6"/>
  <c r="D337" i="6"/>
  <c r="C337" i="6"/>
  <c r="B337" i="6"/>
  <c r="A336" i="6"/>
  <c r="W336" i="6"/>
  <c r="V336" i="6"/>
  <c r="U336" i="6"/>
  <c r="T336" i="6"/>
  <c r="S336" i="6"/>
  <c r="R336" i="6"/>
  <c r="AA335" i="1"/>
  <c r="AD335" i="1"/>
  <c r="Q336" i="6"/>
  <c r="P336" i="6"/>
  <c r="O336" i="6"/>
  <c r="N336" i="6"/>
  <c r="M336" i="6"/>
  <c r="L336" i="6"/>
  <c r="K336" i="6"/>
  <c r="J336" i="6"/>
  <c r="I336" i="6"/>
  <c r="H336" i="6"/>
  <c r="G336" i="6"/>
  <c r="F336" i="6"/>
  <c r="E336" i="6"/>
  <c r="D336" i="6"/>
  <c r="C336" i="6"/>
  <c r="B336" i="6"/>
  <c r="A335" i="6"/>
  <c r="W335" i="6"/>
  <c r="V335" i="6"/>
  <c r="U335" i="6"/>
  <c r="T335" i="6"/>
  <c r="S335" i="6"/>
  <c r="R335" i="6"/>
  <c r="AA334" i="1"/>
  <c r="AD334" i="1"/>
  <c r="Q335" i="6"/>
  <c r="P335" i="6"/>
  <c r="O335" i="6"/>
  <c r="N335" i="6"/>
  <c r="M335" i="6"/>
  <c r="L335" i="6"/>
  <c r="K335" i="6"/>
  <c r="J335" i="6"/>
  <c r="I335" i="6"/>
  <c r="H335" i="6"/>
  <c r="G335" i="6"/>
  <c r="F335" i="6"/>
  <c r="E335" i="6"/>
  <c r="D335" i="6"/>
  <c r="C335" i="6"/>
  <c r="B335" i="6"/>
  <c r="A334" i="6"/>
  <c r="W334" i="6"/>
  <c r="V334" i="6"/>
  <c r="U334" i="6"/>
  <c r="T334" i="6"/>
  <c r="S334" i="6"/>
  <c r="R334" i="6"/>
  <c r="AA333" i="1"/>
  <c r="AD333" i="1"/>
  <c r="Q334" i="6"/>
  <c r="P334" i="6"/>
  <c r="O334" i="6"/>
  <c r="N334" i="6"/>
  <c r="M334" i="6"/>
  <c r="L334" i="6"/>
  <c r="K334" i="6"/>
  <c r="J334" i="6"/>
  <c r="I334" i="6"/>
  <c r="H334" i="6"/>
  <c r="G334" i="6"/>
  <c r="F334" i="6"/>
  <c r="E334" i="6"/>
  <c r="D334" i="6"/>
  <c r="C334" i="6"/>
  <c r="B334" i="6"/>
  <c r="A333" i="6"/>
  <c r="W333" i="6"/>
  <c r="V333" i="6"/>
  <c r="U333" i="6"/>
  <c r="T333" i="6"/>
  <c r="S333" i="6"/>
  <c r="R333" i="6"/>
  <c r="AA332" i="1"/>
  <c r="AD332" i="1"/>
  <c r="Q333" i="6"/>
  <c r="P333" i="6"/>
  <c r="O333" i="6"/>
  <c r="N333" i="6"/>
  <c r="M333" i="6"/>
  <c r="L333" i="6"/>
  <c r="K333" i="6"/>
  <c r="J333" i="6"/>
  <c r="I333" i="6"/>
  <c r="H333" i="6"/>
  <c r="G333" i="6"/>
  <c r="F333" i="6"/>
  <c r="E333" i="6"/>
  <c r="D333" i="6"/>
  <c r="C333" i="6"/>
  <c r="B333" i="6"/>
  <c r="A332" i="6"/>
  <c r="W332" i="6"/>
  <c r="V332" i="6"/>
  <c r="U332" i="6"/>
  <c r="T332" i="6"/>
  <c r="S332" i="6"/>
  <c r="R332" i="6"/>
  <c r="AA331" i="1"/>
  <c r="AD331" i="1"/>
  <c r="Q332" i="6"/>
  <c r="P332" i="6"/>
  <c r="O332" i="6"/>
  <c r="N332" i="6"/>
  <c r="M332" i="6"/>
  <c r="L332" i="6"/>
  <c r="K332" i="6"/>
  <c r="J332" i="6"/>
  <c r="I332" i="6"/>
  <c r="H332" i="6"/>
  <c r="G332" i="6"/>
  <c r="F332" i="6"/>
  <c r="E332" i="6"/>
  <c r="D332" i="6"/>
  <c r="C332" i="6"/>
  <c r="B332" i="6"/>
  <c r="A331" i="6"/>
  <c r="W331" i="6"/>
  <c r="V331" i="6"/>
  <c r="U331" i="6"/>
  <c r="T331" i="6"/>
  <c r="S331" i="6"/>
  <c r="R331" i="6"/>
  <c r="AA330" i="1"/>
  <c r="AD330" i="1"/>
  <c r="Q331" i="6"/>
  <c r="P331" i="6"/>
  <c r="O331" i="6"/>
  <c r="N331" i="6"/>
  <c r="M331" i="6"/>
  <c r="L331" i="6"/>
  <c r="K331" i="6"/>
  <c r="T330" i="1"/>
  <c r="J331" i="6"/>
  <c r="I331" i="6"/>
  <c r="H331" i="6"/>
  <c r="G331" i="6"/>
  <c r="F331" i="6"/>
  <c r="E331" i="6"/>
  <c r="D331" i="6"/>
  <c r="C331" i="6"/>
  <c r="B331" i="6"/>
  <c r="A330" i="6"/>
  <c r="W330" i="6"/>
  <c r="V330" i="6"/>
  <c r="U330" i="6"/>
  <c r="T330" i="6"/>
  <c r="S330" i="6"/>
  <c r="R330" i="6"/>
  <c r="AA329" i="1"/>
  <c r="AD329" i="1"/>
  <c r="Q330" i="6"/>
  <c r="P330" i="6"/>
  <c r="O330" i="6"/>
  <c r="N330" i="6"/>
  <c r="M330" i="6"/>
  <c r="L330" i="6"/>
  <c r="K330" i="6"/>
  <c r="T329" i="1"/>
  <c r="J330" i="6"/>
  <c r="I330" i="6"/>
  <c r="H330" i="6"/>
  <c r="G330" i="6"/>
  <c r="F330" i="6"/>
  <c r="E330" i="6"/>
  <c r="D330" i="6"/>
  <c r="C330" i="6"/>
  <c r="B330" i="6"/>
  <c r="A329" i="6"/>
  <c r="W329" i="6"/>
  <c r="V329" i="6"/>
  <c r="U329" i="6"/>
  <c r="T329" i="6"/>
  <c r="S329" i="6"/>
  <c r="R329" i="6"/>
  <c r="AA328" i="1"/>
  <c r="AD328" i="1"/>
  <c r="Q329" i="6"/>
  <c r="P329" i="6"/>
  <c r="O329" i="6"/>
  <c r="N329" i="6"/>
  <c r="M329" i="6"/>
  <c r="L329" i="6"/>
  <c r="K329" i="6"/>
  <c r="T328" i="1"/>
  <c r="J329" i="6"/>
  <c r="I329" i="6"/>
  <c r="H329" i="6"/>
  <c r="G329" i="6"/>
  <c r="F329" i="6"/>
  <c r="E329" i="6"/>
  <c r="D329" i="6"/>
  <c r="C329" i="6"/>
  <c r="B329" i="6"/>
  <c r="A328" i="6"/>
  <c r="W328" i="6"/>
  <c r="V328" i="6"/>
  <c r="U328" i="6"/>
  <c r="T328" i="6"/>
  <c r="S328" i="6"/>
  <c r="R328" i="6"/>
  <c r="AA327" i="1"/>
  <c r="AD327" i="1"/>
  <c r="Q328" i="6"/>
  <c r="P328" i="6"/>
  <c r="O328" i="6"/>
  <c r="N328" i="6"/>
  <c r="M328" i="6"/>
  <c r="L328" i="6"/>
  <c r="K328" i="6"/>
  <c r="T327" i="1"/>
  <c r="J328" i="6"/>
  <c r="I328" i="6"/>
  <c r="H328" i="6"/>
  <c r="G328" i="6"/>
  <c r="F328" i="6"/>
  <c r="E328" i="6"/>
  <c r="D328" i="6"/>
  <c r="C328" i="6"/>
  <c r="B328" i="6"/>
  <c r="A327" i="6"/>
  <c r="W327" i="6"/>
  <c r="V327" i="6"/>
  <c r="U327" i="6"/>
  <c r="T327" i="6"/>
  <c r="S327" i="6"/>
  <c r="R327" i="6"/>
  <c r="AA326" i="1"/>
  <c r="AD326" i="1"/>
  <c r="Q327" i="6"/>
  <c r="P327" i="6"/>
  <c r="O327" i="6"/>
  <c r="N327" i="6"/>
  <c r="M327" i="6"/>
  <c r="L327" i="6"/>
  <c r="K327" i="6"/>
  <c r="J327" i="6"/>
  <c r="I327" i="6"/>
  <c r="H327" i="6"/>
  <c r="G327" i="6"/>
  <c r="F327" i="6"/>
  <c r="E327" i="6"/>
  <c r="D327" i="6"/>
  <c r="C327" i="6"/>
  <c r="B327" i="6"/>
  <c r="A326" i="6"/>
  <c r="W326" i="6"/>
  <c r="V326" i="6"/>
  <c r="U326" i="6"/>
  <c r="T326" i="6"/>
  <c r="S326" i="6"/>
  <c r="R326" i="6"/>
  <c r="AA325" i="1"/>
  <c r="AD325" i="1"/>
  <c r="Q326" i="6"/>
  <c r="P326" i="6"/>
  <c r="O326" i="6"/>
  <c r="N326" i="6"/>
  <c r="M326" i="6"/>
  <c r="L326" i="6"/>
  <c r="K326" i="6"/>
  <c r="J326" i="6"/>
  <c r="I326" i="6"/>
  <c r="H326" i="6"/>
  <c r="G326" i="6"/>
  <c r="F326" i="6"/>
  <c r="E326" i="6"/>
  <c r="D326" i="6"/>
  <c r="C326" i="6"/>
  <c r="B326" i="6"/>
  <c r="A325" i="6"/>
  <c r="W325" i="6"/>
  <c r="V325" i="6"/>
  <c r="U325" i="6"/>
  <c r="T325" i="6"/>
  <c r="S325" i="6"/>
  <c r="R325" i="6"/>
  <c r="AA324" i="1"/>
  <c r="AD324" i="1"/>
  <c r="Q325" i="6"/>
  <c r="P325" i="6"/>
  <c r="O325" i="6"/>
  <c r="N325" i="6"/>
  <c r="M325" i="6"/>
  <c r="L325" i="6"/>
  <c r="K325" i="6"/>
  <c r="J325" i="6"/>
  <c r="I325" i="6"/>
  <c r="H325" i="6"/>
  <c r="G325" i="6"/>
  <c r="F325" i="6"/>
  <c r="E325" i="6"/>
  <c r="D325" i="6"/>
  <c r="C325" i="6"/>
  <c r="B325" i="6"/>
  <c r="A324" i="6"/>
  <c r="W324" i="6"/>
  <c r="V324" i="6"/>
  <c r="U324" i="6"/>
  <c r="T324" i="6"/>
  <c r="S324" i="6"/>
  <c r="R324" i="6"/>
  <c r="AA323" i="1"/>
  <c r="AD323" i="1"/>
  <c r="Q324" i="6"/>
  <c r="P324" i="6"/>
  <c r="O324" i="6"/>
  <c r="N324" i="6"/>
  <c r="M324" i="6"/>
  <c r="L324" i="6"/>
  <c r="K324" i="6"/>
  <c r="J324" i="6"/>
  <c r="I324" i="6"/>
  <c r="H324" i="6"/>
  <c r="G324" i="6"/>
  <c r="F324" i="6"/>
  <c r="E324" i="6"/>
  <c r="D324" i="6"/>
  <c r="C324" i="6"/>
  <c r="B324" i="6"/>
  <c r="A323" i="6"/>
  <c r="W323" i="6"/>
  <c r="V323" i="6"/>
  <c r="U323" i="6"/>
  <c r="T323" i="6"/>
  <c r="S323" i="6"/>
  <c r="R323" i="6"/>
  <c r="AA322" i="1"/>
  <c r="AD322" i="1"/>
  <c r="Q323" i="6"/>
  <c r="P323" i="6"/>
  <c r="O323" i="6"/>
  <c r="N323" i="6"/>
  <c r="M323" i="6"/>
  <c r="L323" i="6"/>
  <c r="K323" i="6"/>
  <c r="T322" i="1"/>
  <c r="J323" i="6"/>
  <c r="I323" i="6"/>
  <c r="H323" i="6"/>
  <c r="G323" i="6"/>
  <c r="F323" i="6"/>
  <c r="E323" i="6"/>
  <c r="D323" i="6"/>
  <c r="C323" i="6"/>
  <c r="B323" i="6"/>
  <c r="A322" i="6"/>
  <c r="W322" i="6"/>
  <c r="V322" i="6"/>
  <c r="U322" i="6"/>
  <c r="T322" i="6"/>
  <c r="S322" i="6"/>
  <c r="R322" i="6"/>
  <c r="AA321" i="1"/>
  <c r="AD321" i="1"/>
  <c r="Q322" i="6"/>
  <c r="P322" i="6"/>
  <c r="O322" i="6"/>
  <c r="N322" i="6"/>
  <c r="M322" i="6"/>
  <c r="L322" i="6"/>
  <c r="K322" i="6"/>
  <c r="T321" i="1"/>
  <c r="J322" i="6"/>
  <c r="I322" i="6"/>
  <c r="H322" i="6"/>
  <c r="G322" i="6"/>
  <c r="F322" i="6"/>
  <c r="E322" i="6"/>
  <c r="D322" i="6"/>
  <c r="C322" i="6"/>
  <c r="B322" i="6"/>
  <c r="A321" i="6"/>
  <c r="W321" i="6"/>
  <c r="V321" i="6"/>
  <c r="U321" i="6"/>
  <c r="T321" i="6"/>
  <c r="S321" i="6"/>
  <c r="R321" i="6"/>
  <c r="AA320" i="1"/>
  <c r="AD320" i="1"/>
  <c r="Q321" i="6"/>
  <c r="P321" i="6"/>
  <c r="O321" i="6"/>
  <c r="N321" i="6"/>
  <c r="M321" i="6"/>
  <c r="L321" i="6"/>
  <c r="K321" i="6"/>
  <c r="T320" i="1"/>
  <c r="J321" i="6"/>
  <c r="I321" i="6"/>
  <c r="H321" i="6"/>
  <c r="G321" i="6"/>
  <c r="F321" i="6"/>
  <c r="E321" i="6"/>
  <c r="D321" i="6"/>
  <c r="C321" i="6"/>
  <c r="B321" i="6"/>
  <c r="A320" i="6"/>
  <c r="W320" i="6"/>
  <c r="V320" i="6"/>
  <c r="U320" i="6"/>
  <c r="T320" i="6"/>
  <c r="S320" i="6"/>
  <c r="R320" i="6"/>
  <c r="AA319" i="1"/>
  <c r="AD319" i="1"/>
  <c r="Q320" i="6"/>
  <c r="P320" i="6"/>
  <c r="O320" i="6"/>
  <c r="N320" i="6"/>
  <c r="M320" i="6"/>
  <c r="L320" i="6"/>
  <c r="K320" i="6"/>
  <c r="T319" i="1"/>
  <c r="J320" i="6"/>
  <c r="I320" i="6"/>
  <c r="H320" i="6"/>
  <c r="G320" i="6"/>
  <c r="F320" i="6"/>
  <c r="E320" i="6"/>
  <c r="D320" i="6"/>
  <c r="C320" i="6"/>
  <c r="B320" i="6"/>
  <c r="A319" i="6"/>
  <c r="W319" i="6"/>
  <c r="V319" i="6"/>
  <c r="U319" i="6"/>
  <c r="T319" i="6"/>
  <c r="S319" i="6"/>
  <c r="R319" i="6"/>
  <c r="AA318" i="1"/>
  <c r="AD318" i="1"/>
  <c r="Q319" i="6"/>
  <c r="P319" i="6"/>
  <c r="O319" i="6"/>
  <c r="N319" i="6"/>
  <c r="M319" i="6"/>
  <c r="L319" i="6"/>
  <c r="K319" i="6"/>
  <c r="J319" i="6"/>
  <c r="I319" i="6"/>
  <c r="H319" i="6"/>
  <c r="G319" i="6"/>
  <c r="F319" i="6"/>
  <c r="E319" i="6"/>
  <c r="D319" i="6"/>
  <c r="C319" i="6"/>
  <c r="B319" i="6"/>
  <c r="A318" i="6"/>
  <c r="W318" i="6"/>
  <c r="V318" i="6"/>
  <c r="U318" i="6"/>
  <c r="T318" i="6"/>
  <c r="S318" i="6"/>
  <c r="R318" i="6"/>
  <c r="AA317" i="1"/>
  <c r="AD317" i="1"/>
  <c r="Q318" i="6"/>
  <c r="P318" i="6"/>
  <c r="O318" i="6"/>
  <c r="N318" i="6"/>
  <c r="M318" i="6"/>
  <c r="L318" i="6"/>
  <c r="K318" i="6"/>
  <c r="J318" i="6"/>
  <c r="I318" i="6"/>
  <c r="H318" i="6"/>
  <c r="G318" i="6"/>
  <c r="F318" i="6"/>
  <c r="E318" i="6"/>
  <c r="D318" i="6"/>
  <c r="C318" i="6"/>
  <c r="B318" i="6"/>
  <c r="A317" i="6"/>
  <c r="W317" i="6"/>
  <c r="V317" i="6"/>
  <c r="U317" i="6"/>
  <c r="T317" i="6"/>
  <c r="S317" i="6"/>
  <c r="R317" i="6"/>
  <c r="AA316" i="1"/>
  <c r="AD316" i="1"/>
  <c r="Q317" i="6"/>
  <c r="P317" i="6"/>
  <c r="O317" i="6"/>
  <c r="N317" i="6"/>
  <c r="M317" i="6"/>
  <c r="L317" i="6"/>
  <c r="K317" i="6"/>
  <c r="J317" i="6"/>
  <c r="I317" i="6"/>
  <c r="H317" i="6"/>
  <c r="G317" i="6"/>
  <c r="F317" i="6"/>
  <c r="E317" i="6"/>
  <c r="D317" i="6"/>
  <c r="C317" i="6"/>
  <c r="B317" i="6"/>
  <c r="A316" i="6"/>
  <c r="W316" i="6"/>
  <c r="V316" i="6"/>
  <c r="U316" i="6"/>
  <c r="T316" i="6"/>
  <c r="S316" i="6"/>
  <c r="R316" i="6"/>
  <c r="AA315" i="1"/>
  <c r="AD315" i="1"/>
  <c r="Q316" i="6"/>
  <c r="P316" i="6"/>
  <c r="O316" i="6"/>
  <c r="N316" i="6"/>
  <c r="M316" i="6"/>
  <c r="L316" i="6"/>
  <c r="K316" i="6"/>
  <c r="J316" i="6"/>
  <c r="I316" i="6"/>
  <c r="H316" i="6"/>
  <c r="G316" i="6"/>
  <c r="F316" i="6"/>
  <c r="E316" i="6"/>
  <c r="D316" i="6"/>
  <c r="C316" i="6"/>
  <c r="B316" i="6"/>
  <c r="A315" i="6"/>
  <c r="W315" i="6"/>
  <c r="V315" i="6"/>
  <c r="U315" i="6"/>
  <c r="T315" i="6"/>
  <c r="S315" i="6"/>
  <c r="R315" i="6"/>
  <c r="AA314" i="1"/>
  <c r="AD314" i="1"/>
  <c r="Q315" i="6"/>
  <c r="P315" i="6"/>
  <c r="O315" i="6"/>
  <c r="N315" i="6"/>
  <c r="M315" i="6"/>
  <c r="L315" i="6"/>
  <c r="K315" i="6"/>
  <c r="T314" i="1"/>
  <c r="J315" i="6"/>
  <c r="I315" i="6"/>
  <c r="H315" i="6"/>
  <c r="G315" i="6"/>
  <c r="F315" i="6"/>
  <c r="E315" i="6"/>
  <c r="D315" i="6"/>
  <c r="C315" i="6"/>
  <c r="B315" i="6"/>
  <c r="A314" i="6"/>
  <c r="W314" i="6"/>
  <c r="V314" i="6"/>
  <c r="U314" i="6"/>
  <c r="T314" i="6"/>
  <c r="S314" i="6"/>
  <c r="R314" i="6"/>
  <c r="AA313" i="1"/>
  <c r="AD313" i="1"/>
  <c r="Q314" i="6"/>
  <c r="P314" i="6"/>
  <c r="O314" i="6"/>
  <c r="N314" i="6"/>
  <c r="M314" i="6"/>
  <c r="L314" i="6"/>
  <c r="K314" i="6"/>
  <c r="T313" i="1"/>
  <c r="J314" i="6"/>
  <c r="I314" i="6"/>
  <c r="H314" i="6"/>
  <c r="G314" i="6"/>
  <c r="F314" i="6"/>
  <c r="E314" i="6"/>
  <c r="D314" i="6"/>
  <c r="C314" i="6"/>
  <c r="B314" i="6"/>
  <c r="A313" i="6"/>
  <c r="W313" i="6"/>
  <c r="V313" i="6"/>
  <c r="U313" i="6"/>
  <c r="T313" i="6"/>
  <c r="S313" i="6"/>
  <c r="R313" i="6"/>
  <c r="AA312" i="1"/>
  <c r="AD312" i="1"/>
  <c r="Q313" i="6"/>
  <c r="P313" i="6"/>
  <c r="O313" i="6"/>
  <c r="N313" i="6"/>
  <c r="M313" i="6"/>
  <c r="L313" i="6"/>
  <c r="K313" i="6"/>
  <c r="T312" i="1"/>
  <c r="J313" i="6"/>
  <c r="I313" i="6"/>
  <c r="H313" i="6"/>
  <c r="G313" i="6"/>
  <c r="F313" i="6"/>
  <c r="E313" i="6"/>
  <c r="D313" i="6"/>
  <c r="C313" i="6"/>
  <c r="B313" i="6"/>
  <c r="A312" i="6"/>
  <c r="W312" i="6"/>
  <c r="V312" i="6"/>
  <c r="U312" i="6"/>
  <c r="T312" i="6"/>
  <c r="S312" i="6"/>
  <c r="R312" i="6"/>
  <c r="AA311" i="1"/>
  <c r="AD311" i="1"/>
  <c r="Q312" i="6"/>
  <c r="P312" i="6"/>
  <c r="O312" i="6"/>
  <c r="N312" i="6"/>
  <c r="M312" i="6"/>
  <c r="L312" i="6"/>
  <c r="K312" i="6"/>
  <c r="T311" i="1"/>
  <c r="J312" i="6"/>
  <c r="I312" i="6"/>
  <c r="H312" i="6"/>
  <c r="G312" i="6"/>
  <c r="F312" i="6"/>
  <c r="E312" i="6"/>
  <c r="D312" i="6"/>
  <c r="C312" i="6"/>
  <c r="B312" i="6"/>
  <c r="A311" i="6"/>
  <c r="W311" i="6"/>
  <c r="V311" i="6"/>
  <c r="U311" i="6"/>
  <c r="T311" i="6"/>
  <c r="S311" i="6"/>
  <c r="R311" i="6"/>
  <c r="AA310" i="1"/>
  <c r="AD310" i="1"/>
  <c r="Q311" i="6"/>
  <c r="P311" i="6"/>
  <c r="O311" i="6"/>
  <c r="N311" i="6"/>
  <c r="M311" i="6"/>
  <c r="L311" i="6"/>
  <c r="K311" i="6"/>
  <c r="J311" i="6"/>
  <c r="I311" i="6"/>
  <c r="H311" i="6"/>
  <c r="G311" i="6"/>
  <c r="F311" i="6"/>
  <c r="E311" i="6"/>
  <c r="D311" i="6"/>
  <c r="C311" i="6"/>
  <c r="B311" i="6"/>
  <c r="A310" i="6"/>
  <c r="W310" i="6"/>
  <c r="V310" i="6"/>
  <c r="U310" i="6"/>
  <c r="T310" i="6"/>
  <c r="S310" i="6"/>
  <c r="R310" i="6"/>
  <c r="AA309" i="1"/>
  <c r="AD309" i="1"/>
  <c r="Q310" i="6"/>
  <c r="P310" i="6"/>
  <c r="O310" i="6"/>
  <c r="N310" i="6"/>
  <c r="M310" i="6"/>
  <c r="L310" i="6"/>
  <c r="K310" i="6"/>
  <c r="J310" i="6"/>
  <c r="I310" i="6"/>
  <c r="H310" i="6"/>
  <c r="G310" i="6"/>
  <c r="F310" i="6"/>
  <c r="E310" i="6"/>
  <c r="D310" i="6"/>
  <c r="C310" i="6"/>
  <c r="B310" i="6"/>
  <c r="A309" i="6"/>
  <c r="W309" i="6"/>
  <c r="V309" i="6"/>
  <c r="U309" i="6"/>
  <c r="T309" i="6"/>
  <c r="S309" i="6"/>
  <c r="R309" i="6"/>
  <c r="AA308" i="1"/>
  <c r="AD308" i="1"/>
  <c r="Q309" i="6"/>
  <c r="P309" i="6"/>
  <c r="O309" i="6"/>
  <c r="N309" i="6"/>
  <c r="M309" i="6"/>
  <c r="L309" i="6"/>
  <c r="K309" i="6"/>
  <c r="T308" i="1"/>
  <c r="J309" i="6"/>
  <c r="I309" i="6"/>
  <c r="H309" i="6"/>
  <c r="G309" i="6"/>
  <c r="F309" i="6"/>
  <c r="E309" i="6"/>
  <c r="D309" i="6"/>
  <c r="C309" i="6"/>
  <c r="B309" i="6"/>
  <c r="A308" i="6"/>
  <c r="W308" i="6"/>
  <c r="V308" i="6"/>
  <c r="U308" i="6"/>
  <c r="T308" i="6"/>
  <c r="S308" i="6"/>
  <c r="R308" i="6"/>
  <c r="AA307" i="1"/>
  <c r="AD307" i="1"/>
  <c r="Q308" i="6"/>
  <c r="P308" i="6"/>
  <c r="O308" i="6"/>
  <c r="N308" i="6"/>
  <c r="M308" i="6"/>
  <c r="L308" i="6"/>
  <c r="K308" i="6"/>
  <c r="J308" i="6"/>
  <c r="I308" i="6"/>
  <c r="H308" i="6"/>
  <c r="G308" i="6"/>
  <c r="F308" i="6"/>
  <c r="E308" i="6"/>
  <c r="D308" i="6"/>
  <c r="C308" i="6"/>
  <c r="B308" i="6"/>
  <c r="A307" i="6"/>
  <c r="W307" i="6"/>
  <c r="V307" i="6"/>
  <c r="U307" i="6"/>
  <c r="T307" i="6"/>
  <c r="S307" i="6"/>
  <c r="R307" i="6"/>
  <c r="AA306" i="1"/>
  <c r="AD306" i="1"/>
  <c r="Q307" i="6"/>
  <c r="P307" i="6"/>
  <c r="O307" i="6"/>
  <c r="N307" i="6"/>
  <c r="M307" i="6"/>
  <c r="L307" i="6"/>
  <c r="K307" i="6"/>
  <c r="J307" i="6"/>
  <c r="I307" i="6"/>
  <c r="H307" i="6"/>
  <c r="G307" i="6"/>
  <c r="F307" i="6"/>
  <c r="E307" i="6"/>
  <c r="D307" i="6"/>
  <c r="C307" i="6"/>
  <c r="B307" i="6"/>
  <c r="A306" i="6"/>
  <c r="W306" i="6"/>
  <c r="V306" i="6"/>
  <c r="U306" i="6"/>
  <c r="T306" i="6"/>
  <c r="S306" i="6"/>
  <c r="R306" i="6"/>
  <c r="AA305" i="1"/>
  <c r="AD305" i="1"/>
  <c r="Q306" i="6"/>
  <c r="P306" i="6"/>
  <c r="O306" i="6"/>
  <c r="N306" i="6"/>
  <c r="M306" i="6"/>
  <c r="L306" i="6"/>
  <c r="K306" i="6"/>
  <c r="T305" i="1"/>
  <c r="J306" i="6"/>
  <c r="I306" i="6"/>
  <c r="H306" i="6"/>
  <c r="G306" i="6"/>
  <c r="F306" i="6"/>
  <c r="E306" i="6"/>
  <c r="D306" i="6"/>
  <c r="C306" i="6"/>
  <c r="B306" i="6"/>
  <c r="A305" i="6"/>
  <c r="W305" i="6"/>
  <c r="V305" i="6"/>
  <c r="U305" i="6"/>
  <c r="T305" i="6"/>
  <c r="S305" i="6"/>
  <c r="R305" i="6"/>
  <c r="AA304" i="1"/>
  <c r="AD304" i="1"/>
  <c r="Q305" i="6"/>
  <c r="P305" i="6"/>
  <c r="O305" i="6"/>
  <c r="N305" i="6"/>
  <c r="M305" i="6"/>
  <c r="L305" i="6"/>
  <c r="K305" i="6"/>
  <c r="T304" i="1"/>
  <c r="J305" i="6"/>
  <c r="I305" i="6"/>
  <c r="H305" i="6"/>
  <c r="G305" i="6"/>
  <c r="F305" i="6"/>
  <c r="E305" i="6"/>
  <c r="D305" i="6"/>
  <c r="C305" i="6"/>
  <c r="B305" i="6"/>
  <c r="A304" i="6"/>
  <c r="W304" i="6"/>
  <c r="V304" i="6"/>
  <c r="U304" i="6"/>
  <c r="T304" i="6"/>
  <c r="S304" i="6"/>
  <c r="R304" i="6"/>
  <c r="AA303" i="1"/>
  <c r="AD303" i="1"/>
  <c r="Q304" i="6"/>
  <c r="P304" i="6"/>
  <c r="O304" i="6"/>
  <c r="N304" i="6"/>
  <c r="M304" i="6"/>
  <c r="L304" i="6"/>
  <c r="K304" i="6"/>
  <c r="T303" i="1"/>
  <c r="J304" i="6"/>
  <c r="I304" i="6"/>
  <c r="H304" i="6"/>
  <c r="G304" i="6"/>
  <c r="F304" i="6"/>
  <c r="E304" i="6"/>
  <c r="D304" i="6"/>
  <c r="C304" i="6"/>
  <c r="B304" i="6"/>
  <c r="A303" i="6"/>
  <c r="W303" i="6"/>
  <c r="V303" i="6"/>
  <c r="U303" i="6"/>
  <c r="T303" i="6"/>
  <c r="S303" i="6"/>
  <c r="R303" i="6"/>
  <c r="AA302" i="1"/>
  <c r="AD302" i="1"/>
  <c r="Q303" i="6"/>
  <c r="P303" i="6"/>
  <c r="O303" i="6"/>
  <c r="N303" i="6"/>
  <c r="M303" i="6"/>
  <c r="L303" i="6"/>
  <c r="K303" i="6"/>
  <c r="T302" i="1"/>
  <c r="J303" i="6"/>
  <c r="I303" i="6"/>
  <c r="H303" i="6"/>
  <c r="G303" i="6"/>
  <c r="F303" i="6"/>
  <c r="E303" i="6"/>
  <c r="D303" i="6"/>
  <c r="C303" i="6"/>
  <c r="B303" i="6"/>
  <c r="A302" i="6"/>
  <c r="W302" i="6"/>
  <c r="V302" i="6"/>
  <c r="U302" i="6"/>
  <c r="T302" i="6"/>
  <c r="S302" i="6"/>
  <c r="R302" i="6"/>
  <c r="AA301" i="1"/>
  <c r="AD301" i="1"/>
  <c r="Q302" i="6"/>
  <c r="P302" i="6"/>
  <c r="O302" i="6"/>
  <c r="N302" i="6"/>
  <c r="M302" i="6"/>
  <c r="L302" i="6"/>
  <c r="K302" i="6"/>
  <c r="J302" i="6"/>
  <c r="I302" i="6"/>
  <c r="H302" i="6"/>
  <c r="G302" i="6"/>
  <c r="F302" i="6"/>
  <c r="E302" i="6"/>
  <c r="D302" i="6"/>
  <c r="C302" i="6"/>
  <c r="B302" i="6"/>
  <c r="A301" i="6"/>
  <c r="W301" i="6"/>
  <c r="V301" i="6"/>
  <c r="U301" i="6"/>
  <c r="T301" i="6"/>
  <c r="S301" i="6"/>
  <c r="R301" i="6"/>
  <c r="AA300" i="1"/>
  <c r="AD300" i="1"/>
  <c r="Q301" i="6"/>
  <c r="P301" i="6"/>
  <c r="O301" i="6"/>
  <c r="N301" i="6"/>
  <c r="M301" i="6"/>
  <c r="L301" i="6"/>
  <c r="K301" i="6"/>
  <c r="J301" i="6"/>
  <c r="I301" i="6"/>
  <c r="H301" i="6"/>
  <c r="G301" i="6"/>
  <c r="F301" i="6"/>
  <c r="E301" i="6"/>
  <c r="D301" i="6"/>
  <c r="C301" i="6"/>
  <c r="B301" i="6"/>
  <c r="A300" i="6"/>
  <c r="W300" i="6"/>
  <c r="V300" i="6"/>
  <c r="U300" i="6"/>
  <c r="T300" i="6"/>
  <c r="S300" i="6"/>
  <c r="R300" i="6"/>
  <c r="AA299" i="1"/>
  <c r="AD299" i="1"/>
  <c r="Q300" i="6"/>
  <c r="P300" i="6"/>
  <c r="O300" i="6"/>
  <c r="N300" i="6"/>
  <c r="M300" i="6"/>
  <c r="L300" i="6"/>
  <c r="K300" i="6"/>
  <c r="T299" i="1"/>
  <c r="J300" i="6"/>
  <c r="I300" i="6"/>
  <c r="H300" i="6"/>
  <c r="G300" i="6"/>
  <c r="F300" i="6"/>
  <c r="E300" i="6"/>
  <c r="D300" i="6"/>
  <c r="C300" i="6"/>
  <c r="B300" i="6"/>
  <c r="A299" i="6"/>
  <c r="W299" i="6"/>
  <c r="V299" i="6"/>
  <c r="U299" i="6"/>
  <c r="T299" i="6"/>
  <c r="S299" i="6"/>
  <c r="R299" i="6"/>
  <c r="AA298" i="1"/>
  <c r="AD298" i="1"/>
  <c r="Q299" i="6"/>
  <c r="P299" i="6"/>
  <c r="O299" i="6"/>
  <c r="N299" i="6"/>
  <c r="M299" i="6"/>
  <c r="L299" i="6"/>
  <c r="K299" i="6"/>
  <c r="T298" i="1"/>
  <c r="J299" i="6"/>
  <c r="I299" i="6"/>
  <c r="H299" i="6"/>
  <c r="G299" i="6"/>
  <c r="F299" i="6"/>
  <c r="E299" i="6"/>
  <c r="D299" i="6"/>
  <c r="C299" i="6"/>
  <c r="B299" i="6"/>
  <c r="A298" i="6"/>
  <c r="W298" i="6"/>
  <c r="V298" i="6"/>
  <c r="U298" i="6"/>
  <c r="T298" i="6"/>
  <c r="S298" i="6"/>
  <c r="R298" i="6"/>
  <c r="AA297" i="1"/>
  <c r="AD297" i="1"/>
  <c r="Q298" i="6"/>
  <c r="P298" i="6"/>
  <c r="O298" i="6"/>
  <c r="N298" i="6"/>
  <c r="M298" i="6"/>
  <c r="L298" i="6"/>
  <c r="K298" i="6"/>
  <c r="T297" i="1"/>
  <c r="J298" i="6"/>
  <c r="I298" i="6"/>
  <c r="H298" i="6"/>
  <c r="G298" i="6"/>
  <c r="F298" i="6"/>
  <c r="E298" i="6"/>
  <c r="D298" i="6"/>
  <c r="C298" i="6"/>
  <c r="B298" i="6"/>
  <c r="A297" i="6"/>
  <c r="W297" i="6"/>
  <c r="V297" i="6"/>
  <c r="U297" i="6"/>
  <c r="T297" i="6"/>
  <c r="S297" i="6"/>
  <c r="R297" i="6"/>
  <c r="AA296" i="1"/>
  <c r="AD296" i="1"/>
  <c r="Q297" i="6"/>
  <c r="P297" i="6"/>
  <c r="O297" i="6"/>
  <c r="N297" i="6"/>
  <c r="M297" i="6"/>
  <c r="L297" i="6"/>
  <c r="K297" i="6"/>
  <c r="T296" i="1"/>
  <c r="J297" i="6"/>
  <c r="I297" i="6"/>
  <c r="H297" i="6"/>
  <c r="G297" i="6"/>
  <c r="F297" i="6"/>
  <c r="E297" i="6"/>
  <c r="D297" i="6"/>
  <c r="C297" i="6"/>
  <c r="B297" i="6"/>
  <c r="A296" i="6"/>
  <c r="W296" i="6"/>
  <c r="V296" i="6"/>
  <c r="U296" i="6"/>
  <c r="T296" i="6"/>
  <c r="S296" i="6"/>
  <c r="R296" i="6"/>
  <c r="AA295" i="1"/>
  <c r="AD295" i="1"/>
  <c r="Q296" i="6"/>
  <c r="P296" i="6"/>
  <c r="O296" i="6"/>
  <c r="N296" i="6"/>
  <c r="M296" i="6"/>
  <c r="L296" i="6"/>
  <c r="K296" i="6"/>
  <c r="J296" i="6"/>
  <c r="I296" i="6"/>
  <c r="H296" i="6"/>
  <c r="G296" i="6"/>
  <c r="F296" i="6"/>
  <c r="E296" i="6"/>
  <c r="D296" i="6"/>
  <c r="C296" i="6"/>
  <c r="B296" i="6"/>
  <c r="A295" i="6"/>
  <c r="W295" i="6"/>
  <c r="V295" i="6"/>
  <c r="U295" i="6"/>
  <c r="T295" i="6"/>
  <c r="S295" i="6"/>
  <c r="R295" i="6"/>
  <c r="AA294" i="1"/>
  <c r="AD294" i="1"/>
  <c r="Q295" i="6"/>
  <c r="P295" i="6"/>
  <c r="O295" i="6"/>
  <c r="N295" i="6"/>
  <c r="M295" i="6"/>
  <c r="L295" i="6"/>
  <c r="K295" i="6"/>
  <c r="J295" i="6"/>
  <c r="I295" i="6"/>
  <c r="H295" i="6"/>
  <c r="G295" i="6"/>
  <c r="F295" i="6"/>
  <c r="E295" i="6"/>
  <c r="D295" i="6"/>
  <c r="C295" i="6"/>
  <c r="B295" i="6"/>
  <c r="A294" i="6"/>
  <c r="W294" i="6"/>
  <c r="V294" i="6"/>
  <c r="U294" i="6"/>
  <c r="T294" i="6"/>
  <c r="S294" i="6"/>
  <c r="R294" i="6"/>
  <c r="AA293" i="1"/>
  <c r="AD293" i="1"/>
  <c r="Q294" i="6"/>
  <c r="P294" i="6"/>
  <c r="O294" i="6"/>
  <c r="N294" i="6"/>
  <c r="M294" i="6"/>
  <c r="L294" i="6"/>
  <c r="K294" i="6"/>
  <c r="T293" i="1"/>
  <c r="J294" i="6"/>
  <c r="I294" i="6"/>
  <c r="H294" i="6"/>
  <c r="G294" i="6"/>
  <c r="F294" i="6"/>
  <c r="E294" i="6"/>
  <c r="D294" i="6"/>
  <c r="C294" i="6"/>
  <c r="B294" i="6"/>
  <c r="A293" i="6"/>
  <c r="W293" i="6"/>
  <c r="V293" i="6"/>
  <c r="U293" i="6"/>
  <c r="T293" i="6"/>
  <c r="S293" i="6"/>
  <c r="R293" i="6"/>
  <c r="AA292" i="1"/>
  <c r="AD292" i="1"/>
  <c r="Q293" i="6"/>
  <c r="P293" i="6"/>
  <c r="O293" i="6"/>
  <c r="N293" i="6"/>
  <c r="M293" i="6"/>
  <c r="L293" i="6"/>
  <c r="K293" i="6"/>
  <c r="T292" i="1"/>
  <c r="J293" i="6"/>
  <c r="I293" i="6"/>
  <c r="H293" i="6"/>
  <c r="G293" i="6"/>
  <c r="F293" i="6"/>
  <c r="E293" i="6"/>
  <c r="D293" i="6"/>
  <c r="C293" i="6"/>
  <c r="B293" i="6"/>
  <c r="A292" i="6"/>
  <c r="W292" i="6"/>
  <c r="V292" i="6"/>
  <c r="U292" i="6"/>
  <c r="T292" i="6"/>
  <c r="S292" i="6"/>
  <c r="R292" i="6"/>
  <c r="AA291" i="1"/>
  <c r="AD291" i="1"/>
  <c r="Q292" i="6"/>
  <c r="P292" i="6"/>
  <c r="O292" i="6"/>
  <c r="N292" i="6"/>
  <c r="M292" i="6"/>
  <c r="L292" i="6"/>
  <c r="K292" i="6"/>
  <c r="T291" i="1"/>
  <c r="J292" i="6"/>
  <c r="I292" i="6"/>
  <c r="H292" i="6"/>
  <c r="G292" i="6"/>
  <c r="F292" i="6"/>
  <c r="E292" i="6"/>
  <c r="D292" i="6"/>
  <c r="C292" i="6"/>
  <c r="B292" i="6"/>
  <c r="A291" i="6"/>
  <c r="W291" i="6"/>
  <c r="V291" i="6"/>
  <c r="U291" i="6"/>
  <c r="T291" i="6"/>
  <c r="S291" i="6"/>
  <c r="R291" i="6"/>
  <c r="AA290" i="1"/>
  <c r="AD290" i="1"/>
  <c r="Q291" i="6"/>
  <c r="P291" i="6"/>
  <c r="O291" i="6"/>
  <c r="N291" i="6"/>
  <c r="M291" i="6"/>
  <c r="L291" i="6"/>
  <c r="K291" i="6"/>
  <c r="T290" i="1"/>
  <c r="J291" i="6"/>
  <c r="I291" i="6"/>
  <c r="H291" i="6"/>
  <c r="G291" i="6"/>
  <c r="F291" i="6"/>
  <c r="E291" i="6"/>
  <c r="D291" i="6"/>
  <c r="C291" i="6"/>
  <c r="B291" i="6"/>
  <c r="A290" i="6"/>
  <c r="W290" i="6"/>
  <c r="V290" i="6"/>
  <c r="U290" i="6"/>
  <c r="T290" i="6"/>
  <c r="S290" i="6"/>
  <c r="R290" i="6"/>
  <c r="AA289" i="1"/>
  <c r="AD289" i="1"/>
  <c r="Q290" i="6"/>
  <c r="P290" i="6"/>
  <c r="O290" i="6"/>
  <c r="N290" i="6"/>
  <c r="M290" i="6"/>
  <c r="L290" i="6"/>
  <c r="K290" i="6"/>
  <c r="J290" i="6"/>
  <c r="I290" i="6"/>
  <c r="H290" i="6"/>
  <c r="G290" i="6"/>
  <c r="F290" i="6"/>
  <c r="E290" i="6"/>
  <c r="D290" i="6"/>
  <c r="C290" i="6"/>
  <c r="B290" i="6"/>
  <c r="A289" i="6"/>
  <c r="W289" i="6"/>
  <c r="V289" i="6"/>
  <c r="U289" i="6"/>
  <c r="T289" i="6"/>
  <c r="S289" i="6"/>
  <c r="R289" i="6"/>
  <c r="AA288" i="1"/>
  <c r="AD288" i="1"/>
  <c r="Q289" i="6"/>
  <c r="P289" i="6"/>
  <c r="O289" i="6"/>
  <c r="N289" i="6"/>
  <c r="M289" i="6"/>
  <c r="L289" i="6"/>
  <c r="K289" i="6"/>
  <c r="J289" i="6"/>
  <c r="I289" i="6"/>
  <c r="H289" i="6"/>
  <c r="G289" i="6"/>
  <c r="F289" i="6"/>
  <c r="E289" i="6"/>
  <c r="D289" i="6"/>
  <c r="C289" i="6"/>
  <c r="B289" i="6"/>
  <c r="A288" i="6"/>
  <c r="W288" i="6"/>
  <c r="V288" i="6"/>
  <c r="U288" i="6"/>
  <c r="T288" i="6"/>
  <c r="S288" i="6"/>
  <c r="R288" i="6"/>
  <c r="AA287" i="1"/>
  <c r="AD287" i="1"/>
  <c r="Q288" i="6"/>
  <c r="P288" i="6"/>
  <c r="O288" i="6"/>
  <c r="N288" i="6"/>
  <c r="M288" i="6"/>
  <c r="L288" i="6"/>
  <c r="K288" i="6"/>
  <c r="T287" i="1"/>
  <c r="J288" i="6"/>
  <c r="I288" i="6"/>
  <c r="H288" i="6"/>
  <c r="G288" i="6"/>
  <c r="F288" i="6"/>
  <c r="E288" i="6"/>
  <c r="D288" i="6"/>
  <c r="C288" i="6"/>
  <c r="B288" i="6"/>
  <c r="A287" i="6"/>
  <c r="W287" i="6"/>
  <c r="V287" i="6"/>
  <c r="U287" i="6"/>
  <c r="T287" i="6"/>
  <c r="S287" i="6"/>
  <c r="R287" i="6"/>
  <c r="AA286" i="1"/>
  <c r="AD286" i="1"/>
  <c r="Q287" i="6"/>
  <c r="P287" i="6"/>
  <c r="O287" i="6"/>
  <c r="N287" i="6"/>
  <c r="M287" i="6"/>
  <c r="L287" i="6"/>
  <c r="K287" i="6"/>
  <c r="T286" i="1"/>
  <c r="J287" i="6"/>
  <c r="I287" i="6"/>
  <c r="H287" i="6"/>
  <c r="G287" i="6"/>
  <c r="F287" i="6"/>
  <c r="E287" i="6"/>
  <c r="D287" i="6"/>
  <c r="C287" i="6"/>
  <c r="B287" i="6"/>
  <c r="A286" i="6"/>
  <c r="W286" i="6"/>
  <c r="V286" i="6"/>
  <c r="U286" i="6"/>
  <c r="T286" i="6"/>
  <c r="S286" i="6"/>
  <c r="R286" i="6"/>
  <c r="AA285" i="1"/>
  <c r="AD285" i="1"/>
  <c r="Q286" i="6"/>
  <c r="P286" i="6"/>
  <c r="O286" i="6"/>
  <c r="N286" i="6"/>
  <c r="M286" i="6"/>
  <c r="L286" i="6"/>
  <c r="K286" i="6"/>
  <c r="T285" i="1"/>
  <c r="J286" i="6"/>
  <c r="I286" i="6"/>
  <c r="H286" i="6"/>
  <c r="G286" i="6"/>
  <c r="F286" i="6"/>
  <c r="E286" i="6"/>
  <c r="D286" i="6"/>
  <c r="C286" i="6"/>
  <c r="B286" i="6"/>
  <c r="A285" i="6"/>
  <c r="W285" i="6"/>
  <c r="V285" i="6"/>
  <c r="U285" i="6"/>
  <c r="T285" i="6"/>
  <c r="S285" i="6"/>
  <c r="R285" i="6"/>
  <c r="AA284" i="1"/>
  <c r="AD284" i="1"/>
  <c r="Q285" i="6"/>
  <c r="P285" i="6"/>
  <c r="O285" i="6"/>
  <c r="N285" i="6"/>
  <c r="M285" i="6"/>
  <c r="L285" i="6"/>
  <c r="K285" i="6"/>
  <c r="T284" i="1"/>
  <c r="J285" i="6"/>
  <c r="I285" i="6"/>
  <c r="H285" i="6"/>
  <c r="G285" i="6"/>
  <c r="F285" i="6"/>
  <c r="E285" i="6"/>
  <c r="D285" i="6"/>
  <c r="C285" i="6"/>
  <c r="B285" i="6"/>
  <c r="A284" i="6"/>
  <c r="W284" i="6"/>
  <c r="V284" i="6"/>
  <c r="U284" i="6"/>
  <c r="T284" i="6"/>
  <c r="S284" i="6"/>
  <c r="R284" i="6"/>
  <c r="AA283" i="1"/>
  <c r="AD283" i="1"/>
  <c r="Q284" i="6"/>
  <c r="P284" i="6"/>
  <c r="O284" i="6"/>
  <c r="N284" i="6"/>
  <c r="M284" i="6"/>
  <c r="L284" i="6"/>
  <c r="K284" i="6"/>
  <c r="J284" i="6"/>
  <c r="I284" i="6"/>
  <c r="H284" i="6"/>
  <c r="G284" i="6"/>
  <c r="F284" i="6"/>
  <c r="E284" i="6"/>
  <c r="D284" i="6"/>
  <c r="C284" i="6"/>
  <c r="B284" i="6"/>
  <c r="A283" i="6"/>
  <c r="W283" i="6"/>
  <c r="V283" i="6"/>
  <c r="U283" i="6"/>
  <c r="T283" i="6"/>
  <c r="S283" i="6"/>
  <c r="R283" i="6"/>
  <c r="AA282" i="1"/>
  <c r="AD282" i="1"/>
  <c r="Q283" i="6"/>
  <c r="P283" i="6"/>
  <c r="O283" i="6"/>
  <c r="N283" i="6"/>
  <c r="M283" i="6"/>
  <c r="L283" i="6"/>
  <c r="K283" i="6"/>
  <c r="J283" i="6"/>
  <c r="I283" i="6"/>
  <c r="H283" i="6"/>
  <c r="G283" i="6"/>
  <c r="F283" i="6"/>
  <c r="E283" i="6"/>
  <c r="D283" i="6"/>
  <c r="C283" i="6"/>
  <c r="B283" i="6"/>
  <c r="A282" i="6"/>
  <c r="W282" i="6"/>
  <c r="V282" i="6"/>
  <c r="U282" i="6"/>
  <c r="T282" i="6"/>
  <c r="S282" i="6"/>
  <c r="R282" i="6"/>
  <c r="AA281" i="1"/>
  <c r="AD281" i="1"/>
  <c r="Q282" i="6"/>
  <c r="P282" i="6"/>
  <c r="O282" i="6"/>
  <c r="N282" i="6"/>
  <c r="M282" i="6"/>
  <c r="L282" i="6"/>
  <c r="K282" i="6"/>
  <c r="J282" i="6"/>
  <c r="I282" i="6"/>
  <c r="H282" i="6"/>
  <c r="G282" i="6"/>
  <c r="F282" i="6"/>
  <c r="E282" i="6"/>
  <c r="D282" i="6"/>
  <c r="C282" i="6"/>
  <c r="B282" i="6"/>
  <c r="A281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K281" i="6"/>
  <c r="J281" i="6"/>
  <c r="I281" i="6"/>
  <c r="H281" i="6"/>
  <c r="G281" i="6"/>
  <c r="F281" i="6"/>
  <c r="E281" i="6"/>
  <c r="D281" i="6"/>
  <c r="C281" i="6"/>
  <c r="B281" i="6"/>
  <c r="A280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K280" i="6"/>
  <c r="J280" i="6"/>
  <c r="I280" i="6"/>
  <c r="H280" i="6"/>
  <c r="G280" i="6"/>
  <c r="F280" i="6"/>
  <c r="E280" i="6"/>
  <c r="D280" i="6"/>
  <c r="C280" i="6"/>
  <c r="B280" i="6"/>
  <c r="A279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K279" i="6"/>
  <c r="J279" i="6"/>
  <c r="I279" i="6"/>
  <c r="H279" i="6"/>
  <c r="G279" i="6"/>
  <c r="F279" i="6"/>
  <c r="E279" i="6"/>
  <c r="D279" i="6"/>
  <c r="C279" i="6"/>
  <c r="B279" i="6"/>
  <c r="A278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K278" i="6"/>
  <c r="J278" i="6"/>
  <c r="I278" i="6"/>
  <c r="H278" i="6"/>
  <c r="G278" i="6"/>
  <c r="F278" i="6"/>
  <c r="E278" i="6"/>
  <c r="D278" i="6"/>
  <c r="C278" i="6"/>
  <c r="B278" i="6"/>
  <c r="A277" i="6"/>
  <c r="W277" i="6"/>
  <c r="V277" i="6"/>
  <c r="U277" i="6"/>
  <c r="T277" i="6"/>
  <c r="S277" i="6"/>
  <c r="R277" i="6"/>
  <c r="AA276" i="1"/>
  <c r="AD276" i="1"/>
  <c r="Q277" i="6"/>
  <c r="P277" i="6"/>
  <c r="O277" i="6"/>
  <c r="N277" i="6"/>
  <c r="M277" i="6"/>
  <c r="L277" i="6"/>
  <c r="K277" i="6"/>
  <c r="J277" i="6"/>
  <c r="I277" i="6"/>
  <c r="H277" i="6"/>
  <c r="G277" i="6"/>
  <c r="F277" i="6"/>
  <c r="E277" i="6"/>
  <c r="D277" i="6"/>
  <c r="C277" i="6"/>
  <c r="B277" i="6"/>
  <c r="A276" i="6"/>
  <c r="W276" i="6"/>
  <c r="V276" i="6"/>
  <c r="U276" i="6"/>
  <c r="T276" i="6"/>
  <c r="S276" i="6"/>
  <c r="R276" i="6"/>
  <c r="AA275" i="1"/>
  <c r="AD275" i="1"/>
  <c r="Q276" i="6"/>
  <c r="P276" i="6"/>
  <c r="O276" i="6"/>
  <c r="N276" i="6"/>
  <c r="M276" i="6"/>
  <c r="L276" i="6"/>
  <c r="K276" i="6"/>
  <c r="J276" i="6"/>
  <c r="I276" i="6"/>
  <c r="H276" i="6"/>
  <c r="G276" i="6"/>
  <c r="F276" i="6"/>
  <c r="E276" i="6"/>
  <c r="D276" i="6"/>
  <c r="C276" i="6"/>
  <c r="B276" i="6"/>
  <c r="A275" i="6"/>
  <c r="W275" i="6"/>
  <c r="V275" i="6"/>
  <c r="U275" i="6"/>
  <c r="T275" i="6"/>
  <c r="S275" i="6"/>
  <c r="R275" i="6"/>
  <c r="AA274" i="1"/>
  <c r="AD274" i="1"/>
  <c r="Q275" i="6"/>
  <c r="P275" i="6"/>
  <c r="O275" i="6"/>
  <c r="N275" i="6"/>
  <c r="M275" i="6"/>
  <c r="L275" i="6"/>
  <c r="K275" i="6"/>
  <c r="J275" i="6"/>
  <c r="I275" i="6"/>
  <c r="H275" i="6"/>
  <c r="G275" i="6"/>
  <c r="F275" i="6"/>
  <c r="E275" i="6"/>
  <c r="D275" i="6"/>
  <c r="C275" i="6"/>
  <c r="B275" i="6"/>
  <c r="A274" i="6"/>
  <c r="W274" i="6"/>
  <c r="V274" i="6"/>
  <c r="U274" i="6"/>
  <c r="T274" i="6"/>
  <c r="S274" i="6"/>
  <c r="R274" i="6"/>
  <c r="AA273" i="1"/>
  <c r="AD273" i="1"/>
  <c r="Q274" i="6"/>
  <c r="P274" i="6"/>
  <c r="O274" i="6"/>
  <c r="N274" i="6"/>
  <c r="M274" i="6"/>
  <c r="L274" i="6"/>
  <c r="K274" i="6"/>
  <c r="J274" i="6"/>
  <c r="I274" i="6"/>
  <c r="H274" i="6"/>
  <c r="G274" i="6"/>
  <c r="F274" i="6"/>
  <c r="E274" i="6"/>
  <c r="D274" i="6"/>
  <c r="C274" i="6"/>
  <c r="B274" i="6"/>
  <c r="A273" i="6"/>
  <c r="W273" i="6"/>
  <c r="V273" i="6"/>
  <c r="U273" i="6"/>
  <c r="T273" i="6"/>
  <c r="S273" i="6"/>
  <c r="R273" i="6"/>
  <c r="AA272" i="1"/>
  <c r="AD272" i="1"/>
  <c r="Q273" i="6"/>
  <c r="P273" i="6"/>
  <c r="O273" i="6"/>
  <c r="N273" i="6"/>
  <c r="M273" i="6"/>
  <c r="L273" i="6"/>
  <c r="K273" i="6"/>
  <c r="J273" i="6"/>
  <c r="I273" i="6"/>
  <c r="H273" i="6"/>
  <c r="G273" i="6"/>
  <c r="F273" i="6"/>
  <c r="E273" i="6"/>
  <c r="D273" i="6"/>
  <c r="C273" i="6"/>
  <c r="B273" i="6"/>
  <c r="A272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K272" i="6"/>
  <c r="J272" i="6"/>
  <c r="I272" i="6"/>
  <c r="H272" i="6"/>
  <c r="G272" i="6"/>
  <c r="F272" i="6"/>
  <c r="E272" i="6"/>
  <c r="D272" i="6"/>
  <c r="C272" i="6"/>
  <c r="B272" i="6"/>
  <c r="A271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K271" i="6"/>
  <c r="J271" i="6"/>
  <c r="I271" i="6"/>
  <c r="H271" i="6"/>
  <c r="G271" i="6"/>
  <c r="F271" i="6"/>
  <c r="E271" i="6"/>
  <c r="D271" i="6"/>
  <c r="C271" i="6"/>
  <c r="B271" i="6"/>
  <c r="A270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K270" i="6"/>
  <c r="J270" i="6"/>
  <c r="I270" i="6"/>
  <c r="H270" i="6"/>
  <c r="G270" i="6"/>
  <c r="F270" i="6"/>
  <c r="E270" i="6"/>
  <c r="D270" i="6"/>
  <c r="C270" i="6"/>
  <c r="B270" i="6"/>
  <c r="A269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K269" i="6"/>
  <c r="J269" i="6"/>
  <c r="I269" i="6"/>
  <c r="H269" i="6"/>
  <c r="G269" i="6"/>
  <c r="F269" i="6"/>
  <c r="E269" i="6"/>
  <c r="D269" i="6"/>
  <c r="C269" i="6"/>
  <c r="B269" i="6"/>
  <c r="A268" i="6"/>
  <c r="W268" i="6"/>
  <c r="V268" i="6"/>
  <c r="U268" i="6"/>
  <c r="T268" i="6"/>
  <c r="S268" i="6"/>
  <c r="R268" i="6"/>
  <c r="AA267" i="1"/>
  <c r="AD267" i="1"/>
  <c r="Q268" i="6"/>
  <c r="P268" i="6"/>
  <c r="O268" i="6"/>
  <c r="N268" i="6"/>
  <c r="M268" i="6"/>
  <c r="L268" i="6"/>
  <c r="K268" i="6"/>
  <c r="J268" i="6"/>
  <c r="I268" i="6"/>
  <c r="H268" i="6"/>
  <c r="G268" i="6"/>
  <c r="F268" i="6"/>
  <c r="E268" i="6"/>
  <c r="D268" i="6"/>
  <c r="C268" i="6"/>
  <c r="B268" i="6"/>
  <c r="A267" i="6"/>
  <c r="W267" i="6"/>
  <c r="V267" i="6"/>
  <c r="U267" i="6"/>
  <c r="T267" i="6"/>
  <c r="S267" i="6"/>
  <c r="R267" i="6"/>
  <c r="AA266" i="1"/>
  <c r="AD266" i="1"/>
  <c r="Q267" i="6"/>
  <c r="P267" i="6"/>
  <c r="O267" i="6"/>
  <c r="N267" i="6"/>
  <c r="M267" i="6"/>
  <c r="L267" i="6"/>
  <c r="K267" i="6"/>
  <c r="J267" i="6"/>
  <c r="I267" i="6"/>
  <c r="H267" i="6"/>
  <c r="G267" i="6"/>
  <c r="F267" i="6"/>
  <c r="E267" i="6"/>
  <c r="D267" i="6"/>
  <c r="C267" i="6"/>
  <c r="B267" i="6"/>
  <c r="A266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K266" i="6"/>
  <c r="J266" i="6"/>
  <c r="I266" i="6"/>
  <c r="H266" i="6"/>
  <c r="G266" i="6"/>
  <c r="F266" i="6"/>
  <c r="E266" i="6"/>
  <c r="D266" i="6"/>
  <c r="C266" i="6"/>
  <c r="B266" i="6"/>
  <c r="A265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K265" i="6"/>
  <c r="J265" i="6"/>
  <c r="I265" i="6"/>
  <c r="H265" i="6"/>
  <c r="G265" i="6"/>
  <c r="F265" i="6"/>
  <c r="E265" i="6"/>
  <c r="D265" i="6"/>
  <c r="C265" i="6"/>
  <c r="B265" i="6"/>
  <c r="A264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K264" i="6"/>
  <c r="J264" i="6"/>
  <c r="I264" i="6"/>
  <c r="H264" i="6"/>
  <c r="G264" i="6"/>
  <c r="F264" i="6"/>
  <c r="E264" i="6"/>
  <c r="D264" i="6"/>
  <c r="C264" i="6"/>
  <c r="B264" i="6"/>
  <c r="A263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K263" i="6"/>
  <c r="J263" i="6"/>
  <c r="I263" i="6"/>
  <c r="H263" i="6"/>
  <c r="G263" i="6"/>
  <c r="F263" i="6"/>
  <c r="E263" i="6"/>
  <c r="D263" i="6"/>
  <c r="C263" i="6"/>
  <c r="B263" i="6"/>
  <c r="A262" i="6"/>
  <c r="W262" i="6"/>
  <c r="V262" i="6"/>
  <c r="U262" i="6"/>
  <c r="T262" i="6"/>
  <c r="S262" i="6"/>
  <c r="R262" i="6"/>
  <c r="AA261" i="1"/>
  <c r="AD261" i="1"/>
  <c r="Q262" i="6"/>
  <c r="P262" i="6"/>
  <c r="O262" i="6"/>
  <c r="N262" i="6"/>
  <c r="M262" i="6"/>
  <c r="L262" i="6"/>
  <c r="K262" i="6"/>
  <c r="J262" i="6"/>
  <c r="I262" i="6"/>
  <c r="H262" i="6"/>
  <c r="G262" i="6"/>
  <c r="F262" i="6"/>
  <c r="E262" i="6"/>
  <c r="D262" i="6"/>
  <c r="C262" i="6"/>
  <c r="B262" i="6"/>
  <c r="A261" i="6"/>
  <c r="W261" i="6"/>
  <c r="V261" i="6"/>
  <c r="U261" i="6"/>
  <c r="T261" i="6"/>
  <c r="S261" i="6"/>
  <c r="R261" i="6"/>
  <c r="AA260" i="1"/>
  <c r="AD260" i="1"/>
  <c r="Q261" i="6"/>
  <c r="P261" i="6"/>
  <c r="O261" i="6"/>
  <c r="N261" i="6"/>
  <c r="M261" i="6"/>
  <c r="L261" i="6"/>
  <c r="K261" i="6"/>
  <c r="J261" i="6"/>
  <c r="I261" i="6"/>
  <c r="H261" i="6"/>
  <c r="G261" i="6"/>
  <c r="F261" i="6"/>
  <c r="E261" i="6"/>
  <c r="D261" i="6"/>
  <c r="C261" i="6"/>
  <c r="B261" i="6"/>
  <c r="A260" i="6"/>
  <c r="W260" i="6"/>
  <c r="V260" i="6"/>
  <c r="U260" i="6"/>
  <c r="T260" i="6"/>
  <c r="S260" i="6"/>
  <c r="R260" i="6"/>
  <c r="AA259" i="1"/>
  <c r="AD259" i="1"/>
  <c r="Q260" i="6"/>
  <c r="P260" i="6"/>
  <c r="O260" i="6"/>
  <c r="N260" i="6"/>
  <c r="M260" i="6"/>
  <c r="L260" i="6"/>
  <c r="K260" i="6"/>
  <c r="J260" i="6"/>
  <c r="I260" i="6"/>
  <c r="H260" i="6"/>
  <c r="G260" i="6"/>
  <c r="F260" i="6"/>
  <c r="E260" i="6"/>
  <c r="D260" i="6"/>
  <c r="C260" i="6"/>
  <c r="B260" i="6"/>
  <c r="A259" i="6"/>
  <c r="W259" i="6"/>
  <c r="V259" i="6"/>
  <c r="U259" i="6"/>
  <c r="T259" i="6"/>
  <c r="S259" i="6"/>
  <c r="R259" i="6"/>
  <c r="AA258" i="1"/>
  <c r="AD258" i="1"/>
  <c r="Q259" i="6"/>
  <c r="P259" i="6"/>
  <c r="O259" i="6"/>
  <c r="N259" i="6"/>
  <c r="M259" i="6"/>
  <c r="L259" i="6"/>
  <c r="K259" i="6"/>
  <c r="J259" i="6"/>
  <c r="I259" i="6"/>
  <c r="H259" i="6"/>
  <c r="G259" i="6"/>
  <c r="F259" i="6"/>
  <c r="E259" i="6"/>
  <c r="D259" i="6"/>
  <c r="C259" i="6"/>
  <c r="B259" i="6"/>
  <c r="A258" i="6"/>
  <c r="W258" i="6"/>
  <c r="V258" i="6"/>
  <c r="U258" i="6"/>
  <c r="T258" i="6"/>
  <c r="S258" i="6"/>
  <c r="R258" i="6"/>
  <c r="AA257" i="1"/>
  <c r="AD257" i="1"/>
  <c r="Q258" i="6"/>
  <c r="P258" i="6"/>
  <c r="O258" i="6"/>
  <c r="N258" i="6"/>
  <c r="M258" i="6"/>
  <c r="L258" i="6"/>
  <c r="K258" i="6"/>
  <c r="J258" i="6"/>
  <c r="I258" i="6"/>
  <c r="H258" i="6"/>
  <c r="G258" i="6"/>
  <c r="F258" i="6"/>
  <c r="E258" i="6"/>
  <c r="D258" i="6"/>
  <c r="C258" i="6"/>
  <c r="B258" i="6"/>
  <c r="A257" i="6"/>
  <c r="W257" i="6"/>
  <c r="V257" i="6"/>
  <c r="U257" i="6"/>
  <c r="T257" i="6"/>
  <c r="S257" i="6"/>
  <c r="R257" i="6"/>
  <c r="AA256" i="1"/>
  <c r="AD256" i="1"/>
  <c r="Q257" i="6"/>
  <c r="P257" i="6"/>
  <c r="O257" i="6"/>
  <c r="N257" i="6"/>
  <c r="M257" i="6"/>
  <c r="L257" i="6"/>
  <c r="K257" i="6"/>
  <c r="J257" i="6"/>
  <c r="I257" i="6"/>
  <c r="H257" i="6"/>
  <c r="G257" i="6"/>
  <c r="F257" i="6"/>
  <c r="E257" i="6"/>
  <c r="D257" i="6"/>
  <c r="C257" i="6"/>
  <c r="B257" i="6"/>
  <c r="A256" i="6"/>
  <c r="W256" i="6"/>
  <c r="V256" i="6"/>
  <c r="U256" i="6"/>
  <c r="T256" i="6"/>
  <c r="S256" i="6"/>
  <c r="R256" i="6"/>
  <c r="AA255" i="1"/>
  <c r="AD255" i="1"/>
  <c r="Q256" i="6"/>
  <c r="P256" i="6"/>
  <c r="O256" i="6"/>
  <c r="N256" i="6"/>
  <c r="M256" i="6"/>
  <c r="L256" i="6"/>
  <c r="K256" i="6"/>
  <c r="T255" i="1"/>
  <c r="J256" i="6"/>
  <c r="I256" i="6"/>
  <c r="H256" i="6"/>
  <c r="G256" i="6"/>
  <c r="F256" i="6"/>
  <c r="E256" i="6"/>
  <c r="D256" i="6"/>
  <c r="C256" i="6"/>
  <c r="B256" i="6"/>
  <c r="A255" i="6"/>
  <c r="W255" i="6"/>
  <c r="V255" i="6"/>
  <c r="U255" i="6"/>
  <c r="T255" i="6"/>
  <c r="S255" i="6"/>
  <c r="R255" i="6"/>
  <c r="AA254" i="1"/>
  <c r="AD254" i="1"/>
  <c r="Q255" i="6"/>
  <c r="P255" i="6"/>
  <c r="O255" i="6"/>
  <c r="N255" i="6"/>
  <c r="M255" i="6"/>
  <c r="L255" i="6"/>
  <c r="K255" i="6"/>
  <c r="T254" i="1"/>
  <c r="J255" i="6"/>
  <c r="I255" i="6"/>
  <c r="H255" i="6"/>
  <c r="G255" i="6"/>
  <c r="F255" i="6"/>
  <c r="E255" i="6"/>
  <c r="D255" i="6"/>
  <c r="C255" i="6"/>
  <c r="B255" i="6"/>
  <c r="A254" i="6"/>
  <c r="W254" i="6"/>
  <c r="V254" i="6"/>
  <c r="U254" i="6"/>
  <c r="T254" i="6"/>
  <c r="S254" i="6"/>
  <c r="R254" i="6"/>
  <c r="AA253" i="1"/>
  <c r="AD253" i="1"/>
  <c r="Q254" i="6"/>
  <c r="P254" i="6"/>
  <c r="O254" i="6"/>
  <c r="N254" i="6"/>
  <c r="M254" i="6"/>
  <c r="L254" i="6"/>
  <c r="K254" i="6"/>
  <c r="T253" i="1"/>
  <c r="J254" i="6"/>
  <c r="I254" i="6"/>
  <c r="H254" i="6"/>
  <c r="G254" i="6"/>
  <c r="F254" i="6"/>
  <c r="E254" i="6"/>
  <c r="D254" i="6"/>
  <c r="C254" i="6"/>
  <c r="B254" i="6"/>
  <c r="A253" i="6"/>
  <c r="W253" i="6"/>
  <c r="V253" i="6"/>
  <c r="U253" i="6"/>
  <c r="T253" i="6"/>
  <c r="S253" i="6"/>
  <c r="R253" i="6"/>
  <c r="AA252" i="1"/>
  <c r="AD252" i="1"/>
  <c r="Q253" i="6"/>
  <c r="P253" i="6"/>
  <c r="O253" i="6"/>
  <c r="N253" i="6"/>
  <c r="M253" i="6"/>
  <c r="L253" i="6"/>
  <c r="K253" i="6"/>
  <c r="T252" i="1"/>
  <c r="J253" i="6"/>
  <c r="I253" i="6"/>
  <c r="H253" i="6"/>
  <c r="G253" i="6"/>
  <c r="F253" i="6"/>
  <c r="E253" i="6"/>
  <c r="D253" i="6"/>
  <c r="C253" i="6"/>
  <c r="B253" i="6"/>
  <c r="A252" i="6"/>
  <c r="W252" i="6"/>
  <c r="V252" i="6"/>
  <c r="U252" i="6"/>
  <c r="T252" i="6"/>
  <c r="S252" i="6"/>
  <c r="R252" i="6"/>
  <c r="AA251" i="1"/>
  <c r="AD251" i="1"/>
  <c r="Q252" i="6"/>
  <c r="P252" i="6"/>
  <c r="O252" i="6"/>
  <c r="N252" i="6"/>
  <c r="M252" i="6"/>
  <c r="L252" i="6"/>
  <c r="K252" i="6"/>
  <c r="J252" i="6"/>
  <c r="I252" i="6"/>
  <c r="H252" i="6"/>
  <c r="G252" i="6"/>
  <c r="F252" i="6"/>
  <c r="E252" i="6"/>
  <c r="D252" i="6"/>
  <c r="C252" i="6"/>
  <c r="B252" i="6"/>
  <c r="A251" i="6"/>
  <c r="W251" i="6"/>
  <c r="V251" i="6"/>
  <c r="U251" i="6"/>
  <c r="T251" i="6"/>
  <c r="S251" i="6"/>
  <c r="R251" i="6"/>
  <c r="AA250" i="1"/>
  <c r="AD250" i="1"/>
  <c r="Q251" i="6"/>
  <c r="P251" i="6"/>
  <c r="O251" i="6"/>
  <c r="N251" i="6"/>
  <c r="M251" i="6"/>
  <c r="L251" i="6"/>
  <c r="K251" i="6"/>
  <c r="J251" i="6"/>
  <c r="I251" i="6"/>
  <c r="H251" i="6"/>
  <c r="G251" i="6"/>
  <c r="F251" i="6"/>
  <c r="E251" i="6"/>
  <c r="D251" i="6"/>
  <c r="C251" i="6"/>
  <c r="B251" i="6"/>
  <c r="A250" i="6"/>
  <c r="W250" i="6"/>
  <c r="V250" i="6"/>
  <c r="U250" i="6"/>
  <c r="T250" i="6"/>
  <c r="S250" i="6"/>
  <c r="R250" i="6"/>
  <c r="AA249" i="1"/>
  <c r="AD249" i="1"/>
  <c r="Q250" i="6"/>
  <c r="P250" i="6"/>
  <c r="O250" i="6"/>
  <c r="N250" i="6"/>
  <c r="M250" i="6"/>
  <c r="L250" i="6"/>
  <c r="K250" i="6"/>
  <c r="J250" i="6"/>
  <c r="I250" i="6"/>
  <c r="H250" i="6"/>
  <c r="G250" i="6"/>
  <c r="F250" i="6"/>
  <c r="E250" i="6"/>
  <c r="D250" i="6"/>
  <c r="C250" i="6"/>
  <c r="B250" i="6"/>
  <c r="A249" i="6"/>
  <c r="W249" i="6"/>
  <c r="V249" i="6"/>
  <c r="U249" i="6"/>
  <c r="T249" i="6"/>
  <c r="S249" i="6"/>
  <c r="R249" i="6"/>
  <c r="AA248" i="1"/>
  <c r="AD248" i="1"/>
  <c r="Q249" i="6"/>
  <c r="P249" i="6"/>
  <c r="O249" i="6"/>
  <c r="N249" i="6"/>
  <c r="M249" i="6"/>
  <c r="L249" i="6"/>
  <c r="K249" i="6"/>
  <c r="J249" i="6"/>
  <c r="I249" i="6"/>
  <c r="H249" i="6"/>
  <c r="G249" i="6"/>
  <c r="F249" i="6"/>
  <c r="E249" i="6"/>
  <c r="D249" i="6"/>
  <c r="C249" i="6"/>
  <c r="B249" i="6"/>
  <c r="A248" i="6"/>
  <c r="W248" i="6"/>
  <c r="V248" i="6"/>
  <c r="U248" i="6"/>
  <c r="T248" i="6"/>
  <c r="S248" i="6"/>
  <c r="R248" i="6"/>
  <c r="AA247" i="1"/>
  <c r="AD247" i="1"/>
  <c r="Q248" i="6"/>
  <c r="P248" i="6"/>
  <c r="O248" i="6"/>
  <c r="N248" i="6"/>
  <c r="M248" i="6"/>
  <c r="L248" i="6"/>
  <c r="K248" i="6"/>
  <c r="T247" i="1"/>
  <c r="J248" i="6"/>
  <c r="I248" i="6"/>
  <c r="H248" i="6"/>
  <c r="G248" i="6"/>
  <c r="F248" i="6"/>
  <c r="E248" i="6"/>
  <c r="D248" i="6"/>
  <c r="C248" i="6"/>
  <c r="B248" i="6"/>
  <c r="A247" i="6"/>
  <c r="W247" i="6"/>
  <c r="V247" i="6"/>
  <c r="U247" i="6"/>
  <c r="T247" i="6"/>
  <c r="S247" i="6"/>
  <c r="R247" i="6"/>
  <c r="AA246" i="1"/>
  <c r="AD246" i="1"/>
  <c r="Q247" i="6"/>
  <c r="P247" i="6"/>
  <c r="O247" i="6"/>
  <c r="N247" i="6"/>
  <c r="M247" i="6"/>
  <c r="L247" i="6"/>
  <c r="K247" i="6"/>
  <c r="T246" i="1"/>
  <c r="J247" i="6"/>
  <c r="I247" i="6"/>
  <c r="H247" i="6"/>
  <c r="G247" i="6"/>
  <c r="F247" i="6"/>
  <c r="E247" i="6"/>
  <c r="D247" i="6"/>
  <c r="C247" i="6"/>
  <c r="B247" i="6"/>
  <c r="A246" i="6"/>
  <c r="W246" i="6"/>
  <c r="V246" i="6"/>
  <c r="U246" i="6"/>
  <c r="T246" i="6"/>
  <c r="S246" i="6"/>
  <c r="R246" i="6"/>
  <c r="AA245" i="1"/>
  <c r="AD245" i="1"/>
  <c r="Q246" i="6"/>
  <c r="P246" i="6"/>
  <c r="O246" i="6"/>
  <c r="N246" i="6"/>
  <c r="M246" i="6"/>
  <c r="L246" i="6"/>
  <c r="K246" i="6"/>
  <c r="T245" i="1"/>
  <c r="J246" i="6"/>
  <c r="I246" i="6"/>
  <c r="H246" i="6"/>
  <c r="G246" i="6"/>
  <c r="F246" i="6"/>
  <c r="E246" i="6"/>
  <c r="D246" i="6"/>
  <c r="C246" i="6"/>
  <c r="B246" i="6"/>
  <c r="A245" i="6"/>
  <c r="W245" i="6"/>
  <c r="V245" i="6"/>
  <c r="U245" i="6"/>
  <c r="T245" i="6"/>
  <c r="S245" i="6"/>
  <c r="R245" i="6"/>
  <c r="AA244" i="1"/>
  <c r="AD244" i="1"/>
  <c r="Q245" i="6"/>
  <c r="P245" i="6"/>
  <c r="O245" i="6"/>
  <c r="N245" i="6"/>
  <c r="M245" i="6"/>
  <c r="L245" i="6"/>
  <c r="K245" i="6"/>
  <c r="T244" i="1"/>
  <c r="J245" i="6"/>
  <c r="I245" i="6"/>
  <c r="H245" i="6"/>
  <c r="G245" i="6"/>
  <c r="F245" i="6"/>
  <c r="E245" i="6"/>
  <c r="D245" i="6"/>
  <c r="C245" i="6"/>
  <c r="B245" i="6"/>
  <c r="A244" i="6"/>
  <c r="W244" i="6"/>
  <c r="V244" i="6"/>
  <c r="U244" i="6"/>
  <c r="T244" i="6"/>
  <c r="S244" i="6"/>
  <c r="R244" i="6"/>
  <c r="AA243" i="1"/>
  <c r="AD243" i="1"/>
  <c r="Q244" i="6"/>
  <c r="P244" i="6"/>
  <c r="O244" i="6"/>
  <c r="N244" i="6"/>
  <c r="M244" i="6"/>
  <c r="L244" i="6"/>
  <c r="K244" i="6"/>
  <c r="J244" i="6"/>
  <c r="I244" i="6"/>
  <c r="H244" i="6"/>
  <c r="G244" i="6"/>
  <c r="F244" i="6"/>
  <c r="E244" i="6"/>
  <c r="D244" i="6"/>
  <c r="C244" i="6"/>
  <c r="B244" i="6"/>
  <c r="A243" i="6"/>
  <c r="W243" i="6"/>
  <c r="V243" i="6"/>
  <c r="U243" i="6"/>
  <c r="T243" i="6"/>
  <c r="S243" i="6"/>
  <c r="R243" i="6"/>
  <c r="AA242" i="1"/>
  <c r="AD242" i="1"/>
  <c r="Q243" i="6"/>
  <c r="P243" i="6"/>
  <c r="O243" i="6"/>
  <c r="N243" i="6"/>
  <c r="M243" i="6"/>
  <c r="L243" i="6"/>
  <c r="K243" i="6"/>
  <c r="J243" i="6"/>
  <c r="I243" i="6"/>
  <c r="H243" i="6"/>
  <c r="G243" i="6"/>
  <c r="F243" i="6"/>
  <c r="E243" i="6"/>
  <c r="D243" i="6"/>
  <c r="C243" i="6"/>
  <c r="B243" i="6"/>
  <c r="A242" i="6"/>
  <c r="W242" i="6"/>
  <c r="V242" i="6"/>
  <c r="U242" i="6"/>
  <c r="T242" i="6"/>
  <c r="S242" i="6"/>
  <c r="R242" i="6"/>
  <c r="AA241" i="1"/>
  <c r="AD241" i="1"/>
  <c r="Q242" i="6"/>
  <c r="P242" i="6"/>
  <c r="O242" i="6"/>
  <c r="N242" i="6"/>
  <c r="M242" i="6"/>
  <c r="L242" i="6"/>
  <c r="K242" i="6"/>
  <c r="J242" i="6"/>
  <c r="I242" i="6"/>
  <c r="H242" i="6"/>
  <c r="G242" i="6"/>
  <c r="F242" i="6"/>
  <c r="E242" i="6"/>
  <c r="D242" i="6"/>
  <c r="C242" i="6"/>
  <c r="B242" i="6"/>
  <c r="A241" i="6"/>
  <c r="W241" i="6"/>
  <c r="V241" i="6"/>
  <c r="U241" i="6"/>
  <c r="T241" i="6"/>
  <c r="S241" i="6"/>
  <c r="R241" i="6"/>
  <c r="AA240" i="1"/>
  <c r="AD240" i="1"/>
  <c r="Q241" i="6"/>
  <c r="P241" i="6"/>
  <c r="O241" i="6"/>
  <c r="N241" i="6"/>
  <c r="M241" i="6"/>
  <c r="L241" i="6"/>
  <c r="K241" i="6"/>
  <c r="J241" i="6"/>
  <c r="I241" i="6"/>
  <c r="H241" i="6"/>
  <c r="G241" i="6"/>
  <c r="F241" i="6"/>
  <c r="E241" i="6"/>
  <c r="D241" i="6"/>
  <c r="C241" i="6"/>
  <c r="B241" i="6"/>
  <c r="A240" i="6"/>
  <c r="W240" i="6"/>
  <c r="V240" i="6"/>
  <c r="U240" i="6"/>
  <c r="T240" i="6"/>
  <c r="S240" i="6"/>
  <c r="R240" i="6"/>
  <c r="AA239" i="1"/>
  <c r="AD239" i="1"/>
  <c r="Q240" i="6"/>
  <c r="P240" i="6"/>
  <c r="O240" i="6"/>
  <c r="N240" i="6"/>
  <c r="M240" i="6"/>
  <c r="L240" i="6"/>
  <c r="K240" i="6"/>
  <c r="T239" i="1"/>
  <c r="J240" i="6"/>
  <c r="I240" i="6"/>
  <c r="H240" i="6"/>
  <c r="G240" i="6"/>
  <c r="F240" i="6"/>
  <c r="E240" i="6"/>
  <c r="D240" i="6"/>
  <c r="C240" i="6"/>
  <c r="B240" i="6"/>
  <c r="A239" i="6"/>
  <c r="W239" i="6"/>
  <c r="V239" i="6"/>
  <c r="U239" i="6"/>
  <c r="T239" i="6"/>
  <c r="S239" i="6"/>
  <c r="R239" i="6"/>
  <c r="AA238" i="1"/>
  <c r="AD238" i="1"/>
  <c r="Q239" i="6"/>
  <c r="P239" i="6"/>
  <c r="O239" i="6"/>
  <c r="N239" i="6"/>
  <c r="M239" i="6"/>
  <c r="L239" i="6"/>
  <c r="K239" i="6"/>
  <c r="T238" i="1"/>
  <c r="J239" i="6"/>
  <c r="I239" i="6"/>
  <c r="H239" i="6"/>
  <c r="G239" i="6"/>
  <c r="F239" i="6"/>
  <c r="E239" i="6"/>
  <c r="D239" i="6"/>
  <c r="C239" i="6"/>
  <c r="B239" i="6"/>
  <c r="A238" i="6"/>
  <c r="W238" i="6"/>
  <c r="V238" i="6"/>
  <c r="U238" i="6"/>
  <c r="T238" i="6"/>
  <c r="S238" i="6"/>
  <c r="R238" i="6"/>
  <c r="AA237" i="1"/>
  <c r="AD237" i="1"/>
  <c r="Q238" i="6"/>
  <c r="P238" i="6"/>
  <c r="O238" i="6"/>
  <c r="N238" i="6"/>
  <c r="M238" i="6"/>
  <c r="L238" i="6"/>
  <c r="K238" i="6"/>
  <c r="T237" i="1"/>
  <c r="J238" i="6"/>
  <c r="I238" i="6"/>
  <c r="H238" i="6"/>
  <c r="G238" i="6"/>
  <c r="F238" i="6"/>
  <c r="E238" i="6"/>
  <c r="D238" i="6"/>
  <c r="C238" i="6"/>
  <c r="B238" i="6"/>
  <c r="A237" i="6"/>
  <c r="W237" i="6"/>
  <c r="V237" i="6"/>
  <c r="U237" i="6"/>
  <c r="T237" i="6"/>
  <c r="S237" i="6"/>
  <c r="R237" i="6"/>
  <c r="AA236" i="1"/>
  <c r="AD236" i="1"/>
  <c r="Q237" i="6"/>
  <c r="P237" i="6"/>
  <c r="O237" i="6"/>
  <c r="N237" i="6"/>
  <c r="M237" i="6"/>
  <c r="L237" i="6"/>
  <c r="K237" i="6"/>
  <c r="T236" i="1"/>
  <c r="J237" i="6"/>
  <c r="I237" i="6"/>
  <c r="H237" i="6"/>
  <c r="G237" i="6"/>
  <c r="F237" i="6"/>
  <c r="E237" i="6"/>
  <c r="D237" i="6"/>
  <c r="C237" i="6"/>
  <c r="B237" i="6"/>
  <c r="A236" i="6"/>
  <c r="W236" i="6"/>
  <c r="V236" i="6"/>
  <c r="U236" i="6"/>
  <c r="T236" i="6"/>
  <c r="S236" i="6"/>
  <c r="R236" i="6"/>
  <c r="AA235" i="1"/>
  <c r="AD235" i="1"/>
  <c r="Q236" i="6"/>
  <c r="P236" i="6"/>
  <c r="O236" i="6"/>
  <c r="N236" i="6"/>
  <c r="M236" i="6"/>
  <c r="L236" i="6"/>
  <c r="K236" i="6"/>
  <c r="J236" i="6"/>
  <c r="I236" i="6"/>
  <c r="H236" i="6"/>
  <c r="G236" i="6"/>
  <c r="F236" i="6"/>
  <c r="E236" i="6"/>
  <c r="D236" i="6"/>
  <c r="C236" i="6"/>
  <c r="B236" i="6"/>
  <c r="A235" i="6"/>
  <c r="W235" i="6"/>
  <c r="V235" i="6"/>
  <c r="U235" i="6"/>
  <c r="T235" i="6"/>
  <c r="S235" i="6"/>
  <c r="R235" i="6"/>
  <c r="AA234" i="1"/>
  <c r="AD234" i="1"/>
  <c r="Q235" i="6"/>
  <c r="P235" i="6"/>
  <c r="O235" i="6"/>
  <c r="N235" i="6"/>
  <c r="M235" i="6"/>
  <c r="L235" i="6"/>
  <c r="K235" i="6"/>
  <c r="J235" i="6"/>
  <c r="I235" i="6"/>
  <c r="H235" i="6"/>
  <c r="G235" i="6"/>
  <c r="F235" i="6"/>
  <c r="E235" i="6"/>
  <c r="D235" i="6"/>
  <c r="C235" i="6"/>
  <c r="B235" i="6"/>
  <c r="A234" i="6"/>
  <c r="W234" i="6"/>
  <c r="V234" i="6"/>
  <c r="U234" i="6"/>
  <c r="T234" i="6"/>
  <c r="S234" i="6"/>
  <c r="R234" i="6"/>
  <c r="AA233" i="1"/>
  <c r="AD233" i="1"/>
  <c r="Q234" i="6"/>
  <c r="P234" i="6"/>
  <c r="O234" i="6"/>
  <c r="N234" i="6"/>
  <c r="M234" i="6"/>
  <c r="L234" i="6"/>
  <c r="K234" i="6"/>
  <c r="T233" i="1"/>
  <c r="J234" i="6"/>
  <c r="I234" i="6"/>
  <c r="H234" i="6"/>
  <c r="G234" i="6"/>
  <c r="F234" i="6"/>
  <c r="E234" i="6"/>
  <c r="D234" i="6"/>
  <c r="C234" i="6"/>
  <c r="B234" i="6"/>
  <c r="A233" i="6"/>
  <c r="W233" i="6"/>
  <c r="V233" i="6"/>
  <c r="U233" i="6"/>
  <c r="T233" i="6"/>
  <c r="S233" i="6"/>
  <c r="R233" i="6"/>
  <c r="AA232" i="1"/>
  <c r="AD232" i="1"/>
  <c r="Q233" i="6"/>
  <c r="P233" i="6"/>
  <c r="O233" i="6"/>
  <c r="N233" i="6"/>
  <c r="M233" i="6"/>
  <c r="L233" i="6"/>
  <c r="K233" i="6"/>
  <c r="J233" i="6"/>
  <c r="I233" i="6"/>
  <c r="H233" i="6"/>
  <c r="G233" i="6"/>
  <c r="F233" i="6"/>
  <c r="E233" i="6"/>
  <c r="D233" i="6"/>
  <c r="C233" i="6"/>
  <c r="B233" i="6"/>
  <c r="A232" i="6"/>
  <c r="W232" i="6"/>
  <c r="V232" i="6"/>
  <c r="U232" i="6"/>
  <c r="T232" i="6"/>
  <c r="S232" i="6"/>
  <c r="R232" i="6"/>
  <c r="AA231" i="1"/>
  <c r="AD231" i="1"/>
  <c r="Q232" i="6"/>
  <c r="P232" i="6"/>
  <c r="O232" i="6"/>
  <c r="N232" i="6"/>
  <c r="M232" i="6"/>
  <c r="L232" i="6"/>
  <c r="K232" i="6"/>
  <c r="T231" i="1"/>
  <c r="J232" i="6"/>
  <c r="I232" i="6"/>
  <c r="H232" i="6"/>
  <c r="G232" i="6"/>
  <c r="F232" i="6"/>
  <c r="E232" i="6"/>
  <c r="D232" i="6"/>
  <c r="C232" i="6"/>
  <c r="B232" i="6"/>
  <c r="A231" i="6"/>
  <c r="W231" i="6"/>
  <c r="V231" i="6"/>
  <c r="U231" i="6"/>
  <c r="T231" i="6"/>
  <c r="S231" i="6"/>
  <c r="R231" i="6"/>
  <c r="AA230" i="1"/>
  <c r="AD230" i="1"/>
  <c r="Q231" i="6"/>
  <c r="P231" i="6"/>
  <c r="O231" i="6"/>
  <c r="N231" i="6"/>
  <c r="M231" i="6"/>
  <c r="L231" i="6"/>
  <c r="K231" i="6"/>
  <c r="T230" i="1"/>
  <c r="J231" i="6"/>
  <c r="I231" i="6"/>
  <c r="H231" i="6"/>
  <c r="G231" i="6"/>
  <c r="F231" i="6"/>
  <c r="E231" i="6"/>
  <c r="D231" i="6"/>
  <c r="C231" i="6"/>
  <c r="B231" i="6"/>
  <c r="A230" i="6"/>
  <c r="W230" i="6"/>
  <c r="V230" i="6"/>
  <c r="U230" i="6"/>
  <c r="T230" i="6"/>
  <c r="S230" i="6"/>
  <c r="R230" i="6"/>
  <c r="AA229" i="1"/>
  <c r="AD229" i="1"/>
  <c r="Q230" i="6"/>
  <c r="P230" i="6"/>
  <c r="O230" i="6"/>
  <c r="N230" i="6"/>
  <c r="M230" i="6"/>
  <c r="L230" i="6"/>
  <c r="K230" i="6"/>
  <c r="T229" i="1"/>
  <c r="J230" i="6"/>
  <c r="I230" i="6"/>
  <c r="H230" i="6"/>
  <c r="G230" i="6"/>
  <c r="F230" i="6"/>
  <c r="E230" i="6"/>
  <c r="D230" i="6"/>
  <c r="C230" i="6"/>
  <c r="B230" i="6"/>
  <c r="A229" i="6"/>
  <c r="W229" i="6"/>
  <c r="V229" i="6"/>
  <c r="U229" i="6"/>
  <c r="T229" i="6"/>
  <c r="S229" i="6"/>
  <c r="R229" i="6"/>
  <c r="AA228" i="1"/>
  <c r="AD228" i="1"/>
  <c r="Q229" i="6"/>
  <c r="P229" i="6"/>
  <c r="O229" i="6"/>
  <c r="N229" i="6"/>
  <c r="M229" i="6"/>
  <c r="L229" i="6"/>
  <c r="K229" i="6"/>
  <c r="T228" i="1"/>
  <c r="J229" i="6"/>
  <c r="I229" i="6"/>
  <c r="H229" i="6"/>
  <c r="G229" i="6"/>
  <c r="F229" i="6"/>
  <c r="E229" i="6"/>
  <c r="D229" i="6"/>
  <c r="C229" i="6"/>
  <c r="B229" i="6"/>
  <c r="A228" i="6"/>
  <c r="W228" i="6"/>
  <c r="V228" i="6"/>
  <c r="U228" i="6"/>
  <c r="T228" i="6"/>
  <c r="S228" i="6"/>
  <c r="R228" i="6"/>
  <c r="AA227" i="1"/>
  <c r="AD227" i="1"/>
  <c r="Q228" i="6"/>
  <c r="P228" i="6"/>
  <c r="O228" i="6"/>
  <c r="N228" i="6"/>
  <c r="M228" i="6"/>
  <c r="L228" i="6"/>
  <c r="K228" i="6"/>
  <c r="T227" i="1"/>
  <c r="J228" i="6"/>
  <c r="I228" i="6"/>
  <c r="H228" i="6"/>
  <c r="G228" i="6"/>
  <c r="F228" i="6"/>
  <c r="E228" i="6"/>
  <c r="D228" i="6"/>
  <c r="C228" i="6"/>
  <c r="B228" i="6"/>
  <c r="A227" i="6"/>
  <c r="W227" i="6"/>
  <c r="V227" i="6"/>
  <c r="U227" i="6"/>
  <c r="T227" i="6"/>
  <c r="S227" i="6"/>
  <c r="R227" i="6"/>
  <c r="AA226" i="1"/>
  <c r="AD226" i="1"/>
  <c r="Q227" i="6"/>
  <c r="P227" i="6"/>
  <c r="O227" i="6"/>
  <c r="N227" i="6"/>
  <c r="M227" i="6"/>
  <c r="L227" i="6"/>
  <c r="K227" i="6"/>
  <c r="T226" i="1"/>
  <c r="J227" i="6"/>
  <c r="I227" i="6"/>
  <c r="H227" i="6"/>
  <c r="G227" i="6"/>
  <c r="F227" i="6"/>
  <c r="E227" i="6"/>
  <c r="D227" i="6"/>
  <c r="C227" i="6"/>
  <c r="B227" i="6"/>
  <c r="A226" i="6"/>
  <c r="W226" i="6"/>
  <c r="V226" i="6"/>
  <c r="U226" i="6"/>
  <c r="T226" i="6"/>
  <c r="S226" i="6"/>
  <c r="R226" i="6"/>
  <c r="AA225" i="1"/>
  <c r="AD225" i="1"/>
  <c r="Q226" i="6"/>
  <c r="P226" i="6"/>
  <c r="O226" i="6"/>
  <c r="N226" i="6"/>
  <c r="M226" i="6"/>
  <c r="L226" i="6"/>
  <c r="K226" i="6"/>
  <c r="T225" i="1"/>
  <c r="J226" i="6"/>
  <c r="I226" i="6"/>
  <c r="H226" i="6"/>
  <c r="G226" i="6"/>
  <c r="F226" i="6"/>
  <c r="E226" i="6"/>
  <c r="D226" i="6"/>
  <c r="C226" i="6"/>
  <c r="B226" i="6"/>
  <c r="A225" i="6"/>
  <c r="W225" i="6"/>
  <c r="V225" i="6"/>
  <c r="U225" i="6"/>
  <c r="T225" i="6"/>
  <c r="S225" i="6"/>
  <c r="R225" i="6"/>
  <c r="AA224" i="1"/>
  <c r="AD224" i="1"/>
  <c r="Q225" i="6"/>
  <c r="P225" i="6"/>
  <c r="O225" i="6"/>
  <c r="N225" i="6"/>
  <c r="M225" i="6"/>
  <c r="L225" i="6"/>
  <c r="K225" i="6"/>
  <c r="T224" i="1"/>
  <c r="J225" i="6"/>
  <c r="I225" i="6"/>
  <c r="H225" i="6"/>
  <c r="G225" i="6"/>
  <c r="F225" i="6"/>
  <c r="E225" i="6"/>
  <c r="D225" i="6"/>
  <c r="C225" i="6"/>
  <c r="B225" i="6"/>
  <c r="A224" i="6"/>
  <c r="W224" i="6"/>
  <c r="V224" i="6"/>
  <c r="U224" i="6"/>
  <c r="T224" i="6"/>
  <c r="S224" i="6"/>
  <c r="R224" i="6"/>
  <c r="AA223" i="1"/>
  <c r="AD223" i="1"/>
  <c r="Q224" i="6"/>
  <c r="P224" i="6"/>
  <c r="O224" i="6"/>
  <c r="N224" i="6"/>
  <c r="M224" i="6"/>
  <c r="L224" i="6"/>
  <c r="K224" i="6"/>
  <c r="T223" i="1"/>
  <c r="J224" i="6"/>
  <c r="I224" i="6"/>
  <c r="H224" i="6"/>
  <c r="G224" i="6"/>
  <c r="F224" i="6"/>
  <c r="E224" i="6"/>
  <c r="D224" i="6"/>
  <c r="C224" i="6"/>
  <c r="B224" i="6"/>
  <c r="A223" i="6"/>
  <c r="W223" i="6"/>
  <c r="V223" i="6"/>
  <c r="U223" i="6"/>
  <c r="T223" i="6"/>
  <c r="S223" i="6"/>
  <c r="R223" i="6"/>
  <c r="AA222" i="1"/>
  <c r="AD222" i="1"/>
  <c r="Q223" i="6"/>
  <c r="P223" i="6"/>
  <c r="O223" i="6"/>
  <c r="N223" i="6"/>
  <c r="M223" i="6"/>
  <c r="L223" i="6"/>
  <c r="K223" i="6"/>
  <c r="T222" i="1"/>
  <c r="J223" i="6"/>
  <c r="I223" i="6"/>
  <c r="H223" i="6"/>
  <c r="G223" i="6"/>
  <c r="F223" i="6"/>
  <c r="E223" i="6"/>
  <c r="D223" i="6"/>
  <c r="C223" i="6"/>
  <c r="B223" i="6"/>
  <c r="A222" i="6"/>
  <c r="W222" i="6"/>
  <c r="V222" i="6"/>
  <c r="U222" i="6"/>
  <c r="T222" i="6"/>
  <c r="S222" i="6"/>
  <c r="R222" i="6"/>
  <c r="AA221" i="1"/>
  <c r="AD221" i="1"/>
  <c r="Q222" i="6"/>
  <c r="P222" i="6"/>
  <c r="O222" i="6"/>
  <c r="N222" i="6"/>
  <c r="M222" i="6"/>
  <c r="L222" i="6"/>
  <c r="K222" i="6"/>
  <c r="T221" i="1"/>
  <c r="J222" i="6"/>
  <c r="I222" i="6"/>
  <c r="H222" i="6"/>
  <c r="G222" i="6"/>
  <c r="F222" i="6"/>
  <c r="E222" i="6"/>
  <c r="D222" i="6"/>
  <c r="C222" i="6"/>
  <c r="B222" i="6"/>
  <c r="A221" i="6"/>
  <c r="W221" i="6"/>
  <c r="V221" i="6"/>
  <c r="U221" i="6"/>
  <c r="T221" i="6"/>
  <c r="S221" i="6"/>
  <c r="R221" i="6"/>
  <c r="AA220" i="1"/>
  <c r="AD220" i="1"/>
  <c r="Q221" i="6"/>
  <c r="P221" i="6"/>
  <c r="O221" i="6"/>
  <c r="N221" i="6"/>
  <c r="M221" i="6"/>
  <c r="L221" i="6"/>
  <c r="K221" i="6"/>
  <c r="T220" i="1"/>
  <c r="J221" i="6"/>
  <c r="I221" i="6"/>
  <c r="H221" i="6"/>
  <c r="G221" i="6"/>
  <c r="F221" i="6"/>
  <c r="E221" i="6"/>
  <c r="D221" i="6"/>
  <c r="C221" i="6"/>
  <c r="B221" i="6"/>
  <c r="A220" i="6"/>
  <c r="W220" i="6"/>
  <c r="V220" i="6"/>
  <c r="U220" i="6"/>
  <c r="T220" i="6"/>
  <c r="S220" i="6"/>
  <c r="R220" i="6"/>
  <c r="AA219" i="1"/>
  <c r="AD219" i="1"/>
  <c r="Q220" i="6"/>
  <c r="P220" i="6"/>
  <c r="O220" i="6"/>
  <c r="N220" i="6"/>
  <c r="M220" i="6"/>
  <c r="L220" i="6"/>
  <c r="K220" i="6"/>
  <c r="T219" i="1"/>
  <c r="J220" i="6"/>
  <c r="I220" i="6"/>
  <c r="H220" i="6"/>
  <c r="G220" i="6"/>
  <c r="F220" i="6"/>
  <c r="E220" i="6"/>
  <c r="D220" i="6"/>
  <c r="C220" i="6"/>
  <c r="B220" i="6"/>
  <c r="A219" i="6"/>
  <c r="W219" i="6"/>
  <c r="V219" i="6"/>
  <c r="U219" i="6"/>
  <c r="T219" i="6"/>
  <c r="S219" i="6"/>
  <c r="R219" i="6"/>
  <c r="AA218" i="1"/>
  <c r="AD218" i="1"/>
  <c r="Q219" i="6"/>
  <c r="P219" i="6"/>
  <c r="O219" i="6"/>
  <c r="N219" i="6"/>
  <c r="M219" i="6"/>
  <c r="L219" i="6"/>
  <c r="K219" i="6"/>
  <c r="T218" i="1"/>
  <c r="J219" i="6"/>
  <c r="I219" i="6"/>
  <c r="H219" i="6"/>
  <c r="G219" i="6"/>
  <c r="F219" i="6"/>
  <c r="E219" i="6"/>
  <c r="D219" i="6"/>
  <c r="C219" i="6"/>
  <c r="B219" i="6"/>
  <c r="A218" i="6"/>
  <c r="W218" i="6"/>
  <c r="V218" i="6"/>
  <c r="U218" i="6"/>
  <c r="T218" i="6"/>
  <c r="S218" i="6"/>
  <c r="R218" i="6"/>
  <c r="AA217" i="1"/>
  <c r="AD217" i="1"/>
  <c r="Q218" i="6"/>
  <c r="P218" i="6"/>
  <c r="O218" i="6"/>
  <c r="N218" i="6"/>
  <c r="M218" i="6"/>
  <c r="L218" i="6"/>
  <c r="K218" i="6"/>
  <c r="T217" i="1"/>
  <c r="J218" i="6"/>
  <c r="I218" i="6"/>
  <c r="H218" i="6"/>
  <c r="G218" i="6"/>
  <c r="F218" i="6"/>
  <c r="E218" i="6"/>
  <c r="D218" i="6"/>
  <c r="C218" i="6"/>
  <c r="B218" i="6"/>
  <c r="A217" i="6"/>
  <c r="W217" i="6"/>
  <c r="V217" i="6"/>
  <c r="U217" i="6"/>
  <c r="T217" i="6"/>
  <c r="S217" i="6"/>
  <c r="R217" i="6"/>
  <c r="AA216" i="1"/>
  <c r="AD216" i="1"/>
  <c r="Q217" i="6"/>
  <c r="P217" i="6"/>
  <c r="O217" i="6"/>
  <c r="N217" i="6"/>
  <c r="M217" i="6"/>
  <c r="L217" i="6"/>
  <c r="K217" i="6"/>
  <c r="T216" i="1"/>
  <c r="J217" i="6"/>
  <c r="I217" i="6"/>
  <c r="H217" i="6"/>
  <c r="G217" i="6"/>
  <c r="F217" i="6"/>
  <c r="E217" i="6"/>
  <c r="D217" i="6"/>
  <c r="C217" i="6"/>
  <c r="B217" i="6"/>
  <c r="A216" i="6"/>
  <c r="W216" i="6"/>
  <c r="V216" i="6"/>
  <c r="U216" i="6"/>
  <c r="T216" i="6"/>
  <c r="S216" i="6"/>
  <c r="R216" i="6"/>
  <c r="AA215" i="1"/>
  <c r="AD215" i="1"/>
  <c r="Q216" i="6"/>
  <c r="P216" i="6"/>
  <c r="O216" i="6"/>
  <c r="N216" i="6"/>
  <c r="M216" i="6"/>
  <c r="L216" i="6"/>
  <c r="K216" i="6"/>
  <c r="T215" i="1"/>
  <c r="J216" i="6"/>
  <c r="I216" i="6"/>
  <c r="H216" i="6"/>
  <c r="G216" i="6"/>
  <c r="F216" i="6"/>
  <c r="E216" i="6"/>
  <c r="D216" i="6"/>
  <c r="C216" i="6"/>
  <c r="B216" i="6"/>
  <c r="A215" i="6"/>
  <c r="W215" i="6"/>
  <c r="V215" i="6"/>
  <c r="U215" i="6"/>
  <c r="T215" i="6"/>
  <c r="S215" i="6"/>
  <c r="R215" i="6"/>
  <c r="AA214" i="1"/>
  <c r="AD214" i="1"/>
  <c r="Q215" i="6"/>
  <c r="P215" i="6"/>
  <c r="O215" i="6"/>
  <c r="N215" i="6"/>
  <c r="M215" i="6"/>
  <c r="L215" i="6"/>
  <c r="K215" i="6"/>
  <c r="T214" i="1"/>
  <c r="J215" i="6"/>
  <c r="I215" i="6"/>
  <c r="H215" i="6"/>
  <c r="G215" i="6"/>
  <c r="F215" i="6"/>
  <c r="E215" i="6"/>
  <c r="D215" i="6"/>
  <c r="C215" i="6"/>
  <c r="B215" i="6"/>
  <c r="A214" i="6"/>
  <c r="W214" i="6"/>
  <c r="V214" i="6"/>
  <c r="U214" i="6"/>
  <c r="T214" i="6"/>
  <c r="S214" i="6"/>
  <c r="R214" i="6"/>
  <c r="AA213" i="1"/>
  <c r="AD213" i="1"/>
  <c r="Q214" i="6"/>
  <c r="P214" i="6"/>
  <c r="O214" i="6"/>
  <c r="N214" i="6"/>
  <c r="M214" i="6"/>
  <c r="L214" i="6"/>
  <c r="K214" i="6"/>
  <c r="T213" i="1"/>
  <c r="J214" i="6"/>
  <c r="I214" i="6"/>
  <c r="H214" i="6"/>
  <c r="G214" i="6"/>
  <c r="F214" i="6"/>
  <c r="E214" i="6"/>
  <c r="D214" i="6"/>
  <c r="C214" i="6"/>
  <c r="B214" i="6"/>
  <c r="A213" i="6"/>
  <c r="W213" i="6"/>
  <c r="V213" i="6"/>
  <c r="U213" i="6"/>
  <c r="T213" i="6"/>
  <c r="S213" i="6"/>
  <c r="R213" i="6"/>
  <c r="AA212" i="1"/>
  <c r="AD212" i="1"/>
  <c r="Q213" i="6"/>
  <c r="P213" i="6"/>
  <c r="O213" i="6"/>
  <c r="N213" i="6"/>
  <c r="M213" i="6"/>
  <c r="L213" i="6"/>
  <c r="K213" i="6"/>
  <c r="T212" i="1"/>
  <c r="J213" i="6"/>
  <c r="I213" i="6"/>
  <c r="H213" i="6"/>
  <c r="G213" i="6"/>
  <c r="F213" i="6"/>
  <c r="E213" i="6"/>
  <c r="D213" i="6"/>
  <c r="C213" i="6"/>
  <c r="B213" i="6"/>
  <c r="A212" i="6"/>
  <c r="W212" i="6"/>
  <c r="V212" i="6"/>
  <c r="U212" i="6"/>
  <c r="T212" i="6"/>
  <c r="S212" i="6"/>
  <c r="R212" i="6"/>
  <c r="AA211" i="1"/>
  <c r="AD211" i="1"/>
  <c r="Q212" i="6"/>
  <c r="P212" i="6"/>
  <c r="O212" i="6"/>
  <c r="N212" i="6"/>
  <c r="M212" i="6"/>
  <c r="L212" i="6"/>
  <c r="K212" i="6"/>
  <c r="T211" i="1"/>
  <c r="J212" i="6"/>
  <c r="I212" i="6"/>
  <c r="H212" i="6"/>
  <c r="G212" i="6"/>
  <c r="F212" i="6"/>
  <c r="E212" i="6"/>
  <c r="D212" i="6"/>
  <c r="C212" i="6"/>
  <c r="B212" i="6"/>
  <c r="A211" i="6"/>
  <c r="W211" i="6"/>
  <c r="V211" i="6"/>
  <c r="U211" i="6"/>
  <c r="T211" i="6"/>
  <c r="S211" i="6"/>
  <c r="R211" i="6"/>
  <c r="AA210" i="1"/>
  <c r="AD210" i="1"/>
  <c r="Q211" i="6"/>
  <c r="P211" i="6"/>
  <c r="O211" i="6"/>
  <c r="N211" i="6"/>
  <c r="M211" i="6"/>
  <c r="L211" i="6"/>
  <c r="K211" i="6"/>
  <c r="T210" i="1"/>
  <c r="J211" i="6"/>
  <c r="I211" i="6"/>
  <c r="H211" i="6"/>
  <c r="G211" i="6"/>
  <c r="F211" i="6"/>
  <c r="E211" i="6"/>
  <c r="D211" i="6"/>
  <c r="C211" i="6"/>
  <c r="B211" i="6"/>
  <c r="A210" i="6"/>
  <c r="W210" i="6"/>
  <c r="V210" i="6"/>
  <c r="U210" i="6"/>
  <c r="T210" i="6"/>
  <c r="S210" i="6"/>
  <c r="R210" i="6"/>
  <c r="AA209" i="1"/>
  <c r="AD209" i="1"/>
  <c r="Q210" i="6"/>
  <c r="P210" i="6"/>
  <c r="O210" i="6"/>
  <c r="N210" i="6"/>
  <c r="M210" i="6"/>
  <c r="L210" i="6"/>
  <c r="K210" i="6"/>
  <c r="T209" i="1"/>
  <c r="J210" i="6"/>
  <c r="I210" i="6"/>
  <c r="H210" i="6"/>
  <c r="G210" i="6"/>
  <c r="F210" i="6"/>
  <c r="E210" i="6"/>
  <c r="D210" i="6"/>
  <c r="C210" i="6"/>
  <c r="B210" i="6"/>
  <c r="A209" i="6"/>
  <c r="W209" i="6"/>
  <c r="V209" i="6"/>
  <c r="U209" i="6"/>
  <c r="T209" i="6"/>
  <c r="S209" i="6"/>
  <c r="R209" i="6"/>
  <c r="AA208" i="1"/>
  <c r="AD208" i="1"/>
  <c r="Q209" i="6"/>
  <c r="P209" i="6"/>
  <c r="O209" i="6"/>
  <c r="N209" i="6"/>
  <c r="M209" i="6"/>
  <c r="L209" i="6"/>
  <c r="K209" i="6"/>
  <c r="T208" i="1"/>
  <c r="J209" i="6"/>
  <c r="I209" i="6"/>
  <c r="H209" i="6"/>
  <c r="G209" i="6"/>
  <c r="F209" i="6"/>
  <c r="E209" i="6"/>
  <c r="D209" i="6"/>
  <c r="C209" i="6"/>
  <c r="B209" i="6"/>
  <c r="A208" i="6"/>
  <c r="W208" i="6"/>
  <c r="V208" i="6"/>
  <c r="U208" i="6"/>
  <c r="T208" i="6"/>
  <c r="S208" i="6"/>
  <c r="R208" i="6"/>
  <c r="AA207" i="1"/>
  <c r="AD207" i="1"/>
  <c r="Q208" i="6"/>
  <c r="P208" i="6"/>
  <c r="O208" i="6"/>
  <c r="N208" i="6"/>
  <c r="M208" i="6"/>
  <c r="L208" i="6"/>
  <c r="K208" i="6"/>
  <c r="T207" i="1"/>
  <c r="J208" i="6"/>
  <c r="I208" i="6"/>
  <c r="H208" i="6"/>
  <c r="G208" i="6"/>
  <c r="F208" i="6"/>
  <c r="E208" i="6"/>
  <c r="D208" i="6"/>
  <c r="C208" i="6"/>
  <c r="B208" i="6"/>
  <c r="A207" i="6"/>
  <c r="W207" i="6"/>
  <c r="V207" i="6"/>
  <c r="U207" i="6"/>
  <c r="T207" i="6"/>
  <c r="S207" i="6"/>
  <c r="R207" i="6"/>
  <c r="AA206" i="1"/>
  <c r="AD206" i="1"/>
  <c r="Q207" i="6"/>
  <c r="P207" i="6"/>
  <c r="O207" i="6"/>
  <c r="N207" i="6"/>
  <c r="M207" i="6"/>
  <c r="L207" i="6"/>
  <c r="K207" i="6"/>
  <c r="T206" i="1"/>
  <c r="J207" i="6"/>
  <c r="I207" i="6"/>
  <c r="H207" i="6"/>
  <c r="G207" i="6"/>
  <c r="F207" i="6"/>
  <c r="E207" i="6"/>
  <c r="D207" i="6"/>
  <c r="C207" i="6"/>
  <c r="B207" i="6"/>
  <c r="A206" i="6"/>
  <c r="W206" i="6"/>
  <c r="V206" i="6"/>
  <c r="U206" i="6"/>
  <c r="T206" i="6"/>
  <c r="S206" i="6"/>
  <c r="R206" i="6"/>
  <c r="AA205" i="1"/>
  <c r="AD205" i="1"/>
  <c r="Q206" i="6"/>
  <c r="P206" i="6"/>
  <c r="O206" i="6"/>
  <c r="N206" i="6"/>
  <c r="M206" i="6"/>
  <c r="L206" i="6"/>
  <c r="K206" i="6"/>
  <c r="T205" i="1"/>
  <c r="J206" i="6"/>
  <c r="I206" i="6"/>
  <c r="H206" i="6"/>
  <c r="G206" i="6"/>
  <c r="F206" i="6"/>
  <c r="E206" i="6"/>
  <c r="D206" i="6"/>
  <c r="C206" i="6"/>
  <c r="B206" i="6"/>
  <c r="A205" i="6"/>
  <c r="W205" i="6"/>
  <c r="V205" i="6"/>
  <c r="U205" i="6"/>
  <c r="T205" i="6"/>
  <c r="S205" i="6"/>
  <c r="R205" i="6"/>
  <c r="AA204" i="1"/>
  <c r="AD204" i="1"/>
  <c r="Q205" i="6"/>
  <c r="P205" i="6"/>
  <c r="O205" i="6"/>
  <c r="N205" i="6"/>
  <c r="M205" i="6"/>
  <c r="L205" i="6"/>
  <c r="K205" i="6"/>
  <c r="T204" i="1"/>
  <c r="J205" i="6"/>
  <c r="I205" i="6"/>
  <c r="H205" i="6"/>
  <c r="G205" i="6"/>
  <c r="F205" i="6"/>
  <c r="E205" i="6"/>
  <c r="D205" i="6"/>
  <c r="C205" i="6"/>
  <c r="B205" i="6"/>
  <c r="A204" i="6"/>
  <c r="W204" i="6"/>
  <c r="V204" i="6"/>
  <c r="U204" i="6"/>
  <c r="T204" i="6"/>
  <c r="S204" i="6"/>
  <c r="R204" i="6"/>
  <c r="AA203" i="1"/>
  <c r="AD203" i="1"/>
  <c r="Q204" i="6"/>
  <c r="P204" i="6"/>
  <c r="O204" i="6"/>
  <c r="N204" i="6"/>
  <c r="M204" i="6"/>
  <c r="L204" i="6"/>
  <c r="K204" i="6"/>
  <c r="T203" i="1"/>
  <c r="J204" i="6"/>
  <c r="I204" i="6"/>
  <c r="H204" i="6"/>
  <c r="G204" i="6"/>
  <c r="F204" i="6"/>
  <c r="E204" i="6"/>
  <c r="D204" i="6"/>
  <c r="C204" i="6"/>
  <c r="B204" i="6"/>
  <c r="A203" i="6"/>
  <c r="W203" i="6"/>
  <c r="V203" i="6"/>
  <c r="U203" i="6"/>
  <c r="T203" i="6"/>
  <c r="S203" i="6"/>
  <c r="R203" i="6"/>
  <c r="AA202" i="1"/>
  <c r="AD202" i="1"/>
  <c r="Q203" i="6"/>
  <c r="P203" i="6"/>
  <c r="O203" i="6"/>
  <c r="N203" i="6"/>
  <c r="M203" i="6"/>
  <c r="L203" i="6"/>
  <c r="K203" i="6"/>
  <c r="T202" i="1"/>
  <c r="J203" i="6"/>
  <c r="I203" i="6"/>
  <c r="H203" i="6"/>
  <c r="G203" i="6"/>
  <c r="F203" i="6"/>
  <c r="E203" i="6"/>
  <c r="D203" i="6"/>
  <c r="C203" i="6"/>
  <c r="B203" i="6"/>
  <c r="A202" i="6"/>
  <c r="W202" i="6"/>
  <c r="V202" i="6"/>
  <c r="U202" i="6"/>
  <c r="T202" i="6"/>
  <c r="S202" i="6"/>
  <c r="R202" i="6"/>
  <c r="AA201" i="1"/>
  <c r="AD201" i="1"/>
  <c r="Q202" i="6"/>
  <c r="P202" i="6"/>
  <c r="O202" i="6"/>
  <c r="N202" i="6"/>
  <c r="M202" i="6"/>
  <c r="L202" i="6"/>
  <c r="K202" i="6"/>
  <c r="T201" i="1"/>
  <c r="J202" i="6"/>
  <c r="I202" i="6"/>
  <c r="H202" i="6"/>
  <c r="G202" i="6"/>
  <c r="F202" i="6"/>
  <c r="E202" i="6"/>
  <c r="D202" i="6"/>
  <c r="C202" i="6"/>
  <c r="B202" i="6"/>
  <c r="A201" i="6"/>
  <c r="W201" i="6"/>
  <c r="V201" i="6"/>
  <c r="U201" i="6"/>
  <c r="T201" i="6"/>
  <c r="S201" i="6"/>
  <c r="R201" i="6"/>
  <c r="AA200" i="1"/>
  <c r="AD200" i="1"/>
  <c r="Q201" i="6"/>
  <c r="P201" i="6"/>
  <c r="O201" i="6"/>
  <c r="N201" i="6"/>
  <c r="M201" i="6"/>
  <c r="L201" i="6"/>
  <c r="K201" i="6"/>
  <c r="T200" i="1"/>
  <c r="J201" i="6"/>
  <c r="I201" i="6"/>
  <c r="H201" i="6"/>
  <c r="G201" i="6"/>
  <c r="F201" i="6"/>
  <c r="E201" i="6"/>
  <c r="D201" i="6"/>
  <c r="C201" i="6"/>
  <c r="B201" i="6"/>
  <c r="A200" i="6"/>
  <c r="W200" i="6"/>
  <c r="V200" i="6"/>
  <c r="U200" i="6"/>
  <c r="T200" i="6"/>
  <c r="S200" i="6"/>
  <c r="R200" i="6"/>
  <c r="AA199" i="1"/>
  <c r="AD199" i="1"/>
  <c r="Q200" i="6"/>
  <c r="P200" i="6"/>
  <c r="O200" i="6"/>
  <c r="N200" i="6"/>
  <c r="M200" i="6"/>
  <c r="L200" i="6"/>
  <c r="K200" i="6"/>
  <c r="T199" i="1"/>
  <c r="J200" i="6"/>
  <c r="I200" i="6"/>
  <c r="H200" i="6"/>
  <c r="G200" i="6"/>
  <c r="F200" i="6"/>
  <c r="E200" i="6"/>
  <c r="D200" i="6"/>
  <c r="C200" i="6"/>
  <c r="B200" i="6"/>
  <c r="A199" i="6"/>
  <c r="W199" i="6"/>
  <c r="V199" i="6"/>
  <c r="U199" i="6"/>
  <c r="T199" i="6"/>
  <c r="S199" i="6"/>
  <c r="R199" i="6"/>
  <c r="AA198" i="1"/>
  <c r="AD198" i="1"/>
  <c r="Q199" i="6"/>
  <c r="P199" i="6"/>
  <c r="O199" i="6"/>
  <c r="N199" i="6"/>
  <c r="M199" i="6"/>
  <c r="L199" i="6"/>
  <c r="K199" i="6"/>
  <c r="T198" i="1"/>
  <c r="J199" i="6"/>
  <c r="I199" i="6"/>
  <c r="H199" i="6"/>
  <c r="G199" i="6"/>
  <c r="F199" i="6"/>
  <c r="E199" i="6"/>
  <c r="D199" i="6"/>
  <c r="C199" i="6"/>
  <c r="B199" i="6"/>
  <c r="A198" i="6"/>
  <c r="W198" i="6"/>
  <c r="V198" i="6"/>
  <c r="U198" i="6"/>
  <c r="T198" i="6"/>
  <c r="S198" i="6"/>
  <c r="R198" i="6"/>
  <c r="AA197" i="1"/>
  <c r="AD197" i="1"/>
  <c r="Q198" i="6"/>
  <c r="P198" i="6"/>
  <c r="O198" i="6"/>
  <c r="N198" i="6"/>
  <c r="M198" i="6"/>
  <c r="L198" i="6"/>
  <c r="K198" i="6"/>
  <c r="T197" i="1"/>
  <c r="J198" i="6"/>
  <c r="I198" i="6"/>
  <c r="H198" i="6"/>
  <c r="G198" i="6"/>
  <c r="F198" i="6"/>
  <c r="E198" i="6"/>
  <c r="D198" i="6"/>
  <c r="C198" i="6"/>
  <c r="B198" i="6"/>
  <c r="A197" i="6"/>
  <c r="W197" i="6"/>
  <c r="V197" i="6"/>
  <c r="U197" i="6"/>
  <c r="T197" i="6"/>
  <c r="S197" i="6"/>
  <c r="R197" i="6"/>
  <c r="AA196" i="1"/>
  <c r="AD196" i="1"/>
  <c r="Q197" i="6"/>
  <c r="P197" i="6"/>
  <c r="O197" i="6"/>
  <c r="N197" i="6"/>
  <c r="M197" i="6"/>
  <c r="L197" i="6"/>
  <c r="K197" i="6"/>
  <c r="T196" i="1"/>
  <c r="J197" i="6"/>
  <c r="I197" i="6"/>
  <c r="H197" i="6"/>
  <c r="G197" i="6"/>
  <c r="F197" i="6"/>
  <c r="E197" i="6"/>
  <c r="D197" i="6"/>
  <c r="C197" i="6"/>
  <c r="B197" i="6"/>
  <c r="A196" i="6"/>
  <c r="W196" i="6"/>
  <c r="V196" i="6"/>
  <c r="U196" i="6"/>
  <c r="T196" i="6"/>
  <c r="S196" i="6"/>
  <c r="R196" i="6"/>
  <c r="AA195" i="1"/>
  <c r="AD195" i="1"/>
  <c r="Q196" i="6"/>
  <c r="P196" i="6"/>
  <c r="O196" i="6"/>
  <c r="N196" i="6"/>
  <c r="M196" i="6"/>
  <c r="L196" i="6"/>
  <c r="K196" i="6"/>
  <c r="T195" i="1"/>
  <c r="J196" i="6"/>
  <c r="I196" i="6"/>
  <c r="H196" i="6"/>
  <c r="G196" i="6"/>
  <c r="F196" i="6"/>
  <c r="E196" i="6"/>
  <c r="D196" i="6"/>
  <c r="C196" i="6"/>
  <c r="B196" i="6"/>
  <c r="A195" i="6"/>
  <c r="W195" i="6"/>
  <c r="V195" i="6"/>
  <c r="U195" i="6"/>
  <c r="T195" i="6"/>
  <c r="S195" i="6"/>
  <c r="R195" i="6"/>
  <c r="AA194" i="1"/>
  <c r="AD194" i="1"/>
  <c r="Q195" i="6"/>
  <c r="P195" i="6"/>
  <c r="O195" i="6"/>
  <c r="N195" i="6"/>
  <c r="M195" i="6"/>
  <c r="L195" i="6"/>
  <c r="K195" i="6"/>
  <c r="T194" i="1"/>
  <c r="J195" i="6"/>
  <c r="I195" i="6"/>
  <c r="H195" i="6"/>
  <c r="G195" i="6"/>
  <c r="F195" i="6"/>
  <c r="E195" i="6"/>
  <c r="D195" i="6"/>
  <c r="C195" i="6"/>
  <c r="B195" i="6"/>
  <c r="A194" i="6"/>
  <c r="W194" i="6"/>
  <c r="V194" i="6"/>
  <c r="U194" i="6"/>
  <c r="T194" i="6"/>
  <c r="S194" i="6"/>
  <c r="R194" i="6"/>
  <c r="AA193" i="1"/>
  <c r="AD193" i="1"/>
  <c r="Q194" i="6"/>
  <c r="P194" i="6"/>
  <c r="O194" i="6"/>
  <c r="N194" i="6"/>
  <c r="M194" i="6"/>
  <c r="L194" i="6"/>
  <c r="K194" i="6"/>
  <c r="T193" i="1"/>
  <c r="J194" i="6"/>
  <c r="I194" i="6"/>
  <c r="H194" i="6"/>
  <c r="G194" i="6"/>
  <c r="F194" i="6"/>
  <c r="E194" i="6"/>
  <c r="D194" i="6"/>
  <c r="C194" i="6"/>
  <c r="B194" i="6"/>
  <c r="A193" i="6"/>
  <c r="W193" i="6"/>
  <c r="V193" i="6"/>
  <c r="U193" i="6"/>
  <c r="T193" i="6"/>
  <c r="S193" i="6"/>
  <c r="R193" i="6"/>
  <c r="AA192" i="1"/>
  <c r="AD192" i="1"/>
  <c r="Q193" i="6"/>
  <c r="P193" i="6"/>
  <c r="O193" i="6"/>
  <c r="N193" i="6"/>
  <c r="M193" i="6"/>
  <c r="L193" i="6"/>
  <c r="K193" i="6"/>
  <c r="T192" i="1"/>
  <c r="J193" i="6"/>
  <c r="I193" i="6"/>
  <c r="H193" i="6"/>
  <c r="G193" i="6"/>
  <c r="F193" i="6"/>
  <c r="E193" i="6"/>
  <c r="D193" i="6"/>
  <c r="C193" i="6"/>
  <c r="B193" i="6"/>
  <c r="A192" i="6"/>
  <c r="W192" i="6"/>
  <c r="V192" i="6"/>
  <c r="U192" i="6"/>
  <c r="T192" i="6"/>
  <c r="S192" i="6"/>
  <c r="R192" i="6"/>
  <c r="AA191" i="1"/>
  <c r="AD191" i="1"/>
  <c r="Q192" i="6"/>
  <c r="P192" i="6"/>
  <c r="O192" i="6"/>
  <c r="N192" i="6"/>
  <c r="M192" i="6"/>
  <c r="L192" i="6"/>
  <c r="K192" i="6"/>
  <c r="T191" i="1"/>
  <c r="J192" i="6"/>
  <c r="I192" i="6"/>
  <c r="H192" i="6"/>
  <c r="G192" i="6"/>
  <c r="F192" i="6"/>
  <c r="E192" i="6"/>
  <c r="D192" i="6"/>
  <c r="C192" i="6"/>
  <c r="B192" i="6"/>
  <c r="A191" i="6"/>
  <c r="W191" i="6"/>
  <c r="V191" i="6"/>
  <c r="U191" i="6"/>
  <c r="T191" i="6"/>
  <c r="S191" i="6"/>
  <c r="R191" i="6"/>
  <c r="AA190" i="1"/>
  <c r="AD190" i="1"/>
  <c r="Q191" i="6"/>
  <c r="P191" i="6"/>
  <c r="O191" i="6"/>
  <c r="N191" i="6"/>
  <c r="M191" i="6"/>
  <c r="L191" i="6"/>
  <c r="K191" i="6"/>
  <c r="T190" i="1"/>
  <c r="J191" i="6"/>
  <c r="I191" i="6"/>
  <c r="H191" i="6"/>
  <c r="G191" i="6"/>
  <c r="F191" i="6"/>
  <c r="E191" i="6"/>
  <c r="D191" i="6"/>
  <c r="C191" i="6"/>
  <c r="B191" i="6"/>
  <c r="A190" i="6"/>
  <c r="W190" i="6"/>
  <c r="V190" i="6"/>
  <c r="U190" i="6"/>
  <c r="T190" i="6"/>
  <c r="S190" i="6"/>
  <c r="R190" i="6"/>
  <c r="AA189" i="1"/>
  <c r="AD189" i="1"/>
  <c r="Q190" i="6"/>
  <c r="P190" i="6"/>
  <c r="O190" i="6"/>
  <c r="N190" i="6"/>
  <c r="M190" i="6"/>
  <c r="L190" i="6"/>
  <c r="K190" i="6"/>
  <c r="T189" i="1"/>
  <c r="J190" i="6"/>
  <c r="I190" i="6"/>
  <c r="H190" i="6"/>
  <c r="G190" i="6"/>
  <c r="F190" i="6"/>
  <c r="E190" i="6"/>
  <c r="D190" i="6"/>
  <c r="C190" i="6"/>
  <c r="B190" i="6"/>
  <c r="A189" i="6"/>
  <c r="W189" i="6"/>
  <c r="V189" i="6"/>
  <c r="U189" i="6"/>
  <c r="T189" i="6"/>
  <c r="S189" i="6"/>
  <c r="R189" i="6"/>
  <c r="AA188" i="1"/>
  <c r="AD188" i="1"/>
  <c r="Q189" i="6"/>
  <c r="P189" i="6"/>
  <c r="O189" i="6"/>
  <c r="N189" i="6"/>
  <c r="M189" i="6"/>
  <c r="L189" i="6"/>
  <c r="K189" i="6"/>
  <c r="T188" i="1"/>
  <c r="J189" i="6"/>
  <c r="I189" i="6"/>
  <c r="H189" i="6"/>
  <c r="G189" i="6"/>
  <c r="F189" i="6"/>
  <c r="E189" i="6"/>
  <c r="D189" i="6"/>
  <c r="C189" i="6"/>
  <c r="B189" i="6"/>
  <c r="A188" i="6"/>
  <c r="W188" i="6"/>
  <c r="V188" i="6"/>
  <c r="U188" i="6"/>
  <c r="T188" i="6"/>
  <c r="S188" i="6"/>
  <c r="R188" i="6"/>
  <c r="AA187" i="1"/>
  <c r="AD187" i="1"/>
  <c r="Q188" i="6"/>
  <c r="P188" i="6"/>
  <c r="O188" i="6"/>
  <c r="N188" i="6"/>
  <c r="M188" i="6"/>
  <c r="L188" i="6"/>
  <c r="K188" i="6"/>
  <c r="T187" i="1"/>
  <c r="J188" i="6"/>
  <c r="I188" i="6"/>
  <c r="H188" i="6"/>
  <c r="G188" i="6"/>
  <c r="F188" i="6"/>
  <c r="E188" i="6"/>
  <c r="D188" i="6"/>
  <c r="C188" i="6"/>
  <c r="B188" i="6"/>
  <c r="A187" i="6"/>
  <c r="W187" i="6"/>
  <c r="V187" i="6"/>
  <c r="U187" i="6"/>
  <c r="T187" i="6"/>
  <c r="S187" i="6"/>
  <c r="R187" i="6"/>
  <c r="AA186" i="1"/>
  <c r="AD186" i="1"/>
  <c r="Q187" i="6"/>
  <c r="P187" i="6"/>
  <c r="O187" i="6"/>
  <c r="N187" i="6"/>
  <c r="M187" i="6"/>
  <c r="L187" i="6"/>
  <c r="K187" i="6"/>
  <c r="T186" i="1"/>
  <c r="J187" i="6"/>
  <c r="I187" i="6"/>
  <c r="H187" i="6"/>
  <c r="G187" i="6"/>
  <c r="F187" i="6"/>
  <c r="E187" i="6"/>
  <c r="D187" i="6"/>
  <c r="C187" i="6"/>
  <c r="B187" i="6"/>
  <c r="A186" i="6"/>
  <c r="W186" i="6"/>
  <c r="V186" i="6"/>
  <c r="U186" i="6"/>
  <c r="T186" i="6"/>
  <c r="S186" i="6"/>
  <c r="R186" i="6"/>
  <c r="AA185" i="1"/>
  <c r="AD185" i="1"/>
  <c r="Q186" i="6"/>
  <c r="P186" i="6"/>
  <c r="O186" i="6"/>
  <c r="N186" i="6"/>
  <c r="M186" i="6"/>
  <c r="L186" i="6"/>
  <c r="K186" i="6"/>
  <c r="T185" i="1"/>
  <c r="J186" i="6"/>
  <c r="I186" i="6"/>
  <c r="H186" i="6"/>
  <c r="G186" i="6"/>
  <c r="F186" i="6"/>
  <c r="E186" i="6"/>
  <c r="D186" i="6"/>
  <c r="C186" i="6"/>
  <c r="B186" i="6"/>
  <c r="A185" i="6"/>
  <c r="W185" i="6"/>
  <c r="V185" i="6"/>
  <c r="U185" i="6"/>
  <c r="T185" i="6"/>
  <c r="S185" i="6"/>
  <c r="R185" i="6"/>
  <c r="AA184" i="1"/>
  <c r="AD184" i="1"/>
  <c r="Q185" i="6"/>
  <c r="P185" i="6"/>
  <c r="O185" i="6"/>
  <c r="N185" i="6"/>
  <c r="M185" i="6"/>
  <c r="L185" i="6"/>
  <c r="K185" i="6"/>
  <c r="T184" i="1"/>
  <c r="J185" i="6"/>
  <c r="I185" i="6"/>
  <c r="H185" i="6"/>
  <c r="G185" i="6"/>
  <c r="F185" i="6"/>
  <c r="E185" i="6"/>
  <c r="D185" i="6"/>
  <c r="C185" i="6"/>
  <c r="B185" i="6"/>
  <c r="A184" i="6"/>
  <c r="W184" i="6"/>
  <c r="V184" i="6"/>
  <c r="U184" i="6"/>
  <c r="T184" i="6"/>
  <c r="S184" i="6"/>
  <c r="R184" i="6"/>
  <c r="AA183" i="1"/>
  <c r="AD183" i="1"/>
  <c r="Q184" i="6"/>
  <c r="P184" i="6"/>
  <c r="O184" i="6"/>
  <c r="N184" i="6"/>
  <c r="M184" i="6"/>
  <c r="L184" i="6"/>
  <c r="K184" i="6"/>
  <c r="T183" i="1"/>
  <c r="J184" i="6"/>
  <c r="I184" i="6"/>
  <c r="H184" i="6"/>
  <c r="G184" i="6"/>
  <c r="F184" i="6"/>
  <c r="E184" i="6"/>
  <c r="D184" i="6"/>
  <c r="C184" i="6"/>
  <c r="B184" i="6"/>
  <c r="A183" i="6"/>
  <c r="W183" i="6"/>
  <c r="V183" i="6"/>
  <c r="U183" i="6"/>
  <c r="T183" i="6"/>
  <c r="S183" i="6"/>
  <c r="R183" i="6"/>
  <c r="AA182" i="1"/>
  <c r="AD182" i="1"/>
  <c r="Q183" i="6"/>
  <c r="P183" i="6"/>
  <c r="O183" i="6"/>
  <c r="N183" i="6"/>
  <c r="M183" i="6"/>
  <c r="L183" i="6"/>
  <c r="K183" i="6"/>
  <c r="T182" i="1"/>
  <c r="J183" i="6"/>
  <c r="I183" i="6"/>
  <c r="H183" i="6"/>
  <c r="G183" i="6"/>
  <c r="F183" i="6"/>
  <c r="E183" i="6"/>
  <c r="D183" i="6"/>
  <c r="C183" i="6"/>
  <c r="B183" i="6"/>
  <c r="A182" i="6"/>
  <c r="W182" i="6"/>
  <c r="V182" i="6"/>
  <c r="U182" i="6"/>
  <c r="T182" i="6"/>
  <c r="S182" i="6"/>
  <c r="R182" i="6"/>
  <c r="AA181" i="1"/>
  <c r="AD181" i="1"/>
  <c r="Q182" i="6"/>
  <c r="P182" i="6"/>
  <c r="O182" i="6"/>
  <c r="N182" i="6"/>
  <c r="M182" i="6"/>
  <c r="L182" i="6"/>
  <c r="K182" i="6"/>
  <c r="T181" i="1"/>
  <c r="J182" i="6"/>
  <c r="I182" i="6"/>
  <c r="H182" i="6"/>
  <c r="G182" i="6"/>
  <c r="F182" i="6"/>
  <c r="E182" i="6"/>
  <c r="D182" i="6"/>
  <c r="C182" i="6"/>
  <c r="B182" i="6"/>
  <c r="A181" i="6"/>
  <c r="W181" i="6"/>
  <c r="V181" i="6"/>
  <c r="U181" i="6"/>
  <c r="T181" i="6"/>
  <c r="S181" i="6"/>
  <c r="R181" i="6"/>
  <c r="AA180" i="1"/>
  <c r="AD180" i="1"/>
  <c r="Q181" i="6"/>
  <c r="P181" i="6"/>
  <c r="O181" i="6"/>
  <c r="N181" i="6"/>
  <c r="M181" i="6"/>
  <c r="L181" i="6"/>
  <c r="K181" i="6"/>
  <c r="T180" i="1"/>
  <c r="J181" i="6"/>
  <c r="I181" i="6"/>
  <c r="H181" i="6"/>
  <c r="G181" i="6"/>
  <c r="F181" i="6"/>
  <c r="E181" i="6"/>
  <c r="D181" i="6"/>
  <c r="C181" i="6"/>
  <c r="B181" i="6"/>
  <c r="A180" i="6"/>
  <c r="W180" i="6"/>
  <c r="V180" i="6"/>
  <c r="U180" i="6"/>
  <c r="T180" i="6"/>
  <c r="S180" i="6"/>
  <c r="R180" i="6"/>
  <c r="AA179" i="1"/>
  <c r="AD179" i="1"/>
  <c r="Q180" i="6"/>
  <c r="P180" i="6"/>
  <c r="O180" i="6"/>
  <c r="N180" i="6"/>
  <c r="M180" i="6"/>
  <c r="L180" i="6"/>
  <c r="K180" i="6"/>
  <c r="T179" i="1"/>
  <c r="J180" i="6"/>
  <c r="I180" i="6"/>
  <c r="H180" i="6"/>
  <c r="G180" i="6"/>
  <c r="F180" i="6"/>
  <c r="E180" i="6"/>
  <c r="D180" i="6"/>
  <c r="C180" i="6"/>
  <c r="B180" i="6"/>
  <c r="A179" i="6"/>
  <c r="W179" i="6"/>
  <c r="V179" i="6"/>
  <c r="U179" i="6"/>
  <c r="T179" i="6"/>
  <c r="S179" i="6"/>
  <c r="R179" i="6"/>
  <c r="AA178" i="1"/>
  <c r="AD178" i="1"/>
  <c r="Q179" i="6"/>
  <c r="P179" i="6"/>
  <c r="O179" i="6"/>
  <c r="N179" i="6"/>
  <c r="M179" i="6"/>
  <c r="L179" i="6"/>
  <c r="K179" i="6"/>
  <c r="T178" i="1"/>
  <c r="J179" i="6"/>
  <c r="I179" i="6"/>
  <c r="H179" i="6"/>
  <c r="G179" i="6"/>
  <c r="F179" i="6"/>
  <c r="E179" i="6"/>
  <c r="D179" i="6"/>
  <c r="C179" i="6"/>
  <c r="B179" i="6"/>
  <c r="A178" i="6"/>
  <c r="W178" i="6"/>
  <c r="V178" i="6"/>
  <c r="U178" i="6"/>
  <c r="T178" i="6"/>
  <c r="S178" i="6"/>
  <c r="R178" i="6"/>
  <c r="AA177" i="1"/>
  <c r="AD177" i="1"/>
  <c r="Q178" i="6"/>
  <c r="P178" i="6"/>
  <c r="O178" i="6"/>
  <c r="N178" i="6"/>
  <c r="M178" i="6"/>
  <c r="L178" i="6"/>
  <c r="K178" i="6"/>
  <c r="T177" i="1"/>
  <c r="J178" i="6"/>
  <c r="I178" i="6"/>
  <c r="H178" i="6"/>
  <c r="G178" i="6"/>
  <c r="F178" i="6"/>
  <c r="E178" i="6"/>
  <c r="D178" i="6"/>
  <c r="C178" i="6"/>
  <c r="B178" i="6"/>
  <c r="A177" i="6"/>
  <c r="W177" i="6"/>
  <c r="V177" i="6"/>
  <c r="U177" i="6"/>
  <c r="T177" i="6"/>
  <c r="S177" i="6"/>
  <c r="R177" i="6"/>
  <c r="AA176" i="1"/>
  <c r="AD176" i="1"/>
  <c r="Q177" i="6"/>
  <c r="P177" i="6"/>
  <c r="O177" i="6"/>
  <c r="N177" i="6"/>
  <c r="M177" i="6"/>
  <c r="L177" i="6"/>
  <c r="K177" i="6"/>
  <c r="T176" i="1"/>
  <c r="J177" i="6"/>
  <c r="I177" i="6"/>
  <c r="H177" i="6"/>
  <c r="G177" i="6"/>
  <c r="F177" i="6"/>
  <c r="E177" i="6"/>
  <c r="D177" i="6"/>
  <c r="C177" i="6"/>
  <c r="B177" i="6"/>
  <c r="A176" i="6"/>
  <c r="W176" i="6"/>
  <c r="V176" i="6"/>
  <c r="U176" i="6"/>
  <c r="T176" i="6"/>
  <c r="S176" i="6"/>
  <c r="R176" i="6"/>
  <c r="AA175" i="1"/>
  <c r="AD175" i="1"/>
  <c r="Q176" i="6"/>
  <c r="P176" i="6"/>
  <c r="O176" i="6"/>
  <c r="N176" i="6"/>
  <c r="M176" i="6"/>
  <c r="L176" i="6"/>
  <c r="K176" i="6"/>
  <c r="T175" i="1"/>
  <c r="J176" i="6"/>
  <c r="I176" i="6"/>
  <c r="H176" i="6"/>
  <c r="G176" i="6"/>
  <c r="F176" i="6"/>
  <c r="E176" i="6"/>
  <c r="D176" i="6"/>
  <c r="C176" i="6"/>
  <c r="B176" i="6"/>
  <c r="A175" i="6"/>
  <c r="W175" i="6"/>
  <c r="V175" i="6"/>
  <c r="U175" i="6"/>
  <c r="T175" i="6"/>
  <c r="S175" i="6"/>
  <c r="R175" i="6"/>
  <c r="AA174" i="1"/>
  <c r="AD174" i="1"/>
  <c r="Q175" i="6"/>
  <c r="P175" i="6"/>
  <c r="O175" i="6"/>
  <c r="N175" i="6"/>
  <c r="M175" i="6"/>
  <c r="L175" i="6"/>
  <c r="K175" i="6"/>
  <c r="T174" i="1"/>
  <c r="J175" i="6"/>
  <c r="I175" i="6"/>
  <c r="H175" i="6"/>
  <c r="G175" i="6"/>
  <c r="F175" i="6"/>
  <c r="E175" i="6"/>
  <c r="D175" i="6"/>
  <c r="C175" i="6"/>
  <c r="B175" i="6"/>
  <c r="A174" i="6"/>
  <c r="W174" i="6"/>
  <c r="V174" i="6"/>
  <c r="U174" i="6"/>
  <c r="T174" i="6"/>
  <c r="S174" i="6"/>
  <c r="R174" i="6"/>
  <c r="AA173" i="1"/>
  <c r="AD173" i="1"/>
  <c r="Q174" i="6"/>
  <c r="P174" i="6"/>
  <c r="O174" i="6"/>
  <c r="N174" i="6"/>
  <c r="M174" i="6"/>
  <c r="L174" i="6"/>
  <c r="K174" i="6"/>
  <c r="T173" i="1"/>
  <c r="J174" i="6"/>
  <c r="I174" i="6"/>
  <c r="H174" i="6"/>
  <c r="G174" i="6"/>
  <c r="F174" i="6"/>
  <c r="E174" i="6"/>
  <c r="D174" i="6"/>
  <c r="C174" i="6"/>
  <c r="B174" i="6"/>
  <c r="A173" i="6"/>
  <c r="W173" i="6"/>
  <c r="V173" i="6"/>
  <c r="U173" i="6"/>
  <c r="T173" i="6"/>
  <c r="S173" i="6"/>
  <c r="R173" i="6"/>
  <c r="AA172" i="1"/>
  <c r="AD172" i="1"/>
  <c r="Q173" i="6"/>
  <c r="P173" i="6"/>
  <c r="O173" i="6"/>
  <c r="N173" i="6"/>
  <c r="M173" i="6"/>
  <c r="L173" i="6"/>
  <c r="K173" i="6"/>
  <c r="T172" i="1"/>
  <c r="J173" i="6"/>
  <c r="I173" i="6"/>
  <c r="H173" i="6"/>
  <c r="G173" i="6"/>
  <c r="F173" i="6"/>
  <c r="E173" i="6"/>
  <c r="D173" i="6"/>
  <c r="C173" i="6"/>
  <c r="B173" i="6"/>
  <c r="A172" i="6"/>
  <c r="W172" i="6"/>
  <c r="V172" i="6"/>
  <c r="U172" i="6"/>
  <c r="T172" i="6"/>
  <c r="S172" i="6"/>
  <c r="R172" i="6"/>
  <c r="AA171" i="1"/>
  <c r="AD171" i="1"/>
  <c r="Q172" i="6"/>
  <c r="P172" i="6"/>
  <c r="O172" i="6"/>
  <c r="N172" i="6"/>
  <c r="M172" i="6"/>
  <c r="L172" i="6"/>
  <c r="K172" i="6"/>
  <c r="T171" i="1"/>
  <c r="J172" i="6"/>
  <c r="I172" i="6"/>
  <c r="H172" i="6"/>
  <c r="G172" i="6"/>
  <c r="F172" i="6"/>
  <c r="E172" i="6"/>
  <c r="D172" i="6"/>
  <c r="C172" i="6"/>
  <c r="B172" i="6"/>
  <c r="A171" i="6"/>
  <c r="W171" i="6"/>
  <c r="V171" i="6"/>
  <c r="U171" i="6"/>
  <c r="T171" i="6"/>
  <c r="S171" i="6"/>
  <c r="R171" i="6"/>
  <c r="AA170" i="1"/>
  <c r="AD170" i="1"/>
  <c r="Q171" i="6"/>
  <c r="P171" i="6"/>
  <c r="O171" i="6"/>
  <c r="N171" i="6"/>
  <c r="M171" i="6"/>
  <c r="L171" i="6"/>
  <c r="K171" i="6"/>
  <c r="T170" i="1"/>
  <c r="J171" i="6"/>
  <c r="I171" i="6"/>
  <c r="H171" i="6"/>
  <c r="G171" i="6"/>
  <c r="F171" i="6"/>
  <c r="E171" i="6"/>
  <c r="D171" i="6"/>
  <c r="C171" i="6"/>
  <c r="B171" i="6"/>
  <c r="A170" i="6"/>
  <c r="W170" i="6"/>
  <c r="V170" i="6"/>
  <c r="U170" i="6"/>
  <c r="T170" i="6"/>
  <c r="S170" i="6"/>
  <c r="R170" i="6"/>
  <c r="AA169" i="1"/>
  <c r="AD169" i="1"/>
  <c r="Q170" i="6"/>
  <c r="P170" i="6"/>
  <c r="O170" i="6"/>
  <c r="N170" i="6"/>
  <c r="M170" i="6"/>
  <c r="L170" i="6"/>
  <c r="K170" i="6"/>
  <c r="T169" i="1"/>
  <c r="J170" i="6"/>
  <c r="I170" i="6"/>
  <c r="H170" i="6"/>
  <c r="G170" i="6"/>
  <c r="F170" i="6"/>
  <c r="E170" i="6"/>
  <c r="D170" i="6"/>
  <c r="C170" i="6"/>
  <c r="B170" i="6"/>
  <c r="A169" i="6"/>
  <c r="W169" i="6"/>
  <c r="V169" i="6"/>
  <c r="U169" i="6"/>
  <c r="T169" i="6"/>
  <c r="S169" i="6"/>
  <c r="R169" i="6"/>
  <c r="AA168" i="1"/>
  <c r="AD168" i="1"/>
  <c r="Q169" i="6"/>
  <c r="P169" i="6"/>
  <c r="O169" i="6"/>
  <c r="N169" i="6"/>
  <c r="M169" i="6"/>
  <c r="L169" i="6"/>
  <c r="K169" i="6"/>
  <c r="T168" i="1"/>
  <c r="J169" i="6"/>
  <c r="I169" i="6"/>
  <c r="H169" i="6"/>
  <c r="G169" i="6"/>
  <c r="F169" i="6"/>
  <c r="E169" i="6"/>
  <c r="D169" i="6"/>
  <c r="C169" i="6"/>
  <c r="B169" i="6"/>
  <c r="A168" i="6"/>
  <c r="W168" i="6"/>
  <c r="V168" i="6"/>
  <c r="U168" i="6"/>
  <c r="T168" i="6"/>
  <c r="S168" i="6"/>
  <c r="R168" i="6"/>
  <c r="AA167" i="1"/>
  <c r="AD167" i="1"/>
  <c r="Q168" i="6"/>
  <c r="P168" i="6"/>
  <c r="O168" i="6"/>
  <c r="N168" i="6"/>
  <c r="M168" i="6"/>
  <c r="L168" i="6"/>
  <c r="K168" i="6"/>
  <c r="T167" i="1"/>
  <c r="J168" i="6"/>
  <c r="I168" i="6"/>
  <c r="H168" i="6"/>
  <c r="G168" i="6"/>
  <c r="F168" i="6"/>
  <c r="E168" i="6"/>
  <c r="D168" i="6"/>
  <c r="C168" i="6"/>
  <c r="B168" i="6"/>
  <c r="A167" i="6"/>
  <c r="W167" i="6"/>
  <c r="V167" i="6"/>
  <c r="U167" i="6"/>
  <c r="T167" i="6"/>
  <c r="S167" i="6"/>
  <c r="R167" i="6"/>
  <c r="AA166" i="1"/>
  <c r="AD166" i="1"/>
  <c r="Q167" i="6"/>
  <c r="P167" i="6"/>
  <c r="O167" i="6"/>
  <c r="N167" i="6"/>
  <c r="M167" i="6"/>
  <c r="L167" i="6"/>
  <c r="K167" i="6"/>
  <c r="T166" i="1"/>
  <c r="J167" i="6"/>
  <c r="I167" i="6"/>
  <c r="H167" i="6"/>
  <c r="G167" i="6"/>
  <c r="F167" i="6"/>
  <c r="E167" i="6"/>
  <c r="D167" i="6"/>
  <c r="C167" i="6"/>
  <c r="B167" i="6"/>
  <c r="A166" i="6"/>
  <c r="W166" i="6"/>
  <c r="V166" i="6"/>
  <c r="U166" i="6"/>
  <c r="T166" i="6"/>
  <c r="S166" i="6"/>
  <c r="R166" i="6"/>
  <c r="AA165" i="1"/>
  <c r="AD165" i="1"/>
  <c r="Q166" i="6"/>
  <c r="P166" i="6"/>
  <c r="O166" i="6"/>
  <c r="N166" i="6"/>
  <c r="M166" i="6"/>
  <c r="L166" i="6"/>
  <c r="K166" i="6"/>
  <c r="T165" i="1"/>
  <c r="J166" i="6"/>
  <c r="I166" i="6"/>
  <c r="H166" i="6"/>
  <c r="G166" i="6"/>
  <c r="F166" i="6"/>
  <c r="E166" i="6"/>
  <c r="D166" i="6"/>
  <c r="C166" i="6"/>
  <c r="B166" i="6"/>
  <c r="A165" i="6"/>
  <c r="W165" i="6"/>
  <c r="V165" i="6"/>
  <c r="U165" i="6"/>
  <c r="T165" i="6"/>
  <c r="S165" i="6"/>
  <c r="R165" i="6"/>
  <c r="AA164" i="1"/>
  <c r="AD164" i="1"/>
  <c r="Q165" i="6"/>
  <c r="P165" i="6"/>
  <c r="O165" i="6"/>
  <c r="N165" i="6"/>
  <c r="M165" i="6"/>
  <c r="L165" i="6"/>
  <c r="K165" i="6"/>
  <c r="T164" i="1"/>
  <c r="J165" i="6"/>
  <c r="I165" i="6"/>
  <c r="H165" i="6"/>
  <c r="G165" i="6"/>
  <c r="F165" i="6"/>
  <c r="E165" i="6"/>
  <c r="D165" i="6"/>
  <c r="C165" i="6"/>
  <c r="B165" i="6"/>
  <c r="A164" i="6"/>
  <c r="W164" i="6"/>
  <c r="V164" i="6"/>
  <c r="U164" i="6"/>
  <c r="T164" i="6"/>
  <c r="S164" i="6"/>
  <c r="R164" i="6"/>
  <c r="AA163" i="1"/>
  <c r="AD163" i="1"/>
  <c r="Q164" i="6"/>
  <c r="P164" i="6"/>
  <c r="O164" i="6"/>
  <c r="N164" i="6"/>
  <c r="M164" i="6"/>
  <c r="L164" i="6"/>
  <c r="K164" i="6"/>
  <c r="T163" i="1"/>
  <c r="J164" i="6"/>
  <c r="I164" i="6"/>
  <c r="H164" i="6"/>
  <c r="G164" i="6"/>
  <c r="F164" i="6"/>
  <c r="E164" i="6"/>
  <c r="D164" i="6"/>
  <c r="C164" i="6"/>
  <c r="B164" i="6"/>
  <c r="A163" i="6"/>
  <c r="W163" i="6"/>
  <c r="V163" i="6"/>
  <c r="U163" i="6"/>
  <c r="T163" i="6"/>
  <c r="S163" i="6"/>
  <c r="R163" i="6"/>
  <c r="AA162" i="1"/>
  <c r="AD162" i="1"/>
  <c r="Q163" i="6"/>
  <c r="P163" i="6"/>
  <c r="O163" i="6"/>
  <c r="N163" i="6"/>
  <c r="M163" i="6"/>
  <c r="L163" i="6"/>
  <c r="K163" i="6"/>
  <c r="T162" i="1"/>
  <c r="J163" i="6"/>
  <c r="I163" i="6"/>
  <c r="H163" i="6"/>
  <c r="G163" i="6"/>
  <c r="F163" i="6"/>
  <c r="E163" i="6"/>
  <c r="D163" i="6"/>
  <c r="C163" i="6"/>
  <c r="B163" i="6"/>
  <c r="A162" i="6"/>
  <c r="W162" i="6"/>
  <c r="V162" i="6"/>
  <c r="U162" i="6"/>
  <c r="T162" i="6"/>
  <c r="S162" i="6"/>
  <c r="R162" i="6"/>
  <c r="AA161" i="1"/>
  <c r="AD161" i="1"/>
  <c r="Q162" i="6"/>
  <c r="P162" i="6"/>
  <c r="O162" i="6"/>
  <c r="N162" i="6"/>
  <c r="M162" i="6"/>
  <c r="L162" i="6"/>
  <c r="K162" i="6"/>
  <c r="T161" i="1"/>
  <c r="J162" i="6"/>
  <c r="I162" i="6"/>
  <c r="H162" i="6"/>
  <c r="G162" i="6"/>
  <c r="F162" i="6"/>
  <c r="E162" i="6"/>
  <c r="D162" i="6"/>
  <c r="C162" i="6"/>
  <c r="B162" i="6"/>
  <c r="A161" i="6"/>
  <c r="W161" i="6"/>
  <c r="V161" i="6"/>
  <c r="U161" i="6"/>
  <c r="T161" i="6"/>
  <c r="S161" i="6"/>
  <c r="R161" i="6"/>
  <c r="AA160" i="1"/>
  <c r="AD160" i="1"/>
  <c r="Q161" i="6"/>
  <c r="P161" i="6"/>
  <c r="O161" i="6"/>
  <c r="N161" i="6"/>
  <c r="M161" i="6"/>
  <c r="L161" i="6"/>
  <c r="K161" i="6"/>
  <c r="T160" i="1"/>
  <c r="J161" i="6"/>
  <c r="I161" i="6"/>
  <c r="H161" i="6"/>
  <c r="G161" i="6"/>
  <c r="F161" i="6"/>
  <c r="E161" i="6"/>
  <c r="D161" i="6"/>
  <c r="C161" i="6"/>
  <c r="B161" i="6"/>
  <c r="A160" i="6"/>
  <c r="W160" i="6"/>
  <c r="V160" i="6"/>
  <c r="U160" i="6"/>
  <c r="T160" i="6"/>
  <c r="S160" i="6"/>
  <c r="R160" i="6"/>
  <c r="AA159" i="1"/>
  <c r="AD159" i="1"/>
  <c r="Q160" i="6"/>
  <c r="P160" i="6"/>
  <c r="O160" i="6"/>
  <c r="N160" i="6"/>
  <c r="M160" i="6"/>
  <c r="L160" i="6"/>
  <c r="K160" i="6"/>
  <c r="T159" i="1"/>
  <c r="J160" i="6"/>
  <c r="I160" i="6"/>
  <c r="H160" i="6"/>
  <c r="G160" i="6"/>
  <c r="F160" i="6"/>
  <c r="E160" i="6"/>
  <c r="D160" i="6"/>
  <c r="C160" i="6"/>
  <c r="B160" i="6"/>
  <c r="A159" i="6"/>
  <c r="W159" i="6"/>
  <c r="V159" i="6"/>
  <c r="U159" i="6"/>
  <c r="T159" i="6"/>
  <c r="S159" i="6"/>
  <c r="R159" i="6"/>
  <c r="AA158" i="1"/>
  <c r="AD158" i="1"/>
  <c r="Q159" i="6"/>
  <c r="P159" i="6"/>
  <c r="O159" i="6"/>
  <c r="N159" i="6"/>
  <c r="M159" i="6"/>
  <c r="L159" i="6"/>
  <c r="K159" i="6"/>
  <c r="T158" i="1"/>
  <c r="J159" i="6"/>
  <c r="I159" i="6"/>
  <c r="H159" i="6"/>
  <c r="G159" i="6"/>
  <c r="F159" i="6"/>
  <c r="E159" i="6"/>
  <c r="D159" i="6"/>
  <c r="C159" i="6"/>
  <c r="B159" i="6"/>
  <c r="A158" i="6"/>
  <c r="W158" i="6"/>
  <c r="V158" i="6"/>
  <c r="U158" i="6"/>
  <c r="T158" i="6"/>
  <c r="S158" i="6"/>
  <c r="R158" i="6"/>
  <c r="AA157" i="1"/>
  <c r="AD157" i="1"/>
  <c r="Q158" i="6"/>
  <c r="P158" i="6"/>
  <c r="O158" i="6"/>
  <c r="N158" i="6"/>
  <c r="M158" i="6"/>
  <c r="L158" i="6"/>
  <c r="K158" i="6"/>
  <c r="T157" i="1"/>
  <c r="J158" i="6"/>
  <c r="I158" i="6"/>
  <c r="H158" i="6"/>
  <c r="G158" i="6"/>
  <c r="F158" i="6"/>
  <c r="E158" i="6"/>
  <c r="D158" i="6"/>
  <c r="C158" i="6"/>
  <c r="B158" i="6"/>
  <c r="A157" i="6"/>
  <c r="W157" i="6"/>
  <c r="V157" i="6"/>
  <c r="U157" i="6"/>
  <c r="T157" i="6"/>
  <c r="S157" i="6"/>
  <c r="R157" i="6"/>
  <c r="AA156" i="1"/>
  <c r="AD156" i="1"/>
  <c r="Q157" i="6"/>
  <c r="P157" i="6"/>
  <c r="O157" i="6"/>
  <c r="N157" i="6"/>
  <c r="M157" i="6"/>
  <c r="L157" i="6"/>
  <c r="K157" i="6"/>
  <c r="T156" i="1"/>
  <c r="J157" i="6"/>
  <c r="I157" i="6"/>
  <c r="H157" i="6"/>
  <c r="G157" i="6"/>
  <c r="F157" i="6"/>
  <c r="E157" i="6"/>
  <c r="D157" i="6"/>
  <c r="C157" i="6"/>
  <c r="B157" i="6"/>
  <c r="A156" i="6"/>
  <c r="W156" i="6"/>
  <c r="V156" i="6"/>
  <c r="U156" i="6"/>
  <c r="T156" i="6"/>
  <c r="S156" i="6"/>
  <c r="R156" i="6"/>
  <c r="AA155" i="1"/>
  <c r="AD155" i="1"/>
  <c r="Q156" i="6"/>
  <c r="P156" i="6"/>
  <c r="O156" i="6"/>
  <c r="N156" i="6"/>
  <c r="M156" i="6"/>
  <c r="L156" i="6"/>
  <c r="K156" i="6"/>
  <c r="T155" i="1"/>
  <c r="J156" i="6"/>
  <c r="I156" i="6"/>
  <c r="H156" i="6"/>
  <c r="G156" i="6"/>
  <c r="F156" i="6"/>
  <c r="E156" i="6"/>
  <c r="D156" i="6"/>
  <c r="C156" i="6"/>
  <c r="B156" i="6"/>
  <c r="A155" i="6"/>
  <c r="W155" i="6"/>
  <c r="V155" i="6"/>
  <c r="U155" i="6"/>
  <c r="T155" i="6"/>
  <c r="S155" i="6"/>
  <c r="R155" i="6"/>
  <c r="AA154" i="1"/>
  <c r="AD154" i="1"/>
  <c r="Q155" i="6"/>
  <c r="P155" i="6"/>
  <c r="O155" i="6"/>
  <c r="N155" i="6"/>
  <c r="M155" i="6"/>
  <c r="L155" i="6"/>
  <c r="K155" i="6"/>
  <c r="T154" i="1"/>
  <c r="J155" i="6"/>
  <c r="I155" i="6"/>
  <c r="H155" i="6"/>
  <c r="G155" i="6"/>
  <c r="F155" i="6"/>
  <c r="E155" i="6"/>
  <c r="D155" i="6"/>
  <c r="C155" i="6"/>
  <c r="B155" i="6"/>
  <c r="A154" i="6"/>
  <c r="W154" i="6"/>
  <c r="V154" i="6"/>
  <c r="U154" i="6"/>
  <c r="T154" i="6"/>
  <c r="S154" i="6"/>
  <c r="R154" i="6"/>
  <c r="AA153" i="1"/>
  <c r="AD153" i="1"/>
  <c r="Q154" i="6"/>
  <c r="P154" i="6"/>
  <c r="O154" i="6"/>
  <c r="N154" i="6"/>
  <c r="M154" i="6"/>
  <c r="L154" i="6"/>
  <c r="K154" i="6"/>
  <c r="T153" i="1"/>
  <c r="J154" i="6"/>
  <c r="I154" i="6"/>
  <c r="H154" i="6"/>
  <c r="G154" i="6"/>
  <c r="F154" i="6"/>
  <c r="E154" i="6"/>
  <c r="D154" i="6"/>
  <c r="C154" i="6"/>
  <c r="B154" i="6"/>
  <c r="A153" i="6"/>
  <c r="W153" i="6"/>
  <c r="V153" i="6"/>
  <c r="U153" i="6"/>
  <c r="T153" i="6"/>
  <c r="S153" i="6"/>
  <c r="R153" i="6"/>
  <c r="AA152" i="1"/>
  <c r="AD152" i="1"/>
  <c r="Q153" i="6"/>
  <c r="P153" i="6"/>
  <c r="O153" i="6"/>
  <c r="N153" i="6"/>
  <c r="M153" i="6"/>
  <c r="L153" i="6"/>
  <c r="K153" i="6"/>
  <c r="T152" i="1"/>
  <c r="J153" i="6"/>
  <c r="I153" i="6"/>
  <c r="H153" i="6"/>
  <c r="G153" i="6"/>
  <c r="F153" i="6"/>
  <c r="E153" i="6"/>
  <c r="D153" i="6"/>
  <c r="C153" i="6"/>
  <c r="B153" i="6"/>
  <c r="A152" i="6"/>
  <c r="W152" i="6"/>
  <c r="V152" i="6"/>
  <c r="U152" i="6"/>
  <c r="T152" i="6"/>
  <c r="S152" i="6"/>
  <c r="R152" i="6"/>
  <c r="AA151" i="1"/>
  <c r="AD151" i="1"/>
  <c r="Q152" i="6"/>
  <c r="P152" i="6"/>
  <c r="O152" i="6"/>
  <c r="N152" i="6"/>
  <c r="M152" i="6"/>
  <c r="L152" i="6"/>
  <c r="K152" i="6"/>
  <c r="T151" i="1"/>
  <c r="J152" i="6"/>
  <c r="I152" i="6"/>
  <c r="H152" i="6"/>
  <c r="G152" i="6"/>
  <c r="F152" i="6"/>
  <c r="E152" i="6"/>
  <c r="D152" i="6"/>
  <c r="C152" i="6"/>
  <c r="B152" i="6"/>
  <c r="A151" i="6"/>
  <c r="W151" i="6"/>
  <c r="V151" i="6"/>
  <c r="U151" i="6"/>
  <c r="T151" i="6"/>
  <c r="S151" i="6"/>
  <c r="R151" i="6"/>
  <c r="AA150" i="1"/>
  <c r="AD150" i="1"/>
  <c r="Q151" i="6"/>
  <c r="P151" i="6"/>
  <c r="O151" i="6"/>
  <c r="N151" i="6"/>
  <c r="M151" i="6"/>
  <c r="L151" i="6"/>
  <c r="K151" i="6"/>
  <c r="T150" i="1"/>
  <c r="J151" i="6"/>
  <c r="I151" i="6"/>
  <c r="H151" i="6"/>
  <c r="G151" i="6"/>
  <c r="F151" i="6"/>
  <c r="E151" i="6"/>
  <c r="D151" i="6"/>
  <c r="C151" i="6"/>
  <c r="B151" i="6"/>
  <c r="A150" i="6"/>
  <c r="W150" i="6"/>
  <c r="V150" i="6"/>
  <c r="U150" i="6"/>
  <c r="T150" i="6"/>
  <c r="S150" i="6"/>
  <c r="R150" i="6"/>
  <c r="AA149" i="1"/>
  <c r="AD149" i="1"/>
  <c r="Q150" i="6"/>
  <c r="P150" i="6"/>
  <c r="O150" i="6"/>
  <c r="N150" i="6"/>
  <c r="M150" i="6"/>
  <c r="L150" i="6"/>
  <c r="K150" i="6"/>
  <c r="T149" i="1"/>
  <c r="J150" i="6"/>
  <c r="I150" i="6"/>
  <c r="H150" i="6"/>
  <c r="G150" i="6"/>
  <c r="F150" i="6"/>
  <c r="E150" i="6"/>
  <c r="D150" i="6"/>
  <c r="C150" i="6"/>
  <c r="B150" i="6"/>
  <c r="A149" i="6"/>
  <c r="W149" i="6"/>
  <c r="V149" i="6"/>
  <c r="U149" i="6"/>
  <c r="T149" i="6"/>
  <c r="S149" i="6"/>
  <c r="R149" i="6"/>
  <c r="AA148" i="1"/>
  <c r="AD148" i="1"/>
  <c r="Q149" i="6"/>
  <c r="P149" i="6"/>
  <c r="O149" i="6"/>
  <c r="N149" i="6"/>
  <c r="M149" i="6"/>
  <c r="L149" i="6"/>
  <c r="K149" i="6"/>
  <c r="T148" i="1"/>
  <c r="J149" i="6"/>
  <c r="I149" i="6"/>
  <c r="H149" i="6"/>
  <c r="G149" i="6"/>
  <c r="F149" i="6"/>
  <c r="E149" i="6"/>
  <c r="D149" i="6"/>
  <c r="C149" i="6"/>
  <c r="B149" i="6"/>
  <c r="A148" i="6"/>
  <c r="W148" i="6"/>
  <c r="V148" i="6"/>
  <c r="U148" i="6"/>
  <c r="T148" i="6"/>
  <c r="S148" i="6"/>
  <c r="R148" i="6"/>
  <c r="AA147" i="1"/>
  <c r="AD147" i="1"/>
  <c r="Q148" i="6"/>
  <c r="P148" i="6"/>
  <c r="O148" i="6"/>
  <c r="N148" i="6"/>
  <c r="M148" i="6"/>
  <c r="L148" i="6"/>
  <c r="K148" i="6"/>
  <c r="T147" i="1"/>
  <c r="J148" i="6"/>
  <c r="I148" i="6"/>
  <c r="H148" i="6"/>
  <c r="G148" i="6"/>
  <c r="F148" i="6"/>
  <c r="E148" i="6"/>
  <c r="D148" i="6"/>
  <c r="C148" i="6"/>
  <c r="B148" i="6"/>
  <c r="A147" i="6"/>
  <c r="W147" i="6"/>
  <c r="V147" i="6"/>
  <c r="U147" i="6"/>
  <c r="T147" i="6"/>
  <c r="S147" i="6"/>
  <c r="R147" i="6"/>
  <c r="AA146" i="1"/>
  <c r="AD146" i="1"/>
  <c r="Q147" i="6"/>
  <c r="P147" i="6"/>
  <c r="O147" i="6"/>
  <c r="N147" i="6"/>
  <c r="M147" i="6"/>
  <c r="L147" i="6"/>
  <c r="K147" i="6"/>
  <c r="T146" i="1"/>
  <c r="J147" i="6"/>
  <c r="I147" i="6"/>
  <c r="H147" i="6"/>
  <c r="G147" i="6"/>
  <c r="F147" i="6"/>
  <c r="E147" i="6"/>
  <c r="D147" i="6"/>
  <c r="C147" i="6"/>
  <c r="B147" i="6"/>
  <c r="A146" i="6"/>
  <c r="W146" i="6"/>
  <c r="V146" i="6"/>
  <c r="U146" i="6"/>
  <c r="T146" i="6"/>
  <c r="S146" i="6"/>
  <c r="R146" i="6"/>
  <c r="AA145" i="1"/>
  <c r="AD145" i="1"/>
  <c r="Q146" i="6"/>
  <c r="P146" i="6"/>
  <c r="O146" i="6"/>
  <c r="N146" i="6"/>
  <c r="M146" i="6"/>
  <c r="L146" i="6"/>
  <c r="K146" i="6"/>
  <c r="T145" i="1"/>
  <c r="J146" i="6"/>
  <c r="I146" i="6"/>
  <c r="H146" i="6"/>
  <c r="G146" i="6"/>
  <c r="F146" i="6"/>
  <c r="E146" i="6"/>
  <c r="D146" i="6"/>
  <c r="C146" i="6"/>
  <c r="B146" i="6"/>
  <c r="A145" i="6"/>
  <c r="W145" i="6"/>
  <c r="V145" i="6"/>
  <c r="U145" i="6"/>
  <c r="T145" i="6"/>
  <c r="S145" i="6"/>
  <c r="R145" i="6"/>
  <c r="AA144" i="1"/>
  <c r="AD144" i="1"/>
  <c r="Q145" i="6"/>
  <c r="P145" i="6"/>
  <c r="O145" i="6"/>
  <c r="N145" i="6"/>
  <c r="M145" i="6"/>
  <c r="L145" i="6"/>
  <c r="K145" i="6"/>
  <c r="T144" i="1"/>
  <c r="J145" i="6"/>
  <c r="I145" i="6"/>
  <c r="H145" i="6"/>
  <c r="G145" i="6"/>
  <c r="F145" i="6"/>
  <c r="E145" i="6"/>
  <c r="D145" i="6"/>
  <c r="C145" i="6"/>
  <c r="B145" i="6"/>
  <c r="A144" i="6"/>
  <c r="W144" i="6"/>
  <c r="V144" i="6"/>
  <c r="U144" i="6"/>
  <c r="T144" i="6"/>
  <c r="S144" i="6"/>
  <c r="R144" i="6"/>
  <c r="AA143" i="1"/>
  <c r="AD143" i="1"/>
  <c r="Q144" i="6"/>
  <c r="P144" i="6"/>
  <c r="O144" i="6"/>
  <c r="N144" i="6"/>
  <c r="M144" i="6"/>
  <c r="L144" i="6"/>
  <c r="K144" i="6"/>
  <c r="T143" i="1"/>
  <c r="J144" i="6"/>
  <c r="I144" i="6"/>
  <c r="H144" i="6"/>
  <c r="G144" i="6"/>
  <c r="F144" i="6"/>
  <c r="E144" i="6"/>
  <c r="D144" i="6"/>
  <c r="C144" i="6"/>
  <c r="B144" i="6"/>
  <c r="A143" i="6"/>
  <c r="W143" i="6"/>
  <c r="V143" i="6"/>
  <c r="U143" i="6"/>
  <c r="T143" i="6"/>
  <c r="S143" i="6"/>
  <c r="R143" i="6"/>
  <c r="AA142" i="1"/>
  <c r="AD142" i="1"/>
  <c r="Q143" i="6"/>
  <c r="P143" i="6"/>
  <c r="O143" i="6"/>
  <c r="N143" i="6"/>
  <c r="M143" i="6"/>
  <c r="L143" i="6"/>
  <c r="K143" i="6"/>
  <c r="T142" i="1"/>
  <c r="J143" i="6"/>
  <c r="I143" i="6"/>
  <c r="H143" i="6"/>
  <c r="G143" i="6"/>
  <c r="F143" i="6"/>
  <c r="E143" i="6"/>
  <c r="D143" i="6"/>
  <c r="C143" i="6"/>
  <c r="B143" i="6"/>
  <c r="A142" i="6"/>
  <c r="W142" i="6"/>
  <c r="V142" i="6"/>
  <c r="U142" i="6"/>
  <c r="T142" i="6"/>
  <c r="S142" i="6"/>
  <c r="R142" i="6"/>
  <c r="AA141" i="1"/>
  <c r="AD141" i="1"/>
  <c r="Q142" i="6"/>
  <c r="P142" i="6"/>
  <c r="O142" i="6"/>
  <c r="N142" i="6"/>
  <c r="M142" i="6"/>
  <c r="L142" i="6"/>
  <c r="K142" i="6"/>
  <c r="T141" i="1"/>
  <c r="J142" i="6"/>
  <c r="I142" i="6"/>
  <c r="H142" i="6"/>
  <c r="G142" i="6"/>
  <c r="F142" i="6"/>
  <c r="E142" i="6"/>
  <c r="D142" i="6"/>
  <c r="C142" i="6"/>
  <c r="B142" i="6"/>
  <c r="A141" i="6"/>
  <c r="W141" i="6"/>
  <c r="V141" i="6"/>
  <c r="U141" i="6"/>
  <c r="T141" i="6"/>
  <c r="S141" i="6"/>
  <c r="R141" i="6"/>
  <c r="AA140" i="1"/>
  <c r="AD140" i="1"/>
  <c r="Q141" i="6"/>
  <c r="P141" i="6"/>
  <c r="O141" i="6"/>
  <c r="N141" i="6"/>
  <c r="M141" i="6"/>
  <c r="L141" i="6"/>
  <c r="K141" i="6"/>
  <c r="T140" i="1"/>
  <c r="J141" i="6"/>
  <c r="I141" i="6"/>
  <c r="H141" i="6"/>
  <c r="G141" i="6"/>
  <c r="F141" i="6"/>
  <c r="E141" i="6"/>
  <c r="D141" i="6"/>
  <c r="C141" i="6"/>
  <c r="B141" i="6"/>
  <c r="A140" i="6"/>
  <c r="W140" i="6"/>
  <c r="V140" i="6"/>
  <c r="U140" i="6"/>
  <c r="T140" i="6"/>
  <c r="S140" i="6"/>
  <c r="R140" i="6"/>
  <c r="AA139" i="1"/>
  <c r="AD139" i="1"/>
  <c r="Q140" i="6"/>
  <c r="P140" i="6"/>
  <c r="O140" i="6"/>
  <c r="N140" i="6"/>
  <c r="M140" i="6"/>
  <c r="L140" i="6"/>
  <c r="K140" i="6"/>
  <c r="T139" i="1"/>
  <c r="J140" i="6"/>
  <c r="I140" i="6"/>
  <c r="H140" i="6"/>
  <c r="G140" i="6"/>
  <c r="F140" i="6"/>
  <c r="E140" i="6"/>
  <c r="D140" i="6"/>
  <c r="C140" i="6"/>
  <c r="B140" i="6"/>
  <c r="A139" i="6"/>
  <c r="W139" i="6"/>
  <c r="V139" i="6"/>
  <c r="U139" i="6"/>
  <c r="T139" i="6"/>
  <c r="S139" i="6"/>
  <c r="R139" i="6"/>
  <c r="AA138" i="1"/>
  <c r="AD138" i="1"/>
  <c r="Q139" i="6"/>
  <c r="P139" i="6"/>
  <c r="O139" i="6"/>
  <c r="N139" i="6"/>
  <c r="M139" i="6"/>
  <c r="L139" i="6"/>
  <c r="K139" i="6"/>
  <c r="T138" i="1"/>
  <c r="J139" i="6"/>
  <c r="I139" i="6"/>
  <c r="H139" i="6"/>
  <c r="G139" i="6"/>
  <c r="F139" i="6"/>
  <c r="E139" i="6"/>
  <c r="D139" i="6"/>
  <c r="C139" i="6"/>
  <c r="B139" i="6"/>
  <c r="A138" i="6"/>
  <c r="W138" i="6"/>
  <c r="V138" i="6"/>
  <c r="U138" i="6"/>
  <c r="T138" i="6"/>
  <c r="S138" i="6"/>
  <c r="R138" i="6"/>
  <c r="AA137" i="1"/>
  <c r="AD137" i="1"/>
  <c r="Q138" i="6"/>
  <c r="P138" i="6"/>
  <c r="O138" i="6"/>
  <c r="N138" i="6"/>
  <c r="M138" i="6"/>
  <c r="L138" i="6"/>
  <c r="K138" i="6"/>
  <c r="T137" i="1"/>
  <c r="J138" i="6"/>
  <c r="I138" i="6"/>
  <c r="H138" i="6"/>
  <c r="G138" i="6"/>
  <c r="F138" i="6"/>
  <c r="E138" i="6"/>
  <c r="D138" i="6"/>
  <c r="C138" i="6"/>
  <c r="B138" i="6"/>
  <c r="A137" i="6"/>
  <c r="W137" i="6"/>
  <c r="V137" i="6"/>
  <c r="U137" i="6"/>
  <c r="T137" i="6"/>
  <c r="S137" i="6"/>
  <c r="R137" i="6"/>
  <c r="AA136" i="1"/>
  <c r="AD136" i="1"/>
  <c r="Q137" i="6"/>
  <c r="P137" i="6"/>
  <c r="O137" i="6"/>
  <c r="N137" i="6"/>
  <c r="M137" i="6"/>
  <c r="L137" i="6"/>
  <c r="K137" i="6"/>
  <c r="T136" i="1"/>
  <c r="J137" i="6"/>
  <c r="I137" i="6"/>
  <c r="H137" i="6"/>
  <c r="G137" i="6"/>
  <c r="F137" i="6"/>
  <c r="E137" i="6"/>
  <c r="D137" i="6"/>
  <c r="C137" i="6"/>
  <c r="B137" i="6"/>
  <c r="A136" i="6"/>
  <c r="W136" i="6"/>
  <c r="V136" i="6"/>
  <c r="U136" i="6"/>
  <c r="T136" i="6"/>
  <c r="S136" i="6"/>
  <c r="R136" i="6"/>
  <c r="AA135" i="1"/>
  <c r="AD135" i="1"/>
  <c r="Q136" i="6"/>
  <c r="P136" i="6"/>
  <c r="O136" i="6"/>
  <c r="N136" i="6"/>
  <c r="M136" i="6"/>
  <c r="L136" i="6"/>
  <c r="K136" i="6"/>
  <c r="T135" i="1"/>
  <c r="J136" i="6"/>
  <c r="I136" i="6"/>
  <c r="H136" i="6"/>
  <c r="G136" i="6"/>
  <c r="F136" i="6"/>
  <c r="E136" i="6"/>
  <c r="D136" i="6"/>
  <c r="C136" i="6"/>
  <c r="B136" i="6"/>
  <c r="A135" i="6"/>
  <c r="W135" i="6"/>
  <c r="V135" i="6"/>
  <c r="U135" i="6"/>
  <c r="T135" i="6"/>
  <c r="S135" i="6"/>
  <c r="R135" i="6"/>
  <c r="AA134" i="1"/>
  <c r="AD134" i="1"/>
  <c r="Q135" i="6"/>
  <c r="P135" i="6"/>
  <c r="O135" i="6"/>
  <c r="N135" i="6"/>
  <c r="M135" i="6"/>
  <c r="L135" i="6"/>
  <c r="K135" i="6"/>
  <c r="T134" i="1"/>
  <c r="J135" i="6"/>
  <c r="I135" i="6"/>
  <c r="H135" i="6"/>
  <c r="G135" i="6"/>
  <c r="F135" i="6"/>
  <c r="E135" i="6"/>
  <c r="D135" i="6"/>
  <c r="C135" i="6"/>
  <c r="B135" i="6"/>
  <c r="A134" i="6"/>
  <c r="W134" i="6"/>
  <c r="V134" i="6"/>
  <c r="U134" i="6"/>
  <c r="T134" i="6"/>
  <c r="S134" i="6"/>
  <c r="R134" i="6"/>
  <c r="AA133" i="1"/>
  <c r="AD133" i="1"/>
  <c r="Q134" i="6"/>
  <c r="P134" i="6"/>
  <c r="O134" i="6"/>
  <c r="N134" i="6"/>
  <c r="M134" i="6"/>
  <c r="L134" i="6"/>
  <c r="K134" i="6"/>
  <c r="T133" i="1"/>
  <c r="J134" i="6"/>
  <c r="I134" i="6"/>
  <c r="H134" i="6"/>
  <c r="G134" i="6"/>
  <c r="F134" i="6"/>
  <c r="E134" i="6"/>
  <c r="D134" i="6"/>
  <c r="C134" i="6"/>
  <c r="B134" i="6"/>
  <c r="A133" i="6"/>
  <c r="W133" i="6"/>
  <c r="V133" i="6"/>
  <c r="U133" i="6"/>
  <c r="T133" i="6"/>
  <c r="S133" i="6"/>
  <c r="R133" i="6"/>
  <c r="AA132" i="1"/>
  <c r="AD132" i="1"/>
  <c r="Q133" i="6"/>
  <c r="P133" i="6"/>
  <c r="O133" i="6"/>
  <c r="N133" i="6"/>
  <c r="M133" i="6"/>
  <c r="L133" i="6"/>
  <c r="K133" i="6"/>
  <c r="T132" i="1"/>
  <c r="J133" i="6"/>
  <c r="I133" i="6"/>
  <c r="H133" i="6"/>
  <c r="G133" i="6"/>
  <c r="F133" i="6"/>
  <c r="E133" i="6"/>
  <c r="D133" i="6"/>
  <c r="C133" i="6"/>
  <c r="B133" i="6"/>
  <c r="A132" i="6"/>
  <c r="W132" i="6"/>
  <c r="V132" i="6"/>
  <c r="U132" i="6"/>
  <c r="T132" i="6"/>
  <c r="S132" i="6"/>
  <c r="R132" i="6"/>
  <c r="AA131" i="1"/>
  <c r="AD131" i="1"/>
  <c r="Q132" i="6"/>
  <c r="P132" i="6"/>
  <c r="O132" i="6"/>
  <c r="N132" i="6"/>
  <c r="M132" i="6"/>
  <c r="L132" i="6"/>
  <c r="K132" i="6"/>
  <c r="T131" i="1"/>
  <c r="J132" i="6"/>
  <c r="I132" i="6"/>
  <c r="H132" i="6"/>
  <c r="G132" i="6"/>
  <c r="F132" i="6"/>
  <c r="E132" i="6"/>
  <c r="D132" i="6"/>
  <c r="C132" i="6"/>
  <c r="B132" i="6"/>
  <c r="A131" i="6"/>
  <c r="W131" i="6"/>
  <c r="V131" i="6"/>
  <c r="U131" i="6"/>
  <c r="T131" i="6"/>
  <c r="S131" i="6"/>
  <c r="R131" i="6"/>
  <c r="AA130" i="1"/>
  <c r="AD130" i="1"/>
  <c r="Q131" i="6"/>
  <c r="P131" i="6"/>
  <c r="O131" i="6"/>
  <c r="N131" i="6"/>
  <c r="M131" i="6"/>
  <c r="L131" i="6"/>
  <c r="K131" i="6"/>
  <c r="T130" i="1"/>
  <c r="J131" i="6"/>
  <c r="I131" i="6"/>
  <c r="H131" i="6"/>
  <c r="G131" i="6"/>
  <c r="F131" i="6"/>
  <c r="E131" i="6"/>
  <c r="D131" i="6"/>
  <c r="C131" i="6"/>
  <c r="B131" i="6"/>
  <c r="A130" i="6"/>
  <c r="W130" i="6"/>
  <c r="V130" i="6"/>
  <c r="U130" i="6"/>
  <c r="T130" i="6"/>
  <c r="S130" i="6"/>
  <c r="R130" i="6"/>
  <c r="AA129" i="1"/>
  <c r="AD129" i="1"/>
  <c r="Q130" i="6"/>
  <c r="P130" i="6"/>
  <c r="O130" i="6"/>
  <c r="N130" i="6"/>
  <c r="M130" i="6"/>
  <c r="L130" i="6"/>
  <c r="K130" i="6"/>
  <c r="T129" i="1"/>
  <c r="J130" i="6"/>
  <c r="I130" i="6"/>
  <c r="H130" i="6"/>
  <c r="G130" i="6"/>
  <c r="F130" i="6"/>
  <c r="E130" i="6"/>
  <c r="D130" i="6"/>
  <c r="C130" i="6"/>
  <c r="B130" i="6"/>
  <c r="A129" i="6"/>
  <c r="W129" i="6"/>
  <c r="V129" i="6"/>
  <c r="U129" i="6"/>
  <c r="T129" i="6"/>
  <c r="S129" i="6"/>
  <c r="R129" i="6"/>
  <c r="AA128" i="1"/>
  <c r="AD128" i="1"/>
  <c r="Q129" i="6"/>
  <c r="P129" i="6"/>
  <c r="O129" i="6"/>
  <c r="N129" i="6"/>
  <c r="M129" i="6"/>
  <c r="L129" i="6"/>
  <c r="K129" i="6"/>
  <c r="T128" i="1"/>
  <c r="J129" i="6"/>
  <c r="I129" i="6"/>
  <c r="H129" i="6"/>
  <c r="G129" i="6"/>
  <c r="F129" i="6"/>
  <c r="E129" i="6"/>
  <c r="D129" i="6"/>
  <c r="C129" i="6"/>
  <c r="B129" i="6"/>
  <c r="A128" i="6"/>
  <c r="W128" i="6"/>
  <c r="V128" i="6"/>
  <c r="U128" i="6"/>
  <c r="T128" i="6"/>
  <c r="S128" i="6"/>
  <c r="R128" i="6"/>
  <c r="AA127" i="1"/>
  <c r="AD127" i="1"/>
  <c r="Q128" i="6"/>
  <c r="P128" i="6"/>
  <c r="O128" i="6"/>
  <c r="N128" i="6"/>
  <c r="M128" i="6"/>
  <c r="L128" i="6"/>
  <c r="K128" i="6"/>
  <c r="T127" i="1"/>
  <c r="J128" i="6"/>
  <c r="I128" i="6"/>
  <c r="H128" i="6"/>
  <c r="G128" i="6"/>
  <c r="F128" i="6"/>
  <c r="E128" i="6"/>
  <c r="D128" i="6"/>
  <c r="C128" i="6"/>
  <c r="B128" i="6"/>
  <c r="A127" i="6"/>
  <c r="W127" i="6"/>
  <c r="V127" i="6"/>
  <c r="U127" i="6"/>
  <c r="T127" i="6"/>
  <c r="S127" i="6"/>
  <c r="R127" i="6"/>
  <c r="AA126" i="1"/>
  <c r="AD126" i="1"/>
  <c r="Q127" i="6"/>
  <c r="P127" i="6"/>
  <c r="O127" i="6"/>
  <c r="N127" i="6"/>
  <c r="M127" i="6"/>
  <c r="L127" i="6"/>
  <c r="K127" i="6"/>
  <c r="T126" i="1"/>
  <c r="J127" i="6"/>
  <c r="I127" i="6"/>
  <c r="H127" i="6"/>
  <c r="G127" i="6"/>
  <c r="F127" i="6"/>
  <c r="E127" i="6"/>
  <c r="D127" i="6"/>
  <c r="C127" i="6"/>
  <c r="B127" i="6"/>
  <c r="A126" i="6"/>
  <c r="W126" i="6"/>
  <c r="V126" i="6"/>
  <c r="U126" i="6"/>
  <c r="T126" i="6"/>
  <c r="S126" i="6"/>
  <c r="R126" i="6"/>
  <c r="AA125" i="1"/>
  <c r="AD125" i="1"/>
  <c r="Q126" i="6"/>
  <c r="P126" i="6"/>
  <c r="O126" i="6"/>
  <c r="N126" i="6"/>
  <c r="M126" i="6"/>
  <c r="L126" i="6"/>
  <c r="K126" i="6"/>
  <c r="T125" i="1"/>
  <c r="J126" i="6"/>
  <c r="I126" i="6"/>
  <c r="H126" i="6"/>
  <c r="G126" i="6"/>
  <c r="F126" i="6"/>
  <c r="E126" i="6"/>
  <c r="D126" i="6"/>
  <c r="C126" i="6"/>
  <c r="B126" i="6"/>
  <c r="A125" i="6"/>
  <c r="W125" i="6"/>
  <c r="V125" i="6"/>
  <c r="U125" i="6"/>
  <c r="T125" i="6"/>
  <c r="S125" i="6"/>
  <c r="R125" i="6"/>
  <c r="AA124" i="1"/>
  <c r="AD124" i="1"/>
  <c r="Q125" i="6"/>
  <c r="P125" i="6"/>
  <c r="O125" i="6"/>
  <c r="N125" i="6"/>
  <c r="M125" i="6"/>
  <c r="L125" i="6"/>
  <c r="K125" i="6"/>
  <c r="T124" i="1"/>
  <c r="J125" i="6"/>
  <c r="I125" i="6"/>
  <c r="H125" i="6"/>
  <c r="G125" i="6"/>
  <c r="F125" i="6"/>
  <c r="E125" i="6"/>
  <c r="D125" i="6"/>
  <c r="C125" i="6"/>
  <c r="B125" i="6"/>
  <c r="A124" i="6"/>
  <c r="W124" i="6"/>
  <c r="V124" i="6"/>
  <c r="U124" i="6"/>
  <c r="T124" i="6"/>
  <c r="S124" i="6"/>
  <c r="R124" i="6"/>
  <c r="AA123" i="1"/>
  <c r="AD123" i="1"/>
  <c r="Q124" i="6"/>
  <c r="P124" i="6"/>
  <c r="O124" i="6"/>
  <c r="N124" i="6"/>
  <c r="M124" i="6"/>
  <c r="L124" i="6"/>
  <c r="K124" i="6"/>
  <c r="T123" i="1"/>
  <c r="J124" i="6"/>
  <c r="I124" i="6"/>
  <c r="H124" i="6"/>
  <c r="G124" i="6"/>
  <c r="F124" i="6"/>
  <c r="E124" i="6"/>
  <c r="D124" i="6"/>
  <c r="C124" i="6"/>
  <c r="B124" i="6"/>
  <c r="A123" i="6"/>
  <c r="W123" i="6"/>
  <c r="V123" i="6"/>
  <c r="U123" i="6"/>
  <c r="T123" i="6"/>
  <c r="S123" i="6"/>
  <c r="R123" i="6"/>
  <c r="AA122" i="1"/>
  <c r="AD122" i="1"/>
  <c r="Q123" i="6"/>
  <c r="P123" i="6"/>
  <c r="O123" i="6"/>
  <c r="N123" i="6"/>
  <c r="M123" i="6"/>
  <c r="L123" i="6"/>
  <c r="K123" i="6"/>
  <c r="T122" i="1"/>
  <c r="J123" i="6"/>
  <c r="I123" i="6"/>
  <c r="H123" i="6"/>
  <c r="G123" i="6"/>
  <c r="F123" i="6"/>
  <c r="E123" i="6"/>
  <c r="D123" i="6"/>
  <c r="C123" i="6"/>
  <c r="B123" i="6"/>
  <c r="A122" i="6"/>
  <c r="W122" i="6"/>
  <c r="V122" i="6"/>
  <c r="U122" i="6"/>
  <c r="T122" i="6"/>
  <c r="S122" i="6"/>
  <c r="R122" i="6"/>
  <c r="AA121" i="1"/>
  <c r="AD121" i="1"/>
  <c r="Q122" i="6"/>
  <c r="P122" i="6"/>
  <c r="O122" i="6"/>
  <c r="N122" i="6"/>
  <c r="M122" i="6"/>
  <c r="L122" i="6"/>
  <c r="K122" i="6"/>
  <c r="T121" i="1"/>
  <c r="J122" i="6"/>
  <c r="I122" i="6"/>
  <c r="H122" i="6"/>
  <c r="G122" i="6"/>
  <c r="F122" i="6"/>
  <c r="E122" i="6"/>
  <c r="D122" i="6"/>
  <c r="C122" i="6"/>
  <c r="B122" i="6"/>
  <c r="A121" i="6"/>
  <c r="W121" i="6"/>
  <c r="V121" i="6"/>
  <c r="U121" i="6"/>
  <c r="T121" i="6"/>
  <c r="S121" i="6"/>
  <c r="R121" i="6"/>
  <c r="AA120" i="1"/>
  <c r="AD120" i="1"/>
  <c r="Q121" i="6"/>
  <c r="P121" i="6"/>
  <c r="O121" i="6"/>
  <c r="N121" i="6"/>
  <c r="M121" i="6"/>
  <c r="L121" i="6"/>
  <c r="K121" i="6"/>
  <c r="T120" i="1"/>
  <c r="J121" i="6"/>
  <c r="I121" i="6"/>
  <c r="H121" i="6"/>
  <c r="G121" i="6"/>
  <c r="F121" i="6"/>
  <c r="E121" i="6"/>
  <c r="D121" i="6"/>
  <c r="C121" i="6"/>
  <c r="B121" i="6"/>
  <c r="A120" i="6"/>
  <c r="W120" i="6"/>
  <c r="V120" i="6"/>
  <c r="U120" i="6"/>
  <c r="T120" i="6"/>
  <c r="S120" i="6"/>
  <c r="R120" i="6"/>
  <c r="AA119" i="1"/>
  <c r="AD119" i="1"/>
  <c r="Q120" i="6"/>
  <c r="P120" i="6"/>
  <c r="O120" i="6"/>
  <c r="N120" i="6"/>
  <c r="M120" i="6"/>
  <c r="L120" i="6"/>
  <c r="K120" i="6"/>
  <c r="T119" i="1"/>
  <c r="J120" i="6"/>
  <c r="I120" i="6"/>
  <c r="H120" i="6"/>
  <c r="G120" i="6"/>
  <c r="F120" i="6"/>
  <c r="E120" i="6"/>
  <c r="D120" i="6"/>
  <c r="C120" i="6"/>
  <c r="B120" i="6"/>
  <c r="A119" i="6"/>
  <c r="W119" i="6"/>
  <c r="V119" i="6"/>
  <c r="U119" i="6"/>
  <c r="T119" i="6"/>
  <c r="S119" i="6"/>
  <c r="R119" i="6"/>
  <c r="AA118" i="1"/>
  <c r="AD118" i="1"/>
  <c r="Q119" i="6"/>
  <c r="P119" i="6"/>
  <c r="O119" i="6"/>
  <c r="N119" i="6"/>
  <c r="M119" i="6"/>
  <c r="L119" i="6"/>
  <c r="K119" i="6"/>
  <c r="T118" i="1"/>
  <c r="J119" i="6"/>
  <c r="I119" i="6"/>
  <c r="H119" i="6"/>
  <c r="G119" i="6"/>
  <c r="F119" i="6"/>
  <c r="E119" i="6"/>
  <c r="D119" i="6"/>
  <c r="C119" i="6"/>
  <c r="B119" i="6"/>
  <c r="A118" i="6"/>
  <c r="W118" i="6"/>
  <c r="V118" i="6"/>
  <c r="U118" i="6"/>
  <c r="T118" i="6"/>
  <c r="S118" i="6"/>
  <c r="R118" i="6"/>
  <c r="AA117" i="1"/>
  <c r="AD117" i="1"/>
  <c r="Q118" i="6"/>
  <c r="P118" i="6"/>
  <c r="O118" i="6"/>
  <c r="N118" i="6"/>
  <c r="M118" i="6"/>
  <c r="L118" i="6"/>
  <c r="K118" i="6"/>
  <c r="T117" i="1"/>
  <c r="J118" i="6"/>
  <c r="I118" i="6"/>
  <c r="H118" i="6"/>
  <c r="G118" i="6"/>
  <c r="F118" i="6"/>
  <c r="E118" i="6"/>
  <c r="D118" i="6"/>
  <c r="C118" i="6"/>
  <c r="B118" i="6"/>
  <c r="A117" i="6"/>
  <c r="W117" i="6"/>
  <c r="V117" i="6"/>
  <c r="U117" i="6"/>
  <c r="T117" i="6"/>
  <c r="S117" i="6"/>
  <c r="R117" i="6"/>
  <c r="AA116" i="1"/>
  <c r="AD116" i="1"/>
  <c r="Q117" i="6"/>
  <c r="P117" i="6"/>
  <c r="O117" i="6"/>
  <c r="N117" i="6"/>
  <c r="M117" i="6"/>
  <c r="L117" i="6"/>
  <c r="K117" i="6"/>
  <c r="T116" i="1"/>
  <c r="J117" i="6"/>
  <c r="I117" i="6"/>
  <c r="H117" i="6"/>
  <c r="G117" i="6"/>
  <c r="F117" i="6"/>
  <c r="E117" i="6"/>
  <c r="D117" i="6"/>
  <c r="C117" i="6"/>
  <c r="B117" i="6"/>
  <c r="A116" i="6"/>
  <c r="W116" i="6"/>
  <c r="V116" i="6"/>
  <c r="U116" i="6"/>
  <c r="T116" i="6"/>
  <c r="S116" i="6"/>
  <c r="R116" i="6"/>
  <c r="AA115" i="1"/>
  <c r="AD115" i="1"/>
  <c r="Q116" i="6"/>
  <c r="P116" i="6"/>
  <c r="O116" i="6"/>
  <c r="N116" i="6"/>
  <c r="M116" i="6"/>
  <c r="L116" i="6"/>
  <c r="K116" i="6"/>
  <c r="T115" i="1"/>
  <c r="J116" i="6"/>
  <c r="I116" i="6"/>
  <c r="H116" i="6"/>
  <c r="G116" i="6"/>
  <c r="F116" i="6"/>
  <c r="E116" i="6"/>
  <c r="D116" i="6"/>
  <c r="C116" i="6"/>
  <c r="B116" i="6"/>
  <c r="A115" i="6"/>
  <c r="W115" i="6"/>
  <c r="V115" i="6"/>
  <c r="U115" i="6"/>
  <c r="T115" i="6"/>
  <c r="S115" i="6"/>
  <c r="R115" i="6"/>
  <c r="AA114" i="1"/>
  <c r="AD114" i="1"/>
  <c r="Q115" i="6"/>
  <c r="P115" i="6"/>
  <c r="O115" i="6"/>
  <c r="N115" i="6"/>
  <c r="M115" i="6"/>
  <c r="L115" i="6"/>
  <c r="K115" i="6"/>
  <c r="T114" i="1"/>
  <c r="J115" i="6"/>
  <c r="I115" i="6"/>
  <c r="H115" i="6"/>
  <c r="G115" i="6"/>
  <c r="F115" i="6"/>
  <c r="E115" i="6"/>
  <c r="D115" i="6"/>
  <c r="C115" i="6"/>
  <c r="B115" i="6"/>
  <c r="A114" i="6"/>
  <c r="W114" i="6"/>
  <c r="V114" i="6"/>
  <c r="U114" i="6"/>
  <c r="T114" i="6"/>
  <c r="S114" i="6"/>
  <c r="R114" i="6"/>
  <c r="AA113" i="1"/>
  <c r="AD113" i="1"/>
  <c r="Q114" i="6"/>
  <c r="P114" i="6"/>
  <c r="O114" i="6"/>
  <c r="N114" i="6"/>
  <c r="M114" i="6"/>
  <c r="L114" i="6"/>
  <c r="K114" i="6"/>
  <c r="T113" i="1"/>
  <c r="J114" i="6"/>
  <c r="I114" i="6"/>
  <c r="H114" i="6"/>
  <c r="G114" i="6"/>
  <c r="F114" i="6"/>
  <c r="E114" i="6"/>
  <c r="D114" i="6"/>
  <c r="C114" i="6"/>
  <c r="B114" i="6"/>
  <c r="A113" i="6"/>
  <c r="W113" i="6"/>
  <c r="V113" i="6"/>
  <c r="U113" i="6"/>
  <c r="T113" i="6"/>
  <c r="S113" i="6"/>
  <c r="R113" i="6"/>
  <c r="AA112" i="1"/>
  <c r="AD112" i="1"/>
  <c r="Q113" i="6"/>
  <c r="P113" i="6"/>
  <c r="O113" i="6"/>
  <c r="N113" i="6"/>
  <c r="M113" i="6"/>
  <c r="L113" i="6"/>
  <c r="K113" i="6"/>
  <c r="T112" i="1"/>
  <c r="J113" i="6"/>
  <c r="I113" i="6"/>
  <c r="H113" i="6"/>
  <c r="G113" i="6"/>
  <c r="F113" i="6"/>
  <c r="E113" i="6"/>
  <c r="D113" i="6"/>
  <c r="C113" i="6"/>
  <c r="B113" i="6"/>
  <c r="A112" i="6"/>
  <c r="W112" i="6"/>
  <c r="V112" i="6"/>
  <c r="U112" i="6"/>
  <c r="T112" i="6"/>
  <c r="S112" i="6"/>
  <c r="R112" i="6"/>
  <c r="AA111" i="1"/>
  <c r="AD111" i="1"/>
  <c r="Q112" i="6"/>
  <c r="P112" i="6"/>
  <c r="O112" i="6"/>
  <c r="N112" i="6"/>
  <c r="M112" i="6"/>
  <c r="L112" i="6"/>
  <c r="K112" i="6"/>
  <c r="T111" i="1"/>
  <c r="J112" i="6"/>
  <c r="I112" i="6"/>
  <c r="H112" i="6"/>
  <c r="G112" i="6"/>
  <c r="F112" i="6"/>
  <c r="E112" i="6"/>
  <c r="D112" i="6"/>
  <c r="C112" i="6"/>
  <c r="B112" i="6"/>
  <c r="A111" i="6"/>
  <c r="W111" i="6"/>
  <c r="V111" i="6"/>
  <c r="U111" i="6"/>
  <c r="T111" i="6"/>
  <c r="S111" i="6"/>
  <c r="R111" i="6"/>
  <c r="AA110" i="1"/>
  <c r="AD110" i="1"/>
  <c r="Q111" i="6"/>
  <c r="P111" i="6"/>
  <c r="O111" i="6"/>
  <c r="N111" i="6"/>
  <c r="M111" i="6"/>
  <c r="L111" i="6"/>
  <c r="K111" i="6"/>
  <c r="T110" i="1"/>
  <c r="J111" i="6"/>
  <c r="I111" i="6"/>
  <c r="H111" i="6"/>
  <c r="G111" i="6"/>
  <c r="F111" i="6"/>
  <c r="E111" i="6"/>
  <c r="D111" i="6"/>
  <c r="C111" i="6"/>
  <c r="B111" i="6"/>
  <c r="A110" i="6"/>
  <c r="W110" i="6"/>
  <c r="V110" i="6"/>
  <c r="U110" i="6"/>
  <c r="T110" i="6"/>
  <c r="S110" i="6"/>
  <c r="R110" i="6"/>
  <c r="AA109" i="1"/>
  <c r="AD109" i="1"/>
  <c r="Q110" i="6"/>
  <c r="P110" i="6"/>
  <c r="O110" i="6"/>
  <c r="N110" i="6"/>
  <c r="M110" i="6"/>
  <c r="L110" i="6"/>
  <c r="K110" i="6"/>
  <c r="T109" i="1"/>
  <c r="J110" i="6"/>
  <c r="I110" i="6"/>
  <c r="H110" i="6"/>
  <c r="G110" i="6"/>
  <c r="F110" i="6"/>
  <c r="E110" i="6"/>
  <c r="D110" i="6"/>
  <c r="C110" i="6"/>
  <c r="B110" i="6"/>
  <c r="A109" i="6"/>
  <c r="W109" i="6"/>
  <c r="V109" i="6"/>
  <c r="U109" i="6"/>
  <c r="T109" i="6"/>
  <c r="S109" i="6"/>
  <c r="R109" i="6"/>
  <c r="AA108" i="1"/>
  <c r="AD108" i="1"/>
  <c r="Q109" i="6"/>
  <c r="P109" i="6"/>
  <c r="O109" i="6"/>
  <c r="N109" i="6"/>
  <c r="M109" i="6"/>
  <c r="L109" i="6"/>
  <c r="K109" i="6"/>
  <c r="T108" i="1"/>
  <c r="J109" i="6"/>
  <c r="I109" i="6"/>
  <c r="H109" i="6"/>
  <c r="G109" i="6"/>
  <c r="F109" i="6"/>
  <c r="E109" i="6"/>
  <c r="D109" i="6"/>
  <c r="C109" i="6"/>
  <c r="B109" i="6"/>
  <c r="A108" i="6"/>
  <c r="W108" i="6"/>
  <c r="V108" i="6"/>
  <c r="U108" i="6"/>
  <c r="T108" i="6"/>
  <c r="S108" i="6"/>
  <c r="R108" i="6"/>
  <c r="AA107" i="1"/>
  <c r="AD107" i="1"/>
  <c r="Q108" i="6"/>
  <c r="P108" i="6"/>
  <c r="O108" i="6"/>
  <c r="N108" i="6"/>
  <c r="M108" i="6"/>
  <c r="L108" i="6"/>
  <c r="K108" i="6"/>
  <c r="T107" i="1"/>
  <c r="J108" i="6"/>
  <c r="I108" i="6"/>
  <c r="H108" i="6"/>
  <c r="G108" i="6"/>
  <c r="F108" i="6"/>
  <c r="E108" i="6"/>
  <c r="D108" i="6"/>
  <c r="C108" i="6"/>
  <c r="B108" i="6"/>
  <c r="A107" i="6"/>
  <c r="W107" i="6"/>
  <c r="V107" i="6"/>
  <c r="U107" i="6"/>
  <c r="T107" i="6"/>
  <c r="S107" i="6"/>
  <c r="R107" i="6"/>
  <c r="AA106" i="1"/>
  <c r="AD106" i="1"/>
  <c r="Q107" i="6"/>
  <c r="P107" i="6"/>
  <c r="O107" i="6"/>
  <c r="N107" i="6"/>
  <c r="M107" i="6"/>
  <c r="L107" i="6"/>
  <c r="K107" i="6"/>
  <c r="T106" i="1"/>
  <c r="J107" i="6"/>
  <c r="I107" i="6"/>
  <c r="H107" i="6"/>
  <c r="G107" i="6"/>
  <c r="F107" i="6"/>
  <c r="E107" i="6"/>
  <c r="D107" i="6"/>
  <c r="C107" i="6"/>
  <c r="B107" i="6"/>
  <c r="A106" i="6"/>
  <c r="W106" i="6"/>
  <c r="V106" i="6"/>
  <c r="U106" i="6"/>
  <c r="T106" i="6"/>
  <c r="S106" i="6"/>
  <c r="R106" i="6"/>
  <c r="AA105" i="1"/>
  <c r="AD105" i="1"/>
  <c r="Q106" i="6"/>
  <c r="P106" i="6"/>
  <c r="O106" i="6"/>
  <c r="N106" i="6"/>
  <c r="M106" i="6"/>
  <c r="L106" i="6"/>
  <c r="K106" i="6"/>
  <c r="T105" i="1"/>
  <c r="J106" i="6"/>
  <c r="I106" i="6"/>
  <c r="H106" i="6"/>
  <c r="G106" i="6"/>
  <c r="F106" i="6"/>
  <c r="E106" i="6"/>
  <c r="D106" i="6"/>
  <c r="C106" i="6"/>
  <c r="B106" i="6"/>
  <c r="A105" i="6"/>
  <c r="W105" i="6"/>
  <c r="V105" i="6"/>
  <c r="U105" i="6"/>
  <c r="T105" i="6"/>
  <c r="S105" i="6"/>
  <c r="R105" i="6"/>
  <c r="AA104" i="1"/>
  <c r="AD104" i="1"/>
  <c r="Q105" i="6"/>
  <c r="P105" i="6"/>
  <c r="O105" i="6"/>
  <c r="N105" i="6"/>
  <c r="M105" i="6"/>
  <c r="L105" i="6"/>
  <c r="K105" i="6"/>
  <c r="T104" i="1"/>
  <c r="J105" i="6"/>
  <c r="I105" i="6"/>
  <c r="H105" i="6"/>
  <c r="G105" i="6"/>
  <c r="F105" i="6"/>
  <c r="E105" i="6"/>
  <c r="D105" i="6"/>
  <c r="C105" i="6"/>
  <c r="B105" i="6"/>
  <c r="A104" i="6"/>
  <c r="W104" i="6"/>
  <c r="V104" i="6"/>
  <c r="U104" i="6"/>
  <c r="T104" i="6"/>
  <c r="S104" i="6"/>
  <c r="R104" i="6"/>
  <c r="AA103" i="1"/>
  <c r="AD103" i="1"/>
  <c r="Q104" i="6"/>
  <c r="P104" i="6"/>
  <c r="O104" i="6"/>
  <c r="N104" i="6"/>
  <c r="M104" i="6"/>
  <c r="L104" i="6"/>
  <c r="K104" i="6"/>
  <c r="T103" i="1"/>
  <c r="J104" i="6"/>
  <c r="I104" i="6"/>
  <c r="H104" i="6"/>
  <c r="G104" i="6"/>
  <c r="F104" i="6"/>
  <c r="E104" i="6"/>
  <c r="D104" i="6"/>
  <c r="C104" i="6"/>
  <c r="B104" i="6"/>
  <c r="A103" i="6"/>
  <c r="W103" i="6"/>
  <c r="V103" i="6"/>
  <c r="U103" i="6"/>
  <c r="T103" i="6"/>
  <c r="S103" i="6"/>
  <c r="R103" i="6"/>
  <c r="AA102" i="1"/>
  <c r="AD102" i="1"/>
  <c r="Q103" i="6"/>
  <c r="P103" i="6"/>
  <c r="O103" i="6"/>
  <c r="N103" i="6"/>
  <c r="M103" i="6"/>
  <c r="L103" i="6"/>
  <c r="K103" i="6"/>
  <c r="T102" i="1"/>
  <c r="J103" i="6"/>
  <c r="I103" i="6"/>
  <c r="H103" i="6"/>
  <c r="G103" i="6"/>
  <c r="F103" i="6"/>
  <c r="E103" i="6"/>
  <c r="D103" i="6"/>
  <c r="C103" i="6"/>
  <c r="B103" i="6"/>
  <c r="A102" i="6"/>
  <c r="W102" i="6"/>
  <c r="V102" i="6"/>
  <c r="U102" i="6"/>
  <c r="T102" i="6"/>
  <c r="S102" i="6"/>
  <c r="R102" i="6"/>
  <c r="AA101" i="1"/>
  <c r="AD101" i="1"/>
  <c r="Q102" i="6"/>
  <c r="P102" i="6"/>
  <c r="O102" i="6"/>
  <c r="N102" i="6"/>
  <c r="M102" i="6"/>
  <c r="L102" i="6"/>
  <c r="K102" i="6"/>
  <c r="T101" i="1"/>
  <c r="J102" i="6"/>
  <c r="I102" i="6"/>
  <c r="H102" i="6"/>
  <c r="G102" i="6"/>
  <c r="F102" i="6"/>
  <c r="E102" i="6"/>
  <c r="D102" i="6"/>
  <c r="C102" i="6"/>
  <c r="B102" i="6"/>
  <c r="A101" i="6"/>
  <c r="W101" i="6"/>
  <c r="V101" i="6"/>
  <c r="U101" i="6"/>
  <c r="T101" i="6"/>
  <c r="S101" i="6"/>
  <c r="R101" i="6"/>
  <c r="AA100" i="1"/>
  <c r="AD100" i="1"/>
  <c r="Q101" i="6"/>
  <c r="P101" i="6"/>
  <c r="O101" i="6"/>
  <c r="N101" i="6"/>
  <c r="M101" i="6"/>
  <c r="L101" i="6"/>
  <c r="K101" i="6"/>
  <c r="T100" i="1"/>
  <c r="J101" i="6"/>
  <c r="I101" i="6"/>
  <c r="H101" i="6"/>
  <c r="G101" i="6"/>
  <c r="F101" i="6"/>
  <c r="E101" i="6"/>
  <c r="D101" i="6"/>
  <c r="C101" i="6"/>
  <c r="B101" i="6"/>
  <c r="A100" i="6"/>
  <c r="W100" i="6"/>
  <c r="V100" i="6"/>
  <c r="U100" i="6"/>
  <c r="T100" i="6"/>
  <c r="S100" i="6"/>
  <c r="R100" i="6"/>
  <c r="AA99" i="1"/>
  <c r="AD99" i="1"/>
  <c r="Q100" i="6"/>
  <c r="P100" i="6"/>
  <c r="O100" i="6"/>
  <c r="N100" i="6"/>
  <c r="M100" i="6"/>
  <c r="L100" i="6"/>
  <c r="K100" i="6"/>
  <c r="T99" i="1"/>
  <c r="J100" i="6"/>
  <c r="I100" i="6"/>
  <c r="H100" i="6"/>
  <c r="G100" i="6"/>
  <c r="F100" i="6"/>
  <c r="E100" i="6"/>
  <c r="D100" i="6"/>
  <c r="C100" i="6"/>
  <c r="B100" i="6"/>
  <c r="A99" i="6"/>
  <c r="W99" i="6"/>
  <c r="V99" i="6"/>
  <c r="U99" i="6"/>
  <c r="T99" i="6"/>
  <c r="S99" i="6"/>
  <c r="R99" i="6"/>
  <c r="AA98" i="1"/>
  <c r="AD98" i="1"/>
  <c r="Q99" i="6"/>
  <c r="P99" i="6"/>
  <c r="O99" i="6"/>
  <c r="N99" i="6"/>
  <c r="M99" i="6"/>
  <c r="L99" i="6"/>
  <c r="K99" i="6"/>
  <c r="T98" i="1"/>
  <c r="J99" i="6"/>
  <c r="I99" i="6"/>
  <c r="H99" i="6"/>
  <c r="G99" i="6"/>
  <c r="F99" i="6"/>
  <c r="E99" i="6"/>
  <c r="D99" i="6"/>
  <c r="C99" i="6"/>
  <c r="B99" i="6"/>
  <c r="A98" i="6"/>
  <c r="W98" i="6"/>
  <c r="V98" i="6"/>
  <c r="U98" i="6"/>
  <c r="T98" i="6"/>
  <c r="S98" i="6"/>
  <c r="R98" i="6"/>
  <c r="AA97" i="1"/>
  <c r="AD97" i="1"/>
  <c r="Q98" i="6"/>
  <c r="P98" i="6"/>
  <c r="O98" i="6"/>
  <c r="N98" i="6"/>
  <c r="M98" i="6"/>
  <c r="L98" i="6"/>
  <c r="K98" i="6"/>
  <c r="T97" i="1"/>
  <c r="J98" i="6"/>
  <c r="I98" i="6"/>
  <c r="H98" i="6"/>
  <c r="G98" i="6"/>
  <c r="F98" i="6"/>
  <c r="E98" i="6"/>
  <c r="D98" i="6"/>
  <c r="C98" i="6"/>
  <c r="B98" i="6"/>
  <c r="A97" i="6"/>
  <c r="W97" i="6"/>
  <c r="V97" i="6"/>
  <c r="U97" i="6"/>
  <c r="T97" i="6"/>
  <c r="S97" i="6"/>
  <c r="R97" i="6"/>
  <c r="AA96" i="1"/>
  <c r="AD96" i="1"/>
  <c r="Q97" i="6"/>
  <c r="P97" i="6"/>
  <c r="O97" i="6"/>
  <c r="N97" i="6"/>
  <c r="M97" i="6"/>
  <c r="L97" i="6"/>
  <c r="K97" i="6"/>
  <c r="T96" i="1"/>
  <c r="J97" i="6"/>
  <c r="I97" i="6"/>
  <c r="H97" i="6"/>
  <c r="G97" i="6"/>
  <c r="F97" i="6"/>
  <c r="E97" i="6"/>
  <c r="D97" i="6"/>
  <c r="C97" i="6"/>
  <c r="B97" i="6"/>
  <c r="A96" i="6"/>
  <c r="W96" i="6"/>
  <c r="V96" i="6"/>
  <c r="U96" i="6"/>
  <c r="T96" i="6"/>
  <c r="S96" i="6"/>
  <c r="R96" i="6"/>
  <c r="AA95" i="1"/>
  <c r="AD95" i="1"/>
  <c r="Q96" i="6"/>
  <c r="P96" i="6"/>
  <c r="O96" i="6"/>
  <c r="N96" i="6"/>
  <c r="M96" i="6"/>
  <c r="L96" i="6"/>
  <c r="K96" i="6"/>
  <c r="T95" i="1"/>
  <c r="J96" i="6"/>
  <c r="I96" i="6"/>
  <c r="H96" i="6"/>
  <c r="G96" i="6"/>
  <c r="F96" i="6"/>
  <c r="E96" i="6"/>
  <c r="D96" i="6"/>
  <c r="C96" i="6"/>
  <c r="B96" i="6"/>
  <c r="A95" i="6"/>
  <c r="W95" i="6"/>
  <c r="V95" i="6"/>
  <c r="U95" i="6"/>
  <c r="T95" i="6"/>
  <c r="S95" i="6"/>
  <c r="R95" i="6"/>
  <c r="AA94" i="1"/>
  <c r="AD94" i="1"/>
  <c r="Q95" i="6"/>
  <c r="P95" i="6"/>
  <c r="O95" i="6"/>
  <c r="N95" i="6"/>
  <c r="M95" i="6"/>
  <c r="L95" i="6"/>
  <c r="K95" i="6"/>
  <c r="T94" i="1"/>
  <c r="J95" i="6"/>
  <c r="I95" i="6"/>
  <c r="H95" i="6"/>
  <c r="G95" i="6"/>
  <c r="F95" i="6"/>
  <c r="E95" i="6"/>
  <c r="D95" i="6"/>
  <c r="C95" i="6"/>
  <c r="B95" i="6"/>
  <c r="A94" i="6"/>
  <c r="W94" i="6"/>
  <c r="V94" i="6"/>
  <c r="U94" i="6"/>
  <c r="T94" i="6"/>
  <c r="S94" i="6"/>
  <c r="R94" i="6"/>
  <c r="AA93" i="1"/>
  <c r="AD93" i="1"/>
  <c r="Q94" i="6"/>
  <c r="P94" i="6"/>
  <c r="O94" i="6"/>
  <c r="N94" i="6"/>
  <c r="M94" i="6"/>
  <c r="L94" i="6"/>
  <c r="K94" i="6"/>
  <c r="T93" i="1"/>
  <c r="J94" i="6"/>
  <c r="I94" i="6"/>
  <c r="H94" i="6"/>
  <c r="G94" i="6"/>
  <c r="F94" i="6"/>
  <c r="E94" i="6"/>
  <c r="D94" i="6"/>
  <c r="C94" i="6"/>
  <c r="B94" i="6"/>
  <c r="A93" i="6"/>
  <c r="W93" i="6"/>
  <c r="V93" i="6"/>
  <c r="U93" i="6"/>
  <c r="T93" i="6"/>
  <c r="S93" i="6"/>
  <c r="R93" i="6"/>
  <c r="AA92" i="1"/>
  <c r="AD92" i="1"/>
  <c r="Q93" i="6"/>
  <c r="P93" i="6"/>
  <c r="O93" i="6"/>
  <c r="N93" i="6"/>
  <c r="M93" i="6"/>
  <c r="L93" i="6"/>
  <c r="K93" i="6"/>
  <c r="T92" i="1"/>
  <c r="J93" i="6"/>
  <c r="I93" i="6"/>
  <c r="H93" i="6"/>
  <c r="G93" i="6"/>
  <c r="F93" i="6"/>
  <c r="E93" i="6"/>
  <c r="D93" i="6"/>
  <c r="C93" i="6"/>
  <c r="B93" i="6"/>
  <c r="A92" i="6"/>
  <c r="W92" i="6"/>
  <c r="V92" i="6"/>
  <c r="U92" i="6"/>
  <c r="T92" i="6"/>
  <c r="S92" i="6"/>
  <c r="R92" i="6"/>
  <c r="AA91" i="1"/>
  <c r="AD91" i="1"/>
  <c r="Q92" i="6"/>
  <c r="P92" i="6"/>
  <c r="O92" i="6"/>
  <c r="N92" i="6"/>
  <c r="M92" i="6"/>
  <c r="L92" i="6"/>
  <c r="K92" i="6"/>
  <c r="T91" i="1"/>
  <c r="J92" i="6"/>
  <c r="I92" i="6"/>
  <c r="H92" i="6"/>
  <c r="G92" i="6"/>
  <c r="F92" i="6"/>
  <c r="E92" i="6"/>
  <c r="D92" i="6"/>
  <c r="C92" i="6"/>
  <c r="B92" i="6"/>
  <c r="A91" i="6"/>
  <c r="W91" i="6"/>
  <c r="V91" i="6"/>
  <c r="U91" i="6"/>
  <c r="T91" i="6"/>
  <c r="S91" i="6"/>
  <c r="R91" i="6"/>
  <c r="AA90" i="1"/>
  <c r="AD90" i="1"/>
  <c r="Q91" i="6"/>
  <c r="P91" i="6"/>
  <c r="O91" i="6"/>
  <c r="N91" i="6"/>
  <c r="M91" i="6"/>
  <c r="L91" i="6"/>
  <c r="K91" i="6"/>
  <c r="T90" i="1"/>
  <c r="J91" i="6"/>
  <c r="I91" i="6"/>
  <c r="H91" i="6"/>
  <c r="G91" i="6"/>
  <c r="F91" i="6"/>
  <c r="E91" i="6"/>
  <c r="D91" i="6"/>
  <c r="C91" i="6"/>
  <c r="B91" i="6"/>
  <c r="A90" i="6"/>
  <c r="W90" i="6"/>
  <c r="V90" i="6"/>
  <c r="U90" i="6"/>
  <c r="T90" i="6"/>
  <c r="S90" i="6"/>
  <c r="R90" i="6"/>
  <c r="AA89" i="1"/>
  <c r="AD89" i="1"/>
  <c r="Q90" i="6"/>
  <c r="P90" i="6"/>
  <c r="O90" i="6"/>
  <c r="N90" i="6"/>
  <c r="M90" i="6"/>
  <c r="L90" i="6"/>
  <c r="K90" i="6"/>
  <c r="T89" i="1"/>
  <c r="J90" i="6"/>
  <c r="I90" i="6"/>
  <c r="H90" i="6"/>
  <c r="G90" i="6"/>
  <c r="F90" i="6"/>
  <c r="E90" i="6"/>
  <c r="D90" i="6"/>
  <c r="C90" i="6"/>
  <c r="B90" i="6"/>
  <c r="A89" i="6"/>
  <c r="W89" i="6"/>
  <c r="V89" i="6"/>
  <c r="U89" i="6"/>
  <c r="T89" i="6"/>
  <c r="S89" i="6"/>
  <c r="R89" i="6"/>
  <c r="AA88" i="1"/>
  <c r="AD88" i="1"/>
  <c r="Q89" i="6"/>
  <c r="P89" i="6"/>
  <c r="O89" i="6"/>
  <c r="N89" i="6"/>
  <c r="M89" i="6"/>
  <c r="L89" i="6"/>
  <c r="K89" i="6"/>
  <c r="T88" i="1"/>
  <c r="J89" i="6"/>
  <c r="I89" i="6"/>
  <c r="H89" i="6"/>
  <c r="G89" i="6"/>
  <c r="F89" i="6"/>
  <c r="E89" i="6"/>
  <c r="D89" i="6"/>
  <c r="C89" i="6"/>
  <c r="B89" i="6"/>
  <c r="A88" i="6"/>
  <c r="W88" i="6"/>
  <c r="V88" i="6"/>
  <c r="U88" i="6"/>
  <c r="T88" i="6"/>
  <c r="S88" i="6"/>
  <c r="R88" i="6"/>
  <c r="AA87" i="1"/>
  <c r="AD87" i="1"/>
  <c r="Q88" i="6"/>
  <c r="P88" i="6"/>
  <c r="O88" i="6"/>
  <c r="N88" i="6"/>
  <c r="M88" i="6"/>
  <c r="L88" i="6"/>
  <c r="K88" i="6"/>
  <c r="T87" i="1"/>
  <c r="J88" i="6"/>
  <c r="I88" i="6"/>
  <c r="H88" i="6"/>
  <c r="G88" i="6"/>
  <c r="F88" i="6"/>
  <c r="E88" i="6"/>
  <c r="D88" i="6"/>
  <c r="C88" i="6"/>
  <c r="B88" i="6"/>
  <c r="A87" i="6"/>
  <c r="W87" i="6"/>
  <c r="V87" i="6"/>
  <c r="U87" i="6"/>
  <c r="T87" i="6"/>
  <c r="S87" i="6"/>
  <c r="R87" i="6"/>
  <c r="AA86" i="1"/>
  <c r="AD86" i="1"/>
  <c r="Q87" i="6"/>
  <c r="P87" i="6"/>
  <c r="O87" i="6"/>
  <c r="N87" i="6"/>
  <c r="M87" i="6"/>
  <c r="L87" i="6"/>
  <c r="K87" i="6"/>
  <c r="T86" i="1"/>
  <c r="J87" i="6"/>
  <c r="I87" i="6"/>
  <c r="H87" i="6"/>
  <c r="G87" i="6"/>
  <c r="F87" i="6"/>
  <c r="E87" i="6"/>
  <c r="D87" i="6"/>
  <c r="C87" i="6"/>
  <c r="B87" i="6"/>
  <c r="A86" i="6"/>
  <c r="W86" i="6"/>
  <c r="V86" i="6"/>
  <c r="U86" i="6"/>
  <c r="T86" i="6"/>
  <c r="S86" i="6"/>
  <c r="R86" i="6"/>
  <c r="AA85" i="1"/>
  <c r="AD85" i="1"/>
  <c r="Q86" i="6"/>
  <c r="P86" i="6"/>
  <c r="O86" i="6"/>
  <c r="N86" i="6"/>
  <c r="M86" i="6"/>
  <c r="L86" i="6"/>
  <c r="K86" i="6"/>
  <c r="T85" i="1"/>
  <c r="J86" i="6"/>
  <c r="I86" i="6"/>
  <c r="H86" i="6"/>
  <c r="G86" i="6"/>
  <c r="F86" i="6"/>
  <c r="E86" i="6"/>
  <c r="D86" i="6"/>
  <c r="C86" i="6"/>
  <c r="B86" i="6"/>
  <c r="A85" i="6"/>
  <c r="W85" i="6"/>
  <c r="V85" i="6"/>
  <c r="U85" i="6"/>
  <c r="T85" i="6"/>
  <c r="S85" i="6"/>
  <c r="R85" i="6"/>
  <c r="AA84" i="1"/>
  <c r="AD84" i="1"/>
  <c r="Q85" i="6"/>
  <c r="P85" i="6"/>
  <c r="O85" i="6"/>
  <c r="N85" i="6"/>
  <c r="M85" i="6"/>
  <c r="L85" i="6"/>
  <c r="K85" i="6"/>
  <c r="T84" i="1"/>
  <c r="J85" i="6"/>
  <c r="I85" i="6"/>
  <c r="H85" i="6"/>
  <c r="G85" i="6"/>
  <c r="F85" i="6"/>
  <c r="E85" i="6"/>
  <c r="D85" i="6"/>
  <c r="C85" i="6"/>
  <c r="B85" i="6"/>
  <c r="A84" i="6"/>
  <c r="W84" i="6"/>
  <c r="V84" i="6"/>
  <c r="U84" i="6"/>
  <c r="T84" i="6"/>
  <c r="S84" i="6"/>
  <c r="R84" i="6"/>
  <c r="AA83" i="1"/>
  <c r="AD83" i="1"/>
  <c r="Q84" i="6"/>
  <c r="P84" i="6"/>
  <c r="O84" i="6"/>
  <c r="N84" i="6"/>
  <c r="M84" i="6"/>
  <c r="L84" i="6"/>
  <c r="K84" i="6"/>
  <c r="T83" i="1"/>
  <c r="J84" i="6"/>
  <c r="I84" i="6"/>
  <c r="H84" i="6"/>
  <c r="G84" i="6"/>
  <c r="F84" i="6"/>
  <c r="E84" i="6"/>
  <c r="D84" i="6"/>
  <c r="C84" i="6"/>
  <c r="B84" i="6"/>
  <c r="A83" i="6"/>
  <c r="W83" i="6"/>
  <c r="V83" i="6"/>
  <c r="U83" i="6"/>
  <c r="T83" i="6"/>
  <c r="S83" i="6"/>
  <c r="R83" i="6"/>
  <c r="AA82" i="1"/>
  <c r="AD82" i="1"/>
  <c r="Q83" i="6"/>
  <c r="P83" i="6"/>
  <c r="O83" i="6"/>
  <c r="N83" i="6"/>
  <c r="M83" i="6"/>
  <c r="L83" i="6"/>
  <c r="K83" i="6"/>
  <c r="T82" i="1"/>
  <c r="J83" i="6"/>
  <c r="I83" i="6"/>
  <c r="H83" i="6"/>
  <c r="G83" i="6"/>
  <c r="F83" i="6"/>
  <c r="E83" i="6"/>
  <c r="D83" i="6"/>
  <c r="C83" i="6"/>
  <c r="B83" i="6"/>
  <c r="A82" i="6"/>
  <c r="W82" i="6"/>
  <c r="V82" i="6"/>
  <c r="U82" i="6"/>
  <c r="T82" i="6"/>
  <c r="S82" i="6"/>
  <c r="R82" i="6"/>
  <c r="AA81" i="1"/>
  <c r="AD81" i="1"/>
  <c r="Q82" i="6"/>
  <c r="P82" i="6"/>
  <c r="O82" i="6"/>
  <c r="N82" i="6"/>
  <c r="M82" i="6"/>
  <c r="L82" i="6"/>
  <c r="K82" i="6"/>
  <c r="T81" i="1"/>
  <c r="J82" i="6"/>
  <c r="I82" i="6"/>
  <c r="H82" i="6"/>
  <c r="G82" i="6"/>
  <c r="F82" i="6"/>
  <c r="E82" i="6"/>
  <c r="D82" i="6"/>
  <c r="C82" i="6"/>
  <c r="B82" i="6"/>
  <c r="A81" i="6"/>
  <c r="W81" i="6"/>
  <c r="V81" i="6"/>
  <c r="U81" i="6"/>
  <c r="T81" i="6"/>
  <c r="S81" i="6"/>
  <c r="R81" i="6"/>
  <c r="AA80" i="1"/>
  <c r="AD80" i="1"/>
  <c r="Q81" i="6"/>
  <c r="P81" i="6"/>
  <c r="O81" i="6"/>
  <c r="N81" i="6"/>
  <c r="M81" i="6"/>
  <c r="L81" i="6"/>
  <c r="K81" i="6"/>
  <c r="T80" i="1"/>
  <c r="J81" i="6"/>
  <c r="I81" i="6"/>
  <c r="H81" i="6"/>
  <c r="G81" i="6"/>
  <c r="F81" i="6"/>
  <c r="E81" i="6"/>
  <c r="D81" i="6"/>
  <c r="C81" i="6"/>
  <c r="B81" i="6"/>
  <c r="A80" i="6"/>
  <c r="W80" i="6"/>
  <c r="V80" i="6"/>
  <c r="U80" i="6"/>
  <c r="T80" i="6"/>
  <c r="S80" i="6"/>
  <c r="R80" i="6"/>
  <c r="AA79" i="1"/>
  <c r="AD79" i="1"/>
  <c r="Q80" i="6"/>
  <c r="P80" i="6"/>
  <c r="O80" i="6"/>
  <c r="N80" i="6"/>
  <c r="M80" i="6"/>
  <c r="L80" i="6"/>
  <c r="K80" i="6"/>
  <c r="T79" i="1"/>
  <c r="J80" i="6"/>
  <c r="I80" i="6"/>
  <c r="H80" i="6"/>
  <c r="G80" i="6"/>
  <c r="F80" i="6"/>
  <c r="E80" i="6"/>
  <c r="D80" i="6"/>
  <c r="C80" i="6"/>
  <c r="B80" i="6"/>
  <c r="A79" i="6"/>
  <c r="W79" i="6"/>
  <c r="V79" i="6"/>
  <c r="U79" i="6"/>
  <c r="T79" i="6"/>
  <c r="S79" i="6"/>
  <c r="R79" i="6"/>
  <c r="AA78" i="1"/>
  <c r="AD78" i="1"/>
  <c r="Q79" i="6"/>
  <c r="P79" i="6"/>
  <c r="O79" i="6"/>
  <c r="N79" i="6"/>
  <c r="M79" i="6"/>
  <c r="L79" i="6"/>
  <c r="K79" i="6"/>
  <c r="T78" i="1"/>
  <c r="J79" i="6"/>
  <c r="I79" i="6"/>
  <c r="H79" i="6"/>
  <c r="G79" i="6"/>
  <c r="F79" i="6"/>
  <c r="E79" i="6"/>
  <c r="D79" i="6"/>
  <c r="C79" i="6"/>
  <c r="B79" i="6"/>
  <c r="A78" i="6"/>
  <c r="W78" i="6"/>
  <c r="V78" i="6"/>
  <c r="U78" i="6"/>
  <c r="T78" i="6"/>
  <c r="S78" i="6"/>
  <c r="R78" i="6"/>
  <c r="AA77" i="1"/>
  <c r="AD77" i="1"/>
  <c r="Q78" i="6"/>
  <c r="P78" i="6"/>
  <c r="O78" i="6"/>
  <c r="N78" i="6"/>
  <c r="M78" i="6"/>
  <c r="L78" i="6"/>
  <c r="K78" i="6"/>
  <c r="T77" i="1"/>
  <c r="J78" i="6"/>
  <c r="I78" i="6"/>
  <c r="H78" i="6"/>
  <c r="G78" i="6"/>
  <c r="F78" i="6"/>
  <c r="E78" i="6"/>
  <c r="D78" i="6"/>
  <c r="C78" i="6"/>
  <c r="B78" i="6"/>
  <c r="A77" i="6"/>
  <c r="W77" i="6"/>
  <c r="V77" i="6"/>
  <c r="U77" i="6"/>
  <c r="T77" i="6"/>
  <c r="S77" i="6"/>
  <c r="R77" i="6"/>
  <c r="AA76" i="1"/>
  <c r="AD76" i="1"/>
  <c r="Q77" i="6"/>
  <c r="P77" i="6"/>
  <c r="O77" i="6"/>
  <c r="N77" i="6"/>
  <c r="M77" i="6"/>
  <c r="L77" i="6"/>
  <c r="K77" i="6"/>
  <c r="T76" i="1"/>
  <c r="J77" i="6"/>
  <c r="I77" i="6"/>
  <c r="H77" i="6"/>
  <c r="G77" i="6"/>
  <c r="F77" i="6"/>
  <c r="E77" i="6"/>
  <c r="D77" i="6"/>
  <c r="C77" i="6"/>
  <c r="B77" i="6"/>
  <c r="A76" i="6"/>
  <c r="W76" i="6"/>
  <c r="V76" i="6"/>
  <c r="U76" i="6"/>
  <c r="T76" i="6"/>
  <c r="S76" i="6"/>
  <c r="R76" i="6"/>
  <c r="AA75" i="1"/>
  <c r="AD75" i="1"/>
  <c r="Q76" i="6"/>
  <c r="P76" i="6"/>
  <c r="O76" i="6"/>
  <c r="N76" i="6"/>
  <c r="M76" i="6"/>
  <c r="L76" i="6"/>
  <c r="K76" i="6"/>
  <c r="T75" i="1"/>
  <c r="J76" i="6"/>
  <c r="I76" i="6"/>
  <c r="H76" i="6"/>
  <c r="G76" i="6"/>
  <c r="F76" i="6"/>
  <c r="E76" i="6"/>
  <c r="D76" i="6"/>
  <c r="C76" i="6"/>
  <c r="B76" i="6"/>
  <c r="A75" i="6"/>
  <c r="W75" i="6"/>
  <c r="V75" i="6"/>
  <c r="U75" i="6"/>
  <c r="T75" i="6"/>
  <c r="S75" i="6"/>
  <c r="R75" i="6"/>
  <c r="AA74" i="1"/>
  <c r="AD74" i="1"/>
  <c r="Q75" i="6"/>
  <c r="P75" i="6"/>
  <c r="O75" i="6"/>
  <c r="N75" i="6"/>
  <c r="M75" i="6"/>
  <c r="L75" i="6"/>
  <c r="K75" i="6"/>
  <c r="T74" i="1"/>
  <c r="J75" i="6"/>
  <c r="I75" i="6"/>
  <c r="H75" i="6"/>
  <c r="G75" i="6"/>
  <c r="F75" i="6"/>
  <c r="E75" i="6"/>
  <c r="D75" i="6"/>
  <c r="C75" i="6"/>
  <c r="B75" i="6"/>
  <c r="A74" i="6"/>
  <c r="W74" i="6"/>
  <c r="V74" i="6"/>
  <c r="U74" i="6"/>
  <c r="T74" i="6"/>
  <c r="S74" i="6"/>
  <c r="R74" i="6"/>
  <c r="AA73" i="1"/>
  <c r="AD73" i="1"/>
  <c r="Q74" i="6"/>
  <c r="P74" i="6"/>
  <c r="O74" i="6"/>
  <c r="N74" i="6"/>
  <c r="M74" i="6"/>
  <c r="L74" i="6"/>
  <c r="K74" i="6"/>
  <c r="T73" i="1"/>
  <c r="J74" i="6"/>
  <c r="I74" i="6"/>
  <c r="H74" i="6"/>
  <c r="G74" i="6"/>
  <c r="F74" i="6"/>
  <c r="E74" i="6"/>
  <c r="D74" i="6"/>
  <c r="C74" i="6"/>
  <c r="B74" i="6"/>
  <c r="A73" i="6"/>
  <c r="W73" i="6"/>
  <c r="V73" i="6"/>
  <c r="U73" i="6"/>
  <c r="T73" i="6"/>
  <c r="S73" i="6"/>
  <c r="R73" i="6"/>
  <c r="AA72" i="1"/>
  <c r="AD72" i="1"/>
  <c r="Q73" i="6"/>
  <c r="P73" i="6"/>
  <c r="O73" i="6"/>
  <c r="N73" i="6"/>
  <c r="M73" i="6"/>
  <c r="L73" i="6"/>
  <c r="K73" i="6"/>
  <c r="T72" i="1"/>
  <c r="J73" i="6"/>
  <c r="I73" i="6"/>
  <c r="H73" i="6"/>
  <c r="G73" i="6"/>
  <c r="F73" i="6"/>
  <c r="E73" i="6"/>
  <c r="D73" i="6"/>
  <c r="C73" i="6"/>
  <c r="B73" i="6"/>
  <c r="A72" i="6"/>
  <c r="W72" i="6"/>
  <c r="V72" i="6"/>
  <c r="U72" i="6"/>
  <c r="T72" i="6"/>
  <c r="S72" i="6"/>
  <c r="R72" i="6"/>
  <c r="AA71" i="1"/>
  <c r="AD71" i="1"/>
  <c r="Q72" i="6"/>
  <c r="P72" i="6"/>
  <c r="O72" i="6"/>
  <c r="N72" i="6"/>
  <c r="M72" i="6"/>
  <c r="L72" i="6"/>
  <c r="K72" i="6"/>
  <c r="T71" i="1"/>
  <c r="J72" i="6"/>
  <c r="I72" i="6"/>
  <c r="H72" i="6"/>
  <c r="G72" i="6"/>
  <c r="F72" i="6"/>
  <c r="E72" i="6"/>
  <c r="D72" i="6"/>
  <c r="C72" i="6"/>
  <c r="B72" i="6"/>
  <c r="A71" i="6"/>
  <c r="W71" i="6"/>
  <c r="V71" i="6"/>
  <c r="U71" i="6"/>
  <c r="T71" i="6"/>
  <c r="S71" i="6"/>
  <c r="R71" i="6"/>
  <c r="AA70" i="1"/>
  <c r="AD70" i="1"/>
  <c r="Q71" i="6"/>
  <c r="P71" i="6"/>
  <c r="O71" i="6"/>
  <c r="N71" i="6"/>
  <c r="M71" i="6"/>
  <c r="L71" i="6"/>
  <c r="K71" i="6"/>
  <c r="T70" i="1"/>
  <c r="J71" i="6"/>
  <c r="I71" i="6"/>
  <c r="H71" i="6"/>
  <c r="G71" i="6"/>
  <c r="F71" i="6"/>
  <c r="E71" i="6"/>
  <c r="D71" i="6"/>
  <c r="C71" i="6"/>
  <c r="B71" i="6"/>
  <c r="A70" i="6"/>
  <c r="W70" i="6"/>
  <c r="V70" i="6"/>
  <c r="U70" i="6"/>
  <c r="T70" i="6"/>
  <c r="S70" i="6"/>
  <c r="R70" i="6"/>
  <c r="AA69" i="1"/>
  <c r="AD69" i="1"/>
  <c r="Q70" i="6"/>
  <c r="P70" i="6"/>
  <c r="O70" i="6"/>
  <c r="N70" i="6"/>
  <c r="M70" i="6"/>
  <c r="L70" i="6"/>
  <c r="K70" i="6"/>
  <c r="T69" i="1"/>
  <c r="J70" i="6"/>
  <c r="I70" i="6"/>
  <c r="H70" i="6"/>
  <c r="G70" i="6"/>
  <c r="F70" i="6"/>
  <c r="E70" i="6"/>
  <c r="D70" i="6"/>
  <c r="C70" i="6"/>
  <c r="B70" i="6"/>
  <c r="A69" i="6"/>
  <c r="W69" i="6"/>
  <c r="V69" i="6"/>
  <c r="U69" i="6"/>
  <c r="T69" i="6"/>
  <c r="S69" i="6"/>
  <c r="R69" i="6"/>
  <c r="AA68" i="1"/>
  <c r="AD68" i="1"/>
  <c r="Q69" i="6"/>
  <c r="P69" i="6"/>
  <c r="O69" i="6"/>
  <c r="N69" i="6"/>
  <c r="M69" i="6"/>
  <c r="L69" i="6"/>
  <c r="K69" i="6"/>
  <c r="T68" i="1"/>
  <c r="J69" i="6"/>
  <c r="I69" i="6"/>
  <c r="H69" i="6"/>
  <c r="G69" i="6"/>
  <c r="F69" i="6"/>
  <c r="E69" i="6"/>
  <c r="D69" i="6"/>
  <c r="C69" i="6"/>
  <c r="B69" i="6"/>
  <c r="A68" i="6"/>
  <c r="W68" i="6"/>
  <c r="V68" i="6"/>
  <c r="U68" i="6"/>
  <c r="T68" i="6"/>
  <c r="S68" i="6"/>
  <c r="R68" i="6"/>
  <c r="AA67" i="1"/>
  <c r="AD67" i="1"/>
  <c r="Q68" i="6"/>
  <c r="P68" i="6"/>
  <c r="O68" i="6"/>
  <c r="N68" i="6"/>
  <c r="M68" i="6"/>
  <c r="L68" i="6"/>
  <c r="K68" i="6"/>
  <c r="T67" i="1"/>
  <c r="J68" i="6"/>
  <c r="I68" i="6"/>
  <c r="H68" i="6"/>
  <c r="G68" i="6"/>
  <c r="F68" i="6"/>
  <c r="E68" i="6"/>
  <c r="D68" i="6"/>
  <c r="C68" i="6"/>
  <c r="B68" i="6"/>
  <c r="A67" i="6"/>
  <c r="W67" i="6"/>
  <c r="V67" i="6"/>
  <c r="U67" i="6"/>
  <c r="T67" i="6"/>
  <c r="S67" i="6"/>
  <c r="R67" i="6"/>
  <c r="AA66" i="1"/>
  <c r="AD66" i="1"/>
  <c r="Q67" i="6"/>
  <c r="P67" i="6"/>
  <c r="O67" i="6"/>
  <c r="N67" i="6"/>
  <c r="M67" i="6"/>
  <c r="L67" i="6"/>
  <c r="K67" i="6"/>
  <c r="T66" i="1"/>
  <c r="J67" i="6"/>
  <c r="I67" i="6"/>
  <c r="H67" i="6"/>
  <c r="G67" i="6"/>
  <c r="F67" i="6"/>
  <c r="E67" i="6"/>
  <c r="D67" i="6"/>
  <c r="C67" i="6"/>
  <c r="B67" i="6"/>
  <c r="A66" i="6"/>
  <c r="W66" i="6"/>
  <c r="V66" i="6"/>
  <c r="U66" i="6"/>
  <c r="T66" i="6"/>
  <c r="S66" i="6"/>
  <c r="R66" i="6"/>
  <c r="AA65" i="1"/>
  <c r="AD65" i="1"/>
  <c r="Q66" i="6"/>
  <c r="P66" i="6"/>
  <c r="O66" i="6"/>
  <c r="N66" i="6"/>
  <c r="M66" i="6"/>
  <c r="L66" i="6"/>
  <c r="K66" i="6"/>
  <c r="T65" i="1"/>
  <c r="J66" i="6"/>
  <c r="I66" i="6"/>
  <c r="H66" i="6"/>
  <c r="G66" i="6"/>
  <c r="F66" i="6"/>
  <c r="E66" i="6"/>
  <c r="D66" i="6"/>
  <c r="C66" i="6"/>
  <c r="B66" i="6"/>
  <c r="A65" i="6"/>
  <c r="W65" i="6"/>
  <c r="V65" i="6"/>
  <c r="U65" i="6"/>
  <c r="T65" i="6"/>
  <c r="S65" i="6"/>
  <c r="R65" i="6"/>
  <c r="AA64" i="1"/>
  <c r="AD64" i="1"/>
  <c r="Q65" i="6"/>
  <c r="P65" i="6"/>
  <c r="O65" i="6"/>
  <c r="N65" i="6"/>
  <c r="M65" i="6"/>
  <c r="L65" i="6"/>
  <c r="K65" i="6"/>
  <c r="T64" i="1"/>
  <c r="J65" i="6"/>
  <c r="I65" i="6"/>
  <c r="H65" i="6"/>
  <c r="G65" i="6"/>
  <c r="F65" i="6"/>
  <c r="E65" i="6"/>
  <c r="D65" i="6"/>
  <c r="C65" i="6"/>
  <c r="B65" i="6"/>
  <c r="A64" i="6"/>
  <c r="W64" i="6"/>
  <c r="V64" i="6"/>
  <c r="U64" i="6"/>
  <c r="T64" i="6"/>
  <c r="S64" i="6"/>
  <c r="R64" i="6"/>
  <c r="AA63" i="1"/>
  <c r="AD63" i="1"/>
  <c r="Q64" i="6"/>
  <c r="P64" i="6"/>
  <c r="O64" i="6"/>
  <c r="N64" i="6"/>
  <c r="M64" i="6"/>
  <c r="L64" i="6"/>
  <c r="K64" i="6"/>
  <c r="T63" i="1"/>
  <c r="J64" i="6"/>
  <c r="I64" i="6"/>
  <c r="H64" i="6"/>
  <c r="G64" i="6"/>
  <c r="F64" i="6"/>
  <c r="E64" i="6"/>
  <c r="D64" i="6"/>
  <c r="C64" i="6"/>
  <c r="B64" i="6"/>
  <c r="A63" i="6"/>
  <c r="W63" i="6"/>
  <c r="V63" i="6"/>
  <c r="U63" i="6"/>
  <c r="T63" i="6"/>
  <c r="S63" i="6"/>
  <c r="R63" i="6"/>
  <c r="AA62" i="1"/>
  <c r="AD62" i="1"/>
  <c r="Q63" i="6"/>
  <c r="P63" i="6"/>
  <c r="O63" i="6"/>
  <c r="N63" i="6"/>
  <c r="M63" i="6"/>
  <c r="L63" i="6"/>
  <c r="K63" i="6"/>
  <c r="T62" i="1"/>
  <c r="J63" i="6"/>
  <c r="I63" i="6"/>
  <c r="H63" i="6"/>
  <c r="G63" i="6"/>
  <c r="F63" i="6"/>
  <c r="E63" i="6"/>
  <c r="D63" i="6"/>
  <c r="C63" i="6"/>
  <c r="B63" i="6"/>
  <c r="A62" i="6"/>
  <c r="W62" i="6"/>
  <c r="V62" i="6"/>
  <c r="U62" i="6"/>
  <c r="T62" i="6"/>
  <c r="S62" i="6"/>
  <c r="R62" i="6"/>
  <c r="AA61" i="1"/>
  <c r="AD61" i="1"/>
  <c r="Q62" i="6"/>
  <c r="P62" i="6"/>
  <c r="O62" i="6"/>
  <c r="N62" i="6"/>
  <c r="M62" i="6"/>
  <c r="L62" i="6"/>
  <c r="K62" i="6"/>
  <c r="T61" i="1"/>
  <c r="J62" i="6"/>
  <c r="I62" i="6"/>
  <c r="H62" i="6"/>
  <c r="G62" i="6"/>
  <c r="F62" i="6"/>
  <c r="E62" i="6"/>
  <c r="D62" i="6"/>
  <c r="C62" i="6"/>
  <c r="B62" i="6"/>
  <c r="A61" i="6"/>
  <c r="W61" i="6"/>
  <c r="V61" i="6"/>
  <c r="U61" i="6"/>
  <c r="T61" i="6"/>
  <c r="S61" i="6"/>
  <c r="R61" i="6"/>
  <c r="AA60" i="1"/>
  <c r="AD60" i="1"/>
  <c r="Q61" i="6"/>
  <c r="P61" i="6"/>
  <c r="O61" i="6"/>
  <c r="N61" i="6"/>
  <c r="M61" i="6"/>
  <c r="L61" i="6"/>
  <c r="K61" i="6"/>
  <c r="T60" i="1"/>
  <c r="J61" i="6"/>
  <c r="I61" i="6"/>
  <c r="H61" i="6"/>
  <c r="G61" i="6"/>
  <c r="F61" i="6"/>
  <c r="E61" i="6"/>
  <c r="D61" i="6"/>
  <c r="C61" i="6"/>
  <c r="B61" i="6"/>
  <c r="A60" i="6"/>
  <c r="W60" i="6"/>
  <c r="V60" i="6"/>
  <c r="U60" i="6"/>
  <c r="T60" i="6"/>
  <c r="S60" i="6"/>
  <c r="R60" i="6"/>
  <c r="AA59" i="1"/>
  <c r="AD59" i="1"/>
  <c r="Q60" i="6"/>
  <c r="P60" i="6"/>
  <c r="O60" i="6"/>
  <c r="N60" i="6"/>
  <c r="M60" i="6"/>
  <c r="L60" i="6"/>
  <c r="K60" i="6"/>
  <c r="T59" i="1"/>
  <c r="J60" i="6"/>
  <c r="I60" i="6"/>
  <c r="H60" i="6"/>
  <c r="G60" i="6"/>
  <c r="F60" i="6"/>
  <c r="E60" i="6"/>
  <c r="D60" i="6"/>
  <c r="C60" i="6"/>
  <c r="B60" i="6"/>
  <c r="A59" i="6"/>
  <c r="W59" i="6"/>
  <c r="V59" i="6"/>
  <c r="U59" i="6"/>
  <c r="T59" i="6"/>
  <c r="S59" i="6"/>
  <c r="R59" i="6"/>
  <c r="AA58" i="1"/>
  <c r="AD58" i="1"/>
  <c r="Q59" i="6"/>
  <c r="P59" i="6"/>
  <c r="O59" i="6"/>
  <c r="N59" i="6"/>
  <c r="M59" i="6"/>
  <c r="L59" i="6"/>
  <c r="K59" i="6"/>
  <c r="T58" i="1"/>
  <c r="J59" i="6"/>
  <c r="I59" i="6"/>
  <c r="H59" i="6"/>
  <c r="G59" i="6"/>
  <c r="F59" i="6"/>
  <c r="E59" i="6"/>
  <c r="D59" i="6"/>
  <c r="C59" i="6"/>
  <c r="B59" i="6"/>
  <c r="A58" i="6"/>
  <c r="W58" i="6"/>
  <c r="V58" i="6"/>
  <c r="U58" i="6"/>
  <c r="T58" i="6"/>
  <c r="S58" i="6"/>
  <c r="R58" i="6"/>
  <c r="AA57" i="1"/>
  <c r="AD57" i="1"/>
  <c r="Q58" i="6"/>
  <c r="P58" i="6"/>
  <c r="O58" i="6"/>
  <c r="N58" i="6"/>
  <c r="M58" i="6"/>
  <c r="L58" i="6"/>
  <c r="K58" i="6"/>
  <c r="T57" i="1"/>
  <c r="J58" i="6"/>
  <c r="I58" i="6"/>
  <c r="H58" i="6"/>
  <c r="G58" i="6"/>
  <c r="F58" i="6"/>
  <c r="E58" i="6"/>
  <c r="D58" i="6"/>
  <c r="C58" i="6"/>
  <c r="B58" i="6"/>
  <c r="A57" i="6"/>
  <c r="W57" i="6"/>
  <c r="V57" i="6"/>
  <c r="U57" i="6"/>
  <c r="T57" i="6"/>
  <c r="S57" i="6"/>
  <c r="R57" i="6"/>
  <c r="AA56" i="1"/>
  <c r="AD56" i="1"/>
  <c r="Q57" i="6"/>
  <c r="P57" i="6"/>
  <c r="O57" i="6"/>
  <c r="N57" i="6"/>
  <c r="M57" i="6"/>
  <c r="L57" i="6"/>
  <c r="K57" i="6"/>
  <c r="T56" i="1"/>
  <c r="J57" i="6"/>
  <c r="I57" i="6"/>
  <c r="H57" i="6"/>
  <c r="G57" i="6"/>
  <c r="F57" i="6"/>
  <c r="E57" i="6"/>
  <c r="D57" i="6"/>
  <c r="C57" i="6"/>
  <c r="B57" i="6"/>
  <c r="A56" i="6"/>
  <c r="W56" i="6"/>
  <c r="V56" i="6"/>
  <c r="U56" i="6"/>
  <c r="T56" i="6"/>
  <c r="S56" i="6"/>
  <c r="R56" i="6"/>
  <c r="AA55" i="1"/>
  <c r="AD55" i="1"/>
  <c r="Q56" i="6"/>
  <c r="P56" i="6"/>
  <c r="O56" i="6"/>
  <c r="N56" i="6"/>
  <c r="M56" i="6"/>
  <c r="L56" i="6"/>
  <c r="K56" i="6"/>
  <c r="T55" i="1"/>
  <c r="J56" i="6"/>
  <c r="I56" i="6"/>
  <c r="H56" i="6"/>
  <c r="G56" i="6"/>
  <c r="F56" i="6"/>
  <c r="E56" i="6"/>
  <c r="D56" i="6"/>
  <c r="C56" i="6"/>
  <c r="B56" i="6"/>
  <c r="A55" i="6"/>
  <c r="W55" i="6"/>
  <c r="V55" i="6"/>
  <c r="U55" i="6"/>
  <c r="T55" i="6"/>
  <c r="S55" i="6"/>
  <c r="R55" i="6"/>
  <c r="AA54" i="1"/>
  <c r="AD54" i="1"/>
  <c r="Q55" i="6"/>
  <c r="P55" i="6"/>
  <c r="O55" i="6"/>
  <c r="N55" i="6"/>
  <c r="M55" i="6"/>
  <c r="L55" i="6"/>
  <c r="K55" i="6"/>
  <c r="T54" i="1"/>
  <c r="J55" i="6"/>
  <c r="I55" i="6"/>
  <c r="H55" i="6"/>
  <c r="G55" i="6"/>
  <c r="F55" i="6"/>
  <c r="E55" i="6"/>
  <c r="D55" i="6"/>
  <c r="C55" i="6"/>
  <c r="B55" i="6"/>
  <c r="A54" i="6"/>
  <c r="W54" i="6"/>
  <c r="V54" i="6"/>
  <c r="U54" i="6"/>
  <c r="T54" i="6"/>
  <c r="S54" i="6"/>
  <c r="R54" i="6"/>
  <c r="AA53" i="1"/>
  <c r="AD53" i="1"/>
  <c r="Q54" i="6"/>
  <c r="P54" i="6"/>
  <c r="O54" i="6"/>
  <c r="N54" i="6"/>
  <c r="M54" i="6"/>
  <c r="L54" i="6"/>
  <c r="K54" i="6"/>
  <c r="T53" i="1"/>
  <c r="J54" i="6"/>
  <c r="I54" i="6"/>
  <c r="H54" i="6"/>
  <c r="G54" i="6"/>
  <c r="F54" i="6"/>
  <c r="E54" i="6"/>
  <c r="D54" i="6"/>
  <c r="C54" i="6"/>
  <c r="B54" i="6"/>
  <c r="A53" i="6"/>
  <c r="W53" i="6"/>
  <c r="V53" i="6"/>
  <c r="U53" i="6"/>
  <c r="T53" i="6"/>
  <c r="S53" i="6"/>
  <c r="R53" i="6"/>
  <c r="AA52" i="1"/>
  <c r="AD52" i="1"/>
  <c r="Q53" i="6"/>
  <c r="P53" i="6"/>
  <c r="O53" i="6"/>
  <c r="N53" i="6"/>
  <c r="M53" i="6"/>
  <c r="L53" i="6"/>
  <c r="K53" i="6"/>
  <c r="T52" i="1"/>
  <c r="J53" i="6"/>
  <c r="I53" i="6"/>
  <c r="H53" i="6"/>
  <c r="G53" i="6"/>
  <c r="F53" i="6"/>
  <c r="E53" i="6"/>
  <c r="D53" i="6"/>
  <c r="C53" i="6"/>
  <c r="B53" i="6"/>
  <c r="A52" i="6"/>
  <c r="W52" i="6"/>
  <c r="V52" i="6"/>
  <c r="U52" i="6"/>
  <c r="T52" i="6"/>
  <c r="S52" i="6"/>
  <c r="R52" i="6"/>
  <c r="AA51" i="1"/>
  <c r="AD51" i="1"/>
  <c r="Q52" i="6"/>
  <c r="P52" i="6"/>
  <c r="O52" i="6"/>
  <c r="N52" i="6"/>
  <c r="M52" i="6"/>
  <c r="L52" i="6"/>
  <c r="K52" i="6"/>
  <c r="T51" i="1"/>
  <c r="J52" i="6"/>
  <c r="I52" i="6"/>
  <c r="H52" i="6"/>
  <c r="G52" i="6"/>
  <c r="F52" i="6"/>
  <c r="E52" i="6"/>
  <c r="D52" i="6"/>
  <c r="C52" i="6"/>
  <c r="B52" i="6"/>
  <c r="A51" i="6"/>
  <c r="W51" i="6"/>
  <c r="V51" i="6"/>
  <c r="U51" i="6"/>
  <c r="T51" i="6"/>
  <c r="S51" i="6"/>
  <c r="R51" i="6"/>
  <c r="AA50" i="1"/>
  <c r="AD50" i="1"/>
  <c r="Q51" i="6"/>
  <c r="P51" i="6"/>
  <c r="O51" i="6"/>
  <c r="N51" i="6"/>
  <c r="M51" i="6"/>
  <c r="L51" i="6"/>
  <c r="K51" i="6"/>
  <c r="T50" i="1"/>
  <c r="J51" i="6"/>
  <c r="I51" i="6"/>
  <c r="H51" i="6"/>
  <c r="G51" i="6"/>
  <c r="F51" i="6"/>
  <c r="E51" i="6"/>
  <c r="D51" i="6"/>
  <c r="C51" i="6"/>
  <c r="B51" i="6"/>
  <c r="A50" i="6"/>
  <c r="W50" i="6"/>
  <c r="V50" i="6"/>
  <c r="U50" i="6"/>
  <c r="T50" i="6"/>
  <c r="S50" i="6"/>
  <c r="R50" i="6"/>
  <c r="AA49" i="1"/>
  <c r="AD49" i="1"/>
  <c r="Q50" i="6"/>
  <c r="P50" i="6"/>
  <c r="O50" i="6"/>
  <c r="N50" i="6"/>
  <c r="M50" i="6"/>
  <c r="L50" i="6"/>
  <c r="K50" i="6"/>
  <c r="T49" i="1"/>
  <c r="J50" i="6"/>
  <c r="I50" i="6"/>
  <c r="H50" i="6"/>
  <c r="G50" i="6"/>
  <c r="F50" i="6"/>
  <c r="E50" i="6"/>
  <c r="D50" i="6"/>
  <c r="C50" i="6"/>
  <c r="B50" i="6"/>
  <c r="A49" i="6"/>
  <c r="W49" i="6"/>
  <c r="V49" i="6"/>
  <c r="U49" i="6"/>
  <c r="T49" i="6"/>
  <c r="S49" i="6"/>
  <c r="R49" i="6"/>
  <c r="AA48" i="1"/>
  <c r="AD48" i="1"/>
  <c r="Q49" i="6"/>
  <c r="P49" i="6"/>
  <c r="O49" i="6"/>
  <c r="N49" i="6"/>
  <c r="M49" i="6"/>
  <c r="L49" i="6"/>
  <c r="K49" i="6"/>
  <c r="T48" i="1"/>
  <c r="J49" i="6"/>
  <c r="I49" i="6"/>
  <c r="H49" i="6"/>
  <c r="G49" i="6"/>
  <c r="F49" i="6"/>
  <c r="E49" i="6"/>
  <c r="D49" i="6"/>
  <c r="C49" i="6"/>
  <c r="B49" i="6"/>
  <c r="A48" i="6"/>
  <c r="W48" i="6"/>
  <c r="V48" i="6"/>
  <c r="U48" i="6"/>
  <c r="T48" i="6"/>
  <c r="S48" i="6"/>
  <c r="R48" i="6"/>
  <c r="AA47" i="1"/>
  <c r="AD47" i="1"/>
  <c r="Q48" i="6"/>
  <c r="P48" i="6"/>
  <c r="O48" i="6"/>
  <c r="N48" i="6"/>
  <c r="M48" i="6"/>
  <c r="L48" i="6"/>
  <c r="K48" i="6"/>
  <c r="T47" i="1"/>
  <c r="J48" i="6"/>
  <c r="I48" i="6"/>
  <c r="H48" i="6"/>
  <c r="G48" i="6"/>
  <c r="F48" i="6"/>
  <c r="E48" i="6"/>
  <c r="D48" i="6"/>
  <c r="C48" i="6"/>
  <c r="B48" i="6"/>
  <c r="A47" i="6"/>
  <c r="W47" i="6"/>
  <c r="V47" i="6"/>
  <c r="U47" i="6"/>
  <c r="T47" i="6"/>
  <c r="S47" i="6"/>
  <c r="R47" i="6"/>
  <c r="AA46" i="1"/>
  <c r="AD46" i="1"/>
  <c r="Q47" i="6"/>
  <c r="P47" i="6"/>
  <c r="O47" i="6"/>
  <c r="N47" i="6"/>
  <c r="M47" i="6"/>
  <c r="L47" i="6"/>
  <c r="K47" i="6"/>
  <c r="T46" i="1"/>
  <c r="J47" i="6"/>
  <c r="I47" i="6"/>
  <c r="H47" i="6"/>
  <c r="G47" i="6"/>
  <c r="F47" i="6"/>
  <c r="E47" i="6"/>
  <c r="D47" i="6"/>
  <c r="C47" i="6"/>
  <c r="B47" i="6"/>
  <c r="A46" i="6"/>
  <c r="W46" i="6"/>
  <c r="V46" i="6"/>
  <c r="U46" i="6"/>
  <c r="T46" i="6"/>
  <c r="S46" i="6"/>
  <c r="R46" i="6"/>
  <c r="AA45" i="1"/>
  <c r="AD45" i="1"/>
  <c r="Q46" i="6"/>
  <c r="P46" i="6"/>
  <c r="O46" i="6"/>
  <c r="N46" i="6"/>
  <c r="M46" i="6"/>
  <c r="L46" i="6"/>
  <c r="K46" i="6"/>
  <c r="T45" i="1"/>
  <c r="J46" i="6"/>
  <c r="I46" i="6"/>
  <c r="H46" i="6"/>
  <c r="G46" i="6"/>
  <c r="F46" i="6"/>
  <c r="E46" i="6"/>
  <c r="D46" i="6"/>
  <c r="C46" i="6"/>
  <c r="B46" i="6"/>
  <c r="A45" i="6"/>
  <c r="W45" i="6"/>
  <c r="V45" i="6"/>
  <c r="U45" i="6"/>
  <c r="T45" i="6"/>
  <c r="S45" i="6"/>
  <c r="R45" i="6"/>
  <c r="AA44" i="1"/>
  <c r="AD44" i="1"/>
  <c r="Q45" i="6"/>
  <c r="P45" i="6"/>
  <c r="O45" i="6"/>
  <c r="N45" i="6"/>
  <c r="M45" i="6"/>
  <c r="L45" i="6"/>
  <c r="K45" i="6"/>
  <c r="T44" i="1"/>
  <c r="J45" i="6"/>
  <c r="I45" i="6"/>
  <c r="H45" i="6"/>
  <c r="G45" i="6"/>
  <c r="F45" i="6"/>
  <c r="E45" i="6"/>
  <c r="D45" i="6"/>
  <c r="C45" i="6"/>
  <c r="B45" i="6"/>
  <c r="A44" i="6"/>
  <c r="W44" i="6"/>
  <c r="V44" i="6"/>
  <c r="U44" i="6"/>
  <c r="T44" i="6"/>
  <c r="S44" i="6"/>
  <c r="R44" i="6"/>
  <c r="AA43" i="1"/>
  <c r="AD43" i="1"/>
  <c r="Q44" i="6"/>
  <c r="P44" i="6"/>
  <c r="O44" i="6"/>
  <c r="N44" i="6"/>
  <c r="M44" i="6"/>
  <c r="L44" i="6"/>
  <c r="K44" i="6"/>
  <c r="T43" i="1"/>
  <c r="J44" i="6"/>
  <c r="I44" i="6"/>
  <c r="H44" i="6"/>
  <c r="G44" i="6"/>
  <c r="F44" i="6"/>
  <c r="E44" i="6"/>
  <c r="D44" i="6"/>
  <c r="C44" i="6"/>
  <c r="B44" i="6"/>
  <c r="A43" i="6"/>
  <c r="W43" i="6"/>
  <c r="V43" i="6"/>
  <c r="U43" i="6"/>
  <c r="T43" i="6"/>
  <c r="S43" i="6"/>
  <c r="R43" i="6"/>
  <c r="AA42" i="1"/>
  <c r="AD42" i="1"/>
  <c r="Q43" i="6"/>
  <c r="P43" i="6"/>
  <c r="O43" i="6"/>
  <c r="N43" i="6"/>
  <c r="M43" i="6"/>
  <c r="L43" i="6"/>
  <c r="K43" i="6"/>
  <c r="T42" i="1"/>
  <c r="J43" i="6"/>
  <c r="I43" i="6"/>
  <c r="H43" i="6"/>
  <c r="G43" i="6"/>
  <c r="F43" i="6"/>
  <c r="E43" i="6"/>
  <c r="D43" i="6"/>
  <c r="C43" i="6"/>
  <c r="B43" i="6"/>
  <c r="A42" i="6"/>
  <c r="W42" i="6"/>
  <c r="V42" i="6"/>
  <c r="U42" i="6"/>
  <c r="T42" i="6"/>
  <c r="S42" i="6"/>
  <c r="R42" i="6"/>
  <c r="AA41" i="1"/>
  <c r="AD41" i="1"/>
  <c r="Q42" i="6"/>
  <c r="P42" i="6"/>
  <c r="O42" i="6"/>
  <c r="N42" i="6"/>
  <c r="M42" i="6"/>
  <c r="L42" i="6"/>
  <c r="K42" i="6"/>
  <c r="T41" i="1"/>
  <c r="J42" i="6"/>
  <c r="I42" i="6"/>
  <c r="H42" i="6"/>
  <c r="G42" i="6"/>
  <c r="F42" i="6"/>
  <c r="E42" i="6"/>
  <c r="D42" i="6"/>
  <c r="C42" i="6"/>
  <c r="B42" i="6"/>
  <c r="A41" i="6"/>
  <c r="W41" i="6"/>
  <c r="V41" i="6"/>
  <c r="U41" i="6"/>
  <c r="T41" i="6"/>
  <c r="S41" i="6"/>
  <c r="R41" i="6"/>
  <c r="AA40" i="1"/>
  <c r="AD40" i="1"/>
  <c r="Q41" i="6"/>
  <c r="P41" i="6"/>
  <c r="O41" i="6"/>
  <c r="N41" i="6"/>
  <c r="M41" i="6"/>
  <c r="L41" i="6"/>
  <c r="K41" i="6"/>
  <c r="T40" i="1"/>
  <c r="J41" i="6"/>
  <c r="I41" i="6"/>
  <c r="H41" i="6"/>
  <c r="G41" i="6"/>
  <c r="F41" i="6"/>
  <c r="E41" i="6"/>
  <c r="D41" i="6"/>
  <c r="C41" i="6"/>
  <c r="B41" i="6"/>
  <c r="A40" i="6"/>
  <c r="W40" i="6"/>
  <c r="V40" i="6"/>
  <c r="U40" i="6"/>
  <c r="T40" i="6"/>
  <c r="S40" i="6"/>
  <c r="R40" i="6"/>
  <c r="AA39" i="1"/>
  <c r="AD39" i="1"/>
  <c r="Q40" i="6"/>
  <c r="P40" i="6"/>
  <c r="O40" i="6"/>
  <c r="N40" i="6"/>
  <c r="M40" i="6"/>
  <c r="L40" i="6"/>
  <c r="K40" i="6"/>
  <c r="T39" i="1"/>
  <c r="J40" i="6"/>
  <c r="I40" i="6"/>
  <c r="H40" i="6"/>
  <c r="G40" i="6"/>
  <c r="F40" i="6"/>
  <c r="E40" i="6"/>
  <c r="D40" i="6"/>
  <c r="C40" i="6"/>
  <c r="B40" i="6"/>
  <c r="A39" i="6"/>
  <c r="W39" i="6"/>
  <c r="V39" i="6"/>
  <c r="U39" i="6"/>
  <c r="T39" i="6"/>
  <c r="S39" i="6"/>
  <c r="R39" i="6"/>
  <c r="AA38" i="1"/>
  <c r="AD38" i="1"/>
  <c r="Q39" i="6"/>
  <c r="P39" i="6"/>
  <c r="O39" i="6"/>
  <c r="N39" i="6"/>
  <c r="M39" i="6"/>
  <c r="L39" i="6"/>
  <c r="K39" i="6"/>
  <c r="T38" i="1"/>
  <c r="J39" i="6"/>
  <c r="I39" i="6"/>
  <c r="H39" i="6"/>
  <c r="G39" i="6"/>
  <c r="F39" i="6"/>
  <c r="E39" i="6"/>
  <c r="D39" i="6"/>
  <c r="C39" i="6"/>
  <c r="B39" i="6"/>
  <c r="A38" i="6"/>
  <c r="W38" i="6"/>
  <c r="V38" i="6"/>
  <c r="U38" i="6"/>
  <c r="T38" i="6"/>
  <c r="S38" i="6"/>
  <c r="R38" i="6"/>
  <c r="AA37" i="1"/>
  <c r="AD37" i="1"/>
  <c r="Q38" i="6"/>
  <c r="P38" i="6"/>
  <c r="O38" i="6"/>
  <c r="N38" i="6"/>
  <c r="M38" i="6"/>
  <c r="L38" i="6"/>
  <c r="K38" i="6"/>
  <c r="T37" i="1"/>
  <c r="J38" i="6"/>
  <c r="I38" i="6"/>
  <c r="H38" i="6"/>
  <c r="G38" i="6"/>
  <c r="F38" i="6"/>
  <c r="E38" i="6"/>
  <c r="D38" i="6"/>
  <c r="C38" i="6"/>
  <c r="B38" i="6"/>
  <c r="A37" i="6"/>
  <c r="W37" i="6"/>
  <c r="V37" i="6"/>
  <c r="U37" i="6"/>
  <c r="T37" i="6"/>
  <c r="S37" i="6"/>
  <c r="R37" i="6"/>
  <c r="AA36" i="1"/>
  <c r="AD36" i="1"/>
  <c r="Q37" i="6"/>
  <c r="P37" i="6"/>
  <c r="O37" i="6"/>
  <c r="N37" i="6"/>
  <c r="M37" i="6"/>
  <c r="L37" i="6"/>
  <c r="K37" i="6"/>
  <c r="T36" i="1"/>
  <c r="J37" i="6"/>
  <c r="I37" i="6"/>
  <c r="H37" i="6"/>
  <c r="G37" i="6"/>
  <c r="F37" i="6"/>
  <c r="E37" i="6"/>
  <c r="D37" i="6"/>
  <c r="C37" i="6"/>
  <c r="B37" i="6"/>
  <c r="A36" i="6"/>
  <c r="W36" i="6"/>
  <c r="V36" i="6"/>
  <c r="U36" i="6"/>
  <c r="T36" i="6"/>
  <c r="S36" i="6"/>
  <c r="R36" i="6"/>
  <c r="AA35" i="1"/>
  <c r="AD35" i="1"/>
  <c r="Q36" i="6"/>
  <c r="P36" i="6"/>
  <c r="O36" i="6"/>
  <c r="N36" i="6"/>
  <c r="M36" i="6"/>
  <c r="L36" i="6"/>
  <c r="K36" i="6"/>
  <c r="T35" i="1"/>
  <c r="J36" i="6"/>
  <c r="I36" i="6"/>
  <c r="H36" i="6"/>
  <c r="G36" i="6"/>
  <c r="F36" i="6"/>
  <c r="E36" i="6"/>
  <c r="D36" i="6"/>
  <c r="C36" i="6"/>
  <c r="B36" i="6"/>
  <c r="A35" i="6"/>
  <c r="W35" i="6"/>
  <c r="V35" i="6"/>
  <c r="U35" i="6"/>
  <c r="T35" i="6"/>
  <c r="S35" i="6"/>
  <c r="R35" i="6"/>
  <c r="AA34" i="1"/>
  <c r="AD34" i="1"/>
  <c r="Q35" i="6"/>
  <c r="P35" i="6"/>
  <c r="O35" i="6"/>
  <c r="N35" i="6"/>
  <c r="M35" i="6"/>
  <c r="L35" i="6"/>
  <c r="K35" i="6"/>
  <c r="T34" i="1"/>
  <c r="J35" i="6"/>
  <c r="I35" i="6"/>
  <c r="H35" i="6"/>
  <c r="G35" i="6"/>
  <c r="F35" i="6"/>
  <c r="E35" i="6"/>
  <c r="D35" i="6"/>
  <c r="C35" i="6"/>
  <c r="B35" i="6"/>
  <c r="A34" i="6"/>
  <c r="W34" i="6"/>
  <c r="V34" i="6"/>
  <c r="U34" i="6"/>
  <c r="T34" i="6"/>
  <c r="S34" i="6"/>
  <c r="R34" i="6"/>
  <c r="AA33" i="1"/>
  <c r="AD33" i="1"/>
  <c r="Q34" i="6"/>
  <c r="P34" i="6"/>
  <c r="O34" i="6"/>
  <c r="N34" i="6"/>
  <c r="M34" i="6"/>
  <c r="L34" i="6"/>
  <c r="K34" i="6"/>
  <c r="T33" i="1"/>
  <c r="J34" i="6"/>
  <c r="I34" i="6"/>
  <c r="H34" i="6"/>
  <c r="G34" i="6"/>
  <c r="F34" i="6"/>
  <c r="E34" i="6"/>
  <c r="D34" i="6"/>
  <c r="C34" i="6"/>
  <c r="B34" i="6"/>
  <c r="A33" i="6"/>
  <c r="W33" i="6"/>
  <c r="V33" i="6"/>
  <c r="U33" i="6"/>
  <c r="T33" i="6"/>
  <c r="S33" i="6"/>
  <c r="R33" i="6"/>
  <c r="AA32" i="1"/>
  <c r="AD32" i="1"/>
  <c r="Q33" i="6"/>
  <c r="P33" i="6"/>
  <c r="O33" i="6"/>
  <c r="N33" i="6"/>
  <c r="M33" i="6"/>
  <c r="L33" i="6"/>
  <c r="K33" i="6"/>
  <c r="T32" i="1"/>
  <c r="J33" i="6"/>
  <c r="I33" i="6"/>
  <c r="H33" i="6"/>
  <c r="G33" i="6"/>
  <c r="F33" i="6"/>
  <c r="E33" i="6"/>
  <c r="D33" i="6"/>
  <c r="C33" i="6"/>
  <c r="B33" i="6"/>
  <c r="A32" i="6"/>
  <c r="W32" i="6"/>
  <c r="V32" i="6"/>
  <c r="U32" i="6"/>
  <c r="T32" i="6"/>
  <c r="S32" i="6"/>
  <c r="R32" i="6"/>
  <c r="AA31" i="1"/>
  <c r="AD31" i="1"/>
  <c r="Q32" i="6"/>
  <c r="P32" i="6"/>
  <c r="O32" i="6"/>
  <c r="N32" i="6"/>
  <c r="M32" i="6"/>
  <c r="L32" i="6"/>
  <c r="K32" i="6"/>
  <c r="T31" i="1"/>
  <c r="J32" i="6"/>
  <c r="I32" i="6"/>
  <c r="H32" i="6"/>
  <c r="G32" i="6"/>
  <c r="F32" i="6"/>
  <c r="E32" i="6"/>
  <c r="D32" i="6"/>
  <c r="C32" i="6"/>
  <c r="B32" i="6"/>
  <c r="A31" i="6"/>
  <c r="W31" i="6"/>
  <c r="V31" i="6"/>
  <c r="U31" i="6"/>
  <c r="T31" i="6"/>
  <c r="S31" i="6"/>
  <c r="R31" i="6"/>
  <c r="AA30" i="1"/>
  <c r="AD30" i="1"/>
  <c r="Q31" i="6"/>
  <c r="P31" i="6"/>
  <c r="O31" i="6"/>
  <c r="N31" i="6"/>
  <c r="M31" i="6"/>
  <c r="L31" i="6"/>
  <c r="K31" i="6"/>
  <c r="T30" i="1"/>
  <c r="J31" i="6"/>
  <c r="I31" i="6"/>
  <c r="H31" i="6"/>
  <c r="G31" i="6"/>
  <c r="F31" i="6"/>
  <c r="E31" i="6"/>
  <c r="D31" i="6"/>
  <c r="C31" i="6"/>
  <c r="B31" i="6"/>
  <c r="A30" i="6"/>
  <c r="W30" i="6"/>
  <c r="V30" i="6"/>
  <c r="U30" i="6"/>
  <c r="T30" i="6"/>
  <c r="S30" i="6"/>
  <c r="R30" i="6"/>
  <c r="AA29" i="1"/>
  <c r="AD29" i="1"/>
  <c r="Q30" i="6"/>
  <c r="P30" i="6"/>
  <c r="O30" i="6"/>
  <c r="N30" i="6"/>
  <c r="M30" i="6"/>
  <c r="L30" i="6"/>
  <c r="K30" i="6"/>
  <c r="T29" i="1"/>
  <c r="J30" i="6"/>
  <c r="I30" i="6"/>
  <c r="H30" i="6"/>
  <c r="G30" i="6"/>
  <c r="F30" i="6"/>
  <c r="E30" i="6"/>
  <c r="D30" i="6"/>
  <c r="C30" i="6"/>
  <c r="B30" i="6"/>
  <c r="A29" i="6"/>
  <c r="W29" i="6"/>
  <c r="V29" i="6"/>
  <c r="U29" i="6"/>
  <c r="T29" i="6"/>
  <c r="S29" i="6"/>
  <c r="R29" i="6"/>
  <c r="AA28" i="1"/>
  <c r="AD28" i="1"/>
  <c r="Q29" i="6"/>
  <c r="P29" i="6"/>
  <c r="O29" i="6"/>
  <c r="N29" i="6"/>
  <c r="M29" i="6"/>
  <c r="L29" i="6"/>
  <c r="K29" i="6"/>
  <c r="T28" i="1"/>
  <c r="J29" i="6"/>
  <c r="I29" i="6"/>
  <c r="H29" i="6"/>
  <c r="G29" i="6"/>
  <c r="F29" i="6"/>
  <c r="E29" i="6"/>
  <c r="D29" i="6"/>
  <c r="C29" i="6"/>
  <c r="B29" i="6"/>
  <c r="A28" i="6"/>
  <c r="W28" i="6"/>
  <c r="V28" i="6"/>
  <c r="U28" i="6"/>
  <c r="T28" i="6"/>
  <c r="S28" i="6"/>
  <c r="R28" i="6"/>
  <c r="AA27" i="1"/>
  <c r="AD27" i="1"/>
  <c r="Q28" i="6"/>
  <c r="P28" i="6"/>
  <c r="O28" i="6"/>
  <c r="N28" i="6"/>
  <c r="M28" i="6"/>
  <c r="L28" i="6"/>
  <c r="K28" i="6"/>
  <c r="T27" i="1"/>
  <c r="J28" i="6"/>
  <c r="I28" i="6"/>
  <c r="H28" i="6"/>
  <c r="G28" i="6"/>
  <c r="F28" i="6"/>
  <c r="E28" i="6"/>
  <c r="D28" i="6"/>
  <c r="C28" i="6"/>
  <c r="B28" i="6"/>
  <c r="A27" i="6"/>
  <c r="W27" i="6"/>
  <c r="V27" i="6"/>
  <c r="U27" i="6"/>
  <c r="T27" i="6"/>
  <c r="S27" i="6"/>
  <c r="R27" i="6"/>
  <c r="AA26" i="1"/>
  <c r="AD26" i="1"/>
  <c r="Q27" i="6"/>
  <c r="P27" i="6"/>
  <c r="O27" i="6"/>
  <c r="N27" i="6"/>
  <c r="M27" i="6"/>
  <c r="L27" i="6"/>
  <c r="K27" i="6"/>
  <c r="T26" i="1"/>
  <c r="J27" i="6"/>
  <c r="I27" i="6"/>
  <c r="H27" i="6"/>
  <c r="G27" i="6"/>
  <c r="F27" i="6"/>
  <c r="E27" i="6"/>
  <c r="D27" i="6"/>
  <c r="C27" i="6"/>
  <c r="B27" i="6"/>
  <c r="A26" i="6"/>
  <c r="W26" i="6"/>
  <c r="V26" i="6"/>
  <c r="U26" i="6"/>
  <c r="T26" i="6"/>
  <c r="S26" i="6"/>
  <c r="R26" i="6"/>
  <c r="AA25" i="1"/>
  <c r="AD25" i="1"/>
  <c r="Q26" i="6"/>
  <c r="P26" i="6"/>
  <c r="O26" i="6"/>
  <c r="N26" i="6"/>
  <c r="M26" i="6"/>
  <c r="L26" i="6"/>
  <c r="K26" i="6"/>
  <c r="T25" i="1"/>
  <c r="J26" i="6"/>
  <c r="I26" i="6"/>
  <c r="H26" i="6"/>
  <c r="G26" i="6"/>
  <c r="F26" i="6"/>
  <c r="E26" i="6"/>
  <c r="D26" i="6"/>
  <c r="C26" i="6"/>
  <c r="B26" i="6"/>
  <c r="A25" i="6"/>
  <c r="W25" i="6"/>
  <c r="V25" i="6"/>
  <c r="U25" i="6"/>
  <c r="T25" i="6"/>
  <c r="S25" i="6"/>
  <c r="R25" i="6"/>
  <c r="AA24" i="1"/>
  <c r="AD24" i="1"/>
  <c r="Q25" i="6"/>
  <c r="P25" i="6"/>
  <c r="O25" i="6"/>
  <c r="N25" i="6"/>
  <c r="M25" i="6"/>
  <c r="L25" i="6"/>
  <c r="K25" i="6"/>
  <c r="T24" i="1"/>
  <c r="J25" i="6"/>
  <c r="I25" i="6"/>
  <c r="H25" i="6"/>
  <c r="G25" i="6"/>
  <c r="F25" i="6"/>
  <c r="E25" i="6"/>
  <c r="D25" i="6"/>
  <c r="C25" i="6"/>
  <c r="B25" i="6"/>
  <c r="A24" i="6"/>
  <c r="W24" i="6"/>
  <c r="V24" i="6"/>
  <c r="U24" i="6"/>
  <c r="T24" i="6"/>
  <c r="S24" i="6"/>
  <c r="R24" i="6"/>
  <c r="AA23" i="1"/>
  <c r="AD23" i="1"/>
  <c r="Q24" i="6"/>
  <c r="P24" i="6"/>
  <c r="O24" i="6"/>
  <c r="N24" i="6"/>
  <c r="M24" i="6"/>
  <c r="L24" i="6"/>
  <c r="K24" i="6"/>
  <c r="T23" i="1"/>
  <c r="J24" i="6"/>
  <c r="I24" i="6"/>
  <c r="H24" i="6"/>
  <c r="G24" i="6"/>
  <c r="F24" i="6"/>
  <c r="E24" i="6"/>
  <c r="D24" i="6"/>
  <c r="C24" i="6"/>
  <c r="B24" i="6"/>
  <c r="A23" i="6"/>
  <c r="W23" i="6"/>
  <c r="V23" i="6"/>
  <c r="U23" i="6"/>
  <c r="T23" i="6"/>
  <c r="S23" i="6"/>
  <c r="R23" i="6"/>
  <c r="AA22" i="1"/>
  <c r="AD22" i="1"/>
  <c r="Q23" i="6"/>
  <c r="P23" i="6"/>
  <c r="O23" i="6"/>
  <c r="N23" i="6"/>
  <c r="M23" i="6"/>
  <c r="L23" i="6"/>
  <c r="K23" i="6"/>
  <c r="T22" i="1"/>
  <c r="J23" i="6"/>
  <c r="I23" i="6"/>
  <c r="H23" i="6"/>
  <c r="G23" i="6"/>
  <c r="F23" i="6"/>
  <c r="E23" i="6"/>
  <c r="D23" i="6"/>
  <c r="C23" i="6"/>
  <c r="B23" i="6"/>
  <c r="A22" i="6"/>
  <c r="W22" i="6"/>
  <c r="V22" i="6"/>
  <c r="U22" i="6"/>
  <c r="T22" i="6"/>
  <c r="S22" i="6"/>
  <c r="R22" i="6"/>
  <c r="AA21" i="1"/>
  <c r="AD21" i="1"/>
  <c r="Q22" i="6"/>
  <c r="P22" i="6"/>
  <c r="O22" i="6"/>
  <c r="N22" i="6"/>
  <c r="M22" i="6"/>
  <c r="L22" i="6"/>
  <c r="K22" i="6"/>
  <c r="T21" i="1"/>
  <c r="J22" i="6"/>
  <c r="I22" i="6"/>
  <c r="H22" i="6"/>
  <c r="G22" i="6"/>
  <c r="F22" i="6"/>
  <c r="E22" i="6"/>
  <c r="D22" i="6"/>
  <c r="C22" i="6"/>
  <c r="B22" i="6"/>
  <c r="A21" i="6"/>
  <c r="W21" i="6"/>
  <c r="V21" i="6"/>
  <c r="U21" i="6"/>
  <c r="T21" i="6"/>
  <c r="S21" i="6"/>
  <c r="R21" i="6"/>
  <c r="AA20" i="1"/>
  <c r="AD20" i="1"/>
  <c r="Q21" i="6"/>
  <c r="P21" i="6"/>
  <c r="O21" i="6"/>
  <c r="N21" i="6"/>
  <c r="M21" i="6"/>
  <c r="L21" i="6"/>
  <c r="K21" i="6"/>
  <c r="T20" i="1"/>
  <c r="J21" i="6"/>
  <c r="I21" i="6"/>
  <c r="H21" i="6"/>
  <c r="G21" i="6"/>
  <c r="F21" i="6"/>
  <c r="E21" i="6"/>
  <c r="D21" i="6"/>
  <c r="C21" i="6"/>
  <c r="B21" i="6"/>
  <c r="A20" i="6"/>
  <c r="W20" i="6"/>
  <c r="V20" i="6"/>
  <c r="U20" i="6"/>
  <c r="T20" i="6"/>
  <c r="S20" i="6"/>
  <c r="R20" i="6"/>
  <c r="AA19" i="1"/>
  <c r="AD19" i="1"/>
  <c r="Q20" i="6"/>
  <c r="P20" i="6"/>
  <c r="O20" i="6"/>
  <c r="N20" i="6"/>
  <c r="M20" i="6"/>
  <c r="L20" i="6"/>
  <c r="K20" i="6"/>
  <c r="T19" i="1"/>
  <c r="J20" i="6"/>
  <c r="I20" i="6"/>
  <c r="H20" i="6"/>
  <c r="G20" i="6"/>
  <c r="F20" i="6"/>
  <c r="E20" i="6"/>
  <c r="D20" i="6"/>
  <c r="C20" i="6"/>
  <c r="B20" i="6"/>
  <c r="A19" i="6"/>
  <c r="W19" i="6"/>
  <c r="V19" i="6"/>
  <c r="U19" i="6"/>
  <c r="T19" i="6"/>
  <c r="S19" i="6"/>
  <c r="R19" i="6"/>
  <c r="AA18" i="1"/>
  <c r="AD18" i="1"/>
  <c r="Q19" i="6"/>
  <c r="P19" i="6"/>
  <c r="O19" i="6"/>
  <c r="N19" i="6"/>
  <c r="M19" i="6"/>
  <c r="L19" i="6"/>
  <c r="K19" i="6"/>
  <c r="T18" i="1"/>
  <c r="J19" i="6"/>
  <c r="I19" i="6"/>
  <c r="H19" i="6"/>
  <c r="G19" i="6"/>
  <c r="F19" i="6"/>
  <c r="E19" i="6"/>
  <c r="D19" i="6"/>
  <c r="C19" i="6"/>
  <c r="B19" i="6"/>
  <c r="A18" i="6"/>
  <c r="W18" i="6"/>
  <c r="V18" i="6"/>
  <c r="U18" i="6"/>
  <c r="T18" i="6"/>
  <c r="S18" i="6"/>
  <c r="R18" i="6"/>
  <c r="AA17" i="1"/>
  <c r="AD17" i="1"/>
  <c r="Q18" i="6"/>
  <c r="P18" i="6"/>
  <c r="O18" i="6"/>
  <c r="N18" i="6"/>
  <c r="M18" i="6"/>
  <c r="L18" i="6"/>
  <c r="K18" i="6"/>
  <c r="T17" i="1"/>
  <c r="J18" i="6"/>
  <c r="I18" i="6"/>
  <c r="H18" i="6"/>
  <c r="G18" i="6"/>
  <c r="F18" i="6"/>
  <c r="E18" i="6"/>
  <c r="D18" i="6"/>
  <c r="C18" i="6"/>
  <c r="B18" i="6"/>
  <c r="A17" i="6"/>
  <c r="W17" i="6"/>
  <c r="V17" i="6"/>
  <c r="U17" i="6"/>
  <c r="T17" i="6"/>
  <c r="S17" i="6"/>
  <c r="R17" i="6"/>
  <c r="AA16" i="1"/>
  <c r="AD16" i="1"/>
  <c r="Q17" i="6"/>
  <c r="P17" i="6"/>
  <c r="O17" i="6"/>
  <c r="N17" i="6"/>
  <c r="M17" i="6"/>
  <c r="L17" i="6"/>
  <c r="K17" i="6"/>
  <c r="T16" i="1"/>
  <c r="J17" i="6"/>
  <c r="I17" i="6"/>
  <c r="H17" i="6"/>
  <c r="G17" i="6"/>
  <c r="F17" i="6"/>
  <c r="E17" i="6"/>
  <c r="D17" i="6"/>
  <c r="C17" i="6"/>
  <c r="B17" i="6"/>
  <c r="A16" i="6"/>
  <c r="W16" i="6"/>
  <c r="V16" i="6"/>
  <c r="U16" i="6"/>
  <c r="T16" i="6"/>
  <c r="S16" i="6"/>
  <c r="R16" i="6"/>
  <c r="AA15" i="1"/>
  <c r="AD15" i="1"/>
  <c r="Q16" i="6"/>
  <c r="P16" i="6"/>
  <c r="O16" i="6"/>
  <c r="N16" i="6"/>
  <c r="M16" i="6"/>
  <c r="L16" i="6"/>
  <c r="K16" i="6"/>
  <c r="T15" i="1"/>
  <c r="J16" i="6"/>
  <c r="I16" i="6"/>
  <c r="H16" i="6"/>
  <c r="G16" i="6"/>
  <c r="F16" i="6"/>
  <c r="E16" i="6"/>
  <c r="D16" i="6"/>
  <c r="C16" i="6"/>
  <c r="B16" i="6"/>
  <c r="A15" i="6"/>
  <c r="W15" i="6"/>
  <c r="V15" i="6"/>
  <c r="U15" i="6"/>
  <c r="T15" i="6"/>
  <c r="S15" i="6"/>
  <c r="R15" i="6"/>
  <c r="AA14" i="1"/>
  <c r="AD14" i="1"/>
  <c r="Q15" i="6"/>
  <c r="P15" i="6"/>
  <c r="O15" i="6"/>
  <c r="N15" i="6"/>
  <c r="M15" i="6"/>
  <c r="L15" i="6"/>
  <c r="K15" i="6"/>
  <c r="T14" i="1"/>
  <c r="J15" i="6"/>
  <c r="I15" i="6"/>
  <c r="H15" i="6"/>
  <c r="G15" i="6"/>
  <c r="F15" i="6"/>
  <c r="E15" i="6"/>
  <c r="D15" i="6"/>
  <c r="C15" i="6"/>
  <c r="B15" i="6"/>
  <c r="A14" i="6"/>
  <c r="W14" i="6"/>
  <c r="V14" i="6"/>
  <c r="U14" i="6"/>
  <c r="T14" i="6"/>
  <c r="S14" i="6"/>
  <c r="R14" i="6"/>
  <c r="AA13" i="1"/>
  <c r="AD13" i="1"/>
  <c r="Q14" i="6"/>
  <c r="P14" i="6"/>
  <c r="O14" i="6"/>
  <c r="N14" i="6"/>
  <c r="M14" i="6"/>
  <c r="L14" i="6"/>
  <c r="K14" i="6"/>
  <c r="T13" i="1"/>
  <c r="J14" i="6"/>
  <c r="I14" i="6"/>
  <c r="H14" i="6"/>
  <c r="G14" i="6"/>
  <c r="F14" i="6"/>
  <c r="E14" i="6"/>
  <c r="D14" i="6"/>
  <c r="C14" i="6"/>
  <c r="B14" i="6"/>
  <c r="A13" i="6"/>
  <c r="W13" i="6"/>
  <c r="V13" i="6"/>
  <c r="U13" i="6"/>
  <c r="T13" i="6"/>
  <c r="S13" i="6"/>
  <c r="R13" i="6"/>
  <c r="AA12" i="1"/>
  <c r="AD12" i="1"/>
  <c r="Q13" i="6"/>
  <c r="P13" i="6"/>
  <c r="O13" i="6"/>
  <c r="N13" i="6"/>
  <c r="M13" i="6"/>
  <c r="L13" i="6"/>
  <c r="K13" i="6"/>
  <c r="T12" i="1"/>
  <c r="J13" i="6"/>
  <c r="I13" i="6"/>
  <c r="H13" i="6"/>
  <c r="G13" i="6"/>
  <c r="F13" i="6"/>
  <c r="E13" i="6"/>
  <c r="D13" i="6"/>
  <c r="C13" i="6"/>
  <c r="B13" i="6"/>
  <c r="A12" i="6"/>
  <c r="W12" i="6"/>
  <c r="V12" i="6"/>
  <c r="U12" i="6"/>
  <c r="T12" i="6"/>
  <c r="S12" i="6"/>
  <c r="R12" i="6"/>
  <c r="AA11" i="1"/>
  <c r="AD11" i="1"/>
  <c r="Q12" i="6"/>
  <c r="P12" i="6"/>
  <c r="O12" i="6"/>
  <c r="N12" i="6"/>
  <c r="M12" i="6"/>
  <c r="L12" i="6"/>
  <c r="K12" i="6"/>
  <c r="T11" i="1"/>
  <c r="J12" i="6"/>
  <c r="I12" i="6"/>
  <c r="H12" i="6"/>
  <c r="G12" i="6"/>
  <c r="F12" i="6"/>
  <c r="E12" i="6"/>
  <c r="D12" i="6"/>
  <c r="C12" i="6"/>
  <c r="B12" i="6"/>
  <c r="A11" i="6"/>
  <c r="W11" i="6"/>
  <c r="V11" i="6"/>
  <c r="U11" i="6"/>
  <c r="T11" i="6"/>
  <c r="S11" i="6"/>
  <c r="R11" i="6"/>
  <c r="AA10" i="1"/>
  <c r="AD10" i="1"/>
  <c r="Q11" i="6"/>
  <c r="P11" i="6"/>
  <c r="O11" i="6"/>
  <c r="N11" i="6"/>
  <c r="M11" i="6"/>
  <c r="L11" i="6"/>
  <c r="K11" i="6"/>
  <c r="T10" i="1"/>
  <c r="J11" i="6"/>
  <c r="I11" i="6"/>
  <c r="H11" i="6"/>
  <c r="G11" i="6"/>
  <c r="F11" i="6"/>
  <c r="E11" i="6"/>
  <c r="D11" i="6"/>
  <c r="C11" i="6"/>
  <c r="B11" i="6"/>
  <c r="A10" i="6"/>
  <c r="W10" i="6"/>
  <c r="V10" i="6"/>
  <c r="U10" i="6"/>
  <c r="T10" i="6"/>
  <c r="S10" i="6"/>
  <c r="R10" i="6"/>
  <c r="AA9" i="1"/>
  <c r="AD9" i="1"/>
  <c r="Q10" i="6"/>
  <c r="P10" i="6"/>
  <c r="O10" i="6"/>
  <c r="N10" i="6"/>
  <c r="M10" i="6"/>
  <c r="L10" i="6"/>
  <c r="K10" i="6"/>
  <c r="T9" i="1"/>
  <c r="J10" i="6"/>
  <c r="I10" i="6"/>
  <c r="H10" i="6"/>
  <c r="G10" i="6"/>
  <c r="F10" i="6"/>
  <c r="E10" i="6"/>
  <c r="D10" i="6"/>
  <c r="C10" i="6"/>
  <c r="B10" i="6"/>
  <c r="A9" i="6"/>
  <c r="W9" i="6"/>
  <c r="V9" i="6"/>
  <c r="U9" i="6"/>
  <c r="T9" i="6"/>
  <c r="S9" i="6"/>
  <c r="R9" i="6"/>
  <c r="AA8" i="1"/>
  <c r="AD8" i="1"/>
  <c r="Q9" i="6"/>
  <c r="P9" i="6"/>
  <c r="O9" i="6"/>
  <c r="N9" i="6"/>
  <c r="M9" i="6"/>
  <c r="L9" i="6"/>
  <c r="K9" i="6"/>
  <c r="T8" i="1"/>
  <c r="J9" i="6"/>
  <c r="I9" i="6"/>
  <c r="H9" i="6"/>
  <c r="G9" i="6"/>
  <c r="F9" i="6"/>
  <c r="E9" i="6"/>
  <c r="D9" i="6"/>
  <c r="C9" i="6"/>
  <c r="B9" i="6"/>
  <c r="A8" i="6"/>
  <c r="W8" i="6"/>
  <c r="V8" i="6"/>
  <c r="U8" i="6"/>
  <c r="T8" i="6"/>
  <c r="S8" i="6"/>
  <c r="R8" i="6"/>
  <c r="AA7" i="1"/>
  <c r="AD7" i="1"/>
  <c r="Q8" i="6"/>
  <c r="P8" i="6"/>
  <c r="O8" i="6"/>
  <c r="N8" i="6"/>
  <c r="M8" i="6"/>
  <c r="L8" i="6"/>
  <c r="K8" i="6"/>
  <c r="T7" i="1"/>
  <c r="J8" i="6"/>
  <c r="I8" i="6"/>
  <c r="H8" i="6"/>
  <c r="G8" i="6"/>
  <c r="F8" i="6"/>
  <c r="E8" i="6"/>
  <c r="D8" i="6"/>
  <c r="C8" i="6"/>
  <c r="B8" i="6"/>
  <c r="A7" i="6"/>
  <c r="W7" i="6"/>
  <c r="V7" i="6"/>
  <c r="U7" i="6"/>
  <c r="T7" i="6"/>
  <c r="S7" i="6"/>
  <c r="R7" i="6"/>
  <c r="AA6" i="1"/>
  <c r="AD6" i="1"/>
  <c r="Q7" i="6"/>
  <c r="P7" i="6"/>
  <c r="O7" i="6"/>
  <c r="N7" i="6"/>
  <c r="M7" i="6"/>
  <c r="L7" i="6"/>
  <c r="K7" i="6"/>
  <c r="T6" i="1"/>
  <c r="J7" i="6"/>
  <c r="I7" i="6"/>
  <c r="H7" i="6"/>
  <c r="G7" i="6"/>
  <c r="F7" i="6"/>
  <c r="E7" i="6"/>
  <c r="D7" i="6"/>
  <c r="C7" i="6"/>
  <c r="B7" i="6"/>
  <c r="A6" i="6"/>
  <c r="W6" i="6"/>
  <c r="V6" i="6"/>
  <c r="U6" i="6"/>
  <c r="T6" i="6"/>
  <c r="S6" i="6"/>
  <c r="R6" i="6"/>
  <c r="AA5" i="1"/>
  <c r="AD5" i="1"/>
  <c r="Q6" i="6"/>
  <c r="P6" i="6"/>
  <c r="O6" i="6"/>
  <c r="N6" i="6"/>
  <c r="M6" i="6"/>
  <c r="L6" i="6"/>
  <c r="K6" i="6"/>
  <c r="T5" i="1"/>
  <c r="J6" i="6"/>
  <c r="I6" i="6"/>
  <c r="H6" i="6"/>
  <c r="G6" i="6"/>
  <c r="F6" i="6"/>
  <c r="E6" i="6"/>
  <c r="D6" i="6"/>
  <c r="C6" i="6"/>
  <c r="B6" i="6"/>
  <c r="A5" i="6"/>
  <c r="W5" i="6"/>
  <c r="V5" i="6"/>
  <c r="U5" i="6"/>
  <c r="T5" i="6"/>
  <c r="S5" i="6"/>
  <c r="R5" i="6"/>
  <c r="AA4" i="1"/>
  <c r="AD4" i="1"/>
  <c r="Q5" i="6"/>
  <c r="P5" i="6"/>
  <c r="O5" i="6"/>
  <c r="N5" i="6"/>
  <c r="M5" i="6"/>
  <c r="L5" i="6"/>
  <c r="K5" i="6"/>
  <c r="T4" i="1"/>
  <c r="J5" i="6"/>
  <c r="I5" i="6"/>
  <c r="H5" i="6"/>
  <c r="G5" i="6"/>
  <c r="F5" i="6"/>
  <c r="E5" i="6"/>
  <c r="D5" i="6"/>
  <c r="C5" i="6"/>
  <c r="B5" i="6"/>
  <c r="A4" i="6"/>
  <c r="W4" i="6"/>
  <c r="V4" i="6"/>
  <c r="U4" i="6"/>
  <c r="T4" i="6"/>
  <c r="S4" i="6"/>
  <c r="R4" i="6"/>
  <c r="AA3" i="1"/>
  <c r="AD3" i="1"/>
  <c r="Q4" i="6"/>
  <c r="P4" i="6"/>
  <c r="O4" i="6"/>
  <c r="N4" i="6"/>
  <c r="M4" i="6"/>
  <c r="L4" i="6"/>
  <c r="K4" i="6"/>
  <c r="T3" i="1"/>
  <c r="J4" i="6"/>
  <c r="I4" i="6"/>
  <c r="H4" i="6"/>
  <c r="G4" i="6"/>
  <c r="F4" i="6"/>
  <c r="E4" i="6"/>
  <c r="D4" i="6"/>
  <c r="C4" i="6"/>
  <c r="B4" i="6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AB381" i="1"/>
  <c r="Z381" i="1"/>
  <c r="S381" i="1"/>
  <c r="N381" i="1"/>
  <c r="M381" i="1"/>
  <c r="L381" i="1"/>
  <c r="K381" i="1"/>
  <c r="J381" i="1"/>
  <c r="H381" i="1"/>
  <c r="D381" i="1"/>
  <c r="F381" i="1"/>
  <c r="E381" i="1"/>
  <c r="A381" i="1"/>
  <c r="AB380" i="1"/>
  <c r="Z380" i="1"/>
  <c r="S380" i="1"/>
  <c r="N380" i="1"/>
  <c r="M380" i="1"/>
  <c r="L380" i="1"/>
  <c r="K380" i="1"/>
  <c r="J380" i="1"/>
  <c r="H380" i="1"/>
  <c r="D380" i="1"/>
  <c r="F380" i="1"/>
  <c r="E380" i="1"/>
  <c r="AB379" i="1"/>
  <c r="Z379" i="1"/>
  <c r="S379" i="1"/>
  <c r="N379" i="1"/>
  <c r="M379" i="1"/>
  <c r="L379" i="1"/>
  <c r="K379" i="1"/>
  <c r="J379" i="1"/>
  <c r="H379" i="1"/>
  <c r="D379" i="1"/>
  <c r="F379" i="1"/>
  <c r="E379" i="1"/>
  <c r="AB378" i="1"/>
  <c r="Z378" i="1"/>
  <c r="S378" i="1"/>
  <c r="N378" i="1"/>
  <c r="M378" i="1"/>
  <c r="L378" i="1"/>
  <c r="K378" i="1"/>
  <c r="J378" i="1"/>
  <c r="H378" i="1"/>
  <c r="D378" i="1"/>
  <c r="F378" i="1"/>
  <c r="E378" i="1"/>
  <c r="AB377" i="1"/>
  <c r="Z377" i="1"/>
  <c r="S377" i="1"/>
  <c r="N377" i="1"/>
  <c r="M377" i="1"/>
  <c r="L377" i="1"/>
  <c r="K377" i="1"/>
  <c r="J377" i="1"/>
  <c r="H377" i="1"/>
  <c r="D377" i="1"/>
  <c r="F377" i="1"/>
  <c r="E377" i="1"/>
  <c r="AB376" i="1"/>
  <c r="Z376" i="1"/>
  <c r="S376" i="1"/>
  <c r="N376" i="1"/>
  <c r="M376" i="1"/>
  <c r="L376" i="1"/>
  <c r="K376" i="1"/>
  <c r="J376" i="1"/>
  <c r="H376" i="1"/>
  <c r="D376" i="1"/>
  <c r="F376" i="1"/>
  <c r="E376" i="1"/>
  <c r="A376" i="1"/>
  <c r="AB375" i="1"/>
  <c r="Z375" i="1"/>
  <c r="S375" i="1"/>
  <c r="N375" i="1"/>
  <c r="M375" i="1"/>
  <c r="L375" i="1"/>
  <c r="K375" i="1"/>
  <c r="J375" i="1"/>
  <c r="H375" i="1"/>
  <c r="D375" i="1"/>
  <c r="F375" i="1"/>
  <c r="E375" i="1"/>
  <c r="AB374" i="1"/>
  <c r="Z374" i="1"/>
  <c r="S374" i="1"/>
  <c r="N374" i="1"/>
  <c r="M374" i="1"/>
  <c r="L374" i="1"/>
  <c r="K374" i="1"/>
  <c r="J374" i="1"/>
  <c r="H374" i="1"/>
  <c r="D374" i="1"/>
  <c r="F374" i="1"/>
  <c r="E374" i="1"/>
  <c r="AB373" i="1"/>
  <c r="Z373" i="1"/>
  <c r="S373" i="1"/>
  <c r="N373" i="1"/>
  <c r="M373" i="1"/>
  <c r="L373" i="1"/>
  <c r="K373" i="1"/>
  <c r="J373" i="1"/>
  <c r="H373" i="1"/>
  <c r="D373" i="1"/>
  <c r="F373" i="1"/>
  <c r="E373" i="1"/>
  <c r="AB372" i="1"/>
  <c r="Z372" i="1"/>
  <c r="S372" i="1"/>
  <c r="N372" i="1"/>
  <c r="M372" i="1"/>
  <c r="L372" i="1"/>
  <c r="K372" i="1"/>
  <c r="J372" i="1"/>
  <c r="H372" i="1"/>
  <c r="D372" i="1"/>
  <c r="F372" i="1"/>
  <c r="E372" i="1"/>
  <c r="AB371" i="1"/>
  <c r="Z371" i="1"/>
  <c r="S371" i="1"/>
  <c r="N371" i="1"/>
  <c r="M371" i="1"/>
  <c r="L371" i="1"/>
  <c r="K371" i="1"/>
  <c r="J371" i="1"/>
  <c r="H371" i="1"/>
  <c r="D371" i="1"/>
  <c r="F371" i="1"/>
  <c r="E371" i="1"/>
  <c r="AB370" i="1"/>
  <c r="Z370" i="1"/>
  <c r="S370" i="1"/>
  <c r="N370" i="1"/>
  <c r="M370" i="1"/>
  <c r="L370" i="1"/>
  <c r="K370" i="1"/>
  <c r="J370" i="1"/>
  <c r="H370" i="1"/>
  <c r="D370" i="1"/>
  <c r="F370" i="1"/>
  <c r="E370" i="1"/>
  <c r="AB369" i="1"/>
  <c r="Z369" i="1"/>
  <c r="S369" i="1"/>
  <c r="N369" i="1"/>
  <c r="M369" i="1"/>
  <c r="L369" i="1"/>
  <c r="K369" i="1"/>
  <c r="J369" i="1"/>
  <c r="H369" i="1"/>
  <c r="D369" i="1"/>
  <c r="F369" i="1"/>
  <c r="E369" i="1"/>
  <c r="AB368" i="1"/>
  <c r="Z368" i="1"/>
  <c r="S368" i="1"/>
  <c r="N368" i="1"/>
  <c r="M368" i="1"/>
  <c r="L368" i="1"/>
  <c r="K368" i="1"/>
  <c r="J368" i="1"/>
  <c r="H368" i="1"/>
  <c r="D368" i="1"/>
  <c r="F368" i="1"/>
  <c r="E368" i="1"/>
  <c r="AB367" i="1"/>
  <c r="Z367" i="1"/>
  <c r="S367" i="1"/>
  <c r="N367" i="1"/>
  <c r="M367" i="1"/>
  <c r="L367" i="1"/>
  <c r="K367" i="1"/>
  <c r="J367" i="1"/>
  <c r="H367" i="1"/>
  <c r="D367" i="1"/>
  <c r="F367" i="1"/>
  <c r="E367" i="1"/>
  <c r="AB366" i="1"/>
  <c r="Z366" i="1"/>
  <c r="S366" i="1"/>
  <c r="N366" i="1"/>
  <c r="M366" i="1"/>
  <c r="L366" i="1"/>
  <c r="K366" i="1"/>
  <c r="J366" i="1"/>
  <c r="H366" i="1"/>
  <c r="D366" i="1"/>
  <c r="F366" i="1"/>
  <c r="E366" i="1"/>
  <c r="AB365" i="1"/>
  <c r="Z365" i="1"/>
  <c r="S365" i="1"/>
  <c r="N365" i="1"/>
  <c r="M365" i="1"/>
  <c r="L365" i="1"/>
  <c r="K365" i="1"/>
  <c r="J365" i="1"/>
  <c r="H365" i="1"/>
  <c r="D365" i="1"/>
  <c r="F365" i="1"/>
  <c r="E365" i="1"/>
  <c r="AB364" i="1"/>
  <c r="Z364" i="1"/>
  <c r="S364" i="1"/>
  <c r="N364" i="1"/>
  <c r="M364" i="1"/>
  <c r="L364" i="1"/>
  <c r="K364" i="1"/>
  <c r="J364" i="1"/>
  <c r="H364" i="1"/>
  <c r="D364" i="1"/>
  <c r="F364" i="1"/>
  <c r="E364" i="1"/>
  <c r="AB363" i="1"/>
  <c r="Z363" i="1"/>
  <c r="S363" i="1"/>
  <c r="N363" i="1"/>
  <c r="M363" i="1"/>
  <c r="L363" i="1"/>
  <c r="K363" i="1"/>
  <c r="J363" i="1"/>
  <c r="H363" i="1"/>
  <c r="D363" i="1"/>
  <c r="F363" i="1"/>
  <c r="E363" i="1"/>
  <c r="AB362" i="1"/>
  <c r="Z362" i="1"/>
  <c r="S362" i="1"/>
  <c r="N362" i="1"/>
  <c r="M362" i="1"/>
  <c r="L362" i="1"/>
  <c r="K362" i="1"/>
  <c r="J362" i="1"/>
  <c r="H362" i="1"/>
  <c r="D362" i="1"/>
  <c r="F362" i="1"/>
  <c r="E362" i="1"/>
  <c r="AB361" i="1"/>
  <c r="Z361" i="1"/>
  <c r="S361" i="1"/>
  <c r="N361" i="1"/>
  <c r="M361" i="1"/>
  <c r="L361" i="1"/>
  <c r="K361" i="1"/>
  <c r="J361" i="1"/>
  <c r="H361" i="1"/>
  <c r="D361" i="1"/>
  <c r="F361" i="1"/>
  <c r="E361" i="1"/>
  <c r="AB360" i="1"/>
  <c r="Z360" i="1"/>
  <c r="S360" i="1"/>
  <c r="N360" i="1"/>
  <c r="M360" i="1"/>
  <c r="L360" i="1"/>
  <c r="K360" i="1"/>
  <c r="J360" i="1"/>
  <c r="H360" i="1"/>
  <c r="D360" i="1"/>
  <c r="F360" i="1"/>
  <c r="E360" i="1"/>
  <c r="AB359" i="1"/>
  <c r="Z359" i="1"/>
  <c r="S359" i="1"/>
  <c r="N359" i="1"/>
  <c r="M359" i="1"/>
  <c r="L359" i="1"/>
  <c r="K359" i="1"/>
  <c r="J359" i="1"/>
  <c r="H359" i="1"/>
  <c r="D359" i="1"/>
  <c r="F359" i="1"/>
  <c r="E359" i="1"/>
  <c r="AB358" i="1"/>
  <c r="Z358" i="1"/>
  <c r="S358" i="1"/>
  <c r="N358" i="1"/>
  <c r="M358" i="1"/>
  <c r="L358" i="1"/>
  <c r="K358" i="1"/>
  <c r="J358" i="1"/>
  <c r="H358" i="1"/>
  <c r="D358" i="1"/>
  <c r="F358" i="1"/>
  <c r="E358" i="1"/>
  <c r="AB357" i="1"/>
  <c r="Z357" i="1"/>
  <c r="S357" i="1"/>
  <c r="N357" i="1"/>
  <c r="M357" i="1"/>
  <c r="L357" i="1"/>
  <c r="K357" i="1"/>
  <c r="J357" i="1"/>
  <c r="H357" i="1"/>
  <c r="D357" i="1"/>
  <c r="F357" i="1"/>
  <c r="E357" i="1"/>
  <c r="AB356" i="1"/>
  <c r="Z356" i="1"/>
  <c r="S356" i="1"/>
  <c r="N356" i="1"/>
  <c r="M356" i="1"/>
  <c r="L356" i="1"/>
  <c r="K356" i="1"/>
  <c r="J356" i="1"/>
  <c r="H356" i="1"/>
  <c r="D356" i="1"/>
  <c r="F356" i="1"/>
  <c r="AD355" i="1"/>
  <c r="S355" i="1"/>
  <c r="H355" i="1"/>
  <c r="D355" i="1"/>
  <c r="F355" i="1"/>
  <c r="A355" i="1"/>
  <c r="AD354" i="1"/>
  <c r="S354" i="1"/>
  <c r="H354" i="1"/>
  <c r="D354" i="1"/>
  <c r="F354" i="1"/>
  <c r="A354" i="1"/>
  <c r="AD353" i="1"/>
  <c r="S353" i="1"/>
  <c r="H353" i="1"/>
  <c r="D353" i="1"/>
  <c r="F353" i="1"/>
  <c r="A353" i="1"/>
  <c r="AD352" i="1"/>
  <c r="S352" i="1"/>
  <c r="H352" i="1"/>
  <c r="D352" i="1"/>
  <c r="F352" i="1"/>
  <c r="A352" i="1"/>
  <c r="AB351" i="1"/>
  <c r="Z351" i="1"/>
  <c r="S351" i="1"/>
  <c r="N351" i="1"/>
  <c r="M351" i="1"/>
  <c r="L351" i="1"/>
  <c r="K351" i="1"/>
  <c r="J351" i="1"/>
  <c r="H351" i="1"/>
  <c r="D351" i="1"/>
  <c r="F351" i="1"/>
  <c r="AB350" i="1"/>
  <c r="Z350" i="1"/>
  <c r="S350" i="1"/>
  <c r="N350" i="1"/>
  <c r="M350" i="1"/>
  <c r="L350" i="1"/>
  <c r="K350" i="1"/>
  <c r="J350" i="1"/>
  <c r="H350" i="1"/>
  <c r="D350" i="1"/>
  <c r="F350" i="1"/>
  <c r="AB349" i="1"/>
  <c r="Z349" i="1"/>
  <c r="S349" i="1"/>
  <c r="N349" i="1"/>
  <c r="M349" i="1"/>
  <c r="L349" i="1"/>
  <c r="K349" i="1"/>
  <c r="J349" i="1"/>
  <c r="H349" i="1"/>
  <c r="D349" i="1"/>
  <c r="F349" i="1"/>
  <c r="AB348" i="1"/>
  <c r="Z348" i="1"/>
  <c r="S348" i="1"/>
  <c r="N348" i="1"/>
  <c r="M348" i="1"/>
  <c r="L348" i="1"/>
  <c r="K348" i="1"/>
  <c r="J348" i="1"/>
  <c r="H348" i="1"/>
  <c r="D348" i="1"/>
  <c r="F348" i="1"/>
  <c r="A348" i="1"/>
  <c r="AB347" i="1"/>
  <c r="Z347" i="1"/>
  <c r="S347" i="1"/>
  <c r="N347" i="1"/>
  <c r="M347" i="1"/>
  <c r="L347" i="1"/>
  <c r="K347" i="1"/>
  <c r="J347" i="1"/>
  <c r="H347" i="1"/>
  <c r="D347" i="1"/>
  <c r="F347" i="1"/>
  <c r="AD346" i="1"/>
  <c r="S346" i="1"/>
  <c r="H346" i="1"/>
  <c r="D346" i="1"/>
  <c r="F346" i="1"/>
  <c r="A346" i="1"/>
  <c r="AD345" i="1"/>
  <c r="S345" i="1"/>
  <c r="H345" i="1"/>
  <c r="D345" i="1"/>
  <c r="F345" i="1"/>
  <c r="A345" i="1"/>
  <c r="AD344" i="1"/>
  <c r="S344" i="1"/>
  <c r="H344" i="1"/>
  <c r="D344" i="1"/>
  <c r="F344" i="1"/>
  <c r="A344" i="1"/>
  <c r="AD343" i="1"/>
  <c r="S343" i="1"/>
  <c r="H343" i="1"/>
  <c r="D343" i="1"/>
  <c r="F343" i="1"/>
  <c r="A343" i="1"/>
  <c r="AB342" i="1"/>
  <c r="Z342" i="1"/>
  <c r="S342" i="1"/>
  <c r="N342" i="1"/>
  <c r="M342" i="1"/>
  <c r="L342" i="1"/>
  <c r="K342" i="1"/>
  <c r="J342" i="1"/>
  <c r="H342" i="1"/>
  <c r="D342" i="1"/>
  <c r="F342" i="1"/>
  <c r="AB341" i="1"/>
  <c r="Z341" i="1"/>
  <c r="S341" i="1"/>
  <c r="N341" i="1"/>
  <c r="M341" i="1"/>
  <c r="L341" i="1"/>
  <c r="K341" i="1"/>
  <c r="J341" i="1"/>
  <c r="H341" i="1"/>
  <c r="D341" i="1"/>
  <c r="F341" i="1"/>
  <c r="AD340" i="1"/>
  <c r="S340" i="1"/>
  <c r="H340" i="1"/>
  <c r="D340" i="1"/>
  <c r="F340" i="1"/>
  <c r="A340" i="1"/>
  <c r="AD339" i="1"/>
  <c r="S339" i="1"/>
  <c r="H339" i="1"/>
  <c r="D339" i="1"/>
  <c r="F339" i="1"/>
  <c r="A339" i="1"/>
  <c r="AD338" i="1"/>
  <c r="S338" i="1"/>
  <c r="H338" i="1"/>
  <c r="D338" i="1"/>
  <c r="F338" i="1"/>
  <c r="A338" i="1"/>
  <c r="AD337" i="1"/>
  <c r="S337" i="1"/>
  <c r="H337" i="1"/>
  <c r="D337" i="1"/>
  <c r="F337" i="1"/>
  <c r="A337" i="1"/>
  <c r="AB336" i="1"/>
  <c r="Z336" i="1"/>
  <c r="S336" i="1"/>
  <c r="N336" i="1"/>
  <c r="M336" i="1"/>
  <c r="L336" i="1"/>
  <c r="K336" i="1"/>
  <c r="J336" i="1"/>
  <c r="H336" i="1"/>
  <c r="D336" i="1"/>
  <c r="F336" i="1"/>
  <c r="AB335" i="1"/>
  <c r="Z335" i="1"/>
  <c r="S335" i="1"/>
  <c r="N335" i="1"/>
  <c r="M335" i="1"/>
  <c r="L335" i="1"/>
  <c r="K335" i="1"/>
  <c r="J335" i="1"/>
  <c r="H335" i="1"/>
  <c r="D335" i="1"/>
  <c r="F335" i="1"/>
  <c r="AB334" i="1"/>
  <c r="Z334" i="1"/>
  <c r="S334" i="1"/>
  <c r="N334" i="1"/>
  <c r="M334" i="1"/>
  <c r="L334" i="1"/>
  <c r="K334" i="1"/>
  <c r="J334" i="1"/>
  <c r="H334" i="1"/>
  <c r="D334" i="1"/>
  <c r="F334" i="1"/>
  <c r="AB333" i="1"/>
  <c r="Z333" i="1"/>
  <c r="S333" i="1"/>
  <c r="N333" i="1"/>
  <c r="M333" i="1"/>
  <c r="L333" i="1"/>
  <c r="K333" i="1"/>
  <c r="J333" i="1"/>
  <c r="H333" i="1"/>
  <c r="D333" i="1"/>
  <c r="F333" i="1"/>
  <c r="AB332" i="1"/>
  <c r="Z332" i="1"/>
  <c r="S332" i="1"/>
  <c r="N332" i="1"/>
  <c r="M332" i="1"/>
  <c r="L332" i="1"/>
  <c r="K332" i="1"/>
  <c r="J332" i="1"/>
  <c r="H332" i="1"/>
  <c r="D332" i="1"/>
  <c r="F332" i="1"/>
  <c r="E332" i="1"/>
  <c r="AB331" i="1"/>
  <c r="Z331" i="1"/>
  <c r="S331" i="1"/>
  <c r="N331" i="1"/>
  <c r="M331" i="1"/>
  <c r="L331" i="1"/>
  <c r="K331" i="1"/>
  <c r="J331" i="1"/>
  <c r="H331" i="1"/>
  <c r="D331" i="1"/>
  <c r="F331" i="1"/>
  <c r="E331" i="1"/>
  <c r="AB330" i="1"/>
  <c r="Z330" i="1"/>
  <c r="S330" i="1"/>
  <c r="N330" i="1"/>
  <c r="M330" i="1"/>
  <c r="L330" i="1"/>
  <c r="K330" i="1"/>
  <c r="J330" i="1"/>
  <c r="H330" i="1"/>
  <c r="D330" i="1"/>
  <c r="F330" i="1"/>
  <c r="E330" i="1"/>
  <c r="AB329" i="1"/>
  <c r="Z329" i="1"/>
  <c r="S329" i="1"/>
  <c r="N329" i="1"/>
  <c r="M329" i="1"/>
  <c r="L329" i="1"/>
  <c r="K329" i="1"/>
  <c r="J329" i="1"/>
  <c r="H329" i="1"/>
  <c r="D329" i="1"/>
  <c r="F329" i="1"/>
  <c r="E329" i="1"/>
  <c r="AB328" i="1"/>
  <c r="Z328" i="1"/>
  <c r="S328" i="1"/>
  <c r="N328" i="1"/>
  <c r="M328" i="1"/>
  <c r="L328" i="1"/>
  <c r="K328" i="1"/>
  <c r="J328" i="1"/>
  <c r="H328" i="1"/>
  <c r="D328" i="1"/>
  <c r="F328" i="1"/>
  <c r="E328" i="1"/>
  <c r="AB327" i="1"/>
  <c r="Z327" i="1"/>
  <c r="S327" i="1"/>
  <c r="N327" i="1"/>
  <c r="M327" i="1"/>
  <c r="L327" i="1"/>
  <c r="K327" i="1"/>
  <c r="J327" i="1"/>
  <c r="H327" i="1"/>
  <c r="D327" i="1"/>
  <c r="F327" i="1"/>
  <c r="E327" i="1"/>
  <c r="AB326" i="1"/>
  <c r="Z326" i="1"/>
  <c r="S326" i="1"/>
  <c r="N326" i="1"/>
  <c r="M326" i="1"/>
  <c r="L326" i="1"/>
  <c r="K326" i="1"/>
  <c r="J326" i="1"/>
  <c r="H326" i="1"/>
  <c r="D326" i="1"/>
  <c r="F326" i="1"/>
  <c r="E326" i="1"/>
  <c r="AB325" i="1"/>
  <c r="Z325" i="1"/>
  <c r="S325" i="1"/>
  <c r="N325" i="1"/>
  <c r="M325" i="1"/>
  <c r="L325" i="1"/>
  <c r="K325" i="1"/>
  <c r="J325" i="1"/>
  <c r="H325" i="1"/>
  <c r="D325" i="1"/>
  <c r="F325" i="1"/>
  <c r="E325" i="1"/>
  <c r="AB324" i="1"/>
  <c r="Z324" i="1"/>
  <c r="S324" i="1"/>
  <c r="N324" i="1"/>
  <c r="M324" i="1"/>
  <c r="L324" i="1"/>
  <c r="K324" i="1"/>
  <c r="J324" i="1"/>
  <c r="H324" i="1"/>
  <c r="D324" i="1"/>
  <c r="F324" i="1"/>
  <c r="E324" i="1"/>
  <c r="AB323" i="1"/>
  <c r="Z323" i="1"/>
  <c r="S323" i="1"/>
  <c r="N323" i="1"/>
  <c r="M323" i="1"/>
  <c r="L323" i="1"/>
  <c r="K323" i="1"/>
  <c r="J323" i="1"/>
  <c r="H323" i="1"/>
  <c r="D323" i="1"/>
  <c r="F323" i="1"/>
  <c r="E323" i="1"/>
  <c r="AB322" i="1"/>
  <c r="Z322" i="1"/>
  <c r="S322" i="1"/>
  <c r="N322" i="1"/>
  <c r="M322" i="1"/>
  <c r="L322" i="1"/>
  <c r="K322" i="1"/>
  <c r="J322" i="1"/>
  <c r="H322" i="1"/>
  <c r="D322" i="1"/>
  <c r="F322" i="1"/>
  <c r="E322" i="1"/>
  <c r="AB321" i="1"/>
  <c r="Z321" i="1"/>
  <c r="S321" i="1"/>
  <c r="N321" i="1"/>
  <c r="M321" i="1"/>
  <c r="L321" i="1"/>
  <c r="K321" i="1"/>
  <c r="J321" i="1"/>
  <c r="H321" i="1"/>
  <c r="D321" i="1"/>
  <c r="F321" i="1"/>
  <c r="E321" i="1"/>
  <c r="AB320" i="1"/>
  <c r="Z320" i="1"/>
  <c r="S320" i="1"/>
  <c r="N320" i="1"/>
  <c r="M320" i="1"/>
  <c r="L320" i="1"/>
  <c r="K320" i="1"/>
  <c r="J320" i="1"/>
  <c r="H320" i="1"/>
  <c r="D320" i="1"/>
  <c r="F320" i="1"/>
  <c r="E320" i="1"/>
  <c r="AB319" i="1"/>
  <c r="Z319" i="1"/>
  <c r="S319" i="1"/>
  <c r="N319" i="1"/>
  <c r="M319" i="1"/>
  <c r="L319" i="1"/>
  <c r="K319" i="1"/>
  <c r="J319" i="1"/>
  <c r="H319" i="1"/>
  <c r="D319" i="1"/>
  <c r="F319" i="1"/>
  <c r="E319" i="1"/>
  <c r="AB318" i="1"/>
  <c r="Z318" i="1"/>
  <c r="S318" i="1"/>
  <c r="N318" i="1"/>
  <c r="M318" i="1"/>
  <c r="L318" i="1"/>
  <c r="K318" i="1"/>
  <c r="J318" i="1"/>
  <c r="H318" i="1"/>
  <c r="D318" i="1"/>
  <c r="F318" i="1"/>
  <c r="E318" i="1"/>
  <c r="AB317" i="1"/>
  <c r="Z317" i="1"/>
  <c r="S317" i="1"/>
  <c r="N317" i="1"/>
  <c r="M317" i="1"/>
  <c r="L317" i="1"/>
  <c r="K317" i="1"/>
  <c r="J317" i="1"/>
  <c r="H317" i="1"/>
  <c r="D317" i="1"/>
  <c r="F317" i="1"/>
  <c r="E317" i="1"/>
  <c r="AB316" i="1"/>
  <c r="Z316" i="1"/>
  <c r="S316" i="1"/>
  <c r="N316" i="1"/>
  <c r="M316" i="1"/>
  <c r="L316" i="1"/>
  <c r="K316" i="1"/>
  <c r="J316" i="1"/>
  <c r="H316" i="1"/>
  <c r="D316" i="1"/>
  <c r="F316" i="1"/>
  <c r="E316" i="1"/>
  <c r="AB315" i="1"/>
  <c r="Z315" i="1"/>
  <c r="S315" i="1"/>
  <c r="N315" i="1"/>
  <c r="M315" i="1"/>
  <c r="L315" i="1"/>
  <c r="K315" i="1"/>
  <c r="J315" i="1"/>
  <c r="H315" i="1"/>
  <c r="D315" i="1"/>
  <c r="F315" i="1"/>
  <c r="E315" i="1"/>
  <c r="AB314" i="1"/>
  <c r="Z314" i="1"/>
  <c r="S314" i="1"/>
  <c r="N314" i="1"/>
  <c r="M314" i="1"/>
  <c r="L314" i="1"/>
  <c r="K314" i="1"/>
  <c r="J314" i="1"/>
  <c r="H314" i="1"/>
  <c r="D314" i="1"/>
  <c r="F314" i="1"/>
  <c r="E314" i="1"/>
  <c r="AB313" i="1"/>
  <c r="Z313" i="1"/>
  <c r="S313" i="1"/>
  <c r="N313" i="1"/>
  <c r="M313" i="1"/>
  <c r="L313" i="1"/>
  <c r="K313" i="1"/>
  <c r="J313" i="1"/>
  <c r="H313" i="1"/>
  <c r="D313" i="1"/>
  <c r="F313" i="1"/>
  <c r="E313" i="1"/>
  <c r="AB312" i="1"/>
  <c r="Z312" i="1"/>
  <c r="S312" i="1"/>
  <c r="N312" i="1"/>
  <c r="M312" i="1"/>
  <c r="L312" i="1"/>
  <c r="K312" i="1"/>
  <c r="J312" i="1"/>
  <c r="H312" i="1"/>
  <c r="D312" i="1"/>
  <c r="F312" i="1"/>
  <c r="E312" i="1"/>
  <c r="AB311" i="1"/>
  <c r="Z311" i="1"/>
  <c r="S311" i="1"/>
  <c r="N311" i="1"/>
  <c r="M311" i="1"/>
  <c r="L311" i="1"/>
  <c r="K311" i="1"/>
  <c r="J311" i="1"/>
  <c r="H311" i="1"/>
  <c r="D311" i="1"/>
  <c r="F311" i="1"/>
  <c r="E311" i="1"/>
  <c r="AB310" i="1"/>
  <c r="Z310" i="1"/>
  <c r="S310" i="1"/>
  <c r="N310" i="1"/>
  <c r="M310" i="1"/>
  <c r="L310" i="1"/>
  <c r="K310" i="1"/>
  <c r="J310" i="1"/>
  <c r="H310" i="1"/>
  <c r="D310" i="1"/>
  <c r="F310" i="1"/>
  <c r="E310" i="1"/>
  <c r="AB309" i="1"/>
  <c r="Z309" i="1"/>
  <c r="S309" i="1"/>
  <c r="N309" i="1"/>
  <c r="M309" i="1"/>
  <c r="L309" i="1"/>
  <c r="K309" i="1"/>
  <c r="J309" i="1"/>
  <c r="H309" i="1"/>
  <c r="D309" i="1"/>
  <c r="F309" i="1"/>
  <c r="E309" i="1"/>
  <c r="AB308" i="1"/>
  <c r="Z308" i="1"/>
  <c r="S308" i="1"/>
  <c r="N308" i="1"/>
  <c r="M308" i="1"/>
  <c r="L308" i="1"/>
  <c r="K308" i="1"/>
  <c r="J308" i="1"/>
  <c r="H308" i="1"/>
  <c r="D308" i="1"/>
  <c r="F308" i="1"/>
  <c r="E308" i="1"/>
  <c r="AB307" i="1"/>
  <c r="Z307" i="1"/>
  <c r="S307" i="1"/>
  <c r="N307" i="1"/>
  <c r="M307" i="1"/>
  <c r="L307" i="1"/>
  <c r="K307" i="1"/>
  <c r="J307" i="1"/>
  <c r="H307" i="1"/>
  <c r="D307" i="1"/>
  <c r="F307" i="1"/>
  <c r="E307" i="1"/>
  <c r="A306" i="1"/>
  <c r="A231" i="1"/>
  <c r="A262" i="1"/>
  <c r="A263" i="1"/>
  <c r="A264" i="1"/>
  <c r="A265" i="1"/>
  <c r="A268" i="1"/>
  <c r="A269" i="1"/>
  <c r="A270" i="1"/>
  <c r="A271" i="1"/>
  <c r="A273" i="1"/>
  <c r="A277" i="1"/>
  <c r="A278" i="1"/>
  <c r="A279" i="1"/>
  <c r="A280" i="1"/>
  <c r="A301" i="1"/>
  <c r="D224" i="1"/>
  <c r="E224" i="1"/>
  <c r="F224" i="1"/>
  <c r="H224" i="1"/>
  <c r="J224" i="1"/>
  <c r="K224" i="1"/>
  <c r="L224" i="1"/>
  <c r="M224" i="1"/>
  <c r="N224" i="1"/>
  <c r="S224" i="1"/>
  <c r="Z224" i="1"/>
  <c r="AB224" i="1"/>
  <c r="D225" i="1"/>
  <c r="E225" i="1"/>
  <c r="F225" i="1"/>
  <c r="H225" i="1"/>
  <c r="J225" i="1"/>
  <c r="K225" i="1"/>
  <c r="L225" i="1"/>
  <c r="M225" i="1"/>
  <c r="N225" i="1"/>
  <c r="S225" i="1"/>
  <c r="Z225" i="1"/>
  <c r="AB225" i="1"/>
  <c r="A3" i="6"/>
  <c r="I3" i="6"/>
  <c r="H3" i="6"/>
  <c r="G3" i="6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T2" i="1"/>
  <c r="S2" i="1"/>
  <c r="D306" i="1"/>
  <c r="F306" i="1"/>
  <c r="D305" i="1"/>
  <c r="F305" i="1"/>
  <c r="D304" i="1"/>
  <c r="F304" i="1"/>
  <c r="D303" i="1"/>
  <c r="F303" i="1"/>
  <c r="D302" i="1"/>
  <c r="F302" i="1"/>
  <c r="D301" i="1"/>
  <c r="F301" i="1"/>
  <c r="D300" i="1"/>
  <c r="F300" i="1"/>
  <c r="D299" i="1"/>
  <c r="F299" i="1"/>
  <c r="D298" i="1"/>
  <c r="F298" i="1"/>
  <c r="D297" i="1"/>
  <c r="F297" i="1"/>
  <c r="D296" i="1"/>
  <c r="F296" i="1"/>
  <c r="D295" i="1"/>
  <c r="F295" i="1"/>
  <c r="D294" i="1"/>
  <c r="F294" i="1"/>
  <c r="D293" i="1"/>
  <c r="F293" i="1"/>
  <c r="D292" i="1"/>
  <c r="F292" i="1"/>
  <c r="D291" i="1"/>
  <c r="F291" i="1"/>
  <c r="D290" i="1"/>
  <c r="F290" i="1"/>
  <c r="D289" i="1"/>
  <c r="F289" i="1"/>
  <c r="D288" i="1"/>
  <c r="F288" i="1"/>
  <c r="D287" i="1"/>
  <c r="F287" i="1"/>
  <c r="D286" i="1"/>
  <c r="F286" i="1"/>
  <c r="D285" i="1"/>
  <c r="F285" i="1"/>
  <c r="D284" i="1"/>
  <c r="F284" i="1"/>
  <c r="D283" i="1"/>
  <c r="F283" i="1"/>
  <c r="D282" i="1"/>
  <c r="F282" i="1"/>
  <c r="D281" i="1"/>
  <c r="F281" i="1"/>
  <c r="D280" i="1"/>
  <c r="F280" i="1"/>
  <c r="D279" i="1"/>
  <c r="F279" i="1"/>
  <c r="D278" i="1"/>
  <c r="F278" i="1"/>
  <c r="D277" i="1"/>
  <c r="F277" i="1"/>
  <c r="D276" i="1"/>
  <c r="F276" i="1"/>
  <c r="D275" i="1"/>
  <c r="F275" i="1"/>
  <c r="D274" i="1"/>
  <c r="F274" i="1"/>
  <c r="D273" i="1"/>
  <c r="F273" i="1"/>
  <c r="D272" i="1"/>
  <c r="F272" i="1"/>
  <c r="D271" i="1"/>
  <c r="F271" i="1"/>
  <c r="D270" i="1"/>
  <c r="F270" i="1"/>
  <c r="D269" i="1"/>
  <c r="F269" i="1"/>
  <c r="D268" i="1"/>
  <c r="F268" i="1"/>
  <c r="D267" i="1"/>
  <c r="F267" i="1"/>
  <c r="D266" i="1"/>
  <c r="F266" i="1"/>
  <c r="D265" i="1"/>
  <c r="F265" i="1"/>
  <c r="D264" i="1"/>
  <c r="F264" i="1"/>
  <c r="D263" i="1"/>
  <c r="F263" i="1"/>
  <c r="D262" i="1"/>
  <c r="F262" i="1"/>
  <c r="D261" i="1"/>
  <c r="F261" i="1"/>
  <c r="D260" i="1"/>
  <c r="F260" i="1"/>
  <c r="D259" i="1"/>
  <c r="F259" i="1"/>
  <c r="D258" i="1"/>
  <c r="F258" i="1"/>
  <c r="D257" i="1"/>
  <c r="F257" i="1"/>
  <c r="D256" i="1"/>
  <c r="F256" i="1"/>
  <c r="D255" i="1"/>
  <c r="F255" i="1"/>
  <c r="D254" i="1"/>
  <c r="F254" i="1"/>
  <c r="D253" i="1"/>
  <c r="F253" i="1"/>
  <c r="D252" i="1"/>
  <c r="F252" i="1"/>
  <c r="D251" i="1"/>
  <c r="F251" i="1"/>
  <c r="D250" i="1"/>
  <c r="F250" i="1"/>
  <c r="D249" i="1"/>
  <c r="F249" i="1"/>
  <c r="D248" i="1"/>
  <c r="F248" i="1"/>
  <c r="D247" i="1"/>
  <c r="F247" i="1"/>
  <c r="D246" i="1"/>
  <c r="F246" i="1"/>
  <c r="D245" i="1"/>
  <c r="F245" i="1"/>
  <c r="D244" i="1"/>
  <c r="F244" i="1"/>
  <c r="D243" i="1"/>
  <c r="F243" i="1"/>
  <c r="D242" i="1"/>
  <c r="F242" i="1"/>
  <c r="D241" i="1"/>
  <c r="F241" i="1"/>
  <c r="D240" i="1"/>
  <c r="F240" i="1"/>
  <c r="D239" i="1"/>
  <c r="F239" i="1"/>
  <c r="D238" i="1"/>
  <c r="F238" i="1"/>
  <c r="D237" i="1"/>
  <c r="F237" i="1"/>
  <c r="D236" i="1"/>
  <c r="F236" i="1"/>
  <c r="D235" i="1"/>
  <c r="F235" i="1"/>
  <c r="D234" i="1"/>
  <c r="F234" i="1"/>
  <c r="D233" i="1"/>
  <c r="F233" i="1"/>
  <c r="D232" i="1"/>
  <c r="F232" i="1"/>
  <c r="D231" i="1"/>
  <c r="F231" i="1"/>
  <c r="D230" i="1"/>
  <c r="F230" i="1"/>
  <c r="D229" i="1"/>
  <c r="F229" i="1"/>
  <c r="D228" i="1"/>
  <c r="F228" i="1"/>
  <c r="D227" i="1"/>
  <c r="F227" i="1"/>
  <c r="D226" i="1"/>
  <c r="F226" i="1"/>
  <c r="D223" i="1"/>
  <c r="F223" i="1"/>
  <c r="D222" i="1"/>
  <c r="F222" i="1"/>
  <c r="D221" i="1"/>
  <c r="F221" i="1"/>
  <c r="D220" i="1"/>
  <c r="F220" i="1"/>
  <c r="D219" i="1"/>
  <c r="F219" i="1"/>
  <c r="D218" i="1"/>
  <c r="F218" i="1"/>
  <c r="D217" i="1"/>
  <c r="F217" i="1"/>
  <c r="D216" i="1"/>
  <c r="F216" i="1"/>
  <c r="D215" i="1"/>
  <c r="F215" i="1"/>
  <c r="D214" i="1"/>
  <c r="F214" i="1"/>
  <c r="D213" i="1"/>
  <c r="F213" i="1"/>
  <c r="D212" i="1"/>
  <c r="F212" i="1"/>
  <c r="D211" i="1"/>
  <c r="F211" i="1"/>
  <c r="D210" i="1"/>
  <c r="F210" i="1"/>
  <c r="D209" i="1"/>
  <c r="F209" i="1"/>
  <c r="D208" i="1"/>
  <c r="F208" i="1"/>
  <c r="D207" i="1"/>
  <c r="F207" i="1"/>
  <c r="D206" i="1"/>
  <c r="F206" i="1"/>
  <c r="D205" i="1"/>
  <c r="F205" i="1"/>
  <c r="D204" i="1"/>
  <c r="F204" i="1"/>
  <c r="D203" i="1"/>
  <c r="F203" i="1"/>
  <c r="D202" i="1"/>
  <c r="F202" i="1"/>
  <c r="D201" i="1"/>
  <c r="F201" i="1"/>
  <c r="D200" i="1"/>
  <c r="F200" i="1"/>
  <c r="D199" i="1"/>
  <c r="F199" i="1"/>
  <c r="D198" i="1"/>
  <c r="F198" i="1"/>
  <c r="D197" i="1"/>
  <c r="F197" i="1"/>
  <c r="D196" i="1"/>
  <c r="F196" i="1"/>
  <c r="D195" i="1"/>
  <c r="F195" i="1"/>
  <c r="D194" i="1"/>
  <c r="F194" i="1"/>
  <c r="D193" i="1"/>
  <c r="F193" i="1"/>
  <c r="D192" i="1"/>
  <c r="F192" i="1"/>
  <c r="D191" i="1"/>
  <c r="F191" i="1"/>
  <c r="D190" i="1"/>
  <c r="F190" i="1"/>
  <c r="D189" i="1"/>
  <c r="F189" i="1"/>
  <c r="D188" i="1"/>
  <c r="F188" i="1"/>
  <c r="D187" i="1"/>
  <c r="F187" i="1"/>
  <c r="D186" i="1"/>
  <c r="F186" i="1"/>
  <c r="D185" i="1"/>
  <c r="F185" i="1"/>
  <c r="D184" i="1"/>
  <c r="F184" i="1"/>
  <c r="D183" i="1"/>
  <c r="F183" i="1"/>
  <c r="D182" i="1"/>
  <c r="F182" i="1"/>
  <c r="D181" i="1"/>
  <c r="F181" i="1"/>
  <c r="D180" i="1"/>
  <c r="F180" i="1"/>
  <c r="D179" i="1"/>
  <c r="F179" i="1"/>
  <c r="D178" i="1"/>
  <c r="F178" i="1"/>
  <c r="D177" i="1"/>
  <c r="F177" i="1"/>
  <c r="D176" i="1"/>
  <c r="F176" i="1"/>
  <c r="D175" i="1"/>
  <c r="F175" i="1"/>
  <c r="D174" i="1"/>
  <c r="F174" i="1"/>
  <c r="D173" i="1"/>
  <c r="F173" i="1"/>
  <c r="D172" i="1"/>
  <c r="F172" i="1"/>
  <c r="D171" i="1"/>
  <c r="F171" i="1"/>
  <c r="D170" i="1"/>
  <c r="F170" i="1"/>
  <c r="D169" i="1"/>
  <c r="F169" i="1"/>
  <c r="D168" i="1"/>
  <c r="F168" i="1"/>
  <c r="D167" i="1"/>
  <c r="F167" i="1"/>
  <c r="D166" i="1"/>
  <c r="F166" i="1"/>
  <c r="D165" i="1"/>
  <c r="F165" i="1"/>
  <c r="D164" i="1"/>
  <c r="F164" i="1"/>
  <c r="D163" i="1"/>
  <c r="F163" i="1"/>
  <c r="D162" i="1"/>
  <c r="F162" i="1"/>
  <c r="D161" i="1"/>
  <c r="F161" i="1"/>
  <c r="D160" i="1"/>
  <c r="F160" i="1"/>
  <c r="D159" i="1"/>
  <c r="F159" i="1"/>
  <c r="D158" i="1"/>
  <c r="F158" i="1"/>
  <c r="D157" i="1"/>
  <c r="F157" i="1"/>
  <c r="D156" i="1"/>
  <c r="F156" i="1"/>
  <c r="D155" i="1"/>
  <c r="F155" i="1"/>
  <c r="D154" i="1"/>
  <c r="F154" i="1"/>
  <c r="D153" i="1"/>
  <c r="F153" i="1"/>
  <c r="D152" i="1"/>
  <c r="F152" i="1"/>
  <c r="D151" i="1"/>
  <c r="F151" i="1"/>
  <c r="D150" i="1"/>
  <c r="F150" i="1"/>
  <c r="D149" i="1"/>
  <c r="F149" i="1"/>
  <c r="D148" i="1"/>
  <c r="F148" i="1"/>
  <c r="D147" i="1"/>
  <c r="F147" i="1"/>
  <c r="D146" i="1"/>
  <c r="F146" i="1"/>
  <c r="D145" i="1"/>
  <c r="F145" i="1"/>
  <c r="D144" i="1"/>
  <c r="F144" i="1"/>
  <c r="D143" i="1"/>
  <c r="F143" i="1"/>
  <c r="D142" i="1"/>
  <c r="F142" i="1"/>
  <c r="D141" i="1"/>
  <c r="F141" i="1"/>
  <c r="D140" i="1"/>
  <c r="F140" i="1"/>
  <c r="D139" i="1"/>
  <c r="F139" i="1"/>
  <c r="D138" i="1"/>
  <c r="F138" i="1"/>
  <c r="D137" i="1"/>
  <c r="F137" i="1"/>
  <c r="D136" i="1"/>
  <c r="F136" i="1"/>
  <c r="D135" i="1"/>
  <c r="F135" i="1"/>
  <c r="D134" i="1"/>
  <c r="F134" i="1"/>
  <c r="D133" i="1"/>
  <c r="F133" i="1"/>
  <c r="D132" i="1"/>
  <c r="F132" i="1"/>
  <c r="D131" i="1"/>
  <c r="F131" i="1"/>
  <c r="D130" i="1"/>
  <c r="F130" i="1"/>
  <c r="D129" i="1"/>
  <c r="F129" i="1"/>
  <c r="D128" i="1"/>
  <c r="F128" i="1"/>
  <c r="D127" i="1"/>
  <c r="F127" i="1"/>
  <c r="D126" i="1"/>
  <c r="F126" i="1"/>
  <c r="D125" i="1"/>
  <c r="F125" i="1"/>
  <c r="D124" i="1"/>
  <c r="F124" i="1"/>
  <c r="D123" i="1"/>
  <c r="F123" i="1"/>
  <c r="D122" i="1"/>
  <c r="F122" i="1"/>
  <c r="D121" i="1"/>
  <c r="F121" i="1"/>
  <c r="D120" i="1"/>
  <c r="F120" i="1"/>
  <c r="D119" i="1"/>
  <c r="F119" i="1"/>
  <c r="D118" i="1"/>
  <c r="F118" i="1"/>
  <c r="D117" i="1"/>
  <c r="F117" i="1"/>
  <c r="D116" i="1"/>
  <c r="F116" i="1"/>
  <c r="D115" i="1"/>
  <c r="F115" i="1"/>
  <c r="D114" i="1"/>
  <c r="F114" i="1"/>
  <c r="D113" i="1"/>
  <c r="F113" i="1"/>
  <c r="D112" i="1"/>
  <c r="F112" i="1"/>
  <c r="D111" i="1"/>
  <c r="F111" i="1"/>
  <c r="D110" i="1"/>
  <c r="F110" i="1"/>
  <c r="D109" i="1"/>
  <c r="F109" i="1"/>
  <c r="D108" i="1"/>
  <c r="F108" i="1"/>
  <c r="D107" i="1"/>
  <c r="F107" i="1"/>
  <c r="D106" i="1"/>
  <c r="F106" i="1"/>
  <c r="D105" i="1"/>
  <c r="F105" i="1"/>
  <c r="D104" i="1"/>
  <c r="F104" i="1"/>
  <c r="D103" i="1"/>
  <c r="F103" i="1"/>
  <c r="D102" i="1"/>
  <c r="F102" i="1"/>
  <c r="D101" i="1"/>
  <c r="F101" i="1"/>
  <c r="D100" i="1"/>
  <c r="F100" i="1"/>
  <c r="D99" i="1"/>
  <c r="F99" i="1"/>
  <c r="D98" i="1"/>
  <c r="F98" i="1"/>
  <c r="D97" i="1"/>
  <c r="F97" i="1"/>
  <c r="D96" i="1"/>
  <c r="F96" i="1"/>
  <c r="D95" i="1"/>
  <c r="F95" i="1"/>
  <c r="D94" i="1"/>
  <c r="F94" i="1"/>
  <c r="D93" i="1"/>
  <c r="F93" i="1"/>
  <c r="D92" i="1"/>
  <c r="F92" i="1"/>
  <c r="D91" i="1"/>
  <c r="F91" i="1"/>
  <c r="D90" i="1"/>
  <c r="F90" i="1"/>
  <c r="D89" i="1"/>
  <c r="F89" i="1"/>
  <c r="D88" i="1"/>
  <c r="F88" i="1"/>
  <c r="D87" i="1"/>
  <c r="F87" i="1"/>
  <c r="D86" i="1"/>
  <c r="F86" i="1"/>
  <c r="D85" i="1"/>
  <c r="F85" i="1"/>
  <c r="D84" i="1"/>
  <c r="F84" i="1"/>
  <c r="D83" i="1"/>
  <c r="F83" i="1"/>
  <c r="D82" i="1"/>
  <c r="F82" i="1"/>
  <c r="D81" i="1"/>
  <c r="F81" i="1"/>
  <c r="D80" i="1"/>
  <c r="F80" i="1"/>
  <c r="D79" i="1"/>
  <c r="F79" i="1"/>
  <c r="D78" i="1"/>
  <c r="F78" i="1"/>
  <c r="D77" i="1"/>
  <c r="F77" i="1"/>
  <c r="D76" i="1"/>
  <c r="F76" i="1"/>
  <c r="D75" i="1"/>
  <c r="F75" i="1"/>
  <c r="D74" i="1"/>
  <c r="F74" i="1"/>
  <c r="D73" i="1"/>
  <c r="F73" i="1"/>
  <c r="D72" i="1"/>
  <c r="F72" i="1"/>
  <c r="D71" i="1"/>
  <c r="F71" i="1"/>
  <c r="D70" i="1"/>
  <c r="F70" i="1"/>
  <c r="D69" i="1"/>
  <c r="F69" i="1"/>
  <c r="D68" i="1"/>
  <c r="F68" i="1"/>
  <c r="D67" i="1"/>
  <c r="F67" i="1"/>
  <c r="D66" i="1"/>
  <c r="F66" i="1"/>
  <c r="D65" i="1"/>
  <c r="F65" i="1"/>
  <c r="D64" i="1"/>
  <c r="F64" i="1"/>
  <c r="D63" i="1"/>
  <c r="F63" i="1"/>
  <c r="D62" i="1"/>
  <c r="F62" i="1"/>
  <c r="D61" i="1"/>
  <c r="F61" i="1"/>
  <c r="D60" i="1"/>
  <c r="F60" i="1"/>
  <c r="D59" i="1"/>
  <c r="F59" i="1"/>
  <c r="D58" i="1"/>
  <c r="F58" i="1"/>
  <c r="D57" i="1"/>
  <c r="F57" i="1"/>
  <c r="D56" i="1"/>
  <c r="F56" i="1"/>
  <c r="D55" i="1"/>
  <c r="F55" i="1"/>
  <c r="D54" i="1"/>
  <c r="F54" i="1"/>
  <c r="D53" i="1"/>
  <c r="F53" i="1"/>
  <c r="D52" i="1"/>
  <c r="F52" i="1"/>
  <c r="D51" i="1"/>
  <c r="F51" i="1"/>
  <c r="D50" i="1"/>
  <c r="F50" i="1"/>
  <c r="D49" i="1"/>
  <c r="F49" i="1"/>
  <c r="D48" i="1"/>
  <c r="F48" i="1"/>
  <c r="D47" i="1"/>
  <c r="F47" i="1"/>
  <c r="D46" i="1"/>
  <c r="F46" i="1"/>
  <c r="D45" i="1"/>
  <c r="F45" i="1"/>
  <c r="D44" i="1"/>
  <c r="F44" i="1"/>
  <c r="D43" i="1"/>
  <c r="F43" i="1"/>
  <c r="D42" i="1"/>
  <c r="F42" i="1"/>
  <c r="D41" i="1"/>
  <c r="F41" i="1"/>
  <c r="D40" i="1"/>
  <c r="F40" i="1"/>
  <c r="D39" i="1"/>
  <c r="F39" i="1"/>
  <c r="D38" i="1"/>
  <c r="F38" i="1"/>
  <c r="D37" i="1"/>
  <c r="F37" i="1"/>
  <c r="D36" i="1"/>
  <c r="F36" i="1"/>
  <c r="D35" i="1"/>
  <c r="F35" i="1"/>
  <c r="D34" i="1"/>
  <c r="F34" i="1"/>
  <c r="D33" i="1"/>
  <c r="F33" i="1"/>
  <c r="D32" i="1"/>
  <c r="F32" i="1"/>
  <c r="D31" i="1"/>
  <c r="F31" i="1"/>
  <c r="D30" i="1"/>
  <c r="F30" i="1"/>
  <c r="D29" i="1"/>
  <c r="F29" i="1"/>
  <c r="D28" i="1"/>
  <c r="F28" i="1"/>
  <c r="D27" i="1"/>
  <c r="F27" i="1"/>
  <c r="D26" i="1"/>
  <c r="F26" i="1"/>
  <c r="D25" i="1"/>
  <c r="F25" i="1"/>
  <c r="D24" i="1"/>
  <c r="F24" i="1"/>
  <c r="D23" i="1"/>
  <c r="F23" i="1"/>
  <c r="D22" i="1"/>
  <c r="F22" i="1"/>
  <c r="D21" i="1"/>
  <c r="F21" i="1"/>
  <c r="D20" i="1"/>
  <c r="F20" i="1"/>
  <c r="D19" i="1"/>
  <c r="F19" i="1"/>
  <c r="D18" i="1"/>
  <c r="F18" i="1"/>
  <c r="D17" i="1"/>
  <c r="F17" i="1"/>
  <c r="D16" i="1"/>
  <c r="F16" i="1"/>
  <c r="D15" i="1"/>
  <c r="F15" i="1"/>
  <c r="D14" i="1"/>
  <c r="F14" i="1"/>
  <c r="D13" i="1"/>
  <c r="F13" i="1"/>
  <c r="D12" i="1"/>
  <c r="F12" i="1"/>
  <c r="D11" i="1"/>
  <c r="F11" i="1"/>
  <c r="D10" i="1"/>
  <c r="F10" i="1"/>
  <c r="D9" i="1"/>
  <c r="F9" i="1"/>
  <c r="D8" i="1"/>
  <c r="F8" i="1"/>
  <c r="D7" i="1"/>
  <c r="F7" i="1"/>
  <c r="D6" i="1"/>
  <c r="F6" i="1"/>
  <c r="D5" i="1"/>
  <c r="F5" i="1"/>
  <c r="D4" i="1"/>
  <c r="F4" i="1"/>
  <c r="D3" i="1"/>
  <c r="F3" i="1"/>
  <c r="D2" i="1"/>
  <c r="F2" i="1"/>
  <c r="G100" i="2"/>
  <c r="H100" i="2"/>
  <c r="G99" i="2"/>
  <c r="H99" i="2"/>
  <c r="G98" i="2"/>
  <c r="H98" i="2"/>
  <c r="G97" i="2"/>
  <c r="H97" i="2"/>
  <c r="G96" i="2"/>
  <c r="H96" i="2"/>
  <c r="G95" i="2"/>
  <c r="H95" i="2"/>
  <c r="G94" i="2"/>
  <c r="H94" i="2"/>
  <c r="G93" i="2"/>
  <c r="H93" i="2"/>
  <c r="G92" i="2"/>
  <c r="H92" i="2"/>
  <c r="G91" i="2"/>
  <c r="H91" i="2"/>
  <c r="G90" i="2"/>
  <c r="H90" i="2"/>
  <c r="G89" i="2"/>
  <c r="H89" i="2"/>
  <c r="G88" i="2"/>
  <c r="H88" i="2"/>
  <c r="G87" i="2"/>
  <c r="H87" i="2"/>
  <c r="G86" i="2"/>
  <c r="H86" i="2"/>
  <c r="G85" i="2"/>
  <c r="H85" i="2"/>
  <c r="G84" i="2"/>
  <c r="H84" i="2"/>
  <c r="G83" i="2"/>
  <c r="H83" i="2"/>
  <c r="G82" i="2"/>
  <c r="H82" i="2"/>
  <c r="G81" i="2"/>
  <c r="H81" i="2"/>
  <c r="G80" i="2"/>
  <c r="H80" i="2"/>
  <c r="G79" i="2"/>
  <c r="H79" i="2"/>
  <c r="G78" i="2"/>
  <c r="H78" i="2"/>
  <c r="G77" i="2"/>
  <c r="H77" i="2"/>
  <c r="G76" i="2"/>
  <c r="H76" i="2"/>
  <c r="G75" i="2"/>
  <c r="H75" i="2"/>
  <c r="G74" i="2"/>
  <c r="H74" i="2"/>
  <c r="G73" i="2"/>
  <c r="H73" i="2"/>
  <c r="G72" i="2"/>
  <c r="H72" i="2"/>
  <c r="G71" i="2"/>
  <c r="H71" i="2"/>
  <c r="G70" i="2"/>
  <c r="H70" i="2"/>
  <c r="G69" i="2"/>
  <c r="H69" i="2"/>
  <c r="G68" i="2"/>
  <c r="H68" i="2"/>
  <c r="G67" i="2"/>
  <c r="H67" i="2"/>
  <c r="G66" i="2"/>
  <c r="H66" i="2"/>
  <c r="G65" i="2"/>
  <c r="H65" i="2"/>
  <c r="G64" i="2"/>
  <c r="H64" i="2"/>
  <c r="G63" i="2"/>
  <c r="H63" i="2"/>
  <c r="G62" i="2"/>
  <c r="H62" i="2"/>
  <c r="G61" i="2"/>
  <c r="H61" i="2"/>
  <c r="G60" i="2"/>
  <c r="H60" i="2"/>
  <c r="G59" i="2"/>
  <c r="H59" i="2"/>
  <c r="G58" i="2"/>
  <c r="H58" i="2"/>
  <c r="G57" i="2"/>
  <c r="H57" i="2"/>
  <c r="G56" i="2"/>
  <c r="H56" i="2"/>
  <c r="G55" i="2"/>
  <c r="H55" i="2"/>
  <c r="G54" i="2"/>
  <c r="H54" i="2"/>
  <c r="G53" i="2"/>
  <c r="H53" i="2"/>
  <c r="G52" i="2"/>
  <c r="H52" i="2"/>
  <c r="G51" i="2"/>
  <c r="H51" i="2"/>
  <c r="G50" i="2"/>
  <c r="H50" i="2"/>
  <c r="G49" i="2"/>
  <c r="H49" i="2"/>
  <c r="G48" i="2"/>
  <c r="H48" i="2"/>
  <c r="G47" i="2"/>
  <c r="H47" i="2"/>
  <c r="G46" i="2"/>
  <c r="H46" i="2"/>
  <c r="G45" i="2"/>
  <c r="H45" i="2"/>
  <c r="G44" i="2"/>
  <c r="H44" i="2"/>
  <c r="G43" i="2"/>
  <c r="H43" i="2"/>
  <c r="G42" i="2"/>
  <c r="H42" i="2"/>
  <c r="G41" i="2"/>
  <c r="H41" i="2"/>
  <c r="G40" i="2"/>
  <c r="H40" i="2"/>
  <c r="G39" i="2"/>
  <c r="H39" i="2"/>
  <c r="G38" i="2"/>
  <c r="H38" i="2"/>
  <c r="G37" i="2"/>
  <c r="H37" i="2"/>
  <c r="G36" i="2"/>
  <c r="H36" i="2"/>
  <c r="G35" i="2"/>
  <c r="H35" i="2"/>
  <c r="G34" i="2"/>
  <c r="H34" i="2"/>
  <c r="G33" i="2"/>
  <c r="H33" i="2"/>
  <c r="G32" i="2"/>
  <c r="H32" i="2"/>
  <c r="G31" i="2"/>
  <c r="H31" i="2"/>
  <c r="G30" i="2"/>
  <c r="H30" i="2"/>
  <c r="G29" i="2"/>
  <c r="H29" i="2"/>
  <c r="G28" i="2"/>
  <c r="H28" i="2"/>
  <c r="G27" i="2"/>
  <c r="H27" i="2"/>
  <c r="G26" i="2"/>
  <c r="H26" i="2"/>
  <c r="G25" i="2"/>
  <c r="H25" i="2"/>
  <c r="G24" i="2"/>
  <c r="H24" i="2"/>
  <c r="G23" i="2"/>
  <c r="H23" i="2"/>
  <c r="G22" i="2"/>
  <c r="H22" i="2"/>
  <c r="G21" i="2"/>
  <c r="H21" i="2"/>
  <c r="G20" i="2"/>
  <c r="H20" i="2"/>
  <c r="G19" i="2"/>
  <c r="H19" i="2"/>
  <c r="G18" i="2"/>
  <c r="H18" i="2"/>
  <c r="G17" i="2"/>
  <c r="H17" i="2"/>
  <c r="G16" i="2"/>
  <c r="H16" i="2"/>
  <c r="G15" i="2"/>
  <c r="H15" i="2"/>
  <c r="G14" i="2"/>
  <c r="H14" i="2"/>
  <c r="G13" i="2"/>
  <c r="H13" i="2"/>
  <c r="G12" i="2"/>
  <c r="H12" i="2"/>
  <c r="G11" i="2"/>
  <c r="H11" i="2"/>
  <c r="G10" i="2"/>
  <c r="H10" i="2"/>
  <c r="G9" i="2"/>
  <c r="H9" i="2"/>
  <c r="G8" i="2"/>
  <c r="H8" i="2"/>
  <c r="G7" i="2"/>
  <c r="H7" i="2"/>
  <c r="G6" i="2"/>
  <c r="H6" i="2"/>
  <c r="G5" i="2"/>
  <c r="H5" i="2"/>
  <c r="G4" i="2"/>
  <c r="H4" i="2"/>
  <c r="G3" i="2"/>
  <c r="H3" i="2"/>
  <c r="G2" i="2"/>
  <c r="H2" i="2"/>
  <c r="AD280" i="1"/>
  <c r="AD279" i="1"/>
  <c r="AD278" i="1"/>
  <c r="AD277" i="1"/>
  <c r="AD271" i="1"/>
  <c r="AD270" i="1"/>
  <c r="AD269" i="1"/>
  <c r="AD268" i="1"/>
  <c r="AD265" i="1"/>
  <c r="AD264" i="1"/>
  <c r="AD263" i="1"/>
  <c r="AD262" i="1"/>
  <c r="E107" i="1"/>
  <c r="AB305" i="1"/>
  <c r="Z305" i="1"/>
  <c r="N305" i="1"/>
  <c r="M305" i="1"/>
  <c r="L305" i="1"/>
  <c r="K305" i="1"/>
  <c r="J305" i="1"/>
  <c r="H305" i="1"/>
  <c r="E305" i="1"/>
  <c r="AB304" i="1"/>
  <c r="Z304" i="1"/>
  <c r="N304" i="1"/>
  <c r="M304" i="1"/>
  <c r="L304" i="1"/>
  <c r="K304" i="1"/>
  <c r="J304" i="1"/>
  <c r="H304" i="1"/>
  <c r="E304" i="1"/>
  <c r="AB303" i="1"/>
  <c r="Z303" i="1"/>
  <c r="N303" i="1"/>
  <c r="M303" i="1"/>
  <c r="L303" i="1"/>
  <c r="K303" i="1"/>
  <c r="J303" i="1"/>
  <c r="H303" i="1"/>
  <c r="E303" i="1"/>
  <c r="AB302" i="1"/>
  <c r="Z302" i="1"/>
  <c r="N302" i="1"/>
  <c r="M302" i="1"/>
  <c r="L302" i="1"/>
  <c r="K302" i="1"/>
  <c r="J302" i="1"/>
  <c r="H302" i="1"/>
  <c r="E302" i="1"/>
  <c r="AB299" i="1"/>
  <c r="Z299" i="1"/>
  <c r="N299" i="1"/>
  <c r="M299" i="1"/>
  <c r="L299" i="1"/>
  <c r="K299" i="1"/>
  <c r="J299" i="1"/>
  <c r="H299" i="1"/>
  <c r="E299" i="1"/>
  <c r="AB298" i="1"/>
  <c r="Z298" i="1"/>
  <c r="N298" i="1"/>
  <c r="M298" i="1"/>
  <c r="L298" i="1"/>
  <c r="K298" i="1"/>
  <c r="J298" i="1"/>
  <c r="H298" i="1"/>
  <c r="E298" i="1"/>
  <c r="AB297" i="1"/>
  <c r="Z297" i="1"/>
  <c r="N297" i="1"/>
  <c r="M297" i="1"/>
  <c r="L297" i="1"/>
  <c r="K297" i="1"/>
  <c r="J297" i="1"/>
  <c r="H297" i="1"/>
  <c r="E297" i="1"/>
  <c r="AB296" i="1"/>
  <c r="Z296" i="1"/>
  <c r="N296" i="1"/>
  <c r="M296" i="1"/>
  <c r="L296" i="1"/>
  <c r="K296" i="1"/>
  <c r="J296" i="1"/>
  <c r="H296" i="1"/>
  <c r="E296" i="1"/>
  <c r="AB295" i="1"/>
  <c r="Z295" i="1"/>
  <c r="N295" i="1"/>
  <c r="M295" i="1"/>
  <c r="L295" i="1"/>
  <c r="K295" i="1"/>
  <c r="J295" i="1"/>
  <c r="H295" i="1"/>
  <c r="E295" i="1"/>
  <c r="AB283" i="1"/>
  <c r="Z283" i="1"/>
  <c r="N283" i="1"/>
  <c r="M283" i="1"/>
  <c r="L283" i="1"/>
  <c r="K283" i="1"/>
  <c r="J283" i="1"/>
  <c r="H283" i="1"/>
  <c r="AB293" i="1"/>
  <c r="Z293" i="1"/>
  <c r="N293" i="1"/>
  <c r="M293" i="1"/>
  <c r="L293" i="1"/>
  <c r="K293" i="1"/>
  <c r="J293" i="1"/>
  <c r="H293" i="1"/>
  <c r="E293" i="1"/>
  <c r="AB292" i="1"/>
  <c r="Z292" i="1"/>
  <c r="N292" i="1"/>
  <c r="M292" i="1"/>
  <c r="L292" i="1"/>
  <c r="K292" i="1"/>
  <c r="J292" i="1"/>
  <c r="H292" i="1"/>
  <c r="E292" i="1"/>
  <c r="AB291" i="1"/>
  <c r="Z291" i="1"/>
  <c r="N291" i="1"/>
  <c r="M291" i="1"/>
  <c r="L291" i="1"/>
  <c r="K291" i="1"/>
  <c r="J291" i="1"/>
  <c r="H291" i="1"/>
  <c r="AB290" i="1"/>
  <c r="Z290" i="1"/>
  <c r="N290" i="1"/>
  <c r="M290" i="1"/>
  <c r="L290" i="1"/>
  <c r="K290" i="1"/>
  <c r="J290" i="1"/>
  <c r="H290" i="1"/>
  <c r="AB287" i="1"/>
  <c r="Z287" i="1"/>
  <c r="N287" i="1"/>
  <c r="M287" i="1"/>
  <c r="L287" i="1"/>
  <c r="K287" i="1"/>
  <c r="J287" i="1"/>
  <c r="H287" i="1"/>
  <c r="AB286" i="1"/>
  <c r="Z286" i="1"/>
  <c r="N286" i="1"/>
  <c r="M286" i="1"/>
  <c r="L286" i="1"/>
  <c r="K286" i="1"/>
  <c r="J286" i="1"/>
  <c r="H286" i="1"/>
  <c r="AB285" i="1"/>
  <c r="Z285" i="1"/>
  <c r="N285" i="1"/>
  <c r="M285" i="1"/>
  <c r="L285" i="1"/>
  <c r="K285" i="1"/>
  <c r="J285" i="1"/>
  <c r="H285" i="1"/>
  <c r="AB284" i="1"/>
  <c r="Z284" i="1"/>
  <c r="N284" i="1"/>
  <c r="M284" i="1"/>
  <c r="L284" i="1"/>
  <c r="K284" i="1"/>
  <c r="J284" i="1"/>
  <c r="H284" i="1"/>
  <c r="H288" i="1"/>
  <c r="J288" i="1"/>
  <c r="K288" i="1"/>
  <c r="L288" i="1"/>
  <c r="M288" i="1"/>
  <c r="N288" i="1"/>
  <c r="Z288" i="1"/>
  <c r="AB288" i="1"/>
  <c r="H280" i="1"/>
  <c r="H279" i="1"/>
  <c r="H278" i="1"/>
  <c r="H277" i="1"/>
  <c r="AB276" i="1"/>
  <c r="Z276" i="1"/>
  <c r="N276" i="1"/>
  <c r="M276" i="1"/>
  <c r="L276" i="1"/>
  <c r="K276" i="1"/>
  <c r="J276" i="1"/>
  <c r="H276" i="1"/>
  <c r="AB267" i="1"/>
  <c r="Z267" i="1"/>
  <c r="N267" i="1"/>
  <c r="M267" i="1"/>
  <c r="L267" i="1"/>
  <c r="K267" i="1"/>
  <c r="J267" i="1"/>
  <c r="H267" i="1"/>
  <c r="AB261" i="1"/>
  <c r="Z261" i="1"/>
  <c r="N261" i="1"/>
  <c r="M261" i="1"/>
  <c r="L261" i="1"/>
  <c r="K261" i="1"/>
  <c r="J261" i="1"/>
  <c r="H261" i="1"/>
  <c r="AB260" i="1"/>
  <c r="Z260" i="1"/>
  <c r="N260" i="1"/>
  <c r="M260" i="1"/>
  <c r="L260" i="1"/>
  <c r="K260" i="1"/>
  <c r="J260" i="1"/>
  <c r="H260" i="1"/>
  <c r="H271" i="1"/>
  <c r="H270" i="1"/>
  <c r="H269" i="1"/>
  <c r="H268" i="1"/>
  <c r="H265" i="1"/>
  <c r="H264" i="1"/>
  <c r="H263" i="1"/>
  <c r="H262" i="1"/>
  <c r="AB255" i="1"/>
  <c r="Z255" i="1"/>
  <c r="N255" i="1"/>
  <c r="M255" i="1"/>
  <c r="L255" i="1"/>
  <c r="K255" i="1"/>
  <c r="J255" i="1"/>
  <c r="H255" i="1"/>
  <c r="E255" i="1"/>
  <c r="AB254" i="1"/>
  <c r="Z254" i="1"/>
  <c r="N254" i="1"/>
  <c r="M254" i="1"/>
  <c r="L254" i="1"/>
  <c r="K254" i="1"/>
  <c r="J254" i="1"/>
  <c r="H254" i="1"/>
  <c r="E254" i="1"/>
  <c r="AB253" i="1"/>
  <c r="Z253" i="1"/>
  <c r="N253" i="1"/>
  <c r="M253" i="1"/>
  <c r="L253" i="1"/>
  <c r="K253" i="1"/>
  <c r="J253" i="1"/>
  <c r="H253" i="1"/>
  <c r="E253" i="1"/>
  <c r="AB252" i="1"/>
  <c r="Z252" i="1"/>
  <c r="N252" i="1"/>
  <c r="M252" i="1"/>
  <c r="L252" i="1"/>
  <c r="K252" i="1"/>
  <c r="J252" i="1"/>
  <c r="H252" i="1"/>
  <c r="E252" i="1"/>
  <c r="AB251" i="1"/>
  <c r="Z251" i="1"/>
  <c r="N251" i="1"/>
  <c r="M251" i="1"/>
  <c r="L251" i="1"/>
  <c r="K251" i="1"/>
  <c r="J251" i="1"/>
  <c r="H251" i="1"/>
  <c r="E251" i="1"/>
  <c r="AB250" i="1"/>
  <c r="Z250" i="1"/>
  <c r="N250" i="1"/>
  <c r="M250" i="1"/>
  <c r="L250" i="1"/>
  <c r="K250" i="1"/>
  <c r="J250" i="1"/>
  <c r="H250" i="1"/>
  <c r="E250" i="1"/>
  <c r="AB247" i="1"/>
  <c r="Z247" i="1"/>
  <c r="N247" i="1"/>
  <c r="M247" i="1"/>
  <c r="L247" i="1"/>
  <c r="K247" i="1"/>
  <c r="J247" i="1"/>
  <c r="H247" i="1"/>
  <c r="E247" i="1"/>
  <c r="AB246" i="1"/>
  <c r="Z246" i="1"/>
  <c r="N246" i="1"/>
  <c r="M246" i="1"/>
  <c r="L246" i="1"/>
  <c r="K246" i="1"/>
  <c r="J246" i="1"/>
  <c r="H246" i="1"/>
  <c r="E246" i="1"/>
  <c r="AB245" i="1"/>
  <c r="Z245" i="1"/>
  <c r="N245" i="1"/>
  <c r="M245" i="1"/>
  <c r="L245" i="1"/>
  <c r="K245" i="1"/>
  <c r="J245" i="1"/>
  <c r="H245" i="1"/>
  <c r="E245" i="1"/>
  <c r="AB244" i="1"/>
  <c r="Z244" i="1"/>
  <c r="N244" i="1"/>
  <c r="M244" i="1"/>
  <c r="L244" i="1"/>
  <c r="K244" i="1"/>
  <c r="J244" i="1"/>
  <c r="H244" i="1"/>
  <c r="E244" i="1"/>
  <c r="AB243" i="1"/>
  <c r="Z243" i="1"/>
  <c r="N243" i="1"/>
  <c r="M243" i="1"/>
  <c r="L243" i="1"/>
  <c r="K243" i="1"/>
  <c r="J243" i="1"/>
  <c r="H243" i="1"/>
  <c r="E243" i="1"/>
  <c r="AB242" i="1"/>
  <c r="Z242" i="1"/>
  <c r="N242" i="1"/>
  <c r="M242" i="1"/>
  <c r="L242" i="1"/>
  <c r="K242" i="1"/>
  <c r="J242" i="1"/>
  <c r="H242" i="1"/>
  <c r="E242" i="1"/>
  <c r="AB236" i="1"/>
  <c r="Z236" i="1"/>
  <c r="N236" i="1"/>
  <c r="M236" i="1"/>
  <c r="L236" i="1"/>
  <c r="K236" i="1"/>
  <c r="J236" i="1"/>
  <c r="H236" i="1"/>
  <c r="E236" i="1"/>
  <c r="AB237" i="1"/>
  <c r="Z237" i="1"/>
  <c r="N237" i="1"/>
  <c r="M237" i="1"/>
  <c r="L237" i="1"/>
  <c r="K237" i="1"/>
  <c r="J237" i="1"/>
  <c r="H237" i="1"/>
  <c r="E237" i="1"/>
  <c r="AB239" i="1"/>
  <c r="Z239" i="1"/>
  <c r="N239" i="1"/>
  <c r="M239" i="1"/>
  <c r="L239" i="1"/>
  <c r="K239" i="1"/>
  <c r="J239" i="1"/>
  <c r="H239" i="1"/>
  <c r="E239" i="1"/>
  <c r="AB238" i="1"/>
  <c r="Z238" i="1"/>
  <c r="N238" i="1"/>
  <c r="M238" i="1"/>
  <c r="L238" i="1"/>
  <c r="K238" i="1"/>
  <c r="J238" i="1"/>
  <c r="H238" i="1"/>
  <c r="E238" i="1"/>
  <c r="AB235" i="1"/>
  <c r="Z235" i="1"/>
  <c r="N235" i="1"/>
  <c r="M235" i="1"/>
  <c r="L235" i="1"/>
  <c r="K235" i="1"/>
  <c r="J235" i="1"/>
  <c r="H235" i="1"/>
  <c r="E235" i="1"/>
  <c r="AB233" i="1"/>
  <c r="Z233" i="1"/>
  <c r="N233" i="1"/>
  <c r="M233" i="1"/>
  <c r="L233" i="1"/>
  <c r="K233" i="1"/>
  <c r="J233" i="1"/>
  <c r="H233" i="1"/>
  <c r="E233" i="1"/>
  <c r="J211" i="1"/>
  <c r="J210" i="1"/>
  <c r="J209" i="1"/>
  <c r="AB132" i="1"/>
  <c r="Z132" i="1"/>
  <c r="N132" i="1"/>
  <c r="M132" i="1"/>
  <c r="L132" i="1"/>
  <c r="K132" i="1"/>
  <c r="J132" i="1"/>
  <c r="H132" i="1"/>
  <c r="E132" i="1"/>
  <c r="AB131" i="1"/>
  <c r="Z131" i="1"/>
  <c r="N131" i="1"/>
  <c r="M131" i="1"/>
  <c r="L131" i="1"/>
  <c r="K131" i="1"/>
  <c r="J131" i="1"/>
  <c r="H131" i="1"/>
  <c r="E131" i="1"/>
  <c r="AB89" i="1"/>
  <c r="Z89" i="1"/>
  <c r="N89" i="1"/>
  <c r="M89" i="1"/>
  <c r="L89" i="1"/>
  <c r="K89" i="1"/>
  <c r="J89" i="1"/>
  <c r="H89" i="1"/>
  <c r="E89" i="1"/>
  <c r="AB88" i="1"/>
  <c r="Z88" i="1"/>
  <c r="N88" i="1"/>
  <c r="M88" i="1"/>
  <c r="L88" i="1"/>
  <c r="K88" i="1"/>
  <c r="J88" i="1"/>
  <c r="H88" i="1"/>
  <c r="E88" i="1"/>
  <c r="A100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B223" i="1"/>
  <c r="Z223" i="1"/>
  <c r="N223" i="1"/>
  <c r="M223" i="1"/>
  <c r="L223" i="1"/>
  <c r="K223" i="1"/>
  <c r="J223" i="1"/>
  <c r="H223" i="1"/>
  <c r="E223" i="1"/>
  <c r="AB222" i="1"/>
  <c r="Z222" i="1"/>
  <c r="N222" i="1"/>
  <c r="M222" i="1"/>
  <c r="L222" i="1"/>
  <c r="K222" i="1"/>
  <c r="J222" i="1"/>
  <c r="H222" i="1"/>
  <c r="E222" i="1"/>
  <c r="AB211" i="1"/>
  <c r="Z211" i="1"/>
  <c r="N211" i="1"/>
  <c r="M211" i="1"/>
  <c r="L211" i="1"/>
  <c r="K211" i="1"/>
  <c r="H211" i="1"/>
  <c r="E211" i="1"/>
  <c r="AB210" i="1"/>
  <c r="Z210" i="1"/>
  <c r="N210" i="1"/>
  <c r="M210" i="1"/>
  <c r="L210" i="1"/>
  <c r="K210" i="1"/>
  <c r="H210" i="1"/>
  <c r="E210" i="1"/>
  <c r="AB209" i="1"/>
  <c r="Z209" i="1"/>
  <c r="N209" i="1"/>
  <c r="M209" i="1"/>
  <c r="L209" i="1"/>
  <c r="K209" i="1"/>
  <c r="H209" i="1"/>
  <c r="E209" i="1"/>
  <c r="AB208" i="1"/>
  <c r="Z208" i="1"/>
  <c r="N208" i="1"/>
  <c r="M208" i="1"/>
  <c r="L208" i="1"/>
  <c r="K208" i="1"/>
  <c r="J208" i="1"/>
  <c r="H208" i="1"/>
  <c r="E208" i="1"/>
  <c r="AB197" i="1"/>
  <c r="Z197" i="1"/>
  <c r="N197" i="1"/>
  <c r="M197" i="1"/>
  <c r="L197" i="1"/>
  <c r="K197" i="1"/>
  <c r="J197" i="1"/>
  <c r="H197" i="1"/>
  <c r="E197" i="1"/>
  <c r="AB196" i="1"/>
  <c r="Z196" i="1"/>
  <c r="N196" i="1"/>
  <c r="M196" i="1"/>
  <c r="L196" i="1"/>
  <c r="K196" i="1"/>
  <c r="J196" i="1"/>
  <c r="H196" i="1"/>
  <c r="E196" i="1"/>
  <c r="AB195" i="1"/>
  <c r="Z195" i="1"/>
  <c r="N195" i="1"/>
  <c r="M195" i="1"/>
  <c r="L195" i="1"/>
  <c r="K195" i="1"/>
  <c r="J195" i="1"/>
  <c r="H195" i="1"/>
  <c r="E195" i="1"/>
  <c r="AB194" i="1"/>
  <c r="Z194" i="1"/>
  <c r="N194" i="1"/>
  <c r="M194" i="1"/>
  <c r="L194" i="1"/>
  <c r="K194" i="1"/>
  <c r="J194" i="1"/>
  <c r="H194" i="1"/>
  <c r="E194" i="1"/>
  <c r="E67" i="2"/>
  <c r="D67" i="2"/>
  <c r="H198" i="1"/>
  <c r="H199" i="1"/>
  <c r="H202" i="1"/>
  <c r="H203" i="1"/>
  <c r="H204" i="1"/>
  <c r="H205" i="1"/>
  <c r="H212" i="1"/>
  <c r="H213" i="1"/>
  <c r="H216" i="1"/>
  <c r="H217" i="1"/>
  <c r="H218" i="1"/>
  <c r="H219" i="1"/>
  <c r="H226" i="1"/>
  <c r="H227" i="1"/>
  <c r="H230" i="1"/>
  <c r="H231" i="1"/>
  <c r="H232" i="1"/>
  <c r="H234" i="1"/>
  <c r="H240" i="1"/>
  <c r="H241" i="1"/>
  <c r="H248" i="1"/>
  <c r="H249" i="1"/>
  <c r="H256" i="1"/>
  <c r="H257" i="1"/>
  <c r="H258" i="1"/>
  <c r="H259" i="1"/>
  <c r="H266" i="1"/>
  <c r="H272" i="1"/>
  <c r="H273" i="1"/>
  <c r="H274" i="1"/>
  <c r="H275" i="1"/>
  <c r="H281" i="1"/>
  <c r="H282" i="1"/>
  <c r="H289" i="1"/>
  <c r="H294" i="1"/>
  <c r="H300" i="1"/>
  <c r="H306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200" i="1"/>
  <c r="H201" i="1"/>
  <c r="H206" i="1"/>
  <c r="H207" i="1"/>
  <c r="H214" i="1"/>
  <c r="H215" i="1"/>
  <c r="H220" i="1"/>
  <c r="H221" i="1"/>
  <c r="H228" i="1"/>
  <c r="H229" i="1"/>
  <c r="H301" i="1"/>
  <c r="B67" i="2"/>
  <c r="E85" i="2"/>
  <c r="D85" i="2"/>
  <c r="B85" i="2"/>
  <c r="E79" i="2"/>
  <c r="D79" i="2"/>
  <c r="B79" i="2"/>
  <c r="E73" i="2"/>
  <c r="D73" i="2"/>
  <c r="B73" i="2"/>
  <c r="AB183" i="1"/>
  <c r="Z183" i="1"/>
  <c r="N183" i="1"/>
  <c r="M183" i="1"/>
  <c r="L183" i="1"/>
  <c r="K183" i="1"/>
  <c r="J183" i="1"/>
  <c r="E183" i="1"/>
  <c r="AB182" i="1"/>
  <c r="Z182" i="1"/>
  <c r="N182" i="1"/>
  <c r="M182" i="1"/>
  <c r="L182" i="1"/>
  <c r="K182" i="1"/>
  <c r="J182" i="1"/>
  <c r="E182" i="1"/>
  <c r="AB229" i="1"/>
  <c r="Z229" i="1"/>
  <c r="N229" i="1"/>
  <c r="M229" i="1"/>
  <c r="L229" i="1"/>
  <c r="K229" i="1"/>
  <c r="J229" i="1"/>
  <c r="E229" i="1"/>
  <c r="AB228" i="1"/>
  <c r="Z228" i="1"/>
  <c r="N228" i="1"/>
  <c r="M228" i="1"/>
  <c r="L228" i="1"/>
  <c r="K228" i="1"/>
  <c r="J228" i="1"/>
  <c r="E228" i="1"/>
  <c r="AB227" i="1"/>
  <c r="Z227" i="1"/>
  <c r="N227" i="1"/>
  <c r="M227" i="1"/>
  <c r="L227" i="1"/>
  <c r="K227" i="1"/>
  <c r="J227" i="1"/>
  <c r="E227" i="1"/>
  <c r="AB226" i="1"/>
  <c r="Z226" i="1"/>
  <c r="N226" i="1"/>
  <c r="M226" i="1"/>
  <c r="L226" i="1"/>
  <c r="K226" i="1"/>
  <c r="J226" i="1"/>
  <c r="E226" i="1"/>
  <c r="AB221" i="1"/>
  <c r="Z221" i="1"/>
  <c r="N221" i="1"/>
  <c r="M221" i="1"/>
  <c r="L221" i="1"/>
  <c r="K221" i="1"/>
  <c r="J221" i="1"/>
  <c r="E221" i="1"/>
  <c r="AB220" i="1"/>
  <c r="Z220" i="1"/>
  <c r="N220" i="1"/>
  <c r="M220" i="1"/>
  <c r="L220" i="1"/>
  <c r="K220" i="1"/>
  <c r="J220" i="1"/>
  <c r="E220" i="1"/>
  <c r="AB219" i="1"/>
  <c r="Z219" i="1"/>
  <c r="N219" i="1"/>
  <c r="M219" i="1"/>
  <c r="L219" i="1"/>
  <c r="K219" i="1"/>
  <c r="J219" i="1"/>
  <c r="E219" i="1"/>
  <c r="AB218" i="1"/>
  <c r="Z218" i="1"/>
  <c r="N218" i="1"/>
  <c r="M218" i="1"/>
  <c r="L218" i="1"/>
  <c r="K218" i="1"/>
  <c r="J218" i="1"/>
  <c r="E218" i="1"/>
  <c r="AB215" i="1"/>
  <c r="Z215" i="1"/>
  <c r="N215" i="1"/>
  <c r="M215" i="1"/>
  <c r="L215" i="1"/>
  <c r="K215" i="1"/>
  <c r="J215" i="1"/>
  <c r="E215" i="1"/>
  <c r="AB214" i="1"/>
  <c r="Z214" i="1"/>
  <c r="N214" i="1"/>
  <c r="M214" i="1"/>
  <c r="L214" i="1"/>
  <c r="K214" i="1"/>
  <c r="J214" i="1"/>
  <c r="E214" i="1"/>
  <c r="AB213" i="1"/>
  <c r="Z213" i="1"/>
  <c r="N213" i="1"/>
  <c r="M213" i="1"/>
  <c r="L213" i="1"/>
  <c r="K213" i="1"/>
  <c r="J213" i="1"/>
  <c r="E213" i="1"/>
  <c r="AB212" i="1"/>
  <c r="Z212" i="1"/>
  <c r="N212" i="1"/>
  <c r="M212" i="1"/>
  <c r="L212" i="1"/>
  <c r="K212" i="1"/>
  <c r="J212" i="1"/>
  <c r="E212" i="1"/>
  <c r="AB207" i="1"/>
  <c r="Z207" i="1"/>
  <c r="N207" i="1"/>
  <c r="M207" i="1"/>
  <c r="L207" i="1"/>
  <c r="K207" i="1"/>
  <c r="J207" i="1"/>
  <c r="E207" i="1"/>
  <c r="AB206" i="1"/>
  <c r="Z206" i="1"/>
  <c r="N206" i="1"/>
  <c r="M206" i="1"/>
  <c r="L206" i="1"/>
  <c r="K206" i="1"/>
  <c r="J206" i="1"/>
  <c r="E206" i="1"/>
  <c r="AB205" i="1"/>
  <c r="Z205" i="1"/>
  <c r="N205" i="1"/>
  <c r="M205" i="1"/>
  <c r="L205" i="1"/>
  <c r="K205" i="1"/>
  <c r="J205" i="1"/>
  <c r="E205" i="1"/>
  <c r="AB204" i="1"/>
  <c r="Z204" i="1"/>
  <c r="N204" i="1"/>
  <c r="M204" i="1"/>
  <c r="L204" i="1"/>
  <c r="K204" i="1"/>
  <c r="J204" i="1"/>
  <c r="E204" i="1"/>
  <c r="AB201" i="1"/>
  <c r="Z201" i="1"/>
  <c r="N201" i="1"/>
  <c r="M201" i="1"/>
  <c r="L201" i="1"/>
  <c r="K201" i="1"/>
  <c r="J201" i="1"/>
  <c r="E201" i="1"/>
  <c r="AB200" i="1"/>
  <c r="Z200" i="1"/>
  <c r="N200" i="1"/>
  <c r="M200" i="1"/>
  <c r="L200" i="1"/>
  <c r="K200" i="1"/>
  <c r="J200" i="1"/>
  <c r="E200" i="1"/>
  <c r="AB199" i="1"/>
  <c r="Z199" i="1"/>
  <c r="N199" i="1"/>
  <c r="M199" i="1"/>
  <c r="L199" i="1"/>
  <c r="K199" i="1"/>
  <c r="J199" i="1"/>
  <c r="E199" i="1"/>
  <c r="AB198" i="1"/>
  <c r="Z198" i="1"/>
  <c r="N198" i="1"/>
  <c r="M198" i="1"/>
  <c r="L198" i="1"/>
  <c r="K198" i="1"/>
  <c r="J198" i="1"/>
  <c r="E198" i="1"/>
  <c r="AB193" i="1"/>
  <c r="Z193" i="1"/>
  <c r="N193" i="1"/>
  <c r="M193" i="1"/>
  <c r="L193" i="1"/>
  <c r="K193" i="1"/>
  <c r="J193" i="1"/>
  <c r="E193" i="1"/>
  <c r="AB192" i="1"/>
  <c r="Z192" i="1"/>
  <c r="N192" i="1"/>
  <c r="M192" i="1"/>
  <c r="L192" i="1"/>
  <c r="K192" i="1"/>
  <c r="J192" i="1"/>
  <c r="E192" i="1"/>
  <c r="AB191" i="1"/>
  <c r="Z191" i="1"/>
  <c r="N191" i="1"/>
  <c r="M191" i="1"/>
  <c r="L191" i="1"/>
  <c r="K191" i="1"/>
  <c r="J191" i="1"/>
  <c r="E191" i="1"/>
  <c r="AB190" i="1"/>
  <c r="Z190" i="1"/>
  <c r="N190" i="1"/>
  <c r="M190" i="1"/>
  <c r="L190" i="1"/>
  <c r="K190" i="1"/>
  <c r="J190" i="1"/>
  <c r="E190" i="1"/>
  <c r="AB187" i="1"/>
  <c r="Z187" i="1"/>
  <c r="N187" i="1"/>
  <c r="M187" i="1"/>
  <c r="L187" i="1"/>
  <c r="K187" i="1"/>
  <c r="J187" i="1"/>
  <c r="E187" i="1"/>
  <c r="AB186" i="1"/>
  <c r="Z186" i="1"/>
  <c r="N186" i="1"/>
  <c r="M186" i="1"/>
  <c r="L186" i="1"/>
  <c r="K186" i="1"/>
  <c r="J186" i="1"/>
  <c r="E186" i="1"/>
  <c r="AB185" i="1"/>
  <c r="Z185" i="1"/>
  <c r="N185" i="1"/>
  <c r="M185" i="1"/>
  <c r="L185" i="1"/>
  <c r="K185" i="1"/>
  <c r="J185" i="1"/>
  <c r="E185" i="1"/>
  <c r="AB184" i="1"/>
  <c r="Z184" i="1"/>
  <c r="N184" i="1"/>
  <c r="M184" i="1"/>
  <c r="L184" i="1"/>
  <c r="K184" i="1"/>
  <c r="J184" i="1"/>
  <c r="E184" i="1"/>
  <c r="AB179" i="1"/>
  <c r="Z179" i="1"/>
  <c r="N179" i="1"/>
  <c r="M179" i="1"/>
  <c r="L179" i="1"/>
  <c r="K179" i="1"/>
  <c r="J179" i="1"/>
  <c r="E179" i="1"/>
  <c r="AB178" i="1"/>
  <c r="Z178" i="1"/>
  <c r="N178" i="1"/>
  <c r="M178" i="1"/>
  <c r="L178" i="1"/>
  <c r="K178" i="1"/>
  <c r="J178" i="1"/>
  <c r="E178" i="1"/>
  <c r="AB177" i="1"/>
  <c r="Z177" i="1"/>
  <c r="N177" i="1"/>
  <c r="M177" i="1"/>
  <c r="L177" i="1"/>
  <c r="K177" i="1"/>
  <c r="J177" i="1"/>
  <c r="E177" i="1"/>
  <c r="AB176" i="1"/>
  <c r="Z176" i="1"/>
  <c r="N176" i="1"/>
  <c r="M176" i="1"/>
  <c r="L176" i="1"/>
  <c r="K176" i="1"/>
  <c r="J176" i="1"/>
  <c r="E176" i="1"/>
  <c r="AB175" i="1"/>
  <c r="Z175" i="1"/>
  <c r="N175" i="1"/>
  <c r="M175" i="1"/>
  <c r="L175" i="1"/>
  <c r="K175" i="1"/>
  <c r="J175" i="1"/>
  <c r="E175" i="1"/>
  <c r="AB174" i="1"/>
  <c r="Z174" i="1"/>
  <c r="N174" i="1"/>
  <c r="M174" i="1"/>
  <c r="L174" i="1"/>
  <c r="K174" i="1"/>
  <c r="J174" i="1"/>
  <c r="E174" i="1"/>
  <c r="AB173" i="1"/>
  <c r="Z173" i="1"/>
  <c r="N173" i="1"/>
  <c r="M173" i="1"/>
  <c r="L173" i="1"/>
  <c r="K173" i="1"/>
  <c r="J173" i="1"/>
  <c r="E173" i="1"/>
  <c r="AB172" i="1"/>
  <c r="Z172" i="1"/>
  <c r="N172" i="1"/>
  <c r="M172" i="1"/>
  <c r="L172" i="1"/>
  <c r="K172" i="1"/>
  <c r="J172" i="1"/>
  <c r="E172" i="1"/>
  <c r="AB171" i="1"/>
  <c r="Z171" i="1"/>
  <c r="N171" i="1"/>
  <c r="M171" i="1"/>
  <c r="L171" i="1"/>
  <c r="K171" i="1"/>
  <c r="J171" i="1"/>
  <c r="E171" i="1"/>
  <c r="AB170" i="1"/>
  <c r="Z170" i="1"/>
  <c r="N170" i="1"/>
  <c r="M170" i="1"/>
  <c r="L170" i="1"/>
  <c r="K170" i="1"/>
  <c r="J170" i="1"/>
  <c r="E170" i="1"/>
  <c r="AB168" i="1"/>
  <c r="Z168" i="1"/>
  <c r="N168" i="1"/>
  <c r="M168" i="1"/>
  <c r="L168" i="1"/>
  <c r="K168" i="1"/>
  <c r="J168" i="1"/>
  <c r="E168" i="1"/>
  <c r="AB167" i="1"/>
  <c r="Z167" i="1"/>
  <c r="N167" i="1"/>
  <c r="M167" i="1"/>
  <c r="L167" i="1"/>
  <c r="K167" i="1"/>
  <c r="J167" i="1"/>
  <c r="E167" i="1"/>
  <c r="AB166" i="1"/>
  <c r="Z166" i="1"/>
  <c r="N166" i="1"/>
  <c r="M166" i="1"/>
  <c r="L166" i="1"/>
  <c r="K166" i="1"/>
  <c r="J166" i="1"/>
  <c r="E166" i="1"/>
  <c r="AB165" i="1"/>
  <c r="Z165" i="1"/>
  <c r="N165" i="1"/>
  <c r="M165" i="1"/>
  <c r="L165" i="1"/>
  <c r="K165" i="1"/>
  <c r="J165" i="1"/>
  <c r="E165" i="1"/>
  <c r="AB163" i="1"/>
  <c r="Z163" i="1"/>
  <c r="N163" i="1"/>
  <c r="M163" i="1"/>
  <c r="L163" i="1"/>
  <c r="K163" i="1"/>
  <c r="J163" i="1"/>
  <c r="E163" i="1"/>
  <c r="AB162" i="1"/>
  <c r="Z162" i="1"/>
  <c r="N162" i="1"/>
  <c r="M162" i="1"/>
  <c r="L162" i="1"/>
  <c r="K162" i="1"/>
  <c r="J162" i="1"/>
  <c r="E162" i="1"/>
  <c r="AB161" i="1"/>
  <c r="Z161" i="1"/>
  <c r="N161" i="1"/>
  <c r="M161" i="1"/>
  <c r="L161" i="1"/>
  <c r="K161" i="1"/>
  <c r="J161" i="1"/>
  <c r="E161" i="1"/>
  <c r="AB160" i="1"/>
  <c r="Z160" i="1"/>
  <c r="N160" i="1"/>
  <c r="M160" i="1"/>
  <c r="L160" i="1"/>
  <c r="K160" i="1"/>
  <c r="J160" i="1"/>
  <c r="E160" i="1"/>
  <c r="AB158" i="1"/>
  <c r="Z158" i="1"/>
  <c r="N158" i="1"/>
  <c r="M158" i="1"/>
  <c r="L158" i="1"/>
  <c r="K158" i="1"/>
  <c r="J158" i="1"/>
  <c r="E158" i="1"/>
  <c r="AB157" i="1"/>
  <c r="Z157" i="1"/>
  <c r="N157" i="1"/>
  <c r="M157" i="1"/>
  <c r="L157" i="1"/>
  <c r="K157" i="1"/>
  <c r="J157" i="1"/>
  <c r="E157" i="1"/>
  <c r="AB156" i="1"/>
  <c r="Z156" i="1"/>
  <c r="N156" i="1"/>
  <c r="M156" i="1"/>
  <c r="L156" i="1"/>
  <c r="K156" i="1"/>
  <c r="J156" i="1"/>
  <c r="E156" i="1"/>
  <c r="AB155" i="1"/>
  <c r="Z155" i="1"/>
  <c r="N155" i="1"/>
  <c r="M155" i="1"/>
  <c r="L155" i="1"/>
  <c r="K155" i="1"/>
  <c r="J155" i="1"/>
  <c r="E155" i="1"/>
  <c r="AB153" i="1"/>
  <c r="Z153" i="1"/>
  <c r="N153" i="1"/>
  <c r="M153" i="1"/>
  <c r="L153" i="1"/>
  <c r="K153" i="1"/>
  <c r="J153" i="1"/>
  <c r="E153" i="1"/>
  <c r="AB152" i="1"/>
  <c r="Z152" i="1"/>
  <c r="N152" i="1"/>
  <c r="M152" i="1"/>
  <c r="L152" i="1"/>
  <c r="K152" i="1"/>
  <c r="J152" i="1"/>
  <c r="E152" i="1"/>
  <c r="AB151" i="1"/>
  <c r="Z151" i="1"/>
  <c r="N151" i="1"/>
  <c r="M151" i="1"/>
  <c r="L151" i="1"/>
  <c r="K151" i="1"/>
  <c r="J151" i="1"/>
  <c r="E151" i="1"/>
  <c r="AB150" i="1"/>
  <c r="Z150" i="1"/>
  <c r="N150" i="1"/>
  <c r="M150" i="1"/>
  <c r="L150" i="1"/>
  <c r="K150" i="1"/>
  <c r="J150" i="1"/>
  <c r="E150" i="1"/>
  <c r="AB130" i="1"/>
  <c r="Z130" i="1"/>
  <c r="N130" i="1"/>
  <c r="M130" i="1"/>
  <c r="L130" i="1"/>
  <c r="K130" i="1"/>
  <c r="J130" i="1"/>
  <c r="E130" i="1"/>
  <c r="AB129" i="1"/>
  <c r="Z129" i="1"/>
  <c r="N129" i="1"/>
  <c r="M129" i="1"/>
  <c r="L129" i="1"/>
  <c r="K129" i="1"/>
  <c r="J129" i="1"/>
  <c r="E129" i="1"/>
  <c r="AB128" i="1"/>
  <c r="Z128" i="1"/>
  <c r="N128" i="1"/>
  <c r="M128" i="1"/>
  <c r="L128" i="1"/>
  <c r="K128" i="1"/>
  <c r="J128" i="1"/>
  <c r="E128" i="1"/>
  <c r="AB127" i="1"/>
  <c r="Z127" i="1"/>
  <c r="N127" i="1"/>
  <c r="M127" i="1"/>
  <c r="L127" i="1"/>
  <c r="K127" i="1"/>
  <c r="J127" i="1"/>
  <c r="E127" i="1"/>
  <c r="AB125" i="1"/>
  <c r="Z125" i="1"/>
  <c r="N125" i="1"/>
  <c r="M125" i="1"/>
  <c r="L125" i="1"/>
  <c r="K125" i="1"/>
  <c r="J125" i="1"/>
  <c r="E125" i="1"/>
  <c r="AB124" i="1"/>
  <c r="Z124" i="1"/>
  <c r="N124" i="1"/>
  <c r="M124" i="1"/>
  <c r="L124" i="1"/>
  <c r="K124" i="1"/>
  <c r="J124" i="1"/>
  <c r="E124" i="1"/>
  <c r="AB123" i="1"/>
  <c r="Z123" i="1"/>
  <c r="N123" i="1"/>
  <c r="M123" i="1"/>
  <c r="L123" i="1"/>
  <c r="K123" i="1"/>
  <c r="J123" i="1"/>
  <c r="E123" i="1"/>
  <c r="AB122" i="1"/>
  <c r="Z122" i="1"/>
  <c r="N122" i="1"/>
  <c r="M122" i="1"/>
  <c r="L122" i="1"/>
  <c r="K122" i="1"/>
  <c r="J122" i="1"/>
  <c r="E122" i="1"/>
  <c r="AB120" i="1"/>
  <c r="Z120" i="1"/>
  <c r="N120" i="1"/>
  <c r="M120" i="1"/>
  <c r="L120" i="1"/>
  <c r="K120" i="1"/>
  <c r="J120" i="1"/>
  <c r="E120" i="1"/>
  <c r="AB119" i="1"/>
  <c r="Z119" i="1"/>
  <c r="N119" i="1"/>
  <c r="M119" i="1"/>
  <c r="L119" i="1"/>
  <c r="K119" i="1"/>
  <c r="J119" i="1"/>
  <c r="E119" i="1"/>
  <c r="AB118" i="1"/>
  <c r="Z118" i="1"/>
  <c r="N118" i="1"/>
  <c r="M118" i="1"/>
  <c r="L118" i="1"/>
  <c r="K118" i="1"/>
  <c r="J118" i="1"/>
  <c r="E118" i="1"/>
  <c r="AB117" i="1"/>
  <c r="Z117" i="1"/>
  <c r="N117" i="1"/>
  <c r="M117" i="1"/>
  <c r="L117" i="1"/>
  <c r="K117" i="1"/>
  <c r="J117" i="1"/>
  <c r="E117" i="1"/>
  <c r="AB115" i="1"/>
  <c r="Z115" i="1"/>
  <c r="N115" i="1"/>
  <c r="M115" i="1"/>
  <c r="L115" i="1"/>
  <c r="K115" i="1"/>
  <c r="J115" i="1"/>
  <c r="E115" i="1"/>
  <c r="AB114" i="1"/>
  <c r="Z114" i="1"/>
  <c r="N114" i="1"/>
  <c r="M114" i="1"/>
  <c r="L114" i="1"/>
  <c r="K114" i="1"/>
  <c r="J114" i="1"/>
  <c r="E114" i="1"/>
  <c r="AB113" i="1"/>
  <c r="Z113" i="1"/>
  <c r="N113" i="1"/>
  <c r="M113" i="1"/>
  <c r="L113" i="1"/>
  <c r="K113" i="1"/>
  <c r="J113" i="1"/>
  <c r="E113" i="1"/>
  <c r="AB112" i="1"/>
  <c r="Z112" i="1"/>
  <c r="N112" i="1"/>
  <c r="M112" i="1"/>
  <c r="L112" i="1"/>
  <c r="K112" i="1"/>
  <c r="J112" i="1"/>
  <c r="E112" i="1"/>
  <c r="AB110" i="1"/>
  <c r="Z110" i="1"/>
  <c r="N110" i="1"/>
  <c r="M110" i="1"/>
  <c r="L110" i="1"/>
  <c r="K110" i="1"/>
  <c r="J110" i="1"/>
  <c r="E110" i="1"/>
  <c r="AB109" i="1"/>
  <c r="Z109" i="1"/>
  <c r="N109" i="1"/>
  <c r="M109" i="1"/>
  <c r="L109" i="1"/>
  <c r="K109" i="1"/>
  <c r="J109" i="1"/>
  <c r="E109" i="1"/>
  <c r="AB108" i="1"/>
  <c r="Z108" i="1"/>
  <c r="N108" i="1"/>
  <c r="M108" i="1"/>
  <c r="L108" i="1"/>
  <c r="K108" i="1"/>
  <c r="J108" i="1"/>
  <c r="E108" i="1"/>
  <c r="AB107" i="1"/>
  <c r="Z107" i="1"/>
  <c r="N107" i="1"/>
  <c r="M107" i="1"/>
  <c r="L107" i="1"/>
  <c r="K107" i="1"/>
  <c r="J107" i="1"/>
  <c r="AB87" i="1"/>
  <c r="Z87" i="1"/>
  <c r="N87" i="1"/>
  <c r="M87" i="1"/>
  <c r="L87" i="1"/>
  <c r="K87" i="1"/>
  <c r="J87" i="1"/>
  <c r="E87" i="1"/>
  <c r="AB86" i="1"/>
  <c r="Z86" i="1"/>
  <c r="N86" i="1"/>
  <c r="M86" i="1"/>
  <c r="L86" i="1"/>
  <c r="K86" i="1"/>
  <c r="J86" i="1"/>
  <c r="E86" i="1"/>
  <c r="AB85" i="1"/>
  <c r="Z85" i="1"/>
  <c r="N85" i="1"/>
  <c r="M85" i="1"/>
  <c r="L85" i="1"/>
  <c r="K85" i="1"/>
  <c r="J85" i="1"/>
  <c r="E85" i="1"/>
  <c r="AB84" i="1"/>
  <c r="Z84" i="1"/>
  <c r="N84" i="1"/>
  <c r="M84" i="1"/>
  <c r="L84" i="1"/>
  <c r="K84" i="1"/>
  <c r="J84" i="1"/>
  <c r="E84" i="1"/>
  <c r="E82" i="1"/>
  <c r="J82" i="1"/>
  <c r="K82" i="1"/>
  <c r="L82" i="1"/>
  <c r="M82" i="1"/>
  <c r="N82" i="1"/>
  <c r="Z82" i="1"/>
  <c r="AB82" i="1"/>
  <c r="AB81" i="1"/>
  <c r="Z81" i="1"/>
  <c r="N81" i="1"/>
  <c r="M81" i="1"/>
  <c r="L81" i="1"/>
  <c r="K81" i="1"/>
  <c r="J81" i="1"/>
  <c r="E81" i="1"/>
  <c r="AB80" i="1"/>
  <c r="Z80" i="1"/>
  <c r="N80" i="1"/>
  <c r="M80" i="1"/>
  <c r="L80" i="1"/>
  <c r="K80" i="1"/>
  <c r="J80" i="1"/>
  <c r="E80" i="1"/>
  <c r="AB79" i="1"/>
  <c r="Z79" i="1"/>
  <c r="N79" i="1"/>
  <c r="M79" i="1"/>
  <c r="L79" i="1"/>
  <c r="K79" i="1"/>
  <c r="J79" i="1"/>
  <c r="E79" i="1"/>
  <c r="AB77" i="1"/>
  <c r="Z77" i="1"/>
  <c r="N77" i="1"/>
  <c r="M77" i="1"/>
  <c r="L77" i="1"/>
  <c r="K77" i="1"/>
  <c r="J77" i="1"/>
  <c r="E77" i="1"/>
  <c r="AB76" i="1"/>
  <c r="Z76" i="1"/>
  <c r="N76" i="1"/>
  <c r="M76" i="1"/>
  <c r="L76" i="1"/>
  <c r="K76" i="1"/>
  <c r="J76" i="1"/>
  <c r="E76" i="1"/>
  <c r="AB75" i="1"/>
  <c r="Z75" i="1"/>
  <c r="N75" i="1"/>
  <c r="M75" i="1"/>
  <c r="L75" i="1"/>
  <c r="K75" i="1"/>
  <c r="J75" i="1"/>
  <c r="E75" i="1"/>
  <c r="AB74" i="1"/>
  <c r="Z74" i="1"/>
  <c r="N74" i="1"/>
  <c r="M74" i="1"/>
  <c r="L74" i="1"/>
  <c r="K74" i="1"/>
  <c r="J74" i="1"/>
  <c r="E74" i="1"/>
  <c r="AB72" i="1"/>
  <c r="Z72" i="1"/>
  <c r="N72" i="1"/>
  <c r="M72" i="1"/>
  <c r="L72" i="1"/>
  <c r="K72" i="1"/>
  <c r="J72" i="1"/>
  <c r="E72" i="1"/>
  <c r="AB71" i="1"/>
  <c r="Z71" i="1"/>
  <c r="N71" i="1"/>
  <c r="M71" i="1"/>
  <c r="L71" i="1"/>
  <c r="K71" i="1"/>
  <c r="J71" i="1"/>
  <c r="E71" i="1"/>
  <c r="AB70" i="1"/>
  <c r="Z70" i="1"/>
  <c r="N70" i="1"/>
  <c r="M70" i="1"/>
  <c r="L70" i="1"/>
  <c r="K70" i="1"/>
  <c r="J70" i="1"/>
  <c r="E70" i="1"/>
  <c r="AB69" i="1"/>
  <c r="Z69" i="1"/>
  <c r="N69" i="1"/>
  <c r="M69" i="1"/>
  <c r="L69" i="1"/>
  <c r="K69" i="1"/>
  <c r="J69" i="1"/>
  <c r="E69" i="1"/>
  <c r="AB67" i="1"/>
  <c r="Z67" i="1"/>
  <c r="N67" i="1"/>
  <c r="M67" i="1"/>
  <c r="L67" i="1"/>
  <c r="K67" i="1"/>
  <c r="J67" i="1"/>
  <c r="E67" i="1"/>
  <c r="AB66" i="1"/>
  <c r="Z66" i="1"/>
  <c r="N66" i="1"/>
  <c r="M66" i="1"/>
  <c r="L66" i="1"/>
  <c r="K66" i="1"/>
  <c r="J66" i="1"/>
  <c r="E66" i="1"/>
  <c r="AB65" i="1"/>
  <c r="Z65" i="1"/>
  <c r="N65" i="1"/>
  <c r="M65" i="1"/>
  <c r="L65" i="1"/>
  <c r="K65" i="1"/>
  <c r="J65" i="1"/>
  <c r="E65" i="1"/>
  <c r="AB64" i="1"/>
  <c r="Z64" i="1"/>
  <c r="N64" i="1"/>
  <c r="M64" i="1"/>
  <c r="L64" i="1"/>
  <c r="K64" i="1"/>
  <c r="J64" i="1"/>
  <c r="E64" i="1"/>
  <c r="AB42" i="1"/>
  <c r="Z42" i="1"/>
  <c r="N42" i="1"/>
  <c r="M42" i="1"/>
  <c r="L42" i="1"/>
  <c r="K42" i="1"/>
  <c r="J42" i="1"/>
  <c r="E42" i="1"/>
  <c r="AB41" i="1"/>
  <c r="Z41" i="1"/>
  <c r="N41" i="1"/>
  <c r="M41" i="1"/>
  <c r="L41" i="1"/>
  <c r="K41" i="1"/>
  <c r="J41" i="1"/>
  <c r="E41" i="1"/>
  <c r="AB43" i="1"/>
  <c r="Z43" i="1"/>
  <c r="N43" i="1"/>
  <c r="M43" i="1"/>
  <c r="L43" i="1"/>
  <c r="K43" i="1"/>
  <c r="J43" i="1"/>
  <c r="E43" i="1"/>
  <c r="AB40" i="1"/>
  <c r="Z40" i="1"/>
  <c r="N40" i="1"/>
  <c r="M40" i="1"/>
  <c r="L40" i="1"/>
  <c r="K40" i="1"/>
  <c r="J40" i="1"/>
  <c r="E40" i="1"/>
  <c r="AB39" i="1"/>
  <c r="Z39" i="1"/>
  <c r="N39" i="1"/>
  <c r="M39" i="1"/>
  <c r="L39" i="1"/>
  <c r="K39" i="1"/>
  <c r="J39" i="1"/>
  <c r="E39" i="1"/>
  <c r="AB38" i="1"/>
  <c r="Z38" i="1"/>
  <c r="N38" i="1"/>
  <c r="M38" i="1"/>
  <c r="L38" i="1"/>
  <c r="K38" i="1"/>
  <c r="J38" i="1"/>
  <c r="E38" i="1"/>
  <c r="AB37" i="1"/>
  <c r="Z37" i="1"/>
  <c r="N37" i="1"/>
  <c r="M37" i="1"/>
  <c r="L37" i="1"/>
  <c r="K37" i="1"/>
  <c r="J37" i="1"/>
  <c r="E37" i="1"/>
  <c r="AB34" i="1"/>
  <c r="Z34" i="1"/>
  <c r="N34" i="1"/>
  <c r="M34" i="1"/>
  <c r="L34" i="1"/>
  <c r="K34" i="1"/>
  <c r="J34" i="1"/>
  <c r="E34" i="1"/>
  <c r="AB33" i="1"/>
  <c r="Z33" i="1"/>
  <c r="N33" i="1"/>
  <c r="M33" i="1"/>
  <c r="L33" i="1"/>
  <c r="K33" i="1"/>
  <c r="J33" i="1"/>
  <c r="E33" i="1"/>
  <c r="AB32" i="1"/>
  <c r="Z32" i="1"/>
  <c r="N32" i="1"/>
  <c r="M32" i="1"/>
  <c r="L32" i="1"/>
  <c r="K32" i="1"/>
  <c r="J32" i="1"/>
  <c r="E32" i="1"/>
  <c r="AB29" i="1"/>
  <c r="Z29" i="1"/>
  <c r="N29" i="1"/>
  <c r="M29" i="1"/>
  <c r="L29" i="1"/>
  <c r="K29" i="1"/>
  <c r="J29" i="1"/>
  <c r="E29" i="1"/>
  <c r="AB28" i="1"/>
  <c r="Z28" i="1"/>
  <c r="N28" i="1"/>
  <c r="M28" i="1"/>
  <c r="L28" i="1"/>
  <c r="K28" i="1"/>
  <c r="J28" i="1"/>
  <c r="E28" i="1"/>
  <c r="AB27" i="1"/>
  <c r="Z27" i="1"/>
  <c r="N27" i="1"/>
  <c r="M27" i="1"/>
  <c r="L27" i="1"/>
  <c r="K27" i="1"/>
  <c r="J27" i="1"/>
  <c r="E27" i="1"/>
  <c r="AB22" i="1"/>
  <c r="Z22" i="1"/>
  <c r="N22" i="1"/>
  <c r="M22" i="1"/>
  <c r="L22" i="1"/>
  <c r="K22" i="1"/>
  <c r="J22" i="1"/>
  <c r="E22" i="1"/>
  <c r="AB23" i="1"/>
  <c r="Z23" i="1"/>
  <c r="N23" i="1"/>
  <c r="M23" i="1"/>
  <c r="L23" i="1"/>
  <c r="K23" i="1"/>
  <c r="J23" i="1"/>
  <c r="E23" i="1"/>
  <c r="AB24" i="1"/>
  <c r="Z24" i="1"/>
  <c r="N24" i="1"/>
  <c r="M24" i="1"/>
  <c r="L24" i="1"/>
  <c r="K24" i="1"/>
  <c r="J24" i="1"/>
  <c r="E24" i="1"/>
  <c r="AB105" i="1"/>
  <c r="Z105" i="1"/>
  <c r="N105" i="1"/>
  <c r="M105" i="1"/>
  <c r="L105" i="1"/>
  <c r="K105" i="1"/>
  <c r="J105" i="1"/>
  <c r="E105" i="1"/>
  <c r="AB104" i="1"/>
  <c r="Z104" i="1"/>
  <c r="N104" i="1"/>
  <c r="M104" i="1"/>
  <c r="L104" i="1"/>
  <c r="K104" i="1"/>
  <c r="J104" i="1"/>
  <c r="E104" i="1"/>
  <c r="AB103" i="1"/>
  <c r="Z103" i="1"/>
  <c r="N103" i="1"/>
  <c r="M103" i="1"/>
  <c r="L103" i="1"/>
  <c r="K103" i="1"/>
  <c r="J103" i="1"/>
  <c r="E103" i="1"/>
  <c r="AB62" i="1"/>
  <c r="Z62" i="1"/>
  <c r="N62" i="1"/>
  <c r="M62" i="1"/>
  <c r="L62" i="1"/>
  <c r="K62" i="1"/>
  <c r="J62" i="1"/>
  <c r="E62" i="1"/>
  <c r="AB61" i="1"/>
  <c r="Z61" i="1"/>
  <c r="N61" i="1"/>
  <c r="M61" i="1"/>
  <c r="L61" i="1"/>
  <c r="K61" i="1"/>
  <c r="J61" i="1"/>
  <c r="E61" i="1"/>
  <c r="AB60" i="1"/>
  <c r="Z60" i="1"/>
  <c r="N60" i="1"/>
  <c r="M60" i="1"/>
  <c r="L60" i="1"/>
  <c r="K60" i="1"/>
  <c r="J60" i="1"/>
  <c r="E60" i="1"/>
  <c r="AB148" i="1"/>
  <c r="Z148" i="1"/>
  <c r="N148" i="1"/>
  <c r="M148" i="1"/>
  <c r="L148" i="1"/>
  <c r="K148" i="1"/>
  <c r="J148" i="1"/>
  <c r="E148" i="1"/>
  <c r="AB147" i="1"/>
  <c r="Z147" i="1"/>
  <c r="N147" i="1"/>
  <c r="M147" i="1"/>
  <c r="L147" i="1"/>
  <c r="K147" i="1"/>
  <c r="J147" i="1"/>
  <c r="E147" i="1"/>
  <c r="AB146" i="1"/>
  <c r="Z146" i="1"/>
  <c r="N146" i="1"/>
  <c r="M146" i="1"/>
  <c r="L146" i="1"/>
  <c r="K146" i="1"/>
  <c r="J146" i="1"/>
  <c r="E146" i="1"/>
  <c r="AB19" i="1"/>
  <c r="Z19" i="1"/>
  <c r="N19" i="1"/>
  <c r="M19" i="1"/>
  <c r="L19" i="1"/>
  <c r="K19" i="1"/>
  <c r="J19" i="1"/>
  <c r="E19" i="1"/>
  <c r="AB18" i="1"/>
  <c r="Z18" i="1"/>
  <c r="N18" i="1"/>
  <c r="M18" i="1"/>
  <c r="L18" i="1"/>
  <c r="K18" i="1"/>
  <c r="J18" i="1"/>
  <c r="E18" i="1"/>
  <c r="AB16" i="1"/>
  <c r="Z16" i="1"/>
  <c r="N16" i="1"/>
  <c r="M16" i="1"/>
  <c r="L16" i="1"/>
  <c r="K16" i="1"/>
  <c r="J16" i="1"/>
  <c r="E16" i="1"/>
  <c r="AB301" i="1"/>
  <c r="Z301" i="1"/>
  <c r="N301" i="1"/>
  <c r="M301" i="1"/>
  <c r="L301" i="1"/>
  <c r="K301" i="1"/>
  <c r="J301" i="1"/>
  <c r="E301" i="1"/>
  <c r="AB306" i="1"/>
  <c r="Z306" i="1"/>
  <c r="N306" i="1"/>
  <c r="M306" i="1"/>
  <c r="L306" i="1"/>
  <c r="K306" i="1"/>
  <c r="J306" i="1"/>
  <c r="E306" i="1"/>
  <c r="AB300" i="1"/>
  <c r="Z300" i="1"/>
  <c r="N300" i="1"/>
  <c r="M300" i="1"/>
  <c r="L300" i="1"/>
  <c r="K300" i="1"/>
  <c r="J300" i="1"/>
  <c r="E300" i="1"/>
  <c r="AB294" i="1"/>
  <c r="Z294" i="1"/>
  <c r="N294" i="1"/>
  <c r="M294" i="1"/>
  <c r="L294" i="1"/>
  <c r="K294" i="1"/>
  <c r="J294" i="1"/>
  <c r="E294" i="1"/>
  <c r="AB289" i="1"/>
  <c r="Z289" i="1"/>
  <c r="N289" i="1"/>
  <c r="M289" i="1"/>
  <c r="L289" i="1"/>
  <c r="K289" i="1"/>
  <c r="J289" i="1"/>
  <c r="AB282" i="1"/>
  <c r="Z282" i="1"/>
  <c r="N282" i="1"/>
  <c r="M282" i="1"/>
  <c r="L282" i="1"/>
  <c r="K282" i="1"/>
  <c r="J282" i="1"/>
  <c r="AB281" i="1"/>
  <c r="Z281" i="1"/>
  <c r="N281" i="1"/>
  <c r="M281" i="1"/>
  <c r="L281" i="1"/>
  <c r="K281" i="1"/>
  <c r="J281" i="1"/>
  <c r="AB275" i="1"/>
  <c r="Z275" i="1"/>
  <c r="N275" i="1"/>
  <c r="M275" i="1"/>
  <c r="L275" i="1"/>
  <c r="K275" i="1"/>
  <c r="J275" i="1"/>
  <c r="AB274" i="1"/>
  <c r="Z274" i="1"/>
  <c r="N274" i="1"/>
  <c r="M274" i="1"/>
  <c r="L274" i="1"/>
  <c r="K274" i="1"/>
  <c r="J274" i="1"/>
  <c r="AB273" i="1"/>
  <c r="Z273" i="1"/>
  <c r="N273" i="1"/>
  <c r="M273" i="1"/>
  <c r="L273" i="1"/>
  <c r="K273" i="1"/>
  <c r="J273" i="1"/>
  <c r="AB272" i="1"/>
  <c r="Z272" i="1"/>
  <c r="N272" i="1"/>
  <c r="M272" i="1"/>
  <c r="L272" i="1"/>
  <c r="K272" i="1"/>
  <c r="J272" i="1"/>
  <c r="AB266" i="1"/>
  <c r="Z266" i="1"/>
  <c r="N266" i="1"/>
  <c r="M266" i="1"/>
  <c r="L266" i="1"/>
  <c r="K266" i="1"/>
  <c r="J266" i="1"/>
  <c r="AB259" i="1"/>
  <c r="Z259" i="1"/>
  <c r="N259" i="1"/>
  <c r="M259" i="1"/>
  <c r="L259" i="1"/>
  <c r="K259" i="1"/>
  <c r="J259" i="1"/>
  <c r="AB258" i="1"/>
  <c r="Z258" i="1"/>
  <c r="N258" i="1"/>
  <c r="M258" i="1"/>
  <c r="L258" i="1"/>
  <c r="K258" i="1"/>
  <c r="J258" i="1"/>
  <c r="AB257" i="1"/>
  <c r="Z257" i="1"/>
  <c r="N257" i="1"/>
  <c r="M257" i="1"/>
  <c r="L257" i="1"/>
  <c r="K257" i="1"/>
  <c r="J257" i="1"/>
  <c r="AB256" i="1"/>
  <c r="Z256" i="1"/>
  <c r="N256" i="1"/>
  <c r="M256" i="1"/>
  <c r="L256" i="1"/>
  <c r="K256" i="1"/>
  <c r="J256" i="1"/>
  <c r="E256" i="1"/>
  <c r="AB249" i="1"/>
  <c r="Z249" i="1"/>
  <c r="N249" i="1"/>
  <c r="M249" i="1"/>
  <c r="L249" i="1"/>
  <c r="K249" i="1"/>
  <c r="J249" i="1"/>
  <c r="E249" i="1"/>
  <c r="AB248" i="1"/>
  <c r="Z248" i="1"/>
  <c r="N248" i="1"/>
  <c r="M248" i="1"/>
  <c r="L248" i="1"/>
  <c r="K248" i="1"/>
  <c r="J248" i="1"/>
  <c r="E248" i="1"/>
  <c r="AB241" i="1"/>
  <c r="Z241" i="1"/>
  <c r="N241" i="1"/>
  <c r="M241" i="1"/>
  <c r="L241" i="1"/>
  <c r="K241" i="1"/>
  <c r="J241" i="1"/>
  <c r="E241" i="1"/>
  <c r="AB240" i="1"/>
  <c r="Z240" i="1"/>
  <c r="N240" i="1"/>
  <c r="M240" i="1"/>
  <c r="L240" i="1"/>
  <c r="K240" i="1"/>
  <c r="J240" i="1"/>
  <c r="E240" i="1"/>
  <c r="AB234" i="1"/>
  <c r="Z234" i="1"/>
  <c r="N234" i="1"/>
  <c r="M234" i="1"/>
  <c r="L234" i="1"/>
  <c r="K234" i="1"/>
  <c r="J234" i="1"/>
  <c r="E234" i="1"/>
  <c r="AB232" i="1"/>
  <c r="Z232" i="1"/>
  <c r="N232" i="1"/>
  <c r="M232" i="1"/>
  <c r="L232" i="1"/>
  <c r="K232" i="1"/>
  <c r="J232" i="1"/>
  <c r="E232" i="1"/>
  <c r="AB231" i="1"/>
  <c r="Z231" i="1"/>
  <c r="N231" i="1"/>
  <c r="M231" i="1"/>
  <c r="L231" i="1"/>
  <c r="K231" i="1"/>
  <c r="J231" i="1"/>
  <c r="E231" i="1"/>
  <c r="AB230" i="1"/>
  <c r="Z230" i="1"/>
  <c r="N230" i="1"/>
  <c r="M230" i="1"/>
  <c r="L230" i="1"/>
  <c r="K230" i="1"/>
  <c r="J230" i="1"/>
  <c r="E230" i="1"/>
  <c r="AB217" i="1"/>
  <c r="Z217" i="1"/>
  <c r="N217" i="1"/>
  <c r="M217" i="1"/>
  <c r="L217" i="1"/>
  <c r="K217" i="1"/>
  <c r="J217" i="1"/>
  <c r="E217" i="1"/>
  <c r="AB216" i="1"/>
  <c r="Z216" i="1"/>
  <c r="N216" i="1"/>
  <c r="M216" i="1"/>
  <c r="L216" i="1"/>
  <c r="K216" i="1"/>
  <c r="J216" i="1"/>
  <c r="E216" i="1"/>
  <c r="AB203" i="1"/>
  <c r="Z203" i="1"/>
  <c r="N203" i="1"/>
  <c r="M203" i="1"/>
  <c r="L203" i="1"/>
  <c r="K203" i="1"/>
  <c r="J203" i="1"/>
  <c r="E203" i="1"/>
  <c r="AB202" i="1"/>
  <c r="Z202" i="1"/>
  <c r="N202" i="1"/>
  <c r="M202" i="1"/>
  <c r="L202" i="1"/>
  <c r="K202" i="1"/>
  <c r="J202" i="1"/>
  <c r="E202" i="1"/>
  <c r="AB189" i="1"/>
  <c r="Z189" i="1"/>
  <c r="N189" i="1"/>
  <c r="M189" i="1"/>
  <c r="L189" i="1"/>
  <c r="K189" i="1"/>
  <c r="J189" i="1"/>
  <c r="E189" i="1"/>
  <c r="AB188" i="1"/>
  <c r="Z188" i="1"/>
  <c r="N188" i="1"/>
  <c r="M188" i="1"/>
  <c r="L188" i="1"/>
  <c r="K188" i="1"/>
  <c r="J188" i="1"/>
  <c r="E188" i="1"/>
  <c r="AB181" i="1"/>
  <c r="Z181" i="1"/>
  <c r="N181" i="1"/>
  <c r="M181" i="1"/>
  <c r="L181" i="1"/>
  <c r="K181" i="1"/>
  <c r="J181" i="1"/>
  <c r="E181" i="1"/>
  <c r="AB180" i="1"/>
  <c r="Z180" i="1"/>
  <c r="N180" i="1"/>
  <c r="M180" i="1"/>
  <c r="L180" i="1"/>
  <c r="K180" i="1"/>
  <c r="J180" i="1"/>
  <c r="E180" i="1"/>
  <c r="AB169" i="1"/>
  <c r="Z169" i="1"/>
  <c r="N169" i="1"/>
  <c r="M169" i="1"/>
  <c r="L169" i="1"/>
  <c r="K169" i="1"/>
  <c r="J169" i="1"/>
  <c r="E169" i="1"/>
  <c r="AB164" i="1"/>
  <c r="Z164" i="1"/>
  <c r="N164" i="1"/>
  <c r="M164" i="1"/>
  <c r="L164" i="1"/>
  <c r="K164" i="1"/>
  <c r="J164" i="1"/>
  <c r="E164" i="1"/>
  <c r="AB159" i="1"/>
  <c r="Z159" i="1"/>
  <c r="N159" i="1"/>
  <c r="M159" i="1"/>
  <c r="L159" i="1"/>
  <c r="K159" i="1"/>
  <c r="J159" i="1"/>
  <c r="E159" i="1"/>
  <c r="AB154" i="1"/>
  <c r="Z154" i="1"/>
  <c r="N154" i="1"/>
  <c r="M154" i="1"/>
  <c r="L154" i="1"/>
  <c r="K154" i="1"/>
  <c r="J154" i="1"/>
  <c r="E154" i="1"/>
  <c r="AB149" i="1"/>
  <c r="Z149" i="1"/>
  <c r="N149" i="1"/>
  <c r="M149" i="1"/>
  <c r="L149" i="1"/>
  <c r="K149" i="1"/>
  <c r="J149" i="1"/>
  <c r="E149" i="1"/>
  <c r="AB145" i="1"/>
  <c r="Z145" i="1"/>
  <c r="N145" i="1"/>
  <c r="M145" i="1"/>
  <c r="L145" i="1"/>
  <c r="K145" i="1"/>
  <c r="J145" i="1"/>
  <c r="E145" i="1"/>
  <c r="AB144" i="1"/>
  <c r="Z144" i="1"/>
  <c r="N144" i="1"/>
  <c r="M144" i="1"/>
  <c r="L144" i="1"/>
  <c r="K144" i="1"/>
  <c r="J144" i="1"/>
  <c r="E144" i="1"/>
  <c r="AB143" i="1"/>
  <c r="Z143" i="1"/>
  <c r="N143" i="1"/>
  <c r="M143" i="1"/>
  <c r="L143" i="1"/>
  <c r="K143" i="1"/>
  <c r="J143" i="1"/>
  <c r="E143" i="1"/>
  <c r="AB142" i="1"/>
  <c r="Z142" i="1"/>
  <c r="N142" i="1"/>
  <c r="M142" i="1"/>
  <c r="L142" i="1"/>
  <c r="K142" i="1"/>
  <c r="J142" i="1"/>
  <c r="E142" i="1"/>
  <c r="AB141" i="1"/>
  <c r="Z141" i="1"/>
  <c r="N141" i="1"/>
  <c r="M141" i="1"/>
  <c r="L141" i="1"/>
  <c r="K141" i="1"/>
  <c r="J141" i="1"/>
  <c r="E141" i="1"/>
  <c r="AB140" i="1"/>
  <c r="Z140" i="1"/>
  <c r="N140" i="1"/>
  <c r="M140" i="1"/>
  <c r="L140" i="1"/>
  <c r="K140" i="1"/>
  <c r="J140" i="1"/>
  <c r="E140" i="1"/>
  <c r="AB139" i="1"/>
  <c r="Z139" i="1"/>
  <c r="N139" i="1"/>
  <c r="M139" i="1"/>
  <c r="L139" i="1"/>
  <c r="K139" i="1"/>
  <c r="J139" i="1"/>
  <c r="E139" i="1"/>
  <c r="AB138" i="1"/>
  <c r="Z138" i="1"/>
  <c r="N138" i="1"/>
  <c r="M138" i="1"/>
  <c r="L138" i="1"/>
  <c r="K138" i="1"/>
  <c r="J138" i="1"/>
  <c r="E138" i="1"/>
  <c r="AB137" i="1"/>
  <c r="Z137" i="1"/>
  <c r="N137" i="1"/>
  <c r="M137" i="1"/>
  <c r="L137" i="1"/>
  <c r="K137" i="1"/>
  <c r="J137" i="1"/>
  <c r="E137" i="1"/>
  <c r="AB136" i="1"/>
  <c r="Z136" i="1"/>
  <c r="N136" i="1"/>
  <c r="M136" i="1"/>
  <c r="L136" i="1"/>
  <c r="K136" i="1"/>
  <c r="J136" i="1"/>
  <c r="E136" i="1"/>
  <c r="AB135" i="1"/>
  <c r="Z135" i="1"/>
  <c r="N135" i="1"/>
  <c r="M135" i="1"/>
  <c r="L135" i="1"/>
  <c r="K135" i="1"/>
  <c r="J135" i="1"/>
  <c r="E135" i="1"/>
  <c r="AB134" i="1"/>
  <c r="Z134" i="1"/>
  <c r="N134" i="1"/>
  <c r="M134" i="1"/>
  <c r="L134" i="1"/>
  <c r="K134" i="1"/>
  <c r="J134" i="1"/>
  <c r="E134" i="1"/>
  <c r="AB133" i="1"/>
  <c r="Z133" i="1"/>
  <c r="N133" i="1"/>
  <c r="M133" i="1"/>
  <c r="L133" i="1"/>
  <c r="K133" i="1"/>
  <c r="J133" i="1"/>
  <c r="E133" i="1"/>
  <c r="AB126" i="1"/>
  <c r="Z126" i="1"/>
  <c r="N126" i="1"/>
  <c r="M126" i="1"/>
  <c r="L126" i="1"/>
  <c r="K126" i="1"/>
  <c r="J126" i="1"/>
  <c r="E126" i="1"/>
  <c r="AB121" i="1"/>
  <c r="Z121" i="1"/>
  <c r="N121" i="1"/>
  <c r="M121" i="1"/>
  <c r="L121" i="1"/>
  <c r="K121" i="1"/>
  <c r="J121" i="1"/>
  <c r="E121" i="1"/>
  <c r="AB116" i="1"/>
  <c r="Z116" i="1"/>
  <c r="N116" i="1"/>
  <c r="M116" i="1"/>
  <c r="L116" i="1"/>
  <c r="K116" i="1"/>
  <c r="J116" i="1"/>
  <c r="E116" i="1"/>
  <c r="AB111" i="1"/>
  <c r="Z111" i="1"/>
  <c r="N111" i="1"/>
  <c r="M111" i="1"/>
  <c r="L111" i="1"/>
  <c r="K111" i="1"/>
  <c r="J111" i="1"/>
  <c r="E111" i="1"/>
  <c r="AB106" i="1"/>
  <c r="Z106" i="1"/>
  <c r="N106" i="1"/>
  <c r="M106" i="1"/>
  <c r="L106" i="1"/>
  <c r="K106" i="1"/>
  <c r="J106" i="1"/>
  <c r="E106" i="1"/>
  <c r="AB102" i="1"/>
  <c r="Z102" i="1"/>
  <c r="N102" i="1"/>
  <c r="M102" i="1"/>
  <c r="L102" i="1"/>
  <c r="K102" i="1"/>
  <c r="J102" i="1"/>
  <c r="E102" i="1"/>
  <c r="AB101" i="1"/>
  <c r="Z101" i="1"/>
  <c r="N101" i="1"/>
  <c r="M101" i="1"/>
  <c r="L101" i="1"/>
  <c r="K101" i="1"/>
  <c r="J101" i="1"/>
  <c r="E101" i="1"/>
  <c r="AB100" i="1"/>
  <c r="Z100" i="1"/>
  <c r="N100" i="1"/>
  <c r="M100" i="1"/>
  <c r="L100" i="1"/>
  <c r="K100" i="1"/>
  <c r="J100" i="1"/>
  <c r="E100" i="1"/>
  <c r="AB99" i="1"/>
  <c r="Z99" i="1"/>
  <c r="N99" i="1"/>
  <c r="M99" i="1"/>
  <c r="L99" i="1"/>
  <c r="K99" i="1"/>
  <c r="J99" i="1"/>
  <c r="E99" i="1"/>
  <c r="AB98" i="1"/>
  <c r="Z98" i="1"/>
  <c r="N98" i="1"/>
  <c r="M98" i="1"/>
  <c r="L98" i="1"/>
  <c r="K98" i="1"/>
  <c r="J98" i="1"/>
  <c r="E98" i="1"/>
  <c r="AB97" i="1"/>
  <c r="Z97" i="1"/>
  <c r="N97" i="1"/>
  <c r="M97" i="1"/>
  <c r="L97" i="1"/>
  <c r="K97" i="1"/>
  <c r="J97" i="1"/>
  <c r="E97" i="1"/>
  <c r="AB96" i="1"/>
  <c r="Z96" i="1"/>
  <c r="N96" i="1"/>
  <c r="M96" i="1"/>
  <c r="L96" i="1"/>
  <c r="K96" i="1"/>
  <c r="J96" i="1"/>
  <c r="E96" i="1"/>
  <c r="AB95" i="1"/>
  <c r="Z95" i="1"/>
  <c r="N95" i="1"/>
  <c r="M95" i="1"/>
  <c r="L95" i="1"/>
  <c r="K95" i="1"/>
  <c r="J95" i="1"/>
  <c r="E95" i="1"/>
  <c r="AB94" i="1"/>
  <c r="Z94" i="1"/>
  <c r="N94" i="1"/>
  <c r="M94" i="1"/>
  <c r="L94" i="1"/>
  <c r="K94" i="1"/>
  <c r="J94" i="1"/>
  <c r="E94" i="1"/>
  <c r="AB93" i="1"/>
  <c r="Z93" i="1"/>
  <c r="N93" i="1"/>
  <c r="M93" i="1"/>
  <c r="L93" i="1"/>
  <c r="K93" i="1"/>
  <c r="J93" i="1"/>
  <c r="E93" i="1"/>
  <c r="AB92" i="1"/>
  <c r="Z92" i="1"/>
  <c r="N92" i="1"/>
  <c r="M92" i="1"/>
  <c r="L92" i="1"/>
  <c r="K92" i="1"/>
  <c r="J92" i="1"/>
  <c r="E92" i="1"/>
  <c r="AB91" i="1"/>
  <c r="Z91" i="1"/>
  <c r="N91" i="1"/>
  <c r="M91" i="1"/>
  <c r="L91" i="1"/>
  <c r="K91" i="1"/>
  <c r="J91" i="1"/>
  <c r="E91" i="1"/>
  <c r="AB90" i="1"/>
  <c r="Z90" i="1"/>
  <c r="N90" i="1"/>
  <c r="M90" i="1"/>
  <c r="L90" i="1"/>
  <c r="K90" i="1"/>
  <c r="J90" i="1"/>
  <c r="E90" i="1"/>
  <c r="AB83" i="1"/>
  <c r="Z83" i="1"/>
  <c r="N83" i="1"/>
  <c r="M83" i="1"/>
  <c r="L83" i="1"/>
  <c r="K83" i="1"/>
  <c r="J83" i="1"/>
  <c r="E83" i="1"/>
  <c r="AB78" i="1"/>
  <c r="Z78" i="1"/>
  <c r="N78" i="1"/>
  <c r="M78" i="1"/>
  <c r="L78" i="1"/>
  <c r="K78" i="1"/>
  <c r="J78" i="1"/>
  <c r="E78" i="1"/>
  <c r="AB73" i="1"/>
  <c r="Z73" i="1"/>
  <c r="N73" i="1"/>
  <c r="M73" i="1"/>
  <c r="L73" i="1"/>
  <c r="K73" i="1"/>
  <c r="J73" i="1"/>
  <c r="E73" i="1"/>
  <c r="AB68" i="1"/>
  <c r="Z68" i="1"/>
  <c r="N68" i="1"/>
  <c r="M68" i="1"/>
  <c r="L68" i="1"/>
  <c r="K68" i="1"/>
  <c r="J68" i="1"/>
  <c r="E68" i="1"/>
  <c r="AB63" i="1"/>
  <c r="Z63" i="1"/>
  <c r="N63" i="1"/>
  <c r="M63" i="1"/>
  <c r="L63" i="1"/>
  <c r="K63" i="1"/>
  <c r="J63" i="1"/>
  <c r="E63" i="1"/>
  <c r="AB59" i="1"/>
  <c r="Z59" i="1"/>
  <c r="N59" i="1"/>
  <c r="M59" i="1"/>
  <c r="L59" i="1"/>
  <c r="K59" i="1"/>
  <c r="J59" i="1"/>
  <c r="E59" i="1"/>
  <c r="AB58" i="1"/>
  <c r="Z58" i="1"/>
  <c r="N58" i="1"/>
  <c r="M58" i="1"/>
  <c r="L58" i="1"/>
  <c r="K58" i="1"/>
  <c r="J58" i="1"/>
  <c r="E58" i="1"/>
  <c r="AB57" i="1"/>
  <c r="Z57" i="1"/>
  <c r="N57" i="1"/>
  <c r="M57" i="1"/>
  <c r="L57" i="1"/>
  <c r="K57" i="1"/>
  <c r="J57" i="1"/>
  <c r="E57" i="1"/>
  <c r="AB56" i="1"/>
  <c r="Z56" i="1"/>
  <c r="N56" i="1"/>
  <c r="M56" i="1"/>
  <c r="L56" i="1"/>
  <c r="K56" i="1"/>
  <c r="J56" i="1"/>
  <c r="E56" i="1"/>
  <c r="AB55" i="1"/>
  <c r="Z55" i="1"/>
  <c r="N55" i="1"/>
  <c r="M55" i="1"/>
  <c r="L55" i="1"/>
  <c r="K55" i="1"/>
  <c r="J55" i="1"/>
  <c r="E55" i="1"/>
  <c r="AB54" i="1"/>
  <c r="Z54" i="1"/>
  <c r="N54" i="1"/>
  <c r="M54" i="1"/>
  <c r="L54" i="1"/>
  <c r="K54" i="1"/>
  <c r="J54" i="1"/>
  <c r="E54" i="1"/>
  <c r="AB53" i="1"/>
  <c r="Z53" i="1"/>
  <c r="N53" i="1"/>
  <c r="M53" i="1"/>
  <c r="L53" i="1"/>
  <c r="K53" i="1"/>
  <c r="J53" i="1"/>
  <c r="E53" i="1"/>
  <c r="AB52" i="1"/>
  <c r="Z52" i="1"/>
  <c r="N52" i="1"/>
  <c r="M52" i="1"/>
  <c r="L52" i="1"/>
  <c r="K52" i="1"/>
  <c r="J52" i="1"/>
  <c r="E52" i="1"/>
  <c r="AB51" i="1"/>
  <c r="Z51" i="1"/>
  <c r="N51" i="1"/>
  <c r="M51" i="1"/>
  <c r="L51" i="1"/>
  <c r="K51" i="1"/>
  <c r="J51" i="1"/>
  <c r="E51" i="1"/>
  <c r="AB50" i="1"/>
  <c r="Z50" i="1"/>
  <c r="N50" i="1"/>
  <c r="M50" i="1"/>
  <c r="L50" i="1"/>
  <c r="K50" i="1"/>
  <c r="J50" i="1"/>
  <c r="E50" i="1"/>
  <c r="AB49" i="1"/>
  <c r="Z49" i="1"/>
  <c r="N49" i="1"/>
  <c r="M49" i="1"/>
  <c r="L49" i="1"/>
  <c r="K49" i="1"/>
  <c r="J49" i="1"/>
  <c r="E49" i="1"/>
  <c r="AB48" i="1"/>
  <c r="Z48" i="1"/>
  <c r="N48" i="1"/>
  <c r="M48" i="1"/>
  <c r="L48" i="1"/>
  <c r="K48" i="1"/>
  <c r="J48" i="1"/>
  <c r="E48" i="1"/>
  <c r="AB47" i="1"/>
  <c r="Z47" i="1"/>
  <c r="N47" i="1"/>
  <c r="M47" i="1"/>
  <c r="L47" i="1"/>
  <c r="K47" i="1"/>
  <c r="J47" i="1"/>
  <c r="E47" i="1"/>
  <c r="AB46" i="1"/>
  <c r="Z46" i="1"/>
  <c r="N46" i="1"/>
  <c r="M46" i="1"/>
  <c r="L46" i="1"/>
  <c r="K46" i="1"/>
  <c r="J46" i="1"/>
  <c r="E46" i="1"/>
  <c r="AB45" i="1"/>
  <c r="Z45" i="1"/>
  <c r="N45" i="1"/>
  <c r="M45" i="1"/>
  <c r="L45" i="1"/>
  <c r="K45" i="1"/>
  <c r="J45" i="1"/>
  <c r="E45" i="1"/>
  <c r="AB44" i="1"/>
  <c r="Z44" i="1"/>
  <c r="N44" i="1"/>
  <c r="M44" i="1"/>
  <c r="L44" i="1"/>
  <c r="K44" i="1"/>
  <c r="J44" i="1"/>
  <c r="E44" i="1"/>
  <c r="AB36" i="1"/>
  <c r="Z36" i="1"/>
  <c r="N36" i="1"/>
  <c r="M36" i="1"/>
  <c r="L36" i="1"/>
  <c r="K36" i="1"/>
  <c r="J36" i="1"/>
  <c r="E36" i="1"/>
  <c r="AB35" i="1"/>
  <c r="Z35" i="1"/>
  <c r="N35" i="1"/>
  <c r="M35" i="1"/>
  <c r="L35" i="1"/>
  <c r="K35" i="1"/>
  <c r="J35" i="1"/>
  <c r="E35" i="1"/>
  <c r="AB31" i="1"/>
  <c r="Z31" i="1"/>
  <c r="N31" i="1"/>
  <c r="M31" i="1"/>
  <c r="L31" i="1"/>
  <c r="K31" i="1"/>
  <c r="J31" i="1"/>
  <c r="E31" i="1"/>
  <c r="AB30" i="1"/>
  <c r="Z30" i="1"/>
  <c r="N30" i="1"/>
  <c r="M30" i="1"/>
  <c r="L30" i="1"/>
  <c r="K30" i="1"/>
  <c r="J30" i="1"/>
  <c r="E30" i="1"/>
  <c r="AB26" i="1"/>
  <c r="Z26" i="1"/>
  <c r="N26" i="1"/>
  <c r="M26" i="1"/>
  <c r="L26" i="1"/>
  <c r="K26" i="1"/>
  <c r="J26" i="1"/>
  <c r="E26" i="1"/>
  <c r="AB25" i="1"/>
  <c r="Z25" i="1"/>
  <c r="N25" i="1"/>
  <c r="M25" i="1"/>
  <c r="L25" i="1"/>
  <c r="K25" i="1"/>
  <c r="J25" i="1"/>
  <c r="E25" i="1"/>
  <c r="AB21" i="1"/>
  <c r="Z21" i="1"/>
  <c r="N21" i="1"/>
  <c r="M21" i="1"/>
  <c r="L21" i="1"/>
  <c r="K21" i="1"/>
  <c r="J21" i="1"/>
  <c r="E21" i="1"/>
  <c r="AB17" i="1"/>
  <c r="Z17" i="1"/>
  <c r="N17" i="1"/>
  <c r="M17" i="1"/>
  <c r="L17" i="1"/>
  <c r="K17" i="1"/>
  <c r="J17" i="1"/>
  <c r="E17" i="1"/>
  <c r="AB15" i="1"/>
  <c r="Z15" i="1"/>
  <c r="N15" i="1"/>
  <c r="M15" i="1"/>
  <c r="L15" i="1"/>
  <c r="K15" i="1"/>
  <c r="J15" i="1"/>
  <c r="E15" i="1"/>
  <c r="AB14" i="1"/>
  <c r="Z14" i="1"/>
  <c r="N14" i="1"/>
  <c r="M14" i="1"/>
  <c r="L14" i="1"/>
  <c r="K14" i="1"/>
  <c r="J14" i="1"/>
  <c r="E14" i="1"/>
  <c r="AB13" i="1"/>
  <c r="Z13" i="1"/>
  <c r="N13" i="1"/>
  <c r="M13" i="1"/>
  <c r="L13" i="1"/>
  <c r="K13" i="1"/>
  <c r="J13" i="1"/>
  <c r="E13" i="1"/>
  <c r="AB12" i="1"/>
  <c r="Z12" i="1"/>
  <c r="N12" i="1"/>
  <c r="M12" i="1"/>
  <c r="L12" i="1"/>
  <c r="K12" i="1"/>
  <c r="J12" i="1"/>
  <c r="E12" i="1"/>
  <c r="AB11" i="1"/>
  <c r="Z11" i="1"/>
  <c r="N11" i="1"/>
  <c r="M11" i="1"/>
  <c r="L11" i="1"/>
  <c r="K11" i="1"/>
  <c r="J11" i="1"/>
  <c r="E11" i="1"/>
  <c r="AB9" i="1"/>
  <c r="Z9" i="1"/>
  <c r="N9" i="1"/>
  <c r="M9" i="1"/>
  <c r="L9" i="1"/>
  <c r="K9" i="1"/>
  <c r="J9" i="1"/>
  <c r="E9" i="1"/>
  <c r="AB8" i="1"/>
  <c r="Z8" i="1"/>
  <c r="N8" i="1"/>
  <c r="M8" i="1"/>
  <c r="L8" i="1"/>
  <c r="K8" i="1"/>
  <c r="J8" i="1"/>
  <c r="E8" i="1"/>
  <c r="AB7" i="1"/>
  <c r="Z7" i="1"/>
  <c r="N7" i="1"/>
  <c r="M7" i="1"/>
  <c r="L7" i="1"/>
  <c r="K7" i="1"/>
  <c r="J7" i="1"/>
  <c r="E7" i="1"/>
  <c r="AB6" i="1"/>
  <c r="Z6" i="1"/>
  <c r="N6" i="1"/>
  <c r="M6" i="1"/>
  <c r="L6" i="1"/>
  <c r="K6" i="1"/>
  <c r="J6" i="1"/>
  <c r="E6" i="1"/>
  <c r="AB5" i="1"/>
  <c r="Z5" i="1"/>
  <c r="N5" i="1"/>
  <c r="M5" i="1"/>
  <c r="L5" i="1"/>
  <c r="K5" i="1"/>
  <c r="J5" i="1"/>
  <c r="E5" i="1"/>
  <c r="AB4" i="1"/>
  <c r="Z4" i="1"/>
  <c r="N4" i="1"/>
  <c r="M4" i="1"/>
  <c r="L4" i="1"/>
  <c r="K4" i="1"/>
  <c r="J4" i="1"/>
  <c r="E4" i="1"/>
  <c r="AB3" i="1"/>
  <c r="Z3" i="1"/>
  <c r="N3" i="1"/>
  <c r="M3" i="1"/>
  <c r="L3" i="1"/>
  <c r="K3" i="1"/>
  <c r="J3" i="1"/>
  <c r="E3" i="1"/>
  <c r="AB20" i="1"/>
  <c r="Z20" i="1"/>
  <c r="N20" i="1"/>
  <c r="M20" i="1"/>
  <c r="L20" i="1"/>
  <c r="K20" i="1"/>
  <c r="J20" i="1"/>
  <c r="E20" i="1"/>
  <c r="AB10" i="1"/>
  <c r="Z10" i="1"/>
  <c r="N10" i="1"/>
  <c r="M10" i="1"/>
  <c r="L10" i="1"/>
  <c r="K10" i="1"/>
  <c r="J10" i="1"/>
  <c r="E10" i="1"/>
  <c r="E100" i="2"/>
  <c r="D100" i="2"/>
  <c r="B100" i="2"/>
  <c r="E99" i="2"/>
  <c r="D99" i="2"/>
  <c r="B99" i="2"/>
  <c r="E98" i="2"/>
  <c r="D98" i="2"/>
  <c r="B98" i="2"/>
  <c r="E97" i="2"/>
  <c r="D97" i="2"/>
  <c r="B97" i="2"/>
  <c r="E95" i="2"/>
  <c r="D95" i="2"/>
  <c r="B95" i="2"/>
  <c r="E94" i="2"/>
  <c r="D94" i="2"/>
  <c r="B94" i="2"/>
  <c r="E93" i="2"/>
  <c r="D93" i="2"/>
  <c r="B93" i="2"/>
  <c r="E92" i="2"/>
  <c r="D92" i="2"/>
  <c r="B92" i="2"/>
  <c r="E90" i="2"/>
  <c r="D90" i="2"/>
  <c r="B90" i="2"/>
  <c r="E89" i="2"/>
  <c r="D89" i="2"/>
  <c r="B89" i="2"/>
  <c r="E88" i="2"/>
  <c r="D88" i="2"/>
  <c r="B88" i="2"/>
  <c r="E87" i="2"/>
  <c r="D87" i="2"/>
  <c r="B87" i="2"/>
  <c r="E84" i="2"/>
  <c r="D84" i="2"/>
  <c r="B84" i="2"/>
  <c r="E83" i="2"/>
  <c r="D83" i="2"/>
  <c r="B83" i="2"/>
  <c r="E82" i="2"/>
  <c r="D82" i="2"/>
  <c r="B82" i="2"/>
  <c r="E81" i="2"/>
  <c r="D81" i="2"/>
  <c r="B81" i="2"/>
  <c r="E78" i="2"/>
  <c r="D78" i="2"/>
  <c r="B78" i="2"/>
  <c r="B80" i="2"/>
  <c r="D80" i="2"/>
  <c r="E80" i="2"/>
  <c r="E77" i="2"/>
  <c r="D77" i="2"/>
  <c r="B77" i="2"/>
  <c r="E76" i="2"/>
  <c r="D76" i="2"/>
  <c r="B76" i="2"/>
  <c r="E75" i="2"/>
  <c r="D75" i="2"/>
  <c r="B75" i="2"/>
  <c r="E72" i="2"/>
  <c r="D72" i="2"/>
  <c r="B72" i="2"/>
  <c r="E71" i="2"/>
  <c r="D71" i="2"/>
  <c r="B71" i="2"/>
  <c r="E70" i="2"/>
  <c r="D70" i="2"/>
  <c r="B70" i="2"/>
  <c r="E69" i="2"/>
  <c r="D69" i="2"/>
  <c r="B69" i="2"/>
  <c r="E66" i="2"/>
  <c r="D66" i="2"/>
  <c r="B66" i="2"/>
  <c r="E65" i="2"/>
  <c r="D65" i="2"/>
  <c r="B65" i="2"/>
  <c r="E64" i="2"/>
  <c r="D64" i="2"/>
  <c r="B64" i="2"/>
  <c r="E63" i="2"/>
  <c r="D63" i="2"/>
  <c r="B63" i="2"/>
  <c r="E61" i="2"/>
  <c r="D61" i="2"/>
  <c r="B61" i="2"/>
  <c r="E60" i="2"/>
  <c r="D60" i="2"/>
  <c r="B60" i="2"/>
  <c r="E59" i="2"/>
  <c r="D59" i="2"/>
  <c r="B59" i="2"/>
  <c r="E58" i="2"/>
  <c r="D58" i="2"/>
  <c r="B58" i="2"/>
  <c r="E56" i="2"/>
  <c r="D56" i="2"/>
  <c r="B56" i="2"/>
  <c r="E55" i="2"/>
  <c r="D55" i="2"/>
  <c r="B55" i="2"/>
  <c r="E54" i="2"/>
  <c r="D54" i="2"/>
  <c r="B54" i="2"/>
  <c r="E53" i="2"/>
  <c r="D53" i="2"/>
  <c r="B53" i="2"/>
  <c r="E51" i="2"/>
  <c r="D51" i="2"/>
  <c r="B51" i="2"/>
  <c r="E50" i="2"/>
  <c r="D50" i="2"/>
  <c r="B50" i="2"/>
  <c r="E48" i="2"/>
  <c r="D48" i="2"/>
  <c r="B48" i="2"/>
  <c r="E49" i="2"/>
  <c r="D49" i="2"/>
  <c r="B49" i="2"/>
  <c r="E46" i="2"/>
  <c r="D46" i="2"/>
  <c r="B46" i="2"/>
  <c r="E45" i="2"/>
  <c r="D45" i="2"/>
  <c r="B45" i="2"/>
  <c r="E44" i="2"/>
  <c r="D44" i="2"/>
  <c r="B44" i="2"/>
  <c r="B47" i="2"/>
  <c r="D47" i="2"/>
  <c r="E47" i="2"/>
  <c r="E43" i="2"/>
  <c r="D43" i="2"/>
  <c r="B43" i="2"/>
  <c r="E41" i="2"/>
  <c r="D41" i="2"/>
  <c r="B41" i="2"/>
  <c r="E31" i="2"/>
  <c r="D31" i="2"/>
  <c r="B31" i="2"/>
  <c r="E30" i="2"/>
  <c r="D30" i="2"/>
  <c r="B30" i="2"/>
  <c r="E29" i="2"/>
  <c r="D29" i="2"/>
  <c r="B29" i="2"/>
  <c r="E28" i="2"/>
  <c r="D28" i="2"/>
  <c r="B28" i="2"/>
  <c r="E40" i="2"/>
  <c r="D40" i="2"/>
  <c r="B40" i="2"/>
  <c r="E39" i="2"/>
  <c r="D39" i="2"/>
  <c r="B39" i="2"/>
  <c r="E38" i="2"/>
  <c r="D38" i="2"/>
  <c r="B38" i="2"/>
  <c r="E36" i="2"/>
  <c r="D36" i="2"/>
  <c r="B36" i="2"/>
  <c r="E35" i="2"/>
  <c r="D35" i="2"/>
  <c r="B35" i="2"/>
  <c r="E34" i="2"/>
  <c r="D34" i="2"/>
  <c r="B34" i="2"/>
  <c r="E33" i="2"/>
  <c r="D33" i="2"/>
  <c r="B33" i="2"/>
  <c r="E26" i="2"/>
  <c r="D26" i="2"/>
  <c r="B26" i="2"/>
  <c r="E25" i="2"/>
  <c r="D25" i="2"/>
  <c r="B25" i="2"/>
  <c r="E24" i="2"/>
  <c r="D24" i="2"/>
  <c r="B24" i="2"/>
  <c r="E23" i="2"/>
  <c r="D23" i="2"/>
  <c r="B23" i="2"/>
  <c r="E21" i="2"/>
  <c r="D21" i="2"/>
  <c r="B21" i="2"/>
  <c r="E20" i="2"/>
  <c r="D20" i="2"/>
  <c r="B20" i="2"/>
  <c r="E19" i="2"/>
  <c r="D19" i="2"/>
  <c r="B19" i="2"/>
  <c r="E18" i="2"/>
  <c r="D18" i="2"/>
  <c r="B18" i="2"/>
  <c r="E16" i="2"/>
  <c r="D16" i="2"/>
  <c r="B16" i="2"/>
  <c r="E15" i="2"/>
  <c r="D15" i="2"/>
  <c r="B15" i="2"/>
  <c r="E14" i="2"/>
  <c r="D14" i="2"/>
  <c r="B14" i="2"/>
  <c r="E13" i="2"/>
  <c r="D13" i="2"/>
  <c r="B13" i="2"/>
  <c r="E11" i="2"/>
  <c r="D11" i="2"/>
  <c r="B11" i="2"/>
  <c r="E10" i="2"/>
  <c r="D10" i="2"/>
  <c r="B10" i="2"/>
  <c r="E9" i="2"/>
  <c r="D9" i="2"/>
  <c r="B9" i="2"/>
  <c r="E8" i="2"/>
  <c r="D8" i="2"/>
  <c r="B8" i="2"/>
  <c r="E6" i="2"/>
  <c r="D6" i="2"/>
  <c r="B6" i="2"/>
  <c r="E5" i="2"/>
  <c r="D5" i="2"/>
  <c r="B5" i="2"/>
  <c r="E3" i="2"/>
  <c r="D3" i="2"/>
  <c r="B3" i="2"/>
  <c r="E4" i="2"/>
  <c r="D4" i="2"/>
  <c r="B4" i="2"/>
  <c r="B7" i="2"/>
  <c r="D7" i="2"/>
  <c r="E7" i="2"/>
  <c r="E96" i="2"/>
  <c r="D96" i="2"/>
  <c r="B96" i="2"/>
  <c r="E91" i="2"/>
  <c r="D91" i="2"/>
  <c r="B91" i="2"/>
  <c r="E68" i="2"/>
  <c r="D68" i="2"/>
  <c r="B68" i="2"/>
  <c r="E74" i="2"/>
  <c r="D74" i="2"/>
  <c r="B74" i="2"/>
  <c r="E57" i="2"/>
  <c r="D57" i="2"/>
  <c r="B57" i="2"/>
  <c r="E52" i="2"/>
  <c r="D52" i="2"/>
  <c r="B52" i="2"/>
  <c r="E42" i="2"/>
  <c r="D42" i="2"/>
  <c r="B42" i="2"/>
  <c r="E37" i="2"/>
  <c r="D37" i="2"/>
  <c r="B37" i="2"/>
  <c r="E22" i="2"/>
  <c r="D22" i="2"/>
  <c r="B22" i="2"/>
  <c r="E27" i="2"/>
  <c r="D27" i="2"/>
  <c r="B27" i="2"/>
  <c r="E12" i="2"/>
  <c r="D12" i="2"/>
  <c r="B12" i="2"/>
  <c r="E86" i="2"/>
  <c r="D86" i="2"/>
  <c r="B86" i="2"/>
  <c r="E62" i="2"/>
  <c r="D62" i="2"/>
  <c r="B62" i="2"/>
  <c r="E32" i="2"/>
  <c r="D32" i="2"/>
  <c r="B32" i="2"/>
  <c r="E17" i="2"/>
  <c r="D17" i="2"/>
  <c r="B17" i="2"/>
  <c r="W3" i="6"/>
  <c r="V3" i="6"/>
  <c r="U3" i="6"/>
  <c r="T3" i="6"/>
  <c r="S3" i="6"/>
  <c r="AA2" i="1"/>
  <c r="AD2" i="1"/>
  <c r="B2" i="2"/>
  <c r="AB2" i="1"/>
  <c r="Z2" i="1"/>
  <c r="E2" i="2"/>
  <c r="M2" i="1"/>
  <c r="N2" i="1"/>
  <c r="K2" i="1"/>
  <c r="L2" i="1"/>
  <c r="J2" i="1"/>
  <c r="D2" i="2"/>
  <c r="E2" i="1"/>
  <c r="A3" i="5"/>
  <c r="F3" i="5"/>
  <c r="E3" i="5"/>
  <c r="D3" i="5"/>
  <c r="C3" i="5"/>
  <c r="B3" i="5"/>
  <c r="B3" i="6"/>
  <c r="C3" i="6"/>
  <c r="D3" i="6"/>
  <c r="E3" i="6"/>
  <c r="F3" i="6"/>
  <c r="J3" i="6"/>
  <c r="K3" i="6"/>
  <c r="L3" i="6"/>
  <c r="M3" i="6"/>
  <c r="N3" i="6"/>
  <c r="O3" i="6"/>
  <c r="P3" i="6"/>
  <c r="Q3" i="6"/>
  <c r="R3" i="6"/>
</calcChain>
</file>

<file path=xl/sharedStrings.xml><?xml version="1.0" encoding="utf-8"?>
<sst xmlns="http://schemas.openxmlformats.org/spreadsheetml/2006/main" count="220" uniqueCount="67">
  <si>
    <t>quest_id</t>
  </si>
  <si>
    <t>stage_id</t>
  </si>
  <si>
    <t>character_id</t>
  </si>
  <si>
    <t>level</t>
  </si>
  <si>
    <t>skill_set_id</t>
    <phoneticPr fontId="4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</si>
  <si>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</si>
  <si>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</si>
  <si>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</si>
  <si>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</si>
  <si>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</si>
  <si>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</si>
  <si>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</si>
  <si>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</si>
  <si>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</si>
  <si>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</si>
  <si>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</si>
  <si>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4"/>
  </si>
  <si>
    <t>rare</t>
    <phoneticPr fontId="4"/>
  </si>
  <si>
    <t>name</t>
    <phoneticPr fontId="4"/>
  </si>
  <si>
    <t>floor_id</t>
    <phoneticPr fontId="4"/>
  </si>
  <si>
    <t>name</t>
    <phoneticPr fontId="4"/>
  </si>
  <si>
    <t>name</t>
    <phoneticPr fontId="4"/>
  </si>
  <si>
    <t>skill_set_id</t>
  </si>
  <si>
    <t>drop_label</t>
    <phoneticPr fontId="4"/>
  </si>
  <si>
    <t>color</t>
    <phoneticPr fontId="4"/>
  </si>
  <si>
    <t>size</t>
    <phoneticPr fontId="4"/>
  </si>
  <si>
    <t>character_main_tribe_id</t>
    <phoneticPr fontId="4"/>
  </si>
  <si>
    <t>drop_label</t>
    <phoneticPr fontId="6"/>
  </si>
  <si>
    <t>temp_stage</t>
    <phoneticPr fontId="4"/>
  </si>
  <si>
    <t>temp_habitats</t>
    <phoneticPr fontId="4"/>
  </si>
  <si>
    <t>temp_habitats</t>
    <phoneticPr fontId="4"/>
  </si>
  <si>
    <t>temp_floor</t>
    <phoneticPr fontId="4"/>
  </si>
  <si>
    <t>temp_floor</t>
    <phoneticPr fontId="4"/>
  </si>
  <si>
    <t>スキル</t>
    <phoneticPr fontId="4"/>
  </si>
  <si>
    <t>temp_stage</t>
    <phoneticPr fontId="4"/>
  </si>
  <si>
    <t>位置付け</t>
    <rPh sb="0" eb="3">
      <t>イチヅ</t>
    </rPh>
    <phoneticPr fontId="4"/>
  </si>
  <si>
    <t>name</t>
    <phoneticPr fontId="4"/>
  </si>
  <si>
    <t>temp_floor</t>
    <phoneticPr fontId="4"/>
  </si>
  <si>
    <t>status</t>
    <phoneticPr fontId="4"/>
  </si>
  <si>
    <t>hp_plus</t>
  </si>
  <si>
    <t>hp_plus</t>
    <phoneticPr fontId="4"/>
  </si>
  <si>
    <t>attack_plus</t>
  </si>
  <si>
    <t>attack_plus</t>
    <phoneticPr fontId="4"/>
  </si>
  <si>
    <t>defense_plus</t>
  </si>
  <si>
    <t>defense_plus</t>
    <phoneticPr fontId="4"/>
  </si>
  <si>
    <t>heal_plus</t>
  </si>
  <si>
    <t>heal_plus</t>
    <phoneticPr fontId="4"/>
  </si>
  <si>
    <t>bug</t>
  </si>
  <si>
    <t>bug</t>
    <phoneticPr fontId="4"/>
  </si>
  <si>
    <t>incidence</t>
    <phoneticPr fontId="4"/>
  </si>
  <si>
    <t>ヒュウガ</t>
  </si>
  <si>
    <t>red</t>
  </si>
  <si>
    <t>Drop1N</t>
  </si>
  <si>
    <t>ドラゴン</t>
  </si>
  <si>
    <t>ムゥ</t>
  </si>
  <si>
    <t>green</t>
  </si>
  <si>
    <t>ヒロ</t>
  </si>
  <si>
    <t>yellow</t>
  </si>
  <si>
    <t>アニマル</t>
  </si>
  <si>
    <t>ショウイン</t>
  </si>
  <si>
    <t>blue</t>
  </si>
  <si>
    <t>hp_coefficient</t>
    <phoneticPr fontId="4"/>
  </si>
  <si>
    <t>attack_coefficient</t>
    <phoneticPr fontId="4"/>
  </si>
  <si>
    <t>defense_correction</t>
    <phoneticPr fontId="4"/>
  </si>
  <si>
    <t>hp_coefficient</t>
  </si>
  <si>
    <t>attack_coefficient</t>
  </si>
  <si>
    <t>defense_correction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</si>
</sst>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$&quot;#&quot;:$&quot;#"/>
    <numFmt numFmtId="177" formatCode="0.0"/>
  </numFmts>
  <fonts count="17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CC4C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FD4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auto="1"/>
      </top>
      <bottom style="medium">
        <color auto="1"/>
      </bottom>
      <diagonal/>
    </border>
    <border>
      <left/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</borders>
  <cellStyleXfs count="1396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95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5" borderId="3" xfId="0" applyFont="1" applyFill="1" applyBorder="1" applyAlignment="1">
      <alignment vertical="center"/>
    </xf>
    <xf numFmtId="0" fontId="7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5" fillId="5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2" fillId="6" borderId="0" xfId="11" applyFont="1" applyFill="1"/>
    <xf numFmtId="176" fontId="2" fillId="6" borderId="0" xfId="11" applyNumberFormat="1" applyFont="1" applyFill="1"/>
    <xf numFmtId="0" fontId="0" fillId="7" borderId="0" xfId="0" applyFill="1"/>
    <xf numFmtId="0" fontId="10" fillId="0" borderId="0" xfId="11" applyFont="1" applyFill="1" applyBorder="1"/>
    <xf numFmtId="0" fontId="3" fillId="3" borderId="7" xfId="0" applyFont="1" applyFill="1" applyBorder="1" applyAlignment="1">
      <alignment horizontal="center" vertical="center"/>
    </xf>
    <xf numFmtId="0" fontId="11" fillId="8" borderId="0" xfId="0" applyFont="1" applyFill="1" applyAlignment="1">
      <alignment vertical="center"/>
    </xf>
    <xf numFmtId="0" fontId="5" fillId="4" borderId="7" xfId="0" applyFont="1" applyFill="1" applyBorder="1" applyAlignment="1">
      <alignment horizontal="center" vertical="center"/>
    </xf>
    <xf numFmtId="0" fontId="12" fillId="8" borderId="0" xfId="0" applyFont="1" applyFill="1"/>
    <xf numFmtId="0" fontId="13" fillId="8" borderId="0" xfId="11" applyFont="1" applyFill="1" applyBorder="1"/>
    <xf numFmtId="0" fontId="3" fillId="3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7" xfId="0" applyFont="1" applyFill="1" applyBorder="1" applyAlignment="1">
      <alignment vertical="center"/>
    </xf>
    <xf numFmtId="0" fontId="11" fillId="0" borderId="0" xfId="0" applyFont="1" applyFill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3" fillId="0" borderId="7" xfId="0" applyFont="1" applyFill="1" applyBorder="1" applyAlignment="1">
      <alignment vertical="center"/>
    </xf>
    <xf numFmtId="0" fontId="14" fillId="0" borderId="7" xfId="0" applyFont="1" applyBorder="1" applyAlignment="1">
      <alignment vertical="center"/>
    </xf>
    <xf numFmtId="0" fontId="14" fillId="0" borderId="7" xfId="0" applyFont="1" applyFill="1" applyBorder="1" applyAlignment="1">
      <alignment vertical="center"/>
    </xf>
    <xf numFmtId="0" fontId="14" fillId="0" borderId="7" xfId="0" applyFont="1" applyBorder="1" applyAlignment="1">
      <alignment horizontal="center" vertical="center"/>
    </xf>
    <xf numFmtId="0" fontId="15" fillId="0" borderId="7" xfId="0" applyFont="1" applyFill="1" applyBorder="1" applyAlignment="1">
      <alignment horizontal="center" vertical="center"/>
    </xf>
    <xf numFmtId="0" fontId="3" fillId="0" borderId="12" xfId="0" applyFont="1" applyBorder="1" applyAlignment="1">
      <alignment vertical="center"/>
    </xf>
    <xf numFmtId="0" fontId="14" fillId="0" borderId="7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vertical="center"/>
    </xf>
    <xf numFmtId="0" fontId="16" fillId="10" borderId="7" xfId="0" applyFont="1" applyFill="1" applyBorder="1" applyAlignment="1">
      <alignment vertical="center"/>
    </xf>
    <xf numFmtId="0" fontId="5" fillId="9" borderId="9" xfId="0" applyFont="1" applyFill="1" applyBorder="1" applyAlignment="1">
      <alignment vertical="center"/>
    </xf>
    <xf numFmtId="0" fontId="3" fillId="2" borderId="7" xfId="0" applyFont="1" applyFill="1" applyBorder="1" applyAlignment="1">
      <alignment horizontal="left" vertical="center"/>
    </xf>
    <xf numFmtId="177" fontId="7" fillId="0" borderId="4" xfId="0" applyNumberFormat="1" applyFont="1" applyBorder="1" applyAlignment="1">
      <alignment vertical="center"/>
    </xf>
    <xf numFmtId="0" fontId="1" fillId="6" borderId="0" xfId="11" applyFont="1" applyFill="1"/>
    <xf numFmtId="177" fontId="10" fillId="0" borderId="13" xfId="0" applyNumberFormat="1" applyFont="1" applyBorder="1" applyAlignment="1">
      <alignment vertical="center"/>
    </xf>
    <xf numFmtId="0" fontId="3" fillId="11" borderId="1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vertical="center"/>
    </xf>
    <xf numFmtId="0" fontId="3" fillId="0" borderId="2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vertical="center"/>
    </xf>
    <xf numFmtId="0" fontId="14" fillId="0" borderId="2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vertical="center"/>
    </xf>
    <xf numFmtId="0" fontId="5" fillId="5" borderId="2" xfId="0" applyFont="1" applyFill="1" applyBorder="1" applyAlignment="1">
      <alignment vertical="center"/>
    </xf>
    <xf numFmtId="0" fontId="5" fillId="5" borderId="17" xfId="0" applyFont="1" applyFill="1" applyBorder="1" applyAlignment="1">
      <alignment vertical="center"/>
    </xf>
    <xf numFmtId="0" fontId="7" fillId="0" borderId="18" xfId="0" applyFont="1" applyBorder="1" applyAlignment="1">
      <alignment vertical="center"/>
    </xf>
    <xf numFmtId="177" fontId="7" fillId="0" borderId="18" xfId="0" applyNumberFormat="1" applyFont="1" applyBorder="1" applyAlignment="1">
      <alignment vertical="center"/>
    </xf>
    <xf numFmtId="0" fontId="3" fillId="0" borderId="19" xfId="0" applyFont="1" applyBorder="1" applyAlignment="1">
      <alignment vertical="center"/>
    </xf>
    <xf numFmtId="0" fontId="3" fillId="0" borderId="20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3" fillId="0" borderId="22" xfId="0" applyFont="1" applyFill="1" applyBorder="1" applyAlignment="1">
      <alignment vertical="center"/>
    </xf>
    <xf numFmtId="0" fontId="3" fillId="0" borderId="22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5" fillId="5" borderId="22" xfId="0" applyFont="1" applyFill="1" applyBorder="1" applyAlignment="1">
      <alignment vertical="center"/>
    </xf>
    <xf numFmtId="0" fontId="7" fillId="0" borderId="23" xfId="0" applyFont="1" applyBorder="1" applyAlignment="1">
      <alignment vertical="center"/>
    </xf>
    <xf numFmtId="177" fontId="10" fillId="0" borderId="24" xfId="0" applyNumberFormat="1" applyFont="1" applyBorder="1" applyAlignment="1">
      <alignment vertical="center"/>
    </xf>
    <xf numFmtId="177" fontId="7" fillId="0" borderId="23" xfId="0" applyNumberFormat="1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3" borderId="22" xfId="0" applyFont="1" applyFill="1" applyBorder="1" applyAlignment="1">
      <alignment vertical="center"/>
    </xf>
    <xf numFmtId="0" fontId="3" fillId="0" borderId="25" xfId="0" applyFont="1" applyBorder="1" applyAlignment="1">
      <alignment vertical="center"/>
    </xf>
    <xf numFmtId="0" fontId="11" fillId="8" borderId="14" xfId="0" applyFont="1" applyFill="1" applyBorder="1" applyAlignment="1">
      <alignment vertical="center"/>
    </xf>
    <xf numFmtId="0" fontId="3" fillId="0" borderId="26" xfId="0" applyFont="1" applyFill="1" applyBorder="1" applyAlignment="1">
      <alignment vertical="center"/>
    </xf>
    <xf numFmtId="0" fontId="3" fillId="0" borderId="26" xfId="0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 vertical="center"/>
    </xf>
    <xf numFmtId="0" fontId="5" fillId="5" borderId="27" xfId="0" applyFont="1" applyFill="1" applyBorder="1" applyAlignment="1">
      <alignment vertical="center"/>
    </xf>
    <xf numFmtId="0" fontId="3" fillId="0" borderId="26" xfId="0" applyFont="1" applyBorder="1" applyAlignment="1">
      <alignment horizontal="center" vertical="center"/>
    </xf>
    <xf numFmtId="0" fontId="5" fillId="5" borderId="28" xfId="0" applyFont="1" applyFill="1" applyBorder="1" applyAlignment="1">
      <alignment vertical="center"/>
    </xf>
    <xf numFmtId="0" fontId="5" fillId="5" borderId="26" xfId="0" applyFont="1" applyFill="1" applyBorder="1" applyAlignment="1">
      <alignment vertical="center"/>
    </xf>
    <xf numFmtId="0" fontId="5" fillId="5" borderId="29" xfId="0" applyFont="1" applyFill="1" applyBorder="1" applyAlignment="1">
      <alignment vertical="center"/>
    </xf>
    <xf numFmtId="0" fontId="7" fillId="0" borderId="27" xfId="0" applyFont="1" applyBorder="1" applyAlignment="1">
      <alignment vertical="center"/>
    </xf>
    <xf numFmtId="177" fontId="7" fillId="0" borderId="27" xfId="0" applyNumberFormat="1" applyFont="1" applyBorder="1" applyAlignment="1">
      <alignment vertical="center"/>
    </xf>
    <xf numFmtId="0" fontId="16" fillId="10" borderId="26" xfId="0" applyFont="1" applyFill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5" fillId="9" borderId="28" xfId="0" applyFont="1" applyFill="1" applyBorder="1" applyAlignment="1">
      <alignment vertical="center"/>
    </xf>
    <xf numFmtId="0" fontId="3" fillId="3" borderId="26" xfId="0" applyFont="1" applyFill="1" applyBorder="1" applyAlignment="1">
      <alignment vertical="center"/>
    </xf>
    <xf numFmtId="0" fontId="3" fillId="0" borderId="30" xfId="0" applyFont="1" applyBorder="1" applyAlignment="1">
      <alignment vertical="center"/>
    </xf>
    <xf numFmtId="0" fontId="3" fillId="0" borderId="14" xfId="0" applyFont="1" applyBorder="1" applyAlignment="1">
      <alignment vertical="center"/>
    </xf>
  </cellXfs>
  <cellStyles count="1396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標準" xfId="0" builtinId="0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quest_bonuses"/>
      <sheetName val="automatic_quest_bonuses"/>
      <sheetName val="quests.csv"/>
      <sheetName val="quests_i18n.csv"/>
      <sheetName val="stages.csv"/>
      <sheetName val="stages_i18n.csv"/>
      <sheetName val="weekly_quests.csv"/>
      <sheetName val="rank_quests.csv"/>
      <sheetName val="event_quests.csv"/>
      <sheetName val="guerilla_quests.csv"/>
      <sheetName val="noon_guerilla_times.csv"/>
      <sheetName val="night_guerilla_times.csv"/>
      <sheetName val="quest_bonuses.csv"/>
      <sheetName val="automatic_quest_bonuses.csv"/>
    </sheetNames>
    <sheetDataSet>
      <sheetData sheetId="0"/>
      <sheetData sheetId="1">
        <row r="1">
          <cell r="A1" t="str">
            <v>quest_id</v>
          </cell>
          <cell r="B1" t="str">
            <v>quest_type</v>
          </cell>
          <cell r="C1" t="str">
            <v>name</v>
          </cell>
          <cell r="D1" t="str">
            <v>detail</v>
          </cell>
          <cell r="E1" t="str">
            <v>valid_flg</v>
          </cell>
          <cell r="F1" t="str">
            <v>位置付け</v>
          </cell>
          <cell r="G1" t="str">
            <v>備考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12001</v>
          </cell>
        </row>
        <row r="63">
          <cell r="A63">
            <v>13001</v>
          </cell>
        </row>
        <row r="64">
          <cell r="A64">
            <v>20001</v>
          </cell>
        </row>
        <row r="65">
          <cell r="A65">
            <v>20002</v>
          </cell>
        </row>
        <row r="66">
          <cell r="A66">
            <v>20003</v>
          </cell>
        </row>
        <row r="67">
          <cell r="A67">
            <v>20004</v>
          </cell>
        </row>
        <row r="68">
          <cell r="A68">
            <v>20005</v>
          </cell>
        </row>
        <row r="69">
          <cell r="A69">
            <v>20006</v>
          </cell>
        </row>
        <row r="70">
          <cell r="A70">
            <v>20007</v>
          </cell>
        </row>
        <row r="71">
          <cell r="A71">
            <v>20008</v>
          </cell>
        </row>
        <row r="72">
          <cell r="A72">
            <v>20009</v>
          </cell>
        </row>
        <row r="73">
          <cell r="A73">
            <v>20010</v>
          </cell>
        </row>
        <row r="74">
          <cell r="A74">
            <v>20011</v>
          </cell>
        </row>
        <row r="75">
          <cell r="A75">
            <v>20012</v>
          </cell>
        </row>
        <row r="76">
          <cell r="A76">
            <v>30001</v>
          </cell>
        </row>
        <row r="77">
          <cell r="A77">
            <v>30002</v>
          </cell>
        </row>
        <row r="78">
          <cell r="A78">
            <v>30003</v>
          </cell>
        </row>
        <row r="79">
          <cell r="A79">
            <v>30004</v>
          </cell>
        </row>
        <row r="80">
          <cell r="A80">
            <v>30005</v>
          </cell>
        </row>
        <row r="81">
          <cell r="A81">
            <v>30006</v>
          </cell>
        </row>
        <row r="82">
          <cell r="A82">
            <v>30007</v>
          </cell>
        </row>
        <row r="83">
          <cell r="A83">
            <v>30008</v>
          </cell>
        </row>
        <row r="84">
          <cell r="A84">
            <v>30009</v>
          </cell>
        </row>
        <row r="85">
          <cell r="A85">
            <v>30010</v>
          </cell>
        </row>
        <row r="86">
          <cell r="A86">
            <v>30011</v>
          </cell>
        </row>
        <row r="87">
          <cell r="A87">
            <v>30012</v>
          </cell>
        </row>
        <row r="88">
          <cell r="A88">
            <v>40001</v>
          </cell>
        </row>
        <row r="89">
          <cell r="A89">
            <v>40002</v>
          </cell>
        </row>
        <row r="90">
          <cell r="A90">
            <v>40003</v>
          </cell>
        </row>
        <row r="91">
          <cell r="A91">
            <v>65535</v>
          </cell>
        </row>
      </sheetData>
      <sheetData sheetId="2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name</v>
          </cell>
          <cell r="H2" t="str">
            <v>位置付け</v>
          </cell>
          <cell r="I2" t="str">
            <v>thumbnail_character_id</v>
          </cell>
          <cell r="J2" t="str">
            <v>stamina</v>
          </cell>
          <cell r="K2" t="str">
            <v>rank_exp</v>
          </cell>
          <cell r="L2" t="str">
            <v>red_flg</v>
          </cell>
          <cell r="M2" t="str">
            <v>blue_flg</v>
          </cell>
          <cell r="N2" t="str">
            <v>green_flg</v>
          </cell>
          <cell r="O2" t="str">
            <v>yellow_flg</v>
          </cell>
          <cell r="P2" t="str">
            <v>heal_flg</v>
          </cell>
          <cell r="Q2" t="str">
            <v>attack_count</v>
          </cell>
          <cell r="R2" t="str">
            <v>treasure_type</v>
          </cell>
          <cell r="S2" t="str">
            <v>treasure_value</v>
          </cell>
          <cell r="T2" t="str">
            <v>prev_quest_id</v>
          </cell>
          <cell r="U2" t="str">
            <v>prev_stage_id</v>
          </cell>
          <cell r="V2" t="str">
            <v>name</v>
          </cell>
          <cell r="W2" t="str">
            <v>completable_time</v>
          </cell>
          <cell r="X2" t="str">
            <v>background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11002_1</v>
          </cell>
        </row>
        <row r="200">
          <cell r="A200" t="str">
            <v>11002_2</v>
          </cell>
        </row>
        <row r="201">
          <cell r="A201" t="str">
            <v>11002_3</v>
          </cell>
        </row>
        <row r="202">
          <cell r="A202" t="str">
            <v>11003_1</v>
          </cell>
        </row>
        <row r="203">
          <cell r="A203" t="str">
            <v>11003_2</v>
          </cell>
        </row>
        <row r="204">
          <cell r="A204" t="str">
            <v>11003_3</v>
          </cell>
        </row>
        <row r="205">
          <cell r="A205" t="str">
            <v>11004_1</v>
          </cell>
        </row>
        <row r="206">
          <cell r="A206" t="str">
            <v>11004_2</v>
          </cell>
        </row>
        <row r="207">
          <cell r="A207" t="str">
            <v>11004_3</v>
          </cell>
        </row>
        <row r="208">
          <cell r="A208" t="str">
            <v>11005_1</v>
          </cell>
        </row>
        <row r="209">
          <cell r="A209" t="str">
            <v>11005_2</v>
          </cell>
        </row>
        <row r="210">
          <cell r="A210" t="str">
            <v>11005_3</v>
          </cell>
        </row>
        <row r="211">
          <cell r="A211" t="str">
            <v>11005_4</v>
          </cell>
        </row>
        <row r="212">
          <cell r="A212" t="str">
            <v>11006_1</v>
          </cell>
        </row>
        <row r="213">
          <cell r="A213" t="str">
            <v>11006_2</v>
          </cell>
        </row>
        <row r="214">
          <cell r="A214" t="str">
            <v>11006_3</v>
          </cell>
        </row>
        <row r="215">
          <cell r="A215" t="str">
            <v>11101_1</v>
          </cell>
        </row>
        <row r="216">
          <cell r="A216" t="str">
            <v>11101_2</v>
          </cell>
        </row>
        <row r="217">
          <cell r="A217" t="str">
            <v>11101_3</v>
          </cell>
        </row>
        <row r="218">
          <cell r="A218" t="str">
            <v>11102_1</v>
          </cell>
        </row>
        <row r="219">
          <cell r="A219" t="str">
            <v>11102_2</v>
          </cell>
        </row>
        <row r="220">
          <cell r="A220" t="str">
            <v>11102_3</v>
          </cell>
        </row>
        <row r="221">
          <cell r="A221" t="str">
            <v>11103_1</v>
          </cell>
        </row>
        <row r="222">
          <cell r="A222" t="str">
            <v>11103_2</v>
          </cell>
        </row>
        <row r="223">
          <cell r="A223" t="str">
            <v>11103_3</v>
          </cell>
        </row>
        <row r="224">
          <cell r="A224" t="str">
            <v>11104_1</v>
          </cell>
        </row>
        <row r="225">
          <cell r="A225" t="str">
            <v>11104_2</v>
          </cell>
        </row>
        <row r="226">
          <cell r="A226" t="str">
            <v>11104_3</v>
          </cell>
        </row>
        <row r="227">
          <cell r="A227" t="str">
            <v>11105_1</v>
          </cell>
        </row>
        <row r="228">
          <cell r="A228" t="str">
            <v>11105_2</v>
          </cell>
        </row>
        <row r="229">
          <cell r="A229" t="str">
            <v>11105_3</v>
          </cell>
        </row>
        <row r="230">
          <cell r="A230" t="str">
            <v>11105_4</v>
          </cell>
        </row>
        <row r="231">
          <cell r="A231" t="str">
            <v>11106_1</v>
          </cell>
        </row>
        <row r="232">
          <cell r="A232" t="str">
            <v>11106_2</v>
          </cell>
        </row>
        <row r="233">
          <cell r="A233" t="str">
            <v>11106_3</v>
          </cell>
        </row>
        <row r="234">
          <cell r="A234" t="str">
            <v>11206_1</v>
          </cell>
        </row>
        <row r="235">
          <cell r="A235" t="str">
            <v>11206_2</v>
          </cell>
        </row>
        <row r="236">
          <cell r="A236" t="str">
            <v>11206_3</v>
          </cell>
        </row>
        <row r="237">
          <cell r="A237" t="str">
            <v>12001_1</v>
          </cell>
        </row>
        <row r="238">
          <cell r="A238" t="str">
            <v>12001_2</v>
          </cell>
        </row>
        <row r="239">
          <cell r="A239" t="str">
            <v>13001_1</v>
          </cell>
        </row>
        <row r="240">
          <cell r="A240" t="str">
            <v>13001_2</v>
          </cell>
        </row>
        <row r="241">
          <cell r="A241" t="str">
            <v>13001_3</v>
          </cell>
        </row>
        <row r="242">
          <cell r="A242" t="str">
            <v>13001_4</v>
          </cell>
        </row>
        <row r="243">
          <cell r="A243" t="str">
            <v>13001_5</v>
          </cell>
        </row>
        <row r="244">
          <cell r="A244" t="str">
            <v>13001_6</v>
          </cell>
        </row>
        <row r="245">
          <cell r="A245" t="str">
            <v>13001_7</v>
          </cell>
        </row>
        <row r="246">
          <cell r="A246" t="str">
            <v>13001_8</v>
          </cell>
        </row>
        <row r="247">
          <cell r="A247" t="str">
            <v>13001_9</v>
          </cell>
        </row>
        <row r="248">
          <cell r="A248" t="str">
            <v>13001_10</v>
          </cell>
        </row>
        <row r="249">
          <cell r="A249" t="str">
            <v>13001_11</v>
          </cell>
        </row>
        <row r="250">
          <cell r="A250" t="str">
            <v>13001_12</v>
          </cell>
        </row>
        <row r="251">
          <cell r="A251" t="str">
            <v>13001_13</v>
          </cell>
        </row>
        <row r="252">
          <cell r="A252" t="str">
            <v>13001_14</v>
          </cell>
        </row>
        <row r="253">
          <cell r="A253" t="str">
            <v>13001_15</v>
          </cell>
        </row>
        <row r="254">
          <cell r="A254" t="str">
            <v>13001_16</v>
          </cell>
        </row>
        <row r="255">
          <cell r="A255" t="str">
            <v>13001_17</v>
          </cell>
        </row>
        <row r="256">
          <cell r="A256" t="str">
            <v>13001_18</v>
          </cell>
        </row>
        <row r="257">
          <cell r="A257" t="str">
            <v>13001_19</v>
          </cell>
        </row>
        <row r="258">
          <cell r="A258" t="str">
            <v>13001_20</v>
          </cell>
        </row>
        <row r="259">
          <cell r="A259" t="str">
            <v>13001_21</v>
          </cell>
        </row>
        <row r="260">
          <cell r="A260" t="str">
            <v>13001_22</v>
          </cell>
        </row>
        <row r="261">
          <cell r="A261" t="str">
            <v>13001_23</v>
          </cell>
        </row>
        <row r="262">
          <cell r="A262" t="str">
            <v>13001_24</v>
          </cell>
        </row>
        <row r="263">
          <cell r="A263" t="str">
            <v>13001_25</v>
          </cell>
        </row>
        <row r="264">
          <cell r="A264" t="str">
            <v>20001_1</v>
          </cell>
        </row>
        <row r="265">
          <cell r="A265" t="str">
            <v>20001_2</v>
          </cell>
        </row>
        <row r="266">
          <cell r="A266" t="str">
            <v>20001_3</v>
          </cell>
        </row>
        <row r="267">
          <cell r="A267" t="str">
            <v>20002_1</v>
          </cell>
        </row>
        <row r="268">
          <cell r="A268" t="str">
            <v>20002_2</v>
          </cell>
        </row>
        <row r="269">
          <cell r="A269" t="str">
            <v>20002_3</v>
          </cell>
        </row>
        <row r="270">
          <cell r="A270" t="str">
            <v>20003_1</v>
          </cell>
        </row>
        <row r="271">
          <cell r="A271" t="str">
            <v>20003_2</v>
          </cell>
        </row>
        <row r="272">
          <cell r="A272" t="str">
            <v>20003_3</v>
          </cell>
        </row>
        <row r="273">
          <cell r="A273" t="str">
            <v>20004_1</v>
          </cell>
        </row>
        <row r="274">
          <cell r="A274" t="str">
            <v>20004_2</v>
          </cell>
        </row>
        <row r="275">
          <cell r="A275" t="str">
            <v>20004_3</v>
          </cell>
        </row>
        <row r="276">
          <cell r="A276" t="str">
            <v>20005_1</v>
          </cell>
        </row>
        <row r="277">
          <cell r="A277" t="str">
            <v>20005_2</v>
          </cell>
        </row>
        <row r="278">
          <cell r="A278" t="str">
            <v>20005_3</v>
          </cell>
        </row>
        <row r="279">
          <cell r="A279" t="str">
            <v>20006_1</v>
          </cell>
        </row>
        <row r="280">
          <cell r="A280" t="str">
            <v>20006_2</v>
          </cell>
        </row>
        <row r="281">
          <cell r="A281" t="str">
            <v>20006_3</v>
          </cell>
        </row>
        <row r="282">
          <cell r="A282" t="str">
            <v>20007_1</v>
          </cell>
        </row>
        <row r="283">
          <cell r="A283" t="str">
            <v>20007_2</v>
          </cell>
        </row>
        <row r="284">
          <cell r="A284" t="str">
            <v>20007_3</v>
          </cell>
        </row>
        <row r="285">
          <cell r="A285" t="str">
            <v>20008_1</v>
          </cell>
        </row>
        <row r="286">
          <cell r="A286" t="str">
            <v>20008_2</v>
          </cell>
        </row>
        <row r="287">
          <cell r="A287" t="str">
            <v>20008_3</v>
          </cell>
        </row>
        <row r="288">
          <cell r="A288" t="str">
            <v>20009_1</v>
          </cell>
        </row>
        <row r="289">
          <cell r="A289" t="str">
            <v>20009_2</v>
          </cell>
        </row>
        <row r="290">
          <cell r="A290" t="str">
            <v>20009_3</v>
          </cell>
        </row>
        <row r="291">
          <cell r="A291" t="str">
            <v>20010_1</v>
          </cell>
        </row>
        <row r="292">
          <cell r="A292" t="str">
            <v>20010_2</v>
          </cell>
        </row>
        <row r="293">
          <cell r="A293" t="str">
            <v>20010_3</v>
          </cell>
        </row>
        <row r="294">
          <cell r="A294" t="str">
            <v>20011_1</v>
          </cell>
        </row>
        <row r="295">
          <cell r="A295" t="str">
            <v>20011_2</v>
          </cell>
        </row>
        <row r="296">
          <cell r="A296" t="str">
            <v>20011_3</v>
          </cell>
        </row>
        <row r="297">
          <cell r="A297" t="str">
            <v>20012_1</v>
          </cell>
        </row>
        <row r="298">
          <cell r="A298" t="str">
            <v>20012_2</v>
          </cell>
        </row>
        <row r="299">
          <cell r="A299" t="str">
            <v>20012_3</v>
          </cell>
        </row>
        <row r="300">
          <cell r="A300" t="str">
            <v>30001_1</v>
          </cell>
        </row>
        <row r="301">
          <cell r="A301" t="str">
            <v>30001_2</v>
          </cell>
        </row>
        <row r="302">
          <cell r="A302" t="str">
            <v>30001_3</v>
          </cell>
        </row>
        <row r="303">
          <cell r="A303" t="str">
            <v>30002_1</v>
          </cell>
        </row>
        <row r="304">
          <cell r="A304" t="str">
            <v>30002_2</v>
          </cell>
        </row>
        <row r="305">
          <cell r="A305" t="str">
            <v>30002_3</v>
          </cell>
        </row>
        <row r="306">
          <cell r="A306" t="str">
            <v>30003_1</v>
          </cell>
        </row>
        <row r="307">
          <cell r="A307" t="str">
            <v>30003_2</v>
          </cell>
        </row>
        <row r="308">
          <cell r="A308" t="str">
            <v>30003_3</v>
          </cell>
        </row>
        <row r="309">
          <cell r="A309" t="str">
            <v>30004_1</v>
          </cell>
        </row>
        <row r="310">
          <cell r="A310" t="str">
            <v>30004_2</v>
          </cell>
        </row>
        <row r="311">
          <cell r="A311" t="str">
            <v>30004_3</v>
          </cell>
        </row>
        <row r="312">
          <cell r="A312" t="str">
            <v>30005_1</v>
          </cell>
        </row>
        <row r="313">
          <cell r="A313" t="str">
            <v>30005_2</v>
          </cell>
        </row>
        <row r="314">
          <cell r="A314" t="str">
            <v>30005_3</v>
          </cell>
        </row>
        <row r="315">
          <cell r="A315" t="str">
            <v>30006_1</v>
          </cell>
        </row>
        <row r="316">
          <cell r="A316" t="str">
            <v>30006_2</v>
          </cell>
        </row>
        <row r="317">
          <cell r="A317" t="str">
            <v>30006_3</v>
          </cell>
        </row>
        <row r="318">
          <cell r="A318" t="str">
            <v>30007_1</v>
          </cell>
        </row>
        <row r="319">
          <cell r="A319" t="str">
            <v>30007_2</v>
          </cell>
        </row>
        <row r="320">
          <cell r="A320" t="str">
            <v>30007_3</v>
          </cell>
        </row>
        <row r="321">
          <cell r="A321" t="str">
            <v>30008_1</v>
          </cell>
        </row>
        <row r="322">
          <cell r="A322" t="str">
            <v>30008_2</v>
          </cell>
        </row>
        <row r="323">
          <cell r="A323" t="str">
            <v>30008_3</v>
          </cell>
        </row>
        <row r="324">
          <cell r="A324" t="str">
            <v>30009_1</v>
          </cell>
        </row>
        <row r="325">
          <cell r="A325" t="str">
            <v>30009_2</v>
          </cell>
        </row>
        <row r="326">
          <cell r="A326" t="str">
            <v>30009_3</v>
          </cell>
        </row>
        <row r="327">
          <cell r="A327" t="str">
            <v>30010_1</v>
          </cell>
        </row>
        <row r="328">
          <cell r="A328" t="str">
            <v>30010_2</v>
          </cell>
        </row>
        <row r="329">
          <cell r="A329" t="str">
            <v>30010_3</v>
          </cell>
        </row>
        <row r="330">
          <cell r="A330" t="str">
            <v>30011_1</v>
          </cell>
        </row>
        <row r="331">
          <cell r="A331" t="str">
            <v>30011_2</v>
          </cell>
        </row>
        <row r="332">
          <cell r="A332" t="str">
            <v>30011_3</v>
          </cell>
        </row>
        <row r="333">
          <cell r="A333" t="str">
            <v>30012_1</v>
          </cell>
        </row>
        <row r="334">
          <cell r="A334" t="str">
            <v>30012_2</v>
          </cell>
        </row>
        <row r="335">
          <cell r="A335" t="str">
            <v>30012_3</v>
          </cell>
        </row>
        <row r="336">
          <cell r="A336" t="str">
            <v>40001_1</v>
          </cell>
        </row>
        <row r="337">
          <cell r="A337" t="str">
            <v>40002_1</v>
          </cell>
        </row>
        <row r="338">
          <cell r="A338" t="str">
            <v>40003_1</v>
          </cell>
        </row>
        <row r="339">
          <cell r="A339" t="str">
            <v>65535_1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enemies"/>
      <sheetName val="enemy_base_stats"/>
      <sheetName val="enemies.csv"/>
      <sheetName val="enemy_base_stats.dat"/>
      <sheetName val="enemy_levels_calc.dat"/>
      <sheetName val="サイズ別係数"/>
      <sheetName val="ラベル別係数"/>
      <sheetName val="ターン数別攻撃係数"/>
      <sheetName val="特殊モンスターレベル"/>
    </sheetNames>
    <sheetDataSet>
      <sheetData sheetId="0">
        <row r="1">
          <cell r="A1" t="str">
            <v>別ファイル</v>
          </cell>
        </row>
        <row r="2">
          <cell r="A2" t="str">
            <v>character_id</v>
          </cell>
          <cell r="B2" t="str">
            <v>name</v>
          </cell>
          <cell r="C2" t="str">
            <v>rare</v>
          </cell>
          <cell r="D2" t="str">
            <v>color</v>
          </cell>
          <cell r="E2" t="str">
            <v>HP係数</v>
          </cell>
          <cell r="F2" t="str">
            <v>攻撃係数</v>
          </cell>
          <cell r="G2" t="str">
            <v>防御系数</v>
          </cell>
          <cell r="H2" t="str">
            <v>character_type_id</v>
          </cell>
          <cell r="I2" t="str">
            <v>name</v>
          </cell>
          <cell r="J2" t="str">
            <v>HP係数</v>
          </cell>
          <cell r="K2" t="str">
            <v>攻撃係数</v>
          </cell>
          <cell r="L2" t="str">
            <v>防御係数</v>
          </cell>
          <cell r="M2" t="str">
            <v>character_main_tribe_id</v>
          </cell>
          <cell r="N2" t="str">
            <v>name</v>
          </cell>
          <cell r="O2" t="str">
            <v>HP係数</v>
          </cell>
          <cell r="P2" t="str">
            <v>攻撃係数</v>
          </cell>
          <cell r="Q2" t="str">
            <v>防御係数</v>
          </cell>
          <cell r="R2" t="str">
            <v>ラベル</v>
          </cell>
          <cell r="S2" t="str">
            <v>HP係数</v>
          </cell>
          <cell r="T2" t="str">
            <v>攻撃係数</v>
          </cell>
          <cell r="U2" t="str">
            <v>防御係数</v>
          </cell>
          <cell r="V2" t="str">
            <v>speed</v>
          </cell>
          <cell r="W2" t="str">
            <v>攻撃系数</v>
          </cell>
          <cell r="X2" t="str">
            <v>size</v>
          </cell>
          <cell r="Y2" t="str">
            <v>HP係数</v>
          </cell>
          <cell r="Z2" t="str">
            <v>攻撃係数</v>
          </cell>
          <cell r="AA2" t="str">
            <v>防御係数</v>
          </cell>
          <cell r="AB2" t="str">
            <v>skill_set_id</v>
          </cell>
          <cell r="AC2" t="str">
            <v>comment</v>
          </cell>
          <cell r="AD2" t="str">
            <v>HP係数</v>
          </cell>
          <cell r="AE2" t="str">
            <v>攻撃係数</v>
          </cell>
          <cell r="AF2" t="str">
            <v>防御係数</v>
          </cell>
          <cell r="AG2" t="str">
            <v>min_hp</v>
          </cell>
          <cell r="AH2" t="str">
            <v>min_attack</v>
          </cell>
          <cell r="AI2" t="str">
            <v>min_defense</v>
          </cell>
          <cell r="AJ2" t="str">
            <v>max_hp</v>
          </cell>
          <cell r="AK2" t="str">
            <v>max_attack</v>
          </cell>
          <cell r="AL2" t="str">
            <v>max_defense</v>
          </cell>
          <cell r="AM2" t="str">
            <v>base_reward_bits</v>
          </cell>
          <cell r="AN2" t="str">
            <v>base_reward_exp</v>
          </cell>
          <cell r="AO2" t="str">
            <v>skip</v>
          </cell>
          <cell r="AP2" t="str">
            <v>level_test</v>
          </cell>
          <cell r="AQ2" t="str">
            <v>enemy_id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  <row r="370">
          <cell r="A370">
            <v>368</v>
          </cell>
        </row>
        <row r="371">
          <cell r="A371">
            <v>369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ステータス"/>
      <sheetName val="属性"/>
      <sheetName val="characters"/>
      <sheetName val="characters_i18n"/>
      <sheetName val="character_type_i18n"/>
      <sheetName val="character_tribe_i18n"/>
      <sheetName val="characters.csv"/>
      <sheetName val="characters_i18n.csv"/>
      <sheetName val="character_type_i18n.csv"/>
      <sheetName val="character_tribe_i18n.csv"/>
    </sheetNames>
    <sheetDataSet>
      <sheetData sheetId="0"/>
      <sheetData sheetId="1"/>
      <sheetData sheetId="2">
        <row r="1">
          <cell r="A1" t="str">
            <v>ID</v>
          </cell>
        </row>
        <row r="2">
          <cell r="A2" t="str">
            <v>character_id</v>
          </cell>
          <cell r="B2" t="str">
            <v>name</v>
          </cell>
          <cell r="C2" t="str">
            <v>特徴</v>
          </cell>
          <cell r="D2" t="str">
            <v>勢力</v>
          </cell>
          <cell r="E2" t="str">
            <v>訴求軸</v>
          </cell>
          <cell r="F2" t="str">
            <v>性別</v>
          </cell>
          <cell r="G2" t="str">
            <v>color</v>
          </cell>
          <cell r="H2" t="str">
            <v>rare</v>
          </cell>
          <cell r="I2" t="str">
            <v>drop_label</v>
          </cell>
          <cell r="J2" t="str">
            <v>character_type_id</v>
          </cell>
          <cell r="K2" t="str">
            <v>name</v>
          </cell>
          <cell r="L2" t="str">
            <v>character_main_tribe_id</v>
          </cell>
          <cell r="M2" t="str">
            <v>name</v>
          </cell>
          <cell r="N2" t="str">
            <v>character_sub_tribe_id</v>
          </cell>
          <cell r="O2" t="str">
            <v>name</v>
          </cell>
          <cell r="P2" t="str">
            <v>スキルタイプ</v>
          </cell>
          <cell r="Q2" t="str">
            <v>valid_flg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  <row r="370">
          <cell r="A370">
            <v>368</v>
          </cell>
        </row>
        <row r="371">
          <cell r="A371">
            <v>369</v>
          </cell>
        </row>
        <row r="372">
          <cell r="A372">
            <v>370</v>
          </cell>
        </row>
        <row r="373">
          <cell r="A373">
            <v>371</v>
          </cell>
        </row>
        <row r="374">
          <cell r="A374">
            <v>372</v>
          </cell>
        </row>
        <row r="375">
          <cell r="A375">
            <v>373</v>
          </cell>
        </row>
        <row r="376">
          <cell r="A376">
            <v>374</v>
          </cell>
        </row>
        <row r="377">
          <cell r="A377">
            <v>375</v>
          </cell>
        </row>
        <row r="378">
          <cell r="A378">
            <v>376</v>
          </cell>
        </row>
        <row r="379">
          <cell r="A379">
            <v>377</v>
          </cell>
        </row>
        <row r="380">
          <cell r="A380">
            <v>378</v>
          </cell>
        </row>
        <row r="381">
          <cell r="A381">
            <v>379</v>
          </cell>
        </row>
        <row r="382">
          <cell r="A382">
            <v>380</v>
          </cell>
        </row>
        <row r="383">
          <cell r="A383">
            <v>381</v>
          </cell>
        </row>
        <row r="384">
          <cell r="A384">
            <v>382</v>
          </cell>
        </row>
        <row r="385">
          <cell r="A385">
            <v>383</v>
          </cell>
        </row>
        <row r="386">
          <cell r="A386">
            <v>384</v>
          </cell>
        </row>
        <row r="387">
          <cell r="A387">
            <v>385</v>
          </cell>
        </row>
        <row r="388">
          <cell r="A388">
            <v>386</v>
          </cell>
        </row>
        <row r="389">
          <cell r="A389">
            <v>387</v>
          </cell>
        </row>
        <row r="390">
          <cell r="A390">
            <v>388</v>
          </cell>
        </row>
        <row r="391">
          <cell r="A391">
            <v>389</v>
          </cell>
        </row>
        <row r="392">
          <cell r="A392">
            <v>390</v>
          </cell>
        </row>
        <row r="393">
          <cell r="A393">
            <v>391</v>
          </cell>
        </row>
        <row r="394">
          <cell r="A394">
            <v>392</v>
          </cell>
        </row>
        <row r="395">
          <cell r="A395">
            <v>393</v>
          </cell>
        </row>
        <row r="396">
          <cell r="A396">
            <v>394</v>
          </cell>
        </row>
        <row r="397">
          <cell r="A397">
            <v>395</v>
          </cell>
        </row>
        <row r="398">
          <cell r="A398">
            <v>396</v>
          </cell>
        </row>
        <row r="399">
          <cell r="A399">
            <v>397</v>
          </cell>
        </row>
        <row r="400">
          <cell r="A400">
            <v>398</v>
          </cell>
        </row>
        <row r="401">
          <cell r="A401">
            <v>399</v>
          </cell>
        </row>
        <row r="402">
          <cell r="A402">
            <v>400</v>
          </cell>
        </row>
        <row r="403">
          <cell r="A403">
            <v>401</v>
          </cell>
        </row>
        <row r="404">
          <cell r="A404">
            <v>402</v>
          </cell>
        </row>
        <row r="405">
          <cell r="A405">
            <v>403</v>
          </cell>
        </row>
        <row r="406">
          <cell r="A406">
            <v>404</v>
          </cell>
        </row>
        <row r="407">
          <cell r="A407">
            <v>405</v>
          </cell>
        </row>
        <row r="408">
          <cell r="A408">
            <v>406</v>
          </cell>
        </row>
        <row r="409">
          <cell r="A409">
            <v>407</v>
          </cell>
        </row>
        <row r="410">
          <cell r="A410">
            <v>408</v>
          </cell>
        </row>
        <row r="411">
          <cell r="A411">
            <v>409</v>
          </cell>
        </row>
        <row r="412">
          <cell r="A412">
            <v>410</v>
          </cell>
        </row>
        <row r="413">
          <cell r="A413">
            <v>411</v>
          </cell>
        </row>
        <row r="414">
          <cell r="A414">
            <v>412</v>
          </cell>
        </row>
        <row r="415">
          <cell r="A415">
            <v>413</v>
          </cell>
        </row>
        <row r="416">
          <cell r="A416">
            <v>414</v>
          </cell>
        </row>
        <row r="417">
          <cell r="A417">
            <v>415</v>
          </cell>
        </row>
        <row r="418">
          <cell r="A418">
            <v>416</v>
          </cell>
        </row>
        <row r="419">
          <cell r="A419">
            <v>417</v>
          </cell>
        </row>
        <row r="420">
          <cell r="A420">
            <v>418</v>
          </cell>
        </row>
        <row r="421">
          <cell r="A421">
            <v>419</v>
          </cell>
        </row>
        <row r="422">
          <cell r="A422">
            <v>420</v>
          </cell>
        </row>
        <row r="423">
          <cell r="A423">
            <v>421</v>
          </cell>
        </row>
        <row r="424">
          <cell r="A424">
            <v>422</v>
          </cell>
        </row>
        <row r="425">
          <cell r="A425">
            <v>423</v>
          </cell>
        </row>
        <row r="426">
          <cell r="A426">
            <v>424</v>
          </cell>
        </row>
        <row r="427">
          <cell r="A427">
            <v>425</v>
          </cell>
        </row>
        <row r="428">
          <cell r="A428">
            <v>426</v>
          </cell>
        </row>
        <row r="429">
          <cell r="A429">
            <v>427</v>
          </cell>
        </row>
        <row r="430">
          <cell r="A430">
            <v>428</v>
          </cell>
        </row>
        <row r="431">
          <cell r="A431">
            <v>429</v>
          </cell>
        </row>
        <row r="432">
          <cell r="A432">
            <v>430</v>
          </cell>
        </row>
        <row r="433">
          <cell r="A433">
            <v>431</v>
          </cell>
        </row>
        <row r="434">
          <cell r="A434">
            <v>432</v>
          </cell>
        </row>
        <row r="435">
          <cell r="A435">
            <v>433</v>
          </cell>
        </row>
        <row r="436">
          <cell r="A436">
            <v>434</v>
          </cell>
        </row>
        <row r="437">
          <cell r="A437">
            <v>435</v>
          </cell>
        </row>
        <row r="438">
          <cell r="A438">
            <v>436</v>
          </cell>
        </row>
        <row r="439">
          <cell r="A439">
            <v>437</v>
          </cell>
        </row>
        <row r="440">
          <cell r="A440">
            <v>438</v>
          </cell>
        </row>
        <row r="441">
          <cell r="A441">
            <v>439</v>
          </cell>
        </row>
        <row r="442">
          <cell r="A442">
            <v>440</v>
          </cell>
        </row>
        <row r="443">
          <cell r="A443">
            <v>441</v>
          </cell>
        </row>
        <row r="444">
          <cell r="A444">
            <v>442</v>
          </cell>
        </row>
        <row r="445">
          <cell r="A445">
            <v>443</v>
          </cell>
        </row>
        <row r="446">
          <cell r="A446">
            <v>444</v>
          </cell>
        </row>
        <row r="447">
          <cell r="A447">
            <v>445</v>
          </cell>
        </row>
        <row r="448">
          <cell r="A448">
            <v>446</v>
          </cell>
        </row>
        <row r="449">
          <cell r="A449">
            <v>447</v>
          </cell>
        </row>
        <row r="450">
          <cell r="A450">
            <v>448</v>
          </cell>
        </row>
        <row r="451">
          <cell r="A451">
            <v>449</v>
          </cell>
        </row>
        <row r="452">
          <cell r="A452">
            <v>450</v>
          </cell>
        </row>
        <row r="453">
          <cell r="A453">
            <v>451</v>
          </cell>
        </row>
        <row r="454">
          <cell r="A454">
            <v>452</v>
          </cell>
        </row>
        <row r="455">
          <cell r="A455">
            <v>453</v>
          </cell>
        </row>
        <row r="456">
          <cell r="A456">
            <v>454</v>
          </cell>
        </row>
        <row r="457">
          <cell r="A457">
            <v>455</v>
          </cell>
        </row>
        <row r="458">
          <cell r="A458">
            <v>456</v>
          </cell>
        </row>
        <row r="459">
          <cell r="A459">
            <v>457</v>
          </cell>
        </row>
        <row r="460">
          <cell r="A460">
            <v>458</v>
          </cell>
        </row>
        <row r="461">
          <cell r="A461">
            <v>459</v>
          </cell>
        </row>
        <row r="462">
          <cell r="A462">
            <v>460</v>
          </cell>
        </row>
        <row r="463">
          <cell r="A463">
            <v>461</v>
          </cell>
        </row>
        <row r="464">
          <cell r="A464">
            <v>462</v>
          </cell>
        </row>
        <row r="465">
          <cell r="A465">
            <v>463</v>
          </cell>
        </row>
        <row r="466">
          <cell r="A466">
            <v>464</v>
          </cell>
        </row>
        <row r="467">
          <cell r="A467">
            <v>465</v>
          </cell>
        </row>
        <row r="468">
          <cell r="A468">
            <v>466</v>
          </cell>
        </row>
        <row r="469">
          <cell r="A469">
            <v>467</v>
          </cell>
        </row>
        <row r="470">
          <cell r="A470">
            <v>468</v>
          </cell>
        </row>
        <row r="471">
          <cell r="A471">
            <v>469</v>
          </cell>
        </row>
        <row r="472">
          <cell r="A472">
            <v>470</v>
          </cell>
        </row>
        <row r="473">
          <cell r="A473">
            <v>471</v>
          </cell>
        </row>
        <row r="474">
          <cell r="A474">
            <v>472</v>
          </cell>
        </row>
        <row r="475">
          <cell r="A475">
            <v>473</v>
          </cell>
        </row>
        <row r="476">
          <cell r="A476">
            <v>474</v>
          </cell>
        </row>
        <row r="477">
          <cell r="A477">
            <v>475</v>
          </cell>
        </row>
        <row r="478">
          <cell r="A478">
            <v>476</v>
          </cell>
        </row>
        <row r="479">
          <cell r="A479">
            <v>477</v>
          </cell>
        </row>
        <row r="480">
          <cell r="A480">
            <v>478</v>
          </cell>
        </row>
        <row r="481">
          <cell r="A481">
            <v>479</v>
          </cell>
        </row>
        <row r="482">
          <cell r="A482">
            <v>480</v>
          </cell>
        </row>
        <row r="483">
          <cell r="A483">
            <v>481</v>
          </cell>
        </row>
        <row r="484">
          <cell r="A484">
            <v>482</v>
          </cell>
        </row>
        <row r="485">
          <cell r="A485">
            <v>483</v>
          </cell>
        </row>
        <row r="486">
          <cell r="A486">
            <v>484</v>
          </cell>
        </row>
        <row r="487">
          <cell r="A487">
            <v>485</v>
          </cell>
        </row>
        <row r="488">
          <cell r="A488">
            <v>486</v>
          </cell>
        </row>
        <row r="489">
          <cell r="A489">
            <v>487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特殊効果"/>
      <sheetName val="スキル仕様"/>
      <sheetName val="enemy_skills"/>
      <sheetName val="enemy_skill_triggers"/>
      <sheetName val="enemy_skill_sets"/>
      <sheetName val="enemy_skills.csv"/>
      <sheetName val="enemy_skills_i18n.csv"/>
      <sheetName val="enemy_skill_triggers.csv"/>
      <sheetName val="enemy_skill_sets.csv"/>
    </sheetNames>
    <sheetDataSet>
      <sheetData sheetId="0"/>
      <sheetData sheetId="1"/>
      <sheetData sheetId="2"/>
      <sheetData sheetId="3"/>
      <sheetData sheetId="4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36</v>
          </cell>
        </row>
        <row r="11">
          <cell r="B11">
            <v>36</v>
          </cell>
        </row>
        <row r="12">
          <cell r="B12">
            <v>37</v>
          </cell>
        </row>
        <row r="13">
          <cell r="B13">
            <v>37</v>
          </cell>
        </row>
        <row r="14">
          <cell r="B14">
            <v>38</v>
          </cell>
        </row>
        <row r="15">
          <cell r="B15">
            <v>38</v>
          </cell>
        </row>
        <row r="16">
          <cell r="B16">
            <v>39</v>
          </cell>
        </row>
        <row r="17">
          <cell r="B17">
            <v>40</v>
          </cell>
        </row>
        <row r="18">
          <cell r="B18">
            <v>42</v>
          </cell>
        </row>
        <row r="19">
          <cell r="B19">
            <v>4401</v>
          </cell>
        </row>
        <row r="20">
          <cell r="B20">
            <v>4402</v>
          </cell>
        </row>
        <row r="21">
          <cell r="B21">
            <v>46</v>
          </cell>
        </row>
        <row r="22">
          <cell r="B22">
            <v>49</v>
          </cell>
        </row>
        <row r="23">
          <cell r="B23">
            <v>50</v>
          </cell>
        </row>
        <row r="24">
          <cell r="B24">
            <v>51</v>
          </cell>
        </row>
        <row r="25">
          <cell r="B25">
            <v>53</v>
          </cell>
        </row>
        <row r="26">
          <cell r="B26">
            <v>55</v>
          </cell>
        </row>
        <row r="27">
          <cell r="B27">
            <v>56</v>
          </cell>
        </row>
        <row r="28">
          <cell r="B28">
            <v>57</v>
          </cell>
        </row>
        <row r="29">
          <cell r="B29">
            <v>59</v>
          </cell>
        </row>
        <row r="30">
          <cell r="B30">
            <v>6001</v>
          </cell>
        </row>
        <row r="31">
          <cell r="B31">
            <v>61</v>
          </cell>
        </row>
        <row r="32">
          <cell r="B32">
            <v>62</v>
          </cell>
        </row>
        <row r="33">
          <cell r="B33">
            <v>63</v>
          </cell>
        </row>
        <row r="34">
          <cell r="B34">
            <v>64</v>
          </cell>
        </row>
        <row r="35">
          <cell r="B35">
            <v>65</v>
          </cell>
        </row>
        <row r="36">
          <cell r="B36">
            <v>66</v>
          </cell>
        </row>
        <row r="37">
          <cell r="B37">
            <v>67</v>
          </cell>
        </row>
        <row r="38">
          <cell r="B38">
            <v>68</v>
          </cell>
        </row>
        <row r="39">
          <cell r="B39">
            <v>69</v>
          </cell>
        </row>
        <row r="40">
          <cell r="B40">
            <v>71</v>
          </cell>
        </row>
        <row r="41">
          <cell r="B41">
            <v>1071</v>
          </cell>
        </row>
        <row r="42">
          <cell r="B42">
            <v>72</v>
          </cell>
        </row>
        <row r="43">
          <cell r="B43">
            <v>74</v>
          </cell>
        </row>
        <row r="44">
          <cell r="B44">
            <v>75</v>
          </cell>
        </row>
        <row r="45">
          <cell r="B45">
            <v>76</v>
          </cell>
        </row>
        <row r="46">
          <cell r="B46">
            <v>77</v>
          </cell>
        </row>
        <row r="47">
          <cell r="B47">
            <v>79</v>
          </cell>
        </row>
        <row r="48">
          <cell r="B48">
            <v>81</v>
          </cell>
        </row>
        <row r="49">
          <cell r="B49">
            <v>83</v>
          </cell>
        </row>
        <row r="50">
          <cell r="B50">
            <v>85</v>
          </cell>
        </row>
        <row r="51">
          <cell r="B51">
            <v>86</v>
          </cell>
        </row>
        <row r="52">
          <cell r="B52">
            <v>8601</v>
          </cell>
        </row>
        <row r="53">
          <cell r="B53">
            <v>8602</v>
          </cell>
        </row>
        <row r="54">
          <cell r="B54">
            <v>88</v>
          </cell>
        </row>
        <row r="55">
          <cell r="B55">
            <v>89</v>
          </cell>
        </row>
        <row r="56">
          <cell r="B56">
            <v>8901</v>
          </cell>
        </row>
        <row r="57">
          <cell r="B57">
            <v>8901</v>
          </cell>
        </row>
        <row r="58">
          <cell r="B58">
            <v>9501</v>
          </cell>
        </row>
        <row r="59">
          <cell r="B59">
            <v>11701</v>
          </cell>
        </row>
        <row r="60">
          <cell r="B60">
            <v>11701</v>
          </cell>
        </row>
        <row r="61">
          <cell r="B61">
            <v>11702</v>
          </cell>
        </row>
        <row r="62">
          <cell r="B62">
            <v>11703</v>
          </cell>
        </row>
        <row r="63">
          <cell r="B63">
            <v>11704</v>
          </cell>
        </row>
        <row r="64">
          <cell r="B64">
            <v>11801</v>
          </cell>
        </row>
        <row r="65">
          <cell r="B65">
            <v>11802</v>
          </cell>
        </row>
        <row r="66">
          <cell r="B66">
            <v>11803</v>
          </cell>
        </row>
        <row r="67">
          <cell r="B67">
            <v>11901</v>
          </cell>
        </row>
        <row r="68">
          <cell r="B68">
            <v>11902</v>
          </cell>
        </row>
        <row r="69">
          <cell r="B69">
            <v>11903</v>
          </cell>
        </row>
        <row r="70">
          <cell r="B70">
            <v>126</v>
          </cell>
        </row>
        <row r="71">
          <cell r="B71">
            <v>12701</v>
          </cell>
        </row>
        <row r="72">
          <cell r="B72">
            <v>128</v>
          </cell>
        </row>
        <row r="73">
          <cell r="B73">
            <v>12801</v>
          </cell>
        </row>
        <row r="74">
          <cell r="B74">
            <v>130</v>
          </cell>
        </row>
        <row r="75">
          <cell r="B75">
            <v>13001</v>
          </cell>
        </row>
        <row r="76">
          <cell r="B76">
            <v>13001</v>
          </cell>
        </row>
        <row r="77">
          <cell r="B77">
            <v>13101</v>
          </cell>
        </row>
        <row r="78">
          <cell r="B78">
            <v>13101</v>
          </cell>
        </row>
        <row r="79">
          <cell r="B79">
            <v>13101</v>
          </cell>
        </row>
        <row r="80">
          <cell r="B80">
            <v>132</v>
          </cell>
        </row>
        <row r="81">
          <cell r="B81">
            <v>13301</v>
          </cell>
        </row>
        <row r="82">
          <cell r="B82">
            <v>13301</v>
          </cell>
        </row>
        <row r="83">
          <cell r="B83">
            <v>13301</v>
          </cell>
        </row>
        <row r="84">
          <cell r="B84">
            <v>13301</v>
          </cell>
        </row>
        <row r="85">
          <cell r="B85">
            <v>134</v>
          </cell>
        </row>
        <row r="86">
          <cell r="B86">
            <v>136</v>
          </cell>
        </row>
        <row r="87">
          <cell r="B87">
            <v>139</v>
          </cell>
        </row>
        <row r="88">
          <cell r="B88">
            <v>140</v>
          </cell>
        </row>
        <row r="89">
          <cell r="B89">
            <v>141</v>
          </cell>
        </row>
        <row r="90">
          <cell r="B90">
            <v>10141</v>
          </cell>
        </row>
        <row r="91">
          <cell r="B91">
            <v>14201</v>
          </cell>
        </row>
        <row r="92">
          <cell r="B92">
            <v>14301</v>
          </cell>
        </row>
        <row r="93">
          <cell r="B93">
            <v>14301</v>
          </cell>
        </row>
        <row r="94">
          <cell r="B94">
            <v>14301</v>
          </cell>
        </row>
        <row r="95">
          <cell r="B95">
            <v>146</v>
          </cell>
        </row>
        <row r="96">
          <cell r="B96">
            <v>14601</v>
          </cell>
        </row>
        <row r="97">
          <cell r="B97">
            <v>14601</v>
          </cell>
        </row>
        <row r="98">
          <cell r="B98">
            <v>14601</v>
          </cell>
        </row>
        <row r="99">
          <cell r="B99">
            <v>148</v>
          </cell>
        </row>
        <row r="100">
          <cell r="B100">
            <v>148</v>
          </cell>
        </row>
        <row r="101">
          <cell r="B101">
            <v>149</v>
          </cell>
        </row>
        <row r="102">
          <cell r="B102">
            <v>149</v>
          </cell>
        </row>
        <row r="103">
          <cell r="B103">
            <v>151</v>
          </cell>
        </row>
        <row r="104">
          <cell r="B104">
            <v>151</v>
          </cell>
        </row>
        <row r="105">
          <cell r="B105">
            <v>152</v>
          </cell>
        </row>
        <row r="106">
          <cell r="B106">
            <v>152</v>
          </cell>
        </row>
        <row r="107">
          <cell r="B107">
            <v>153</v>
          </cell>
        </row>
        <row r="108">
          <cell r="B108">
            <v>153</v>
          </cell>
        </row>
        <row r="109">
          <cell r="B109">
            <v>153</v>
          </cell>
        </row>
        <row r="110">
          <cell r="B110">
            <v>154</v>
          </cell>
        </row>
        <row r="111">
          <cell r="B111">
            <v>15501</v>
          </cell>
        </row>
        <row r="112">
          <cell r="B112">
            <v>15501</v>
          </cell>
        </row>
        <row r="113">
          <cell r="B113">
            <v>15501</v>
          </cell>
        </row>
        <row r="114">
          <cell r="B114">
            <v>156</v>
          </cell>
        </row>
        <row r="115">
          <cell r="B115">
            <v>156</v>
          </cell>
        </row>
        <row r="116">
          <cell r="B116">
            <v>15601</v>
          </cell>
        </row>
        <row r="117">
          <cell r="B117">
            <v>157</v>
          </cell>
        </row>
        <row r="118">
          <cell r="B118">
            <v>160</v>
          </cell>
        </row>
        <row r="119">
          <cell r="B119">
            <v>16201</v>
          </cell>
        </row>
        <row r="120">
          <cell r="B120">
            <v>164</v>
          </cell>
        </row>
        <row r="121">
          <cell r="B121">
            <v>164</v>
          </cell>
        </row>
        <row r="122">
          <cell r="B122">
            <v>16501</v>
          </cell>
        </row>
        <row r="123">
          <cell r="B123">
            <v>16502</v>
          </cell>
        </row>
        <row r="124">
          <cell r="B124">
            <v>169</v>
          </cell>
        </row>
        <row r="125">
          <cell r="B125">
            <v>172</v>
          </cell>
        </row>
        <row r="126">
          <cell r="B126">
            <v>17001</v>
          </cell>
        </row>
        <row r="127">
          <cell r="B127">
            <v>17001</v>
          </cell>
        </row>
        <row r="128">
          <cell r="B128">
            <v>17001</v>
          </cell>
        </row>
        <row r="129">
          <cell r="B129">
            <v>17001</v>
          </cell>
        </row>
        <row r="130">
          <cell r="B130">
            <v>17601</v>
          </cell>
        </row>
        <row r="131">
          <cell r="B131">
            <v>17601</v>
          </cell>
        </row>
        <row r="132">
          <cell r="B132">
            <v>178</v>
          </cell>
        </row>
        <row r="133">
          <cell r="B133">
            <v>182</v>
          </cell>
        </row>
        <row r="134">
          <cell r="B134">
            <v>18201</v>
          </cell>
        </row>
        <row r="135">
          <cell r="B135">
            <v>18201</v>
          </cell>
        </row>
        <row r="136">
          <cell r="B136">
            <v>184</v>
          </cell>
        </row>
        <row r="137">
          <cell r="B137">
            <v>185</v>
          </cell>
        </row>
        <row r="138">
          <cell r="B138">
            <v>18501</v>
          </cell>
        </row>
        <row r="139">
          <cell r="B139">
            <v>18501</v>
          </cell>
        </row>
        <row r="140">
          <cell r="B140">
            <v>18502</v>
          </cell>
        </row>
        <row r="141">
          <cell r="B141">
            <v>18502</v>
          </cell>
        </row>
        <row r="142">
          <cell r="B142">
            <v>18502</v>
          </cell>
        </row>
        <row r="143">
          <cell r="B143">
            <v>187</v>
          </cell>
        </row>
        <row r="144">
          <cell r="B144">
            <v>18701</v>
          </cell>
        </row>
        <row r="145">
          <cell r="B145">
            <v>18801</v>
          </cell>
        </row>
        <row r="146">
          <cell r="B146">
            <v>18801</v>
          </cell>
        </row>
        <row r="147">
          <cell r="B147">
            <v>18801</v>
          </cell>
        </row>
        <row r="148">
          <cell r="B148">
            <v>18801</v>
          </cell>
        </row>
        <row r="149">
          <cell r="B149">
            <v>18801</v>
          </cell>
        </row>
        <row r="150">
          <cell r="B150">
            <v>193</v>
          </cell>
        </row>
        <row r="151">
          <cell r="B151">
            <v>194</v>
          </cell>
        </row>
        <row r="152">
          <cell r="B152">
            <v>197</v>
          </cell>
        </row>
        <row r="153">
          <cell r="B153">
            <v>198</v>
          </cell>
        </row>
        <row r="154">
          <cell r="B154">
            <v>197</v>
          </cell>
        </row>
        <row r="155">
          <cell r="B155">
            <v>198</v>
          </cell>
        </row>
        <row r="156">
          <cell r="B156">
            <v>10197</v>
          </cell>
        </row>
        <row r="157">
          <cell r="B157">
            <v>199</v>
          </cell>
        </row>
        <row r="158">
          <cell r="B158">
            <v>200</v>
          </cell>
        </row>
        <row r="159">
          <cell r="B159">
            <v>202</v>
          </cell>
        </row>
        <row r="160">
          <cell r="B160">
            <v>203</v>
          </cell>
        </row>
        <row r="161">
          <cell r="B161">
            <v>206</v>
          </cell>
        </row>
        <row r="162">
          <cell r="B162">
            <v>20801</v>
          </cell>
        </row>
        <row r="163">
          <cell r="B163">
            <v>211</v>
          </cell>
        </row>
        <row r="164">
          <cell r="B164">
            <v>212</v>
          </cell>
        </row>
        <row r="165">
          <cell r="B165">
            <v>215</v>
          </cell>
        </row>
        <row r="166">
          <cell r="B166">
            <v>215</v>
          </cell>
        </row>
        <row r="167">
          <cell r="B167">
            <v>21701</v>
          </cell>
        </row>
        <row r="168">
          <cell r="B168">
            <v>21801</v>
          </cell>
        </row>
        <row r="169">
          <cell r="B169">
            <v>219</v>
          </cell>
        </row>
        <row r="170">
          <cell r="B170">
            <v>22101</v>
          </cell>
        </row>
        <row r="171">
          <cell r="B171">
            <v>224</v>
          </cell>
        </row>
        <row r="172">
          <cell r="B172">
            <v>224</v>
          </cell>
        </row>
        <row r="173">
          <cell r="B173">
            <v>229</v>
          </cell>
        </row>
        <row r="174">
          <cell r="B174">
            <v>230</v>
          </cell>
        </row>
        <row r="175">
          <cell r="B175">
            <v>231</v>
          </cell>
        </row>
        <row r="176">
          <cell r="B176">
            <v>232</v>
          </cell>
        </row>
        <row r="177">
          <cell r="B177">
            <v>233</v>
          </cell>
        </row>
        <row r="178">
          <cell r="B178">
            <v>23601</v>
          </cell>
        </row>
        <row r="179">
          <cell r="B179">
            <v>241</v>
          </cell>
        </row>
        <row r="180">
          <cell r="B180">
            <v>24201</v>
          </cell>
        </row>
        <row r="181">
          <cell r="B181">
            <v>24202</v>
          </cell>
        </row>
        <row r="182">
          <cell r="B182">
            <v>24202</v>
          </cell>
        </row>
        <row r="183">
          <cell r="B183">
            <v>24701</v>
          </cell>
        </row>
        <row r="184">
          <cell r="B184">
            <v>24801</v>
          </cell>
        </row>
        <row r="185">
          <cell r="B185">
            <v>25001</v>
          </cell>
        </row>
        <row r="186">
          <cell r="B186">
            <v>25201</v>
          </cell>
        </row>
        <row r="187">
          <cell r="B187">
            <v>25202</v>
          </cell>
        </row>
        <row r="188">
          <cell r="B188">
            <v>25203</v>
          </cell>
        </row>
        <row r="189">
          <cell r="B189">
            <v>254</v>
          </cell>
        </row>
        <row r="190">
          <cell r="B190">
            <v>254</v>
          </cell>
        </row>
        <row r="191">
          <cell r="B191">
            <v>256</v>
          </cell>
        </row>
        <row r="192">
          <cell r="B192">
            <v>257</v>
          </cell>
        </row>
        <row r="193">
          <cell r="B193">
            <v>317</v>
          </cell>
        </row>
        <row r="194">
          <cell r="B194">
            <v>317</v>
          </cell>
        </row>
        <row r="195">
          <cell r="B195">
            <v>317</v>
          </cell>
        </row>
        <row r="196">
          <cell r="B196">
            <v>317</v>
          </cell>
        </row>
        <row r="197">
          <cell r="B197">
            <v>317</v>
          </cell>
        </row>
        <row r="198">
          <cell r="B198">
            <v>317</v>
          </cell>
        </row>
        <row r="199">
          <cell r="B199">
            <v>317</v>
          </cell>
        </row>
        <row r="200">
          <cell r="B200">
            <v>319</v>
          </cell>
        </row>
        <row r="201">
          <cell r="B201">
            <v>319</v>
          </cell>
        </row>
        <row r="202">
          <cell r="B202">
            <v>319</v>
          </cell>
        </row>
        <row r="203">
          <cell r="B203">
            <v>319</v>
          </cell>
        </row>
        <row r="204">
          <cell r="B204">
            <v>319</v>
          </cell>
        </row>
        <row r="205">
          <cell r="B205">
            <v>319</v>
          </cell>
        </row>
        <row r="206">
          <cell r="B206">
            <v>2666</v>
          </cell>
        </row>
        <row r="207">
          <cell r="B207">
            <v>20011</v>
          </cell>
        </row>
        <row r="208">
          <cell r="B208">
            <v>263</v>
          </cell>
        </row>
        <row r="209">
          <cell r="B209">
            <v>266</v>
          </cell>
        </row>
        <row r="210">
          <cell r="B210">
            <v>272</v>
          </cell>
        </row>
        <row r="211">
          <cell r="B211">
            <v>272</v>
          </cell>
        </row>
        <row r="212">
          <cell r="B212">
            <v>272</v>
          </cell>
        </row>
        <row r="213">
          <cell r="B213">
            <v>272</v>
          </cell>
        </row>
        <row r="214">
          <cell r="B214">
            <v>274</v>
          </cell>
        </row>
        <row r="215">
          <cell r="B215">
            <v>275</v>
          </cell>
        </row>
        <row r="216">
          <cell r="B216">
            <v>275</v>
          </cell>
        </row>
        <row r="217">
          <cell r="B217">
            <v>268</v>
          </cell>
        </row>
        <row r="218">
          <cell r="B218">
            <v>264</v>
          </cell>
        </row>
        <row r="219">
          <cell r="B219">
            <v>270</v>
          </cell>
        </row>
        <row r="220">
          <cell r="B220">
            <v>271</v>
          </cell>
        </row>
        <row r="221">
          <cell r="B221">
            <v>271</v>
          </cell>
        </row>
        <row r="222">
          <cell r="B222">
            <v>276</v>
          </cell>
        </row>
        <row r="223">
          <cell r="B223">
            <v>276</v>
          </cell>
        </row>
        <row r="224">
          <cell r="B224">
            <v>277</v>
          </cell>
        </row>
        <row r="225">
          <cell r="B225">
            <v>277</v>
          </cell>
        </row>
        <row r="226">
          <cell r="B226">
            <v>277</v>
          </cell>
        </row>
        <row r="227">
          <cell r="B227">
            <v>1063</v>
          </cell>
        </row>
        <row r="228">
          <cell r="B228">
            <v>1055</v>
          </cell>
        </row>
        <row r="229">
          <cell r="B229">
            <v>2063</v>
          </cell>
        </row>
        <row r="230">
          <cell r="B230">
            <v>1123</v>
          </cell>
        </row>
        <row r="231">
          <cell r="B231">
            <v>1221</v>
          </cell>
        </row>
        <row r="232">
          <cell r="B232">
            <v>1221</v>
          </cell>
        </row>
        <row r="233">
          <cell r="B233">
            <v>1211</v>
          </cell>
        </row>
        <row r="234">
          <cell r="B234">
            <v>1231</v>
          </cell>
        </row>
        <row r="235">
          <cell r="B235">
            <v>1045</v>
          </cell>
        </row>
        <row r="236">
          <cell r="B236">
            <v>278</v>
          </cell>
        </row>
        <row r="237">
          <cell r="B237">
            <v>278</v>
          </cell>
        </row>
        <row r="238">
          <cell r="B238">
            <v>279</v>
          </cell>
        </row>
        <row r="239">
          <cell r="B239">
            <v>279</v>
          </cell>
        </row>
        <row r="240">
          <cell r="B240">
            <v>13501</v>
          </cell>
        </row>
        <row r="241">
          <cell r="B241">
            <v>13501</v>
          </cell>
        </row>
        <row r="242">
          <cell r="B242">
            <v>13501</v>
          </cell>
        </row>
        <row r="243">
          <cell r="B243">
            <v>13501</v>
          </cell>
        </row>
        <row r="244">
          <cell r="B244">
            <v>13501</v>
          </cell>
        </row>
        <row r="245">
          <cell r="B245">
            <v>192</v>
          </cell>
        </row>
        <row r="246">
          <cell r="B246">
            <v>266</v>
          </cell>
        </row>
        <row r="247">
          <cell r="B247">
            <v>266</v>
          </cell>
        </row>
        <row r="248">
          <cell r="B248">
            <v>266</v>
          </cell>
        </row>
        <row r="249">
          <cell r="B249">
            <v>266</v>
          </cell>
        </row>
        <row r="250">
          <cell r="B250">
            <v>28201</v>
          </cell>
        </row>
        <row r="251">
          <cell r="B251">
            <v>28202</v>
          </cell>
        </row>
        <row r="252">
          <cell r="B252">
            <v>28201</v>
          </cell>
        </row>
        <row r="253">
          <cell r="B253">
            <v>28202</v>
          </cell>
        </row>
        <row r="254">
          <cell r="B254">
            <v>28202</v>
          </cell>
        </row>
        <row r="255">
          <cell r="B255">
            <v>13201</v>
          </cell>
        </row>
        <row r="256">
          <cell r="B256">
            <v>286</v>
          </cell>
        </row>
        <row r="257">
          <cell r="B257">
            <v>286</v>
          </cell>
        </row>
        <row r="258">
          <cell r="B258">
            <v>286</v>
          </cell>
        </row>
        <row r="259">
          <cell r="B259">
            <v>22401</v>
          </cell>
        </row>
        <row r="260">
          <cell r="B260">
            <v>22401</v>
          </cell>
        </row>
        <row r="261">
          <cell r="B261">
            <v>22401</v>
          </cell>
        </row>
        <row r="262">
          <cell r="B262">
            <v>22401</v>
          </cell>
        </row>
        <row r="263">
          <cell r="B263">
            <v>20601</v>
          </cell>
        </row>
        <row r="264">
          <cell r="B264">
            <v>20601</v>
          </cell>
        </row>
        <row r="265">
          <cell r="B265">
            <v>20901</v>
          </cell>
        </row>
        <row r="266">
          <cell r="B266">
            <v>20901</v>
          </cell>
        </row>
        <row r="267">
          <cell r="B267">
            <v>20901</v>
          </cell>
        </row>
        <row r="268">
          <cell r="B268">
            <v>20901</v>
          </cell>
        </row>
        <row r="269">
          <cell r="B269">
            <v>20901</v>
          </cell>
        </row>
        <row r="270">
          <cell r="B270">
            <v>19101</v>
          </cell>
        </row>
        <row r="271">
          <cell r="B271">
            <v>19101</v>
          </cell>
        </row>
        <row r="272">
          <cell r="B272">
            <v>19101</v>
          </cell>
        </row>
        <row r="273">
          <cell r="B273">
            <v>19101</v>
          </cell>
        </row>
        <row r="274">
          <cell r="B274">
            <v>19101</v>
          </cell>
        </row>
        <row r="275">
          <cell r="B275">
            <v>19101</v>
          </cell>
        </row>
        <row r="276">
          <cell r="B276">
            <v>12901</v>
          </cell>
        </row>
        <row r="277">
          <cell r="B277">
            <v>12901</v>
          </cell>
        </row>
        <row r="278">
          <cell r="B278">
            <v>29001</v>
          </cell>
        </row>
        <row r="279">
          <cell r="B279">
            <v>29001</v>
          </cell>
        </row>
        <row r="280">
          <cell r="B280">
            <v>29001</v>
          </cell>
        </row>
        <row r="281">
          <cell r="B281">
            <v>29002</v>
          </cell>
        </row>
        <row r="282">
          <cell r="B282">
            <v>29002</v>
          </cell>
        </row>
        <row r="283">
          <cell r="B283">
            <v>29002</v>
          </cell>
        </row>
        <row r="284">
          <cell r="B284">
            <v>29002</v>
          </cell>
        </row>
        <row r="285">
          <cell r="B285">
            <v>292</v>
          </cell>
        </row>
        <row r="286">
          <cell r="B286">
            <v>292</v>
          </cell>
        </row>
        <row r="287">
          <cell r="B287">
            <v>29201</v>
          </cell>
        </row>
        <row r="288">
          <cell r="B288">
            <v>29201</v>
          </cell>
        </row>
        <row r="289">
          <cell r="B289">
            <v>29201</v>
          </cell>
        </row>
        <row r="290">
          <cell r="B290">
            <v>293</v>
          </cell>
        </row>
        <row r="291">
          <cell r="B291">
            <v>293</v>
          </cell>
        </row>
        <row r="292">
          <cell r="B292">
            <v>293</v>
          </cell>
        </row>
        <row r="293">
          <cell r="B293">
            <v>293</v>
          </cell>
        </row>
        <row r="294">
          <cell r="B294">
            <v>14101</v>
          </cell>
        </row>
        <row r="295">
          <cell r="B295">
            <v>14101</v>
          </cell>
        </row>
        <row r="296">
          <cell r="B296">
            <v>3301</v>
          </cell>
        </row>
        <row r="297">
          <cell r="B297">
            <v>15101</v>
          </cell>
        </row>
        <row r="298">
          <cell r="B298">
            <v>15101</v>
          </cell>
        </row>
        <row r="299">
          <cell r="B299">
            <v>15101</v>
          </cell>
        </row>
        <row r="300">
          <cell r="B300">
            <v>15101</v>
          </cell>
        </row>
        <row r="301">
          <cell r="B301">
            <v>28701</v>
          </cell>
        </row>
        <row r="302">
          <cell r="B302">
            <v>28701</v>
          </cell>
        </row>
        <row r="303">
          <cell r="B303">
            <v>28701</v>
          </cell>
        </row>
        <row r="304">
          <cell r="B304">
            <v>294</v>
          </cell>
        </row>
        <row r="305">
          <cell r="B305">
            <v>29401</v>
          </cell>
        </row>
        <row r="306">
          <cell r="B306">
            <v>29401</v>
          </cell>
        </row>
        <row r="307">
          <cell r="B307">
            <v>295</v>
          </cell>
        </row>
        <row r="308">
          <cell r="B308">
            <v>295</v>
          </cell>
        </row>
        <row r="309">
          <cell r="B309">
            <v>284</v>
          </cell>
        </row>
        <row r="310">
          <cell r="B310">
            <v>14202</v>
          </cell>
        </row>
        <row r="311">
          <cell r="B311">
            <v>12702</v>
          </cell>
        </row>
        <row r="312">
          <cell r="B312">
            <v>12702</v>
          </cell>
        </row>
        <row r="313">
          <cell r="B313">
            <v>14401</v>
          </cell>
        </row>
        <row r="314">
          <cell r="B314">
            <v>15201</v>
          </cell>
        </row>
        <row r="315">
          <cell r="B315">
            <v>15201</v>
          </cell>
        </row>
        <row r="316">
          <cell r="B316">
            <v>15201</v>
          </cell>
        </row>
        <row r="317">
          <cell r="B317">
            <v>15201</v>
          </cell>
        </row>
        <row r="318">
          <cell r="B318">
            <v>21201</v>
          </cell>
        </row>
        <row r="319">
          <cell r="B319">
            <v>21201</v>
          </cell>
        </row>
        <row r="320">
          <cell r="B320">
            <v>21201</v>
          </cell>
        </row>
        <row r="321">
          <cell r="B321">
            <v>18601</v>
          </cell>
        </row>
        <row r="322">
          <cell r="B322">
            <v>18601</v>
          </cell>
        </row>
        <row r="323">
          <cell r="B323">
            <v>18601</v>
          </cell>
        </row>
        <row r="324">
          <cell r="B324">
            <v>18601</v>
          </cell>
        </row>
        <row r="325">
          <cell r="B325">
            <v>18601</v>
          </cell>
        </row>
        <row r="326">
          <cell r="B326">
            <v>369</v>
          </cell>
        </row>
        <row r="327">
          <cell r="B327">
            <v>369</v>
          </cell>
        </row>
        <row r="328">
          <cell r="B328">
            <v>369</v>
          </cell>
        </row>
        <row r="329">
          <cell r="B329">
            <v>369</v>
          </cell>
        </row>
        <row r="330">
          <cell r="B330">
            <v>369</v>
          </cell>
        </row>
        <row r="331">
          <cell r="B331">
            <v>369</v>
          </cell>
        </row>
        <row r="332">
          <cell r="B332">
            <v>16401</v>
          </cell>
        </row>
        <row r="333">
          <cell r="B333">
            <v>16401</v>
          </cell>
        </row>
        <row r="334">
          <cell r="B334">
            <v>28801</v>
          </cell>
        </row>
        <row r="335">
          <cell r="B335">
            <v>28801</v>
          </cell>
        </row>
        <row r="336">
          <cell r="B336">
            <v>28801</v>
          </cell>
        </row>
        <row r="337">
          <cell r="B337">
            <v>28802</v>
          </cell>
        </row>
        <row r="338">
          <cell r="B338">
            <v>28803</v>
          </cell>
        </row>
        <row r="339">
          <cell r="B339">
            <v>28803</v>
          </cell>
        </row>
        <row r="340">
          <cell r="B340">
            <v>28804</v>
          </cell>
        </row>
        <row r="341">
          <cell r="B341">
            <v>28804</v>
          </cell>
        </row>
        <row r="342">
          <cell r="B342">
            <v>28804</v>
          </cell>
        </row>
        <row r="343">
          <cell r="B343">
            <v>28901</v>
          </cell>
        </row>
        <row r="344">
          <cell r="B344">
            <v>28901</v>
          </cell>
        </row>
        <row r="345">
          <cell r="B345">
            <v>28901</v>
          </cell>
        </row>
        <row r="346">
          <cell r="B346">
            <v>2701</v>
          </cell>
        </row>
        <row r="347">
          <cell r="B347">
            <v>2702</v>
          </cell>
        </row>
        <row r="348">
          <cell r="B348">
            <v>2701</v>
          </cell>
        </row>
        <row r="349">
          <cell r="B349">
            <v>2702</v>
          </cell>
        </row>
        <row r="350">
          <cell r="B350">
            <v>28001</v>
          </cell>
        </row>
        <row r="351">
          <cell r="B351">
            <v>28101</v>
          </cell>
        </row>
      </sheetData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15"/>
  <sheetViews>
    <sheetView showGridLines="0" workbookViewId="0">
      <pane ySplit="1" topLeftCell="A98" activePane="bottomLeft" state="frozen"/>
      <selection activeCell="V2" sqref="V2:X34"/>
      <selection pane="bottomLeft" activeCell="D117" sqref="D117"/>
    </sheetView>
  </sheetViews>
  <sheetFormatPr baseColWidth="12" defaultColWidth="13" defaultRowHeight="21" customHeight="1" outlineLevelCol="1" x14ac:dyDescent="0"/>
  <cols>
    <col min="1" max="1" width="8.875" style="30" bestFit="1" customWidth="1"/>
    <col min="2" max="2" width="5" style="30" bestFit="1" customWidth="1"/>
    <col min="3" max="3" width="7.125" style="4" bestFit="1" customWidth="1"/>
    <col min="4" max="5" width="10.375" style="4" customWidth="1" outlineLevel="1"/>
    <col min="6" max="6" width="7" style="4" bestFit="1" customWidth="1"/>
    <col min="7" max="7" width="8.875" style="30" customWidth="1" outlineLevel="1"/>
    <col min="8" max="8" width="16.125" style="4" customWidth="1" outlineLevel="1"/>
    <col min="9" max="9" width="6.5" style="4" bestFit="1" customWidth="1"/>
    <col min="10" max="10" width="11" style="4" bestFit="1" customWidth="1"/>
    <col min="11" max="11" width="11.375" style="4" bestFit="1" customWidth="1"/>
    <col min="12" max="16384" width="13" style="4"/>
  </cols>
  <sheetData>
    <row r="1" spans="1:11" ht="21" customHeight="1">
      <c r="A1" s="21" t="s">
        <v>31</v>
      </c>
      <c r="B1" s="21" t="s">
        <v>38</v>
      </c>
      <c r="C1" s="1" t="s">
        <v>0</v>
      </c>
      <c r="D1" s="2" t="s">
        <v>18</v>
      </c>
      <c r="E1" s="20" t="s">
        <v>35</v>
      </c>
      <c r="F1" s="1" t="s">
        <v>1</v>
      </c>
      <c r="G1" s="33" t="s">
        <v>34</v>
      </c>
      <c r="H1" s="20" t="s">
        <v>36</v>
      </c>
      <c r="I1" s="1" t="s">
        <v>13</v>
      </c>
      <c r="J1" s="1" t="s">
        <v>14</v>
      </c>
      <c r="K1" s="1" t="s">
        <v>15</v>
      </c>
    </row>
    <row r="2" spans="1:11" ht="21" customHeight="1">
      <c r="A2" s="21" t="str">
        <f t="shared" ref="A2:A33" si="0">G2&amp;"-"&amp;I2</f>
        <v>11101_1-1</v>
      </c>
      <c r="B2" s="21" t="str">
        <f>IF(COUNTIF(enemy_habitats_cp_quests!$H:$H,A2),"OK","NG")</f>
        <v>OK</v>
      </c>
      <c r="C2" s="8">
        <v>11101</v>
      </c>
      <c r="D2" s="12" t="str">
        <f ca="1">VLOOKUP($C2,OFFSET([1]quests!$A$1,0,0,COUNTA([1]quests!$A:$A),MATCH(D$1,[1]quests!$1:$1,0)-MATCH($C$1,[1]quests!$1:$1,0)+1),MATCH(D$1,[1]quests!$1:$1,0)-MATCH($C$1,[1]quests!$1:$1,0)+1,FALSE)</f>
        <v>【キャンペーン限定】 黄の素材</v>
      </c>
      <c r="E2" s="29" t="str">
        <f ca="1">VLOOKUP($C2,OFFSET([1]quests!$A$1,0,0,COUNTA([1]quests!$A:$A),MATCH(E$1,[1]quests!$1:$1,0)-MATCH($C$1,[1]quests!$1:$1,0)+1),MATCH(E$1,[1]quests!$1:$1,0)-MATCH($C$1,[1]quests!$1:$1,0)+1,FALSE)</f>
        <v>月曜クエスト</v>
      </c>
      <c r="F2" s="32">
        <v>1</v>
      </c>
      <c r="G2" s="33" t="str">
        <f t="shared" ref="G2:G33" si="1">C2&amp;"_"&amp;F2</f>
        <v>11101_1</v>
      </c>
      <c r="H2" s="20" t="str">
        <f ca="1">VLOOKUP($G2,OFFSET([1]stages!$A$1,0,0,COUNTA([1]stages!$A:$A),MATCH(H$1,[1]stages!$2:$2,0)-MATCH($G$1,[1]stages!$2:$2,0)+1),MATCH(H$1,[1]stages!$2:$2,0)-MATCH($G$1,[1]stages!$2:$2,0)+1,FALSE)</f>
        <v>雷のチェシャ猫 【初級】</v>
      </c>
      <c r="I2" s="32">
        <v>1</v>
      </c>
      <c r="J2" s="13">
        <v>30</v>
      </c>
      <c r="K2" s="13">
        <v>45</v>
      </c>
    </row>
    <row r="3" spans="1:11" ht="21" customHeight="1">
      <c r="A3" s="21" t="str">
        <f t="shared" si="0"/>
        <v>11101_1-2</v>
      </c>
      <c r="B3" s="21" t="str">
        <f>IF(COUNTIF(enemy_habitats_cp_quests!$H:$H,A3),"OK","NG")</f>
        <v>OK</v>
      </c>
      <c r="C3" s="8">
        <v>11101</v>
      </c>
      <c r="D3" s="12" t="str">
        <f ca="1">VLOOKUP($C3,OFFSET([1]quests!$A$1,0,0,COUNTA([1]quests!$A:$A),MATCH(D$1,[1]quests!$1:$1,0)-MATCH($C$1,[1]quests!$1:$1,0)+1),MATCH(D$1,[1]quests!$1:$1,0)-MATCH($C$1,[1]quests!$1:$1,0)+1,FALSE)</f>
        <v>【キャンペーン限定】 黄の素材</v>
      </c>
      <c r="E3" s="29" t="str">
        <f ca="1">VLOOKUP($C3,OFFSET([1]quests!$A$1,0,0,COUNTA([1]quests!$A:$A),MATCH(E$1,[1]quests!$1:$1,0)-MATCH($C$1,[1]quests!$1:$1,0)+1),MATCH(E$1,[1]quests!$1:$1,0)-MATCH($C$1,[1]quests!$1:$1,0)+1,FALSE)</f>
        <v>月曜クエスト</v>
      </c>
      <c r="F3" s="32">
        <v>1</v>
      </c>
      <c r="G3" s="33" t="str">
        <f t="shared" si="1"/>
        <v>11101_1</v>
      </c>
      <c r="H3" s="20" t="str">
        <f ca="1">VLOOKUP($G3,OFFSET([1]stages!$A$1,0,0,COUNTA([1]stages!$A:$A),MATCH(H$1,[1]stages!$2:$2,0)-MATCH($G$1,[1]stages!$2:$2,0)+1),MATCH(H$1,[1]stages!$2:$2,0)-MATCH($G$1,[1]stages!$2:$2,0)+1,FALSE)</f>
        <v>雷のチェシャ猫 【初級】</v>
      </c>
      <c r="I3" s="32">
        <v>2</v>
      </c>
      <c r="J3" s="13">
        <v>30</v>
      </c>
      <c r="K3" s="13">
        <v>45</v>
      </c>
    </row>
    <row r="4" spans="1:11" ht="21" customHeight="1">
      <c r="A4" s="21" t="str">
        <f t="shared" si="0"/>
        <v>11101_1-3</v>
      </c>
      <c r="B4" s="21" t="str">
        <f>IF(COUNTIF(enemy_habitats_cp_quests!$H:$H,A4),"OK","NG")</f>
        <v>OK</v>
      </c>
      <c r="C4" s="8">
        <v>11101</v>
      </c>
      <c r="D4" s="12" t="str">
        <f ca="1">VLOOKUP($C4,OFFSET([1]quests!$A$1,0,0,COUNTA([1]quests!$A:$A),MATCH(D$1,[1]quests!$1:$1,0)-MATCH($C$1,[1]quests!$1:$1,0)+1),MATCH(D$1,[1]quests!$1:$1,0)-MATCH($C$1,[1]quests!$1:$1,0)+1,FALSE)</f>
        <v>【キャンペーン限定】 黄の素材</v>
      </c>
      <c r="E4" s="29" t="str">
        <f ca="1">VLOOKUP($C4,OFFSET([1]quests!$A$1,0,0,COUNTA([1]quests!$A:$A),MATCH(E$1,[1]quests!$1:$1,0)-MATCH($C$1,[1]quests!$1:$1,0)+1),MATCH(E$1,[1]quests!$1:$1,0)-MATCH($C$1,[1]quests!$1:$1,0)+1,FALSE)</f>
        <v>月曜クエスト</v>
      </c>
      <c r="F4" s="32">
        <v>1</v>
      </c>
      <c r="G4" s="33" t="str">
        <f t="shared" si="1"/>
        <v>11101_1</v>
      </c>
      <c r="H4" s="20" t="str">
        <f ca="1">VLOOKUP($G4,OFFSET([1]stages!$A$1,0,0,COUNTA([1]stages!$A:$A),MATCH(H$1,[1]stages!$2:$2,0)-MATCH($G$1,[1]stages!$2:$2,0)+1),MATCH(H$1,[1]stages!$2:$2,0)-MATCH($G$1,[1]stages!$2:$2,0)+1,FALSE)</f>
        <v>雷のチェシャ猫 【初級】</v>
      </c>
      <c r="I4" s="32">
        <v>3</v>
      </c>
      <c r="J4" s="13">
        <v>45</v>
      </c>
      <c r="K4" s="13">
        <v>45</v>
      </c>
    </row>
    <row r="5" spans="1:11" ht="21" customHeight="1">
      <c r="A5" s="21" t="str">
        <f t="shared" si="0"/>
        <v>11101_1-4</v>
      </c>
      <c r="B5" s="21" t="str">
        <f>IF(COUNTIF(enemy_habitats_cp_quests!$H:$H,A5),"OK","NG")</f>
        <v>OK</v>
      </c>
      <c r="C5" s="8">
        <v>11101</v>
      </c>
      <c r="D5" s="12" t="str">
        <f ca="1">VLOOKUP($C5,OFFSET([1]quests!$A$1,0,0,COUNTA([1]quests!$A:$A),MATCH(D$1,[1]quests!$1:$1,0)-MATCH($C$1,[1]quests!$1:$1,0)+1),MATCH(D$1,[1]quests!$1:$1,0)-MATCH($C$1,[1]quests!$1:$1,0)+1,FALSE)</f>
        <v>【キャンペーン限定】 黄の素材</v>
      </c>
      <c r="E5" s="29" t="str">
        <f ca="1">VLOOKUP($C5,OFFSET([1]quests!$A$1,0,0,COUNTA([1]quests!$A:$A),MATCH(E$1,[1]quests!$1:$1,0)-MATCH($C$1,[1]quests!$1:$1,0)+1),MATCH(E$1,[1]quests!$1:$1,0)-MATCH($C$1,[1]quests!$1:$1,0)+1,FALSE)</f>
        <v>月曜クエスト</v>
      </c>
      <c r="F5" s="32">
        <v>1</v>
      </c>
      <c r="G5" s="33" t="str">
        <f t="shared" si="1"/>
        <v>11101_1</v>
      </c>
      <c r="H5" s="20" t="str">
        <f ca="1">VLOOKUP($G5,OFFSET([1]stages!$A$1,0,0,COUNTA([1]stages!$A:$A),MATCH(H$1,[1]stages!$2:$2,0)-MATCH($G$1,[1]stages!$2:$2,0)+1),MATCH(H$1,[1]stages!$2:$2,0)-MATCH($G$1,[1]stages!$2:$2,0)+1,FALSE)</f>
        <v>雷のチェシャ猫 【初級】</v>
      </c>
      <c r="I5" s="32">
        <v>4</v>
      </c>
      <c r="J5" s="13">
        <v>45</v>
      </c>
      <c r="K5" s="13">
        <v>60</v>
      </c>
    </row>
    <row r="6" spans="1:11" ht="21" customHeight="1">
      <c r="A6" s="21" t="str">
        <f t="shared" si="0"/>
        <v>11101_1-5</v>
      </c>
      <c r="B6" s="21" t="str">
        <f>IF(COUNTIF(enemy_habitats_cp_quests!$H:$H,A6),"OK","NG")</f>
        <v>OK</v>
      </c>
      <c r="C6" s="8">
        <v>11101</v>
      </c>
      <c r="D6" s="12" t="str">
        <f ca="1">VLOOKUP($C6,OFFSET([1]quests!$A$1,0,0,COUNTA([1]quests!$A:$A),MATCH(D$1,[1]quests!$1:$1,0)-MATCH($C$1,[1]quests!$1:$1,0)+1),MATCH(D$1,[1]quests!$1:$1,0)-MATCH($C$1,[1]quests!$1:$1,0)+1,FALSE)</f>
        <v>【キャンペーン限定】 黄の素材</v>
      </c>
      <c r="E6" s="29" t="str">
        <f ca="1">VLOOKUP($C6,OFFSET([1]quests!$A$1,0,0,COUNTA([1]quests!$A:$A),MATCH(E$1,[1]quests!$1:$1,0)-MATCH($C$1,[1]quests!$1:$1,0)+1),MATCH(E$1,[1]quests!$1:$1,0)-MATCH($C$1,[1]quests!$1:$1,0)+1,FALSE)</f>
        <v>月曜クエスト</v>
      </c>
      <c r="F6" s="32">
        <v>1</v>
      </c>
      <c r="G6" s="33" t="str">
        <f t="shared" si="1"/>
        <v>11101_1</v>
      </c>
      <c r="H6" s="20" t="str">
        <f ca="1">VLOOKUP($G6,OFFSET([1]stages!$A$1,0,0,COUNTA([1]stages!$A:$A),MATCH(H$1,[1]stages!$2:$2,0)-MATCH($G$1,[1]stages!$2:$2,0)+1),MATCH(H$1,[1]stages!$2:$2,0)-MATCH($G$1,[1]stages!$2:$2,0)+1,FALSE)</f>
        <v>雷のチェシャ猫 【初級】</v>
      </c>
      <c r="I6" s="32">
        <v>5</v>
      </c>
      <c r="J6" s="13">
        <v>45</v>
      </c>
      <c r="K6" s="13">
        <v>45</v>
      </c>
    </row>
    <row r="7" spans="1:11" ht="21" customHeight="1">
      <c r="A7" s="21" t="str">
        <f t="shared" si="0"/>
        <v>11101_2-1</v>
      </c>
      <c r="B7" s="21" t="str">
        <f>IF(COUNTIF(enemy_habitats_cp_quests!$H:$H,A7),"OK","NG")</f>
        <v>OK</v>
      </c>
      <c r="C7" s="8">
        <v>11101</v>
      </c>
      <c r="D7" s="12" t="str">
        <f ca="1">VLOOKUP($C7,OFFSET([1]quests!$A$1,0,0,COUNTA([1]quests!$A:$A),MATCH(D$1,[1]quests!$1:$1,0)-MATCH($C$1,[1]quests!$1:$1,0)+1),MATCH(D$1,[1]quests!$1:$1,0)-MATCH($C$1,[1]quests!$1:$1,0)+1,FALSE)</f>
        <v>【キャンペーン限定】 黄の素材</v>
      </c>
      <c r="E7" s="29" t="str">
        <f ca="1">VLOOKUP($C7,OFFSET([1]quests!$A$1,0,0,COUNTA([1]quests!$A:$A),MATCH(E$1,[1]quests!$1:$1,0)-MATCH($C$1,[1]quests!$1:$1,0)+1),MATCH(E$1,[1]quests!$1:$1,0)-MATCH($C$1,[1]quests!$1:$1,0)+1,FALSE)</f>
        <v>月曜クエスト</v>
      </c>
      <c r="F7" s="32">
        <v>2</v>
      </c>
      <c r="G7" s="33" t="str">
        <f t="shared" si="1"/>
        <v>11101_2</v>
      </c>
      <c r="H7" s="20" t="str">
        <f ca="1">VLOOKUP($G7,OFFSET([1]stages!$A$1,0,0,COUNTA([1]stages!$A:$A),MATCH(H$1,[1]stages!$2:$2,0)-MATCH($G$1,[1]stages!$2:$2,0)+1),MATCH(H$1,[1]stages!$2:$2,0)-MATCH($G$1,[1]stages!$2:$2,0)+1,FALSE)</f>
        <v>雷のウサギ 【中級】</v>
      </c>
      <c r="I7" s="32">
        <v>1</v>
      </c>
      <c r="J7" s="13">
        <v>30</v>
      </c>
      <c r="K7" s="13">
        <v>30</v>
      </c>
    </row>
    <row r="8" spans="1:11" ht="21" customHeight="1">
      <c r="A8" s="21" t="str">
        <f t="shared" si="0"/>
        <v>11101_2-2</v>
      </c>
      <c r="B8" s="21" t="str">
        <f>IF(COUNTIF(enemy_habitats_cp_quests!$H:$H,A8),"OK","NG")</f>
        <v>OK</v>
      </c>
      <c r="C8" s="8">
        <v>11101</v>
      </c>
      <c r="D8" s="12" t="str">
        <f ca="1">VLOOKUP($C8,OFFSET([1]quests!$A$1,0,0,COUNTA([1]quests!$A:$A),MATCH(D$1,[1]quests!$1:$1,0)-MATCH($C$1,[1]quests!$1:$1,0)+1),MATCH(D$1,[1]quests!$1:$1,0)-MATCH($C$1,[1]quests!$1:$1,0)+1,FALSE)</f>
        <v>【キャンペーン限定】 黄の素材</v>
      </c>
      <c r="E8" s="29" t="str">
        <f ca="1">VLOOKUP($C8,OFFSET([1]quests!$A$1,0,0,COUNTA([1]quests!$A:$A),MATCH(E$1,[1]quests!$1:$1,0)-MATCH($C$1,[1]quests!$1:$1,0)+1),MATCH(E$1,[1]quests!$1:$1,0)-MATCH($C$1,[1]quests!$1:$1,0)+1,FALSE)</f>
        <v>月曜クエスト</v>
      </c>
      <c r="F8" s="32">
        <v>2</v>
      </c>
      <c r="G8" s="33" t="str">
        <f t="shared" si="1"/>
        <v>11101_2</v>
      </c>
      <c r="H8" s="20" t="str">
        <f ca="1">VLOOKUP($G8,OFFSET([1]stages!$A$1,0,0,COUNTA([1]stages!$A:$A),MATCH(H$1,[1]stages!$2:$2,0)-MATCH($G$1,[1]stages!$2:$2,0)+1),MATCH(H$1,[1]stages!$2:$2,0)-MATCH($G$1,[1]stages!$2:$2,0)+1,FALSE)</f>
        <v>雷のウサギ 【中級】</v>
      </c>
      <c r="I8" s="32">
        <v>2</v>
      </c>
      <c r="J8" s="13">
        <v>30</v>
      </c>
      <c r="K8" s="13">
        <v>30</v>
      </c>
    </row>
    <row r="9" spans="1:11" ht="21" customHeight="1">
      <c r="A9" s="21" t="str">
        <f t="shared" si="0"/>
        <v>11101_2-3</v>
      </c>
      <c r="B9" s="21" t="str">
        <f>IF(COUNTIF(enemy_habitats_cp_quests!$H:$H,A9),"OK","NG")</f>
        <v>OK</v>
      </c>
      <c r="C9" s="8">
        <v>11101</v>
      </c>
      <c r="D9" s="12" t="str">
        <f ca="1">VLOOKUP($C9,OFFSET([1]quests!$A$1,0,0,COUNTA([1]quests!$A:$A),MATCH(D$1,[1]quests!$1:$1,0)-MATCH($C$1,[1]quests!$1:$1,0)+1),MATCH(D$1,[1]quests!$1:$1,0)-MATCH($C$1,[1]quests!$1:$1,0)+1,FALSE)</f>
        <v>【キャンペーン限定】 黄の素材</v>
      </c>
      <c r="E9" s="29" t="str">
        <f ca="1">VLOOKUP($C9,OFFSET([1]quests!$A$1,0,0,COUNTA([1]quests!$A:$A),MATCH(E$1,[1]quests!$1:$1,0)-MATCH($C$1,[1]quests!$1:$1,0)+1),MATCH(E$1,[1]quests!$1:$1,0)-MATCH($C$1,[1]quests!$1:$1,0)+1,FALSE)</f>
        <v>月曜クエスト</v>
      </c>
      <c r="F9" s="32">
        <v>2</v>
      </c>
      <c r="G9" s="33" t="str">
        <f t="shared" si="1"/>
        <v>11101_2</v>
      </c>
      <c r="H9" s="20" t="str">
        <f ca="1">VLOOKUP($G9,OFFSET([1]stages!$A$1,0,0,COUNTA([1]stages!$A:$A),MATCH(H$1,[1]stages!$2:$2,0)-MATCH($G$1,[1]stages!$2:$2,0)+1),MATCH(H$1,[1]stages!$2:$2,0)-MATCH($G$1,[1]stages!$2:$2,0)+1,FALSE)</f>
        <v>雷のウサギ 【中級】</v>
      </c>
      <c r="I9" s="32">
        <v>3</v>
      </c>
      <c r="J9" s="13">
        <v>45</v>
      </c>
      <c r="K9" s="13">
        <v>45</v>
      </c>
    </row>
    <row r="10" spans="1:11" ht="21" customHeight="1">
      <c r="A10" s="21" t="str">
        <f t="shared" si="0"/>
        <v>11101_2-4</v>
      </c>
      <c r="B10" s="21" t="str">
        <f>IF(COUNTIF(enemy_habitats_cp_quests!$H:$H,A10),"OK","NG")</f>
        <v>OK</v>
      </c>
      <c r="C10" s="8">
        <v>11101</v>
      </c>
      <c r="D10" s="12" t="str">
        <f ca="1">VLOOKUP($C10,OFFSET([1]quests!$A$1,0,0,COUNTA([1]quests!$A:$A),MATCH(D$1,[1]quests!$1:$1,0)-MATCH($C$1,[1]quests!$1:$1,0)+1),MATCH(D$1,[1]quests!$1:$1,0)-MATCH($C$1,[1]quests!$1:$1,0)+1,FALSE)</f>
        <v>【キャンペーン限定】 黄の素材</v>
      </c>
      <c r="E10" s="29" t="str">
        <f ca="1">VLOOKUP($C10,OFFSET([1]quests!$A$1,0,0,COUNTA([1]quests!$A:$A),MATCH(E$1,[1]quests!$1:$1,0)-MATCH($C$1,[1]quests!$1:$1,0)+1),MATCH(E$1,[1]quests!$1:$1,0)-MATCH($C$1,[1]quests!$1:$1,0)+1,FALSE)</f>
        <v>月曜クエスト</v>
      </c>
      <c r="F10" s="32">
        <v>2</v>
      </c>
      <c r="G10" s="33" t="str">
        <f t="shared" si="1"/>
        <v>11101_2</v>
      </c>
      <c r="H10" s="20" t="str">
        <f ca="1">VLOOKUP($G10,OFFSET([1]stages!$A$1,0,0,COUNTA([1]stages!$A:$A),MATCH(H$1,[1]stages!$2:$2,0)-MATCH($G$1,[1]stages!$2:$2,0)+1),MATCH(H$1,[1]stages!$2:$2,0)-MATCH($G$1,[1]stages!$2:$2,0)+1,FALSE)</f>
        <v>雷のウサギ 【中級】</v>
      </c>
      <c r="I10" s="32">
        <v>4</v>
      </c>
      <c r="J10" s="13">
        <v>45</v>
      </c>
      <c r="K10" s="13">
        <v>45</v>
      </c>
    </row>
    <row r="11" spans="1:11" ht="21" customHeight="1">
      <c r="A11" s="21" t="str">
        <f t="shared" si="0"/>
        <v>11101_2-5</v>
      </c>
      <c r="B11" s="21" t="str">
        <f>IF(COUNTIF(enemy_habitats_cp_quests!$H:$H,A11),"OK","NG")</f>
        <v>OK</v>
      </c>
      <c r="C11" s="8">
        <v>11101</v>
      </c>
      <c r="D11" s="12" t="str">
        <f ca="1">VLOOKUP($C11,OFFSET([1]quests!$A$1,0,0,COUNTA([1]quests!$A:$A),MATCH(D$1,[1]quests!$1:$1,0)-MATCH($C$1,[1]quests!$1:$1,0)+1),MATCH(D$1,[1]quests!$1:$1,0)-MATCH($C$1,[1]quests!$1:$1,0)+1,FALSE)</f>
        <v>【キャンペーン限定】 黄の素材</v>
      </c>
      <c r="E11" s="29" t="str">
        <f ca="1">VLOOKUP($C11,OFFSET([1]quests!$A$1,0,0,COUNTA([1]quests!$A:$A),MATCH(E$1,[1]quests!$1:$1,0)-MATCH($C$1,[1]quests!$1:$1,0)+1),MATCH(E$1,[1]quests!$1:$1,0)-MATCH($C$1,[1]quests!$1:$1,0)+1,FALSE)</f>
        <v>月曜クエスト</v>
      </c>
      <c r="F11" s="32">
        <v>2</v>
      </c>
      <c r="G11" s="33" t="str">
        <f t="shared" si="1"/>
        <v>11101_2</v>
      </c>
      <c r="H11" s="20" t="str">
        <f ca="1">VLOOKUP($G11,OFFSET([1]stages!$A$1,0,0,COUNTA([1]stages!$A:$A),MATCH(H$1,[1]stages!$2:$2,0)-MATCH($G$1,[1]stages!$2:$2,0)+1),MATCH(H$1,[1]stages!$2:$2,0)-MATCH($G$1,[1]stages!$2:$2,0)+1,FALSE)</f>
        <v>雷のウサギ 【中級】</v>
      </c>
      <c r="I11" s="32">
        <v>5</v>
      </c>
      <c r="J11" s="13">
        <v>50</v>
      </c>
      <c r="K11" s="13">
        <v>50</v>
      </c>
    </row>
    <row r="12" spans="1:11" ht="21" customHeight="1">
      <c r="A12" s="21" t="str">
        <f t="shared" si="0"/>
        <v>11101_3-1</v>
      </c>
      <c r="B12" s="21" t="str">
        <f>IF(COUNTIF(enemy_habitats_cp_quests!$H:$H,A12),"OK","NG")</f>
        <v>OK</v>
      </c>
      <c r="C12" s="8">
        <v>11101</v>
      </c>
      <c r="D12" s="12" t="str">
        <f ca="1">VLOOKUP($C12,OFFSET([1]quests!$A$1,0,0,COUNTA([1]quests!$A:$A),MATCH(D$1,[1]quests!$1:$1,0)-MATCH($C$1,[1]quests!$1:$1,0)+1),MATCH(D$1,[1]quests!$1:$1,0)-MATCH($C$1,[1]quests!$1:$1,0)+1,FALSE)</f>
        <v>【キャンペーン限定】 黄の素材</v>
      </c>
      <c r="E12" s="29" t="str">
        <f ca="1">VLOOKUP($C12,OFFSET([1]quests!$A$1,0,0,COUNTA([1]quests!$A:$A),MATCH(E$1,[1]quests!$1:$1,0)-MATCH($C$1,[1]quests!$1:$1,0)+1),MATCH(E$1,[1]quests!$1:$1,0)-MATCH($C$1,[1]quests!$1:$1,0)+1,FALSE)</f>
        <v>月曜クエスト</v>
      </c>
      <c r="F12" s="32">
        <v>3</v>
      </c>
      <c r="G12" s="33" t="str">
        <f t="shared" si="1"/>
        <v>11101_3</v>
      </c>
      <c r="H12" s="20" t="str">
        <f ca="1">VLOOKUP($G12,OFFSET([1]stages!$A$1,0,0,COUNTA([1]stages!$A:$A),MATCH(H$1,[1]stages!$2:$2,0)-MATCH($G$1,[1]stages!$2:$2,0)+1),MATCH(H$1,[1]stages!$2:$2,0)-MATCH($G$1,[1]stages!$2:$2,0)+1,FALSE)</f>
        <v>雷のイモムシ 【上級】</v>
      </c>
      <c r="I12" s="32">
        <v>1</v>
      </c>
      <c r="J12" s="13">
        <v>30</v>
      </c>
      <c r="K12" s="13">
        <v>45</v>
      </c>
    </row>
    <row r="13" spans="1:11" ht="21" customHeight="1">
      <c r="A13" s="21" t="str">
        <f t="shared" si="0"/>
        <v>11101_3-2</v>
      </c>
      <c r="B13" s="21" t="str">
        <f>IF(COUNTIF(enemy_habitats_cp_quests!$H:$H,A13),"OK","NG")</f>
        <v>OK</v>
      </c>
      <c r="C13" s="8">
        <v>11101</v>
      </c>
      <c r="D13" s="12" t="str">
        <f ca="1">VLOOKUP($C13,OFFSET([1]quests!$A$1,0,0,COUNTA([1]quests!$A:$A),MATCH(D$1,[1]quests!$1:$1,0)-MATCH($C$1,[1]quests!$1:$1,0)+1),MATCH(D$1,[1]quests!$1:$1,0)-MATCH($C$1,[1]quests!$1:$1,0)+1,FALSE)</f>
        <v>【キャンペーン限定】 黄の素材</v>
      </c>
      <c r="E13" s="29" t="str">
        <f ca="1">VLOOKUP($C13,OFFSET([1]quests!$A$1,0,0,COUNTA([1]quests!$A:$A),MATCH(E$1,[1]quests!$1:$1,0)-MATCH($C$1,[1]quests!$1:$1,0)+1),MATCH(E$1,[1]quests!$1:$1,0)-MATCH($C$1,[1]quests!$1:$1,0)+1,FALSE)</f>
        <v>月曜クエスト</v>
      </c>
      <c r="F13" s="32">
        <v>3</v>
      </c>
      <c r="G13" s="33" t="str">
        <f t="shared" si="1"/>
        <v>11101_3</v>
      </c>
      <c r="H13" s="20" t="str">
        <f ca="1">VLOOKUP($G13,OFFSET([1]stages!$A$1,0,0,COUNTA([1]stages!$A:$A),MATCH(H$1,[1]stages!$2:$2,0)-MATCH($G$1,[1]stages!$2:$2,0)+1),MATCH(H$1,[1]stages!$2:$2,0)-MATCH($G$1,[1]stages!$2:$2,0)+1,FALSE)</f>
        <v>雷のイモムシ 【上級】</v>
      </c>
      <c r="I13" s="32">
        <v>2</v>
      </c>
      <c r="J13" s="13">
        <v>30</v>
      </c>
      <c r="K13" s="13">
        <v>45</v>
      </c>
    </row>
    <row r="14" spans="1:11" ht="21" customHeight="1">
      <c r="A14" s="21" t="str">
        <f t="shared" si="0"/>
        <v>11101_3-3</v>
      </c>
      <c r="B14" s="21" t="str">
        <f>IF(COUNTIF(enemy_habitats_cp_quests!$H:$H,A14),"OK","NG")</f>
        <v>OK</v>
      </c>
      <c r="C14" s="8">
        <v>11101</v>
      </c>
      <c r="D14" s="12" t="str">
        <f ca="1">VLOOKUP($C14,OFFSET([1]quests!$A$1,0,0,COUNTA([1]quests!$A:$A),MATCH(D$1,[1]quests!$1:$1,0)-MATCH($C$1,[1]quests!$1:$1,0)+1),MATCH(D$1,[1]quests!$1:$1,0)-MATCH($C$1,[1]quests!$1:$1,0)+1,FALSE)</f>
        <v>【キャンペーン限定】 黄の素材</v>
      </c>
      <c r="E14" s="29" t="str">
        <f ca="1">VLOOKUP($C14,OFFSET([1]quests!$A$1,0,0,COUNTA([1]quests!$A:$A),MATCH(E$1,[1]quests!$1:$1,0)-MATCH($C$1,[1]quests!$1:$1,0)+1),MATCH(E$1,[1]quests!$1:$1,0)-MATCH($C$1,[1]quests!$1:$1,0)+1,FALSE)</f>
        <v>月曜クエスト</v>
      </c>
      <c r="F14" s="32">
        <v>3</v>
      </c>
      <c r="G14" s="33" t="str">
        <f t="shared" si="1"/>
        <v>11101_3</v>
      </c>
      <c r="H14" s="20" t="str">
        <f ca="1">VLOOKUP($G14,OFFSET([1]stages!$A$1,0,0,COUNTA([1]stages!$A:$A),MATCH(H$1,[1]stages!$2:$2,0)-MATCH($G$1,[1]stages!$2:$2,0)+1),MATCH(H$1,[1]stages!$2:$2,0)-MATCH($G$1,[1]stages!$2:$2,0)+1,FALSE)</f>
        <v>雷のイモムシ 【上級】</v>
      </c>
      <c r="I14" s="32">
        <v>3</v>
      </c>
      <c r="J14" s="13">
        <v>45</v>
      </c>
      <c r="K14" s="13">
        <v>45</v>
      </c>
    </row>
    <row r="15" spans="1:11" ht="21" customHeight="1">
      <c r="A15" s="21" t="str">
        <f t="shared" si="0"/>
        <v>11101_3-4</v>
      </c>
      <c r="B15" s="21" t="str">
        <f>IF(COUNTIF(enemy_habitats_cp_quests!$H:$H,A15),"OK","NG")</f>
        <v>OK</v>
      </c>
      <c r="C15" s="8">
        <v>11101</v>
      </c>
      <c r="D15" s="12" t="str">
        <f ca="1">VLOOKUP($C15,OFFSET([1]quests!$A$1,0,0,COUNTA([1]quests!$A:$A),MATCH(D$1,[1]quests!$1:$1,0)-MATCH($C$1,[1]quests!$1:$1,0)+1),MATCH(D$1,[1]quests!$1:$1,0)-MATCH($C$1,[1]quests!$1:$1,0)+1,FALSE)</f>
        <v>【キャンペーン限定】 黄の素材</v>
      </c>
      <c r="E15" s="29" t="str">
        <f ca="1">VLOOKUP($C15,OFFSET([1]quests!$A$1,0,0,COUNTA([1]quests!$A:$A),MATCH(E$1,[1]quests!$1:$1,0)-MATCH($C$1,[1]quests!$1:$1,0)+1),MATCH(E$1,[1]quests!$1:$1,0)-MATCH($C$1,[1]quests!$1:$1,0)+1,FALSE)</f>
        <v>月曜クエスト</v>
      </c>
      <c r="F15" s="32">
        <v>3</v>
      </c>
      <c r="G15" s="33" t="str">
        <f t="shared" si="1"/>
        <v>11101_3</v>
      </c>
      <c r="H15" s="20" t="str">
        <f ca="1">VLOOKUP($G15,OFFSET([1]stages!$A$1,0,0,COUNTA([1]stages!$A:$A),MATCH(H$1,[1]stages!$2:$2,0)-MATCH($G$1,[1]stages!$2:$2,0)+1),MATCH(H$1,[1]stages!$2:$2,0)-MATCH($G$1,[1]stages!$2:$2,0)+1,FALSE)</f>
        <v>雷のイモムシ 【上級】</v>
      </c>
      <c r="I15" s="32">
        <v>4</v>
      </c>
      <c r="J15" s="13">
        <v>45</v>
      </c>
      <c r="K15" s="13">
        <v>60</v>
      </c>
    </row>
    <row r="16" spans="1:11" ht="21" customHeight="1">
      <c r="A16" s="21" t="str">
        <f t="shared" si="0"/>
        <v>11101_3-5</v>
      </c>
      <c r="B16" s="21" t="str">
        <f>IF(COUNTIF(enemy_habitats_cp_quests!$H:$H,A16),"OK","NG")</f>
        <v>OK</v>
      </c>
      <c r="C16" s="8">
        <v>11101</v>
      </c>
      <c r="D16" s="12" t="str">
        <f ca="1">VLOOKUP($C16,OFFSET([1]quests!$A$1,0,0,COUNTA([1]quests!$A:$A),MATCH(D$1,[1]quests!$1:$1,0)-MATCH($C$1,[1]quests!$1:$1,0)+1),MATCH(D$1,[1]quests!$1:$1,0)-MATCH($C$1,[1]quests!$1:$1,0)+1,FALSE)</f>
        <v>【キャンペーン限定】 黄の素材</v>
      </c>
      <c r="E16" s="29" t="str">
        <f ca="1">VLOOKUP($C16,OFFSET([1]quests!$A$1,0,0,COUNTA([1]quests!$A:$A),MATCH(E$1,[1]quests!$1:$1,0)-MATCH($C$1,[1]quests!$1:$1,0)+1),MATCH(E$1,[1]quests!$1:$1,0)-MATCH($C$1,[1]quests!$1:$1,0)+1,FALSE)</f>
        <v>月曜クエスト</v>
      </c>
      <c r="F16" s="32">
        <v>3</v>
      </c>
      <c r="G16" s="33" t="str">
        <f t="shared" si="1"/>
        <v>11101_3</v>
      </c>
      <c r="H16" s="20" t="str">
        <f ca="1">VLOOKUP($G16,OFFSET([1]stages!$A$1,0,0,COUNTA([1]stages!$A:$A),MATCH(H$1,[1]stages!$2:$2,0)-MATCH($G$1,[1]stages!$2:$2,0)+1),MATCH(H$1,[1]stages!$2:$2,0)-MATCH($G$1,[1]stages!$2:$2,0)+1,FALSE)</f>
        <v>雷のイモムシ 【上級】</v>
      </c>
      <c r="I16" s="32">
        <v>5</v>
      </c>
      <c r="J16" s="13">
        <v>60</v>
      </c>
      <c r="K16" s="13">
        <v>60</v>
      </c>
    </row>
    <row r="17" spans="1:11" ht="21" customHeight="1">
      <c r="A17" s="21" t="str">
        <f t="shared" si="0"/>
        <v>11102_1-1</v>
      </c>
      <c r="B17" s="21" t="str">
        <f>IF(COUNTIF(enemy_habitats_cp_quests!$H:$H,A17),"OK","NG")</f>
        <v>OK</v>
      </c>
      <c r="C17" s="8">
        <v>11102</v>
      </c>
      <c r="D17" s="12" t="str">
        <f ca="1">VLOOKUP($C17,OFFSET([1]quests!$A$1,0,0,COUNTA([1]quests!$A:$A),MATCH(D$1,[1]quests!$1:$1,0)-MATCH($C$1,[1]quests!$1:$1,0)+1),MATCH(D$1,[1]quests!$1:$1,0)-MATCH($C$1,[1]quests!$1:$1,0)+1,FALSE)</f>
        <v>【キャンペーン限定】 赤の素材</v>
      </c>
      <c r="E17" s="29" t="str">
        <f ca="1">VLOOKUP($C17,OFFSET([1]quests!$A$1,0,0,COUNTA([1]quests!$A:$A),MATCH(E$1,[1]quests!$1:$1,0)-MATCH($C$1,[1]quests!$1:$1,0)+1),MATCH(E$1,[1]quests!$1:$1,0)-MATCH($C$1,[1]quests!$1:$1,0)+1,FALSE)</f>
        <v>火曜クエスト</v>
      </c>
      <c r="F17" s="32">
        <v>1</v>
      </c>
      <c r="G17" s="33" t="str">
        <f t="shared" si="1"/>
        <v>11102_1</v>
      </c>
      <c r="H17" s="20" t="str">
        <f ca="1">VLOOKUP($G17,OFFSET([1]stages!$A$1,0,0,COUNTA([1]stages!$A:$A),MATCH(H$1,[1]stages!$2:$2,0)-MATCH($G$1,[1]stages!$2:$2,0)+1),MATCH(H$1,[1]stages!$2:$2,0)-MATCH($G$1,[1]stages!$2:$2,0)+1,FALSE)</f>
        <v>火のチェシャ猫 【初級】</v>
      </c>
      <c r="I17" s="32">
        <v>1</v>
      </c>
      <c r="J17" s="13">
        <v>30</v>
      </c>
      <c r="K17" s="13">
        <v>45</v>
      </c>
    </row>
    <row r="18" spans="1:11" ht="21" customHeight="1">
      <c r="A18" s="21" t="str">
        <f t="shared" si="0"/>
        <v>11102_1-2</v>
      </c>
      <c r="B18" s="21" t="str">
        <f>IF(COUNTIF(enemy_habitats_cp_quests!$H:$H,A18),"OK","NG")</f>
        <v>OK</v>
      </c>
      <c r="C18" s="8">
        <v>11102</v>
      </c>
      <c r="D18" s="12" t="str">
        <f ca="1">VLOOKUP($C18,OFFSET([1]quests!$A$1,0,0,COUNTA([1]quests!$A:$A),MATCH(D$1,[1]quests!$1:$1,0)-MATCH($C$1,[1]quests!$1:$1,0)+1),MATCH(D$1,[1]quests!$1:$1,0)-MATCH($C$1,[1]quests!$1:$1,0)+1,FALSE)</f>
        <v>【キャンペーン限定】 赤の素材</v>
      </c>
      <c r="E18" s="29" t="str">
        <f ca="1">VLOOKUP($C18,OFFSET([1]quests!$A$1,0,0,COUNTA([1]quests!$A:$A),MATCH(E$1,[1]quests!$1:$1,0)-MATCH($C$1,[1]quests!$1:$1,0)+1),MATCH(E$1,[1]quests!$1:$1,0)-MATCH($C$1,[1]quests!$1:$1,0)+1,FALSE)</f>
        <v>火曜クエスト</v>
      </c>
      <c r="F18" s="32">
        <v>1</v>
      </c>
      <c r="G18" s="33" t="str">
        <f t="shared" si="1"/>
        <v>11102_1</v>
      </c>
      <c r="H18" s="20" t="str">
        <f ca="1">VLOOKUP($G18,OFFSET([1]stages!$A$1,0,0,COUNTA([1]stages!$A:$A),MATCH(H$1,[1]stages!$2:$2,0)-MATCH($G$1,[1]stages!$2:$2,0)+1),MATCH(H$1,[1]stages!$2:$2,0)-MATCH($G$1,[1]stages!$2:$2,0)+1,FALSE)</f>
        <v>火のチェシャ猫 【初級】</v>
      </c>
      <c r="I18" s="32">
        <v>2</v>
      </c>
      <c r="J18" s="13">
        <v>30</v>
      </c>
      <c r="K18" s="13">
        <v>45</v>
      </c>
    </row>
    <row r="19" spans="1:11" ht="21" customHeight="1">
      <c r="A19" s="21" t="str">
        <f t="shared" si="0"/>
        <v>11102_1-3</v>
      </c>
      <c r="B19" s="21" t="str">
        <f>IF(COUNTIF(enemy_habitats_cp_quests!$H:$H,A19),"OK","NG")</f>
        <v>OK</v>
      </c>
      <c r="C19" s="8">
        <v>11102</v>
      </c>
      <c r="D19" s="12" t="str">
        <f ca="1">VLOOKUP($C19,OFFSET([1]quests!$A$1,0,0,COUNTA([1]quests!$A:$A),MATCH(D$1,[1]quests!$1:$1,0)-MATCH($C$1,[1]quests!$1:$1,0)+1),MATCH(D$1,[1]quests!$1:$1,0)-MATCH($C$1,[1]quests!$1:$1,0)+1,FALSE)</f>
        <v>【キャンペーン限定】 赤の素材</v>
      </c>
      <c r="E19" s="29" t="str">
        <f ca="1">VLOOKUP($C19,OFFSET([1]quests!$A$1,0,0,COUNTA([1]quests!$A:$A),MATCH(E$1,[1]quests!$1:$1,0)-MATCH($C$1,[1]quests!$1:$1,0)+1),MATCH(E$1,[1]quests!$1:$1,0)-MATCH($C$1,[1]quests!$1:$1,0)+1,FALSE)</f>
        <v>火曜クエスト</v>
      </c>
      <c r="F19" s="32">
        <v>1</v>
      </c>
      <c r="G19" s="33" t="str">
        <f t="shared" si="1"/>
        <v>11102_1</v>
      </c>
      <c r="H19" s="20" t="str">
        <f ca="1">VLOOKUP($G19,OFFSET([1]stages!$A$1,0,0,COUNTA([1]stages!$A:$A),MATCH(H$1,[1]stages!$2:$2,0)-MATCH($G$1,[1]stages!$2:$2,0)+1),MATCH(H$1,[1]stages!$2:$2,0)-MATCH($G$1,[1]stages!$2:$2,0)+1,FALSE)</f>
        <v>火のチェシャ猫 【初級】</v>
      </c>
      <c r="I19" s="32">
        <v>3</v>
      </c>
      <c r="J19" s="13">
        <v>45</v>
      </c>
      <c r="K19" s="13">
        <v>45</v>
      </c>
    </row>
    <row r="20" spans="1:11" ht="21" customHeight="1">
      <c r="A20" s="21" t="str">
        <f t="shared" si="0"/>
        <v>11102_1-4</v>
      </c>
      <c r="B20" s="21" t="str">
        <f>IF(COUNTIF(enemy_habitats_cp_quests!$H:$H,A20),"OK","NG")</f>
        <v>OK</v>
      </c>
      <c r="C20" s="8">
        <v>11102</v>
      </c>
      <c r="D20" s="12" t="str">
        <f ca="1">VLOOKUP($C20,OFFSET([1]quests!$A$1,0,0,COUNTA([1]quests!$A:$A),MATCH(D$1,[1]quests!$1:$1,0)-MATCH($C$1,[1]quests!$1:$1,0)+1),MATCH(D$1,[1]quests!$1:$1,0)-MATCH($C$1,[1]quests!$1:$1,0)+1,FALSE)</f>
        <v>【キャンペーン限定】 赤の素材</v>
      </c>
      <c r="E20" s="29" t="str">
        <f ca="1">VLOOKUP($C20,OFFSET([1]quests!$A$1,0,0,COUNTA([1]quests!$A:$A),MATCH(E$1,[1]quests!$1:$1,0)-MATCH($C$1,[1]quests!$1:$1,0)+1),MATCH(E$1,[1]quests!$1:$1,0)-MATCH($C$1,[1]quests!$1:$1,0)+1,FALSE)</f>
        <v>火曜クエスト</v>
      </c>
      <c r="F20" s="32">
        <v>1</v>
      </c>
      <c r="G20" s="33" t="str">
        <f t="shared" si="1"/>
        <v>11102_1</v>
      </c>
      <c r="H20" s="20" t="str">
        <f ca="1">VLOOKUP($G20,OFFSET([1]stages!$A$1,0,0,COUNTA([1]stages!$A:$A),MATCH(H$1,[1]stages!$2:$2,0)-MATCH($G$1,[1]stages!$2:$2,0)+1),MATCH(H$1,[1]stages!$2:$2,0)-MATCH($G$1,[1]stages!$2:$2,0)+1,FALSE)</f>
        <v>火のチェシャ猫 【初級】</v>
      </c>
      <c r="I20" s="32">
        <v>4</v>
      </c>
      <c r="J20" s="13">
        <v>45</v>
      </c>
      <c r="K20" s="13">
        <v>60</v>
      </c>
    </row>
    <row r="21" spans="1:11" ht="21" customHeight="1">
      <c r="A21" s="21" t="str">
        <f t="shared" si="0"/>
        <v>11102_1-5</v>
      </c>
      <c r="B21" s="21" t="str">
        <f>IF(COUNTIF(enemy_habitats_cp_quests!$H:$H,A21),"OK","NG")</f>
        <v>OK</v>
      </c>
      <c r="C21" s="8">
        <v>11102</v>
      </c>
      <c r="D21" s="12" t="str">
        <f ca="1">VLOOKUP($C21,OFFSET([1]quests!$A$1,0,0,COUNTA([1]quests!$A:$A),MATCH(D$1,[1]quests!$1:$1,0)-MATCH($C$1,[1]quests!$1:$1,0)+1),MATCH(D$1,[1]quests!$1:$1,0)-MATCH($C$1,[1]quests!$1:$1,0)+1,FALSE)</f>
        <v>【キャンペーン限定】 赤の素材</v>
      </c>
      <c r="E21" s="29" t="str">
        <f ca="1">VLOOKUP($C21,OFFSET([1]quests!$A$1,0,0,COUNTA([1]quests!$A:$A),MATCH(E$1,[1]quests!$1:$1,0)-MATCH($C$1,[1]quests!$1:$1,0)+1),MATCH(E$1,[1]quests!$1:$1,0)-MATCH($C$1,[1]quests!$1:$1,0)+1,FALSE)</f>
        <v>火曜クエスト</v>
      </c>
      <c r="F21" s="32">
        <v>1</v>
      </c>
      <c r="G21" s="33" t="str">
        <f t="shared" si="1"/>
        <v>11102_1</v>
      </c>
      <c r="H21" s="20" t="str">
        <f ca="1">VLOOKUP($G21,OFFSET([1]stages!$A$1,0,0,COUNTA([1]stages!$A:$A),MATCH(H$1,[1]stages!$2:$2,0)-MATCH($G$1,[1]stages!$2:$2,0)+1),MATCH(H$1,[1]stages!$2:$2,0)-MATCH($G$1,[1]stages!$2:$2,0)+1,FALSE)</f>
        <v>火のチェシャ猫 【初級】</v>
      </c>
      <c r="I21" s="32">
        <v>5</v>
      </c>
      <c r="J21" s="13">
        <v>45</v>
      </c>
      <c r="K21" s="13">
        <v>45</v>
      </c>
    </row>
    <row r="22" spans="1:11" ht="21" customHeight="1">
      <c r="A22" s="21" t="str">
        <f t="shared" si="0"/>
        <v>11102_2-1</v>
      </c>
      <c r="B22" s="21" t="str">
        <f>IF(COUNTIF(enemy_habitats_cp_quests!$H:$H,A22),"OK","NG")</f>
        <v>OK</v>
      </c>
      <c r="C22" s="8">
        <v>11102</v>
      </c>
      <c r="D22" s="12" t="str">
        <f ca="1">VLOOKUP($C22,OFFSET([1]quests!$A$1,0,0,COUNTA([1]quests!$A:$A),MATCH(D$1,[1]quests!$1:$1,0)-MATCH($C$1,[1]quests!$1:$1,0)+1),MATCH(D$1,[1]quests!$1:$1,0)-MATCH($C$1,[1]quests!$1:$1,0)+1,FALSE)</f>
        <v>【キャンペーン限定】 赤の素材</v>
      </c>
      <c r="E22" s="29" t="str">
        <f ca="1">VLOOKUP($C22,OFFSET([1]quests!$A$1,0,0,COUNTA([1]quests!$A:$A),MATCH(E$1,[1]quests!$1:$1,0)-MATCH($C$1,[1]quests!$1:$1,0)+1),MATCH(E$1,[1]quests!$1:$1,0)-MATCH($C$1,[1]quests!$1:$1,0)+1,FALSE)</f>
        <v>火曜クエスト</v>
      </c>
      <c r="F22" s="32">
        <v>2</v>
      </c>
      <c r="G22" s="33" t="str">
        <f t="shared" si="1"/>
        <v>11102_2</v>
      </c>
      <c r="H22" s="20" t="str">
        <f ca="1">VLOOKUP($G22,OFFSET([1]stages!$A$1,0,0,COUNTA([1]stages!$A:$A),MATCH(H$1,[1]stages!$2:$2,0)-MATCH($G$1,[1]stages!$2:$2,0)+1),MATCH(H$1,[1]stages!$2:$2,0)-MATCH($G$1,[1]stages!$2:$2,0)+1,FALSE)</f>
        <v>火のウサギ 【中級】</v>
      </c>
      <c r="I22" s="32">
        <v>1</v>
      </c>
      <c r="J22" s="13">
        <v>30</v>
      </c>
      <c r="K22" s="13">
        <v>30</v>
      </c>
    </row>
    <row r="23" spans="1:11" ht="21" customHeight="1">
      <c r="A23" s="21" t="str">
        <f t="shared" si="0"/>
        <v>11102_2-2</v>
      </c>
      <c r="B23" s="21" t="str">
        <f>IF(COUNTIF(enemy_habitats_cp_quests!$H:$H,A23),"OK","NG")</f>
        <v>OK</v>
      </c>
      <c r="C23" s="8">
        <v>11102</v>
      </c>
      <c r="D23" s="12" t="str">
        <f ca="1">VLOOKUP($C23,OFFSET([1]quests!$A$1,0,0,COUNTA([1]quests!$A:$A),MATCH(D$1,[1]quests!$1:$1,0)-MATCH($C$1,[1]quests!$1:$1,0)+1),MATCH(D$1,[1]quests!$1:$1,0)-MATCH($C$1,[1]quests!$1:$1,0)+1,FALSE)</f>
        <v>【キャンペーン限定】 赤の素材</v>
      </c>
      <c r="E23" s="29" t="str">
        <f ca="1">VLOOKUP($C23,OFFSET([1]quests!$A$1,0,0,COUNTA([1]quests!$A:$A),MATCH(E$1,[1]quests!$1:$1,0)-MATCH($C$1,[1]quests!$1:$1,0)+1),MATCH(E$1,[1]quests!$1:$1,0)-MATCH($C$1,[1]quests!$1:$1,0)+1,FALSE)</f>
        <v>火曜クエスト</v>
      </c>
      <c r="F23" s="32">
        <v>2</v>
      </c>
      <c r="G23" s="33" t="str">
        <f t="shared" si="1"/>
        <v>11102_2</v>
      </c>
      <c r="H23" s="20" t="str">
        <f ca="1">VLOOKUP($G23,OFFSET([1]stages!$A$1,0,0,COUNTA([1]stages!$A:$A),MATCH(H$1,[1]stages!$2:$2,0)-MATCH($G$1,[1]stages!$2:$2,0)+1),MATCH(H$1,[1]stages!$2:$2,0)-MATCH($G$1,[1]stages!$2:$2,0)+1,FALSE)</f>
        <v>火のウサギ 【中級】</v>
      </c>
      <c r="I23" s="32">
        <v>2</v>
      </c>
      <c r="J23" s="13">
        <v>30</v>
      </c>
      <c r="K23" s="13">
        <v>30</v>
      </c>
    </row>
    <row r="24" spans="1:11" ht="21" customHeight="1">
      <c r="A24" s="21" t="str">
        <f t="shared" si="0"/>
        <v>11102_2-3</v>
      </c>
      <c r="B24" s="21" t="str">
        <f>IF(COUNTIF(enemy_habitats_cp_quests!$H:$H,A24),"OK","NG")</f>
        <v>OK</v>
      </c>
      <c r="C24" s="8">
        <v>11102</v>
      </c>
      <c r="D24" s="12" t="str">
        <f ca="1">VLOOKUP($C24,OFFSET([1]quests!$A$1,0,0,COUNTA([1]quests!$A:$A),MATCH(D$1,[1]quests!$1:$1,0)-MATCH($C$1,[1]quests!$1:$1,0)+1),MATCH(D$1,[1]quests!$1:$1,0)-MATCH($C$1,[1]quests!$1:$1,0)+1,FALSE)</f>
        <v>【キャンペーン限定】 赤の素材</v>
      </c>
      <c r="E24" s="29" t="str">
        <f ca="1">VLOOKUP($C24,OFFSET([1]quests!$A$1,0,0,COUNTA([1]quests!$A:$A),MATCH(E$1,[1]quests!$1:$1,0)-MATCH($C$1,[1]quests!$1:$1,0)+1),MATCH(E$1,[1]quests!$1:$1,0)-MATCH($C$1,[1]quests!$1:$1,0)+1,FALSE)</f>
        <v>火曜クエスト</v>
      </c>
      <c r="F24" s="32">
        <v>2</v>
      </c>
      <c r="G24" s="33" t="str">
        <f t="shared" si="1"/>
        <v>11102_2</v>
      </c>
      <c r="H24" s="20" t="str">
        <f ca="1">VLOOKUP($G24,OFFSET([1]stages!$A$1,0,0,COUNTA([1]stages!$A:$A),MATCH(H$1,[1]stages!$2:$2,0)-MATCH($G$1,[1]stages!$2:$2,0)+1),MATCH(H$1,[1]stages!$2:$2,0)-MATCH($G$1,[1]stages!$2:$2,0)+1,FALSE)</f>
        <v>火のウサギ 【中級】</v>
      </c>
      <c r="I24" s="32">
        <v>3</v>
      </c>
      <c r="J24" s="13">
        <v>45</v>
      </c>
      <c r="K24" s="13">
        <v>45</v>
      </c>
    </row>
    <row r="25" spans="1:11" ht="21" customHeight="1">
      <c r="A25" s="21" t="str">
        <f t="shared" si="0"/>
        <v>11102_2-4</v>
      </c>
      <c r="B25" s="21" t="str">
        <f>IF(COUNTIF(enemy_habitats_cp_quests!$H:$H,A25),"OK","NG")</f>
        <v>OK</v>
      </c>
      <c r="C25" s="8">
        <v>11102</v>
      </c>
      <c r="D25" s="12" t="str">
        <f ca="1">VLOOKUP($C25,OFFSET([1]quests!$A$1,0,0,COUNTA([1]quests!$A:$A),MATCH(D$1,[1]quests!$1:$1,0)-MATCH($C$1,[1]quests!$1:$1,0)+1),MATCH(D$1,[1]quests!$1:$1,0)-MATCH($C$1,[1]quests!$1:$1,0)+1,FALSE)</f>
        <v>【キャンペーン限定】 赤の素材</v>
      </c>
      <c r="E25" s="29" t="str">
        <f ca="1">VLOOKUP($C25,OFFSET([1]quests!$A$1,0,0,COUNTA([1]quests!$A:$A),MATCH(E$1,[1]quests!$1:$1,0)-MATCH($C$1,[1]quests!$1:$1,0)+1),MATCH(E$1,[1]quests!$1:$1,0)-MATCH($C$1,[1]quests!$1:$1,0)+1,FALSE)</f>
        <v>火曜クエスト</v>
      </c>
      <c r="F25" s="32">
        <v>2</v>
      </c>
      <c r="G25" s="33" t="str">
        <f t="shared" si="1"/>
        <v>11102_2</v>
      </c>
      <c r="H25" s="20" t="str">
        <f ca="1">VLOOKUP($G25,OFFSET([1]stages!$A$1,0,0,COUNTA([1]stages!$A:$A),MATCH(H$1,[1]stages!$2:$2,0)-MATCH($G$1,[1]stages!$2:$2,0)+1),MATCH(H$1,[1]stages!$2:$2,0)-MATCH($G$1,[1]stages!$2:$2,0)+1,FALSE)</f>
        <v>火のウサギ 【中級】</v>
      </c>
      <c r="I25" s="32">
        <v>4</v>
      </c>
      <c r="J25" s="13">
        <v>45</v>
      </c>
      <c r="K25" s="13">
        <v>45</v>
      </c>
    </row>
    <row r="26" spans="1:11" ht="21" customHeight="1">
      <c r="A26" s="21" t="str">
        <f t="shared" si="0"/>
        <v>11102_2-5</v>
      </c>
      <c r="B26" s="21" t="str">
        <f>IF(COUNTIF(enemy_habitats_cp_quests!$H:$H,A26),"OK","NG")</f>
        <v>OK</v>
      </c>
      <c r="C26" s="8">
        <v>11102</v>
      </c>
      <c r="D26" s="12" t="str">
        <f ca="1">VLOOKUP($C26,OFFSET([1]quests!$A$1,0,0,COUNTA([1]quests!$A:$A),MATCH(D$1,[1]quests!$1:$1,0)-MATCH($C$1,[1]quests!$1:$1,0)+1),MATCH(D$1,[1]quests!$1:$1,0)-MATCH($C$1,[1]quests!$1:$1,0)+1,FALSE)</f>
        <v>【キャンペーン限定】 赤の素材</v>
      </c>
      <c r="E26" s="29" t="str">
        <f ca="1">VLOOKUP($C26,OFFSET([1]quests!$A$1,0,0,COUNTA([1]quests!$A:$A),MATCH(E$1,[1]quests!$1:$1,0)-MATCH($C$1,[1]quests!$1:$1,0)+1),MATCH(E$1,[1]quests!$1:$1,0)-MATCH($C$1,[1]quests!$1:$1,0)+1,FALSE)</f>
        <v>火曜クエスト</v>
      </c>
      <c r="F26" s="32">
        <v>2</v>
      </c>
      <c r="G26" s="33" t="str">
        <f t="shared" si="1"/>
        <v>11102_2</v>
      </c>
      <c r="H26" s="20" t="str">
        <f ca="1">VLOOKUP($G26,OFFSET([1]stages!$A$1,0,0,COUNTA([1]stages!$A:$A),MATCH(H$1,[1]stages!$2:$2,0)-MATCH($G$1,[1]stages!$2:$2,0)+1),MATCH(H$1,[1]stages!$2:$2,0)-MATCH($G$1,[1]stages!$2:$2,0)+1,FALSE)</f>
        <v>火のウサギ 【中級】</v>
      </c>
      <c r="I26" s="32">
        <v>5</v>
      </c>
      <c r="J26" s="13">
        <v>50</v>
      </c>
      <c r="K26" s="13">
        <v>50</v>
      </c>
    </row>
    <row r="27" spans="1:11" ht="21" customHeight="1">
      <c r="A27" s="21" t="str">
        <f t="shared" si="0"/>
        <v>11102_3-1</v>
      </c>
      <c r="B27" s="21" t="str">
        <f>IF(COUNTIF(enemy_habitats_cp_quests!$H:$H,A27),"OK","NG")</f>
        <v>OK</v>
      </c>
      <c r="C27" s="8">
        <v>11102</v>
      </c>
      <c r="D27" s="12" t="str">
        <f ca="1">VLOOKUP($C27,OFFSET([1]quests!$A$1,0,0,COUNTA([1]quests!$A:$A),MATCH(D$1,[1]quests!$1:$1,0)-MATCH($C$1,[1]quests!$1:$1,0)+1),MATCH(D$1,[1]quests!$1:$1,0)-MATCH($C$1,[1]quests!$1:$1,0)+1,FALSE)</f>
        <v>【キャンペーン限定】 赤の素材</v>
      </c>
      <c r="E27" s="29" t="str">
        <f ca="1">VLOOKUP($C27,OFFSET([1]quests!$A$1,0,0,COUNTA([1]quests!$A:$A),MATCH(E$1,[1]quests!$1:$1,0)-MATCH($C$1,[1]quests!$1:$1,0)+1),MATCH(E$1,[1]quests!$1:$1,0)-MATCH($C$1,[1]quests!$1:$1,0)+1,FALSE)</f>
        <v>火曜クエスト</v>
      </c>
      <c r="F27" s="32">
        <v>3</v>
      </c>
      <c r="G27" s="33" t="str">
        <f t="shared" si="1"/>
        <v>11102_3</v>
      </c>
      <c r="H27" s="20" t="str">
        <f ca="1">VLOOKUP($G27,OFFSET([1]stages!$A$1,0,0,COUNTA([1]stages!$A:$A),MATCH(H$1,[1]stages!$2:$2,0)-MATCH($G$1,[1]stages!$2:$2,0)+1),MATCH(H$1,[1]stages!$2:$2,0)-MATCH($G$1,[1]stages!$2:$2,0)+1,FALSE)</f>
        <v>火のイモムシ 【上級】</v>
      </c>
      <c r="I27" s="32">
        <v>1</v>
      </c>
      <c r="J27" s="13">
        <v>30</v>
      </c>
      <c r="K27" s="13">
        <v>45</v>
      </c>
    </row>
    <row r="28" spans="1:11" ht="21" customHeight="1">
      <c r="A28" s="21" t="str">
        <f t="shared" si="0"/>
        <v>11102_3-2</v>
      </c>
      <c r="B28" s="21" t="str">
        <f>IF(COUNTIF(enemy_habitats_cp_quests!$H:$H,A28),"OK","NG")</f>
        <v>OK</v>
      </c>
      <c r="C28" s="8">
        <v>11102</v>
      </c>
      <c r="D28" s="12" t="str">
        <f ca="1">VLOOKUP($C28,OFFSET([1]quests!$A$1,0,0,COUNTA([1]quests!$A:$A),MATCH(D$1,[1]quests!$1:$1,0)-MATCH($C$1,[1]quests!$1:$1,0)+1),MATCH(D$1,[1]quests!$1:$1,0)-MATCH($C$1,[1]quests!$1:$1,0)+1,FALSE)</f>
        <v>【キャンペーン限定】 赤の素材</v>
      </c>
      <c r="E28" s="29" t="str">
        <f ca="1">VLOOKUP($C28,OFFSET([1]quests!$A$1,0,0,COUNTA([1]quests!$A:$A),MATCH(E$1,[1]quests!$1:$1,0)-MATCH($C$1,[1]quests!$1:$1,0)+1),MATCH(E$1,[1]quests!$1:$1,0)-MATCH($C$1,[1]quests!$1:$1,0)+1,FALSE)</f>
        <v>火曜クエスト</v>
      </c>
      <c r="F28" s="32">
        <v>3</v>
      </c>
      <c r="G28" s="33" t="str">
        <f t="shared" si="1"/>
        <v>11102_3</v>
      </c>
      <c r="H28" s="20" t="str">
        <f ca="1">VLOOKUP($G28,OFFSET([1]stages!$A$1,0,0,COUNTA([1]stages!$A:$A),MATCH(H$1,[1]stages!$2:$2,0)-MATCH($G$1,[1]stages!$2:$2,0)+1),MATCH(H$1,[1]stages!$2:$2,0)-MATCH($G$1,[1]stages!$2:$2,0)+1,FALSE)</f>
        <v>火のイモムシ 【上級】</v>
      </c>
      <c r="I28" s="32">
        <v>2</v>
      </c>
      <c r="J28" s="13">
        <v>30</v>
      </c>
      <c r="K28" s="13">
        <v>45</v>
      </c>
    </row>
    <row r="29" spans="1:11" ht="21" customHeight="1">
      <c r="A29" s="21" t="str">
        <f t="shared" si="0"/>
        <v>11102_3-3</v>
      </c>
      <c r="B29" s="21" t="str">
        <f>IF(COUNTIF(enemy_habitats_cp_quests!$H:$H,A29),"OK","NG")</f>
        <v>OK</v>
      </c>
      <c r="C29" s="8">
        <v>11102</v>
      </c>
      <c r="D29" s="12" t="str">
        <f ca="1">VLOOKUP($C29,OFFSET([1]quests!$A$1,0,0,COUNTA([1]quests!$A:$A),MATCH(D$1,[1]quests!$1:$1,0)-MATCH($C$1,[1]quests!$1:$1,0)+1),MATCH(D$1,[1]quests!$1:$1,0)-MATCH($C$1,[1]quests!$1:$1,0)+1,FALSE)</f>
        <v>【キャンペーン限定】 赤の素材</v>
      </c>
      <c r="E29" s="29" t="str">
        <f ca="1">VLOOKUP($C29,OFFSET([1]quests!$A$1,0,0,COUNTA([1]quests!$A:$A),MATCH(E$1,[1]quests!$1:$1,0)-MATCH($C$1,[1]quests!$1:$1,0)+1),MATCH(E$1,[1]quests!$1:$1,0)-MATCH($C$1,[1]quests!$1:$1,0)+1,FALSE)</f>
        <v>火曜クエスト</v>
      </c>
      <c r="F29" s="32">
        <v>3</v>
      </c>
      <c r="G29" s="33" t="str">
        <f t="shared" si="1"/>
        <v>11102_3</v>
      </c>
      <c r="H29" s="20" t="str">
        <f ca="1">VLOOKUP($G29,OFFSET([1]stages!$A$1,0,0,COUNTA([1]stages!$A:$A),MATCH(H$1,[1]stages!$2:$2,0)-MATCH($G$1,[1]stages!$2:$2,0)+1),MATCH(H$1,[1]stages!$2:$2,0)-MATCH($G$1,[1]stages!$2:$2,0)+1,FALSE)</f>
        <v>火のイモムシ 【上級】</v>
      </c>
      <c r="I29" s="32">
        <v>3</v>
      </c>
      <c r="J29" s="13">
        <v>45</v>
      </c>
      <c r="K29" s="13">
        <v>45</v>
      </c>
    </row>
    <row r="30" spans="1:11" ht="21" customHeight="1">
      <c r="A30" s="21" t="str">
        <f t="shared" si="0"/>
        <v>11102_3-4</v>
      </c>
      <c r="B30" s="21" t="str">
        <f>IF(COUNTIF(enemy_habitats_cp_quests!$H:$H,A30),"OK","NG")</f>
        <v>OK</v>
      </c>
      <c r="C30" s="8">
        <v>11102</v>
      </c>
      <c r="D30" s="12" t="str">
        <f ca="1">VLOOKUP($C30,OFFSET([1]quests!$A$1,0,0,COUNTA([1]quests!$A:$A),MATCH(D$1,[1]quests!$1:$1,0)-MATCH($C$1,[1]quests!$1:$1,0)+1),MATCH(D$1,[1]quests!$1:$1,0)-MATCH($C$1,[1]quests!$1:$1,0)+1,FALSE)</f>
        <v>【キャンペーン限定】 赤の素材</v>
      </c>
      <c r="E30" s="29" t="str">
        <f ca="1">VLOOKUP($C30,OFFSET([1]quests!$A$1,0,0,COUNTA([1]quests!$A:$A),MATCH(E$1,[1]quests!$1:$1,0)-MATCH($C$1,[1]quests!$1:$1,0)+1),MATCH(E$1,[1]quests!$1:$1,0)-MATCH($C$1,[1]quests!$1:$1,0)+1,FALSE)</f>
        <v>火曜クエスト</v>
      </c>
      <c r="F30" s="32">
        <v>3</v>
      </c>
      <c r="G30" s="33" t="str">
        <f t="shared" si="1"/>
        <v>11102_3</v>
      </c>
      <c r="H30" s="20" t="str">
        <f ca="1">VLOOKUP($G30,OFFSET([1]stages!$A$1,0,0,COUNTA([1]stages!$A:$A),MATCH(H$1,[1]stages!$2:$2,0)-MATCH($G$1,[1]stages!$2:$2,0)+1),MATCH(H$1,[1]stages!$2:$2,0)-MATCH($G$1,[1]stages!$2:$2,0)+1,FALSE)</f>
        <v>火のイモムシ 【上級】</v>
      </c>
      <c r="I30" s="32">
        <v>4</v>
      </c>
      <c r="J30" s="13">
        <v>45</v>
      </c>
      <c r="K30" s="13">
        <v>60</v>
      </c>
    </row>
    <row r="31" spans="1:11" ht="21" customHeight="1">
      <c r="A31" s="21" t="str">
        <f t="shared" si="0"/>
        <v>11102_3-5</v>
      </c>
      <c r="B31" s="21" t="str">
        <f>IF(COUNTIF(enemy_habitats_cp_quests!$H:$H,A31),"OK","NG")</f>
        <v>OK</v>
      </c>
      <c r="C31" s="8">
        <v>11102</v>
      </c>
      <c r="D31" s="12" t="str">
        <f ca="1">VLOOKUP($C31,OFFSET([1]quests!$A$1,0,0,COUNTA([1]quests!$A:$A),MATCH(D$1,[1]quests!$1:$1,0)-MATCH($C$1,[1]quests!$1:$1,0)+1),MATCH(D$1,[1]quests!$1:$1,0)-MATCH($C$1,[1]quests!$1:$1,0)+1,FALSE)</f>
        <v>【キャンペーン限定】 赤の素材</v>
      </c>
      <c r="E31" s="29" t="str">
        <f ca="1">VLOOKUP($C31,OFFSET([1]quests!$A$1,0,0,COUNTA([1]quests!$A:$A),MATCH(E$1,[1]quests!$1:$1,0)-MATCH($C$1,[1]quests!$1:$1,0)+1),MATCH(E$1,[1]quests!$1:$1,0)-MATCH($C$1,[1]quests!$1:$1,0)+1,FALSE)</f>
        <v>火曜クエスト</v>
      </c>
      <c r="F31" s="32">
        <v>3</v>
      </c>
      <c r="G31" s="33" t="str">
        <f t="shared" si="1"/>
        <v>11102_3</v>
      </c>
      <c r="H31" s="20" t="str">
        <f ca="1">VLOOKUP($G31,OFFSET([1]stages!$A$1,0,0,COUNTA([1]stages!$A:$A),MATCH(H$1,[1]stages!$2:$2,0)-MATCH($G$1,[1]stages!$2:$2,0)+1),MATCH(H$1,[1]stages!$2:$2,0)-MATCH($G$1,[1]stages!$2:$2,0)+1,FALSE)</f>
        <v>火のイモムシ 【上級】</v>
      </c>
      <c r="I31" s="32">
        <v>5</v>
      </c>
      <c r="J31" s="13">
        <v>60</v>
      </c>
      <c r="K31" s="13">
        <v>60</v>
      </c>
    </row>
    <row r="32" spans="1:11" ht="21" customHeight="1">
      <c r="A32" s="21" t="str">
        <f t="shared" si="0"/>
        <v>11103_1-1</v>
      </c>
      <c r="B32" s="21" t="str">
        <f>IF(COUNTIF(enemy_habitats_cp_quests!$H:$H,A32),"OK","NG")</f>
        <v>OK</v>
      </c>
      <c r="C32" s="8">
        <v>11103</v>
      </c>
      <c r="D32" s="12" t="str">
        <f ca="1">VLOOKUP($C32,OFFSET([1]quests!$A$1,0,0,COUNTA([1]quests!$A:$A),MATCH(D$1,[1]quests!$1:$1,0)-MATCH($C$1,[1]quests!$1:$1,0)+1),MATCH(D$1,[1]quests!$1:$1,0)-MATCH($C$1,[1]quests!$1:$1,0)+1,FALSE)</f>
        <v>【キャンペーン限定】 青の素材</v>
      </c>
      <c r="E32" s="29" t="str">
        <f ca="1">VLOOKUP($C32,OFFSET([1]quests!$A$1,0,0,COUNTA([1]quests!$A:$A),MATCH(E$1,[1]quests!$1:$1,0)-MATCH($C$1,[1]quests!$1:$1,0)+1),MATCH(E$1,[1]quests!$1:$1,0)-MATCH($C$1,[1]quests!$1:$1,0)+1,FALSE)</f>
        <v>水曜クエスト</v>
      </c>
      <c r="F32" s="32">
        <v>1</v>
      </c>
      <c r="G32" s="33" t="str">
        <f t="shared" si="1"/>
        <v>11103_1</v>
      </c>
      <c r="H32" s="20" t="str">
        <f ca="1">VLOOKUP($G32,OFFSET([1]stages!$A$1,0,0,COUNTA([1]stages!$A:$A),MATCH(H$1,[1]stages!$2:$2,0)-MATCH($G$1,[1]stages!$2:$2,0)+1),MATCH(H$1,[1]stages!$2:$2,0)-MATCH($G$1,[1]stages!$2:$2,0)+1,FALSE)</f>
        <v>水のチェシャ猫 【初級】</v>
      </c>
      <c r="I32" s="32">
        <v>1</v>
      </c>
      <c r="J32" s="13">
        <v>30</v>
      </c>
      <c r="K32" s="13">
        <v>45</v>
      </c>
    </row>
    <row r="33" spans="1:11" ht="21" customHeight="1">
      <c r="A33" s="21" t="str">
        <f t="shared" si="0"/>
        <v>11103_1-2</v>
      </c>
      <c r="B33" s="21" t="str">
        <f>IF(COUNTIF(enemy_habitats_cp_quests!$H:$H,A33),"OK","NG")</f>
        <v>OK</v>
      </c>
      <c r="C33" s="8">
        <v>11103</v>
      </c>
      <c r="D33" s="12" t="str">
        <f ca="1">VLOOKUP($C33,OFFSET([1]quests!$A$1,0,0,COUNTA([1]quests!$A:$A),MATCH(D$1,[1]quests!$1:$1,0)-MATCH($C$1,[1]quests!$1:$1,0)+1),MATCH(D$1,[1]quests!$1:$1,0)-MATCH($C$1,[1]quests!$1:$1,0)+1,FALSE)</f>
        <v>【キャンペーン限定】 青の素材</v>
      </c>
      <c r="E33" s="29" t="str">
        <f ca="1">VLOOKUP($C33,OFFSET([1]quests!$A$1,0,0,COUNTA([1]quests!$A:$A),MATCH(E$1,[1]quests!$1:$1,0)-MATCH($C$1,[1]quests!$1:$1,0)+1),MATCH(E$1,[1]quests!$1:$1,0)-MATCH($C$1,[1]quests!$1:$1,0)+1,FALSE)</f>
        <v>水曜クエスト</v>
      </c>
      <c r="F33" s="32">
        <v>1</v>
      </c>
      <c r="G33" s="33" t="str">
        <f t="shared" si="1"/>
        <v>11103_1</v>
      </c>
      <c r="H33" s="20" t="str">
        <f ca="1">VLOOKUP($G33,OFFSET([1]stages!$A$1,0,0,COUNTA([1]stages!$A:$A),MATCH(H$1,[1]stages!$2:$2,0)-MATCH($G$1,[1]stages!$2:$2,0)+1),MATCH(H$1,[1]stages!$2:$2,0)-MATCH($G$1,[1]stages!$2:$2,0)+1,FALSE)</f>
        <v>水のチェシャ猫 【初級】</v>
      </c>
      <c r="I33" s="32">
        <v>2</v>
      </c>
      <c r="J33" s="13">
        <v>30</v>
      </c>
      <c r="K33" s="13">
        <v>45</v>
      </c>
    </row>
    <row r="34" spans="1:11" ht="21" customHeight="1">
      <c r="A34" s="21" t="str">
        <f t="shared" ref="A34:A65" si="2">G34&amp;"-"&amp;I34</f>
        <v>11103_1-3</v>
      </c>
      <c r="B34" s="21" t="str">
        <f>IF(COUNTIF(enemy_habitats_cp_quests!$H:$H,A34),"OK","NG")</f>
        <v>OK</v>
      </c>
      <c r="C34" s="8">
        <v>11103</v>
      </c>
      <c r="D34" s="12" t="str">
        <f ca="1">VLOOKUP($C34,OFFSET([1]quests!$A$1,0,0,COUNTA([1]quests!$A:$A),MATCH(D$1,[1]quests!$1:$1,0)-MATCH($C$1,[1]quests!$1:$1,0)+1),MATCH(D$1,[1]quests!$1:$1,0)-MATCH($C$1,[1]quests!$1:$1,0)+1,FALSE)</f>
        <v>【キャンペーン限定】 青の素材</v>
      </c>
      <c r="E34" s="29" t="str">
        <f ca="1">VLOOKUP($C34,OFFSET([1]quests!$A$1,0,0,COUNTA([1]quests!$A:$A),MATCH(E$1,[1]quests!$1:$1,0)-MATCH($C$1,[1]quests!$1:$1,0)+1),MATCH(E$1,[1]quests!$1:$1,0)-MATCH($C$1,[1]quests!$1:$1,0)+1,FALSE)</f>
        <v>水曜クエスト</v>
      </c>
      <c r="F34" s="32">
        <v>1</v>
      </c>
      <c r="G34" s="33" t="str">
        <f t="shared" ref="G34:G65" si="3">C34&amp;"_"&amp;F34</f>
        <v>11103_1</v>
      </c>
      <c r="H34" s="20" t="str">
        <f ca="1">VLOOKUP($G34,OFFSET([1]stages!$A$1,0,0,COUNTA([1]stages!$A:$A),MATCH(H$1,[1]stages!$2:$2,0)-MATCH($G$1,[1]stages!$2:$2,0)+1),MATCH(H$1,[1]stages!$2:$2,0)-MATCH($G$1,[1]stages!$2:$2,0)+1,FALSE)</f>
        <v>水のチェシャ猫 【初級】</v>
      </c>
      <c r="I34" s="32">
        <v>3</v>
      </c>
      <c r="J34" s="13">
        <v>45</v>
      </c>
      <c r="K34" s="13">
        <v>45</v>
      </c>
    </row>
    <row r="35" spans="1:11" ht="21" customHeight="1">
      <c r="A35" s="21" t="str">
        <f t="shared" si="2"/>
        <v>11103_1-4</v>
      </c>
      <c r="B35" s="21" t="str">
        <f>IF(COUNTIF(enemy_habitats_cp_quests!$H:$H,A35),"OK","NG")</f>
        <v>OK</v>
      </c>
      <c r="C35" s="8">
        <v>11103</v>
      </c>
      <c r="D35" s="12" t="str">
        <f ca="1">VLOOKUP($C35,OFFSET([1]quests!$A$1,0,0,COUNTA([1]quests!$A:$A),MATCH(D$1,[1]quests!$1:$1,0)-MATCH($C$1,[1]quests!$1:$1,0)+1),MATCH(D$1,[1]quests!$1:$1,0)-MATCH($C$1,[1]quests!$1:$1,0)+1,FALSE)</f>
        <v>【キャンペーン限定】 青の素材</v>
      </c>
      <c r="E35" s="29" t="str">
        <f ca="1">VLOOKUP($C35,OFFSET([1]quests!$A$1,0,0,COUNTA([1]quests!$A:$A),MATCH(E$1,[1]quests!$1:$1,0)-MATCH($C$1,[1]quests!$1:$1,0)+1),MATCH(E$1,[1]quests!$1:$1,0)-MATCH($C$1,[1]quests!$1:$1,0)+1,FALSE)</f>
        <v>水曜クエスト</v>
      </c>
      <c r="F35" s="32">
        <v>1</v>
      </c>
      <c r="G35" s="33" t="str">
        <f t="shared" si="3"/>
        <v>11103_1</v>
      </c>
      <c r="H35" s="20" t="str">
        <f ca="1">VLOOKUP($G35,OFFSET([1]stages!$A$1,0,0,COUNTA([1]stages!$A:$A),MATCH(H$1,[1]stages!$2:$2,0)-MATCH($G$1,[1]stages!$2:$2,0)+1),MATCH(H$1,[1]stages!$2:$2,0)-MATCH($G$1,[1]stages!$2:$2,0)+1,FALSE)</f>
        <v>水のチェシャ猫 【初級】</v>
      </c>
      <c r="I35" s="32">
        <v>4</v>
      </c>
      <c r="J35" s="13">
        <v>45</v>
      </c>
      <c r="K35" s="13">
        <v>60</v>
      </c>
    </row>
    <row r="36" spans="1:11" ht="21" customHeight="1">
      <c r="A36" s="21" t="str">
        <f t="shared" si="2"/>
        <v>11103_1-5</v>
      </c>
      <c r="B36" s="21" t="str">
        <f>IF(COUNTIF(enemy_habitats_cp_quests!$H:$H,A36),"OK","NG")</f>
        <v>OK</v>
      </c>
      <c r="C36" s="8">
        <v>11103</v>
      </c>
      <c r="D36" s="12" t="str">
        <f ca="1">VLOOKUP($C36,OFFSET([1]quests!$A$1,0,0,COUNTA([1]quests!$A:$A),MATCH(D$1,[1]quests!$1:$1,0)-MATCH($C$1,[1]quests!$1:$1,0)+1),MATCH(D$1,[1]quests!$1:$1,0)-MATCH($C$1,[1]quests!$1:$1,0)+1,FALSE)</f>
        <v>【キャンペーン限定】 青の素材</v>
      </c>
      <c r="E36" s="29" t="str">
        <f ca="1">VLOOKUP($C36,OFFSET([1]quests!$A$1,0,0,COUNTA([1]quests!$A:$A),MATCH(E$1,[1]quests!$1:$1,0)-MATCH($C$1,[1]quests!$1:$1,0)+1),MATCH(E$1,[1]quests!$1:$1,0)-MATCH($C$1,[1]quests!$1:$1,0)+1,FALSE)</f>
        <v>水曜クエスト</v>
      </c>
      <c r="F36" s="32">
        <v>1</v>
      </c>
      <c r="G36" s="33" t="str">
        <f t="shared" si="3"/>
        <v>11103_1</v>
      </c>
      <c r="H36" s="20" t="str">
        <f ca="1">VLOOKUP($G36,OFFSET([1]stages!$A$1,0,0,COUNTA([1]stages!$A:$A),MATCH(H$1,[1]stages!$2:$2,0)-MATCH($G$1,[1]stages!$2:$2,0)+1),MATCH(H$1,[1]stages!$2:$2,0)-MATCH($G$1,[1]stages!$2:$2,0)+1,FALSE)</f>
        <v>水のチェシャ猫 【初級】</v>
      </c>
      <c r="I36" s="32">
        <v>5</v>
      </c>
      <c r="J36" s="13">
        <v>45</v>
      </c>
      <c r="K36" s="13">
        <v>45</v>
      </c>
    </row>
    <row r="37" spans="1:11" ht="23" customHeight="1">
      <c r="A37" s="21" t="str">
        <f t="shared" si="2"/>
        <v>11103_2-1</v>
      </c>
      <c r="B37" s="21" t="str">
        <f>IF(COUNTIF(enemy_habitats_cp_quests!$H:$H,A37),"OK","NG")</f>
        <v>OK</v>
      </c>
      <c r="C37" s="8">
        <v>11103</v>
      </c>
      <c r="D37" s="12" t="str">
        <f ca="1">VLOOKUP($C37,OFFSET([1]quests!$A$1,0,0,COUNTA([1]quests!$A:$A),MATCH(D$1,[1]quests!$1:$1,0)-MATCH($C$1,[1]quests!$1:$1,0)+1),MATCH(D$1,[1]quests!$1:$1,0)-MATCH($C$1,[1]quests!$1:$1,0)+1,FALSE)</f>
        <v>【キャンペーン限定】 青の素材</v>
      </c>
      <c r="E37" s="29" t="str">
        <f ca="1">VLOOKUP($C37,OFFSET([1]quests!$A$1,0,0,COUNTA([1]quests!$A:$A),MATCH(E$1,[1]quests!$1:$1,0)-MATCH($C$1,[1]quests!$1:$1,0)+1),MATCH(E$1,[1]quests!$1:$1,0)-MATCH($C$1,[1]quests!$1:$1,0)+1,FALSE)</f>
        <v>水曜クエスト</v>
      </c>
      <c r="F37" s="32">
        <v>2</v>
      </c>
      <c r="G37" s="33" t="str">
        <f t="shared" si="3"/>
        <v>11103_2</v>
      </c>
      <c r="H37" s="20" t="str">
        <f ca="1">VLOOKUP($G37,OFFSET([1]stages!$A$1,0,0,COUNTA([1]stages!$A:$A),MATCH(H$1,[1]stages!$2:$2,0)-MATCH($G$1,[1]stages!$2:$2,0)+1),MATCH(H$1,[1]stages!$2:$2,0)-MATCH($G$1,[1]stages!$2:$2,0)+1,FALSE)</f>
        <v>水のウサギ 【中級】</v>
      </c>
      <c r="I37" s="32">
        <v>1</v>
      </c>
      <c r="J37" s="13">
        <v>30</v>
      </c>
      <c r="K37" s="13">
        <v>30</v>
      </c>
    </row>
    <row r="38" spans="1:11" ht="21" customHeight="1">
      <c r="A38" s="21" t="str">
        <f t="shared" si="2"/>
        <v>11103_2-2</v>
      </c>
      <c r="B38" s="21" t="str">
        <f>IF(COUNTIF(enemy_habitats_cp_quests!$H:$H,A38),"OK","NG")</f>
        <v>OK</v>
      </c>
      <c r="C38" s="8">
        <v>11103</v>
      </c>
      <c r="D38" s="12" t="str">
        <f ca="1">VLOOKUP($C38,OFFSET([1]quests!$A$1,0,0,COUNTA([1]quests!$A:$A),MATCH(D$1,[1]quests!$1:$1,0)-MATCH($C$1,[1]quests!$1:$1,0)+1),MATCH(D$1,[1]quests!$1:$1,0)-MATCH($C$1,[1]quests!$1:$1,0)+1,FALSE)</f>
        <v>【キャンペーン限定】 青の素材</v>
      </c>
      <c r="E38" s="29" t="str">
        <f ca="1">VLOOKUP($C38,OFFSET([1]quests!$A$1,0,0,COUNTA([1]quests!$A:$A),MATCH(E$1,[1]quests!$1:$1,0)-MATCH($C$1,[1]quests!$1:$1,0)+1),MATCH(E$1,[1]quests!$1:$1,0)-MATCH($C$1,[1]quests!$1:$1,0)+1,FALSE)</f>
        <v>水曜クエスト</v>
      </c>
      <c r="F38" s="32">
        <v>2</v>
      </c>
      <c r="G38" s="33" t="str">
        <f t="shared" si="3"/>
        <v>11103_2</v>
      </c>
      <c r="H38" s="20" t="str">
        <f ca="1">VLOOKUP($G38,OFFSET([1]stages!$A$1,0,0,COUNTA([1]stages!$A:$A),MATCH(H$1,[1]stages!$2:$2,0)-MATCH($G$1,[1]stages!$2:$2,0)+1),MATCH(H$1,[1]stages!$2:$2,0)-MATCH($G$1,[1]stages!$2:$2,0)+1,FALSE)</f>
        <v>水のウサギ 【中級】</v>
      </c>
      <c r="I38" s="32">
        <v>2</v>
      </c>
      <c r="J38" s="13">
        <v>30</v>
      </c>
      <c r="K38" s="13">
        <v>30</v>
      </c>
    </row>
    <row r="39" spans="1:11" ht="23" customHeight="1">
      <c r="A39" s="21" t="str">
        <f t="shared" si="2"/>
        <v>11103_2-3</v>
      </c>
      <c r="B39" s="21" t="str">
        <f>IF(COUNTIF(enemy_habitats_cp_quests!$H:$H,A39),"OK","NG")</f>
        <v>OK</v>
      </c>
      <c r="C39" s="8">
        <v>11103</v>
      </c>
      <c r="D39" s="12" t="str">
        <f ca="1">VLOOKUP($C39,OFFSET([1]quests!$A$1,0,0,COUNTA([1]quests!$A:$A),MATCH(D$1,[1]quests!$1:$1,0)-MATCH($C$1,[1]quests!$1:$1,0)+1),MATCH(D$1,[1]quests!$1:$1,0)-MATCH($C$1,[1]quests!$1:$1,0)+1,FALSE)</f>
        <v>【キャンペーン限定】 青の素材</v>
      </c>
      <c r="E39" s="29" t="str">
        <f ca="1">VLOOKUP($C39,OFFSET([1]quests!$A$1,0,0,COUNTA([1]quests!$A:$A),MATCH(E$1,[1]quests!$1:$1,0)-MATCH($C$1,[1]quests!$1:$1,0)+1),MATCH(E$1,[1]quests!$1:$1,0)-MATCH($C$1,[1]quests!$1:$1,0)+1,FALSE)</f>
        <v>水曜クエスト</v>
      </c>
      <c r="F39" s="32">
        <v>2</v>
      </c>
      <c r="G39" s="33" t="str">
        <f t="shared" si="3"/>
        <v>11103_2</v>
      </c>
      <c r="H39" s="20" t="str">
        <f ca="1">VLOOKUP($G39,OFFSET([1]stages!$A$1,0,0,COUNTA([1]stages!$A:$A),MATCH(H$1,[1]stages!$2:$2,0)-MATCH($G$1,[1]stages!$2:$2,0)+1),MATCH(H$1,[1]stages!$2:$2,0)-MATCH($G$1,[1]stages!$2:$2,0)+1,FALSE)</f>
        <v>水のウサギ 【中級】</v>
      </c>
      <c r="I39" s="32">
        <v>3</v>
      </c>
      <c r="J39" s="13">
        <v>45</v>
      </c>
      <c r="K39" s="13">
        <v>45</v>
      </c>
    </row>
    <row r="40" spans="1:11" ht="21" customHeight="1">
      <c r="A40" s="21" t="str">
        <f t="shared" si="2"/>
        <v>11103_2-4</v>
      </c>
      <c r="B40" s="21" t="str">
        <f>IF(COUNTIF(enemy_habitats_cp_quests!$H:$H,A40),"OK","NG")</f>
        <v>OK</v>
      </c>
      <c r="C40" s="8">
        <v>11103</v>
      </c>
      <c r="D40" s="12" t="str">
        <f ca="1">VLOOKUP($C40,OFFSET([1]quests!$A$1,0,0,COUNTA([1]quests!$A:$A),MATCH(D$1,[1]quests!$1:$1,0)-MATCH($C$1,[1]quests!$1:$1,0)+1),MATCH(D$1,[1]quests!$1:$1,0)-MATCH($C$1,[1]quests!$1:$1,0)+1,FALSE)</f>
        <v>【キャンペーン限定】 青の素材</v>
      </c>
      <c r="E40" s="29" t="str">
        <f ca="1">VLOOKUP($C40,OFFSET([1]quests!$A$1,0,0,COUNTA([1]quests!$A:$A),MATCH(E$1,[1]quests!$1:$1,0)-MATCH($C$1,[1]quests!$1:$1,0)+1),MATCH(E$1,[1]quests!$1:$1,0)-MATCH($C$1,[1]quests!$1:$1,0)+1,FALSE)</f>
        <v>水曜クエスト</v>
      </c>
      <c r="F40" s="32">
        <v>2</v>
      </c>
      <c r="G40" s="33" t="str">
        <f t="shared" si="3"/>
        <v>11103_2</v>
      </c>
      <c r="H40" s="20" t="str">
        <f ca="1">VLOOKUP($G40,OFFSET([1]stages!$A$1,0,0,COUNTA([1]stages!$A:$A),MATCH(H$1,[1]stages!$2:$2,0)-MATCH($G$1,[1]stages!$2:$2,0)+1),MATCH(H$1,[1]stages!$2:$2,0)-MATCH($G$1,[1]stages!$2:$2,0)+1,FALSE)</f>
        <v>水のウサギ 【中級】</v>
      </c>
      <c r="I40" s="32">
        <v>4</v>
      </c>
      <c r="J40" s="13">
        <v>45</v>
      </c>
      <c r="K40" s="13">
        <v>45</v>
      </c>
    </row>
    <row r="41" spans="1:11" ht="21" customHeight="1">
      <c r="A41" s="21" t="str">
        <f t="shared" si="2"/>
        <v>11103_2-5</v>
      </c>
      <c r="B41" s="21" t="str">
        <f>IF(COUNTIF(enemy_habitats_cp_quests!$H:$H,A41),"OK","NG")</f>
        <v>OK</v>
      </c>
      <c r="C41" s="8">
        <v>11103</v>
      </c>
      <c r="D41" s="12" t="str">
        <f ca="1">VLOOKUP($C41,OFFSET([1]quests!$A$1,0,0,COUNTA([1]quests!$A:$A),MATCH(D$1,[1]quests!$1:$1,0)-MATCH($C$1,[1]quests!$1:$1,0)+1),MATCH(D$1,[1]quests!$1:$1,0)-MATCH($C$1,[1]quests!$1:$1,0)+1,FALSE)</f>
        <v>【キャンペーン限定】 青の素材</v>
      </c>
      <c r="E41" s="29" t="str">
        <f ca="1">VLOOKUP($C41,OFFSET([1]quests!$A$1,0,0,COUNTA([1]quests!$A:$A),MATCH(E$1,[1]quests!$1:$1,0)-MATCH($C$1,[1]quests!$1:$1,0)+1),MATCH(E$1,[1]quests!$1:$1,0)-MATCH($C$1,[1]quests!$1:$1,0)+1,FALSE)</f>
        <v>水曜クエスト</v>
      </c>
      <c r="F41" s="32">
        <v>2</v>
      </c>
      <c r="G41" s="33" t="str">
        <f t="shared" si="3"/>
        <v>11103_2</v>
      </c>
      <c r="H41" s="20" t="str">
        <f ca="1">VLOOKUP($G41,OFFSET([1]stages!$A$1,0,0,COUNTA([1]stages!$A:$A),MATCH(H$1,[1]stages!$2:$2,0)-MATCH($G$1,[1]stages!$2:$2,0)+1),MATCH(H$1,[1]stages!$2:$2,0)-MATCH($G$1,[1]stages!$2:$2,0)+1,FALSE)</f>
        <v>水のウサギ 【中級】</v>
      </c>
      <c r="I41" s="32">
        <v>5</v>
      </c>
      <c r="J41" s="13">
        <v>50</v>
      </c>
      <c r="K41" s="13">
        <v>50</v>
      </c>
    </row>
    <row r="42" spans="1:11" ht="21" customHeight="1">
      <c r="A42" s="21" t="str">
        <f t="shared" si="2"/>
        <v>11103_3-1</v>
      </c>
      <c r="B42" s="21" t="str">
        <f>IF(COUNTIF(enemy_habitats_cp_quests!$H:$H,A42),"OK","NG")</f>
        <v>OK</v>
      </c>
      <c r="C42" s="8">
        <v>11103</v>
      </c>
      <c r="D42" s="12" t="str">
        <f ca="1">VLOOKUP($C42,OFFSET([1]quests!$A$1,0,0,COUNTA([1]quests!$A:$A),MATCH(D$1,[1]quests!$1:$1,0)-MATCH($C$1,[1]quests!$1:$1,0)+1),MATCH(D$1,[1]quests!$1:$1,0)-MATCH($C$1,[1]quests!$1:$1,0)+1,FALSE)</f>
        <v>【キャンペーン限定】 青の素材</v>
      </c>
      <c r="E42" s="29" t="str">
        <f ca="1">VLOOKUP($C42,OFFSET([1]quests!$A$1,0,0,COUNTA([1]quests!$A:$A),MATCH(E$1,[1]quests!$1:$1,0)-MATCH($C$1,[1]quests!$1:$1,0)+1),MATCH(E$1,[1]quests!$1:$1,0)-MATCH($C$1,[1]quests!$1:$1,0)+1,FALSE)</f>
        <v>水曜クエスト</v>
      </c>
      <c r="F42" s="32">
        <v>3</v>
      </c>
      <c r="G42" s="33" t="str">
        <f t="shared" si="3"/>
        <v>11103_3</v>
      </c>
      <c r="H42" s="20" t="str">
        <f ca="1">VLOOKUP($G42,OFFSET([1]stages!$A$1,0,0,COUNTA([1]stages!$A:$A),MATCH(H$1,[1]stages!$2:$2,0)-MATCH($G$1,[1]stages!$2:$2,0)+1),MATCH(H$1,[1]stages!$2:$2,0)-MATCH($G$1,[1]stages!$2:$2,0)+1,FALSE)</f>
        <v>水のイモムシ 【上級】</v>
      </c>
      <c r="I42" s="32">
        <v>1</v>
      </c>
      <c r="J42" s="13">
        <v>30</v>
      </c>
      <c r="K42" s="13">
        <v>45</v>
      </c>
    </row>
    <row r="43" spans="1:11" ht="21" customHeight="1">
      <c r="A43" s="21" t="str">
        <f t="shared" si="2"/>
        <v>11103_3-2</v>
      </c>
      <c r="B43" s="21" t="str">
        <f>IF(COUNTIF(enemy_habitats_cp_quests!$H:$H,A43),"OK","NG")</f>
        <v>OK</v>
      </c>
      <c r="C43" s="8">
        <v>11103</v>
      </c>
      <c r="D43" s="12" t="str">
        <f ca="1">VLOOKUP($C43,OFFSET([1]quests!$A$1,0,0,COUNTA([1]quests!$A:$A),MATCH(D$1,[1]quests!$1:$1,0)-MATCH($C$1,[1]quests!$1:$1,0)+1),MATCH(D$1,[1]quests!$1:$1,0)-MATCH($C$1,[1]quests!$1:$1,0)+1,FALSE)</f>
        <v>【キャンペーン限定】 青の素材</v>
      </c>
      <c r="E43" s="29" t="str">
        <f ca="1">VLOOKUP($C43,OFFSET([1]quests!$A$1,0,0,COUNTA([1]quests!$A:$A),MATCH(E$1,[1]quests!$1:$1,0)-MATCH($C$1,[1]quests!$1:$1,0)+1),MATCH(E$1,[1]quests!$1:$1,0)-MATCH($C$1,[1]quests!$1:$1,0)+1,FALSE)</f>
        <v>水曜クエスト</v>
      </c>
      <c r="F43" s="32">
        <v>3</v>
      </c>
      <c r="G43" s="33" t="str">
        <f t="shared" si="3"/>
        <v>11103_3</v>
      </c>
      <c r="H43" s="20" t="str">
        <f ca="1">VLOOKUP($G43,OFFSET([1]stages!$A$1,0,0,COUNTA([1]stages!$A:$A),MATCH(H$1,[1]stages!$2:$2,0)-MATCH($G$1,[1]stages!$2:$2,0)+1),MATCH(H$1,[1]stages!$2:$2,0)-MATCH($G$1,[1]stages!$2:$2,0)+1,FALSE)</f>
        <v>水のイモムシ 【上級】</v>
      </c>
      <c r="I43" s="32">
        <v>2</v>
      </c>
      <c r="J43" s="13">
        <v>30</v>
      </c>
      <c r="K43" s="13">
        <v>45</v>
      </c>
    </row>
    <row r="44" spans="1:11" ht="21" customHeight="1">
      <c r="A44" s="21" t="str">
        <f t="shared" si="2"/>
        <v>11103_3-3</v>
      </c>
      <c r="B44" s="21" t="str">
        <f>IF(COUNTIF(enemy_habitats_cp_quests!$H:$H,A44),"OK","NG")</f>
        <v>OK</v>
      </c>
      <c r="C44" s="8">
        <v>11103</v>
      </c>
      <c r="D44" s="12" t="str">
        <f ca="1">VLOOKUP($C44,OFFSET([1]quests!$A$1,0,0,COUNTA([1]quests!$A:$A),MATCH(D$1,[1]quests!$1:$1,0)-MATCH($C$1,[1]quests!$1:$1,0)+1),MATCH(D$1,[1]quests!$1:$1,0)-MATCH($C$1,[1]quests!$1:$1,0)+1,FALSE)</f>
        <v>【キャンペーン限定】 青の素材</v>
      </c>
      <c r="E44" s="29" t="str">
        <f ca="1">VLOOKUP($C44,OFFSET([1]quests!$A$1,0,0,COUNTA([1]quests!$A:$A),MATCH(E$1,[1]quests!$1:$1,0)-MATCH($C$1,[1]quests!$1:$1,0)+1),MATCH(E$1,[1]quests!$1:$1,0)-MATCH($C$1,[1]quests!$1:$1,0)+1,FALSE)</f>
        <v>水曜クエスト</v>
      </c>
      <c r="F44" s="32">
        <v>3</v>
      </c>
      <c r="G44" s="33" t="str">
        <f t="shared" si="3"/>
        <v>11103_3</v>
      </c>
      <c r="H44" s="20" t="str">
        <f ca="1">VLOOKUP($G44,OFFSET([1]stages!$A$1,0,0,COUNTA([1]stages!$A:$A),MATCH(H$1,[1]stages!$2:$2,0)-MATCH($G$1,[1]stages!$2:$2,0)+1),MATCH(H$1,[1]stages!$2:$2,0)-MATCH($G$1,[1]stages!$2:$2,0)+1,FALSE)</f>
        <v>水のイモムシ 【上級】</v>
      </c>
      <c r="I44" s="32">
        <v>3</v>
      </c>
      <c r="J44" s="13">
        <v>45</v>
      </c>
      <c r="K44" s="13">
        <v>45</v>
      </c>
    </row>
    <row r="45" spans="1:11" ht="21" customHeight="1">
      <c r="A45" s="21" t="str">
        <f t="shared" si="2"/>
        <v>11103_3-4</v>
      </c>
      <c r="B45" s="21" t="str">
        <f>IF(COUNTIF(enemy_habitats_cp_quests!$H:$H,A45),"OK","NG")</f>
        <v>OK</v>
      </c>
      <c r="C45" s="8">
        <v>11103</v>
      </c>
      <c r="D45" s="12" t="str">
        <f ca="1">VLOOKUP($C45,OFFSET([1]quests!$A$1,0,0,COUNTA([1]quests!$A:$A),MATCH(D$1,[1]quests!$1:$1,0)-MATCH($C$1,[1]quests!$1:$1,0)+1),MATCH(D$1,[1]quests!$1:$1,0)-MATCH($C$1,[1]quests!$1:$1,0)+1,FALSE)</f>
        <v>【キャンペーン限定】 青の素材</v>
      </c>
      <c r="E45" s="29" t="str">
        <f ca="1">VLOOKUP($C45,OFFSET([1]quests!$A$1,0,0,COUNTA([1]quests!$A:$A),MATCH(E$1,[1]quests!$1:$1,0)-MATCH($C$1,[1]quests!$1:$1,0)+1),MATCH(E$1,[1]quests!$1:$1,0)-MATCH($C$1,[1]quests!$1:$1,0)+1,FALSE)</f>
        <v>水曜クエスト</v>
      </c>
      <c r="F45" s="32">
        <v>3</v>
      </c>
      <c r="G45" s="33" t="str">
        <f t="shared" si="3"/>
        <v>11103_3</v>
      </c>
      <c r="H45" s="20" t="str">
        <f ca="1">VLOOKUP($G45,OFFSET([1]stages!$A$1,0,0,COUNTA([1]stages!$A:$A),MATCH(H$1,[1]stages!$2:$2,0)-MATCH($G$1,[1]stages!$2:$2,0)+1),MATCH(H$1,[1]stages!$2:$2,0)-MATCH($G$1,[1]stages!$2:$2,0)+1,FALSE)</f>
        <v>水のイモムシ 【上級】</v>
      </c>
      <c r="I45" s="32">
        <v>4</v>
      </c>
      <c r="J45" s="13">
        <v>45</v>
      </c>
      <c r="K45" s="13">
        <v>60</v>
      </c>
    </row>
    <row r="46" spans="1:11" ht="21" customHeight="1">
      <c r="A46" s="21" t="str">
        <f t="shared" si="2"/>
        <v>11103_3-5</v>
      </c>
      <c r="B46" s="21" t="str">
        <f>IF(COUNTIF(enemy_habitats_cp_quests!$H:$H,A46),"OK","NG")</f>
        <v>OK</v>
      </c>
      <c r="C46" s="8">
        <v>11103</v>
      </c>
      <c r="D46" s="12" t="str">
        <f ca="1">VLOOKUP($C46,OFFSET([1]quests!$A$1,0,0,COUNTA([1]quests!$A:$A),MATCH(D$1,[1]quests!$1:$1,0)-MATCH($C$1,[1]quests!$1:$1,0)+1),MATCH(D$1,[1]quests!$1:$1,0)-MATCH($C$1,[1]quests!$1:$1,0)+1,FALSE)</f>
        <v>【キャンペーン限定】 青の素材</v>
      </c>
      <c r="E46" s="29" t="str">
        <f ca="1">VLOOKUP($C46,OFFSET([1]quests!$A$1,0,0,COUNTA([1]quests!$A:$A),MATCH(E$1,[1]quests!$1:$1,0)-MATCH($C$1,[1]quests!$1:$1,0)+1),MATCH(E$1,[1]quests!$1:$1,0)-MATCH($C$1,[1]quests!$1:$1,0)+1,FALSE)</f>
        <v>水曜クエスト</v>
      </c>
      <c r="F46" s="32">
        <v>3</v>
      </c>
      <c r="G46" s="33" t="str">
        <f t="shared" si="3"/>
        <v>11103_3</v>
      </c>
      <c r="H46" s="20" t="str">
        <f ca="1">VLOOKUP($G46,OFFSET([1]stages!$A$1,0,0,COUNTA([1]stages!$A:$A),MATCH(H$1,[1]stages!$2:$2,0)-MATCH($G$1,[1]stages!$2:$2,0)+1),MATCH(H$1,[1]stages!$2:$2,0)-MATCH($G$1,[1]stages!$2:$2,0)+1,FALSE)</f>
        <v>水のイモムシ 【上級】</v>
      </c>
      <c r="I46" s="32">
        <v>5</v>
      </c>
      <c r="J46" s="13">
        <v>60</v>
      </c>
      <c r="K46" s="13">
        <v>60</v>
      </c>
    </row>
    <row r="47" spans="1:11" ht="21" customHeight="1">
      <c r="A47" s="21" t="str">
        <f t="shared" si="2"/>
        <v>11104_1-1</v>
      </c>
      <c r="B47" s="21" t="str">
        <f>IF(COUNTIF(enemy_habitats_cp_quests!$H:$H,A47),"OK","NG")</f>
        <v>OK</v>
      </c>
      <c r="C47" s="8">
        <v>11104</v>
      </c>
      <c r="D47" s="12" t="str">
        <f ca="1">VLOOKUP($C47,OFFSET([1]quests!$A$1,0,0,COUNTA([1]quests!$A:$A),MATCH(D$1,[1]quests!$1:$1,0)-MATCH($C$1,[1]quests!$1:$1,0)+1),MATCH(D$1,[1]quests!$1:$1,0)-MATCH($C$1,[1]quests!$1:$1,0)+1,FALSE)</f>
        <v>【キャンペーン限定】 緑の素材</v>
      </c>
      <c r="E47" s="29" t="str">
        <f ca="1">VLOOKUP($C47,OFFSET([1]quests!$A$1,0,0,COUNTA([1]quests!$A:$A),MATCH(E$1,[1]quests!$1:$1,0)-MATCH($C$1,[1]quests!$1:$1,0)+1),MATCH(E$1,[1]quests!$1:$1,0)-MATCH($C$1,[1]quests!$1:$1,0)+1,FALSE)</f>
        <v>木曜クエスト</v>
      </c>
      <c r="F47" s="32">
        <v>1</v>
      </c>
      <c r="G47" s="33" t="str">
        <f t="shared" si="3"/>
        <v>11104_1</v>
      </c>
      <c r="H47" s="20" t="str">
        <f ca="1">VLOOKUP($G47,OFFSET([1]stages!$A$1,0,0,COUNTA([1]stages!$A:$A),MATCH(H$1,[1]stages!$2:$2,0)-MATCH($G$1,[1]stages!$2:$2,0)+1),MATCH(H$1,[1]stages!$2:$2,0)-MATCH($G$1,[1]stages!$2:$2,0)+1,FALSE)</f>
        <v>樹のチェシャ猫 【初級】</v>
      </c>
      <c r="I47" s="32">
        <v>1</v>
      </c>
      <c r="J47" s="13">
        <v>30</v>
      </c>
      <c r="K47" s="13">
        <v>45</v>
      </c>
    </row>
    <row r="48" spans="1:11" ht="21" customHeight="1">
      <c r="A48" s="21" t="str">
        <f t="shared" si="2"/>
        <v>11104_1-2</v>
      </c>
      <c r="B48" s="21" t="str">
        <f>IF(COUNTIF(enemy_habitats_cp_quests!$H:$H,A48),"OK","NG")</f>
        <v>OK</v>
      </c>
      <c r="C48" s="8">
        <v>11104</v>
      </c>
      <c r="D48" s="12" t="str">
        <f ca="1">VLOOKUP($C48,OFFSET([1]quests!$A$1,0,0,COUNTA([1]quests!$A:$A),MATCH(D$1,[1]quests!$1:$1,0)-MATCH($C$1,[1]quests!$1:$1,0)+1),MATCH(D$1,[1]quests!$1:$1,0)-MATCH($C$1,[1]quests!$1:$1,0)+1,FALSE)</f>
        <v>【キャンペーン限定】 緑の素材</v>
      </c>
      <c r="E48" s="29" t="str">
        <f ca="1">VLOOKUP($C48,OFFSET([1]quests!$A$1,0,0,COUNTA([1]quests!$A:$A),MATCH(E$1,[1]quests!$1:$1,0)-MATCH($C$1,[1]quests!$1:$1,0)+1),MATCH(E$1,[1]quests!$1:$1,0)-MATCH($C$1,[1]quests!$1:$1,0)+1,FALSE)</f>
        <v>木曜クエスト</v>
      </c>
      <c r="F48" s="32">
        <v>1</v>
      </c>
      <c r="G48" s="33" t="str">
        <f t="shared" si="3"/>
        <v>11104_1</v>
      </c>
      <c r="H48" s="20" t="str">
        <f ca="1">VLOOKUP($G48,OFFSET([1]stages!$A$1,0,0,COUNTA([1]stages!$A:$A),MATCH(H$1,[1]stages!$2:$2,0)-MATCH($G$1,[1]stages!$2:$2,0)+1),MATCH(H$1,[1]stages!$2:$2,0)-MATCH($G$1,[1]stages!$2:$2,0)+1,FALSE)</f>
        <v>樹のチェシャ猫 【初級】</v>
      </c>
      <c r="I48" s="32">
        <v>2</v>
      </c>
      <c r="J48" s="13">
        <v>30</v>
      </c>
      <c r="K48" s="13">
        <v>45</v>
      </c>
    </row>
    <row r="49" spans="1:11" ht="21" customHeight="1">
      <c r="A49" s="21" t="str">
        <f t="shared" si="2"/>
        <v>11104_1-3</v>
      </c>
      <c r="B49" s="21" t="str">
        <f>IF(COUNTIF(enemy_habitats_cp_quests!$H:$H,A49),"OK","NG")</f>
        <v>OK</v>
      </c>
      <c r="C49" s="8">
        <v>11104</v>
      </c>
      <c r="D49" s="12" t="str">
        <f ca="1">VLOOKUP($C49,OFFSET([1]quests!$A$1,0,0,COUNTA([1]quests!$A:$A),MATCH(D$1,[1]quests!$1:$1,0)-MATCH($C$1,[1]quests!$1:$1,0)+1),MATCH(D$1,[1]quests!$1:$1,0)-MATCH($C$1,[1]quests!$1:$1,0)+1,FALSE)</f>
        <v>【キャンペーン限定】 緑の素材</v>
      </c>
      <c r="E49" s="29" t="str">
        <f ca="1">VLOOKUP($C49,OFFSET([1]quests!$A$1,0,0,COUNTA([1]quests!$A:$A),MATCH(E$1,[1]quests!$1:$1,0)-MATCH($C$1,[1]quests!$1:$1,0)+1),MATCH(E$1,[1]quests!$1:$1,0)-MATCH($C$1,[1]quests!$1:$1,0)+1,FALSE)</f>
        <v>木曜クエスト</v>
      </c>
      <c r="F49" s="32">
        <v>1</v>
      </c>
      <c r="G49" s="33" t="str">
        <f t="shared" si="3"/>
        <v>11104_1</v>
      </c>
      <c r="H49" s="20" t="str">
        <f ca="1">VLOOKUP($G49,OFFSET([1]stages!$A$1,0,0,COUNTA([1]stages!$A:$A),MATCH(H$1,[1]stages!$2:$2,0)-MATCH($G$1,[1]stages!$2:$2,0)+1),MATCH(H$1,[1]stages!$2:$2,0)-MATCH($G$1,[1]stages!$2:$2,0)+1,FALSE)</f>
        <v>樹のチェシャ猫 【初級】</v>
      </c>
      <c r="I49" s="32">
        <v>3</v>
      </c>
      <c r="J49" s="13">
        <v>45</v>
      </c>
      <c r="K49" s="13">
        <v>45</v>
      </c>
    </row>
    <row r="50" spans="1:11" ht="21" customHeight="1">
      <c r="A50" s="21" t="str">
        <f t="shared" si="2"/>
        <v>11104_1-4</v>
      </c>
      <c r="B50" s="21" t="str">
        <f>IF(COUNTIF(enemy_habitats_cp_quests!$H:$H,A50),"OK","NG")</f>
        <v>OK</v>
      </c>
      <c r="C50" s="8">
        <v>11104</v>
      </c>
      <c r="D50" s="12" t="str">
        <f ca="1">VLOOKUP($C50,OFFSET([1]quests!$A$1,0,0,COUNTA([1]quests!$A:$A),MATCH(D$1,[1]quests!$1:$1,0)-MATCH($C$1,[1]quests!$1:$1,0)+1),MATCH(D$1,[1]quests!$1:$1,0)-MATCH($C$1,[1]quests!$1:$1,0)+1,FALSE)</f>
        <v>【キャンペーン限定】 緑の素材</v>
      </c>
      <c r="E50" s="29" t="str">
        <f ca="1">VLOOKUP($C50,OFFSET([1]quests!$A$1,0,0,COUNTA([1]quests!$A:$A),MATCH(E$1,[1]quests!$1:$1,0)-MATCH($C$1,[1]quests!$1:$1,0)+1),MATCH(E$1,[1]quests!$1:$1,0)-MATCH($C$1,[1]quests!$1:$1,0)+1,FALSE)</f>
        <v>木曜クエスト</v>
      </c>
      <c r="F50" s="32">
        <v>1</v>
      </c>
      <c r="G50" s="33" t="str">
        <f t="shared" si="3"/>
        <v>11104_1</v>
      </c>
      <c r="H50" s="20" t="str">
        <f ca="1">VLOOKUP($G50,OFFSET([1]stages!$A$1,0,0,COUNTA([1]stages!$A:$A),MATCH(H$1,[1]stages!$2:$2,0)-MATCH($G$1,[1]stages!$2:$2,0)+1),MATCH(H$1,[1]stages!$2:$2,0)-MATCH($G$1,[1]stages!$2:$2,0)+1,FALSE)</f>
        <v>樹のチェシャ猫 【初級】</v>
      </c>
      <c r="I50" s="32">
        <v>4</v>
      </c>
      <c r="J50" s="13">
        <v>45</v>
      </c>
      <c r="K50" s="13">
        <v>60</v>
      </c>
    </row>
    <row r="51" spans="1:11" ht="21" customHeight="1">
      <c r="A51" s="21" t="str">
        <f t="shared" si="2"/>
        <v>11104_1-5</v>
      </c>
      <c r="B51" s="21" t="str">
        <f>IF(COUNTIF(enemy_habitats_cp_quests!$H:$H,A51),"OK","NG")</f>
        <v>OK</v>
      </c>
      <c r="C51" s="8">
        <v>11104</v>
      </c>
      <c r="D51" s="12" t="str">
        <f ca="1">VLOOKUP($C51,OFFSET([1]quests!$A$1,0,0,COUNTA([1]quests!$A:$A),MATCH(D$1,[1]quests!$1:$1,0)-MATCH($C$1,[1]quests!$1:$1,0)+1),MATCH(D$1,[1]quests!$1:$1,0)-MATCH($C$1,[1]quests!$1:$1,0)+1,FALSE)</f>
        <v>【キャンペーン限定】 緑の素材</v>
      </c>
      <c r="E51" s="29" t="str">
        <f ca="1">VLOOKUP($C51,OFFSET([1]quests!$A$1,0,0,COUNTA([1]quests!$A:$A),MATCH(E$1,[1]quests!$1:$1,0)-MATCH($C$1,[1]quests!$1:$1,0)+1),MATCH(E$1,[1]quests!$1:$1,0)-MATCH($C$1,[1]quests!$1:$1,0)+1,FALSE)</f>
        <v>木曜クエスト</v>
      </c>
      <c r="F51" s="32">
        <v>1</v>
      </c>
      <c r="G51" s="33" t="str">
        <f t="shared" si="3"/>
        <v>11104_1</v>
      </c>
      <c r="H51" s="20" t="str">
        <f ca="1">VLOOKUP($G51,OFFSET([1]stages!$A$1,0,0,COUNTA([1]stages!$A:$A),MATCH(H$1,[1]stages!$2:$2,0)-MATCH($G$1,[1]stages!$2:$2,0)+1),MATCH(H$1,[1]stages!$2:$2,0)-MATCH($G$1,[1]stages!$2:$2,0)+1,FALSE)</f>
        <v>樹のチェシャ猫 【初級】</v>
      </c>
      <c r="I51" s="32">
        <v>5</v>
      </c>
      <c r="J51" s="13">
        <v>45</v>
      </c>
      <c r="K51" s="13">
        <v>45</v>
      </c>
    </row>
    <row r="52" spans="1:11" ht="21" customHeight="1">
      <c r="A52" s="21" t="str">
        <f t="shared" si="2"/>
        <v>11104_2-1</v>
      </c>
      <c r="B52" s="21" t="str">
        <f>IF(COUNTIF(enemy_habitats_cp_quests!$H:$H,A52),"OK","NG")</f>
        <v>OK</v>
      </c>
      <c r="C52" s="8">
        <v>11104</v>
      </c>
      <c r="D52" s="12" t="str">
        <f ca="1">VLOOKUP($C52,OFFSET([1]quests!$A$1,0,0,COUNTA([1]quests!$A:$A),MATCH(D$1,[1]quests!$1:$1,0)-MATCH($C$1,[1]quests!$1:$1,0)+1),MATCH(D$1,[1]quests!$1:$1,0)-MATCH($C$1,[1]quests!$1:$1,0)+1,FALSE)</f>
        <v>【キャンペーン限定】 緑の素材</v>
      </c>
      <c r="E52" s="29" t="str">
        <f ca="1">VLOOKUP($C52,OFFSET([1]quests!$A$1,0,0,COUNTA([1]quests!$A:$A),MATCH(E$1,[1]quests!$1:$1,0)-MATCH($C$1,[1]quests!$1:$1,0)+1),MATCH(E$1,[1]quests!$1:$1,0)-MATCH($C$1,[1]quests!$1:$1,0)+1,FALSE)</f>
        <v>木曜クエスト</v>
      </c>
      <c r="F52" s="32">
        <v>2</v>
      </c>
      <c r="G52" s="33" t="str">
        <f t="shared" si="3"/>
        <v>11104_2</v>
      </c>
      <c r="H52" s="20" t="str">
        <f ca="1">VLOOKUP($G52,OFFSET([1]stages!$A$1,0,0,COUNTA([1]stages!$A:$A),MATCH(H$1,[1]stages!$2:$2,0)-MATCH($G$1,[1]stages!$2:$2,0)+1),MATCH(H$1,[1]stages!$2:$2,0)-MATCH($G$1,[1]stages!$2:$2,0)+1,FALSE)</f>
        <v>樹のウサギ 【中級】</v>
      </c>
      <c r="I52" s="32">
        <v>1</v>
      </c>
      <c r="J52" s="13">
        <v>30</v>
      </c>
      <c r="K52" s="13">
        <v>30</v>
      </c>
    </row>
    <row r="53" spans="1:11" ht="21" customHeight="1">
      <c r="A53" s="21" t="str">
        <f t="shared" si="2"/>
        <v>11104_2-2</v>
      </c>
      <c r="B53" s="21" t="str">
        <f>IF(COUNTIF(enemy_habitats_cp_quests!$H:$H,A53),"OK","NG")</f>
        <v>OK</v>
      </c>
      <c r="C53" s="8">
        <v>11104</v>
      </c>
      <c r="D53" s="12" t="str">
        <f ca="1">VLOOKUP($C53,OFFSET([1]quests!$A$1,0,0,COUNTA([1]quests!$A:$A),MATCH(D$1,[1]quests!$1:$1,0)-MATCH($C$1,[1]quests!$1:$1,0)+1),MATCH(D$1,[1]quests!$1:$1,0)-MATCH($C$1,[1]quests!$1:$1,0)+1,FALSE)</f>
        <v>【キャンペーン限定】 緑の素材</v>
      </c>
      <c r="E53" s="29" t="str">
        <f ca="1">VLOOKUP($C53,OFFSET([1]quests!$A$1,0,0,COUNTA([1]quests!$A:$A),MATCH(E$1,[1]quests!$1:$1,0)-MATCH($C$1,[1]quests!$1:$1,0)+1),MATCH(E$1,[1]quests!$1:$1,0)-MATCH($C$1,[1]quests!$1:$1,0)+1,FALSE)</f>
        <v>木曜クエスト</v>
      </c>
      <c r="F53" s="32">
        <v>2</v>
      </c>
      <c r="G53" s="33" t="str">
        <f t="shared" si="3"/>
        <v>11104_2</v>
      </c>
      <c r="H53" s="20" t="str">
        <f ca="1">VLOOKUP($G53,OFFSET([1]stages!$A$1,0,0,COUNTA([1]stages!$A:$A),MATCH(H$1,[1]stages!$2:$2,0)-MATCH($G$1,[1]stages!$2:$2,0)+1),MATCH(H$1,[1]stages!$2:$2,0)-MATCH($G$1,[1]stages!$2:$2,0)+1,FALSE)</f>
        <v>樹のウサギ 【中級】</v>
      </c>
      <c r="I53" s="32">
        <v>2</v>
      </c>
      <c r="J53" s="13">
        <v>30</v>
      </c>
      <c r="K53" s="13">
        <v>30</v>
      </c>
    </row>
    <row r="54" spans="1:11" ht="21" customHeight="1">
      <c r="A54" s="21" t="str">
        <f t="shared" si="2"/>
        <v>11104_2-3</v>
      </c>
      <c r="B54" s="21" t="str">
        <f>IF(COUNTIF(enemy_habitats_cp_quests!$H:$H,A54),"OK","NG")</f>
        <v>OK</v>
      </c>
      <c r="C54" s="8">
        <v>11104</v>
      </c>
      <c r="D54" s="12" t="str">
        <f ca="1">VLOOKUP($C54,OFFSET([1]quests!$A$1,0,0,COUNTA([1]quests!$A:$A),MATCH(D$1,[1]quests!$1:$1,0)-MATCH($C$1,[1]quests!$1:$1,0)+1),MATCH(D$1,[1]quests!$1:$1,0)-MATCH($C$1,[1]quests!$1:$1,0)+1,FALSE)</f>
        <v>【キャンペーン限定】 緑の素材</v>
      </c>
      <c r="E54" s="29" t="str">
        <f ca="1">VLOOKUP($C54,OFFSET([1]quests!$A$1,0,0,COUNTA([1]quests!$A:$A),MATCH(E$1,[1]quests!$1:$1,0)-MATCH($C$1,[1]quests!$1:$1,0)+1),MATCH(E$1,[1]quests!$1:$1,0)-MATCH($C$1,[1]quests!$1:$1,0)+1,FALSE)</f>
        <v>木曜クエスト</v>
      </c>
      <c r="F54" s="32">
        <v>2</v>
      </c>
      <c r="G54" s="33" t="str">
        <f t="shared" si="3"/>
        <v>11104_2</v>
      </c>
      <c r="H54" s="20" t="str">
        <f ca="1">VLOOKUP($G54,OFFSET([1]stages!$A$1,0,0,COUNTA([1]stages!$A:$A),MATCH(H$1,[1]stages!$2:$2,0)-MATCH($G$1,[1]stages!$2:$2,0)+1),MATCH(H$1,[1]stages!$2:$2,0)-MATCH($G$1,[1]stages!$2:$2,0)+1,FALSE)</f>
        <v>樹のウサギ 【中級】</v>
      </c>
      <c r="I54" s="32">
        <v>3</v>
      </c>
      <c r="J54" s="13">
        <v>45</v>
      </c>
      <c r="K54" s="13">
        <v>45</v>
      </c>
    </row>
    <row r="55" spans="1:11" ht="21" customHeight="1">
      <c r="A55" s="21" t="str">
        <f t="shared" si="2"/>
        <v>11104_2-4</v>
      </c>
      <c r="B55" s="21" t="str">
        <f>IF(COUNTIF(enemy_habitats_cp_quests!$H:$H,A55),"OK","NG")</f>
        <v>OK</v>
      </c>
      <c r="C55" s="8">
        <v>11104</v>
      </c>
      <c r="D55" s="12" t="str">
        <f ca="1">VLOOKUP($C55,OFFSET([1]quests!$A$1,0,0,COUNTA([1]quests!$A:$A),MATCH(D$1,[1]quests!$1:$1,0)-MATCH($C$1,[1]quests!$1:$1,0)+1),MATCH(D$1,[1]quests!$1:$1,0)-MATCH($C$1,[1]quests!$1:$1,0)+1,FALSE)</f>
        <v>【キャンペーン限定】 緑の素材</v>
      </c>
      <c r="E55" s="29" t="str">
        <f ca="1">VLOOKUP($C55,OFFSET([1]quests!$A$1,0,0,COUNTA([1]quests!$A:$A),MATCH(E$1,[1]quests!$1:$1,0)-MATCH($C$1,[1]quests!$1:$1,0)+1),MATCH(E$1,[1]quests!$1:$1,0)-MATCH($C$1,[1]quests!$1:$1,0)+1,FALSE)</f>
        <v>木曜クエスト</v>
      </c>
      <c r="F55" s="32">
        <v>2</v>
      </c>
      <c r="G55" s="33" t="str">
        <f t="shared" si="3"/>
        <v>11104_2</v>
      </c>
      <c r="H55" s="20" t="str">
        <f ca="1">VLOOKUP($G55,OFFSET([1]stages!$A$1,0,0,COUNTA([1]stages!$A:$A),MATCH(H$1,[1]stages!$2:$2,0)-MATCH($G$1,[1]stages!$2:$2,0)+1),MATCH(H$1,[1]stages!$2:$2,0)-MATCH($G$1,[1]stages!$2:$2,0)+1,FALSE)</f>
        <v>樹のウサギ 【中級】</v>
      </c>
      <c r="I55" s="32">
        <v>4</v>
      </c>
      <c r="J55" s="13">
        <v>45</v>
      </c>
      <c r="K55" s="13">
        <v>45</v>
      </c>
    </row>
    <row r="56" spans="1:11" ht="21" customHeight="1">
      <c r="A56" s="21" t="str">
        <f t="shared" si="2"/>
        <v>11104_2-5</v>
      </c>
      <c r="B56" s="21" t="str">
        <f>IF(COUNTIF(enemy_habitats_cp_quests!$H:$H,A56),"OK","NG")</f>
        <v>OK</v>
      </c>
      <c r="C56" s="8">
        <v>11104</v>
      </c>
      <c r="D56" s="12" t="str">
        <f ca="1">VLOOKUP($C56,OFFSET([1]quests!$A$1,0,0,COUNTA([1]quests!$A:$A),MATCH(D$1,[1]quests!$1:$1,0)-MATCH($C$1,[1]quests!$1:$1,0)+1),MATCH(D$1,[1]quests!$1:$1,0)-MATCH($C$1,[1]quests!$1:$1,0)+1,FALSE)</f>
        <v>【キャンペーン限定】 緑の素材</v>
      </c>
      <c r="E56" s="29" t="str">
        <f ca="1">VLOOKUP($C56,OFFSET([1]quests!$A$1,0,0,COUNTA([1]quests!$A:$A),MATCH(E$1,[1]quests!$1:$1,0)-MATCH($C$1,[1]quests!$1:$1,0)+1),MATCH(E$1,[1]quests!$1:$1,0)-MATCH($C$1,[1]quests!$1:$1,0)+1,FALSE)</f>
        <v>木曜クエスト</v>
      </c>
      <c r="F56" s="32">
        <v>2</v>
      </c>
      <c r="G56" s="33" t="str">
        <f t="shared" si="3"/>
        <v>11104_2</v>
      </c>
      <c r="H56" s="20" t="str">
        <f ca="1">VLOOKUP($G56,OFFSET([1]stages!$A$1,0,0,COUNTA([1]stages!$A:$A),MATCH(H$1,[1]stages!$2:$2,0)-MATCH($G$1,[1]stages!$2:$2,0)+1),MATCH(H$1,[1]stages!$2:$2,0)-MATCH($G$1,[1]stages!$2:$2,0)+1,FALSE)</f>
        <v>樹のウサギ 【中級】</v>
      </c>
      <c r="I56" s="32">
        <v>5</v>
      </c>
      <c r="J56" s="13">
        <v>50</v>
      </c>
      <c r="K56" s="13">
        <v>50</v>
      </c>
    </row>
    <row r="57" spans="1:11" ht="21" customHeight="1">
      <c r="A57" s="21" t="str">
        <f t="shared" si="2"/>
        <v>11104_3-1</v>
      </c>
      <c r="B57" s="21" t="str">
        <f>IF(COUNTIF(enemy_habitats_cp_quests!$H:$H,A57),"OK","NG")</f>
        <v>OK</v>
      </c>
      <c r="C57" s="8">
        <v>11104</v>
      </c>
      <c r="D57" s="12" t="str">
        <f ca="1">VLOOKUP($C57,OFFSET([1]quests!$A$1,0,0,COUNTA([1]quests!$A:$A),MATCH(D$1,[1]quests!$1:$1,0)-MATCH($C$1,[1]quests!$1:$1,0)+1),MATCH(D$1,[1]quests!$1:$1,0)-MATCH($C$1,[1]quests!$1:$1,0)+1,FALSE)</f>
        <v>【キャンペーン限定】 緑の素材</v>
      </c>
      <c r="E57" s="29" t="str">
        <f ca="1">VLOOKUP($C57,OFFSET([1]quests!$A$1,0,0,COUNTA([1]quests!$A:$A),MATCH(E$1,[1]quests!$1:$1,0)-MATCH($C$1,[1]quests!$1:$1,0)+1),MATCH(E$1,[1]quests!$1:$1,0)-MATCH($C$1,[1]quests!$1:$1,0)+1,FALSE)</f>
        <v>木曜クエスト</v>
      </c>
      <c r="F57" s="32">
        <v>3</v>
      </c>
      <c r="G57" s="33" t="str">
        <f t="shared" si="3"/>
        <v>11104_3</v>
      </c>
      <c r="H57" s="20" t="str">
        <f ca="1">VLOOKUP($G57,OFFSET([1]stages!$A$1,0,0,COUNTA([1]stages!$A:$A),MATCH(H$1,[1]stages!$2:$2,0)-MATCH($G$1,[1]stages!$2:$2,0)+1),MATCH(H$1,[1]stages!$2:$2,0)-MATCH($G$1,[1]stages!$2:$2,0)+1,FALSE)</f>
        <v>樹のイモムシ 【上級】</v>
      </c>
      <c r="I57" s="32">
        <v>1</v>
      </c>
      <c r="J57" s="13">
        <v>30</v>
      </c>
      <c r="K57" s="13">
        <v>45</v>
      </c>
    </row>
    <row r="58" spans="1:11" ht="21" customHeight="1">
      <c r="A58" s="21" t="str">
        <f t="shared" si="2"/>
        <v>11104_3-2</v>
      </c>
      <c r="B58" s="21" t="str">
        <f>IF(COUNTIF(enemy_habitats_cp_quests!$H:$H,A58),"OK","NG")</f>
        <v>OK</v>
      </c>
      <c r="C58" s="8">
        <v>11104</v>
      </c>
      <c r="D58" s="12" t="str">
        <f ca="1">VLOOKUP($C58,OFFSET([1]quests!$A$1,0,0,COUNTA([1]quests!$A:$A),MATCH(D$1,[1]quests!$1:$1,0)-MATCH($C$1,[1]quests!$1:$1,0)+1),MATCH(D$1,[1]quests!$1:$1,0)-MATCH($C$1,[1]quests!$1:$1,0)+1,FALSE)</f>
        <v>【キャンペーン限定】 緑の素材</v>
      </c>
      <c r="E58" s="29" t="str">
        <f ca="1">VLOOKUP($C58,OFFSET([1]quests!$A$1,0,0,COUNTA([1]quests!$A:$A),MATCH(E$1,[1]quests!$1:$1,0)-MATCH($C$1,[1]quests!$1:$1,0)+1),MATCH(E$1,[1]quests!$1:$1,0)-MATCH($C$1,[1]quests!$1:$1,0)+1,FALSE)</f>
        <v>木曜クエスト</v>
      </c>
      <c r="F58" s="32">
        <v>3</v>
      </c>
      <c r="G58" s="33" t="str">
        <f t="shared" si="3"/>
        <v>11104_3</v>
      </c>
      <c r="H58" s="20" t="str">
        <f ca="1">VLOOKUP($G58,OFFSET([1]stages!$A$1,0,0,COUNTA([1]stages!$A:$A),MATCH(H$1,[1]stages!$2:$2,0)-MATCH($G$1,[1]stages!$2:$2,0)+1),MATCH(H$1,[1]stages!$2:$2,0)-MATCH($G$1,[1]stages!$2:$2,0)+1,FALSE)</f>
        <v>樹のイモムシ 【上級】</v>
      </c>
      <c r="I58" s="32">
        <v>2</v>
      </c>
      <c r="J58" s="13">
        <v>30</v>
      </c>
      <c r="K58" s="13">
        <v>45</v>
      </c>
    </row>
    <row r="59" spans="1:11" ht="21" customHeight="1">
      <c r="A59" s="21" t="str">
        <f t="shared" si="2"/>
        <v>11104_3-3</v>
      </c>
      <c r="B59" s="21" t="str">
        <f>IF(COUNTIF(enemy_habitats_cp_quests!$H:$H,A59),"OK","NG")</f>
        <v>OK</v>
      </c>
      <c r="C59" s="8">
        <v>11104</v>
      </c>
      <c r="D59" s="12" t="str">
        <f ca="1">VLOOKUP($C59,OFFSET([1]quests!$A$1,0,0,COUNTA([1]quests!$A:$A),MATCH(D$1,[1]quests!$1:$1,0)-MATCH($C$1,[1]quests!$1:$1,0)+1),MATCH(D$1,[1]quests!$1:$1,0)-MATCH($C$1,[1]quests!$1:$1,0)+1,FALSE)</f>
        <v>【キャンペーン限定】 緑の素材</v>
      </c>
      <c r="E59" s="29" t="str">
        <f ca="1">VLOOKUP($C59,OFFSET([1]quests!$A$1,0,0,COUNTA([1]quests!$A:$A),MATCH(E$1,[1]quests!$1:$1,0)-MATCH($C$1,[1]quests!$1:$1,0)+1),MATCH(E$1,[1]quests!$1:$1,0)-MATCH($C$1,[1]quests!$1:$1,0)+1,FALSE)</f>
        <v>木曜クエスト</v>
      </c>
      <c r="F59" s="32">
        <v>3</v>
      </c>
      <c r="G59" s="33" t="str">
        <f t="shared" si="3"/>
        <v>11104_3</v>
      </c>
      <c r="H59" s="20" t="str">
        <f ca="1">VLOOKUP($G59,OFFSET([1]stages!$A$1,0,0,COUNTA([1]stages!$A:$A),MATCH(H$1,[1]stages!$2:$2,0)-MATCH($G$1,[1]stages!$2:$2,0)+1),MATCH(H$1,[1]stages!$2:$2,0)-MATCH($G$1,[1]stages!$2:$2,0)+1,FALSE)</f>
        <v>樹のイモムシ 【上級】</v>
      </c>
      <c r="I59" s="32">
        <v>3</v>
      </c>
      <c r="J59" s="13">
        <v>45</v>
      </c>
      <c r="K59" s="13">
        <v>45</v>
      </c>
    </row>
    <row r="60" spans="1:11" ht="21" customHeight="1">
      <c r="A60" s="21" t="str">
        <f t="shared" si="2"/>
        <v>11104_3-4</v>
      </c>
      <c r="B60" s="21" t="str">
        <f>IF(COUNTIF(enemy_habitats_cp_quests!$H:$H,A60),"OK","NG")</f>
        <v>OK</v>
      </c>
      <c r="C60" s="8">
        <v>11104</v>
      </c>
      <c r="D60" s="12" t="str">
        <f ca="1">VLOOKUP($C60,OFFSET([1]quests!$A$1,0,0,COUNTA([1]quests!$A:$A),MATCH(D$1,[1]quests!$1:$1,0)-MATCH($C$1,[1]quests!$1:$1,0)+1),MATCH(D$1,[1]quests!$1:$1,0)-MATCH($C$1,[1]quests!$1:$1,0)+1,FALSE)</f>
        <v>【キャンペーン限定】 緑の素材</v>
      </c>
      <c r="E60" s="29" t="str">
        <f ca="1">VLOOKUP($C60,OFFSET([1]quests!$A$1,0,0,COUNTA([1]quests!$A:$A),MATCH(E$1,[1]quests!$1:$1,0)-MATCH($C$1,[1]quests!$1:$1,0)+1),MATCH(E$1,[1]quests!$1:$1,0)-MATCH($C$1,[1]quests!$1:$1,0)+1,FALSE)</f>
        <v>木曜クエスト</v>
      </c>
      <c r="F60" s="32">
        <v>3</v>
      </c>
      <c r="G60" s="33" t="str">
        <f t="shared" si="3"/>
        <v>11104_3</v>
      </c>
      <c r="H60" s="20" t="str">
        <f ca="1">VLOOKUP($G60,OFFSET([1]stages!$A$1,0,0,COUNTA([1]stages!$A:$A),MATCH(H$1,[1]stages!$2:$2,0)-MATCH($G$1,[1]stages!$2:$2,0)+1),MATCH(H$1,[1]stages!$2:$2,0)-MATCH($G$1,[1]stages!$2:$2,0)+1,FALSE)</f>
        <v>樹のイモムシ 【上級】</v>
      </c>
      <c r="I60" s="32">
        <v>4</v>
      </c>
      <c r="J60" s="13">
        <v>45</v>
      </c>
      <c r="K60" s="13">
        <v>60</v>
      </c>
    </row>
    <row r="61" spans="1:11" ht="21" customHeight="1">
      <c r="A61" s="21" t="str">
        <f t="shared" si="2"/>
        <v>11104_3-5</v>
      </c>
      <c r="B61" s="21" t="str">
        <f>IF(COUNTIF(enemy_habitats_cp_quests!$H:$H,A61),"OK","NG")</f>
        <v>OK</v>
      </c>
      <c r="C61" s="8">
        <v>11104</v>
      </c>
      <c r="D61" s="12" t="str">
        <f ca="1">VLOOKUP($C61,OFFSET([1]quests!$A$1,0,0,COUNTA([1]quests!$A:$A),MATCH(D$1,[1]quests!$1:$1,0)-MATCH($C$1,[1]quests!$1:$1,0)+1),MATCH(D$1,[1]quests!$1:$1,0)-MATCH($C$1,[1]quests!$1:$1,0)+1,FALSE)</f>
        <v>【キャンペーン限定】 緑の素材</v>
      </c>
      <c r="E61" s="29" t="str">
        <f ca="1">VLOOKUP($C61,OFFSET([1]quests!$A$1,0,0,COUNTA([1]quests!$A:$A),MATCH(E$1,[1]quests!$1:$1,0)-MATCH($C$1,[1]quests!$1:$1,0)+1),MATCH(E$1,[1]quests!$1:$1,0)-MATCH($C$1,[1]quests!$1:$1,0)+1,FALSE)</f>
        <v>木曜クエスト</v>
      </c>
      <c r="F61" s="32">
        <v>3</v>
      </c>
      <c r="G61" s="33" t="str">
        <f t="shared" si="3"/>
        <v>11104_3</v>
      </c>
      <c r="H61" s="20" t="str">
        <f ca="1">VLOOKUP($G61,OFFSET([1]stages!$A$1,0,0,COUNTA([1]stages!$A:$A),MATCH(H$1,[1]stages!$2:$2,0)-MATCH($G$1,[1]stages!$2:$2,0)+1),MATCH(H$1,[1]stages!$2:$2,0)-MATCH($G$1,[1]stages!$2:$2,0)+1,FALSE)</f>
        <v>樹のイモムシ 【上級】</v>
      </c>
      <c r="I61" s="32">
        <v>5</v>
      </c>
      <c r="J61" s="13">
        <v>60</v>
      </c>
      <c r="K61" s="13">
        <v>60</v>
      </c>
    </row>
    <row r="62" spans="1:11" ht="21" customHeight="1">
      <c r="A62" s="21" t="str">
        <f t="shared" si="2"/>
        <v>11105_1-1</v>
      </c>
      <c r="B62" s="21" t="str">
        <f>IF(COUNTIF(enemy_habitats_cp_quests!$H:$H,A62),"OK","NG")</f>
        <v>OK</v>
      </c>
      <c r="C62" s="8">
        <v>11105</v>
      </c>
      <c r="D62" s="12" t="str">
        <f ca="1">VLOOKUP($C62,OFFSET([1]quests!$A$1,0,0,COUNTA([1]quests!$A:$A),MATCH(D$1,[1]quests!$1:$1,0)-MATCH($C$1,[1]quests!$1:$1,0)+1),MATCH(D$1,[1]quests!$1:$1,0)-MATCH($C$1,[1]quests!$1:$1,0)+1,FALSE)</f>
        <v>【キャンペーン限定】 帽子屋を追え！</v>
      </c>
      <c r="E62" s="29" t="str">
        <f ca="1">VLOOKUP($C62,OFFSET([1]quests!$A$1,0,0,COUNTA([1]quests!$A:$A),MATCH(E$1,[1]quests!$1:$1,0)-MATCH($C$1,[1]quests!$1:$1,0)+1),MATCH(E$1,[1]quests!$1:$1,0)-MATCH($C$1,[1]quests!$1:$1,0)+1,FALSE)</f>
        <v>金曜クエスト</v>
      </c>
      <c r="F62" s="32">
        <v>1</v>
      </c>
      <c r="G62" s="33" t="str">
        <f t="shared" si="3"/>
        <v>11105_1</v>
      </c>
      <c r="H62" s="20" t="str">
        <f ca="1">VLOOKUP($G62,OFFSET([1]stages!$A$1,0,0,COUNTA([1]stages!$A:$A),MATCH(H$1,[1]stages!$2:$2,0)-MATCH($G$1,[1]stages!$2:$2,0)+1),MATCH(H$1,[1]stages!$2:$2,0)-MATCH($G$1,[1]stages!$2:$2,0)+1,FALSE)</f>
        <v>火の帽子屋 【超級】</v>
      </c>
      <c r="I62" s="32">
        <v>1</v>
      </c>
      <c r="J62" s="13">
        <v>30</v>
      </c>
      <c r="K62" s="13">
        <v>45</v>
      </c>
    </row>
    <row r="63" spans="1:11" ht="21" customHeight="1">
      <c r="A63" s="21" t="str">
        <f t="shared" si="2"/>
        <v>11105_1-2</v>
      </c>
      <c r="B63" s="21" t="str">
        <f>IF(COUNTIF(enemy_habitats_cp_quests!$H:$H,A63),"OK","NG")</f>
        <v>OK</v>
      </c>
      <c r="C63" s="8">
        <v>11105</v>
      </c>
      <c r="D63" s="12" t="str">
        <f ca="1">VLOOKUP($C63,OFFSET([1]quests!$A$1,0,0,COUNTA([1]quests!$A:$A),MATCH(D$1,[1]quests!$1:$1,0)-MATCH($C$1,[1]quests!$1:$1,0)+1),MATCH(D$1,[1]quests!$1:$1,0)-MATCH($C$1,[1]quests!$1:$1,0)+1,FALSE)</f>
        <v>【キャンペーン限定】 帽子屋を追え！</v>
      </c>
      <c r="E63" s="29" t="str">
        <f ca="1">VLOOKUP($C63,OFFSET([1]quests!$A$1,0,0,COUNTA([1]quests!$A:$A),MATCH(E$1,[1]quests!$1:$1,0)-MATCH($C$1,[1]quests!$1:$1,0)+1),MATCH(E$1,[1]quests!$1:$1,0)-MATCH($C$1,[1]quests!$1:$1,0)+1,FALSE)</f>
        <v>金曜クエスト</v>
      </c>
      <c r="F63" s="32">
        <v>1</v>
      </c>
      <c r="G63" s="33" t="str">
        <f t="shared" si="3"/>
        <v>11105_1</v>
      </c>
      <c r="H63" s="20" t="str">
        <f ca="1">VLOOKUP($G63,OFFSET([1]stages!$A$1,0,0,COUNTA([1]stages!$A:$A),MATCH(H$1,[1]stages!$2:$2,0)-MATCH($G$1,[1]stages!$2:$2,0)+1),MATCH(H$1,[1]stages!$2:$2,0)-MATCH($G$1,[1]stages!$2:$2,0)+1,FALSE)</f>
        <v>火の帽子屋 【超級】</v>
      </c>
      <c r="I63" s="32">
        <v>2</v>
      </c>
      <c r="J63" s="13">
        <v>45</v>
      </c>
      <c r="K63" s="13">
        <v>60</v>
      </c>
    </row>
    <row r="64" spans="1:11" ht="21" customHeight="1">
      <c r="A64" s="21" t="str">
        <f t="shared" si="2"/>
        <v>11105_1-3</v>
      </c>
      <c r="B64" s="21" t="str">
        <f>IF(COUNTIF(enemy_habitats_cp_quests!$H:$H,A64),"OK","NG")</f>
        <v>OK</v>
      </c>
      <c r="C64" s="8">
        <v>11105</v>
      </c>
      <c r="D64" s="12" t="str">
        <f ca="1">VLOOKUP($C64,OFFSET([1]quests!$A$1,0,0,COUNTA([1]quests!$A:$A),MATCH(D$1,[1]quests!$1:$1,0)-MATCH($C$1,[1]quests!$1:$1,0)+1),MATCH(D$1,[1]quests!$1:$1,0)-MATCH($C$1,[1]quests!$1:$1,0)+1,FALSE)</f>
        <v>【キャンペーン限定】 帽子屋を追え！</v>
      </c>
      <c r="E64" s="29" t="str">
        <f ca="1">VLOOKUP($C64,OFFSET([1]quests!$A$1,0,0,COUNTA([1]quests!$A:$A),MATCH(E$1,[1]quests!$1:$1,0)-MATCH($C$1,[1]quests!$1:$1,0)+1),MATCH(E$1,[1]quests!$1:$1,0)-MATCH($C$1,[1]quests!$1:$1,0)+1,FALSE)</f>
        <v>金曜クエスト</v>
      </c>
      <c r="F64" s="32">
        <v>1</v>
      </c>
      <c r="G64" s="33" t="str">
        <f t="shared" si="3"/>
        <v>11105_1</v>
      </c>
      <c r="H64" s="20" t="str">
        <f ca="1">VLOOKUP($G64,OFFSET([1]stages!$A$1,0,0,COUNTA([1]stages!$A:$A),MATCH(H$1,[1]stages!$2:$2,0)-MATCH($G$1,[1]stages!$2:$2,0)+1),MATCH(H$1,[1]stages!$2:$2,0)-MATCH($G$1,[1]stages!$2:$2,0)+1,FALSE)</f>
        <v>火の帽子屋 【超級】</v>
      </c>
      <c r="I64" s="32">
        <v>3</v>
      </c>
      <c r="J64" s="13">
        <v>50</v>
      </c>
      <c r="K64" s="13">
        <v>60</v>
      </c>
    </row>
    <row r="65" spans="1:11" ht="21" customHeight="1">
      <c r="A65" s="21" t="str">
        <f t="shared" si="2"/>
        <v>11105_1-4</v>
      </c>
      <c r="B65" s="21" t="str">
        <f>IF(COUNTIF(enemy_habitats_cp_quests!$H:$H,A65),"OK","NG")</f>
        <v>OK</v>
      </c>
      <c r="C65" s="8">
        <v>11105</v>
      </c>
      <c r="D65" s="12" t="str">
        <f ca="1">VLOOKUP($C65,OFFSET([1]quests!$A$1,0,0,COUNTA([1]quests!$A:$A),MATCH(D$1,[1]quests!$1:$1,0)-MATCH($C$1,[1]quests!$1:$1,0)+1),MATCH(D$1,[1]quests!$1:$1,0)-MATCH($C$1,[1]quests!$1:$1,0)+1,FALSE)</f>
        <v>【キャンペーン限定】 帽子屋を追え！</v>
      </c>
      <c r="E65" s="29" t="str">
        <f ca="1">VLOOKUP($C65,OFFSET([1]quests!$A$1,0,0,COUNTA([1]quests!$A:$A),MATCH(E$1,[1]quests!$1:$1,0)-MATCH($C$1,[1]quests!$1:$1,0)+1),MATCH(E$1,[1]quests!$1:$1,0)-MATCH($C$1,[1]quests!$1:$1,0)+1,FALSE)</f>
        <v>金曜クエスト</v>
      </c>
      <c r="F65" s="32">
        <v>1</v>
      </c>
      <c r="G65" s="33" t="str">
        <f t="shared" si="3"/>
        <v>11105_1</v>
      </c>
      <c r="H65" s="20" t="str">
        <f ca="1">VLOOKUP($G65,OFFSET([1]stages!$A$1,0,0,COUNTA([1]stages!$A:$A),MATCH(H$1,[1]stages!$2:$2,0)-MATCH($G$1,[1]stages!$2:$2,0)+1),MATCH(H$1,[1]stages!$2:$2,0)-MATCH($G$1,[1]stages!$2:$2,0)+1,FALSE)</f>
        <v>火の帽子屋 【超級】</v>
      </c>
      <c r="I65" s="32">
        <v>4</v>
      </c>
      <c r="J65" s="13">
        <v>45</v>
      </c>
      <c r="K65" s="13">
        <v>60</v>
      </c>
    </row>
    <row r="66" spans="1:11" ht="21" customHeight="1">
      <c r="A66" s="21" t="str">
        <f t="shared" ref="A66:A100" si="4">G66&amp;"-"&amp;I66</f>
        <v>11105_1-5</v>
      </c>
      <c r="B66" s="21" t="str">
        <f>IF(COUNTIF(enemy_habitats_cp_quests!$H:$H,A66),"OK","NG")</f>
        <v>OK</v>
      </c>
      <c r="C66" s="8">
        <v>11105</v>
      </c>
      <c r="D66" s="12" t="str">
        <f ca="1">VLOOKUP($C66,OFFSET([1]quests!$A$1,0,0,COUNTA([1]quests!$A:$A),MATCH(D$1,[1]quests!$1:$1,0)-MATCH($C$1,[1]quests!$1:$1,0)+1),MATCH(D$1,[1]quests!$1:$1,0)-MATCH($C$1,[1]quests!$1:$1,0)+1,FALSE)</f>
        <v>【キャンペーン限定】 帽子屋を追え！</v>
      </c>
      <c r="E66" s="29" t="str">
        <f ca="1">VLOOKUP($C66,OFFSET([1]quests!$A$1,0,0,COUNTA([1]quests!$A:$A),MATCH(E$1,[1]quests!$1:$1,0)-MATCH($C$1,[1]quests!$1:$1,0)+1),MATCH(E$1,[1]quests!$1:$1,0)-MATCH($C$1,[1]quests!$1:$1,0)+1,FALSE)</f>
        <v>金曜クエスト</v>
      </c>
      <c r="F66" s="32">
        <v>1</v>
      </c>
      <c r="G66" s="33" t="str">
        <f t="shared" ref="G66:G100" si="5">C66&amp;"_"&amp;F66</f>
        <v>11105_1</v>
      </c>
      <c r="H66" s="20" t="str">
        <f ca="1">VLOOKUP($G66,OFFSET([1]stages!$A$1,0,0,COUNTA([1]stages!$A:$A),MATCH(H$1,[1]stages!$2:$2,0)-MATCH($G$1,[1]stages!$2:$2,0)+1),MATCH(H$1,[1]stages!$2:$2,0)-MATCH($G$1,[1]stages!$2:$2,0)+1,FALSE)</f>
        <v>火の帽子屋 【超級】</v>
      </c>
      <c r="I66" s="32">
        <v>5</v>
      </c>
      <c r="J66" s="13">
        <v>60</v>
      </c>
      <c r="K66" s="13">
        <v>60</v>
      </c>
    </row>
    <row r="67" spans="1:11" ht="21" customHeight="1">
      <c r="A67" s="21" t="str">
        <f t="shared" ref="A67" si="6">G67&amp;"-"&amp;I67</f>
        <v>11105_1-6</v>
      </c>
      <c r="B67" s="21" t="str">
        <f>IF(COUNTIF(enemy_habitats_cp_quests!$H:$H,A67),"OK","NG")</f>
        <v>OK</v>
      </c>
      <c r="C67" s="8">
        <v>11105</v>
      </c>
      <c r="D67" s="12" t="str">
        <f ca="1">VLOOKUP($C67,OFFSET([1]quests!$A$1,0,0,COUNTA([1]quests!$A:$A),MATCH(D$1,[1]quests!$1:$1,0)-MATCH($C$1,[1]quests!$1:$1,0)+1),MATCH(D$1,[1]quests!$1:$1,0)-MATCH($C$1,[1]quests!$1:$1,0)+1,FALSE)</f>
        <v>【キャンペーン限定】 帽子屋を追え！</v>
      </c>
      <c r="E67" s="29" t="str">
        <f ca="1">VLOOKUP($C67,OFFSET([1]quests!$A$1,0,0,COUNTA([1]quests!$A:$A),MATCH(E$1,[1]quests!$1:$1,0)-MATCH($C$1,[1]quests!$1:$1,0)+1),MATCH(E$1,[1]quests!$1:$1,0)-MATCH($C$1,[1]quests!$1:$1,0)+1,FALSE)</f>
        <v>金曜クエスト</v>
      </c>
      <c r="F67" s="32">
        <v>1</v>
      </c>
      <c r="G67" s="33" t="str">
        <f t="shared" ref="G67" si="7">C67&amp;"_"&amp;F67</f>
        <v>11105_1</v>
      </c>
      <c r="H67" s="20" t="str">
        <f ca="1">VLOOKUP($G67,OFFSET([1]stages!$A$1,0,0,COUNTA([1]stages!$A:$A),MATCH(H$1,[1]stages!$2:$2,0)-MATCH($G$1,[1]stages!$2:$2,0)+1),MATCH(H$1,[1]stages!$2:$2,0)-MATCH($G$1,[1]stages!$2:$2,0)+1,FALSE)</f>
        <v>火の帽子屋 【超級】</v>
      </c>
      <c r="I67" s="32">
        <v>6</v>
      </c>
      <c r="J67" s="13">
        <v>60</v>
      </c>
      <c r="K67" s="13">
        <v>60</v>
      </c>
    </row>
    <row r="68" spans="1:11" ht="21" customHeight="1">
      <c r="A68" s="21" t="str">
        <f t="shared" si="4"/>
        <v>11105_2-1</v>
      </c>
      <c r="B68" s="21" t="str">
        <f>IF(COUNTIF(enemy_habitats_cp_quests!$H:$H,A68),"OK","NG")</f>
        <v>OK</v>
      </c>
      <c r="C68" s="8">
        <v>11105</v>
      </c>
      <c r="D68" s="12" t="str">
        <f ca="1">VLOOKUP($C68,OFFSET([1]quests!$A$1,0,0,COUNTA([1]quests!$A:$A),MATCH(D$1,[1]quests!$1:$1,0)-MATCH($C$1,[1]quests!$1:$1,0)+1),MATCH(D$1,[1]quests!$1:$1,0)-MATCH($C$1,[1]quests!$1:$1,0)+1,FALSE)</f>
        <v>【キャンペーン限定】 帽子屋を追え！</v>
      </c>
      <c r="E68" s="29" t="str">
        <f ca="1">VLOOKUP($C68,OFFSET([1]quests!$A$1,0,0,COUNTA([1]quests!$A:$A),MATCH(E$1,[1]quests!$1:$1,0)-MATCH($C$1,[1]quests!$1:$1,0)+1),MATCH(E$1,[1]quests!$1:$1,0)-MATCH($C$1,[1]quests!$1:$1,0)+1,FALSE)</f>
        <v>金曜クエスト</v>
      </c>
      <c r="F68" s="32">
        <v>2</v>
      </c>
      <c r="G68" s="33" t="str">
        <f t="shared" si="5"/>
        <v>11105_2</v>
      </c>
      <c r="H68" s="20" t="str">
        <f ca="1">VLOOKUP($G68,OFFSET([1]stages!$A$1,0,0,COUNTA([1]stages!$A:$A),MATCH(H$1,[1]stages!$2:$2,0)-MATCH($G$1,[1]stages!$2:$2,0)+1),MATCH(H$1,[1]stages!$2:$2,0)-MATCH($G$1,[1]stages!$2:$2,0)+1,FALSE)</f>
        <v>樹の帽子屋 【超級】</v>
      </c>
      <c r="I68" s="32">
        <v>1</v>
      </c>
      <c r="J68" s="13">
        <v>30</v>
      </c>
      <c r="K68" s="13">
        <v>45</v>
      </c>
    </row>
    <row r="69" spans="1:11" ht="21" customHeight="1">
      <c r="A69" s="21" t="str">
        <f t="shared" si="4"/>
        <v>11105_2-2</v>
      </c>
      <c r="B69" s="21" t="str">
        <f>IF(COUNTIF(enemy_habitats_cp_quests!$H:$H,A69),"OK","NG")</f>
        <v>OK</v>
      </c>
      <c r="C69" s="8">
        <v>11105</v>
      </c>
      <c r="D69" s="12" t="str">
        <f ca="1">VLOOKUP($C69,OFFSET([1]quests!$A$1,0,0,COUNTA([1]quests!$A:$A),MATCH(D$1,[1]quests!$1:$1,0)-MATCH($C$1,[1]quests!$1:$1,0)+1),MATCH(D$1,[1]quests!$1:$1,0)-MATCH($C$1,[1]quests!$1:$1,0)+1,FALSE)</f>
        <v>【キャンペーン限定】 帽子屋を追え！</v>
      </c>
      <c r="E69" s="29" t="str">
        <f ca="1">VLOOKUP($C69,OFFSET([1]quests!$A$1,0,0,COUNTA([1]quests!$A:$A),MATCH(E$1,[1]quests!$1:$1,0)-MATCH($C$1,[1]quests!$1:$1,0)+1),MATCH(E$1,[1]quests!$1:$1,0)-MATCH($C$1,[1]quests!$1:$1,0)+1,FALSE)</f>
        <v>金曜クエスト</v>
      </c>
      <c r="F69" s="32">
        <v>2</v>
      </c>
      <c r="G69" s="33" t="str">
        <f t="shared" si="5"/>
        <v>11105_2</v>
      </c>
      <c r="H69" s="20" t="str">
        <f ca="1">VLOOKUP($G69,OFFSET([1]stages!$A$1,0,0,COUNTA([1]stages!$A:$A),MATCH(H$1,[1]stages!$2:$2,0)-MATCH($G$1,[1]stages!$2:$2,0)+1),MATCH(H$1,[1]stages!$2:$2,0)-MATCH($G$1,[1]stages!$2:$2,0)+1,FALSE)</f>
        <v>樹の帽子屋 【超級】</v>
      </c>
      <c r="I69" s="32">
        <v>2</v>
      </c>
      <c r="J69" s="13">
        <v>45</v>
      </c>
      <c r="K69" s="13">
        <v>60</v>
      </c>
    </row>
    <row r="70" spans="1:11" ht="21" customHeight="1">
      <c r="A70" s="21" t="str">
        <f t="shared" si="4"/>
        <v>11105_2-3</v>
      </c>
      <c r="B70" s="21" t="str">
        <f>IF(COUNTIF(enemy_habitats_cp_quests!$H:$H,A70),"OK","NG")</f>
        <v>OK</v>
      </c>
      <c r="C70" s="8">
        <v>11105</v>
      </c>
      <c r="D70" s="12" t="str">
        <f ca="1">VLOOKUP($C70,OFFSET([1]quests!$A$1,0,0,COUNTA([1]quests!$A:$A),MATCH(D$1,[1]quests!$1:$1,0)-MATCH($C$1,[1]quests!$1:$1,0)+1),MATCH(D$1,[1]quests!$1:$1,0)-MATCH($C$1,[1]quests!$1:$1,0)+1,FALSE)</f>
        <v>【キャンペーン限定】 帽子屋を追え！</v>
      </c>
      <c r="E70" s="29" t="str">
        <f ca="1">VLOOKUP($C70,OFFSET([1]quests!$A$1,0,0,COUNTA([1]quests!$A:$A),MATCH(E$1,[1]quests!$1:$1,0)-MATCH($C$1,[1]quests!$1:$1,0)+1),MATCH(E$1,[1]quests!$1:$1,0)-MATCH($C$1,[1]quests!$1:$1,0)+1,FALSE)</f>
        <v>金曜クエスト</v>
      </c>
      <c r="F70" s="32">
        <v>2</v>
      </c>
      <c r="G70" s="33" t="str">
        <f t="shared" si="5"/>
        <v>11105_2</v>
      </c>
      <c r="H70" s="20" t="str">
        <f ca="1">VLOOKUP($G70,OFFSET([1]stages!$A$1,0,0,COUNTA([1]stages!$A:$A),MATCH(H$1,[1]stages!$2:$2,0)-MATCH($G$1,[1]stages!$2:$2,0)+1),MATCH(H$1,[1]stages!$2:$2,0)-MATCH($G$1,[1]stages!$2:$2,0)+1,FALSE)</f>
        <v>樹の帽子屋 【超級】</v>
      </c>
      <c r="I70" s="32">
        <v>3</v>
      </c>
      <c r="J70" s="13">
        <v>50</v>
      </c>
      <c r="K70" s="13">
        <v>60</v>
      </c>
    </row>
    <row r="71" spans="1:11" ht="21" customHeight="1">
      <c r="A71" s="21" t="str">
        <f t="shared" si="4"/>
        <v>11105_2-4</v>
      </c>
      <c r="B71" s="21" t="str">
        <f>IF(COUNTIF(enemy_habitats_cp_quests!$H:$H,A71),"OK","NG")</f>
        <v>OK</v>
      </c>
      <c r="C71" s="8">
        <v>11105</v>
      </c>
      <c r="D71" s="12" t="str">
        <f ca="1">VLOOKUP($C71,OFFSET([1]quests!$A$1,0,0,COUNTA([1]quests!$A:$A),MATCH(D$1,[1]quests!$1:$1,0)-MATCH($C$1,[1]quests!$1:$1,0)+1),MATCH(D$1,[1]quests!$1:$1,0)-MATCH($C$1,[1]quests!$1:$1,0)+1,FALSE)</f>
        <v>【キャンペーン限定】 帽子屋を追え！</v>
      </c>
      <c r="E71" s="29" t="str">
        <f ca="1">VLOOKUP($C71,OFFSET([1]quests!$A$1,0,0,COUNTA([1]quests!$A:$A),MATCH(E$1,[1]quests!$1:$1,0)-MATCH($C$1,[1]quests!$1:$1,0)+1),MATCH(E$1,[1]quests!$1:$1,0)-MATCH($C$1,[1]quests!$1:$1,0)+1,FALSE)</f>
        <v>金曜クエスト</v>
      </c>
      <c r="F71" s="32">
        <v>2</v>
      </c>
      <c r="G71" s="33" t="str">
        <f t="shared" si="5"/>
        <v>11105_2</v>
      </c>
      <c r="H71" s="20" t="str">
        <f ca="1">VLOOKUP($G71,OFFSET([1]stages!$A$1,0,0,COUNTA([1]stages!$A:$A),MATCH(H$1,[1]stages!$2:$2,0)-MATCH($G$1,[1]stages!$2:$2,0)+1),MATCH(H$1,[1]stages!$2:$2,0)-MATCH($G$1,[1]stages!$2:$2,0)+1,FALSE)</f>
        <v>樹の帽子屋 【超級】</v>
      </c>
      <c r="I71" s="32">
        <v>4</v>
      </c>
      <c r="J71" s="13">
        <v>45</v>
      </c>
      <c r="K71" s="13">
        <v>60</v>
      </c>
    </row>
    <row r="72" spans="1:11" ht="21" customHeight="1">
      <c r="A72" s="21" t="str">
        <f t="shared" si="4"/>
        <v>11105_2-5</v>
      </c>
      <c r="B72" s="21" t="str">
        <f>IF(COUNTIF(enemy_habitats_cp_quests!$H:$H,A72),"OK","NG")</f>
        <v>OK</v>
      </c>
      <c r="C72" s="8">
        <v>11105</v>
      </c>
      <c r="D72" s="12" t="str">
        <f ca="1">VLOOKUP($C72,OFFSET([1]quests!$A$1,0,0,COUNTA([1]quests!$A:$A),MATCH(D$1,[1]quests!$1:$1,0)-MATCH($C$1,[1]quests!$1:$1,0)+1),MATCH(D$1,[1]quests!$1:$1,0)-MATCH($C$1,[1]quests!$1:$1,0)+1,FALSE)</f>
        <v>【キャンペーン限定】 帽子屋を追え！</v>
      </c>
      <c r="E72" s="29" t="str">
        <f ca="1">VLOOKUP($C72,OFFSET([1]quests!$A$1,0,0,COUNTA([1]quests!$A:$A),MATCH(E$1,[1]quests!$1:$1,0)-MATCH($C$1,[1]quests!$1:$1,0)+1),MATCH(E$1,[1]quests!$1:$1,0)-MATCH($C$1,[1]quests!$1:$1,0)+1,FALSE)</f>
        <v>金曜クエスト</v>
      </c>
      <c r="F72" s="32">
        <v>2</v>
      </c>
      <c r="G72" s="33" t="str">
        <f t="shared" si="5"/>
        <v>11105_2</v>
      </c>
      <c r="H72" s="20" t="str">
        <f ca="1">VLOOKUP($G72,OFFSET([1]stages!$A$1,0,0,COUNTA([1]stages!$A:$A),MATCH(H$1,[1]stages!$2:$2,0)-MATCH($G$1,[1]stages!$2:$2,0)+1),MATCH(H$1,[1]stages!$2:$2,0)-MATCH($G$1,[1]stages!$2:$2,0)+1,FALSE)</f>
        <v>樹の帽子屋 【超級】</v>
      </c>
      <c r="I72" s="32">
        <v>5</v>
      </c>
      <c r="J72" s="13">
        <v>60</v>
      </c>
      <c r="K72" s="13">
        <v>60</v>
      </c>
    </row>
    <row r="73" spans="1:11" ht="21" customHeight="1">
      <c r="A73" s="21" t="str">
        <f t="shared" ref="A73" si="8">G73&amp;"-"&amp;I73</f>
        <v>11105_2-6</v>
      </c>
      <c r="B73" s="21" t="str">
        <f>IF(COUNTIF(enemy_habitats_cp_quests!$H:$H,A73),"OK","NG")</f>
        <v>OK</v>
      </c>
      <c r="C73" s="8">
        <v>11105</v>
      </c>
      <c r="D73" s="12" t="str">
        <f ca="1">VLOOKUP($C73,OFFSET([1]quests!$A$1,0,0,COUNTA([1]quests!$A:$A),MATCH(D$1,[1]quests!$1:$1,0)-MATCH($C$1,[1]quests!$1:$1,0)+1),MATCH(D$1,[1]quests!$1:$1,0)-MATCH($C$1,[1]quests!$1:$1,0)+1,FALSE)</f>
        <v>【キャンペーン限定】 帽子屋を追え！</v>
      </c>
      <c r="E73" s="29" t="str">
        <f ca="1">VLOOKUP($C73,OFFSET([1]quests!$A$1,0,0,COUNTA([1]quests!$A:$A),MATCH(E$1,[1]quests!$1:$1,0)-MATCH($C$1,[1]quests!$1:$1,0)+1),MATCH(E$1,[1]quests!$1:$1,0)-MATCH($C$1,[1]quests!$1:$1,0)+1,FALSE)</f>
        <v>金曜クエスト</v>
      </c>
      <c r="F73" s="32">
        <v>2</v>
      </c>
      <c r="G73" s="33" t="str">
        <f t="shared" ref="G73" si="9">C73&amp;"_"&amp;F73</f>
        <v>11105_2</v>
      </c>
      <c r="H73" s="20" t="str">
        <f ca="1">VLOOKUP($G73,OFFSET([1]stages!$A$1,0,0,COUNTA([1]stages!$A:$A),MATCH(H$1,[1]stages!$2:$2,0)-MATCH($G$1,[1]stages!$2:$2,0)+1),MATCH(H$1,[1]stages!$2:$2,0)-MATCH($G$1,[1]stages!$2:$2,0)+1,FALSE)</f>
        <v>樹の帽子屋 【超級】</v>
      </c>
      <c r="I73" s="32">
        <v>6</v>
      </c>
      <c r="J73" s="13">
        <v>60</v>
      </c>
      <c r="K73" s="13">
        <v>60</v>
      </c>
    </row>
    <row r="74" spans="1:11" ht="21" customHeight="1">
      <c r="A74" s="21" t="str">
        <f t="shared" si="4"/>
        <v>11105_3-1</v>
      </c>
      <c r="B74" s="21" t="str">
        <f>IF(COUNTIF(enemy_habitats_cp_quests!$H:$H,A74),"OK","NG")</f>
        <v>OK</v>
      </c>
      <c r="C74" s="8">
        <v>11105</v>
      </c>
      <c r="D74" s="12" t="str">
        <f ca="1">VLOOKUP($C74,OFFSET([1]quests!$A$1,0,0,COUNTA([1]quests!$A:$A),MATCH(D$1,[1]quests!$1:$1,0)-MATCH($C$1,[1]quests!$1:$1,0)+1),MATCH(D$1,[1]quests!$1:$1,0)-MATCH($C$1,[1]quests!$1:$1,0)+1,FALSE)</f>
        <v>【キャンペーン限定】 帽子屋を追え！</v>
      </c>
      <c r="E74" s="29" t="str">
        <f ca="1">VLOOKUP($C74,OFFSET([1]quests!$A$1,0,0,COUNTA([1]quests!$A:$A),MATCH(E$1,[1]quests!$1:$1,0)-MATCH($C$1,[1]quests!$1:$1,0)+1),MATCH(E$1,[1]quests!$1:$1,0)-MATCH($C$1,[1]quests!$1:$1,0)+1,FALSE)</f>
        <v>金曜クエスト</v>
      </c>
      <c r="F74" s="32">
        <v>3</v>
      </c>
      <c r="G74" s="33" t="str">
        <f t="shared" si="5"/>
        <v>11105_3</v>
      </c>
      <c r="H74" s="20" t="str">
        <f ca="1">VLOOKUP($G74,OFFSET([1]stages!$A$1,0,0,COUNTA([1]stages!$A:$A),MATCH(H$1,[1]stages!$2:$2,0)-MATCH($G$1,[1]stages!$2:$2,0)+1),MATCH(H$1,[1]stages!$2:$2,0)-MATCH($G$1,[1]stages!$2:$2,0)+1,FALSE)</f>
        <v>水の帽子屋 【超級】</v>
      </c>
      <c r="I74" s="32">
        <v>1</v>
      </c>
      <c r="J74" s="13">
        <v>30</v>
      </c>
      <c r="K74" s="13">
        <v>45</v>
      </c>
    </row>
    <row r="75" spans="1:11" ht="21" customHeight="1">
      <c r="A75" s="21" t="str">
        <f t="shared" si="4"/>
        <v>11105_3-2</v>
      </c>
      <c r="B75" s="21" t="str">
        <f>IF(COUNTIF(enemy_habitats_cp_quests!$H:$H,A75),"OK","NG")</f>
        <v>OK</v>
      </c>
      <c r="C75" s="8">
        <v>11105</v>
      </c>
      <c r="D75" s="12" t="str">
        <f ca="1">VLOOKUP($C75,OFFSET([1]quests!$A$1,0,0,COUNTA([1]quests!$A:$A),MATCH(D$1,[1]quests!$1:$1,0)-MATCH($C$1,[1]quests!$1:$1,0)+1),MATCH(D$1,[1]quests!$1:$1,0)-MATCH($C$1,[1]quests!$1:$1,0)+1,FALSE)</f>
        <v>【キャンペーン限定】 帽子屋を追え！</v>
      </c>
      <c r="E75" s="29" t="str">
        <f ca="1">VLOOKUP($C75,OFFSET([1]quests!$A$1,0,0,COUNTA([1]quests!$A:$A),MATCH(E$1,[1]quests!$1:$1,0)-MATCH($C$1,[1]quests!$1:$1,0)+1),MATCH(E$1,[1]quests!$1:$1,0)-MATCH($C$1,[1]quests!$1:$1,0)+1,FALSE)</f>
        <v>金曜クエスト</v>
      </c>
      <c r="F75" s="32">
        <v>3</v>
      </c>
      <c r="G75" s="33" t="str">
        <f t="shared" si="5"/>
        <v>11105_3</v>
      </c>
      <c r="H75" s="20" t="str">
        <f ca="1">VLOOKUP($G75,OFFSET([1]stages!$A$1,0,0,COUNTA([1]stages!$A:$A),MATCH(H$1,[1]stages!$2:$2,0)-MATCH($G$1,[1]stages!$2:$2,0)+1),MATCH(H$1,[1]stages!$2:$2,0)-MATCH($G$1,[1]stages!$2:$2,0)+1,FALSE)</f>
        <v>水の帽子屋 【超級】</v>
      </c>
      <c r="I75" s="32">
        <v>2</v>
      </c>
      <c r="J75" s="13">
        <v>45</v>
      </c>
      <c r="K75" s="13">
        <v>60</v>
      </c>
    </row>
    <row r="76" spans="1:11" ht="21" customHeight="1">
      <c r="A76" s="21" t="str">
        <f t="shared" si="4"/>
        <v>11105_3-3</v>
      </c>
      <c r="B76" s="21" t="str">
        <f>IF(COUNTIF(enemy_habitats_cp_quests!$H:$H,A76),"OK","NG")</f>
        <v>OK</v>
      </c>
      <c r="C76" s="8">
        <v>11105</v>
      </c>
      <c r="D76" s="12" t="str">
        <f ca="1">VLOOKUP($C76,OFFSET([1]quests!$A$1,0,0,COUNTA([1]quests!$A:$A),MATCH(D$1,[1]quests!$1:$1,0)-MATCH($C$1,[1]quests!$1:$1,0)+1),MATCH(D$1,[1]quests!$1:$1,0)-MATCH($C$1,[1]quests!$1:$1,0)+1,FALSE)</f>
        <v>【キャンペーン限定】 帽子屋を追え！</v>
      </c>
      <c r="E76" s="29" t="str">
        <f ca="1">VLOOKUP($C76,OFFSET([1]quests!$A$1,0,0,COUNTA([1]quests!$A:$A),MATCH(E$1,[1]quests!$1:$1,0)-MATCH($C$1,[1]quests!$1:$1,0)+1),MATCH(E$1,[1]quests!$1:$1,0)-MATCH($C$1,[1]quests!$1:$1,0)+1,FALSE)</f>
        <v>金曜クエスト</v>
      </c>
      <c r="F76" s="32">
        <v>3</v>
      </c>
      <c r="G76" s="33" t="str">
        <f t="shared" si="5"/>
        <v>11105_3</v>
      </c>
      <c r="H76" s="20" t="str">
        <f ca="1">VLOOKUP($G76,OFFSET([1]stages!$A$1,0,0,COUNTA([1]stages!$A:$A),MATCH(H$1,[1]stages!$2:$2,0)-MATCH($G$1,[1]stages!$2:$2,0)+1),MATCH(H$1,[1]stages!$2:$2,0)-MATCH($G$1,[1]stages!$2:$2,0)+1,FALSE)</f>
        <v>水の帽子屋 【超級】</v>
      </c>
      <c r="I76" s="32">
        <v>3</v>
      </c>
      <c r="J76" s="13">
        <v>50</v>
      </c>
      <c r="K76" s="13">
        <v>60</v>
      </c>
    </row>
    <row r="77" spans="1:11" ht="21" customHeight="1">
      <c r="A77" s="21" t="str">
        <f t="shared" si="4"/>
        <v>11105_3-4</v>
      </c>
      <c r="B77" s="21" t="str">
        <f>IF(COUNTIF(enemy_habitats_cp_quests!$H:$H,A77),"OK","NG")</f>
        <v>OK</v>
      </c>
      <c r="C77" s="8">
        <v>11105</v>
      </c>
      <c r="D77" s="12" t="str">
        <f ca="1">VLOOKUP($C77,OFFSET([1]quests!$A$1,0,0,COUNTA([1]quests!$A:$A),MATCH(D$1,[1]quests!$1:$1,0)-MATCH($C$1,[1]quests!$1:$1,0)+1),MATCH(D$1,[1]quests!$1:$1,0)-MATCH($C$1,[1]quests!$1:$1,0)+1,FALSE)</f>
        <v>【キャンペーン限定】 帽子屋を追え！</v>
      </c>
      <c r="E77" s="29" t="str">
        <f ca="1">VLOOKUP($C77,OFFSET([1]quests!$A$1,0,0,COUNTA([1]quests!$A:$A),MATCH(E$1,[1]quests!$1:$1,0)-MATCH($C$1,[1]quests!$1:$1,0)+1),MATCH(E$1,[1]quests!$1:$1,0)-MATCH($C$1,[1]quests!$1:$1,0)+1,FALSE)</f>
        <v>金曜クエスト</v>
      </c>
      <c r="F77" s="32">
        <v>3</v>
      </c>
      <c r="G77" s="33" t="str">
        <f t="shared" si="5"/>
        <v>11105_3</v>
      </c>
      <c r="H77" s="20" t="str">
        <f ca="1">VLOOKUP($G77,OFFSET([1]stages!$A$1,0,0,COUNTA([1]stages!$A:$A),MATCH(H$1,[1]stages!$2:$2,0)-MATCH($G$1,[1]stages!$2:$2,0)+1),MATCH(H$1,[1]stages!$2:$2,0)-MATCH($G$1,[1]stages!$2:$2,0)+1,FALSE)</f>
        <v>水の帽子屋 【超級】</v>
      </c>
      <c r="I77" s="32">
        <v>4</v>
      </c>
      <c r="J77" s="13">
        <v>45</v>
      </c>
      <c r="K77" s="13">
        <v>60</v>
      </c>
    </row>
    <row r="78" spans="1:11" ht="21" customHeight="1">
      <c r="A78" s="21" t="str">
        <f t="shared" si="4"/>
        <v>11105_3-5</v>
      </c>
      <c r="B78" s="21" t="str">
        <f>IF(COUNTIF(enemy_habitats_cp_quests!$H:$H,A78),"OK","NG")</f>
        <v>OK</v>
      </c>
      <c r="C78" s="8">
        <v>11105</v>
      </c>
      <c r="D78" s="12" t="str">
        <f ca="1">VLOOKUP($C78,OFFSET([1]quests!$A$1,0,0,COUNTA([1]quests!$A:$A),MATCH(D$1,[1]quests!$1:$1,0)-MATCH($C$1,[1]quests!$1:$1,0)+1),MATCH(D$1,[1]quests!$1:$1,0)-MATCH($C$1,[1]quests!$1:$1,0)+1,FALSE)</f>
        <v>【キャンペーン限定】 帽子屋を追え！</v>
      </c>
      <c r="E78" s="29" t="str">
        <f ca="1">VLOOKUP($C78,OFFSET([1]quests!$A$1,0,0,COUNTA([1]quests!$A:$A),MATCH(E$1,[1]quests!$1:$1,0)-MATCH($C$1,[1]quests!$1:$1,0)+1),MATCH(E$1,[1]quests!$1:$1,0)-MATCH($C$1,[1]quests!$1:$1,0)+1,FALSE)</f>
        <v>金曜クエスト</v>
      </c>
      <c r="F78" s="32">
        <v>3</v>
      </c>
      <c r="G78" s="33" t="str">
        <f t="shared" si="5"/>
        <v>11105_3</v>
      </c>
      <c r="H78" s="20" t="str">
        <f ca="1">VLOOKUP($G78,OFFSET([1]stages!$A$1,0,0,COUNTA([1]stages!$A:$A),MATCH(H$1,[1]stages!$2:$2,0)-MATCH($G$1,[1]stages!$2:$2,0)+1),MATCH(H$1,[1]stages!$2:$2,0)-MATCH($G$1,[1]stages!$2:$2,0)+1,FALSE)</f>
        <v>水の帽子屋 【超級】</v>
      </c>
      <c r="I78" s="32">
        <v>5</v>
      </c>
      <c r="J78" s="13">
        <v>60</v>
      </c>
      <c r="K78" s="13">
        <v>60</v>
      </c>
    </row>
    <row r="79" spans="1:11" ht="21" customHeight="1">
      <c r="A79" s="21" t="str">
        <f t="shared" ref="A79" si="10">G79&amp;"-"&amp;I79</f>
        <v>11105_3-6</v>
      </c>
      <c r="B79" s="21" t="str">
        <f>IF(COUNTIF(enemy_habitats_cp_quests!$H:$H,A79),"OK","NG")</f>
        <v>OK</v>
      </c>
      <c r="C79" s="8">
        <v>11105</v>
      </c>
      <c r="D79" s="12" t="str">
        <f ca="1">VLOOKUP($C79,OFFSET([1]quests!$A$1,0,0,COUNTA([1]quests!$A:$A),MATCH(D$1,[1]quests!$1:$1,0)-MATCH($C$1,[1]quests!$1:$1,0)+1),MATCH(D$1,[1]quests!$1:$1,0)-MATCH($C$1,[1]quests!$1:$1,0)+1,FALSE)</f>
        <v>【キャンペーン限定】 帽子屋を追え！</v>
      </c>
      <c r="E79" s="29" t="str">
        <f ca="1">VLOOKUP($C79,OFFSET([1]quests!$A$1,0,0,COUNTA([1]quests!$A:$A),MATCH(E$1,[1]quests!$1:$1,0)-MATCH($C$1,[1]quests!$1:$1,0)+1),MATCH(E$1,[1]quests!$1:$1,0)-MATCH($C$1,[1]quests!$1:$1,0)+1,FALSE)</f>
        <v>金曜クエスト</v>
      </c>
      <c r="F79" s="32">
        <v>3</v>
      </c>
      <c r="G79" s="33" t="str">
        <f t="shared" ref="G79" si="11">C79&amp;"_"&amp;F79</f>
        <v>11105_3</v>
      </c>
      <c r="H79" s="20" t="str">
        <f ca="1">VLOOKUP($G79,OFFSET([1]stages!$A$1,0,0,COUNTA([1]stages!$A:$A),MATCH(H$1,[1]stages!$2:$2,0)-MATCH($G$1,[1]stages!$2:$2,0)+1),MATCH(H$1,[1]stages!$2:$2,0)-MATCH($G$1,[1]stages!$2:$2,0)+1,FALSE)</f>
        <v>水の帽子屋 【超級】</v>
      </c>
      <c r="I79" s="32">
        <v>6</v>
      </c>
      <c r="J79" s="13">
        <v>60</v>
      </c>
      <c r="K79" s="13">
        <v>60</v>
      </c>
    </row>
    <row r="80" spans="1:11" ht="21" customHeight="1">
      <c r="A80" s="21" t="str">
        <f t="shared" si="4"/>
        <v>11105_4-1</v>
      </c>
      <c r="B80" s="21" t="str">
        <f>IF(COUNTIF(enemy_habitats_cp_quests!$H:$H,A80),"OK","NG")</f>
        <v>OK</v>
      </c>
      <c r="C80" s="8">
        <v>11105</v>
      </c>
      <c r="D80" s="12" t="str">
        <f ca="1">VLOOKUP($C80,OFFSET([1]quests!$A$1,0,0,COUNTA([1]quests!$A:$A),MATCH(D$1,[1]quests!$1:$1,0)-MATCH($C$1,[1]quests!$1:$1,0)+1),MATCH(D$1,[1]quests!$1:$1,0)-MATCH($C$1,[1]quests!$1:$1,0)+1,FALSE)</f>
        <v>【キャンペーン限定】 帽子屋を追え！</v>
      </c>
      <c r="E80" s="29" t="str">
        <f ca="1">VLOOKUP($C80,OFFSET([1]quests!$A$1,0,0,COUNTA([1]quests!$A:$A),MATCH(E$1,[1]quests!$1:$1,0)-MATCH($C$1,[1]quests!$1:$1,0)+1),MATCH(E$1,[1]quests!$1:$1,0)-MATCH($C$1,[1]quests!$1:$1,0)+1,FALSE)</f>
        <v>金曜クエスト</v>
      </c>
      <c r="F80" s="32">
        <v>4</v>
      </c>
      <c r="G80" s="33" t="str">
        <f t="shared" si="5"/>
        <v>11105_4</v>
      </c>
      <c r="H80" s="20" t="str">
        <f ca="1">VLOOKUP($G80,OFFSET([1]stages!$A$1,0,0,COUNTA([1]stages!$A:$A),MATCH(H$1,[1]stages!$2:$2,0)-MATCH($G$1,[1]stages!$2:$2,0)+1),MATCH(H$1,[1]stages!$2:$2,0)-MATCH($G$1,[1]stages!$2:$2,0)+1,FALSE)</f>
        <v>雷の帽子屋 【超級】</v>
      </c>
      <c r="I80" s="32">
        <v>1</v>
      </c>
      <c r="J80" s="13">
        <v>30</v>
      </c>
      <c r="K80" s="13">
        <v>45</v>
      </c>
    </row>
    <row r="81" spans="1:11" ht="21" customHeight="1">
      <c r="A81" s="21" t="str">
        <f t="shared" si="4"/>
        <v>11105_4-2</v>
      </c>
      <c r="B81" s="21" t="str">
        <f>IF(COUNTIF(enemy_habitats_cp_quests!$H:$H,A81),"OK","NG")</f>
        <v>OK</v>
      </c>
      <c r="C81" s="8">
        <v>11105</v>
      </c>
      <c r="D81" s="12" t="str">
        <f ca="1">VLOOKUP($C81,OFFSET([1]quests!$A$1,0,0,COUNTA([1]quests!$A:$A),MATCH(D$1,[1]quests!$1:$1,0)-MATCH($C$1,[1]quests!$1:$1,0)+1),MATCH(D$1,[1]quests!$1:$1,0)-MATCH($C$1,[1]quests!$1:$1,0)+1,FALSE)</f>
        <v>【キャンペーン限定】 帽子屋を追え！</v>
      </c>
      <c r="E81" s="29" t="str">
        <f ca="1">VLOOKUP($C81,OFFSET([1]quests!$A$1,0,0,COUNTA([1]quests!$A:$A),MATCH(E$1,[1]quests!$1:$1,0)-MATCH($C$1,[1]quests!$1:$1,0)+1),MATCH(E$1,[1]quests!$1:$1,0)-MATCH($C$1,[1]quests!$1:$1,0)+1,FALSE)</f>
        <v>金曜クエスト</v>
      </c>
      <c r="F81" s="32">
        <v>4</v>
      </c>
      <c r="G81" s="33" t="str">
        <f t="shared" si="5"/>
        <v>11105_4</v>
      </c>
      <c r="H81" s="20" t="str">
        <f ca="1">VLOOKUP($G81,OFFSET([1]stages!$A$1,0,0,COUNTA([1]stages!$A:$A),MATCH(H$1,[1]stages!$2:$2,0)-MATCH($G$1,[1]stages!$2:$2,0)+1),MATCH(H$1,[1]stages!$2:$2,0)-MATCH($G$1,[1]stages!$2:$2,0)+1,FALSE)</f>
        <v>雷の帽子屋 【超級】</v>
      </c>
      <c r="I81" s="32">
        <v>2</v>
      </c>
      <c r="J81" s="13">
        <v>45</v>
      </c>
      <c r="K81" s="13">
        <v>60</v>
      </c>
    </row>
    <row r="82" spans="1:11" ht="21" customHeight="1">
      <c r="A82" s="21" t="str">
        <f t="shared" si="4"/>
        <v>11105_4-3</v>
      </c>
      <c r="B82" s="21" t="str">
        <f>IF(COUNTIF(enemy_habitats_cp_quests!$H:$H,A82),"OK","NG")</f>
        <v>OK</v>
      </c>
      <c r="C82" s="8">
        <v>11105</v>
      </c>
      <c r="D82" s="12" t="str">
        <f ca="1">VLOOKUP($C82,OFFSET([1]quests!$A$1,0,0,COUNTA([1]quests!$A:$A),MATCH(D$1,[1]quests!$1:$1,0)-MATCH($C$1,[1]quests!$1:$1,0)+1),MATCH(D$1,[1]quests!$1:$1,0)-MATCH($C$1,[1]quests!$1:$1,0)+1,FALSE)</f>
        <v>【キャンペーン限定】 帽子屋を追え！</v>
      </c>
      <c r="E82" s="29" t="str">
        <f ca="1">VLOOKUP($C82,OFFSET([1]quests!$A$1,0,0,COUNTA([1]quests!$A:$A),MATCH(E$1,[1]quests!$1:$1,0)-MATCH($C$1,[1]quests!$1:$1,0)+1),MATCH(E$1,[1]quests!$1:$1,0)-MATCH($C$1,[1]quests!$1:$1,0)+1,FALSE)</f>
        <v>金曜クエスト</v>
      </c>
      <c r="F82" s="32">
        <v>4</v>
      </c>
      <c r="G82" s="33" t="str">
        <f t="shared" si="5"/>
        <v>11105_4</v>
      </c>
      <c r="H82" s="20" t="str">
        <f ca="1">VLOOKUP($G82,OFFSET([1]stages!$A$1,0,0,COUNTA([1]stages!$A:$A),MATCH(H$1,[1]stages!$2:$2,0)-MATCH($G$1,[1]stages!$2:$2,0)+1),MATCH(H$1,[1]stages!$2:$2,0)-MATCH($G$1,[1]stages!$2:$2,0)+1,FALSE)</f>
        <v>雷の帽子屋 【超級】</v>
      </c>
      <c r="I82" s="32">
        <v>3</v>
      </c>
      <c r="J82" s="13">
        <v>50</v>
      </c>
      <c r="K82" s="13">
        <v>60</v>
      </c>
    </row>
    <row r="83" spans="1:11" ht="21" customHeight="1">
      <c r="A83" s="21" t="str">
        <f t="shared" si="4"/>
        <v>11105_4-4</v>
      </c>
      <c r="B83" s="21" t="str">
        <f>IF(COUNTIF(enemy_habitats_cp_quests!$H:$H,A83),"OK","NG")</f>
        <v>OK</v>
      </c>
      <c r="C83" s="8">
        <v>11105</v>
      </c>
      <c r="D83" s="12" t="str">
        <f ca="1">VLOOKUP($C83,OFFSET([1]quests!$A$1,0,0,COUNTA([1]quests!$A:$A),MATCH(D$1,[1]quests!$1:$1,0)-MATCH($C$1,[1]quests!$1:$1,0)+1),MATCH(D$1,[1]quests!$1:$1,0)-MATCH($C$1,[1]quests!$1:$1,0)+1,FALSE)</f>
        <v>【キャンペーン限定】 帽子屋を追え！</v>
      </c>
      <c r="E83" s="29" t="str">
        <f ca="1">VLOOKUP($C83,OFFSET([1]quests!$A$1,0,0,COUNTA([1]quests!$A:$A),MATCH(E$1,[1]quests!$1:$1,0)-MATCH($C$1,[1]quests!$1:$1,0)+1),MATCH(E$1,[1]quests!$1:$1,0)-MATCH($C$1,[1]quests!$1:$1,0)+1,FALSE)</f>
        <v>金曜クエスト</v>
      </c>
      <c r="F83" s="32">
        <v>4</v>
      </c>
      <c r="G83" s="33" t="str">
        <f t="shared" si="5"/>
        <v>11105_4</v>
      </c>
      <c r="H83" s="20" t="str">
        <f ca="1">VLOOKUP($G83,OFFSET([1]stages!$A$1,0,0,COUNTA([1]stages!$A:$A),MATCH(H$1,[1]stages!$2:$2,0)-MATCH($G$1,[1]stages!$2:$2,0)+1),MATCH(H$1,[1]stages!$2:$2,0)-MATCH($G$1,[1]stages!$2:$2,0)+1,FALSE)</f>
        <v>雷の帽子屋 【超級】</v>
      </c>
      <c r="I83" s="32">
        <v>4</v>
      </c>
      <c r="J83" s="13">
        <v>45</v>
      </c>
      <c r="K83" s="13">
        <v>60</v>
      </c>
    </row>
    <row r="84" spans="1:11" ht="21" customHeight="1">
      <c r="A84" s="21" t="str">
        <f t="shared" si="4"/>
        <v>11105_4-5</v>
      </c>
      <c r="B84" s="21" t="str">
        <f>IF(COUNTIF(enemy_habitats_cp_quests!$H:$H,A84),"OK","NG")</f>
        <v>OK</v>
      </c>
      <c r="C84" s="8">
        <v>11105</v>
      </c>
      <c r="D84" s="12" t="str">
        <f ca="1">VLOOKUP($C84,OFFSET([1]quests!$A$1,0,0,COUNTA([1]quests!$A:$A),MATCH(D$1,[1]quests!$1:$1,0)-MATCH($C$1,[1]quests!$1:$1,0)+1),MATCH(D$1,[1]quests!$1:$1,0)-MATCH($C$1,[1]quests!$1:$1,0)+1,FALSE)</f>
        <v>【キャンペーン限定】 帽子屋を追え！</v>
      </c>
      <c r="E84" s="29" t="str">
        <f ca="1">VLOOKUP($C84,OFFSET([1]quests!$A$1,0,0,COUNTA([1]quests!$A:$A),MATCH(E$1,[1]quests!$1:$1,0)-MATCH($C$1,[1]quests!$1:$1,0)+1),MATCH(E$1,[1]quests!$1:$1,0)-MATCH($C$1,[1]quests!$1:$1,0)+1,FALSE)</f>
        <v>金曜クエスト</v>
      </c>
      <c r="F84" s="32">
        <v>4</v>
      </c>
      <c r="G84" s="33" t="str">
        <f t="shared" si="5"/>
        <v>11105_4</v>
      </c>
      <c r="H84" s="20" t="str">
        <f ca="1">VLOOKUP($G84,OFFSET([1]stages!$A$1,0,0,COUNTA([1]stages!$A:$A),MATCH(H$1,[1]stages!$2:$2,0)-MATCH($G$1,[1]stages!$2:$2,0)+1),MATCH(H$1,[1]stages!$2:$2,0)-MATCH($G$1,[1]stages!$2:$2,0)+1,FALSE)</f>
        <v>雷の帽子屋 【超級】</v>
      </c>
      <c r="I84" s="32">
        <v>5</v>
      </c>
      <c r="J84" s="13">
        <v>60</v>
      </c>
      <c r="K84" s="13">
        <v>60</v>
      </c>
    </row>
    <row r="85" spans="1:11" ht="21" customHeight="1">
      <c r="A85" s="21" t="str">
        <f t="shared" ref="A85" si="12">G85&amp;"-"&amp;I85</f>
        <v>11105_4-6</v>
      </c>
      <c r="B85" s="21" t="str">
        <f>IF(COUNTIF(enemy_habitats_cp_quests!$H:$H,A85),"OK","NG")</f>
        <v>OK</v>
      </c>
      <c r="C85" s="8">
        <v>11105</v>
      </c>
      <c r="D85" s="12" t="str">
        <f ca="1">VLOOKUP($C85,OFFSET([1]quests!$A$1,0,0,COUNTA([1]quests!$A:$A),MATCH(D$1,[1]quests!$1:$1,0)-MATCH($C$1,[1]quests!$1:$1,0)+1),MATCH(D$1,[1]quests!$1:$1,0)-MATCH($C$1,[1]quests!$1:$1,0)+1,FALSE)</f>
        <v>【キャンペーン限定】 帽子屋を追え！</v>
      </c>
      <c r="E85" s="29" t="str">
        <f ca="1">VLOOKUP($C85,OFFSET([1]quests!$A$1,0,0,COUNTA([1]quests!$A:$A),MATCH(E$1,[1]quests!$1:$1,0)-MATCH($C$1,[1]quests!$1:$1,0)+1),MATCH(E$1,[1]quests!$1:$1,0)-MATCH($C$1,[1]quests!$1:$1,0)+1,FALSE)</f>
        <v>金曜クエスト</v>
      </c>
      <c r="F85" s="32">
        <v>4</v>
      </c>
      <c r="G85" s="33" t="str">
        <f t="shared" ref="G85" si="13">C85&amp;"_"&amp;F85</f>
        <v>11105_4</v>
      </c>
      <c r="H85" s="20" t="str">
        <f ca="1">VLOOKUP($G85,OFFSET([1]stages!$A$1,0,0,COUNTA([1]stages!$A:$A),MATCH(H$1,[1]stages!$2:$2,0)-MATCH($G$1,[1]stages!$2:$2,0)+1),MATCH(H$1,[1]stages!$2:$2,0)-MATCH($G$1,[1]stages!$2:$2,0)+1,FALSE)</f>
        <v>雷の帽子屋 【超級】</v>
      </c>
      <c r="I85" s="32">
        <v>6</v>
      </c>
      <c r="J85" s="13">
        <v>60</v>
      </c>
      <c r="K85" s="13">
        <v>60</v>
      </c>
    </row>
    <row r="86" spans="1:11" ht="21" customHeight="1">
      <c r="A86" s="21" t="str">
        <f t="shared" si="4"/>
        <v>11106_1-1</v>
      </c>
      <c r="B86" s="21" t="str">
        <f>IF(COUNTIF(enemy_habitats_cp_quests!$H:$H,A86),"OK","NG")</f>
        <v>OK</v>
      </c>
      <c r="C86" s="8">
        <v>11106</v>
      </c>
      <c r="D86" s="12" t="str">
        <f ca="1">VLOOKUP($C86,OFFSET([1]quests!$A$1,0,0,COUNTA([1]quests!$A:$A),MATCH(D$1,[1]quests!$1:$1,0)-MATCH($C$1,[1]quests!$1:$1,0)+1),MATCH(D$1,[1]quests!$1:$1,0)-MATCH($C$1,[1]quests!$1:$1,0)+1,FALSE)</f>
        <v>【キャンペーン限定】 ゴールドカジノ</v>
      </c>
      <c r="E86" s="29" t="str">
        <f ca="1">VLOOKUP($C86,OFFSET([1]quests!$A$1,0,0,COUNTA([1]quests!$A:$A),MATCH(E$1,[1]quests!$1:$1,0)-MATCH($C$1,[1]quests!$1:$1,0)+1),MATCH(E$1,[1]quests!$1:$1,0)-MATCH($C$1,[1]quests!$1:$1,0)+1,FALSE)</f>
        <v>土日クエスト1</v>
      </c>
      <c r="F86" s="32">
        <v>1</v>
      </c>
      <c r="G86" s="33" t="str">
        <f t="shared" si="5"/>
        <v>11106_1</v>
      </c>
      <c r="H86" s="20" t="str">
        <f ca="1">VLOOKUP($G86,OFFSET([1]stages!$A$1,0,0,COUNTA([1]stages!$A:$A),MATCH(H$1,[1]stages!$2:$2,0)-MATCH($G$1,[1]stages!$2:$2,0)+1),MATCH(H$1,[1]stages!$2:$2,0)-MATCH($G$1,[1]stages!$2:$2,0)+1,FALSE)</f>
        <v>ゴールドカジノ 【初級】</v>
      </c>
      <c r="I86" s="32">
        <v>1</v>
      </c>
      <c r="J86" s="13">
        <v>30</v>
      </c>
      <c r="K86" s="13">
        <v>45</v>
      </c>
    </row>
    <row r="87" spans="1:11" ht="21" customHeight="1">
      <c r="A87" s="21" t="str">
        <f t="shared" si="4"/>
        <v>11106_1-2</v>
      </c>
      <c r="B87" s="21" t="str">
        <f>IF(COUNTIF(enemy_habitats_cp_quests!$H:$H,A87),"OK","NG")</f>
        <v>OK</v>
      </c>
      <c r="C87" s="8">
        <v>11106</v>
      </c>
      <c r="D87" s="12" t="str">
        <f ca="1">VLOOKUP($C87,OFFSET([1]quests!$A$1,0,0,COUNTA([1]quests!$A:$A),MATCH(D$1,[1]quests!$1:$1,0)-MATCH($C$1,[1]quests!$1:$1,0)+1),MATCH(D$1,[1]quests!$1:$1,0)-MATCH($C$1,[1]quests!$1:$1,0)+1,FALSE)</f>
        <v>【キャンペーン限定】 ゴールドカジノ</v>
      </c>
      <c r="E87" s="29" t="str">
        <f ca="1">VLOOKUP($C87,OFFSET([1]quests!$A$1,0,0,COUNTA([1]quests!$A:$A),MATCH(E$1,[1]quests!$1:$1,0)-MATCH($C$1,[1]quests!$1:$1,0)+1),MATCH(E$1,[1]quests!$1:$1,0)-MATCH($C$1,[1]quests!$1:$1,0)+1,FALSE)</f>
        <v>土日クエスト1</v>
      </c>
      <c r="F87" s="32">
        <v>1</v>
      </c>
      <c r="G87" s="33" t="str">
        <f t="shared" si="5"/>
        <v>11106_1</v>
      </c>
      <c r="H87" s="20" t="str">
        <f ca="1">VLOOKUP($G87,OFFSET([1]stages!$A$1,0,0,COUNTA([1]stages!$A:$A),MATCH(H$1,[1]stages!$2:$2,0)-MATCH($G$1,[1]stages!$2:$2,0)+1),MATCH(H$1,[1]stages!$2:$2,0)-MATCH($G$1,[1]stages!$2:$2,0)+1,FALSE)</f>
        <v>ゴールドカジノ 【初級】</v>
      </c>
      <c r="I87" s="32">
        <v>2</v>
      </c>
      <c r="J87" s="13">
        <v>30</v>
      </c>
      <c r="K87" s="13">
        <v>45</v>
      </c>
    </row>
    <row r="88" spans="1:11" ht="21" customHeight="1">
      <c r="A88" s="21" t="str">
        <f t="shared" si="4"/>
        <v>11106_1-3</v>
      </c>
      <c r="B88" s="21" t="str">
        <f>IF(COUNTIF(enemy_habitats_cp_quests!$H:$H,A88),"OK","NG")</f>
        <v>OK</v>
      </c>
      <c r="C88" s="8">
        <v>11106</v>
      </c>
      <c r="D88" s="12" t="str">
        <f ca="1">VLOOKUP($C88,OFFSET([1]quests!$A$1,0,0,COUNTA([1]quests!$A:$A),MATCH(D$1,[1]quests!$1:$1,0)-MATCH($C$1,[1]quests!$1:$1,0)+1),MATCH(D$1,[1]quests!$1:$1,0)-MATCH($C$1,[1]quests!$1:$1,0)+1,FALSE)</f>
        <v>【キャンペーン限定】 ゴールドカジノ</v>
      </c>
      <c r="E88" s="29" t="str">
        <f ca="1">VLOOKUP($C88,OFFSET([1]quests!$A$1,0,0,COUNTA([1]quests!$A:$A),MATCH(E$1,[1]quests!$1:$1,0)-MATCH($C$1,[1]quests!$1:$1,0)+1),MATCH(E$1,[1]quests!$1:$1,0)-MATCH($C$1,[1]quests!$1:$1,0)+1,FALSE)</f>
        <v>土日クエスト1</v>
      </c>
      <c r="F88" s="32">
        <v>1</v>
      </c>
      <c r="G88" s="33" t="str">
        <f t="shared" si="5"/>
        <v>11106_1</v>
      </c>
      <c r="H88" s="20" t="str">
        <f ca="1">VLOOKUP($G88,OFFSET([1]stages!$A$1,0,0,COUNTA([1]stages!$A:$A),MATCH(H$1,[1]stages!$2:$2,0)-MATCH($G$1,[1]stages!$2:$2,0)+1),MATCH(H$1,[1]stages!$2:$2,0)-MATCH($G$1,[1]stages!$2:$2,0)+1,FALSE)</f>
        <v>ゴールドカジノ 【初級】</v>
      </c>
      <c r="I88" s="32">
        <v>3</v>
      </c>
      <c r="J88" s="13">
        <v>30</v>
      </c>
      <c r="K88" s="13">
        <v>45</v>
      </c>
    </row>
    <row r="89" spans="1:11" ht="21" customHeight="1">
      <c r="A89" s="21" t="str">
        <f t="shared" si="4"/>
        <v>11106_1-4</v>
      </c>
      <c r="B89" s="21" t="str">
        <f>IF(COUNTIF(enemy_habitats_cp_quests!$H:$H,A89),"OK","NG")</f>
        <v>OK</v>
      </c>
      <c r="C89" s="8">
        <v>11106</v>
      </c>
      <c r="D89" s="12" t="str">
        <f ca="1">VLOOKUP($C89,OFFSET([1]quests!$A$1,0,0,COUNTA([1]quests!$A:$A),MATCH(D$1,[1]quests!$1:$1,0)-MATCH($C$1,[1]quests!$1:$1,0)+1),MATCH(D$1,[1]quests!$1:$1,0)-MATCH($C$1,[1]quests!$1:$1,0)+1,FALSE)</f>
        <v>【キャンペーン限定】 ゴールドカジノ</v>
      </c>
      <c r="E89" s="29" t="str">
        <f ca="1">VLOOKUP($C89,OFFSET([1]quests!$A$1,0,0,COUNTA([1]quests!$A:$A),MATCH(E$1,[1]quests!$1:$1,0)-MATCH($C$1,[1]quests!$1:$1,0)+1),MATCH(E$1,[1]quests!$1:$1,0)-MATCH($C$1,[1]quests!$1:$1,0)+1,FALSE)</f>
        <v>土日クエスト1</v>
      </c>
      <c r="F89" s="32">
        <v>1</v>
      </c>
      <c r="G89" s="33" t="str">
        <f t="shared" si="5"/>
        <v>11106_1</v>
      </c>
      <c r="H89" s="20" t="str">
        <f ca="1">VLOOKUP($G89,OFFSET([1]stages!$A$1,0,0,COUNTA([1]stages!$A:$A),MATCH(H$1,[1]stages!$2:$2,0)-MATCH($G$1,[1]stages!$2:$2,0)+1),MATCH(H$1,[1]stages!$2:$2,0)-MATCH($G$1,[1]stages!$2:$2,0)+1,FALSE)</f>
        <v>ゴールドカジノ 【初級】</v>
      </c>
      <c r="I89" s="32">
        <v>4</v>
      </c>
      <c r="J89" s="13">
        <v>30</v>
      </c>
      <c r="K89" s="13">
        <v>45</v>
      </c>
    </row>
    <row r="90" spans="1:11" ht="21" customHeight="1">
      <c r="A90" s="21" t="str">
        <f t="shared" si="4"/>
        <v>11106_1-5</v>
      </c>
      <c r="B90" s="21" t="str">
        <f>IF(COUNTIF(enemy_habitats_cp_quests!$H:$H,A90),"OK","NG")</f>
        <v>OK</v>
      </c>
      <c r="C90" s="8">
        <v>11106</v>
      </c>
      <c r="D90" s="12" t="str">
        <f ca="1">VLOOKUP($C90,OFFSET([1]quests!$A$1,0,0,COUNTA([1]quests!$A:$A),MATCH(D$1,[1]quests!$1:$1,0)-MATCH($C$1,[1]quests!$1:$1,0)+1),MATCH(D$1,[1]quests!$1:$1,0)-MATCH($C$1,[1]quests!$1:$1,0)+1,FALSE)</f>
        <v>【キャンペーン限定】 ゴールドカジノ</v>
      </c>
      <c r="E90" s="29" t="str">
        <f ca="1">VLOOKUP($C90,OFFSET([1]quests!$A$1,0,0,COUNTA([1]quests!$A:$A),MATCH(E$1,[1]quests!$1:$1,0)-MATCH($C$1,[1]quests!$1:$1,0)+1),MATCH(E$1,[1]quests!$1:$1,0)-MATCH($C$1,[1]quests!$1:$1,0)+1,FALSE)</f>
        <v>土日クエスト1</v>
      </c>
      <c r="F90" s="32">
        <v>1</v>
      </c>
      <c r="G90" s="33" t="str">
        <f t="shared" si="5"/>
        <v>11106_1</v>
      </c>
      <c r="H90" s="20" t="str">
        <f ca="1">VLOOKUP($G90,OFFSET([1]stages!$A$1,0,0,COUNTA([1]stages!$A:$A),MATCH(H$1,[1]stages!$2:$2,0)-MATCH($G$1,[1]stages!$2:$2,0)+1),MATCH(H$1,[1]stages!$2:$2,0)-MATCH($G$1,[1]stages!$2:$2,0)+1,FALSE)</f>
        <v>ゴールドカジノ 【初級】</v>
      </c>
      <c r="I90" s="32">
        <v>5</v>
      </c>
      <c r="J90" s="13">
        <v>30</v>
      </c>
      <c r="K90" s="13">
        <v>45</v>
      </c>
    </row>
    <row r="91" spans="1:11" ht="21" customHeight="1">
      <c r="A91" s="21" t="str">
        <f t="shared" si="4"/>
        <v>11106_2-1</v>
      </c>
      <c r="B91" s="21" t="str">
        <f>IF(COUNTIF(enemy_habitats_cp_quests!$H:$H,A91),"OK","NG")</f>
        <v>OK</v>
      </c>
      <c r="C91" s="8">
        <v>11106</v>
      </c>
      <c r="D91" s="12" t="str">
        <f ca="1">VLOOKUP($C91,OFFSET([1]quests!$A$1,0,0,COUNTA([1]quests!$A:$A),MATCH(D$1,[1]quests!$1:$1,0)-MATCH($C$1,[1]quests!$1:$1,0)+1),MATCH(D$1,[1]quests!$1:$1,0)-MATCH($C$1,[1]quests!$1:$1,0)+1,FALSE)</f>
        <v>【キャンペーン限定】 ゴールドカジノ</v>
      </c>
      <c r="E91" s="29" t="str">
        <f ca="1">VLOOKUP($C91,OFFSET([1]quests!$A$1,0,0,COUNTA([1]quests!$A:$A),MATCH(E$1,[1]quests!$1:$1,0)-MATCH($C$1,[1]quests!$1:$1,0)+1),MATCH(E$1,[1]quests!$1:$1,0)-MATCH($C$1,[1]quests!$1:$1,0)+1,FALSE)</f>
        <v>土日クエスト1</v>
      </c>
      <c r="F91" s="32">
        <v>2</v>
      </c>
      <c r="G91" s="33" t="str">
        <f t="shared" si="5"/>
        <v>11106_2</v>
      </c>
      <c r="H91" s="20" t="str">
        <f ca="1">VLOOKUP($G91,OFFSET([1]stages!$A$1,0,0,COUNTA([1]stages!$A:$A),MATCH(H$1,[1]stages!$2:$2,0)-MATCH($G$1,[1]stages!$2:$2,0)+1),MATCH(H$1,[1]stages!$2:$2,0)-MATCH($G$1,[1]stages!$2:$2,0)+1,FALSE)</f>
        <v>ゴールドカジノ 【中級】</v>
      </c>
      <c r="I91" s="32">
        <v>1</v>
      </c>
      <c r="J91" s="13">
        <v>30</v>
      </c>
      <c r="K91" s="13">
        <v>45</v>
      </c>
    </row>
    <row r="92" spans="1:11" ht="21" customHeight="1">
      <c r="A92" s="21" t="str">
        <f t="shared" si="4"/>
        <v>11106_2-2</v>
      </c>
      <c r="B92" s="21" t="str">
        <f>IF(COUNTIF(enemy_habitats_cp_quests!$H:$H,A92),"OK","NG")</f>
        <v>OK</v>
      </c>
      <c r="C92" s="8">
        <v>11106</v>
      </c>
      <c r="D92" s="12" t="str">
        <f ca="1">VLOOKUP($C92,OFFSET([1]quests!$A$1,0,0,COUNTA([1]quests!$A:$A),MATCH(D$1,[1]quests!$1:$1,0)-MATCH($C$1,[1]quests!$1:$1,0)+1),MATCH(D$1,[1]quests!$1:$1,0)-MATCH($C$1,[1]quests!$1:$1,0)+1,FALSE)</f>
        <v>【キャンペーン限定】 ゴールドカジノ</v>
      </c>
      <c r="E92" s="29" t="str">
        <f ca="1">VLOOKUP($C92,OFFSET([1]quests!$A$1,0,0,COUNTA([1]quests!$A:$A),MATCH(E$1,[1]quests!$1:$1,0)-MATCH($C$1,[1]quests!$1:$1,0)+1),MATCH(E$1,[1]quests!$1:$1,0)-MATCH($C$1,[1]quests!$1:$1,0)+1,FALSE)</f>
        <v>土日クエスト1</v>
      </c>
      <c r="F92" s="32">
        <v>2</v>
      </c>
      <c r="G92" s="33" t="str">
        <f t="shared" si="5"/>
        <v>11106_2</v>
      </c>
      <c r="H92" s="20" t="str">
        <f ca="1">VLOOKUP($G92,OFFSET([1]stages!$A$1,0,0,COUNTA([1]stages!$A:$A),MATCH(H$1,[1]stages!$2:$2,0)-MATCH($G$1,[1]stages!$2:$2,0)+1),MATCH(H$1,[1]stages!$2:$2,0)-MATCH($G$1,[1]stages!$2:$2,0)+1,FALSE)</f>
        <v>ゴールドカジノ 【中級】</v>
      </c>
      <c r="I92" s="32">
        <v>2</v>
      </c>
      <c r="J92" s="13">
        <v>30</v>
      </c>
      <c r="K92" s="13">
        <v>45</v>
      </c>
    </row>
    <row r="93" spans="1:11" ht="21" customHeight="1">
      <c r="A93" s="21" t="str">
        <f t="shared" si="4"/>
        <v>11106_2-3</v>
      </c>
      <c r="B93" s="21" t="str">
        <f>IF(COUNTIF(enemy_habitats_cp_quests!$H:$H,A93),"OK","NG")</f>
        <v>OK</v>
      </c>
      <c r="C93" s="8">
        <v>11106</v>
      </c>
      <c r="D93" s="12" t="str">
        <f ca="1">VLOOKUP($C93,OFFSET([1]quests!$A$1,0,0,COUNTA([1]quests!$A:$A),MATCH(D$1,[1]quests!$1:$1,0)-MATCH($C$1,[1]quests!$1:$1,0)+1),MATCH(D$1,[1]quests!$1:$1,0)-MATCH($C$1,[1]quests!$1:$1,0)+1,FALSE)</f>
        <v>【キャンペーン限定】 ゴールドカジノ</v>
      </c>
      <c r="E93" s="29" t="str">
        <f ca="1">VLOOKUP($C93,OFFSET([1]quests!$A$1,0,0,COUNTA([1]quests!$A:$A),MATCH(E$1,[1]quests!$1:$1,0)-MATCH($C$1,[1]quests!$1:$1,0)+1),MATCH(E$1,[1]quests!$1:$1,0)-MATCH($C$1,[1]quests!$1:$1,0)+1,FALSE)</f>
        <v>土日クエスト1</v>
      </c>
      <c r="F93" s="32">
        <v>2</v>
      </c>
      <c r="G93" s="33" t="str">
        <f t="shared" si="5"/>
        <v>11106_2</v>
      </c>
      <c r="H93" s="20" t="str">
        <f ca="1">VLOOKUP($G93,OFFSET([1]stages!$A$1,0,0,COUNTA([1]stages!$A:$A),MATCH(H$1,[1]stages!$2:$2,0)-MATCH($G$1,[1]stages!$2:$2,0)+1),MATCH(H$1,[1]stages!$2:$2,0)-MATCH($G$1,[1]stages!$2:$2,0)+1,FALSE)</f>
        <v>ゴールドカジノ 【中級】</v>
      </c>
      <c r="I93" s="32">
        <v>3</v>
      </c>
      <c r="J93" s="13">
        <v>30</v>
      </c>
      <c r="K93" s="13">
        <v>45</v>
      </c>
    </row>
    <row r="94" spans="1:11" ht="21" customHeight="1">
      <c r="A94" s="21" t="str">
        <f t="shared" si="4"/>
        <v>11106_2-4</v>
      </c>
      <c r="B94" s="21" t="str">
        <f>IF(COUNTIF(enemy_habitats_cp_quests!$H:$H,A94),"OK","NG")</f>
        <v>OK</v>
      </c>
      <c r="C94" s="8">
        <v>11106</v>
      </c>
      <c r="D94" s="12" t="str">
        <f ca="1">VLOOKUP($C94,OFFSET([1]quests!$A$1,0,0,COUNTA([1]quests!$A:$A),MATCH(D$1,[1]quests!$1:$1,0)-MATCH($C$1,[1]quests!$1:$1,0)+1),MATCH(D$1,[1]quests!$1:$1,0)-MATCH($C$1,[1]quests!$1:$1,0)+1,FALSE)</f>
        <v>【キャンペーン限定】 ゴールドカジノ</v>
      </c>
      <c r="E94" s="29" t="str">
        <f ca="1">VLOOKUP($C94,OFFSET([1]quests!$A$1,0,0,COUNTA([1]quests!$A:$A),MATCH(E$1,[1]quests!$1:$1,0)-MATCH($C$1,[1]quests!$1:$1,0)+1),MATCH(E$1,[1]quests!$1:$1,0)-MATCH($C$1,[1]quests!$1:$1,0)+1,FALSE)</f>
        <v>土日クエスト1</v>
      </c>
      <c r="F94" s="32">
        <v>2</v>
      </c>
      <c r="G94" s="33" t="str">
        <f t="shared" si="5"/>
        <v>11106_2</v>
      </c>
      <c r="H94" s="20" t="str">
        <f ca="1">VLOOKUP($G94,OFFSET([1]stages!$A$1,0,0,COUNTA([1]stages!$A:$A),MATCH(H$1,[1]stages!$2:$2,0)-MATCH($G$1,[1]stages!$2:$2,0)+1),MATCH(H$1,[1]stages!$2:$2,0)-MATCH($G$1,[1]stages!$2:$2,0)+1,FALSE)</f>
        <v>ゴールドカジノ 【中級】</v>
      </c>
      <c r="I94" s="32">
        <v>4</v>
      </c>
      <c r="J94" s="13">
        <v>30</v>
      </c>
      <c r="K94" s="13">
        <v>45</v>
      </c>
    </row>
    <row r="95" spans="1:11" ht="21" customHeight="1">
      <c r="A95" s="21" t="str">
        <f t="shared" si="4"/>
        <v>11106_2-5</v>
      </c>
      <c r="B95" s="21" t="str">
        <f>IF(COUNTIF(enemy_habitats_cp_quests!$H:$H,A95),"OK","NG")</f>
        <v>OK</v>
      </c>
      <c r="C95" s="8">
        <v>11106</v>
      </c>
      <c r="D95" s="12" t="str">
        <f ca="1">VLOOKUP($C95,OFFSET([1]quests!$A$1,0,0,COUNTA([1]quests!$A:$A),MATCH(D$1,[1]quests!$1:$1,0)-MATCH($C$1,[1]quests!$1:$1,0)+1),MATCH(D$1,[1]quests!$1:$1,0)-MATCH($C$1,[1]quests!$1:$1,0)+1,FALSE)</f>
        <v>【キャンペーン限定】 ゴールドカジノ</v>
      </c>
      <c r="E95" s="29" t="str">
        <f ca="1">VLOOKUP($C95,OFFSET([1]quests!$A$1,0,0,COUNTA([1]quests!$A:$A),MATCH(E$1,[1]quests!$1:$1,0)-MATCH($C$1,[1]quests!$1:$1,0)+1),MATCH(E$1,[1]quests!$1:$1,0)-MATCH($C$1,[1]quests!$1:$1,0)+1,FALSE)</f>
        <v>土日クエスト1</v>
      </c>
      <c r="F95" s="32">
        <v>2</v>
      </c>
      <c r="G95" s="33" t="str">
        <f t="shared" si="5"/>
        <v>11106_2</v>
      </c>
      <c r="H95" s="20" t="str">
        <f ca="1">VLOOKUP($G95,OFFSET([1]stages!$A$1,0,0,COUNTA([1]stages!$A:$A),MATCH(H$1,[1]stages!$2:$2,0)-MATCH($G$1,[1]stages!$2:$2,0)+1),MATCH(H$1,[1]stages!$2:$2,0)-MATCH($G$1,[1]stages!$2:$2,0)+1,FALSE)</f>
        <v>ゴールドカジノ 【中級】</v>
      </c>
      <c r="I95" s="32">
        <v>5</v>
      </c>
      <c r="J95" s="13">
        <v>30</v>
      </c>
      <c r="K95" s="13">
        <v>45</v>
      </c>
    </row>
    <row r="96" spans="1:11" ht="21" customHeight="1">
      <c r="A96" s="21" t="str">
        <f t="shared" si="4"/>
        <v>11106_3-1</v>
      </c>
      <c r="B96" s="21" t="str">
        <f>IF(COUNTIF(enemy_habitats_cp_quests!$H:$H,A96),"OK","NG")</f>
        <v>OK</v>
      </c>
      <c r="C96" s="8">
        <v>11106</v>
      </c>
      <c r="D96" s="12" t="str">
        <f ca="1">VLOOKUP($C96,OFFSET([1]quests!$A$1,0,0,COUNTA([1]quests!$A:$A),MATCH(D$1,[1]quests!$1:$1,0)-MATCH($C$1,[1]quests!$1:$1,0)+1),MATCH(D$1,[1]quests!$1:$1,0)-MATCH($C$1,[1]quests!$1:$1,0)+1,FALSE)</f>
        <v>【キャンペーン限定】 ゴールドカジノ</v>
      </c>
      <c r="E96" s="29" t="str">
        <f ca="1">VLOOKUP($C96,OFFSET([1]quests!$A$1,0,0,COUNTA([1]quests!$A:$A),MATCH(E$1,[1]quests!$1:$1,0)-MATCH($C$1,[1]quests!$1:$1,0)+1),MATCH(E$1,[1]quests!$1:$1,0)-MATCH($C$1,[1]quests!$1:$1,0)+1,FALSE)</f>
        <v>土日クエスト1</v>
      </c>
      <c r="F96" s="32">
        <v>3</v>
      </c>
      <c r="G96" s="33" t="str">
        <f t="shared" si="5"/>
        <v>11106_3</v>
      </c>
      <c r="H96" s="20" t="str">
        <f ca="1">VLOOKUP($G96,OFFSET([1]stages!$A$1,0,0,COUNTA([1]stages!$A:$A),MATCH(H$1,[1]stages!$2:$2,0)-MATCH($G$1,[1]stages!$2:$2,0)+1),MATCH(H$1,[1]stages!$2:$2,0)-MATCH($G$1,[1]stages!$2:$2,0)+1,FALSE)</f>
        <v>ゴールドカジノ 【上級】</v>
      </c>
      <c r="I96" s="32">
        <v>1</v>
      </c>
      <c r="J96" s="13">
        <v>30</v>
      </c>
      <c r="K96" s="13">
        <v>45</v>
      </c>
    </row>
    <row r="97" spans="1:11" ht="21" customHeight="1">
      <c r="A97" s="21" t="str">
        <f t="shared" si="4"/>
        <v>11106_3-2</v>
      </c>
      <c r="B97" s="21" t="str">
        <f>IF(COUNTIF(enemy_habitats_cp_quests!$H:$H,A97),"OK","NG")</f>
        <v>OK</v>
      </c>
      <c r="C97" s="8">
        <v>11106</v>
      </c>
      <c r="D97" s="12" t="str">
        <f ca="1">VLOOKUP($C97,OFFSET([1]quests!$A$1,0,0,COUNTA([1]quests!$A:$A),MATCH(D$1,[1]quests!$1:$1,0)-MATCH($C$1,[1]quests!$1:$1,0)+1),MATCH(D$1,[1]quests!$1:$1,0)-MATCH($C$1,[1]quests!$1:$1,0)+1,FALSE)</f>
        <v>【キャンペーン限定】 ゴールドカジノ</v>
      </c>
      <c r="E97" s="29" t="str">
        <f ca="1">VLOOKUP($C97,OFFSET([1]quests!$A$1,0,0,COUNTA([1]quests!$A:$A),MATCH(E$1,[1]quests!$1:$1,0)-MATCH($C$1,[1]quests!$1:$1,0)+1),MATCH(E$1,[1]quests!$1:$1,0)-MATCH($C$1,[1]quests!$1:$1,0)+1,FALSE)</f>
        <v>土日クエスト1</v>
      </c>
      <c r="F97" s="32">
        <v>3</v>
      </c>
      <c r="G97" s="33" t="str">
        <f t="shared" si="5"/>
        <v>11106_3</v>
      </c>
      <c r="H97" s="20" t="str">
        <f ca="1">VLOOKUP($G97,OFFSET([1]stages!$A$1,0,0,COUNTA([1]stages!$A:$A),MATCH(H$1,[1]stages!$2:$2,0)-MATCH($G$1,[1]stages!$2:$2,0)+1),MATCH(H$1,[1]stages!$2:$2,0)-MATCH($G$1,[1]stages!$2:$2,0)+1,FALSE)</f>
        <v>ゴールドカジノ 【上級】</v>
      </c>
      <c r="I97" s="32">
        <v>2</v>
      </c>
      <c r="J97" s="13">
        <v>45</v>
      </c>
      <c r="K97" s="13">
        <v>45</v>
      </c>
    </row>
    <row r="98" spans="1:11" ht="21" customHeight="1">
      <c r="A98" s="21" t="str">
        <f t="shared" si="4"/>
        <v>11106_3-3</v>
      </c>
      <c r="B98" s="21" t="str">
        <f>IF(COUNTIF(enemy_habitats_cp_quests!$H:$H,A98),"OK","NG")</f>
        <v>OK</v>
      </c>
      <c r="C98" s="8">
        <v>11106</v>
      </c>
      <c r="D98" s="12" t="str">
        <f ca="1">VLOOKUP($C98,OFFSET([1]quests!$A$1,0,0,COUNTA([1]quests!$A:$A),MATCH(D$1,[1]quests!$1:$1,0)-MATCH($C$1,[1]quests!$1:$1,0)+1),MATCH(D$1,[1]quests!$1:$1,0)-MATCH($C$1,[1]quests!$1:$1,0)+1,FALSE)</f>
        <v>【キャンペーン限定】 ゴールドカジノ</v>
      </c>
      <c r="E98" s="29" t="str">
        <f ca="1">VLOOKUP($C98,OFFSET([1]quests!$A$1,0,0,COUNTA([1]quests!$A:$A),MATCH(E$1,[1]quests!$1:$1,0)-MATCH($C$1,[1]quests!$1:$1,0)+1),MATCH(E$1,[1]quests!$1:$1,0)-MATCH($C$1,[1]quests!$1:$1,0)+1,FALSE)</f>
        <v>土日クエスト1</v>
      </c>
      <c r="F98" s="32">
        <v>3</v>
      </c>
      <c r="G98" s="33" t="str">
        <f t="shared" si="5"/>
        <v>11106_3</v>
      </c>
      <c r="H98" s="20" t="str">
        <f ca="1">VLOOKUP($G98,OFFSET([1]stages!$A$1,0,0,COUNTA([1]stages!$A:$A),MATCH(H$1,[1]stages!$2:$2,0)-MATCH($G$1,[1]stages!$2:$2,0)+1),MATCH(H$1,[1]stages!$2:$2,0)-MATCH($G$1,[1]stages!$2:$2,0)+1,FALSE)</f>
        <v>ゴールドカジノ 【上級】</v>
      </c>
      <c r="I98" s="32">
        <v>3</v>
      </c>
      <c r="J98" s="13">
        <v>30</v>
      </c>
      <c r="K98" s="13">
        <v>45</v>
      </c>
    </row>
    <row r="99" spans="1:11" ht="21" customHeight="1">
      <c r="A99" s="21" t="str">
        <f t="shared" si="4"/>
        <v>11106_3-4</v>
      </c>
      <c r="B99" s="21" t="str">
        <f>IF(COUNTIF(enemy_habitats_cp_quests!$H:$H,A99),"OK","NG")</f>
        <v>OK</v>
      </c>
      <c r="C99" s="8">
        <v>11106</v>
      </c>
      <c r="D99" s="12" t="str">
        <f ca="1">VLOOKUP($C99,OFFSET([1]quests!$A$1,0,0,COUNTA([1]quests!$A:$A),MATCH(D$1,[1]quests!$1:$1,0)-MATCH($C$1,[1]quests!$1:$1,0)+1),MATCH(D$1,[1]quests!$1:$1,0)-MATCH($C$1,[1]quests!$1:$1,0)+1,FALSE)</f>
        <v>【キャンペーン限定】 ゴールドカジノ</v>
      </c>
      <c r="E99" s="29" t="str">
        <f ca="1">VLOOKUP($C99,OFFSET([1]quests!$A$1,0,0,COUNTA([1]quests!$A:$A),MATCH(E$1,[1]quests!$1:$1,0)-MATCH($C$1,[1]quests!$1:$1,0)+1),MATCH(E$1,[1]quests!$1:$1,0)-MATCH($C$1,[1]quests!$1:$1,0)+1,FALSE)</f>
        <v>土日クエスト1</v>
      </c>
      <c r="F99" s="32">
        <v>3</v>
      </c>
      <c r="G99" s="33" t="str">
        <f t="shared" si="5"/>
        <v>11106_3</v>
      </c>
      <c r="H99" s="20" t="str">
        <f ca="1">VLOOKUP($G99,OFFSET([1]stages!$A$1,0,0,COUNTA([1]stages!$A:$A),MATCH(H$1,[1]stages!$2:$2,0)-MATCH($G$1,[1]stages!$2:$2,0)+1),MATCH(H$1,[1]stages!$2:$2,0)-MATCH($G$1,[1]stages!$2:$2,0)+1,FALSE)</f>
        <v>ゴールドカジノ 【上級】</v>
      </c>
      <c r="I99" s="32">
        <v>4</v>
      </c>
      <c r="J99" s="13">
        <v>30</v>
      </c>
      <c r="K99" s="13">
        <v>45</v>
      </c>
    </row>
    <row r="100" spans="1:11" ht="21" customHeight="1">
      <c r="A100" s="21" t="str">
        <f t="shared" si="4"/>
        <v>11106_3-5</v>
      </c>
      <c r="B100" s="21" t="str">
        <f>IF(COUNTIF(enemy_habitats_cp_quests!$H:$H,A100),"OK","NG")</f>
        <v>OK</v>
      </c>
      <c r="C100" s="8">
        <v>11106</v>
      </c>
      <c r="D100" s="12" t="str">
        <f ca="1">VLOOKUP($C100,OFFSET([1]quests!$A$1,0,0,COUNTA([1]quests!$A:$A),MATCH(D$1,[1]quests!$1:$1,0)-MATCH($C$1,[1]quests!$1:$1,0)+1),MATCH(D$1,[1]quests!$1:$1,0)-MATCH($C$1,[1]quests!$1:$1,0)+1,FALSE)</f>
        <v>【キャンペーン限定】 ゴールドカジノ</v>
      </c>
      <c r="E100" s="29" t="str">
        <f ca="1">VLOOKUP($C100,OFFSET([1]quests!$A$1,0,0,COUNTA([1]quests!$A:$A),MATCH(E$1,[1]quests!$1:$1,0)-MATCH($C$1,[1]quests!$1:$1,0)+1),MATCH(E$1,[1]quests!$1:$1,0)-MATCH($C$1,[1]quests!$1:$1,0)+1,FALSE)</f>
        <v>土日クエスト1</v>
      </c>
      <c r="F100" s="32">
        <v>3</v>
      </c>
      <c r="G100" s="33" t="str">
        <f t="shared" si="5"/>
        <v>11106_3</v>
      </c>
      <c r="H100" s="20" t="str">
        <f ca="1">VLOOKUP($G100,OFFSET([1]stages!$A$1,0,0,COUNTA([1]stages!$A:$A),MATCH(H$1,[1]stages!$2:$2,0)-MATCH($G$1,[1]stages!$2:$2,0)+1),MATCH(H$1,[1]stages!$2:$2,0)-MATCH($G$1,[1]stages!$2:$2,0)+1,FALSE)</f>
        <v>ゴールドカジノ 【上級】</v>
      </c>
      <c r="I100" s="32">
        <v>5</v>
      </c>
      <c r="J100" s="13">
        <v>20</v>
      </c>
      <c r="K100" s="13">
        <v>20</v>
      </c>
    </row>
    <row r="101" spans="1:11" ht="21" customHeight="1">
      <c r="A101" s="21" t="str">
        <f t="shared" ref="A101:A115" si="14">G101&amp;"-"&amp;I101</f>
        <v>11206_1-1</v>
      </c>
      <c r="B101" s="21" t="str">
        <f>IF(COUNTIF(enemy_habitats_cp_quests!$H:$H,A101),"OK","NG")</f>
        <v>OK</v>
      </c>
      <c r="C101" s="8">
        <v>11206</v>
      </c>
      <c r="D101" s="12" t="str">
        <f ca="1">VLOOKUP($C101,OFFSET([1]quests!$A$1,0,0,COUNTA([1]quests!$A:$A),MATCH(D$1,[1]quests!$1:$1,0)-MATCH($C$1,[1]quests!$1:$1,0)+1),MATCH(D$1,[1]quests!$1:$1,0)-MATCH($C$1,[1]quests!$1:$1,0)+1,FALSE)</f>
        <v>【キャンペーン限定】 ゴールドカジノ</v>
      </c>
      <c r="E101" s="29" t="str">
        <f ca="1">VLOOKUP($C101,OFFSET([1]quests!$A$1,0,0,COUNTA([1]quests!$A:$A),MATCH(E$1,[1]quests!$1:$1,0)-MATCH($C$1,[1]quests!$1:$1,0)+1),MATCH(E$1,[1]quests!$1:$1,0)-MATCH($C$1,[1]quests!$1:$1,0)+1,FALSE)</f>
        <v>土日クエスト2</v>
      </c>
      <c r="F101" s="32">
        <v>1</v>
      </c>
      <c r="G101" s="33" t="str">
        <f t="shared" ref="G101:G115" si="15">C101&amp;"_"&amp;F101</f>
        <v>11206_1</v>
      </c>
      <c r="H101" s="20" t="str">
        <f ca="1">VLOOKUP($G101,OFFSET([1]stages!$A$1,0,0,COUNTA([1]stages!$A:$A),MATCH(H$1,[1]stages!$2:$2,0)-MATCH($G$1,[1]stages!$2:$2,0)+1),MATCH(H$1,[1]stages!$2:$2,0)-MATCH($G$1,[1]stages!$2:$2,0)+1,FALSE)</f>
        <v>ゴールドカジノ 【初級】</v>
      </c>
      <c r="I101" s="32">
        <v>1</v>
      </c>
      <c r="J101" s="13">
        <v>30</v>
      </c>
      <c r="K101" s="13">
        <v>45</v>
      </c>
    </row>
    <row r="102" spans="1:11" ht="21" customHeight="1">
      <c r="A102" s="21" t="str">
        <f t="shared" si="14"/>
        <v>11206_1-2</v>
      </c>
      <c r="B102" s="21" t="str">
        <f>IF(COUNTIF(enemy_habitats_cp_quests!$H:$H,A102),"OK","NG")</f>
        <v>OK</v>
      </c>
      <c r="C102" s="8">
        <v>11206</v>
      </c>
      <c r="D102" s="12" t="str">
        <f ca="1">VLOOKUP($C102,OFFSET([1]quests!$A$1,0,0,COUNTA([1]quests!$A:$A),MATCH(D$1,[1]quests!$1:$1,0)-MATCH($C$1,[1]quests!$1:$1,0)+1),MATCH(D$1,[1]quests!$1:$1,0)-MATCH($C$1,[1]quests!$1:$1,0)+1,FALSE)</f>
        <v>【キャンペーン限定】 ゴールドカジノ</v>
      </c>
      <c r="E102" s="29" t="str">
        <f ca="1">VLOOKUP($C102,OFFSET([1]quests!$A$1,0,0,COUNTA([1]quests!$A:$A),MATCH(E$1,[1]quests!$1:$1,0)-MATCH($C$1,[1]quests!$1:$1,0)+1),MATCH(E$1,[1]quests!$1:$1,0)-MATCH($C$1,[1]quests!$1:$1,0)+1,FALSE)</f>
        <v>土日クエスト2</v>
      </c>
      <c r="F102" s="32">
        <v>1</v>
      </c>
      <c r="G102" s="33" t="str">
        <f t="shared" si="15"/>
        <v>11206_1</v>
      </c>
      <c r="H102" s="20" t="str">
        <f ca="1">VLOOKUP($G102,OFFSET([1]stages!$A$1,0,0,COUNTA([1]stages!$A:$A),MATCH(H$1,[1]stages!$2:$2,0)-MATCH($G$1,[1]stages!$2:$2,0)+1),MATCH(H$1,[1]stages!$2:$2,0)-MATCH($G$1,[1]stages!$2:$2,0)+1,FALSE)</f>
        <v>ゴールドカジノ 【初級】</v>
      </c>
      <c r="I102" s="32">
        <v>2</v>
      </c>
      <c r="J102" s="13">
        <v>30</v>
      </c>
      <c r="K102" s="13">
        <v>45</v>
      </c>
    </row>
    <row r="103" spans="1:11" ht="21" customHeight="1">
      <c r="A103" s="21" t="str">
        <f t="shared" si="14"/>
        <v>11206_1-3</v>
      </c>
      <c r="B103" s="21" t="str">
        <f>IF(COUNTIF(enemy_habitats_cp_quests!$H:$H,A103),"OK","NG")</f>
        <v>OK</v>
      </c>
      <c r="C103" s="8">
        <v>11206</v>
      </c>
      <c r="D103" s="12" t="str">
        <f ca="1">VLOOKUP($C103,OFFSET([1]quests!$A$1,0,0,COUNTA([1]quests!$A:$A),MATCH(D$1,[1]quests!$1:$1,0)-MATCH($C$1,[1]quests!$1:$1,0)+1),MATCH(D$1,[1]quests!$1:$1,0)-MATCH($C$1,[1]quests!$1:$1,0)+1,FALSE)</f>
        <v>【キャンペーン限定】 ゴールドカジノ</v>
      </c>
      <c r="E103" s="29" t="str">
        <f ca="1">VLOOKUP($C103,OFFSET([1]quests!$A$1,0,0,COUNTA([1]quests!$A:$A),MATCH(E$1,[1]quests!$1:$1,0)-MATCH($C$1,[1]quests!$1:$1,0)+1),MATCH(E$1,[1]quests!$1:$1,0)-MATCH($C$1,[1]quests!$1:$1,0)+1,FALSE)</f>
        <v>土日クエスト2</v>
      </c>
      <c r="F103" s="32">
        <v>1</v>
      </c>
      <c r="G103" s="33" t="str">
        <f t="shared" si="15"/>
        <v>11206_1</v>
      </c>
      <c r="H103" s="20" t="str">
        <f ca="1">VLOOKUP($G103,OFFSET([1]stages!$A$1,0,0,COUNTA([1]stages!$A:$A),MATCH(H$1,[1]stages!$2:$2,0)-MATCH($G$1,[1]stages!$2:$2,0)+1),MATCH(H$1,[1]stages!$2:$2,0)-MATCH($G$1,[1]stages!$2:$2,0)+1,FALSE)</f>
        <v>ゴールドカジノ 【初級】</v>
      </c>
      <c r="I103" s="32">
        <v>3</v>
      </c>
      <c r="J103" s="13">
        <v>30</v>
      </c>
      <c r="K103" s="13">
        <v>45</v>
      </c>
    </row>
    <row r="104" spans="1:11" ht="21" customHeight="1">
      <c r="A104" s="21" t="str">
        <f t="shared" si="14"/>
        <v>11206_1-4</v>
      </c>
      <c r="B104" s="21" t="str">
        <f>IF(COUNTIF(enemy_habitats_cp_quests!$H:$H,A104),"OK","NG")</f>
        <v>OK</v>
      </c>
      <c r="C104" s="8">
        <v>11206</v>
      </c>
      <c r="D104" s="12" t="str">
        <f ca="1">VLOOKUP($C104,OFFSET([1]quests!$A$1,0,0,COUNTA([1]quests!$A:$A),MATCH(D$1,[1]quests!$1:$1,0)-MATCH($C$1,[1]quests!$1:$1,0)+1),MATCH(D$1,[1]quests!$1:$1,0)-MATCH($C$1,[1]quests!$1:$1,0)+1,FALSE)</f>
        <v>【キャンペーン限定】 ゴールドカジノ</v>
      </c>
      <c r="E104" s="29" t="str">
        <f ca="1">VLOOKUP($C104,OFFSET([1]quests!$A$1,0,0,COUNTA([1]quests!$A:$A),MATCH(E$1,[1]quests!$1:$1,0)-MATCH($C$1,[1]quests!$1:$1,0)+1),MATCH(E$1,[1]quests!$1:$1,0)-MATCH($C$1,[1]quests!$1:$1,0)+1,FALSE)</f>
        <v>土日クエスト2</v>
      </c>
      <c r="F104" s="32">
        <v>1</v>
      </c>
      <c r="G104" s="33" t="str">
        <f t="shared" si="15"/>
        <v>11206_1</v>
      </c>
      <c r="H104" s="20" t="str">
        <f ca="1">VLOOKUP($G104,OFFSET([1]stages!$A$1,0,0,COUNTA([1]stages!$A:$A),MATCH(H$1,[1]stages!$2:$2,0)-MATCH($G$1,[1]stages!$2:$2,0)+1),MATCH(H$1,[1]stages!$2:$2,0)-MATCH($G$1,[1]stages!$2:$2,0)+1,FALSE)</f>
        <v>ゴールドカジノ 【初級】</v>
      </c>
      <c r="I104" s="32">
        <v>4</v>
      </c>
      <c r="J104" s="13">
        <v>30</v>
      </c>
      <c r="K104" s="13">
        <v>45</v>
      </c>
    </row>
    <row r="105" spans="1:11" ht="21" customHeight="1">
      <c r="A105" s="21" t="str">
        <f t="shared" si="14"/>
        <v>11206_1-5</v>
      </c>
      <c r="B105" s="21" t="str">
        <f>IF(COUNTIF(enemy_habitats_cp_quests!$H:$H,A105),"OK","NG")</f>
        <v>OK</v>
      </c>
      <c r="C105" s="8">
        <v>11206</v>
      </c>
      <c r="D105" s="12" t="str">
        <f ca="1">VLOOKUP($C105,OFFSET([1]quests!$A$1,0,0,COUNTA([1]quests!$A:$A),MATCH(D$1,[1]quests!$1:$1,0)-MATCH($C$1,[1]quests!$1:$1,0)+1),MATCH(D$1,[1]quests!$1:$1,0)-MATCH($C$1,[1]quests!$1:$1,0)+1,FALSE)</f>
        <v>【キャンペーン限定】 ゴールドカジノ</v>
      </c>
      <c r="E105" s="29" t="str">
        <f ca="1">VLOOKUP($C105,OFFSET([1]quests!$A$1,0,0,COUNTA([1]quests!$A:$A),MATCH(E$1,[1]quests!$1:$1,0)-MATCH($C$1,[1]quests!$1:$1,0)+1),MATCH(E$1,[1]quests!$1:$1,0)-MATCH($C$1,[1]quests!$1:$1,0)+1,FALSE)</f>
        <v>土日クエスト2</v>
      </c>
      <c r="F105" s="32">
        <v>1</v>
      </c>
      <c r="G105" s="33" t="str">
        <f t="shared" si="15"/>
        <v>11206_1</v>
      </c>
      <c r="H105" s="20" t="str">
        <f ca="1">VLOOKUP($G105,OFFSET([1]stages!$A$1,0,0,COUNTA([1]stages!$A:$A),MATCH(H$1,[1]stages!$2:$2,0)-MATCH($G$1,[1]stages!$2:$2,0)+1),MATCH(H$1,[1]stages!$2:$2,0)-MATCH($G$1,[1]stages!$2:$2,0)+1,FALSE)</f>
        <v>ゴールドカジノ 【初級】</v>
      </c>
      <c r="I105" s="32">
        <v>5</v>
      </c>
      <c r="J105" s="13">
        <v>30</v>
      </c>
      <c r="K105" s="13">
        <v>45</v>
      </c>
    </row>
    <row r="106" spans="1:11" ht="21" customHeight="1">
      <c r="A106" s="21" t="str">
        <f t="shared" si="14"/>
        <v>11206_2-1</v>
      </c>
      <c r="B106" s="21" t="str">
        <f>IF(COUNTIF(enemy_habitats_cp_quests!$H:$H,A106),"OK","NG")</f>
        <v>OK</v>
      </c>
      <c r="C106" s="8">
        <v>11206</v>
      </c>
      <c r="D106" s="12" t="str">
        <f ca="1">VLOOKUP($C106,OFFSET([1]quests!$A$1,0,0,COUNTA([1]quests!$A:$A),MATCH(D$1,[1]quests!$1:$1,0)-MATCH($C$1,[1]quests!$1:$1,0)+1),MATCH(D$1,[1]quests!$1:$1,0)-MATCH($C$1,[1]quests!$1:$1,0)+1,FALSE)</f>
        <v>【キャンペーン限定】 ゴールドカジノ</v>
      </c>
      <c r="E106" s="29" t="str">
        <f ca="1">VLOOKUP($C106,OFFSET([1]quests!$A$1,0,0,COUNTA([1]quests!$A:$A),MATCH(E$1,[1]quests!$1:$1,0)-MATCH($C$1,[1]quests!$1:$1,0)+1),MATCH(E$1,[1]quests!$1:$1,0)-MATCH($C$1,[1]quests!$1:$1,0)+1,FALSE)</f>
        <v>土日クエスト2</v>
      </c>
      <c r="F106" s="32">
        <v>2</v>
      </c>
      <c r="G106" s="33" t="str">
        <f t="shared" si="15"/>
        <v>11206_2</v>
      </c>
      <c r="H106" s="20" t="str">
        <f ca="1">VLOOKUP($G106,OFFSET([1]stages!$A$1,0,0,COUNTA([1]stages!$A:$A),MATCH(H$1,[1]stages!$2:$2,0)-MATCH($G$1,[1]stages!$2:$2,0)+1),MATCH(H$1,[1]stages!$2:$2,0)-MATCH($G$1,[1]stages!$2:$2,0)+1,FALSE)</f>
        <v>ゴールドカジノ 【中級】</v>
      </c>
      <c r="I106" s="32">
        <v>1</v>
      </c>
      <c r="J106" s="13">
        <v>30</v>
      </c>
      <c r="K106" s="13">
        <v>45</v>
      </c>
    </row>
    <row r="107" spans="1:11" ht="21" customHeight="1">
      <c r="A107" s="21" t="str">
        <f t="shared" si="14"/>
        <v>11206_2-2</v>
      </c>
      <c r="B107" s="21" t="str">
        <f>IF(COUNTIF(enemy_habitats_cp_quests!$H:$H,A107),"OK","NG")</f>
        <v>OK</v>
      </c>
      <c r="C107" s="8">
        <v>11206</v>
      </c>
      <c r="D107" s="12" t="str">
        <f ca="1">VLOOKUP($C107,OFFSET([1]quests!$A$1,0,0,COUNTA([1]quests!$A:$A),MATCH(D$1,[1]quests!$1:$1,0)-MATCH($C$1,[1]quests!$1:$1,0)+1),MATCH(D$1,[1]quests!$1:$1,0)-MATCH($C$1,[1]quests!$1:$1,0)+1,FALSE)</f>
        <v>【キャンペーン限定】 ゴールドカジノ</v>
      </c>
      <c r="E107" s="29" t="str">
        <f ca="1">VLOOKUP($C107,OFFSET([1]quests!$A$1,0,0,COUNTA([1]quests!$A:$A),MATCH(E$1,[1]quests!$1:$1,0)-MATCH($C$1,[1]quests!$1:$1,0)+1),MATCH(E$1,[1]quests!$1:$1,0)-MATCH($C$1,[1]quests!$1:$1,0)+1,FALSE)</f>
        <v>土日クエスト2</v>
      </c>
      <c r="F107" s="32">
        <v>2</v>
      </c>
      <c r="G107" s="33" t="str">
        <f t="shared" si="15"/>
        <v>11206_2</v>
      </c>
      <c r="H107" s="20" t="str">
        <f ca="1">VLOOKUP($G107,OFFSET([1]stages!$A$1,0,0,COUNTA([1]stages!$A:$A),MATCH(H$1,[1]stages!$2:$2,0)-MATCH($G$1,[1]stages!$2:$2,0)+1),MATCH(H$1,[1]stages!$2:$2,0)-MATCH($G$1,[1]stages!$2:$2,0)+1,FALSE)</f>
        <v>ゴールドカジノ 【中級】</v>
      </c>
      <c r="I107" s="32">
        <v>2</v>
      </c>
      <c r="J107" s="13">
        <v>30</v>
      </c>
      <c r="K107" s="13">
        <v>45</v>
      </c>
    </row>
    <row r="108" spans="1:11" ht="21" customHeight="1">
      <c r="A108" s="21" t="str">
        <f t="shared" si="14"/>
        <v>11206_2-3</v>
      </c>
      <c r="B108" s="21" t="str">
        <f>IF(COUNTIF(enemy_habitats_cp_quests!$H:$H,A108),"OK","NG")</f>
        <v>OK</v>
      </c>
      <c r="C108" s="8">
        <v>11206</v>
      </c>
      <c r="D108" s="12" t="str">
        <f ca="1">VLOOKUP($C108,OFFSET([1]quests!$A$1,0,0,COUNTA([1]quests!$A:$A),MATCH(D$1,[1]quests!$1:$1,0)-MATCH($C$1,[1]quests!$1:$1,0)+1),MATCH(D$1,[1]quests!$1:$1,0)-MATCH($C$1,[1]quests!$1:$1,0)+1,FALSE)</f>
        <v>【キャンペーン限定】 ゴールドカジノ</v>
      </c>
      <c r="E108" s="29" t="str">
        <f ca="1">VLOOKUP($C108,OFFSET([1]quests!$A$1,0,0,COUNTA([1]quests!$A:$A),MATCH(E$1,[1]quests!$1:$1,0)-MATCH($C$1,[1]quests!$1:$1,0)+1),MATCH(E$1,[1]quests!$1:$1,0)-MATCH($C$1,[1]quests!$1:$1,0)+1,FALSE)</f>
        <v>土日クエスト2</v>
      </c>
      <c r="F108" s="32">
        <v>2</v>
      </c>
      <c r="G108" s="33" t="str">
        <f t="shared" si="15"/>
        <v>11206_2</v>
      </c>
      <c r="H108" s="20" t="str">
        <f ca="1">VLOOKUP($G108,OFFSET([1]stages!$A$1,0,0,COUNTA([1]stages!$A:$A),MATCH(H$1,[1]stages!$2:$2,0)-MATCH($G$1,[1]stages!$2:$2,0)+1),MATCH(H$1,[1]stages!$2:$2,0)-MATCH($G$1,[1]stages!$2:$2,0)+1,FALSE)</f>
        <v>ゴールドカジノ 【中級】</v>
      </c>
      <c r="I108" s="32">
        <v>3</v>
      </c>
      <c r="J108" s="13">
        <v>30</v>
      </c>
      <c r="K108" s="13">
        <v>45</v>
      </c>
    </row>
    <row r="109" spans="1:11" ht="21" customHeight="1">
      <c r="A109" s="21" t="str">
        <f t="shared" si="14"/>
        <v>11206_2-4</v>
      </c>
      <c r="B109" s="21" t="str">
        <f>IF(COUNTIF(enemy_habitats_cp_quests!$H:$H,A109),"OK","NG")</f>
        <v>OK</v>
      </c>
      <c r="C109" s="8">
        <v>11206</v>
      </c>
      <c r="D109" s="12" t="str">
        <f ca="1">VLOOKUP($C109,OFFSET([1]quests!$A$1,0,0,COUNTA([1]quests!$A:$A),MATCH(D$1,[1]quests!$1:$1,0)-MATCH($C$1,[1]quests!$1:$1,0)+1),MATCH(D$1,[1]quests!$1:$1,0)-MATCH($C$1,[1]quests!$1:$1,0)+1,FALSE)</f>
        <v>【キャンペーン限定】 ゴールドカジノ</v>
      </c>
      <c r="E109" s="29" t="str">
        <f ca="1">VLOOKUP($C109,OFFSET([1]quests!$A$1,0,0,COUNTA([1]quests!$A:$A),MATCH(E$1,[1]quests!$1:$1,0)-MATCH($C$1,[1]quests!$1:$1,0)+1),MATCH(E$1,[1]quests!$1:$1,0)-MATCH($C$1,[1]quests!$1:$1,0)+1,FALSE)</f>
        <v>土日クエスト2</v>
      </c>
      <c r="F109" s="32">
        <v>2</v>
      </c>
      <c r="G109" s="33" t="str">
        <f t="shared" si="15"/>
        <v>11206_2</v>
      </c>
      <c r="H109" s="20" t="str">
        <f ca="1">VLOOKUP($G109,OFFSET([1]stages!$A$1,0,0,COUNTA([1]stages!$A:$A),MATCH(H$1,[1]stages!$2:$2,0)-MATCH($G$1,[1]stages!$2:$2,0)+1),MATCH(H$1,[1]stages!$2:$2,0)-MATCH($G$1,[1]stages!$2:$2,0)+1,FALSE)</f>
        <v>ゴールドカジノ 【中級】</v>
      </c>
      <c r="I109" s="32">
        <v>4</v>
      </c>
      <c r="J109" s="13">
        <v>30</v>
      </c>
      <c r="K109" s="13">
        <v>45</v>
      </c>
    </row>
    <row r="110" spans="1:11" ht="21" customHeight="1">
      <c r="A110" s="21" t="str">
        <f t="shared" si="14"/>
        <v>11206_2-5</v>
      </c>
      <c r="B110" s="21" t="str">
        <f>IF(COUNTIF(enemy_habitats_cp_quests!$H:$H,A110),"OK","NG")</f>
        <v>OK</v>
      </c>
      <c r="C110" s="8">
        <v>11206</v>
      </c>
      <c r="D110" s="12" t="str">
        <f ca="1">VLOOKUP($C110,OFFSET([1]quests!$A$1,0,0,COUNTA([1]quests!$A:$A),MATCH(D$1,[1]quests!$1:$1,0)-MATCH($C$1,[1]quests!$1:$1,0)+1),MATCH(D$1,[1]quests!$1:$1,0)-MATCH($C$1,[1]quests!$1:$1,0)+1,FALSE)</f>
        <v>【キャンペーン限定】 ゴールドカジノ</v>
      </c>
      <c r="E110" s="29" t="str">
        <f ca="1">VLOOKUP($C110,OFFSET([1]quests!$A$1,0,0,COUNTA([1]quests!$A:$A),MATCH(E$1,[1]quests!$1:$1,0)-MATCH($C$1,[1]quests!$1:$1,0)+1),MATCH(E$1,[1]quests!$1:$1,0)-MATCH($C$1,[1]quests!$1:$1,0)+1,FALSE)</f>
        <v>土日クエスト2</v>
      </c>
      <c r="F110" s="32">
        <v>2</v>
      </c>
      <c r="G110" s="33" t="str">
        <f t="shared" si="15"/>
        <v>11206_2</v>
      </c>
      <c r="H110" s="20" t="str">
        <f ca="1">VLOOKUP($G110,OFFSET([1]stages!$A$1,0,0,COUNTA([1]stages!$A:$A),MATCH(H$1,[1]stages!$2:$2,0)-MATCH($G$1,[1]stages!$2:$2,0)+1),MATCH(H$1,[1]stages!$2:$2,0)-MATCH($G$1,[1]stages!$2:$2,0)+1,FALSE)</f>
        <v>ゴールドカジノ 【中級】</v>
      </c>
      <c r="I110" s="32">
        <v>5</v>
      </c>
      <c r="J110" s="13">
        <v>30</v>
      </c>
      <c r="K110" s="13">
        <v>45</v>
      </c>
    </row>
    <row r="111" spans="1:11" ht="21" customHeight="1">
      <c r="A111" s="21" t="str">
        <f t="shared" si="14"/>
        <v>11206_3-1</v>
      </c>
      <c r="B111" s="21" t="str">
        <f>IF(COUNTIF(enemy_habitats_cp_quests!$H:$H,A111),"OK","NG")</f>
        <v>OK</v>
      </c>
      <c r="C111" s="8">
        <v>11206</v>
      </c>
      <c r="D111" s="12" t="str">
        <f ca="1">VLOOKUP($C111,OFFSET([1]quests!$A$1,0,0,COUNTA([1]quests!$A:$A),MATCH(D$1,[1]quests!$1:$1,0)-MATCH($C$1,[1]quests!$1:$1,0)+1),MATCH(D$1,[1]quests!$1:$1,0)-MATCH($C$1,[1]quests!$1:$1,0)+1,FALSE)</f>
        <v>【キャンペーン限定】 ゴールドカジノ</v>
      </c>
      <c r="E111" s="29" t="str">
        <f ca="1">VLOOKUP($C111,OFFSET([1]quests!$A$1,0,0,COUNTA([1]quests!$A:$A),MATCH(E$1,[1]quests!$1:$1,0)-MATCH($C$1,[1]quests!$1:$1,0)+1),MATCH(E$1,[1]quests!$1:$1,0)-MATCH($C$1,[1]quests!$1:$1,0)+1,FALSE)</f>
        <v>土日クエスト2</v>
      </c>
      <c r="F111" s="32">
        <v>3</v>
      </c>
      <c r="G111" s="33" t="str">
        <f t="shared" si="15"/>
        <v>11206_3</v>
      </c>
      <c r="H111" s="20" t="str">
        <f ca="1">VLOOKUP($G111,OFFSET([1]stages!$A$1,0,0,COUNTA([1]stages!$A:$A),MATCH(H$1,[1]stages!$2:$2,0)-MATCH($G$1,[1]stages!$2:$2,0)+1),MATCH(H$1,[1]stages!$2:$2,0)-MATCH($G$1,[1]stages!$2:$2,0)+1,FALSE)</f>
        <v>ゴールドカジノ 【上級】</v>
      </c>
      <c r="I111" s="32">
        <v>1</v>
      </c>
      <c r="J111" s="13">
        <v>30</v>
      </c>
      <c r="K111" s="13">
        <v>45</v>
      </c>
    </row>
    <row r="112" spans="1:11" ht="21" customHeight="1">
      <c r="A112" s="21" t="str">
        <f t="shared" si="14"/>
        <v>11206_3-2</v>
      </c>
      <c r="B112" s="21" t="str">
        <f>IF(COUNTIF(enemy_habitats_cp_quests!$H:$H,A112),"OK","NG")</f>
        <v>OK</v>
      </c>
      <c r="C112" s="8">
        <v>11206</v>
      </c>
      <c r="D112" s="12" t="str">
        <f ca="1">VLOOKUP($C112,OFFSET([1]quests!$A$1,0,0,COUNTA([1]quests!$A:$A),MATCH(D$1,[1]quests!$1:$1,0)-MATCH($C$1,[1]quests!$1:$1,0)+1),MATCH(D$1,[1]quests!$1:$1,0)-MATCH($C$1,[1]quests!$1:$1,0)+1,FALSE)</f>
        <v>【キャンペーン限定】 ゴールドカジノ</v>
      </c>
      <c r="E112" s="29" t="str">
        <f ca="1">VLOOKUP($C112,OFFSET([1]quests!$A$1,0,0,COUNTA([1]quests!$A:$A),MATCH(E$1,[1]quests!$1:$1,0)-MATCH($C$1,[1]quests!$1:$1,0)+1),MATCH(E$1,[1]quests!$1:$1,0)-MATCH($C$1,[1]quests!$1:$1,0)+1,FALSE)</f>
        <v>土日クエスト2</v>
      </c>
      <c r="F112" s="32">
        <v>3</v>
      </c>
      <c r="G112" s="33" t="str">
        <f t="shared" si="15"/>
        <v>11206_3</v>
      </c>
      <c r="H112" s="20" t="str">
        <f ca="1">VLOOKUP($G112,OFFSET([1]stages!$A$1,0,0,COUNTA([1]stages!$A:$A),MATCH(H$1,[1]stages!$2:$2,0)-MATCH($G$1,[1]stages!$2:$2,0)+1),MATCH(H$1,[1]stages!$2:$2,0)-MATCH($G$1,[1]stages!$2:$2,0)+1,FALSE)</f>
        <v>ゴールドカジノ 【上級】</v>
      </c>
      <c r="I112" s="32">
        <v>2</v>
      </c>
      <c r="J112" s="13">
        <v>45</v>
      </c>
      <c r="K112" s="13">
        <v>45</v>
      </c>
    </row>
    <row r="113" spans="1:11" ht="21" customHeight="1">
      <c r="A113" s="21" t="str">
        <f t="shared" si="14"/>
        <v>11206_3-3</v>
      </c>
      <c r="B113" s="21" t="str">
        <f>IF(COUNTIF(enemy_habitats_cp_quests!$H:$H,A113),"OK","NG")</f>
        <v>OK</v>
      </c>
      <c r="C113" s="8">
        <v>11206</v>
      </c>
      <c r="D113" s="12" t="str">
        <f ca="1">VLOOKUP($C113,OFFSET([1]quests!$A$1,0,0,COUNTA([1]quests!$A:$A),MATCH(D$1,[1]quests!$1:$1,0)-MATCH($C$1,[1]quests!$1:$1,0)+1),MATCH(D$1,[1]quests!$1:$1,0)-MATCH($C$1,[1]quests!$1:$1,0)+1,FALSE)</f>
        <v>【キャンペーン限定】 ゴールドカジノ</v>
      </c>
      <c r="E113" s="29" t="str">
        <f ca="1">VLOOKUP($C113,OFFSET([1]quests!$A$1,0,0,COUNTA([1]quests!$A:$A),MATCH(E$1,[1]quests!$1:$1,0)-MATCH($C$1,[1]quests!$1:$1,0)+1),MATCH(E$1,[1]quests!$1:$1,0)-MATCH($C$1,[1]quests!$1:$1,0)+1,FALSE)</f>
        <v>土日クエスト2</v>
      </c>
      <c r="F113" s="32">
        <v>3</v>
      </c>
      <c r="G113" s="33" t="str">
        <f t="shared" si="15"/>
        <v>11206_3</v>
      </c>
      <c r="H113" s="20" t="str">
        <f ca="1">VLOOKUP($G113,OFFSET([1]stages!$A$1,0,0,COUNTA([1]stages!$A:$A),MATCH(H$1,[1]stages!$2:$2,0)-MATCH($G$1,[1]stages!$2:$2,0)+1),MATCH(H$1,[1]stages!$2:$2,0)-MATCH($G$1,[1]stages!$2:$2,0)+1,FALSE)</f>
        <v>ゴールドカジノ 【上級】</v>
      </c>
      <c r="I113" s="32">
        <v>3</v>
      </c>
      <c r="J113" s="13">
        <v>30</v>
      </c>
      <c r="K113" s="13">
        <v>45</v>
      </c>
    </row>
    <row r="114" spans="1:11" ht="21" customHeight="1">
      <c r="A114" s="21" t="str">
        <f t="shared" si="14"/>
        <v>11206_3-4</v>
      </c>
      <c r="B114" s="21" t="str">
        <f>IF(COUNTIF(enemy_habitats_cp_quests!$H:$H,A114),"OK","NG")</f>
        <v>OK</v>
      </c>
      <c r="C114" s="8">
        <v>11206</v>
      </c>
      <c r="D114" s="12" t="str">
        <f ca="1">VLOOKUP($C114,OFFSET([1]quests!$A$1,0,0,COUNTA([1]quests!$A:$A),MATCH(D$1,[1]quests!$1:$1,0)-MATCH($C$1,[1]quests!$1:$1,0)+1),MATCH(D$1,[1]quests!$1:$1,0)-MATCH($C$1,[1]quests!$1:$1,0)+1,FALSE)</f>
        <v>【キャンペーン限定】 ゴールドカジノ</v>
      </c>
      <c r="E114" s="29" t="str">
        <f ca="1">VLOOKUP($C114,OFFSET([1]quests!$A$1,0,0,COUNTA([1]quests!$A:$A),MATCH(E$1,[1]quests!$1:$1,0)-MATCH($C$1,[1]quests!$1:$1,0)+1),MATCH(E$1,[1]quests!$1:$1,0)-MATCH($C$1,[1]quests!$1:$1,0)+1,FALSE)</f>
        <v>土日クエスト2</v>
      </c>
      <c r="F114" s="32">
        <v>3</v>
      </c>
      <c r="G114" s="33" t="str">
        <f t="shared" si="15"/>
        <v>11206_3</v>
      </c>
      <c r="H114" s="20" t="str">
        <f ca="1">VLOOKUP($G114,OFFSET([1]stages!$A$1,0,0,COUNTA([1]stages!$A:$A),MATCH(H$1,[1]stages!$2:$2,0)-MATCH($G$1,[1]stages!$2:$2,0)+1),MATCH(H$1,[1]stages!$2:$2,0)-MATCH($G$1,[1]stages!$2:$2,0)+1,FALSE)</f>
        <v>ゴールドカジノ 【上級】</v>
      </c>
      <c r="I114" s="32">
        <v>4</v>
      </c>
      <c r="J114" s="13">
        <v>30</v>
      </c>
      <c r="K114" s="13">
        <v>45</v>
      </c>
    </row>
    <row r="115" spans="1:11" ht="21" customHeight="1">
      <c r="A115" s="21" t="str">
        <f t="shared" si="14"/>
        <v>11206_3-5</v>
      </c>
      <c r="B115" s="21" t="str">
        <f>IF(COUNTIF(enemy_habitats_cp_quests!$H:$H,A115),"OK","NG")</f>
        <v>OK</v>
      </c>
      <c r="C115" s="8">
        <v>11206</v>
      </c>
      <c r="D115" s="12" t="str">
        <f ca="1">VLOOKUP($C115,OFFSET([1]quests!$A$1,0,0,COUNTA([1]quests!$A:$A),MATCH(D$1,[1]quests!$1:$1,0)-MATCH($C$1,[1]quests!$1:$1,0)+1),MATCH(D$1,[1]quests!$1:$1,0)-MATCH($C$1,[1]quests!$1:$1,0)+1,FALSE)</f>
        <v>【キャンペーン限定】 ゴールドカジノ</v>
      </c>
      <c r="E115" s="29" t="str">
        <f ca="1">VLOOKUP($C115,OFFSET([1]quests!$A$1,0,0,COUNTA([1]quests!$A:$A),MATCH(E$1,[1]quests!$1:$1,0)-MATCH($C$1,[1]quests!$1:$1,0)+1),MATCH(E$1,[1]quests!$1:$1,0)-MATCH($C$1,[1]quests!$1:$1,0)+1,FALSE)</f>
        <v>土日クエスト2</v>
      </c>
      <c r="F115" s="32">
        <v>3</v>
      </c>
      <c r="G115" s="33" t="str">
        <f t="shared" si="15"/>
        <v>11206_3</v>
      </c>
      <c r="H115" s="20" t="str">
        <f ca="1">VLOOKUP($G115,OFFSET([1]stages!$A$1,0,0,COUNTA([1]stages!$A:$A),MATCH(H$1,[1]stages!$2:$2,0)-MATCH($G$1,[1]stages!$2:$2,0)+1),MATCH(H$1,[1]stages!$2:$2,0)-MATCH($G$1,[1]stages!$2:$2,0)+1,FALSE)</f>
        <v>ゴールドカジノ 【上級】</v>
      </c>
      <c r="I115" s="32">
        <v>5</v>
      </c>
      <c r="J115" s="13">
        <v>20</v>
      </c>
      <c r="K115" s="13">
        <v>20</v>
      </c>
    </row>
  </sheetData>
  <sheetProtection selectLockedCells="1" selectUnlockedCells="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J381"/>
  <sheetViews>
    <sheetView showGridLines="0" tabSelected="1" zoomScale="75" zoomScaleNormal="75" zoomScalePageLayoutView="75" workbookViewId="0">
      <pane xSplit="14" ySplit="1" topLeftCell="AE265" activePane="bottomRight" state="frozen"/>
      <selection pane="topRight" activeCell="N1" sqref="N1"/>
      <selection pane="bottomLeft" activeCell="A2" sqref="A2"/>
      <selection pane="bottomRight" activeCell="AE180" sqref="AE180"/>
    </sheetView>
  </sheetViews>
  <sheetFormatPr baseColWidth="12" defaultColWidth="13" defaultRowHeight="21" customHeight="1" outlineLevelCol="1" x14ac:dyDescent="0"/>
  <cols>
    <col min="1" max="1" width="12.5" style="30" bestFit="1" customWidth="1"/>
    <col min="2" max="2" width="12.5" style="4" bestFit="1" customWidth="1"/>
    <col min="3" max="3" width="12.375" style="4" bestFit="1" customWidth="1"/>
    <col min="4" max="4" width="14.625" style="15" customWidth="1" outlineLevel="1"/>
    <col min="5" max="6" width="15.625" style="4" customWidth="1" outlineLevel="1"/>
    <col min="7" max="7" width="11.875" style="4" bestFit="1" customWidth="1" collapsed="1"/>
    <col min="8" max="8" width="11.875" style="4" hidden="1" customWidth="1" outlineLevel="1"/>
    <col min="9" max="9" width="15.375" style="10" bestFit="1" customWidth="1"/>
    <col min="10" max="10" width="17.625" style="4" customWidth="1" outlineLevel="1"/>
    <col min="11" max="11" width="10.375" style="4" customWidth="1" outlineLevel="1"/>
    <col min="12" max="12" width="13.625" style="4" customWidth="1" outlineLevel="1"/>
    <col min="13" max="13" width="22.875" style="4" customWidth="1" outlineLevel="1"/>
    <col min="14" max="14" width="11.625" style="4" customWidth="1" outlineLevel="1"/>
    <col min="15" max="15" width="10.125" style="4" bestFit="1" customWidth="1"/>
    <col min="16" max="16" width="14.875" style="4" bestFit="1" customWidth="1"/>
    <col min="17" max="17" width="17.5" style="4" bestFit="1" customWidth="1"/>
    <col min="18" max="18" width="18.375" style="4" bestFit="1" customWidth="1"/>
    <col min="19" max="19" width="14" style="4" customWidth="1"/>
    <col min="20" max="20" width="14" style="4" customWidth="1" outlineLevel="1"/>
    <col min="21" max="21" width="13" style="4" bestFit="1" customWidth="1"/>
    <col min="22" max="22" width="13.5" style="4" bestFit="1" customWidth="1"/>
    <col min="23" max="23" width="12.375" style="4" bestFit="1" customWidth="1"/>
    <col min="24" max="24" width="11" style="4" bestFit="1" customWidth="1"/>
    <col min="25" max="25" width="14.875" style="4" bestFit="1" customWidth="1"/>
    <col min="26" max="26" width="17.625" style="14" customWidth="1" outlineLevel="1"/>
    <col min="27" max="28" width="13.625" style="15" customWidth="1" outlineLevel="1"/>
    <col min="29" max="29" width="16.875" style="11" bestFit="1" customWidth="1" collapsed="1"/>
    <col min="30" max="31" width="16.5" style="4" bestFit="1" customWidth="1"/>
    <col min="32" max="32" width="15.375" style="4" customWidth="1"/>
    <col min="33" max="16384" width="13" style="4"/>
  </cols>
  <sheetData>
    <row r="1" spans="1:36" ht="21" customHeight="1">
      <c r="A1" s="21" t="s">
        <v>29</v>
      </c>
      <c r="B1" s="1" t="s">
        <v>0</v>
      </c>
      <c r="C1" s="1" t="s">
        <v>1</v>
      </c>
      <c r="D1" s="20" t="s">
        <v>28</v>
      </c>
      <c r="E1" s="2" t="s">
        <v>20</v>
      </c>
      <c r="F1" s="2" t="s">
        <v>20</v>
      </c>
      <c r="G1" s="1" t="s">
        <v>19</v>
      </c>
      <c r="H1" s="20" t="s">
        <v>37</v>
      </c>
      <c r="I1" s="1" t="s">
        <v>2</v>
      </c>
      <c r="J1" s="25" t="s">
        <v>21</v>
      </c>
      <c r="K1" s="20" t="s">
        <v>24</v>
      </c>
      <c r="L1" s="20" t="s">
        <v>23</v>
      </c>
      <c r="M1" s="27" t="s">
        <v>26</v>
      </c>
      <c r="N1" s="2" t="s">
        <v>25</v>
      </c>
      <c r="O1" s="1" t="s">
        <v>3</v>
      </c>
      <c r="P1" s="45" t="s">
        <v>61</v>
      </c>
      <c r="Q1" s="45" t="s">
        <v>62</v>
      </c>
      <c r="R1" s="45" t="s">
        <v>63</v>
      </c>
      <c r="S1" s="20" t="s">
        <v>33</v>
      </c>
      <c r="T1" s="1" t="s">
        <v>4</v>
      </c>
      <c r="U1" s="1" t="s">
        <v>5</v>
      </c>
      <c r="V1" s="1" t="s">
        <v>49</v>
      </c>
      <c r="W1" s="1" t="s">
        <v>7</v>
      </c>
      <c r="X1" s="1" t="s">
        <v>8</v>
      </c>
      <c r="Y1" s="3" t="s">
        <v>9</v>
      </c>
      <c r="Z1" s="22" t="s">
        <v>16</v>
      </c>
      <c r="AA1" s="22" t="s">
        <v>17</v>
      </c>
      <c r="AB1" s="22" t="s">
        <v>27</v>
      </c>
      <c r="AC1" s="3" t="s">
        <v>10</v>
      </c>
      <c r="AD1" s="1" t="s">
        <v>11</v>
      </c>
      <c r="AE1" s="1" t="s">
        <v>12</v>
      </c>
      <c r="AF1" s="1" t="s">
        <v>40</v>
      </c>
      <c r="AG1" s="1" t="s">
        <v>42</v>
      </c>
      <c r="AH1" s="1" t="s">
        <v>44</v>
      </c>
      <c r="AI1" s="1" t="s">
        <v>46</v>
      </c>
      <c r="AJ1" s="1" t="s">
        <v>48</v>
      </c>
    </row>
    <row r="2" spans="1:36" ht="21" customHeight="1">
      <c r="A2" s="21" t="str">
        <f t="shared" ref="A2:A20" ca="1" si="0">B2&amp;"_"&amp;C2&amp;"-"&amp;G2&amp;"/"&amp;I2&amp;"&lt;lv"&amp;O2&amp;"&gt;s"&amp;X2</f>
        <v>11101_1-1/113&lt;lv3&gt;s1</v>
      </c>
      <c r="B2" s="8">
        <v>11101</v>
      </c>
      <c r="C2" s="49">
        <v>1</v>
      </c>
      <c r="D2" s="2" t="str">
        <f t="shared" ref="D2:D20" si="1">B2&amp;"_"&amp;C2</f>
        <v>11101_1</v>
      </c>
      <c r="E2" s="5" t="str">
        <f ca="1">VLOOKUP($B2,OFFSET([1]quests!$A$1,0,0,COUNTA([1]quests!$A:$A),MATCH(E$1,[1]quests!$1:$1,0)-MATCH($B$1,[1]quests!$1:$1,0)+1),MATCH(E$1,[1]quests!$1:$1,0)-MATCH($B$1,[1]quests!$1:$1,0)+1,FALSE)</f>
        <v>【キャンペーン限定】 黄の素材</v>
      </c>
      <c r="F2" s="5" t="str">
        <f ca="1">VLOOKUP($D2,OFFSET([1]stages!$A$1,0,0,COUNTA([1]stages!$A:$A),MATCH(F$1,[1]stages!$2:$2,0)-MATCH($D$1,[1]stages!$2:$2,0)+1),MATCH(F$1,[1]stages!$2:$2,0)-MATCH($D$1,[1]stages!$2:$2,0)+1,FALSE)</f>
        <v>雷のチェシャ猫 【初級】</v>
      </c>
      <c r="G2" s="32">
        <v>1</v>
      </c>
      <c r="H2" s="20" t="str">
        <f t="shared" ref="H2:H20" si="2">B2&amp;"_"&amp;C2&amp;"-"&amp;G2</f>
        <v>11101_1-1</v>
      </c>
      <c r="I2" s="31">
        <v>113</v>
      </c>
      <c r="J2" s="26" t="str">
        <f ca="1">VLOOKUP($I2,OFFSET([2]enemies!$A$1,0,0,COUNTA([2]enemies!$A:$A),MATCH(J$1,[2]enemies!$2:$2,0)-MATCH($I$1,[2]enemies!$2:$2,0)+1),MATCH(J$1,[2]enemies!$2:$2,0)-MATCH($I$1,[2]enemies!$2:$2,0)+1,FALSE)</f>
        <v>イエローチェシャ</v>
      </c>
      <c r="K2" s="29" t="str">
        <f ca="1">VLOOKUP($I2,OFFSET([2]enemies!$A$1,0,0,COUNTA([2]enemies!$A:$A),MATCH(K$1,[2]enemies!$2:$2,0)-MATCH($I$1,[2]enemies!$2:$2,0)+1),MATCH(K$1,[2]enemies!$2:$2,0)-MATCH($I$1,[2]enemies!$2:$2,0)+1,FALSE)</f>
        <v>yellow</v>
      </c>
      <c r="L2" s="29" t="str">
        <f ca="1">VLOOKUP($I2,OFFSET([3]characters!$A$1,0,0,COUNTA([3]characters!$A:$A),MATCH(L$1,[3]characters!$2:$2,0)-MATCH($I$1,[3]characters!$2:$2,0)+1),MATCH(L$1,[3]characters!$2:$2,0)-MATCH($I$1,[3]characters!$2:$2,0)+1,FALSE)</f>
        <v>Material</v>
      </c>
      <c r="M2" s="28" t="str">
        <f ca="1">VLOOKUP($I2,OFFSET([3]characters!$A$1,0,0,COUNTA([3]characters!$A:$A),MATCH(M$1,[3]characters!$2:$2,0)-MATCH($I$1,[3]characters!$2:$2,0)+2),MATCH(M$1,[3]characters!$2:$2,0)-MATCH($I$1,[3]characters!$2:$2,0)+2,FALSE)</f>
        <v>Unknown</v>
      </c>
      <c r="N2" s="5">
        <f ca="1">VLOOKUP($I2,OFFSET([2]enemies!$A$1,0,0,COUNTA([2]enemies!$A:$A),MATCH(N$1,[2]enemies!$2:$2,0)-MATCH($I$1,[2]enemies!$2:$2,0)+1),MATCH(N$1,[2]enemies!$2:$2,0)-MATCH($I$1,[2]enemies!$2:$2,0)+1,FALSE)</f>
        <v>15</v>
      </c>
      <c r="O2" s="6">
        <v>3</v>
      </c>
      <c r="P2" s="46">
        <v>1</v>
      </c>
      <c r="Q2" s="46">
        <v>1</v>
      </c>
      <c r="R2" s="6">
        <v>0</v>
      </c>
      <c r="S2" s="5" t="str">
        <f ca="1">VLOOKUP($T2,OFFSET([4]enemy_skill_sets!$B$1,0,0,COUNTA([4]enemy_skill_sets!$B:$B),MATCH(J$1,[4]enemy_skill_sets!$1:$1,0)-MATCH($T$1,[4]enemy_skill_sets!$1:$1,0)+2),MATCH(J$1,[4]enemy_skill_sets!$1:$1,0)-MATCH($T$1,[4]enemy_skill_sets!$1:$1,0)+2,FALSE)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" s="5">
        <f ca="1">VLOOKUP($I2,OFFSET([2]enemies!$A$1,0,0,COUNTA([2]enemies!$A:$A),MATCH(T$1,[2]enemies!$2:$2,0)-MATCH($I$1,[2]enemies!$2:$2,0)+1),MATCH(T$1,[2]enemies!$2:$2,0)-MATCH($I$1,[2]enemies!$2:$2,0)+1,FALSE)</f>
        <v>0</v>
      </c>
      <c r="U2" s="7">
        <v>0</v>
      </c>
      <c r="V2" s="7">
        <v>100</v>
      </c>
      <c r="W2" s="7">
        <v>0</v>
      </c>
      <c r="X2" s="26">
        <f ca="1">VLOOKUP($I2,OFFSET([2]enemies!$A$1,0,0,COUNTA([2]enemies!$A:$A),MATCH(X$1,[2]enemies!$2:$2,0)-MATCH($I$1,[2]enemies!$2:$2,0)+1),MATCH(X$1,[2]enemies!$2:$2,0)-MATCH($I$1,[2]enemies!$2:$2,0)+1,FALSE)</f>
        <v>1</v>
      </c>
      <c r="Y2" s="31">
        <v>113</v>
      </c>
      <c r="Z2" s="5" t="str">
        <f ca="1">IFERROR(VLOOKUP($Y2,OFFSET([3]characters!$A$1,0,0,COUNTA([3]characters!$A:$A),MATCH(Z$1,[3]characters!$2:$2,0)-MATCH("character_id",[3]characters!$2:$2,0)+1),MATCH(Z$1,[3]characters!$2:$2,0)-MATCH("character_id",[3]characters!$2:$2,0)+1,FALSE),"")</f>
        <v>イエローチェシャ</v>
      </c>
      <c r="AA2" s="5">
        <f ca="1">IFERROR(VLOOKUP($Y2,OFFSET([3]characters!$A$1,0,0,COUNTA([3]characters!$A:$A),MATCH(AA$1,[3]characters!$2:$2,0)-MATCH("character_id",[3]characters!$2:$2,0)+1),MATCH(AA$1,[3]characters!$2:$2,0)-MATCH("character_id",[3]characters!$2:$2,0)+1,FALSE),"")</f>
        <v>2</v>
      </c>
      <c r="AB2" s="5" t="str">
        <f ca="1">IFERROR(VLOOKUP($Y2,OFFSET([3]characters!$A$1,0,0,COUNTA([3]characters!$A:$A),MATCH(AB$1,[3]characters!$2:$2,0)-MATCH("character_id",[3]characters!$2:$2,0)+1),MATCH(AB$1,[3]characters!$2:$2,0)-MATCH("character_id",[3]characters!$2:$2,0)+1,FALSE),"")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" s="8">
        <v>1</v>
      </c>
      <c r="AD2" s="34">
        <f t="shared" ref="AD2:AD20" ca="1" si="3">AA2</f>
        <v>2</v>
      </c>
      <c r="AE2" s="9">
        <v>50</v>
      </c>
      <c r="AF2" s="8">
        <v>0</v>
      </c>
      <c r="AG2" s="8">
        <v>0</v>
      </c>
      <c r="AH2" s="8">
        <v>0</v>
      </c>
      <c r="AI2" s="8">
        <v>0</v>
      </c>
      <c r="AJ2" s="8">
        <v>1</v>
      </c>
    </row>
    <row r="3" spans="1:36" ht="21" customHeight="1">
      <c r="A3" s="21" t="str">
        <f t="shared" ca="1" si="0"/>
        <v>11101_1-2/113&lt;lv3&gt;s1</v>
      </c>
      <c r="B3" s="8">
        <v>11101</v>
      </c>
      <c r="C3" s="49">
        <v>1</v>
      </c>
      <c r="D3" s="2" t="str">
        <f t="shared" si="1"/>
        <v>11101_1</v>
      </c>
      <c r="E3" s="5" t="str">
        <f ca="1">VLOOKUP($B3,OFFSET([1]quests!$A$1,0,0,COUNTA([1]quests!$A:$A),MATCH(E$1,[1]quests!$1:$1,0)-MATCH($B$1,[1]quests!$1:$1,0)+1),MATCH(E$1,[1]quests!$1:$1,0)-MATCH($B$1,[1]quests!$1:$1,0)+1,FALSE)</f>
        <v>【キャンペーン限定】 黄の素材</v>
      </c>
      <c r="F3" s="5" t="str">
        <f ca="1">VLOOKUP($D3,OFFSET([1]stages!$A$1,0,0,COUNTA([1]stages!$A:$A),MATCH(F$1,[1]stages!$2:$2,0)-MATCH($D$1,[1]stages!$2:$2,0)+1),MATCH(F$1,[1]stages!$2:$2,0)-MATCH($D$1,[1]stages!$2:$2,0)+1,FALSE)</f>
        <v>雷のチェシャ猫 【初級】</v>
      </c>
      <c r="G3" s="32">
        <v>2</v>
      </c>
      <c r="H3" s="20" t="str">
        <f t="shared" si="2"/>
        <v>11101_1-2</v>
      </c>
      <c r="I3" s="31">
        <v>113</v>
      </c>
      <c r="J3" s="26" t="str">
        <f ca="1">VLOOKUP($I3,OFFSET([2]enemies!$A$1,0,0,COUNTA([2]enemies!$A:$A),MATCH(J$1,[2]enemies!$2:$2,0)-MATCH($I$1,[2]enemies!$2:$2,0)+1),MATCH(J$1,[2]enemies!$2:$2,0)-MATCH($I$1,[2]enemies!$2:$2,0)+1,FALSE)</f>
        <v>イエローチェシャ</v>
      </c>
      <c r="K3" s="29" t="str">
        <f ca="1">VLOOKUP($I3,OFFSET([2]enemies!$A$1,0,0,COUNTA([2]enemies!$A:$A),MATCH(K$1,[2]enemies!$2:$2,0)-MATCH($I$1,[2]enemies!$2:$2,0)+1),MATCH(K$1,[2]enemies!$2:$2,0)-MATCH($I$1,[2]enemies!$2:$2,0)+1,FALSE)</f>
        <v>yellow</v>
      </c>
      <c r="L3" s="29" t="str">
        <f ca="1">VLOOKUP($I3,OFFSET([3]characters!$A$1,0,0,COUNTA([3]characters!$A:$A),MATCH(L$1,[3]characters!$2:$2,0)-MATCH($I$1,[3]characters!$2:$2,0)+1),MATCH(L$1,[3]characters!$2:$2,0)-MATCH($I$1,[3]characters!$2:$2,0)+1,FALSE)</f>
        <v>Material</v>
      </c>
      <c r="M3" s="28" t="str">
        <f ca="1">VLOOKUP($I3,OFFSET([3]characters!$A$1,0,0,COUNTA([3]characters!$A:$A),MATCH(M$1,[3]characters!$2:$2,0)-MATCH($I$1,[3]characters!$2:$2,0)+2),MATCH(M$1,[3]characters!$2:$2,0)-MATCH($I$1,[3]characters!$2:$2,0)+2,FALSE)</f>
        <v>Unknown</v>
      </c>
      <c r="N3" s="5">
        <f ca="1">VLOOKUP($I3,OFFSET([2]enemies!$A$1,0,0,COUNTA([2]enemies!$A:$A),MATCH(N$1,[2]enemies!$2:$2,0)-MATCH($I$1,[2]enemies!$2:$2,0)+1),MATCH(N$1,[2]enemies!$2:$2,0)-MATCH($I$1,[2]enemies!$2:$2,0)+1,FALSE)</f>
        <v>15</v>
      </c>
      <c r="O3" s="6">
        <v>3</v>
      </c>
      <c r="P3" s="46">
        <v>1</v>
      </c>
      <c r="Q3" s="46">
        <v>1</v>
      </c>
      <c r="R3" s="6">
        <v>0</v>
      </c>
      <c r="S3" s="5" t="str">
        <f ca="1">VLOOKUP($T3,OFFSET([4]enemy_skill_sets!$B$1,0,0,COUNTA([4]enemy_skill_sets!$B:$B),MATCH(J$1,[4]enemy_skill_sets!$1:$1,0)-MATCH($T$1,[4]enemy_skill_sets!$1:$1,0)+2),MATCH(J$1,[4]enemy_skill_sets!$1:$1,0)-MATCH($T$1,[4]enemy_skill_sets!$1:$1,0)+2,FALSE)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" s="5">
        <f ca="1">VLOOKUP($I3,OFFSET([2]enemies!$A$1,0,0,COUNTA([2]enemies!$A:$A),MATCH(T$1,[2]enemies!$2:$2,0)-MATCH($I$1,[2]enemies!$2:$2,0)+1),MATCH(T$1,[2]enemies!$2:$2,0)-MATCH($I$1,[2]enemies!$2:$2,0)+1,FALSE)</f>
        <v>0</v>
      </c>
      <c r="U3" s="7">
        <v>0</v>
      </c>
      <c r="V3" s="7">
        <v>100</v>
      </c>
      <c r="W3" s="7">
        <v>0</v>
      </c>
      <c r="X3" s="26">
        <f ca="1">VLOOKUP($I3,OFFSET([2]enemies!$A$1,0,0,COUNTA([2]enemies!$A:$A),MATCH(X$1,[2]enemies!$2:$2,0)-MATCH($I$1,[2]enemies!$2:$2,0)+1),MATCH(X$1,[2]enemies!$2:$2,0)-MATCH($I$1,[2]enemies!$2:$2,0)+1,FALSE)</f>
        <v>1</v>
      </c>
      <c r="Y3" s="31">
        <v>113</v>
      </c>
      <c r="Z3" s="5" t="str">
        <f ca="1">IFERROR(VLOOKUP($Y3,OFFSET([3]characters!$A$1,0,0,COUNTA([3]characters!$A:$A),MATCH(Z$1,[3]characters!$2:$2,0)-MATCH("character_id",[3]characters!$2:$2,0)+1),MATCH(Z$1,[3]characters!$2:$2,0)-MATCH("character_id",[3]characters!$2:$2,0)+1,FALSE),"")</f>
        <v>イエローチェシャ</v>
      </c>
      <c r="AA3" s="5">
        <f ca="1">IFERROR(VLOOKUP($Y3,OFFSET([3]characters!$A$1,0,0,COUNTA([3]characters!$A:$A),MATCH(AA$1,[3]characters!$2:$2,0)-MATCH("character_id",[3]characters!$2:$2,0)+1),MATCH(AA$1,[3]characters!$2:$2,0)-MATCH("character_id",[3]characters!$2:$2,0)+1,FALSE),"")</f>
        <v>2</v>
      </c>
      <c r="AB3" s="5" t="str">
        <f ca="1">IFERROR(VLOOKUP($Y3,OFFSET([3]characters!$A$1,0,0,COUNTA([3]characters!$A:$A),MATCH(AB$1,[3]characters!$2:$2,0)-MATCH("character_id",[3]characters!$2:$2,0)+1),MATCH(AB$1,[3]characters!$2:$2,0)-MATCH("character_id",[3]characters!$2:$2,0)+1,FALSE),"")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" s="8">
        <v>1</v>
      </c>
      <c r="AD3" s="34">
        <f t="shared" ca="1" si="3"/>
        <v>2</v>
      </c>
      <c r="AE3" s="9">
        <v>50</v>
      </c>
      <c r="AF3" s="8">
        <v>0</v>
      </c>
      <c r="AG3" s="8">
        <v>0</v>
      </c>
      <c r="AH3" s="8">
        <v>0</v>
      </c>
      <c r="AI3" s="8">
        <v>0</v>
      </c>
      <c r="AJ3" s="8">
        <v>1</v>
      </c>
    </row>
    <row r="4" spans="1:36" ht="21" customHeight="1">
      <c r="A4" s="21" t="str">
        <f t="shared" ca="1" si="0"/>
        <v>11101_1-3/113&lt;lv3&gt;s1</v>
      </c>
      <c r="B4" s="8">
        <v>11101</v>
      </c>
      <c r="C4" s="49">
        <v>1</v>
      </c>
      <c r="D4" s="2" t="str">
        <f t="shared" si="1"/>
        <v>11101_1</v>
      </c>
      <c r="E4" s="5" t="str">
        <f ca="1">VLOOKUP($B4,OFFSET([1]quests!$A$1,0,0,COUNTA([1]quests!$A:$A),MATCH(E$1,[1]quests!$1:$1,0)-MATCH($B$1,[1]quests!$1:$1,0)+1),MATCH(E$1,[1]quests!$1:$1,0)-MATCH($B$1,[1]quests!$1:$1,0)+1,FALSE)</f>
        <v>【キャンペーン限定】 黄の素材</v>
      </c>
      <c r="F4" s="5" t="str">
        <f ca="1">VLOOKUP($D4,OFFSET([1]stages!$A$1,0,0,COUNTA([1]stages!$A:$A),MATCH(F$1,[1]stages!$2:$2,0)-MATCH($D$1,[1]stages!$2:$2,0)+1),MATCH(F$1,[1]stages!$2:$2,0)-MATCH($D$1,[1]stages!$2:$2,0)+1,FALSE)</f>
        <v>雷のチェシャ猫 【初級】</v>
      </c>
      <c r="G4" s="32">
        <v>3</v>
      </c>
      <c r="H4" s="20" t="str">
        <f t="shared" si="2"/>
        <v>11101_1-3</v>
      </c>
      <c r="I4" s="31">
        <v>113</v>
      </c>
      <c r="J4" s="26" t="str">
        <f ca="1">VLOOKUP($I4,OFFSET([2]enemies!$A$1,0,0,COUNTA([2]enemies!$A:$A),MATCH(J$1,[2]enemies!$2:$2,0)-MATCH($I$1,[2]enemies!$2:$2,0)+1),MATCH(J$1,[2]enemies!$2:$2,0)-MATCH($I$1,[2]enemies!$2:$2,0)+1,FALSE)</f>
        <v>イエローチェシャ</v>
      </c>
      <c r="K4" s="29" t="str">
        <f ca="1">VLOOKUP($I4,OFFSET([2]enemies!$A$1,0,0,COUNTA([2]enemies!$A:$A),MATCH(K$1,[2]enemies!$2:$2,0)-MATCH($I$1,[2]enemies!$2:$2,0)+1),MATCH(K$1,[2]enemies!$2:$2,0)-MATCH($I$1,[2]enemies!$2:$2,0)+1,FALSE)</f>
        <v>yellow</v>
      </c>
      <c r="L4" s="29" t="str">
        <f ca="1">VLOOKUP($I4,OFFSET([3]characters!$A$1,0,0,COUNTA([3]characters!$A:$A),MATCH(L$1,[3]characters!$2:$2,0)-MATCH($I$1,[3]characters!$2:$2,0)+1),MATCH(L$1,[3]characters!$2:$2,0)-MATCH($I$1,[3]characters!$2:$2,0)+1,FALSE)</f>
        <v>Material</v>
      </c>
      <c r="M4" s="28" t="str">
        <f ca="1">VLOOKUP($I4,OFFSET([3]characters!$A$1,0,0,COUNTA([3]characters!$A:$A),MATCH(M$1,[3]characters!$2:$2,0)-MATCH($I$1,[3]characters!$2:$2,0)+2),MATCH(M$1,[3]characters!$2:$2,0)-MATCH($I$1,[3]characters!$2:$2,0)+2,FALSE)</f>
        <v>Unknown</v>
      </c>
      <c r="N4" s="5">
        <f ca="1">VLOOKUP($I4,OFFSET([2]enemies!$A$1,0,0,COUNTA([2]enemies!$A:$A),MATCH(N$1,[2]enemies!$2:$2,0)-MATCH($I$1,[2]enemies!$2:$2,0)+1),MATCH(N$1,[2]enemies!$2:$2,0)-MATCH($I$1,[2]enemies!$2:$2,0)+1,FALSE)</f>
        <v>15</v>
      </c>
      <c r="O4" s="6">
        <v>3</v>
      </c>
      <c r="P4" s="46">
        <v>1</v>
      </c>
      <c r="Q4" s="46">
        <v>1</v>
      </c>
      <c r="R4" s="6">
        <v>0</v>
      </c>
      <c r="S4" s="5" t="str">
        <f ca="1">VLOOKUP($T4,OFFSET([4]enemy_skill_sets!$B$1,0,0,COUNTA([4]enemy_skill_sets!$B:$B),MATCH(J$1,[4]enemy_skill_sets!$1:$1,0)-MATCH($T$1,[4]enemy_skill_sets!$1:$1,0)+2),MATCH(J$1,[4]enemy_skill_sets!$1:$1,0)-MATCH($T$1,[4]enemy_skill_sets!$1:$1,0)+2,FALSE)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" s="5">
        <f ca="1">VLOOKUP($I4,OFFSET([2]enemies!$A$1,0,0,COUNTA([2]enemies!$A:$A),MATCH(T$1,[2]enemies!$2:$2,0)-MATCH($I$1,[2]enemies!$2:$2,0)+1),MATCH(T$1,[2]enemies!$2:$2,0)-MATCH($I$1,[2]enemies!$2:$2,0)+1,FALSE)</f>
        <v>0</v>
      </c>
      <c r="U4" s="7">
        <v>0</v>
      </c>
      <c r="V4" s="7">
        <v>100</v>
      </c>
      <c r="W4" s="7">
        <v>0</v>
      </c>
      <c r="X4" s="26">
        <f ca="1">VLOOKUP($I4,OFFSET([2]enemies!$A$1,0,0,COUNTA([2]enemies!$A:$A),MATCH(X$1,[2]enemies!$2:$2,0)-MATCH($I$1,[2]enemies!$2:$2,0)+1),MATCH(X$1,[2]enemies!$2:$2,0)-MATCH($I$1,[2]enemies!$2:$2,0)+1,FALSE)</f>
        <v>1</v>
      </c>
      <c r="Y4" s="31">
        <v>113</v>
      </c>
      <c r="Z4" s="5" t="str">
        <f ca="1">IFERROR(VLOOKUP($Y4,OFFSET([3]characters!$A$1,0,0,COUNTA([3]characters!$A:$A),MATCH(Z$1,[3]characters!$2:$2,0)-MATCH("character_id",[3]characters!$2:$2,0)+1),MATCH(Z$1,[3]characters!$2:$2,0)-MATCH("character_id",[3]characters!$2:$2,0)+1,FALSE),"")</f>
        <v>イエローチェシャ</v>
      </c>
      <c r="AA4" s="5">
        <f ca="1">IFERROR(VLOOKUP($Y4,OFFSET([3]characters!$A$1,0,0,COUNTA([3]characters!$A:$A),MATCH(AA$1,[3]characters!$2:$2,0)-MATCH("character_id",[3]characters!$2:$2,0)+1),MATCH(AA$1,[3]characters!$2:$2,0)-MATCH("character_id",[3]characters!$2:$2,0)+1,FALSE),"")</f>
        <v>2</v>
      </c>
      <c r="AB4" s="5" t="str">
        <f ca="1">IFERROR(VLOOKUP($Y4,OFFSET([3]characters!$A$1,0,0,COUNTA([3]characters!$A:$A),MATCH(AB$1,[3]characters!$2:$2,0)-MATCH("character_id",[3]characters!$2:$2,0)+1),MATCH(AB$1,[3]characters!$2:$2,0)-MATCH("character_id",[3]characters!$2:$2,0)+1,FALSE),"")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" s="8">
        <v>1</v>
      </c>
      <c r="AD4" s="34">
        <f t="shared" ca="1" si="3"/>
        <v>2</v>
      </c>
      <c r="AE4" s="9">
        <v>50</v>
      </c>
      <c r="AF4" s="8">
        <v>0</v>
      </c>
      <c r="AG4" s="8">
        <v>0</v>
      </c>
      <c r="AH4" s="8">
        <v>0</v>
      </c>
      <c r="AI4" s="8">
        <v>0</v>
      </c>
      <c r="AJ4" s="8">
        <v>1</v>
      </c>
    </row>
    <row r="5" spans="1:36" ht="21" customHeight="1">
      <c r="A5" s="21" t="str">
        <f t="shared" ca="1" si="0"/>
        <v>11101_1-3/114&lt;lv3&gt;s2</v>
      </c>
      <c r="B5" s="8">
        <v>11101</v>
      </c>
      <c r="C5" s="49">
        <v>1</v>
      </c>
      <c r="D5" s="2" t="str">
        <f t="shared" si="1"/>
        <v>11101_1</v>
      </c>
      <c r="E5" s="5" t="str">
        <f ca="1">VLOOKUP($B5,OFFSET([1]quests!$A$1,0,0,COUNTA([1]quests!$A:$A),MATCH(E$1,[1]quests!$1:$1,0)-MATCH($B$1,[1]quests!$1:$1,0)+1),MATCH(E$1,[1]quests!$1:$1,0)-MATCH($B$1,[1]quests!$1:$1,0)+1,FALSE)</f>
        <v>【キャンペーン限定】 黄の素材</v>
      </c>
      <c r="F5" s="5" t="str">
        <f ca="1">VLOOKUP($D5,OFFSET([1]stages!$A$1,0,0,COUNTA([1]stages!$A:$A),MATCH(F$1,[1]stages!$2:$2,0)-MATCH($D$1,[1]stages!$2:$2,0)+1),MATCH(F$1,[1]stages!$2:$2,0)-MATCH($D$1,[1]stages!$2:$2,0)+1,FALSE)</f>
        <v>雷のチェシャ猫 【初級】</v>
      </c>
      <c r="G5" s="32">
        <v>3</v>
      </c>
      <c r="H5" s="20" t="str">
        <f t="shared" si="2"/>
        <v>11101_1-3</v>
      </c>
      <c r="I5" s="31">
        <v>114</v>
      </c>
      <c r="J5" s="26" t="str">
        <f ca="1">VLOOKUP($I5,OFFSET([2]enemies!$A$1,0,0,COUNTA([2]enemies!$A:$A),MATCH(J$1,[2]enemies!$2:$2,0)-MATCH($I$1,[2]enemies!$2:$2,0)+1),MATCH(J$1,[2]enemies!$2:$2,0)-MATCH($I$1,[2]enemies!$2:$2,0)+1,FALSE)</f>
        <v>イエローラビット</v>
      </c>
      <c r="K5" s="29" t="str">
        <f ca="1">VLOOKUP($I5,OFFSET([2]enemies!$A$1,0,0,COUNTA([2]enemies!$A:$A),MATCH(K$1,[2]enemies!$2:$2,0)-MATCH($I$1,[2]enemies!$2:$2,0)+1),MATCH(K$1,[2]enemies!$2:$2,0)-MATCH($I$1,[2]enemies!$2:$2,0)+1,FALSE)</f>
        <v>yellow</v>
      </c>
      <c r="L5" s="29" t="str">
        <f ca="1">VLOOKUP($I5,OFFSET([3]characters!$A$1,0,0,COUNTA([3]characters!$A:$A),MATCH(L$1,[3]characters!$2:$2,0)-MATCH($I$1,[3]characters!$2:$2,0)+1),MATCH(L$1,[3]characters!$2:$2,0)-MATCH($I$1,[3]characters!$2:$2,0)+1,FALSE)</f>
        <v>Material</v>
      </c>
      <c r="M5" s="28" t="str">
        <f ca="1">VLOOKUP($I5,OFFSET([3]characters!$A$1,0,0,COUNTA([3]characters!$A:$A),MATCH(M$1,[3]characters!$2:$2,0)-MATCH($I$1,[3]characters!$2:$2,0)+2),MATCH(M$1,[3]characters!$2:$2,0)-MATCH($I$1,[3]characters!$2:$2,0)+2,FALSE)</f>
        <v>Unknown</v>
      </c>
      <c r="N5" s="5">
        <f ca="1">VLOOKUP($I5,OFFSET([2]enemies!$A$1,0,0,COUNTA([2]enemies!$A:$A),MATCH(N$1,[2]enemies!$2:$2,0)-MATCH($I$1,[2]enemies!$2:$2,0)+1),MATCH(N$1,[2]enemies!$2:$2,0)-MATCH($I$1,[2]enemies!$2:$2,0)+1,FALSE)</f>
        <v>15</v>
      </c>
      <c r="O5" s="6">
        <v>3</v>
      </c>
      <c r="P5" s="46">
        <v>1.8</v>
      </c>
      <c r="Q5" s="46">
        <v>1</v>
      </c>
      <c r="R5" s="6">
        <v>0</v>
      </c>
      <c r="S5" s="5" t="str">
        <f ca="1">VLOOKUP($T5,OFFSET([4]enemy_skill_sets!$B$1,0,0,COUNTA([4]enemy_skill_sets!$B:$B),MATCH(J$1,[4]enemy_skill_sets!$1:$1,0)-MATCH($T$1,[4]enemy_skill_sets!$1:$1,0)+2),MATCH(J$1,[4]enemy_skill_sets!$1:$1,0)-MATCH($T$1,[4]enemy_skill_sets!$1:$1,0)+2,FALSE)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" s="5">
        <f ca="1">VLOOKUP($I5,OFFSET([2]enemies!$A$1,0,0,COUNTA([2]enemies!$A:$A),MATCH(T$1,[2]enemies!$2:$2,0)-MATCH($I$1,[2]enemies!$2:$2,0)+1),MATCH(T$1,[2]enemies!$2:$2,0)-MATCH($I$1,[2]enemies!$2:$2,0)+1,FALSE)</f>
        <v>0</v>
      </c>
      <c r="U5" s="7">
        <v>0</v>
      </c>
      <c r="V5" s="7">
        <v>40</v>
      </c>
      <c r="W5" s="7">
        <v>0</v>
      </c>
      <c r="X5" s="26">
        <f ca="1">VLOOKUP($I5,OFFSET([2]enemies!$A$1,0,0,COUNTA([2]enemies!$A:$A),MATCH(X$1,[2]enemies!$2:$2,0)-MATCH($I$1,[2]enemies!$2:$2,0)+1),MATCH(X$1,[2]enemies!$2:$2,0)-MATCH($I$1,[2]enemies!$2:$2,0)+1,FALSE)</f>
        <v>2</v>
      </c>
      <c r="Y5" s="31">
        <v>114</v>
      </c>
      <c r="Z5" s="5" t="str">
        <f ca="1">IFERROR(VLOOKUP($Y5,OFFSET([3]characters!$A$1,0,0,COUNTA([3]characters!$A:$A),MATCH(Z$1,[3]characters!$2:$2,0)-MATCH("character_id",[3]characters!$2:$2,0)+1),MATCH(Z$1,[3]characters!$2:$2,0)-MATCH("character_id",[3]characters!$2:$2,0)+1,FALSE),"")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5" s="5">
        <f ca="1">IFERROR(VLOOKUP($Y5,OFFSET([3]characters!$A$1,0,0,COUNTA([3]characters!$A:$A),MATCH(AA$1,[3]characters!$2:$2,0)-MATCH("character_id",[3]characters!$2:$2,0)+1),MATCH(AA$1,[3]characters!$2:$2,0)-MATCH("character_id",[3]characters!$2:$2,0)+1,FALSE),"")</f>
        <v>3</v>
      </c>
      <c r="AB5" s="5" t="str">
        <f ca="1">IFERROR(VLOOKUP($Y5,OFFSET([3]characters!$A$1,0,0,COUNTA([3]characters!$A:$A),MATCH(AB$1,[3]characters!$2:$2,0)-MATCH("character_id",[3]characters!$2:$2,0)+1),MATCH(AB$1,[3]characters!$2:$2,0)-MATCH("character_id",[3]characters!$2:$2,0)+1,FALSE),"")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" s="8">
        <v>1</v>
      </c>
      <c r="AD5" s="34">
        <f t="shared" ca="1" si="3"/>
        <v>3</v>
      </c>
      <c r="AE5" s="9">
        <v>10</v>
      </c>
      <c r="AF5" s="8">
        <v>0</v>
      </c>
      <c r="AG5" s="8">
        <v>0</v>
      </c>
      <c r="AH5" s="8">
        <v>0</v>
      </c>
      <c r="AI5" s="8">
        <v>0</v>
      </c>
      <c r="AJ5" s="8">
        <v>1</v>
      </c>
    </row>
    <row r="6" spans="1:36" ht="21" customHeight="1">
      <c r="A6" s="21" t="str">
        <f t="shared" ca="1" si="0"/>
        <v>11101_1-4/113&lt;lv3&gt;s1</v>
      </c>
      <c r="B6" s="8">
        <v>11101</v>
      </c>
      <c r="C6" s="49">
        <v>1</v>
      </c>
      <c r="D6" s="2" t="str">
        <f t="shared" si="1"/>
        <v>11101_1</v>
      </c>
      <c r="E6" s="5" t="str">
        <f ca="1">VLOOKUP($B6,OFFSET([1]quests!$A$1,0,0,COUNTA([1]quests!$A:$A),MATCH(E$1,[1]quests!$1:$1,0)-MATCH($B$1,[1]quests!$1:$1,0)+1),MATCH(E$1,[1]quests!$1:$1,0)-MATCH($B$1,[1]quests!$1:$1,0)+1,FALSE)</f>
        <v>【キャンペーン限定】 黄の素材</v>
      </c>
      <c r="F6" s="5" t="str">
        <f ca="1">VLOOKUP($D6,OFFSET([1]stages!$A$1,0,0,COUNTA([1]stages!$A:$A),MATCH(F$1,[1]stages!$2:$2,0)-MATCH($D$1,[1]stages!$2:$2,0)+1),MATCH(F$1,[1]stages!$2:$2,0)-MATCH($D$1,[1]stages!$2:$2,0)+1,FALSE)</f>
        <v>雷のチェシャ猫 【初級】</v>
      </c>
      <c r="G6" s="32">
        <v>4</v>
      </c>
      <c r="H6" s="20" t="str">
        <f t="shared" si="2"/>
        <v>11101_1-4</v>
      </c>
      <c r="I6" s="31">
        <v>113</v>
      </c>
      <c r="J6" s="26" t="str">
        <f ca="1">VLOOKUP($I6,OFFSET([2]enemies!$A$1,0,0,COUNTA([2]enemies!$A:$A),MATCH(J$1,[2]enemies!$2:$2,0)-MATCH($I$1,[2]enemies!$2:$2,0)+1),MATCH(J$1,[2]enemies!$2:$2,0)-MATCH($I$1,[2]enemies!$2:$2,0)+1,FALSE)</f>
        <v>イエローチェシャ</v>
      </c>
      <c r="K6" s="29" t="str">
        <f ca="1">VLOOKUP($I6,OFFSET([2]enemies!$A$1,0,0,COUNTA([2]enemies!$A:$A),MATCH(K$1,[2]enemies!$2:$2,0)-MATCH($I$1,[2]enemies!$2:$2,0)+1),MATCH(K$1,[2]enemies!$2:$2,0)-MATCH($I$1,[2]enemies!$2:$2,0)+1,FALSE)</f>
        <v>yellow</v>
      </c>
      <c r="L6" s="29" t="str">
        <f ca="1">VLOOKUP($I6,OFFSET([3]characters!$A$1,0,0,COUNTA([3]characters!$A:$A),MATCH(L$1,[3]characters!$2:$2,0)-MATCH($I$1,[3]characters!$2:$2,0)+1),MATCH(L$1,[3]characters!$2:$2,0)-MATCH($I$1,[3]characters!$2:$2,0)+1,FALSE)</f>
        <v>Material</v>
      </c>
      <c r="M6" s="28" t="str">
        <f ca="1">VLOOKUP($I6,OFFSET([3]characters!$A$1,0,0,COUNTA([3]characters!$A:$A),MATCH(M$1,[3]characters!$2:$2,0)-MATCH($I$1,[3]characters!$2:$2,0)+2),MATCH(M$1,[3]characters!$2:$2,0)-MATCH($I$1,[3]characters!$2:$2,0)+2,FALSE)</f>
        <v>Unknown</v>
      </c>
      <c r="N6" s="5">
        <f ca="1">VLOOKUP($I6,OFFSET([2]enemies!$A$1,0,0,COUNTA([2]enemies!$A:$A),MATCH(N$1,[2]enemies!$2:$2,0)-MATCH($I$1,[2]enemies!$2:$2,0)+1),MATCH(N$1,[2]enemies!$2:$2,0)-MATCH($I$1,[2]enemies!$2:$2,0)+1,FALSE)</f>
        <v>15</v>
      </c>
      <c r="O6" s="6">
        <v>3</v>
      </c>
      <c r="P6" s="46">
        <v>1</v>
      </c>
      <c r="Q6" s="46">
        <v>1</v>
      </c>
      <c r="R6" s="6">
        <v>0</v>
      </c>
      <c r="S6" s="5" t="str">
        <f ca="1">VLOOKUP($T6,OFFSET([4]enemy_skill_sets!$B$1,0,0,COUNTA([4]enemy_skill_sets!$B:$B),MATCH(J$1,[4]enemy_skill_sets!$1:$1,0)-MATCH($T$1,[4]enemy_skill_sets!$1:$1,0)+2),MATCH(J$1,[4]enemy_skill_sets!$1:$1,0)-MATCH($T$1,[4]enemy_skill_sets!$1:$1,0)+2,FALSE)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" s="5">
        <f ca="1">VLOOKUP($I6,OFFSET([2]enemies!$A$1,0,0,COUNTA([2]enemies!$A:$A),MATCH(T$1,[2]enemies!$2:$2,0)-MATCH($I$1,[2]enemies!$2:$2,0)+1),MATCH(T$1,[2]enemies!$2:$2,0)-MATCH($I$1,[2]enemies!$2:$2,0)+1,FALSE)</f>
        <v>0</v>
      </c>
      <c r="U6" s="7">
        <v>0</v>
      </c>
      <c r="V6" s="7">
        <v>100</v>
      </c>
      <c r="W6" s="7">
        <v>0</v>
      </c>
      <c r="X6" s="26">
        <f ca="1">VLOOKUP($I6,OFFSET([2]enemies!$A$1,0,0,COUNTA([2]enemies!$A:$A),MATCH(X$1,[2]enemies!$2:$2,0)-MATCH($I$1,[2]enemies!$2:$2,0)+1),MATCH(X$1,[2]enemies!$2:$2,0)-MATCH($I$1,[2]enemies!$2:$2,0)+1,FALSE)</f>
        <v>1</v>
      </c>
      <c r="Y6" s="31">
        <v>113</v>
      </c>
      <c r="Z6" s="5" t="str">
        <f ca="1">IFERROR(VLOOKUP($Y6,OFFSET([3]characters!$A$1,0,0,COUNTA([3]characters!$A:$A),MATCH(Z$1,[3]characters!$2:$2,0)-MATCH("character_id",[3]characters!$2:$2,0)+1),MATCH(Z$1,[3]characters!$2:$2,0)-MATCH("character_id",[3]characters!$2:$2,0)+1,FALSE),"")</f>
        <v>イエローチェシャ</v>
      </c>
      <c r="AA6" s="5">
        <f ca="1">IFERROR(VLOOKUP($Y6,OFFSET([3]characters!$A$1,0,0,COUNTA([3]characters!$A:$A),MATCH(AA$1,[3]characters!$2:$2,0)-MATCH("character_id",[3]characters!$2:$2,0)+1),MATCH(AA$1,[3]characters!$2:$2,0)-MATCH("character_id",[3]characters!$2:$2,0)+1,FALSE),"")</f>
        <v>2</v>
      </c>
      <c r="AB6" s="5" t="str">
        <f ca="1">IFERROR(VLOOKUP($Y6,OFFSET([3]characters!$A$1,0,0,COUNTA([3]characters!$A:$A),MATCH(AB$1,[3]characters!$2:$2,0)-MATCH("character_id",[3]characters!$2:$2,0)+1),MATCH(AB$1,[3]characters!$2:$2,0)-MATCH("character_id",[3]characters!$2:$2,0)+1,FALSE),"")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" s="8">
        <v>1</v>
      </c>
      <c r="AD6" s="34">
        <f t="shared" ca="1" si="3"/>
        <v>2</v>
      </c>
      <c r="AE6" s="9">
        <v>50</v>
      </c>
      <c r="AF6" s="8">
        <v>0</v>
      </c>
      <c r="AG6" s="8">
        <v>0</v>
      </c>
      <c r="AH6" s="8">
        <v>0</v>
      </c>
      <c r="AI6" s="8">
        <v>0</v>
      </c>
      <c r="AJ6" s="8">
        <v>1</v>
      </c>
    </row>
    <row r="7" spans="1:36" ht="21" customHeight="1">
      <c r="A7" s="21" t="str">
        <f t="shared" ca="1" si="0"/>
        <v>11101_1-4/114&lt;lv3&gt;s2</v>
      </c>
      <c r="B7" s="8">
        <v>11101</v>
      </c>
      <c r="C7" s="49">
        <v>1</v>
      </c>
      <c r="D7" s="2" t="str">
        <f t="shared" si="1"/>
        <v>11101_1</v>
      </c>
      <c r="E7" s="5" t="str">
        <f ca="1">VLOOKUP($B7,OFFSET([1]quests!$A$1,0,0,COUNTA([1]quests!$A:$A),MATCH(E$1,[1]quests!$1:$1,0)-MATCH($B$1,[1]quests!$1:$1,0)+1),MATCH(E$1,[1]quests!$1:$1,0)-MATCH($B$1,[1]quests!$1:$1,0)+1,FALSE)</f>
        <v>【キャンペーン限定】 黄の素材</v>
      </c>
      <c r="F7" s="5" t="str">
        <f ca="1">VLOOKUP($D7,OFFSET([1]stages!$A$1,0,0,COUNTA([1]stages!$A:$A),MATCH(F$1,[1]stages!$2:$2,0)-MATCH($D$1,[1]stages!$2:$2,0)+1),MATCH(F$1,[1]stages!$2:$2,0)-MATCH($D$1,[1]stages!$2:$2,0)+1,FALSE)</f>
        <v>雷のチェシャ猫 【初級】</v>
      </c>
      <c r="G7" s="32">
        <v>4</v>
      </c>
      <c r="H7" s="20" t="str">
        <f t="shared" si="2"/>
        <v>11101_1-4</v>
      </c>
      <c r="I7" s="31">
        <v>114</v>
      </c>
      <c r="J7" s="26" t="str">
        <f ca="1">VLOOKUP($I7,OFFSET([2]enemies!$A$1,0,0,COUNTA([2]enemies!$A:$A),MATCH(J$1,[2]enemies!$2:$2,0)-MATCH($I$1,[2]enemies!$2:$2,0)+1),MATCH(J$1,[2]enemies!$2:$2,0)-MATCH($I$1,[2]enemies!$2:$2,0)+1,FALSE)</f>
        <v>イエローラビット</v>
      </c>
      <c r="K7" s="29" t="str">
        <f ca="1">VLOOKUP($I7,OFFSET([2]enemies!$A$1,0,0,COUNTA([2]enemies!$A:$A),MATCH(K$1,[2]enemies!$2:$2,0)-MATCH($I$1,[2]enemies!$2:$2,0)+1),MATCH(K$1,[2]enemies!$2:$2,0)-MATCH($I$1,[2]enemies!$2:$2,0)+1,FALSE)</f>
        <v>yellow</v>
      </c>
      <c r="L7" s="29" t="str">
        <f ca="1">VLOOKUP($I7,OFFSET([3]characters!$A$1,0,0,COUNTA([3]characters!$A:$A),MATCH(L$1,[3]characters!$2:$2,0)-MATCH($I$1,[3]characters!$2:$2,0)+1),MATCH(L$1,[3]characters!$2:$2,0)-MATCH($I$1,[3]characters!$2:$2,0)+1,FALSE)</f>
        <v>Material</v>
      </c>
      <c r="M7" s="28" t="str">
        <f ca="1">VLOOKUP($I7,OFFSET([3]characters!$A$1,0,0,COUNTA([3]characters!$A:$A),MATCH(M$1,[3]characters!$2:$2,0)-MATCH($I$1,[3]characters!$2:$2,0)+2),MATCH(M$1,[3]characters!$2:$2,0)-MATCH($I$1,[3]characters!$2:$2,0)+2,FALSE)</f>
        <v>Unknown</v>
      </c>
      <c r="N7" s="5">
        <f ca="1">VLOOKUP($I7,OFFSET([2]enemies!$A$1,0,0,COUNTA([2]enemies!$A:$A),MATCH(N$1,[2]enemies!$2:$2,0)-MATCH($I$1,[2]enemies!$2:$2,0)+1),MATCH(N$1,[2]enemies!$2:$2,0)-MATCH($I$1,[2]enemies!$2:$2,0)+1,FALSE)</f>
        <v>15</v>
      </c>
      <c r="O7" s="6">
        <v>3</v>
      </c>
      <c r="P7" s="48">
        <v>1.8</v>
      </c>
      <c r="Q7" s="46">
        <v>1</v>
      </c>
      <c r="R7" s="6">
        <v>0</v>
      </c>
      <c r="S7" s="5" t="str">
        <f ca="1">VLOOKUP($T7,OFFSET([4]enemy_skill_sets!$B$1,0,0,COUNTA([4]enemy_skill_sets!$B:$B),MATCH(J$1,[4]enemy_skill_sets!$1:$1,0)-MATCH($T$1,[4]enemy_skill_sets!$1:$1,0)+2),MATCH(J$1,[4]enemy_skill_sets!$1:$1,0)-MATCH($T$1,[4]enemy_skill_sets!$1:$1,0)+2,FALSE)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" s="5">
        <f ca="1">VLOOKUP($I7,OFFSET([2]enemies!$A$1,0,0,COUNTA([2]enemies!$A:$A),MATCH(T$1,[2]enemies!$2:$2,0)-MATCH($I$1,[2]enemies!$2:$2,0)+1),MATCH(T$1,[2]enemies!$2:$2,0)-MATCH($I$1,[2]enemies!$2:$2,0)+1,FALSE)</f>
        <v>0</v>
      </c>
      <c r="U7" s="7">
        <v>0</v>
      </c>
      <c r="V7" s="7">
        <v>40</v>
      </c>
      <c r="W7" s="7">
        <v>0</v>
      </c>
      <c r="X7" s="26">
        <f ca="1">VLOOKUP($I7,OFFSET([2]enemies!$A$1,0,0,COUNTA([2]enemies!$A:$A),MATCH(X$1,[2]enemies!$2:$2,0)-MATCH($I$1,[2]enemies!$2:$2,0)+1),MATCH(X$1,[2]enemies!$2:$2,0)-MATCH($I$1,[2]enemies!$2:$2,0)+1,FALSE)</f>
        <v>2</v>
      </c>
      <c r="Y7" s="31">
        <v>114</v>
      </c>
      <c r="Z7" s="5" t="str">
        <f ca="1">IFERROR(VLOOKUP($Y7,OFFSET([3]characters!$A$1,0,0,COUNTA([3]characters!$A:$A),MATCH(Z$1,[3]characters!$2:$2,0)-MATCH("character_id",[3]characters!$2:$2,0)+1),MATCH(Z$1,[3]characters!$2:$2,0)-MATCH("character_id",[3]characters!$2:$2,0)+1,FALSE),"")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7" s="5">
        <f ca="1">IFERROR(VLOOKUP($Y7,OFFSET([3]characters!$A$1,0,0,COUNTA([3]characters!$A:$A),MATCH(AA$1,[3]characters!$2:$2,0)-MATCH("character_id",[3]characters!$2:$2,0)+1),MATCH(AA$1,[3]characters!$2:$2,0)-MATCH("character_id",[3]characters!$2:$2,0)+1,FALSE),"")</f>
        <v>3</v>
      </c>
      <c r="AB7" s="5" t="str">
        <f ca="1">IFERROR(VLOOKUP($Y7,OFFSET([3]characters!$A$1,0,0,COUNTA([3]characters!$A:$A),MATCH(AB$1,[3]characters!$2:$2,0)-MATCH("character_id",[3]characters!$2:$2,0)+1),MATCH(AB$1,[3]characters!$2:$2,0)-MATCH("character_id",[3]characters!$2:$2,0)+1,FALSE),"")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7" s="8">
        <v>1</v>
      </c>
      <c r="AD7" s="34">
        <f t="shared" ca="1" si="3"/>
        <v>3</v>
      </c>
      <c r="AE7" s="9">
        <v>20</v>
      </c>
      <c r="AF7" s="8">
        <v>0</v>
      </c>
      <c r="AG7" s="8">
        <v>0</v>
      </c>
      <c r="AH7" s="8">
        <v>0</v>
      </c>
      <c r="AI7" s="8">
        <v>0</v>
      </c>
      <c r="AJ7" s="8">
        <v>1</v>
      </c>
    </row>
    <row r="8" spans="1:36" ht="21" customHeight="1">
      <c r="A8" s="21" t="str">
        <f t="shared" ca="1" si="0"/>
        <v>11101_1-5/113&lt;lv3&gt;s1</v>
      </c>
      <c r="B8" s="8">
        <v>11101</v>
      </c>
      <c r="C8" s="49">
        <v>1</v>
      </c>
      <c r="D8" s="2" t="str">
        <f t="shared" si="1"/>
        <v>11101_1</v>
      </c>
      <c r="E8" s="5" t="str">
        <f ca="1">VLOOKUP($B8,OFFSET([1]quests!$A$1,0,0,COUNTA([1]quests!$A:$A),MATCH(E$1,[1]quests!$1:$1,0)-MATCH($B$1,[1]quests!$1:$1,0)+1),MATCH(E$1,[1]quests!$1:$1,0)-MATCH($B$1,[1]quests!$1:$1,0)+1,FALSE)</f>
        <v>【キャンペーン限定】 黄の素材</v>
      </c>
      <c r="F8" s="5" t="str">
        <f ca="1">VLOOKUP($D8,OFFSET([1]stages!$A$1,0,0,COUNTA([1]stages!$A:$A),MATCH(F$1,[1]stages!$2:$2,0)-MATCH($D$1,[1]stages!$2:$2,0)+1),MATCH(F$1,[1]stages!$2:$2,0)-MATCH($D$1,[1]stages!$2:$2,0)+1,FALSE)</f>
        <v>雷のチェシャ猫 【初級】</v>
      </c>
      <c r="G8" s="32">
        <v>5</v>
      </c>
      <c r="H8" s="20" t="str">
        <f t="shared" si="2"/>
        <v>11101_1-5</v>
      </c>
      <c r="I8" s="31">
        <v>113</v>
      </c>
      <c r="J8" s="26" t="str">
        <f ca="1">VLOOKUP($I8,OFFSET([2]enemies!$A$1,0,0,COUNTA([2]enemies!$A:$A),MATCH(J$1,[2]enemies!$2:$2,0)-MATCH($I$1,[2]enemies!$2:$2,0)+1),MATCH(J$1,[2]enemies!$2:$2,0)-MATCH($I$1,[2]enemies!$2:$2,0)+1,FALSE)</f>
        <v>イエローチェシャ</v>
      </c>
      <c r="K8" s="29" t="str">
        <f ca="1">VLOOKUP($I8,OFFSET([2]enemies!$A$1,0,0,COUNTA([2]enemies!$A:$A),MATCH(K$1,[2]enemies!$2:$2,0)-MATCH($I$1,[2]enemies!$2:$2,0)+1),MATCH(K$1,[2]enemies!$2:$2,0)-MATCH($I$1,[2]enemies!$2:$2,0)+1,FALSE)</f>
        <v>yellow</v>
      </c>
      <c r="L8" s="29" t="str">
        <f ca="1">VLOOKUP($I8,OFFSET([3]characters!$A$1,0,0,COUNTA([3]characters!$A:$A),MATCH(L$1,[3]characters!$2:$2,0)-MATCH($I$1,[3]characters!$2:$2,0)+1),MATCH(L$1,[3]characters!$2:$2,0)-MATCH($I$1,[3]characters!$2:$2,0)+1,FALSE)</f>
        <v>Material</v>
      </c>
      <c r="M8" s="28" t="str">
        <f ca="1">VLOOKUP($I8,OFFSET([3]characters!$A$1,0,0,COUNTA([3]characters!$A:$A),MATCH(M$1,[3]characters!$2:$2,0)-MATCH($I$1,[3]characters!$2:$2,0)+2),MATCH(M$1,[3]characters!$2:$2,0)-MATCH($I$1,[3]characters!$2:$2,0)+2,FALSE)</f>
        <v>Unknown</v>
      </c>
      <c r="N8" s="5">
        <f ca="1">VLOOKUP($I8,OFFSET([2]enemies!$A$1,0,0,COUNTA([2]enemies!$A:$A),MATCH(N$1,[2]enemies!$2:$2,0)-MATCH($I$1,[2]enemies!$2:$2,0)+1),MATCH(N$1,[2]enemies!$2:$2,0)-MATCH($I$1,[2]enemies!$2:$2,0)+1,FALSE)</f>
        <v>15</v>
      </c>
      <c r="O8" s="6">
        <v>3</v>
      </c>
      <c r="P8" s="46">
        <v>1</v>
      </c>
      <c r="Q8" s="46">
        <v>1</v>
      </c>
      <c r="R8" s="6">
        <v>0</v>
      </c>
      <c r="S8" s="5" t="str">
        <f ca="1">VLOOKUP($T8,OFFSET([4]enemy_skill_sets!$B$1,0,0,COUNTA([4]enemy_skill_sets!$B:$B),MATCH(J$1,[4]enemy_skill_sets!$1:$1,0)-MATCH($T$1,[4]enemy_skill_sets!$1:$1,0)+2),MATCH(J$1,[4]enemy_skill_sets!$1:$1,0)-MATCH($T$1,[4]enemy_skill_sets!$1:$1,0)+2,FALSE)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" s="5">
        <f ca="1">VLOOKUP($I8,OFFSET([2]enemies!$A$1,0,0,COUNTA([2]enemies!$A:$A),MATCH(T$1,[2]enemies!$2:$2,0)-MATCH($I$1,[2]enemies!$2:$2,0)+1),MATCH(T$1,[2]enemies!$2:$2,0)-MATCH($I$1,[2]enemies!$2:$2,0)+1,FALSE)</f>
        <v>0</v>
      </c>
      <c r="U8" s="7">
        <v>2</v>
      </c>
      <c r="V8" s="7">
        <v>100</v>
      </c>
      <c r="W8" s="7">
        <v>0</v>
      </c>
      <c r="X8" s="26">
        <f ca="1">VLOOKUP($I8,OFFSET([2]enemies!$A$1,0,0,COUNTA([2]enemies!$A:$A),MATCH(X$1,[2]enemies!$2:$2,0)-MATCH($I$1,[2]enemies!$2:$2,0)+1),MATCH(X$1,[2]enemies!$2:$2,0)-MATCH($I$1,[2]enemies!$2:$2,0)+1,FALSE)</f>
        <v>1</v>
      </c>
      <c r="Y8" s="31">
        <v>113</v>
      </c>
      <c r="Z8" s="5" t="str">
        <f ca="1">IFERROR(VLOOKUP($Y8,OFFSET([3]characters!$A$1,0,0,COUNTA([3]characters!$A:$A),MATCH(Z$1,[3]characters!$2:$2,0)-MATCH("character_id",[3]characters!$2:$2,0)+1),MATCH(Z$1,[3]characters!$2:$2,0)-MATCH("character_id",[3]characters!$2:$2,0)+1,FALSE),"")</f>
        <v>イエローチェシャ</v>
      </c>
      <c r="AA8" s="5">
        <f ca="1">IFERROR(VLOOKUP($Y8,OFFSET([3]characters!$A$1,0,0,COUNTA([3]characters!$A:$A),MATCH(AA$1,[3]characters!$2:$2,0)-MATCH("character_id",[3]characters!$2:$2,0)+1),MATCH(AA$1,[3]characters!$2:$2,0)-MATCH("character_id",[3]characters!$2:$2,0)+1,FALSE),"")</f>
        <v>2</v>
      </c>
      <c r="AB8" s="5" t="str">
        <f ca="1">IFERROR(VLOOKUP($Y8,OFFSET([3]characters!$A$1,0,0,COUNTA([3]characters!$A:$A),MATCH(AB$1,[3]characters!$2:$2,0)-MATCH("character_id",[3]characters!$2:$2,0)+1),MATCH(AB$1,[3]characters!$2:$2,0)-MATCH("character_id",[3]characters!$2:$2,0)+1,FALSE),"")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8" s="8">
        <v>1</v>
      </c>
      <c r="AD8" s="34">
        <f t="shared" ca="1" si="3"/>
        <v>2</v>
      </c>
      <c r="AE8" s="9">
        <v>50</v>
      </c>
      <c r="AF8" s="8">
        <v>0</v>
      </c>
      <c r="AG8" s="8">
        <v>0</v>
      </c>
      <c r="AH8" s="8">
        <v>0</v>
      </c>
      <c r="AI8" s="8">
        <v>0</v>
      </c>
      <c r="AJ8" s="8">
        <v>1</v>
      </c>
    </row>
    <row r="9" spans="1:36" ht="23" customHeight="1">
      <c r="A9" s="21" t="str">
        <f t="shared" ca="1" si="0"/>
        <v>11101_1-5/114&lt;lv5&gt;s2</v>
      </c>
      <c r="B9" s="8">
        <v>11101</v>
      </c>
      <c r="C9" s="49">
        <v>1</v>
      </c>
      <c r="D9" s="2" t="str">
        <f t="shared" si="1"/>
        <v>11101_1</v>
      </c>
      <c r="E9" s="5" t="str">
        <f ca="1">VLOOKUP($B9,OFFSET([1]quests!$A$1,0,0,COUNTA([1]quests!$A:$A),MATCH(E$1,[1]quests!$1:$1,0)-MATCH($B$1,[1]quests!$1:$1,0)+1),MATCH(E$1,[1]quests!$1:$1,0)-MATCH($B$1,[1]quests!$1:$1,0)+1,FALSE)</f>
        <v>【キャンペーン限定】 黄の素材</v>
      </c>
      <c r="F9" s="5" t="str">
        <f ca="1">VLOOKUP($D9,OFFSET([1]stages!$A$1,0,0,COUNTA([1]stages!$A:$A),MATCH(F$1,[1]stages!$2:$2,0)-MATCH($D$1,[1]stages!$2:$2,0)+1),MATCH(F$1,[1]stages!$2:$2,0)-MATCH($D$1,[1]stages!$2:$2,0)+1,FALSE)</f>
        <v>雷のチェシャ猫 【初級】</v>
      </c>
      <c r="G9" s="32">
        <v>5</v>
      </c>
      <c r="H9" s="20" t="str">
        <f t="shared" si="2"/>
        <v>11101_1-5</v>
      </c>
      <c r="I9" s="31">
        <v>114</v>
      </c>
      <c r="J9" s="26" t="str">
        <f ca="1">VLOOKUP($I9,OFFSET([2]enemies!$A$1,0,0,COUNTA([2]enemies!$A:$A),MATCH(J$1,[2]enemies!$2:$2,0)-MATCH($I$1,[2]enemies!$2:$2,0)+1),MATCH(J$1,[2]enemies!$2:$2,0)-MATCH($I$1,[2]enemies!$2:$2,0)+1,FALSE)</f>
        <v>イエローラビット</v>
      </c>
      <c r="K9" s="29" t="str">
        <f ca="1">VLOOKUP($I9,OFFSET([2]enemies!$A$1,0,0,COUNTA([2]enemies!$A:$A),MATCH(K$1,[2]enemies!$2:$2,0)-MATCH($I$1,[2]enemies!$2:$2,0)+1),MATCH(K$1,[2]enemies!$2:$2,0)-MATCH($I$1,[2]enemies!$2:$2,0)+1,FALSE)</f>
        <v>yellow</v>
      </c>
      <c r="L9" s="29" t="str">
        <f ca="1">VLOOKUP($I9,OFFSET([3]characters!$A$1,0,0,COUNTA([3]characters!$A:$A),MATCH(L$1,[3]characters!$2:$2,0)-MATCH($I$1,[3]characters!$2:$2,0)+1),MATCH(L$1,[3]characters!$2:$2,0)-MATCH($I$1,[3]characters!$2:$2,0)+1,FALSE)</f>
        <v>Material</v>
      </c>
      <c r="M9" s="28" t="str">
        <f ca="1">VLOOKUP($I9,OFFSET([3]characters!$A$1,0,0,COUNTA([3]characters!$A:$A),MATCH(M$1,[3]characters!$2:$2,0)-MATCH($I$1,[3]characters!$2:$2,0)+2),MATCH(M$1,[3]characters!$2:$2,0)-MATCH($I$1,[3]characters!$2:$2,0)+2,FALSE)</f>
        <v>Unknown</v>
      </c>
      <c r="N9" s="5">
        <f ca="1">VLOOKUP($I9,OFFSET([2]enemies!$A$1,0,0,COUNTA([2]enemies!$A:$A),MATCH(N$1,[2]enemies!$2:$2,0)-MATCH($I$1,[2]enemies!$2:$2,0)+1),MATCH(N$1,[2]enemies!$2:$2,0)-MATCH($I$1,[2]enemies!$2:$2,0)+1,FALSE)</f>
        <v>15</v>
      </c>
      <c r="O9" s="6">
        <v>5</v>
      </c>
      <c r="P9" s="48">
        <v>1.8</v>
      </c>
      <c r="Q9" s="46">
        <v>1</v>
      </c>
      <c r="R9" s="6">
        <v>0</v>
      </c>
      <c r="S9" s="5" t="str">
        <f ca="1">VLOOKUP($T9,OFFSET([4]enemy_skill_sets!$B$1,0,0,COUNTA([4]enemy_skill_sets!$B:$B),MATCH(J$1,[4]enemy_skill_sets!$1:$1,0)-MATCH($T$1,[4]enemy_skill_sets!$1:$1,0)+2),MATCH(J$1,[4]enemy_skill_sets!$1:$1,0)-MATCH($T$1,[4]enemy_skill_sets!$1:$1,0)+2,FALSE)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" s="5">
        <f ca="1">VLOOKUP($I9,OFFSET([2]enemies!$A$1,0,0,COUNTA([2]enemies!$A:$A),MATCH(T$1,[2]enemies!$2:$2,0)-MATCH($I$1,[2]enemies!$2:$2,0)+1),MATCH(T$1,[2]enemies!$2:$2,0)-MATCH($I$1,[2]enemies!$2:$2,0)+1,FALSE)</f>
        <v>0</v>
      </c>
      <c r="U9" s="7">
        <v>1</v>
      </c>
      <c r="V9" s="7">
        <v>100</v>
      </c>
      <c r="W9" s="7">
        <v>1</v>
      </c>
      <c r="X9" s="26">
        <f ca="1">VLOOKUP($I9,OFFSET([2]enemies!$A$1,0,0,COUNTA([2]enemies!$A:$A),MATCH(X$1,[2]enemies!$2:$2,0)-MATCH($I$1,[2]enemies!$2:$2,0)+1),MATCH(X$1,[2]enemies!$2:$2,0)-MATCH($I$1,[2]enemies!$2:$2,0)+1,FALSE)</f>
        <v>2</v>
      </c>
      <c r="Y9" s="31">
        <v>114</v>
      </c>
      <c r="Z9" s="5" t="str">
        <f ca="1">IFERROR(VLOOKUP($Y9,OFFSET([3]characters!$A$1,0,0,COUNTA([3]characters!$A:$A),MATCH(Z$1,[3]characters!$2:$2,0)-MATCH("character_id",[3]characters!$2:$2,0)+1),MATCH(Z$1,[3]characters!$2:$2,0)-MATCH("character_id",[3]characters!$2:$2,0)+1,FALSE),"")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9" s="5">
        <f ca="1">IFERROR(VLOOKUP($Y9,OFFSET([3]characters!$A$1,0,0,COUNTA([3]characters!$A:$A),MATCH(AA$1,[3]characters!$2:$2,0)-MATCH("character_id",[3]characters!$2:$2,0)+1),MATCH(AA$1,[3]characters!$2:$2,0)-MATCH("character_id",[3]characters!$2:$2,0)+1,FALSE),"")</f>
        <v>3</v>
      </c>
      <c r="AB9" s="5" t="str">
        <f ca="1">IFERROR(VLOOKUP($Y9,OFFSET([3]characters!$A$1,0,0,COUNTA([3]characters!$A:$A),MATCH(AB$1,[3]characters!$2:$2,0)-MATCH("character_id",[3]characters!$2:$2,0)+1),MATCH(AB$1,[3]characters!$2:$2,0)-MATCH("character_id",[3]characters!$2:$2,0)+1,FALSE),"")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9" s="8">
        <v>1</v>
      </c>
      <c r="AD9" s="34">
        <f t="shared" ca="1" si="3"/>
        <v>3</v>
      </c>
      <c r="AE9" s="9">
        <v>10</v>
      </c>
      <c r="AF9" s="8">
        <v>0</v>
      </c>
      <c r="AG9" s="8">
        <v>0</v>
      </c>
      <c r="AH9" s="8">
        <v>0</v>
      </c>
      <c r="AI9" s="8">
        <v>0</v>
      </c>
      <c r="AJ9" s="8">
        <v>1</v>
      </c>
    </row>
    <row r="10" spans="1:36" ht="21" customHeight="1">
      <c r="A10" s="21" t="str">
        <f ca="1">B10&amp;"_"&amp;C10&amp;"-"&amp;G10&amp;"/"&amp;I10&amp;"&lt;lv"&amp;O10&amp;"&gt;s"&amp;X10</f>
        <v>11101_2-1/114&lt;lv15&gt;s2</v>
      </c>
      <c r="B10" s="8">
        <v>11101</v>
      </c>
      <c r="C10" s="49">
        <v>2</v>
      </c>
      <c r="D10" s="2" t="str">
        <f t="shared" si="1"/>
        <v>11101_2</v>
      </c>
      <c r="E10" s="5" t="str">
        <f ca="1">VLOOKUP($B10,OFFSET([1]quests!$A$1,0,0,COUNTA([1]quests!$A:$A),MATCH(E$1,[1]quests!$1:$1,0)-MATCH($B$1,[1]quests!$1:$1,0)+1),MATCH(E$1,[1]quests!$1:$1,0)-MATCH($B$1,[1]quests!$1:$1,0)+1,FALSE)</f>
        <v>【キャンペーン限定】 黄の素材</v>
      </c>
      <c r="F10" s="5" t="str">
        <f ca="1">VLOOKUP($D10,OFFSET([1]stages!$A$1,0,0,COUNTA([1]stages!$A:$A),MATCH(F$1,[1]stages!$2:$2,0)-MATCH($D$1,[1]stages!$2:$2,0)+1),MATCH(F$1,[1]stages!$2:$2,0)-MATCH($D$1,[1]stages!$2:$2,0)+1,FALSE)</f>
        <v>雷のウサギ 【中級】</v>
      </c>
      <c r="G10" s="32">
        <v>1</v>
      </c>
      <c r="H10" s="20" t="str">
        <f t="shared" si="2"/>
        <v>11101_2-1</v>
      </c>
      <c r="I10" s="31">
        <v>114</v>
      </c>
      <c r="J10" s="26" t="str">
        <f ca="1">VLOOKUP($I10,OFFSET([2]enemies!$A$1,0,0,COUNTA([2]enemies!$A:$A),MATCH(J$1,[2]enemies!$2:$2,0)-MATCH($I$1,[2]enemies!$2:$2,0)+1),MATCH(J$1,[2]enemies!$2:$2,0)-MATCH($I$1,[2]enemies!$2:$2,0)+1,FALSE)</f>
        <v>イエローラビット</v>
      </c>
      <c r="K10" s="29" t="str">
        <f ca="1">VLOOKUP($I10,OFFSET([2]enemies!$A$1,0,0,COUNTA([2]enemies!$A:$A),MATCH(K$1,[2]enemies!$2:$2,0)-MATCH($I$1,[2]enemies!$2:$2,0)+1),MATCH(K$1,[2]enemies!$2:$2,0)-MATCH($I$1,[2]enemies!$2:$2,0)+1,FALSE)</f>
        <v>yellow</v>
      </c>
      <c r="L10" s="29" t="str">
        <f ca="1">VLOOKUP($I10,OFFSET([3]characters!$A$1,0,0,COUNTA([3]characters!$A:$A),MATCH(L$1,[3]characters!$2:$2,0)-MATCH($I$1,[3]characters!$2:$2,0)+1),MATCH(L$1,[3]characters!$2:$2,0)-MATCH($I$1,[3]characters!$2:$2,0)+1,FALSE)</f>
        <v>Material</v>
      </c>
      <c r="M10" s="28" t="str">
        <f ca="1">VLOOKUP($I10,OFFSET([3]characters!$A$1,0,0,COUNTA([3]characters!$A:$A),MATCH(M$1,[3]characters!$2:$2,0)-MATCH($I$1,[3]characters!$2:$2,0)+2),MATCH(M$1,[3]characters!$2:$2,0)-MATCH($I$1,[3]characters!$2:$2,0)+2,FALSE)</f>
        <v>Unknown</v>
      </c>
      <c r="N10" s="5">
        <f ca="1">VLOOKUP($I10,OFFSET([2]enemies!$A$1,0,0,COUNTA([2]enemies!$A:$A),MATCH(N$1,[2]enemies!$2:$2,0)-MATCH($I$1,[2]enemies!$2:$2,0)+1),MATCH(N$1,[2]enemies!$2:$2,0)-MATCH($I$1,[2]enemies!$2:$2,0)+1,FALSE)</f>
        <v>15</v>
      </c>
      <c r="O10" s="6">
        <v>15</v>
      </c>
      <c r="P10" s="48">
        <v>1.8</v>
      </c>
      <c r="Q10" s="46">
        <v>1</v>
      </c>
      <c r="R10" s="6">
        <v>0</v>
      </c>
      <c r="S10" s="5" t="str">
        <f ca="1">VLOOKUP($T10,OFFSET([4]enemy_skill_sets!$B$1,0,0,COUNTA([4]enemy_skill_sets!$B:$B),MATCH(J$1,[4]enemy_skill_sets!$1:$1,0)-MATCH($T$1,[4]enemy_skill_sets!$1:$1,0)+2),MATCH(J$1,[4]enemy_skill_sets!$1:$1,0)-MATCH($T$1,[4]enemy_skill_sets!$1:$1,0)+2,FALSE)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" s="5">
        <f ca="1">VLOOKUP($I10,OFFSET([2]enemies!$A$1,0,0,COUNTA([2]enemies!$A:$A),MATCH(T$1,[2]enemies!$2:$2,0)-MATCH($I$1,[2]enemies!$2:$2,0)+1),MATCH(T$1,[2]enemies!$2:$2,0)-MATCH($I$1,[2]enemies!$2:$2,0)+1,FALSE)</f>
        <v>0</v>
      </c>
      <c r="U10" s="7">
        <v>0</v>
      </c>
      <c r="V10" s="7">
        <v>100</v>
      </c>
      <c r="W10" s="7">
        <v>0</v>
      </c>
      <c r="X10" s="26">
        <f ca="1">VLOOKUP($I10,OFFSET([2]enemies!$A$1,0,0,COUNTA([2]enemies!$A:$A),MATCH(X$1,[2]enemies!$2:$2,0)-MATCH($I$1,[2]enemies!$2:$2,0)+1),MATCH(X$1,[2]enemies!$2:$2,0)-MATCH($I$1,[2]enemies!$2:$2,0)+1,FALSE)</f>
        <v>2</v>
      </c>
      <c r="Y10" s="31">
        <v>114</v>
      </c>
      <c r="Z10" s="5" t="str">
        <f ca="1">IFERROR(VLOOKUP($Y10,OFFSET([3]characters!$A$1,0,0,COUNTA([3]characters!$A:$A),MATCH(Z$1,[3]characters!$2:$2,0)-MATCH("character_id",[3]characters!$2:$2,0)+1),MATCH(Z$1,[3]characters!$2:$2,0)-MATCH("character_id",[3]characters!$2:$2,0)+1,FALSE),"")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10" s="5">
        <f ca="1">IFERROR(VLOOKUP($Y10,OFFSET([3]characters!$A$1,0,0,COUNTA([3]characters!$A:$A),MATCH(AA$1,[3]characters!$2:$2,0)-MATCH("character_id",[3]characters!$2:$2,0)+1),MATCH(AA$1,[3]characters!$2:$2,0)-MATCH("character_id",[3]characters!$2:$2,0)+1,FALSE),"")</f>
        <v>3</v>
      </c>
      <c r="AB10" s="5" t="str">
        <f ca="1">IFERROR(VLOOKUP($Y10,OFFSET([3]characters!$A$1,0,0,COUNTA([3]characters!$A:$A),MATCH(AB$1,[3]characters!$2:$2,0)-MATCH("character_id",[3]characters!$2:$2,0)+1),MATCH(AB$1,[3]characters!$2:$2,0)-MATCH("character_id",[3]characters!$2:$2,0)+1,FALSE),"")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0" s="8">
        <v>1</v>
      </c>
      <c r="AD10" s="34">
        <f t="shared" ca="1" si="3"/>
        <v>3</v>
      </c>
      <c r="AE10" s="9">
        <v>30</v>
      </c>
      <c r="AF10" s="8">
        <v>0</v>
      </c>
      <c r="AG10" s="8">
        <v>0</v>
      </c>
      <c r="AH10" s="8">
        <v>0</v>
      </c>
      <c r="AI10" s="8">
        <v>0</v>
      </c>
      <c r="AJ10" s="8">
        <v>1</v>
      </c>
    </row>
    <row r="11" spans="1:36" ht="21" customHeight="1">
      <c r="A11" s="21" t="str">
        <f t="shared" ref="A11:A17" ca="1" si="4">B11&amp;"_"&amp;C11&amp;"-"&amp;G11&amp;"/"&amp;I11&amp;"&lt;lv"&amp;O11&amp;"&gt;s"&amp;X11</f>
        <v>11101_2-2/114&lt;lv15&gt;s2</v>
      </c>
      <c r="B11" s="8">
        <v>11101</v>
      </c>
      <c r="C11" s="49">
        <v>2</v>
      </c>
      <c r="D11" s="2" t="str">
        <f t="shared" ref="D11:D17" si="5">B11&amp;"_"&amp;C11</f>
        <v>11101_2</v>
      </c>
      <c r="E11" s="5" t="str">
        <f ca="1">VLOOKUP($B11,OFFSET([1]quests!$A$1,0,0,COUNTA([1]quests!$A:$A),MATCH(E$1,[1]quests!$1:$1,0)-MATCH($B$1,[1]quests!$1:$1,0)+1),MATCH(E$1,[1]quests!$1:$1,0)-MATCH($B$1,[1]quests!$1:$1,0)+1,FALSE)</f>
        <v>【キャンペーン限定】 黄の素材</v>
      </c>
      <c r="F11" s="5" t="str">
        <f ca="1">VLOOKUP($D11,OFFSET([1]stages!$A$1,0,0,COUNTA([1]stages!$A:$A),MATCH(F$1,[1]stages!$2:$2,0)-MATCH($D$1,[1]stages!$2:$2,0)+1),MATCH(F$1,[1]stages!$2:$2,0)-MATCH($D$1,[1]stages!$2:$2,0)+1,FALSE)</f>
        <v>雷のウサギ 【中級】</v>
      </c>
      <c r="G11" s="32">
        <v>2</v>
      </c>
      <c r="H11" s="20" t="str">
        <f t="shared" ref="H11:H17" si="6">B11&amp;"_"&amp;C11&amp;"-"&amp;G11</f>
        <v>11101_2-2</v>
      </c>
      <c r="I11" s="31">
        <v>114</v>
      </c>
      <c r="J11" s="26" t="str">
        <f ca="1">VLOOKUP($I11,OFFSET([2]enemies!$A$1,0,0,COUNTA([2]enemies!$A:$A),MATCH(J$1,[2]enemies!$2:$2,0)-MATCH($I$1,[2]enemies!$2:$2,0)+1),MATCH(J$1,[2]enemies!$2:$2,0)-MATCH($I$1,[2]enemies!$2:$2,0)+1,FALSE)</f>
        <v>イエローラビット</v>
      </c>
      <c r="K11" s="29" t="str">
        <f ca="1">VLOOKUP($I11,OFFSET([2]enemies!$A$1,0,0,COUNTA([2]enemies!$A:$A),MATCH(K$1,[2]enemies!$2:$2,0)-MATCH($I$1,[2]enemies!$2:$2,0)+1),MATCH(K$1,[2]enemies!$2:$2,0)-MATCH($I$1,[2]enemies!$2:$2,0)+1,FALSE)</f>
        <v>yellow</v>
      </c>
      <c r="L11" s="29" t="str">
        <f ca="1">VLOOKUP($I11,OFFSET([3]characters!$A$1,0,0,COUNTA([3]characters!$A:$A),MATCH(L$1,[3]characters!$2:$2,0)-MATCH($I$1,[3]characters!$2:$2,0)+1),MATCH(L$1,[3]characters!$2:$2,0)-MATCH($I$1,[3]characters!$2:$2,0)+1,FALSE)</f>
        <v>Material</v>
      </c>
      <c r="M11" s="28" t="str">
        <f ca="1">VLOOKUP($I11,OFFSET([3]characters!$A$1,0,0,COUNTA([3]characters!$A:$A),MATCH(M$1,[3]characters!$2:$2,0)-MATCH($I$1,[3]characters!$2:$2,0)+2),MATCH(M$1,[3]characters!$2:$2,0)-MATCH($I$1,[3]characters!$2:$2,0)+2,FALSE)</f>
        <v>Unknown</v>
      </c>
      <c r="N11" s="5">
        <f ca="1">VLOOKUP($I11,OFFSET([2]enemies!$A$1,0,0,COUNTA([2]enemies!$A:$A),MATCH(N$1,[2]enemies!$2:$2,0)-MATCH($I$1,[2]enemies!$2:$2,0)+1),MATCH(N$1,[2]enemies!$2:$2,0)-MATCH($I$1,[2]enemies!$2:$2,0)+1,FALSE)</f>
        <v>15</v>
      </c>
      <c r="O11" s="6">
        <v>15</v>
      </c>
      <c r="P11" s="48">
        <v>1.8</v>
      </c>
      <c r="Q11" s="46">
        <v>1</v>
      </c>
      <c r="R11" s="6">
        <v>0</v>
      </c>
      <c r="S11" s="5" t="str">
        <f ca="1">VLOOKUP($T11,OFFSET([4]enemy_skill_sets!$B$1,0,0,COUNTA([4]enemy_skill_sets!$B:$B),MATCH(J$1,[4]enemy_skill_sets!$1:$1,0)-MATCH($T$1,[4]enemy_skill_sets!$1:$1,0)+2),MATCH(J$1,[4]enemy_skill_sets!$1:$1,0)-MATCH($T$1,[4]enemy_skill_sets!$1:$1,0)+2,FALSE)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" s="5">
        <f ca="1">VLOOKUP($I11,OFFSET([2]enemies!$A$1,0,0,COUNTA([2]enemies!$A:$A),MATCH(T$1,[2]enemies!$2:$2,0)-MATCH($I$1,[2]enemies!$2:$2,0)+1),MATCH(T$1,[2]enemies!$2:$2,0)-MATCH($I$1,[2]enemies!$2:$2,0)+1,FALSE)</f>
        <v>0</v>
      </c>
      <c r="U11" s="7">
        <v>0</v>
      </c>
      <c r="V11" s="7">
        <v>100</v>
      </c>
      <c r="W11" s="7">
        <v>0</v>
      </c>
      <c r="X11" s="26">
        <f ca="1">VLOOKUP($I11,OFFSET([2]enemies!$A$1,0,0,COUNTA([2]enemies!$A:$A),MATCH(X$1,[2]enemies!$2:$2,0)-MATCH($I$1,[2]enemies!$2:$2,0)+1),MATCH(X$1,[2]enemies!$2:$2,0)-MATCH($I$1,[2]enemies!$2:$2,0)+1,FALSE)</f>
        <v>2</v>
      </c>
      <c r="Y11" s="31">
        <v>114</v>
      </c>
      <c r="Z11" s="5" t="str">
        <f ca="1">IFERROR(VLOOKUP($Y11,OFFSET([3]characters!$A$1,0,0,COUNTA([3]characters!$A:$A),MATCH(Z$1,[3]characters!$2:$2,0)-MATCH("character_id",[3]characters!$2:$2,0)+1),MATCH(Z$1,[3]characters!$2:$2,0)-MATCH("character_id",[3]characters!$2:$2,0)+1,FALSE),"")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11" s="5">
        <f ca="1">IFERROR(VLOOKUP($Y11,OFFSET([3]characters!$A$1,0,0,COUNTA([3]characters!$A:$A),MATCH(AA$1,[3]characters!$2:$2,0)-MATCH("character_id",[3]characters!$2:$2,0)+1),MATCH(AA$1,[3]characters!$2:$2,0)-MATCH("character_id",[3]characters!$2:$2,0)+1,FALSE),"")</f>
        <v>3</v>
      </c>
      <c r="AB11" s="5" t="str">
        <f ca="1">IFERROR(VLOOKUP($Y11,OFFSET([3]characters!$A$1,0,0,COUNTA([3]characters!$A:$A),MATCH(AB$1,[3]characters!$2:$2,0)-MATCH("character_id",[3]characters!$2:$2,0)+1),MATCH(AB$1,[3]characters!$2:$2,0)-MATCH("character_id",[3]characters!$2:$2,0)+1,FALSE),"")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1" s="8">
        <v>1</v>
      </c>
      <c r="AD11" s="34">
        <f t="shared" ref="AD11:AD17" ca="1" si="7">AA11</f>
        <v>3</v>
      </c>
      <c r="AE11" s="9">
        <v>30</v>
      </c>
      <c r="AF11" s="8">
        <v>0</v>
      </c>
      <c r="AG11" s="8">
        <v>0</v>
      </c>
      <c r="AH11" s="8">
        <v>0</v>
      </c>
      <c r="AI11" s="8">
        <v>0</v>
      </c>
      <c r="AJ11" s="8">
        <v>1</v>
      </c>
    </row>
    <row r="12" spans="1:36" ht="21" customHeight="1">
      <c r="A12" s="21" t="str">
        <f t="shared" ca="1" si="4"/>
        <v>11101_2-3/114&lt;lv15&gt;s2</v>
      </c>
      <c r="B12" s="8">
        <v>11101</v>
      </c>
      <c r="C12" s="49">
        <v>2</v>
      </c>
      <c r="D12" s="2" t="str">
        <f t="shared" si="5"/>
        <v>11101_2</v>
      </c>
      <c r="E12" s="5" t="str">
        <f ca="1">VLOOKUP($B12,OFFSET([1]quests!$A$1,0,0,COUNTA([1]quests!$A:$A),MATCH(E$1,[1]quests!$1:$1,0)-MATCH($B$1,[1]quests!$1:$1,0)+1),MATCH(E$1,[1]quests!$1:$1,0)-MATCH($B$1,[1]quests!$1:$1,0)+1,FALSE)</f>
        <v>【キャンペーン限定】 黄の素材</v>
      </c>
      <c r="F12" s="5" t="str">
        <f ca="1">VLOOKUP($D12,OFFSET([1]stages!$A$1,0,0,COUNTA([1]stages!$A:$A),MATCH(F$1,[1]stages!$2:$2,0)-MATCH($D$1,[1]stages!$2:$2,0)+1),MATCH(F$1,[1]stages!$2:$2,0)-MATCH($D$1,[1]stages!$2:$2,0)+1,FALSE)</f>
        <v>雷のウサギ 【中級】</v>
      </c>
      <c r="G12" s="32">
        <v>3</v>
      </c>
      <c r="H12" s="20" t="str">
        <f t="shared" si="6"/>
        <v>11101_2-3</v>
      </c>
      <c r="I12" s="31">
        <v>114</v>
      </c>
      <c r="J12" s="26" t="str">
        <f ca="1">VLOOKUP($I12,OFFSET([2]enemies!$A$1,0,0,COUNTA([2]enemies!$A:$A),MATCH(J$1,[2]enemies!$2:$2,0)-MATCH($I$1,[2]enemies!$2:$2,0)+1),MATCH(J$1,[2]enemies!$2:$2,0)-MATCH($I$1,[2]enemies!$2:$2,0)+1,FALSE)</f>
        <v>イエローラビット</v>
      </c>
      <c r="K12" s="29" t="str">
        <f ca="1">VLOOKUP($I12,OFFSET([2]enemies!$A$1,0,0,COUNTA([2]enemies!$A:$A),MATCH(K$1,[2]enemies!$2:$2,0)-MATCH($I$1,[2]enemies!$2:$2,0)+1),MATCH(K$1,[2]enemies!$2:$2,0)-MATCH($I$1,[2]enemies!$2:$2,0)+1,FALSE)</f>
        <v>yellow</v>
      </c>
      <c r="L12" s="29" t="str">
        <f ca="1">VLOOKUP($I12,OFFSET([3]characters!$A$1,0,0,COUNTA([3]characters!$A:$A),MATCH(L$1,[3]characters!$2:$2,0)-MATCH($I$1,[3]characters!$2:$2,0)+1),MATCH(L$1,[3]characters!$2:$2,0)-MATCH($I$1,[3]characters!$2:$2,0)+1,FALSE)</f>
        <v>Material</v>
      </c>
      <c r="M12" s="28" t="str">
        <f ca="1">VLOOKUP($I12,OFFSET([3]characters!$A$1,0,0,COUNTA([3]characters!$A:$A),MATCH(M$1,[3]characters!$2:$2,0)-MATCH($I$1,[3]characters!$2:$2,0)+2),MATCH(M$1,[3]characters!$2:$2,0)-MATCH($I$1,[3]characters!$2:$2,0)+2,FALSE)</f>
        <v>Unknown</v>
      </c>
      <c r="N12" s="5">
        <f ca="1">VLOOKUP($I12,OFFSET([2]enemies!$A$1,0,0,COUNTA([2]enemies!$A:$A),MATCH(N$1,[2]enemies!$2:$2,0)-MATCH($I$1,[2]enemies!$2:$2,0)+1),MATCH(N$1,[2]enemies!$2:$2,0)-MATCH($I$1,[2]enemies!$2:$2,0)+1,FALSE)</f>
        <v>15</v>
      </c>
      <c r="O12" s="6">
        <v>15</v>
      </c>
      <c r="P12" s="48">
        <v>1.8</v>
      </c>
      <c r="Q12" s="46">
        <v>1</v>
      </c>
      <c r="R12" s="6">
        <v>0</v>
      </c>
      <c r="S12" s="5" t="str">
        <f ca="1">VLOOKUP($T12,OFFSET([4]enemy_skill_sets!$B$1,0,0,COUNTA([4]enemy_skill_sets!$B:$B),MATCH(J$1,[4]enemy_skill_sets!$1:$1,0)-MATCH($T$1,[4]enemy_skill_sets!$1:$1,0)+2),MATCH(J$1,[4]enemy_skill_sets!$1:$1,0)-MATCH($T$1,[4]enemy_skill_sets!$1:$1,0)+2,FALSE)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" s="5">
        <f ca="1">VLOOKUP($I12,OFFSET([2]enemies!$A$1,0,0,COUNTA([2]enemies!$A:$A),MATCH(T$1,[2]enemies!$2:$2,0)-MATCH($I$1,[2]enemies!$2:$2,0)+1),MATCH(T$1,[2]enemies!$2:$2,0)-MATCH($I$1,[2]enemies!$2:$2,0)+1,FALSE)</f>
        <v>0</v>
      </c>
      <c r="U12" s="7">
        <v>0</v>
      </c>
      <c r="V12" s="7">
        <v>100</v>
      </c>
      <c r="W12" s="7">
        <v>0</v>
      </c>
      <c r="X12" s="26">
        <f ca="1">VLOOKUP($I12,OFFSET([2]enemies!$A$1,0,0,COUNTA([2]enemies!$A:$A),MATCH(X$1,[2]enemies!$2:$2,0)-MATCH($I$1,[2]enemies!$2:$2,0)+1),MATCH(X$1,[2]enemies!$2:$2,0)-MATCH($I$1,[2]enemies!$2:$2,0)+1,FALSE)</f>
        <v>2</v>
      </c>
      <c r="Y12" s="31">
        <v>114</v>
      </c>
      <c r="Z12" s="5" t="str">
        <f ca="1">IFERROR(VLOOKUP($Y12,OFFSET([3]characters!$A$1,0,0,COUNTA([3]characters!$A:$A),MATCH(Z$1,[3]characters!$2:$2,0)-MATCH("character_id",[3]characters!$2:$2,0)+1),MATCH(Z$1,[3]characters!$2:$2,0)-MATCH("character_id",[3]characters!$2:$2,0)+1,FALSE),"")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12" s="5">
        <f ca="1">IFERROR(VLOOKUP($Y12,OFFSET([3]characters!$A$1,0,0,COUNTA([3]characters!$A:$A),MATCH(AA$1,[3]characters!$2:$2,0)-MATCH("character_id",[3]characters!$2:$2,0)+1),MATCH(AA$1,[3]characters!$2:$2,0)-MATCH("character_id",[3]characters!$2:$2,0)+1,FALSE),"")</f>
        <v>3</v>
      </c>
      <c r="AB12" s="5" t="str">
        <f ca="1">IFERROR(VLOOKUP($Y12,OFFSET([3]characters!$A$1,0,0,COUNTA([3]characters!$A:$A),MATCH(AB$1,[3]characters!$2:$2,0)-MATCH("character_id",[3]characters!$2:$2,0)+1),MATCH(AB$1,[3]characters!$2:$2,0)-MATCH("character_id",[3]characters!$2:$2,0)+1,FALSE),"")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2" s="8">
        <v>1</v>
      </c>
      <c r="AD12" s="34">
        <f t="shared" ca="1" si="7"/>
        <v>3</v>
      </c>
      <c r="AE12" s="9">
        <v>30</v>
      </c>
      <c r="AF12" s="8">
        <v>0</v>
      </c>
      <c r="AG12" s="8">
        <v>0</v>
      </c>
      <c r="AH12" s="8">
        <v>0</v>
      </c>
      <c r="AI12" s="8">
        <v>0</v>
      </c>
      <c r="AJ12" s="8">
        <v>1</v>
      </c>
    </row>
    <row r="13" spans="1:36" ht="21" customHeight="1">
      <c r="A13" s="21" t="str">
        <f t="shared" ca="1" si="4"/>
        <v>11101_2-3/115&lt;lv15&gt;s2</v>
      </c>
      <c r="B13" s="8">
        <v>11101</v>
      </c>
      <c r="C13" s="49">
        <v>2</v>
      </c>
      <c r="D13" s="2" t="str">
        <f t="shared" si="5"/>
        <v>11101_2</v>
      </c>
      <c r="E13" s="5" t="str">
        <f ca="1">VLOOKUP($B13,OFFSET([1]quests!$A$1,0,0,COUNTA([1]quests!$A:$A),MATCH(E$1,[1]quests!$1:$1,0)-MATCH($B$1,[1]quests!$1:$1,0)+1),MATCH(E$1,[1]quests!$1:$1,0)-MATCH($B$1,[1]quests!$1:$1,0)+1,FALSE)</f>
        <v>【キャンペーン限定】 黄の素材</v>
      </c>
      <c r="F13" s="5" t="str">
        <f ca="1">VLOOKUP($D13,OFFSET([1]stages!$A$1,0,0,COUNTA([1]stages!$A:$A),MATCH(F$1,[1]stages!$2:$2,0)-MATCH($D$1,[1]stages!$2:$2,0)+1),MATCH(F$1,[1]stages!$2:$2,0)-MATCH($D$1,[1]stages!$2:$2,0)+1,FALSE)</f>
        <v>雷のウサギ 【中級】</v>
      </c>
      <c r="G13" s="32">
        <v>3</v>
      </c>
      <c r="H13" s="20" t="str">
        <f t="shared" si="6"/>
        <v>11101_2-3</v>
      </c>
      <c r="I13" s="31">
        <v>115</v>
      </c>
      <c r="J13" s="26" t="str">
        <f ca="1">VLOOKUP($I13,OFFSET([2]enemies!$A$1,0,0,COUNTA([2]enemies!$A:$A),MATCH(J$1,[2]enemies!$2:$2,0)-MATCH($I$1,[2]enemies!$2:$2,0)+1),MATCH(J$1,[2]enemies!$2:$2,0)-MATCH($I$1,[2]enemies!$2:$2,0)+1,FALSE)</f>
        <v>イエローキャタップ</v>
      </c>
      <c r="K13" s="29" t="str">
        <f ca="1">VLOOKUP($I13,OFFSET([2]enemies!$A$1,0,0,COUNTA([2]enemies!$A:$A),MATCH(K$1,[2]enemies!$2:$2,0)-MATCH($I$1,[2]enemies!$2:$2,0)+1),MATCH(K$1,[2]enemies!$2:$2,0)-MATCH($I$1,[2]enemies!$2:$2,0)+1,FALSE)</f>
        <v>yellow</v>
      </c>
      <c r="L13" s="29" t="str">
        <f ca="1">VLOOKUP($I13,OFFSET([3]characters!$A$1,0,0,COUNTA([3]characters!$A:$A),MATCH(L$1,[3]characters!$2:$2,0)-MATCH($I$1,[3]characters!$2:$2,0)+1),MATCH(L$1,[3]characters!$2:$2,0)-MATCH($I$1,[3]characters!$2:$2,0)+1,FALSE)</f>
        <v>Material</v>
      </c>
      <c r="M13" s="28" t="str">
        <f ca="1">VLOOKUP($I13,OFFSET([3]characters!$A$1,0,0,COUNTA([3]characters!$A:$A),MATCH(M$1,[3]characters!$2:$2,0)-MATCH($I$1,[3]characters!$2:$2,0)+2),MATCH(M$1,[3]characters!$2:$2,0)-MATCH($I$1,[3]characters!$2:$2,0)+2,FALSE)</f>
        <v>Unknown</v>
      </c>
      <c r="N13" s="5">
        <f ca="1">VLOOKUP($I13,OFFSET([2]enemies!$A$1,0,0,COUNTA([2]enemies!$A:$A),MATCH(N$1,[2]enemies!$2:$2,0)-MATCH($I$1,[2]enemies!$2:$2,0)+1),MATCH(N$1,[2]enemies!$2:$2,0)-MATCH($I$1,[2]enemies!$2:$2,0)+1,FALSE)</f>
        <v>15</v>
      </c>
      <c r="O13" s="6">
        <v>15</v>
      </c>
      <c r="P13" s="46">
        <v>2</v>
      </c>
      <c r="Q13" s="46">
        <v>1</v>
      </c>
      <c r="R13" s="6">
        <v>0</v>
      </c>
      <c r="S13" s="5" t="str">
        <f ca="1">VLOOKUP($T13,OFFSET([4]enemy_skill_sets!$B$1,0,0,COUNTA([4]enemy_skill_sets!$B:$B),MATCH(J$1,[4]enemy_skill_sets!$1:$1,0)-MATCH($T$1,[4]enemy_skill_sets!$1:$1,0)+2),MATCH(J$1,[4]enemy_skill_sets!$1:$1,0)-MATCH($T$1,[4]enemy_skill_sets!$1:$1,0)+2,FALSE)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" s="5">
        <f ca="1">VLOOKUP($I13,OFFSET([2]enemies!$A$1,0,0,COUNTA([2]enemies!$A:$A),MATCH(T$1,[2]enemies!$2:$2,0)-MATCH($I$1,[2]enemies!$2:$2,0)+1),MATCH(T$1,[2]enemies!$2:$2,0)-MATCH($I$1,[2]enemies!$2:$2,0)+1,FALSE)</f>
        <v>0</v>
      </c>
      <c r="U13" s="7">
        <v>0</v>
      </c>
      <c r="V13" s="7">
        <v>25</v>
      </c>
      <c r="W13" s="7">
        <v>0</v>
      </c>
      <c r="X13" s="26">
        <f ca="1">VLOOKUP($I13,OFFSET([2]enemies!$A$1,0,0,COUNTA([2]enemies!$A:$A),MATCH(X$1,[2]enemies!$2:$2,0)-MATCH($I$1,[2]enemies!$2:$2,0)+1),MATCH(X$1,[2]enemies!$2:$2,0)-MATCH($I$1,[2]enemies!$2:$2,0)+1,FALSE)</f>
        <v>2</v>
      </c>
      <c r="Y13" s="31">
        <v>115</v>
      </c>
      <c r="Z13" s="5" t="str">
        <f ca="1">IFERROR(VLOOKUP($Y13,OFFSET([3]characters!$A$1,0,0,COUNTA([3]characters!$A:$A),MATCH(Z$1,[3]characters!$2:$2,0)-MATCH("character_id",[3]characters!$2:$2,0)+1),MATCH(Z$1,[3]characters!$2:$2,0)-MATCH("character_id",[3]characters!$2:$2,0)+1,FALSE),"")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13" s="5">
        <f ca="1">IFERROR(VLOOKUP($Y13,OFFSET([3]characters!$A$1,0,0,COUNTA([3]characters!$A:$A),MATCH(AA$1,[3]characters!$2:$2,0)-MATCH("character_id",[3]characters!$2:$2,0)+1),MATCH(AA$1,[3]characters!$2:$2,0)-MATCH("character_id",[3]characters!$2:$2,0)+1,FALSE),"")</f>
        <v>4</v>
      </c>
      <c r="AB13" s="5" t="str">
        <f ca="1">IFERROR(VLOOKUP($Y13,OFFSET([3]characters!$A$1,0,0,COUNTA([3]characters!$A:$A),MATCH(AB$1,[3]characters!$2:$2,0)-MATCH("character_id",[3]characters!$2:$2,0)+1),MATCH(AB$1,[3]characters!$2:$2,0)-MATCH("character_id",[3]characters!$2:$2,0)+1,FALSE),"")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3" s="8">
        <v>1</v>
      </c>
      <c r="AD13" s="34">
        <f t="shared" ca="1" si="7"/>
        <v>4</v>
      </c>
      <c r="AE13" s="9">
        <v>5</v>
      </c>
      <c r="AF13" s="8">
        <v>0</v>
      </c>
      <c r="AG13" s="8">
        <v>0</v>
      </c>
      <c r="AH13" s="8">
        <v>0</v>
      </c>
      <c r="AI13" s="8">
        <v>0</v>
      </c>
      <c r="AJ13" s="8">
        <v>1</v>
      </c>
    </row>
    <row r="14" spans="1:36" ht="21" customHeight="1">
      <c r="A14" s="21" t="str">
        <f t="shared" ca="1" si="4"/>
        <v>11101_2-4/114&lt;lv15&gt;s2</v>
      </c>
      <c r="B14" s="8">
        <v>11101</v>
      </c>
      <c r="C14" s="49">
        <v>2</v>
      </c>
      <c r="D14" s="2" t="str">
        <f t="shared" si="5"/>
        <v>11101_2</v>
      </c>
      <c r="E14" s="5" t="str">
        <f ca="1">VLOOKUP($B14,OFFSET([1]quests!$A$1,0,0,COUNTA([1]quests!$A:$A),MATCH(E$1,[1]quests!$1:$1,0)-MATCH($B$1,[1]quests!$1:$1,0)+1),MATCH(E$1,[1]quests!$1:$1,0)-MATCH($B$1,[1]quests!$1:$1,0)+1,FALSE)</f>
        <v>【キャンペーン限定】 黄の素材</v>
      </c>
      <c r="F14" s="5" t="str">
        <f ca="1">VLOOKUP($D14,OFFSET([1]stages!$A$1,0,0,COUNTA([1]stages!$A:$A),MATCH(F$1,[1]stages!$2:$2,0)-MATCH($D$1,[1]stages!$2:$2,0)+1),MATCH(F$1,[1]stages!$2:$2,0)-MATCH($D$1,[1]stages!$2:$2,0)+1,FALSE)</f>
        <v>雷のウサギ 【中級】</v>
      </c>
      <c r="G14" s="32">
        <v>4</v>
      </c>
      <c r="H14" s="20" t="str">
        <f t="shared" si="6"/>
        <v>11101_2-4</v>
      </c>
      <c r="I14" s="31">
        <v>114</v>
      </c>
      <c r="J14" s="26" t="str">
        <f ca="1">VLOOKUP($I14,OFFSET([2]enemies!$A$1,0,0,COUNTA([2]enemies!$A:$A),MATCH(J$1,[2]enemies!$2:$2,0)-MATCH($I$1,[2]enemies!$2:$2,0)+1),MATCH(J$1,[2]enemies!$2:$2,0)-MATCH($I$1,[2]enemies!$2:$2,0)+1,FALSE)</f>
        <v>イエローラビット</v>
      </c>
      <c r="K14" s="29" t="str">
        <f ca="1">VLOOKUP($I14,OFFSET([2]enemies!$A$1,0,0,COUNTA([2]enemies!$A:$A),MATCH(K$1,[2]enemies!$2:$2,0)-MATCH($I$1,[2]enemies!$2:$2,0)+1),MATCH(K$1,[2]enemies!$2:$2,0)-MATCH($I$1,[2]enemies!$2:$2,0)+1,FALSE)</f>
        <v>yellow</v>
      </c>
      <c r="L14" s="29" t="str">
        <f ca="1">VLOOKUP($I14,OFFSET([3]characters!$A$1,0,0,COUNTA([3]characters!$A:$A),MATCH(L$1,[3]characters!$2:$2,0)-MATCH($I$1,[3]characters!$2:$2,0)+1),MATCH(L$1,[3]characters!$2:$2,0)-MATCH($I$1,[3]characters!$2:$2,0)+1,FALSE)</f>
        <v>Material</v>
      </c>
      <c r="M14" s="28" t="str">
        <f ca="1">VLOOKUP($I14,OFFSET([3]characters!$A$1,0,0,COUNTA([3]characters!$A:$A),MATCH(M$1,[3]characters!$2:$2,0)-MATCH($I$1,[3]characters!$2:$2,0)+2),MATCH(M$1,[3]characters!$2:$2,0)-MATCH($I$1,[3]characters!$2:$2,0)+2,FALSE)</f>
        <v>Unknown</v>
      </c>
      <c r="N14" s="5">
        <f ca="1">VLOOKUP($I14,OFFSET([2]enemies!$A$1,0,0,COUNTA([2]enemies!$A:$A),MATCH(N$1,[2]enemies!$2:$2,0)-MATCH($I$1,[2]enemies!$2:$2,0)+1),MATCH(N$1,[2]enemies!$2:$2,0)-MATCH($I$1,[2]enemies!$2:$2,0)+1,FALSE)</f>
        <v>15</v>
      </c>
      <c r="O14" s="6">
        <v>15</v>
      </c>
      <c r="P14" s="48">
        <v>1.8</v>
      </c>
      <c r="Q14" s="46">
        <v>1</v>
      </c>
      <c r="R14" s="6">
        <v>0</v>
      </c>
      <c r="S14" s="5" t="str">
        <f ca="1">VLOOKUP($T14,OFFSET([4]enemy_skill_sets!$B$1,0,0,COUNTA([4]enemy_skill_sets!$B:$B),MATCH(J$1,[4]enemy_skill_sets!$1:$1,0)-MATCH($T$1,[4]enemy_skill_sets!$1:$1,0)+2),MATCH(J$1,[4]enemy_skill_sets!$1:$1,0)-MATCH($T$1,[4]enemy_skill_sets!$1:$1,0)+2,FALSE)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" s="5">
        <f ca="1">VLOOKUP($I14,OFFSET([2]enemies!$A$1,0,0,COUNTA([2]enemies!$A:$A),MATCH(T$1,[2]enemies!$2:$2,0)-MATCH($I$1,[2]enemies!$2:$2,0)+1),MATCH(T$1,[2]enemies!$2:$2,0)-MATCH($I$1,[2]enemies!$2:$2,0)+1,FALSE)</f>
        <v>0</v>
      </c>
      <c r="U14" s="7">
        <v>0</v>
      </c>
      <c r="V14" s="7">
        <v>100</v>
      </c>
      <c r="W14" s="7">
        <v>0</v>
      </c>
      <c r="X14" s="26">
        <f ca="1">VLOOKUP($I14,OFFSET([2]enemies!$A$1,0,0,COUNTA([2]enemies!$A:$A),MATCH(X$1,[2]enemies!$2:$2,0)-MATCH($I$1,[2]enemies!$2:$2,0)+1),MATCH(X$1,[2]enemies!$2:$2,0)-MATCH($I$1,[2]enemies!$2:$2,0)+1,FALSE)</f>
        <v>2</v>
      </c>
      <c r="Y14" s="31">
        <v>114</v>
      </c>
      <c r="Z14" s="5" t="str">
        <f ca="1">IFERROR(VLOOKUP($Y14,OFFSET([3]characters!$A$1,0,0,COUNTA([3]characters!$A:$A),MATCH(Z$1,[3]characters!$2:$2,0)-MATCH("character_id",[3]characters!$2:$2,0)+1),MATCH(Z$1,[3]characters!$2:$2,0)-MATCH("character_id",[3]characters!$2:$2,0)+1,FALSE),"")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14" s="5">
        <f ca="1">IFERROR(VLOOKUP($Y14,OFFSET([3]characters!$A$1,0,0,COUNTA([3]characters!$A:$A),MATCH(AA$1,[3]characters!$2:$2,0)-MATCH("character_id",[3]characters!$2:$2,0)+1),MATCH(AA$1,[3]characters!$2:$2,0)-MATCH("character_id",[3]characters!$2:$2,0)+1,FALSE),"")</f>
        <v>3</v>
      </c>
      <c r="AB14" s="5" t="str">
        <f ca="1">IFERROR(VLOOKUP($Y14,OFFSET([3]characters!$A$1,0,0,COUNTA([3]characters!$A:$A),MATCH(AB$1,[3]characters!$2:$2,0)-MATCH("character_id",[3]characters!$2:$2,0)+1),MATCH(AB$1,[3]characters!$2:$2,0)-MATCH("character_id",[3]characters!$2:$2,0)+1,FALSE),"")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4" s="8">
        <v>1</v>
      </c>
      <c r="AD14" s="34">
        <f t="shared" ca="1" si="7"/>
        <v>3</v>
      </c>
      <c r="AE14" s="9">
        <v>30</v>
      </c>
      <c r="AF14" s="8">
        <v>0</v>
      </c>
      <c r="AG14" s="8">
        <v>0</v>
      </c>
      <c r="AH14" s="8">
        <v>0</v>
      </c>
      <c r="AI14" s="8">
        <v>0</v>
      </c>
      <c r="AJ14" s="8">
        <v>1</v>
      </c>
    </row>
    <row r="15" spans="1:36" ht="21" customHeight="1">
      <c r="A15" s="21" t="str">
        <f t="shared" ca="1" si="4"/>
        <v>11101_2-4/115&lt;lv15&gt;s2</v>
      </c>
      <c r="B15" s="8">
        <v>11101</v>
      </c>
      <c r="C15" s="49">
        <v>2</v>
      </c>
      <c r="D15" s="2" t="str">
        <f t="shared" si="5"/>
        <v>11101_2</v>
      </c>
      <c r="E15" s="5" t="str">
        <f ca="1">VLOOKUP($B15,OFFSET([1]quests!$A$1,0,0,COUNTA([1]quests!$A:$A),MATCH(E$1,[1]quests!$1:$1,0)-MATCH($B$1,[1]quests!$1:$1,0)+1),MATCH(E$1,[1]quests!$1:$1,0)-MATCH($B$1,[1]quests!$1:$1,0)+1,FALSE)</f>
        <v>【キャンペーン限定】 黄の素材</v>
      </c>
      <c r="F15" s="5" t="str">
        <f ca="1">VLOOKUP($D15,OFFSET([1]stages!$A$1,0,0,COUNTA([1]stages!$A:$A),MATCH(F$1,[1]stages!$2:$2,0)-MATCH($D$1,[1]stages!$2:$2,0)+1),MATCH(F$1,[1]stages!$2:$2,0)-MATCH($D$1,[1]stages!$2:$2,0)+1,FALSE)</f>
        <v>雷のウサギ 【中級】</v>
      </c>
      <c r="G15" s="32">
        <v>4</v>
      </c>
      <c r="H15" s="20" t="str">
        <f t="shared" si="6"/>
        <v>11101_2-4</v>
      </c>
      <c r="I15" s="31">
        <v>115</v>
      </c>
      <c r="J15" s="26" t="str">
        <f ca="1">VLOOKUP($I15,OFFSET([2]enemies!$A$1,0,0,COUNTA([2]enemies!$A:$A),MATCH(J$1,[2]enemies!$2:$2,0)-MATCH($I$1,[2]enemies!$2:$2,0)+1),MATCH(J$1,[2]enemies!$2:$2,0)-MATCH($I$1,[2]enemies!$2:$2,0)+1,FALSE)</f>
        <v>イエローキャタップ</v>
      </c>
      <c r="K15" s="29" t="str">
        <f ca="1">VLOOKUP($I15,OFFSET([2]enemies!$A$1,0,0,COUNTA([2]enemies!$A:$A),MATCH(K$1,[2]enemies!$2:$2,0)-MATCH($I$1,[2]enemies!$2:$2,0)+1),MATCH(K$1,[2]enemies!$2:$2,0)-MATCH($I$1,[2]enemies!$2:$2,0)+1,FALSE)</f>
        <v>yellow</v>
      </c>
      <c r="L15" s="29" t="str">
        <f ca="1">VLOOKUP($I15,OFFSET([3]characters!$A$1,0,0,COUNTA([3]characters!$A:$A),MATCH(L$1,[3]characters!$2:$2,0)-MATCH($I$1,[3]characters!$2:$2,0)+1),MATCH(L$1,[3]characters!$2:$2,0)-MATCH($I$1,[3]characters!$2:$2,0)+1,FALSE)</f>
        <v>Material</v>
      </c>
      <c r="M15" s="28" t="str">
        <f ca="1">VLOOKUP($I15,OFFSET([3]characters!$A$1,0,0,COUNTA([3]characters!$A:$A),MATCH(M$1,[3]characters!$2:$2,0)-MATCH($I$1,[3]characters!$2:$2,0)+2),MATCH(M$1,[3]characters!$2:$2,0)-MATCH($I$1,[3]characters!$2:$2,0)+2,FALSE)</f>
        <v>Unknown</v>
      </c>
      <c r="N15" s="5">
        <f ca="1">VLOOKUP($I15,OFFSET([2]enemies!$A$1,0,0,COUNTA([2]enemies!$A:$A),MATCH(N$1,[2]enemies!$2:$2,0)-MATCH($I$1,[2]enemies!$2:$2,0)+1),MATCH(N$1,[2]enemies!$2:$2,0)-MATCH($I$1,[2]enemies!$2:$2,0)+1,FALSE)</f>
        <v>15</v>
      </c>
      <c r="O15" s="6">
        <v>15</v>
      </c>
      <c r="P15" s="46">
        <v>2</v>
      </c>
      <c r="Q15" s="46">
        <v>1</v>
      </c>
      <c r="R15" s="6">
        <v>0</v>
      </c>
      <c r="S15" s="5" t="str">
        <f ca="1">VLOOKUP($T15,OFFSET([4]enemy_skill_sets!$B$1,0,0,COUNTA([4]enemy_skill_sets!$B:$B),MATCH(J$1,[4]enemy_skill_sets!$1:$1,0)-MATCH($T$1,[4]enemy_skill_sets!$1:$1,0)+2),MATCH(J$1,[4]enemy_skill_sets!$1:$1,0)-MATCH($T$1,[4]enemy_skill_sets!$1:$1,0)+2,FALSE)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" s="5">
        <f ca="1">VLOOKUP($I15,OFFSET([2]enemies!$A$1,0,0,COUNTA([2]enemies!$A:$A),MATCH(T$1,[2]enemies!$2:$2,0)-MATCH($I$1,[2]enemies!$2:$2,0)+1),MATCH(T$1,[2]enemies!$2:$2,0)-MATCH($I$1,[2]enemies!$2:$2,0)+1,FALSE)</f>
        <v>0</v>
      </c>
      <c r="U15" s="7">
        <v>0</v>
      </c>
      <c r="V15" s="7">
        <v>25</v>
      </c>
      <c r="W15" s="7">
        <v>0</v>
      </c>
      <c r="X15" s="26">
        <f ca="1">VLOOKUP($I15,OFFSET([2]enemies!$A$1,0,0,COUNTA([2]enemies!$A:$A),MATCH(X$1,[2]enemies!$2:$2,0)-MATCH($I$1,[2]enemies!$2:$2,0)+1),MATCH(X$1,[2]enemies!$2:$2,0)-MATCH($I$1,[2]enemies!$2:$2,0)+1,FALSE)</f>
        <v>2</v>
      </c>
      <c r="Y15" s="31">
        <v>115</v>
      </c>
      <c r="Z15" s="5" t="str">
        <f ca="1">IFERROR(VLOOKUP($Y15,OFFSET([3]characters!$A$1,0,0,COUNTA([3]characters!$A:$A),MATCH(Z$1,[3]characters!$2:$2,0)-MATCH("character_id",[3]characters!$2:$2,0)+1),MATCH(Z$1,[3]characters!$2:$2,0)-MATCH("character_id",[3]characters!$2:$2,0)+1,FALSE),"")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15" s="5">
        <f ca="1">IFERROR(VLOOKUP($Y15,OFFSET([3]characters!$A$1,0,0,COUNTA([3]characters!$A:$A),MATCH(AA$1,[3]characters!$2:$2,0)-MATCH("character_id",[3]characters!$2:$2,0)+1),MATCH(AA$1,[3]characters!$2:$2,0)-MATCH("character_id",[3]characters!$2:$2,0)+1,FALSE),"")</f>
        <v>4</v>
      </c>
      <c r="AB15" s="5" t="str">
        <f ca="1">IFERROR(VLOOKUP($Y15,OFFSET([3]characters!$A$1,0,0,COUNTA([3]characters!$A:$A),MATCH(AB$1,[3]characters!$2:$2,0)-MATCH("character_id",[3]characters!$2:$2,0)+1),MATCH(AB$1,[3]characters!$2:$2,0)-MATCH("character_id",[3]characters!$2:$2,0)+1,FALSE),"")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5" s="8">
        <v>1</v>
      </c>
      <c r="AD15" s="34">
        <f t="shared" ca="1" si="7"/>
        <v>4</v>
      </c>
      <c r="AE15" s="9">
        <v>5</v>
      </c>
      <c r="AF15" s="8">
        <v>0</v>
      </c>
      <c r="AG15" s="8">
        <v>0</v>
      </c>
      <c r="AH15" s="8">
        <v>0</v>
      </c>
      <c r="AI15" s="8">
        <v>0</v>
      </c>
      <c r="AJ15" s="8">
        <v>1</v>
      </c>
    </row>
    <row r="16" spans="1:36" ht="21" customHeight="1">
      <c r="A16" s="21" t="str">
        <f t="shared" ref="A16" ca="1" si="8">B16&amp;"_"&amp;C16&amp;"-"&amp;G16&amp;"/"&amp;I16&amp;"&lt;lv"&amp;O16&amp;"&gt;s"&amp;X16</f>
        <v>11101_2-5/114&lt;lv15&gt;s2</v>
      </c>
      <c r="B16" s="8">
        <v>11101</v>
      </c>
      <c r="C16" s="49">
        <v>2</v>
      </c>
      <c r="D16" s="2" t="str">
        <f t="shared" ref="D16" si="9">B16&amp;"_"&amp;C16</f>
        <v>11101_2</v>
      </c>
      <c r="E16" s="5" t="str">
        <f ca="1">VLOOKUP($B16,OFFSET([1]quests!$A$1,0,0,COUNTA([1]quests!$A:$A),MATCH(E$1,[1]quests!$1:$1,0)-MATCH($B$1,[1]quests!$1:$1,0)+1),MATCH(E$1,[1]quests!$1:$1,0)-MATCH($B$1,[1]quests!$1:$1,0)+1,FALSE)</f>
        <v>【キャンペーン限定】 黄の素材</v>
      </c>
      <c r="F16" s="5" t="str">
        <f ca="1">VLOOKUP($D16,OFFSET([1]stages!$A$1,0,0,COUNTA([1]stages!$A:$A),MATCH(F$1,[1]stages!$2:$2,0)-MATCH($D$1,[1]stages!$2:$2,0)+1),MATCH(F$1,[1]stages!$2:$2,0)-MATCH($D$1,[1]stages!$2:$2,0)+1,FALSE)</f>
        <v>雷のウサギ 【中級】</v>
      </c>
      <c r="G16" s="32">
        <v>5</v>
      </c>
      <c r="H16" s="20" t="str">
        <f t="shared" ref="H16" si="10">B16&amp;"_"&amp;C16&amp;"-"&amp;G16</f>
        <v>11101_2-5</v>
      </c>
      <c r="I16" s="31">
        <v>114</v>
      </c>
      <c r="J16" s="26" t="str">
        <f ca="1">VLOOKUP($I16,OFFSET([2]enemies!$A$1,0,0,COUNTA([2]enemies!$A:$A),MATCH(J$1,[2]enemies!$2:$2,0)-MATCH($I$1,[2]enemies!$2:$2,0)+1),MATCH(J$1,[2]enemies!$2:$2,0)-MATCH($I$1,[2]enemies!$2:$2,0)+1,FALSE)</f>
        <v>イエローラビット</v>
      </c>
      <c r="K16" s="29" t="str">
        <f ca="1">VLOOKUP($I16,OFFSET([2]enemies!$A$1,0,0,COUNTA([2]enemies!$A:$A),MATCH(K$1,[2]enemies!$2:$2,0)-MATCH($I$1,[2]enemies!$2:$2,0)+1),MATCH(K$1,[2]enemies!$2:$2,0)-MATCH($I$1,[2]enemies!$2:$2,0)+1,FALSE)</f>
        <v>yellow</v>
      </c>
      <c r="L16" s="29" t="str">
        <f ca="1">VLOOKUP($I16,OFFSET([3]characters!$A$1,0,0,COUNTA([3]characters!$A:$A),MATCH(L$1,[3]characters!$2:$2,0)-MATCH($I$1,[3]characters!$2:$2,0)+1),MATCH(L$1,[3]characters!$2:$2,0)-MATCH($I$1,[3]characters!$2:$2,0)+1,FALSE)</f>
        <v>Material</v>
      </c>
      <c r="M16" s="28" t="str">
        <f ca="1">VLOOKUP($I16,OFFSET([3]characters!$A$1,0,0,COUNTA([3]characters!$A:$A),MATCH(M$1,[3]characters!$2:$2,0)-MATCH($I$1,[3]characters!$2:$2,0)+2),MATCH(M$1,[3]characters!$2:$2,0)-MATCH($I$1,[3]characters!$2:$2,0)+2,FALSE)</f>
        <v>Unknown</v>
      </c>
      <c r="N16" s="5">
        <f ca="1">VLOOKUP($I16,OFFSET([2]enemies!$A$1,0,0,COUNTA([2]enemies!$A:$A),MATCH(N$1,[2]enemies!$2:$2,0)-MATCH($I$1,[2]enemies!$2:$2,0)+1),MATCH(N$1,[2]enemies!$2:$2,0)-MATCH($I$1,[2]enemies!$2:$2,0)+1,FALSE)</f>
        <v>15</v>
      </c>
      <c r="O16" s="6">
        <v>15</v>
      </c>
      <c r="P16" s="48">
        <v>1.8</v>
      </c>
      <c r="Q16" s="46">
        <v>1</v>
      </c>
      <c r="R16" s="6">
        <v>0</v>
      </c>
      <c r="S16" s="5" t="str">
        <f ca="1">VLOOKUP($T16,OFFSET([4]enemy_skill_sets!$B$1,0,0,COUNTA([4]enemy_skill_sets!$B:$B),MATCH(J$1,[4]enemy_skill_sets!$1:$1,0)-MATCH($T$1,[4]enemy_skill_sets!$1:$1,0)+2),MATCH(J$1,[4]enemy_skill_sets!$1:$1,0)-MATCH($T$1,[4]enemy_skill_sets!$1:$1,0)+2,FALSE)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" s="5">
        <f ca="1">VLOOKUP($I16,OFFSET([2]enemies!$A$1,0,0,COUNTA([2]enemies!$A:$A),MATCH(T$1,[2]enemies!$2:$2,0)-MATCH($I$1,[2]enemies!$2:$2,0)+1),MATCH(T$1,[2]enemies!$2:$2,0)-MATCH($I$1,[2]enemies!$2:$2,0)+1,FALSE)</f>
        <v>0</v>
      </c>
      <c r="U16" s="7">
        <v>2</v>
      </c>
      <c r="V16" s="7">
        <v>100</v>
      </c>
      <c r="W16" s="7">
        <v>0</v>
      </c>
      <c r="X16" s="26">
        <f ca="1">VLOOKUP($I16,OFFSET([2]enemies!$A$1,0,0,COUNTA([2]enemies!$A:$A),MATCH(X$1,[2]enemies!$2:$2,0)-MATCH($I$1,[2]enemies!$2:$2,0)+1),MATCH(X$1,[2]enemies!$2:$2,0)-MATCH($I$1,[2]enemies!$2:$2,0)+1,FALSE)</f>
        <v>2</v>
      </c>
      <c r="Y16" s="31">
        <v>114</v>
      </c>
      <c r="Z16" s="5" t="str">
        <f ca="1">IFERROR(VLOOKUP($Y16,OFFSET([3]characters!$A$1,0,0,COUNTA([3]characters!$A:$A),MATCH(Z$1,[3]characters!$2:$2,0)-MATCH("character_id",[3]characters!$2:$2,0)+1),MATCH(Z$1,[3]characters!$2:$2,0)-MATCH("character_id",[3]characters!$2:$2,0)+1,FALSE),"")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16" s="5">
        <f ca="1">IFERROR(VLOOKUP($Y16,OFFSET([3]characters!$A$1,0,0,COUNTA([3]characters!$A:$A),MATCH(AA$1,[3]characters!$2:$2,0)-MATCH("character_id",[3]characters!$2:$2,0)+1),MATCH(AA$1,[3]characters!$2:$2,0)-MATCH("character_id",[3]characters!$2:$2,0)+1,FALSE),"")</f>
        <v>3</v>
      </c>
      <c r="AB16" s="5" t="str">
        <f ca="1">IFERROR(VLOOKUP($Y16,OFFSET([3]characters!$A$1,0,0,COUNTA([3]characters!$A:$A),MATCH(AB$1,[3]characters!$2:$2,0)-MATCH("character_id",[3]characters!$2:$2,0)+1),MATCH(AB$1,[3]characters!$2:$2,0)-MATCH("character_id",[3]characters!$2:$2,0)+1,FALSE),"")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6" s="8">
        <v>1</v>
      </c>
      <c r="AD16" s="34">
        <f t="shared" ref="AD16" ca="1" si="11">AA16</f>
        <v>3</v>
      </c>
      <c r="AE16" s="9">
        <v>100</v>
      </c>
      <c r="AF16" s="8">
        <v>0</v>
      </c>
      <c r="AG16" s="8">
        <v>0</v>
      </c>
      <c r="AH16" s="8">
        <v>0</v>
      </c>
      <c r="AI16" s="8">
        <v>0</v>
      </c>
      <c r="AJ16" s="8">
        <v>1</v>
      </c>
    </row>
    <row r="17" spans="1:36" ht="21" customHeight="1">
      <c r="A17" s="21" t="str">
        <f t="shared" ca="1" si="4"/>
        <v>11101_2-5/56&lt;lv18&gt;s4</v>
      </c>
      <c r="B17" s="8">
        <v>11101</v>
      </c>
      <c r="C17" s="49">
        <v>2</v>
      </c>
      <c r="D17" s="2" t="str">
        <f t="shared" si="5"/>
        <v>11101_2</v>
      </c>
      <c r="E17" s="5" t="str">
        <f ca="1">VLOOKUP($B17,OFFSET([1]quests!$A$1,0,0,COUNTA([1]quests!$A:$A),MATCH(E$1,[1]quests!$1:$1,0)-MATCH($B$1,[1]quests!$1:$1,0)+1),MATCH(E$1,[1]quests!$1:$1,0)-MATCH($B$1,[1]quests!$1:$1,0)+1,FALSE)</f>
        <v>【キャンペーン限定】 黄の素材</v>
      </c>
      <c r="F17" s="5" t="str">
        <f ca="1">VLOOKUP($D17,OFFSET([1]stages!$A$1,0,0,COUNTA([1]stages!$A:$A),MATCH(F$1,[1]stages!$2:$2,0)-MATCH($D$1,[1]stages!$2:$2,0)+1),MATCH(F$1,[1]stages!$2:$2,0)-MATCH($D$1,[1]stages!$2:$2,0)+1,FALSE)</f>
        <v>雷のウサギ 【中級】</v>
      </c>
      <c r="G17" s="32">
        <v>5</v>
      </c>
      <c r="H17" s="20" t="str">
        <f t="shared" si="6"/>
        <v>11101_2-5</v>
      </c>
      <c r="I17" s="31">
        <v>56</v>
      </c>
      <c r="J17" s="26" t="str">
        <f ca="1">VLOOKUP($I17,OFFSET([2]enemies!$A$1,0,0,COUNTA([2]enemies!$A:$A),MATCH(J$1,[2]enemies!$2:$2,0)-MATCH($I$1,[2]enemies!$2:$2,0)+1),MATCH(J$1,[2]enemies!$2:$2,0)-MATCH($I$1,[2]enemies!$2:$2,0)+1,FALSE)</f>
        <v>黄槌のレジスタンス マミコ</v>
      </c>
      <c r="K17" s="29" t="str">
        <f ca="1">VLOOKUP($I17,OFFSET([2]enemies!$A$1,0,0,COUNTA([2]enemies!$A:$A),MATCH(K$1,[2]enemies!$2:$2,0)-MATCH($I$1,[2]enemies!$2:$2,0)+1),MATCH(K$1,[2]enemies!$2:$2,0)-MATCH($I$1,[2]enemies!$2:$2,0)+1,FALSE)</f>
        <v>yellow</v>
      </c>
      <c r="L17" s="29" t="str">
        <f ca="1">VLOOKUP($I17,OFFSET([3]characters!$A$1,0,0,COUNTA([3]characters!$A:$A),MATCH(L$1,[3]characters!$2:$2,0)-MATCH($I$1,[3]characters!$2:$2,0)+1),MATCH(L$1,[3]characters!$2:$2,0)-MATCH($I$1,[3]characters!$2:$2,0)+1,FALSE)</f>
        <v>Drop1N</v>
      </c>
      <c r="M17" s="28" t="str">
        <f ca="1">VLOOKUP($I17,OFFSET([3]characters!$A$1,0,0,COUNTA([3]characters!$A:$A),MATCH(M$1,[3]characters!$2:$2,0)-MATCH($I$1,[3]characters!$2:$2,0)+2),MATCH(M$1,[3]characters!$2:$2,0)-MATCH($I$1,[3]characters!$2:$2,0)+2,FALSE)</f>
        <v>ヒューマン</v>
      </c>
      <c r="N17" s="5">
        <f ca="1">VLOOKUP($I17,OFFSET([2]enemies!$A$1,0,0,COUNTA([2]enemies!$A:$A),MATCH(N$1,[2]enemies!$2:$2,0)-MATCH($I$1,[2]enemies!$2:$2,0)+1),MATCH(N$1,[2]enemies!$2:$2,0)-MATCH($I$1,[2]enemies!$2:$2,0)+1,FALSE)</f>
        <v>20</v>
      </c>
      <c r="O17" s="6">
        <v>18</v>
      </c>
      <c r="P17" s="46">
        <v>1</v>
      </c>
      <c r="Q17" s="46">
        <v>1</v>
      </c>
      <c r="R17" s="6">
        <v>0</v>
      </c>
      <c r="S17" s="5" t="str">
        <f ca="1">VLOOKUP($T17,OFFSET([4]enemy_skill_sets!$B$1,0,0,COUNTA([4]enemy_skill_sets!$B:$B),MATCH(J$1,[4]enemy_skill_sets!$1:$1,0)-MATCH($T$1,[4]enemy_skill_sets!$1:$1,0)+2),MATCH(J$1,[4]enemy_skill_sets!$1:$1,0)-MATCH($T$1,[4]enemy_skill_sets!$1:$1,0)+2,FALSE)</f>
        <v>4ターンスキルが使えない！</v>
      </c>
      <c r="T17" s="5">
        <f ca="1">VLOOKUP($I17,OFFSET([2]enemies!$A$1,0,0,COUNTA([2]enemies!$A:$A),MATCH(T$1,[2]enemies!$2:$2,0)-MATCH($I$1,[2]enemies!$2:$2,0)+1),MATCH(T$1,[2]enemies!$2:$2,0)-MATCH($I$1,[2]enemies!$2:$2,0)+1,FALSE)</f>
        <v>56</v>
      </c>
      <c r="U17" s="7">
        <v>0</v>
      </c>
      <c r="V17" s="7">
        <v>100</v>
      </c>
      <c r="W17" s="7">
        <v>1</v>
      </c>
      <c r="X17" s="26">
        <f ca="1">VLOOKUP($I17,OFFSET([2]enemies!$A$1,0,0,COUNTA([2]enemies!$A:$A),MATCH(X$1,[2]enemies!$2:$2,0)-MATCH($I$1,[2]enemies!$2:$2,0)+1),MATCH(X$1,[2]enemies!$2:$2,0)-MATCH($I$1,[2]enemies!$2:$2,0)+1,FALSE)</f>
        <v>4</v>
      </c>
      <c r="Y17" s="31">
        <v>55</v>
      </c>
      <c r="Z17" s="5" t="str">
        <f ca="1">IFERROR(VLOOKUP($Y17,OFFSET([3]characters!$A$1,0,0,COUNTA([3]characters!$A:$A),MATCH(Z$1,[3]characters!$2:$2,0)-MATCH("character_id",[3]characters!$2:$2,0)+1),MATCH(Z$1,[3]characters!$2:$2,0)-MATCH("character_id",[3]characters!$2:$2,0)+1,FALSE),"")</f>
        <v>マミコ</v>
      </c>
      <c r="AA17" s="5">
        <f ca="1">IFERROR(VLOOKUP($Y17,OFFSET([3]characters!$A$1,0,0,COUNTA([3]characters!$A:$A),MATCH(AA$1,[3]characters!$2:$2,0)-MATCH("character_id",[3]characters!$2:$2,0)+1),MATCH(AA$1,[3]characters!$2:$2,0)-MATCH("character_id",[3]characters!$2:$2,0)+1,FALSE),"")</f>
        <v>2</v>
      </c>
      <c r="AB17" s="5" t="str">
        <f ca="1">IFERROR(VLOOKUP($Y17,OFFSET([3]characters!$A$1,0,0,COUNTA([3]characters!$A:$A),MATCH(AB$1,[3]characters!$2:$2,0)-MATCH("character_id",[3]characters!$2:$2,0)+1),MATCH(AB$1,[3]characters!$2:$2,0)-MATCH("character_id",[3]characters!$2:$2,0)+1,FALSE),"")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7" s="8">
        <v>1</v>
      </c>
      <c r="AD17" s="34">
        <f t="shared" ca="1" si="7"/>
        <v>2</v>
      </c>
      <c r="AE17" s="9">
        <v>0</v>
      </c>
      <c r="AF17" s="8">
        <v>0</v>
      </c>
      <c r="AG17" s="8">
        <v>0</v>
      </c>
      <c r="AH17" s="8">
        <v>0</v>
      </c>
      <c r="AI17" s="8">
        <v>0</v>
      </c>
      <c r="AJ17" s="8">
        <v>1</v>
      </c>
    </row>
    <row r="18" spans="1:36" ht="21" customHeight="1">
      <c r="A18" s="21" t="str">
        <f t="shared" ref="A18" ca="1" si="12">B18&amp;"_"&amp;C18&amp;"-"&amp;G18&amp;"/"&amp;I18&amp;"&lt;lv"&amp;O18&amp;"&gt;s"&amp;X18</f>
        <v>11101_2-5/48&lt;lv18&gt;s1</v>
      </c>
      <c r="B18" s="8">
        <v>11101</v>
      </c>
      <c r="C18" s="49">
        <v>2</v>
      </c>
      <c r="D18" s="2" t="str">
        <f t="shared" ref="D18" si="13">B18&amp;"_"&amp;C18</f>
        <v>11101_2</v>
      </c>
      <c r="E18" s="5" t="str">
        <f ca="1">VLOOKUP($B18,OFFSET([1]quests!$A$1,0,0,COUNTA([1]quests!$A:$A),MATCH(E$1,[1]quests!$1:$1,0)-MATCH($B$1,[1]quests!$1:$1,0)+1),MATCH(E$1,[1]quests!$1:$1,0)-MATCH($B$1,[1]quests!$1:$1,0)+1,FALSE)</f>
        <v>【キャンペーン限定】 黄の素材</v>
      </c>
      <c r="F18" s="5" t="str">
        <f ca="1">VLOOKUP($D18,OFFSET([1]stages!$A$1,0,0,COUNTA([1]stages!$A:$A),MATCH(F$1,[1]stages!$2:$2,0)-MATCH($D$1,[1]stages!$2:$2,0)+1),MATCH(F$1,[1]stages!$2:$2,0)-MATCH($D$1,[1]stages!$2:$2,0)+1,FALSE)</f>
        <v>雷のウサギ 【中級】</v>
      </c>
      <c r="G18" s="32">
        <v>5</v>
      </c>
      <c r="H18" s="20" t="str">
        <f t="shared" ref="H18" si="14">B18&amp;"_"&amp;C18&amp;"-"&amp;G18</f>
        <v>11101_2-5</v>
      </c>
      <c r="I18" s="31">
        <v>48</v>
      </c>
      <c r="J18" s="26" t="str">
        <f ca="1">VLOOKUP($I18,OFFSET([2]enemies!$A$1,0,0,COUNTA([2]enemies!$A:$A),MATCH(J$1,[2]enemies!$2:$2,0)-MATCH($I$1,[2]enemies!$2:$2,0)+1),MATCH(J$1,[2]enemies!$2:$2,0)-MATCH($I$1,[2]enemies!$2:$2,0)+1,FALSE)</f>
        <v>サンダーステップのヒロ</v>
      </c>
      <c r="K18" s="29" t="str">
        <f ca="1">VLOOKUP($I18,OFFSET([2]enemies!$A$1,0,0,COUNTA([2]enemies!$A:$A),MATCH(K$1,[2]enemies!$2:$2,0)-MATCH($I$1,[2]enemies!$2:$2,0)+1),MATCH(K$1,[2]enemies!$2:$2,0)-MATCH($I$1,[2]enemies!$2:$2,0)+1,FALSE)</f>
        <v>yellow</v>
      </c>
      <c r="L18" s="29" t="str">
        <f ca="1">VLOOKUP($I18,OFFSET([3]characters!$A$1,0,0,COUNTA([3]characters!$A:$A),MATCH(L$1,[3]characters!$2:$2,0)-MATCH($I$1,[3]characters!$2:$2,0)+1),MATCH(L$1,[3]characters!$2:$2,0)-MATCH($I$1,[3]characters!$2:$2,0)+1,FALSE)</f>
        <v>Drop1N</v>
      </c>
      <c r="M18" s="28" t="str">
        <f ca="1">VLOOKUP($I18,OFFSET([3]characters!$A$1,0,0,COUNTA([3]characters!$A:$A),MATCH(M$1,[3]characters!$2:$2,0)-MATCH($I$1,[3]characters!$2:$2,0)+2),MATCH(M$1,[3]characters!$2:$2,0)-MATCH($I$1,[3]characters!$2:$2,0)+2,FALSE)</f>
        <v>アニマル</v>
      </c>
      <c r="N18" s="5">
        <f ca="1">VLOOKUP($I18,OFFSET([2]enemies!$A$1,0,0,COUNTA([2]enemies!$A:$A),MATCH(N$1,[2]enemies!$2:$2,0)-MATCH($I$1,[2]enemies!$2:$2,0)+1),MATCH(N$1,[2]enemies!$2:$2,0)-MATCH($I$1,[2]enemies!$2:$2,0)+1,FALSE)</f>
        <v>20</v>
      </c>
      <c r="O18" s="6">
        <v>18</v>
      </c>
      <c r="P18" s="46">
        <v>1</v>
      </c>
      <c r="Q18" s="46">
        <v>1</v>
      </c>
      <c r="R18" s="6">
        <v>0</v>
      </c>
      <c r="S18" s="5" t="str">
        <f ca="1">VLOOKUP($T18,OFFSET([4]enemy_skill_sets!$B$1,0,0,COUNTA([4]enemy_skill_sets!$B:$B),MATCH(J$1,[4]enemy_skill_sets!$1:$1,0)-MATCH($T$1,[4]enemy_skill_sets!$1:$1,0)+2),MATCH(J$1,[4]enemy_skill_sets!$1:$1,0)-MATCH($T$1,[4]enemy_skill_sets!$1:$1,0)+2,FALSE)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" s="5">
        <f ca="1">VLOOKUP($I18,OFFSET([2]enemies!$A$1,0,0,COUNTA([2]enemies!$A:$A),MATCH(T$1,[2]enemies!$2:$2,0)-MATCH($I$1,[2]enemies!$2:$2,0)+1),MATCH(T$1,[2]enemies!$2:$2,0)-MATCH($I$1,[2]enemies!$2:$2,0)+1,FALSE)</f>
        <v>0</v>
      </c>
      <c r="U18" s="7">
        <v>0</v>
      </c>
      <c r="V18" s="7">
        <v>100</v>
      </c>
      <c r="W18" s="7">
        <v>1</v>
      </c>
      <c r="X18" s="26">
        <f ca="1">VLOOKUP($I18,OFFSET([2]enemies!$A$1,0,0,COUNTA([2]enemies!$A:$A),MATCH(X$1,[2]enemies!$2:$2,0)-MATCH($I$1,[2]enemies!$2:$2,0)+1),MATCH(X$1,[2]enemies!$2:$2,0)-MATCH($I$1,[2]enemies!$2:$2,0)+1,FALSE)</f>
        <v>1</v>
      </c>
      <c r="Y18" s="31">
        <v>47</v>
      </c>
      <c r="Z18" s="5" t="str">
        <f ca="1">IFERROR(VLOOKUP($Y18,OFFSET([3]characters!$A$1,0,0,COUNTA([3]characters!$A:$A),MATCH(Z$1,[3]characters!$2:$2,0)-MATCH("character_id",[3]characters!$2:$2,0)+1),MATCH(Z$1,[3]characters!$2:$2,0)-MATCH("character_id",[3]characters!$2:$2,0)+1,FALSE),"")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18" s="5">
        <f ca="1">IFERROR(VLOOKUP($Y18,OFFSET([3]characters!$A$1,0,0,COUNTA([3]characters!$A:$A),MATCH(AA$1,[3]characters!$2:$2,0)-MATCH("character_id",[3]characters!$2:$2,0)+1),MATCH(AA$1,[3]characters!$2:$2,0)-MATCH("character_id",[3]characters!$2:$2,0)+1,FALSE),"")</f>
        <v>2</v>
      </c>
      <c r="AB18" s="5" t="str">
        <f ca="1">IFERROR(VLOOKUP($Y18,OFFSET([3]characters!$A$1,0,0,COUNTA([3]characters!$A:$A),MATCH(AB$1,[3]characters!$2:$2,0)-MATCH("character_id",[3]characters!$2:$2,0)+1),MATCH(AB$1,[3]characters!$2:$2,0)-MATCH("character_id",[3]characters!$2:$2,0)+1,FALSE),"")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8" s="8">
        <v>1</v>
      </c>
      <c r="AD18" s="34">
        <f t="shared" ref="AD18" ca="1" si="15">AA18</f>
        <v>2</v>
      </c>
      <c r="AE18" s="9">
        <v>0</v>
      </c>
      <c r="AF18" s="8">
        <v>0</v>
      </c>
      <c r="AG18" s="8">
        <v>0</v>
      </c>
      <c r="AH18" s="8">
        <v>0</v>
      </c>
      <c r="AI18" s="8">
        <v>0</v>
      </c>
      <c r="AJ18" s="8">
        <v>1</v>
      </c>
    </row>
    <row r="19" spans="1:36" ht="21" customHeight="1">
      <c r="A19" s="21" t="str">
        <f t="shared" ref="A19" ca="1" si="16">B19&amp;"_"&amp;C19&amp;"-"&amp;G19&amp;"/"&amp;I19&amp;"&lt;lv"&amp;O19&amp;"&gt;s"&amp;X19</f>
        <v>11101_2-5/64&lt;lv18&gt;s1</v>
      </c>
      <c r="B19" s="8">
        <v>11101</v>
      </c>
      <c r="C19" s="49">
        <v>2</v>
      </c>
      <c r="D19" s="2" t="str">
        <f t="shared" ref="D19" si="17">B19&amp;"_"&amp;C19</f>
        <v>11101_2</v>
      </c>
      <c r="E19" s="5" t="str">
        <f ca="1">VLOOKUP($B19,OFFSET([1]quests!$A$1,0,0,COUNTA([1]quests!$A:$A),MATCH(E$1,[1]quests!$1:$1,0)-MATCH($B$1,[1]quests!$1:$1,0)+1),MATCH(E$1,[1]quests!$1:$1,0)-MATCH($B$1,[1]quests!$1:$1,0)+1,FALSE)</f>
        <v>【キャンペーン限定】 黄の素材</v>
      </c>
      <c r="F19" s="5" t="str">
        <f ca="1">VLOOKUP($D19,OFFSET([1]stages!$A$1,0,0,COUNTA([1]stages!$A:$A),MATCH(F$1,[1]stages!$2:$2,0)-MATCH($D$1,[1]stages!$2:$2,0)+1),MATCH(F$1,[1]stages!$2:$2,0)-MATCH($D$1,[1]stages!$2:$2,0)+1,FALSE)</f>
        <v>雷のウサギ 【中級】</v>
      </c>
      <c r="G19" s="32">
        <v>5</v>
      </c>
      <c r="H19" s="20" t="str">
        <f t="shared" ref="H19" si="18">B19&amp;"_"&amp;C19&amp;"-"&amp;G19</f>
        <v>11101_2-5</v>
      </c>
      <c r="I19" s="31">
        <v>64</v>
      </c>
      <c r="J19" s="26" t="str">
        <f ca="1">VLOOKUP($I19,OFFSET([2]enemies!$A$1,0,0,COUNTA([2]enemies!$A:$A),MATCH(J$1,[2]enemies!$2:$2,0)-MATCH($I$1,[2]enemies!$2:$2,0)+1),MATCH(J$1,[2]enemies!$2:$2,0)-MATCH($I$1,[2]enemies!$2:$2,0)+1,FALSE)</f>
        <v>フレイムエッジ トニー</v>
      </c>
      <c r="K19" s="29" t="str">
        <f ca="1">VLOOKUP($I19,OFFSET([2]enemies!$A$1,0,0,COUNTA([2]enemies!$A:$A),MATCH(K$1,[2]enemies!$2:$2,0)-MATCH($I$1,[2]enemies!$2:$2,0)+1),MATCH(K$1,[2]enemies!$2:$2,0)-MATCH($I$1,[2]enemies!$2:$2,0)+1,FALSE)</f>
        <v>yellow</v>
      </c>
      <c r="L19" s="29" t="str">
        <f ca="1">VLOOKUP($I19,OFFSET([3]characters!$A$1,0,0,COUNTA([3]characters!$A:$A),MATCH(L$1,[3]characters!$2:$2,0)-MATCH($I$1,[3]characters!$2:$2,0)+1),MATCH(L$1,[3]characters!$2:$2,0)-MATCH($I$1,[3]characters!$2:$2,0)+1,FALSE)</f>
        <v>Drop1N</v>
      </c>
      <c r="M19" s="28" t="str">
        <f ca="1">VLOOKUP($I19,OFFSET([3]characters!$A$1,0,0,COUNTA([3]characters!$A:$A),MATCH(M$1,[3]characters!$2:$2,0)-MATCH($I$1,[3]characters!$2:$2,0)+2),MATCH(M$1,[3]characters!$2:$2,0)-MATCH($I$1,[3]characters!$2:$2,0)+2,FALSE)</f>
        <v>アニマル</v>
      </c>
      <c r="N19" s="5">
        <f ca="1">VLOOKUP($I19,OFFSET([2]enemies!$A$1,0,0,COUNTA([2]enemies!$A:$A),MATCH(N$1,[2]enemies!$2:$2,0)-MATCH($I$1,[2]enemies!$2:$2,0)+1),MATCH(N$1,[2]enemies!$2:$2,0)-MATCH($I$1,[2]enemies!$2:$2,0)+1,FALSE)</f>
        <v>20</v>
      </c>
      <c r="O19" s="6">
        <v>18</v>
      </c>
      <c r="P19" s="46">
        <v>1</v>
      </c>
      <c r="Q19" s="46">
        <v>1</v>
      </c>
      <c r="R19" s="6">
        <v>0</v>
      </c>
      <c r="S19" s="5" t="str">
        <f ca="1">VLOOKUP($T19,OFFSET([4]enemy_skill_sets!$B$1,0,0,COUNTA([4]enemy_skill_sets!$B:$B),MATCH(J$1,[4]enemy_skill_sets!$1:$1,0)-MATCH($T$1,[4]enemy_skill_sets!$1:$1,0)+2),MATCH(J$1,[4]enemy_skill_sets!$1:$1,0)-MATCH($T$1,[4]enemy_skill_sets!$1:$1,0)+2,FALSE)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19" s="5">
        <f ca="1">VLOOKUP($I19,OFFSET([2]enemies!$A$1,0,0,COUNTA([2]enemies!$A:$A),MATCH(T$1,[2]enemies!$2:$2,0)-MATCH($I$1,[2]enemies!$2:$2,0)+1),MATCH(T$1,[2]enemies!$2:$2,0)-MATCH($I$1,[2]enemies!$2:$2,0)+1,FALSE)</f>
        <v>64</v>
      </c>
      <c r="U19" s="7">
        <v>0</v>
      </c>
      <c r="V19" s="7">
        <v>100</v>
      </c>
      <c r="W19" s="7">
        <v>1</v>
      </c>
      <c r="X19" s="26">
        <f ca="1">VLOOKUP($I19,OFFSET([2]enemies!$A$1,0,0,COUNTA([2]enemies!$A:$A),MATCH(X$1,[2]enemies!$2:$2,0)-MATCH($I$1,[2]enemies!$2:$2,0)+1),MATCH(X$1,[2]enemies!$2:$2,0)-MATCH($I$1,[2]enemies!$2:$2,0)+1,FALSE)</f>
        <v>1</v>
      </c>
      <c r="Y19" s="31">
        <v>63</v>
      </c>
      <c r="Z19" s="5" t="str">
        <f ca="1">IFERROR(VLOOKUP($Y19,OFFSET([3]characters!$A$1,0,0,COUNTA([3]characters!$A:$A),MATCH(Z$1,[3]characters!$2:$2,0)-MATCH("character_id",[3]characters!$2:$2,0)+1),MATCH(Z$1,[3]characters!$2:$2,0)-MATCH("character_id",[3]characters!$2:$2,0)+1,FALSE),"")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19" s="5">
        <f ca="1">IFERROR(VLOOKUP($Y19,OFFSET([3]characters!$A$1,0,0,COUNTA([3]characters!$A:$A),MATCH(AA$1,[3]characters!$2:$2,0)-MATCH("character_id",[3]characters!$2:$2,0)+1),MATCH(AA$1,[3]characters!$2:$2,0)-MATCH("character_id",[3]characters!$2:$2,0)+1,FALSE),"")</f>
        <v>2</v>
      </c>
      <c r="AB19" s="5" t="str">
        <f ca="1">IFERROR(VLOOKUP($Y19,OFFSET([3]characters!$A$1,0,0,COUNTA([3]characters!$A:$A),MATCH(AB$1,[3]characters!$2:$2,0)-MATCH("character_id",[3]characters!$2:$2,0)+1),MATCH(AB$1,[3]characters!$2:$2,0)-MATCH("character_id",[3]characters!$2:$2,0)+1,FALSE),"")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9" s="8">
        <v>1</v>
      </c>
      <c r="AD19" s="34">
        <f t="shared" ref="AD19" ca="1" si="19">AA19</f>
        <v>2</v>
      </c>
      <c r="AE19" s="9">
        <v>0</v>
      </c>
      <c r="AF19" s="8">
        <v>0</v>
      </c>
      <c r="AG19" s="8">
        <v>0</v>
      </c>
      <c r="AH19" s="8">
        <v>0</v>
      </c>
      <c r="AI19" s="8">
        <v>0</v>
      </c>
      <c r="AJ19" s="8">
        <v>1</v>
      </c>
    </row>
    <row r="20" spans="1:36" ht="21" customHeight="1">
      <c r="A20" s="21" t="str">
        <f t="shared" ca="1" si="0"/>
        <v>11101_3-1/115&lt;lv30&gt;s2</v>
      </c>
      <c r="B20" s="8">
        <v>11101</v>
      </c>
      <c r="C20" s="49">
        <v>3</v>
      </c>
      <c r="D20" s="2" t="str">
        <f t="shared" si="1"/>
        <v>11101_3</v>
      </c>
      <c r="E20" s="5" t="str">
        <f ca="1">VLOOKUP($B20,OFFSET([1]quests!$A$1,0,0,COUNTA([1]quests!$A:$A),MATCH(E$1,[1]quests!$1:$1,0)-MATCH($B$1,[1]quests!$1:$1,0)+1),MATCH(E$1,[1]quests!$1:$1,0)-MATCH($B$1,[1]quests!$1:$1,0)+1,FALSE)</f>
        <v>【キャンペーン限定】 黄の素材</v>
      </c>
      <c r="F20" s="5" t="str">
        <f ca="1">VLOOKUP($D20,OFFSET([1]stages!$A$1,0,0,COUNTA([1]stages!$A:$A),MATCH(F$1,[1]stages!$2:$2,0)-MATCH($D$1,[1]stages!$2:$2,0)+1),MATCH(F$1,[1]stages!$2:$2,0)-MATCH($D$1,[1]stages!$2:$2,0)+1,FALSE)</f>
        <v>雷のイモムシ 【上級】</v>
      </c>
      <c r="G20" s="32">
        <v>1</v>
      </c>
      <c r="H20" s="20" t="str">
        <f t="shared" si="2"/>
        <v>11101_3-1</v>
      </c>
      <c r="I20" s="31">
        <v>115</v>
      </c>
      <c r="J20" s="26" t="str">
        <f ca="1">VLOOKUP($I20,OFFSET([2]enemies!$A$1,0,0,COUNTA([2]enemies!$A:$A),MATCH(J$1,[2]enemies!$2:$2,0)-MATCH($I$1,[2]enemies!$2:$2,0)+1),MATCH(J$1,[2]enemies!$2:$2,0)-MATCH($I$1,[2]enemies!$2:$2,0)+1,FALSE)</f>
        <v>イエローキャタップ</v>
      </c>
      <c r="K20" s="29" t="str">
        <f ca="1">VLOOKUP($I20,OFFSET([2]enemies!$A$1,0,0,COUNTA([2]enemies!$A:$A),MATCH(K$1,[2]enemies!$2:$2,0)-MATCH($I$1,[2]enemies!$2:$2,0)+1),MATCH(K$1,[2]enemies!$2:$2,0)-MATCH($I$1,[2]enemies!$2:$2,0)+1,FALSE)</f>
        <v>yellow</v>
      </c>
      <c r="L20" s="29" t="str">
        <f ca="1">VLOOKUP($I20,OFFSET([3]characters!$A$1,0,0,COUNTA([3]characters!$A:$A),MATCH(L$1,[3]characters!$2:$2,0)-MATCH($I$1,[3]characters!$2:$2,0)+1),MATCH(L$1,[3]characters!$2:$2,0)-MATCH($I$1,[3]characters!$2:$2,0)+1,FALSE)</f>
        <v>Material</v>
      </c>
      <c r="M20" s="28" t="str">
        <f ca="1">VLOOKUP($I20,OFFSET([3]characters!$A$1,0,0,COUNTA([3]characters!$A:$A),MATCH(M$1,[3]characters!$2:$2,0)-MATCH($I$1,[3]characters!$2:$2,0)+2),MATCH(M$1,[3]characters!$2:$2,0)-MATCH($I$1,[3]characters!$2:$2,0)+2,FALSE)</f>
        <v>Unknown</v>
      </c>
      <c r="N20" s="5">
        <f ca="1">VLOOKUP($I20,OFFSET([2]enemies!$A$1,0,0,COUNTA([2]enemies!$A:$A),MATCH(N$1,[2]enemies!$2:$2,0)-MATCH($I$1,[2]enemies!$2:$2,0)+1),MATCH(N$1,[2]enemies!$2:$2,0)-MATCH($I$1,[2]enemies!$2:$2,0)+1,FALSE)</f>
        <v>15</v>
      </c>
      <c r="O20" s="6">
        <v>30</v>
      </c>
      <c r="P20" s="46">
        <v>2</v>
      </c>
      <c r="Q20" s="46">
        <v>1</v>
      </c>
      <c r="R20" s="6">
        <v>0</v>
      </c>
      <c r="S20" s="5" t="str">
        <f ca="1">VLOOKUP($T20,OFFSET([4]enemy_skill_sets!$B$1,0,0,COUNTA([4]enemy_skill_sets!$B:$B),MATCH(J$1,[4]enemy_skill_sets!$1:$1,0)-MATCH($T$1,[4]enemy_skill_sets!$1:$1,0)+2),MATCH(J$1,[4]enemy_skill_sets!$1:$1,0)-MATCH($T$1,[4]enemy_skill_sets!$1:$1,0)+2,FALSE)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" s="5">
        <f ca="1">VLOOKUP($I20,OFFSET([2]enemies!$A$1,0,0,COUNTA([2]enemies!$A:$A),MATCH(T$1,[2]enemies!$2:$2,0)-MATCH($I$1,[2]enemies!$2:$2,0)+1),MATCH(T$1,[2]enemies!$2:$2,0)-MATCH($I$1,[2]enemies!$2:$2,0)+1,FALSE)</f>
        <v>0</v>
      </c>
      <c r="U20" s="7">
        <v>1</v>
      </c>
      <c r="V20" s="7">
        <v>100</v>
      </c>
      <c r="W20" s="7">
        <v>1</v>
      </c>
      <c r="X20" s="26">
        <f ca="1">VLOOKUP($I20,OFFSET([2]enemies!$A$1,0,0,COUNTA([2]enemies!$A:$A),MATCH(X$1,[2]enemies!$2:$2,0)-MATCH($I$1,[2]enemies!$2:$2,0)+1),MATCH(X$1,[2]enemies!$2:$2,0)-MATCH($I$1,[2]enemies!$2:$2,0)+1,FALSE)</f>
        <v>2</v>
      </c>
      <c r="Y20" s="31">
        <v>115</v>
      </c>
      <c r="Z20" s="5" t="str">
        <f ca="1">IFERROR(VLOOKUP($Y20,OFFSET([3]characters!$A$1,0,0,COUNTA([3]characters!$A:$A),MATCH(Z$1,[3]characters!$2:$2,0)-MATCH("character_id",[3]characters!$2:$2,0)+1),MATCH(Z$1,[3]characters!$2:$2,0)-MATCH("character_id",[3]characters!$2:$2,0)+1,FALSE),"")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20" s="5">
        <f ca="1">IFERROR(VLOOKUP($Y20,OFFSET([3]characters!$A$1,0,0,COUNTA([3]characters!$A:$A),MATCH(AA$1,[3]characters!$2:$2,0)-MATCH("character_id",[3]characters!$2:$2,0)+1),MATCH(AA$1,[3]characters!$2:$2,0)-MATCH("character_id",[3]characters!$2:$2,0)+1,FALSE),"")</f>
        <v>4</v>
      </c>
      <c r="AB20" s="5" t="str">
        <f ca="1">IFERROR(VLOOKUP($Y20,OFFSET([3]characters!$A$1,0,0,COUNTA([3]characters!$A:$A),MATCH(AB$1,[3]characters!$2:$2,0)-MATCH("character_id",[3]characters!$2:$2,0)+1),MATCH(AB$1,[3]characters!$2:$2,0)-MATCH("character_id",[3]characters!$2:$2,0)+1,FALSE),"")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0" s="8">
        <v>1</v>
      </c>
      <c r="AD20" s="34">
        <f t="shared" ca="1" si="3"/>
        <v>4</v>
      </c>
      <c r="AE20" s="9">
        <v>10</v>
      </c>
      <c r="AF20" s="8">
        <v>0</v>
      </c>
      <c r="AG20" s="8">
        <v>0</v>
      </c>
      <c r="AH20" s="8">
        <v>0</v>
      </c>
      <c r="AI20" s="8">
        <v>0</v>
      </c>
      <c r="AJ20" s="8">
        <v>1</v>
      </c>
    </row>
    <row r="21" spans="1:36" ht="21" customHeight="1">
      <c r="A21" s="21" t="str">
        <f t="shared" ref="A21:A25" ca="1" si="20">B21&amp;"_"&amp;C21&amp;"-"&amp;G21&amp;"/"&amp;I21&amp;"&lt;lv"&amp;O21&amp;"&gt;s"&amp;X21</f>
        <v>11101_3-1/39&lt;lv35&gt;s3</v>
      </c>
      <c r="B21" s="8">
        <v>11101</v>
      </c>
      <c r="C21" s="49">
        <v>3</v>
      </c>
      <c r="D21" s="2" t="str">
        <f t="shared" ref="D21:D25" si="21">B21&amp;"_"&amp;C21</f>
        <v>11101_3</v>
      </c>
      <c r="E21" s="5" t="str">
        <f ca="1">VLOOKUP($B21,OFFSET([1]quests!$A$1,0,0,COUNTA([1]quests!$A:$A),MATCH(E$1,[1]quests!$1:$1,0)-MATCH($B$1,[1]quests!$1:$1,0)+1),MATCH(E$1,[1]quests!$1:$1,0)-MATCH($B$1,[1]quests!$1:$1,0)+1,FALSE)</f>
        <v>【キャンペーン限定】 黄の素材</v>
      </c>
      <c r="F21" s="5" t="str">
        <f ca="1">VLOOKUP($D21,OFFSET([1]stages!$A$1,0,0,COUNTA([1]stages!$A:$A),MATCH(F$1,[1]stages!$2:$2,0)-MATCH($D$1,[1]stages!$2:$2,0)+1),MATCH(F$1,[1]stages!$2:$2,0)-MATCH($D$1,[1]stages!$2:$2,0)+1,FALSE)</f>
        <v>雷のイモムシ 【上級】</v>
      </c>
      <c r="G21" s="32">
        <v>1</v>
      </c>
      <c r="H21" s="20" t="str">
        <f t="shared" ref="H21:H25" si="22">B21&amp;"_"&amp;C21&amp;"-"&amp;G21</f>
        <v>11101_3-1</v>
      </c>
      <c r="I21" s="31">
        <v>39</v>
      </c>
      <c r="J21" s="26" t="str">
        <f ca="1">VLOOKUP($I21,OFFSET([2]enemies!$A$1,0,0,COUNTA([2]enemies!$A:$A),MATCH(J$1,[2]enemies!$2:$2,0)-MATCH($I$1,[2]enemies!$2:$2,0)+1),MATCH(J$1,[2]enemies!$2:$2,0)-MATCH($I$1,[2]enemies!$2:$2,0)+1,FALSE)</f>
        <v>マーロン</v>
      </c>
      <c r="K21" s="29" t="str">
        <f ca="1">VLOOKUP($I21,OFFSET([2]enemies!$A$1,0,0,COUNTA([2]enemies!$A:$A),MATCH(K$1,[2]enemies!$2:$2,0)-MATCH($I$1,[2]enemies!$2:$2,0)+1),MATCH(K$1,[2]enemies!$2:$2,0)-MATCH($I$1,[2]enemies!$2:$2,0)+1,FALSE)</f>
        <v>yellow</v>
      </c>
      <c r="L21" s="29" t="str">
        <f ca="1">VLOOKUP($I21,OFFSET([3]characters!$A$1,0,0,COUNTA([3]characters!$A:$A),MATCH(L$1,[3]characters!$2:$2,0)-MATCH($I$1,[3]characters!$2:$2,0)+1),MATCH(L$1,[3]characters!$2:$2,0)-MATCH($I$1,[3]characters!$2:$2,0)+1,FALSE)</f>
        <v>Drop1S</v>
      </c>
      <c r="M21" s="28" t="str">
        <f ca="1">VLOOKUP($I21,OFFSET([3]characters!$A$1,0,0,COUNTA([3]characters!$A:$A),MATCH(M$1,[3]characters!$2:$2,0)-MATCH($I$1,[3]characters!$2:$2,0)+2),MATCH(M$1,[3]characters!$2:$2,0)-MATCH($I$1,[3]characters!$2:$2,0)+2,FALSE)</f>
        <v>ヒューマン</v>
      </c>
      <c r="N21" s="5">
        <f ca="1">VLOOKUP($I21,OFFSET([2]enemies!$A$1,0,0,COUNTA([2]enemies!$A:$A),MATCH(N$1,[2]enemies!$2:$2,0)-MATCH($I$1,[2]enemies!$2:$2,0)+1),MATCH(N$1,[2]enemies!$2:$2,0)-MATCH($I$1,[2]enemies!$2:$2,0)+1,FALSE)</f>
        <v>15</v>
      </c>
      <c r="O21" s="6">
        <v>35</v>
      </c>
      <c r="P21" s="46">
        <v>1</v>
      </c>
      <c r="Q21" s="46">
        <v>1</v>
      </c>
      <c r="R21" s="6">
        <v>0</v>
      </c>
      <c r="S21" s="5" t="str">
        <f ca="1">VLOOKUP($T21,OFFSET([4]enemy_skill_sets!$B$1,0,0,COUNTA([4]enemy_skill_sets!$B:$B),MATCH(J$1,[4]enemy_skill_sets!$1:$1,0)-MATCH($T$1,[4]enemy_skill_sets!$1:$1,0)+2),MATCH(J$1,[4]enemy_skill_sets!$1:$1,0)-MATCH($T$1,[4]enemy_skill_sets!$1:$1,0)+2,FALSE)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21" s="5">
        <f ca="1">VLOOKUP($I21,OFFSET([2]enemies!$A$1,0,0,COUNTA([2]enemies!$A:$A),MATCH(T$1,[2]enemies!$2:$2,0)-MATCH($I$1,[2]enemies!$2:$2,0)+1),MATCH(T$1,[2]enemies!$2:$2,0)-MATCH($I$1,[2]enemies!$2:$2,0)+1,FALSE)</f>
        <v>39</v>
      </c>
      <c r="U21" s="7">
        <v>0</v>
      </c>
      <c r="V21" s="7">
        <v>100</v>
      </c>
      <c r="W21" s="7">
        <v>0</v>
      </c>
      <c r="X21" s="26">
        <f ca="1">VLOOKUP($I21,OFFSET([2]enemies!$A$1,0,0,COUNTA([2]enemies!$A:$A),MATCH(X$1,[2]enemies!$2:$2,0)-MATCH($I$1,[2]enemies!$2:$2,0)+1),MATCH(X$1,[2]enemies!$2:$2,0)-MATCH($I$1,[2]enemies!$2:$2,0)+1,FALSE)</f>
        <v>3</v>
      </c>
      <c r="Y21" s="31">
        <v>39</v>
      </c>
      <c r="Z21" s="5" t="str">
        <f ca="1">IFERROR(VLOOKUP($Y21,OFFSET([3]characters!$A$1,0,0,COUNTA([3]characters!$A:$A),MATCH(Z$1,[3]characters!$2:$2,0)-MATCH("character_id",[3]characters!$2:$2,0)+1),MATCH(Z$1,[3]characters!$2:$2,0)-MATCH("character_id",[3]characters!$2:$2,0)+1,FALSE),"")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21" s="5">
        <f ca="1">IFERROR(VLOOKUP($Y21,OFFSET([3]characters!$A$1,0,0,COUNTA([3]characters!$A:$A),MATCH(AA$1,[3]characters!$2:$2,0)-MATCH("character_id",[3]characters!$2:$2,0)+1),MATCH(AA$1,[3]characters!$2:$2,0)-MATCH("character_id",[3]characters!$2:$2,0)+1,FALSE),"")</f>
        <v>2</v>
      </c>
      <c r="AB21" s="5" t="str">
        <f ca="1">IFERROR(VLOOKUP($Y21,OFFSET([3]characters!$A$1,0,0,COUNTA([3]characters!$A:$A),MATCH(AB$1,[3]characters!$2:$2,0)-MATCH("character_id",[3]characters!$2:$2,0)+1),MATCH(AB$1,[3]characters!$2:$2,0)-MATCH("character_id",[3]characters!$2:$2,0)+1,FALSE),"")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1" s="8">
        <v>1</v>
      </c>
      <c r="AD21" s="34">
        <f t="shared" ref="AD21:AD25" ca="1" si="23">AA21</f>
        <v>2</v>
      </c>
      <c r="AE21" s="9">
        <v>0</v>
      </c>
      <c r="AF21" s="8">
        <v>0</v>
      </c>
      <c r="AG21" s="8">
        <v>0</v>
      </c>
      <c r="AH21" s="8">
        <v>0</v>
      </c>
      <c r="AI21" s="8">
        <v>0</v>
      </c>
      <c r="AJ21" s="8">
        <v>1</v>
      </c>
    </row>
    <row r="22" spans="1:36" ht="21" customHeight="1">
      <c r="A22" s="21" t="str">
        <f t="shared" ref="A22" ca="1" si="24">B22&amp;"_"&amp;C22&amp;"-"&amp;G22&amp;"/"&amp;I22&amp;"&lt;lv"&amp;O22&amp;"&gt;s"&amp;X22</f>
        <v>11101_3-1/31&lt;lv35&gt;s2</v>
      </c>
      <c r="B22" s="8">
        <v>11101</v>
      </c>
      <c r="C22" s="49">
        <v>3</v>
      </c>
      <c r="D22" s="2" t="str">
        <f t="shared" ref="D22" si="25">B22&amp;"_"&amp;C22</f>
        <v>11101_3</v>
      </c>
      <c r="E22" s="5" t="str">
        <f ca="1">VLOOKUP($B22,OFFSET([1]quests!$A$1,0,0,COUNTA([1]quests!$A:$A),MATCH(E$1,[1]quests!$1:$1,0)-MATCH($B$1,[1]quests!$1:$1,0)+1),MATCH(E$1,[1]quests!$1:$1,0)-MATCH($B$1,[1]quests!$1:$1,0)+1,FALSE)</f>
        <v>【キャンペーン限定】 黄の素材</v>
      </c>
      <c r="F22" s="5" t="str">
        <f ca="1">VLOOKUP($D22,OFFSET([1]stages!$A$1,0,0,COUNTA([1]stages!$A:$A),MATCH(F$1,[1]stages!$2:$2,0)-MATCH($D$1,[1]stages!$2:$2,0)+1),MATCH(F$1,[1]stages!$2:$2,0)-MATCH($D$1,[1]stages!$2:$2,0)+1,FALSE)</f>
        <v>雷のイモムシ 【上級】</v>
      </c>
      <c r="G22" s="32">
        <v>1</v>
      </c>
      <c r="H22" s="20" t="str">
        <f t="shared" ref="H22" si="26">B22&amp;"_"&amp;C22&amp;"-"&amp;G22</f>
        <v>11101_3-1</v>
      </c>
      <c r="I22" s="31">
        <v>31</v>
      </c>
      <c r="J22" s="26" t="str">
        <f ca="1">VLOOKUP($I22,OFFSET([2]enemies!$A$1,0,0,COUNTA([2]enemies!$A:$A),MATCH(J$1,[2]enemies!$2:$2,0)-MATCH($I$1,[2]enemies!$2:$2,0)+1),MATCH(J$1,[2]enemies!$2:$2,0)-MATCH($I$1,[2]enemies!$2:$2,0)+1,FALSE)</f>
        <v>マービー</v>
      </c>
      <c r="K22" s="29" t="str">
        <f ca="1">VLOOKUP($I22,OFFSET([2]enemies!$A$1,0,0,COUNTA([2]enemies!$A:$A),MATCH(K$1,[2]enemies!$2:$2,0)-MATCH($I$1,[2]enemies!$2:$2,0)+1),MATCH(K$1,[2]enemies!$2:$2,0)-MATCH($I$1,[2]enemies!$2:$2,0)+1,FALSE)</f>
        <v>yellow</v>
      </c>
      <c r="L22" s="29" t="str">
        <f ca="1">VLOOKUP($I22,OFFSET([3]characters!$A$1,0,0,COUNTA([3]characters!$A:$A),MATCH(L$1,[3]characters!$2:$2,0)-MATCH($I$1,[3]characters!$2:$2,0)+1),MATCH(L$1,[3]characters!$2:$2,0)-MATCH($I$1,[3]characters!$2:$2,0)+1,FALSE)</f>
        <v>Drop1N</v>
      </c>
      <c r="M22" s="28" t="str">
        <f ca="1">VLOOKUP($I22,OFFSET([3]characters!$A$1,0,0,COUNTA([3]characters!$A:$A),MATCH(M$1,[3]characters!$2:$2,0)-MATCH($I$1,[3]characters!$2:$2,0)+2),MATCH(M$1,[3]characters!$2:$2,0)-MATCH($I$1,[3]characters!$2:$2,0)+2,FALSE)</f>
        <v>マシン</v>
      </c>
      <c r="N22" s="5">
        <f ca="1">VLOOKUP($I22,OFFSET([2]enemies!$A$1,0,0,COUNTA([2]enemies!$A:$A),MATCH(N$1,[2]enemies!$2:$2,0)-MATCH($I$1,[2]enemies!$2:$2,0)+1),MATCH(N$1,[2]enemies!$2:$2,0)-MATCH($I$1,[2]enemies!$2:$2,0)+1,FALSE)</f>
        <v>15</v>
      </c>
      <c r="O22" s="6">
        <v>35</v>
      </c>
      <c r="P22" s="46">
        <v>1</v>
      </c>
      <c r="Q22" s="46">
        <v>1</v>
      </c>
      <c r="R22" s="6">
        <v>0</v>
      </c>
      <c r="S22" s="5" t="str">
        <f ca="1">VLOOKUP($T22,OFFSET([4]enemy_skill_sets!$B$1,0,0,COUNTA([4]enemy_skill_sets!$B:$B),MATCH(J$1,[4]enemy_skill_sets!$1:$1,0)-MATCH($T$1,[4]enemy_skill_sets!$1:$1,0)+2),MATCH(J$1,[4]enemy_skill_sets!$1:$1,0)-MATCH($T$1,[4]enemy_skill_sets!$1:$1,0)+2,FALSE)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" s="5">
        <f ca="1">VLOOKUP($I22,OFFSET([2]enemies!$A$1,0,0,COUNTA([2]enemies!$A:$A),MATCH(T$1,[2]enemies!$2:$2,0)-MATCH($I$1,[2]enemies!$2:$2,0)+1),MATCH(T$1,[2]enemies!$2:$2,0)-MATCH($I$1,[2]enemies!$2:$2,0)+1,FALSE)</f>
        <v>0</v>
      </c>
      <c r="U22" s="7">
        <v>0</v>
      </c>
      <c r="V22" s="7">
        <v>100</v>
      </c>
      <c r="W22" s="7">
        <v>0</v>
      </c>
      <c r="X22" s="26">
        <f ca="1">VLOOKUP($I22,OFFSET([2]enemies!$A$1,0,0,COUNTA([2]enemies!$A:$A),MATCH(X$1,[2]enemies!$2:$2,0)-MATCH($I$1,[2]enemies!$2:$2,0)+1),MATCH(X$1,[2]enemies!$2:$2,0)-MATCH($I$1,[2]enemies!$2:$2,0)+1,FALSE)</f>
        <v>2</v>
      </c>
      <c r="Y22" s="31">
        <v>31</v>
      </c>
      <c r="Z22" s="5" t="str">
        <f ca="1">IFERROR(VLOOKUP($Y22,OFFSET([3]characters!$A$1,0,0,COUNTA([3]characters!$A:$A),MATCH(Z$1,[3]characters!$2:$2,0)-MATCH("character_id",[3]characters!$2:$2,0)+1),MATCH(Z$1,[3]characters!$2:$2,0)-MATCH("character_id",[3]characters!$2:$2,0)+1,FALSE),"")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22" s="5">
        <f ca="1">IFERROR(VLOOKUP($Y22,OFFSET([3]characters!$A$1,0,0,COUNTA([3]characters!$A:$A),MATCH(AA$1,[3]characters!$2:$2,0)-MATCH("character_id",[3]characters!$2:$2,0)+1),MATCH(AA$1,[3]characters!$2:$2,0)-MATCH("character_id",[3]characters!$2:$2,0)+1,FALSE),"")</f>
        <v>1</v>
      </c>
      <c r="AB22" s="5" t="str">
        <f ca="1">IFERROR(VLOOKUP($Y22,OFFSET([3]characters!$A$1,0,0,COUNTA([3]characters!$A:$A),MATCH(AB$1,[3]characters!$2:$2,0)-MATCH("character_id",[3]characters!$2:$2,0)+1),MATCH(AB$1,[3]characters!$2:$2,0)-MATCH("character_id",[3]characters!$2:$2,0)+1,FALSE),"")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2" s="8">
        <v>1</v>
      </c>
      <c r="AD22" s="34">
        <f t="shared" ref="AD22" ca="1" si="27">AA22</f>
        <v>1</v>
      </c>
      <c r="AE22" s="9">
        <v>0</v>
      </c>
      <c r="AF22" s="8">
        <v>0</v>
      </c>
      <c r="AG22" s="8">
        <v>0</v>
      </c>
      <c r="AH22" s="8">
        <v>0</v>
      </c>
      <c r="AI22" s="8">
        <v>0</v>
      </c>
      <c r="AJ22" s="8">
        <v>1</v>
      </c>
    </row>
    <row r="23" spans="1:36" ht="21" customHeight="1">
      <c r="A23" s="21" t="str">
        <f t="shared" ca="1" si="20"/>
        <v>11101_3-1/344&lt;lv1&gt;s1</v>
      </c>
      <c r="B23" s="8">
        <v>11101</v>
      </c>
      <c r="C23" s="49">
        <v>3</v>
      </c>
      <c r="D23" s="2" t="str">
        <f t="shared" si="21"/>
        <v>11101_3</v>
      </c>
      <c r="E23" s="5" t="str">
        <f ca="1">VLOOKUP($B23,OFFSET([1]quests!$A$1,0,0,COUNTA([1]quests!$A:$A),MATCH(E$1,[1]quests!$1:$1,0)-MATCH($B$1,[1]quests!$1:$1,0)+1),MATCH(E$1,[1]quests!$1:$1,0)-MATCH($B$1,[1]quests!$1:$1,0)+1,FALSE)</f>
        <v>【キャンペーン限定】 黄の素材</v>
      </c>
      <c r="F23" s="5" t="str">
        <f ca="1">VLOOKUP($D23,OFFSET([1]stages!$A$1,0,0,COUNTA([1]stages!$A:$A),MATCH(F$1,[1]stages!$2:$2,0)-MATCH($D$1,[1]stages!$2:$2,0)+1),MATCH(F$1,[1]stages!$2:$2,0)-MATCH($D$1,[1]stages!$2:$2,0)+1,FALSE)</f>
        <v>雷のイモムシ 【上級】</v>
      </c>
      <c r="G23" s="32">
        <v>1</v>
      </c>
      <c r="H23" s="20" t="str">
        <f t="shared" si="22"/>
        <v>11101_3-1</v>
      </c>
      <c r="I23" s="31">
        <v>344</v>
      </c>
      <c r="J23" s="26" t="str">
        <f ca="1">VLOOKUP($I23,OFFSET([2]enemies!$A$1,0,0,COUNTA([2]enemies!$A:$A),MATCH(J$1,[2]enemies!$2:$2,0)-MATCH($I$1,[2]enemies!$2:$2,0)+1),MATCH(J$1,[2]enemies!$2:$2,0)-MATCH($I$1,[2]enemies!$2:$2,0)+1,FALSE)</f>
        <v>雷のメタルピヨピヨ</v>
      </c>
      <c r="K23" s="29" t="str">
        <f ca="1">VLOOKUP($I23,OFFSET([2]enemies!$A$1,0,0,COUNTA([2]enemies!$A:$A),MATCH(K$1,[2]enemies!$2:$2,0)-MATCH($I$1,[2]enemies!$2:$2,0)+1),MATCH(K$1,[2]enemies!$2:$2,0)-MATCH($I$1,[2]enemies!$2:$2,0)+1,FALSE)</f>
        <v>yellow</v>
      </c>
      <c r="L23" s="29" t="str">
        <f ca="1">VLOOKUP($I23,OFFSET([3]characters!$A$1,0,0,COUNTA([3]characters!$A:$A),MATCH(L$1,[3]characters!$2:$2,0)-MATCH($I$1,[3]characters!$2:$2,0)+1),MATCH(L$1,[3]characters!$2:$2,0)-MATCH($I$1,[3]characters!$2:$2,0)+1,FALSE)</f>
        <v>Material</v>
      </c>
      <c r="M23" s="28" t="str">
        <f ca="1">VLOOKUP($I23,OFFSET([3]characters!$A$1,0,0,COUNTA([3]characters!$A:$A),MATCH(M$1,[3]characters!$2:$2,0)-MATCH($I$1,[3]characters!$2:$2,0)+2),MATCH(M$1,[3]characters!$2:$2,0)-MATCH($I$1,[3]characters!$2:$2,0)+2,FALSE)</f>
        <v>Unknown</v>
      </c>
      <c r="N23" s="5">
        <f ca="1">VLOOKUP($I23,OFFSET([2]enemies!$A$1,0,0,COUNTA([2]enemies!$A:$A),MATCH(N$1,[2]enemies!$2:$2,0)-MATCH($I$1,[2]enemies!$2:$2,0)+1),MATCH(N$1,[2]enemies!$2:$2,0)-MATCH($I$1,[2]enemies!$2:$2,0)+1,FALSE)</f>
        <v>15</v>
      </c>
      <c r="O23" s="6">
        <v>1</v>
      </c>
      <c r="P23" s="46">
        <v>1</v>
      </c>
      <c r="Q23" s="46">
        <v>1</v>
      </c>
      <c r="R23" s="6">
        <v>0</v>
      </c>
      <c r="S23" s="5" t="str">
        <f ca="1">VLOOKUP($T23,OFFSET([4]enemy_skill_sets!$B$1,0,0,COUNTA([4]enemy_skill_sets!$B:$B),MATCH(J$1,[4]enemy_skill_sets!$1:$1,0)-MATCH($T$1,[4]enemy_skill_sets!$1:$1,0)+2),MATCH(J$1,[4]enemy_skill_sets!$1:$1,0)-MATCH($T$1,[4]enemy_skill_sets!$1:$1,0)+2,FALSE)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" s="5">
        <f ca="1">VLOOKUP($I23,OFFSET([2]enemies!$A$1,0,0,COUNTA([2]enemies!$A:$A),MATCH(T$1,[2]enemies!$2:$2,0)-MATCH($I$1,[2]enemies!$2:$2,0)+1),MATCH(T$1,[2]enemies!$2:$2,0)-MATCH($I$1,[2]enemies!$2:$2,0)+1,FALSE)</f>
        <v>0</v>
      </c>
      <c r="U23" s="7">
        <v>0</v>
      </c>
      <c r="V23" s="7">
        <v>30</v>
      </c>
      <c r="W23" s="7">
        <v>0</v>
      </c>
      <c r="X23" s="26">
        <f ca="1">VLOOKUP($I23,OFFSET([2]enemies!$A$1,0,0,COUNTA([2]enemies!$A:$A),MATCH(X$1,[2]enemies!$2:$2,0)-MATCH($I$1,[2]enemies!$2:$2,0)+1),MATCH(X$1,[2]enemies!$2:$2,0)-MATCH($I$1,[2]enemies!$2:$2,0)+1,FALSE)</f>
        <v>1</v>
      </c>
      <c r="Y23" s="31">
        <v>344</v>
      </c>
      <c r="Z23" s="5" t="str">
        <f ca="1">IFERROR(VLOOKUP($Y23,OFFSET([3]characters!$A$1,0,0,COUNTA([3]characters!$A:$A),MATCH(Z$1,[3]characters!$2:$2,0)-MATCH("character_id",[3]characters!$2:$2,0)+1),MATCH(Z$1,[3]characters!$2:$2,0)-MATCH("character_id",[3]characters!$2:$2,0)+1,FALSE),"")</f>
        <v>雷のメタルピヨピヨ</v>
      </c>
      <c r="AA23" s="5">
        <f ca="1">IFERROR(VLOOKUP($Y23,OFFSET([3]characters!$A$1,0,0,COUNTA([3]characters!$A:$A),MATCH(AA$1,[3]characters!$2:$2,0)-MATCH("character_id",[3]characters!$2:$2,0)+1),MATCH(AA$1,[3]characters!$2:$2,0)-MATCH("character_id",[3]characters!$2:$2,0)+1,FALSE),"")</f>
        <v>3</v>
      </c>
      <c r="AB23" s="5" t="str">
        <f ca="1">IFERROR(VLOOKUP($Y23,OFFSET([3]characters!$A$1,0,0,COUNTA([3]characters!$A:$A),MATCH(AB$1,[3]characters!$2:$2,0)-MATCH("character_id",[3]characters!$2:$2,0)+1),MATCH(AB$1,[3]characters!$2:$2,0)-MATCH("character_id",[3]characters!$2:$2,0)+1,FALSE),"")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3" s="8">
        <v>1</v>
      </c>
      <c r="AD23" s="34">
        <f t="shared" ca="1" si="23"/>
        <v>3</v>
      </c>
      <c r="AE23" s="9">
        <v>10</v>
      </c>
      <c r="AF23" s="8">
        <v>0</v>
      </c>
      <c r="AG23" s="8">
        <v>0</v>
      </c>
      <c r="AH23" s="8">
        <v>0</v>
      </c>
      <c r="AI23" s="8">
        <v>0</v>
      </c>
      <c r="AJ23" s="8">
        <v>1</v>
      </c>
    </row>
    <row r="24" spans="1:36" ht="21" customHeight="1">
      <c r="A24" s="21" t="str">
        <f t="shared" ref="A24" ca="1" si="28">B24&amp;"_"&amp;C24&amp;"-"&amp;G24&amp;"/"&amp;I24&amp;"&lt;lv"&amp;O24&amp;"&gt;s"&amp;X24</f>
        <v>11101_3-1/345&lt;lv1&gt;s2</v>
      </c>
      <c r="B24" s="8">
        <v>11101</v>
      </c>
      <c r="C24" s="49">
        <v>3</v>
      </c>
      <c r="D24" s="2" t="str">
        <f t="shared" ref="D24" si="29">B24&amp;"_"&amp;C24</f>
        <v>11101_3</v>
      </c>
      <c r="E24" s="5" t="str">
        <f ca="1">VLOOKUP($B24,OFFSET([1]quests!$A$1,0,0,COUNTA([1]quests!$A:$A),MATCH(E$1,[1]quests!$1:$1,0)-MATCH($B$1,[1]quests!$1:$1,0)+1),MATCH(E$1,[1]quests!$1:$1,0)-MATCH($B$1,[1]quests!$1:$1,0)+1,FALSE)</f>
        <v>【キャンペーン限定】 黄の素材</v>
      </c>
      <c r="F24" s="5" t="str">
        <f ca="1">VLOOKUP($D24,OFFSET([1]stages!$A$1,0,0,COUNTA([1]stages!$A:$A),MATCH(F$1,[1]stages!$2:$2,0)-MATCH($D$1,[1]stages!$2:$2,0)+1),MATCH(F$1,[1]stages!$2:$2,0)-MATCH($D$1,[1]stages!$2:$2,0)+1,FALSE)</f>
        <v>雷のイモムシ 【上級】</v>
      </c>
      <c r="G24" s="32">
        <v>1</v>
      </c>
      <c r="H24" s="20" t="str">
        <f t="shared" ref="H24" si="30">B24&amp;"_"&amp;C24&amp;"-"&amp;G24</f>
        <v>11101_3-1</v>
      </c>
      <c r="I24" s="31">
        <v>345</v>
      </c>
      <c r="J24" s="26" t="str">
        <f ca="1">VLOOKUP($I24,OFFSET([2]enemies!$A$1,0,0,COUNTA([2]enemies!$A:$A),MATCH(J$1,[2]enemies!$2:$2,0)-MATCH($I$1,[2]enemies!$2:$2,0)+1),MATCH(J$1,[2]enemies!$2:$2,0)-MATCH($I$1,[2]enemies!$2:$2,0)+1,FALSE)</f>
        <v>雷のメタルチック</v>
      </c>
      <c r="K24" s="29" t="str">
        <f ca="1">VLOOKUP($I24,OFFSET([2]enemies!$A$1,0,0,COUNTA([2]enemies!$A:$A),MATCH(K$1,[2]enemies!$2:$2,0)-MATCH($I$1,[2]enemies!$2:$2,0)+1),MATCH(K$1,[2]enemies!$2:$2,0)-MATCH($I$1,[2]enemies!$2:$2,0)+1,FALSE)</f>
        <v>yellow</v>
      </c>
      <c r="L24" s="29" t="str">
        <f ca="1">VLOOKUP($I24,OFFSET([3]characters!$A$1,0,0,COUNTA([3]characters!$A:$A),MATCH(L$1,[3]characters!$2:$2,0)-MATCH($I$1,[3]characters!$2:$2,0)+1),MATCH(L$1,[3]characters!$2:$2,0)-MATCH($I$1,[3]characters!$2:$2,0)+1,FALSE)</f>
        <v>Material</v>
      </c>
      <c r="M24" s="28" t="str">
        <f ca="1">VLOOKUP($I24,OFFSET([3]characters!$A$1,0,0,COUNTA([3]characters!$A:$A),MATCH(M$1,[3]characters!$2:$2,0)-MATCH($I$1,[3]characters!$2:$2,0)+2),MATCH(M$1,[3]characters!$2:$2,0)-MATCH($I$1,[3]characters!$2:$2,0)+2,FALSE)</f>
        <v>Unknown</v>
      </c>
      <c r="N24" s="5">
        <f ca="1">VLOOKUP($I24,OFFSET([2]enemies!$A$1,0,0,COUNTA([2]enemies!$A:$A),MATCH(N$1,[2]enemies!$2:$2,0)-MATCH($I$1,[2]enemies!$2:$2,0)+1),MATCH(N$1,[2]enemies!$2:$2,0)-MATCH($I$1,[2]enemies!$2:$2,0)+1,FALSE)</f>
        <v>15</v>
      </c>
      <c r="O24" s="6">
        <v>1</v>
      </c>
      <c r="P24" s="46">
        <v>1</v>
      </c>
      <c r="Q24" s="46">
        <v>1</v>
      </c>
      <c r="R24" s="6">
        <v>0</v>
      </c>
      <c r="S24" s="5" t="str">
        <f ca="1">VLOOKUP($T24,OFFSET([4]enemy_skill_sets!$B$1,0,0,COUNTA([4]enemy_skill_sets!$B:$B),MATCH(J$1,[4]enemy_skill_sets!$1:$1,0)-MATCH($T$1,[4]enemy_skill_sets!$1:$1,0)+2),MATCH(J$1,[4]enemy_skill_sets!$1:$1,0)-MATCH($T$1,[4]enemy_skill_sets!$1:$1,0)+2,FALSE)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" s="5">
        <f ca="1">VLOOKUP($I24,OFFSET([2]enemies!$A$1,0,0,COUNTA([2]enemies!$A:$A),MATCH(T$1,[2]enemies!$2:$2,0)-MATCH($I$1,[2]enemies!$2:$2,0)+1),MATCH(T$1,[2]enemies!$2:$2,0)-MATCH($I$1,[2]enemies!$2:$2,0)+1,FALSE)</f>
        <v>0</v>
      </c>
      <c r="U24" s="7">
        <v>0</v>
      </c>
      <c r="V24" s="7">
        <v>30</v>
      </c>
      <c r="W24" s="7">
        <v>0</v>
      </c>
      <c r="X24" s="26">
        <f ca="1">VLOOKUP($I24,OFFSET([2]enemies!$A$1,0,0,COUNTA([2]enemies!$A:$A),MATCH(X$1,[2]enemies!$2:$2,0)-MATCH($I$1,[2]enemies!$2:$2,0)+1),MATCH(X$1,[2]enemies!$2:$2,0)-MATCH($I$1,[2]enemies!$2:$2,0)+1,FALSE)</f>
        <v>2</v>
      </c>
      <c r="Y24" s="31">
        <v>345</v>
      </c>
      <c r="Z24" s="5" t="str">
        <f ca="1">IFERROR(VLOOKUP($Y24,OFFSET([3]characters!$A$1,0,0,COUNTA([3]characters!$A:$A),MATCH(Z$1,[3]characters!$2:$2,0)-MATCH("character_id",[3]characters!$2:$2,0)+1),MATCH(Z$1,[3]characters!$2:$2,0)-MATCH("character_id",[3]characters!$2:$2,0)+1,FALSE),"")</f>
        <v>雷のメタルチック</v>
      </c>
      <c r="AA24" s="5">
        <f ca="1">IFERROR(VLOOKUP($Y24,OFFSET([3]characters!$A$1,0,0,COUNTA([3]characters!$A:$A),MATCH(AA$1,[3]characters!$2:$2,0)-MATCH("character_id",[3]characters!$2:$2,0)+1),MATCH(AA$1,[3]characters!$2:$2,0)-MATCH("character_id",[3]characters!$2:$2,0)+1,FALSE),"")</f>
        <v>4</v>
      </c>
      <c r="AB24" s="5" t="str">
        <f ca="1">IFERROR(VLOOKUP($Y24,OFFSET([3]characters!$A$1,0,0,COUNTA([3]characters!$A:$A),MATCH(AB$1,[3]characters!$2:$2,0)-MATCH("character_id",[3]characters!$2:$2,0)+1),MATCH(AB$1,[3]characters!$2:$2,0)-MATCH("character_id",[3]characters!$2:$2,0)+1,FALSE),"")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4" s="8">
        <v>1</v>
      </c>
      <c r="AD24" s="34">
        <f t="shared" ref="AD24" ca="1" si="31">AA24</f>
        <v>4</v>
      </c>
      <c r="AE24" s="9">
        <v>5</v>
      </c>
      <c r="AF24" s="8">
        <v>0</v>
      </c>
      <c r="AG24" s="8">
        <v>0</v>
      </c>
      <c r="AH24" s="8">
        <v>0</v>
      </c>
      <c r="AI24" s="8">
        <v>0</v>
      </c>
      <c r="AJ24" s="8">
        <v>1</v>
      </c>
    </row>
    <row r="25" spans="1:36" ht="21" customHeight="1">
      <c r="A25" s="21" t="str">
        <f t="shared" ca="1" si="20"/>
        <v>11101_3-2/115&lt;lv30&gt;s2</v>
      </c>
      <c r="B25" s="8">
        <v>11101</v>
      </c>
      <c r="C25" s="49">
        <v>3</v>
      </c>
      <c r="D25" s="2" t="str">
        <f t="shared" si="21"/>
        <v>11101_3</v>
      </c>
      <c r="E25" s="5" t="str">
        <f ca="1">VLOOKUP($B25,OFFSET([1]quests!$A$1,0,0,COUNTA([1]quests!$A:$A),MATCH(E$1,[1]quests!$1:$1,0)-MATCH($B$1,[1]quests!$1:$1,0)+1),MATCH(E$1,[1]quests!$1:$1,0)-MATCH($B$1,[1]quests!$1:$1,0)+1,FALSE)</f>
        <v>【キャンペーン限定】 黄の素材</v>
      </c>
      <c r="F25" s="5" t="str">
        <f ca="1">VLOOKUP($D25,OFFSET([1]stages!$A$1,0,0,COUNTA([1]stages!$A:$A),MATCH(F$1,[1]stages!$2:$2,0)-MATCH($D$1,[1]stages!$2:$2,0)+1),MATCH(F$1,[1]stages!$2:$2,0)-MATCH($D$1,[1]stages!$2:$2,0)+1,FALSE)</f>
        <v>雷のイモムシ 【上級】</v>
      </c>
      <c r="G25" s="32">
        <v>2</v>
      </c>
      <c r="H25" s="20" t="str">
        <f t="shared" si="22"/>
        <v>11101_3-2</v>
      </c>
      <c r="I25" s="31">
        <v>115</v>
      </c>
      <c r="J25" s="26" t="str">
        <f ca="1">VLOOKUP($I25,OFFSET([2]enemies!$A$1,0,0,COUNTA([2]enemies!$A:$A),MATCH(J$1,[2]enemies!$2:$2,0)-MATCH($I$1,[2]enemies!$2:$2,0)+1),MATCH(J$1,[2]enemies!$2:$2,0)-MATCH($I$1,[2]enemies!$2:$2,0)+1,FALSE)</f>
        <v>イエローキャタップ</v>
      </c>
      <c r="K25" s="29" t="str">
        <f ca="1">VLOOKUP($I25,OFFSET([2]enemies!$A$1,0,0,COUNTA([2]enemies!$A:$A),MATCH(K$1,[2]enemies!$2:$2,0)-MATCH($I$1,[2]enemies!$2:$2,0)+1),MATCH(K$1,[2]enemies!$2:$2,0)-MATCH($I$1,[2]enemies!$2:$2,0)+1,FALSE)</f>
        <v>yellow</v>
      </c>
      <c r="L25" s="29" t="str">
        <f ca="1">VLOOKUP($I25,OFFSET([3]characters!$A$1,0,0,COUNTA([3]characters!$A:$A),MATCH(L$1,[3]characters!$2:$2,0)-MATCH($I$1,[3]characters!$2:$2,0)+1),MATCH(L$1,[3]characters!$2:$2,0)-MATCH($I$1,[3]characters!$2:$2,0)+1,FALSE)</f>
        <v>Material</v>
      </c>
      <c r="M25" s="28" t="str">
        <f ca="1">VLOOKUP($I25,OFFSET([3]characters!$A$1,0,0,COUNTA([3]characters!$A:$A),MATCH(M$1,[3]characters!$2:$2,0)-MATCH($I$1,[3]characters!$2:$2,0)+2),MATCH(M$1,[3]characters!$2:$2,0)-MATCH($I$1,[3]characters!$2:$2,0)+2,FALSE)</f>
        <v>Unknown</v>
      </c>
      <c r="N25" s="5">
        <f ca="1">VLOOKUP($I25,OFFSET([2]enemies!$A$1,0,0,COUNTA([2]enemies!$A:$A),MATCH(N$1,[2]enemies!$2:$2,0)-MATCH($I$1,[2]enemies!$2:$2,0)+1),MATCH(N$1,[2]enemies!$2:$2,0)-MATCH($I$1,[2]enemies!$2:$2,0)+1,FALSE)</f>
        <v>15</v>
      </c>
      <c r="O25" s="6">
        <v>30</v>
      </c>
      <c r="P25" s="46">
        <v>2</v>
      </c>
      <c r="Q25" s="46">
        <v>1</v>
      </c>
      <c r="R25" s="6">
        <v>0</v>
      </c>
      <c r="S25" s="5" t="str">
        <f ca="1">VLOOKUP($T25,OFFSET([4]enemy_skill_sets!$B$1,0,0,COUNTA([4]enemy_skill_sets!$B:$B),MATCH(J$1,[4]enemy_skill_sets!$1:$1,0)-MATCH($T$1,[4]enemy_skill_sets!$1:$1,0)+2),MATCH(J$1,[4]enemy_skill_sets!$1:$1,0)-MATCH($T$1,[4]enemy_skill_sets!$1:$1,0)+2,FALSE)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" s="5">
        <f ca="1">VLOOKUP($I25,OFFSET([2]enemies!$A$1,0,0,COUNTA([2]enemies!$A:$A),MATCH(T$1,[2]enemies!$2:$2,0)-MATCH($I$1,[2]enemies!$2:$2,0)+1),MATCH(T$1,[2]enemies!$2:$2,0)-MATCH($I$1,[2]enemies!$2:$2,0)+1,FALSE)</f>
        <v>0</v>
      </c>
      <c r="U25" s="7">
        <v>1</v>
      </c>
      <c r="V25" s="7">
        <v>100</v>
      </c>
      <c r="W25" s="7">
        <v>1</v>
      </c>
      <c r="X25" s="26">
        <f ca="1">VLOOKUP($I25,OFFSET([2]enemies!$A$1,0,0,COUNTA([2]enemies!$A:$A),MATCH(X$1,[2]enemies!$2:$2,0)-MATCH($I$1,[2]enemies!$2:$2,0)+1),MATCH(X$1,[2]enemies!$2:$2,0)-MATCH($I$1,[2]enemies!$2:$2,0)+1,FALSE)</f>
        <v>2</v>
      </c>
      <c r="Y25" s="31">
        <v>115</v>
      </c>
      <c r="Z25" s="5" t="str">
        <f ca="1">IFERROR(VLOOKUP($Y25,OFFSET([3]characters!$A$1,0,0,COUNTA([3]characters!$A:$A),MATCH(Z$1,[3]characters!$2:$2,0)-MATCH("character_id",[3]characters!$2:$2,0)+1),MATCH(Z$1,[3]characters!$2:$2,0)-MATCH("character_id",[3]characters!$2:$2,0)+1,FALSE),"")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25" s="5">
        <f ca="1">IFERROR(VLOOKUP($Y25,OFFSET([3]characters!$A$1,0,0,COUNTA([3]characters!$A:$A),MATCH(AA$1,[3]characters!$2:$2,0)-MATCH("character_id",[3]characters!$2:$2,0)+1),MATCH(AA$1,[3]characters!$2:$2,0)-MATCH("character_id",[3]characters!$2:$2,0)+1,FALSE),"")</f>
        <v>4</v>
      </c>
      <c r="AB25" s="5" t="str">
        <f ca="1">IFERROR(VLOOKUP($Y25,OFFSET([3]characters!$A$1,0,0,COUNTA([3]characters!$A:$A),MATCH(AB$1,[3]characters!$2:$2,0)-MATCH("character_id",[3]characters!$2:$2,0)+1),MATCH(AB$1,[3]characters!$2:$2,0)-MATCH("character_id",[3]characters!$2:$2,0)+1,FALSE),"")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5" s="8">
        <v>1</v>
      </c>
      <c r="AD25" s="34">
        <f t="shared" ca="1" si="23"/>
        <v>4</v>
      </c>
      <c r="AE25" s="9">
        <v>10</v>
      </c>
      <c r="AF25" s="8">
        <v>0</v>
      </c>
      <c r="AG25" s="8">
        <v>0</v>
      </c>
      <c r="AH25" s="8">
        <v>0</v>
      </c>
      <c r="AI25" s="8">
        <v>0</v>
      </c>
      <c r="AJ25" s="8">
        <v>1</v>
      </c>
    </row>
    <row r="26" spans="1:36" ht="21" customHeight="1">
      <c r="A26" s="21" t="str">
        <f t="shared" ref="A26:A30" ca="1" si="32">B26&amp;"_"&amp;C26&amp;"-"&amp;G26&amp;"/"&amp;I26&amp;"&lt;lv"&amp;O26&amp;"&gt;s"&amp;X26</f>
        <v>11101_3-2/39&lt;lv35&gt;s3</v>
      </c>
      <c r="B26" s="8">
        <v>11101</v>
      </c>
      <c r="C26" s="49">
        <v>3</v>
      </c>
      <c r="D26" s="2" t="str">
        <f t="shared" ref="D26:D30" si="33">B26&amp;"_"&amp;C26</f>
        <v>11101_3</v>
      </c>
      <c r="E26" s="5" t="str">
        <f ca="1">VLOOKUP($B26,OFFSET([1]quests!$A$1,0,0,COUNTA([1]quests!$A:$A),MATCH(E$1,[1]quests!$1:$1,0)-MATCH($B$1,[1]quests!$1:$1,0)+1),MATCH(E$1,[1]quests!$1:$1,0)-MATCH($B$1,[1]quests!$1:$1,0)+1,FALSE)</f>
        <v>【キャンペーン限定】 黄の素材</v>
      </c>
      <c r="F26" s="5" t="str">
        <f ca="1">VLOOKUP($D26,OFFSET([1]stages!$A$1,0,0,COUNTA([1]stages!$A:$A),MATCH(F$1,[1]stages!$2:$2,0)-MATCH($D$1,[1]stages!$2:$2,0)+1),MATCH(F$1,[1]stages!$2:$2,0)-MATCH($D$1,[1]stages!$2:$2,0)+1,FALSE)</f>
        <v>雷のイモムシ 【上級】</v>
      </c>
      <c r="G26" s="32">
        <v>2</v>
      </c>
      <c r="H26" s="20" t="str">
        <f t="shared" ref="H26:H30" si="34">B26&amp;"_"&amp;C26&amp;"-"&amp;G26</f>
        <v>11101_3-2</v>
      </c>
      <c r="I26" s="31">
        <v>39</v>
      </c>
      <c r="J26" s="26" t="str">
        <f ca="1">VLOOKUP($I26,OFFSET([2]enemies!$A$1,0,0,COUNTA([2]enemies!$A:$A),MATCH(J$1,[2]enemies!$2:$2,0)-MATCH($I$1,[2]enemies!$2:$2,0)+1),MATCH(J$1,[2]enemies!$2:$2,0)-MATCH($I$1,[2]enemies!$2:$2,0)+1,FALSE)</f>
        <v>マーロン</v>
      </c>
      <c r="K26" s="29" t="str">
        <f ca="1">VLOOKUP($I26,OFFSET([2]enemies!$A$1,0,0,COUNTA([2]enemies!$A:$A),MATCH(K$1,[2]enemies!$2:$2,0)-MATCH($I$1,[2]enemies!$2:$2,0)+1),MATCH(K$1,[2]enemies!$2:$2,0)-MATCH($I$1,[2]enemies!$2:$2,0)+1,FALSE)</f>
        <v>yellow</v>
      </c>
      <c r="L26" s="29" t="str">
        <f ca="1">VLOOKUP($I26,OFFSET([3]characters!$A$1,0,0,COUNTA([3]characters!$A:$A),MATCH(L$1,[3]characters!$2:$2,0)-MATCH($I$1,[3]characters!$2:$2,0)+1),MATCH(L$1,[3]characters!$2:$2,0)-MATCH($I$1,[3]characters!$2:$2,0)+1,FALSE)</f>
        <v>Drop1S</v>
      </c>
      <c r="M26" s="28" t="str">
        <f ca="1">VLOOKUP($I26,OFFSET([3]characters!$A$1,0,0,COUNTA([3]characters!$A:$A),MATCH(M$1,[3]characters!$2:$2,0)-MATCH($I$1,[3]characters!$2:$2,0)+2),MATCH(M$1,[3]characters!$2:$2,0)-MATCH($I$1,[3]characters!$2:$2,0)+2,FALSE)</f>
        <v>ヒューマン</v>
      </c>
      <c r="N26" s="5">
        <f ca="1">VLOOKUP($I26,OFFSET([2]enemies!$A$1,0,0,COUNTA([2]enemies!$A:$A),MATCH(N$1,[2]enemies!$2:$2,0)-MATCH($I$1,[2]enemies!$2:$2,0)+1),MATCH(N$1,[2]enemies!$2:$2,0)-MATCH($I$1,[2]enemies!$2:$2,0)+1,FALSE)</f>
        <v>15</v>
      </c>
      <c r="O26" s="6">
        <v>35</v>
      </c>
      <c r="P26" s="46">
        <v>1</v>
      </c>
      <c r="Q26" s="46">
        <v>1</v>
      </c>
      <c r="R26" s="6">
        <v>0</v>
      </c>
      <c r="S26" s="5" t="str">
        <f ca="1">VLOOKUP($T26,OFFSET([4]enemy_skill_sets!$B$1,0,0,COUNTA([4]enemy_skill_sets!$B:$B),MATCH(J$1,[4]enemy_skill_sets!$1:$1,0)-MATCH($T$1,[4]enemy_skill_sets!$1:$1,0)+2),MATCH(J$1,[4]enemy_skill_sets!$1:$1,0)-MATCH($T$1,[4]enemy_skill_sets!$1:$1,0)+2,FALSE)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26" s="5">
        <f ca="1">VLOOKUP($I26,OFFSET([2]enemies!$A$1,0,0,COUNTA([2]enemies!$A:$A),MATCH(T$1,[2]enemies!$2:$2,0)-MATCH($I$1,[2]enemies!$2:$2,0)+1),MATCH(T$1,[2]enemies!$2:$2,0)-MATCH($I$1,[2]enemies!$2:$2,0)+1,FALSE)</f>
        <v>39</v>
      </c>
      <c r="U26" s="7">
        <v>0</v>
      </c>
      <c r="V26" s="7">
        <v>100</v>
      </c>
      <c r="W26" s="7">
        <v>0</v>
      </c>
      <c r="X26" s="26">
        <f ca="1">VLOOKUP($I26,OFFSET([2]enemies!$A$1,0,0,COUNTA([2]enemies!$A:$A),MATCH(X$1,[2]enemies!$2:$2,0)-MATCH($I$1,[2]enemies!$2:$2,0)+1),MATCH(X$1,[2]enemies!$2:$2,0)-MATCH($I$1,[2]enemies!$2:$2,0)+1,FALSE)</f>
        <v>3</v>
      </c>
      <c r="Y26" s="31">
        <v>39</v>
      </c>
      <c r="Z26" s="5" t="str">
        <f ca="1">IFERROR(VLOOKUP($Y26,OFFSET([3]characters!$A$1,0,0,COUNTA([3]characters!$A:$A),MATCH(Z$1,[3]characters!$2:$2,0)-MATCH("character_id",[3]characters!$2:$2,0)+1),MATCH(Z$1,[3]characters!$2:$2,0)-MATCH("character_id",[3]characters!$2:$2,0)+1,FALSE),"")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26" s="5">
        <f ca="1">IFERROR(VLOOKUP($Y26,OFFSET([3]characters!$A$1,0,0,COUNTA([3]characters!$A:$A),MATCH(AA$1,[3]characters!$2:$2,0)-MATCH("character_id",[3]characters!$2:$2,0)+1),MATCH(AA$1,[3]characters!$2:$2,0)-MATCH("character_id",[3]characters!$2:$2,0)+1,FALSE),"")</f>
        <v>2</v>
      </c>
      <c r="AB26" s="5" t="str">
        <f ca="1">IFERROR(VLOOKUP($Y26,OFFSET([3]characters!$A$1,0,0,COUNTA([3]characters!$A:$A),MATCH(AB$1,[3]characters!$2:$2,0)-MATCH("character_id",[3]characters!$2:$2,0)+1),MATCH(AB$1,[3]characters!$2:$2,0)-MATCH("character_id",[3]characters!$2:$2,0)+1,FALSE),"")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6" s="8">
        <v>1</v>
      </c>
      <c r="AD26" s="34">
        <f t="shared" ref="AD26:AD30" ca="1" si="35">AA26</f>
        <v>2</v>
      </c>
      <c r="AE26" s="9">
        <v>0</v>
      </c>
      <c r="AF26" s="8">
        <v>0</v>
      </c>
      <c r="AG26" s="8">
        <v>0</v>
      </c>
      <c r="AH26" s="8">
        <v>0</v>
      </c>
      <c r="AI26" s="8">
        <v>0</v>
      </c>
      <c r="AJ26" s="8">
        <v>1</v>
      </c>
    </row>
    <row r="27" spans="1:36" ht="21" customHeight="1">
      <c r="A27" s="21" t="str">
        <f t="shared" ref="A27:A29" ca="1" si="36">B27&amp;"_"&amp;C27&amp;"-"&amp;G27&amp;"/"&amp;I27&amp;"&lt;lv"&amp;O27&amp;"&gt;s"&amp;X27</f>
        <v>11101_3-2/31&lt;lv35&gt;s2</v>
      </c>
      <c r="B27" s="8">
        <v>11101</v>
      </c>
      <c r="C27" s="49">
        <v>3</v>
      </c>
      <c r="D27" s="2" t="str">
        <f t="shared" ref="D27:D29" si="37">B27&amp;"_"&amp;C27</f>
        <v>11101_3</v>
      </c>
      <c r="E27" s="5" t="str">
        <f ca="1">VLOOKUP($B27,OFFSET([1]quests!$A$1,0,0,COUNTA([1]quests!$A:$A),MATCH(E$1,[1]quests!$1:$1,0)-MATCH($B$1,[1]quests!$1:$1,0)+1),MATCH(E$1,[1]quests!$1:$1,0)-MATCH($B$1,[1]quests!$1:$1,0)+1,FALSE)</f>
        <v>【キャンペーン限定】 黄の素材</v>
      </c>
      <c r="F27" s="5" t="str">
        <f ca="1">VLOOKUP($D27,OFFSET([1]stages!$A$1,0,0,COUNTA([1]stages!$A:$A),MATCH(F$1,[1]stages!$2:$2,0)-MATCH($D$1,[1]stages!$2:$2,0)+1),MATCH(F$1,[1]stages!$2:$2,0)-MATCH($D$1,[1]stages!$2:$2,0)+1,FALSE)</f>
        <v>雷のイモムシ 【上級】</v>
      </c>
      <c r="G27" s="32">
        <v>2</v>
      </c>
      <c r="H27" s="20" t="str">
        <f t="shared" ref="H27:H29" si="38">B27&amp;"_"&amp;C27&amp;"-"&amp;G27</f>
        <v>11101_3-2</v>
      </c>
      <c r="I27" s="31">
        <v>31</v>
      </c>
      <c r="J27" s="26" t="str">
        <f ca="1">VLOOKUP($I27,OFFSET([2]enemies!$A$1,0,0,COUNTA([2]enemies!$A:$A),MATCH(J$1,[2]enemies!$2:$2,0)-MATCH($I$1,[2]enemies!$2:$2,0)+1),MATCH(J$1,[2]enemies!$2:$2,0)-MATCH($I$1,[2]enemies!$2:$2,0)+1,FALSE)</f>
        <v>マービー</v>
      </c>
      <c r="K27" s="29" t="str">
        <f ca="1">VLOOKUP($I27,OFFSET([2]enemies!$A$1,0,0,COUNTA([2]enemies!$A:$A),MATCH(K$1,[2]enemies!$2:$2,0)-MATCH($I$1,[2]enemies!$2:$2,0)+1),MATCH(K$1,[2]enemies!$2:$2,0)-MATCH($I$1,[2]enemies!$2:$2,0)+1,FALSE)</f>
        <v>yellow</v>
      </c>
      <c r="L27" s="29" t="str">
        <f ca="1">VLOOKUP($I27,OFFSET([3]characters!$A$1,0,0,COUNTA([3]characters!$A:$A),MATCH(L$1,[3]characters!$2:$2,0)-MATCH($I$1,[3]characters!$2:$2,0)+1),MATCH(L$1,[3]characters!$2:$2,0)-MATCH($I$1,[3]characters!$2:$2,0)+1,FALSE)</f>
        <v>Drop1N</v>
      </c>
      <c r="M27" s="28" t="str">
        <f ca="1">VLOOKUP($I27,OFFSET([3]characters!$A$1,0,0,COUNTA([3]characters!$A:$A),MATCH(M$1,[3]characters!$2:$2,0)-MATCH($I$1,[3]characters!$2:$2,0)+2),MATCH(M$1,[3]characters!$2:$2,0)-MATCH($I$1,[3]characters!$2:$2,0)+2,FALSE)</f>
        <v>マシン</v>
      </c>
      <c r="N27" s="5">
        <f ca="1">VLOOKUP($I27,OFFSET([2]enemies!$A$1,0,0,COUNTA([2]enemies!$A:$A),MATCH(N$1,[2]enemies!$2:$2,0)-MATCH($I$1,[2]enemies!$2:$2,0)+1),MATCH(N$1,[2]enemies!$2:$2,0)-MATCH($I$1,[2]enemies!$2:$2,0)+1,FALSE)</f>
        <v>15</v>
      </c>
      <c r="O27" s="6">
        <v>35</v>
      </c>
      <c r="P27" s="46">
        <v>1</v>
      </c>
      <c r="Q27" s="46">
        <v>1</v>
      </c>
      <c r="R27" s="6">
        <v>0</v>
      </c>
      <c r="S27" s="5" t="str">
        <f ca="1">VLOOKUP($T27,OFFSET([4]enemy_skill_sets!$B$1,0,0,COUNTA([4]enemy_skill_sets!$B:$B),MATCH(J$1,[4]enemy_skill_sets!$1:$1,0)-MATCH($T$1,[4]enemy_skill_sets!$1:$1,0)+2),MATCH(J$1,[4]enemy_skill_sets!$1:$1,0)-MATCH($T$1,[4]enemy_skill_sets!$1:$1,0)+2,FALSE)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" s="5">
        <f ca="1">VLOOKUP($I27,OFFSET([2]enemies!$A$1,0,0,COUNTA([2]enemies!$A:$A),MATCH(T$1,[2]enemies!$2:$2,0)-MATCH($I$1,[2]enemies!$2:$2,0)+1),MATCH(T$1,[2]enemies!$2:$2,0)-MATCH($I$1,[2]enemies!$2:$2,0)+1,FALSE)</f>
        <v>0</v>
      </c>
      <c r="U27" s="7">
        <v>0</v>
      </c>
      <c r="V27" s="7">
        <v>100</v>
      </c>
      <c r="W27" s="7">
        <v>0</v>
      </c>
      <c r="X27" s="26">
        <f ca="1">VLOOKUP($I27,OFFSET([2]enemies!$A$1,0,0,COUNTA([2]enemies!$A:$A),MATCH(X$1,[2]enemies!$2:$2,0)-MATCH($I$1,[2]enemies!$2:$2,0)+1),MATCH(X$1,[2]enemies!$2:$2,0)-MATCH($I$1,[2]enemies!$2:$2,0)+1,FALSE)</f>
        <v>2</v>
      </c>
      <c r="Y27" s="31">
        <v>31</v>
      </c>
      <c r="Z27" s="5" t="str">
        <f ca="1">IFERROR(VLOOKUP($Y27,OFFSET([3]characters!$A$1,0,0,COUNTA([3]characters!$A:$A),MATCH(Z$1,[3]characters!$2:$2,0)-MATCH("character_id",[3]characters!$2:$2,0)+1),MATCH(Z$1,[3]characters!$2:$2,0)-MATCH("character_id",[3]characters!$2:$2,0)+1,FALSE),"")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27" s="5">
        <f ca="1">IFERROR(VLOOKUP($Y27,OFFSET([3]characters!$A$1,0,0,COUNTA([3]characters!$A:$A),MATCH(AA$1,[3]characters!$2:$2,0)-MATCH("character_id",[3]characters!$2:$2,0)+1),MATCH(AA$1,[3]characters!$2:$2,0)-MATCH("character_id",[3]characters!$2:$2,0)+1,FALSE),"")</f>
        <v>1</v>
      </c>
      <c r="AB27" s="5" t="str">
        <f ca="1">IFERROR(VLOOKUP($Y27,OFFSET([3]characters!$A$1,0,0,COUNTA([3]characters!$A:$A),MATCH(AB$1,[3]characters!$2:$2,0)-MATCH("character_id",[3]characters!$2:$2,0)+1),MATCH(AB$1,[3]characters!$2:$2,0)-MATCH("character_id",[3]characters!$2:$2,0)+1,FALSE),"")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7" s="8">
        <v>1</v>
      </c>
      <c r="AD27" s="34">
        <f t="shared" ref="AD27:AD29" ca="1" si="39">AA27</f>
        <v>1</v>
      </c>
      <c r="AE27" s="9">
        <v>0</v>
      </c>
      <c r="AF27" s="8">
        <v>0</v>
      </c>
      <c r="AG27" s="8">
        <v>0</v>
      </c>
      <c r="AH27" s="8">
        <v>0</v>
      </c>
      <c r="AI27" s="8">
        <v>0</v>
      </c>
      <c r="AJ27" s="8">
        <v>1</v>
      </c>
    </row>
    <row r="28" spans="1:36" ht="21" customHeight="1">
      <c r="A28" s="21" t="str">
        <f t="shared" ca="1" si="36"/>
        <v>11101_3-2/344&lt;lv1&gt;s1</v>
      </c>
      <c r="B28" s="8">
        <v>11101</v>
      </c>
      <c r="C28" s="49">
        <v>3</v>
      </c>
      <c r="D28" s="2" t="str">
        <f t="shared" si="37"/>
        <v>11101_3</v>
      </c>
      <c r="E28" s="5" t="str">
        <f ca="1">VLOOKUP($B28,OFFSET([1]quests!$A$1,0,0,COUNTA([1]quests!$A:$A),MATCH(E$1,[1]quests!$1:$1,0)-MATCH($B$1,[1]quests!$1:$1,0)+1),MATCH(E$1,[1]quests!$1:$1,0)-MATCH($B$1,[1]quests!$1:$1,0)+1,FALSE)</f>
        <v>【キャンペーン限定】 黄の素材</v>
      </c>
      <c r="F28" s="5" t="str">
        <f ca="1">VLOOKUP($D28,OFFSET([1]stages!$A$1,0,0,COUNTA([1]stages!$A:$A),MATCH(F$1,[1]stages!$2:$2,0)-MATCH($D$1,[1]stages!$2:$2,0)+1),MATCH(F$1,[1]stages!$2:$2,0)-MATCH($D$1,[1]stages!$2:$2,0)+1,FALSE)</f>
        <v>雷のイモムシ 【上級】</v>
      </c>
      <c r="G28" s="32">
        <v>2</v>
      </c>
      <c r="H28" s="20" t="str">
        <f t="shared" si="38"/>
        <v>11101_3-2</v>
      </c>
      <c r="I28" s="31">
        <v>344</v>
      </c>
      <c r="J28" s="26" t="str">
        <f ca="1">VLOOKUP($I28,OFFSET([2]enemies!$A$1,0,0,COUNTA([2]enemies!$A:$A),MATCH(J$1,[2]enemies!$2:$2,0)-MATCH($I$1,[2]enemies!$2:$2,0)+1),MATCH(J$1,[2]enemies!$2:$2,0)-MATCH($I$1,[2]enemies!$2:$2,0)+1,FALSE)</f>
        <v>雷のメタルピヨピヨ</v>
      </c>
      <c r="K28" s="29" t="str">
        <f ca="1">VLOOKUP($I28,OFFSET([2]enemies!$A$1,0,0,COUNTA([2]enemies!$A:$A),MATCH(K$1,[2]enemies!$2:$2,0)-MATCH($I$1,[2]enemies!$2:$2,0)+1),MATCH(K$1,[2]enemies!$2:$2,0)-MATCH($I$1,[2]enemies!$2:$2,0)+1,FALSE)</f>
        <v>yellow</v>
      </c>
      <c r="L28" s="29" t="str">
        <f ca="1">VLOOKUP($I28,OFFSET([3]characters!$A$1,0,0,COUNTA([3]characters!$A:$A),MATCH(L$1,[3]characters!$2:$2,0)-MATCH($I$1,[3]characters!$2:$2,0)+1),MATCH(L$1,[3]characters!$2:$2,0)-MATCH($I$1,[3]characters!$2:$2,0)+1,FALSE)</f>
        <v>Material</v>
      </c>
      <c r="M28" s="28" t="str">
        <f ca="1">VLOOKUP($I28,OFFSET([3]characters!$A$1,0,0,COUNTA([3]characters!$A:$A),MATCH(M$1,[3]characters!$2:$2,0)-MATCH($I$1,[3]characters!$2:$2,0)+2),MATCH(M$1,[3]characters!$2:$2,0)-MATCH($I$1,[3]characters!$2:$2,0)+2,FALSE)</f>
        <v>Unknown</v>
      </c>
      <c r="N28" s="5">
        <f ca="1">VLOOKUP($I28,OFFSET([2]enemies!$A$1,0,0,COUNTA([2]enemies!$A:$A),MATCH(N$1,[2]enemies!$2:$2,0)-MATCH($I$1,[2]enemies!$2:$2,0)+1),MATCH(N$1,[2]enemies!$2:$2,0)-MATCH($I$1,[2]enemies!$2:$2,0)+1,FALSE)</f>
        <v>15</v>
      </c>
      <c r="O28" s="6">
        <v>1</v>
      </c>
      <c r="P28" s="46">
        <v>1</v>
      </c>
      <c r="Q28" s="46">
        <v>1</v>
      </c>
      <c r="R28" s="6">
        <v>0</v>
      </c>
      <c r="S28" s="5" t="str">
        <f ca="1">VLOOKUP($T28,OFFSET([4]enemy_skill_sets!$B$1,0,0,COUNTA([4]enemy_skill_sets!$B:$B),MATCH(J$1,[4]enemy_skill_sets!$1:$1,0)-MATCH($T$1,[4]enemy_skill_sets!$1:$1,0)+2),MATCH(J$1,[4]enemy_skill_sets!$1:$1,0)-MATCH($T$1,[4]enemy_skill_sets!$1:$1,0)+2,FALSE)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" s="5">
        <f ca="1">VLOOKUP($I28,OFFSET([2]enemies!$A$1,0,0,COUNTA([2]enemies!$A:$A),MATCH(T$1,[2]enemies!$2:$2,0)-MATCH($I$1,[2]enemies!$2:$2,0)+1),MATCH(T$1,[2]enemies!$2:$2,0)-MATCH($I$1,[2]enemies!$2:$2,0)+1,FALSE)</f>
        <v>0</v>
      </c>
      <c r="U28" s="7">
        <v>0</v>
      </c>
      <c r="V28" s="7">
        <v>30</v>
      </c>
      <c r="W28" s="7">
        <v>0</v>
      </c>
      <c r="X28" s="26">
        <f ca="1">VLOOKUP($I28,OFFSET([2]enemies!$A$1,0,0,COUNTA([2]enemies!$A:$A),MATCH(X$1,[2]enemies!$2:$2,0)-MATCH($I$1,[2]enemies!$2:$2,0)+1),MATCH(X$1,[2]enemies!$2:$2,0)-MATCH($I$1,[2]enemies!$2:$2,0)+1,FALSE)</f>
        <v>1</v>
      </c>
      <c r="Y28" s="31">
        <v>344</v>
      </c>
      <c r="Z28" s="5" t="str">
        <f ca="1">IFERROR(VLOOKUP($Y28,OFFSET([3]characters!$A$1,0,0,COUNTA([3]characters!$A:$A),MATCH(Z$1,[3]characters!$2:$2,0)-MATCH("character_id",[3]characters!$2:$2,0)+1),MATCH(Z$1,[3]characters!$2:$2,0)-MATCH("character_id",[3]characters!$2:$2,0)+1,FALSE),"")</f>
        <v>雷のメタルピヨピヨ</v>
      </c>
      <c r="AA28" s="5">
        <f ca="1">IFERROR(VLOOKUP($Y28,OFFSET([3]characters!$A$1,0,0,COUNTA([3]characters!$A:$A),MATCH(AA$1,[3]characters!$2:$2,0)-MATCH("character_id",[3]characters!$2:$2,0)+1),MATCH(AA$1,[3]characters!$2:$2,0)-MATCH("character_id",[3]characters!$2:$2,0)+1,FALSE),"")</f>
        <v>3</v>
      </c>
      <c r="AB28" s="5" t="str">
        <f ca="1">IFERROR(VLOOKUP($Y28,OFFSET([3]characters!$A$1,0,0,COUNTA([3]characters!$A:$A),MATCH(AB$1,[3]characters!$2:$2,0)-MATCH("character_id",[3]characters!$2:$2,0)+1),MATCH(AB$1,[3]characters!$2:$2,0)-MATCH("character_id",[3]characters!$2:$2,0)+1,FALSE),"")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8" s="8">
        <v>1</v>
      </c>
      <c r="AD28" s="34">
        <f t="shared" ca="1" si="39"/>
        <v>3</v>
      </c>
      <c r="AE28" s="9">
        <v>10</v>
      </c>
      <c r="AF28" s="8">
        <v>0</v>
      </c>
      <c r="AG28" s="8">
        <v>0</v>
      </c>
      <c r="AH28" s="8">
        <v>0</v>
      </c>
      <c r="AI28" s="8">
        <v>0</v>
      </c>
      <c r="AJ28" s="8">
        <v>1</v>
      </c>
    </row>
    <row r="29" spans="1:36" ht="21" customHeight="1">
      <c r="A29" s="21" t="str">
        <f t="shared" ca="1" si="36"/>
        <v>11101_3-2/345&lt;lv1&gt;s2</v>
      </c>
      <c r="B29" s="8">
        <v>11101</v>
      </c>
      <c r="C29" s="49">
        <v>3</v>
      </c>
      <c r="D29" s="2" t="str">
        <f t="shared" si="37"/>
        <v>11101_3</v>
      </c>
      <c r="E29" s="5" t="str">
        <f ca="1">VLOOKUP($B29,OFFSET([1]quests!$A$1,0,0,COUNTA([1]quests!$A:$A),MATCH(E$1,[1]quests!$1:$1,0)-MATCH($B$1,[1]quests!$1:$1,0)+1),MATCH(E$1,[1]quests!$1:$1,0)-MATCH($B$1,[1]quests!$1:$1,0)+1,FALSE)</f>
        <v>【キャンペーン限定】 黄の素材</v>
      </c>
      <c r="F29" s="5" t="str">
        <f ca="1">VLOOKUP($D29,OFFSET([1]stages!$A$1,0,0,COUNTA([1]stages!$A:$A),MATCH(F$1,[1]stages!$2:$2,0)-MATCH($D$1,[1]stages!$2:$2,0)+1),MATCH(F$1,[1]stages!$2:$2,0)-MATCH($D$1,[1]stages!$2:$2,0)+1,FALSE)</f>
        <v>雷のイモムシ 【上級】</v>
      </c>
      <c r="G29" s="32">
        <v>2</v>
      </c>
      <c r="H29" s="20" t="str">
        <f t="shared" si="38"/>
        <v>11101_3-2</v>
      </c>
      <c r="I29" s="31">
        <v>345</v>
      </c>
      <c r="J29" s="26" t="str">
        <f ca="1">VLOOKUP($I29,OFFSET([2]enemies!$A$1,0,0,COUNTA([2]enemies!$A:$A),MATCH(J$1,[2]enemies!$2:$2,0)-MATCH($I$1,[2]enemies!$2:$2,0)+1),MATCH(J$1,[2]enemies!$2:$2,0)-MATCH($I$1,[2]enemies!$2:$2,0)+1,FALSE)</f>
        <v>雷のメタルチック</v>
      </c>
      <c r="K29" s="29" t="str">
        <f ca="1">VLOOKUP($I29,OFFSET([2]enemies!$A$1,0,0,COUNTA([2]enemies!$A:$A),MATCH(K$1,[2]enemies!$2:$2,0)-MATCH($I$1,[2]enemies!$2:$2,0)+1),MATCH(K$1,[2]enemies!$2:$2,0)-MATCH($I$1,[2]enemies!$2:$2,0)+1,FALSE)</f>
        <v>yellow</v>
      </c>
      <c r="L29" s="29" t="str">
        <f ca="1">VLOOKUP($I29,OFFSET([3]characters!$A$1,0,0,COUNTA([3]characters!$A:$A),MATCH(L$1,[3]characters!$2:$2,0)-MATCH($I$1,[3]characters!$2:$2,0)+1),MATCH(L$1,[3]characters!$2:$2,0)-MATCH($I$1,[3]characters!$2:$2,0)+1,FALSE)</f>
        <v>Material</v>
      </c>
      <c r="M29" s="28" t="str">
        <f ca="1">VLOOKUP($I29,OFFSET([3]characters!$A$1,0,0,COUNTA([3]characters!$A:$A),MATCH(M$1,[3]characters!$2:$2,0)-MATCH($I$1,[3]characters!$2:$2,0)+2),MATCH(M$1,[3]characters!$2:$2,0)-MATCH($I$1,[3]characters!$2:$2,0)+2,FALSE)</f>
        <v>Unknown</v>
      </c>
      <c r="N29" s="5">
        <f ca="1">VLOOKUP($I29,OFFSET([2]enemies!$A$1,0,0,COUNTA([2]enemies!$A:$A),MATCH(N$1,[2]enemies!$2:$2,0)-MATCH($I$1,[2]enemies!$2:$2,0)+1),MATCH(N$1,[2]enemies!$2:$2,0)-MATCH($I$1,[2]enemies!$2:$2,0)+1,FALSE)</f>
        <v>15</v>
      </c>
      <c r="O29" s="6">
        <v>1</v>
      </c>
      <c r="P29" s="46">
        <v>1</v>
      </c>
      <c r="Q29" s="46">
        <v>1</v>
      </c>
      <c r="R29" s="6">
        <v>0</v>
      </c>
      <c r="S29" s="5" t="str">
        <f ca="1">VLOOKUP($T29,OFFSET([4]enemy_skill_sets!$B$1,0,0,COUNTA([4]enemy_skill_sets!$B:$B),MATCH(J$1,[4]enemy_skill_sets!$1:$1,0)-MATCH($T$1,[4]enemy_skill_sets!$1:$1,0)+2),MATCH(J$1,[4]enemy_skill_sets!$1:$1,0)-MATCH($T$1,[4]enemy_skill_sets!$1:$1,0)+2,FALSE)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" s="5">
        <f ca="1">VLOOKUP($I29,OFFSET([2]enemies!$A$1,0,0,COUNTA([2]enemies!$A:$A),MATCH(T$1,[2]enemies!$2:$2,0)-MATCH($I$1,[2]enemies!$2:$2,0)+1),MATCH(T$1,[2]enemies!$2:$2,0)-MATCH($I$1,[2]enemies!$2:$2,0)+1,FALSE)</f>
        <v>0</v>
      </c>
      <c r="U29" s="7">
        <v>0</v>
      </c>
      <c r="V29" s="7">
        <v>30</v>
      </c>
      <c r="W29" s="7">
        <v>0</v>
      </c>
      <c r="X29" s="26">
        <f ca="1">VLOOKUP($I29,OFFSET([2]enemies!$A$1,0,0,COUNTA([2]enemies!$A:$A),MATCH(X$1,[2]enemies!$2:$2,0)-MATCH($I$1,[2]enemies!$2:$2,0)+1),MATCH(X$1,[2]enemies!$2:$2,0)-MATCH($I$1,[2]enemies!$2:$2,0)+1,FALSE)</f>
        <v>2</v>
      </c>
      <c r="Y29" s="31">
        <v>345</v>
      </c>
      <c r="Z29" s="5" t="str">
        <f ca="1">IFERROR(VLOOKUP($Y29,OFFSET([3]characters!$A$1,0,0,COUNTA([3]characters!$A:$A),MATCH(Z$1,[3]characters!$2:$2,0)-MATCH("character_id",[3]characters!$2:$2,0)+1),MATCH(Z$1,[3]characters!$2:$2,0)-MATCH("character_id",[3]characters!$2:$2,0)+1,FALSE),"")</f>
        <v>雷のメタルチック</v>
      </c>
      <c r="AA29" s="5">
        <f ca="1">IFERROR(VLOOKUP($Y29,OFFSET([3]characters!$A$1,0,0,COUNTA([3]characters!$A:$A),MATCH(AA$1,[3]characters!$2:$2,0)-MATCH("character_id",[3]characters!$2:$2,0)+1),MATCH(AA$1,[3]characters!$2:$2,0)-MATCH("character_id",[3]characters!$2:$2,0)+1,FALSE),"")</f>
        <v>4</v>
      </c>
      <c r="AB29" s="5" t="str">
        <f ca="1">IFERROR(VLOOKUP($Y29,OFFSET([3]characters!$A$1,0,0,COUNTA([3]characters!$A:$A),MATCH(AB$1,[3]characters!$2:$2,0)-MATCH("character_id",[3]characters!$2:$2,0)+1),MATCH(AB$1,[3]characters!$2:$2,0)-MATCH("character_id",[3]characters!$2:$2,0)+1,FALSE),"")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9" s="8">
        <v>1</v>
      </c>
      <c r="AD29" s="34">
        <f t="shared" ca="1" si="39"/>
        <v>4</v>
      </c>
      <c r="AE29" s="9">
        <v>5</v>
      </c>
      <c r="AF29" s="8">
        <v>0</v>
      </c>
      <c r="AG29" s="8">
        <v>0</v>
      </c>
      <c r="AH29" s="8">
        <v>0</v>
      </c>
      <c r="AI29" s="8">
        <v>0</v>
      </c>
      <c r="AJ29" s="8">
        <v>1</v>
      </c>
    </row>
    <row r="30" spans="1:36" ht="21" customHeight="1">
      <c r="A30" s="21" t="str">
        <f t="shared" ca="1" si="32"/>
        <v>11101_3-3/115&lt;lv30&gt;s2</v>
      </c>
      <c r="B30" s="8">
        <v>11101</v>
      </c>
      <c r="C30" s="49">
        <v>3</v>
      </c>
      <c r="D30" s="2" t="str">
        <f t="shared" si="33"/>
        <v>11101_3</v>
      </c>
      <c r="E30" s="5" t="str">
        <f ca="1">VLOOKUP($B30,OFFSET([1]quests!$A$1,0,0,COUNTA([1]quests!$A:$A),MATCH(E$1,[1]quests!$1:$1,0)-MATCH($B$1,[1]quests!$1:$1,0)+1),MATCH(E$1,[1]quests!$1:$1,0)-MATCH($B$1,[1]quests!$1:$1,0)+1,FALSE)</f>
        <v>【キャンペーン限定】 黄の素材</v>
      </c>
      <c r="F30" s="5" t="str">
        <f ca="1">VLOOKUP($D30,OFFSET([1]stages!$A$1,0,0,COUNTA([1]stages!$A:$A),MATCH(F$1,[1]stages!$2:$2,0)-MATCH($D$1,[1]stages!$2:$2,0)+1),MATCH(F$1,[1]stages!$2:$2,0)-MATCH($D$1,[1]stages!$2:$2,0)+1,FALSE)</f>
        <v>雷のイモムシ 【上級】</v>
      </c>
      <c r="G30" s="32">
        <v>3</v>
      </c>
      <c r="H30" s="20" t="str">
        <f t="shared" si="34"/>
        <v>11101_3-3</v>
      </c>
      <c r="I30" s="31">
        <v>115</v>
      </c>
      <c r="J30" s="26" t="str">
        <f ca="1">VLOOKUP($I30,OFFSET([2]enemies!$A$1,0,0,COUNTA([2]enemies!$A:$A),MATCH(J$1,[2]enemies!$2:$2,0)-MATCH($I$1,[2]enemies!$2:$2,0)+1),MATCH(J$1,[2]enemies!$2:$2,0)-MATCH($I$1,[2]enemies!$2:$2,0)+1,FALSE)</f>
        <v>イエローキャタップ</v>
      </c>
      <c r="K30" s="29" t="str">
        <f ca="1">VLOOKUP($I30,OFFSET([2]enemies!$A$1,0,0,COUNTA([2]enemies!$A:$A),MATCH(K$1,[2]enemies!$2:$2,0)-MATCH($I$1,[2]enemies!$2:$2,0)+1),MATCH(K$1,[2]enemies!$2:$2,0)-MATCH($I$1,[2]enemies!$2:$2,0)+1,FALSE)</f>
        <v>yellow</v>
      </c>
      <c r="L30" s="29" t="str">
        <f ca="1">VLOOKUP($I30,OFFSET([3]characters!$A$1,0,0,COUNTA([3]characters!$A:$A),MATCH(L$1,[3]characters!$2:$2,0)-MATCH($I$1,[3]characters!$2:$2,0)+1),MATCH(L$1,[3]characters!$2:$2,0)-MATCH($I$1,[3]characters!$2:$2,0)+1,FALSE)</f>
        <v>Material</v>
      </c>
      <c r="M30" s="28" t="str">
        <f ca="1">VLOOKUP($I30,OFFSET([3]characters!$A$1,0,0,COUNTA([3]characters!$A:$A),MATCH(M$1,[3]characters!$2:$2,0)-MATCH($I$1,[3]characters!$2:$2,0)+2),MATCH(M$1,[3]characters!$2:$2,0)-MATCH($I$1,[3]characters!$2:$2,0)+2,FALSE)</f>
        <v>Unknown</v>
      </c>
      <c r="N30" s="5">
        <f ca="1">VLOOKUP($I30,OFFSET([2]enemies!$A$1,0,0,COUNTA([2]enemies!$A:$A),MATCH(N$1,[2]enemies!$2:$2,0)-MATCH($I$1,[2]enemies!$2:$2,0)+1),MATCH(N$1,[2]enemies!$2:$2,0)-MATCH($I$1,[2]enemies!$2:$2,0)+1,FALSE)</f>
        <v>15</v>
      </c>
      <c r="O30" s="6">
        <v>30</v>
      </c>
      <c r="P30" s="46">
        <v>2</v>
      </c>
      <c r="Q30" s="46">
        <v>1</v>
      </c>
      <c r="R30" s="6">
        <v>0</v>
      </c>
      <c r="S30" s="5" t="str">
        <f ca="1">VLOOKUP($T30,OFFSET([4]enemy_skill_sets!$B$1,0,0,COUNTA([4]enemy_skill_sets!$B:$B),MATCH(J$1,[4]enemy_skill_sets!$1:$1,0)-MATCH($T$1,[4]enemy_skill_sets!$1:$1,0)+2),MATCH(J$1,[4]enemy_skill_sets!$1:$1,0)-MATCH($T$1,[4]enemy_skill_sets!$1:$1,0)+2,FALSE)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" s="5">
        <f ca="1">VLOOKUP($I30,OFFSET([2]enemies!$A$1,0,0,COUNTA([2]enemies!$A:$A),MATCH(T$1,[2]enemies!$2:$2,0)-MATCH($I$1,[2]enemies!$2:$2,0)+1),MATCH(T$1,[2]enemies!$2:$2,0)-MATCH($I$1,[2]enemies!$2:$2,0)+1,FALSE)</f>
        <v>0</v>
      </c>
      <c r="U30" s="7">
        <v>1</v>
      </c>
      <c r="V30" s="7">
        <v>100</v>
      </c>
      <c r="W30" s="7">
        <v>1</v>
      </c>
      <c r="X30" s="26">
        <f ca="1">VLOOKUP($I30,OFFSET([2]enemies!$A$1,0,0,COUNTA([2]enemies!$A:$A),MATCH(X$1,[2]enemies!$2:$2,0)-MATCH($I$1,[2]enemies!$2:$2,0)+1),MATCH(X$1,[2]enemies!$2:$2,0)-MATCH($I$1,[2]enemies!$2:$2,0)+1,FALSE)</f>
        <v>2</v>
      </c>
      <c r="Y30" s="31">
        <v>115</v>
      </c>
      <c r="Z30" s="5" t="str">
        <f ca="1">IFERROR(VLOOKUP($Y30,OFFSET([3]characters!$A$1,0,0,COUNTA([3]characters!$A:$A),MATCH(Z$1,[3]characters!$2:$2,0)-MATCH("character_id",[3]characters!$2:$2,0)+1),MATCH(Z$1,[3]characters!$2:$2,0)-MATCH("character_id",[3]characters!$2:$2,0)+1,FALSE),"")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30" s="5">
        <f ca="1">IFERROR(VLOOKUP($Y30,OFFSET([3]characters!$A$1,0,0,COUNTA([3]characters!$A:$A),MATCH(AA$1,[3]characters!$2:$2,0)-MATCH("character_id",[3]characters!$2:$2,0)+1),MATCH(AA$1,[3]characters!$2:$2,0)-MATCH("character_id",[3]characters!$2:$2,0)+1,FALSE),"")</f>
        <v>4</v>
      </c>
      <c r="AB30" s="5" t="str">
        <f ca="1">IFERROR(VLOOKUP($Y30,OFFSET([3]characters!$A$1,0,0,COUNTA([3]characters!$A:$A),MATCH(AB$1,[3]characters!$2:$2,0)-MATCH("character_id",[3]characters!$2:$2,0)+1),MATCH(AB$1,[3]characters!$2:$2,0)-MATCH("character_id",[3]characters!$2:$2,0)+1,FALSE),"")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0" s="8">
        <v>1</v>
      </c>
      <c r="AD30" s="34">
        <f t="shared" ca="1" si="35"/>
        <v>4</v>
      </c>
      <c r="AE30" s="9">
        <v>50</v>
      </c>
      <c r="AF30" s="8">
        <v>0</v>
      </c>
      <c r="AG30" s="8">
        <v>0</v>
      </c>
      <c r="AH30" s="8">
        <v>0</v>
      </c>
      <c r="AI30" s="8">
        <v>0</v>
      </c>
      <c r="AJ30" s="8">
        <v>1</v>
      </c>
    </row>
    <row r="31" spans="1:36" ht="21" customHeight="1">
      <c r="A31" s="21" t="str">
        <f t="shared" ref="A31:A35" ca="1" si="40">B31&amp;"_"&amp;C31&amp;"-"&amp;G31&amp;"/"&amp;I31&amp;"&lt;lv"&amp;O31&amp;"&gt;s"&amp;X31</f>
        <v>11101_3-3/39&lt;lv35&gt;s3</v>
      </c>
      <c r="B31" s="8">
        <v>11101</v>
      </c>
      <c r="C31" s="49">
        <v>3</v>
      </c>
      <c r="D31" s="2" t="str">
        <f t="shared" ref="D31:D35" si="41">B31&amp;"_"&amp;C31</f>
        <v>11101_3</v>
      </c>
      <c r="E31" s="5" t="str">
        <f ca="1">VLOOKUP($B31,OFFSET([1]quests!$A$1,0,0,COUNTA([1]quests!$A:$A),MATCH(E$1,[1]quests!$1:$1,0)-MATCH($B$1,[1]quests!$1:$1,0)+1),MATCH(E$1,[1]quests!$1:$1,0)-MATCH($B$1,[1]quests!$1:$1,0)+1,FALSE)</f>
        <v>【キャンペーン限定】 黄の素材</v>
      </c>
      <c r="F31" s="5" t="str">
        <f ca="1">VLOOKUP($D31,OFFSET([1]stages!$A$1,0,0,COUNTA([1]stages!$A:$A),MATCH(F$1,[1]stages!$2:$2,0)-MATCH($D$1,[1]stages!$2:$2,0)+1),MATCH(F$1,[1]stages!$2:$2,0)-MATCH($D$1,[1]stages!$2:$2,0)+1,FALSE)</f>
        <v>雷のイモムシ 【上級】</v>
      </c>
      <c r="G31" s="32">
        <v>3</v>
      </c>
      <c r="H31" s="20" t="str">
        <f t="shared" ref="H31:H35" si="42">B31&amp;"_"&amp;C31&amp;"-"&amp;G31</f>
        <v>11101_3-3</v>
      </c>
      <c r="I31" s="31">
        <v>39</v>
      </c>
      <c r="J31" s="26" t="str">
        <f ca="1">VLOOKUP($I31,OFFSET([2]enemies!$A$1,0,0,COUNTA([2]enemies!$A:$A),MATCH(J$1,[2]enemies!$2:$2,0)-MATCH($I$1,[2]enemies!$2:$2,0)+1),MATCH(J$1,[2]enemies!$2:$2,0)-MATCH($I$1,[2]enemies!$2:$2,0)+1,FALSE)</f>
        <v>マーロン</v>
      </c>
      <c r="K31" s="29" t="str">
        <f ca="1">VLOOKUP($I31,OFFSET([2]enemies!$A$1,0,0,COUNTA([2]enemies!$A:$A),MATCH(K$1,[2]enemies!$2:$2,0)-MATCH($I$1,[2]enemies!$2:$2,0)+1),MATCH(K$1,[2]enemies!$2:$2,0)-MATCH($I$1,[2]enemies!$2:$2,0)+1,FALSE)</f>
        <v>yellow</v>
      </c>
      <c r="L31" s="29" t="str">
        <f ca="1">VLOOKUP($I31,OFFSET([3]characters!$A$1,0,0,COUNTA([3]characters!$A:$A),MATCH(L$1,[3]characters!$2:$2,0)-MATCH($I$1,[3]characters!$2:$2,0)+1),MATCH(L$1,[3]characters!$2:$2,0)-MATCH($I$1,[3]characters!$2:$2,0)+1,FALSE)</f>
        <v>Drop1S</v>
      </c>
      <c r="M31" s="28" t="str">
        <f ca="1">VLOOKUP($I31,OFFSET([3]characters!$A$1,0,0,COUNTA([3]characters!$A:$A),MATCH(M$1,[3]characters!$2:$2,0)-MATCH($I$1,[3]characters!$2:$2,0)+2),MATCH(M$1,[3]characters!$2:$2,0)-MATCH($I$1,[3]characters!$2:$2,0)+2,FALSE)</f>
        <v>ヒューマン</v>
      </c>
      <c r="N31" s="5">
        <f ca="1">VLOOKUP($I31,OFFSET([2]enemies!$A$1,0,0,COUNTA([2]enemies!$A:$A),MATCH(N$1,[2]enemies!$2:$2,0)-MATCH($I$1,[2]enemies!$2:$2,0)+1),MATCH(N$1,[2]enemies!$2:$2,0)-MATCH($I$1,[2]enemies!$2:$2,0)+1,FALSE)</f>
        <v>15</v>
      </c>
      <c r="O31" s="6">
        <v>35</v>
      </c>
      <c r="P31" s="46">
        <v>1</v>
      </c>
      <c r="Q31" s="46">
        <v>1</v>
      </c>
      <c r="R31" s="6">
        <v>0</v>
      </c>
      <c r="S31" s="5" t="str">
        <f ca="1">VLOOKUP($T31,OFFSET([4]enemy_skill_sets!$B$1,0,0,COUNTA([4]enemy_skill_sets!$B:$B),MATCH(J$1,[4]enemy_skill_sets!$1:$1,0)-MATCH($T$1,[4]enemy_skill_sets!$1:$1,0)+2),MATCH(J$1,[4]enemy_skill_sets!$1:$1,0)-MATCH($T$1,[4]enemy_skill_sets!$1:$1,0)+2,FALSE)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31" s="5">
        <f ca="1">VLOOKUP($I31,OFFSET([2]enemies!$A$1,0,0,COUNTA([2]enemies!$A:$A),MATCH(T$1,[2]enemies!$2:$2,0)-MATCH($I$1,[2]enemies!$2:$2,0)+1),MATCH(T$1,[2]enemies!$2:$2,0)-MATCH($I$1,[2]enemies!$2:$2,0)+1,FALSE)</f>
        <v>39</v>
      </c>
      <c r="U31" s="7">
        <v>0</v>
      </c>
      <c r="V31" s="7">
        <v>100</v>
      </c>
      <c r="W31" s="7">
        <v>0</v>
      </c>
      <c r="X31" s="26">
        <f ca="1">VLOOKUP($I31,OFFSET([2]enemies!$A$1,0,0,COUNTA([2]enemies!$A:$A),MATCH(X$1,[2]enemies!$2:$2,0)-MATCH($I$1,[2]enemies!$2:$2,0)+1),MATCH(X$1,[2]enemies!$2:$2,0)-MATCH($I$1,[2]enemies!$2:$2,0)+1,FALSE)</f>
        <v>3</v>
      </c>
      <c r="Y31" s="31">
        <v>39</v>
      </c>
      <c r="Z31" s="5" t="str">
        <f ca="1">IFERROR(VLOOKUP($Y31,OFFSET([3]characters!$A$1,0,0,COUNTA([3]characters!$A:$A),MATCH(Z$1,[3]characters!$2:$2,0)-MATCH("character_id",[3]characters!$2:$2,0)+1),MATCH(Z$1,[3]characters!$2:$2,0)-MATCH("character_id",[3]characters!$2:$2,0)+1,FALSE),"")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31" s="5">
        <f ca="1">IFERROR(VLOOKUP($Y31,OFFSET([3]characters!$A$1,0,0,COUNTA([3]characters!$A:$A),MATCH(AA$1,[3]characters!$2:$2,0)-MATCH("character_id",[3]characters!$2:$2,0)+1),MATCH(AA$1,[3]characters!$2:$2,0)-MATCH("character_id",[3]characters!$2:$2,0)+1,FALSE),"")</f>
        <v>2</v>
      </c>
      <c r="AB31" s="5" t="str">
        <f ca="1">IFERROR(VLOOKUP($Y31,OFFSET([3]characters!$A$1,0,0,COUNTA([3]characters!$A:$A),MATCH(AB$1,[3]characters!$2:$2,0)-MATCH("character_id",[3]characters!$2:$2,0)+1),MATCH(AB$1,[3]characters!$2:$2,0)-MATCH("character_id",[3]characters!$2:$2,0)+1,FALSE),"")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1" s="8">
        <v>1</v>
      </c>
      <c r="AD31" s="34">
        <f t="shared" ref="AD31:AD35" ca="1" si="43">AA31</f>
        <v>2</v>
      </c>
      <c r="AE31" s="9">
        <v>0</v>
      </c>
      <c r="AF31" s="8">
        <v>0</v>
      </c>
      <c r="AG31" s="8">
        <v>0</v>
      </c>
      <c r="AH31" s="8">
        <v>0</v>
      </c>
      <c r="AI31" s="8">
        <v>0</v>
      </c>
      <c r="AJ31" s="8">
        <v>1</v>
      </c>
    </row>
    <row r="32" spans="1:36" ht="21" customHeight="1">
      <c r="A32" s="21" t="str">
        <f t="shared" ca="1" si="40"/>
        <v>11101_3-3/31&lt;lv35&gt;s2</v>
      </c>
      <c r="B32" s="8">
        <v>11101</v>
      </c>
      <c r="C32" s="49">
        <v>3</v>
      </c>
      <c r="D32" s="2" t="str">
        <f t="shared" si="41"/>
        <v>11101_3</v>
      </c>
      <c r="E32" s="5" t="str">
        <f ca="1">VLOOKUP($B32,OFFSET([1]quests!$A$1,0,0,COUNTA([1]quests!$A:$A),MATCH(E$1,[1]quests!$1:$1,0)-MATCH($B$1,[1]quests!$1:$1,0)+1),MATCH(E$1,[1]quests!$1:$1,0)-MATCH($B$1,[1]quests!$1:$1,0)+1,FALSE)</f>
        <v>【キャンペーン限定】 黄の素材</v>
      </c>
      <c r="F32" s="5" t="str">
        <f ca="1">VLOOKUP($D32,OFFSET([1]stages!$A$1,0,0,COUNTA([1]stages!$A:$A),MATCH(F$1,[1]stages!$2:$2,0)-MATCH($D$1,[1]stages!$2:$2,0)+1),MATCH(F$1,[1]stages!$2:$2,0)-MATCH($D$1,[1]stages!$2:$2,0)+1,FALSE)</f>
        <v>雷のイモムシ 【上級】</v>
      </c>
      <c r="G32" s="32">
        <v>3</v>
      </c>
      <c r="H32" s="20" t="str">
        <f t="shared" si="42"/>
        <v>11101_3-3</v>
      </c>
      <c r="I32" s="31">
        <v>31</v>
      </c>
      <c r="J32" s="26" t="str">
        <f ca="1">VLOOKUP($I32,OFFSET([2]enemies!$A$1,0,0,COUNTA([2]enemies!$A:$A),MATCH(J$1,[2]enemies!$2:$2,0)-MATCH($I$1,[2]enemies!$2:$2,0)+1),MATCH(J$1,[2]enemies!$2:$2,0)-MATCH($I$1,[2]enemies!$2:$2,0)+1,FALSE)</f>
        <v>マービー</v>
      </c>
      <c r="K32" s="29" t="str">
        <f ca="1">VLOOKUP($I32,OFFSET([2]enemies!$A$1,0,0,COUNTA([2]enemies!$A:$A),MATCH(K$1,[2]enemies!$2:$2,0)-MATCH($I$1,[2]enemies!$2:$2,0)+1),MATCH(K$1,[2]enemies!$2:$2,0)-MATCH($I$1,[2]enemies!$2:$2,0)+1,FALSE)</f>
        <v>yellow</v>
      </c>
      <c r="L32" s="29" t="str">
        <f ca="1">VLOOKUP($I32,OFFSET([3]characters!$A$1,0,0,COUNTA([3]characters!$A:$A),MATCH(L$1,[3]characters!$2:$2,0)-MATCH($I$1,[3]characters!$2:$2,0)+1),MATCH(L$1,[3]characters!$2:$2,0)-MATCH($I$1,[3]characters!$2:$2,0)+1,FALSE)</f>
        <v>Drop1N</v>
      </c>
      <c r="M32" s="28" t="str">
        <f ca="1">VLOOKUP($I32,OFFSET([3]characters!$A$1,0,0,COUNTA([3]characters!$A:$A),MATCH(M$1,[3]characters!$2:$2,0)-MATCH($I$1,[3]characters!$2:$2,0)+2),MATCH(M$1,[3]characters!$2:$2,0)-MATCH($I$1,[3]characters!$2:$2,0)+2,FALSE)</f>
        <v>マシン</v>
      </c>
      <c r="N32" s="5">
        <f ca="1">VLOOKUP($I32,OFFSET([2]enemies!$A$1,0,0,COUNTA([2]enemies!$A:$A),MATCH(N$1,[2]enemies!$2:$2,0)-MATCH($I$1,[2]enemies!$2:$2,0)+1),MATCH(N$1,[2]enemies!$2:$2,0)-MATCH($I$1,[2]enemies!$2:$2,0)+1,FALSE)</f>
        <v>15</v>
      </c>
      <c r="O32" s="6">
        <v>35</v>
      </c>
      <c r="P32" s="46">
        <v>1</v>
      </c>
      <c r="Q32" s="46">
        <v>1</v>
      </c>
      <c r="R32" s="6">
        <v>0</v>
      </c>
      <c r="S32" s="5" t="str">
        <f ca="1">VLOOKUP($T32,OFFSET([4]enemy_skill_sets!$B$1,0,0,COUNTA([4]enemy_skill_sets!$B:$B),MATCH(J$1,[4]enemy_skill_sets!$1:$1,0)-MATCH($T$1,[4]enemy_skill_sets!$1:$1,0)+2),MATCH(J$1,[4]enemy_skill_sets!$1:$1,0)-MATCH($T$1,[4]enemy_skill_sets!$1:$1,0)+2,FALSE)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" s="5">
        <f ca="1">VLOOKUP($I32,OFFSET([2]enemies!$A$1,0,0,COUNTA([2]enemies!$A:$A),MATCH(T$1,[2]enemies!$2:$2,0)-MATCH($I$1,[2]enemies!$2:$2,0)+1),MATCH(T$1,[2]enemies!$2:$2,0)-MATCH($I$1,[2]enemies!$2:$2,0)+1,FALSE)</f>
        <v>0</v>
      </c>
      <c r="U32" s="7">
        <v>0</v>
      </c>
      <c r="V32" s="7">
        <v>100</v>
      </c>
      <c r="W32" s="7">
        <v>0</v>
      </c>
      <c r="X32" s="26">
        <f ca="1">VLOOKUP($I32,OFFSET([2]enemies!$A$1,0,0,COUNTA([2]enemies!$A:$A),MATCH(X$1,[2]enemies!$2:$2,0)-MATCH($I$1,[2]enemies!$2:$2,0)+1),MATCH(X$1,[2]enemies!$2:$2,0)-MATCH($I$1,[2]enemies!$2:$2,0)+1,FALSE)</f>
        <v>2</v>
      </c>
      <c r="Y32" s="31">
        <v>31</v>
      </c>
      <c r="Z32" s="5" t="str">
        <f ca="1">IFERROR(VLOOKUP($Y32,OFFSET([3]characters!$A$1,0,0,COUNTA([3]characters!$A:$A),MATCH(Z$1,[3]characters!$2:$2,0)-MATCH("character_id",[3]characters!$2:$2,0)+1),MATCH(Z$1,[3]characters!$2:$2,0)-MATCH("character_id",[3]characters!$2:$2,0)+1,FALSE),"")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32" s="5">
        <f ca="1">IFERROR(VLOOKUP($Y32,OFFSET([3]characters!$A$1,0,0,COUNTA([3]characters!$A:$A),MATCH(AA$1,[3]characters!$2:$2,0)-MATCH("character_id",[3]characters!$2:$2,0)+1),MATCH(AA$1,[3]characters!$2:$2,0)-MATCH("character_id",[3]characters!$2:$2,0)+1,FALSE),"")</f>
        <v>1</v>
      </c>
      <c r="AB32" s="5" t="str">
        <f ca="1">IFERROR(VLOOKUP($Y32,OFFSET([3]characters!$A$1,0,0,COUNTA([3]characters!$A:$A),MATCH(AB$1,[3]characters!$2:$2,0)-MATCH("character_id",[3]characters!$2:$2,0)+1),MATCH(AB$1,[3]characters!$2:$2,0)-MATCH("character_id",[3]characters!$2:$2,0)+1,FALSE),"")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2" s="8">
        <v>1</v>
      </c>
      <c r="AD32" s="34">
        <f t="shared" ca="1" si="43"/>
        <v>1</v>
      </c>
      <c r="AE32" s="9">
        <v>0</v>
      </c>
      <c r="AF32" s="8">
        <v>0</v>
      </c>
      <c r="AG32" s="8">
        <v>0</v>
      </c>
      <c r="AH32" s="8">
        <v>0</v>
      </c>
      <c r="AI32" s="8">
        <v>0</v>
      </c>
      <c r="AJ32" s="8">
        <v>1</v>
      </c>
    </row>
    <row r="33" spans="1:36" ht="21" customHeight="1">
      <c r="A33" s="21" t="str">
        <f t="shared" ref="A33" ca="1" si="44">B33&amp;"_"&amp;C33&amp;"-"&amp;G33&amp;"/"&amp;I33&amp;"&lt;lv"&amp;O33&amp;"&gt;s"&amp;X33</f>
        <v>11101_3-3/344&lt;lv1&gt;s1</v>
      </c>
      <c r="B33" s="8">
        <v>11101</v>
      </c>
      <c r="C33" s="49">
        <v>3</v>
      </c>
      <c r="D33" s="2" t="str">
        <f t="shared" ref="D33" si="45">B33&amp;"_"&amp;C33</f>
        <v>11101_3</v>
      </c>
      <c r="E33" s="5" t="str">
        <f ca="1">VLOOKUP($B33,OFFSET([1]quests!$A$1,0,0,COUNTA([1]quests!$A:$A),MATCH(E$1,[1]quests!$1:$1,0)-MATCH($B$1,[1]quests!$1:$1,0)+1),MATCH(E$1,[1]quests!$1:$1,0)-MATCH($B$1,[1]quests!$1:$1,0)+1,FALSE)</f>
        <v>【キャンペーン限定】 黄の素材</v>
      </c>
      <c r="F33" s="5" t="str">
        <f ca="1">VLOOKUP($D33,OFFSET([1]stages!$A$1,0,0,COUNTA([1]stages!$A:$A),MATCH(F$1,[1]stages!$2:$2,0)-MATCH($D$1,[1]stages!$2:$2,0)+1),MATCH(F$1,[1]stages!$2:$2,0)-MATCH($D$1,[1]stages!$2:$2,0)+1,FALSE)</f>
        <v>雷のイモムシ 【上級】</v>
      </c>
      <c r="G33" s="32">
        <v>3</v>
      </c>
      <c r="H33" s="20" t="str">
        <f t="shared" ref="H33" si="46">B33&amp;"_"&amp;C33&amp;"-"&amp;G33</f>
        <v>11101_3-3</v>
      </c>
      <c r="I33" s="31">
        <v>344</v>
      </c>
      <c r="J33" s="26" t="str">
        <f ca="1">VLOOKUP($I33,OFFSET([2]enemies!$A$1,0,0,COUNTA([2]enemies!$A:$A),MATCH(J$1,[2]enemies!$2:$2,0)-MATCH($I$1,[2]enemies!$2:$2,0)+1),MATCH(J$1,[2]enemies!$2:$2,0)-MATCH($I$1,[2]enemies!$2:$2,0)+1,FALSE)</f>
        <v>雷のメタルピヨピヨ</v>
      </c>
      <c r="K33" s="29" t="str">
        <f ca="1">VLOOKUP($I33,OFFSET([2]enemies!$A$1,0,0,COUNTA([2]enemies!$A:$A),MATCH(K$1,[2]enemies!$2:$2,0)-MATCH($I$1,[2]enemies!$2:$2,0)+1),MATCH(K$1,[2]enemies!$2:$2,0)-MATCH($I$1,[2]enemies!$2:$2,0)+1,FALSE)</f>
        <v>yellow</v>
      </c>
      <c r="L33" s="29" t="str">
        <f ca="1">VLOOKUP($I33,OFFSET([3]characters!$A$1,0,0,COUNTA([3]characters!$A:$A),MATCH(L$1,[3]characters!$2:$2,0)-MATCH($I$1,[3]characters!$2:$2,0)+1),MATCH(L$1,[3]characters!$2:$2,0)-MATCH($I$1,[3]characters!$2:$2,0)+1,FALSE)</f>
        <v>Material</v>
      </c>
      <c r="M33" s="28" t="str">
        <f ca="1">VLOOKUP($I33,OFFSET([3]characters!$A$1,0,0,COUNTA([3]characters!$A:$A),MATCH(M$1,[3]characters!$2:$2,0)-MATCH($I$1,[3]characters!$2:$2,0)+2),MATCH(M$1,[3]characters!$2:$2,0)-MATCH($I$1,[3]characters!$2:$2,0)+2,FALSE)</f>
        <v>Unknown</v>
      </c>
      <c r="N33" s="5">
        <f ca="1">VLOOKUP($I33,OFFSET([2]enemies!$A$1,0,0,COUNTA([2]enemies!$A:$A),MATCH(N$1,[2]enemies!$2:$2,0)-MATCH($I$1,[2]enemies!$2:$2,0)+1),MATCH(N$1,[2]enemies!$2:$2,0)-MATCH($I$1,[2]enemies!$2:$2,0)+1,FALSE)</f>
        <v>15</v>
      </c>
      <c r="O33" s="6">
        <v>1</v>
      </c>
      <c r="P33" s="46">
        <v>1</v>
      </c>
      <c r="Q33" s="46">
        <v>1</v>
      </c>
      <c r="R33" s="6">
        <v>0</v>
      </c>
      <c r="S33" s="5" t="str">
        <f ca="1">VLOOKUP($T33,OFFSET([4]enemy_skill_sets!$B$1,0,0,COUNTA([4]enemy_skill_sets!$B:$B),MATCH(J$1,[4]enemy_skill_sets!$1:$1,0)-MATCH($T$1,[4]enemy_skill_sets!$1:$1,0)+2),MATCH(J$1,[4]enemy_skill_sets!$1:$1,0)-MATCH($T$1,[4]enemy_skill_sets!$1:$1,0)+2,FALSE)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" s="5">
        <f ca="1">VLOOKUP($I33,OFFSET([2]enemies!$A$1,0,0,COUNTA([2]enemies!$A:$A),MATCH(T$1,[2]enemies!$2:$2,0)-MATCH($I$1,[2]enemies!$2:$2,0)+1),MATCH(T$1,[2]enemies!$2:$2,0)-MATCH($I$1,[2]enemies!$2:$2,0)+1,FALSE)</f>
        <v>0</v>
      </c>
      <c r="U33" s="7">
        <v>0</v>
      </c>
      <c r="V33" s="7">
        <v>30</v>
      </c>
      <c r="W33" s="7">
        <v>0</v>
      </c>
      <c r="X33" s="26">
        <f ca="1">VLOOKUP($I33,OFFSET([2]enemies!$A$1,0,0,COUNTA([2]enemies!$A:$A),MATCH(X$1,[2]enemies!$2:$2,0)-MATCH($I$1,[2]enemies!$2:$2,0)+1),MATCH(X$1,[2]enemies!$2:$2,0)-MATCH($I$1,[2]enemies!$2:$2,0)+1,FALSE)</f>
        <v>1</v>
      </c>
      <c r="Y33" s="31">
        <v>344</v>
      </c>
      <c r="Z33" s="5" t="str">
        <f ca="1">IFERROR(VLOOKUP($Y33,OFFSET([3]characters!$A$1,0,0,COUNTA([3]characters!$A:$A),MATCH(Z$1,[3]characters!$2:$2,0)-MATCH("character_id",[3]characters!$2:$2,0)+1),MATCH(Z$1,[3]characters!$2:$2,0)-MATCH("character_id",[3]characters!$2:$2,0)+1,FALSE),"")</f>
        <v>雷のメタルピヨピヨ</v>
      </c>
      <c r="AA33" s="5">
        <f ca="1">IFERROR(VLOOKUP($Y33,OFFSET([3]characters!$A$1,0,0,COUNTA([3]characters!$A:$A),MATCH(AA$1,[3]characters!$2:$2,0)-MATCH("character_id",[3]characters!$2:$2,0)+1),MATCH(AA$1,[3]characters!$2:$2,0)-MATCH("character_id",[3]characters!$2:$2,0)+1,FALSE),"")</f>
        <v>3</v>
      </c>
      <c r="AB33" s="5" t="str">
        <f ca="1">IFERROR(VLOOKUP($Y33,OFFSET([3]characters!$A$1,0,0,COUNTA([3]characters!$A:$A),MATCH(AB$1,[3]characters!$2:$2,0)-MATCH("character_id",[3]characters!$2:$2,0)+1),MATCH(AB$1,[3]characters!$2:$2,0)-MATCH("character_id",[3]characters!$2:$2,0)+1,FALSE),"")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3" s="8">
        <v>1</v>
      </c>
      <c r="AD33" s="34">
        <f t="shared" ref="AD33" ca="1" si="47">AA33</f>
        <v>3</v>
      </c>
      <c r="AE33" s="9">
        <v>10</v>
      </c>
      <c r="AF33" s="8">
        <v>0</v>
      </c>
      <c r="AG33" s="8">
        <v>0</v>
      </c>
      <c r="AH33" s="8">
        <v>0</v>
      </c>
      <c r="AI33" s="8">
        <v>0</v>
      </c>
      <c r="AJ33" s="8">
        <v>1</v>
      </c>
    </row>
    <row r="34" spans="1:36" ht="21" customHeight="1">
      <c r="A34" s="21" t="str">
        <f t="shared" ref="A34" ca="1" si="48">B34&amp;"_"&amp;C34&amp;"-"&amp;G34&amp;"/"&amp;I34&amp;"&lt;lv"&amp;O34&amp;"&gt;s"&amp;X34</f>
        <v>11101_3-3/345&lt;lv1&gt;s2</v>
      </c>
      <c r="B34" s="8">
        <v>11101</v>
      </c>
      <c r="C34" s="49">
        <v>3</v>
      </c>
      <c r="D34" s="2" t="str">
        <f t="shared" ref="D34" si="49">B34&amp;"_"&amp;C34</f>
        <v>11101_3</v>
      </c>
      <c r="E34" s="5" t="str">
        <f ca="1">VLOOKUP($B34,OFFSET([1]quests!$A$1,0,0,COUNTA([1]quests!$A:$A),MATCH(E$1,[1]quests!$1:$1,0)-MATCH($B$1,[1]quests!$1:$1,0)+1),MATCH(E$1,[1]quests!$1:$1,0)-MATCH($B$1,[1]quests!$1:$1,0)+1,FALSE)</f>
        <v>【キャンペーン限定】 黄の素材</v>
      </c>
      <c r="F34" s="5" t="str">
        <f ca="1">VLOOKUP($D34,OFFSET([1]stages!$A$1,0,0,COUNTA([1]stages!$A:$A),MATCH(F$1,[1]stages!$2:$2,0)-MATCH($D$1,[1]stages!$2:$2,0)+1),MATCH(F$1,[1]stages!$2:$2,0)-MATCH($D$1,[1]stages!$2:$2,0)+1,FALSE)</f>
        <v>雷のイモムシ 【上級】</v>
      </c>
      <c r="G34" s="32">
        <v>3</v>
      </c>
      <c r="H34" s="20" t="str">
        <f t="shared" ref="H34" si="50">B34&amp;"_"&amp;C34&amp;"-"&amp;G34</f>
        <v>11101_3-3</v>
      </c>
      <c r="I34" s="31">
        <v>345</v>
      </c>
      <c r="J34" s="26" t="str">
        <f ca="1">VLOOKUP($I34,OFFSET([2]enemies!$A$1,0,0,COUNTA([2]enemies!$A:$A),MATCH(J$1,[2]enemies!$2:$2,0)-MATCH($I$1,[2]enemies!$2:$2,0)+1),MATCH(J$1,[2]enemies!$2:$2,0)-MATCH($I$1,[2]enemies!$2:$2,0)+1,FALSE)</f>
        <v>雷のメタルチック</v>
      </c>
      <c r="K34" s="29" t="str">
        <f ca="1">VLOOKUP($I34,OFFSET([2]enemies!$A$1,0,0,COUNTA([2]enemies!$A:$A),MATCH(K$1,[2]enemies!$2:$2,0)-MATCH($I$1,[2]enemies!$2:$2,0)+1),MATCH(K$1,[2]enemies!$2:$2,0)-MATCH($I$1,[2]enemies!$2:$2,0)+1,FALSE)</f>
        <v>yellow</v>
      </c>
      <c r="L34" s="29" t="str">
        <f ca="1">VLOOKUP($I34,OFFSET([3]characters!$A$1,0,0,COUNTA([3]characters!$A:$A),MATCH(L$1,[3]characters!$2:$2,0)-MATCH($I$1,[3]characters!$2:$2,0)+1),MATCH(L$1,[3]characters!$2:$2,0)-MATCH($I$1,[3]characters!$2:$2,0)+1,FALSE)</f>
        <v>Material</v>
      </c>
      <c r="M34" s="28" t="str">
        <f ca="1">VLOOKUP($I34,OFFSET([3]characters!$A$1,0,0,COUNTA([3]characters!$A:$A),MATCH(M$1,[3]characters!$2:$2,0)-MATCH($I$1,[3]characters!$2:$2,0)+2),MATCH(M$1,[3]characters!$2:$2,0)-MATCH($I$1,[3]characters!$2:$2,0)+2,FALSE)</f>
        <v>Unknown</v>
      </c>
      <c r="N34" s="5">
        <f ca="1">VLOOKUP($I34,OFFSET([2]enemies!$A$1,0,0,COUNTA([2]enemies!$A:$A),MATCH(N$1,[2]enemies!$2:$2,0)-MATCH($I$1,[2]enemies!$2:$2,0)+1),MATCH(N$1,[2]enemies!$2:$2,0)-MATCH($I$1,[2]enemies!$2:$2,0)+1,FALSE)</f>
        <v>15</v>
      </c>
      <c r="O34" s="6">
        <v>1</v>
      </c>
      <c r="P34" s="46">
        <v>1</v>
      </c>
      <c r="Q34" s="46">
        <v>1</v>
      </c>
      <c r="R34" s="6">
        <v>0</v>
      </c>
      <c r="S34" s="5" t="str">
        <f ca="1">VLOOKUP($T34,OFFSET([4]enemy_skill_sets!$B$1,0,0,COUNTA([4]enemy_skill_sets!$B:$B),MATCH(J$1,[4]enemy_skill_sets!$1:$1,0)-MATCH($T$1,[4]enemy_skill_sets!$1:$1,0)+2),MATCH(J$1,[4]enemy_skill_sets!$1:$1,0)-MATCH($T$1,[4]enemy_skill_sets!$1:$1,0)+2,FALSE)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" s="5">
        <f ca="1">VLOOKUP($I34,OFFSET([2]enemies!$A$1,0,0,COUNTA([2]enemies!$A:$A),MATCH(T$1,[2]enemies!$2:$2,0)-MATCH($I$1,[2]enemies!$2:$2,0)+1),MATCH(T$1,[2]enemies!$2:$2,0)-MATCH($I$1,[2]enemies!$2:$2,0)+1,FALSE)</f>
        <v>0</v>
      </c>
      <c r="U34" s="7">
        <v>0</v>
      </c>
      <c r="V34" s="7">
        <v>30</v>
      </c>
      <c r="W34" s="7">
        <v>0</v>
      </c>
      <c r="X34" s="26">
        <f ca="1">VLOOKUP($I34,OFFSET([2]enemies!$A$1,0,0,COUNTA([2]enemies!$A:$A),MATCH(X$1,[2]enemies!$2:$2,0)-MATCH($I$1,[2]enemies!$2:$2,0)+1),MATCH(X$1,[2]enemies!$2:$2,0)-MATCH($I$1,[2]enemies!$2:$2,0)+1,FALSE)</f>
        <v>2</v>
      </c>
      <c r="Y34" s="31">
        <v>345</v>
      </c>
      <c r="Z34" s="5" t="str">
        <f ca="1">IFERROR(VLOOKUP($Y34,OFFSET([3]characters!$A$1,0,0,COUNTA([3]characters!$A:$A),MATCH(Z$1,[3]characters!$2:$2,0)-MATCH("character_id",[3]characters!$2:$2,0)+1),MATCH(Z$1,[3]characters!$2:$2,0)-MATCH("character_id",[3]characters!$2:$2,0)+1,FALSE),"")</f>
        <v>雷のメタルチック</v>
      </c>
      <c r="AA34" s="5">
        <f ca="1">IFERROR(VLOOKUP($Y34,OFFSET([3]characters!$A$1,0,0,COUNTA([3]characters!$A:$A),MATCH(AA$1,[3]characters!$2:$2,0)-MATCH("character_id",[3]characters!$2:$2,0)+1),MATCH(AA$1,[3]characters!$2:$2,0)-MATCH("character_id",[3]characters!$2:$2,0)+1,FALSE),"")</f>
        <v>4</v>
      </c>
      <c r="AB34" s="5" t="str">
        <f ca="1">IFERROR(VLOOKUP($Y34,OFFSET([3]characters!$A$1,0,0,COUNTA([3]characters!$A:$A),MATCH(AB$1,[3]characters!$2:$2,0)-MATCH("character_id",[3]characters!$2:$2,0)+1),MATCH(AB$1,[3]characters!$2:$2,0)-MATCH("character_id",[3]characters!$2:$2,0)+1,FALSE),"")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4" s="8">
        <v>1</v>
      </c>
      <c r="AD34" s="34">
        <f t="shared" ref="AD34" ca="1" si="51">AA34</f>
        <v>4</v>
      </c>
      <c r="AE34" s="9">
        <v>5</v>
      </c>
      <c r="AF34" s="8">
        <v>0</v>
      </c>
      <c r="AG34" s="8">
        <v>0</v>
      </c>
      <c r="AH34" s="8">
        <v>0</v>
      </c>
      <c r="AI34" s="8">
        <v>0</v>
      </c>
      <c r="AJ34" s="8">
        <v>1</v>
      </c>
    </row>
    <row r="35" spans="1:36" ht="21" customHeight="1">
      <c r="A35" s="21" t="str">
        <f t="shared" ca="1" si="40"/>
        <v>11101_3-4/115&lt;lv30&gt;s2</v>
      </c>
      <c r="B35" s="8">
        <v>11101</v>
      </c>
      <c r="C35" s="49">
        <v>3</v>
      </c>
      <c r="D35" s="2" t="str">
        <f t="shared" si="41"/>
        <v>11101_3</v>
      </c>
      <c r="E35" s="5" t="str">
        <f ca="1">VLOOKUP($B35,OFFSET([1]quests!$A$1,0,0,COUNTA([1]quests!$A:$A),MATCH(E$1,[1]quests!$1:$1,0)-MATCH($B$1,[1]quests!$1:$1,0)+1),MATCH(E$1,[1]quests!$1:$1,0)-MATCH($B$1,[1]quests!$1:$1,0)+1,FALSE)</f>
        <v>【キャンペーン限定】 黄の素材</v>
      </c>
      <c r="F35" s="5" t="str">
        <f ca="1">VLOOKUP($D35,OFFSET([1]stages!$A$1,0,0,COUNTA([1]stages!$A:$A),MATCH(F$1,[1]stages!$2:$2,0)-MATCH($D$1,[1]stages!$2:$2,0)+1),MATCH(F$1,[1]stages!$2:$2,0)-MATCH($D$1,[1]stages!$2:$2,0)+1,FALSE)</f>
        <v>雷のイモムシ 【上級】</v>
      </c>
      <c r="G35" s="32">
        <v>4</v>
      </c>
      <c r="H35" s="20" t="str">
        <f t="shared" si="42"/>
        <v>11101_3-4</v>
      </c>
      <c r="I35" s="31">
        <v>115</v>
      </c>
      <c r="J35" s="26" t="str">
        <f ca="1">VLOOKUP($I35,OFFSET([2]enemies!$A$1,0,0,COUNTA([2]enemies!$A:$A),MATCH(J$1,[2]enemies!$2:$2,0)-MATCH($I$1,[2]enemies!$2:$2,0)+1),MATCH(J$1,[2]enemies!$2:$2,0)-MATCH($I$1,[2]enemies!$2:$2,0)+1,FALSE)</f>
        <v>イエローキャタップ</v>
      </c>
      <c r="K35" s="29" t="str">
        <f ca="1">VLOOKUP($I35,OFFSET([2]enemies!$A$1,0,0,COUNTA([2]enemies!$A:$A),MATCH(K$1,[2]enemies!$2:$2,0)-MATCH($I$1,[2]enemies!$2:$2,0)+1),MATCH(K$1,[2]enemies!$2:$2,0)-MATCH($I$1,[2]enemies!$2:$2,0)+1,FALSE)</f>
        <v>yellow</v>
      </c>
      <c r="L35" s="29" t="str">
        <f ca="1">VLOOKUP($I35,OFFSET([3]characters!$A$1,0,0,COUNTA([3]characters!$A:$A),MATCH(L$1,[3]characters!$2:$2,0)-MATCH($I$1,[3]characters!$2:$2,0)+1),MATCH(L$1,[3]characters!$2:$2,0)-MATCH($I$1,[3]characters!$2:$2,0)+1,FALSE)</f>
        <v>Material</v>
      </c>
      <c r="M35" s="28" t="str">
        <f ca="1">VLOOKUP($I35,OFFSET([3]characters!$A$1,0,0,COUNTA([3]characters!$A:$A),MATCH(M$1,[3]characters!$2:$2,0)-MATCH($I$1,[3]characters!$2:$2,0)+2),MATCH(M$1,[3]characters!$2:$2,0)-MATCH($I$1,[3]characters!$2:$2,0)+2,FALSE)</f>
        <v>Unknown</v>
      </c>
      <c r="N35" s="5">
        <f ca="1">VLOOKUP($I35,OFFSET([2]enemies!$A$1,0,0,COUNTA([2]enemies!$A:$A),MATCH(N$1,[2]enemies!$2:$2,0)-MATCH($I$1,[2]enemies!$2:$2,0)+1),MATCH(N$1,[2]enemies!$2:$2,0)-MATCH($I$1,[2]enemies!$2:$2,0)+1,FALSE)</f>
        <v>15</v>
      </c>
      <c r="O35" s="6">
        <v>30</v>
      </c>
      <c r="P35" s="46">
        <v>2</v>
      </c>
      <c r="Q35" s="46">
        <v>1</v>
      </c>
      <c r="R35" s="6">
        <v>0</v>
      </c>
      <c r="S35" s="5" t="str">
        <f ca="1">VLOOKUP($T35,OFFSET([4]enemy_skill_sets!$B$1,0,0,COUNTA([4]enemy_skill_sets!$B:$B),MATCH(J$1,[4]enemy_skill_sets!$1:$1,0)-MATCH($T$1,[4]enemy_skill_sets!$1:$1,0)+2),MATCH(J$1,[4]enemy_skill_sets!$1:$1,0)-MATCH($T$1,[4]enemy_skill_sets!$1:$1,0)+2,FALSE)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" s="5">
        <f ca="1">VLOOKUP($I35,OFFSET([2]enemies!$A$1,0,0,COUNTA([2]enemies!$A:$A),MATCH(T$1,[2]enemies!$2:$2,0)-MATCH($I$1,[2]enemies!$2:$2,0)+1),MATCH(T$1,[2]enemies!$2:$2,0)-MATCH($I$1,[2]enemies!$2:$2,0)+1,FALSE)</f>
        <v>0</v>
      </c>
      <c r="U35" s="7">
        <v>1</v>
      </c>
      <c r="V35" s="7">
        <v>100</v>
      </c>
      <c r="W35" s="7">
        <v>1</v>
      </c>
      <c r="X35" s="26">
        <f ca="1">VLOOKUP($I35,OFFSET([2]enemies!$A$1,0,0,COUNTA([2]enemies!$A:$A),MATCH(X$1,[2]enemies!$2:$2,0)-MATCH($I$1,[2]enemies!$2:$2,0)+1),MATCH(X$1,[2]enemies!$2:$2,0)-MATCH($I$1,[2]enemies!$2:$2,0)+1,FALSE)</f>
        <v>2</v>
      </c>
      <c r="Y35" s="31">
        <v>115</v>
      </c>
      <c r="Z35" s="5" t="str">
        <f ca="1">IFERROR(VLOOKUP($Y35,OFFSET([3]characters!$A$1,0,0,COUNTA([3]characters!$A:$A),MATCH(Z$1,[3]characters!$2:$2,0)-MATCH("character_id",[3]characters!$2:$2,0)+1),MATCH(Z$1,[3]characters!$2:$2,0)-MATCH("character_id",[3]characters!$2:$2,0)+1,FALSE),"")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35" s="5">
        <f ca="1">IFERROR(VLOOKUP($Y35,OFFSET([3]characters!$A$1,0,0,COUNTA([3]characters!$A:$A),MATCH(AA$1,[3]characters!$2:$2,0)-MATCH("character_id",[3]characters!$2:$2,0)+1),MATCH(AA$1,[3]characters!$2:$2,0)-MATCH("character_id",[3]characters!$2:$2,0)+1,FALSE),"")</f>
        <v>4</v>
      </c>
      <c r="AB35" s="5" t="str">
        <f ca="1">IFERROR(VLOOKUP($Y35,OFFSET([3]characters!$A$1,0,0,COUNTA([3]characters!$A:$A),MATCH(AB$1,[3]characters!$2:$2,0)-MATCH("character_id",[3]characters!$2:$2,0)+1),MATCH(AB$1,[3]characters!$2:$2,0)-MATCH("character_id",[3]characters!$2:$2,0)+1,FALSE),"")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5" s="8">
        <v>1</v>
      </c>
      <c r="AD35" s="34">
        <f t="shared" ca="1" si="43"/>
        <v>4</v>
      </c>
      <c r="AE35" s="9">
        <v>30</v>
      </c>
      <c r="AF35" s="8">
        <v>0</v>
      </c>
      <c r="AG35" s="8">
        <v>0</v>
      </c>
      <c r="AH35" s="8">
        <v>0</v>
      </c>
      <c r="AI35" s="8">
        <v>0</v>
      </c>
      <c r="AJ35" s="8">
        <v>1</v>
      </c>
    </row>
    <row r="36" spans="1:36" ht="21" customHeight="1">
      <c r="A36" s="21" t="str">
        <f t="shared" ref="A36:A39" ca="1" si="52">B36&amp;"_"&amp;C36&amp;"-"&amp;G36&amp;"/"&amp;I36&amp;"&lt;lv"&amp;O36&amp;"&gt;s"&amp;X36</f>
        <v>11101_3-4/39&lt;lv35&gt;s3</v>
      </c>
      <c r="B36" s="8">
        <v>11101</v>
      </c>
      <c r="C36" s="49">
        <v>3</v>
      </c>
      <c r="D36" s="2" t="str">
        <f t="shared" ref="D36:D43" si="53">B36&amp;"_"&amp;C36</f>
        <v>11101_3</v>
      </c>
      <c r="E36" s="5" t="str">
        <f ca="1">VLOOKUP($B36,OFFSET([1]quests!$A$1,0,0,COUNTA([1]quests!$A:$A),MATCH(E$1,[1]quests!$1:$1,0)-MATCH($B$1,[1]quests!$1:$1,0)+1),MATCH(E$1,[1]quests!$1:$1,0)-MATCH($B$1,[1]quests!$1:$1,0)+1,FALSE)</f>
        <v>【キャンペーン限定】 黄の素材</v>
      </c>
      <c r="F36" s="5" t="str">
        <f ca="1">VLOOKUP($D36,OFFSET([1]stages!$A$1,0,0,COUNTA([1]stages!$A:$A),MATCH(F$1,[1]stages!$2:$2,0)-MATCH($D$1,[1]stages!$2:$2,0)+1),MATCH(F$1,[1]stages!$2:$2,0)-MATCH($D$1,[1]stages!$2:$2,0)+1,FALSE)</f>
        <v>雷のイモムシ 【上級】</v>
      </c>
      <c r="G36" s="32">
        <v>4</v>
      </c>
      <c r="H36" s="20" t="str">
        <f t="shared" ref="H36:H43" si="54">B36&amp;"_"&amp;C36&amp;"-"&amp;G36</f>
        <v>11101_3-4</v>
      </c>
      <c r="I36" s="31">
        <v>39</v>
      </c>
      <c r="J36" s="26" t="str">
        <f ca="1">VLOOKUP($I36,OFFSET([2]enemies!$A$1,0,0,COUNTA([2]enemies!$A:$A),MATCH(J$1,[2]enemies!$2:$2,0)-MATCH($I$1,[2]enemies!$2:$2,0)+1),MATCH(J$1,[2]enemies!$2:$2,0)-MATCH($I$1,[2]enemies!$2:$2,0)+1,FALSE)</f>
        <v>マーロン</v>
      </c>
      <c r="K36" s="29" t="str">
        <f ca="1">VLOOKUP($I36,OFFSET([2]enemies!$A$1,0,0,COUNTA([2]enemies!$A:$A),MATCH(K$1,[2]enemies!$2:$2,0)-MATCH($I$1,[2]enemies!$2:$2,0)+1),MATCH(K$1,[2]enemies!$2:$2,0)-MATCH($I$1,[2]enemies!$2:$2,0)+1,FALSE)</f>
        <v>yellow</v>
      </c>
      <c r="L36" s="29" t="str">
        <f ca="1">VLOOKUP($I36,OFFSET([3]characters!$A$1,0,0,COUNTA([3]characters!$A:$A),MATCH(L$1,[3]characters!$2:$2,0)-MATCH($I$1,[3]characters!$2:$2,0)+1),MATCH(L$1,[3]characters!$2:$2,0)-MATCH($I$1,[3]characters!$2:$2,0)+1,FALSE)</f>
        <v>Drop1S</v>
      </c>
      <c r="M36" s="28" t="str">
        <f ca="1">VLOOKUP($I36,OFFSET([3]characters!$A$1,0,0,COUNTA([3]characters!$A:$A),MATCH(M$1,[3]characters!$2:$2,0)-MATCH($I$1,[3]characters!$2:$2,0)+2),MATCH(M$1,[3]characters!$2:$2,0)-MATCH($I$1,[3]characters!$2:$2,0)+2,FALSE)</f>
        <v>ヒューマン</v>
      </c>
      <c r="N36" s="5">
        <f ca="1">VLOOKUP($I36,OFFSET([2]enemies!$A$1,0,0,COUNTA([2]enemies!$A:$A),MATCH(N$1,[2]enemies!$2:$2,0)-MATCH($I$1,[2]enemies!$2:$2,0)+1),MATCH(N$1,[2]enemies!$2:$2,0)-MATCH($I$1,[2]enemies!$2:$2,0)+1,FALSE)</f>
        <v>15</v>
      </c>
      <c r="O36" s="6">
        <v>35</v>
      </c>
      <c r="P36" s="46">
        <v>1</v>
      </c>
      <c r="Q36" s="46">
        <v>1</v>
      </c>
      <c r="R36" s="6">
        <v>0</v>
      </c>
      <c r="S36" s="5" t="str">
        <f ca="1">VLOOKUP($T36,OFFSET([4]enemy_skill_sets!$B$1,0,0,COUNTA([4]enemy_skill_sets!$B:$B),MATCH(J$1,[4]enemy_skill_sets!$1:$1,0)-MATCH($T$1,[4]enemy_skill_sets!$1:$1,0)+2),MATCH(J$1,[4]enemy_skill_sets!$1:$1,0)-MATCH($T$1,[4]enemy_skill_sets!$1:$1,0)+2,FALSE)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36" s="5">
        <f ca="1">VLOOKUP($I36,OFFSET([2]enemies!$A$1,0,0,COUNTA([2]enemies!$A:$A),MATCH(T$1,[2]enemies!$2:$2,0)-MATCH($I$1,[2]enemies!$2:$2,0)+1),MATCH(T$1,[2]enemies!$2:$2,0)-MATCH($I$1,[2]enemies!$2:$2,0)+1,FALSE)</f>
        <v>39</v>
      </c>
      <c r="U36" s="7">
        <v>0</v>
      </c>
      <c r="V36" s="7">
        <v>100</v>
      </c>
      <c r="W36" s="7">
        <v>0</v>
      </c>
      <c r="X36" s="26">
        <f ca="1">VLOOKUP($I36,OFFSET([2]enemies!$A$1,0,0,COUNTA([2]enemies!$A:$A),MATCH(X$1,[2]enemies!$2:$2,0)-MATCH($I$1,[2]enemies!$2:$2,0)+1),MATCH(X$1,[2]enemies!$2:$2,0)-MATCH($I$1,[2]enemies!$2:$2,0)+1,FALSE)</f>
        <v>3</v>
      </c>
      <c r="Y36" s="31">
        <v>39</v>
      </c>
      <c r="Z36" s="5" t="str">
        <f ca="1">IFERROR(VLOOKUP($Y36,OFFSET([3]characters!$A$1,0,0,COUNTA([3]characters!$A:$A),MATCH(Z$1,[3]characters!$2:$2,0)-MATCH("character_id",[3]characters!$2:$2,0)+1),MATCH(Z$1,[3]characters!$2:$2,0)-MATCH("character_id",[3]characters!$2:$2,0)+1,FALSE),"")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36" s="5">
        <f ca="1">IFERROR(VLOOKUP($Y36,OFFSET([3]characters!$A$1,0,0,COUNTA([3]characters!$A:$A),MATCH(AA$1,[3]characters!$2:$2,0)-MATCH("character_id",[3]characters!$2:$2,0)+1),MATCH(AA$1,[3]characters!$2:$2,0)-MATCH("character_id",[3]characters!$2:$2,0)+1,FALSE),"")</f>
        <v>2</v>
      </c>
      <c r="AB36" s="5" t="str">
        <f ca="1">IFERROR(VLOOKUP($Y36,OFFSET([3]characters!$A$1,0,0,COUNTA([3]characters!$A:$A),MATCH(AB$1,[3]characters!$2:$2,0)-MATCH("character_id",[3]characters!$2:$2,0)+1),MATCH(AB$1,[3]characters!$2:$2,0)-MATCH("character_id",[3]characters!$2:$2,0)+1,FALSE),"")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6" s="8">
        <v>1</v>
      </c>
      <c r="AD36" s="34">
        <f t="shared" ref="AD36:AD43" ca="1" si="55">AA36</f>
        <v>2</v>
      </c>
      <c r="AE36" s="9">
        <v>0</v>
      </c>
      <c r="AF36" s="8">
        <v>0</v>
      </c>
      <c r="AG36" s="8">
        <v>0</v>
      </c>
      <c r="AH36" s="8">
        <v>0</v>
      </c>
      <c r="AI36" s="8">
        <v>0</v>
      </c>
      <c r="AJ36" s="8">
        <v>1</v>
      </c>
    </row>
    <row r="37" spans="1:36" ht="21" customHeight="1">
      <c r="A37" s="21" t="str">
        <f t="shared" ca="1" si="52"/>
        <v>11101_3-4/31&lt;lv35&gt;s2</v>
      </c>
      <c r="B37" s="8">
        <v>11101</v>
      </c>
      <c r="C37" s="49">
        <v>3</v>
      </c>
      <c r="D37" s="2" t="str">
        <f t="shared" si="53"/>
        <v>11101_3</v>
      </c>
      <c r="E37" s="5" t="str">
        <f ca="1">VLOOKUP($B37,OFFSET([1]quests!$A$1,0,0,COUNTA([1]quests!$A:$A),MATCH(E$1,[1]quests!$1:$1,0)-MATCH($B$1,[1]quests!$1:$1,0)+1),MATCH(E$1,[1]quests!$1:$1,0)-MATCH($B$1,[1]quests!$1:$1,0)+1,FALSE)</f>
        <v>【キャンペーン限定】 黄の素材</v>
      </c>
      <c r="F37" s="5" t="str">
        <f ca="1">VLOOKUP($D37,OFFSET([1]stages!$A$1,0,0,COUNTA([1]stages!$A:$A),MATCH(F$1,[1]stages!$2:$2,0)-MATCH($D$1,[1]stages!$2:$2,0)+1),MATCH(F$1,[1]stages!$2:$2,0)-MATCH($D$1,[1]stages!$2:$2,0)+1,FALSE)</f>
        <v>雷のイモムシ 【上級】</v>
      </c>
      <c r="G37" s="32">
        <v>4</v>
      </c>
      <c r="H37" s="20" t="str">
        <f t="shared" si="54"/>
        <v>11101_3-4</v>
      </c>
      <c r="I37" s="31">
        <v>31</v>
      </c>
      <c r="J37" s="26" t="str">
        <f ca="1">VLOOKUP($I37,OFFSET([2]enemies!$A$1,0,0,COUNTA([2]enemies!$A:$A),MATCH(J$1,[2]enemies!$2:$2,0)-MATCH($I$1,[2]enemies!$2:$2,0)+1),MATCH(J$1,[2]enemies!$2:$2,0)-MATCH($I$1,[2]enemies!$2:$2,0)+1,FALSE)</f>
        <v>マービー</v>
      </c>
      <c r="K37" s="29" t="str">
        <f ca="1">VLOOKUP($I37,OFFSET([2]enemies!$A$1,0,0,COUNTA([2]enemies!$A:$A),MATCH(K$1,[2]enemies!$2:$2,0)-MATCH($I$1,[2]enemies!$2:$2,0)+1),MATCH(K$1,[2]enemies!$2:$2,0)-MATCH($I$1,[2]enemies!$2:$2,0)+1,FALSE)</f>
        <v>yellow</v>
      </c>
      <c r="L37" s="29" t="str">
        <f ca="1">VLOOKUP($I37,OFFSET([3]characters!$A$1,0,0,COUNTA([3]characters!$A:$A),MATCH(L$1,[3]characters!$2:$2,0)-MATCH($I$1,[3]characters!$2:$2,0)+1),MATCH(L$1,[3]characters!$2:$2,0)-MATCH($I$1,[3]characters!$2:$2,0)+1,FALSE)</f>
        <v>Drop1N</v>
      </c>
      <c r="M37" s="28" t="str">
        <f ca="1">VLOOKUP($I37,OFFSET([3]characters!$A$1,0,0,COUNTA([3]characters!$A:$A),MATCH(M$1,[3]characters!$2:$2,0)-MATCH($I$1,[3]characters!$2:$2,0)+2),MATCH(M$1,[3]characters!$2:$2,0)-MATCH($I$1,[3]characters!$2:$2,0)+2,FALSE)</f>
        <v>マシン</v>
      </c>
      <c r="N37" s="5">
        <f ca="1">VLOOKUP($I37,OFFSET([2]enemies!$A$1,0,0,COUNTA([2]enemies!$A:$A),MATCH(N$1,[2]enemies!$2:$2,0)-MATCH($I$1,[2]enemies!$2:$2,0)+1),MATCH(N$1,[2]enemies!$2:$2,0)-MATCH($I$1,[2]enemies!$2:$2,0)+1,FALSE)</f>
        <v>15</v>
      </c>
      <c r="O37" s="6">
        <v>35</v>
      </c>
      <c r="P37" s="46">
        <v>1</v>
      </c>
      <c r="Q37" s="46">
        <v>1</v>
      </c>
      <c r="R37" s="6">
        <v>0</v>
      </c>
      <c r="S37" s="5" t="str">
        <f ca="1">VLOOKUP($T37,OFFSET([4]enemy_skill_sets!$B$1,0,0,COUNTA([4]enemy_skill_sets!$B:$B),MATCH(J$1,[4]enemy_skill_sets!$1:$1,0)-MATCH($T$1,[4]enemy_skill_sets!$1:$1,0)+2),MATCH(J$1,[4]enemy_skill_sets!$1:$1,0)-MATCH($T$1,[4]enemy_skill_sets!$1:$1,0)+2,FALSE)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" s="5">
        <f ca="1">VLOOKUP($I37,OFFSET([2]enemies!$A$1,0,0,COUNTA([2]enemies!$A:$A),MATCH(T$1,[2]enemies!$2:$2,0)-MATCH($I$1,[2]enemies!$2:$2,0)+1),MATCH(T$1,[2]enemies!$2:$2,0)-MATCH($I$1,[2]enemies!$2:$2,0)+1,FALSE)</f>
        <v>0</v>
      </c>
      <c r="U37" s="7">
        <v>0</v>
      </c>
      <c r="V37" s="7">
        <v>100</v>
      </c>
      <c r="W37" s="7">
        <v>0</v>
      </c>
      <c r="X37" s="26">
        <f ca="1">VLOOKUP($I37,OFFSET([2]enemies!$A$1,0,0,COUNTA([2]enemies!$A:$A),MATCH(X$1,[2]enemies!$2:$2,0)-MATCH($I$1,[2]enemies!$2:$2,0)+1),MATCH(X$1,[2]enemies!$2:$2,0)-MATCH($I$1,[2]enemies!$2:$2,0)+1,FALSE)</f>
        <v>2</v>
      </c>
      <c r="Y37" s="31">
        <v>31</v>
      </c>
      <c r="Z37" s="5" t="str">
        <f ca="1">IFERROR(VLOOKUP($Y37,OFFSET([3]characters!$A$1,0,0,COUNTA([3]characters!$A:$A),MATCH(Z$1,[3]characters!$2:$2,0)-MATCH("character_id",[3]characters!$2:$2,0)+1),MATCH(Z$1,[3]characters!$2:$2,0)-MATCH("character_id",[3]characters!$2:$2,0)+1,FALSE),"")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37" s="5">
        <f ca="1">IFERROR(VLOOKUP($Y37,OFFSET([3]characters!$A$1,0,0,COUNTA([3]characters!$A:$A),MATCH(AA$1,[3]characters!$2:$2,0)-MATCH("character_id",[3]characters!$2:$2,0)+1),MATCH(AA$1,[3]characters!$2:$2,0)-MATCH("character_id",[3]characters!$2:$2,0)+1,FALSE),"")</f>
        <v>1</v>
      </c>
      <c r="AB37" s="5" t="str">
        <f ca="1">IFERROR(VLOOKUP($Y37,OFFSET([3]characters!$A$1,0,0,COUNTA([3]characters!$A:$A),MATCH(AB$1,[3]characters!$2:$2,0)-MATCH("character_id",[3]characters!$2:$2,0)+1),MATCH(AB$1,[3]characters!$2:$2,0)-MATCH("character_id",[3]characters!$2:$2,0)+1,FALSE),"")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7" s="8">
        <v>1</v>
      </c>
      <c r="AD37" s="34">
        <f t="shared" ca="1" si="55"/>
        <v>1</v>
      </c>
      <c r="AE37" s="9">
        <v>0</v>
      </c>
      <c r="AF37" s="8">
        <v>0</v>
      </c>
      <c r="AG37" s="8">
        <v>0</v>
      </c>
      <c r="AH37" s="8">
        <v>0</v>
      </c>
      <c r="AI37" s="8">
        <v>0</v>
      </c>
      <c r="AJ37" s="8">
        <v>1</v>
      </c>
    </row>
    <row r="38" spans="1:36" ht="21" customHeight="1">
      <c r="A38" s="21" t="str">
        <f t="shared" ca="1" si="52"/>
        <v>11101_3-4/344&lt;lv1&gt;s1</v>
      </c>
      <c r="B38" s="8">
        <v>11101</v>
      </c>
      <c r="C38" s="49">
        <v>3</v>
      </c>
      <c r="D38" s="2" t="str">
        <f t="shared" si="53"/>
        <v>11101_3</v>
      </c>
      <c r="E38" s="5" t="str">
        <f ca="1">VLOOKUP($B38,OFFSET([1]quests!$A$1,0,0,COUNTA([1]quests!$A:$A),MATCH(E$1,[1]quests!$1:$1,0)-MATCH($B$1,[1]quests!$1:$1,0)+1),MATCH(E$1,[1]quests!$1:$1,0)-MATCH($B$1,[1]quests!$1:$1,0)+1,FALSE)</f>
        <v>【キャンペーン限定】 黄の素材</v>
      </c>
      <c r="F38" s="5" t="str">
        <f ca="1">VLOOKUP($D38,OFFSET([1]stages!$A$1,0,0,COUNTA([1]stages!$A:$A),MATCH(F$1,[1]stages!$2:$2,0)-MATCH($D$1,[1]stages!$2:$2,0)+1),MATCH(F$1,[1]stages!$2:$2,0)-MATCH($D$1,[1]stages!$2:$2,0)+1,FALSE)</f>
        <v>雷のイモムシ 【上級】</v>
      </c>
      <c r="G38" s="32">
        <v>4</v>
      </c>
      <c r="H38" s="20" t="str">
        <f t="shared" si="54"/>
        <v>11101_3-4</v>
      </c>
      <c r="I38" s="31">
        <v>344</v>
      </c>
      <c r="J38" s="26" t="str">
        <f ca="1">VLOOKUP($I38,OFFSET([2]enemies!$A$1,0,0,COUNTA([2]enemies!$A:$A),MATCH(J$1,[2]enemies!$2:$2,0)-MATCH($I$1,[2]enemies!$2:$2,0)+1),MATCH(J$1,[2]enemies!$2:$2,0)-MATCH($I$1,[2]enemies!$2:$2,0)+1,FALSE)</f>
        <v>雷のメタルピヨピヨ</v>
      </c>
      <c r="K38" s="29" t="str">
        <f ca="1">VLOOKUP($I38,OFFSET([2]enemies!$A$1,0,0,COUNTA([2]enemies!$A:$A),MATCH(K$1,[2]enemies!$2:$2,0)-MATCH($I$1,[2]enemies!$2:$2,0)+1),MATCH(K$1,[2]enemies!$2:$2,0)-MATCH($I$1,[2]enemies!$2:$2,0)+1,FALSE)</f>
        <v>yellow</v>
      </c>
      <c r="L38" s="29" t="str">
        <f ca="1">VLOOKUP($I38,OFFSET([3]characters!$A$1,0,0,COUNTA([3]characters!$A:$A),MATCH(L$1,[3]characters!$2:$2,0)-MATCH($I$1,[3]characters!$2:$2,0)+1),MATCH(L$1,[3]characters!$2:$2,0)-MATCH($I$1,[3]characters!$2:$2,0)+1,FALSE)</f>
        <v>Material</v>
      </c>
      <c r="M38" s="28" t="str">
        <f ca="1">VLOOKUP($I38,OFFSET([3]characters!$A$1,0,0,COUNTA([3]characters!$A:$A),MATCH(M$1,[3]characters!$2:$2,0)-MATCH($I$1,[3]characters!$2:$2,0)+2),MATCH(M$1,[3]characters!$2:$2,0)-MATCH($I$1,[3]characters!$2:$2,0)+2,FALSE)</f>
        <v>Unknown</v>
      </c>
      <c r="N38" s="5">
        <f ca="1">VLOOKUP($I38,OFFSET([2]enemies!$A$1,0,0,COUNTA([2]enemies!$A:$A),MATCH(N$1,[2]enemies!$2:$2,0)-MATCH($I$1,[2]enemies!$2:$2,0)+1),MATCH(N$1,[2]enemies!$2:$2,0)-MATCH($I$1,[2]enemies!$2:$2,0)+1,FALSE)</f>
        <v>15</v>
      </c>
      <c r="O38" s="6">
        <v>1</v>
      </c>
      <c r="P38" s="46">
        <v>1</v>
      </c>
      <c r="Q38" s="46">
        <v>1</v>
      </c>
      <c r="R38" s="6">
        <v>0</v>
      </c>
      <c r="S38" s="5" t="str">
        <f ca="1">VLOOKUP($T38,OFFSET([4]enemy_skill_sets!$B$1,0,0,COUNTA([4]enemy_skill_sets!$B:$B),MATCH(J$1,[4]enemy_skill_sets!$1:$1,0)-MATCH($T$1,[4]enemy_skill_sets!$1:$1,0)+2),MATCH(J$1,[4]enemy_skill_sets!$1:$1,0)-MATCH($T$1,[4]enemy_skill_sets!$1:$1,0)+2,FALSE)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" s="5">
        <f ca="1">VLOOKUP($I38,OFFSET([2]enemies!$A$1,0,0,COUNTA([2]enemies!$A:$A),MATCH(T$1,[2]enemies!$2:$2,0)-MATCH($I$1,[2]enemies!$2:$2,0)+1),MATCH(T$1,[2]enemies!$2:$2,0)-MATCH($I$1,[2]enemies!$2:$2,0)+1,FALSE)</f>
        <v>0</v>
      </c>
      <c r="U38" s="7">
        <v>0</v>
      </c>
      <c r="V38" s="7">
        <v>30</v>
      </c>
      <c r="W38" s="7">
        <v>0</v>
      </c>
      <c r="X38" s="26">
        <f ca="1">VLOOKUP($I38,OFFSET([2]enemies!$A$1,0,0,COUNTA([2]enemies!$A:$A),MATCH(X$1,[2]enemies!$2:$2,0)-MATCH($I$1,[2]enemies!$2:$2,0)+1),MATCH(X$1,[2]enemies!$2:$2,0)-MATCH($I$1,[2]enemies!$2:$2,0)+1,FALSE)</f>
        <v>1</v>
      </c>
      <c r="Y38" s="31">
        <v>344</v>
      </c>
      <c r="Z38" s="5" t="str">
        <f ca="1">IFERROR(VLOOKUP($Y38,OFFSET([3]characters!$A$1,0,0,COUNTA([3]characters!$A:$A),MATCH(Z$1,[3]characters!$2:$2,0)-MATCH("character_id",[3]characters!$2:$2,0)+1),MATCH(Z$1,[3]characters!$2:$2,0)-MATCH("character_id",[3]characters!$2:$2,0)+1,FALSE),"")</f>
        <v>雷のメタルピヨピヨ</v>
      </c>
      <c r="AA38" s="5">
        <f ca="1">IFERROR(VLOOKUP($Y38,OFFSET([3]characters!$A$1,0,0,COUNTA([3]characters!$A:$A),MATCH(AA$1,[3]characters!$2:$2,0)-MATCH("character_id",[3]characters!$2:$2,0)+1),MATCH(AA$1,[3]characters!$2:$2,0)-MATCH("character_id",[3]characters!$2:$2,0)+1,FALSE),"")</f>
        <v>3</v>
      </c>
      <c r="AB38" s="5" t="str">
        <f ca="1">IFERROR(VLOOKUP($Y38,OFFSET([3]characters!$A$1,0,0,COUNTA([3]characters!$A:$A),MATCH(AB$1,[3]characters!$2:$2,0)-MATCH("character_id",[3]characters!$2:$2,0)+1),MATCH(AB$1,[3]characters!$2:$2,0)-MATCH("character_id",[3]characters!$2:$2,0)+1,FALSE),"")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8" s="8">
        <v>1</v>
      </c>
      <c r="AD38" s="34">
        <f t="shared" ca="1" si="55"/>
        <v>3</v>
      </c>
      <c r="AE38" s="9">
        <v>10</v>
      </c>
      <c r="AF38" s="8">
        <v>0</v>
      </c>
      <c r="AG38" s="8">
        <v>0</v>
      </c>
      <c r="AH38" s="8">
        <v>0</v>
      </c>
      <c r="AI38" s="8">
        <v>0</v>
      </c>
      <c r="AJ38" s="8">
        <v>1</v>
      </c>
    </row>
    <row r="39" spans="1:36" ht="21" customHeight="1">
      <c r="A39" s="21" t="str">
        <f t="shared" ca="1" si="52"/>
        <v>11101_3-4/345&lt;lv1&gt;s2</v>
      </c>
      <c r="B39" s="8">
        <v>11101</v>
      </c>
      <c r="C39" s="49">
        <v>3</v>
      </c>
      <c r="D39" s="2" t="str">
        <f t="shared" si="53"/>
        <v>11101_3</v>
      </c>
      <c r="E39" s="5" t="str">
        <f ca="1">VLOOKUP($B39,OFFSET([1]quests!$A$1,0,0,COUNTA([1]quests!$A:$A),MATCH(E$1,[1]quests!$1:$1,0)-MATCH($B$1,[1]quests!$1:$1,0)+1),MATCH(E$1,[1]quests!$1:$1,0)-MATCH($B$1,[1]quests!$1:$1,0)+1,FALSE)</f>
        <v>【キャンペーン限定】 黄の素材</v>
      </c>
      <c r="F39" s="5" t="str">
        <f ca="1">VLOOKUP($D39,OFFSET([1]stages!$A$1,0,0,COUNTA([1]stages!$A:$A),MATCH(F$1,[1]stages!$2:$2,0)-MATCH($D$1,[1]stages!$2:$2,0)+1),MATCH(F$1,[1]stages!$2:$2,0)-MATCH($D$1,[1]stages!$2:$2,0)+1,FALSE)</f>
        <v>雷のイモムシ 【上級】</v>
      </c>
      <c r="G39" s="32">
        <v>4</v>
      </c>
      <c r="H39" s="20" t="str">
        <f t="shared" si="54"/>
        <v>11101_3-4</v>
      </c>
      <c r="I39" s="31">
        <v>345</v>
      </c>
      <c r="J39" s="26" t="str">
        <f ca="1">VLOOKUP($I39,OFFSET([2]enemies!$A$1,0,0,COUNTA([2]enemies!$A:$A),MATCH(J$1,[2]enemies!$2:$2,0)-MATCH($I$1,[2]enemies!$2:$2,0)+1),MATCH(J$1,[2]enemies!$2:$2,0)-MATCH($I$1,[2]enemies!$2:$2,0)+1,FALSE)</f>
        <v>雷のメタルチック</v>
      </c>
      <c r="K39" s="29" t="str">
        <f ca="1">VLOOKUP($I39,OFFSET([2]enemies!$A$1,0,0,COUNTA([2]enemies!$A:$A),MATCH(K$1,[2]enemies!$2:$2,0)-MATCH($I$1,[2]enemies!$2:$2,0)+1),MATCH(K$1,[2]enemies!$2:$2,0)-MATCH($I$1,[2]enemies!$2:$2,0)+1,FALSE)</f>
        <v>yellow</v>
      </c>
      <c r="L39" s="29" t="str">
        <f ca="1">VLOOKUP($I39,OFFSET([3]characters!$A$1,0,0,COUNTA([3]characters!$A:$A),MATCH(L$1,[3]characters!$2:$2,0)-MATCH($I$1,[3]characters!$2:$2,0)+1),MATCH(L$1,[3]characters!$2:$2,0)-MATCH($I$1,[3]characters!$2:$2,0)+1,FALSE)</f>
        <v>Material</v>
      </c>
      <c r="M39" s="28" t="str">
        <f ca="1">VLOOKUP($I39,OFFSET([3]characters!$A$1,0,0,COUNTA([3]characters!$A:$A),MATCH(M$1,[3]characters!$2:$2,0)-MATCH($I$1,[3]characters!$2:$2,0)+2),MATCH(M$1,[3]characters!$2:$2,0)-MATCH($I$1,[3]characters!$2:$2,0)+2,FALSE)</f>
        <v>Unknown</v>
      </c>
      <c r="N39" s="5">
        <f ca="1">VLOOKUP($I39,OFFSET([2]enemies!$A$1,0,0,COUNTA([2]enemies!$A:$A),MATCH(N$1,[2]enemies!$2:$2,0)-MATCH($I$1,[2]enemies!$2:$2,0)+1),MATCH(N$1,[2]enemies!$2:$2,0)-MATCH($I$1,[2]enemies!$2:$2,0)+1,FALSE)</f>
        <v>15</v>
      </c>
      <c r="O39" s="6">
        <v>1</v>
      </c>
      <c r="P39" s="46">
        <v>1</v>
      </c>
      <c r="Q39" s="46">
        <v>1</v>
      </c>
      <c r="R39" s="6">
        <v>0</v>
      </c>
      <c r="S39" s="5" t="str">
        <f ca="1">VLOOKUP($T39,OFFSET([4]enemy_skill_sets!$B$1,0,0,COUNTA([4]enemy_skill_sets!$B:$B),MATCH(J$1,[4]enemy_skill_sets!$1:$1,0)-MATCH($T$1,[4]enemy_skill_sets!$1:$1,0)+2),MATCH(J$1,[4]enemy_skill_sets!$1:$1,0)-MATCH($T$1,[4]enemy_skill_sets!$1:$1,0)+2,FALSE)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" s="5">
        <f ca="1">VLOOKUP($I39,OFFSET([2]enemies!$A$1,0,0,COUNTA([2]enemies!$A:$A),MATCH(T$1,[2]enemies!$2:$2,0)-MATCH($I$1,[2]enemies!$2:$2,0)+1),MATCH(T$1,[2]enemies!$2:$2,0)-MATCH($I$1,[2]enemies!$2:$2,0)+1,FALSE)</f>
        <v>0</v>
      </c>
      <c r="U39" s="7">
        <v>0</v>
      </c>
      <c r="V39" s="7">
        <v>30</v>
      </c>
      <c r="W39" s="7">
        <v>0</v>
      </c>
      <c r="X39" s="26">
        <f ca="1">VLOOKUP($I39,OFFSET([2]enemies!$A$1,0,0,COUNTA([2]enemies!$A:$A),MATCH(X$1,[2]enemies!$2:$2,0)-MATCH($I$1,[2]enemies!$2:$2,0)+1),MATCH(X$1,[2]enemies!$2:$2,0)-MATCH($I$1,[2]enemies!$2:$2,0)+1,FALSE)</f>
        <v>2</v>
      </c>
      <c r="Y39" s="31">
        <v>345</v>
      </c>
      <c r="Z39" s="5" t="str">
        <f ca="1">IFERROR(VLOOKUP($Y39,OFFSET([3]characters!$A$1,0,0,COUNTA([3]characters!$A:$A),MATCH(Z$1,[3]characters!$2:$2,0)-MATCH("character_id",[3]characters!$2:$2,0)+1),MATCH(Z$1,[3]characters!$2:$2,0)-MATCH("character_id",[3]characters!$2:$2,0)+1,FALSE),"")</f>
        <v>雷のメタルチック</v>
      </c>
      <c r="AA39" s="5">
        <f ca="1">IFERROR(VLOOKUP($Y39,OFFSET([3]characters!$A$1,0,0,COUNTA([3]characters!$A:$A),MATCH(AA$1,[3]characters!$2:$2,0)-MATCH("character_id",[3]characters!$2:$2,0)+1),MATCH(AA$1,[3]characters!$2:$2,0)-MATCH("character_id",[3]characters!$2:$2,0)+1,FALSE),"")</f>
        <v>4</v>
      </c>
      <c r="AB39" s="5" t="str">
        <f ca="1">IFERROR(VLOOKUP($Y39,OFFSET([3]characters!$A$1,0,0,COUNTA([3]characters!$A:$A),MATCH(AB$1,[3]characters!$2:$2,0)-MATCH("character_id",[3]characters!$2:$2,0)+1),MATCH(AB$1,[3]characters!$2:$2,0)-MATCH("character_id",[3]characters!$2:$2,0)+1,FALSE),"")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9" s="8">
        <v>1</v>
      </c>
      <c r="AD39" s="34">
        <f t="shared" ca="1" si="55"/>
        <v>4</v>
      </c>
      <c r="AE39" s="9">
        <v>5</v>
      </c>
      <c r="AF39" s="8">
        <v>0</v>
      </c>
      <c r="AG39" s="8">
        <v>0</v>
      </c>
      <c r="AH39" s="8">
        <v>0</v>
      </c>
      <c r="AI39" s="8">
        <v>0</v>
      </c>
      <c r="AJ39" s="8">
        <v>1</v>
      </c>
    </row>
    <row r="40" spans="1:36" ht="21" customHeight="1">
      <c r="A40" s="21" t="str">
        <f ca="1">B40&amp;"_"&amp;C40&amp;"-"&amp;G40&amp;"/"&amp;I40&amp;"&lt;lv"&amp;O40&amp;"&gt;s"&amp;X40</f>
        <v>11101_3-5/115&lt;lv30&gt;s2</v>
      </c>
      <c r="B40" s="8">
        <v>11101</v>
      </c>
      <c r="C40" s="49">
        <v>3</v>
      </c>
      <c r="D40" s="2" t="str">
        <f t="shared" si="53"/>
        <v>11101_3</v>
      </c>
      <c r="E40" s="5" t="str">
        <f ca="1">VLOOKUP($B40,OFFSET([1]quests!$A$1,0,0,COUNTA([1]quests!$A:$A),MATCH(E$1,[1]quests!$1:$1,0)-MATCH($B$1,[1]quests!$1:$1,0)+1),MATCH(E$1,[1]quests!$1:$1,0)-MATCH($B$1,[1]quests!$1:$1,0)+1,FALSE)</f>
        <v>【キャンペーン限定】 黄の素材</v>
      </c>
      <c r="F40" s="5" t="str">
        <f ca="1">VLOOKUP($D40,OFFSET([1]stages!$A$1,0,0,COUNTA([1]stages!$A:$A),MATCH(F$1,[1]stages!$2:$2,0)-MATCH($D$1,[1]stages!$2:$2,0)+1),MATCH(F$1,[1]stages!$2:$2,0)-MATCH($D$1,[1]stages!$2:$2,0)+1,FALSE)</f>
        <v>雷のイモムシ 【上級】</v>
      </c>
      <c r="G40" s="32">
        <v>5</v>
      </c>
      <c r="H40" s="20" t="str">
        <f t="shared" si="54"/>
        <v>11101_3-5</v>
      </c>
      <c r="I40" s="31">
        <v>115</v>
      </c>
      <c r="J40" s="26" t="str">
        <f ca="1">VLOOKUP($I40,OFFSET([2]enemies!$A$1,0,0,COUNTA([2]enemies!$A:$A),MATCH(J$1,[2]enemies!$2:$2,0)-MATCH($I$1,[2]enemies!$2:$2,0)+1),MATCH(J$1,[2]enemies!$2:$2,0)-MATCH($I$1,[2]enemies!$2:$2,0)+1,FALSE)</f>
        <v>イエローキャタップ</v>
      </c>
      <c r="K40" s="29" t="str">
        <f ca="1">VLOOKUP($I40,OFFSET([2]enemies!$A$1,0,0,COUNTA([2]enemies!$A:$A),MATCH(K$1,[2]enemies!$2:$2,0)-MATCH($I$1,[2]enemies!$2:$2,0)+1),MATCH(K$1,[2]enemies!$2:$2,0)-MATCH($I$1,[2]enemies!$2:$2,0)+1,FALSE)</f>
        <v>yellow</v>
      </c>
      <c r="L40" s="29" t="str">
        <f ca="1">VLOOKUP($I40,OFFSET([3]characters!$A$1,0,0,COUNTA([3]characters!$A:$A),MATCH(L$1,[3]characters!$2:$2,0)-MATCH($I$1,[3]characters!$2:$2,0)+1),MATCH(L$1,[3]characters!$2:$2,0)-MATCH($I$1,[3]characters!$2:$2,0)+1,FALSE)</f>
        <v>Material</v>
      </c>
      <c r="M40" s="28" t="str">
        <f ca="1">VLOOKUP($I40,OFFSET([3]characters!$A$1,0,0,COUNTA([3]characters!$A:$A),MATCH(M$1,[3]characters!$2:$2,0)-MATCH($I$1,[3]characters!$2:$2,0)+2),MATCH(M$1,[3]characters!$2:$2,0)-MATCH($I$1,[3]characters!$2:$2,0)+2,FALSE)</f>
        <v>Unknown</v>
      </c>
      <c r="N40" s="5">
        <f ca="1">VLOOKUP($I40,OFFSET([2]enemies!$A$1,0,0,COUNTA([2]enemies!$A:$A),MATCH(N$1,[2]enemies!$2:$2,0)-MATCH($I$1,[2]enemies!$2:$2,0)+1),MATCH(N$1,[2]enemies!$2:$2,0)-MATCH($I$1,[2]enemies!$2:$2,0)+1,FALSE)</f>
        <v>15</v>
      </c>
      <c r="O40" s="6">
        <v>30</v>
      </c>
      <c r="P40" s="46">
        <v>2</v>
      </c>
      <c r="Q40" s="46">
        <v>1</v>
      </c>
      <c r="R40" s="6">
        <v>0</v>
      </c>
      <c r="S40" s="5" t="str">
        <f ca="1">VLOOKUP($T40,OFFSET([4]enemy_skill_sets!$B$1,0,0,COUNTA([4]enemy_skill_sets!$B:$B),MATCH(J$1,[4]enemy_skill_sets!$1:$1,0)-MATCH($T$1,[4]enemy_skill_sets!$1:$1,0)+2),MATCH(J$1,[4]enemy_skill_sets!$1:$1,0)-MATCH($T$1,[4]enemy_skill_sets!$1:$1,0)+2,FALSE)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" s="5">
        <f ca="1">VLOOKUP($I40,OFFSET([2]enemies!$A$1,0,0,COUNTA([2]enemies!$A:$A),MATCH(T$1,[2]enemies!$2:$2,0)-MATCH($I$1,[2]enemies!$2:$2,0)+1),MATCH(T$1,[2]enemies!$2:$2,0)-MATCH($I$1,[2]enemies!$2:$2,0)+1,FALSE)</f>
        <v>0</v>
      </c>
      <c r="U40" s="7">
        <v>1</v>
      </c>
      <c r="V40" s="7">
        <v>100</v>
      </c>
      <c r="W40" s="7">
        <v>1</v>
      </c>
      <c r="X40" s="26">
        <f ca="1">VLOOKUP($I40,OFFSET([2]enemies!$A$1,0,0,COUNTA([2]enemies!$A:$A),MATCH(X$1,[2]enemies!$2:$2,0)-MATCH($I$1,[2]enemies!$2:$2,0)+1),MATCH(X$1,[2]enemies!$2:$2,0)-MATCH($I$1,[2]enemies!$2:$2,0)+1,FALSE)</f>
        <v>2</v>
      </c>
      <c r="Y40" s="31">
        <v>115</v>
      </c>
      <c r="Z40" s="5" t="str">
        <f ca="1">IFERROR(VLOOKUP($Y40,OFFSET([3]characters!$A$1,0,0,COUNTA([3]characters!$A:$A),MATCH(Z$1,[3]characters!$2:$2,0)-MATCH("character_id",[3]characters!$2:$2,0)+1),MATCH(Z$1,[3]characters!$2:$2,0)-MATCH("character_id",[3]characters!$2:$2,0)+1,FALSE),"")</f>
        <v>イエローキャタップ</v>
      </c>
      <c r="AA40" s="5">
        <f ca="1">IFERROR(VLOOKUP($Y40,OFFSET([3]characters!$A$1,0,0,COUNTA([3]characters!$A:$A),MATCH(AA$1,[3]characters!$2:$2,0)-MATCH("character_id",[3]characters!$2:$2,0)+1),MATCH(AA$1,[3]characters!$2:$2,0)-MATCH("character_id",[3]characters!$2:$2,0)+1,FALSE),"")</f>
        <v>4</v>
      </c>
      <c r="AB40" s="5" t="str">
        <f ca="1">IFERROR(VLOOKUP($Y40,OFFSET([3]characters!$A$1,0,0,COUNTA([3]characters!$A:$A),MATCH(AB$1,[3]characters!$2:$2,0)-MATCH("character_id",[3]characters!$2:$2,0)+1),MATCH(AB$1,[3]characters!$2:$2,0)-MATCH("character_id",[3]characters!$2:$2,0)+1,FALSE),"")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0" s="8">
        <v>1</v>
      </c>
      <c r="AD40" s="34">
        <f t="shared" ca="1" si="55"/>
        <v>4</v>
      </c>
      <c r="AE40" s="9">
        <v>100</v>
      </c>
      <c r="AF40" s="8">
        <v>0</v>
      </c>
      <c r="AG40" s="8">
        <v>0</v>
      </c>
      <c r="AH40" s="8">
        <v>0</v>
      </c>
      <c r="AI40" s="8">
        <v>0</v>
      </c>
      <c r="AJ40" s="8">
        <v>1</v>
      </c>
    </row>
    <row r="41" spans="1:36" ht="21" customHeight="1">
      <c r="A41" s="21" t="str">
        <f ca="1">B41&amp;"_"&amp;C41&amp;"-"&amp;G41&amp;"/"&amp;I41&amp;"&lt;lv"&amp;O41&amp;"&gt;s"&amp;X41</f>
        <v>11101_3-5/132&lt;lv30&gt;s3</v>
      </c>
      <c r="B41" s="8">
        <v>11101</v>
      </c>
      <c r="C41" s="49">
        <v>3</v>
      </c>
      <c r="D41" s="2" t="str">
        <f t="shared" ref="D41:D42" si="56">B41&amp;"_"&amp;C41</f>
        <v>11101_3</v>
      </c>
      <c r="E41" s="5" t="str">
        <f ca="1">VLOOKUP($B41,OFFSET([1]quests!$A$1,0,0,COUNTA([1]quests!$A:$A),MATCH(E$1,[1]quests!$1:$1,0)-MATCH($B$1,[1]quests!$1:$1,0)+1),MATCH(E$1,[1]quests!$1:$1,0)-MATCH($B$1,[1]quests!$1:$1,0)+1,FALSE)</f>
        <v>【キャンペーン限定】 黄の素材</v>
      </c>
      <c r="F41" s="5" t="str">
        <f ca="1">VLOOKUP($D41,OFFSET([1]stages!$A$1,0,0,COUNTA([1]stages!$A:$A),MATCH(F$1,[1]stages!$2:$2,0)-MATCH($D$1,[1]stages!$2:$2,0)+1),MATCH(F$1,[1]stages!$2:$2,0)-MATCH($D$1,[1]stages!$2:$2,0)+1,FALSE)</f>
        <v>雷のイモムシ 【上級】</v>
      </c>
      <c r="G41" s="32">
        <v>5</v>
      </c>
      <c r="H41" s="20" t="str">
        <f t="shared" ref="H41:H42" si="57">B41&amp;"_"&amp;C41&amp;"-"&amp;G41</f>
        <v>11101_3-5</v>
      </c>
      <c r="I41" s="31">
        <v>132</v>
      </c>
      <c r="J41" s="26" t="str">
        <f ca="1">VLOOKUP($I41,OFFSET([2]enemies!$A$1,0,0,COUNTA([2]enemies!$A:$A),MATCH(J$1,[2]enemies!$2:$2,0)-MATCH($I$1,[2]enemies!$2:$2,0)+1),MATCH(J$1,[2]enemies!$2:$2,0)-MATCH($I$1,[2]enemies!$2:$2,0)+1,FALSE)</f>
        <v>鳥人ハヤト</v>
      </c>
      <c r="K41" s="29" t="str">
        <f ca="1">VLOOKUP($I41,OFFSET([2]enemies!$A$1,0,0,COUNTA([2]enemies!$A:$A),MATCH(K$1,[2]enemies!$2:$2,0)-MATCH($I$1,[2]enemies!$2:$2,0)+1),MATCH(K$1,[2]enemies!$2:$2,0)-MATCH($I$1,[2]enemies!$2:$2,0)+1,FALSE)</f>
        <v>yellow</v>
      </c>
      <c r="L41" s="29" t="str">
        <f ca="1">VLOOKUP($I41,OFFSET([3]characters!$A$1,0,0,COUNTA([3]characters!$A:$A),MATCH(L$1,[3]characters!$2:$2,0)-MATCH($I$1,[3]characters!$2:$2,0)+1),MATCH(L$1,[3]characters!$2:$2,0)-MATCH($I$1,[3]characters!$2:$2,0)+1,FALSE)</f>
        <v>PremiumW</v>
      </c>
      <c r="M41" s="28" t="str">
        <f ca="1">VLOOKUP($I41,OFFSET([3]characters!$A$1,0,0,COUNTA([3]characters!$A:$A),MATCH(M$1,[3]characters!$2:$2,0)-MATCH($I$1,[3]characters!$2:$2,0)+2),MATCH(M$1,[3]characters!$2:$2,0)-MATCH($I$1,[3]characters!$2:$2,0)+2,FALSE)</f>
        <v>ヒューマン</v>
      </c>
      <c r="N41" s="5">
        <f ca="1">VLOOKUP($I41,OFFSET([2]enemies!$A$1,0,0,COUNTA([2]enemies!$A:$A),MATCH(N$1,[2]enemies!$2:$2,0)-MATCH($I$1,[2]enemies!$2:$2,0)+1),MATCH(N$1,[2]enemies!$2:$2,0)-MATCH($I$1,[2]enemies!$2:$2,0)+1,FALSE)</f>
        <v>20</v>
      </c>
      <c r="O41" s="6">
        <v>30</v>
      </c>
      <c r="P41" s="46">
        <v>1</v>
      </c>
      <c r="Q41" s="46">
        <v>1</v>
      </c>
      <c r="R41" s="6">
        <v>0</v>
      </c>
      <c r="S41" s="5" t="str">
        <f ca="1">VLOOKUP($T41,OFFSET([4]enemy_skill_sets!$B$1,0,0,COUNTA([4]enemy_skill_sets!$B:$B),MATCH(J$1,[4]enemy_skill_sets!$1:$1,0)-MATCH($T$1,[4]enemy_skill_sets!$1:$1,0)+2),MATCH(J$1,[4]enemy_skill_sets!$1:$1,0)-MATCH($T$1,[4]enemy_skill_sets!$1:$1,0)+2,FALSE)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1" s="5">
        <f ca="1">VLOOKUP($I41,OFFSET([2]enemies!$A$1,0,0,COUNTA([2]enemies!$A:$A),MATCH(T$1,[2]enemies!$2:$2,0)-MATCH($I$1,[2]enemies!$2:$2,0)+1),MATCH(T$1,[2]enemies!$2:$2,0)-MATCH($I$1,[2]enemies!$2:$2,0)+1,FALSE)</f>
        <v>0</v>
      </c>
      <c r="U41" s="7">
        <v>0</v>
      </c>
      <c r="V41" s="7">
        <v>100</v>
      </c>
      <c r="W41" s="7">
        <v>1</v>
      </c>
      <c r="X41" s="26">
        <f ca="1">VLOOKUP($I41,OFFSET([2]enemies!$A$1,0,0,COUNTA([2]enemies!$A:$A),MATCH(X$1,[2]enemies!$2:$2,0)-MATCH($I$1,[2]enemies!$2:$2,0)+1),MATCH(X$1,[2]enemies!$2:$2,0)-MATCH($I$1,[2]enemies!$2:$2,0)+1,FALSE)</f>
        <v>3</v>
      </c>
      <c r="Y41" s="31">
        <v>132</v>
      </c>
      <c r="Z41" s="5" t="str">
        <f ca="1">IFERROR(VLOOKUP($Y41,OFFSET([3]characters!$A$1,0,0,COUNTA([3]characters!$A:$A),MATCH(Z$1,[3]characters!$2:$2,0)-MATCH("character_id",[3]characters!$2:$2,0)+1),MATCH(Z$1,[3]characters!$2:$2,0)-MATCH("character_id",[3]characters!$2:$2,0)+1,FALSE),"")</f>
        <v>鳥人ハヤト</v>
      </c>
      <c r="AA41" s="5">
        <f ca="1">IFERROR(VLOOKUP($Y41,OFFSET([3]characters!$A$1,0,0,COUNTA([3]characters!$A:$A),MATCH(AA$1,[3]characters!$2:$2,0)-MATCH("character_id",[3]characters!$2:$2,0)+1),MATCH(AA$1,[3]characters!$2:$2,0)-MATCH("character_id",[3]characters!$2:$2,0)+1,FALSE),"")</f>
        <v>3</v>
      </c>
      <c r="AB41" s="5" t="str">
        <f ca="1">IFERROR(VLOOKUP($Y41,OFFSET([3]characters!$A$1,0,0,COUNTA([3]characters!$A:$A),MATCH(AB$1,[3]characters!$2:$2,0)-MATCH("character_id",[3]characters!$2:$2,0)+1),MATCH(AB$1,[3]characters!$2:$2,0)-MATCH("character_id",[3]characters!$2:$2,0)+1,FALSE),"")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41" s="8">
        <v>1</v>
      </c>
      <c r="AD41" s="34">
        <f t="shared" ref="AD41:AD42" ca="1" si="58">AA41</f>
        <v>3</v>
      </c>
      <c r="AE41" s="9">
        <v>0</v>
      </c>
      <c r="AF41" s="8">
        <v>0</v>
      </c>
      <c r="AG41" s="8">
        <v>0</v>
      </c>
      <c r="AH41" s="8">
        <v>0</v>
      </c>
      <c r="AI41" s="8">
        <v>0</v>
      </c>
      <c r="AJ41" s="8">
        <v>1</v>
      </c>
    </row>
    <row r="42" spans="1:36" ht="21" customHeight="1">
      <c r="A42" s="21" t="str">
        <f ca="1">B42&amp;"_"&amp;C42&amp;"-"&amp;G42&amp;"/"&amp;I42&amp;"&lt;lv"&amp;O42&amp;"&gt;s"&amp;X42</f>
        <v>11101_3-5/140&lt;lv30&gt;s2</v>
      </c>
      <c r="B42" s="8">
        <v>11101</v>
      </c>
      <c r="C42" s="49">
        <v>3</v>
      </c>
      <c r="D42" s="2" t="str">
        <f t="shared" si="56"/>
        <v>11101_3</v>
      </c>
      <c r="E42" s="5" t="str">
        <f ca="1">VLOOKUP($B42,OFFSET([1]quests!$A$1,0,0,COUNTA([1]quests!$A:$A),MATCH(E$1,[1]quests!$1:$1,0)-MATCH($B$1,[1]quests!$1:$1,0)+1),MATCH(E$1,[1]quests!$1:$1,0)-MATCH($B$1,[1]quests!$1:$1,0)+1,FALSE)</f>
        <v>【キャンペーン限定】 黄の素材</v>
      </c>
      <c r="F42" s="5" t="str">
        <f ca="1">VLOOKUP($D42,OFFSET([1]stages!$A$1,0,0,COUNTA([1]stages!$A:$A),MATCH(F$1,[1]stages!$2:$2,0)-MATCH($D$1,[1]stages!$2:$2,0)+1),MATCH(F$1,[1]stages!$2:$2,0)-MATCH($D$1,[1]stages!$2:$2,0)+1,FALSE)</f>
        <v>雷のイモムシ 【上級】</v>
      </c>
      <c r="G42" s="32">
        <v>5</v>
      </c>
      <c r="H42" s="20" t="str">
        <f t="shared" si="57"/>
        <v>11101_3-5</v>
      </c>
      <c r="I42" s="31">
        <v>140</v>
      </c>
      <c r="J42" s="26" t="str">
        <f ca="1">VLOOKUP($I42,OFFSET([2]enemies!$A$1,0,0,COUNTA([2]enemies!$A:$A),MATCH(J$1,[2]enemies!$2:$2,0)-MATCH($I$1,[2]enemies!$2:$2,0)+1),MATCH(J$1,[2]enemies!$2:$2,0)-MATCH($I$1,[2]enemies!$2:$2,0)+1,FALSE)</f>
        <v>秋祭のタマモ</v>
      </c>
      <c r="K42" s="29" t="str">
        <f ca="1">VLOOKUP($I42,OFFSET([2]enemies!$A$1,0,0,COUNTA([2]enemies!$A:$A),MATCH(K$1,[2]enemies!$2:$2,0)-MATCH($I$1,[2]enemies!$2:$2,0)+1),MATCH(K$1,[2]enemies!$2:$2,0)-MATCH($I$1,[2]enemies!$2:$2,0)+1,FALSE)</f>
        <v>yellow</v>
      </c>
      <c r="L42" s="29" t="str">
        <f ca="1">VLOOKUP($I42,OFFSET([3]characters!$A$1,0,0,COUNTA([3]characters!$A:$A),MATCH(L$1,[3]characters!$2:$2,0)-MATCH($I$1,[3]characters!$2:$2,0)+1),MATCH(L$1,[3]characters!$2:$2,0)-MATCH($I$1,[3]characters!$2:$2,0)+1,FALSE)</f>
        <v>PremiumW</v>
      </c>
      <c r="M42" s="28" t="str">
        <f ca="1">VLOOKUP($I42,OFFSET([3]characters!$A$1,0,0,COUNTA([3]characters!$A:$A),MATCH(M$1,[3]characters!$2:$2,0)-MATCH($I$1,[3]characters!$2:$2,0)+2),MATCH(M$1,[3]characters!$2:$2,0)-MATCH($I$1,[3]characters!$2:$2,0)+2,FALSE)</f>
        <v>アニマル</v>
      </c>
      <c r="N42" s="5">
        <f ca="1">VLOOKUP($I42,OFFSET([2]enemies!$A$1,0,0,COUNTA([2]enemies!$A:$A),MATCH(N$1,[2]enemies!$2:$2,0)-MATCH($I$1,[2]enemies!$2:$2,0)+1),MATCH(N$1,[2]enemies!$2:$2,0)-MATCH($I$1,[2]enemies!$2:$2,0)+1,FALSE)</f>
        <v>20</v>
      </c>
      <c r="O42" s="6">
        <v>30</v>
      </c>
      <c r="P42" s="46">
        <v>1</v>
      </c>
      <c r="Q42" s="46">
        <v>1</v>
      </c>
      <c r="R42" s="6">
        <v>0</v>
      </c>
      <c r="S42" s="5" t="str">
        <f ca="1">VLOOKUP($T42,OFFSET([4]enemy_skill_sets!$B$1,0,0,COUNTA([4]enemy_skill_sets!$B:$B),MATCH(J$1,[4]enemy_skill_sets!$1:$1,0)-MATCH($T$1,[4]enemy_skill_sets!$1:$1,0)+2),MATCH(J$1,[4]enemy_skill_sets!$1:$1,0)-MATCH($T$1,[4]enemy_skill_sets!$1:$1,0)+2,FALSE)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" s="5">
        <f ca="1">VLOOKUP($I42,OFFSET([2]enemies!$A$1,0,0,COUNTA([2]enemies!$A:$A),MATCH(T$1,[2]enemies!$2:$2,0)-MATCH($I$1,[2]enemies!$2:$2,0)+1),MATCH(T$1,[2]enemies!$2:$2,0)-MATCH($I$1,[2]enemies!$2:$2,0)+1,FALSE)</f>
        <v>0</v>
      </c>
      <c r="U42" s="7">
        <v>0</v>
      </c>
      <c r="V42" s="7">
        <v>100</v>
      </c>
      <c r="W42" s="7">
        <v>1</v>
      </c>
      <c r="X42" s="26">
        <f ca="1">VLOOKUP($I42,OFFSET([2]enemies!$A$1,0,0,COUNTA([2]enemies!$A:$A),MATCH(X$1,[2]enemies!$2:$2,0)-MATCH($I$1,[2]enemies!$2:$2,0)+1),MATCH(X$1,[2]enemies!$2:$2,0)-MATCH($I$1,[2]enemies!$2:$2,0)+1,FALSE)</f>
        <v>2</v>
      </c>
      <c r="Y42" s="31">
        <v>140</v>
      </c>
      <c r="Z42" s="5" t="str">
        <f ca="1">IFERROR(VLOOKUP($Y42,OFFSET([3]characters!$A$1,0,0,COUNTA([3]characters!$A:$A),MATCH(Z$1,[3]characters!$2:$2,0)-MATCH("character_id",[3]characters!$2:$2,0)+1),MATCH(Z$1,[3]characters!$2:$2,0)-MATCH("character_id",[3]characters!$2:$2,0)+1,FALSE),"")</f>
        <v>秋祭のタマモ</v>
      </c>
      <c r="AA42" s="5">
        <f ca="1">IFERROR(VLOOKUP($Y42,OFFSET([3]characters!$A$1,0,0,COUNTA([3]characters!$A:$A),MATCH(AA$1,[3]characters!$2:$2,0)-MATCH("character_id",[3]characters!$2:$2,0)+1),MATCH(AA$1,[3]characters!$2:$2,0)-MATCH("character_id",[3]characters!$2:$2,0)+1,FALSE),"")</f>
        <v>3</v>
      </c>
      <c r="AB42" s="5" t="str">
        <f ca="1">IFERROR(VLOOKUP($Y42,OFFSET([3]characters!$A$1,0,0,COUNTA([3]characters!$A:$A),MATCH(AB$1,[3]characters!$2:$2,0)-MATCH("character_id",[3]characters!$2:$2,0)+1),MATCH(AB$1,[3]characters!$2:$2,0)-MATCH("character_id",[3]characters!$2:$2,0)+1,FALSE),"")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42" s="8">
        <v>1</v>
      </c>
      <c r="AD42" s="34">
        <f t="shared" ca="1" si="58"/>
        <v>3</v>
      </c>
      <c r="AE42" s="9">
        <v>0</v>
      </c>
      <c r="AF42" s="8">
        <v>0</v>
      </c>
      <c r="AG42" s="8">
        <v>0</v>
      </c>
      <c r="AH42" s="8">
        <v>0</v>
      </c>
      <c r="AI42" s="8">
        <v>0</v>
      </c>
      <c r="AJ42" s="8">
        <v>1</v>
      </c>
    </row>
    <row r="43" spans="1:36" ht="21" customHeight="1">
      <c r="A43" s="21" t="str">
        <f ca="1">B43&amp;"_"&amp;C43&amp;"-"&amp;G43&amp;"/"&amp;I43&amp;"&lt;lv"&amp;O43&amp;"&gt;s"&amp;X43</f>
        <v>11101_3-5/148&lt;lv30&gt;s2</v>
      </c>
      <c r="B43" s="8">
        <v>11101</v>
      </c>
      <c r="C43" s="49">
        <v>3</v>
      </c>
      <c r="D43" s="2" t="str">
        <f t="shared" si="53"/>
        <v>11101_3</v>
      </c>
      <c r="E43" s="5" t="str">
        <f ca="1">VLOOKUP($B43,OFFSET([1]quests!$A$1,0,0,COUNTA([1]quests!$A:$A),MATCH(E$1,[1]quests!$1:$1,0)-MATCH($B$1,[1]quests!$1:$1,0)+1),MATCH(E$1,[1]quests!$1:$1,0)-MATCH($B$1,[1]quests!$1:$1,0)+1,FALSE)</f>
        <v>【キャンペーン限定】 黄の素材</v>
      </c>
      <c r="F43" s="5" t="str">
        <f ca="1">VLOOKUP($D43,OFFSET([1]stages!$A$1,0,0,COUNTA([1]stages!$A:$A),MATCH(F$1,[1]stages!$2:$2,0)-MATCH($D$1,[1]stages!$2:$2,0)+1),MATCH(F$1,[1]stages!$2:$2,0)-MATCH($D$1,[1]stages!$2:$2,0)+1,FALSE)</f>
        <v>雷のイモムシ 【上級】</v>
      </c>
      <c r="G43" s="32">
        <v>5</v>
      </c>
      <c r="H43" s="20" t="str">
        <f t="shared" si="54"/>
        <v>11101_3-5</v>
      </c>
      <c r="I43" s="31">
        <v>148</v>
      </c>
      <c r="J43" s="26" t="str">
        <f ca="1">VLOOKUP($I43,OFFSET([2]enemies!$A$1,0,0,COUNTA([2]enemies!$A:$A),MATCH(J$1,[2]enemies!$2:$2,0)-MATCH($I$1,[2]enemies!$2:$2,0)+1),MATCH(J$1,[2]enemies!$2:$2,0)-MATCH($I$1,[2]enemies!$2:$2,0)+1,FALSE)</f>
        <v>シンデレラ</v>
      </c>
      <c r="K43" s="29" t="str">
        <f ca="1">VLOOKUP($I43,OFFSET([2]enemies!$A$1,0,0,COUNTA([2]enemies!$A:$A),MATCH(K$1,[2]enemies!$2:$2,0)-MATCH($I$1,[2]enemies!$2:$2,0)+1),MATCH(K$1,[2]enemies!$2:$2,0)-MATCH($I$1,[2]enemies!$2:$2,0)+1,FALSE)</f>
        <v>yellow</v>
      </c>
      <c r="L43" s="29" t="str">
        <f ca="1">VLOOKUP($I43,OFFSET([3]characters!$A$1,0,0,COUNTA([3]characters!$A:$A),MATCH(L$1,[3]characters!$2:$2,0)-MATCH($I$1,[3]characters!$2:$2,0)+1),MATCH(L$1,[3]characters!$2:$2,0)-MATCH($I$1,[3]characters!$2:$2,0)+1,FALSE)</f>
        <v>PremiumW</v>
      </c>
      <c r="M43" s="28" t="str">
        <f ca="1">VLOOKUP($I43,OFFSET([3]characters!$A$1,0,0,COUNTA([3]characters!$A:$A),MATCH(M$1,[3]characters!$2:$2,0)-MATCH($I$1,[3]characters!$2:$2,0)+2),MATCH(M$1,[3]characters!$2:$2,0)-MATCH($I$1,[3]characters!$2:$2,0)+2,FALSE)</f>
        <v>ヒューマン</v>
      </c>
      <c r="N43" s="5">
        <f ca="1">VLOOKUP($I43,OFFSET([2]enemies!$A$1,0,0,COUNTA([2]enemies!$A:$A),MATCH(N$1,[2]enemies!$2:$2,0)-MATCH($I$1,[2]enemies!$2:$2,0)+1),MATCH(N$1,[2]enemies!$2:$2,0)-MATCH($I$1,[2]enemies!$2:$2,0)+1,FALSE)</f>
        <v>20</v>
      </c>
      <c r="O43" s="6">
        <v>30</v>
      </c>
      <c r="P43" s="46">
        <v>1</v>
      </c>
      <c r="Q43" s="46">
        <v>1</v>
      </c>
      <c r="R43" s="6">
        <v>0</v>
      </c>
      <c r="S43" s="5" t="str">
        <f ca="1">VLOOKUP($T43,OFFSET([4]enemy_skill_sets!$B$1,0,0,COUNTA([4]enemy_skill_sets!$B:$B),MATCH(J$1,[4]enemy_skill_sets!$1:$1,0)-MATCH($T$1,[4]enemy_skill_sets!$1:$1,0)+2),MATCH(J$1,[4]enemy_skill_sets!$1:$1,0)-MATCH($T$1,[4]enemy_skill_sets!$1:$1,0)+2,FALSE)</f>
        <v>舞踏会に想いを馳せている</v>
      </c>
      <c r="T43" s="5">
        <f ca="1">VLOOKUP($I43,OFFSET([2]enemies!$A$1,0,0,COUNTA([2]enemies!$A:$A),MATCH(T$1,[2]enemies!$2:$2,0)-MATCH($I$1,[2]enemies!$2:$2,0)+1),MATCH(T$1,[2]enemies!$2:$2,0)-MATCH($I$1,[2]enemies!$2:$2,0)+1,FALSE)</f>
        <v>148</v>
      </c>
      <c r="U43" s="7">
        <v>0</v>
      </c>
      <c r="V43" s="7">
        <v>100</v>
      </c>
      <c r="W43" s="7">
        <v>1</v>
      </c>
      <c r="X43" s="26">
        <f ca="1">VLOOKUP($I43,OFFSET([2]enemies!$A$1,0,0,COUNTA([2]enemies!$A:$A),MATCH(X$1,[2]enemies!$2:$2,0)-MATCH($I$1,[2]enemies!$2:$2,0)+1),MATCH(X$1,[2]enemies!$2:$2,0)-MATCH($I$1,[2]enemies!$2:$2,0)+1,FALSE)</f>
        <v>2</v>
      </c>
      <c r="Y43" s="31">
        <v>148</v>
      </c>
      <c r="Z43" s="5" t="str">
        <f ca="1">IFERROR(VLOOKUP($Y43,OFFSET([3]characters!$A$1,0,0,COUNTA([3]characters!$A:$A),MATCH(Z$1,[3]characters!$2:$2,0)-MATCH("character_id",[3]characters!$2:$2,0)+1),MATCH(Z$1,[3]characters!$2:$2,0)-MATCH("character_id",[3]characters!$2:$2,0)+1,FALSE),"")</f>
        <v>シンデレラ</v>
      </c>
      <c r="AA43" s="5">
        <f ca="1">IFERROR(VLOOKUP($Y43,OFFSET([3]characters!$A$1,0,0,COUNTA([3]characters!$A:$A),MATCH(AA$1,[3]characters!$2:$2,0)-MATCH("character_id",[3]characters!$2:$2,0)+1),MATCH(AA$1,[3]characters!$2:$2,0)-MATCH("character_id",[3]characters!$2:$2,0)+1,FALSE),"")</f>
        <v>3</v>
      </c>
      <c r="AB43" s="5" t="str">
        <f ca="1">IFERROR(VLOOKUP($Y43,OFFSET([3]characters!$A$1,0,0,COUNTA([3]characters!$A:$A),MATCH(AB$1,[3]characters!$2:$2,0)-MATCH("character_id",[3]characters!$2:$2,0)+1),MATCH(AB$1,[3]characters!$2:$2,0)-MATCH("character_id",[3]characters!$2:$2,0)+1,FALSE),"")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43" s="8">
        <v>1</v>
      </c>
      <c r="AD43" s="34">
        <f t="shared" ca="1" si="55"/>
        <v>3</v>
      </c>
      <c r="AE43" s="9">
        <v>0</v>
      </c>
      <c r="AF43" s="8">
        <v>0</v>
      </c>
      <c r="AG43" s="8">
        <v>0</v>
      </c>
      <c r="AH43" s="8">
        <v>0</v>
      </c>
      <c r="AI43" s="8">
        <v>0</v>
      </c>
      <c r="AJ43" s="8">
        <v>1</v>
      </c>
    </row>
    <row r="44" spans="1:36" ht="21" customHeight="1">
      <c r="A44" s="21" t="str">
        <f ca="1">B44&amp;"_"&amp;C44&amp;"-"&amp;G44&amp;"/"&amp;I44&amp;"&lt;lv"&amp;O44&amp;"&gt;s"&amp;X44</f>
        <v>11101_3-5/156&lt;lv30&gt;s2</v>
      </c>
      <c r="B44" s="8">
        <v>11101</v>
      </c>
      <c r="C44" s="49">
        <v>3</v>
      </c>
      <c r="D44" s="2" t="str">
        <f t="shared" ref="D44:D86" si="59">B44&amp;"_"&amp;C44</f>
        <v>11101_3</v>
      </c>
      <c r="E44" s="5" t="str">
        <f ca="1">VLOOKUP($B44,OFFSET([1]quests!$A$1,0,0,COUNTA([1]quests!$A:$A),MATCH(E$1,[1]quests!$1:$1,0)-MATCH($B$1,[1]quests!$1:$1,0)+1),MATCH(E$1,[1]quests!$1:$1,0)-MATCH($B$1,[1]quests!$1:$1,0)+1,FALSE)</f>
        <v>【キャンペーン限定】 黄の素材</v>
      </c>
      <c r="F44" s="5" t="str">
        <f ca="1">VLOOKUP($D44,OFFSET([1]stages!$A$1,0,0,COUNTA([1]stages!$A:$A),MATCH(F$1,[1]stages!$2:$2,0)-MATCH($D$1,[1]stages!$2:$2,0)+1),MATCH(F$1,[1]stages!$2:$2,0)-MATCH($D$1,[1]stages!$2:$2,0)+1,FALSE)</f>
        <v>雷のイモムシ 【上級】</v>
      </c>
      <c r="G44" s="32">
        <v>5</v>
      </c>
      <c r="H44" s="20" t="str">
        <f t="shared" ref="H44:H86" si="60">B44&amp;"_"&amp;C44&amp;"-"&amp;G44</f>
        <v>11101_3-5</v>
      </c>
      <c r="I44" s="31">
        <v>156</v>
      </c>
      <c r="J44" s="26" t="str">
        <f ca="1">VLOOKUP($I44,OFFSET([2]enemies!$A$1,0,0,COUNTA([2]enemies!$A:$A),MATCH(J$1,[2]enemies!$2:$2,0)-MATCH($I$1,[2]enemies!$2:$2,0)+1),MATCH(J$1,[2]enemies!$2:$2,0)-MATCH($I$1,[2]enemies!$2:$2,0)+1,FALSE)</f>
        <v>踊り子 エレナ</v>
      </c>
      <c r="K44" s="29" t="str">
        <f ca="1">VLOOKUP($I44,OFFSET([2]enemies!$A$1,0,0,COUNTA([2]enemies!$A:$A),MATCH(K$1,[2]enemies!$2:$2,0)-MATCH($I$1,[2]enemies!$2:$2,0)+1),MATCH(K$1,[2]enemies!$2:$2,0)-MATCH($I$1,[2]enemies!$2:$2,0)+1,FALSE)</f>
        <v>yellow</v>
      </c>
      <c r="L44" s="29" t="str">
        <f ca="1">VLOOKUP($I44,OFFSET([3]characters!$A$1,0,0,COUNTA([3]characters!$A:$A),MATCH(L$1,[3]characters!$2:$2,0)-MATCH($I$1,[3]characters!$2:$2,0)+1),MATCH(L$1,[3]characters!$2:$2,0)-MATCH($I$1,[3]characters!$2:$2,0)+1,FALSE)</f>
        <v>PremiumW</v>
      </c>
      <c r="M44" s="28" t="str">
        <f ca="1">VLOOKUP($I44,OFFSET([3]characters!$A$1,0,0,COUNTA([3]characters!$A:$A),MATCH(M$1,[3]characters!$2:$2,0)-MATCH($I$1,[3]characters!$2:$2,0)+2),MATCH(M$1,[3]characters!$2:$2,0)-MATCH($I$1,[3]characters!$2:$2,0)+2,FALSE)</f>
        <v>ヒューマン</v>
      </c>
      <c r="N44" s="5">
        <f ca="1">VLOOKUP($I44,OFFSET([2]enemies!$A$1,0,0,COUNTA([2]enemies!$A:$A),MATCH(N$1,[2]enemies!$2:$2,0)-MATCH($I$1,[2]enemies!$2:$2,0)+1),MATCH(N$1,[2]enemies!$2:$2,0)-MATCH($I$1,[2]enemies!$2:$2,0)+1,FALSE)</f>
        <v>20</v>
      </c>
      <c r="O44" s="6">
        <v>30</v>
      </c>
      <c r="P44" s="46">
        <v>1</v>
      </c>
      <c r="Q44" s="46">
        <v>1</v>
      </c>
      <c r="R44" s="6">
        <v>0</v>
      </c>
      <c r="S44" s="5" t="str">
        <f ca="1">VLOOKUP($T44,OFFSET([4]enemy_skill_sets!$B$1,0,0,COUNTA([4]enemy_skill_sets!$B:$B),MATCH(J$1,[4]enemy_skill_sets!$1:$1,0)-MATCH($T$1,[4]enemy_skill_sets!$1:$1,0)+2),MATCH(J$1,[4]enemy_skill_sets!$1:$1,0)-MATCH($T$1,[4]enemy_skill_sets!$1:$1,0)+2,FALSE)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44" s="5">
        <f ca="1">VLOOKUP($I44,OFFSET([2]enemies!$A$1,0,0,COUNTA([2]enemies!$A:$A),MATCH(T$1,[2]enemies!$2:$2,0)-MATCH($I$1,[2]enemies!$2:$2,0)+1),MATCH(T$1,[2]enemies!$2:$2,0)-MATCH($I$1,[2]enemies!$2:$2,0)+1,FALSE)</f>
        <v>156</v>
      </c>
      <c r="U44" s="7">
        <v>0</v>
      </c>
      <c r="V44" s="7">
        <v>100</v>
      </c>
      <c r="W44" s="7">
        <v>1</v>
      </c>
      <c r="X44" s="26">
        <f ca="1">VLOOKUP($I44,OFFSET([2]enemies!$A$1,0,0,COUNTA([2]enemies!$A:$A),MATCH(X$1,[2]enemies!$2:$2,0)-MATCH($I$1,[2]enemies!$2:$2,0)+1),MATCH(X$1,[2]enemies!$2:$2,0)-MATCH($I$1,[2]enemies!$2:$2,0)+1,FALSE)</f>
        <v>2</v>
      </c>
      <c r="Y44" s="31">
        <v>156</v>
      </c>
      <c r="Z44" s="5" t="str">
        <f ca="1">IFERROR(VLOOKUP($Y44,OFFSET([3]characters!$A$1,0,0,COUNTA([3]characters!$A:$A),MATCH(Z$1,[3]characters!$2:$2,0)-MATCH("character_id",[3]characters!$2:$2,0)+1),MATCH(Z$1,[3]characters!$2:$2,0)-MATCH("character_id",[3]characters!$2:$2,0)+1,FALSE),"")</f>
        <v>踊り子 エレナ</v>
      </c>
      <c r="AA44" s="5">
        <f ca="1">IFERROR(VLOOKUP($Y44,OFFSET([3]characters!$A$1,0,0,COUNTA([3]characters!$A:$A),MATCH(AA$1,[3]characters!$2:$2,0)-MATCH("character_id",[3]characters!$2:$2,0)+1),MATCH(AA$1,[3]characters!$2:$2,0)-MATCH("character_id",[3]characters!$2:$2,0)+1,FALSE),"")</f>
        <v>3</v>
      </c>
      <c r="AB44" s="5" t="str">
        <f ca="1">IFERROR(VLOOKUP($Y44,OFFSET([3]characters!$A$1,0,0,COUNTA([3]characters!$A:$A),MATCH(AB$1,[3]characters!$2:$2,0)-MATCH("character_id",[3]characters!$2:$2,0)+1),MATCH(AB$1,[3]characters!$2:$2,0)-MATCH("character_id",[3]characters!$2:$2,0)+1,FALSE),"")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44" s="8">
        <v>1</v>
      </c>
      <c r="AD44" s="34">
        <f t="shared" ref="AD44:AD86" ca="1" si="61">AA44</f>
        <v>3</v>
      </c>
      <c r="AE44" s="9">
        <v>0</v>
      </c>
      <c r="AF44" s="8">
        <v>0</v>
      </c>
      <c r="AG44" s="8">
        <v>0</v>
      </c>
      <c r="AH44" s="8">
        <v>0</v>
      </c>
      <c r="AI44" s="8">
        <v>0</v>
      </c>
      <c r="AJ44" s="8">
        <v>1</v>
      </c>
    </row>
    <row r="45" spans="1:36" ht="21" customHeight="1">
      <c r="A45" s="21" t="str">
        <f t="shared" ref="A45:A83" ca="1" si="62">B45&amp;"_"&amp;C45&amp;"-"&amp;G45&amp;"/"&amp;I45&amp;"&lt;lv"&amp;O45&amp;"&gt;s"&amp;X45</f>
        <v>11102_1-1/101&lt;lv3&gt;s1</v>
      </c>
      <c r="B45" s="8">
        <v>11102</v>
      </c>
      <c r="C45" s="50">
        <v>1</v>
      </c>
      <c r="D45" s="2" t="str">
        <f t="shared" si="59"/>
        <v>11102_1</v>
      </c>
      <c r="E45" s="5" t="str">
        <f ca="1">VLOOKUP($B45,OFFSET([1]quests!$A$1,0,0,COUNTA([1]quests!$A:$A),MATCH(E$1,[1]quests!$1:$1,0)-MATCH($B$1,[1]quests!$1:$1,0)+1),MATCH(E$1,[1]quests!$1:$1,0)-MATCH($B$1,[1]quests!$1:$1,0)+1,FALSE)</f>
        <v>【キャンペーン限定】 赤の素材</v>
      </c>
      <c r="F45" s="5" t="str">
        <f ca="1">VLOOKUP($D45,OFFSET([1]stages!$A$1,0,0,COUNTA([1]stages!$A:$A),MATCH(F$1,[1]stages!$2:$2,0)-MATCH($D$1,[1]stages!$2:$2,0)+1),MATCH(F$1,[1]stages!$2:$2,0)-MATCH($D$1,[1]stages!$2:$2,0)+1,FALSE)</f>
        <v>火のチェシャ猫 【初級】</v>
      </c>
      <c r="G45" s="32">
        <v>1</v>
      </c>
      <c r="H45" s="20" t="str">
        <f t="shared" si="60"/>
        <v>11102_1-1</v>
      </c>
      <c r="I45" s="31">
        <v>101</v>
      </c>
      <c r="J45" s="26" t="str">
        <f ca="1">VLOOKUP($I45,OFFSET([2]enemies!$A$1,0,0,COUNTA([2]enemies!$A:$A),MATCH(J$1,[2]enemies!$2:$2,0)-MATCH($I$1,[2]enemies!$2:$2,0)+1),MATCH(J$1,[2]enemies!$2:$2,0)-MATCH($I$1,[2]enemies!$2:$2,0)+1,FALSE)</f>
        <v>レッドチェシャ</v>
      </c>
      <c r="K45" s="29" t="str">
        <f ca="1">VLOOKUP($I45,OFFSET([2]enemies!$A$1,0,0,COUNTA([2]enemies!$A:$A),MATCH(K$1,[2]enemies!$2:$2,0)-MATCH($I$1,[2]enemies!$2:$2,0)+1),MATCH(K$1,[2]enemies!$2:$2,0)-MATCH($I$1,[2]enemies!$2:$2,0)+1,FALSE)</f>
        <v>red</v>
      </c>
      <c r="L45" s="29" t="str">
        <f ca="1">VLOOKUP($I45,OFFSET([3]characters!$A$1,0,0,COUNTA([3]characters!$A:$A),MATCH(L$1,[3]characters!$2:$2,0)-MATCH($I$1,[3]characters!$2:$2,0)+1),MATCH(L$1,[3]characters!$2:$2,0)-MATCH($I$1,[3]characters!$2:$2,0)+1,FALSE)</f>
        <v>Material</v>
      </c>
      <c r="M45" s="28" t="str">
        <f ca="1">VLOOKUP($I45,OFFSET([3]characters!$A$1,0,0,COUNTA([3]characters!$A:$A),MATCH(M$1,[3]characters!$2:$2,0)-MATCH($I$1,[3]characters!$2:$2,0)+2),MATCH(M$1,[3]characters!$2:$2,0)-MATCH($I$1,[3]characters!$2:$2,0)+2,FALSE)</f>
        <v>Unknown</v>
      </c>
      <c r="N45" s="5">
        <f ca="1">VLOOKUP($I45,OFFSET([2]enemies!$A$1,0,0,COUNTA([2]enemies!$A:$A),MATCH(N$1,[2]enemies!$2:$2,0)-MATCH($I$1,[2]enemies!$2:$2,0)+1),MATCH(N$1,[2]enemies!$2:$2,0)-MATCH($I$1,[2]enemies!$2:$2,0)+1,FALSE)</f>
        <v>15</v>
      </c>
      <c r="O45" s="6">
        <v>3</v>
      </c>
      <c r="P45" s="46">
        <v>1</v>
      </c>
      <c r="Q45" s="46">
        <v>1</v>
      </c>
      <c r="R45" s="6">
        <v>0</v>
      </c>
      <c r="S45" s="5" t="str">
        <f ca="1">VLOOKUP($T45,OFFSET([4]enemy_skill_sets!$B$1,0,0,COUNTA([4]enemy_skill_sets!$B:$B),MATCH(J$1,[4]enemy_skill_sets!$1:$1,0)-MATCH($T$1,[4]enemy_skill_sets!$1:$1,0)+2),MATCH(J$1,[4]enemy_skill_sets!$1:$1,0)-MATCH($T$1,[4]enemy_skill_sets!$1:$1,0)+2,FALSE)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" s="5">
        <f ca="1">VLOOKUP($I45,OFFSET([2]enemies!$A$1,0,0,COUNTA([2]enemies!$A:$A),MATCH(T$1,[2]enemies!$2:$2,0)-MATCH($I$1,[2]enemies!$2:$2,0)+1),MATCH(T$1,[2]enemies!$2:$2,0)-MATCH($I$1,[2]enemies!$2:$2,0)+1,FALSE)</f>
        <v>0</v>
      </c>
      <c r="U45" s="7">
        <v>0</v>
      </c>
      <c r="V45" s="7">
        <v>100</v>
      </c>
      <c r="W45" s="7">
        <v>0</v>
      </c>
      <c r="X45" s="26">
        <f ca="1">VLOOKUP($I45,OFFSET([2]enemies!$A$1,0,0,COUNTA([2]enemies!$A:$A),MATCH(X$1,[2]enemies!$2:$2,0)-MATCH($I$1,[2]enemies!$2:$2,0)+1),MATCH(X$1,[2]enemies!$2:$2,0)-MATCH($I$1,[2]enemies!$2:$2,0)+1,FALSE)</f>
        <v>1</v>
      </c>
      <c r="Y45" s="31">
        <v>101</v>
      </c>
      <c r="Z45" s="5" t="str">
        <f ca="1">IFERROR(VLOOKUP($Y45,OFFSET([3]characters!$A$1,0,0,COUNTA([3]characters!$A:$A),MATCH(Z$1,[3]characters!$2:$2,0)-MATCH("character_id",[3]characters!$2:$2,0)+1),MATCH(Z$1,[3]characters!$2:$2,0)-MATCH("character_id",[3]characters!$2:$2,0)+1,FALSE),"")</f>
        <v>レッドチェシャ</v>
      </c>
      <c r="AA45" s="5">
        <f ca="1">IFERROR(VLOOKUP($Y45,OFFSET([3]characters!$A$1,0,0,COUNTA([3]characters!$A:$A),MATCH(AA$1,[3]characters!$2:$2,0)-MATCH("character_id",[3]characters!$2:$2,0)+1),MATCH(AA$1,[3]characters!$2:$2,0)-MATCH("character_id",[3]characters!$2:$2,0)+1,FALSE),"")</f>
        <v>2</v>
      </c>
      <c r="AB45" s="5" t="str">
        <f ca="1">IFERROR(VLOOKUP($Y45,OFFSET([3]characters!$A$1,0,0,COUNTA([3]characters!$A:$A),MATCH(AB$1,[3]characters!$2:$2,0)-MATCH("character_id",[3]characters!$2:$2,0)+1),MATCH(AB$1,[3]characters!$2:$2,0)-MATCH("character_id",[3]characters!$2:$2,0)+1,FALSE),"")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5" s="8">
        <v>1</v>
      </c>
      <c r="AD45" s="34">
        <f t="shared" ca="1" si="61"/>
        <v>2</v>
      </c>
      <c r="AE45" s="9">
        <v>50</v>
      </c>
      <c r="AF45" s="8">
        <v>0</v>
      </c>
      <c r="AG45" s="8">
        <v>0</v>
      </c>
      <c r="AH45" s="8">
        <v>0</v>
      </c>
      <c r="AI45" s="8">
        <v>0</v>
      </c>
      <c r="AJ45" s="8">
        <v>1</v>
      </c>
    </row>
    <row r="46" spans="1:36" ht="21" customHeight="1">
      <c r="A46" s="21" t="str">
        <f t="shared" ca="1" si="62"/>
        <v>11102_1-2/101&lt;lv3&gt;s1</v>
      </c>
      <c r="B46" s="8">
        <v>11102</v>
      </c>
      <c r="C46" s="50">
        <v>1</v>
      </c>
      <c r="D46" s="2" t="str">
        <f t="shared" si="59"/>
        <v>11102_1</v>
      </c>
      <c r="E46" s="5" t="str">
        <f ca="1">VLOOKUP($B46,OFFSET([1]quests!$A$1,0,0,COUNTA([1]quests!$A:$A),MATCH(E$1,[1]quests!$1:$1,0)-MATCH($B$1,[1]quests!$1:$1,0)+1),MATCH(E$1,[1]quests!$1:$1,0)-MATCH($B$1,[1]quests!$1:$1,0)+1,FALSE)</f>
        <v>【キャンペーン限定】 赤の素材</v>
      </c>
      <c r="F46" s="5" t="str">
        <f ca="1">VLOOKUP($D46,OFFSET([1]stages!$A$1,0,0,COUNTA([1]stages!$A:$A),MATCH(F$1,[1]stages!$2:$2,0)-MATCH($D$1,[1]stages!$2:$2,0)+1),MATCH(F$1,[1]stages!$2:$2,0)-MATCH($D$1,[1]stages!$2:$2,0)+1,FALSE)</f>
        <v>火のチェシャ猫 【初級】</v>
      </c>
      <c r="G46" s="32">
        <v>2</v>
      </c>
      <c r="H46" s="20" t="str">
        <f t="shared" si="60"/>
        <v>11102_1-2</v>
      </c>
      <c r="I46" s="31">
        <v>101</v>
      </c>
      <c r="J46" s="26" t="str">
        <f ca="1">VLOOKUP($I46,OFFSET([2]enemies!$A$1,0,0,COUNTA([2]enemies!$A:$A),MATCH(J$1,[2]enemies!$2:$2,0)-MATCH($I$1,[2]enemies!$2:$2,0)+1),MATCH(J$1,[2]enemies!$2:$2,0)-MATCH($I$1,[2]enemies!$2:$2,0)+1,FALSE)</f>
        <v>レッドチェシャ</v>
      </c>
      <c r="K46" s="29" t="str">
        <f ca="1">VLOOKUP($I46,OFFSET([2]enemies!$A$1,0,0,COUNTA([2]enemies!$A:$A),MATCH(K$1,[2]enemies!$2:$2,0)-MATCH($I$1,[2]enemies!$2:$2,0)+1),MATCH(K$1,[2]enemies!$2:$2,0)-MATCH($I$1,[2]enemies!$2:$2,0)+1,FALSE)</f>
        <v>red</v>
      </c>
      <c r="L46" s="29" t="str">
        <f ca="1">VLOOKUP($I46,OFFSET([3]characters!$A$1,0,0,COUNTA([3]characters!$A:$A),MATCH(L$1,[3]characters!$2:$2,0)-MATCH($I$1,[3]characters!$2:$2,0)+1),MATCH(L$1,[3]characters!$2:$2,0)-MATCH($I$1,[3]characters!$2:$2,0)+1,FALSE)</f>
        <v>Material</v>
      </c>
      <c r="M46" s="28" t="str">
        <f ca="1">VLOOKUP($I46,OFFSET([3]characters!$A$1,0,0,COUNTA([3]characters!$A:$A),MATCH(M$1,[3]characters!$2:$2,0)-MATCH($I$1,[3]characters!$2:$2,0)+2),MATCH(M$1,[3]characters!$2:$2,0)-MATCH($I$1,[3]characters!$2:$2,0)+2,FALSE)</f>
        <v>Unknown</v>
      </c>
      <c r="N46" s="5">
        <f ca="1">VLOOKUP($I46,OFFSET([2]enemies!$A$1,0,0,COUNTA([2]enemies!$A:$A),MATCH(N$1,[2]enemies!$2:$2,0)-MATCH($I$1,[2]enemies!$2:$2,0)+1),MATCH(N$1,[2]enemies!$2:$2,0)-MATCH($I$1,[2]enemies!$2:$2,0)+1,FALSE)</f>
        <v>15</v>
      </c>
      <c r="O46" s="6">
        <v>3</v>
      </c>
      <c r="P46" s="46">
        <v>1</v>
      </c>
      <c r="Q46" s="46">
        <v>1</v>
      </c>
      <c r="R46" s="6">
        <v>0</v>
      </c>
      <c r="S46" s="5" t="str">
        <f ca="1">VLOOKUP($T46,OFFSET([4]enemy_skill_sets!$B$1,0,0,COUNTA([4]enemy_skill_sets!$B:$B),MATCH(J$1,[4]enemy_skill_sets!$1:$1,0)-MATCH($T$1,[4]enemy_skill_sets!$1:$1,0)+2),MATCH(J$1,[4]enemy_skill_sets!$1:$1,0)-MATCH($T$1,[4]enemy_skill_sets!$1:$1,0)+2,FALSE)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6" s="5">
        <f ca="1">VLOOKUP($I46,OFFSET([2]enemies!$A$1,0,0,COUNTA([2]enemies!$A:$A),MATCH(T$1,[2]enemies!$2:$2,0)-MATCH($I$1,[2]enemies!$2:$2,0)+1),MATCH(T$1,[2]enemies!$2:$2,0)-MATCH($I$1,[2]enemies!$2:$2,0)+1,FALSE)</f>
        <v>0</v>
      </c>
      <c r="U46" s="7">
        <v>0</v>
      </c>
      <c r="V46" s="7">
        <v>100</v>
      </c>
      <c r="W46" s="7">
        <v>0</v>
      </c>
      <c r="X46" s="26">
        <f ca="1">VLOOKUP($I46,OFFSET([2]enemies!$A$1,0,0,COUNTA([2]enemies!$A:$A),MATCH(X$1,[2]enemies!$2:$2,0)-MATCH($I$1,[2]enemies!$2:$2,0)+1),MATCH(X$1,[2]enemies!$2:$2,0)-MATCH($I$1,[2]enemies!$2:$2,0)+1,FALSE)</f>
        <v>1</v>
      </c>
      <c r="Y46" s="31">
        <v>101</v>
      </c>
      <c r="Z46" s="5" t="str">
        <f ca="1">IFERROR(VLOOKUP($Y46,OFFSET([3]characters!$A$1,0,0,COUNTA([3]characters!$A:$A),MATCH(Z$1,[3]characters!$2:$2,0)-MATCH("character_id",[3]characters!$2:$2,0)+1),MATCH(Z$1,[3]characters!$2:$2,0)-MATCH("character_id",[3]characters!$2:$2,0)+1,FALSE),"")</f>
        <v>レッドチェシャ</v>
      </c>
      <c r="AA46" s="5">
        <f ca="1">IFERROR(VLOOKUP($Y46,OFFSET([3]characters!$A$1,0,0,COUNTA([3]characters!$A:$A),MATCH(AA$1,[3]characters!$2:$2,0)-MATCH("character_id",[3]characters!$2:$2,0)+1),MATCH(AA$1,[3]characters!$2:$2,0)-MATCH("character_id",[3]characters!$2:$2,0)+1,FALSE),"")</f>
        <v>2</v>
      </c>
      <c r="AB46" s="5" t="str">
        <f ca="1">IFERROR(VLOOKUP($Y46,OFFSET([3]characters!$A$1,0,0,COUNTA([3]characters!$A:$A),MATCH(AB$1,[3]characters!$2:$2,0)-MATCH("character_id",[3]characters!$2:$2,0)+1),MATCH(AB$1,[3]characters!$2:$2,0)-MATCH("character_id",[3]characters!$2:$2,0)+1,FALSE),"")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6" s="8">
        <v>1</v>
      </c>
      <c r="AD46" s="34">
        <f t="shared" ca="1" si="61"/>
        <v>2</v>
      </c>
      <c r="AE46" s="9">
        <v>50</v>
      </c>
      <c r="AF46" s="8">
        <v>0</v>
      </c>
      <c r="AG46" s="8">
        <v>0</v>
      </c>
      <c r="AH46" s="8">
        <v>0</v>
      </c>
      <c r="AI46" s="8">
        <v>0</v>
      </c>
      <c r="AJ46" s="8">
        <v>1</v>
      </c>
    </row>
    <row r="47" spans="1:36" ht="21" customHeight="1">
      <c r="A47" s="21" t="str">
        <f t="shared" ca="1" si="62"/>
        <v>11102_1-3/101&lt;lv3&gt;s1</v>
      </c>
      <c r="B47" s="8">
        <v>11102</v>
      </c>
      <c r="C47" s="50">
        <v>1</v>
      </c>
      <c r="D47" s="2" t="str">
        <f t="shared" si="59"/>
        <v>11102_1</v>
      </c>
      <c r="E47" s="5" t="str">
        <f ca="1">VLOOKUP($B47,OFFSET([1]quests!$A$1,0,0,COUNTA([1]quests!$A:$A),MATCH(E$1,[1]quests!$1:$1,0)-MATCH($B$1,[1]quests!$1:$1,0)+1),MATCH(E$1,[1]quests!$1:$1,0)-MATCH($B$1,[1]quests!$1:$1,0)+1,FALSE)</f>
        <v>【キャンペーン限定】 赤の素材</v>
      </c>
      <c r="F47" s="5" t="str">
        <f ca="1">VLOOKUP($D47,OFFSET([1]stages!$A$1,0,0,COUNTA([1]stages!$A:$A),MATCH(F$1,[1]stages!$2:$2,0)-MATCH($D$1,[1]stages!$2:$2,0)+1),MATCH(F$1,[1]stages!$2:$2,0)-MATCH($D$1,[1]stages!$2:$2,0)+1,FALSE)</f>
        <v>火のチェシャ猫 【初級】</v>
      </c>
      <c r="G47" s="32">
        <v>3</v>
      </c>
      <c r="H47" s="20" t="str">
        <f t="shared" si="60"/>
        <v>11102_1-3</v>
      </c>
      <c r="I47" s="31">
        <v>101</v>
      </c>
      <c r="J47" s="26" t="str">
        <f ca="1">VLOOKUP($I47,OFFSET([2]enemies!$A$1,0,0,COUNTA([2]enemies!$A:$A),MATCH(J$1,[2]enemies!$2:$2,0)-MATCH($I$1,[2]enemies!$2:$2,0)+1),MATCH(J$1,[2]enemies!$2:$2,0)-MATCH($I$1,[2]enemies!$2:$2,0)+1,FALSE)</f>
        <v>レッドチェシャ</v>
      </c>
      <c r="K47" s="29" t="str">
        <f ca="1">VLOOKUP($I47,OFFSET([2]enemies!$A$1,0,0,COUNTA([2]enemies!$A:$A),MATCH(K$1,[2]enemies!$2:$2,0)-MATCH($I$1,[2]enemies!$2:$2,0)+1),MATCH(K$1,[2]enemies!$2:$2,0)-MATCH($I$1,[2]enemies!$2:$2,0)+1,FALSE)</f>
        <v>red</v>
      </c>
      <c r="L47" s="29" t="str">
        <f ca="1">VLOOKUP($I47,OFFSET([3]characters!$A$1,0,0,COUNTA([3]characters!$A:$A),MATCH(L$1,[3]characters!$2:$2,0)-MATCH($I$1,[3]characters!$2:$2,0)+1),MATCH(L$1,[3]characters!$2:$2,0)-MATCH($I$1,[3]characters!$2:$2,0)+1,FALSE)</f>
        <v>Material</v>
      </c>
      <c r="M47" s="28" t="str">
        <f ca="1">VLOOKUP($I47,OFFSET([3]characters!$A$1,0,0,COUNTA([3]characters!$A:$A),MATCH(M$1,[3]characters!$2:$2,0)-MATCH($I$1,[3]characters!$2:$2,0)+2),MATCH(M$1,[3]characters!$2:$2,0)-MATCH($I$1,[3]characters!$2:$2,0)+2,FALSE)</f>
        <v>Unknown</v>
      </c>
      <c r="N47" s="5">
        <f ca="1">VLOOKUP($I47,OFFSET([2]enemies!$A$1,0,0,COUNTA([2]enemies!$A:$A),MATCH(N$1,[2]enemies!$2:$2,0)-MATCH($I$1,[2]enemies!$2:$2,0)+1),MATCH(N$1,[2]enemies!$2:$2,0)-MATCH($I$1,[2]enemies!$2:$2,0)+1,FALSE)</f>
        <v>15</v>
      </c>
      <c r="O47" s="6">
        <v>3</v>
      </c>
      <c r="P47" s="46">
        <v>1</v>
      </c>
      <c r="Q47" s="46">
        <v>1</v>
      </c>
      <c r="R47" s="6">
        <v>0</v>
      </c>
      <c r="S47" s="5" t="str">
        <f ca="1">VLOOKUP($T47,OFFSET([4]enemy_skill_sets!$B$1,0,0,COUNTA([4]enemy_skill_sets!$B:$B),MATCH(J$1,[4]enemy_skill_sets!$1:$1,0)-MATCH($T$1,[4]enemy_skill_sets!$1:$1,0)+2),MATCH(J$1,[4]enemy_skill_sets!$1:$1,0)-MATCH($T$1,[4]enemy_skill_sets!$1:$1,0)+2,FALSE)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" s="5">
        <f ca="1">VLOOKUP($I47,OFFSET([2]enemies!$A$1,0,0,COUNTA([2]enemies!$A:$A),MATCH(T$1,[2]enemies!$2:$2,0)-MATCH($I$1,[2]enemies!$2:$2,0)+1),MATCH(T$1,[2]enemies!$2:$2,0)-MATCH($I$1,[2]enemies!$2:$2,0)+1,FALSE)</f>
        <v>0</v>
      </c>
      <c r="U47" s="7">
        <v>0</v>
      </c>
      <c r="V47" s="7">
        <v>100</v>
      </c>
      <c r="W47" s="7">
        <v>0</v>
      </c>
      <c r="X47" s="26">
        <f ca="1">VLOOKUP($I47,OFFSET([2]enemies!$A$1,0,0,COUNTA([2]enemies!$A:$A),MATCH(X$1,[2]enemies!$2:$2,0)-MATCH($I$1,[2]enemies!$2:$2,0)+1),MATCH(X$1,[2]enemies!$2:$2,0)-MATCH($I$1,[2]enemies!$2:$2,0)+1,FALSE)</f>
        <v>1</v>
      </c>
      <c r="Y47" s="31">
        <v>101</v>
      </c>
      <c r="Z47" s="5" t="str">
        <f ca="1">IFERROR(VLOOKUP($Y47,OFFSET([3]characters!$A$1,0,0,COUNTA([3]characters!$A:$A),MATCH(Z$1,[3]characters!$2:$2,0)-MATCH("character_id",[3]characters!$2:$2,0)+1),MATCH(Z$1,[3]characters!$2:$2,0)-MATCH("character_id",[3]characters!$2:$2,0)+1,FALSE),"")</f>
        <v>レッドチェシャ</v>
      </c>
      <c r="AA47" s="5">
        <f ca="1">IFERROR(VLOOKUP($Y47,OFFSET([3]characters!$A$1,0,0,COUNTA([3]characters!$A:$A),MATCH(AA$1,[3]characters!$2:$2,0)-MATCH("character_id",[3]characters!$2:$2,0)+1),MATCH(AA$1,[3]characters!$2:$2,0)-MATCH("character_id",[3]characters!$2:$2,0)+1,FALSE),"")</f>
        <v>2</v>
      </c>
      <c r="AB47" s="5" t="str">
        <f ca="1">IFERROR(VLOOKUP($Y47,OFFSET([3]characters!$A$1,0,0,COUNTA([3]characters!$A:$A),MATCH(AB$1,[3]characters!$2:$2,0)-MATCH("character_id",[3]characters!$2:$2,0)+1),MATCH(AB$1,[3]characters!$2:$2,0)-MATCH("character_id",[3]characters!$2:$2,0)+1,FALSE),"")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7" s="8">
        <v>1</v>
      </c>
      <c r="AD47" s="34">
        <f t="shared" ca="1" si="61"/>
        <v>2</v>
      </c>
      <c r="AE47" s="9">
        <v>50</v>
      </c>
      <c r="AF47" s="8">
        <v>0</v>
      </c>
      <c r="AG47" s="8">
        <v>0</v>
      </c>
      <c r="AH47" s="8">
        <v>0</v>
      </c>
      <c r="AI47" s="8">
        <v>0</v>
      </c>
      <c r="AJ47" s="8">
        <v>1</v>
      </c>
    </row>
    <row r="48" spans="1:36" ht="21" customHeight="1">
      <c r="A48" s="21" t="str">
        <f t="shared" ca="1" si="62"/>
        <v>11102_1-3/102&lt;lv3&gt;s2</v>
      </c>
      <c r="B48" s="8">
        <v>11102</v>
      </c>
      <c r="C48" s="50">
        <v>1</v>
      </c>
      <c r="D48" s="2" t="str">
        <f t="shared" si="59"/>
        <v>11102_1</v>
      </c>
      <c r="E48" s="5" t="str">
        <f ca="1">VLOOKUP($B48,OFFSET([1]quests!$A$1,0,0,COUNTA([1]quests!$A:$A),MATCH(E$1,[1]quests!$1:$1,0)-MATCH($B$1,[1]quests!$1:$1,0)+1),MATCH(E$1,[1]quests!$1:$1,0)-MATCH($B$1,[1]quests!$1:$1,0)+1,FALSE)</f>
        <v>【キャンペーン限定】 赤の素材</v>
      </c>
      <c r="F48" s="5" t="str">
        <f ca="1">VLOOKUP($D48,OFFSET([1]stages!$A$1,0,0,COUNTA([1]stages!$A:$A),MATCH(F$1,[1]stages!$2:$2,0)-MATCH($D$1,[1]stages!$2:$2,0)+1),MATCH(F$1,[1]stages!$2:$2,0)-MATCH($D$1,[1]stages!$2:$2,0)+1,FALSE)</f>
        <v>火のチェシャ猫 【初級】</v>
      </c>
      <c r="G48" s="32">
        <v>3</v>
      </c>
      <c r="H48" s="20" t="str">
        <f t="shared" si="60"/>
        <v>11102_1-3</v>
      </c>
      <c r="I48" s="31">
        <v>102</v>
      </c>
      <c r="J48" s="26" t="str">
        <f ca="1">VLOOKUP($I48,OFFSET([2]enemies!$A$1,0,0,COUNTA([2]enemies!$A:$A),MATCH(J$1,[2]enemies!$2:$2,0)-MATCH($I$1,[2]enemies!$2:$2,0)+1),MATCH(J$1,[2]enemies!$2:$2,0)-MATCH($I$1,[2]enemies!$2:$2,0)+1,FALSE)</f>
        <v>レッドラビット</v>
      </c>
      <c r="K48" s="29" t="str">
        <f ca="1">VLOOKUP($I48,OFFSET([2]enemies!$A$1,0,0,COUNTA([2]enemies!$A:$A),MATCH(K$1,[2]enemies!$2:$2,0)-MATCH($I$1,[2]enemies!$2:$2,0)+1),MATCH(K$1,[2]enemies!$2:$2,0)-MATCH($I$1,[2]enemies!$2:$2,0)+1,FALSE)</f>
        <v>red</v>
      </c>
      <c r="L48" s="29" t="str">
        <f ca="1">VLOOKUP($I48,OFFSET([3]characters!$A$1,0,0,COUNTA([3]characters!$A:$A),MATCH(L$1,[3]characters!$2:$2,0)-MATCH($I$1,[3]characters!$2:$2,0)+1),MATCH(L$1,[3]characters!$2:$2,0)-MATCH($I$1,[3]characters!$2:$2,0)+1,FALSE)</f>
        <v>Material</v>
      </c>
      <c r="M48" s="28" t="str">
        <f ca="1">VLOOKUP($I48,OFFSET([3]characters!$A$1,0,0,COUNTA([3]characters!$A:$A),MATCH(M$1,[3]characters!$2:$2,0)-MATCH($I$1,[3]characters!$2:$2,0)+2),MATCH(M$1,[3]characters!$2:$2,0)-MATCH($I$1,[3]characters!$2:$2,0)+2,FALSE)</f>
        <v>Unknown</v>
      </c>
      <c r="N48" s="5">
        <f ca="1">VLOOKUP($I48,OFFSET([2]enemies!$A$1,0,0,COUNTA([2]enemies!$A:$A),MATCH(N$1,[2]enemies!$2:$2,0)-MATCH($I$1,[2]enemies!$2:$2,0)+1),MATCH(N$1,[2]enemies!$2:$2,0)-MATCH($I$1,[2]enemies!$2:$2,0)+1,FALSE)</f>
        <v>15</v>
      </c>
      <c r="O48" s="6">
        <v>3</v>
      </c>
      <c r="P48" s="48">
        <v>1.8</v>
      </c>
      <c r="Q48" s="46">
        <v>1</v>
      </c>
      <c r="R48" s="6">
        <v>0</v>
      </c>
      <c r="S48" s="5" t="str">
        <f ca="1">VLOOKUP($T48,OFFSET([4]enemy_skill_sets!$B$1,0,0,COUNTA([4]enemy_skill_sets!$B:$B),MATCH(J$1,[4]enemy_skill_sets!$1:$1,0)-MATCH($T$1,[4]enemy_skill_sets!$1:$1,0)+2),MATCH(J$1,[4]enemy_skill_sets!$1:$1,0)-MATCH($T$1,[4]enemy_skill_sets!$1:$1,0)+2,FALSE)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" s="5">
        <f ca="1">VLOOKUP($I48,OFFSET([2]enemies!$A$1,0,0,COUNTA([2]enemies!$A:$A),MATCH(T$1,[2]enemies!$2:$2,0)-MATCH($I$1,[2]enemies!$2:$2,0)+1),MATCH(T$1,[2]enemies!$2:$2,0)-MATCH($I$1,[2]enemies!$2:$2,0)+1,FALSE)</f>
        <v>0</v>
      </c>
      <c r="U48" s="7">
        <v>0</v>
      </c>
      <c r="V48" s="7">
        <v>40</v>
      </c>
      <c r="W48" s="7">
        <v>0</v>
      </c>
      <c r="X48" s="26">
        <f ca="1">VLOOKUP($I48,OFFSET([2]enemies!$A$1,0,0,COUNTA([2]enemies!$A:$A),MATCH(X$1,[2]enemies!$2:$2,0)-MATCH($I$1,[2]enemies!$2:$2,0)+1),MATCH(X$1,[2]enemies!$2:$2,0)-MATCH($I$1,[2]enemies!$2:$2,0)+1,FALSE)</f>
        <v>2</v>
      </c>
      <c r="Y48" s="31">
        <v>102</v>
      </c>
      <c r="Z48" s="5" t="str">
        <f ca="1">IFERROR(VLOOKUP($Y48,OFFSET([3]characters!$A$1,0,0,COUNTA([3]characters!$A:$A),MATCH(Z$1,[3]characters!$2:$2,0)-MATCH("character_id",[3]characters!$2:$2,0)+1),MATCH(Z$1,[3]characters!$2:$2,0)-MATCH("character_id",[3]characters!$2:$2,0)+1,FALSE),"")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48" s="5">
        <f ca="1">IFERROR(VLOOKUP($Y48,OFFSET([3]characters!$A$1,0,0,COUNTA([3]characters!$A:$A),MATCH(AA$1,[3]characters!$2:$2,0)-MATCH("character_id",[3]characters!$2:$2,0)+1),MATCH(AA$1,[3]characters!$2:$2,0)-MATCH("character_id",[3]characters!$2:$2,0)+1,FALSE),"")</f>
        <v>3</v>
      </c>
      <c r="AB48" s="5" t="str">
        <f ca="1">IFERROR(VLOOKUP($Y48,OFFSET([3]characters!$A$1,0,0,COUNTA([3]characters!$A:$A),MATCH(AB$1,[3]characters!$2:$2,0)-MATCH("character_id",[3]characters!$2:$2,0)+1),MATCH(AB$1,[3]characters!$2:$2,0)-MATCH("character_id",[3]characters!$2:$2,0)+1,FALSE),"")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8" s="8">
        <v>1</v>
      </c>
      <c r="AD48" s="34">
        <f t="shared" ca="1" si="61"/>
        <v>3</v>
      </c>
      <c r="AE48" s="9">
        <v>10</v>
      </c>
      <c r="AF48" s="8">
        <v>0</v>
      </c>
      <c r="AG48" s="8">
        <v>0</v>
      </c>
      <c r="AH48" s="8">
        <v>0</v>
      </c>
      <c r="AI48" s="8">
        <v>0</v>
      </c>
      <c r="AJ48" s="8">
        <v>1</v>
      </c>
    </row>
    <row r="49" spans="1:36" ht="21" customHeight="1">
      <c r="A49" s="21" t="str">
        <f t="shared" ca="1" si="62"/>
        <v>11102_1-4/101&lt;lv3&gt;s1</v>
      </c>
      <c r="B49" s="8">
        <v>11102</v>
      </c>
      <c r="C49" s="50">
        <v>1</v>
      </c>
      <c r="D49" s="2" t="str">
        <f t="shared" si="59"/>
        <v>11102_1</v>
      </c>
      <c r="E49" s="5" t="str">
        <f ca="1">VLOOKUP($B49,OFFSET([1]quests!$A$1,0,0,COUNTA([1]quests!$A:$A),MATCH(E$1,[1]quests!$1:$1,0)-MATCH($B$1,[1]quests!$1:$1,0)+1),MATCH(E$1,[1]quests!$1:$1,0)-MATCH($B$1,[1]quests!$1:$1,0)+1,FALSE)</f>
        <v>【キャンペーン限定】 赤の素材</v>
      </c>
      <c r="F49" s="5" t="str">
        <f ca="1">VLOOKUP($D49,OFFSET([1]stages!$A$1,0,0,COUNTA([1]stages!$A:$A),MATCH(F$1,[1]stages!$2:$2,0)-MATCH($D$1,[1]stages!$2:$2,0)+1),MATCH(F$1,[1]stages!$2:$2,0)-MATCH($D$1,[1]stages!$2:$2,0)+1,FALSE)</f>
        <v>火のチェシャ猫 【初級】</v>
      </c>
      <c r="G49" s="32">
        <v>4</v>
      </c>
      <c r="H49" s="20" t="str">
        <f t="shared" si="60"/>
        <v>11102_1-4</v>
      </c>
      <c r="I49" s="31">
        <v>101</v>
      </c>
      <c r="J49" s="26" t="str">
        <f ca="1">VLOOKUP($I49,OFFSET([2]enemies!$A$1,0,0,COUNTA([2]enemies!$A:$A),MATCH(J$1,[2]enemies!$2:$2,0)-MATCH($I$1,[2]enemies!$2:$2,0)+1),MATCH(J$1,[2]enemies!$2:$2,0)-MATCH($I$1,[2]enemies!$2:$2,0)+1,FALSE)</f>
        <v>レッドチェシャ</v>
      </c>
      <c r="K49" s="29" t="str">
        <f ca="1">VLOOKUP($I49,OFFSET([2]enemies!$A$1,0,0,COUNTA([2]enemies!$A:$A),MATCH(K$1,[2]enemies!$2:$2,0)-MATCH($I$1,[2]enemies!$2:$2,0)+1),MATCH(K$1,[2]enemies!$2:$2,0)-MATCH($I$1,[2]enemies!$2:$2,0)+1,FALSE)</f>
        <v>red</v>
      </c>
      <c r="L49" s="29" t="str">
        <f ca="1">VLOOKUP($I49,OFFSET([3]characters!$A$1,0,0,COUNTA([3]characters!$A:$A),MATCH(L$1,[3]characters!$2:$2,0)-MATCH($I$1,[3]characters!$2:$2,0)+1),MATCH(L$1,[3]characters!$2:$2,0)-MATCH($I$1,[3]characters!$2:$2,0)+1,FALSE)</f>
        <v>Material</v>
      </c>
      <c r="M49" s="28" t="str">
        <f ca="1">VLOOKUP($I49,OFFSET([3]characters!$A$1,0,0,COUNTA([3]characters!$A:$A),MATCH(M$1,[3]characters!$2:$2,0)-MATCH($I$1,[3]characters!$2:$2,0)+2),MATCH(M$1,[3]characters!$2:$2,0)-MATCH($I$1,[3]characters!$2:$2,0)+2,FALSE)</f>
        <v>Unknown</v>
      </c>
      <c r="N49" s="5">
        <f ca="1">VLOOKUP($I49,OFFSET([2]enemies!$A$1,0,0,COUNTA([2]enemies!$A:$A),MATCH(N$1,[2]enemies!$2:$2,0)-MATCH($I$1,[2]enemies!$2:$2,0)+1),MATCH(N$1,[2]enemies!$2:$2,0)-MATCH($I$1,[2]enemies!$2:$2,0)+1,FALSE)</f>
        <v>15</v>
      </c>
      <c r="O49" s="6">
        <v>3</v>
      </c>
      <c r="P49" s="46">
        <v>1</v>
      </c>
      <c r="Q49" s="46">
        <v>1</v>
      </c>
      <c r="R49" s="6">
        <v>0</v>
      </c>
      <c r="S49" s="5" t="str">
        <f ca="1">VLOOKUP($T49,OFFSET([4]enemy_skill_sets!$B$1,0,0,COUNTA([4]enemy_skill_sets!$B:$B),MATCH(J$1,[4]enemy_skill_sets!$1:$1,0)-MATCH($T$1,[4]enemy_skill_sets!$1:$1,0)+2),MATCH(J$1,[4]enemy_skill_sets!$1:$1,0)-MATCH($T$1,[4]enemy_skill_sets!$1:$1,0)+2,FALSE)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" s="5">
        <f ca="1">VLOOKUP($I49,OFFSET([2]enemies!$A$1,0,0,COUNTA([2]enemies!$A:$A),MATCH(T$1,[2]enemies!$2:$2,0)-MATCH($I$1,[2]enemies!$2:$2,0)+1),MATCH(T$1,[2]enemies!$2:$2,0)-MATCH($I$1,[2]enemies!$2:$2,0)+1,FALSE)</f>
        <v>0</v>
      </c>
      <c r="U49" s="7">
        <v>0</v>
      </c>
      <c r="V49" s="7">
        <v>100</v>
      </c>
      <c r="W49" s="7">
        <v>0</v>
      </c>
      <c r="X49" s="26">
        <f ca="1">VLOOKUP($I49,OFFSET([2]enemies!$A$1,0,0,COUNTA([2]enemies!$A:$A),MATCH(X$1,[2]enemies!$2:$2,0)-MATCH($I$1,[2]enemies!$2:$2,0)+1),MATCH(X$1,[2]enemies!$2:$2,0)-MATCH($I$1,[2]enemies!$2:$2,0)+1,FALSE)</f>
        <v>1</v>
      </c>
      <c r="Y49" s="31">
        <v>101</v>
      </c>
      <c r="Z49" s="5" t="str">
        <f ca="1">IFERROR(VLOOKUP($Y49,OFFSET([3]characters!$A$1,0,0,COUNTA([3]characters!$A:$A),MATCH(Z$1,[3]characters!$2:$2,0)-MATCH("character_id",[3]characters!$2:$2,0)+1),MATCH(Z$1,[3]characters!$2:$2,0)-MATCH("character_id",[3]characters!$2:$2,0)+1,FALSE),"")</f>
        <v>レッドチェシャ</v>
      </c>
      <c r="AA49" s="5">
        <f ca="1">IFERROR(VLOOKUP($Y49,OFFSET([3]characters!$A$1,0,0,COUNTA([3]characters!$A:$A),MATCH(AA$1,[3]characters!$2:$2,0)-MATCH("character_id",[3]characters!$2:$2,0)+1),MATCH(AA$1,[3]characters!$2:$2,0)-MATCH("character_id",[3]characters!$2:$2,0)+1,FALSE),"")</f>
        <v>2</v>
      </c>
      <c r="AB49" s="5" t="str">
        <f ca="1">IFERROR(VLOOKUP($Y49,OFFSET([3]characters!$A$1,0,0,COUNTA([3]characters!$A:$A),MATCH(AB$1,[3]characters!$2:$2,0)-MATCH("character_id",[3]characters!$2:$2,0)+1),MATCH(AB$1,[3]characters!$2:$2,0)-MATCH("character_id",[3]characters!$2:$2,0)+1,FALSE),"")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9" s="8">
        <v>1</v>
      </c>
      <c r="AD49" s="34">
        <f t="shared" ca="1" si="61"/>
        <v>2</v>
      </c>
      <c r="AE49" s="9">
        <v>50</v>
      </c>
      <c r="AF49" s="8">
        <v>0</v>
      </c>
      <c r="AG49" s="8">
        <v>0</v>
      </c>
      <c r="AH49" s="8">
        <v>0</v>
      </c>
      <c r="AI49" s="8">
        <v>0</v>
      </c>
      <c r="AJ49" s="8">
        <v>1</v>
      </c>
    </row>
    <row r="50" spans="1:36" ht="21" customHeight="1">
      <c r="A50" s="21" t="str">
        <f t="shared" ca="1" si="62"/>
        <v>11102_1-4/102&lt;lv3&gt;s2</v>
      </c>
      <c r="B50" s="8">
        <v>11102</v>
      </c>
      <c r="C50" s="50">
        <v>1</v>
      </c>
      <c r="D50" s="2" t="str">
        <f t="shared" si="59"/>
        <v>11102_1</v>
      </c>
      <c r="E50" s="5" t="str">
        <f ca="1">VLOOKUP($B50,OFFSET([1]quests!$A$1,0,0,COUNTA([1]quests!$A:$A),MATCH(E$1,[1]quests!$1:$1,0)-MATCH($B$1,[1]quests!$1:$1,0)+1),MATCH(E$1,[1]quests!$1:$1,0)-MATCH($B$1,[1]quests!$1:$1,0)+1,FALSE)</f>
        <v>【キャンペーン限定】 赤の素材</v>
      </c>
      <c r="F50" s="5" t="str">
        <f ca="1">VLOOKUP($D50,OFFSET([1]stages!$A$1,0,0,COUNTA([1]stages!$A:$A),MATCH(F$1,[1]stages!$2:$2,0)-MATCH($D$1,[1]stages!$2:$2,0)+1),MATCH(F$1,[1]stages!$2:$2,0)-MATCH($D$1,[1]stages!$2:$2,0)+1,FALSE)</f>
        <v>火のチェシャ猫 【初級】</v>
      </c>
      <c r="G50" s="32">
        <v>4</v>
      </c>
      <c r="H50" s="20" t="str">
        <f t="shared" si="60"/>
        <v>11102_1-4</v>
      </c>
      <c r="I50" s="31">
        <v>102</v>
      </c>
      <c r="J50" s="26" t="str">
        <f ca="1">VLOOKUP($I50,OFFSET([2]enemies!$A$1,0,0,COUNTA([2]enemies!$A:$A),MATCH(J$1,[2]enemies!$2:$2,0)-MATCH($I$1,[2]enemies!$2:$2,0)+1),MATCH(J$1,[2]enemies!$2:$2,0)-MATCH($I$1,[2]enemies!$2:$2,0)+1,FALSE)</f>
        <v>レッドラビット</v>
      </c>
      <c r="K50" s="29" t="str">
        <f ca="1">VLOOKUP($I50,OFFSET([2]enemies!$A$1,0,0,COUNTA([2]enemies!$A:$A),MATCH(K$1,[2]enemies!$2:$2,0)-MATCH($I$1,[2]enemies!$2:$2,0)+1),MATCH(K$1,[2]enemies!$2:$2,0)-MATCH($I$1,[2]enemies!$2:$2,0)+1,FALSE)</f>
        <v>red</v>
      </c>
      <c r="L50" s="29" t="str">
        <f ca="1">VLOOKUP($I50,OFFSET([3]characters!$A$1,0,0,COUNTA([3]characters!$A:$A),MATCH(L$1,[3]characters!$2:$2,0)-MATCH($I$1,[3]characters!$2:$2,0)+1),MATCH(L$1,[3]characters!$2:$2,0)-MATCH($I$1,[3]characters!$2:$2,0)+1,FALSE)</f>
        <v>Material</v>
      </c>
      <c r="M50" s="28" t="str">
        <f ca="1">VLOOKUP($I50,OFFSET([3]characters!$A$1,0,0,COUNTA([3]characters!$A:$A),MATCH(M$1,[3]characters!$2:$2,0)-MATCH($I$1,[3]characters!$2:$2,0)+2),MATCH(M$1,[3]characters!$2:$2,0)-MATCH($I$1,[3]characters!$2:$2,0)+2,FALSE)</f>
        <v>Unknown</v>
      </c>
      <c r="N50" s="5">
        <f ca="1">VLOOKUP($I50,OFFSET([2]enemies!$A$1,0,0,COUNTA([2]enemies!$A:$A),MATCH(N$1,[2]enemies!$2:$2,0)-MATCH($I$1,[2]enemies!$2:$2,0)+1),MATCH(N$1,[2]enemies!$2:$2,0)-MATCH($I$1,[2]enemies!$2:$2,0)+1,FALSE)</f>
        <v>15</v>
      </c>
      <c r="O50" s="6">
        <v>3</v>
      </c>
      <c r="P50" s="48">
        <v>1.8</v>
      </c>
      <c r="Q50" s="46">
        <v>1</v>
      </c>
      <c r="R50" s="6">
        <v>0</v>
      </c>
      <c r="S50" s="5" t="str">
        <f ca="1">VLOOKUP($T50,OFFSET([4]enemy_skill_sets!$B$1,0,0,COUNTA([4]enemy_skill_sets!$B:$B),MATCH(J$1,[4]enemy_skill_sets!$1:$1,0)-MATCH($T$1,[4]enemy_skill_sets!$1:$1,0)+2),MATCH(J$1,[4]enemy_skill_sets!$1:$1,0)-MATCH($T$1,[4]enemy_skill_sets!$1:$1,0)+2,FALSE)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0" s="5">
        <f ca="1">VLOOKUP($I50,OFFSET([2]enemies!$A$1,0,0,COUNTA([2]enemies!$A:$A),MATCH(T$1,[2]enemies!$2:$2,0)-MATCH($I$1,[2]enemies!$2:$2,0)+1),MATCH(T$1,[2]enemies!$2:$2,0)-MATCH($I$1,[2]enemies!$2:$2,0)+1,FALSE)</f>
        <v>0</v>
      </c>
      <c r="U50" s="7">
        <v>0</v>
      </c>
      <c r="V50" s="7">
        <v>40</v>
      </c>
      <c r="W50" s="7">
        <v>0</v>
      </c>
      <c r="X50" s="26">
        <f ca="1">VLOOKUP($I50,OFFSET([2]enemies!$A$1,0,0,COUNTA([2]enemies!$A:$A),MATCH(X$1,[2]enemies!$2:$2,0)-MATCH($I$1,[2]enemies!$2:$2,0)+1),MATCH(X$1,[2]enemies!$2:$2,0)-MATCH($I$1,[2]enemies!$2:$2,0)+1,FALSE)</f>
        <v>2</v>
      </c>
      <c r="Y50" s="31">
        <v>102</v>
      </c>
      <c r="Z50" s="5" t="str">
        <f ca="1">IFERROR(VLOOKUP($Y50,OFFSET([3]characters!$A$1,0,0,COUNTA([3]characters!$A:$A),MATCH(Z$1,[3]characters!$2:$2,0)-MATCH("character_id",[3]characters!$2:$2,0)+1),MATCH(Z$1,[3]characters!$2:$2,0)-MATCH("character_id",[3]characters!$2:$2,0)+1,FALSE),"")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50" s="5">
        <f ca="1">IFERROR(VLOOKUP($Y50,OFFSET([3]characters!$A$1,0,0,COUNTA([3]characters!$A:$A),MATCH(AA$1,[3]characters!$2:$2,0)-MATCH("character_id",[3]characters!$2:$2,0)+1),MATCH(AA$1,[3]characters!$2:$2,0)-MATCH("character_id",[3]characters!$2:$2,0)+1,FALSE),"")</f>
        <v>3</v>
      </c>
      <c r="AB50" s="5" t="str">
        <f ca="1">IFERROR(VLOOKUP($Y50,OFFSET([3]characters!$A$1,0,0,COUNTA([3]characters!$A:$A),MATCH(AB$1,[3]characters!$2:$2,0)-MATCH("character_id",[3]characters!$2:$2,0)+1),MATCH(AB$1,[3]characters!$2:$2,0)-MATCH("character_id",[3]characters!$2:$2,0)+1,FALSE),"")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0" s="8">
        <v>1</v>
      </c>
      <c r="AD50" s="34">
        <f t="shared" ca="1" si="61"/>
        <v>3</v>
      </c>
      <c r="AE50" s="9">
        <v>20</v>
      </c>
      <c r="AF50" s="8">
        <v>0</v>
      </c>
      <c r="AG50" s="8">
        <v>0</v>
      </c>
      <c r="AH50" s="8">
        <v>0</v>
      </c>
      <c r="AI50" s="8">
        <v>0</v>
      </c>
      <c r="AJ50" s="8">
        <v>1</v>
      </c>
    </row>
    <row r="51" spans="1:36" ht="21" customHeight="1">
      <c r="A51" s="21" t="str">
        <f t="shared" ca="1" si="62"/>
        <v>11102_1-5/101&lt;lv3&gt;s1</v>
      </c>
      <c r="B51" s="8">
        <v>11102</v>
      </c>
      <c r="C51" s="50">
        <v>1</v>
      </c>
      <c r="D51" s="2" t="str">
        <f t="shared" si="59"/>
        <v>11102_1</v>
      </c>
      <c r="E51" s="5" t="str">
        <f ca="1">VLOOKUP($B51,OFFSET([1]quests!$A$1,0,0,COUNTA([1]quests!$A:$A),MATCH(E$1,[1]quests!$1:$1,0)-MATCH($B$1,[1]quests!$1:$1,0)+1),MATCH(E$1,[1]quests!$1:$1,0)-MATCH($B$1,[1]quests!$1:$1,0)+1,FALSE)</f>
        <v>【キャンペーン限定】 赤の素材</v>
      </c>
      <c r="F51" s="5" t="str">
        <f ca="1">VLOOKUP($D51,OFFSET([1]stages!$A$1,0,0,COUNTA([1]stages!$A:$A),MATCH(F$1,[1]stages!$2:$2,0)-MATCH($D$1,[1]stages!$2:$2,0)+1),MATCH(F$1,[1]stages!$2:$2,0)-MATCH($D$1,[1]stages!$2:$2,0)+1,FALSE)</f>
        <v>火のチェシャ猫 【初級】</v>
      </c>
      <c r="G51" s="32">
        <v>5</v>
      </c>
      <c r="H51" s="20" t="str">
        <f t="shared" si="60"/>
        <v>11102_1-5</v>
      </c>
      <c r="I51" s="31">
        <v>101</v>
      </c>
      <c r="J51" s="26" t="str">
        <f ca="1">VLOOKUP($I51,OFFSET([2]enemies!$A$1,0,0,COUNTA([2]enemies!$A:$A),MATCH(J$1,[2]enemies!$2:$2,0)-MATCH($I$1,[2]enemies!$2:$2,0)+1),MATCH(J$1,[2]enemies!$2:$2,0)-MATCH($I$1,[2]enemies!$2:$2,0)+1,FALSE)</f>
        <v>レッドチェシャ</v>
      </c>
      <c r="K51" s="29" t="str">
        <f ca="1">VLOOKUP($I51,OFFSET([2]enemies!$A$1,0,0,COUNTA([2]enemies!$A:$A),MATCH(K$1,[2]enemies!$2:$2,0)-MATCH($I$1,[2]enemies!$2:$2,0)+1),MATCH(K$1,[2]enemies!$2:$2,0)-MATCH($I$1,[2]enemies!$2:$2,0)+1,FALSE)</f>
        <v>red</v>
      </c>
      <c r="L51" s="29" t="str">
        <f ca="1">VLOOKUP($I51,OFFSET([3]characters!$A$1,0,0,COUNTA([3]characters!$A:$A),MATCH(L$1,[3]characters!$2:$2,0)-MATCH($I$1,[3]characters!$2:$2,0)+1),MATCH(L$1,[3]characters!$2:$2,0)-MATCH($I$1,[3]characters!$2:$2,0)+1,FALSE)</f>
        <v>Material</v>
      </c>
      <c r="M51" s="28" t="str">
        <f ca="1">VLOOKUP($I51,OFFSET([3]characters!$A$1,0,0,COUNTA([3]characters!$A:$A),MATCH(M$1,[3]characters!$2:$2,0)-MATCH($I$1,[3]characters!$2:$2,0)+2),MATCH(M$1,[3]characters!$2:$2,0)-MATCH($I$1,[3]characters!$2:$2,0)+2,FALSE)</f>
        <v>Unknown</v>
      </c>
      <c r="N51" s="5">
        <f ca="1">VLOOKUP($I51,OFFSET([2]enemies!$A$1,0,0,COUNTA([2]enemies!$A:$A),MATCH(N$1,[2]enemies!$2:$2,0)-MATCH($I$1,[2]enemies!$2:$2,0)+1),MATCH(N$1,[2]enemies!$2:$2,0)-MATCH($I$1,[2]enemies!$2:$2,0)+1,FALSE)</f>
        <v>15</v>
      </c>
      <c r="O51" s="6">
        <v>3</v>
      </c>
      <c r="P51" s="46">
        <v>1</v>
      </c>
      <c r="Q51" s="46">
        <v>1</v>
      </c>
      <c r="R51" s="6">
        <v>0</v>
      </c>
      <c r="S51" s="5" t="str">
        <f ca="1">VLOOKUP($T51,OFFSET([4]enemy_skill_sets!$B$1,0,0,COUNTA([4]enemy_skill_sets!$B:$B),MATCH(J$1,[4]enemy_skill_sets!$1:$1,0)-MATCH($T$1,[4]enemy_skill_sets!$1:$1,0)+2),MATCH(J$1,[4]enemy_skill_sets!$1:$1,0)-MATCH($T$1,[4]enemy_skill_sets!$1:$1,0)+2,FALSE)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" s="5">
        <f ca="1">VLOOKUP($I51,OFFSET([2]enemies!$A$1,0,0,COUNTA([2]enemies!$A:$A),MATCH(T$1,[2]enemies!$2:$2,0)-MATCH($I$1,[2]enemies!$2:$2,0)+1),MATCH(T$1,[2]enemies!$2:$2,0)-MATCH($I$1,[2]enemies!$2:$2,0)+1,FALSE)</f>
        <v>0</v>
      </c>
      <c r="U51" s="7">
        <v>2</v>
      </c>
      <c r="V51" s="7">
        <v>100</v>
      </c>
      <c r="W51" s="7">
        <v>0</v>
      </c>
      <c r="X51" s="26">
        <f ca="1">VLOOKUP($I51,OFFSET([2]enemies!$A$1,0,0,COUNTA([2]enemies!$A:$A),MATCH(X$1,[2]enemies!$2:$2,0)-MATCH($I$1,[2]enemies!$2:$2,0)+1),MATCH(X$1,[2]enemies!$2:$2,0)-MATCH($I$1,[2]enemies!$2:$2,0)+1,FALSE)</f>
        <v>1</v>
      </c>
      <c r="Y51" s="31">
        <v>101</v>
      </c>
      <c r="Z51" s="5" t="str">
        <f ca="1">IFERROR(VLOOKUP($Y51,OFFSET([3]characters!$A$1,0,0,COUNTA([3]characters!$A:$A),MATCH(Z$1,[3]characters!$2:$2,0)-MATCH("character_id",[3]characters!$2:$2,0)+1),MATCH(Z$1,[3]characters!$2:$2,0)-MATCH("character_id",[3]characters!$2:$2,0)+1,FALSE),"")</f>
        <v>レッドチェシャ</v>
      </c>
      <c r="AA51" s="5">
        <f ca="1">IFERROR(VLOOKUP($Y51,OFFSET([3]characters!$A$1,0,0,COUNTA([3]characters!$A:$A),MATCH(AA$1,[3]characters!$2:$2,0)-MATCH("character_id",[3]characters!$2:$2,0)+1),MATCH(AA$1,[3]characters!$2:$2,0)-MATCH("character_id",[3]characters!$2:$2,0)+1,FALSE),"")</f>
        <v>2</v>
      </c>
      <c r="AB51" s="5" t="str">
        <f ca="1">IFERROR(VLOOKUP($Y51,OFFSET([3]characters!$A$1,0,0,COUNTA([3]characters!$A:$A),MATCH(AB$1,[3]characters!$2:$2,0)-MATCH("character_id",[3]characters!$2:$2,0)+1),MATCH(AB$1,[3]characters!$2:$2,0)-MATCH("character_id",[3]characters!$2:$2,0)+1,FALSE),"")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1" s="8">
        <v>1</v>
      </c>
      <c r="AD51" s="34">
        <f t="shared" ca="1" si="61"/>
        <v>2</v>
      </c>
      <c r="AE51" s="9">
        <v>50</v>
      </c>
      <c r="AF51" s="8">
        <v>0</v>
      </c>
      <c r="AG51" s="8">
        <v>0</v>
      </c>
      <c r="AH51" s="8">
        <v>0</v>
      </c>
      <c r="AI51" s="8">
        <v>0</v>
      </c>
      <c r="AJ51" s="8">
        <v>1</v>
      </c>
    </row>
    <row r="52" spans="1:36" ht="21" customHeight="1">
      <c r="A52" s="21" t="str">
        <f t="shared" ca="1" si="62"/>
        <v>11102_1-5/102&lt;lv5&gt;s2</v>
      </c>
      <c r="B52" s="8">
        <v>11102</v>
      </c>
      <c r="C52" s="50">
        <v>1</v>
      </c>
      <c r="D52" s="2" t="str">
        <f t="shared" si="59"/>
        <v>11102_1</v>
      </c>
      <c r="E52" s="5" t="str">
        <f ca="1">VLOOKUP($B52,OFFSET([1]quests!$A$1,0,0,COUNTA([1]quests!$A:$A),MATCH(E$1,[1]quests!$1:$1,0)-MATCH($B$1,[1]quests!$1:$1,0)+1),MATCH(E$1,[1]quests!$1:$1,0)-MATCH($B$1,[1]quests!$1:$1,0)+1,FALSE)</f>
        <v>【キャンペーン限定】 赤の素材</v>
      </c>
      <c r="F52" s="5" t="str">
        <f ca="1">VLOOKUP($D52,OFFSET([1]stages!$A$1,0,0,COUNTA([1]stages!$A:$A),MATCH(F$1,[1]stages!$2:$2,0)-MATCH($D$1,[1]stages!$2:$2,0)+1),MATCH(F$1,[1]stages!$2:$2,0)-MATCH($D$1,[1]stages!$2:$2,0)+1,FALSE)</f>
        <v>火のチェシャ猫 【初級】</v>
      </c>
      <c r="G52" s="32">
        <v>5</v>
      </c>
      <c r="H52" s="20" t="str">
        <f t="shared" si="60"/>
        <v>11102_1-5</v>
      </c>
      <c r="I52" s="31">
        <v>102</v>
      </c>
      <c r="J52" s="26" t="str">
        <f ca="1">VLOOKUP($I52,OFFSET([2]enemies!$A$1,0,0,COUNTA([2]enemies!$A:$A),MATCH(J$1,[2]enemies!$2:$2,0)-MATCH($I$1,[2]enemies!$2:$2,0)+1),MATCH(J$1,[2]enemies!$2:$2,0)-MATCH($I$1,[2]enemies!$2:$2,0)+1,FALSE)</f>
        <v>レッドラビット</v>
      </c>
      <c r="K52" s="29" t="str">
        <f ca="1">VLOOKUP($I52,OFFSET([2]enemies!$A$1,0,0,COUNTA([2]enemies!$A:$A),MATCH(K$1,[2]enemies!$2:$2,0)-MATCH($I$1,[2]enemies!$2:$2,0)+1),MATCH(K$1,[2]enemies!$2:$2,0)-MATCH($I$1,[2]enemies!$2:$2,0)+1,FALSE)</f>
        <v>red</v>
      </c>
      <c r="L52" s="29" t="str">
        <f ca="1">VLOOKUP($I52,OFFSET([3]characters!$A$1,0,0,COUNTA([3]characters!$A:$A),MATCH(L$1,[3]characters!$2:$2,0)-MATCH($I$1,[3]characters!$2:$2,0)+1),MATCH(L$1,[3]characters!$2:$2,0)-MATCH($I$1,[3]characters!$2:$2,0)+1,FALSE)</f>
        <v>Material</v>
      </c>
      <c r="M52" s="28" t="str">
        <f ca="1">VLOOKUP($I52,OFFSET([3]characters!$A$1,0,0,COUNTA([3]characters!$A:$A),MATCH(M$1,[3]characters!$2:$2,0)-MATCH($I$1,[3]characters!$2:$2,0)+2),MATCH(M$1,[3]characters!$2:$2,0)-MATCH($I$1,[3]characters!$2:$2,0)+2,FALSE)</f>
        <v>Unknown</v>
      </c>
      <c r="N52" s="5">
        <f ca="1">VLOOKUP($I52,OFFSET([2]enemies!$A$1,0,0,COUNTA([2]enemies!$A:$A),MATCH(N$1,[2]enemies!$2:$2,0)-MATCH($I$1,[2]enemies!$2:$2,0)+1),MATCH(N$1,[2]enemies!$2:$2,0)-MATCH($I$1,[2]enemies!$2:$2,0)+1,FALSE)</f>
        <v>15</v>
      </c>
      <c r="O52" s="6">
        <v>5</v>
      </c>
      <c r="P52" s="48">
        <v>1.8</v>
      </c>
      <c r="Q52" s="46">
        <v>1</v>
      </c>
      <c r="R52" s="6">
        <v>0</v>
      </c>
      <c r="S52" s="5" t="str">
        <f ca="1">VLOOKUP($T52,OFFSET([4]enemy_skill_sets!$B$1,0,0,COUNTA([4]enemy_skill_sets!$B:$B),MATCH(J$1,[4]enemy_skill_sets!$1:$1,0)-MATCH($T$1,[4]enemy_skill_sets!$1:$1,0)+2),MATCH(J$1,[4]enemy_skill_sets!$1:$1,0)-MATCH($T$1,[4]enemy_skill_sets!$1:$1,0)+2,FALSE)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" s="5">
        <f ca="1">VLOOKUP($I52,OFFSET([2]enemies!$A$1,0,0,COUNTA([2]enemies!$A:$A),MATCH(T$1,[2]enemies!$2:$2,0)-MATCH($I$1,[2]enemies!$2:$2,0)+1),MATCH(T$1,[2]enemies!$2:$2,0)-MATCH($I$1,[2]enemies!$2:$2,0)+1,FALSE)</f>
        <v>0</v>
      </c>
      <c r="U52" s="7">
        <v>1</v>
      </c>
      <c r="V52" s="7">
        <v>100</v>
      </c>
      <c r="W52" s="7">
        <v>1</v>
      </c>
      <c r="X52" s="26">
        <f ca="1">VLOOKUP($I52,OFFSET([2]enemies!$A$1,0,0,COUNTA([2]enemies!$A:$A),MATCH(X$1,[2]enemies!$2:$2,0)-MATCH($I$1,[2]enemies!$2:$2,0)+1),MATCH(X$1,[2]enemies!$2:$2,0)-MATCH($I$1,[2]enemies!$2:$2,0)+1,FALSE)</f>
        <v>2</v>
      </c>
      <c r="Y52" s="31">
        <v>102</v>
      </c>
      <c r="Z52" s="5" t="str">
        <f ca="1">IFERROR(VLOOKUP($Y52,OFFSET([3]characters!$A$1,0,0,COUNTA([3]characters!$A:$A),MATCH(Z$1,[3]characters!$2:$2,0)-MATCH("character_id",[3]characters!$2:$2,0)+1),MATCH(Z$1,[3]characters!$2:$2,0)-MATCH("character_id",[3]characters!$2:$2,0)+1,FALSE),"")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52" s="5">
        <f ca="1">IFERROR(VLOOKUP($Y52,OFFSET([3]characters!$A$1,0,0,COUNTA([3]characters!$A:$A),MATCH(AA$1,[3]characters!$2:$2,0)-MATCH("character_id",[3]characters!$2:$2,0)+1),MATCH(AA$1,[3]characters!$2:$2,0)-MATCH("character_id",[3]characters!$2:$2,0)+1,FALSE),"")</f>
        <v>3</v>
      </c>
      <c r="AB52" s="5" t="str">
        <f ca="1">IFERROR(VLOOKUP($Y52,OFFSET([3]characters!$A$1,0,0,COUNTA([3]characters!$A:$A),MATCH(AB$1,[3]characters!$2:$2,0)-MATCH("character_id",[3]characters!$2:$2,0)+1),MATCH(AB$1,[3]characters!$2:$2,0)-MATCH("character_id",[3]characters!$2:$2,0)+1,FALSE),"")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2" s="8">
        <v>1</v>
      </c>
      <c r="AD52" s="34">
        <f t="shared" ca="1" si="61"/>
        <v>3</v>
      </c>
      <c r="AE52" s="9">
        <v>10</v>
      </c>
      <c r="AF52" s="8">
        <v>0</v>
      </c>
      <c r="AG52" s="8">
        <v>0</v>
      </c>
      <c r="AH52" s="8">
        <v>0</v>
      </c>
      <c r="AI52" s="8">
        <v>0</v>
      </c>
      <c r="AJ52" s="8">
        <v>1</v>
      </c>
    </row>
    <row r="53" spans="1:36" ht="21" customHeight="1">
      <c r="A53" s="21" t="str">
        <f t="shared" ca="1" si="62"/>
        <v>11102_2-1/102&lt;lv15&gt;s2</v>
      </c>
      <c r="B53" s="8">
        <v>11102</v>
      </c>
      <c r="C53" s="50">
        <v>2</v>
      </c>
      <c r="D53" s="2" t="str">
        <f t="shared" si="59"/>
        <v>11102_2</v>
      </c>
      <c r="E53" s="5" t="str">
        <f ca="1">VLOOKUP($B53,OFFSET([1]quests!$A$1,0,0,COUNTA([1]quests!$A:$A),MATCH(E$1,[1]quests!$1:$1,0)-MATCH($B$1,[1]quests!$1:$1,0)+1),MATCH(E$1,[1]quests!$1:$1,0)-MATCH($B$1,[1]quests!$1:$1,0)+1,FALSE)</f>
        <v>【キャンペーン限定】 赤の素材</v>
      </c>
      <c r="F53" s="5" t="str">
        <f ca="1">VLOOKUP($D53,OFFSET([1]stages!$A$1,0,0,COUNTA([1]stages!$A:$A),MATCH(F$1,[1]stages!$2:$2,0)-MATCH($D$1,[1]stages!$2:$2,0)+1),MATCH(F$1,[1]stages!$2:$2,0)-MATCH($D$1,[1]stages!$2:$2,0)+1,FALSE)</f>
        <v>火のウサギ 【中級】</v>
      </c>
      <c r="G53" s="32">
        <v>1</v>
      </c>
      <c r="H53" s="20" t="str">
        <f t="shared" si="60"/>
        <v>11102_2-1</v>
      </c>
      <c r="I53" s="31">
        <v>102</v>
      </c>
      <c r="J53" s="26" t="str">
        <f ca="1">VLOOKUP($I53,OFFSET([2]enemies!$A$1,0,0,COUNTA([2]enemies!$A:$A),MATCH(J$1,[2]enemies!$2:$2,0)-MATCH($I$1,[2]enemies!$2:$2,0)+1),MATCH(J$1,[2]enemies!$2:$2,0)-MATCH($I$1,[2]enemies!$2:$2,0)+1,FALSE)</f>
        <v>レッドラビット</v>
      </c>
      <c r="K53" s="29" t="str">
        <f ca="1">VLOOKUP($I53,OFFSET([2]enemies!$A$1,0,0,COUNTA([2]enemies!$A:$A),MATCH(K$1,[2]enemies!$2:$2,0)-MATCH($I$1,[2]enemies!$2:$2,0)+1),MATCH(K$1,[2]enemies!$2:$2,0)-MATCH($I$1,[2]enemies!$2:$2,0)+1,FALSE)</f>
        <v>red</v>
      </c>
      <c r="L53" s="29" t="str">
        <f ca="1">VLOOKUP($I53,OFFSET([3]characters!$A$1,0,0,COUNTA([3]characters!$A:$A),MATCH(L$1,[3]characters!$2:$2,0)-MATCH($I$1,[3]characters!$2:$2,0)+1),MATCH(L$1,[3]characters!$2:$2,0)-MATCH($I$1,[3]characters!$2:$2,0)+1,FALSE)</f>
        <v>Material</v>
      </c>
      <c r="M53" s="28" t="str">
        <f ca="1">VLOOKUP($I53,OFFSET([3]characters!$A$1,0,0,COUNTA([3]characters!$A:$A),MATCH(M$1,[3]characters!$2:$2,0)-MATCH($I$1,[3]characters!$2:$2,0)+2),MATCH(M$1,[3]characters!$2:$2,0)-MATCH($I$1,[3]characters!$2:$2,0)+2,FALSE)</f>
        <v>Unknown</v>
      </c>
      <c r="N53" s="5">
        <f ca="1">VLOOKUP($I53,OFFSET([2]enemies!$A$1,0,0,COUNTA([2]enemies!$A:$A),MATCH(N$1,[2]enemies!$2:$2,0)-MATCH($I$1,[2]enemies!$2:$2,0)+1),MATCH(N$1,[2]enemies!$2:$2,0)-MATCH($I$1,[2]enemies!$2:$2,0)+1,FALSE)</f>
        <v>15</v>
      </c>
      <c r="O53" s="6">
        <v>15</v>
      </c>
      <c r="P53" s="48">
        <v>1.8</v>
      </c>
      <c r="Q53" s="46">
        <v>1</v>
      </c>
      <c r="R53" s="6">
        <v>0</v>
      </c>
      <c r="S53" s="5" t="str">
        <f ca="1">VLOOKUP($T53,OFFSET([4]enemy_skill_sets!$B$1,0,0,COUNTA([4]enemy_skill_sets!$B:$B),MATCH(J$1,[4]enemy_skill_sets!$1:$1,0)-MATCH($T$1,[4]enemy_skill_sets!$1:$1,0)+2),MATCH(J$1,[4]enemy_skill_sets!$1:$1,0)-MATCH($T$1,[4]enemy_skill_sets!$1:$1,0)+2,FALSE)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" s="5">
        <f ca="1">VLOOKUP($I53,OFFSET([2]enemies!$A$1,0,0,COUNTA([2]enemies!$A:$A),MATCH(T$1,[2]enemies!$2:$2,0)-MATCH($I$1,[2]enemies!$2:$2,0)+1),MATCH(T$1,[2]enemies!$2:$2,0)-MATCH($I$1,[2]enemies!$2:$2,0)+1,FALSE)</f>
        <v>0</v>
      </c>
      <c r="U53" s="7">
        <v>0</v>
      </c>
      <c r="V53" s="7">
        <v>100</v>
      </c>
      <c r="W53" s="7">
        <v>0</v>
      </c>
      <c r="X53" s="26">
        <f ca="1">VLOOKUP($I53,OFFSET([2]enemies!$A$1,0,0,COUNTA([2]enemies!$A:$A),MATCH(X$1,[2]enemies!$2:$2,0)-MATCH($I$1,[2]enemies!$2:$2,0)+1),MATCH(X$1,[2]enemies!$2:$2,0)-MATCH($I$1,[2]enemies!$2:$2,0)+1,FALSE)</f>
        <v>2</v>
      </c>
      <c r="Y53" s="31">
        <v>102</v>
      </c>
      <c r="Z53" s="5" t="str">
        <f ca="1">IFERROR(VLOOKUP($Y53,OFFSET([3]characters!$A$1,0,0,COUNTA([3]characters!$A:$A),MATCH(Z$1,[3]characters!$2:$2,0)-MATCH("character_id",[3]characters!$2:$2,0)+1),MATCH(Z$1,[3]characters!$2:$2,0)-MATCH("character_id",[3]characters!$2:$2,0)+1,FALSE),"")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53" s="5">
        <f ca="1">IFERROR(VLOOKUP($Y53,OFFSET([3]characters!$A$1,0,0,COUNTA([3]characters!$A:$A),MATCH(AA$1,[3]characters!$2:$2,0)-MATCH("character_id",[3]characters!$2:$2,0)+1),MATCH(AA$1,[3]characters!$2:$2,0)-MATCH("character_id",[3]characters!$2:$2,0)+1,FALSE),"")</f>
        <v>3</v>
      </c>
      <c r="AB53" s="5" t="str">
        <f ca="1">IFERROR(VLOOKUP($Y53,OFFSET([3]characters!$A$1,0,0,COUNTA([3]characters!$A:$A),MATCH(AB$1,[3]characters!$2:$2,0)-MATCH("character_id",[3]characters!$2:$2,0)+1),MATCH(AB$1,[3]characters!$2:$2,0)-MATCH("character_id",[3]characters!$2:$2,0)+1,FALSE),"")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3" s="8">
        <v>1</v>
      </c>
      <c r="AD53" s="34">
        <f t="shared" ca="1" si="61"/>
        <v>3</v>
      </c>
      <c r="AE53" s="9">
        <v>30</v>
      </c>
      <c r="AF53" s="8">
        <v>0</v>
      </c>
      <c r="AG53" s="8">
        <v>0</v>
      </c>
      <c r="AH53" s="8">
        <v>0</v>
      </c>
      <c r="AI53" s="8">
        <v>0</v>
      </c>
      <c r="AJ53" s="8">
        <v>1</v>
      </c>
    </row>
    <row r="54" spans="1:36" ht="21" customHeight="1">
      <c r="A54" s="21" t="str">
        <f t="shared" ca="1" si="62"/>
        <v>11102_2-2/102&lt;lv15&gt;s2</v>
      </c>
      <c r="B54" s="8">
        <v>11102</v>
      </c>
      <c r="C54" s="50">
        <v>2</v>
      </c>
      <c r="D54" s="2" t="str">
        <f t="shared" si="59"/>
        <v>11102_2</v>
      </c>
      <c r="E54" s="5" t="str">
        <f ca="1">VLOOKUP($B54,OFFSET([1]quests!$A$1,0,0,COUNTA([1]quests!$A:$A),MATCH(E$1,[1]quests!$1:$1,0)-MATCH($B$1,[1]quests!$1:$1,0)+1),MATCH(E$1,[1]quests!$1:$1,0)-MATCH($B$1,[1]quests!$1:$1,0)+1,FALSE)</f>
        <v>【キャンペーン限定】 赤の素材</v>
      </c>
      <c r="F54" s="5" t="str">
        <f ca="1">VLOOKUP($D54,OFFSET([1]stages!$A$1,0,0,COUNTA([1]stages!$A:$A),MATCH(F$1,[1]stages!$2:$2,0)-MATCH($D$1,[1]stages!$2:$2,0)+1),MATCH(F$1,[1]stages!$2:$2,0)-MATCH($D$1,[1]stages!$2:$2,0)+1,FALSE)</f>
        <v>火のウサギ 【中級】</v>
      </c>
      <c r="G54" s="32">
        <v>2</v>
      </c>
      <c r="H54" s="20" t="str">
        <f t="shared" si="60"/>
        <v>11102_2-2</v>
      </c>
      <c r="I54" s="31">
        <v>102</v>
      </c>
      <c r="J54" s="26" t="str">
        <f ca="1">VLOOKUP($I54,OFFSET([2]enemies!$A$1,0,0,COUNTA([2]enemies!$A:$A),MATCH(J$1,[2]enemies!$2:$2,0)-MATCH($I$1,[2]enemies!$2:$2,0)+1),MATCH(J$1,[2]enemies!$2:$2,0)-MATCH($I$1,[2]enemies!$2:$2,0)+1,FALSE)</f>
        <v>レッドラビット</v>
      </c>
      <c r="K54" s="29" t="str">
        <f ca="1">VLOOKUP($I54,OFFSET([2]enemies!$A$1,0,0,COUNTA([2]enemies!$A:$A),MATCH(K$1,[2]enemies!$2:$2,0)-MATCH($I$1,[2]enemies!$2:$2,0)+1),MATCH(K$1,[2]enemies!$2:$2,0)-MATCH($I$1,[2]enemies!$2:$2,0)+1,FALSE)</f>
        <v>red</v>
      </c>
      <c r="L54" s="29" t="str">
        <f ca="1">VLOOKUP($I54,OFFSET([3]characters!$A$1,0,0,COUNTA([3]characters!$A:$A),MATCH(L$1,[3]characters!$2:$2,0)-MATCH($I$1,[3]characters!$2:$2,0)+1),MATCH(L$1,[3]characters!$2:$2,0)-MATCH($I$1,[3]characters!$2:$2,0)+1,FALSE)</f>
        <v>Material</v>
      </c>
      <c r="M54" s="28" t="str">
        <f ca="1">VLOOKUP($I54,OFFSET([3]characters!$A$1,0,0,COUNTA([3]characters!$A:$A),MATCH(M$1,[3]characters!$2:$2,0)-MATCH($I$1,[3]characters!$2:$2,0)+2),MATCH(M$1,[3]characters!$2:$2,0)-MATCH($I$1,[3]characters!$2:$2,0)+2,FALSE)</f>
        <v>Unknown</v>
      </c>
      <c r="N54" s="5">
        <f ca="1">VLOOKUP($I54,OFFSET([2]enemies!$A$1,0,0,COUNTA([2]enemies!$A:$A),MATCH(N$1,[2]enemies!$2:$2,0)-MATCH($I$1,[2]enemies!$2:$2,0)+1),MATCH(N$1,[2]enemies!$2:$2,0)-MATCH($I$1,[2]enemies!$2:$2,0)+1,FALSE)</f>
        <v>15</v>
      </c>
      <c r="O54" s="6">
        <v>15</v>
      </c>
      <c r="P54" s="48">
        <v>1.8</v>
      </c>
      <c r="Q54" s="46">
        <v>1</v>
      </c>
      <c r="R54" s="6">
        <v>0</v>
      </c>
      <c r="S54" s="5" t="str">
        <f ca="1">VLOOKUP($T54,OFFSET([4]enemy_skill_sets!$B$1,0,0,COUNTA([4]enemy_skill_sets!$B:$B),MATCH(J$1,[4]enemy_skill_sets!$1:$1,0)-MATCH($T$1,[4]enemy_skill_sets!$1:$1,0)+2),MATCH(J$1,[4]enemy_skill_sets!$1:$1,0)-MATCH($T$1,[4]enemy_skill_sets!$1:$1,0)+2,FALSE)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" s="5">
        <f ca="1">VLOOKUP($I54,OFFSET([2]enemies!$A$1,0,0,COUNTA([2]enemies!$A:$A),MATCH(T$1,[2]enemies!$2:$2,0)-MATCH($I$1,[2]enemies!$2:$2,0)+1),MATCH(T$1,[2]enemies!$2:$2,0)-MATCH($I$1,[2]enemies!$2:$2,0)+1,FALSE)</f>
        <v>0</v>
      </c>
      <c r="U54" s="7">
        <v>0</v>
      </c>
      <c r="V54" s="7">
        <v>100</v>
      </c>
      <c r="W54" s="7">
        <v>0</v>
      </c>
      <c r="X54" s="26">
        <f ca="1">VLOOKUP($I54,OFFSET([2]enemies!$A$1,0,0,COUNTA([2]enemies!$A:$A),MATCH(X$1,[2]enemies!$2:$2,0)-MATCH($I$1,[2]enemies!$2:$2,0)+1),MATCH(X$1,[2]enemies!$2:$2,0)-MATCH($I$1,[2]enemies!$2:$2,0)+1,FALSE)</f>
        <v>2</v>
      </c>
      <c r="Y54" s="31">
        <v>102</v>
      </c>
      <c r="Z54" s="5" t="str">
        <f ca="1">IFERROR(VLOOKUP($Y54,OFFSET([3]characters!$A$1,0,0,COUNTA([3]characters!$A:$A),MATCH(Z$1,[3]characters!$2:$2,0)-MATCH("character_id",[3]characters!$2:$2,0)+1),MATCH(Z$1,[3]characters!$2:$2,0)-MATCH("character_id",[3]characters!$2:$2,0)+1,FALSE),"")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54" s="5">
        <f ca="1">IFERROR(VLOOKUP($Y54,OFFSET([3]characters!$A$1,0,0,COUNTA([3]characters!$A:$A),MATCH(AA$1,[3]characters!$2:$2,0)-MATCH("character_id",[3]characters!$2:$2,0)+1),MATCH(AA$1,[3]characters!$2:$2,0)-MATCH("character_id",[3]characters!$2:$2,0)+1,FALSE),"")</f>
        <v>3</v>
      </c>
      <c r="AB54" s="5" t="str">
        <f ca="1">IFERROR(VLOOKUP($Y54,OFFSET([3]characters!$A$1,0,0,COUNTA([3]characters!$A:$A),MATCH(AB$1,[3]characters!$2:$2,0)-MATCH("character_id",[3]characters!$2:$2,0)+1),MATCH(AB$1,[3]characters!$2:$2,0)-MATCH("character_id",[3]characters!$2:$2,0)+1,FALSE),"")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4" s="8">
        <v>1</v>
      </c>
      <c r="AD54" s="34">
        <f t="shared" ca="1" si="61"/>
        <v>3</v>
      </c>
      <c r="AE54" s="9">
        <v>30</v>
      </c>
      <c r="AF54" s="8">
        <v>0</v>
      </c>
      <c r="AG54" s="8">
        <v>0</v>
      </c>
      <c r="AH54" s="8">
        <v>0</v>
      </c>
      <c r="AI54" s="8">
        <v>0</v>
      </c>
      <c r="AJ54" s="8">
        <v>1</v>
      </c>
    </row>
    <row r="55" spans="1:36" ht="21" customHeight="1">
      <c r="A55" s="21" t="str">
        <f t="shared" ca="1" si="62"/>
        <v>11102_2-3/102&lt;lv15&gt;s2</v>
      </c>
      <c r="B55" s="8">
        <v>11102</v>
      </c>
      <c r="C55" s="50">
        <v>2</v>
      </c>
      <c r="D55" s="2" t="str">
        <f t="shared" si="59"/>
        <v>11102_2</v>
      </c>
      <c r="E55" s="5" t="str">
        <f ca="1">VLOOKUP($B55,OFFSET([1]quests!$A$1,0,0,COUNTA([1]quests!$A:$A),MATCH(E$1,[1]quests!$1:$1,0)-MATCH($B$1,[1]quests!$1:$1,0)+1),MATCH(E$1,[1]quests!$1:$1,0)-MATCH($B$1,[1]quests!$1:$1,0)+1,FALSE)</f>
        <v>【キャンペーン限定】 赤の素材</v>
      </c>
      <c r="F55" s="5" t="str">
        <f ca="1">VLOOKUP($D55,OFFSET([1]stages!$A$1,0,0,COUNTA([1]stages!$A:$A),MATCH(F$1,[1]stages!$2:$2,0)-MATCH($D$1,[1]stages!$2:$2,0)+1),MATCH(F$1,[1]stages!$2:$2,0)-MATCH($D$1,[1]stages!$2:$2,0)+1,FALSE)</f>
        <v>火のウサギ 【中級】</v>
      </c>
      <c r="G55" s="32">
        <v>3</v>
      </c>
      <c r="H55" s="20" t="str">
        <f t="shared" si="60"/>
        <v>11102_2-3</v>
      </c>
      <c r="I55" s="31">
        <v>102</v>
      </c>
      <c r="J55" s="26" t="str">
        <f ca="1">VLOOKUP($I55,OFFSET([2]enemies!$A$1,0,0,COUNTA([2]enemies!$A:$A),MATCH(J$1,[2]enemies!$2:$2,0)-MATCH($I$1,[2]enemies!$2:$2,0)+1),MATCH(J$1,[2]enemies!$2:$2,0)-MATCH($I$1,[2]enemies!$2:$2,0)+1,FALSE)</f>
        <v>レッドラビット</v>
      </c>
      <c r="K55" s="29" t="str">
        <f ca="1">VLOOKUP($I55,OFFSET([2]enemies!$A$1,0,0,COUNTA([2]enemies!$A:$A),MATCH(K$1,[2]enemies!$2:$2,0)-MATCH($I$1,[2]enemies!$2:$2,0)+1),MATCH(K$1,[2]enemies!$2:$2,0)-MATCH($I$1,[2]enemies!$2:$2,0)+1,FALSE)</f>
        <v>red</v>
      </c>
      <c r="L55" s="29" t="str">
        <f ca="1">VLOOKUP($I55,OFFSET([3]characters!$A$1,0,0,COUNTA([3]characters!$A:$A),MATCH(L$1,[3]characters!$2:$2,0)-MATCH($I$1,[3]characters!$2:$2,0)+1),MATCH(L$1,[3]characters!$2:$2,0)-MATCH($I$1,[3]characters!$2:$2,0)+1,FALSE)</f>
        <v>Material</v>
      </c>
      <c r="M55" s="28" t="str">
        <f ca="1">VLOOKUP($I55,OFFSET([3]characters!$A$1,0,0,COUNTA([3]characters!$A:$A),MATCH(M$1,[3]characters!$2:$2,0)-MATCH($I$1,[3]characters!$2:$2,0)+2),MATCH(M$1,[3]characters!$2:$2,0)-MATCH($I$1,[3]characters!$2:$2,0)+2,FALSE)</f>
        <v>Unknown</v>
      </c>
      <c r="N55" s="5">
        <f ca="1">VLOOKUP($I55,OFFSET([2]enemies!$A$1,0,0,COUNTA([2]enemies!$A:$A),MATCH(N$1,[2]enemies!$2:$2,0)-MATCH($I$1,[2]enemies!$2:$2,0)+1),MATCH(N$1,[2]enemies!$2:$2,0)-MATCH($I$1,[2]enemies!$2:$2,0)+1,FALSE)</f>
        <v>15</v>
      </c>
      <c r="O55" s="6">
        <v>15</v>
      </c>
      <c r="P55" s="48">
        <v>1.8</v>
      </c>
      <c r="Q55" s="46">
        <v>1</v>
      </c>
      <c r="R55" s="6">
        <v>0</v>
      </c>
      <c r="S55" s="5" t="str">
        <f ca="1">VLOOKUP($T55,OFFSET([4]enemy_skill_sets!$B$1,0,0,COUNTA([4]enemy_skill_sets!$B:$B),MATCH(J$1,[4]enemy_skill_sets!$1:$1,0)-MATCH($T$1,[4]enemy_skill_sets!$1:$1,0)+2),MATCH(J$1,[4]enemy_skill_sets!$1:$1,0)-MATCH($T$1,[4]enemy_skill_sets!$1:$1,0)+2,FALSE)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" s="5">
        <f ca="1">VLOOKUP($I55,OFFSET([2]enemies!$A$1,0,0,COUNTA([2]enemies!$A:$A),MATCH(T$1,[2]enemies!$2:$2,0)-MATCH($I$1,[2]enemies!$2:$2,0)+1),MATCH(T$1,[2]enemies!$2:$2,0)-MATCH($I$1,[2]enemies!$2:$2,0)+1,FALSE)</f>
        <v>0</v>
      </c>
      <c r="U55" s="7">
        <v>0</v>
      </c>
      <c r="V55" s="7">
        <v>100</v>
      </c>
      <c r="W55" s="7">
        <v>0</v>
      </c>
      <c r="X55" s="26">
        <f ca="1">VLOOKUP($I55,OFFSET([2]enemies!$A$1,0,0,COUNTA([2]enemies!$A:$A),MATCH(X$1,[2]enemies!$2:$2,0)-MATCH($I$1,[2]enemies!$2:$2,0)+1),MATCH(X$1,[2]enemies!$2:$2,0)-MATCH($I$1,[2]enemies!$2:$2,0)+1,FALSE)</f>
        <v>2</v>
      </c>
      <c r="Y55" s="31">
        <v>102</v>
      </c>
      <c r="Z55" s="5" t="str">
        <f ca="1">IFERROR(VLOOKUP($Y55,OFFSET([3]characters!$A$1,0,0,COUNTA([3]characters!$A:$A),MATCH(Z$1,[3]characters!$2:$2,0)-MATCH("character_id",[3]characters!$2:$2,0)+1),MATCH(Z$1,[3]characters!$2:$2,0)-MATCH("character_id",[3]characters!$2:$2,0)+1,FALSE),"")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55" s="5">
        <f ca="1">IFERROR(VLOOKUP($Y55,OFFSET([3]characters!$A$1,0,0,COUNTA([3]characters!$A:$A),MATCH(AA$1,[3]characters!$2:$2,0)-MATCH("character_id",[3]characters!$2:$2,0)+1),MATCH(AA$1,[3]characters!$2:$2,0)-MATCH("character_id",[3]characters!$2:$2,0)+1,FALSE),"")</f>
        <v>3</v>
      </c>
      <c r="AB55" s="5" t="str">
        <f ca="1">IFERROR(VLOOKUP($Y55,OFFSET([3]characters!$A$1,0,0,COUNTA([3]characters!$A:$A),MATCH(AB$1,[3]characters!$2:$2,0)-MATCH("character_id",[3]characters!$2:$2,0)+1),MATCH(AB$1,[3]characters!$2:$2,0)-MATCH("character_id",[3]characters!$2:$2,0)+1,FALSE),"")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5" s="8">
        <v>1</v>
      </c>
      <c r="AD55" s="34">
        <f t="shared" ca="1" si="61"/>
        <v>3</v>
      </c>
      <c r="AE55" s="9">
        <v>30</v>
      </c>
      <c r="AF55" s="8">
        <v>0</v>
      </c>
      <c r="AG55" s="8">
        <v>0</v>
      </c>
      <c r="AH55" s="8">
        <v>0</v>
      </c>
      <c r="AI55" s="8">
        <v>0</v>
      </c>
      <c r="AJ55" s="8">
        <v>1</v>
      </c>
    </row>
    <row r="56" spans="1:36" ht="21" customHeight="1">
      <c r="A56" s="21" t="str">
        <f t="shared" ca="1" si="62"/>
        <v>11102_2-3/103&lt;lv15&gt;s3</v>
      </c>
      <c r="B56" s="8">
        <v>11102</v>
      </c>
      <c r="C56" s="50">
        <v>2</v>
      </c>
      <c r="D56" s="2" t="str">
        <f t="shared" si="59"/>
        <v>11102_2</v>
      </c>
      <c r="E56" s="5" t="str">
        <f ca="1">VLOOKUP($B56,OFFSET([1]quests!$A$1,0,0,COUNTA([1]quests!$A:$A),MATCH(E$1,[1]quests!$1:$1,0)-MATCH($B$1,[1]quests!$1:$1,0)+1),MATCH(E$1,[1]quests!$1:$1,0)-MATCH($B$1,[1]quests!$1:$1,0)+1,FALSE)</f>
        <v>【キャンペーン限定】 赤の素材</v>
      </c>
      <c r="F56" s="5" t="str">
        <f ca="1">VLOOKUP($D56,OFFSET([1]stages!$A$1,0,0,COUNTA([1]stages!$A:$A),MATCH(F$1,[1]stages!$2:$2,0)-MATCH($D$1,[1]stages!$2:$2,0)+1),MATCH(F$1,[1]stages!$2:$2,0)-MATCH($D$1,[1]stages!$2:$2,0)+1,FALSE)</f>
        <v>火のウサギ 【中級】</v>
      </c>
      <c r="G56" s="32">
        <v>3</v>
      </c>
      <c r="H56" s="20" t="str">
        <f t="shared" si="60"/>
        <v>11102_2-3</v>
      </c>
      <c r="I56" s="31">
        <v>103</v>
      </c>
      <c r="J56" s="26" t="str">
        <f ca="1">VLOOKUP($I56,OFFSET([2]enemies!$A$1,0,0,COUNTA([2]enemies!$A:$A),MATCH(J$1,[2]enemies!$2:$2,0)-MATCH($I$1,[2]enemies!$2:$2,0)+1),MATCH(J$1,[2]enemies!$2:$2,0)-MATCH($I$1,[2]enemies!$2:$2,0)+1,FALSE)</f>
        <v>レッドキャタップ</v>
      </c>
      <c r="K56" s="29" t="str">
        <f ca="1">VLOOKUP($I56,OFFSET([2]enemies!$A$1,0,0,COUNTA([2]enemies!$A:$A),MATCH(K$1,[2]enemies!$2:$2,0)-MATCH($I$1,[2]enemies!$2:$2,0)+1),MATCH(K$1,[2]enemies!$2:$2,0)-MATCH($I$1,[2]enemies!$2:$2,0)+1,FALSE)</f>
        <v>red</v>
      </c>
      <c r="L56" s="29" t="str">
        <f ca="1">VLOOKUP($I56,OFFSET([3]characters!$A$1,0,0,COUNTA([3]characters!$A:$A),MATCH(L$1,[3]characters!$2:$2,0)-MATCH($I$1,[3]characters!$2:$2,0)+1),MATCH(L$1,[3]characters!$2:$2,0)-MATCH($I$1,[3]characters!$2:$2,0)+1,FALSE)</f>
        <v>Material</v>
      </c>
      <c r="M56" s="28" t="str">
        <f ca="1">VLOOKUP($I56,OFFSET([3]characters!$A$1,0,0,COUNTA([3]characters!$A:$A),MATCH(M$1,[3]characters!$2:$2,0)-MATCH($I$1,[3]characters!$2:$2,0)+2),MATCH(M$1,[3]characters!$2:$2,0)-MATCH($I$1,[3]characters!$2:$2,0)+2,FALSE)</f>
        <v>Unknown</v>
      </c>
      <c r="N56" s="5">
        <f ca="1">VLOOKUP($I56,OFFSET([2]enemies!$A$1,0,0,COUNTA([2]enemies!$A:$A),MATCH(N$1,[2]enemies!$2:$2,0)-MATCH($I$1,[2]enemies!$2:$2,0)+1),MATCH(N$1,[2]enemies!$2:$2,0)-MATCH($I$1,[2]enemies!$2:$2,0)+1,FALSE)</f>
        <v>15</v>
      </c>
      <c r="O56" s="6">
        <v>15</v>
      </c>
      <c r="P56" s="46">
        <v>2</v>
      </c>
      <c r="Q56" s="46">
        <v>1</v>
      </c>
      <c r="R56" s="6">
        <v>0</v>
      </c>
      <c r="S56" s="5" t="str">
        <f ca="1">VLOOKUP($T56,OFFSET([4]enemy_skill_sets!$B$1,0,0,COUNTA([4]enemy_skill_sets!$B:$B),MATCH(J$1,[4]enemy_skill_sets!$1:$1,0)-MATCH($T$1,[4]enemy_skill_sets!$1:$1,0)+2),MATCH(J$1,[4]enemy_skill_sets!$1:$1,0)-MATCH($T$1,[4]enemy_skill_sets!$1:$1,0)+2,FALSE)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6" s="5">
        <f ca="1">VLOOKUP($I56,OFFSET([2]enemies!$A$1,0,0,COUNTA([2]enemies!$A:$A),MATCH(T$1,[2]enemies!$2:$2,0)-MATCH($I$1,[2]enemies!$2:$2,0)+1),MATCH(T$1,[2]enemies!$2:$2,0)-MATCH($I$1,[2]enemies!$2:$2,0)+1,FALSE)</f>
        <v>0</v>
      </c>
      <c r="U56" s="7">
        <v>0</v>
      </c>
      <c r="V56" s="7">
        <v>25</v>
      </c>
      <c r="W56" s="7">
        <v>0</v>
      </c>
      <c r="X56" s="26">
        <f ca="1">VLOOKUP($I56,OFFSET([2]enemies!$A$1,0,0,COUNTA([2]enemies!$A:$A),MATCH(X$1,[2]enemies!$2:$2,0)-MATCH($I$1,[2]enemies!$2:$2,0)+1),MATCH(X$1,[2]enemies!$2:$2,0)-MATCH($I$1,[2]enemies!$2:$2,0)+1,FALSE)</f>
        <v>3</v>
      </c>
      <c r="Y56" s="31">
        <v>103</v>
      </c>
      <c r="Z56" s="5" t="str">
        <f ca="1">IFERROR(VLOOKUP($Y56,OFFSET([3]characters!$A$1,0,0,COUNTA([3]characters!$A:$A),MATCH(Z$1,[3]characters!$2:$2,0)-MATCH("character_id",[3]characters!$2:$2,0)+1),MATCH(Z$1,[3]characters!$2:$2,0)-MATCH("character_id",[3]characters!$2:$2,0)+1,FALSE),"")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56" s="5">
        <f ca="1">IFERROR(VLOOKUP($Y56,OFFSET([3]characters!$A$1,0,0,COUNTA([3]characters!$A:$A),MATCH(AA$1,[3]characters!$2:$2,0)-MATCH("character_id",[3]characters!$2:$2,0)+1),MATCH(AA$1,[3]characters!$2:$2,0)-MATCH("character_id",[3]characters!$2:$2,0)+1,FALSE),"")</f>
        <v>4</v>
      </c>
      <c r="AB56" s="5" t="str">
        <f ca="1">IFERROR(VLOOKUP($Y56,OFFSET([3]characters!$A$1,0,0,COUNTA([3]characters!$A:$A),MATCH(AB$1,[3]characters!$2:$2,0)-MATCH("character_id",[3]characters!$2:$2,0)+1),MATCH(AB$1,[3]characters!$2:$2,0)-MATCH("character_id",[3]characters!$2:$2,0)+1,FALSE),"")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6" s="8">
        <v>1</v>
      </c>
      <c r="AD56" s="34">
        <f t="shared" ca="1" si="61"/>
        <v>4</v>
      </c>
      <c r="AE56" s="9">
        <v>5</v>
      </c>
      <c r="AF56" s="8">
        <v>0</v>
      </c>
      <c r="AG56" s="8">
        <v>0</v>
      </c>
      <c r="AH56" s="8">
        <v>0</v>
      </c>
      <c r="AI56" s="8">
        <v>0</v>
      </c>
      <c r="AJ56" s="8">
        <v>1</v>
      </c>
    </row>
    <row r="57" spans="1:36" ht="21" customHeight="1">
      <c r="A57" s="21" t="str">
        <f t="shared" ca="1" si="62"/>
        <v>11102_2-4/102&lt;lv15&gt;s2</v>
      </c>
      <c r="B57" s="8">
        <v>11102</v>
      </c>
      <c r="C57" s="50">
        <v>2</v>
      </c>
      <c r="D57" s="2" t="str">
        <f t="shared" si="59"/>
        <v>11102_2</v>
      </c>
      <c r="E57" s="5" t="str">
        <f ca="1">VLOOKUP($B57,OFFSET([1]quests!$A$1,0,0,COUNTA([1]quests!$A:$A),MATCH(E$1,[1]quests!$1:$1,0)-MATCH($B$1,[1]quests!$1:$1,0)+1),MATCH(E$1,[1]quests!$1:$1,0)-MATCH($B$1,[1]quests!$1:$1,0)+1,FALSE)</f>
        <v>【キャンペーン限定】 赤の素材</v>
      </c>
      <c r="F57" s="5" t="str">
        <f ca="1">VLOOKUP($D57,OFFSET([1]stages!$A$1,0,0,COUNTA([1]stages!$A:$A),MATCH(F$1,[1]stages!$2:$2,0)-MATCH($D$1,[1]stages!$2:$2,0)+1),MATCH(F$1,[1]stages!$2:$2,0)-MATCH($D$1,[1]stages!$2:$2,0)+1,FALSE)</f>
        <v>火のウサギ 【中級】</v>
      </c>
      <c r="G57" s="32">
        <v>4</v>
      </c>
      <c r="H57" s="20" t="str">
        <f t="shared" si="60"/>
        <v>11102_2-4</v>
      </c>
      <c r="I57" s="31">
        <v>102</v>
      </c>
      <c r="J57" s="26" t="str">
        <f ca="1">VLOOKUP($I57,OFFSET([2]enemies!$A$1,0,0,COUNTA([2]enemies!$A:$A),MATCH(J$1,[2]enemies!$2:$2,0)-MATCH($I$1,[2]enemies!$2:$2,0)+1),MATCH(J$1,[2]enemies!$2:$2,0)-MATCH($I$1,[2]enemies!$2:$2,0)+1,FALSE)</f>
        <v>レッドラビット</v>
      </c>
      <c r="K57" s="29" t="str">
        <f ca="1">VLOOKUP($I57,OFFSET([2]enemies!$A$1,0,0,COUNTA([2]enemies!$A:$A),MATCH(K$1,[2]enemies!$2:$2,0)-MATCH($I$1,[2]enemies!$2:$2,0)+1),MATCH(K$1,[2]enemies!$2:$2,0)-MATCH($I$1,[2]enemies!$2:$2,0)+1,FALSE)</f>
        <v>red</v>
      </c>
      <c r="L57" s="29" t="str">
        <f ca="1">VLOOKUP($I57,OFFSET([3]characters!$A$1,0,0,COUNTA([3]characters!$A:$A),MATCH(L$1,[3]characters!$2:$2,0)-MATCH($I$1,[3]characters!$2:$2,0)+1),MATCH(L$1,[3]characters!$2:$2,0)-MATCH($I$1,[3]characters!$2:$2,0)+1,FALSE)</f>
        <v>Material</v>
      </c>
      <c r="M57" s="28" t="str">
        <f ca="1">VLOOKUP($I57,OFFSET([3]characters!$A$1,0,0,COUNTA([3]characters!$A:$A),MATCH(M$1,[3]characters!$2:$2,0)-MATCH($I$1,[3]characters!$2:$2,0)+2),MATCH(M$1,[3]characters!$2:$2,0)-MATCH($I$1,[3]characters!$2:$2,0)+2,FALSE)</f>
        <v>Unknown</v>
      </c>
      <c r="N57" s="5">
        <f ca="1">VLOOKUP($I57,OFFSET([2]enemies!$A$1,0,0,COUNTA([2]enemies!$A:$A),MATCH(N$1,[2]enemies!$2:$2,0)-MATCH($I$1,[2]enemies!$2:$2,0)+1),MATCH(N$1,[2]enemies!$2:$2,0)-MATCH($I$1,[2]enemies!$2:$2,0)+1,FALSE)</f>
        <v>15</v>
      </c>
      <c r="O57" s="6">
        <v>15</v>
      </c>
      <c r="P57" s="48">
        <v>1.8</v>
      </c>
      <c r="Q57" s="46">
        <v>1</v>
      </c>
      <c r="R57" s="6">
        <v>0</v>
      </c>
      <c r="S57" s="5" t="str">
        <f ca="1">VLOOKUP($T57,OFFSET([4]enemy_skill_sets!$B$1,0,0,COUNTA([4]enemy_skill_sets!$B:$B),MATCH(J$1,[4]enemy_skill_sets!$1:$1,0)-MATCH($T$1,[4]enemy_skill_sets!$1:$1,0)+2),MATCH(J$1,[4]enemy_skill_sets!$1:$1,0)-MATCH($T$1,[4]enemy_skill_sets!$1:$1,0)+2,FALSE)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7" s="5">
        <f ca="1">VLOOKUP($I57,OFFSET([2]enemies!$A$1,0,0,COUNTA([2]enemies!$A:$A),MATCH(T$1,[2]enemies!$2:$2,0)-MATCH($I$1,[2]enemies!$2:$2,0)+1),MATCH(T$1,[2]enemies!$2:$2,0)-MATCH($I$1,[2]enemies!$2:$2,0)+1,FALSE)</f>
        <v>0</v>
      </c>
      <c r="U57" s="7">
        <v>0</v>
      </c>
      <c r="V57" s="7">
        <v>100</v>
      </c>
      <c r="W57" s="7">
        <v>0</v>
      </c>
      <c r="X57" s="26">
        <f ca="1">VLOOKUP($I57,OFFSET([2]enemies!$A$1,0,0,COUNTA([2]enemies!$A:$A),MATCH(X$1,[2]enemies!$2:$2,0)-MATCH($I$1,[2]enemies!$2:$2,0)+1),MATCH(X$1,[2]enemies!$2:$2,0)-MATCH($I$1,[2]enemies!$2:$2,0)+1,FALSE)</f>
        <v>2</v>
      </c>
      <c r="Y57" s="31">
        <v>102</v>
      </c>
      <c r="Z57" s="5" t="str">
        <f ca="1">IFERROR(VLOOKUP($Y57,OFFSET([3]characters!$A$1,0,0,COUNTA([3]characters!$A:$A),MATCH(Z$1,[3]characters!$2:$2,0)-MATCH("character_id",[3]characters!$2:$2,0)+1),MATCH(Z$1,[3]characters!$2:$2,0)-MATCH("character_id",[3]characters!$2:$2,0)+1,FALSE),"")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57" s="5">
        <f ca="1">IFERROR(VLOOKUP($Y57,OFFSET([3]characters!$A$1,0,0,COUNTA([3]characters!$A:$A),MATCH(AA$1,[3]characters!$2:$2,0)-MATCH("character_id",[3]characters!$2:$2,0)+1),MATCH(AA$1,[3]characters!$2:$2,0)-MATCH("character_id",[3]characters!$2:$2,0)+1,FALSE),"")</f>
        <v>3</v>
      </c>
      <c r="AB57" s="5" t="str">
        <f ca="1">IFERROR(VLOOKUP($Y57,OFFSET([3]characters!$A$1,0,0,COUNTA([3]characters!$A:$A),MATCH(AB$1,[3]characters!$2:$2,0)-MATCH("character_id",[3]characters!$2:$2,0)+1),MATCH(AB$1,[3]characters!$2:$2,0)-MATCH("character_id",[3]characters!$2:$2,0)+1,FALSE),"")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7" s="8">
        <v>1</v>
      </c>
      <c r="AD57" s="34">
        <f t="shared" ca="1" si="61"/>
        <v>3</v>
      </c>
      <c r="AE57" s="9">
        <v>30</v>
      </c>
      <c r="AF57" s="8">
        <v>0</v>
      </c>
      <c r="AG57" s="8">
        <v>0</v>
      </c>
      <c r="AH57" s="8">
        <v>0</v>
      </c>
      <c r="AI57" s="8">
        <v>0</v>
      </c>
      <c r="AJ57" s="8">
        <v>1</v>
      </c>
    </row>
    <row r="58" spans="1:36" ht="21" customHeight="1">
      <c r="A58" s="21" t="str">
        <f t="shared" ca="1" si="62"/>
        <v>11102_2-4/103&lt;lv15&gt;s3</v>
      </c>
      <c r="B58" s="8">
        <v>11102</v>
      </c>
      <c r="C58" s="50">
        <v>2</v>
      </c>
      <c r="D58" s="2" t="str">
        <f t="shared" si="59"/>
        <v>11102_2</v>
      </c>
      <c r="E58" s="5" t="str">
        <f ca="1">VLOOKUP($B58,OFFSET([1]quests!$A$1,0,0,COUNTA([1]quests!$A:$A),MATCH(E$1,[1]quests!$1:$1,0)-MATCH($B$1,[1]quests!$1:$1,0)+1),MATCH(E$1,[1]quests!$1:$1,0)-MATCH($B$1,[1]quests!$1:$1,0)+1,FALSE)</f>
        <v>【キャンペーン限定】 赤の素材</v>
      </c>
      <c r="F58" s="5" t="str">
        <f ca="1">VLOOKUP($D58,OFFSET([1]stages!$A$1,0,0,COUNTA([1]stages!$A:$A),MATCH(F$1,[1]stages!$2:$2,0)-MATCH($D$1,[1]stages!$2:$2,0)+1),MATCH(F$1,[1]stages!$2:$2,0)-MATCH($D$1,[1]stages!$2:$2,0)+1,FALSE)</f>
        <v>火のウサギ 【中級】</v>
      </c>
      <c r="G58" s="32">
        <v>4</v>
      </c>
      <c r="H58" s="20" t="str">
        <f t="shared" si="60"/>
        <v>11102_2-4</v>
      </c>
      <c r="I58" s="31">
        <v>103</v>
      </c>
      <c r="J58" s="26" t="str">
        <f ca="1">VLOOKUP($I58,OFFSET([2]enemies!$A$1,0,0,COUNTA([2]enemies!$A:$A),MATCH(J$1,[2]enemies!$2:$2,0)-MATCH($I$1,[2]enemies!$2:$2,0)+1),MATCH(J$1,[2]enemies!$2:$2,0)-MATCH($I$1,[2]enemies!$2:$2,0)+1,FALSE)</f>
        <v>レッドキャタップ</v>
      </c>
      <c r="K58" s="29" t="str">
        <f ca="1">VLOOKUP($I58,OFFSET([2]enemies!$A$1,0,0,COUNTA([2]enemies!$A:$A),MATCH(K$1,[2]enemies!$2:$2,0)-MATCH($I$1,[2]enemies!$2:$2,0)+1),MATCH(K$1,[2]enemies!$2:$2,0)-MATCH($I$1,[2]enemies!$2:$2,0)+1,FALSE)</f>
        <v>red</v>
      </c>
      <c r="L58" s="29" t="str">
        <f ca="1">VLOOKUP($I58,OFFSET([3]characters!$A$1,0,0,COUNTA([3]characters!$A:$A),MATCH(L$1,[3]characters!$2:$2,0)-MATCH($I$1,[3]characters!$2:$2,0)+1),MATCH(L$1,[3]characters!$2:$2,0)-MATCH($I$1,[3]characters!$2:$2,0)+1,FALSE)</f>
        <v>Material</v>
      </c>
      <c r="M58" s="28" t="str">
        <f ca="1">VLOOKUP($I58,OFFSET([3]characters!$A$1,0,0,COUNTA([3]characters!$A:$A),MATCH(M$1,[3]characters!$2:$2,0)-MATCH($I$1,[3]characters!$2:$2,0)+2),MATCH(M$1,[3]characters!$2:$2,0)-MATCH($I$1,[3]characters!$2:$2,0)+2,FALSE)</f>
        <v>Unknown</v>
      </c>
      <c r="N58" s="5">
        <f ca="1">VLOOKUP($I58,OFFSET([2]enemies!$A$1,0,0,COUNTA([2]enemies!$A:$A),MATCH(N$1,[2]enemies!$2:$2,0)-MATCH($I$1,[2]enemies!$2:$2,0)+1),MATCH(N$1,[2]enemies!$2:$2,0)-MATCH($I$1,[2]enemies!$2:$2,0)+1,FALSE)</f>
        <v>15</v>
      </c>
      <c r="O58" s="6">
        <v>15</v>
      </c>
      <c r="P58" s="46">
        <v>2</v>
      </c>
      <c r="Q58" s="46">
        <v>1</v>
      </c>
      <c r="R58" s="6">
        <v>0</v>
      </c>
      <c r="S58" s="5" t="str">
        <f ca="1">VLOOKUP($T58,OFFSET([4]enemy_skill_sets!$B$1,0,0,COUNTA([4]enemy_skill_sets!$B:$B),MATCH(J$1,[4]enemy_skill_sets!$1:$1,0)-MATCH($T$1,[4]enemy_skill_sets!$1:$1,0)+2),MATCH(J$1,[4]enemy_skill_sets!$1:$1,0)-MATCH($T$1,[4]enemy_skill_sets!$1:$1,0)+2,FALSE)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" s="5">
        <f ca="1">VLOOKUP($I58,OFFSET([2]enemies!$A$1,0,0,COUNTA([2]enemies!$A:$A),MATCH(T$1,[2]enemies!$2:$2,0)-MATCH($I$1,[2]enemies!$2:$2,0)+1),MATCH(T$1,[2]enemies!$2:$2,0)-MATCH($I$1,[2]enemies!$2:$2,0)+1,FALSE)</f>
        <v>0</v>
      </c>
      <c r="U58" s="7">
        <v>0</v>
      </c>
      <c r="V58" s="7">
        <v>25</v>
      </c>
      <c r="W58" s="7">
        <v>0</v>
      </c>
      <c r="X58" s="26">
        <f ca="1">VLOOKUP($I58,OFFSET([2]enemies!$A$1,0,0,COUNTA([2]enemies!$A:$A),MATCH(X$1,[2]enemies!$2:$2,0)-MATCH($I$1,[2]enemies!$2:$2,0)+1),MATCH(X$1,[2]enemies!$2:$2,0)-MATCH($I$1,[2]enemies!$2:$2,0)+1,FALSE)</f>
        <v>3</v>
      </c>
      <c r="Y58" s="31">
        <v>103</v>
      </c>
      <c r="Z58" s="5" t="str">
        <f ca="1">IFERROR(VLOOKUP($Y58,OFFSET([3]characters!$A$1,0,0,COUNTA([3]characters!$A:$A),MATCH(Z$1,[3]characters!$2:$2,0)-MATCH("character_id",[3]characters!$2:$2,0)+1),MATCH(Z$1,[3]characters!$2:$2,0)-MATCH("character_id",[3]characters!$2:$2,0)+1,FALSE),"")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58" s="5">
        <f ca="1">IFERROR(VLOOKUP($Y58,OFFSET([3]characters!$A$1,0,0,COUNTA([3]characters!$A:$A),MATCH(AA$1,[3]characters!$2:$2,0)-MATCH("character_id",[3]characters!$2:$2,0)+1),MATCH(AA$1,[3]characters!$2:$2,0)-MATCH("character_id",[3]characters!$2:$2,0)+1,FALSE),"")</f>
        <v>4</v>
      </c>
      <c r="AB58" s="5" t="str">
        <f ca="1">IFERROR(VLOOKUP($Y58,OFFSET([3]characters!$A$1,0,0,COUNTA([3]characters!$A:$A),MATCH(AB$1,[3]characters!$2:$2,0)-MATCH("character_id",[3]characters!$2:$2,0)+1),MATCH(AB$1,[3]characters!$2:$2,0)-MATCH("character_id",[3]characters!$2:$2,0)+1,FALSE),"")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8" s="8">
        <v>1</v>
      </c>
      <c r="AD58" s="34">
        <f t="shared" ca="1" si="61"/>
        <v>4</v>
      </c>
      <c r="AE58" s="9">
        <v>5</v>
      </c>
      <c r="AF58" s="8">
        <v>0</v>
      </c>
      <c r="AG58" s="8">
        <v>0</v>
      </c>
      <c r="AH58" s="8">
        <v>0</v>
      </c>
      <c r="AI58" s="8">
        <v>0</v>
      </c>
      <c r="AJ58" s="8">
        <v>1</v>
      </c>
    </row>
    <row r="59" spans="1:36" ht="21" customHeight="1">
      <c r="A59" s="21" t="str">
        <f t="shared" ca="1" si="62"/>
        <v>11102_2-5/102&lt;lv15&gt;s2</v>
      </c>
      <c r="B59" s="8">
        <v>11102</v>
      </c>
      <c r="C59" s="50">
        <v>2</v>
      </c>
      <c r="D59" s="2" t="str">
        <f t="shared" si="59"/>
        <v>11102_2</v>
      </c>
      <c r="E59" s="5" t="str">
        <f ca="1">VLOOKUP($B59,OFFSET([1]quests!$A$1,0,0,COUNTA([1]quests!$A:$A),MATCH(E$1,[1]quests!$1:$1,0)-MATCH($B$1,[1]quests!$1:$1,0)+1),MATCH(E$1,[1]quests!$1:$1,0)-MATCH($B$1,[1]quests!$1:$1,0)+1,FALSE)</f>
        <v>【キャンペーン限定】 赤の素材</v>
      </c>
      <c r="F59" s="5" t="str">
        <f ca="1">VLOOKUP($D59,OFFSET([1]stages!$A$1,0,0,COUNTA([1]stages!$A:$A),MATCH(F$1,[1]stages!$2:$2,0)-MATCH($D$1,[1]stages!$2:$2,0)+1),MATCH(F$1,[1]stages!$2:$2,0)-MATCH($D$1,[1]stages!$2:$2,0)+1,FALSE)</f>
        <v>火のウサギ 【中級】</v>
      </c>
      <c r="G59" s="32">
        <v>5</v>
      </c>
      <c r="H59" s="20" t="str">
        <f t="shared" si="60"/>
        <v>11102_2-5</v>
      </c>
      <c r="I59" s="31">
        <v>102</v>
      </c>
      <c r="J59" s="26" t="str">
        <f ca="1">VLOOKUP($I59,OFFSET([2]enemies!$A$1,0,0,COUNTA([2]enemies!$A:$A),MATCH(J$1,[2]enemies!$2:$2,0)-MATCH($I$1,[2]enemies!$2:$2,0)+1),MATCH(J$1,[2]enemies!$2:$2,0)-MATCH($I$1,[2]enemies!$2:$2,0)+1,FALSE)</f>
        <v>レッドラビット</v>
      </c>
      <c r="K59" s="29" t="str">
        <f ca="1">VLOOKUP($I59,OFFSET([2]enemies!$A$1,0,0,COUNTA([2]enemies!$A:$A),MATCH(K$1,[2]enemies!$2:$2,0)-MATCH($I$1,[2]enemies!$2:$2,0)+1),MATCH(K$1,[2]enemies!$2:$2,0)-MATCH($I$1,[2]enemies!$2:$2,0)+1,FALSE)</f>
        <v>red</v>
      </c>
      <c r="L59" s="29" t="str">
        <f ca="1">VLOOKUP($I59,OFFSET([3]characters!$A$1,0,0,COUNTA([3]characters!$A:$A),MATCH(L$1,[3]characters!$2:$2,0)-MATCH($I$1,[3]characters!$2:$2,0)+1),MATCH(L$1,[3]characters!$2:$2,0)-MATCH($I$1,[3]characters!$2:$2,0)+1,FALSE)</f>
        <v>Material</v>
      </c>
      <c r="M59" s="28" t="str">
        <f ca="1">VLOOKUP($I59,OFFSET([3]characters!$A$1,0,0,COUNTA([3]characters!$A:$A),MATCH(M$1,[3]characters!$2:$2,0)-MATCH($I$1,[3]characters!$2:$2,0)+2),MATCH(M$1,[3]characters!$2:$2,0)-MATCH($I$1,[3]characters!$2:$2,0)+2,FALSE)</f>
        <v>Unknown</v>
      </c>
      <c r="N59" s="5">
        <f ca="1">VLOOKUP($I59,OFFSET([2]enemies!$A$1,0,0,COUNTA([2]enemies!$A:$A),MATCH(N$1,[2]enemies!$2:$2,0)-MATCH($I$1,[2]enemies!$2:$2,0)+1),MATCH(N$1,[2]enemies!$2:$2,0)-MATCH($I$1,[2]enemies!$2:$2,0)+1,FALSE)</f>
        <v>15</v>
      </c>
      <c r="O59" s="6">
        <v>15</v>
      </c>
      <c r="P59" s="48">
        <v>1.8</v>
      </c>
      <c r="Q59" s="46">
        <v>1</v>
      </c>
      <c r="R59" s="6">
        <v>0</v>
      </c>
      <c r="S59" s="5" t="str">
        <f ca="1">VLOOKUP($T59,OFFSET([4]enemy_skill_sets!$B$1,0,0,COUNTA([4]enemy_skill_sets!$B:$B),MATCH(J$1,[4]enemy_skill_sets!$1:$1,0)-MATCH($T$1,[4]enemy_skill_sets!$1:$1,0)+2),MATCH(J$1,[4]enemy_skill_sets!$1:$1,0)-MATCH($T$1,[4]enemy_skill_sets!$1:$1,0)+2,FALSE)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" s="5">
        <f ca="1">VLOOKUP($I59,OFFSET([2]enemies!$A$1,0,0,COUNTA([2]enemies!$A:$A),MATCH(T$1,[2]enemies!$2:$2,0)-MATCH($I$1,[2]enemies!$2:$2,0)+1),MATCH(T$1,[2]enemies!$2:$2,0)-MATCH($I$1,[2]enemies!$2:$2,0)+1,FALSE)</f>
        <v>0</v>
      </c>
      <c r="U59" s="7">
        <v>2</v>
      </c>
      <c r="V59" s="7">
        <v>100</v>
      </c>
      <c r="W59" s="7">
        <v>0</v>
      </c>
      <c r="X59" s="26">
        <f ca="1">VLOOKUP($I59,OFFSET([2]enemies!$A$1,0,0,COUNTA([2]enemies!$A:$A),MATCH(X$1,[2]enemies!$2:$2,0)-MATCH($I$1,[2]enemies!$2:$2,0)+1),MATCH(X$1,[2]enemies!$2:$2,0)-MATCH($I$1,[2]enemies!$2:$2,0)+1,FALSE)</f>
        <v>2</v>
      </c>
      <c r="Y59" s="31">
        <v>102</v>
      </c>
      <c r="Z59" s="5" t="str">
        <f ca="1">IFERROR(VLOOKUP($Y59,OFFSET([3]characters!$A$1,0,0,COUNTA([3]characters!$A:$A),MATCH(Z$1,[3]characters!$2:$2,0)-MATCH("character_id",[3]characters!$2:$2,0)+1),MATCH(Z$1,[3]characters!$2:$2,0)-MATCH("character_id",[3]characters!$2:$2,0)+1,FALSE),"")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59" s="5">
        <f ca="1">IFERROR(VLOOKUP($Y59,OFFSET([3]characters!$A$1,0,0,COUNTA([3]characters!$A:$A),MATCH(AA$1,[3]characters!$2:$2,0)-MATCH("character_id",[3]characters!$2:$2,0)+1),MATCH(AA$1,[3]characters!$2:$2,0)-MATCH("character_id",[3]characters!$2:$2,0)+1,FALSE),"")</f>
        <v>3</v>
      </c>
      <c r="AB59" s="5" t="str">
        <f ca="1">IFERROR(VLOOKUP($Y59,OFFSET([3]characters!$A$1,0,0,COUNTA([3]characters!$A:$A),MATCH(AB$1,[3]characters!$2:$2,0)-MATCH("character_id",[3]characters!$2:$2,0)+1),MATCH(AB$1,[3]characters!$2:$2,0)-MATCH("character_id",[3]characters!$2:$2,0)+1,FALSE),"")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9" s="8">
        <v>1</v>
      </c>
      <c r="AD59" s="34">
        <f t="shared" ca="1" si="61"/>
        <v>3</v>
      </c>
      <c r="AE59" s="9">
        <v>100</v>
      </c>
      <c r="AF59" s="8">
        <v>0</v>
      </c>
      <c r="AG59" s="8">
        <v>0</v>
      </c>
      <c r="AH59" s="8">
        <v>0</v>
      </c>
      <c r="AI59" s="8">
        <v>0</v>
      </c>
      <c r="AJ59" s="8">
        <v>1</v>
      </c>
    </row>
    <row r="60" spans="1:36" ht="21" customHeight="1">
      <c r="A60" s="21" t="str">
        <f t="shared" ca="1" si="62"/>
        <v>11102_2-5/50&lt;lv18&gt;s2</v>
      </c>
      <c r="B60" s="8">
        <v>11102</v>
      </c>
      <c r="C60" s="50">
        <v>2</v>
      </c>
      <c r="D60" s="2" t="str">
        <f t="shared" si="59"/>
        <v>11102_2</v>
      </c>
      <c r="E60" s="5" t="str">
        <f ca="1">VLOOKUP($B60,OFFSET([1]quests!$A$1,0,0,COUNTA([1]quests!$A:$A),MATCH(E$1,[1]quests!$1:$1,0)-MATCH($B$1,[1]quests!$1:$1,0)+1),MATCH(E$1,[1]quests!$1:$1,0)-MATCH($B$1,[1]quests!$1:$1,0)+1,FALSE)</f>
        <v>【キャンペーン限定】 赤の素材</v>
      </c>
      <c r="F60" s="5" t="str">
        <f ca="1">VLOOKUP($D60,OFFSET([1]stages!$A$1,0,0,COUNTA([1]stages!$A:$A),MATCH(F$1,[1]stages!$2:$2,0)-MATCH($D$1,[1]stages!$2:$2,0)+1),MATCH(F$1,[1]stages!$2:$2,0)-MATCH($D$1,[1]stages!$2:$2,0)+1,FALSE)</f>
        <v>火のウサギ 【中級】</v>
      </c>
      <c r="G60" s="32">
        <v>5</v>
      </c>
      <c r="H60" s="20" t="str">
        <f t="shared" si="60"/>
        <v>11102_2-5</v>
      </c>
      <c r="I60" s="31">
        <v>50</v>
      </c>
      <c r="J60" s="26" t="str">
        <f ca="1">VLOOKUP($I60,OFFSET([2]enemies!$A$1,0,0,COUNTA([2]enemies!$A:$A),MATCH(J$1,[2]enemies!$2:$2,0)-MATCH($I$1,[2]enemies!$2:$2,0)+1),MATCH(J$1,[2]enemies!$2:$2,0)-MATCH($I$1,[2]enemies!$2:$2,0)+1,FALSE)</f>
        <v>炎銃のレジスタンス ヨシタカ</v>
      </c>
      <c r="K60" s="29" t="str">
        <f ca="1">VLOOKUP($I60,OFFSET([2]enemies!$A$1,0,0,COUNTA([2]enemies!$A:$A),MATCH(K$1,[2]enemies!$2:$2,0)-MATCH($I$1,[2]enemies!$2:$2,0)+1),MATCH(K$1,[2]enemies!$2:$2,0)-MATCH($I$1,[2]enemies!$2:$2,0)+1,FALSE)</f>
        <v>red</v>
      </c>
      <c r="L60" s="29" t="str">
        <f ca="1">VLOOKUP($I60,OFFSET([3]characters!$A$1,0,0,COUNTA([3]characters!$A:$A),MATCH(L$1,[3]characters!$2:$2,0)-MATCH($I$1,[3]characters!$2:$2,0)+1),MATCH(L$1,[3]characters!$2:$2,0)-MATCH($I$1,[3]characters!$2:$2,0)+1,FALSE)</f>
        <v>Drop1N</v>
      </c>
      <c r="M60" s="28" t="str">
        <f ca="1">VLOOKUP($I60,OFFSET([3]characters!$A$1,0,0,COUNTA([3]characters!$A:$A),MATCH(M$1,[3]characters!$2:$2,0)-MATCH($I$1,[3]characters!$2:$2,0)+2),MATCH(M$1,[3]characters!$2:$2,0)-MATCH($I$1,[3]characters!$2:$2,0)+2,FALSE)</f>
        <v>ヒューマン</v>
      </c>
      <c r="N60" s="5">
        <f ca="1">VLOOKUP($I60,OFFSET([2]enemies!$A$1,0,0,COUNTA([2]enemies!$A:$A),MATCH(N$1,[2]enemies!$2:$2,0)-MATCH($I$1,[2]enemies!$2:$2,0)+1),MATCH(N$1,[2]enemies!$2:$2,0)-MATCH($I$1,[2]enemies!$2:$2,0)+1,FALSE)</f>
        <v>20</v>
      </c>
      <c r="O60" s="6">
        <v>18</v>
      </c>
      <c r="P60" s="46">
        <v>1</v>
      </c>
      <c r="Q60" s="46">
        <v>1</v>
      </c>
      <c r="R60" s="6">
        <v>0</v>
      </c>
      <c r="S60" s="5" t="str">
        <f ca="1">VLOOKUP($T60,OFFSET([4]enemy_skill_sets!$B$1,0,0,COUNTA([4]enemy_skill_sets!$B:$B),MATCH(J$1,[4]enemy_skill_sets!$1:$1,0)-MATCH($T$1,[4]enemy_skill_sets!$1:$1,0)+2),MATCH(J$1,[4]enemy_skill_sets!$1:$1,0)-MATCH($T$1,[4]enemy_skill_sets!$1:$1,0)+2,FALSE)</f>
        <v>5ターンの間ダメージを受ける</v>
      </c>
      <c r="T60" s="5">
        <f ca="1">VLOOKUP($I60,OFFSET([2]enemies!$A$1,0,0,COUNTA([2]enemies!$A:$A),MATCH(T$1,[2]enemies!$2:$2,0)-MATCH($I$1,[2]enemies!$2:$2,0)+1),MATCH(T$1,[2]enemies!$2:$2,0)-MATCH($I$1,[2]enemies!$2:$2,0)+1,FALSE)</f>
        <v>50</v>
      </c>
      <c r="U60" s="7">
        <v>0</v>
      </c>
      <c r="V60" s="7">
        <v>100</v>
      </c>
      <c r="W60" s="7">
        <v>1</v>
      </c>
      <c r="X60" s="26">
        <f ca="1">VLOOKUP($I60,OFFSET([2]enemies!$A$1,0,0,COUNTA([2]enemies!$A:$A),MATCH(X$1,[2]enemies!$2:$2,0)-MATCH($I$1,[2]enemies!$2:$2,0)+1),MATCH(X$1,[2]enemies!$2:$2,0)-MATCH($I$1,[2]enemies!$2:$2,0)+1,FALSE)</f>
        <v>2</v>
      </c>
      <c r="Y60" s="31">
        <v>49</v>
      </c>
      <c r="Z60" s="5" t="str">
        <f ca="1">IFERROR(VLOOKUP($Y60,OFFSET([3]characters!$A$1,0,0,COUNTA([3]characters!$A:$A),MATCH(Z$1,[3]characters!$2:$2,0)-MATCH("character_id",[3]characters!$2:$2,0)+1),MATCH(Z$1,[3]characters!$2:$2,0)-MATCH("character_id",[3]characters!$2:$2,0)+1,FALSE),"")</f>
        <v>ヨシタカ</v>
      </c>
      <c r="AA60" s="5">
        <f ca="1">IFERROR(VLOOKUP($Y60,OFFSET([3]characters!$A$1,0,0,COUNTA([3]characters!$A:$A),MATCH(AA$1,[3]characters!$2:$2,0)-MATCH("character_id",[3]characters!$2:$2,0)+1),MATCH(AA$1,[3]characters!$2:$2,0)-MATCH("character_id",[3]characters!$2:$2,0)+1,FALSE),"")</f>
        <v>2</v>
      </c>
      <c r="AB60" s="5" t="str">
        <f ca="1">IFERROR(VLOOKUP($Y60,OFFSET([3]characters!$A$1,0,0,COUNTA([3]characters!$A:$A),MATCH(AB$1,[3]characters!$2:$2,0)-MATCH("character_id",[3]characters!$2:$2,0)+1),MATCH(AB$1,[3]characters!$2:$2,0)-MATCH("character_id",[3]characters!$2:$2,0)+1,FALSE),"")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0" s="8">
        <v>1</v>
      </c>
      <c r="AD60" s="34">
        <f t="shared" ca="1" si="61"/>
        <v>2</v>
      </c>
      <c r="AE60" s="9">
        <v>0</v>
      </c>
      <c r="AF60" s="8">
        <v>0</v>
      </c>
      <c r="AG60" s="8">
        <v>0</v>
      </c>
      <c r="AH60" s="8">
        <v>0</v>
      </c>
      <c r="AI60" s="8">
        <v>0</v>
      </c>
      <c r="AJ60" s="8">
        <v>1</v>
      </c>
    </row>
    <row r="61" spans="1:36" ht="21" customHeight="1">
      <c r="A61" s="21" t="str">
        <f t="shared" ca="1" si="62"/>
        <v>11102_2-5/42&lt;lv18&gt;s1</v>
      </c>
      <c r="B61" s="8">
        <v>11102</v>
      </c>
      <c r="C61" s="50">
        <v>2</v>
      </c>
      <c r="D61" s="2" t="str">
        <f t="shared" si="59"/>
        <v>11102_2</v>
      </c>
      <c r="E61" s="5" t="str">
        <f ca="1">VLOOKUP($B61,OFFSET([1]quests!$A$1,0,0,COUNTA([1]quests!$A:$A),MATCH(E$1,[1]quests!$1:$1,0)-MATCH($B$1,[1]quests!$1:$1,0)+1),MATCH(E$1,[1]quests!$1:$1,0)-MATCH($B$1,[1]quests!$1:$1,0)+1,FALSE)</f>
        <v>【キャンペーン限定】 赤の素材</v>
      </c>
      <c r="F61" s="5" t="str">
        <f ca="1">VLOOKUP($D61,OFFSET([1]stages!$A$1,0,0,COUNTA([1]stages!$A:$A),MATCH(F$1,[1]stages!$2:$2,0)-MATCH($D$1,[1]stages!$2:$2,0)+1),MATCH(F$1,[1]stages!$2:$2,0)-MATCH($D$1,[1]stages!$2:$2,0)+1,FALSE)</f>
        <v>火のウサギ 【中級】</v>
      </c>
      <c r="G61" s="32">
        <v>5</v>
      </c>
      <c r="H61" s="20" t="str">
        <f t="shared" si="60"/>
        <v>11102_2-5</v>
      </c>
      <c r="I61" s="31">
        <v>42</v>
      </c>
      <c r="J61" s="26" t="str">
        <f ca="1">VLOOKUP($I61,OFFSET([2]enemies!$A$1,0,0,COUNTA([2]enemies!$A:$A),MATCH(J$1,[2]enemies!$2:$2,0)-MATCH($I$1,[2]enemies!$2:$2,0)+1),MATCH(J$1,[2]enemies!$2:$2,0)-MATCH($I$1,[2]enemies!$2:$2,0)+1,FALSE)</f>
        <v>燃えゆる吐息 ヒュウガ</v>
      </c>
      <c r="K61" s="29" t="str">
        <f ca="1">VLOOKUP($I61,OFFSET([2]enemies!$A$1,0,0,COUNTA([2]enemies!$A:$A),MATCH(K$1,[2]enemies!$2:$2,0)-MATCH($I$1,[2]enemies!$2:$2,0)+1),MATCH(K$1,[2]enemies!$2:$2,0)-MATCH($I$1,[2]enemies!$2:$2,0)+1,FALSE)</f>
        <v>red</v>
      </c>
      <c r="L61" s="29" t="str">
        <f ca="1">VLOOKUP($I61,OFFSET([3]characters!$A$1,0,0,COUNTA([3]characters!$A:$A),MATCH(L$1,[3]characters!$2:$2,0)-MATCH($I$1,[3]characters!$2:$2,0)+1),MATCH(L$1,[3]characters!$2:$2,0)-MATCH($I$1,[3]characters!$2:$2,0)+1,FALSE)</f>
        <v>Drop1N</v>
      </c>
      <c r="M61" s="28" t="str">
        <f ca="1">VLOOKUP($I61,OFFSET([3]characters!$A$1,0,0,COUNTA([3]characters!$A:$A),MATCH(M$1,[3]characters!$2:$2,0)-MATCH($I$1,[3]characters!$2:$2,0)+2),MATCH(M$1,[3]characters!$2:$2,0)-MATCH($I$1,[3]characters!$2:$2,0)+2,FALSE)</f>
        <v>ドラゴン</v>
      </c>
      <c r="N61" s="5">
        <f ca="1">VLOOKUP($I61,OFFSET([2]enemies!$A$1,0,0,COUNTA([2]enemies!$A:$A),MATCH(N$1,[2]enemies!$2:$2,0)-MATCH($I$1,[2]enemies!$2:$2,0)+1),MATCH(N$1,[2]enemies!$2:$2,0)-MATCH($I$1,[2]enemies!$2:$2,0)+1,FALSE)</f>
        <v>20</v>
      </c>
      <c r="O61" s="6">
        <v>18</v>
      </c>
      <c r="P61" s="46">
        <v>1</v>
      </c>
      <c r="Q61" s="46">
        <v>1</v>
      </c>
      <c r="R61" s="6">
        <v>0</v>
      </c>
      <c r="S61" s="5" t="str">
        <f ca="1">VLOOKUP($T61,OFFSET([4]enemy_skill_sets!$B$1,0,0,COUNTA([4]enemy_skill_sets!$B:$B),MATCH(J$1,[4]enemy_skill_sets!$1:$1,0)-MATCH($T$1,[4]enemy_skill_sets!$1:$1,0)+2),MATCH(J$1,[4]enemy_skill_sets!$1:$1,0)-MATCH($T$1,[4]enemy_skill_sets!$1:$1,0)+2,FALSE)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1" s="5">
        <f ca="1">VLOOKUP($I61,OFFSET([2]enemies!$A$1,0,0,COUNTA([2]enemies!$A:$A),MATCH(T$1,[2]enemies!$2:$2,0)-MATCH($I$1,[2]enemies!$2:$2,0)+1),MATCH(T$1,[2]enemies!$2:$2,0)-MATCH($I$1,[2]enemies!$2:$2,0)+1,FALSE)</f>
        <v>0</v>
      </c>
      <c r="U61" s="7">
        <v>0</v>
      </c>
      <c r="V61" s="7">
        <v>100</v>
      </c>
      <c r="W61" s="7">
        <v>1</v>
      </c>
      <c r="X61" s="26">
        <f ca="1">VLOOKUP($I61,OFFSET([2]enemies!$A$1,0,0,COUNTA([2]enemies!$A:$A),MATCH(X$1,[2]enemies!$2:$2,0)-MATCH($I$1,[2]enemies!$2:$2,0)+1),MATCH(X$1,[2]enemies!$2:$2,0)-MATCH($I$1,[2]enemies!$2:$2,0)+1,FALSE)</f>
        <v>1</v>
      </c>
      <c r="Y61" s="31">
        <v>41</v>
      </c>
      <c r="Z61" s="5" t="str">
        <f ca="1">IFERROR(VLOOKUP($Y61,OFFSET([3]characters!$A$1,0,0,COUNTA([3]characters!$A:$A),MATCH(Z$1,[3]characters!$2:$2,0)-MATCH("character_id",[3]characters!$2:$2,0)+1),MATCH(Z$1,[3]characters!$2:$2,0)-MATCH("character_id",[3]characters!$2:$2,0)+1,FALSE),"")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61" s="5">
        <f ca="1">IFERROR(VLOOKUP($Y61,OFFSET([3]characters!$A$1,0,0,COUNTA([3]characters!$A:$A),MATCH(AA$1,[3]characters!$2:$2,0)-MATCH("character_id",[3]characters!$2:$2,0)+1),MATCH(AA$1,[3]characters!$2:$2,0)-MATCH("character_id",[3]characters!$2:$2,0)+1,FALSE),"")</f>
        <v>2</v>
      </c>
      <c r="AB61" s="5" t="str">
        <f ca="1">IFERROR(VLOOKUP($Y61,OFFSET([3]characters!$A$1,0,0,COUNTA([3]characters!$A:$A),MATCH(AB$1,[3]characters!$2:$2,0)-MATCH("character_id",[3]characters!$2:$2,0)+1),MATCH(AB$1,[3]characters!$2:$2,0)-MATCH("character_id",[3]characters!$2:$2,0)+1,FALSE),"")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1" s="8">
        <v>1</v>
      </c>
      <c r="AD61" s="34">
        <f t="shared" ca="1" si="61"/>
        <v>2</v>
      </c>
      <c r="AE61" s="9">
        <v>0</v>
      </c>
      <c r="AF61" s="8">
        <v>0</v>
      </c>
      <c r="AG61" s="8">
        <v>0</v>
      </c>
      <c r="AH61" s="8">
        <v>0</v>
      </c>
      <c r="AI61" s="8">
        <v>0</v>
      </c>
      <c r="AJ61" s="8">
        <v>1</v>
      </c>
    </row>
    <row r="62" spans="1:36" ht="21" customHeight="1">
      <c r="A62" s="21" t="str">
        <f t="shared" ca="1" si="62"/>
        <v>11102_2-5/58&lt;lv18&gt;s2</v>
      </c>
      <c r="B62" s="8">
        <v>11102</v>
      </c>
      <c r="C62" s="50">
        <v>2</v>
      </c>
      <c r="D62" s="2" t="str">
        <f t="shared" si="59"/>
        <v>11102_2</v>
      </c>
      <c r="E62" s="5" t="str">
        <f ca="1">VLOOKUP($B62,OFFSET([1]quests!$A$1,0,0,COUNTA([1]quests!$A:$A),MATCH(E$1,[1]quests!$1:$1,0)-MATCH($B$1,[1]quests!$1:$1,0)+1),MATCH(E$1,[1]quests!$1:$1,0)-MATCH($B$1,[1]quests!$1:$1,0)+1,FALSE)</f>
        <v>【キャンペーン限定】 赤の素材</v>
      </c>
      <c r="F62" s="5" t="str">
        <f ca="1">VLOOKUP($D62,OFFSET([1]stages!$A$1,0,0,COUNTA([1]stages!$A:$A),MATCH(F$1,[1]stages!$2:$2,0)-MATCH($D$1,[1]stages!$2:$2,0)+1),MATCH(F$1,[1]stages!$2:$2,0)-MATCH($D$1,[1]stages!$2:$2,0)+1,FALSE)</f>
        <v>火のウサギ 【中級】</v>
      </c>
      <c r="G62" s="32">
        <v>5</v>
      </c>
      <c r="H62" s="20" t="str">
        <f t="shared" si="60"/>
        <v>11102_2-5</v>
      </c>
      <c r="I62" s="31">
        <v>58</v>
      </c>
      <c r="J62" s="26" t="str">
        <f ca="1">VLOOKUP($I62,OFFSET([2]enemies!$A$1,0,0,COUNTA([2]enemies!$A:$A),MATCH(J$1,[2]enemies!$2:$2,0)-MATCH($I$1,[2]enemies!$2:$2,0)+1),MATCH(J$1,[2]enemies!$2:$2,0)-MATCH($I$1,[2]enemies!$2:$2,0)+1,FALSE)</f>
        <v>ドランクマスター チェン・リー</v>
      </c>
      <c r="K62" s="29" t="str">
        <f ca="1">VLOOKUP($I62,OFFSET([2]enemies!$A$1,0,0,COUNTA([2]enemies!$A:$A),MATCH(K$1,[2]enemies!$2:$2,0)-MATCH($I$1,[2]enemies!$2:$2,0)+1),MATCH(K$1,[2]enemies!$2:$2,0)-MATCH($I$1,[2]enemies!$2:$2,0)+1,FALSE)</f>
        <v>red</v>
      </c>
      <c r="L62" s="29" t="str">
        <f ca="1">VLOOKUP($I62,OFFSET([3]characters!$A$1,0,0,COUNTA([3]characters!$A:$A),MATCH(L$1,[3]characters!$2:$2,0)-MATCH($I$1,[3]characters!$2:$2,0)+1),MATCH(L$1,[3]characters!$2:$2,0)-MATCH($I$1,[3]characters!$2:$2,0)+1,FALSE)</f>
        <v>Drop1N</v>
      </c>
      <c r="M62" s="28" t="str">
        <f ca="1">VLOOKUP($I62,OFFSET([3]characters!$A$1,0,0,COUNTA([3]characters!$A:$A),MATCH(M$1,[3]characters!$2:$2,0)-MATCH($I$1,[3]characters!$2:$2,0)+2),MATCH(M$1,[3]characters!$2:$2,0)-MATCH($I$1,[3]characters!$2:$2,0)+2,FALSE)</f>
        <v>アニマル</v>
      </c>
      <c r="N62" s="5">
        <f ca="1">VLOOKUP($I62,OFFSET([2]enemies!$A$1,0,0,COUNTA([2]enemies!$A:$A),MATCH(N$1,[2]enemies!$2:$2,0)-MATCH($I$1,[2]enemies!$2:$2,0)+1),MATCH(N$1,[2]enemies!$2:$2,0)-MATCH($I$1,[2]enemies!$2:$2,0)+1,FALSE)</f>
        <v>20</v>
      </c>
      <c r="O62" s="6">
        <v>18</v>
      </c>
      <c r="P62" s="46">
        <v>1</v>
      </c>
      <c r="Q62" s="46">
        <v>1</v>
      </c>
      <c r="R62" s="6">
        <v>0</v>
      </c>
      <c r="S62" s="5" t="str">
        <f ca="1">VLOOKUP($T62,OFFSET([4]enemy_skill_sets!$B$1,0,0,COUNTA([4]enemy_skill_sets!$B:$B),MATCH(J$1,[4]enemy_skill_sets!$1:$1,0)-MATCH($T$1,[4]enemy_skill_sets!$1:$1,0)+2),MATCH(J$1,[4]enemy_skill_sets!$1:$1,0)-MATCH($T$1,[4]enemy_skill_sets!$1:$1,0)+2,FALSE)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2" s="5">
        <f ca="1">VLOOKUP($I62,OFFSET([2]enemies!$A$1,0,0,COUNTA([2]enemies!$A:$A),MATCH(T$1,[2]enemies!$2:$2,0)-MATCH($I$1,[2]enemies!$2:$2,0)+1),MATCH(T$1,[2]enemies!$2:$2,0)-MATCH($I$1,[2]enemies!$2:$2,0)+1,FALSE)</f>
        <v>0</v>
      </c>
      <c r="U62" s="7">
        <v>0</v>
      </c>
      <c r="V62" s="7">
        <v>100</v>
      </c>
      <c r="W62" s="7">
        <v>1</v>
      </c>
      <c r="X62" s="26">
        <f ca="1">VLOOKUP($I62,OFFSET([2]enemies!$A$1,0,0,COUNTA([2]enemies!$A:$A),MATCH(X$1,[2]enemies!$2:$2,0)-MATCH($I$1,[2]enemies!$2:$2,0)+1),MATCH(X$1,[2]enemies!$2:$2,0)-MATCH($I$1,[2]enemies!$2:$2,0)+1,FALSE)</f>
        <v>2</v>
      </c>
      <c r="Y62" s="31">
        <v>57</v>
      </c>
      <c r="Z62" s="5" t="str">
        <f ca="1">IFERROR(VLOOKUP($Y62,OFFSET([3]characters!$A$1,0,0,COUNTA([3]characters!$A:$A),MATCH(Z$1,[3]characters!$2:$2,0)-MATCH("character_id",[3]characters!$2:$2,0)+1),MATCH(Z$1,[3]characters!$2:$2,0)-MATCH("character_id",[3]characters!$2:$2,0)+1,FALSE),"")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62" s="5">
        <f ca="1">IFERROR(VLOOKUP($Y62,OFFSET([3]characters!$A$1,0,0,COUNTA([3]characters!$A:$A),MATCH(AA$1,[3]characters!$2:$2,0)-MATCH("character_id",[3]characters!$2:$2,0)+1),MATCH(AA$1,[3]characters!$2:$2,0)-MATCH("character_id",[3]characters!$2:$2,0)+1,FALSE),"")</f>
        <v>2</v>
      </c>
      <c r="AB62" s="5" t="str">
        <f ca="1">IFERROR(VLOOKUP($Y62,OFFSET([3]characters!$A$1,0,0,COUNTA([3]characters!$A:$A),MATCH(AB$1,[3]characters!$2:$2,0)-MATCH("character_id",[3]characters!$2:$2,0)+1),MATCH(AB$1,[3]characters!$2:$2,0)-MATCH("character_id",[3]characters!$2:$2,0)+1,FALSE),"")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2" s="8">
        <v>1</v>
      </c>
      <c r="AD62" s="34">
        <f t="shared" ca="1" si="61"/>
        <v>2</v>
      </c>
      <c r="AE62" s="9">
        <v>0</v>
      </c>
      <c r="AF62" s="8">
        <v>0</v>
      </c>
      <c r="AG62" s="8">
        <v>0</v>
      </c>
      <c r="AH62" s="8">
        <v>0</v>
      </c>
      <c r="AI62" s="8">
        <v>0</v>
      </c>
      <c r="AJ62" s="8">
        <v>1</v>
      </c>
    </row>
    <row r="63" spans="1:36" ht="21" customHeight="1">
      <c r="A63" s="21" t="str">
        <f t="shared" ca="1" si="62"/>
        <v>11102_3-1/103&lt;lv30&gt;s3</v>
      </c>
      <c r="B63" s="8">
        <v>11102</v>
      </c>
      <c r="C63" s="50">
        <v>3</v>
      </c>
      <c r="D63" s="2" t="str">
        <f t="shared" si="59"/>
        <v>11102_3</v>
      </c>
      <c r="E63" s="5" t="str">
        <f ca="1">VLOOKUP($B63,OFFSET([1]quests!$A$1,0,0,COUNTA([1]quests!$A:$A),MATCH(E$1,[1]quests!$1:$1,0)-MATCH($B$1,[1]quests!$1:$1,0)+1),MATCH(E$1,[1]quests!$1:$1,0)-MATCH($B$1,[1]quests!$1:$1,0)+1,FALSE)</f>
        <v>【キャンペーン限定】 赤の素材</v>
      </c>
      <c r="F63" s="5" t="str">
        <f ca="1">VLOOKUP($D63,OFFSET([1]stages!$A$1,0,0,COUNTA([1]stages!$A:$A),MATCH(F$1,[1]stages!$2:$2,0)-MATCH($D$1,[1]stages!$2:$2,0)+1),MATCH(F$1,[1]stages!$2:$2,0)-MATCH($D$1,[1]stages!$2:$2,0)+1,FALSE)</f>
        <v>火のイモムシ 【上級】</v>
      </c>
      <c r="G63" s="32">
        <v>1</v>
      </c>
      <c r="H63" s="20" t="str">
        <f t="shared" si="60"/>
        <v>11102_3-1</v>
      </c>
      <c r="I63" s="31">
        <v>103</v>
      </c>
      <c r="J63" s="26" t="str">
        <f ca="1">VLOOKUP($I63,OFFSET([2]enemies!$A$1,0,0,COUNTA([2]enemies!$A:$A),MATCH(J$1,[2]enemies!$2:$2,0)-MATCH($I$1,[2]enemies!$2:$2,0)+1),MATCH(J$1,[2]enemies!$2:$2,0)-MATCH($I$1,[2]enemies!$2:$2,0)+1,FALSE)</f>
        <v>レッドキャタップ</v>
      </c>
      <c r="K63" s="29" t="str">
        <f ca="1">VLOOKUP($I63,OFFSET([2]enemies!$A$1,0,0,COUNTA([2]enemies!$A:$A),MATCH(K$1,[2]enemies!$2:$2,0)-MATCH($I$1,[2]enemies!$2:$2,0)+1),MATCH(K$1,[2]enemies!$2:$2,0)-MATCH($I$1,[2]enemies!$2:$2,0)+1,FALSE)</f>
        <v>red</v>
      </c>
      <c r="L63" s="29" t="str">
        <f ca="1">VLOOKUP($I63,OFFSET([3]characters!$A$1,0,0,COUNTA([3]characters!$A:$A),MATCH(L$1,[3]characters!$2:$2,0)-MATCH($I$1,[3]characters!$2:$2,0)+1),MATCH(L$1,[3]characters!$2:$2,0)-MATCH($I$1,[3]characters!$2:$2,0)+1,FALSE)</f>
        <v>Material</v>
      </c>
      <c r="M63" s="28" t="str">
        <f ca="1">VLOOKUP($I63,OFFSET([3]characters!$A$1,0,0,COUNTA([3]characters!$A:$A),MATCH(M$1,[3]characters!$2:$2,0)-MATCH($I$1,[3]characters!$2:$2,0)+2),MATCH(M$1,[3]characters!$2:$2,0)-MATCH($I$1,[3]characters!$2:$2,0)+2,FALSE)</f>
        <v>Unknown</v>
      </c>
      <c r="N63" s="5">
        <f ca="1">VLOOKUP($I63,OFFSET([2]enemies!$A$1,0,0,COUNTA([2]enemies!$A:$A),MATCH(N$1,[2]enemies!$2:$2,0)-MATCH($I$1,[2]enemies!$2:$2,0)+1),MATCH(N$1,[2]enemies!$2:$2,0)-MATCH($I$1,[2]enemies!$2:$2,0)+1,FALSE)</f>
        <v>15</v>
      </c>
      <c r="O63" s="6">
        <v>30</v>
      </c>
      <c r="P63" s="46">
        <v>2</v>
      </c>
      <c r="Q63" s="46">
        <v>1</v>
      </c>
      <c r="R63" s="6">
        <v>0</v>
      </c>
      <c r="S63" s="5" t="str">
        <f ca="1">VLOOKUP($T63,OFFSET([4]enemy_skill_sets!$B$1,0,0,COUNTA([4]enemy_skill_sets!$B:$B),MATCH(J$1,[4]enemy_skill_sets!$1:$1,0)-MATCH($T$1,[4]enemy_skill_sets!$1:$1,0)+2),MATCH(J$1,[4]enemy_skill_sets!$1:$1,0)-MATCH($T$1,[4]enemy_skill_sets!$1:$1,0)+2,FALSE)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" s="5">
        <f ca="1">VLOOKUP($I63,OFFSET([2]enemies!$A$1,0,0,COUNTA([2]enemies!$A:$A),MATCH(T$1,[2]enemies!$2:$2,0)-MATCH($I$1,[2]enemies!$2:$2,0)+1),MATCH(T$1,[2]enemies!$2:$2,0)-MATCH($I$1,[2]enemies!$2:$2,0)+1,FALSE)</f>
        <v>0</v>
      </c>
      <c r="U63" s="7">
        <v>1</v>
      </c>
      <c r="V63" s="7">
        <v>100</v>
      </c>
      <c r="W63" s="7">
        <v>1</v>
      </c>
      <c r="X63" s="26">
        <f ca="1">VLOOKUP($I63,OFFSET([2]enemies!$A$1,0,0,COUNTA([2]enemies!$A:$A),MATCH(X$1,[2]enemies!$2:$2,0)-MATCH($I$1,[2]enemies!$2:$2,0)+1),MATCH(X$1,[2]enemies!$2:$2,0)-MATCH($I$1,[2]enemies!$2:$2,0)+1,FALSE)</f>
        <v>3</v>
      </c>
      <c r="Y63" s="31">
        <v>103</v>
      </c>
      <c r="Z63" s="5" t="str">
        <f ca="1">IFERROR(VLOOKUP($Y63,OFFSET([3]characters!$A$1,0,0,COUNTA([3]characters!$A:$A),MATCH(Z$1,[3]characters!$2:$2,0)-MATCH("character_id",[3]characters!$2:$2,0)+1),MATCH(Z$1,[3]characters!$2:$2,0)-MATCH("character_id",[3]characters!$2:$2,0)+1,FALSE),"")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63" s="5">
        <f ca="1">IFERROR(VLOOKUP($Y63,OFFSET([3]characters!$A$1,0,0,COUNTA([3]characters!$A:$A),MATCH(AA$1,[3]characters!$2:$2,0)-MATCH("character_id",[3]characters!$2:$2,0)+1),MATCH(AA$1,[3]characters!$2:$2,0)-MATCH("character_id",[3]characters!$2:$2,0)+1,FALSE),"")</f>
        <v>4</v>
      </c>
      <c r="AB63" s="5" t="str">
        <f ca="1">IFERROR(VLOOKUP($Y63,OFFSET([3]characters!$A$1,0,0,COUNTA([3]characters!$A:$A),MATCH(AB$1,[3]characters!$2:$2,0)-MATCH("character_id",[3]characters!$2:$2,0)+1),MATCH(AB$1,[3]characters!$2:$2,0)-MATCH("character_id",[3]characters!$2:$2,0)+1,FALSE),"")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3" s="8">
        <v>1</v>
      </c>
      <c r="AD63" s="34">
        <f t="shared" ca="1" si="61"/>
        <v>4</v>
      </c>
      <c r="AE63" s="9">
        <v>10</v>
      </c>
      <c r="AF63" s="8">
        <v>0</v>
      </c>
      <c r="AG63" s="8">
        <v>0</v>
      </c>
      <c r="AH63" s="8">
        <v>0</v>
      </c>
      <c r="AI63" s="8">
        <v>0</v>
      </c>
      <c r="AJ63" s="8">
        <v>1</v>
      </c>
    </row>
    <row r="64" spans="1:36" ht="21" customHeight="1">
      <c r="A64" s="21" t="str">
        <f t="shared" ca="1" si="62"/>
        <v>11102_3-1/33&lt;lv35&gt;s2</v>
      </c>
      <c r="B64" s="8">
        <v>11102</v>
      </c>
      <c r="C64" s="50">
        <v>3</v>
      </c>
      <c r="D64" s="2" t="str">
        <f t="shared" si="59"/>
        <v>11102_3</v>
      </c>
      <c r="E64" s="5" t="str">
        <f ca="1">VLOOKUP($B64,OFFSET([1]quests!$A$1,0,0,COUNTA([1]quests!$A:$A),MATCH(E$1,[1]quests!$1:$1,0)-MATCH($B$1,[1]quests!$1:$1,0)+1),MATCH(E$1,[1]quests!$1:$1,0)-MATCH($B$1,[1]quests!$1:$1,0)+1,FALSE)</f>
        <v>【キャンペーン限定】 赤の素材</v>
      </c>
      <c r="F64" s="5" t="str">
        <f ca="1">VLOOKUP($D64,OFFSET([1]stages!$A$1,0,0,COUNTA([1]stages!$A:$A),MATCH(F$1,[1]stages!$2:$2,0)-MATCH($D$1,[1]stages!$2:$2,0)+1),MATCH(F$1,[1]stages!$2:$2,0)-MATCH($D$1,[1]stages!$2:$2,0)+1,FALSE)</f>
        <v>火のイモムシ 【上級】</v>
      </c>
      <c r="G64" s="32">
        <v>1</v>
      </c>
      <c r="H64" s="20" t="str">
        <f t="shared" si="60"/>
        <v>11102_3-1</v>
      </c>
      <c r="I64" s="31">
        <v>33</v>
      </c>
      <c r="J64" s="26" t="str">
        <f ca="1">VLOOKUP($I64,OFFSET([2]enemies!$A$1,0,0,COUNTA([2]enemies!$A:$A),MATCH(J$1,[2]enemies!$2:$2,0)-MATCH($I$1,[2]enemies!$2:$2,0)+1),MATCH(J$1,[2]enemies!$2:$2,0)-MATCH($I$1,[2]enemies!$2:$2,0)+1,FALSE)</f>
        <v>ゴクウ</v>
      </c>
      <c r="K64" s="29" t="str">
        <f ca="1">VLOOKUP($I64,OFFSET([2]enemies!$A$1,0,0,COUNTA([2]enemies!$A:$A),MATCH(K$1,[2]enemies!$2:$2,0)-MATCH($I$1,[2]enemies!$2:$2,0)+1),MATCH(K$1,[2]enemies!$2:$2,0)-MATCH($I$1,[2]enemies!$2:$2,0)+1,FALSE)</f>
        <v>red</v>
      </c>
      <c r="L64" s="29" t="str">
        <f ca="1">VLOOKUP($I64,OFFSET([3]characters!$A$1,0,0,COUNTA([3]characters!$A:$A),MATCH(L$1,[3]characters!$2:$2,0)-MATCH($I$1,[3]characters!$2:$2,0)+1),MATCH(L$1,[3]characters!$2:$2,0)-MATCH($I$1,[3]characters!$2:$2,0)+1,FALSE)</f>
        <v>Drop1S</v>
      </c>
      <c r="M64" s="28" t="str">
        <f ca="1">VLOOKUP($I64,OFFSET([3]characters!$A$1,0,0,COUNTA([3]characters!$A:$A),MATCH(M$1,[3]characters!$2:$2,0)-MATCH($I$1,[3]characters!$2:$2,0)+2),MATCH(M$1,[3]characters!$2:$2,0)-MATCH($I$1,[3]characters!$2:$2,0)+2,FALSE)</f>
        <v>アニマル</v>
      </c>
      <c r="N64" s="5">
        <f ca="1">VLOOKUP($I64,OFFSET([2]enemies!$A$1,0,0,COUNTA([2]enemies!$A:$A),MATCH(N$1,[2]enemies!$2:$2,0)-MATCH($I$1,[2]enemies!$2:$2,0)+1),MATCH(N$1,[2]enemies!$2:$2,0)-MATCH($I$1,[2]enemies!$2:$2,0)+1,FALSE)</f>
        <v>15</v>
      </c>
      <c r="O64" s="6">
        <v>35</v>
      </c>
      <c r="P64" s="46">
        <v>1</v>
      </c>
      <c r="Q64" s="46">
        <v>1</v>
      </c>
      <c r="R64" s="6">
        <v>0</v>
      </c>
      <c r="S64" s="5" t="str">
        <f ca="1">VLOOKUP($T64,OFFSET([4]enemy_skill_sets!$B$1,0,0,COUNTA([4]enemy_skill_sets!$B:$B),MATCH(J$1,[4]enemy_skill_sets!$1:$1,0)-MATCH($T$1,[4]enemy_skill_sets!$1:$1,0)+2),MATCH(J$1,[4]enemy_skill_sets!$1:$1,0)-MATCH($T$1,[4]enemy_skill_sets!$1:$1,0)+2,FALSE)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64" s="5">
        <f ca="1">VLOOKUP($I64,OFFSET([2]enemies!$A$1,0,0,COUNTA([2]enemies!$A:$A),MATCH(T$1,[2]enemies!$2:$2,0)-MATCH($I$1,[2]enemies!$2:$2,0)+1),MATCH(T$1,[2]enemies!$2:$2,0)-MATCH($I$1,[2]enemies!$2:$2,0)+1,FALSE)</f>
        <v>33</v>
      </c>
      <c r="U64" s="7">
        <v>0</v>
      </c>
      <c r="V64" s="7">
        <v>100</v>
      </c>
      <c r="W64" s="7">
        <v>0</v>
      </c>
      <c r="X64" s="26">
        <f ca="1">VLOOKUP($I64,OFFSET([2]enemies!$A$1,0,0,COUNTA([2]enemies!$A:$A),MATCH(X$1,[2]enemies!$2:$2,0)-MATCH($I$1,[2]enemies!$2:$2,0)+1),MATCH(X$1,[2]enemies!$2:$2,0)-MATCH($I$1,[2]enemies!$2:$2,0)+1,FALSE)</f>
        <v>2</v>
      </c>
      <c r="Y64" s="31">
        <v>33</v>
      </c>
      <c r="Z64" s="5" t="str">
        <f ca="1">IFERROR(VLOOKUP($Y64,OFFSET([3]characters!$A$1,0,0,COUNTA([3]characters!$A:$A),MATCH(Z$1,[3]characters!$2:$2,0)-MATCH("character_id",[3]characters!$2:$2,0)+1),MATCH(Z$1,[3]characters!$2:$2,0)-MATCH("character_id",[3]characters!$2:$2,0)+1,FALSE),"")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64" s="5">
        <f ca="1">IFERROR(VLOOKUP($Y64,OFFSET([3]characters!$A$1,0,0,COUNTA([3]characters!$A:$A),MATCH(AA$1,[3]characters!$2:$2,0)-MATCH("character_id",[3]characters!$2:$2,0)+1),MATCH(AA$1,[3]characters!$2:$2,0)-MATCH("character_id",[3]characters!$2:$2,0)+1,FALSE),"")</f>
        <v>2</v>
      </c>
      <c r="AB64" s="5" t="str">
        <f ca="1">IFERROR(VLOOKUP($Y64,OFFSET([3]characters!$A$1,0,0,COUNTA([3]characters!$A:$A),MATCH(AB$1,[3]characters!$2:$2,0)-MATCH("character_id",[3]characters!$2:$2,0)+1),MATCH(AB$1,[3]characters!$2:$2,0)-MATCH("character_id",[3]characters!$2:$2,0)+1,FALSE),"")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64" s="8">
        <v>1</v>
      </c>
      <c r="AD64" s="34">
        <f t="shared" ca="1" si="61"/>
        <v>2</v>
      </c>
      <c r="AE64" s="9">
        <v>0</v>
      </c>
      <c r="AF64" s="8">
        <v>0</v>
      </c>
      <c r="AG64" s="8">
        <v>0</v>
      </c>
      <c r="AH64" s="8">
        <v>0</v>
      </c>
      <c r="AI64" s="8">
        <v>0</v>
      </c>
      <c r="AJ64" s="8">
        <v>1</v>
      </c>
    </row>
    <row r="65" spans="1:36" ht="21" customHeight="1">
      <c r="A65" s="21" t="str">
        <f t="shared" ca="1" si="62"/>
        <v>11102_3-1/21&lt;lv35&gt;s2</v>
      </c>
      <c r="B65" s="8">
        <v>11102</v>
      </c>
      <c r="C65" s="50">
        <v>3</v>
      </c>
      <c r="D65" s="2" t="str">
        <f t="shared" si="59"/>
        <v>11102_3</v>
      </c>
      <c r="E65" s="5" t="str">
        <f ca="1">VLOOKUP($B65,OFFSET([1]quests!$A$1,0,0,COUNTA([1]quests!$A:$A),MATCH(E$1,[1]quests!$1:$1,0)-MATCH($B$1,[1]quests!$1:$1,0)+1),MATCH(E$1,[1]quests!$1:$1,0)-MATCH($B$1,[1]quests!$1:$1,0)+1,FALSE)</f>
        <v>【キャンペーン限定】 赤の素材</v>
      </c>
      <c r="F65" s="5" t="str">
        <f ca="1">VLOOKUP($D65,OFFSET([1]stages!$A$1,0,0,COUNTA([1]stages!$A:$A),MATCH(F$1,[1]stages!$2:$2,0)-MATCH($D$1,[1]stages!$2:$2,0)+1),MATCH(F$1,[1]stages!$2:$2,0)-MATCH($D$1,[1]stages!$2:$2,0)+1,FALSE)</f>
        <v>火のイモムシ 【上級】</v>
      </c>
      <c r="G65" s="32">
        <v>1</v>
      </c>
      <c r="H65" s="20" t="str">
        <f t="shared" si="60"/>
        <v>11102_3-1</v>
      </c>
      <c r="I65" s="31">
        <v>21</v>
      </c>
      <c r="J65" s="26" t="str">
        <f ca="1">VLOOKUP($I65,OFFSET([2]enemies!$A$1,0,0,COUNTA([2]enemies!$A:$A),MATCH(J$1,[2]enemies!$2:$2,0)-MATCH($I$1,[2]enemies!$2:$2,0)+1),MATCH(J$1,[2]enemies!$2:$2,0)-MATCH($I$1,[2]enemies!$2:$2,0)+1,FALSE)</f>
        <v>ヴェロキー</v>
      </c>
      <c r="K65" s="29" t="str">
        <f ca="1">VLOOKUP($I65,OFFSET([2]enemies!$A$1,0,0,COUNTA([2]enemies!$A:$A),MATCH(K$1,[2]enemies!$2:$2,0)-MATCH($I$1,[2]enemies!$2:$2,0)+1),MATCH(K$1,[2]enemies!$2:$2,0)-MATCH($I$1,[2]enemies!$2:$2,0)+1,FALSE)</f>
        <v>red</v>
      </c>
      <c r="L65" s="29" t="str">
        <f ca="1">VLOOKUP($I65,OFFSET([3]characters!$A$1,0,0,COUNTA([3]characters!$A:$A),MATCH(L$1,[3]characters!$2:$2,0)-MATCH($I$1,[3]characters!$2:$2,0)+1),MATCH(L$1,[3]characters!$2:$2,0)-MATCH($I$1,[3]characters!$2:$2,0)+1,FALSE)</f>
        <v>Drop1N</v>
      </c>
      <c r="M65" s="28" t="str">
        <f ca="1">VLOOKUP($I65,OFFSET([3]characters!$A$1,0,0,COUNTA([3]characters!$A:$A),MATCH(M$1,[3]characters!$2:$2,0)-MATCH($I$1,[3]characters!$2:$2,0)+2),MATCH(M$1,[3]characters!$2:$2,0)-MATCH($I$1,[3]characters!$2:$2,0)+2,FALSE)</f>
        <v>ドラゴン</v>
      </c>
      <c r="N65" s="5">
        <f ca="1">VLOOKUP($I65,OFFSET([2]enemies!$A$1,0,0,COUNTA([2]enemies!$A:$A),MATCH(N$1,[2]enemies!$2:$2,0)-MATCH($I$1,[2]enemies!$2:$2,0)+1),MATCH(N$1,[2]enemies!$2:$2,0)-MATCH($I$1,[2]enemies!$2:$2,0)+1,FALSE)</f>
        <v>15</v>
      </c>
      <c r="O65" s="6">
        <v>35</v>
      </c>
      <c r="P65" s="46">
        <v>1</v>
      </c>
      <c r="Q65" s="46">
        <v>1</v>
      </c>
      <c r="R65" s="6">
        <v>0</v>
      </c>
      <c r="S65" s="5" t="str">
        <f ca="1">VLOOKUP($T65,OFFSET([4]enemy_skill_sets!$B$1,0,0,COUNTA([4]enemy_skill_sets!$B:$B),MATCH(J$1,[4]enemy_skill_sets!$1:$1,0)-MATCH($T$1,[4]enemy_skill_sets!$1:$1,0)+2),MATCH(J$1,[4]enemy_skill_sets!$1:$1,0)-MATCH($T$1,[4]enemy_skill_sets!$1:$1,0)+2,FALSE)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5" s="5">
        <f ca="1">VLOOKUP($I65,OFFSET([2]enemies!$A$1,0,0,COUNTA([2]enemies!$A:$A),MATCH(T$1,[2]enemies!$2:$2,0)-MATCH($I$1,[2]enemies!$2:$2,0)+1),MATCH(T$1,[2]enemies!$2:$2,0)-MATCH($I$1,[2]enemies!$2:$2,0)+1,FALSE)</f>
        <v>0</v>
      </c>
      <c r="U65" s="7">
        <v>0</v>
      </c>
      <c r="V65" s="7">
        <v>100</v>
      </c>
      <c r="W65" s="7">
        <v>0</v>
      </c>
      <c r="X65" s="26">
        <f ca="1">VLOOKUP($I65,OFFSET([2]enemies!$A$1,0,0,COUNTA([2]enemies!$A:$A),MATCH(X$1,[2]enemies!$2:$2,0)-MATCH($I$1,[2]enemies!$2:$2,0)+1),MATCH(X$1,[2]enemies!$2:$2,0)-MATCH($I$1,[2]enemies!$2:$2,0)+1,FALSE)</f>
        <v>2</v>
      </c>
      <c r="Y65" s="31">
        <v>21</v>
      </c>
      <c r="Z65" s="5" t="str">
        <f ca="1">IFERROR(VLOOKUP($Y65,OFFSET([3]characters!$A$1,0,0,COUNTA([3]characters!$A:$A),MATCH(Z$1,[3]characters!$2:$2,0)-MATCH("character_id",[3]characters!$2:$2,0)+1),MATCH(Z$1,[3]characters!$2:$2,0)-MATCH("character_id",[3]characters!$2:$2,0)+1,FALSE),"")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65" s="5">
        <f ca="1">IFERROR(VLOOKUP($Y65,OFFSET([3]characters!$A$1,0,0,COUNTA([3]characters!$A:$A),MATCH(AA$1,[3]characters!$2:$2,0)-MATCH("character_id",[3]characters!$2:$2,0)+1),MATCH(AA$1,[3]characters!$2:$2,0)-MATCH("character_id",[3]characters!$2:$2,0)+1,FALSE),"")</f>
        <v>1</v>
      </c>
      <c r="AB65" s="5" t="str">
        <f ca="1">IFERROR(VLOOKUP($Y65,OFFSET([3]characters!$A$1,0,0,COUNTA([3]characters!$A:$A),MATCH(AB$1,[3]characters!$2:$2,0)-MATCH("character_id",[3]characters!$2:$2,0)+1),MATCH(AB$1,[3]characters!$2:$2,0)-MATCH("character_id",[3]characters!$2:$2,0)+1,FALSE),"")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5" s="8">
        <v>1</v>
      </c>
      <c r="AD65" s="34">
        <f t="shared" ca="1" si="61"/>
        <v>1</v>
      </c>
      <c r="AE65" s="9">
        <v>0</v>
      </c>
      <c r="AF65" s="8">
        <v>0</v>
      </c>
      <c r="AG65" s="8">
        <v>0</v>
      </c>
      <c r="AH65" s="8">
        <v>0</v>
      </c>
      <c r="AI65" s="8">
        <v>0</v>
      </c>
      <c r="AJ65" s="8">
        <v>1</v>
      </c>
    </row>
    <row r="66" spans="1:36" ht="21" customHeight="1">
      <c r="A66" s="21" t="str">
        <f t="shared" ca="1" si="62"/>
        <v>11102_3-1/332&lt;lv1&gt;s1</v>
      </c>
      <c r="B66" s="8">
        <v>11102</v>
      </c>
      <c r="C66" s="50">
        <v>3</v>
      </c>
      <c r="D66" s="2" t="str">
        <f t="shared" si="59"/>
        <v>11102_3</v>
      </c>
      <c r="E66" s="5" t="str">
        <f ca="1">VLOOKUP($B66,OFFSET([1]quests!$A$1,0,0,COUNTA([1]quests!$A:$A),MATCH(E$1,[1]quests!$1:$1,0)-MATCH($B$1,[1]quests!$1:$1,0)+1),MATCH(E$1,[1]quests!$1:$1,0)-MATCH($B$1,[1]quests!$1:$1,0)+1,FALSE)</f>
        <v>【キャンペーン限定】 赤の素材</v>
      </c>
      <c r="F66" s="5" t="str">
        <f ca="1">VLOOKUP($D66,OFFSET([1]stages!$A$1,0,0,COUNTA([1]stages!$A:$A),MATCH(F$1,[1]stages!$2:$2,0)-MATCH($D$1,[1]stages!$2:$2,0)+1),MATCH(F$1,[1]stages!$2:$2,0)-MATCH($D$1,[1]stages!$2:$2,0)+1,FALSE)</f>
        <v>火のイモムシ 【上級】</v>
      </c>
      <c r="G66" s="32">
        <v>1</v>
      </c>
      <c r="H66" s="20" t="str">
        <f t="shared" si="60"/>
        <v>11102_3-1</v>
      </c>
      <c r="I66" s="31">
        <v>332</v>
      </c>
      <c r="J66" s="26" t="str">
        <f ca="1">VLOOKUP($I66,OFFSET([2]enemies!$A$1,0,0,COUNTA([2]enemies!$A:$A),MATCH(J$1,[2]enemies!$2:$2,0)-MATCH($I$1,[2]enemies!$2:$2,0)+1),MATCH(J$1,[2]enemies!$2:$2,0)-MATCH($I$1,[2]enemies!$2:$2,0)+1,FALSE)</f>
        <v>炎のメタルピヨピヨ</v>
      </c>
      <c r="K66" s="29" t="str">
        <f ca="1">VLOOKUP($I66,OFFSET([2]enemies!$A$1,0,0,COUNTA([2]enemies!$A:$A),MATCH(K$1,[2]enemies!$2:$2,0)-MATCH($I$1,[2]enemies!$2:$2,0)+1),MATCH(K$1,[2]enemies!$2:$2,0)-MATCH($I$1,[2]enemies!$2:$2,0)+1,FALSE)</f>
        <v>red</v>
      </c>
      <c r="L66" s="29" t="str">
        <f ca="1">VLOOKUP($I66,OFFSET([3]characters!$A$1,0,0,COUNTA([3]characters!$A:$A),MATCH(L$1,[3]characters!$2:$2,0)-MATCH($I$1,[3]characters!$2:$2,0)+1),MATCH(L$1,[3]characters!$2:$2,0)-MATCH($I$1,[3]characters!$2:$2,0)+1,FALSE)</f>
        <v>Material</v>
      </c>
      <c r="M66" s="28" t="str">
        <f ca="1">VLOOKUP($I66,OFFSET([3]characters!$A$1,0,0,COUNTA([3]characters!$A:$A),MATCH(M$1,[3]characters!$2:$2,0)-MATCH($I$1,[3]characters!$2:$2,0)+2),MATCH(M$1,[3]characters!$2:$2,0)-MATCH($I$1,[3]characters!$2:$2,0)+2,FALSE)</f>
        <v>Unknown</v>
      </c>
      <c r="N66" s="5">
        <f ca="1">VLOOKUP($I66,OFFSET([2]enemies!$A$1,0,0,COUNTA([2]enemies!$A:$A),MATCH(N$1,[2]enemies!$2:$2,0)-MATCH($I$1,[2]enemies!$2:$2,0)+1),MATCH(N$1,[2]enemies!$2:$2,0)-MATCH($I$1,[2]enemies!$2:$2,0)+1,FALSE)</f>
        <v>15</v>
      </c>
      <c r="O66" s="6">
        <v>1</v>
      </c>
      <c r="P66" s="46">
        <v>1</v>
      </c>
      <c r="Q66" s="46">
        <v>1</v>
      </c>
      <c r="R66" s="6">
        <v>0</v>
      </c>
      <c r="S66" s="5" t="str">
        <f ca="1">VLOOKUP($T66,OFFSET([4]enemy_skill_sets!$B$1,0,0,COUNTA([4]enemy_skill_sets!$B:$B),MATCH(J$1,[4]enemy_skill_sets!$1:$1,0)-MATCH($T$1,[4]enemy_skill_sets!$1:$1,0)+2),MATCH(J$1,[4]enemy_skill_sets!$1:$1,0)-MATCH($T$1,[4]enemy_skill_sets!$1:$1,0)+2,FALSE)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6" s="5">
        <f ca="1">VLOOKUP($I66,OFFSET([2]enemies!$A$1,0,0,COUNTA([2]enemies!$A:$A),MATCH(T$1,[2]enemies!$2:$2,0)-MATCH($I$1,[2]enemies!$2:$2,0)+1),MATCH(T$1,[2]enemies!$2:$2,0)-MATCH($I$1,[2]enemies!$2:$2,0)+1,FALSE)</f>
        <v>0</v>
      </c>
      <c r="U66" s="7">
        <v>0</v>
      </c>
      <c r="V66" s="7">
        <v>30</v>
      </c>
      <c r="W66" s="7">
        <v>0</v>
      </c>
      <c r="X66" s="26">
        <f ca="1">VLOOKUP($I66,OFFSET([2]enemies!$A$1,0,0,COUNTA([2]enemies!$A:$A),MATCH(X$1,[2]enemies!$2:$2,0)-MATCH($I$1,[2]enemies!$2:$2,0)+1),MATCH(X$1,[2]enemies!$2:$2,0)-MATCH($I$1,[2]enemies!$2:$2,0)+1,FALSE)</f>
        <v>1</v>
      </c>
      <c r="Y66" s="31">
        <v>332</v>
      </c>
      <c r="Z66" s="5" t="str">
        <f ca="1">IFERROR(VLOOKUP($Y66,OFFSET([3]characters!$A$1,0,0,COUNTA([3]characters!$A:$A),MATCH(Z$1,[3]characters!$2:$2,0)-MATCH("character_id",[3]characters!$2:$2,0)+1),MATCH(Z$1,[3]characters!$2:$2,0)-MATCH("character_id",[3]characters!$2:$2,0)+1,FALSE),"")</f>
        <v>炎のメタルピヨピヨ</v>
      </c>
      <c r="AA66" s="5">
        <f ca="1">IFERROR(VLOOKUP($Y66,OFFSET([3]characters!$A$1,0,0,COUNTA([3]characters!$A:$A),MATCH(AA$1,[3]characters!$2:$2,0)-MATCH("character_id",[3]characters!$2:$2,0)+1),MATCH(AA$1,[3]characters!$2:$2,0)-MATCH("character_id",[3]characters!$2:$2,0)+1,FALSE),"")</f>
        <v>3</v>
      </c>
      <c r="AB66" s="5" t="str">
        <f ca="1">IFERROR(VLOOKUP($Y66,OFFSET([3]characters!$A$1,0,0,COUNTA([3]characters!$A:$A),MATCH(AB$1,[3]characters!$2:$2,0)-MATCH("character_id",[3]characters!$2:$2,0)+1),MATCH(AB$1,[3]characters!$2:$2,0)-MATCH("character_id",[3]characters!$2:$2,0)+1,FALSE),"")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6" s="8">
        <v>1</v>
      </c>
      <c r="AD66" s="34">
        <f t="shared" ca="1" si="61"/>
        <v>3</v>
      </c>
      <c r="AE66" s="9">
        <v>10</v>
      </c>
      <c r="AF66" s="8">
        <v>0</v>
      </c>
      <c r="AG66" s="8">
        <v>0</v>
      </c>
      <c r="AH66" s="8">
        <v>0</v>
      </c>
      <c r="AI66" s="8">
        <v>0</v>
      </c>
      <c r="AJ66" s="8">
        <v>1</v>
      </c>
    </row>
    <row r="67" spans="1:36" ht="21" customHeight="1">
      <c r="A67" s="21" t="str">
        <f t="shared" ca="1" si="62"/>
        <v>11102_3-1/333&lt;lv1&gt;s2</v>
      </c>
      <c r="B67" s="8">
        <v>11102</v>
      </c>
      <c r="C67" s="50">
        <v>3</v>
      </c>
      <c r="D67" s="2" t="str">
        <f t="shared" si="59"/>
        <v>11102_3</v>
      </c>
      <c r="E67" s="5" t="str">
        <f ca="1">VLOOKUP($B67,OFFSET([1]quests!$A$1,0,0,COUNTA([1]quests!$A:$A),MATCH(E$1,[1]quests!$1:$1,0)-MATCH($B$1,[1]quests!$1:$1,0)+1),MATCH(E$1,[1]quests!$1:$1,0)-MATCH($B$1,[1]quests!$1:$1,0)+1,FALSE)</f>
        <v>【キャンペーン限定】 赤の素材</v>
      </c>
      <c r="F67" s="5" t="str">
        <f ca="1">VLOOKUP($D67,OFFSET([1]stages!$A$1,0,0,COUNTA([1]stages!$A:$A),MATCH(F$1,[1]stages!$2:$2,0)-MATCH($D$1,[1]stages!$2:$2,0)+1),MATCH(F$1,[1]stages!$2:$2,0)-MATCH($D$1,[1]stages!$2:$2,0)+1,FALSE)</f>
        <v>火のイモムシ 【上級】</v>
      </c>
      <c r="G67" s="32">
        <v>1</v>
      </c>
      <c r="H67" s="20" t="str">
        <f t="shared" si="60"/>
        <v>11102_3-1</v>
      </c>
      <c r="I67" s="31">
        <v>333</v>
      </c>
      <c r="J67" s="26" t="str">
        <f ca="1">VLOOKUP($I67,OFFSET([2]enemies!$A$1,0,0,COUNTA([2]enemies!$A:$A),MATCH(J$1,[2]enemies!$2:$2,0)-MATCH($I$1,[2]enemies!$2:$2,0)+1),MATCH(J$1,[2]enemies!$2:$2,0)-MATCH($I$1,[2]enemies!$2:$2,0)+1,FALSE)</f>
        <v>炎のメタルチック</v>
      </c>
      <c r="K67" s="29" t="str">
        <f ca="1">VLOOKUP($I67,OFFSET([2]enemies!$A$1,0,0,COUNTA([2]enemies!$A:$A),MATCH(K$1,[2]enemies!$2:$2,0)-MATCH($I$1,[2]enemies!$2:$2,0)+1),MATCH(K$1,[2]enemies!$2:$2,0)-MATCH($I$1,[2]enemies!$2:$2,0)+1,FALSE)</f>
        <v>red</v>
      </c>
      <c r="L67" s="29" t="str">
        <f ca="1">VLOOKUP($I67,OFFSET([3]characters!$A$1,0,0,COUNTA([3]characters!$A:$A),MATCH(L$1,[3]characters!$2:$2,0)-MATCH($I$1,[3]characters!$2:$2,0)+1),MATCH(L$1,[3]characters!$2:$2,0)-MATCH($I$1,[3]characters!$2:$2,0)+1,FALSE)</f>
        <v>Material</v>
      </c>
      <c r="M67" s="28" t="str">
        <f ca="1">VLOOKUP($I67,OFFSET([3]characters!$A$1,0,0,COUNTA([3]characters!$A:$A),MATCH(M$1,[3]characters!$2:$2,0)-MATCH($I$1,[3]characters!$2:$2,0)+2),MATCH(M$1,[3]characters!$2:$2,0)-MATCH($I$1,[3]characters!$2:$2,0)+2,FALSE)</f>
        <v>Unknown</v>
      </c>
      <c r="N67" s="5">
        <f ca="1">VLOOKUP($I67,OFFSET([2]enemies!$A$1,0,0,COUNTA([2]enemies!$A:$A),MATCH(N$1,[2]enemies!$2:$2,0)-MATCH($I$1,[2]enemies!$2:$2,0)+1),MATCH(N$1,[2]enemies!$2:$2,0)-MATCH($I$1,[2]enemies!$2:$2,0)+1,FALSE)</f>
        <v>15</v>
      </c>
      <c r="O67" s="6">
        <v>1</v>
      </c>
      <c r="P67" s="46">
        <v>1</v>
      </c>
      <c r="Q67" s="46">
        <v>1</v>
      </c>
      <c r="R67" s="6">
        <v>0</v>
      </c>
      <c r="S67" s="5" t="str">
        <f ca="1">VLOOKUP($T67,OFFSET([4]enemy_skill_sets!$B$1,0,0,COUNTA([4]enemy_skill_sets!$B:$B),MATCH(J$1,[4]enemy_skill_sets!$1:$1,0)-MATCH($T$1,[4]enemy_skill_sets!$1:$1,0)+2),MATCH(J$1,[4]enemy_skill_sets!$1:$1,0)-MATCH($T$1,[4]enemy_skill_sets!$1:$1,0)+2,FALSE)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7" s="5">
        <f ca="1">VLOOKUP($I67,OFFSET([2]enemies!$A$1,0,0,COUNTA([2]enemies!$A:$A),MATCH(T$1,[2]enemies!$2:$2,0)-MATCH($I$1,[2]enemies!$2:$2,0)+1),MATCH(T$1,[2]enemies!$2:$2,0)-MATCH($I$1,[2]enemies!$2:$2,0)+1,FALSE)</f>
        <v>0</v>
      </c>
      <c r="U67" s="7">
        <v>0</v>
      </c>
      <c r="V67" s="7">
        <v>30</v>
      </c>
      <c r="W67" s="7">
        <v>0</v>
      </c>
      <c r="X67" s="26">
        <f ca="1">VLOOKUP($I67,OFFSET([2]enemies!$A$1,0,0,COUNTA([2]enemies!$A:$A),MATCH(X$1,[2]enemies!$2:$2,0)-MATCH($I$1,[2]enemies!$2:$2,0)+1),MATCH(X$1,[2]enemies!$2:$2,0)-MATCH($I$1,[2]enemies!$2:$2,0)+1,FALSE)</f>
        <v>2</v>
      </c>
      <c r="Y67" s="31">
        <v>333</v>
      </c>
      <c r="Z67" s="5" t="str">
        <f ca="1">IFERROR(VLOOKUP($Y67,OFFSET([3]characters!$A$1,0,0,COUNTA([3]characters!$A:$A),MATCH(Z$1,[3]characters!$2:$2,0)-MATCH("character_id",[3]characters!$2:$2,0)+1),MATCH(Z$1,[3]characters!$2:$2,0)-MATCH("character_id",[3]characters!$2:$2,0)+1,FALSE),"")</f>
        <v>炎のメタルチック</v>
      </c>
      <c r="AA67" s="5">
        <f ca="1">IFERROR(VLOOKUP($Y67,OFFSET([3]characters!$A$1,0,0,COUNTA([3]characters!$A:$A),MATCH(AA$1,[3]characters!$2:$2,0)-MATCH("character_id",[3]characters!$2:$2,0)+1),MATCH(AA$1,[3]characters!$2:$2,0)-MATCH("character_id",[3]characters!$2:$2,0)+1,FALSE),"")</f>
        <v>4</v>
      </c>
      <c r="AB67" s="5" t="str">
        <f ca="1">IFERROR(VLOOKUP($Y67,OFFSET([3]characters!$A$1,0,0,COUNTA([3]characters!$A:$A),MATCH(AB$1,[3]characters!$2:$2,0)-MATCH("character_id",[3]characters!$2:$2,0)+1),MATCH(AB$1,[3]characters!$2:$2,0)-MATCH("character_id",[3]characters!$2:$2,0)+1,FALSE),"")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7" s="8">
        <v>1</v>
      </c>
      <c r="AD67" s="34">
        <f t="shared" ca="1" si="61"/>
        <v>4</v>
      </c>
      <c r="AE67" s="9">
        <v>5</v>
      </c>
      <c r="AF67" s="8">
        <v>0</v>
      </c>
      <c r="AG67" s="8">
        <v>0</v>
      </c>
      <c r="AH67" s="8">
        <v>0</v>
      </c>
      <c r="AI67" s="8">
        <v>0</v>
      </c>
      <c r="AJ67" s="8">
        <v>1</v>
      </c>
    </row>
    <row r="68" spans="1:36" ht="18" customHeight="1">
      <c r="A68" s="21" t="str">
        <f t="shared" ca="1" si="62"/>
        <v>11102_3-2/103&lt;lv30&gt;s3</v>
      </c>
      <c r="B68" s="8">
        <v>11102</v>
      </c>
      <c r="C68" s="50">
        <v>3</v>
      </c>
      <c r="D68" s="2" t="str">
        <f t="shared" si="59"/>
        <v>11102_3</v>
      </c>
      <c r="E68" s="5" t="str">
        <f ca="1">VLOOKUP($B68,OFFSET([1]quests!$A$1,0,0,COUNTA([1]quests!$A:$A),MATCH(E$1,[1]quests!$1:$1,0)-MATCH($B$1,[1]quests!$1:$1,0)+1),MATCH(E$1,[1]quests!$1:$1,0)-MATCH($B$1,[1]quests!$1:$1,0)+1,FALSE)</f>
        <v>【キャンペーン限定】 赤の素材</v>
      </c>
      <c r="F68" s="5" t="str">
        <f ca="1">VLOOKUP($D68,OFFSET([1]stages!$A$1,0,0,COUNTA([1]stages!$A:$A),MATCH(F$1,[1]stages!$2:$2,0)-MATCH($D$1,[1]stages!$2:$2,0)+1),MATCH(F$1,[1]stages!$2:$2,0)-MATCH($D$1,[1]stages!$2:$2,0)+1,FALSE)</f>
        <v>火のイモムシ 【上級】</v>
      </c>
      <c r="G68" s="32">
        <v>2</v>
      </c>
      <c r="H68" s="20" t="str">
        <f t="shared" si="60"/>
        <v>11102_3-2</v>
      </c>
      <c r="I68" s="31">
        <v>103</v>
      </c>
      <c r="J68" s="26" t="str">
        <f ca="1">VLOOKUP($I68,OFFSET([2]enemies!$A$1,0,0,COUNTA([2]enemies!$A:$A),MATCH(J$1,[2]enemies!$2:$2,0)-MATCH($I$1,[2]enemies!$2:$2,0)+1),MATCH(J$1,[2]enemies!$2:$2,0)-MATCH($I$1,[2]enemies!$2:$2,0)+1,FALSE)</f>
        <v>レッドキャタップ</v>
      </c>
      <c r="K68" s="29" t="str">
        <f ca="1">VLOOKUP($I68,OFFSET([2]enemies!$A$1,0,0,COUNTA([2]enemies!$A:$A),MATCH(K$1,[2]enemies!$2:$2,0)-MATCH($I$1,[2]enemies!$2:$2,0)+1),MATCH(K$1,[2]enemies!$2:$2,0)-MATCH($I$1,[2]enemies!$2:$2,0)+1,FALSE)</f>
        <v>red</v>
      </c>
      <c r="L68" s="29" t="str">
        <f ca="1">VLOOKUP($I68,OFFSET([3]characters!$A$1,0,0,COUNTA([3]characters!$A:$A),MATCH(L$1,[3]characters!$2:$2,0)-MATCH($I$1,[3]characters!$2:$2,0)+1),MATCH(L$1,[3]characters!$2:$2,0)-MATCH($I$1,[3]characters!$2:$2,0)+1,FALSE)</f>
        <v>Material</v>
      </c>
      <c r="M68" s="28" t="str">
        <f ca="1">VLOOKUP($I68,OFFSET([3]characters!$A$1,0,0,COUNTA([3]characters!$A:$A),MATCH(M$1,[3]characters!$2:$2,0)-MATCH($I$1,[3]characters!$2:$2,0)+2),MATCH(M$1,[3]characters!$2:$2,0)-MATCH($I$1,[3]characters!$2:$2,0)+2,FALSE)</f>
        <v>Unknown</v>
      </c>
      <c r="N68" s="5">
        <f ca="1">VLOOKUP($I68,OFFSET([2]enemies!$A$1,0,0,COUNTA([2]enemies!$A:$A),MATCH(N$1,[2]enemies!$2:$2,0)-MATCH($I$1,[2]enemies!$2:$2,0)+1),MATCH(N$1,[2]enemies!$2:$2,0)-MATCH($I$1,[2]enemies!$2:$2,0)+1,FALSE)</f>
        <v>15</v>
      </c>
      <c r="O68" s="6">
        <v>30</v>
      </c>
      <c r="P68" s="46">
        <v>2</v>
      </c>
      <c r="Q68" s="46">
        <v>1</v>
      </c>
      <c r="R68" s="6">
        <v>0</v>
      </c>
      <c r="S68" s="5" t="str">
        <f ca="1">VLOOKUP($T68,OFFSET([4]enemy_skill_sets!$B$1,0,0,COUNTA([4]enemy_skill_sets!$B:$B),MATCH(J$1,[4]enemy_skill_sets!$1:$1,0)-MATCH($T$1,[4]enemy_skill_sets!$1:$1,0)+2),MATCH(J$1,[4]enemy_skill_sets!$1:$1,0)-MATCH($T$1,[4]enemy_skill_sets!$1:$1,0)+2,FALSE)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8" s="5">
        <f ca="1">VLOOKUP($I68,OFFSET([2]enemies!$A$1,0,0,COUNTA([2]enemies!$A:$A),MATCH(T$1,[2]enemies!$2:$2,0)-MATCH($I$1,[2]enemies!$2:$2,0)+1),MATCH(T$1,[2]enemies!$2:$2,0)-MATCH($I$1,[2]enemies!$2:$2,0)+1,FALSE)</f>
        <v>0</v>
      </c>
      <c r="U68" s="7">
        <v>1</v>
      </c>
      <c r="V68" s="7">
        <v>100</v>
      </c>
      <c r="W68" s="7">
        <v>1</v>
      </c>
      <c r="X68" s="26">
        <f ca="1">VLOOKUP($I68,OFFSET([2]enemies!$A$1,0,0,COUNTA([2]enemies!$A:$A),MATCH(X$1,[2]enemies!$2:$2,0)-MATCH($I$1,[2]enemies!$2:$2,0)+1),MATCH(X$1,[2]enemies!$2:$2,0)-MATCH($I$1,[2]enemies!$2:$2,0)+1,FALSE)</f>
        <v>3</v>
      </c>
      <c r="Y68" s="31">
        <v>103</v>
      </c>
      <c r="Z68" s="5" t="str">
        <f ca="1">IFERROR(VLOOKUP($Y68,OFFSET([3]characters!$A$1,0,0,COUNTA([3]characters!$A:$A),MATCH(Z$1,[3]characters!$2:$2,0)-MATCH("character_id",[3]characters!$2:$2,0)+1),MATCH(Z$1,[3]characters!$2:$2,0)-MATCH("character_id",[3]characters!$2:$2,0)+1,FALSE),"")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68" s="5">
        <f ca="1">IFERROR(VLOOKUP($Y68,OFFSET([3]characters!$A$1,0,0,COUNTA([3]characters!$A:$A),MATCH(AA$1,[3]characters!$2:$2,0)-MATCH("character_id",[3]characters!$2:$2,0)+1),MATCH(AA$1,[3]characters!$2:$2,0)-MATCH("character_id",[3]characters!$2:$2,0)+1,FALSE),"")</f>
        <v>4</v>
      </c>
      <c r="AB68" s="5" t="str">
        <f ca="1">IFERROR(VLOOKUP($Y68,OFFSET([3]characters!$A$1,0,0,COUNTA([3]characters!$A:$A),MATCH(AB$1,[3]characters!$2:$2,0)-MATCH("character_id",[3]characters!$2:$2,0)+1),MATCH(AB$1,[3]characters!$2:$2,0)-MATCH("character_id",[3]characters!$2:$2,0)+1,FALSE),"")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8" s="8">
        <v>1</v>
      </c>
      <c r="AD68" s="34">
        <f t="shared" ca="1" si="61"/>
        <v>4</v>
      </c>
      <c r="AE68" s="9">
        <v>10</v>
      </c>
      <c r="AF68" s="8">
        <v>0</v>
      </c>
      <c r="AG68" s="8">
        <v>0</v>
      </c>
      <c r="AH68" s="8">
        <v>0</v>
      </c>
      <c r="AI68" s="8">
        <v>0</v>
      </c>
      <c r="AJ68" s="8">
        <v>1</v>
      </c>
    </row>
    <row r="69" spans="1:36" ht="21" customHeight="1">
      <c r="A69" s="21" t="str">
        <f t="shared" ref="A69:A72" ca="1" si="63">B69&amp;"_"&amp;C69&amp;"-"&amp;G69&amp;"/"&amp;I69&amp;"&lt;lv"&amp;O69&amp;"&gt;s"&amp;X69</f>
        <v>11102_3-2/33&lt;lv35&gt;s2</v>
      </c>
      <c r="B69" s="8">
        <v>11102</v>
      </c>
      <c r="C69" s="50">
        <v>3</v>
      </c>
      <c r="D69" s="2" t="str">
        <f t="shared" ref="D69:D72" si="64">B69&amp;"_"&amp;C69</f>
        <v>11102_3</v>
      </c>
      <c r="E69" s="5" t="str">
        <f ca="1">VLOOKUP($B69,OFFSET([1]quests!$A$1,0,0,COUNTA([1]quests!$A:$A),MATCH(E$1,[1]quests!$1:$1,0)-MATCH($B$1,[1]quests!$1:$1,0)+1),MATCH(E$1,[1]quests!$1:$1,0)-MATCH($B$1,[1]quests!$1:$1,0)+1,FALSE)</f>
        <v>【キャンペーン限定】 赤の素材</v>
      </c>
      <c r="F69" s="5" t="str">
        <f ca="1">VLOOKUP($D69,OFFSET([1]stages!$A$1,0,0,COUNTA([1]stages!$A:$A),MATCH(F$1,[1]stages!$2:$2,0)-MATCH($D$1,[1]stages!$2:$2,0)+1),MATCH(F$1,[1]stages!$2:$2,0)-MATCH($D$1,[1]stages!$2:$2,0)+1,FALSE)</f>
        <v>火のイモムシ 【上級】</v>
      </c>
      <c r="G69" s="32">
        <v>2</v>
      </c>
      <c r="H69" s="20" t="str">
        <f t="shared" ref="H69:H72" si="65">B69&amp;"_"&amp;C69&amp;"-"&amp;G69</f>
        <v>11102_3-2</v>
      </c>
      <c r="I69" s="31">
        <v>33</v>
      </c>
      <c r="J69" s="26" t="str">
        <f ca="1">VLOOKUP($I69,OFFSET([2]enemies!$A$1,0,0,COUNTA([2]enemies!$A:$A),MATCH(J$1,[2]enemies!$2:$2,0)-MATCH($I$1,[2]enemies!$2:$2,0)+1),MATCH(J$1,[2]enemies!$2:$2,0)-MATCH($I$1,[2]enemies!$2:$2,0)+1,FALSE)</f>
        <v>ゴクウ</v>
      </c>
      <c r="K69" s="29" t="str">
        <f ca="1">VLOOKUP($I69,OFFSET([2]enemies!$A$1,0,0,COUNTA([2]enemies!$A:$A),MATCH(K$1,[2]enemies!$2:$2,0)-MATCH($I$1,[2]enemies!$2:$2,0)+1),MATCH(K$1,[2]enemies!$2:$2,0)-MATCH($I$1,[2]enemies!$2:$2,0)+1,FALSE)</f>
        <v>red</v>
      </c>
      <c r="L69" s="29" t="str">
        <f ca="1">VLOOKUP($I69,OFFSET([3]characters!$A$1,0,0,COUNTA([3]characters!$A:$A),MATCH(L$1,[3]characters!$2:$2,0)-MATCH($I$1,[3]characters!$2:$2,0)+1),MATCH(L$1,[3]characters!$2:$2,0)-MATCH($I$1,[3]characters!$2:$2,0)+1,FALSE)</f>
        <v>Drop1S</v>
      </c>
      <c r="M69" s="28" t="str">
        <f ca="1">VLOOKUP($I69,OFFSET([3]characters!$A$1,0,0,COUNTA([3]characters!$A:$A),MATCH(M$1,[3]characters!$2:$2,0)-MATCH($I$1,[3]characters!$2:$2,0)+2),MATCH(M$1,[3]characters!$2:$2,0)-MATCH($I$1,[3]characters!$2:$2,0)+2,FALSE)</f>
        <v>アニマル</v>
      </c>
      <c r="N69" s="5">
        <f ca="1">VLOOKUP($I69,OFFSET([2]enemies!$A$1,0,0,COUNTA([2]enemies!$A:$A),MATCH(N$1,[2]enemies!$2:$2,0)-MATCH($I$1,[2]enemies!$2:$2,0)+1),MATCH(N$1,[2]enemies!$2:$2,0)-MATCH($I$1,[2]enemies!$2:$2,0)+1,FALSE)</f>
        <v>15</v>
      </c>
      <c r="O69" s="6">
        <v>35</v>
      </c>
      <c r="P69" s="46">
        <v>1</v>
      </c>
      <c r="Q69" s="46">
        <v>1</v>
      </c>
      <c r="R69" s="6">
        <v>0</v>
      </c>
      <c r="S69" s="5" t="str">
        <f ca="1">VLOOKUP($T69,OFFSET([4]enemy_skill_sets!$B$1,0,0,COUNTA([4]enemy_skill_sets!$B:$B),MATCH(J$1,[4]enemy_skill_sets!$1:$1,0)-MATCH($T$1,[4]enemy_skill_sets!$1:$1,0)+2),MATCH(J$1,[4]enemy_skill_sets!$1:$1,0)-MATCH($T$1,[4]enemy_skill_sets!$1:$1,0)+2,FALSE)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69" s="5">
        <f ca="1">VLOOKUP($I69,OFFSET([2]enemies!$A$1,0,0,COUNTA([2]enemies!$A:$A),MATCH(T$1,[2]enemies!$2:$2,0)-MATCH($I$1,[2]enemies!$2:$2,0)+1),MATCH(T$1,[2]enemies!$2:$2,0)-MATCH($I$1,[2]enemies!$2:$2,0)+1,FALSE)</f>
        <v>33</v>
      </c>
      <c r="U69" s="7">
        <v>0</v>
      </c>
      <c r="V69" s="7">
        <v>100</v>
      </c>
      <c r="W69" s="7">
        <v>0</v>
      </c>
      <c r="X69" s="26">
        <f ca="1">VLOOKUP($I69,OFFSET([2]enemies!$A$1,0,0,COUNTA([2]enemies!$A:$A),MATCH(X$1,[2]enemies!$2:$2,0)-MATCH($I$1,[2]enemies!$2:$2,0)+1),MATCH(X$1,[2]enemies!$2:$2,0)-MATCH($I$1,[2]enemies!$2:$2,0)+1,FALSE)</f>
        <v>2</v>
      </c>
      <c r="Y69" s="31">
        <v>33</v>
      </c>
      <c r="Z69" s="5" t="str">
        <f ca="1">IFERROR(VLOOKUP($Y69,OFFSET([3]characters!$A$1,0,0,COUNTA([3]characters!$A:$A),MATCH(Z$1,[3]characters!$2:$2,0)-MATCH("character_id",[3]characters!$2:$2,0)+1),MATCH(Z$1,[3]characters!$2:$2,0)-MATCH("character_id",[3]characters!$2:$2,0)+1,FALSE),"")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69" s="5">
        <f ca="1">IFERROR(VLOOKUP($Y69,OFFSET([3]characters!$A$1,0,0,COUNTA([3]characters!$A:$A),MATCH(AA$1,[3]characters!$2:$2,0)-MATCH("character_id",[3]characters!$2:$2,0)+1),MATCH(AA$1,[3]characters!$2:$2,0)-MATCH("character_id",[3]characters!$2:$2,0)+1,FALSE),"")</f>
        <v>2</v>
      </c>
      <c r="AB69" s="5" t="str">
        <f ca="1">IFERROR(VLOOKUP($Y69,OFFSET([3]characters!$A$1,0,0,COUNTA([3]characters!$A:$A),MATCH(AB$1,[3]characters!$2:$2,0)-MATCH("character_id",[3]characters!$2:$2,0)+1),MATCH(AB$1,[3]characters!$2:$2,0)-MATCH("character_id",[3]characters!$2:$2,0)+1,FALSE),"")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69" s="8">
        <v>1</v>
      </c>
      <c r="AD69" s="34">
        <f t="shared" ref="AD69:AD72" ca="1" si="66">AA69</f>
        <v>2</v>
      </c>
      <c r="AE69" s="9">
        <v>0</v>
      </c>
      <c r="AF69" s="8">
        <v>0</v>
      </c>
      <c r="AG69" s="8">
        <v>0</v>
      </c>
      <c r="AH69" s="8">
        <v>0</v>
      </c>
      <c r="AI69" s="8">
        <v>0</v>
      </c>
      <c r="AJ69" s="8">
        <v>1</v>
      </c>
    </row>
    <row r="70" spans="1:36" ht="21" customHeight="1">
      <c r="A70" s="21" t="str">
        <f t="shared" ca="1" si="63"/>
        <v>11102_3-2/21&lt;lv35&gt;s2</v>
      </c>
      <c r="B70" s="8">
        <v>11102</v>
      </c>
      <c r="C70" s="50">
        <v>3</v>
      </c>
      <c r="D70" s="2" t="str">
        <f t="shared" si="64"/>
        <v>11102_3</v>
      </c>
      <c r="E70" s="5" t="str">
        <f ca="1">VLOOKUP($B70,OFFSET([1]quests!$A$1,0,0,COUNTA([1]quests!$A:$A),MATCH(E$1,[1]quests!$1:$1,0)-MATCH($B$1,[1]quests!$1:$1,0)+1),MATCH(E$1,[1]quests!$1:$1,0)-MATCH($B$1,[1]quests!$1:$1,0)+1,FALSE)</f>
        <v>【キャンペーン限定】 赤の素材</v>
      </c>
      <c r="F70" s="5" t="str">
        <f ca="1">VLOOKUP($D70,OFFSET([1]stages!$A$1,0,0,COUNTA([1]stages!$A:$A),MATCH(F$1,[1]stages!$2:$2,0)-MATCH($D$1,[1]stages!$2:$2,0)+1),MATCH(F$1,[1]stages!$2:$2,0)-MATCH($D$1,[1]stages!$2:$2,0)+1,FALSE)</f>
        <v>火のイモムシ 【上級】</v>
      </c>
      <c r="G70" s="32">
        <v>2</v>
      </c>
      <c r="H70" s="20" t="str">
        <f t="shared" si="65"/>
        <v>11102_3-2</v>
      </c>
      <c r="I70" s="31">
        <v>21</v>
      </c>
      <c r="J70" s="26" t="str">
        <f ca="1">VLOOKUP($I70,OFFSET([2]enemies!$A$1,0,0,COUNTA([2]enemies!$A:$A),MATCH(J$1,[2]enemies!$2:$2,0)-MATCH($I$1,[2]enemies!$2:$2,0)+1),MATCH(J$1,[2]enemies!$2:$2,0)-MATCH($I$1,[2]enemies!$2:$2,0)+1,FALSE)</f>
        <v>ヴェロキー</v>
      </c>
      <c r="K70" s="29" t="str">
        <f ca="1">VLOOKUP($I70,OFFSET([2]enemies!$A$1,0,0,COUNTA([2]enemies!$A:$A),MATCH(K$1,[2]enemies!$2:$2,0)-MATCH($I$1,[2]enemies!$2:$2,0)+1),MATCH(K$1,[2]enemies!$2:$2,0)-MATCH($I$1,[2]enemies!$2:$2,0)+1,FALSE)</f>
        <v>red</v>
      </c>
      <c r="L70" s="29" t="str">
        <f ca="1">VLOOKUP($I70,OFFSET([3]characters!$A$1,0,0,COUNTA([3]characters!$A:$A),MATCH(L$1,[3]characters!$2:$2,0)-MATCH($I$1,[3]characters!$2:$2,0)+1),MATCH(L$1,[3]characters!$2:$2,0)-MATCH($I$1,[3]characters!$2:$2,0)+1,FALSE)</f>
        <v>Drop1N</v>
      </c>
      <c r="M70" s="28" t="str">
        <f ca="1">VLOOKUP($I70,OFFSET([3]characters!$A$1,0,0,COUNTA([3]characters!$A:$A),MATCH(M$1,[3]characters!$2:$2,0)-MATCH($I$1,[3]characters!$2:$2,0)+2),MATCH(M$1,[3]characters!$2:$2,0)-MATCH($I$1,[3]characters!$2:$2,0)+2,FALSE)</f>
        <v>ドラゴン</v>
      </c>
      <c r="N70" s="5">
        <f ca="1">VLOOKUP($I70,OFFSET([2]enemies!$A$1,0,0,COUNTA([2]enemies!$A:$A),MATCH(N$1,[2]enemies!$2:$2,0)-MATCH($I$1,[2]enemies!$2:$2,0)+1),MATCH(N$1,[2]enemies!$2:$2,0)-MATCH($I$1,[2]enemies!$2:$2,0)+1,FALSE)</f>
        <v>15</v>
      </c>
      <c r="O70" s="6">
        <v>35</v>
      </c>
      <c r="P70" s="46">
        <v>1</v>
      </c>
      <c r="Q70" s="46">
        <v>1</v>
      </c>
      <c r="R70" s="6">
        <v>0</v>
      </c>
      <c r="S70" s="5" t="str">
        <f ca="1">VLOOKUP($T70,OFFSET([4]enemy_skill_sets!$B$1,0,0,COUNTA([4]enemy_skill_sets!$B:$B),MATCH(J$1,[4]enemy_skill_sets!$1:$1,0)-MATCH($T$1,[4]enemy_skill_sets!$1:$1,0)+2),MATCH(J$1,[4]enemy_skill_sets!$1:$1,0)-MATCH($T$1,[4]enemy_skill_sets!$1:$1,0)+2,FALSE)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0" s="5">
        <f ca="1">VLOOKUP($I70,OFFSET([2]enemies!$A$1,0,0,COUNTA([2]enemies!$A:$A),MATCH(T$1,[2]enemies!$2:$2,0)-MATCH($I$1,[2]enemies!$2:$2,0)+1),MATCH(T$1,[2]enemies!$2:$2,0)-MATCH($I$1,[2]enemies!$2:$2,0)+1,FALSE)</f>
        <v>0</v>
      </c>
      <c r="U70" s="7">
        <v>0</v>
      </c>
      <c r="V70" s="7">
        <v>100</v>
      </c>
      <c r="W70" s="7">
        <v>0</v>
      </c>
      <c r="X70" s="26">
        <f ca="1">VLOOKUP($I70,OFFSET([2]enemies!$A$1,0,0,COUNTA([2]enemies!$A:$A),MATCH(X$1,[2]enemies!$2:$2,0)-MATCH($I$1,[2]enemies!$2:$2,0)+1),MATCH(X$1,[2]enemies!$2:$2,0)-MATCH($I$1,[2]enemies!$2:$2,0)+1,FALSE)</f>
        <v>2</v>
      </c>
      <c r="Y70" s="31">
        <v>21</v>
      </c>
      <c r="Z70" s="5" t="str">
        <f ca="1">IFERROR(VLOOKUP($Y70,OFFSET([3]characters!$A$1,0,0,COUNTA([3]characters!$A:$A),MATCH(Z$1,[3]characters!$2:$2,0)-MATCH("character_id",[3]characters!$2:$2,0)+1),MATCH(Z$1,[3]characters!$2:$2,0)-MATCH("character_id",[3]characters!$2:$2,0)+1,FALSE),"")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70" s="5">
        <f ca="1">IFERROR(VLOOKUP($Y70,OFFSET([3]characters!$A$1,0,0,COUNTA([3]characters!$A:$A),MATCH(AA$1,[3]characters!$2:$2,0)-MATCH("character_id",[3]characters!$2:$2,0)+1),MATCH(AA$1,[3]characters!$2:$2,0)-MATCH("character_id",[3]characters!$2:$2,0)+1,FALSE),"")</f>
        <v>1</v>
      </c>
      <c r="AB70" s="5" t="str">
        <f ca="1">IFERROR(VLOOKUP($Y70,OFFSET([3]characters!$A$1,0,0,COUNTA([3]characters!$A:$A),MATCH(AB$1,[3]characters!$2:$2,0)-MATCH("character_id",[3]characters!$2:$2,0)+1),MATCH(AB$1,[3]characters!$2:$2,0)-MATCH("character_id",[3]characters!$2:$2,0)+1,FALSE),"")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70" s="8">
        <v>1</v>
      </c>
      <c r="AD70" s="34">
        <f t="shared" ca="1" si="66"/>
        <v>1</v>
      </c>
      <c r="AE70" s="9">
        <v>0</v>
      </c>
      <c r="AF70" s="8">
        <v>0</v>
      </c>
      <c r="AG70" s="8">
        <v>0</v>
      </c>
      <c r="AH70" s="8">
        <v>0</v>
      </c>
      <c r="AI70" s="8">
        <v>0</v>
      </c>
      <c r="AJ70" s="8">
        <v>1</v>
      </c>
    </row>
    <row r="71" spans="1:36" ht="21" customHeight="1">
      <c r="A71" s="21" t="str">
        <f t="shared" ca="1" si="63"/>
        <v>11102_3-2/332&lt;lv1&gt;s1</v>
      </c>
      <c r="B71" s="8">
        <v>11102</v>
      </c>
      <c r="C71" s="50">
        <v>3</v>
      </c>
      <c r="D71" s="2" t="str">
        <f t="shared" si="64"/>
        <v>11102_3</v>
      </c>
      <c r="E71" s="5" t="str">
        <f ca="1">VLOOKUP($B71,OFFSET([1]quests!$A$1,0,0,COUNTA([1]quests!$A:$A),MATCH(E$1,[1]quests!$1:$1,0)-MATCH($B$1,[1]quests!$1:$1,0)+1),MATCH(E$1,[1]quests!$1:$1,0)-MATCH($B$1,[1]quests!$1:$1,0)+1,FALSE)</f>
        <v>【キャンペーン限定】 赤の素材</v>
      </c>
      <c r="F71" s="5" t="str">
        <f ca="1">VLOOKUP($D71,OFFSET([1]stages!$A$1,0,0,COUNTA([1]stages!$A:$A),MATCH(F$1,[1]stages!$2:$2,0)-MATCH($D$1,[1]stages!$2:$2,0)+1),MATCH(F$1,[1]stages!$2:$2,0)-MATCH($D$1,[1]stages!$2:$2,0)+1,FALSE)</f>
        <v>火のイモムシ 【上級】</v>
      </c>
      <c r="G71" s="32">
        <v>2</v>
      </c>
      <c r="H71" s="20" t="str">
        <f t="shared" si="65"/>
        <v>11102_3-2</v>
      </c>
      <c r="I71" s="31">
        <v>332</v>
      </c>
      <c r="J71" s="26" t="str">
        <f ca="1">VLOOKUP($I71,OFFSET([2]enemies!$A$1,0,0,COUNTA([2]enemies!$A:$A),MATCH(J$1,[2]enemies!$2:$2,0)-MATCH($I$1,[2]enemies!$2:$2,0)+1),MATCH(J$1,[2]enemies!$2:$2,0)-MATCH($I$1,[2]enemies!$2:$2,0)+1,FALSE)</f>
        <v>炎のメタルピヨピヨ</v>
      </c>
      <c r="K71" s="29" t="str">
        <f ca="1">VLOOKUP($I71,OFFSET([2]enemies!$A$1,0,0,COUNTA([2]enemies!$A:$A),MATCH(K$1,[2]enemies!$2:$2,0)-MATCH($I$1,[2]enemies!$2:$2,0)+1),MATCH(K$1,[2]enemies!$2:$2,0)-MATCH($I$1,[2]enemies!$2:$2,0)+1,FALSE)</f>
        <v>red</v>
      </c>
      <c r="L71" s="29" t="str">
        <f ca="1">VLOOKUP($I71,OFFSET([3]characters!$A$1,0,0,COUNTA([3]characters!$A:$A),MATCH(L$1,[3]characters!$2:$2,0)-MATCH($I$1,[3]characters!$2:$2,0)+1),MATCH(L$1,[3]characters!$2:$2,0)-MATCH($I$1,[3]characters!$2:$2,0)+1,FALSE)</f>
        <v>Material</v>
      </c>
      <c r="M71" s="28" t="str">
        <f ca="1">VLOOKUP($I71,OFFSET([3]characters!$A$1,0,0,COUNTA([3]characters!$A:$A),MATCH(M$1,[3]characters!$2:$2,0)-MATCH($I$1,[3]characters!$2:$2,0)+2),MATCH(M$1,[3]characters!$2:$2,0)-MATCH($I$1,[3]characters!$2:$2,0)+2,FALSE)</f>
        <v>Unknown</v>
      </c>
      <c r="N71" s="5">
        <f ca="1">VLOOKUP($I71,OFFSET([2]enemies!$A$1,0,0,COUNTA([2]enemies!$A:$A),MATCH(N$1,[2]enemies!$2:$2,0)-MATCH($I$1,[2]enemies!$2:$2,0)+1),MATCH(N$1,[2]enemies!$2:$2,0)-MATCH($I$1,[2]enemies!$2:$2,0)+1,FALSE)</f>
        <v>15</v>
      </c>
      <c r="O71" s="6">
        <v>1</v>
      </c>
      <c r="P71" s="46">
        <v>1</v>
      </c>
      <c r="Q71" s="46">
        <v>1</v>
      </c>
      <c r="R71" s="6">
        <v>0</v>
      </c>
      <c r="S71" s="5" t="str">
        <f ca="1">VLOOKUP($T71,OFFSET([4]enemy_skill_sets!$B$1,0,0,COUNTA([4]enemy_skill_sets!$B:$B),MATCH(J$1,[4]enemy_skill_sets!$1:$1,0)-MATCH($T$1,[4]enemy_skill_sets!$1:$1,0)+2),MATCH(J$1,[4]enemy_skill_sets!$1:$1,0)-MATCH($T$1,[4]enemy_skill_sets!$1:$1,0)+2,FALSE)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1" s="5">
        <f ca="1">VLOOKUP($I71,OFFSET([2]enemies!$A$1,0,0,COUNTA([2]enemies!$A:$A),MATCH(T$1,[2]enemies!$2:$2,0)-MATCH($I$1,[2]enemies!$2:$2,0)+1),MATCH(T$1,[2]enemies!$2:$2,0)-MATCH($I$1,[2]enemies!$2:$2,0)+1,FALSE)</f>
        <v>0</v>
      </c>
      <c r="U71" s="7">
        <v>0</v>
      </c>
      <c r="V71" s="7">
        <v>30</v>
      </c>
      <c r="W71" s="7">
        <v>0</v>
      </c>
      <c r="X71" s="26">
        <f ca="1">VLOOKUP($I71,OFFSET([2]enemies!$A$1,0,0,COUNTA([2]enemies!$A:$A),MATCH(X$1,[2]enemies!$2:$2,0)-MATCH($I$1,[2]enemies!$2:$2,0)+1),MATCH(X$1,[2]enemies!$2:$2,0)-MATCH($I$1,[2]enemies!$2:$2,0)+1,FALSE)</f>
        <v>1</v>
      </c>
      <c r="Y71" s="31">
        <v>332</v>
      </c>
      <c r="Z71" s="5" t="str">
        <f ca="1">IFERROR(VLOOKUP($Y71,OFFSET([3]characters!$A$1,0,0,COUNTA([3]characters!$A:$A),MATCH(Z$1,[3]characters!$2:$2,0)-MATCH("character_id",[3]characters!$2:$2,0)+1),MATCH(Z$1,[3]characters!$2:$2,0)-MATCH("character_id",[3]characters!$2:$2,0)+1,FALSE),"")</f>
        <v>炎のメタルピヨピヨ</v>
      </c>
      <c r="AA71" s="5">
        <f ca="1">IFERROR(VLOOKUP($Y71,OFFSET([3]characters!$A$1,0,0,COUNTA([3]characters!$A:$A),MATCH(AA$1,[3]characters!$2:$2,0)-MATCH("character_id",[3]characters!$2:$2,0)+1),MATCH(AA$1,[3]characters!$2:$2,0)-MATCH("character_id",[3]characters!$2:$2,0)+1,FALSE),"")</f>
        <v>3</v>
      </c>
      <c r="AB71" s="5" t="str">
        <f ca="1">IFERROR(VLOOKUP($Y71,OFFSET([3]characters!$A$1,0,0,COUNTA([3]characters!$A:$A),MATCH(AB$1,[3]characters!$2:$2,0)-MATCH("character_id",[3]characters!$2:$2,0)+1),MATCH(AB$1,[3]characters!$2:$2,0)-MATCH("character_id",[3]characters!$2:$2,0)+1,FALSE),"")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71" s="8">
        <v>1</v>
      </c>
      <c r="AD71" s="34">
        <f t="shared" ca="1" si="66"/>
        <v>3</v>
      </c>
      <c r="AE71" s="9">
        <v>10</v>
      </c>
      <c r="AF71" s="8">
        <v>0</v>
      </c>
      <c r="AG71" s="8">
        <v>0</v>
      </c>
      <c r="AH71" s="8">
        <v>0</v>
      </c>
      <c r="AI71" s="8">
        <v>0</v>
      </c>
      <c r="AJ71" s="8">
        <v>1</v>
      </c>
    </row>
    <row r="72" spans="1:36" ht="21" customHeight="1">
      <c r="A72" s="21" t="str">
        <f t="shared" ca="1" si="63"/>
        <v>11102_3-2/333&lt;lv1&gt;s2</v>
      </c>
      <c r="B72" s="8">
        <v>11102</v>
      </c>
      <c r="C72" s="50">
        <v>3</v>
      </c>
      <c r="D72" s="2" t="str">
        <f t="shared" si="64"/>
        <v>11102_3</v>
      </c>
      <c r="E72" s="5" t="str">
        <f ca="1">VLOOKUP($B72,OFFSET([1]quests!$A$1,0,0,COUNTA([1]quests!$A:$A),MATCH(E$1,[1]quests!$1:$1,0)-MATCH($B$1,[1]quests!$1:$1,0)+1),MATCH(E$1,[1]quests!$1:$1,0)-MATCH($B$1,[1]quests!$1:$1,0)+1,FALSE)</f>
        <v>【キャンペーン限定】 赤の素材</v>
      </c>
      <c r="F72" s="5" t="str">
        <f ca="1">VLOOKUP($D72,OFFSET([1]stages!$A$1,0,0,COUNTA([1]stages!$A:$A),MATCH(F$1,[1]stages!$2:$2,0)-MATCH($D$1,[1]stages!$2:$2,0)+1),MATCH(F$1,[1]stages!$2:$2,0)-MATCH($D$1,[1]stages!$2:$2,0)+1,FALSE)</f>
        <v>火のイモムシ 【上級】</v>
      </c>
      <c r="G72" s="32">
        <v>2</v>
      </c>
      <c r="H72" s="20" t="str">
        <f t="shared" si="65"/>
        <v>11102_3-2</v>
      </c>
      <c r="I72" s="31">
        <v>333</v>
      </c>
      <c r="J72" s="26" t="str">
        <f ca="1">VLOOKUP($I72,OFFSET([2]enemies!$A$1,0,0,COUNTA([2]enemies!$A:$A),MATCH(J$1,[2]enemies!$2:$2,0)-MATCH($I$1,[2]enemies!$2:$2,0)+1),MATCH(J$1,[2]enemies!$2:$2,0)-MATCH($I$1,[2]enemies!$2:$2,0)+1,FALSE)</f>
        <v>炎のメタルチック</v>
      </c>
      <c r="K72" s="29" t="str">
        <f ca="1">VLOOKUP($I72,OFFSET([2]enemies!$A$1,0,0,COUNTA([2]enemies!$A:$A),MATCH(K$1,[2]enemies!$2:$2,0)-MATCH($I$1,[2]enemies!$2:$2,0)+1),MATCH(K$1,[2]enemies!$2:$2,0)-MATCH($I$1,[2]enemies!$2:$2,0)+1,FALSE)</f>
        <v>red</v>
      </c>
      <c r="L72" s="29" t="str">
        <f ca="1">VLOOKUP($I72,OFFSET([3]characters!$A$1,0,0,COUNTA([3]characters!$A:$A),MATCH(L$1,[3]characters!$2:$2,0)-MATCH($I$1,[3]characters!$2:$2,0)+1),MATCH(L$1,[3]characters!$2:$2,0)-MATCH($I$1,[3]characters!$2:$2,0)+1,FALSE)</f>
        <v>Material</v>
      </c>
      <c r="M72" s="28" t="str">
        <f ca="1">VLOOKUP($I72,OFFSET([3]characters!$A$1,0,0,COUNTA([3]characters!$A:$A),MATCH(M$1,[3]characters!$2:$2,0)-MATCH($I$1,[3]characters!$2:$2,0)+2),MATCH(M$1,[3]characters!$2:$2,0)-MATCH($I$1,[3]characters!$2:$2,0)+2,FALSE)</f>
        <v>Unknown</v>
      </c>
      <c r="N72" s="5">
        <f ca="1">VLOOKUP($I72,OFFSET([2]enemies!$A$1,0,0,COUNTA([2]enemies!$A:$A),MATCH(N$1,[2]enemies!$2:$2,0)-MATCH($I$1,[2]enemies!$2:$2,0)+1),MATCH(N$1,[2]enemies!$2:$2,0)-MATCH($I$1,[2]enemies!$2:$2,0)+1,FALSE)</f>
        <v>15</v>
      </c>
      <c r="O72" s="6">
        <v>1</v>
      </c>
      <c r="P72" s="46">
        <v>1</v>
      </c>
      <c r="Q72" s="46">
        <v>1</v>
      </c>
      <c r="R72" s="6">
        <v>0</v>
      </c>
      <c r="S72" s="5" t="str">
        <f ca="1">VLOOKUP($T72,OFFSET([4]enemy_skill_sets!$B$1,0,0,COUNTA([4]enemy_skill_sets!$B:$B),MATCH(J$1,[4]enemy_skill_sets!$1:$1,0)-MATCH($T$1,[4]enemy_skill_sets!$1:$1,0)+2),MATCH(J$1,[4]enemy_skill_sets!$1:$1,0)-MATCH($T$1,[4]enemy_skill_sets!$1:$1,0)+2,FALSE)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2" s="5">
        <f ca="1">VLOOKUP($I72,OFFSET([2]enemies!$A$1,0,0,COUNTA([2]enemies!$A:$A),MATCH(T$1,[2]enemies!$2:$2,0)-MATCH($I$1,[2]enemies!$2:$2,0)+1),MATCH(T$1,[2]enemies!$2:$2,0)-MATCH($I$1,[2]enemies!$2:$2,0)+1,FALSE)</f>
        <v>0</v>
      </c>
      <c r="U72" s="7">
        <v>0</v>
      </c>
      <c r="V72" s="7">
        <v>30</v>
      </c>
      <c r="W72" s="7">
        <v>0</v>
      </c>
      <c r="X72" s="26">
        <f ca="1">VLOOKUP($I72,OFFSET([2]enemies!$A$1,0,0,COUNTA([2]enemies!$A:$A),MATCH(X$1,[2]enemies!$2:$2,0)-MATCH($I$1,[2]enemies!$2:$2,0)+1),MATCH(X$1,[2]enemies!$2:$2,0)-MATCH($I$1,[2]enemies!$2:$2,0)+1,FALSE)</f>
        <v>2</v>
      </c>
      <c r="Y72" s="31">
        <v>333</v>
      </c>
      <c r="Z72" s="5" t="str">
        <f ca="1">IFERROR(VLOOKUP($Y72,OFFSET([3]characters!$A$1,0,0,COUNTA([3]characters!$A:$A),MATCH(Z$1,[3]characters!$2:$2,0)-MATCH("character_id",[3]characters!$2:$2,0)+1),MATCH(Z$1,[3]characters!$2:$2,0)-MATCH("character_id",[3]characters!$2:$2,0)+1,FALSE),"")</f>
        <v>炎のメタルチック</v>
      </c>
      <c r="AA72" s="5">
        <f ca="1">IFERROR(VLOOKUP($Y72,OFFSET([3]characters!$A$1,0,0,COUNTA([3]characters!$A:$A),MATCH(AA$1,[3]characters!$2:$2,0)-MATCH("character_id",[3]characters!$2:$2,0)+1),MATCH(AA$1,[3]characters!$2:$2,0)-MATCH("character_id",[3]characters!$2:$2,0)+1,FALSE),"")</f>
        <v>4</v>
      </c>
      <c r="AB72" s="5" t="str">
        <f ca="1">IFERROR(VLOOKUP($Y72,OFFSET([3]characters!$A$1,0,0,COUNTA([3]characters!$A:$A),MATCH(AB$1,[3]characters!$2:$2,0)-MATCH("character_id",[3]characters!$2:$2,0)+1),MATCH(AB$1,[3]characters!$2:$2,0)-MATCH("character_id",[3]characters!$2:$2,0)+1,FALSE),"")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72" s="8">
        <v>1</v>
      </c>
      <c r="AD72" s="34">
        <f t="shared" ca="1" si="66"/>
        <v>4</v>
      </c>
      <c r="AE72" s="9">
        <v>5</v>
      </c>
      <c r="AF72" s="8">
        <v>0</v>
      </c>
      <c r="AG72" s="8">
        <v>0</v>
      </c>
      <c r="AH72" s="8">
        <v>0</v>
      </c>
      <c r="AI72" s="8">
        <v>0</v>
      </c>
      <c r="AJ72" s="8">
        <v>1</v>
      </c>
    </row>
    <row r="73" spans="1:36" ht="21" customHeight="1">
      <c r="A73" s="21" t="str">
        <f t="shared" ca="1" si="62"/>
        <v>11102_3-3/103&lt;lv30&gt;s3</v>
      </c>
      <c r="B73" s="8">
        <v>11102</v>
      </c>
      <c r="C73" s="50">
        <v>3</v>
      </c>
      <c r="D73" s="2" t="str">
        <f t="shared" si="59"/>
        <v>11102_3</v>
      </c>
      <c r="E73" s="5" t="str">
        <f ca="1">VLOOKUP($B73,OFFSET([1]quests!$A$1,0,0,COUNTA([1]quests!$A:$A),MATCH(E$1,[1]quests!$1:$1,0)-MATCH($B$1,[1]quests!$1:$1,0)+1),MATCH(E$1,[1]quests!$1:$1,0)-MATCH($B$1,[1]quests!$1:$1,0)+1,FALSE)</f>
        <v>【キャンペーン限定】 赤の素材</v>
      </c>
      <c r="F73" s="5" t="str">
        <f ca="1">VLOOKUP($D73,OFFSET([1]stages!$A$1,0,0,COUNTA([1]stages!$A:$A),MATCH(F$1,[1]stages!$2:$2,0)-MATCH($D$1,[1]stages!$2:$2,0)+1),MATCH(F$1,[1]stages!$2:$2,0)-MATCH($D$1,[1]stages!$2:$2,0)+1,FALSE)</f>
        <v>火のイモムシ 【上級】</v>
      </c>
      <c r="G73" s="32">
        <v>3</v>
      </c>
      <c r="H73" s="20" t="str">
        <f t="shared" si="60"/>
        <v>11102_3-3</v>
      </c>
      <c r="I73" s="31">
        <v>103</v>
      </c>
      <c r="J73" s="26" t="str">
        <f ca="1">VLOOKUP($I73,OFFSET([2]enemies!$A$1,0,0,COUNTA([2]enemies!$A:$A),MATCH(J$1,[2]enemies!$2:$2,0)-MATCH($I$1,[2]enemies!$2:$2,0)+1),MATCH(J$1,[2]enemies!$2:$2,0)-MATCH($I$1,[2]enemies!$2:$2,0)+1,FALSE)</f>
        <v>レッドキャタップ</v>
      </c>
      <c r="K73" s="29" t="str">
        <f ca="1">VLOOKUP($I73,OFFSET([2]enemies!$A$1,0,0,COUNTA([2]enemies!$A:$A),MATCH(K$1,[2]enemies!$2:$2,0)-MATCH($I$1,[2]enemies!$2:$2,0)+1),MATCH(K$1,[2]enemies!$2:$2,0)-MATCH($I$1,[2]enemies!$2:$2,0)+1,FALSE)</f>
        <v>red</v>
      </c>
      <c r="L73" s="29" t="str">
        <f ca="1">VLOOKUP($I73,OFFSET([3]characters!$A$1,0,0,COUNTA([3]characters!$A:$A),MATCH(L$1,[3]characters!$2:$2,0)-MATCH($I$1,[3]characters!$2:$2,0)+1),MATCH(L$1,[3]characters!$2:$2,0)-MATCH($I$1,[3]characters!$2:$2,0)+1,FALSE)</f>
        <v>Material</v>
      </c>
      <c r="M73" s="28" t="str">
        <f ca="1">VLOOKUP($I73,OFFSET([3]characters!$A$1,0,0,COUNTA([3]characters!$A:$A),MATCH(M$1,[3]characters!$2:$2,0)-MATCH($I$1,[3]characters!$2:$2,0)+2),MATCH(M$1,[3]characters!$2:$2,0)-MATCH($I$1,[3]characters!$2:$2,0)+2,FALSE)</f>
        <v>Unknown</v>
      </c>
      <c r="N73" s="5">
        <f ca="1">VLOOKUP($I73,OFFSET([2]enemies!$A$1,0,0,COUNTA([2]enemies!$A:$A),MATCH(N$1,[2]enemies!$2:$2,0)-MATCH($I$1,[2]enemies!$2:$2,0)+1),MATCH(N$1,[2]enemies!$2:$2,0)-MATCH($I$1,[2]enemies!$2:$2,0)+1,FALSE)</f>
        <v>15</v>
      </c>
      <c r="O73" s="6">
        <v>30</v>
      </c>
      <c r="P73" s="46">
        <v>2</v>
      </c>
      <c r="Q73" s="46">
        <v>1</v>
      </c>
      <c r="R73" s="6">
        <v>0</v>
      </c>
      <c r="S73" s="5" t="str">
        <f ca="1">VLOOKUP($T73,OFFSET([4]enemy_skill_sets!$B$1,0,0,COUNTA([4]enemy_skill_sets!$B:$B),MATCH(J$1,[4]enemy_skill_sets!$1:$1,0)-MATCH($T$1,[4]enemy_skill_sets!$1:$1,0)+2),MATCH(J$1,[4]enemy_skill_sets!$1:$1,0)-MATCH($T$1,[4]enemy_skill_sets!$1:$1,0)+2,FALSE)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3" s="5">
        <f ca="1">VLOOKUP($I73,OFFSET([2]enemies!$A$1,0,0,COUNTA([2]enemies!$A:$A),MATCH(T$1,[2]enemies!$2:$2,0)-MATCH($I$1,[2]enemies!$2:$2,0)+1),MATCH(T$1,[2]enemies!$2:$2,0)-MATCH($I$1,[2]enemies!$2:$2,0)+1,FALSE)</f>
        <v>0</v>
      </c>
      <c r="U73" s="7">
        <v>1</v>
      </c>
      <c r="V73" s="7">
        <v>100</v>
      </c>
      <c r="W73" s="7">
        <v>1</v>
      </c>
      <c r="X73" s="26">
        <f ca="1">VLOOKUP($I73,OFFSET([2]enemies!$A$1,0,0,COUNTA([2]enemies!$A:$A),MATCH(X$1,[2]enemies!$2:$2,0)-MATCH($I$1,[2]enemies!$2:$2,0)+1),MATCH(X$1,[2]enemies!$2:$2,0)-MATCH($I$1,[2]enemies!$2:$2,0)+1,FALSE)</f>
        <v>3</v>
      </c>
      <c r="Y73" s="31">
        <v>103</v>
      </c>
      <c r="Z73" s="5" t="str">
        <f ca="1">IFERROR(VLOOKUP($Y73,OFFSET([3]characters!$A$1,0,0,COUNTA([3]characters!$A:$A),MATCH(Z$1,[3]characters!$2:$2,0)-MATCH("character_id",[3]characters!$2:$2,0)+1),MATCH(Z$1,[3]characters!$2:$2,0)-MATCH("character_id",[3]characters!$2:$2,0)+1,FALSE),"")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73" s="5">
        <f ca="1">IFERROR(VLOOKUP($Y73,OFFSET([3]characters!$A$1,0,0,COUNTA([3]characters!$A:$A),MATCH(AA$1,[3]characters!$2:$2,0)-MATCH("character_id",[3]characters!$2:$2,0)+1),MATCH(AA$1,[3]characters!$2:$2,0)-MATCH("character_id",[3]characters!$2:$2,0)+1,FALSE),"")</f>
        <v>4</v>
      </c>
      <c r="AB73" s="5" t="str">
        <f ca="1">IFERROR(VLOOKUP($Y73,OFFSET([3]characters!$A$1,0,0,COUNTA([3]characters!$A:$A),MATCH(AB$1,[3]characters!$2:$2,0)-MATCH("character_id",[3]characters!$2:$2,0)+1),MATCH(AB$1,[3]characters!$2:$2,0)-MATCH("character_id",[3]characters!$2:$2,0)+1,FALSE),"")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73" s="8">
        <v>1</v>
      </c>
      <c r="AD73" s="34">
        <f t="shared" ca="1" si="61"/>
        <v>4</v>
      </c>
      <c r="AE73" s="9">
        <v>50</v>
      </c>
      <c r="AF73" s="8">
        <v>0</v>
      </c>
      <c r="AG73" s="8">
        <v>0</v>
      </c>
      <c r="AH73" s="8">
        <v>0</v>
      </c>
      <c r="AI73" s="8">
        <v>0</v>
      </c>
      <c r="AJ73" s="8">
        <v>1</v>
      </c>
    </row>
    <row r="74" spans="1:36" ht="21" customHeight="1">
      <c r="A74" s="21" t="str">
        <f t="shared" ca="1" si="62"/>
        <v>11102_3-3/33&lt;lv35&gt;s2</v>
      </c>
      <c r="B74" s="8">
        <v>11102</v>
      </c>
      <c r="C74" s="50">
        <v>3</v>
      </c>
      <c r="D74" s="2" t="str">
        <f t="shared" si="59"/>
        <v>11102_3</v>
      </c>
      <c r="E74" s="5" t="str">
        <f ca="1">VLOOKUP($B74,OFFSET([1]quests!$A$1,0,0,COUNTA([1]quests!$A:$A),MATCH(E$1,[1]quests!$1:$1,0)-MATCH($B$1,[1]quests!$1:$1,0)+1),MATCH(E$1,[1]quests!$1:$1,0)-MATCH($B$1,[1]quests!$1:$1,0)+1,FALSE)</f>
        <v>【キャンペーン限定】 赤の素材</v>
      </c>
      <c r="F74" s="5" t="str">
        <f ca="1">VLOOKUP($D74,OFFSET([1]stages!$A$1,0,0,COUNTA([1]stages!$A:$A),MATCH(F$1,[1]stages!$2:$2,0)-MATCH($D$1,[1]stages!$2:$2,0)+1),MATCH(F$1,[1]stages!$2:$2,0)-MATCH($D$1,[1]stages!$2:$2,0)+1,FALSE)</f>
        <v>火のイモムシ 【上級】</v>
      </c>
      <c r="G74" s="32">
        <v>3</v>
      </c>
      <c r="H74" s="20" t="str">
        <f t="shared" si="60"/>
        <v>11102_3-3</v>
      </c>
      <c r="I74" s="31">
        <v>33</v>
      </c>
      <c r="J74" s="26" t="str">
        <f ca="1">VLOOKUP($I74,OFFSET([2]enemies!$A$1,0,0,COUNTA([2]enemies!$A:$A),MATCH(J$1,[2]enemies!$2:$2,0)-MATCH($I$1,[2]enemies!$2:$2,0)+1),MATCH(J$1,[2]enemies!$2:$2,0)-MATCH($I$1,[2]enemies!$2:$2,0)+1,FALSE)</f>
        <v>ゴクウ</v>
      </c>
      <c r="K74" s="29" t="str">
        <f ca="1">VLOOKUP($I74,OFFSET([2]enemies!$A$1,0,0,COUNTA([2]enemies!$A:$A),MATCH(K$1,[2]enemies!$2:$2,0)-MATCH($I$1,[2]enemies!$2:$2,0)+1),MATCH(K$1,[2]enemies!$2:$2,0)-MATCH($I$1,[2]enemies!$2:$2,0)+1,FALSE)</f>
        <v>red</v>
      </c>
      <c r="L74" s="29" t="str">
        <f ca="1">VLOOKUP($I74,OFFSET([3]characters!$A$1,0,0,COUNTA([3]characters!$A:$A),MATCH(L$1,[3]characters!$2:$2,0)-MATCH($I$1,[3]characters!$2:$2,0)+1),MATCH(L$1,[3]characters!$2:$2,0)-MATCH($I$1,[3]characters!$2:$2,0)+1,FALSE)</f>
        <v>Drop1S</v>
      </c>
      <c r="M74" s="28" t="str">
        <f ca="1">VLOOKUP($I74,OFFSET([3]characters!$A$1,0,0,COUNTA([3]characters!$A:$A),MATCH(M$1,[3]characters!$2:$2,0)-MATCH($I$1,[3]characters!$2:$2,0)+2),MATCH(M$1,[3]characters!$2:$2,0)-MATCH($I$1,[3]characters!$2:$2,0)+2,FALSE)</f>
        <v>アニマル</v>
      </c>
      <c r="N74" s="5">
        <f ca="1">VLOOKUP($I74,OFFSET([2]enemies!$A$1,0,0,COUNTA([2]enemies!$A:$A),MATCH(N$1,[2]enemies!$2:$2,0)-MATCH($I$1,[2]enemies!$2:$2,0)+1),MATCH(N$1,[2]enemies!$2:$2,0)-MATCH($I$1,[2]enemies!$2:$2,0)+1,FALSE)</f>
        <v>15</v>
      </c>
      <c r="O74" s="6">
        <v>35</v>
      </c>
      <c r="P74" s="46">
        <v>1</v>
      </c>
      <c r="Q74" s="46">
        <v>1</v>
      </c>
      <c r="R74" s="6">
        <v>0</v>
      </c>
      <c r="S74" s="5" t="str">
        <f ca="1">VLOOKUP($T74,OFFSET([4]enemy_skill_sets!$B$1,0,0,COUNTA([4]enemy_skill_sets!$B:$B),MATCH(J$1,[4]enemy_skill_sets!$1:$1,0)-MATCH($T$1,[4]enemy_skill_sets!$1:$1,0)+2),MATCH(J$1,[4]enemy_skill_sets!$1:$1,0)-MATCH($T$1,[4]enemy_skill_sets!$1:$1,0)+2,FALSE)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74" s="5">
        <f ca="1">VLOOKUP($I74,OFFSET([2]enemies!$A$1,0,0,COUNTA([2]enemies!$A:$A),MATCH(T$1,[2]enemies!$2:$2,0)-MATCH($I$1,[2]enemies!$2:$2,0)+1),MATCH(T$1,[2]enemies!$2:$2,0)-MATCH($I$1,[2]enemies!$2:$2,0)+1,FALSE)</f>
        <v>33</v>
      </c>
      <c r="U74" s="7">
        <v>0</v>
      </c>
      <c r="V74" s="7">
        <v>100</v>
      </c>
      <c r="W74" s="7">
        <v>0</v>
      </c>
      <c r="X74" s="26">
        <f ca="1">VLOOKUP($I74,OFFSET([2]enemies!$A$1,0,0,COUNTA([2]enemies!$A:$A),MATCH(X$1,[2]enemies!$2:$2,0)-MATCH($I$1,[2]enemies!$2:$2,0)+1),MATCH(X$1,[2]enemies!$2:$2,0)-MATCH($I$1,[2]enemies!$2:$2,0)+1,FALSE)</f>
        <v>2</v>
      </c>
      <c r="Y74" s="31">
        <v>33</v>
      </c>
      <c r="Z74" s="5" t="str">
        <f ca="1">IFERROR(VLOOKUP($Y74,OFFSET([3]characters!$A$1,0,0,COUNTA([3]characters!$A:$A),MATCH(Z$1,[3]characters!$2:$2,0)-MATCH("character_id",[3]characters!$2:$2,0)+1),MATCH(Z$1,[3]characters!$2:$2,0)-MATCH("character_id",[3]characters!$2:$2,0)+1,FALSE),"")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74" s="5">
        <f ca="1">IFERROR(VLOOKUP($Y74,OFFSET([3]characters!$A$1,0,0,COUNTA([3]characters!$A:$A),MATCH(AA$1,[3]characters!$2:$2,0)-MATCH("character_id",[3]characters!$2:$2,0)+1),MATCH(AA$1,[3]characters!$2:$2,0)-MATCH("character_id",[3]characters!$2:$2,0)+1,FALSE),"")</f>
        <v>2</v>
      </c>
      <c r="AB74" s="5" t="str">
        <f ca="1">IFERROR(VLOOKUP($Y74,OFFSET([3]characters!$A$1,0,0,COUNTA([3]characters!$A:$A),MATCH(AB$1,[3]characters!$2:$2,0)-MATCH("character_id",[3]characters!$2:$2,0)+1),MATCH(AB$1,[3]characters!$2:$2,0)-MATCH("character_id",[3]characters!$2:$2,0)+1,FALSE),"")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74" s="8">
        <v>1</v>
      </c>
      <c r="AD74" s="34">
        <f t="shared" ca="1" si="61"/>
        <v>2</v>
      </c>
      <c r="AE74" s="9">
        <v>0</v>
      </c>
      <c r="AF74" s="8">
        <v>0</v>
      </c>
      <c r="AG74" s="8">
        <v>0</v>
      </c>
      <c r="AH74" s="8">
        <v>0</v>
      </c>
      <c r="AI74" s="8">
        <v>0</v>
      </c>
      <c r="AJ74" s="8">
        <v>1</v>
      </c>
    </row>
    <row r="75" spans="1:36" ht="21" customHeight="1">
      <c r="A75" s="21" t="str">
        <f t="shared" ca="1" si="62"/>
        <v>11102_3-3/21&lt;lv35&gt;s2</v>
      </c>
      <c r="B75" s="8">
        <v>11102</v>
      </c>
      <c r="C75" s="50">
        <v>3</v>
      </c>
      <c r="D75" s="2" t="str">
        <f t="shared" si="59"/>
        <v>11102_3</v>
      </c>
      <c r="E75" s="5" t="str">
        <f ca="1">VLOOKUP($B75,OFFSET([1]quests!$A$1,0,0,COUNTA([1]quests!$A:$A),MATCH(E$1,[1]quests!$1:$1,0)-MATCH($B$1,[1]quests!$1:$1,0)+1),MATCH(E$1,[1]quests!$1:$1,0)-MATCH($B$1,[1]quests!$1:$1,0)+1,FALSE)</f>
        <v>【キャンペーン限定】 赤の素材</v>
      </c>
      <c r="F75" s="5" t="str">
        <f ca="1">VLOOKUP($D75,OFFSET([1]stages!$A$1,0,0,COUNTA([1]stages!$A:$A),MATCH(F$1,[1]stages!$2:$2,0)-MATCH($D$1,[1]stages!$2:$2,0)+1),MATCH(F$1,[1]stages!$2:$2,0)-MATCH($D$1,[1]stages!$2:$2,0)+1,FALSE)</f>
        <v>火のイモムシ 【上級】</v>
      </c>
      <c r="G75" s="32">
        <v>3</v>
      </c>
      <c r="H75" s="20" t="str">
        <f t="shared" si="60"/>
        <v>11102_3-3</v>
      </c>
      <c r="I75" s="31">
        <v>21</v>
      </c>
      <c r="J75" s="26" t="str">
        <f ca="1">VLOOKUP($I75,OFFSET([2]enemies!$A$1,0,0,COUNTA([2]enemies!$A:$A),MATCH(J$1,[2]enemies!$2:$2,0)-MATCH($I$1,[2]enemies!$2:$2,0)+1),MATCH(J$1,[2]enemies!$2:$2,0)-MATCH($I$1,[2]enemies!$2:$2,0)+1,FALSE)</f>
        <v>ヴェロキー</v>
      </c>
      <c r="K75" s="29" t="str">
        <f ca="1">VLOOKUP($I75,OFFSET([2]enemies!$A$1,0,0,COUNTA([2]enemies!$A:$A),MATCH(K$1,[2]enemies!$2:$2,0)-MATCH($I$1,[2]enemies!$2:$2,0)+1),MATCH(K$1,[2]enemies!$2:$2,0)-MATCH($I$1,[2]enemies!$2:$2,0)+1,FALSE)</f>
        <v>red</v>
      </c>
      <c r="L75" s="29" t="str">
        <f ca="1">VLOOKUP($I75,OFFSET([3]characters!$A$1,0,0,COUNTA([3]characters!$A:$A),MATCH(L$1,[3]characters!$2:$2,0)-MATCH($I$1,[3]characters!$2:$2,0)+1),MATCH(L$1,[3]characters!$2:$2,0)-MATCH($I$1,[3]characters!$2:$2,0)+1,FALSE)</f>
        <v>Drop1N</v>
      </c>
      <c r="M75" s="28" t="str">
        <f ca="1">VLOOKUP($I75,OFFSET([3]characters!$A$1,0,0,COUNTA([3]characters!$A:$A),MATCH(M$1,[3]characters!$2:$2,0)-MATCH($I$1,[3]characters!$2:$2,0)+2),MATCH(M$1,[3]characters!$2:$2,0)-MATCH($I$1,[3]characters!$2:$2,0)+2,FALSE)</f>
        <v>ドラゴン</v>
      </c>
      <c r="N75" s="5">
        <f ca="1">VLOOKUP($I75,OFFSET([2]enemies!$A$1,0,0,COUNTA([2]enemies!$A:$A),MATCH(N$1,[2]enemies!$2:$2,0)-MATCH($I$1,[2]enemies!$2:$2,0)+1),MATCH(N$1,[2]enemies!$2:$2,0)-MATCH($I$1,[2]enemies!$2:$2,0)+1,FALSE)</f>
        <v>15</v>
      </c>
      <c r="O75" s="6">
        <v>35</v>
      </c>
      <c r="P75" s="46">
        <v>1</v>
      </c>
      <c r="Q75" s="46">
        <v>1</v>
      </c>
      <c r="R75" s="6">
        <v>0</v>
      </c>
      <c r="S75" s="5" t="str">
        <f ca="1">VLOOKUP($T75,OFFSET([4]enemy_skill_sets!$B$1,0,0,COUNTA([4]enemy_skill_sets!$B:$B),MATCH(J$1,[4]enemy_skill_sets!$1:$1,0)-MATCH($T$1,[4]enemy_skill_sets!$1:$1,0)+2),MATCH(J$1,[4]enemy_skill_sets!$1:$1,0)-MATCH($T$1,[4]enemy_skill_sets!$1:$1,0)+2,FALSE)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5" s="5">
        <f ca="1">VLOOKUP($I75,OFFSET([2]enemies!$A$1,0,0,COUNTA([2]enemies!$A:$A),MATCH(T$1,[2]enemies!$2:$2,0)-MATCH($I$1,[2]enemies!$2:$2,0)+1),MATCH(T$1,[2]enemies!$2:$2,0)-MATCH($I$1,[2]enemies!$2:$2,0)+1,FALSE)</f>
        <v>0</v>
      </c>
      <c r="U75" s="7">
        <v>0</v>
      </c>
      <c r="V75" s="7">
        <v>100</v>
      </c>
      <c r="W75" s="7">
        <v>0</v>
      </c>
      <c r="X75" s="26">
        <f ca="1">VLOOKUP($I75,OFFSET([2]enemies!$A$1,0,0,COUNTA([2]enemies!$A:$A),MATCH(X$1,[2]enemies!$2:$2,0)-MATCH($I$1,[2]enemies!$2:$2,0)+1),MATCH(X$1,[2]enemies!$2:$2,0)-MATCH($I$1,[2]enemies!$2:$2,0)+1,FALSE)</f>
        <v>2</v>
      </c>
      <c r="Y75" s="31">
        <v>21</v>
      </c>
      <c r="Z75" s="5" t="str">
        <f ca="1">IFERROR(VLOOKUP($Y75,OFFSET([3]characters!$A$1,0,0,COUNTA([3]characters!$A:$A),MATCH(Z$1,[3]characters!$2:$2,0)-MATCH("character_id",[3]characters!$2:$2,0)+1),MATCH(Z$1,[3]characters!$2:$2,0)-MATCH("character_id",[3]characters!$2:$2,0)+1,FALSE),"")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75" s="5">
        <f ca="1">IFERROR(VLOOKUP($Y75,OFFSET([3]characters!$A$1,0,0,COUNTA([3]characters!$A:$A),MATCH(AA$1,[3]characters!$2:$2,0)-MATCH("character_id",[3]characters!$2:$2,0)+1),MATCH(AA$1,[3]characters!$2:$2,0)-MATCH("character_id",[3]characters!$2:$2,0)+1,FALSE),"")</f>
        <v>1</v>
      </c>
      <c r="AB75" s="5" t="str">
        <f ca="1">IFERROR(VLOOKUP($Y75,OFFSET([3]characters!$A$1,0,0,COUNTA([3]characters!$A:$A),MATCH(AB$1,[3]characters!$2:$2,0)-MATCH("character_id",[3]characters!$2:$2,0)+1),MATCH(AB$1,[3]characters!$2:$2,0)-MATCH("character_id",[3]characters!$2:$2,0)+1,FALSE),"")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75" s="8">
        <v>1</v>
      </c>
      <c r="AD75" s="34">
        <f t="shared" ca="1" si="61"/>
        <v>1</v>
      </c>
      <c r="AE75" s="9">
        <v>0</v>
      </c>
      <c r="AF75" s="8">
        <v>0</v>
      </c>
      <c r="AG75" s="8">
        <v>0</v>
      </c>
      <c r="AH75" s="8">
        <v>0</v>
      </c>
      <c r="AI75" s="8">
        <v>0</v>
      </c>
      <c r="AJ75" s="8">
        <v>1</v>
      </c>
    </row>
    <row r="76" spans="1:36" ht="21" customHeight="1">
      <c r="A76" s="21" t="str">
        <f t="shared" ca="1" si="62"/>
        <v>11102_3-3/332&lt;lv1&gt;s1</v>
      </c>
      <c r="B76" s="8">
        <v>11102</v>
      </c>
      <c r="C76" s="50">
        <v>3</v>
      </c>
      <c r="D76" s="2" t="str">
        <f t="shared" si="59"/>
        <v>11102_3</v>
      </c>
      <c r="E76" s="5" t="str">
        <f ca="1">VLOOKUP($B76,OFFSET([1]quests!$A$1,0,0,COUNTA([1]quests!$A:$A),MATCH(E$1,[1]quests!$1:$1,0)-MATCH($B$1,[1]quests!$1:$1,0)+1),MATCH(E$1,[1]quests!$1:$1,0)-MATCH($B$1,[1]quests!$1:$1,0)+1,FALSE)</f>
        <v>【キャンペーン限定】 赤の素材</v>
      </c>
      <c r="F76" s="5" t="str">
        <f ca="1">VLOOKUP($D76,OFFSET([1]stages!$A$1,0,0,COUNTA([1]stages!$A:$A),MATCH(F$1,[1]stages!$2:$2,0)-MATCH($D$1,[1]stages!$2:$2,0)+1),MATCH(F$1,[1]stages!$2:$2,0)-MATCH($D$1,[1]stages!$2:$2,0)+1,FALSE)</f>
        <v>火のイモムシ 【上級】</v>
      </c>
      <c r="G76" s="32">
        <v>3</v>
      </c>
      <c r="H76" s="20" t="str">
        <f t="shared" si="60"/>
        <v>11102_3-3</v>
      </c>
      <c r="I76" s="31">
        <v>332</v>
      </c>
      <c r="J76" s="26" t="str">
        <f ca="1">VLOOKUP($I76,OFFSET([2]enemies!$A$1,0,0,COUNTA([2]enemies!$A:$A),MATCH(J$1,[2]enemies!$2:$2,0)-MATCH($I$1,[2]enemies!$2:$2,0)+1),MATCH(J$1,[2]enemies!$2:$2,0)-MATCH($I$1,[2]enemies!$2:$2,0)+1,FALSE)</f>
        <v>炎のメタルピヨピヨ</v>
      </c>
      <c r="K76" s="29" t="str">
        <f ca="1">VLOOKUP($I76,OFFSET([2]enemies!$A$1,0,0,COUNTA([2]enemies!$A:$A),MATCH(K$1,[2]enemies!$2:$2,0)-MATCH($I$1,[2]enemies!$2:$2,0)+1),MATCH(K$1,[2]enemies!$2:$2,0)-MATCH($I$1,[2]enemies!$2:$2,0)+1,FALSE)</f>
        <v>red</v>
      </c>
      <c r="L76" s="29" t="str">
        <f ca="1">VLOOKUP($I76,OFFSET([3]characters!$A$1,0,0,COUNTA([3]characters!$A:$A),MATCH(L$1,[3]characters!$2:$2,0)-MATCH($I$1,[3]characters!$2:$2,0)+1),MATCH(L$1,[3]characters!$2:$2,0)-MATCH($I$1,[3]characters!$2:$2,0)+1,FALSE)</f>
        <v>Material</v>
      </c>
      <c r="M76" s="28" t="str">
        <f ca="1">VLOOKUP($I76,OFFSET([3]characters!$A$1,0,0,COUNTA([3]characters!$A:$A),MATCH(M$1,[3]characters!$2:$2,0)-MATCH($I$1,[3]characters!$2:$2,0)+2),MATCH(M$1,[3]characters!$2:$2,0)-MATCH($I$1,[3]characters!$2:$2,0)+2,FALSE)</f>
        <v>Unknown</v>
      </c>
      <c r="N76" s="5">
        <f ca="1">VLOOKUP($I76,OFFSET([2]enemies!$A$1,0,0,COUNTA([2]enemies!$A:$A),MATCH(N$1,[2]enemies!$2:$2,0)-MATCH($I$1,[2]enemies!$2:$2,0)+1),MATCH(N$1,[2]enemies!$2:$2,0)-MATCH($I$1,[2]enemies!$2:$2,0)+1,FALSE)</f>
        <v>15</v>
      </c>
      <c r="O76" s="6">
        <v>1</v>
      </c>
      <c r="P76" s="46">
        <v>1</v>
      </c>
      <c r="Q76" s="46">
        <v>1</v>
      </c>
      <c r="R76" s="6">
        <v>0</v>
      </c>
      <c r="S76" s="5" t="str">
        <f ca="1">VLOOKUP($T76,OFFSET([4]enemy_skill_sets!$B$1,0,0,COUNTA([4]enemy_skill_sets!$B:$B),MATCH(J$1,[4]enemy_skill_sets!$1:$1,0)-MATCH($T$1,[4]enemy_skill_sets!$1:$1,0)+2),MATCH(J$1,[4]enemy_skill_sets!$1:$1,0)-MATCH($T$1,[4]enemy_skill_sets!$1:$1,0)+2,FALSE)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6" s="5">
        <f ca="1">VLOOKUP($I76,OFFSET([2]enemies!$A$1,0,0,COUNTA([2]enemies!$A:$A),MATCH(T$1,[2]enemies!$2:$2,0)-MATCH($I$1,[2]enemies!$2:$2,0)+1),MATCH(T$1,[2]enemies!$2:$2,0)-MATCH($I$1,[2]enemies!$2:$2,0)+1,FALSE)</f>
        <v>0</v>
      </c>
      <c r="U76" s="7">
        <v>0</v>
      </c>
      <c r="V76" s="7">
        <v>30</v>
      </c>
      <c r="W76" s="7">
        <v>0</v>
      </c>
      <c r="X76" s="26">
        <f ca="1">VLOOKUP($I76,OFFSET([2]enemies!$A$1,0,0,COUNTA([2]enemies!$A:$A),MATCH(X$1,[2]enemies!$2:$2,0)-MATCH($I$1,[2]enemies!$2:$2,0)+1),MATCH(X$1,[2]enemies!$2:$2,0)-MATCH($I$1,[2]enemies!$2:$2,0)+1,FALSE)</f>
        <v>1</v>
      </c>
      <c r="Y76" s="31">
        <v>332</v>
      </c>
      <c r="Z76" s="5" t="str">
        <f ca="1">IFERROR(VLOOKUP($Y76,OFFSET([3]characters!$A$1,0,0,COUNTA([3]characters!$A:$A),MATCH(Z$1,[3]characters!$2:$2,0)-MATCH("character_id",[3]characters!$2:$2,0)+1),MATCH(Z$1,[3]characters!$2:$2,0)-MATCH("character_id",[3]characters!$2:$2,0)+1,FALSE),"")</f>
        <v>炎のメタルピヨピヨ</v>
      </c>
      <c r="AA76" s="5">
        <f ca="1">IFERROR(VLOOKUP($Y76,OFFSET([3]characters!$A$1,0,0,COUNTA([3]characters!$A:$A),MATCH(AA$1,[3]characters!$2:$2,0)-MATCH("character_id",[3]characters!$2:$2,0)+1),MATCH(AA$1,[3]characters!$2:$2,0)-MATCH("character_id",[3]characters!$2:$2,0)+1,FALSE),"")</f>
        <v>3</v>
      </c>
      <c r="AB76" s="5" t="str">
        <f ca="1">IFERROR(VLOOKUP($Y76,OFFSET([3]characters!$A$1,0,0,COUNTA([3]characters!$A:$A),MATCH(AB$1,[3]characters!$2:$2,0)-MATCH("character_id",[3]characters!$2:$2,0)+1),MATCH(AB$1,[3]characters!$2:$2,0)-MATCH("character_id",[3]characters!$2:$2,0)+1,FALSE),"")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76" s="8">
        <v>1</v>
      </c>
      <c r="AD76" s="34">
        <f t="shared" ca="1" si="61"/>
        <v>3</v>
      </c>
      <c r="AE76" s="9">
        <v>10</v>
      </c>
      <c r="AF76" s="8">
        <v>0</v>
      </c>
      <c r="AG76" s="8">
        <v>0</v>
      </c>
      <c r="AH76" s="8">
        <v>0</v>
      </c>
      <c r="AI76" s="8">
        <v>0</v>
      </c>
      <c r="AJ76" s="8">
        <v>1</v>
      </c>
    </row>
    <row r="77" spans="1:36" ht="21" customHeight="1">
      <c r="A77" s="21" t="str">
        <f t="shared" ca="1" si="62"/>
        <v>11102_3-3/333&lt;lv1&gt;s2</v>
      </c>
      <c r="B77" s="8">
        <v>11102</v>
      </c>
      <c r="C77" s="50">
        <v>3</v>
      </c>
      <c r="D77" s="2" t="str">
        <f t="shared" si="59"/>
        <v>11102_3</v>
      </c>
      <c r="E77" s="5" t="str">
        <f ca="1">VLOOKUP($B77,OFFSET([1]quests!$A$1,0,0,COUNTA([1]quests!$A:$A),MATCH(E$1,[1]quests!$1:$1,0)-MATCH($B$1,[1]quests!$1:$1,0)+1),MATCH(E$1,[1]quests!$1:$1,0)-MATCH($B$1,[1]quests!$1:$1,0)+1,FALSE)</f>
        <v>【キャンペーン限定】 赤の素材</v>
      </c>
      <c r="F77" s="5" t="str">
        <f ca="1">VLOOKUP($D77,OFFSET([1]stages!$A$1,0,0,COUNTA([1]stages!$A:$A),MATCH(F$1,[1]stages!$2:$2,0)-MATCH($D$1,[1]stages!$2:$2,0)+1),MATCH(F$1,[1]stages!$2:$2,0)-MATCH($D$1,[1]stages!$2:$2,0)+1,FALSE)</f>
        <v>火のイモムシ 【上級】</v>
      </c>
      <c r="G77" s="32">
        <v>3</v>
      </c>
      <c r="H77" s="20" t="str">
        <f t="shared" si="60"/>
        <v>11102_3-3</v>
      </c>
      <c r="I77" s="31">
        <v>333</v>
      </c>
      <c r="J77" s="26" t="str">
        <f ca="1">VLOOKUP($I77,OFFSET([2]enemies!$A$1,0,0,COUNTA([2]enemies!$A:$A),MATCH(J$1,[2]enemies!$2:$2,0)-MATCH($I$1,[2]enemies!$2:$2,0)+1),MATCH(J$1,[2]enemies!$2:$2,0)-MATCH($I$1,[2]enemies!$2:$2,0)+1,FALSE)</f>
        <v>炎のメタルチック</v>
      </c>
      <c r="K77" s="29" t="str">
        <f ca="1">VLOOKUP($I77,OFFSET([2]enemies!$A$1,0,0,COUNTA([2]enemies!$A:$A),MATCH(K$1,[2]enemies!$2:$2,0)-MATCH($I$1,[2]enemies!$2:$2,0)+1),MATCH(K$1,[2]enemies!$2:$2,0)-MATCH($I$1,[2]enemies!$2:$2,0)+1,FALSE)</f>
        <v>red</v>
      </c>
      <c r="L77" s="29" t="str">
        <f ca="1">VLOOKUP($I77,OFFSET([3]characters!$A$1,0,0,COUNTA([3]characters!$A:$A),MATCH(L$1,[3]characters!$2:$2,0)-MATCH($I$1,[3]characters!$2:$2,0)+1),MATCH(L$1,[3]characters!$2:$2,0)-MATCH($I$1,[3]characters!$2:$2,0)+1,FALSE)</f>
        <v>Material</v>
      </c>
      <c r="M77" s="28" t="str">
        <f ca="1">VLOOKUP($I77,OFFSET([3]characters!$A$1,0,0,COUNTA([3]characters!$A:$A),MATCH(M$1,[3]characters!$2:$2,0)-MATCH($I$1,[3]characters!$2:$2,0)+2),MATCH(M$1,[3]characters!$2:$2,0)-MATCH($I$1,[3]characters!$2:$2,0)+2,FALSE)</f>
        <v>Unknown</v>
      </c>
      <c r="N77" s="5">
        <f ca="1">VLOOKUP($I77,OFFSET([2]enemies!$A$1,0,0,COUNTA([2]enemies!$A:$A),MATCH(N$1,[2]enemies!$2:$2,0)-MATCH($I$1,[2]enemies!$2:$2,0)+1),MATCH(N$1,[2]enemies!$2:$2,0)-MATCH($I$1,[2]enemies!$2:$2,0)+1,FALSE)</f>
        <v>15</v>
      </c>
      <c r="O77" s="6">
        <v>1</v>
      </c>
      <c r="P77" s="46">
        <v>1</v>
      </c>
      <c r="Q77" s="46">
        <v>1</v>
      </c>
      <c r="R77" s="6">
        <v>0</v>
      </c>
      <c r="S77" s="5" t="str">
        <f ca="1">VLOOKUP($T77,OFFSET([4]enemy_skill_sets!$B$1,0,0,COUNTA([4]enemy_skill_sets!$B:$B),MATCH(J$1,[4]enemy_skill_sets!$1:$1,0)-MATCH($T$1,[4]enemy_skill_sets!$1:$1,0)+2),MATCH(J$1,[4]enemy_skill_sets!$1:$1,0)-MATCH($T$1,[4]enemy_skill_sets!$1:$1,0)+2,FALSE)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7" s="5">
        <f ca="1">VLOOKUP($I77,OFFSET([2]enemies!$A$1,0,0,COUNTA([2]enemies!$A:$A),MATCH(T$1,[2]enemies!$2:$2,0)-MATCH($I$1,[2]enemies!$2:$2,0)+1),MATCH(T$1,[2]enemies!$2:$2,0)-MATCH($I$1,[2]enemies!$2:$2,0)+1,FALSE)</f>
        <v>0</v>
      </c>
      <c r="U77" s="7">
        <v>0</v>
      </c>
      <c r="V77" s="7">
        <v>30</v>
      </c>
      <c r="W77" s="7">
        <v>0</v>
      </c>
      <c r="X77" s="26">
        <f ca="1">VLOOKUP($I77,OFFSET([2]enemies!$A$1,0,0,COUNTA([2]enemies!$A:$A),MATCH(X$1,[2]enemies!$2:$2,0)-MATCH($I$1,[2]enemies!$2:$2,0)+1),MATCH(X$1,[2]enemies!$2:$2,0)-MATCH($I$1,[2]enemies!$2:$2,0)+1,FALSE)</f>
        <v>2</v>
      </c>
      <c r="Y77" s="31">
        <v>333</v>
      </c>
      <c r="Z77" s="5" t="str">
        <f ca="1">IFERROR(VLOOKUP($Y77,OFFSET([3]characters!$A$1,0,0,COUNTA([3]characters!$A:$A),MATCH(Z$1,[3]characters!$2:$2,0)-MATCH("character_id",[3]characters!$2:$2,0)+1),MATCH(Z$1,[3]characters!$2:$2,0)-MATCH("character_id",[3]characters!$2:$2,0)+1,FALSE),"")</f>
        <v>炎のメタルチック</v>
      </c>
      <c r="AA77" s="5">
        <f ca="1">IFERROR(VLOOKUP($Y77,OFFSET([3]characters!$A$1,0,0,COUNTA([3]characters!$A:$A),MATCH(AA$1,[3]characters!$2:$2,0)-MATCH("character_id",[3]characters!$2:$2,0)+1),MATCH(AA$1,[3]characters!$2:$2,0)-MATCH("character_id",[3]characters!$2:$2,0)+1,FALSE),"")</f>
        <v>4</v>
      </c>
      <c r="AB77" s="5" t="str">
        <f ca="1">IFERROR(VLOOKUP($Y77,OFFSET([3]characters!$A$1,0,0,COUNTA([3]characters!$A:$A),MATCH(AB$1,[3]characters!$2:$2,0)-MATCH("character_id",[3]characters!$2:$2,0)+1),MATCH(AB$1,[3]characters!$2:$2,0)-MATCH("character_id",[3]characters!$2:$2,0)+1,FALSE),"")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77" s="8">
        <v>1</v>
      </c>
      <c r="AD77" s="34">
        <f t="shared" ca="1" si="61"/>
        <v>4</v>
      </c>
      <c r="AE77" s="9">
        <v>5</v>
      </c>
      <c r="AF77" s="8">
        <v>0</v>
      </c>
      <c r="AG77" s="8">
        <v>0</v>
      </c>
      <c r="AH77" s="8">
        <v>0</v>
      </c>
      <c r="AI77" s="8">
        <v>0</v>
      </c>
      <c r="AJ77" s="8">
        <v>1</v>
      </c>
    </row>
    <row r="78" spans="1:36" ht="21" customHeight="1">
      <c r="A78" s="21" t="str">
        <f t="shared" ca="1" si="62"/>
        <v>11102_3-4/103&lt;lv30&gt;s3</v>
      </c>
      <c r="B78" s="8">
        <v>11102</v>
      </c>
      <c r="C78" s="50">
        <v>3</v>
      </c>
      <c r="D78" s="2" t="str">
        <f t="shared" si="59"/>
        <v>11102_3</v>
      </c>
      <c r="E78" s="5" t="str">
        <f ca="1">VLOOKUP($B78,OFFSET([1]quests!$A$1,0,0,COUNTA([1]quests!$A:$A),MATCH(E$1,[1]quests!$1:$1,0)-MATCH($B$1,[1]quests!$1:$1,0)+1),MATCH(E$1,[1]quests!$1:$1,0)-MATCH($B$1,[1]quests!$1:$1,0)+1,FALSE)</f>
        <v>【キャンペーン限定】 赤の素材</v>
      </c>
      <c r="F78" s="5" t="str">
        <f ca="1">VLOOKUP($D78,OFFSET([1]stages!$A$1,0,0,COUNTA([1]stages!$A:$A),MATCH(F$1,[1]stages!$2:$2,0)-MATCH($D$1,[1]stages!$2:$2,0)+1),MATCH(F$1,[1]stages!$2:$2,0)-MATCH($D$1,[1]stages!$2:$2,0)+1,FALSE)</f>
        <v>火のイモムシ 【上級】</v>
      </c>
      <c r="G78" s="32">
        <v>4</v>
      </c>
      <c r="H78" s="20" t="str">
        <f t="shared" si="60"/>
        <v>11102_3-4</v>
      </c>
      <c r="I78" s="31">
        <v>103</v>
      </c>
      <c r="J78" s="26" t="str">
        <f ca="1">VLOOKUP($I78,OFFSET([2]enemies!$A$1,0,0,COUNTA([2]enemies!$A:$A),MATCH(J$1,[2]enemies!$2:$2,0)-MATCH($I$1,[2]enemies!$2:$2,0)+1),MATCH(J$1,[2]enemies!$2:$2,0)-MATCH($I$1,[2]enemies!$2:$2,0)+1,FALSE)</f>
        <v>レッドキャタップ</v>
      </c>
      <c r="K78" s="29" t="str">
        <f ca="1">VLOOKUP($I78,OFFSET([2]enemies!$A$1,0,0,COUNTA([2]enemies!$A:$A),MATCH(K$1,[2]enemies!$2:$2,0)-MATCH($I$1,[2]enemies!$2:$2,0)+1),MATCH(K$1,[2]enemies!$2:$2,0)-MATCH($I$1,[2]enemies!$2:$2,0)+1,FALSE)</f>
        <v>red</v>
      </c>
      <c r="L78" s="29" t="str">
        <f ca="1">VLOOKUP($I78,OFFSET([3]characters!$A$1,0,0,COUNTA([3]characters!$A:$A),MATCH(L$1,[3]characters!$2:$2,0)-MATCH($I$1,[3]characters!$2:$2,0)+1),MATCH(L$1,[3]characters!$2:$2,0)-MATCH($I$1,[3]characters!$2:$2,0)+1,FALSE)</f>
        <v>Material</v>
      </c>
      <c r="M78" s="28" t="str">
        <f ca="1">VLOOKUP($I78,OFFSET([3]characters!$A$1,0,0,COUNTA([3]characters!$A:$A),MATCH(M$1,[3]characters!$2:$2,0)-MATCH($I$1,[3]characters!$2:$2,0)+2),MATCH(M$1,[3]characters!$2:$2,0)-MATCH($I$1,[3]characters!$2:$2,0)+2,FALSE)</f>
        <v>Unknown</v>
      </c>
      <c r="N78" s="5">
        <f ca="1">VLOOKUP($I78,OFFSET([2]enemies!$A$1,0,0,COUNTA([2]enemies!$A:$A),MATCH(N$1,[2]enemies!$2:$2,0)-MATCH($I$1,[2]enemies!$2:$2,0)+1),MATCH(N$1,[2]enemies!$2:$2,0)-MATCH($I$1,[2]enemies!$2:$2,0)+1,FALSE)</f>
        <v>15</v>
      </c>
      <c r="O78" s="6">
        <v>30</v>
      </c>
      <c r="P78" s="46">
        <v>2</v>
      </c>
      <c r="Q78" s="46">
        <v>1</v>
      </c>
      <c r="R78" s="6">
        <v>0</v>
      </c>
      <c r="S78" s="5" t="str">
        <f ca="1">VLOOKUP($T78,OFFSET([4]enemy_skill_sets!$B$1,0,0,COUNTA([4]enemy_skill_sets!$B:$B),MATCH(J$1,[4]enemy_skill_sets!$1:$1,0)-MATCH($T$1,[4]enemy_skill_sets!$1:$1,0)+2),MATCH(J$1,[4]enemy_skill_sets!$1:$1,0)-MATCH($T$1,[4]enemy_skill_sets!$1:$1,0)+2,FALSE)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8" s="5">
        <f ca="1">VLOOKUP($I78,OFFSET([2]enemies!$A$1,0,0,COUNTA([2]enemies!$A:$A),MATCH(T$1,[2]enemies!$2:$2,0)-MATCH($I$1,[2]enemies!$2:$2,0)+1),MATCH(T$1,[2]enemies!$2:$2,0)-MATCH($I$1,[2]enemies!$2:$2,0)+1,FALSE)</f>
        <v>0</v>
      </c>
      <c r="U78" s="7">
        <v>1</v>
      </c>
      <c r="V78" s="7">
        <v>100</v>
      </c>
      <c r="W78" s="7">
        <v>1</v>
      </c>
      <c r="X78" s="26">
        <f ca="1">VLOOKUP($I78,OFFSET([2]enemies!$A$1,0,0,COUNTA([2]enemies!$A:$A),MATCH(X$1,[2]enemies!$2:$2,0)-MATCH($I$1,[2]enemies!$2:$2,0)+1),MATCH(X$1,[2]enemies!$2:$2,0)-MATCH($I$1,[2]enemies!$2:$2,0)+1,FALSE)</f>
        <v>3</v>
      </c>
      <c r="Y78" s="31">
        <v>103</v>
      </c>
      <c r="Z78" s="5" t="str">
        <f ca="1">IFERROR(VLOOKUP($Y78,OFFSET([3]characters!$A$1,0,0,COUNTA([3]characters!$A:$A),MATCH(Z$1,[3]characters!$2:$2,0)-MATCH("character_id",[3]characters!$2:$2,0)+1),MATCH(Z$1,[3]characters!$2:$2,0)-MATCH("character_id",[3]characters!$2:$2,0)+1,FALSE),"")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78" s="5">
        <f ca="1">IFERROR(VLOOKUP($Y78,OFFSET([3]characters!$A$1,0,0,COUNTA([3]characters!$A:$A),MATCH(AA$1,[3]characters!$2:$2,0)-MATCH("character_id",[3]characters!$2:$2,0)+1),MATCH(AA$1,[3]characters!$2:$2,0)-MATCH("character_id",[3]characters!$2:$2,0)+1,FALSE),"")</f>
        <v>4</v>
      </c>
      <c r="AB78" s="5" t="str">
        <f ca="1">IFERROR(VLOOKUP($Y78,OFFSET([3]characters!$A$1,0,0,COUNTA([3]characters!$A:$A),MATCH(AB$1,[3]characters!$2:$2,0)-MATCH("character_id",[3]characters!$2:$2,0)+1),MATCH(AB$1,[3]characters!$2:$2,0)-MATCH("character_id",[3]characters!$2:$2,0)+1,FALSE),"")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78" s="8">
        <v>1</v>
      </c>
      <c r="AD78" s="34">
        <f t="shared" ca="1" si="61"/>
        <v>4</v>
      </c>
      <c r="AE78" s="9">
        <v>30</v>
      </c>
      <c r="AF78" s="8">
        <v>0</v>
      </c>
      <c r="AG78" s="8">
        <v>0</v>
      </c>
      <c r="AH78" s="8">
        <v>0</v>
      </c>
      <c r="AI78" s="8">
        <v>0</v>
      </c>
      <c r="AJ78" s="8">
        <v>1</v>
      </c>
    </row>
    <row r="79" spans="1:36" ht="21" customHeight="1">
      <c r="A79" s="21" t="str">
        <f t="shared" ref="A79:A82" ca="1" si="67">B79&amp;"_"&amp;C79&amp;"-"&amp;G79&amp;"/"&amp;I79&amp;"&lt;lv"&amp;O79&amp;"&gt;s"&amp;X79</f>
        <v>11102_3-4/33&lt;lv35&gt;s2</v>
      </c>
      <c r="B79" s="8">
        <v>11102</v>
      </c>
      <c r="C79" s="50">
        <v>3</v>
      </c>
      <c r="D79" s="2" t="str">
        <f t="shared" ref="D79:D82" si="68">B79&amp;"_"&amp;C79</f>
        <v>11102_3</v>
      </c>
      <c r="E79" s="5" t="str">
        <f ca="1">VLOOKUP($B79,OFFSET([1]quests!$A$1,0,0,COUNTA([1]quests!$A:$A),MATCH(E$1,[1]quests!$1:$1,0)-MATCH($B$1,[1]quests!$1:$1,0)+1),MATCH(E$1,[1]quests!$1:$1,0)-MATCH($B$1,[1]quests!$1:$1,0)+1,FALSE)</f>
        <v>【キャンペーン限定】 赤の素材</v>
      </c>
      <c r="F79" s="5" t="str">
        <f ca="1">VLOOKUP($D79,OFFSET([1]stages!$A$1,0,0,COUNTA([1]stages!$A:$A),MATCH(F$1,[1]stages!$2:$2,0)-MATCH($D$1,[1]stages!$2:$2,0)+1),MATCH(F$1,[1]stages!$2:$2,0)-MATCH($D$1,[1]stages!$2:$2,0)+1,FALSE)</f>
        <v>火のイモムシ 【上級】</v>
      </c>
      <c r="G79" s="32">
        <v>4</v>
      </c>
      <c r="H79" s="20" t="str">
        <f t="shared" ref="H79:H82" si="69">B79&amp;"_"&amp;C79&amp;"-"&amp;G79</f>
        <v>11102_3-4</v>
      </c>
      <c r="I79" s="31">
        <v>33</v>
      </c>
      <c r="J79" s="26" t="str">
        <f ca="1">VLOOKUP($I79,OFFSET([2]enemies!$A$1,0,0,COUNTA([2]enemies!$A:$A),MATCH(J$1,[2]enemies!$2:$2,0)-MATCH($I$1,[2]enemies!$2:$2,0)+1),MATCH(J$1,[2]enemies!$2:$2,0)-MATCH($I$1,[2]enemies!$2:$2,0)+1,FALSE)</f>
        <v>ゴクウ</v>
      </c>
      <c r="K79" s="29" t="str">
        <f ca="1">VLOOKUP($I79,OFFSET([2]enemies!$A$1,0,0,COUNTA([2]enemies!$A:$A),MATCH(K$1,[2]enemies!$2:$2,0)-MATCH($I$1,[2]enemies!$2:$2,0)+1),MATCH(K$1,[2]enemies!$2:$2,0)-MATCH($I$1,[2]enemies!$2:$2,0)+1,FALSE)</f>
        <v>red</v>
      </c>
      <c r="L79" s="29" t="str">
        <f ca="1">VLOOKUP($I79,OFFSET([3]characters!$A$1,0,0,COUNTA([3]characters!$A:$A),MATCH(L$1,[3]characters!$2:$2,0)-MATCH($I$1,[3]characters!$2:$2,0)+1),MATCH(L$1,[3]characters!$2:$2,0)-MATCH($I$1,[3]characters!$2:$2,0)+1,FALSE)</f>
        <v>Drop1S</v>
      </c>
      <c r="M79" s="28" t="str">
        <f ca="1">VLOOKUP($I79,OFFSET([3]characters!$A$1,0,0,COUNTA([3]characters!$A:$A),MATCH(M$1,[3]characters!$2:$2,0)-MATCH($I$1,[3]characters!$2:$2,0)+2),MATCH(M$1,[3]characters!$2:$2,0)-MATCH($I$1,[3]characters!$2:$2,0)+2,FALSE)</f>
        <v>アニマル</v>
      </c>
      <c r="N79" s="5">
        <f ca="1">VLOOKUP($I79,OFFSET([2]enemies!$A$1,0,0,COUNTA([2]enemies!$A:$A),MATCH(N$1,[2]enemies!$2:$2,0)-MATCH($I$1,[2]enemies!$2:$2,0)+1),MATCH(N$1,[2]enemies!$2:$2,0)-MATCH($I$1,[2]enemies!$2:$2,0)+1,FALSE)</f>
        <v>15</v>
      </c>
      <c r="O79" s="6">
        <v>35</v>
      </c>
      <c r="P79" s="46">
        <v>1</v>
      </c>
      <c r="Q79" s="46">
        <v>1</v>
      </c>
      <c r="R79" s="6">
        <v>0</v>
      </c>
      <c r="S79" s="5" t="str">
        <f ca="1">VLOOKUP($T79,OFFSET([4]enemy_skill_sets!$B$1,0,0,COUNTA([4]enemy_skill_sets!$B:$B),MATCH(J$1,[4]enemy_skill_sets!$1:$1,0)-MATCH($T$1,[4]enemy_skill_sets!$1:$1,0)+2),MATCH(J$1,[4]enemy_skill_sets!$1:$1,0)-MATCH($T$1,[4]enemy_skill_sets!$1:$1,0)+2,FALSE)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79" s="5">
        <f ca="1">VLOOKUP($I79,OFFSET([2]enemies!$A$1,0,0,COUNTA([2]enemies!$A:$A),MATCH(T$1,[2]enemies!$2:$2,0)-MATCH($I$1,[2]enemies!$2:$2,0)+1),MATCH(T$1,[2]enemies!$2:$2,0)-MATCH($I$1,[2]enemies!$2:$2,0)+1,FALSE)</f>
        <v>33</v>
      </c>
      <c r="U79" s="7">
        <v>0</v>
      </c>
      <c r="V79" s="7">
        <v>100</v>
      </c>
      <c r="W79" s="7">
        <v>0</v>
      </c>
      <c r="X79" s="26">
        <f ca="1">VLOOKUP($I79,OFFSET([2]enemies!$A$1,0,0,COUNTA([2]enemies!$A:$A),MATCH(X$1,[2]enemies!$2:$2,0)-MATCH($I$1,[2]enemies!$2:$2,0)+1),MATCH(X$1,[2]enemies!$2:$2,0)-MATCH($I$1,[2]enemies!$2:$2,0)+1,FALSE)</f>
        <v>2</v>
      </c>
      <c r="Y79" s="31">
        <v>33</v>
      </c>
      <c r="Z79" s="5" t="str">
        <f ca="1">IFERROR(VLOOKUP($Y79,OFFSET([3]characters!$A$1,0,0,COUNTA([3]characters!$A:$A),MATCH(Z$1,[3]characters!$2:$2,0)-MATCH("character_id",[3]characters!$2:$2,0)+1),MATCH(Z$1,[3]characters!$2:$2,0)-MATCH("character_id",[3]characters!$2:$2,0)+1,FALSE),"")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79" s="5">
        <f ca="1">IFERROR(VLOOKUP($Y79,OFFSET([3]characters!$A$1,0,0,COUNTA([3]characters!$A:$A),MATCH(AA$1,[3]characters!$2:$2,0)-MATCH("character_id",[3]characters!$2:$2,0)+1),MATCH(AA$1,[3]characters!$2:$2,0)-MATCH("character_id",[3]characters!$2:$2,0)+1,FALSE),"")</f>
        <v>2</v>
      </c>
      <c r="AB79" s="5" t="str">
        <f ca="1">IFERROR(VLOOKUP($Y79,OFFSET([3]characters!$A$1,0,0,COUNTA([3]characters!$A:$A),MATCH(AB$1,[3]characters!$2:$2,0)-MATCH("character_id",[3]characters!$2:$2,0)+1),MATCH(AB$1,[3]characters!$2:$2,0)-MATCH("character_id",[3]characters!$2:$2,0)+1,FALSE),"")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79" s="8">
        <v>1</v>
      </c>
      <c r="AD79" s="34">
        <f t="shared" ref="AD79:AD82" ca="1" si="70">AA79</f>
        <v>2</v>
      </c>
      <c r="AE79" s="9">
        <v>0</v>
      </c>
      <c r="AF79" s="8">
        <v>0</v>
      </c>
      <c r="AG79" s="8">
        <v>0</v>
      </c>
      <c r="AH79" s="8">
        <v>0</v>
      </c>
      <c r="AI79" s="8">
        <v>0</v>
      </c>
      <c r="AJ79" s="8">
        <v>1</v>
      </c>
    </row>
    <row r="80" spans="1:36" ht="21" customHeight="1">
      <c r="A80" s="21" t="str">
        <f t="shared" ca="1" si="67"/>
        <v>11102_3-4/21&lt;lv35&gt;s2</v>
      </c>
      <c r="B80" s="8">
        <v>11102</v>
      </c>
      <c r="C80" s="50">
        <v>3</v>
      </c>
      <c r="D80" s="2" t="str">
        <f t="shared" si="68"/>
        <v>11102_3</v>
      </c>
      <c r="E80" s="5" t="str">
        <f ca="1">VLOOKUP($B80,OFFSET([1]quests!$A$1,0,0,COUNTA([1]quests!$A:$A),MATCH(E$1,[1]quests!$1:$1,0)-MATCH($B$1,[1]quests!$1:$1,0)+1),MATCH(E$1,[1]quests!$1:$1,0)-MATCH($B$1,[1]quests!$1:$1,0)+1,FALSE)</f>
        <v>【キャンペーン限定】 赤の素材</v>
      </c>
      <c r="F80" s="5" t="str">
        <f ca="1">VLOOKUP($D80,OFFSET([1]stages!$A$1,0,0,COUNTA([1]stages!$A:$A),MATCH(F$1,[1]stages!$2:$2,0)-MATCH($D$1,[1]stages!$2:$2,0)+1),MATCH(F$1,[1]stages!$2:$2,0)-MATCH($D$1,[1]stages!$2:$2,0)+1,FALSE)</f>
        <v>火のイモムシ 【上級】</v>
      </c>
      <c r="G80" s="32">
        <v>4</v>
      </c>
      <c r="H80" s="20" t="str">
        <f t="shared" si="69"/>
        <v>11102_3-4</v>
      </c>
      <c r="I80" s="31">
        <v>21</v>
      </c>
      <c r="J80" s="26" t="str">
        <f ca="1">VLOOKUP($I80,OFFSET([2]enemies!$A$1,0,0,COUNTA([2]enemies!$A:$A),MATCH(J$1,[2]enemies!$2:$2,0)-MATCH($I$1,[2]enemies!$2:$2,0)+1),MATCH(J$1,[2]enemies!$2:$2,0)-MATCH($I$1,[2]enemies!$2:$2,0)+1,FALSE)</f>
        <v>ヴェロキー</v>
      </c>
      <c r="K80" s="29" t="str">
        <f ca="1">VLOOKUP($I80,OFFSET([2]enemies!$A$1,0,0,COUNTA([2]enemies!$A:$A),MATCH(K$1,[2]enemies!$2:$2,0)-MATCH($I$1,[2]enemies!$2:$2,0)+1),MATCH(K$1,[2]enemies!$2:$2,0)-MATCH($I$1,[2]enemies!$2:$2,0)+1,FALSE)</f>
        <v>red</v>
      </c>
      <c r="L80" s="29" t="str">
        <f ca="1">VLOOKUP($I80,OFFSET([3]characters!$A$1,0,0,COUNTA([3]characters!$A:$A),MATCH(L$1,[3]characters!$2:$2,0)-MATCH($I$1,[3]characters!$2:$2,0)+1),MATCH(L$1,[3]characters!$2:$2,0)-MATCH($I$1,[3]characters!$2:$2,0)+1,FALSE)</f>
        <v>Drop1N</v>
      </c>
      <c r="M80" s="28" t="str">
        <f ca="1">VLOOKUP($I80,OFFSET([3]characters!$A$1,0,0,COUNTA([3]characters!$A:$A),MATCH(M$1,[3]characters!$2:$2,0)-MATCH($I$1,[3]characters!$2:$2,0)+2),MATCH(M$1,[3]characters!$2:$2,0)-MATCH($I$1,[3]characters!$2:$2,0)+2,FALSE)</f>
        <v>ドラゴン</v>
      </c>
      <c r="N80" s="5">
        <f ca="1">VLOOKUP($I80,OFFSET([2]enemies!$A$1,0,0,COUNTA([2]enemies!$A:$A),MATCH(N$1,[2]enemies!$2:$2,0)-MATCH($I$1,[2]enemies!$2:$2,0)+1),MATCH(N$1,[2]enemies!$2:$2,0)-MATCH($I$1,[2]enemies!$2:$2,0)+1,FALSE)</f>
        <v>15</v>
      </c>
      <c r="O80" s="6">
        <v>35</v>
      </c>
      <c r="P80" s="46">
        <v>1</v>
      </c>
      <c r="Q80" s="46">
        <v>1</v>
      </c>
      <c r="R80" s="6">
        <v>0</v>
      </c>
      <c r="S80" s="5" t="str">
        <f ca="1">VLOOKUP($T80,OFFSET([4]enemy_skill_sets!$B$1,0,0,COUNTA([4]enemy_skill_sets!$B:$B),MATCH(J$1,[4]enemy_skill_sets!$1:$1,0)-MATCH($T$1,[4]enemy_skill_sets!$1:$1,0)+2),MATCH(J$1,[4]enemy_skill_sets!$1:$1,0)-MATCH($T$1,[4]enemy_skill_sets!$1:$1,0)+2,FALSE)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0" s="5">
        <f ca="1">VLOOKUP($I80,OFFSET([2]enemies!$A$1,0,0,COUNTA([2]enemies!$A:$A),MATCH(T$1,[2]enemies!$2:$2,0)-MATCH($I$1,[2]enemies!$2:$2,0)+1),MATCH(T$1,[2]enemies!$2:$2,0)-MATCH($I$1,[2]enemies!$2:$2,0)+1,FALSE)</f>
        <v>0</v>
      </c>
      <c r="U80" s="7">
        <v>0</v>
      </c>
      <c r="V80" s="7">
        <v>100</v>
      </c>
      <c r="W80" s="7">
        <v>0</v>
      </c>
      <c r="X80" s="26">
        <f ca="1">VLOOKUP($I80,OFFSET([2]enemies!$A$1,0,0,COUNTA([2]enemies!$A:$A),MATCH(X$1,[2]enemies!$2:$2,0)-MATCH($I$1,[2]enemies!$2:$2,0)+1),MATCH(X$1,[2]enemies!$2:$2,0)-MATCH($I$1,[2]enemies!$2:$2,0)+1,FALSE)</f>
        <v>2</v>
      </c>
      <c r="Y80" s="31">
        <v>21</v>
      </c>
      <c r="Z80" s="5" t="str">
        <f ca="1">IFERROR(VLOOKUP($Y80,OFFSET([3]characters!$A$1,0,0,COUNTA([3]characters!$A:$A),MATCH(Z$1,[3]characters!$2:$2,0)-MATCH("character_id",[3]characters!$2:$2,0)+1),MATCH(Z$1,[3]characters!$2:$2,0)-MATCH("character_id",[3]characters!$2:$2,0)+1,FALSE),"")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80" s="5">
        <f ca="1">IFERROR(VLOOKUP($Y80,OFFSET([3]characters!$A$1,0,0,COUNTA([3]characters!$A:$A),MATCH(AA$1,[3]characters!$2:$2,0)-MATCH("character_id",[3]characters!$2:$2,0)+1),MATCH(AA$1,[3]characters!$2:$2,0)-MATCH("character_id",[3]characters!$2:$2,0)+1,FALSE),"")</f>
        <v>1</v>
      </c>
      <c r="AB80" s="5" t="str">
        <f ca="1">IFERROR(VLOOKUP($Y80,OFFSET([3]characters!$A$1,0,0,COUNTA([3]characters!$A:$A),MATCH(AB$1,[3]characters!$2:$2,0)-MATCH("character_id",[3]characters!$2:$2,0)+1),MATCH(AB$1,[3]characters!$2:$2,0)-MATCH("character_id",[3]characters!$2:$2,0)+1,FALSE),"")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80" s="8">
        <v>1</v>
      </c>
      <c r="AD80" s="34">
        <f t="shared" ca="1" si="70"/>
        <v>1</v>
      </c>
      <c r="AE80" s="9">
        <v>0</v>
      </c>
      <c r="AF80" s="8">
        <v>0</v>
      </c>
      <c r="AG80" s="8">
        <v>0</v>
      </c>
      <c r="AH80" s="8">
        <v>0</v>
      </c>
      <c r="AI80" s="8">
        <v>0</v>
      </c>
      <c r="AJ80" s="8">
        <v>1</v>
      </c>
    </row>
    <row r="81" spans="1:36" ht="21" customHeight="1">
      <c r="A81" s="21" t="str">
        <f t="shared" ca="1" si="67"/>
        <v>11102_3-4/332&lt;lv1&gt;s1</v>
      </c>
      <c r="B81" s="8">
        <v>11102</v>
      </c>
      <c r="C81" s="50">
        <v>3</v>
      </c>
      <c r="D81" s="2" t="str">
        <f t="shared" si="68"/>
        <v>11102_3</v>
      </c>
      <c r="E81" s="5" t="str">
        <f ca="1">VLOOKUP($B81,OFFSET([1]quests!$A$1,0,0,COUNTA([1]quests!$A:$A),MATCH(E$1,[1]quests!$1:$1,0)-MATCH($B$1,[1]quests!$1:$1,0)+1),MATCH(E$1,[1]quests!$1:$1,0)-MATCH($B$1,[1]quests!$1:$1,0)+1,FALSE)</f>
        <v>【キャンペーン限定】 赤の素材</v>
      </c>
      <c r="F81" s="5" t="str">
        <f ca="1">VLOOKUP($D81,OFFSET([1]stages!$A$1,0,0,COUNTA([1]stages!$A:$A),MATCH(F$1,[1]stages!$2:$2,0)-MATCH($D$1,[1]stages!$2:$2,0)+1),MATCH(F$1,[1]stages!$2:$2,0)-MATCH($D$1,[1]stages!$2:$2,0)+1,FALSE)</f>
        <v>火のイモムシ 【上級】</v>
      </c>
      <c r="G81" s="32">
        <v>4</v>
      </c>
      <c r="H81" s="20" t="str">
        <f t="shared" si="69"/>
        <v>11102_3-4</v>
      </c>
      <c r="I81" s="31">
        <v>332</v>
      </c>
      <c r="J81" s="26" t="str">
        <f ca="1">VLOOKUP($I81,OFFSET([2]enemies!$A$1,0,0,COUNTA([2]enemies!$A:$A),MATCH(J$1,[2]enemies!$2:$2,0)-MATCH($I$1,[2]enemies!$2:$2,0)+1),MATCH(J$1,[2]enemies!$2:$2,0)-MATCH($I$1,[2]enemies!$2:$2,0)+1,FALSE)</f>
        <v>炎のメタルピヨピヨ</v>
      </c>
      <c r="K81" s="29" t="str">
        <f ca="1">VLOOKUP($I81,OFFSET([2]enemies!$A$1,0,0,COUNTA([2]enemies!$A:$A),MATCH(K$1,[2]enemies!$2:$2,0)-MATCH($I$1,[2]enemies!$2:$2,0)+1),MATCH(K$1,[2]enemies!$2:$2,0)-MATCH($I$1,[2]enemies!$2:$2,0)+1,FALSE)</f>
        <v>red</v>
      </c>
      <c r="L81" s="29" t="str">
        <f ca="1">VLOOKUP($I81,OFFSET([3]characters!$A$1,0,0,COUNTA([3]characters!$A:$A),MATCH(L$1,[3]characters!$2:$2,0)-MATCH($I$1,[3]characters!$2:$2,0)+1),MATCH(L$1,[3]characters!$2:$2,0)-MATCH($I$1,[3]characters!$2:$2,0)+1,FALSE)</f>
        <v>Material</v>
      </c>
      <c r="M81" s="28" t="str">
        <f ca="1">VLOOKUP($I81,OFFSET([3]characters!$A$1,0,0,COUNTA([3]characters!$A:$A),MATCH(M$1,[3]characters!$2:$2,0)-MATCH($I$1,[3]characters!$2:$2,0)+2),MATCH(M$1,[3]characters!$2:$2,0)-MATCH($I$1,[3]characters!$2:$2,0)+2,FALSE)</f>
        <v>Unknown</v>
      </c>
      <c r="N81" s="5">
        <f ca="1">VLOOKUP($I81,OFFSET([2]enemies!$A$1,0,0,COUNTA([2]enemies!$A:$A),MATCH(N$1,[2]enemies!$2:$2,0)-MATCH($I$1,[2]enemies!$2:$2,0)+1),MATCH(N$1,[2]enemies!$2:$2,0)-MATCH($I$1,[2]enemies!$2:$2,0)+1,FALSE)</f>
        <v>15</v>
      </c>
      <c r="O81" s="6">
        <v>1</v>
      </c>
      <c r="P81" s="46">
        <v>1</v>
      </c>
      <c r="Q81" s="46">
        <v>1</v>
      </c>
      <c r="R81" s="6">
        <v>0</v>
      </c>
      <c r="S81" s="5" t="str">
        <f ca="1">VLOOKUP($T81,OFFSET([4]enemy_skill_sets!$B$1,0,0,COUNTA([4]enemy_skill_sets!$B:$B),MATCH(J$1,[4]enemy_skill_sets!$1:$1,0)-MATCH($T$1,[4]enemy_skill_sets!$1:$1,0)+2),MATCH(J$1,[4]enemy_skill_sets!$1:$1,0)-MATCH($T$1,[4]enemy_skill_sets!$1:$1,0)+2,FALSE)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1" s="5">
        <f ca="1">VLOOKUP($I81,OFFSET([2]enemies!$A$1,0,0,COUNTA([2]enemies!$A:$A),MATCH(T$1,[2]enemies!$2:$2,0)-MATCH($I$1,[2]enemies!$2:$2,0)+1),MATCH(T$1,[2]enemies!$2:$2,0)-MATCH($I$1,[2]enemies!$2:$2,0)+1,FALSE)</f>
        <v>0</v>
      </c>
      <c r="U81" s="7">
        <v>0</v>
      </c>
      <c r="V81" s="7">
        <v>30</v>
      </c>
      <c r="W81" s="7">
        <v>0</v>
      </c>
      <c r="X81" s="26">
        <f ca="1">VLOOKUP($I81,OFFSET([2]enemies!$A$1,0,0,COUNTA([2]enemies!$A:$A),MATCH(X$1,[2]enemies!$2:$2,0)-MATCH($I$1,[2]enemies!$2:$2,0)+1),MATCH(X$1,[2]enemies!$2:$2,0)-MATCH($I$1,[2]enemies!$2:$2,0)+1,FALSE)</f>
        <v>1</v>
      </c>
      <c r="Y81" s="31">
        <v>332</v>
      </c>
      <c r="Z81" s="5" t="str">
        <f ca="1">IFERROR(VLOOKUP($Y81,OFFSET([3]characters!$A$1,0,0,COUNTA([3]characters!$A:$A),MATCH(Z$1,[3]characters!$2:$2,0)-MATCH("character_id",[3]characters!$2:$2,0)+1),MATCH(Z$1,[3]characters!$2:$2,0)-MATCH("character_id",[3]characters!$2:$2,0)+1,FALSE),"")</f>
        <v>炎のメタルピヨピヨ</v>
      </c>
      <c r="AA81" s="5">
        <f ca="1">IFERROR(VLOOKUP($Y81,OFFSET([3]characters!$A$1,0,0,COUNTA([3]characters!$A:$A),MATCH(AA$1,[3]characters!$2:$2,0)-MATCH("character_id",[3]characters!$2:$2,0)+1),MATCH(AA$1,[3]characters!$2:$2,0)-MATCH("character_id",[3]characters!$2:$2,0)+1,FALSE),"")</f>
        <v>3</v>
      </c>
      <c r="AB81" s="5" t="str">
        <f ca="1">IFERROR(VLOOKUP($Y81,OFFSET([3]characters!$A$1,0,0,COUNTA([3]characters!$A:$A),MATCH(AB$1,[3]characters!$2:$2,0)-MATCH("character_id",[3]characters!$2:$2,0)+1),MATCH(AB$1,[3]characters!$2:$2,0)-MATCH("character_id",[3]characters!$2:$2,0)+1,FALSE),"")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81" s="8">
        <v>1</v>
      </c>
      <c r="AD81" s="34">
        <f t="shared" ca="1" si="70"/>
        <v>3</v>
      </c>
      <c r="AE81" s="9">
        <v>10</v>
      </c>
      <c r="AF81" s="8">
        <v>0</v>
      </c>
      <c r="AG81" s="8">
        <v>0</v>
      </c>
      <c r="AH81" s="8">
        <v>0</v>
      </c>
      <c r="AI81" s="8">
        <v>0</v>
      </c>
      <c r="AJ81" s="8">
        <v>1</v>
      </c>
    </row>
    <row r="82" spans="1:36" ht="21" customHeight="1">
      <c r="A82" s="21" t="str">
        <f t="shared" ca="1" si="67"/>
        <v>11102_3-4/333&lt;lv1&gt;s2</v>
      </c>
      <c r="B82" s="8">
        <v>11102</v>
      </c>
      <c r="C82" s="50">
        <v>3</v>
      </c>
      <c r="D82" s="2" t="str">
        <f t="shared" si="68"/>
        <v>11102_3</v>
      </c>
      <c r="E82" s="5" t="str">
        <f ca="1">VLOOKUP($B82,OFFSET([1]quests!$A$1,0,0,COUNTA([1]quests!$A:$A),MATCH(E$1,[1]quests!$1:$1,0)-MATCH($B$1,[1]quests!$1:$1,0)+1),MATCH(E$1,[1]quests!$1:$1,0)-MATCH($B$1,[1]quests!$1:$1,0)+1,FALSE)</f>
        <v>【キャンペーン限定】 赤の素材</v>
      </c>
      <c r="F82" s="5" t="str">
        <f ca="1">VLOOKUP($D82,OFFSET([1]stages!$A$1,0,0,COUNTA([1]stages!$A:$A),MATCH(F$1,[1]stages!$2:$2,0)-MATCH($D$1,[1]stages!$2:$2,0)+1),MATCH(F$1,[1]stages!$2:$2,0)-MATCH($D$1,[1]stages!$2:$2,0)+1,FALSE)</f>
        <v>火のイモムシ 【上級】</v>
      </c>
      <c r="G82" s="32">
        <v>4</v>
      </c>
      <c r="H82" s="20" t="str">
        <f t="shared" si="69"/>
        <v>11102_3-4</v>
      </c>
      <c r="I82" s="31">
        <v>333</v>
      </c>
      <c r="J82" s="26" t="str">
        <f ca="1">VLOOKUP($I82,OFFSET([2]enemies!$A$1,0,0,COUNTA([2]enemies!$A:$A),MATCH(J$1,[2]enemies!$2:$2,0)-MATCH($I$1,[2]enemies!$2:$2,0)+1),MATCH(J$1,[2]enemies!$2:$2,0)-MATCH($I$1,[2]enemies!$2:$2,0)+1,FALSE)</f>
        <v>炎のメタルチック</v>
      </c>
      <c r="K82" s="29" t="str">
        <f ca="1">VLOOKUP($I82,OFFSET([2]enemies!$A$1,0,0,COUNTA([2]enemies!$A:$A),MATCH(K$1,[2]enemies!$2:$2,0)-MATCH($I$1,[2]enemies!$2:$2,0)+1),MATCH(K$1,[2]enemies!$2:$2,0)-MATCH($I$1,[2]enemies!$2:$2,0)+1,FALSE)</f>
        <v>red</v>
      </c>
      <c r="L82" s="29" t="str">
        <f ca="1">VLOOKUP($I82,OFFSET([3]characters!$A$1,0,0,COUNTA([3]characters!$A:$A),MATCH(L$1,[3]characters!$2:$2,0)-MATCH($I$1,[3]characters!$2:$2,0)+1),MATCH(L$1,[3]characters!$2:$2,0)-MATCH($I$1,[3]characters!$2:$2,0)+1,FALSE)</f>
        <v>Material</v>
      </c>
      <c r="M82" s="28" t="str">
        <f ca="1">VLOOKUP($I82,OFFSET([3]characters!$A$1,0,0,COUNTA([3]characters!$A:$A),MATCH(M$1,[3]characters!$2:$2,0)-MATCH($I$1,[3]characters!$2:$2,0)+2),MATCH(M$1,[3]characters!$2:$2,0)-MATCH($I$1,[3]characters!$2:$2,0)+2,FALSE)</f>
        <v>Unknown</v>
      </c>
      <c r="N82" s="5">
        <f ca="1">VLOOKUP($I82,OFFSET([2]enemies!$A$1,0,0,COUNTA([2]enemies!$A:$A),MATCH(N$1,[2]enemies!$2:$2,0)-MATCH($I$1,[2]enemies!$2:$2,0)+1),MATCH(N$1,[2]enemies!$2:$2,0)-MATCH($I$1,[2]enemies!$2:$2,0)+1,FALSE)</f>
        <v>15</v>
      </c>
      <c r="O82" s="6">
        <v>1</v>
      </c>
      <c r="P82" s="46">
        <v>1</v>
      </c>
      <c r="Q82" s="46">
        <v>1</v>
      </c>
      <c r="R82" s="6">
        <v>0</v>
      </c>
      <c r="S82" s="5" t="str">
        <f ca="1">VLOOKUP($T82,OFFSET([4]enemy_skill_sets!$B$1,0,0,COUNTA([4]enemy_skill_sets!$B:$B),MATCH(J$1,[4]enemy_skill_sets!$1:$1,0)-MATCH($T$1,[4]enemy_skill_sets!$1:$1,0)+2),MATCH(J$1,[4]enemy_skill_sets!$1:$1,0)-MATCH($T$1,[4]enemy_skill_sets!$1:$1,0)+2,FALSE)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2" s="5">
        <f ca="1">VLOOKUP($I82,OFFSET([2]enemies!$A$1,0,0,COUNTA([2]enemies!$A:$A),MATCH(T$1,[2]enemies!$2:$2,0)-MATCH($I$1,[2]enemies!$2:$2,0)+1),MATCH(T$1,[2]enemies!$2:$2,0)-MATCH($I$1,[2]enemies!$2:$2,0)+1,FALSE)</f>
        <v>0</v>
      </c>
      <c r="U82" s="7">
        <v>0</v>
      </c>
      <c r="V82" s="7">
        <v>30</v>
      </c>
      <c r="W82" s="7">
        <v>0</v>
      </c>
      <c r="X82" s="26">
        <f ca="1">VLOOKUP($I82,OFFSET([2]enemies!$A$1,0,0,COUNTA([2]enemies!$A:$A),MATCH(X$1,[2]enemies!$2:$2,0)-MATCH($I$1,[2]enemies!$2:$2,0)+1),MATCH(X$1,[2]enemies!$2:$2,0)-MATCH($I$1,[2]enemies!$2:$2,0)+1,FALSE)</f>
        <v>2</v>
      </c>
      <c r="Y82" s="31">
        <v>333</v>
      </c>
      <c r="Z82" s="5" t="str">
        <f ca="1">IFERROR(VLOOKUP($Y82,OFFSET([3]characters!$A$1,0,0,COUNTA([3]characters!$A:$A),MATCH(Z$1,[3]characters!$2:$2,0)-MATCH("character_id",[3]characters!$2:$2,0)+1),MATCH(Z$1,[3]characters!$2:$2,0)-MATCH("character_id",[3]characters!$2:$2,0)+1,FALSE),"")</f>
        <v>炎のメタルチック</v>
      </c>
      <c r="AA82" s="5">
        <f ca="1">IFERROR(VLOOKUP($Y82,OFFSET([3]characters!$A$1,0,0,COUNTA([3]characters!$A:$A),MATCH(AA$1,[3]characters!$2:$2,0)-MATCH("character_id",[3]characters!$2:$2,0)+1),MATCH(AA$1,[3]characters!$2:$2,0)-MATCH("character_id",[3]characters!$2:$2,0)+1,FALSE),"")</f>
        <v>4</v>
      </c>
      <c r="AB82" s="5" t="str">
        <f ca="1">IFERROR(VLOOKUP($Y82,OFFSET([3]characters!$A$1,0,0,COUNTA([3]characters!$A:$A),MATCH(AB$1,[3]characters!$2:$2,0)-MATCH("character_id",[3]characters!$2:$2,0)+1),MATCH(AB$1,[3]characters!$2:$2,0)-MATCH("character_id",[3]characters!$2:$2,0)+1,FALSE),"")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82" s="8">
        <v>1</v>
      </c>
      <c r="AD82" s="34">
        <f t="shared" ca="1" si="70"/>
        <v>4</v>
      </c>
      <c r="AE82" s="9">
        <v>5</v>
      </c>
      <c r="AF82" s="8">
        <v>0</v>
      </c>
      <c r="AG82" s="8">
        <v>0</v>
      </c>
      <c r="AH82" s="8">
        <v>0</v>
      </c>
      <c r="AI82" s="8">
        <v>0</v>
      </c>
      <c r="AJ82" s="8">
        <v>1</v>
      </c>
    </row>
    <row r="83" spans="1:36" ht="21" customHeight="1">
      <c r="A83" s="21" t="str">
        <f t="shared" ca="1" si="62"/>
        <v>11102_3-5/103&lt;lv30&gt;s3</v>
      </c>
      <c r="B83" s="8">
        <v>11102</v>
      </c>
      <c r="C83" s="50">
        <v>3</v>
      </c>
      <c r="D83" s="2" t="str">
        <f t="shared" si="59"/>
        <v>11102_3</v>
      </c>
      <c r="E83" s="5" t="str">
        <f ca="1">VLOOKUP($B83,OFFSET([1]quests!$A$1,0,0,COUNTA([1]quests!$A:$A),MATCH(E$1,[1]quests!$1:$1,0)-MATCH($B$1,[1]quests!$1:$1,0)+1),MATCH(E$1,[1]quests!$1:$1,0)-MATCH($B$1,[1]quests!$1:$1,0)+1,FALSE)</f>
        <v>【キャンペーン限定】 赤の素材</v>
      </c>
      <c r="F83" s="5" t="str">
        <f ca="1">VLOOKUP($D83,OFFSET([1]stages!$A$1,0,0,COUNTA([1]stages!$A:$A),MATCH(F$1,[1]stages!$2:$2,0)-MATCH($D$1,[1]stages!$2:$2,0)+1),MATCH(F$1,[1]stages!$2:$2,0)-MATCH($D$1,[1]stages!$2:$2,0)+1,FALSE)</f>
        <v>火のイモムシ 【上級】</v>
      </c>
      <c r="G83" s="32">
        <v>5</v>
      </c>
      <c r="H83" s="20" t="str">
        <f t="shared" si="60"/>
        <v>11102_3-5</v>
      </c>
      <c r="I83" s="31">
        <v>103</v>
      </c>
      <c r="J83" s="26" t="str">
        <f ca="1">VLOOKUP($I83,OFFSET([2]enemies!$A$1,0,0,COUNTA([2]enemies!$A:$A),MATCH(J$1,[2]enemies!$2:$2,0)-MATCH($I$1,[2]enemies!$2:$2,0)+1),MATCH(J$1,[2]enemies!$2:$2,0)-MATCH($I$1,[2]enemies!$2:$2,0)+1,FALSE)</f>
        <v>レッドキャタップ</v>
      </c>
      <c r="K83" s="29" t="str">
        <f ca="1">VLOOKUP($I83,OFFSET([2]enemies!$A$1,0,0,COUNTA([2]enemies!$A:$A),MATCH(K$1,[2]enemies!$2:$2,0)-MATCH($I$1,[2]enemies!$2:$2,0)+1),MATCH(K$1,[2]enemies!$2:$2,0)-MATCH($I$1,[2]enemies!$2:$2,0)+1,FALSE)</f>
        <v>red</v>
      </c>
      <c r="L83" s="29" t="str">
        <f ca="1">VLOOKUP($I83,OFFSET([3]characters!$A$1,0,0,COUNTA([3]characters!$A:$A),MATCH(L$1,[3]characters!$2:$2,0)-MATCH($I$1,[3]characters!$2:$2,0)+1),MATCH(L$1,[3]characters!$2:$2,0)-MATCH($I$1,[3]characters!$2:$2,0)+1,FALSE)</f>
        <v>Material</v>
      </c>
      <c r="M83" s="28" t="str">
        <f ca="1">VLOOKUP($I83,OFFSET([3]characters!$A$1,0,0,COUNTA([3]characters!$A:$A),MATCH(M$1,[3]characters!$2:$2,0)-MATCH($I$1,[3]characters!$2:$2,0)+2),MATCH(M$1,[3]characters!$2:$2,0)-MATCH($I$1,[3]characters!$2:$2,0)+2,FALSE)</f>
        <v>Unknown</v>
      </c>
      <c r="N83" s="5">
        <f ca="1">VLOOKUP($I83,OFFSET([2]enemies!$A$1,0,0,COUNTA([2]enemies!$A:$A),MATCH(N$1,[2]enemies!$2:$2,0)-MATCH($I$1,[2]enemies!$2:$2,0)+1),MATCH(N$1,[2]enemies!$2:$2,0)-MATCH($I$1,[2]enemies!$2:$2,0)+1,FALSE)</f>
        <v>15</v>
      </c>
      <c r="O83" s="6">
        <v>30</v>
      </c>
      <c r="P83" s="46">
        <v>2</v>
      </c>
      <c r="Q83" s="46">
        <v>1</v>
      </c>
      <c r="R83" s="6">
        <v>0</v>
      </c>
      <c r="S83" s="5" t="str">
        <f ca="1">VLOOKUP($T83,OFFSET([4]enemy_skill_sets!$B$1,0,0,COUNTA([4]enemy_skill_sets!$B:$B),MATCH(J$1,[4]enemy_skill_sets!$1:$1,0)-MATCH($T$1,[4]enemy_skill_sets!$1:$1,0)+2),MATCH(J$1,[4]enemy_skill_sets!$1:$1,0)-MATCH($T$1,[4]enemy_skill_sets!$1:$1,0)+2,FALSE)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3" s="5">
        <f ca="1">VLOOKUP($I83,OFFSET([2]enemies!$A$1,0,0,COUNTA([2]enemies!$A:$A),MATCH(T$1,[2]enemies!$2:$2,0)-MATCH($I$1,[2]enemies!$2:$2,0)+1),MATCH(T$1,[2]enemies!$2:$2,0)-MATCH($I$1,[2]enemies!$2:$2,0)+1,FALSE)</f>
        <v>0</v>
      </c>
      <c r="U83" s="7">
        <v>1</v>
      </c>
      <c r="V83" s="7">
        <v>100</v>
      </c>
      <c r="W83" s="7">
        <v>1</v>
      </c>
      <c r="X83" s="26">
        <f ca="1">VLOOKUP($I83,OFFSET([2]enemies!$A$1,0,0,COUNTA([2]enemies!$A:$A),MATCH(X$1,[2]enemies!$2:$2,0)-MATCH($I$1,[2]enemies!$2:$2,0)+1),MATCH(X$1,[2]enemies!$2:$2,0)-MATCH($I$1,[2]enemies!$2:$2,0)+1,FALSE)</f>
        <v>3</v>
      </c>
      <c r="Y83" s="31">
        <v>103</v>
      </c>
      <c r="Z83" s="5" t="str">
        <f ca="1">IFERROR(VLOOKUP($Y83,OFFSET([3]characters!$A$1,0,0,COUNTA([3]characters!$A:$A),MATCH(Z$1,[3]characters!$2:$2,0)-MATCH("character_id",[3]characters!$2:$2,0)+1),MATCH(Z$1,[3]characters!$2:$2,0)-MATCH("character_id",[3]characters!$2:$2,0)+1,FALSE),"")</f>
        <v>レッドキャタップ</v>
      </c>
      <c r="AA83" s="5">
        <f ca="1">IFERROR(VLOOKUP($Y83,OFFSET([3]characters!$A$1,0,0,COUNTA([3]characters!$A:$A),MATCH(AA$1,[3]characters!$2:$2,0)-MATCH("character_id",[3]characters!$2:$2,0)+1),MATCH(AA$1,[3]characters!$2:$2,0)-MATCH("character_id",[3]characters!$2:$2,0)+1,FALSE),"")</f>
        <v>4</v>
      </c>
      <c r="AB83" s="5" t="str">
        <f ca="1">IFERROR(VLOOKUP($Y83,OFFSET([3]characters!$A$1,0,0,COUNTA([3]characters!$A:$A),MATCH(AB$1,[3]characters!$2:$2,0)-MATCH("character_id",[3]characters!$2:$2,0)+1),MATCH(AB$1,[3]characters!$2:$2,0)-MATCH("character_id",[3]characters!$2:$2,0)+1,FALSE),"")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83" s="8">
        <v>1</v>
      </c>
      <c r="AD83" s="34">
        <f t="shared" ca="1" si="61"/>
        <v>4</v>
      </c>
      <c r="AE83" s="9">
        <v>100</v>
      </c>
      <c r="AF83" s="8">
        <v>0</v>
      </c>
      <c r="AG83" s="8">
        <v>0</v>
      </c>
      <c r="AH83" s="8">
        <v>0</v>
      </c>
      <c r="AI83" s="8">
        <v>0</v>
      </c>
      <c r="AJ83" s="8">
        <v>1</v>
      </c>
    </row>
    <row r="84" spans="1:36" ht="21" customHeight="1">
      <c r="A84" s="21" t="str">
        <f ca="1">B84&amp;"_"&amp;C84&amp;"-"&amp;G84&amp;"/"&amp;I84&amp;"&lt;lv"&amp;O84&amp;"&gt;s"&amp;X84</f>
        <v>11102_3-5/126&lt;lv30&gt;s1</v>
      </c>
      <c r="B84" s="8">
        <v>11102</v>
      </c>
      <c r="C84" s="50">
        <v>3</v>
      </c>
      <c r="D84" s="2" t="str">
        <f t="shared" si="59"/>
        <v>11102_3</v>
      </c>
      <c r="E84" s="5" t="str">
        <f ca="1">VLOOKUP($B84,OFFSET([1]quests!$A$1,0,0,COUNTA([1]quests!$A:$A),MATCH(E$1,[1]quests!$1:$1,0)-MATCH($B$1,[1]quests!$1:$1,0)+1),MATCH(E$1,[1]quests!$1:$1,0)-MATCH($B$1,[1]quests!$1:$1,0)+1,FALSE)</f>
        <v>【キャンペーン限定】 赤の素材</v>
      </c>
      <c r="F84" s="5" t="str">
        <f ca="1">VLOOKUP($D84,OFFSET([1]stages!$A$1,0,0,COUNTA([1]stages!$A:$A),MATCH(F$1,[1]stages!$2:$2,0)-MATCH($D$1,[1]stages!$2:$2,0)+1),MATCH(F$1,[1]stages!$2:$2,0)-MATCH($D$1,[1]stages!$2:$2,0)+1,FALSE)</f>
        <v>火のイモムシ 【上級】</v>
      </c>
      <c r="G84" s="32">
        <v>5</v>
      </c>
      <c r="H84" s="20" t="str">
        <f t="shared" si="60"/>
        <v>11102_3-5</v>
      </c>
      <c r="I84" s="31">
        <v>126</v>
      </c>
      <c r="J84" s="26" t="str">
        <f ca="1">VLOOKUP($I84,OFFSET([2]enemies!$A$1,0,0,COUNTA([2]enemies!$A:$A),MATCH(J$1,[2]enemies!$2:$2,0)-MATCH($I$1,[2]enemies!$2:$2,0)+1),MATCH(J$1,[2]enemies!$2:$2,0)-MATCH($I$1,[2]enemies!$2:$2,0)+1,FALSE)</f>
        <v>骨器使い ユノ</v>
      </c>
      <c r="K84" s="29" t="str">
        <f ca="1">VLOOKUP($I84,OFFSET([2]enemies!$A$1,0,0,COUNTA([2]enemies!$A:$A),MATCH(K$1,[2]enemies!$2:$2,0)-MATCH($I$1,[2]enemies!$2:$2,0)+1),MATCH(K$1,[2]enemies!$2:$2,0)-MATCH($I$1,[2]enemies!$2:$2,0)+1,FALSE)</f>
        <v>red</v>
      </c>
      <c r="L84" s="29" t="str">
        <f ca="1">VLOOKUP($I84,OFFSET([3]characters!$A$1,0,0,COUNTA([3]characters!$A:$A),MATCH(L$1,[3]characters!$2:$2,0)-MATCH($I$1,[3]characters!$2:$2,0)+1),MATCH(L$1,[3]characters!$2:$2,0)-MATCH($I$1,[3]characters!$2:$2,0)+1,FALSE)</f>
        <v>PremiumW</v>
      </c>
      <c r="M84" s="28" t="str">
        <f ca="1">VLOOKUP($I84,OFFSET([3]characters!$A$1,0,0,COUNTA([3]characters!$A:$A),MATCH(M$1,[3]characters!$2:$2,0)-MATCH($I$1,[3]characters!$2:$2,0)+2),MATCH(M$1,[3]characters!$2:$2,0)-MATCH($I$1,[3]characters!$2:$2,0)+2,FALSE)</f>
        <v>ヒューマン</v>
      </c>
      <c r="N84" s="5">
        <f ca="1">VLOOKUP($I84,OFFSET([2]enemies!$A$1,0,0,COUNTA([2]enemies!$A:$A),MATCH(N$1,[2]enemies!$2:$2,0)-MATCH($I$1,[2]enemies!$2:$2,0)+1),MATCH(N$1,[2]enemies!$2:$2,0)-MATCH($I$1,[2]enemies!$2:$2,0)+1,FALSE)</f>
        <v>20</v>
      </c>
      <c r="O84" s="6">
        <v>30</v>
      </c>
      <c r="P84" s="46">
        <v>1</v>
      </c>
      <c r="Q84" s="46">
        <v>1</v>
      </c>
      <c r="R84" s="6">
        <v>0</v>
      </c>
      <c r="S84" s="5" t="str">
        <f ca="1">VLOOKUP($T84,OFFSET([4]enemy_skill_sets!$B$1,0,0,COUNTA([4]enemy_skill_sets!$B:$B),MATCH(J$1,[4]enemy_skill_sets!$1:$1,0)-MATCH($T$1,[4]enemy_skill_sets!$1:$1,0)+2),MATCH(J$1,[4]enemy_skill_sets!$1:$1,0)-MATCH($T$1,[4]enemy_skill_sets!$1:$1,0)+2,FALSE)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84" s="5">
        <f ca="1">VLOOKUP($I84,OFFSET([2]enemies!$A$1,0,0,COUNTA([2]enemies!$A:$A),MATCH(T$1,[2]enemies!$2:$2,0)-MATCH($I$1,[2]enemies!$2:$2,0)+1),MATCH(T$1,[2]enemies!$2:$2,0)-MATCH($I$1,[2]enemies!$2:$2,0)+1,FALSE)</f>
        <v>126</v>
      </c>
      <c r="U84" s="7">
        <v>0</v>
      </c>
      <c r="V84" s="7">
        <v>100</v>
      </c>
      <c r="W84" s="7">
        <v>1</v>
      </c>
      <c r="X84" s="26">
        <f ca="1">VLOOKUP($I84,OFFSET([2]enemies!$A$1,0,0,COUNTA([2]enemies!$A:$A),MATCH(X$1,[2]enemies!$2:$2,0)-MATCH($I$1,[2]enemies!$2:$2,0)+1),MATCH(X$1,[2]enemies!$2:$2,0)-MATCH($I$1,[2]enemies!$2:$2,0)+1,FALSE)</f>
        <v>1</v>
      </c>
      <c r="Y84" s="31">
        <v>126</v>
      </c>
      <c r="Z84" s="5" t="str">
        <f ca="1">IFERROR(VLOOKUP($Y84,OFFSET([3]characters!$A$1,0,0,COUNTA([3]characters!$A:$A),MATCH(Z$1,[3]characters!$2:$2,0)-MATCH("character_id",[3]characters!$2:$2,0)+1),MATCH(Z$1,[3]characters!$2:$2,0)-MATCH("character_id",[3]characters!$2:$2,0)+1,FALSE),"")</f>
        <v>骨器使い ユノ</v>
      </c>
      <c r="AA84" s="5">
        <f ca="1">IFERROR(VLOOKUP($Y84,OFFSET([3]characters!$A$1,0,0,COUNTA([3]characters!$A:$A),MATCH(AA$1,[3]characters!$2:$2,0)-MATCH("character_id",[3]characters!$2:$2,0)+1),MATCH(AA$1,[3]characters!$2:$2,0)-MATCH("character_id",[3]characters!$2:$2,0)+1,FALSE),"")</f>
        <v>3</v>
      </c>
      <c r="AB84" s="5" t="str">
        <f ca="1">IFERROR(VLOOKUP($Y84,OFFSET([3]characters!$A$1,0,0,COUNTA([3]characters!$A:$A),MATCH(AB$1,[3]characters!$2:$2,0)-MATCH("character_id",[3]characters!$2:$2,0)+1),MATCH(AB$1,[3]characters!$2:$2,0)-MATCH("character_id",[3]characters!$2:$2,0)+1,FALSE),"")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84" s="8">
        <v>1</v>
      </c>
      <c r="AD84" s="34">
        <f t="shared" ca="1" si="61"/>
        <v>3</v>
      </c>
      <c r="AE84" s="9">
        <v>0</v>
      </c>
      <c r="AF84" s="8">
        <v>0</v>
      </c>
      <c r="AG84" s="8">
        <v>0</v>
      </c>
      <c r="AH84" s="8">
        <v>0</v>
      </c>
      <c r="AI84" s="8">
        <v>0</v>
      </c>
      <c r="AJ84" s="8">
        <v>1</v>
      </c>
    </row>
    <row r="85" spans="1:36" ht="21" customHeight="1">
      <c r="A85" s="21" t="str">
        <f ca="1">B85&amp;"_"&amp;C85&amp;"-"&amp;G85&amp;"/"&amp;I85&amp;"&lt;lv"&amp;O85&amp;"&gt;s"&amp;X85</f>
        <v>11102_3-5/134&lt;lv30&gt;s3</v>
      </c>
      <c r="B85" s="8">
        <v>11102</v>
      </c>
      <c r="C85" s="50">
        <v>3</v>
      </c>
      <c r="D85" s="2" t="str">
        <f t="shared" si="59"/>
        <v>11102_3</v>
      </c>
      <c r="E85" s="5" t="str">
        <f ca="1">VLOOKUP($B85,OFFSET([1]quests!$A$1,0,0,COUNTA([1]quests!$A:$A),MATCH(E$1,[1]quests!$1:$1,0)-MATCH($B$1,[1]quests!$1:$1,0)+1),MATCH(E$1,[1]quests!$1:$1,0)-MATCH($B$1,[1]quests!$1:$1,0)+1,FALSE)</f>
        <v>【キャンペーン限定】 赤の素材</v>
      </c>
      <c r="F85" s="5" t="str">
        <f ca="1">VLOOKUP($D85,OFFSET([1]stages!$A$1,0,0,COUNTA([1]stages!$A:$A),MATCH(F$1,[1]stages!$2:$2,0)-MATCH($D$1,[1]stages!$2:$2,0)+1),MATCH(F$1,[1]stages!$2:$2,0)-MATCH($D$1,[1]stages!$2:$2,0)+1,FALSE)</f>
        <v>火のイモムシ 【上級】</v>
      </c>
      <c r="G85" s="32">
        <v>5</v>
      </c>
      <c r="H85" s="20" t="str">
        <f t="shared" si="60"/>
        <v>11102_3-5</v>
      </c>
      <c r="I85" s="31">
        <v>134</v>
      </c>
      <c r="J85" s="26" t="str">
        <f ca="1">VLOOKUP($I85,OFFSET([2]enemies!$A$1,0,0,COUNTA([2]enemies!$A:$A),MATCH(J$1,[2]enemies!$2:$2,0)-MATCH($I$1,[2]enemies!$2:$2,0)+1),MATCH(J$1,[2]enemies!$2:$2,0)-MATCH($I$1,[2]enemies!$2:$2,0)+1,FALSE)</f>
        <v>妖炎の夕霧</v>
      </c>
      <c r="K85" s="29" t="str">
        <f ca="1">VLOOKUP($I85,OFFSET([2]enemies!$A$1,0,0,COUNTA([2]enemies!$A:$A),MATCH(K$1,[2]enemies!$2:$2,0)-MATCH($I$1,[2]enemies!$2:$2,0)+1),MATCH(K$1,[2]enemies!$2:$2,0)-MATCH($I$1,[2]enemies!$2:$2,0)+1,FALSE)</f>
        <v>red</v>
      </c>
      <c r="L85" s="29" t="str">
        <f ca="1">VLOOKUP($I85,OFFSET([3]characters!$A$1,0,0,COUNTA([3]characters!$A:$A),MATCH(L$1,[3]characters!$2:$2,0)-MATCH($I$1,[3]characters!$2:$2,0)+1),MATCH(L$1,[3]characters!$2:$2,0)-MATCH($I$1,[3]characters!$2:$2,0)+1,FALSE)</f>
        <v>PremiumW</v>
      </c>
      <c r="M85" s="28" t="str">
        <f ca="1">VLOOKUP($I85,OFFSET([3]characters!$A$1,0,0,COUNTA([3]characters!$A:$A),MATCH(M$1,[3]characters!$2:$2,0)-MATCH($I$1,[3]characters!$2:$2,0)+2),MATCH(M$1,[3]characters!$2:$2,0)-MATCH($I$1,[3]characters!$2:$2,0)+2,FALSE)</f>
        <v>ヒューマン</v>
      </c>
      <c r="N85" s="5">
        <f ca="1">VLOOKUP($I85,OFFSET([2]enemies!$A$1,0,0,COUNTA([2]enemies!$A:$A),MATCH(N$1,[2]enemies!$2:$2,0)-MATCH($I$1,[2]enemies!$2:$2,0)+1),MATCH(N$1,[2]enemies!$2:$2,0)-MATCH($I$1,[2]enemies!$2:$2,0)+1,FALSE)</f>
        <v>20</v>
      </c>
      <c r="O85" s="6">
        <v>30</v>
      </c>
      <c r="P85" s="46">
        <v>1</v>
      </c>
      <c r="Q85" s="46">
        <v>1</v>
      </c>
      <c r="R85" s="6">
        <v>0</v>
      </c>
      <c r="S85" s="5" t="str">
        <f ca="1">VLOOKUP($T85,OFFSET([4]enemy_skill_sets!$B$1,0,0,COUNTA([4]enemy_skill_sets!$B:$B),MATCH(J$1,[4]enemy_skill_sets!$1:$1,0)-MATCH($T$1,[4]enemy_skill_sets!$1:$1,0)+2),MATCH(J$1,[4]enemy_skill_sets!$1:$1,0)-MATCH($T$1,[4]enemy_skill_sets!$1:$1,0)+2,FALSE)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85" s="5">
        <f ca="1">VLOOKUP($I85,OFFSET([2]enemies!$A$1,0,0,COUNTA([2]enemies!$A:$A),MATCH(T$1,[2]enemies!$2:$2,0)-MATCH($I$1,[2]enemies!$2:$2,0)+1),MATCH(T$1,[2]enemies!$2:$2,0)-MATCH($I$1,[2]enemies!$2:$2,0)+1,FALSE)</f>
        <v>134</v>
      </c>
      <c r="U85" s="7">
        <v>0</v>
      </c>
      <c r="V85" s="7">
        <v>100</v>
      </c>
      <c r="W85" s="7">
        <v>1</v>
      </c>
      <c r="X85" s="26">
        <f ca="1">VLOOKUP($I85,OFFSET([2]enemies!$A$1,0,0,COUNTA([2]enemies!$A:$A),MATCH(X$1,[2]enemies!$2:$2,0)-MATCH($I$1,[2]enemies!$2:$2,0)+1),MATCH(X$1,[2]enemies!$2:$2,0)-MATCH($I$1,[2]enemies!$2:$2,0)+1,FALSE)</f>
        <v>3</v>
      </c>
      <c r="Y85" s="31">
        <v>134</v>
      </c>
      <c r="Z85" s="5" t="str">
        <f ca="1">IFERROR(VLOOKUP($Y85,OFFSET([3]characters!$A$1,0,0,COUNTA([3]characters!$A:$A),MATCH(Z$1,[3]characters!$2:$2,0)-MATCH("character_id",[3]characters!$2:$2,0)+1),MATCH(Z$1,[3]characters!$2:$2,0)-MATCH("character_id",[3]characters!$2:$2,0)+1,FALSE),"")</f>
        <v>妖炎の夕霧</v>
      </c>
      <c r="AA85" s="5">
        <f ca="1">IFERROR(VLOOKUP($Y85,OFFSET([3]characters!$A$1,0,0,COUNTA([3]characters!$A:$A),MATCH(AA$1,[3]characters!$2:$2,0)-MATCH("character_id",[3]characters!$2:$2,0)+1),MATCH(AA$1,[3]characters!$2:$2,0)-MATCH("character_id",[3]characters!$2:$2,0)+1,FALSE),"")</f>
        <v>3</v>
      </c>
      <c r="AB85" s="5" t="str">
        <f ca="1">IFERROR(VLOOKUP($Y85,OFFSET([3]characters!$A$1,0,0,COUNTA([3]characters!$A:$A),MATCH(AB$1,[3]characters!$2:$2,0)-MATCH("character_id",[3]characters!$2:$2,0)+1),MATCH(AB$1,[3]characters!$2:$2,0)-MATCH("character_id",[3]characters!$2:$2,0)+1,FALSE),"")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85" s="8">
        <v>1</v>
      </c>
      <c r="AD85" s="34">
        <f t="shared" ca="1" si="61"/>
        <v>3</v>
      </c>
      <c r="AE85" s="9">
        <v>0</v>
      </c>
      <c r="AF85" s="8">
        <v>0</v>
      </c>
      <c r="AG85" s="8">
        <v>0</v>
      </c>
      <c r="AH85" s="8">
        <v>0</v>
      </c>
      <c r="AI85" s="8">
        <v>0</v>
      </c>
      <c r="AJ85" s="8">
        <v>1</v>
      </c>
    </row>
    <row r="86" spans="1:36" ht="21" customHeight="1">
      <c r="A86" s="21" t="str">
        <f ca="1">B86&amp;"_"&amp;C86&amp;"-"&amp;G86&amp;"/"&amp;I86&amp;"&lt;lv"&amp;O86&amp;"&gt;s"&amp;X86</f>
        <v>11102_3-5/142&lt;lv30&gt;s2</v>
      </c>
      <c r="B86" s="8">
        <v>11102</v>
      </c>
      <c r="C86" s="50">
        <v>3</v>
      </c>
      <c r="D86" s="2" t="str">
        <f t="shared" si="59"/>
        <v>11102_3</v>
      </c>
      <c r="E86" s="5" t="str">
        <f ca="1">VLOOKUP($B86,OFFSET([1]quests!$A$1,0,0,COUNTA([1]quests!$A:$A),MATCH(E$1,[1]quests!$1:$1,0)-MATCH($B$1,[1]quests!$1:$1,0)+1),MATCH(E$1,[1]quests!$1:$1,0)-MATCH($B$1,[1]quests!$1:$1,0)+1,FALSE)</f>
        <v>【キャンペーン限定】 赤の素材</v>
      </c>
      <c r="F86" s="5" t="str">
        <f ca="1">VLOOKUP($D86,OFFSET([1]stages!$A$1,0,0,COUNTA([1]stages!$A:$A),MATCH(F$1,[1]stages!$2:$2,0)-MATCH($D$1,[1]stages!$2:$2,0)+1),MATCH(F$1,[1]stages!$2:$2,0)-MATCH($D$1,[1]stages!$2:$2,0)+1,FALSE)</f>
        <v>火のイモムシ 【上級】</v>
      </c>
      <c r="G86" s="32">
        <v>5</v>
      </c>
      <c r="H86" s="20" t="str">
        <f t="shared" si="60"/>
        <v>11102_3-5</v>
      </c>
      <c r="I86" s="31">
        <v>142</v>
      </c>
      <c r="J86" s="26" t="str">
        <f ca="1">VLOOKUP($I86,OFFSET([2]enemies!$A$1,0,0,COUNTA([2]enemies!$A:$A),MATCH(J$1,[2]enemies!$2:$2,0)-MATCH($I$1,[2]enemies!$2:$2,0)+1),MATCH(J$1,[2]enemies!$2:$2,0)-MATCH($I$1,[2]enemies!$2:$2,0)+1,FALSE)</f>
        <v>赤ずきん</v>
      </c>
      <c r="K86" s="29" t="str">
        <f ca="1">VLOOKUP($I86,OFFSET([2]enemies!$A$1,0,0,COUNTA([2]enemies!$A:$A),MATCH(K$1,[2]enemies!$2:$2,0)-MATCH($I$1,[2]enemies!$2:$2,0)+1),MATCH(K$1,[2]enemies!$2:$2,0)-MATCH($I$1,[2]enemies!$2:$2,0)+1,FALSE)</f>
        <v>red</v>
      </c>
      <c r="L86" s="29" t="str">
        <f ca="1">VLOOKUP($I86,OFFSET([3]characters!$A$1,0,0,COUNTA([3]characters!$A:$A),MATCH(L$1,[3]characters!$2:$2,0)-MATCH($I$1,[3]characters!$2:$2,0)+1),MATCH(L$1,[3]characters!$2:$2,0)-MATCH($I$1,[3]characters!$2:$2,0)+1,FALSE)</f>
        <v>PremiumW</v>
      </c>
      <c r="M86" s="28" t="str">
        <f ca="1">VLOOKUP($I86,OFFSET([3]characters!$A$1,0,0,COUNTA([3]characters!$A:$A),MATCH(M$1,[3]characters!$2:$2,0)-MATCH($I$1,[3]characters!$2:$2,0)+2),MATCH(M$1,[3]characters!$2:$2,0)-MATCH($I$1,[3]characters!$2:$2,0)+2,FALSE)</f>
        <v>ヒューマン</v>
      </c>
      <c r="N86" s="5">
        <f ca="1">VLOOKUP($I86,OFFSET([2]enemies!$A$1,0,0,COUNTA([2]enemies!$A:$A),MATCH(N$1,[2]enemies!$2:$2,0)-MATCH($I$1,[2]enemies!$2:$2,0)+1),MATCH(N$1,[2]enemies!$2:$2,0)-MATCH($I$1,[2]enemies!$2:$2,0)+1,FALSE)</f>
        <v>20</v>
      </c>
      <c r="O86" s="6">
        <v>30</v>
      </c>
      <c r="P86" s="46">
        <v>1</v>
      </c>
      <c r="Q86" s="46">
        <v>1</v>
      </c>
      <c r="R86" s="6">
        <v>0</v>
      </c>
      <c r="S86" s="5" t="str">
        <f ca="1">VLOOKUP($T86,OFFSET([4]enemy_skill_sets!$B$1,0,0,COUNTA([4]enemy_skill_sets!$B:$B),MATCH(J$1,[4]enemy_skill_sets!$1:$1,0)-MATCH($T$1,[4]enemy_skill_sets!$1:$1,0)+2),MATCH(J$1,[4]enemy_skill_sets!$1:$1,0)-MATCH($T$1,[4]enemy_skill_sets!$1:$1,0)+2,FALSE)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6" s="5">
        <f ca="1">VLOOKUP($I86,OFFSET([2]enemies!$A$1,0,0,COUNTA([2]enemies!$A:$A),MATCH(T$1,[2]enemies!$2:$2,0)-MATCH($I$1,[2]enemies!$2:$2,0)+1),MATCH(T$1,[2]enemies!$2:$2,0)-MATCH($I$1,[2]enemies!$2:$2,0)+1,FALSE)</f>
        <v>0</v>
      </c>
      <c r="U86" s="7">
        <v>0</v>
      </c>
      <c r="V86" s="7">
        <v>100</v>
      </c>
      <c r="W86" s="7">
        <v>1</v>
      </c>
      <c r="X86" s="26">
        <f ca="1">VLOOKUP($I86,OFFSET([2]enemies!$A$1,0,0,COUNTA([2]enemies!$A:$A),MATCH(X$1,[2]enemies!$2:$2,0)-MATCH($I$1,[2]enemies!$2:$2,0)+1),MATCH(X$1,[2]enemies!$2:$2,0)-MATCH($I$1,[2]enemies!$2:$2,0)+1,FALSE)</f>
        <v>2</v>
      </c>
      <c r="Y86" s="31">
        <v>142</v>
      </c>
      <c r="Z86" s="5" t="str">
        <f ca="1">IFERROR(VLOOKUP($Y86,OFFSET([3]characters!$A$1,0,0,COUNTA([3]characters!$A:$A),MATCH(Z$1,[3]characters!$2:$2,0)-MATCH("character_id",[3]characters!$2:$2,0)+1),MATCH(Z$1,[3]characters!$2:$2,0)-MATCH("character_id",[3]characters!$2:$2,0)+1,FALSE),"")</f>
        <v>赤ずきん</v>
      </c>
      <c r="AA86" s="5">
        <f ca="1">IFERROR(VLOOKUP($Y86,OFFSET([3]characters!$A$1,0,0,COUNTA([3]characters!$A:$A),MATCH(AA$1,[3]characters!$2:$2,0)-MATCH("character_id",[3]characters!$2:$2,0)+1),MATCH(AA$1,[3]characters!$2:$2,0)-MATCH("character_id",[3]characters!$2:$2,0)+1,FALSE),"")</f>
        <v>3</v>
      </c>
      <c r="AB86" s="5" t="str">
        <f ca="1">IFERROR(VLOOKUP($Y86,OFFSET([3]characters!$A$1,0,0,COUNTA([3]characters!$A:$A),MATCH(AB$1,[3]characters!$2:$2,0)-MATCH("character_id",[3]characters!$2:$2,0)+1),MATCH(AB$1,[3]characters!$2:$2,0)-MATCH("character_id",[3]characters!$2:$2,0)+1,FALSE),"")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86" s="8">
        <v>1</v>
      </c>
      <c r="AD86" s="34">
        <f t="shared" ca="1" si="61"/>
        <v>3</v>
      </c>
      <c r="AE86" s="9">
        <v>0</v>
      </c>
      <c r="AF86" s="8">
        <v>0</v>
      </c>
      <c r="AG86" s="8">
        <v>0</v>
      </c>
      <c r="AH86" s="8">
        <v>0</v>
      </c>
      <c r="AI86" s="8">
        <v>0</v>
      </c>
      <c r="AJ86" s="8">
        <v>1</v>
      </c>
    </row>
    <row r="87" spans="1:36" ht="21" customHeight="1">
      <c r="A87" s="21" t="str">
        <f ca="1">B87&amp;"_"&amp;C87&amp;"-"&amp;G87&amp;"/"&amp;I87&amp;"&lt;lv"&amp;O87&amp;"&gt;s"&amp;X87</f>
        <v>11102_3-5/150&lt;lv30&gt;s2</v>
      </c>
      <c r="B87" s="8">
        <v>11102</v>
      </c>
      <c r="C87" s="50">
        <v>3</v>
      </c>
      <c r="D87" s="2" t="str">
        <f t="shared" ref="D87:D89" si="71">B87&amp;"_"&amp;C87</f>
        <v>11102_3</v>
      </c>
      <c r="E87" s="5" t="str">
        <f ca="1">VLOOKUP($B87,OFFSET([1]quests!$A$1,0,0,COUNTA([1]quests!$A:$A),MATCH(E$1,[1]quests!$1:$1,0)-MATCH($B$1,[1]quests!$1:$1,0)+1),MATCH(E$1,[1]quests!$1:$1,0)-MATCH($B$1,[1]quests!$1:$1,0)+1,FALSE)</f>
        <v>【キャンペーン限定】 赤の素材</v>
      </c>
      <c r="F87" s="5" t="str">
        <f ca="1">VLOOKUP($D87,OFFSET([1]stages!$A$1,0,0,COUNTA([1]stages!$A:$A),MATCH(F$1,[1]stages!$2:$2,0)-MATCH($D$1,[1]stages!$2:$2,0)+1),MATCH(F$1,[1]stages!$2:$2,0)-MATCH($D$1,[1]stages!$2:$2,0)+1,FALSE)</f>
        <v>火のイモムシ 【上級】</v>
      </c>
      <c r="G87" s="32">
        <v>5</v>
      </c>
      <c r="H87" s="20" t="str">
        <f t="shared" ref="H87:H89" si="72">B87&amp;"_"&amp;C87&amp;"-"&amp;G87</f>
        <v>11102_3-5</v>
      </c>
      <c r="I87" s="31">
        <v>150</v>
      </c>
      <c r="J87" s="26" t="str">
        <f ca="1">VLOOKUP($I87,OFFSET([2]enemies!$A$1,0,0,COUNTA([2]enemies!$A:$A),MATCH(J$1,[2]enemies!$2:$2,0)-MATCH($I$1,[2]enemies!$2:$2,0)+1),MATCH(J$1,[2]enemies!$2:$2,0)-MATCH($I$1,[2]enemies!$2:$2,0)+1,FALSE)</f>
        <v>ポイズンマスターサキ</v>
      </c>
      <c r="K87" s="29" t="str">
        <f ca="1">VLOOKUP($I87,OFFSET([2]enemies!$A$1,0,0,COUNTA([2]enemies!$A:$A),MATCH(K$1,[2]enemies!$2:$2,0)-MATCH($I$1,[2]enemies!$2:$2,0)+1),MATCH(K$1,[2]enemies!$2:$2,0)-MATCH($I$1,[2]enemies!$2:$2,0)+1,FALSE)</f>
        <v>red</v>
      </c>
      <c r="L87" s="29" t="str">
        <f ca="1">VLOOKUP($I87,OFFSET([3]characters!$A$1,0,0,COUNTA([3]characters!$A:$A),MATCH(L$1,[3]characters!$2:$2,0)-MATCH($I$1,[3]characters!$2:$2,0)+1),MATCH(L$1,[3]characters!$2:$2,0)-MATCH($I$1,[3]characters!$2:$2,0)+1,FALSE)</f>
        <v>PremiumW</v>
      </c>
      <c r="M87" s="28" t="str">
        <f ca="1">VLOOKUP($I87,OFFSET([3]characters!$A$1,0,0,COUNTA([3]characters!$A:$A),MATCH(M$1,[3]characters!$2:$2,0)-MATCH($I$1,[3]characters!$2:$2,0)+2),MATCH(M$1,[3]characters!$2:$2,0)-MATCH($I$1,[3]characters!$2:$2,0)+2,FALSE)</f>
        <v>ヒューマン</v>
      </c>
      <c r="N87" s="5">
        <f ca="1">VLOOKUP($I87,OFFSET([2]enemies!$A$1,0,0,COUNTA([2]enemies!$A:$A),MATCH(N$1,[2]enemies!$2:$2,0)-MATCH($I$1,[2]enemies!$2:$2,0)+1),MATCH(N$1,[2]enemies!$2:$2,0)-MATCH($I$1,[2]enemies!$2:$2,0)+1,FALSE)</f>
        <v>20</v>
      </c>
      <c r="O87" s="6">
        <v>30</v>
      </c>
      <c r="P87" s="46">
        <v>1</v>
      </c>
      <c r="Q87" s="46">
        <v>1</v>
      </c>
      <c r="R87" s="6">
        <v>0</v>
      </c>
      <c r="S87" s="5" t="str">
        <f ca="1">VLOOKUP($T87,OFFSET([4]enemy_skill_sets!$B$1,0,0,COUNTA([4]enemy_skill_sets!$B:$B),MATCH(J$1,[4]enemy_skill_sets!$1:$1,0)-MATCH($T$1,[4]enemy_skill_sets!$1:$1,0)+2),MATCH(J$1,[4]enemy_skill_sets!$1:$1,0)-MATCH($T$1,[4]enemy_skill_sets!$1:$1,0)+2,FALSE)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7" s="5">
        <f ca="1">VLOOKUP($I87,OFFSET([2]enemies!$A$1,0,0,COUNTA([2]enemies!$A:$A),MATCH(T$1,[2]enemies!$2:$2,0)-MATCH($I$1,[2]enemies!$2:$2,0)+1),MATCH(T$1,[2]enemies!$2:$2,0)-MATCH($I$1,[2]enemies!$2:$2,0)+1,FALSE)</f>
        <v>0</v>
      </c>
      <c r="U87" s="7">
        <v>0</v>
      </c>
      <c r="V87" s="7">
        <v>100</v>
      </c>
      <c r="W87" s="7">
        <v>1</v>
      </c>
      <c r="X87" s="26">
        <f ca="1">VLOOKUP($I87,OFFSET([2]enemies!$A$1,0,0,COUNTA([2]enemies!$A:$A),MATCH(X$1,[2]enemies!$2:$2,0)-MATCH($I$1,[2]enemies!$2:$2,0)+1),MATCH(X$1,[2]enemies!$2:$2,0)-MATCH($I$1,[2]enemies!$2:$2,0)+1,FALSE)</f>
        <v>2</v>
      </c>
      <c r="Y87" s="31">
        <v>150</v>
      </c>
      <c r="Z87" s="5" t="str">
        <f ca="1">IFERROR(VLOOKUP($Y87,OFFSET([3]characters!$A$1,0,0,COUNTA([3]characters!$A:$A),MATCH(Z$1,[3]characters!$2:$2,0)-MATCH("character_id",[3]characters!$2:$2,0)+1),MATCH(Z$1,[3]characters!$2:$2,0)-MATCH("character_id",[3]characters!$2:$2,0)+1,FALSE),"")</f>
        <v>ポイズンマスターサキ</v>
      </c>
      <c r="AA87" s="5">
        <f ca="1">IFERROR(VLOOKUP($Y87,OFFSET([3]characters!$A$1,0,0,COUNTA([3]characters!$A:$A),MATCH(AA$1,[3]characters!$2:$2,0)-MATCH("character_id",[3]characters!$2:$2,0)+1),MATCH(AA$1,[3]characters!$2:$2,0)-MATCH("character_id",[3]characters!$2:$2,0)+1,FALSE),"")</f>
        <v>3</v>
      </c>
      <c r="AB87" s="5" t="str">
        <f ca="1">IFERROR(VLOOKUP($Y87,OFFSET([3]characters!$A$1,0,0,COUNTA([3]characters!$A:$A),MATCH(AB$1,[3]characters!$2:$2,0)-MATCH("character_id",[3]characters!$2:$2,0)+1),MATCH(AB$1,[3]characters!$2:$2,0)-MATCH("character_id",[3]characters!$2:$2,0)+1,FALSE),"")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87" s="8">
        <v>1</v>
      </c>
      <c r="AD87" s="34">
        <f t="shared" ref="AD87:AD89" ca="1" si="73">AA87</f>
        <v>3</v>
      </c>
      <c r="AE87" s="9">
        <v>0</v>
      </c>
      <c r="AF87" s="8">
        <v>0</v>
      </c>
      <c r="AG87" s="8">
        <v>0</v>
      </c>
      <c r="AH87" s="8">
        <v>0</v>
      </c>
      <c r="AI87" s="8">
        <v>0</v>
      </c>
      <c r="AJ87" s="8">
        <v>1</v>
      </c>
    </row>
    <row r="88" spans="1:36" ht="21" customHeight="1">
      <c r="A88" s="21" t="str">
        <f t="shared" ref="A88:A89" ca="1" si="74">B88&amp;"_"&amp;C88&amp;"-"&amp;G88&amp;"/"&amp;I88&amp;"&lt;lv"&amp;O88&amp;"&gt;s"&amp;X88</f>
        <v>11103_1-1/109&lt;lv3&gt;s2</v>
      </c>
      <c r="B88" s="8">
        <v>11103</v>
      </c>
      <c r="C88" s="51">
        <v>1</v>
      </c>
      <c r="D88" s="2" t="str">
        <f t="shared" si="71"/>
        <v>11103_1</v>
      </c>
      <c r="E88" s="5" t="str">
        <f ca="1">VLOOKUP($B88,OFFSET([1]quests!$A$1,0,0,COUNTA([1]quests!$A:$A),MATCH(E$1,[1]quests!$1:$1,0)-MATCH($B$1,[1]quests!$1:$1,0)+1),MATCH(E$1,[1]quests!$1:$1,0)-MATCH($B$1,[1]quests!$1:$1,0)+1,FALSE)</f>
        <v>【キャンペーン限定】 青の素材</v>
      </c>
      <c r="F88" s="5" t="str">
        <f ca="1">VLOOKUP($D88,OFFSET([1]stages!$A$1,0,0,COUNTA([1]stages!$A:$A),MATCH(F$1,[1]stages!$2:$2,0)-MATCH($D$1,[1]stages!$2:$2,0)+1),MATCH(F$1,[1]stages!$2:$2,0)-MATCH($D$1,[1]stages!$2:$2,0)+1,FALSE)</f>
        <v>水のチェシャ猫 【初級】</v>
      </c>
      <c r="G88" s="32">
        <v>1</v>
      </c>
      <c r="H88" s="20" t="str">
        <f t="shared" si="72"/>
        <v>11103_1-1</v>
      </c>
      <c r="I88" s="31">
        <v>109</v>
      </c>
      <c r="J88" s="26" t="str">
        <f ca="1">VLOOKUP($I88,OFFSET([2]enemies!$A$1,0,0,COUNTA([2]enemies!$A:$A),MATCH(J$1,[2]enemies!$2:$2,0)-MATCH($I$1,[2]enemies!$2:$2,0)+1),MATCH(J$1,[2]enemies!$2:$2,0)-MATCH($I$1,[2]enemies!$2:$2,0)+1,FALSE)</f>
        <v>ブルーチェシャ</v>
      </c>
      <c r="K88" s="29" t="str">
        <f ca="1">VLOOKUP($I88,OFFSET([2]enemies!$A$1,0,0,COUNTA([2]enemies!$A:$A),MATCH(K$1,[2]enemies!$2:$2,0)-MATCH($I$1,[2]enemies!$2:$2,0)+1),MATCH(K$1,[2]enemies!$2:$2,0)-MATCH($I$1,[2]enemies!$2:$2,0)+1,FALSE)</f>
        <v>blue</v>
      </c>
      <c r="L88" s="29" t="str">
        <f ca="1">VLOOKUP($I88,OFFSET([3]characters!$A$1,0,0,COUNTA([3]characters!$A:$A),MATCH(L$1,[3]characters!$2:$2,0)-MATCH($I$1,[3]characters!$2:$2,0)+1),MATCH(L$1,[3]characters!$2:$2,0)-MATCH($I$1,[3]characters!$2:$2,0)+1,FALSE)</f>
        <v>Material</v>
      </c>
      <c r="M88" s="28" t="str">
        <f ca="1">VLOOKUP($I88,OFFSET([3]characters!$A$1,0,0,COUNTA([3]characters!$A:$A),MATCH(M$1,[3]characters!$2:$2,0)-MATCH($I$1,[3]characters!$2:$2,0)+2),MATCH(M$1,[3]characters!$2:$2,0)-MATCH($I$1,[3]characters!$2:$2,0)+2,FALSE)</f>
        <v>Unknown</v>
      </c>
      <c r="N88" s="5">
        <f ca="1">VLOOKUP($I88,OFFSET([2]enemies!$A$1,0,0,COUNTA([2]enemies!$A:$A),MATCH(N$1,[2]enemies!$2:$2,0)-MATCH($I$1,[2]enemies!$2:$2,0)+1),MATCH(N$1,[2]enemies!$2:$2,0)-MATCH($I$1,[2]enemies!$2:$2,0)+1,FALSE)</f>
        <v>15</v>
      </c>
      <c r="O88" s="6">
        <v>3</v>
      </c>
      <c r="P88" s="46">
        <v>1</v>
      </c>
      <c r="Q88" s="46">
        <v>1</v>
      </c>
      <c r="R88" s="6">
        <v>0</v>
      </c>
      <c r="S88" s="5" t="str">
        <f ca="1">VLOOKUP($T88,OFFSET([4]enemy_skill_sets!$B$1,0,0,COUNTA([4]enemy_skill_sets!$B:$B),MATCH(J$1,[4]enemy_skill_sets!$1:$1,0)-MATCH($T$1,[4]enemy_skill_sets!$1:$1,0)+2),MATCH(J$1,[4]enemy_skill_sets!$1:$1,0)-MATCH($T$1,[4]enemy_skill_sets!$1:$1,0)+2,FALSE)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8" s="5">
        <f ca="1">VLOOKUP($I88,OFFSET([2]enemies!$A$1,0,0,COUNTA([2]enemies!$A:$A),MATCH(T$1,[2]enemies!$2:$2,0)-MATCH($I$1,[2]enemies!$2:$2,0)+1),MATCH(T$1,[2]enemies!$2:$2,0)-MATCH($I$1,[2]enemies!$2:$2,0)+1,FALSE)</f>
        <v>0</v>
      </c>
      <c r="U88" s="7">
        <v>0</v>
      </c>
      <c r="V88" s="7">
        <v>100</v>
      </c>
      <c r="W88" s="7">
        <v>0</v>
      </c>
      <c r="X88" s="26">
        <f ca="1">VLOOKUP($I88,OFFSET([2]enemies!$A$1,0,0,COUNTA([2]enemies!$A:$A),MATCH(X$1,[2]enemies!$2:$2,0)-MATCH($I$1,[2]enemies!$2:$2,0)+1),MATCH(X$1,[2]enemies!$2:$2,0)-MATCH($I$1,[2]enemies!$2:$2,0)+1,FALSE)</f>
        <v>2</v>
      </c>
      <c r="Y88" s="31">
        <v>109</v>
      </c>
      <c r="Z88" s="5" t="str">
        <f ca="1">IFERROR(VLOOKUP($Y88,OFFSET([3]characters!$A$1,0,0,COUNTA([3]characters!$A:$A),MATCH(Z$1,[3]characters!$2:$2,0)-MATCH("character_id",[3]characters!$2:$2,0)+1),MATCH(Z$1,[3]characters!$2:$2,0)-MATCH("character_id",[3]characters!$2:$2,0)+1,FALSE),"")</f>
        <v>ブルーチェシャ</v>
      </c>
      <c r="AA88" s="5">
        <f ca="1">IFERROR(VLOOKUP($Y88,OFFSET([3]characters!$A$1,0,0,COUNTA([3]characters!$A:$A),MATCH(AA$1,[3]characters!$2:$2,0)-MATCH("character_id",[3]characters!$2:$2,0)+1),MATCH(AA$1,[3]characters!$2:$2,0)-MATCH("character_id",[3]characters!$2:$2,0)+1,FALSE),"")</f>
        <v>2</v>
      </c>
      <c r="AB88" s="5" t="str">
        <f ca="1">IFERROR(VLOOKUP($Y88,OFFSET([3]characters!$A$1,0,0,COUNTA([3]characters!$A:$A),MATCH(AB$1,[3]characters!$2:$2,0)-MATCH("character_id",[3]characters!$2:$2,0)+1),MATCH(AB$1,[3]characters!$2:$2,0)-MATCH("character_id",[3]characters!$2:$2,0)+1,FALSE),"")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88" s="8">
        <v>1</v>
      </c>
      <c r="AD88" s="34">
        <f t="shared" ca="1" si="73"/>
        <v>2</v>
      </c>
      <c r="AE88" s="9">
        <v>50</v>
      </c>
      <c r="AF88" s="8">
        <v>0</v>
      </c>
      <c r="AG88" s="8">
        <v>0</v>
      </c>
      <c r="AH88" s="8">
        <v>0</v>
      </c>
      <c r="AI88" s="8">
        <v>0</v>
      </c>
      <c r="AJ88" s="8">
        <v>1</v>
      </c>
    </row>
    <row r="89" spans="1:36" ht="21" customHeight="1">
      <c r="A89" s="21" t="str">
        <f t="shared" ca="1" si="74"/>
        <v>11103_1-2/109&lt;lv3&gt;s2</v>
      </c>
      <c r="B89" s="8">
        <v>11103</v>
      </c>
      <c r="C89" s="51">
        <v>1</v>
      </c>
      <c r="D89" s="2" t="str">
        <f t="shared" si="71"/>
        <v>11103_1</v>
      </c>
      <c r="E89" s="5" t="str">
        <f ca="1">VLOOKUP($B89,OFFSET([1]quests!$A$1,0,0,COUNTA([1]quests!$A:$A),MATCH(E$1,[1]quests!$1:$1,0)-MATCH($B$1,[1]quests!$1:$1,0)+1),MATCH(E$1,[1]quests!$1:$1,0)-MATCH($B$1,[1]quests!$1:$1,0)+1,FALSE)</f>
        <v>【キャンペーン限定】 青の素材</v>
      </c>
      <c r="F89" s="5" t="str">
        <f ca="1">VLOOKUP($D89,OFFSET([1]stages!$A$1,0,0,COUNTA([1]stages!$A:$A),MATCH(F$1,[1]stages!$2:$2,0)-MATCH($D$1,[1]stages!$2:$2,0)+1),MATCH(F$1,[1]stages!$2:$2,0)-MATCH($D$1,[1]stages!$2:$2,0)+1,FALSE)</f>
        <v>水のチェシャ猫 【初級】</v>
      </c>
      <c r="G89" s="32">
        <v>2</v>
      </c>
      <c r="H89" s="20" t="str">
        <f t="shared" si="72"/>
        <v>11103_1-2</v>
      </c>
      <c r="I89" s="31">
        <v>109</v>
      </c>
      <c r="J89" s="26" t="str">
        <f ca="1">VLOOKUP($I89,OFFSET([2]enemies!$A$1,0,0,COUNTA([2]enemies!$A:$A),MATCH(J$1,[2]enemies!$2:$2,0)-MATCH($I$1,[2]enemies!$2:$2,0)+1),MATCH(J$1,[2]enemies!$2:$2,0)-MATCH($I$1,[2]enemies!$2:$2,0)+1,FALSE)</f>
        <v>ブルーチェシャ</v>
      </c>
      <c r="K89" s="29" t="str">
        <f ca="1">VLOOKUP($I89,OFFSET([2]enemies!$A$1,0,0,COUNTA([2]enemies!$A:$A),MATCH(K$1,[2]enemies!$2:$2,0)-MATCH($I$1,[2]enemies!$2:$2,0)+1),MATCH(K$1,[2]enemies!$2:$2,0)-MATCH($I$1,[2]enemies!$2:$2,0)+1,FALSE)</f>
        <v>blue</v>
      </c>
      <c r="L89" s="29" t="str">
        <f ca="1">VLOOKUP($I89,OFFSET([3]characters!$A$1,0,0,COUNTA([3]characters!$A:$A),MATCH(L$1,[3]characters!$2:$2,0)-MATCH($I$1,[3]characters!$2:$2,0)+1),MATCH(L$1,[3]characters!$2:$2,0)-MATCH($I$1,[3]characters!$2:$2,0)+1,FALSE)</f>
        <v>Material</v>
      </c>
      <c r="M89" s="28" t="str">
        <f ca="1">VLOOKUP($I89,OFFSET([3]characters!$A$1,0,0,COUNTA([3]characters!$A:$A),MATCH(M$1,[3]characters!$2:$2,0)-MATCH($I$1,[3]characters!$2:$2,0)+2),MATCH(M$1,[3]characters!$2:$2,0)-MATCH($I$1,[3]characters!$2:$2,0)+2,FALSE)</f>
        <v>Unknown</v>
      </c>
      <c r="N89" s="5">
        <f ca="1">VLOOKUP($I89,OFFSET([2]enemies!$A$1,0,0,COUNTA([2]enemies!$A:$A),MATCH(N$1,[2]enemies!$2:$2,0)-MATCH($I$1,[2]enemies!$2:$2,0)+1),MATCH(N$1,[2]enemies!$2:$2,0)-MATCH($I$1,[2]enemies!$2:$2,0)+1,FALSE)</f>
        <v>15</v>
      </c>
      <c r="O89" s="6">
        <v>3</v>
      </c>
      <c r="P89" s="46">
        <v>1</v>
      </c>
      <c r="Q89" s="46">
        <v>1</v>
      </c>
      <c r="R89" s="6">
        <v>0</v>
      </c>
      <c r="S89" s="5" t="str">
        <f ca="1">VLOOKUP($T89,OFFSET([4]enemy_skill_sets!$B$1,0,0,COUNTA([4]enemy_skill_sets!$B:$B),MATCH(J$1,[4]enemy_skill_sets!$1:$1,0)-MATCH($T$1,[4]enemy_skill_sets!$1:$1,0)+2),MATCH(J$1,[4]enemy_skill_sets!$1:$1,0)-MATCH($T$1,[4]enemy_skill_sets!$1:$1,0)+2,FALSE)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9" s="5">
        <f ca="1">VLOOKUP($I89,OFFSET([2]enemies!$A$1,0,0,COUNTA([2]enemies!$A:$A),MATCH(T$1,[2]enemies!$2:$2,0)-MATCH($I$1,[2]enemies!$2:$2,0)+1),MATCH(T$1,[2]enemies!$2:$2,0)-MATCH($I$1,[2]enemies!$2:$2,0)+1,FALSE)</f>
        <v>0</v>
      </c>
      <c r="U89" s="7">
        <v>0</v>
      </c>
      <c r="V89" s="7">
        <v>100</v>
      </c>
      <c r="W89" s="7">
        <v>0</v>
      </c>
      <c r="X89" s="26">
        <f ca="1">VLOOKUP($I89,OFFSET([2]enemies!$A$1,0,0,COUNTA([2]enemies!$A:$A),MATCH(X$1,[2]enemies!$2:$2,0)-MATCH($I$1,[2]enemies!$2:$2,0)+1),MATCH(X$1,[2]enemies!$2:$2,0)-MATCH($I$1,[2]enemies!$2:$2,0)+1,FALSE)</f>
        <v>2</v>
      </c>
      <c r="Y89" s="31">
        <v>109</v>
      </c>
      <c r="Z89" s="5" t="str">
        <f ca="1">IFERROR(VLOOKUP($Y89,OFFSET([3]characters!$A$1,0,0,COUNTA([3]characters!$A:$A),MATCH(Z$1,[3]characters!$2:$2,0)-MATCH("character_id",[3]characters!$2:$2,0)+1),MATCH(Z$1,[3]characters!$2:$2,0)-MATCH("character_id",[3]characters!$2:$2,0)+1,FALSE),"")</f>
        <v>ブルーチェシャ</v>
      </c>
      <c r="AA89" s="5">
        <f ca="1">IFERROR(VLOOKUP($Y89,OFFSET([3]characters!$A$1,0,0,COUNTA([3]characters!$A:$A),MATCH(AA$1,[3]characters!$2:$2,0)-MATCH("character_id",[3]characters!$2:$2,0)+1),MATCH(AA$1,[3]characters!$2:$2,0)-MATCH("character_id",[3]characters!$2:$2,0)+1,FALSE),"")</f>
        <v>2</v>
      </c>
      <c r="AB89" s="5" t="str">
        <f ca="1">IFERROR(VLOOKUP($Y89,OFFSET([3]characters!$A$1,0,0,COUNTA([3]characters!$A:$A),MATCH(AB$1,[3]characters!$2:$2,0)-MATCH("character_id",[3]characters!$2:$2,0)+1),MATCH(AB$1,[3]characters!$2:$2,0)-MATCH("character_id",[3]characters!$2:$2,0)+1,FALSE),"")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89" s="8">
        <v>1</v>
      </c>
      <c r="AD89" s="34">
        <f t="shared" ca="1" si="73"/>
        <v>2</v>
      </c>
      <c r="AE89" s="9">
        <v>50</v>
      </c>
      <c r="AF89" s="8">
        <v>0</v>
      </c>
      <c r="AG89" s="8">
        <v>0</v>
      </c>
      <c r="AH89" s="8">
        <v>0</v>
      </c>
      <c r="AI89" s="8">
        <v>0</v>
      </c>
      <c r="AJ89" s="8">
        <v>1</v>
      </c>
    </row>
    <row r="90" spans="1:36" ht="21" customHeight="1">
      <c r="A90" s="21" t="str">
        <f t="shared" ref="A90:A126" ca="1" si="75">B90&amp;"_"&amp;C90&amp;"-"&amp;G90&amp;"/"&amp;I90&amp;"&lt;lv"&amp;O90&amp;"&gt;s"&amp;X90</f>
        <v>11103_1-3/109&lt;lv3&gt;s2</v>
      </c>
      <c r="B90" s="8">
        <v>11103</v>
      </c>
      <c r="C90" s="51">
        <v>1</v>
      </c>
      <c r="D90" s="2" t="str">
        <f t="shared" ref="D90:D132" si="76">B90&amp;"_"&amp;C90</f>
        <v>11103_1</v>
      </c>
      <c r="E90" s="5" t="str">
        <f ca="1">VLOOKUP($B90,OFFSET([1]quests!$A$1,0,0,COUNTA([1]quests!$A:$A),MATCH(E$1,[1]quests!$1:$1,0)-MATCH($B$1,[1]quests!$1:$1,0)+1),MATCH(E$1,[1]quests!$1:$1,0)-MATCH($B$1,[1]quests!$1:$1,0)+1,FALSE)</f>
        <v>【キャンペーン限定】 青の素材</v>
      </c>
      <c r="F90" s="5" t="str">
        <f ca="1">VLOOKUP($D90,OFFSET([1]stages!$A$1,0,0,COUNTA([1]stages!$A:$A),MATCH(F$1,[1]stages!$2:$2,0)-MATCH($D$1,[1]stages!$2:$2,0)+1),MATCH(F$1,[1]stages!$2:$2,0)-MATCH($D$1,[1]stages!$2:$2,0)+1,FALSE)</f>
        <v>水のチェシャ猫 【初級】</v>
      </c>
      <c r="G90" s="32">
        <v>3</v>
      </c>
      <c r="H90" s="20" t="str">
        <f t="shared" ref="H90:H132" si="77">B90&amp;"_"&amp;C90&amp;"-"&amp;G90</f>
        <v>11103_1-3</v>
      </c>
      <c r="I90" s="31">
        <v>109</v>
      </c>
      <c r="J90" s="26" t="str">
        <f ca="1">VLOOKUP($I90,OFFSET([2]enemies!$A$1,0,0,COUNTA([2]enemies!$A:$A),MATCH(J$1,[2]enemies!$2:$2,0)-MATCH($I$1,[2]enemies!$2:$2,0)+1),MATCH(J$1,[2]enemies!$2:$2,0)-MATCH($I$1,[2]enemies!$2:$2,0)+1,FALSE)</f>
        <v>ブルーチェシャ</v>
      </c>
      <c r="K90" s="29" t="str">
        <f ca="1">VLOOKUP($I90,OFFSET([2]enemies!$A$1,0,0,COUNTA([2]enemies!$A:$A),MATCH(K$1,[2]enemies!$2:$2,0)-MATCH($I$1,[2]enemies!$2:$2,0)+1),MATCH(K$1,[2]enemies!$2:$2,0)-MATCH($I$1,[2]enemies!$2:$2,0)+1,FALSE)</f>
        <v>blue</v>
      </c>
      <c r="L90" s="29" t="str">
        <f ca="1">VLOOKUP($I90,OFFSET([3]characters!$A$1,0,0,COUNTA([3]characters!$A:$A),MATCH(L$1,[3]characters!$2:$2,0)-MATCH($I$1,[3]characters!$2:$2,0)+1),MATCH(L$1,[3]characters!$2:$2,0)-MATCH($I$1,[3]characters!$2:$2,0)+1,FALSE)</f>
        <v>Material</v>
      </c>
      <c r="M90" s="28" t="str">
        <f ca="1">VLOOKUP($I90,OFFSET([3]characters!$A$1,0,0,COUNTA([3]characters!$A:$A),MATCH(M$1,[3]characters!$2:$2,0)-MATCH($I$1,[3]characters!$2:$2,0)+2),MATCH(M$1,[3]characters!$2:$2,0)-MATCH($I$1,[3]characters!$2:$2,0)+2,FALSE)</f>
        <v>Unknown</v>
      </c>
      <c r="N90" s="5">
        <f ca="1">VLOOKUP($I90,OFFSET([2]enemies!$A$1,0,0,COUNTA([2]enemies!$A:$A),MATCH(N$1,[2]enemies!$2:$2,0)-MATCH($I$1,[2]enemies!$2:$2,0)+1),MATCH(N$1,[2]enemies!$2:$2,0)-MATCH($I$1,[2]enemies!$2:$2,0)+1,FALSE)</f>
        <v>15</v>
      </c>
      <c r="O90" s="6">
        <v>3</v>
      </c>
      <c r="P90" s="46">
        <v>1</v>
      </c>
      <c r="Q90" s="46">
        <v>1</v>
      </c>
      <c r="R90" s="6">
        <v>0</v>
      </c>
      <c r="S90" s="5" t="str">
        <f ca="1">VLOOKUP($T90,OFFSET([4]enemy_skill_sets!$B$1,0,0,COUNTA([4]enemy_skill_sets!$B:$B),MATCH(J$1,[4]enemy_skill_sets!$1:$1,0)-MATCH($T$1,[4]enemy_skill_sets!$1:$1,0)+2),MATCH(J$1,[4]enemy_skill_sets!$1:$1,0)-MATCH($T$1,[4]enemy_skill_sets!$1:$1,0)+2,FALSE)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0" s="5">
        <f ca="1">VLOOKUP($I90,OFFSET([2]enemies!$A$1,0,0,COUNTA([2]enemies!$A:$A),MATCH(T$1,[2]enemies!$2:$2,0)-MATCH($I$1,[2]enemies!$2:$2,0)+1),MATCH(T$1,[2]enemies!$2:$2,0)-MATCH($I$1,[2]enemies!$2:$2,0)+1,FALSE)</f>
        <v>0</v>
      </c>
      <c r="U90" s="7">
        <v>0</v>
      </c>
      <c r="V90" s="7">
        <v>100</v>
      </c>
      <c r="W90" s="7">
        <v>0</v>
      </c>
      <c r="X90" s="26">
        <f ca="1">VLOOKUP($I90,OFFSET([2]enemies!$A$1,0,0,COUNTA([2]enemies!$A:$A),MATCH(X$1,[2]enemies!$2:$2,0)-MATCH($I$1,[2]enemies!$2:$2,0)+1),MATCH(X$1,[2]enemies!$2:$2,0)-MATCH($I$1,[2]enemies!$2:$2,0)+1,FALSE)</f>
        <v>2</v>
      </c>
      <c r="Y90" s="31">
        <v>109</v>
      </c>
      <c r="Z90" s="5" t="str">
        <f ca="1">IFERROR(VLOOKUP($Y90,OFFSET([3]characters!$A$1,0,0,COUNTA([3]characters!$A:$A),MATCH(Z$1,[3]characters!$2:$2,0)-MATCH("character_id",[3]characters!$2:$2,0)+1),MATCH(Z$1,[3]characters!$2:$2,0)-MATCH("character_id",[3]characters!$2:$2,0)+1,FALSE),"")</f>
        <v>ブルーチェシャ</v>
      </c>
      <c r="AA90" s="5">
        <f ca="1">IFERROR(VLOOKUP($Y90,OFFSET([3]characters!$A$1,0,0,COUNTA([3]characters!$A:$A),MATCH(AA$1,[3]characters!$2:$2,0)-MATCH("character_id",[3]characters!$2:$2,0)+1),MATCH(AA$1,[3]characters!$2:$2,0)-MATCH("character_id",[3]characters!$2:$2,0)+1,FALSE),"")</f>
        <v>2</v>
      </c>
      <c r="AB90" s="5" t="str">
        <f ca="1">IFERROR(VLOOKUP($Y90,OFFSET([3]characters!$A$1,0,0,COUNTA([3]characters!$A:$A),MATCH(AB$1,[3]characters!$2:$2,0)-MATCH("character_id",[3]characters!$2:$2,0)+1),MATCH(AB$1,[3]characters!$2:$2,0)-MATCH("character_id",[3]characters!$2:$2,0)+1,FALSE),"")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90" s="8">
        <v>1</v>
      </c>
      <c r="AD90" s="34">
        <f t="shared" ref="AD90:AD132" ca="1" si="78">AA90</f>
        <v>2</v>
      </c>
      <c r="AE90" s="9">
        <v>50</v>
      </c>
      <c r="AF90" s="8">
        <v>0</v>
      </c>
      <c r="AG90" s="8">
        <v>0</v>
      </c>
      <c r="AH90" s="8">
        <v>0</v>
      </c>
      <c r="AI90" s="8">
        <v>0</v>
      </c>
      <c r="AJ90" s="8">
        <v>1</v>
      </c>
    </row>
    <row r="91" spans="1:36" ht="21" customHeight="1">
      <c r="A91" s="21" t="str">
        <f t="shared" ca="1" si="75"/>
        <v>11103_1-3/110&lt;lv3&gt;s4</v>
      </c>
      <c r="B91" s="8">
        <v>11103</v>
      </c>
      <c r="C91" s="51">
        <v>1</v>
      </c>
      <c r="D91" s="2" t="str">
        <f t="shared" si="76"/>
        <v>11103_1</v>
      </c>
      <c r="E91" s="5" t="str">
        <f ca="1">VLOOKUP($B91,OFFSET([1]quests!$A$1,0,0,COUNTA([1]quests!$A:$A),MATCH(E$1,[1]quests!$1:$1,0)-MATCH($B$1,[1]quests!$1:$1,0)+1),MATCH(E$1,[1]quests!$1:$1,0)-MATCH($B$1,[1]quests!$1:$1,0)+1,FALSE)</f>
        <v>【キャンペーン限定】 青の素材</v>
      </c>
      <c r="F91" s="5" t="str">
        <f ca="1">VLOOKUP($D91,OFFSET([1]stages!$A$1,0,0,COUNTA([1]stages!$A:$A),MATCH(F$1,[1]stages!$2:$2,0)-MATCH($D$1,[1]stages!$2:$2,0)+1),MATCH(F$1,[1]stages!$2:$2,0)-MATCH($D$1,[1]stages!$2:$2,0)+1,FALSE)</f>
        <v>水のチェシャ猫 【初級】</v>
      </c>
      <c r="G91" s="32">
        <v>3</v>
      </c>
      <c r="H91" s="20" t="str">
        <f t="shared" si="77"/>
        <v>11103_1-3</v>
      </c>
      <c r="I91" s="31">
        <v>110</v>
      </c>
      <c r="J91" s="26" t="str">
        <f ca="1">VLOOKUP($I91,OFFSET([2]enemies!$A$1,0,0,COUNTA([2]enemies!$A:$A),MATCH(J$1,[2]enemies!$2:$2,0)-MATCH($I$1,[2]enemies!$2:$2,0)+1),MATCH(J$1,[2]enemies!$2:$2,0)-MATCH($I$1,[2]enemies!$2:$2,0)+1,FALSE)</f>
        <v>ブルーラビット</v>
      </c>
      <c r="K91" s="29" t="str">
        <f ca="1">VLOOKUP($I91,OFFSET([2]enemies!$A$1,0,0,COUNTA([2]enemies!$A:$A),MATCH(K$1,[2]enemies!$2:$2,0)-MATCH($I$1,[2]enemies!$2:$2,0)+1),MATCH(K$1,[2]enemies!$2:$2,0)-MATCH($I$1,[2]enemies!$2:$2,0)+1,FALSE)</f>
        <v>blue</v>
      </c>
      <c r="L91" s="29" t="str">
        <f ca="1">VLOOKUP($I91,OFFSET([3]characters!$A$1,0,0,COUNTA([3]characters!$A:$A),MATCH(L$1,[3]characters!$2:$2,0)-MATCH($I$1,[3]characters!$2:$2,0)+1),MATCH(L$1,[3]characters!$2:$2,0)-MATCH($I$1,[3]characters!$2:$2,0)+1,FALSE)</f>
        <v>Material</v>
      </c>
      <c r="M91" s="28" t="str">
        <f ca="1">VLOOKUP($I91,OFFSET([3]characters!$A$1,0,0,COUNTA([3]characters!$A:$A),MATCH(M$1,[3]characters!$2:$2,0)-MATCH($I$1,[3]characters!$2:$2,0)+2),MATCH(M$1,[3]characters!$2:$2,0)-MATCH($I$1,[3]characters!$2:$2,0)+2,FALSE)</f>
        <v>Unknown</v>
      </c>
      <c r="N91" s="5">
        <f ca="1">VLOOKUP($I91,OFFSET([2]enemies!$A$1,0,0,COUNTA([2]enemies!$A:$A),MATCH(N$1,[2]enemies!$2:$2,0)-MATCH($I$1,[2]enemies!$2:$2,0)+1),MATCH(N$1,[2]enemies!$2:$2,0)-MATCH($I$1,[2]enemies!$2:$2,0)+1,FALSE)</f>
        <v>15</v>
      </c>
      <c r="O91" s="6">
        <v>3</v>
      </c>
      <c r="P91" s="48">
        <v>1.8</v>
      </c>
      <c r="Q91" s="46">
        <v>1</v>
      </c>
      <c r="R91" s="6">
        <v>0</v>
      </c>
      <c r="S91" s="5" t="str">
        <f ca="1">VLOOKUP($T91,OFFSET([4]enemy_skill_sets!$B$1,0,0,COUNTA([4]enemy_skill_sets!$B:$B),MATCH(J$1,[4]enemy_skill_sets!$1:$1,0)-MATCH($T$1,[4]enemy_skill_sets!$1:$1,0)+2),MATCH(J$1,[4]enemy_skill_sets!$1:$1,0)-MATCH($T$1,[4]enemy_skill_sets!$1:$1,0)+2,FALSE)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1" s="5">
        <f ca="1">VLOOKUP($I91,OFFSET([2]enemies!$A$1,0,0,COUNTA([2]enemies!$A:$A),MATCH(T$1,[2]enemies!$2:$2,0)-MATCH($I$1,[2]enemies!$2:$2,0)+1),MATCH(T$1,[2]enemies!$2:$2,0)-MATCH($I$1,[2]enemies!$2:$2,0)+1,FALSE)</f>
        <v>0</v>
      </c>
      <c r="U91" s="7">
        <v>0</v>
      </c>
      <c r="V91" s="7">
        <v>40</v>
      </c>
      <c r="W91" s="7">
        <v>0</v>
      </c>
      <c r="X91" s="26">
        <f ca="1">VLOOKUP($I91,OFFSET([2]enemies!$A$1,0,0,COUNTA([2]enemies!$A:$A),MATCH(X$1,[2]enemies!$2:$2,0)-MATCH($I$1,[2]enemies!$2:$2,0)+1),MATCH(X$1,[2]enemies!$2:$2,0)-MATCH($I$1,[2]enemies!$2:$2,0)+1,FALSE)</f>
        <v>4</v>
      </c>
      <c r="Y91" s="31">
        <v>110</v>
      </c>
      <c r="Z91" s="5" t="str">
        <f ca="1">IFERROR(VLOOKUP($Y91,OFFSET([3]characters!$A$1,0,0,COUNTA([3]characters!$A:$A),MATCH(Z$1,[3]characters!$2:$2,0)-MATCH("character_id",[3]characters!$2:$2,0)+1),MATCH(Z$1,[3]characters!$2:$2,0)-MATCH("character_id",[3]characters!$2:$2,0)+1,FALSE),"")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91" s="5">
        <f ca="1">IFERROR(VLOOKUP($Y91,OFFSET([3]characters!$A$1,0,0,COUNTA([3]characters!$A:$A),MATCH(AA$1,[3]characters!$2:$2,0)-MATCH("character_id",[3]characters!$2:$2,0)+1),MATCH(AA$1,[3]characters!$2:$2,0)-MATCH("character_id",[3]characters!$2:$2,0)+1,FALSE),"")</f>
        <v>3</v>
      </c>
      <c r="AB91" s="5" t="str">
        <f ca="1">IFERROR(VLOOKUP($Y91,OFFSET([3]characters!$A$1,0,0,COUNTA([3]characters!$A:$A),MATCH(AB$1,[3]characters!$2:$2,0)-MATCH("character_id",[3]characters!$2:$2,0)+1),MATCH(AB$1,[3]characters!$2:$2,0)-MATCH("character_id",[3]characters!$2:$2,0)+1,FALSE),"")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91" s="8">
        <v>1</v>
      </c>
      <c r="AD91" s="34">
        <f t="shared" ca="1" si="78"/>
        <v>3</v>
      </c>
      <c r="AE91" s="9">
        <v>10</v>
      </c>
      <c r="AF91" s="8">
        <v>0</v>
      </c>
      <c r="AG91" s="8">
        <v>0</v>
      </c>
      <c r="AH91" s="8">
        <v>0</v>
      </c>
      <c r="AI91" s="8">
        <v>0</v>
      </c>
      <c r="AJ91" s="8">
        <v>1</v>
      </c>
    </row>
    <row r="92" spans="1:36" ht="21" customHeight="1">
      <c r="A92" s="21" t="str">
        <f t="shared" ca="1" si="75"/>
        <v>11103_1-4/109&lt;lv3&gt;s2</v>
      </c>
      <c r="B92" s="8">
        <v>11103</v>
      </c>
      <c r="C92" s="51">
        <v>1</v>
      </c>
      <c r="D92" s="2" t="str">
        <f t="shared" si="76"/>
        <v>11103_1</v>
      </c>
      <c r="E92" s="5" t="str">
        <f ca="1">VLOOKUP($B92,OFFSET([1]quests!$A$1,0,0,COUNTA([1]quests!$A:$A),MATCH(E$1,[1]quests!$1:$1,0)-MATCH($B$1,[1]quests!$1:$1,0)+1),MATCH(E$1,[1]quests!$1:$1,0)-MATCH($B$1,[1]quests!$1:$1,0)+1,FALSE)</f>
        <v>【キャンペーン限定】 青の素材</v>
      </c>
      <c r="F92" s="5" t="str">
        <f ca="1">VLOOKUP($D92,OFFSET([1]stages!$A$1,0,0,COUNTA([1]stages!$A:$A),MATCH(F$1,[1]stages!$2:$2,0)-MATCH($D$1,[1]stages!$2:$2,0)+1),MATCH(F$1,[1]stages!$2:$2,0)-MATCH($D$1,[1]stages!$2:$2,0)+1,FALSE)</f>
        <v>水のチェシャ猫 【初級】</v>
      </c>
      <c r="G92" s="32">
        <v>4</v>
      </c>
      <c r="H92" s="20" t="str">
        <f t="shared" si="77"/>
        <v>11103_1-4</v>
      </c>
      <c r="I92" s="31">
        <v>109</v>
      </c>
      <c r="J92" s="26" t="str">
        <f ca="1">VLOOKUP($I92,OFFSET([2]enemies!$A$1,0,0,COUNTA([2]enemies!$A:$A),MATCH(J$1,[2]enemies!$2:$2,0)-MATCH($I$1,[2]enemies!$2:$2,0)+1),MATCH(J$1,[2]enemies!$2:$2,0)-MATCH($I$1,[2]enemies!$2:$2,0)+1,FALSE)</f>
        <v>ブルーチェシャ</v>
      </c>
      <c r="K92" s="29" t="str">
        <f ca="1">VLOOKUP($I92,OFFSET([2]enemies!$A$1,0,0,COUNTA([2]enemies!$A:$A),MATCH(K$1,[2]enemies!$2:$2,0)-MATCH($I$1,[2]enemies!$2:$2,0)+1),MATCH(K$1,[2]enemies!$2:$2,0)-MATCH($I$1,[2]enemies!$2:$2,0)+1,FALSE)</f>
        <v>blue</v>
      </c>
      <c r="L92" s="29" t="str">
        <f ca="1">VLOOKUP($I92,OFFSET([3]characters!$A$1,0,0,COUNTA([3]characters!$A:$A),MATCH(L$1,[3]characters!$2:$2,0)-MATCH($I$1,[3]characters!$2:$2,0)+1),MATCH(L$1,[3]characters!$2:$2,0)-MATCH($I$1,[3]characters!$2:$2,0)+1,FALSE)</f>
        <v>Material</v>
      </c>
      <c r="M92" s="28" t="str">
        <f ca="1">VLOOKUP($I92,OFFSET([3]characters!$A$1,0,0,COUNTA([3]characters!$A:$A),MATCH(M$1,[3]characters!$2:$2,0)-MATCH($I$1,[3]characters!$2:$2,0)+2),MATCH(M$1,[3]characters!$2:$2,0)-MATCH($I$1,[3]characters!$2:$2,0)+2,FALSE)</f>
        <v>Unknown</v>
      </c>
      <c r="N92" s="5">
        <f ca="1">VLOOKUP($I92,OFFSET([2]enemies!$A$1,0,0,COUNTA([2]enemies!$A:$A),MATCH(N$1,[2]enemies!$2:$2,0)-MATCH($I$1,[2]enemies!$2:$2,0)+1),MATCH(N$1,[2]enemies!$2:$2,0)-MATCH($I$1,[2]enemies!$2:$2,0)+1,FALSE)</f>
        <v>15</v>
      </c>
      <c r="O92" s="6">
        <v>3</v>
      </c>
      <c r="P92" s="46">
        <v>1</v>
      </c>
      <c r="Q92" s="46">
        <v>1</v>
      </c>
      <c r="R92" s="6">
        <v>0</v>
      </c>
      <c r="S92" s="5" t="str">
        <f ca="1">VLOOKUP($T92,OFFSET([4]enemy_skill_sets!$B$1,0,0,COUNTA([4]enemy_skill_sets!$B:$B),MATCH(J$1,[4]enemy_skill_sets!$1:$1,0)-MATCH($T$1,[4]enemy_skill_sets!$1:$1,0)+2),MATCH(J$1,[4]enemy_skill_sets!$1:$1,0)-MATCH($T$1,[4]enemy_skill_sets!$1:$1,0)+2,FALSE)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2" s="5">
        <f ca="1">VLOOKUP($I92,OFFSET([2]enemies!$A$1,0,0,COUNTA([2]enemies!$A:$A),MATCH(T$1,[2]enemies!$2:$2,0)-MATCH($I$1,[2]enemies!$2:$2,0)+1),MATCH(T$1,[2]enemies!$2:$2,0)-MATCH($I$1,[2]enemies!$2:$2,0)+1,FALSE)</f>
        <v>0</v>
      </c>
      <c r="U92" s="7">
        <v>0</v>
      </c>
      <c r="V92" s="7">
        <v>100</v>
      </c>
      <c r="W92" s="7">
        <v>0</v>
      </c>
      <c r="X92" s="26">
        <f ca="1">VLOOKUP($I92,OFFSET([2]enemies!$A$1,0,0,COUNTA([2]enemies!$A:$A),MATCH(X$1,[2]enemies!$2:$2,0)-MATCH($I$1,[2]enemies!$2:$2,0)+1),MATCH(X$1,[2]enemies!$2:$2,0)-MATCH($I$1,[2]enemies!$2:$2,0)+1,FALSE)</f>
        <v>2</v>
      </c>
      <c r="Y92" s="31">
        <v>109</v>
      </c>
      <c r="Z92" s="5" t="str">
        <f ca="1">IFERROR(VLOOKUP($Y92,OFFSET([3]characters!$A$1,0,0,COUNTA([3]characters!$A:$A),MATCH(Z$1,[3]characters!$2:$2,0)-MATCH("character_id",[3]characters!$2:$2,0)+1),MATCH(Z$1,[3]characters!$2:$2,0)-MATCH("character_id",[3]characters!$2:$2,0)+1,FALSE),"")</f>
        <v>ブルーチェシャ</v>
      </c>
      <c r="AA92" s="5">
        <f ca="1">IFERROR(VLOOKUP($Y92,OFFSET([3]characters!$A$1,0,0,COUNTA([3]characters!$A:$A),MATCH(AA$1,[3]characters!$2:$2,0)-MATCH("character_id",[3]characters!$2:$2,0)+1),MATCH(AA$1,[3]characters!$2:$2,0)-MATCH("character_id",[3]characters!$2:$2,0)+1,FALSE),"")</f>
        <v>2</v>
      </c>
      <c r="AB92" s="5" t="str">
        <f ca="1">IFERROR(VLOOKUP($Y92,OFFSET([3]characters!$A$1,0,0,COUNTA([3]characters!$A:$A),MATCH(AB$1,[3]characters!$2:$2,0)-MATCH("character_id",[3]characters!$2:$2,0)+1),MATCH(AB$1,[3]characters!$2:$2,0)-MATCH("character_id",[3]characters!$2:$2,0)+1,FALSE),"")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92" s="8">
        <v>1</v>
      </c>
      <c r="AD92" s="34">
        <f t="shared" ca="1" si="78"/>
        <v>2</v>
      </c>
      <c r="AE92" s="9">
        <v>50</v>
      </c>
      <c r="AF92" s="8">
        <v>0</v>
      </c>
      <c r="AG92" s="8">
        <v>0</v>
      </c>
      <c r="AH92" s="8">
        <v>0</v>
      </c>
      <c r="AI92" s="8">
        <v>0</v>
      </c>
      <c r="AJ92" s="8">
        <v>1</v>
      </c>
    </row>
    <row r="93" spans="1:36" ht="21" customHeight="1">
      <c r="A93" s="21" t="str">
        <f t="shared" ca="1" si="75"/>
        <v>11103_1-4/110&lt;lv3&gt;s4</v>
      </c>
      <c r="B93" s="8">
        <v>11103</v>
      </c>
      <c r="C93" s="51">
        <v>1</v>
      </c>
      <c r="D93" s="2" t="str">
        <f t="shared" si="76"/>
        <v>11103_1</v>
      </c>
      <c r="E93" s="5" t="str">
        <f ca="1">VLOOKUP($B93,OFFSET([1]quests!$A$1,0,0,COUNTA([1]quests!$A:$A),MATCH(E$1,[1]quests!$1:$1,0)-MATCH($B$1,[1]quests!$1:$1,0)+1),MATCH(E$1,[1]quests!$1:$1,0)-MATCH($B$1,[1]quests!$1:$1,0)+1,FALSE)</f>
        <v>【キャンペーン限定】 青の素材</v>
      </c>
      <c r="F93" s="5" t="str">
        <f ca="1">VLOOKUP($D93,OFFSET([1]stages!$A$1,0,0,COUNTA([1]stages!$A:$A),MATCH(F$1,[1]stages!$2:$2,0)-MATCH($D$1,[1]stages!$2:$2,0)+1),MATCH(F$1,[1]stages!$2:$2,0)-MATCH($D$1,[1]stages!$2:$2,0)+1,FALSE)</f>
        <v>水のチェシャ猫 【初級】</v>
      </c>
      <c r="G93" s="32">
        <v>4</v>
      </c>
      <c r="H93" s="20" t="str">
        <f t="shared" si="77"/>
        <v>11103_1-4</v>
      </c>
      <c r="I93" s="31">
        <v>110</v>
      </c>
      <c r="J93" s="26" t="str">
        <f ca="1">VLOOKUP($I93,OFFSET([2]enemies!$A$1,0,0,COUNTA([2]enemies!$A:$A),MATCH(J$1,[2]enemies!$2:$2,0)-MATCH($I$1,[2]enemies!$2:$2,0)+1),MATCH(J$1,[2]enemies!$2:$2,0)-MATCH($I$1,[2]enemies!$2:$2,0)+1,FALSE)</f>
        <v>ブルーラビット</v>
      </c>
      <c r="K93" s="29" t="str">
        <f ca="1">VLOOKUP($I93,OFFSET([2]enemies!$A$1,0,0,COUNTA([2]enemies!$A:$A),MATCH(K$1,[2]enemies!$2:$2,0)-MATCH($I$1,[2]enemies!$2:$2,0)+1),MATCH(K$1,[2]enemies!$2:$2,0)-MATCH($I$1,[2]enemies!$2:$2,0)+1,FALSE)</f>
        <v>blue</v>
      </c>
      <c r="L93" s="29" t="str">
        <f ca="1">VLOOKUP($I93,OFFSET([3]characters!$A$1,0,0,COUNTA([3]characters!$A:$A),MATCH(L$1,[3]characters!$2:$2,0)-MATCH($I$1,[3]characters!$2:$2,0)+1),MATCH(L$1,[3]characters!$2:$2,0)-MATCH($I$1,[3]characters!$2:$2,0)+1,FALSE)</f>
        <v>Material</v>
      </c>
      <c r="M93" s="28" t="str">
        <f ca="1">VLOOKUP($I93,OFFSET([3]characters!$A$1,0,0,COUNTA([3]characters!$A:$A),MATCH(M$1,[3]characters!$2:$2,0)-MATCH($I$1,[3]characters!$2:$2,0)+2),MATCH(M$1,[3]characters!$2:$2,0)-MATCH($I$1,[3]characters!$2:$2,0)+2,FALSE)</f>
        <v>Unknown</v>
      </c>
      <c r="N93" s="5">
        <f ca="1">VLOOKUP($I93,OFFSET([2]enemies!$A$1,0,0,COUNTA([2]enemies!$A:$A),MATCH(N$1,[2]enemies!$2:$2,0)-MATCH($I$1,[2]enemies!$2:$2,0)+1),MATCH(N$1,[2]enemies!$2:$2,0)-MATCH($I$1,[2]enemies!$2:$2,0)+1,FALSE)</f>
        <v>15</v>
      </c>
      <c r="O93" s="6">
        <v>3</v>
      </c>
      <c r="P93" s="48">
        <v>1.8</v>
      </c>
      <c r="Q93" s="46">
        <v>1</v>
      </c>
      <c r="R93" s="6">
        <v>0</v>
      </c>
      <c r="S93" s="5" t="str">
        <f ca="1">VLOOKUP($T93,OFFSET([4]enemy_skill_sets!$B$1,0,0,COUNTA([4]enemy_skill_sets!$B:$B),MATCH(J$1,[4]enemy_skill_sets!$1:$1,0)-MATCH($T$1,[4]enemy_skill_sets!$1:$1,0)+2),MATCH(J$1,[4]enemy_skill_sets!$1:$1,0)-MATCH($T$1,[4]enemy_skill_sets!$1:$1,0)+2,FALSE)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3" s="5">
        <f ca="1">VLOOKUP($I93,OFFSET([2]enemies!$A$1,0,0,COUNTA([2]enemies!$A:$A),MATCH(T$1,[2]enemies!$2:$2,0)-MATCH($I$1,[2]enemies!$2:$2,0)+1),MATCH(T$1,[2]enemies!$2:$2,0)-MATCH($I$1,[2]enemies!$2:$2,0)+1,FALSE)</f>
        <v>0</v>
      </c>
      <c r="U93" s="7">
        <v>0</v>
      </c>
      <c r="V93" s="7">
        <v>40</v>
      </c>
      <c r="W93" s="7">
        <v>0</v>
      </c>
      <c r="X93" s="26">
        <f ca="1">VLOOKUP($I93,OFFSET([2]enemies!$A$1,0,0,COUNTA([2]enemies!$A:$A),MATCH(X$1,[2]enemies!$2:$2,0)-MATCH($I$1,[2]enemies!$2:$2,0)+1),MATCH(X$1,[2]enemies!$2:$2,0)-MATCH($I$1,[2]enemies!$2:$2,0)+1,FALSE)</f>
        <v>4</v>
      </c>
      <c r="Y93" s="31">
        <v>110</v>
      </c>
      <c r="Z93" s="5" t="str">
        <f ca="1">IFERROR(VLOOKUP($Y93,OFFSET([3]characters!$A$1,0,0,COUNTA([3]characters!$A:$A),MATCH(Z$1,[3]characters!$2:$2,0)-MATCH("character_id",[3]characters!$2:$2,0)+1),MATCH(Z$1,[3]characters!$2:$2,0)-MATCH("character_id",[3]characters!$2:$2,0)+1,FALSE),"")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93" s="5">
        <f ca="1">IFERROR(VLOOKUP($Y93,OFFSET([3]characters!$A$1,0,0,COUNTA([3]characters!$A:$A),MATCH(AA$1,[3]characters!$2:$2,0)-MATCH("character_id",[3]characters!$2:$2,0)+1),MATCH(AA$1,[3]characters!$2:$2,0)-MATCH("character_id",[3]characters!$2:$2,0)+1,FALSE),"")</f>
        <v>3</v>
      </c>
      <c r="AB93" s="5" t="str">
        <f ca="1">IFERROR(VLOOKUP($Y93,OFFSET([3]characters!$A$1,0,0,COUNTA([3]characters!$A:$A),MATCH(AB$1,[3]characters!$2:$2,0)-MATCH("character_id",[3]characters!$2:$2,0)+1),MATCH(AB$1,[3]characters!$2:$2,0)-MATCH("character_id",[3]characters!$2:$2,0)+1,FALSE),"")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93" s="8">
        <v>1</v>
      </c>
      <c r="AD93" s="34">
        <f t="shared" ca="1" si="78"/>
        <v>3</v>
      </c>
      <c r="AE93" s="9">
        <v>20</v>
      </c>
      <c r="AF93" s="8">
        <v>0</v>
      </c>
      <c r="AG93" s="8">
        <v>0</v>
      </c>
      <c r="AH93" s="8">
        <v>0</v>
      </c>
      <c r="AI93" s="8">
        <v>0</v>
      </c>
      <c r="AJ93" s="8">
        <v>1</v>
      </c>
    </row>
    <row r="94" spans="1:36" ht="21" customHeight="1">
      <c r="A94" s="21" t="str">
        <f t="shared" ca="1" si="75"/>
        <v>11103_1-5/109&lt;lv3&gt;s2</v>
      </c>
      <c r="B94" s="8">
        <v>11103</v>
      </c>
      <c r="C94" s="51">
        <v>1</v>
      </c>
      <c r="D94" s="2" t="str">
        <f t="shared" si="76"/>
        <v>11103_1</v>
      </c>
      <c r="E94" s="5" t="str">
        <f ca="1">VLOOKUP($B94,OFFSET([1]quests!$A$1,0,0,COUNTA([1]quests!$A:$A),MATCH(E$1,[1]quests!$1:$1,0)-MATCH($B$1,[1]quests!$1:$1,0)+1),MATCH(E$1,[1]quests!$1:$1,0)-MATCH($B$1,[1]quests!$1:$1,0)+1,FALSE)</f>
        <v>【キャンペーン限定】 青の素材</v>
      </c>
      <c r="F94" s="5" t="str">
        <f ca="1">VLOOKUP($D94,OFFSET([1]stages!$A$1,0,0,COUNTA([1]stages!$A:$A),MATCH(F$1,[1]stages!$2:$2,0)-MATCH($D$1,[1]stages!$2:$2,0)+1),MATCH(F$1,[1]stages!$2:$2,0)-MATCH($D$1,[1]stages!$2:$2,0)+1,FALSE)</f>
        <v>水のチェシャ猫 【初級】</v>
      </c>
      <c r="G94" s="32">
        <v>5</v>
      </c>
      <c r="H94" s="20" t="str">
        <f t="shared" si="77"/>
        <v>11103_1-5</v>
      </c>
      <c r="I94" s="31">
        <v>109</v>
      </c>
      <c r="J94" s="26" t="str">
        <f ca="1">VLOOKUP($I94,OFFSET([2]enemies!$A$1,0,0,COUNTA([2]enemies!$A:$A),MATCH(J$1,[2]enemies!$2:$2,0)-MATCH($I$1,[2]enemies!$2:$2,0)+1),MATCH(J$1,[2]enemies!$2:$2,0)-MATCH($I$1,[2]enemies!$2:$2,0)+1,FALSE)</f>
        <v>ブルーチェシャ</v>
      </c>
      <c r="K94" s="29" t="str">
        <f ca="1">VLOOKUP($I94,OFFSET([2]enemies!$A$1,0,0,COUNTA([2]enemies!$A:$A),MATCH(K$1,[2]enemies!$2:$2,0)-MATCH($I$1,[2]enemies!$2:$2,0)+1),MATCH(K$1,[2]enemies!$2:$2,0)-MATCH($I$1,[2]enemies!$2:$2,0)+1,FALSE)</f>
        <v>blue</v>
      </c>
      <c r="L94" s="29" t="str">
        <f ca="1">VLOOKUP($I94,OFFSET([3]characters!$A$1,0,0,COUNTA([3]characters!$A:$A),MATCH(L$1,[3]characters!$2:$2,0)-MATCH($I$1,[3]characters!$2:$2,0)+1),MATCH(L$1,[3]characters!$2:$2,0)-MATCH($I$1,[3]characters!$2:$2,0)+1,FALSE)</f>
        <v>Material</v>
      </c>
      <c r="M94" s="28" t="str">
        <f ca="1">VLOOKUP($I94,OFFSET([3]characters!$A$1,0,0,COUNTA([3]characters!$A:$A),MATCH(M$1,[3]characters!$2:$2,0)-MATCH($I$1,[3]characters!$2:$2,0)+2),MATCH(M$1,[3]characters!$2:$2,0)-MATCH($I$1,[3]characters!$2:$2,0)+2,FALSE)</f>
        <v>Unknown</v>
      </c>
      <c r="N94" s="5">
        <f ca="1">VLOOKUP($I94,OFFSET([2]enemies!$A$1,0,0,COUNTA([2]enemies!$A:$A),MATCH(N$1,[2]enemies!$2:$2,0)-MATCH($I$1,[2]enemies!$2:$2,0)+1),MATCH(N$1,[2]enemies!$2:$2,0)-MATCH($I$1,[2]enemies!$2:$2,0)+1,FALSE)</f>
        <v>15</v>
      </c>
      <c r="O94" s="6">
        <v>3</v>
      </c>
      <c r="P94" s="46">
        <v>1</v>
      </c>
      <c r="Q94" s="46">
        <v>1</v>
      </c>
      <c r="R94" s="6">
        <v>0</v>
      </c>
      <c r="S94" s="5" t="str">
        <f ca="1">VLOOKUP($T94,OFFSET([4]enemy_skill_sets!$B$1,0,0,COUNTA([4]enemy_skill_sets!$B:$B),MATCH(J$1,[4]enemy_skill_sets!$1:$1,0)-MATCH($T$1,[4]enemy_skill_sets!$1:$1,0)+2),MATCH(J$1,[4]enemy_skill_sets!$1:$1,0)-MATCH($T$1,[4]enemy_skill_sets!$1:$1,0)+2,FALSE)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4" s="5">
        <f ca="1">VLOOKUP($I94,OFFSET([2]enemies!$A$1,0,0,COUNTA([2]enemies!$A:$A),MATCH(T$1,[2]enemies!$2:$2,0)-MATCH($I$1,[2]enemies!$2:$2,0)+1),MATCH(T$1,[2]enemies!$2:$2,0)-MATCH($I$1,[2]enemies!$2:$2,0)+1,FALSE)</f>
        <v>0</v>
      </c>
      <c r="U94" s="7">
        <v>2</v>
      </c>
      <c r="V94" s="7">
        <v>100</v>
      </c>
      <c r="W94" s="7">
        <v>0</v>
      </c>
      <c r="X94" s="26">
        <f ca="1">VLOOKUP($I94,OFFSET([2]enemies!$A$1,0,0,COUNTA([2]enemies!$A:$A),MATCH(X$1,[2]enemies!$2:$2,0)-MATCH($I$1,[2]enemies!$2:$2,0)+1),MATCH(X$1,[2]enemies!$2:$2,0)-MATCH($I$1,[2]enemies!$2:$2,0)+1,FALSE)</f>
        <v>2</v>
      </c>
      <c r="Y94" s="31">
        <v>109</v>
      </c>
      <c r="Z94" s="5" t="str">
        <f ca="1">IFERROR(VLOOKUP($Y94,OFFSET([3]characters!$A$1,0,0,COUNTA([3]characters!$A:$A),MATCH(Z$1,[3]characters!$2:$2,0)-MATCH("character_id",[3]characters!$2:$2,0)+1),MATCH(Z$1,[3]characters!$2:$2,0)-MATCH("character_id",[3]characters!$2:$2,0)+1,FALSE),"")</f>
        <v>ブルーチェシャ</v>
      </c>
      <c r="AA94" s="5">
        <f ca="1">IFERROR(VLOOKUP($Y94,OFFSET([3]characters!$A$1,0,0,COUNTA([3]characters!$A:$A),MATCH(AA$1,[3]characters!$2:$2,0)-MATCH("character_id",[3]characters!$2:$2,0)+1),MATCH(AA$1,[3]characters!$2:$2,0)-MATCH("character_id",[3]characters!$2:$2,0)+1,FALSE),"")</f>
        <v>2</v>
      </c>
      <c r="AB94" s="5" t="str">
        <f ca="1">IFERROR(VLOOKUP($Y94,OFFSET([3]characters!$A$1,0,0,COUNTA([3]characters!$A:$A),MATCH(AB$1,[3]characters!$2:$2,0)-MATCH("character_id",[3]characters!$2:$2,0)+1),MATCH(AB$1,[3]characters!$2:$2,0)-MATCH("character_id",[3]characters!$2:$2,0)+1,FALSE),"")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94" s="8">
        <v>1</v>
      </c>
      <c r="AD94" s="34">
        <f t="shared" ca="1" si="78"/>
        <v>2</v>
      </c>
      <c r="AE94" s="9">
        <v>50</v>
      </c>
      <c r="AF94" s="8">
        <v>0</v>
      </c>
      <c r="AG94" s="8">
        <v>0</v>
      </c>
      <c r="AH94" s="8">
        <v>0</v>
      </c>
      <c r="AI94" s="8">
        <v>0</v>
      </c>
      <c r="AJ94" s="8">
        <v>1</v>
      </c>
    </row>
    <row r="95" spans="1:36" ht="21" customHeight="1">
      <c r="A95" s="21" t="str">
        <f t="shared" ca="1" si="75"/>
        <v>11103_1-5/110&lt;lv5&gt;s4</v>
      </c>
      <c r="B95" s="8">
        <v>11103</v>
      </c>
      <c r="C95" s="51">
        <v>1</v>
      </c>
      <c r="D95" s="2" t="str">
        <f t="shared" si="76"/>
        <v>11103_1</v>
      </c>
      <c r="E95" s="5" t="str">
        <f ca="1">VLOOKUP($B95,OFFSET([1]quests!$A$1,0,0,COUNTA([1]quests!$A:$A),MATCH(E$1,[1]quests!$1:$1,0)-MATCH($B$1,[1]quests!$1:$1,0)+1),MATCH(E$1,[1]quests!$1:$1,0)-MATCH($B$1,[1]quests!$1:$1,0)+1,FALSE)</f>
        <v>【キャンペーン限定】 青の素材</v>
      </c>
      <c r="F95" s="5" t="str">
        <f ca="1">VLOOKUP($D95,OFFSET([1]stages!$A$1,0,0,COUNTA([1]stages!$A:$A),MATCH(F$1,[1]stages!$2:$2,0)-MATCH($D$1,[1]stages!$2:$2,0)+1),MATCH(F$1,[1]stages!$2:$2,0)-MATCH($D$1,[1]stages!$2:$2,0)+1,FALSE)</f>
        <v>水のチェシャ猫 【初級】</v>
      </c>
      <c r="G95" s="32">
        <v>5</v>
      </c>
      <c r="H95" s="20" t="str">
        <f t="shared" si="77"/>
        <v>11103_1-5</v>
      </c>
      <c r="I95" s="31">
        <v>110</v>
      </c>
      <c r="J95" s="26" t="str">
        <f ca="1">VLOOKUP($I95,OFFSET([2]enemies!$A$1,0,0,COUNTA([2]enemies!$A:$A),MATCH(J$1,[2]enemies!$2:$2,0)-MATCH($I$1,[2]enemies!$2:$2,0)+1),MATCH(J$1,[2]enemies!$2:$2,0)-MATCH($I$1,[2]enemies!$2:$2,0)+1,FALSE)</f>
        <v>ブルーラビット</v>
      </c>
      <c r="K95" s="29" t="str">
        <f ca="1">VLOOKUP($I95,OFFSET([2]enemies!$A$1,0,0,COUNTA([2]enemies!$A:$A),MATCH(K$1,[2]enemies!$2:$2,0)-MATCH($I$1,[2]enemies!$2:$2,0)+1),MATCH(K$1,[2]enemies!$2:$2,0)-MATCH($I$1,[2]enemies!$2:$2,0)+1,FALSE)</f>
        <v>blue</v>
      </c>
      <c r="L95" s="29" t="str">
        <f ca="1">VLOOKUP($I95,OFFSET([3]characters!$A$1,0,0,COUNTA([3]characters!$A:$A),MATCH(L$1,[3]characters!$2:$2,0)-MATCH($I$1,[3]characters!$2:$2,0)+1),MATCH(L$1,[3]characters!$2:$2,0)-MATCH($I$1,[3]characters!$2:$2,0)+1,FALSE)</f>
        <v>Material</v>
      </c>
      <c r="M95" s="28" t="str">
        <f ca="1">VLOOKUP($I95,OFFSET([3]characters!$A$1,0,0,COUNTA([3]characters!$A:$A),MATCH(M$1,[3]characters!$2:$2,0)-MATCH($I$1,[3]characters!$2:$2,0)+2),MATCH(M$1,[3]characters!$2:$2,0)-MATCH($I$1,[3]characters!$2:$2,0)+2,FALSE)</f>
        <v>Unknown</v>
      </c>
      <c r="N95" s="5">
        <f ca="1">VLOOKUP($I95,OFFSET([2]enemies!$A$1,0,0,COUNTA([2]enemies!$A:$A),MATCH(N$1,[2]enemies!$2:$2,0)-MATCH($I$1,[2]enemies!$2:$2,0)+1),MATCH(N$1,[2]enemies!$2:$2,0)-MATCH($I$1,[2]enemies!$2:$2,0)+1,FALSE)</f>
        <v>15</v>
      </c>
      <c r="O95" s="6">
        <v>5</v>
      </c>
      <c r="P95" s="48">
        <v>1.8</v>
      </c>
      <c r="Q95" s="46">
        <v>1</v>
      </c>
      <c r="R95" s="6">
        <v>0</v>
      </c>
      <c r="S95" s="5" t="str">
        <f ca="1">VLOOKUP($T95,OFFSET([4]enemy_skill_sets!$B$1,0,0,COUNTA([4]enemy_skill_sets!$B:$B),MATCH(J$1,[4]enemy_skill_sets!$1:$1,0)-MATCH($T$1,[4]enemy_skill_sets!$1:$1,0)+2),MATCH(J$1,[4]enemy_skill_sets!$1:$1,0)-MATCH($T$1,[4]enemy_skill_sets!$1:$1,0)+2,FALSE)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5" s="5">
        <f ca="1">VLOOKUP($I95,OFFSET([2]enemies!$A$1,0,0,COUNTA([2]enemies!$A:$A),MATCH(T$1,[2]enemies!$2:$2,0)-MATCH($I$1,[2]enemies!$2:$2,0)+1),MATCH(T$1,[2]enemies!$2:$2,0)-MATCH($I$1,[2]enemies!$2:$2,0)+1,FALSE)</f>
        <v>0</v>
      </c>
      <c r="U95" s="7">
        <v>1</v>
      </c>
      <c r="V95" s="7">
        <v>100</v>
      </c>
      <c r="W95" s="7">
        <v>1</v>
      </c>
      <c r="X95" s="26">
        <f ca="1">VLOOKUP($I95,OFFSET([2]enemies!$A$1,0,0,COUNTA([2]enemies!$A:$A),MATCH(X$1,[2]enemies!$2:$2,0)-MATCH($I$1,[2]enemies!$2:$2,0)+1),MATCH(X$1,[2]enemies!$2:$2,0)-MATCH($I$1,[2]enemies!$2:$2,0)+1,FALSE)</f>
        <v>4</v>
      </c>
      <c r="Y95" s="31">
        <v>110</v>
      </c>
      <c r="Z95" s="5" t="str">
        <f ca="1">IFERROR(VLOOKUP($Y95,OFFSET([3]characters!$A$1,0,0,COUNTA([3]characters!$A:$A),MATCH(Z$1,[3]characters!$2:$2,0)-MATCH("character_id",[3]characters!$2:$2,0)+1),MATCH(Z$1,[3]characters!$2:$2,0)-MATCH("character_id",[3]characters!$2:$2,0)+1,FALSE),"")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95" s="5">
        <f ca="1">IFERROR(VLOOKUP($Y95,OFFSET([3]characters!$A$1,0,0,COUNTA([3]characters!$A:$A),MATCH(AA$1,[3]characters!$2:$2,0)-MATCH("character_id",[3]characters!$2:$2,0)+1),MATCH(AA$1,[3]characters!$2:$2,0)-MATCH("character_id",[3]characters!$2:$2,0)+1,FALSE),"")</f>
        <v>3</v>
      </c>
      <c r="AB95" s="5" t="str">
        <f ca="1">IFERROR(VLOOKUP($Y95,OFFSET([3]characters!$A$1,0,0,COUNTA([3]characters!$A:$A),MATCH(AB$1,[3]characters!$2:$2,0)-MATCH("character_id",[3]characters!$2:$2,0)+1),MATCH(AB$1,[3]characters!$2:$2,0)-MATCH("character_id",[3]characters!$2:$2,0)+1,FALSE),"")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95" s="8">
        <v>1</v>
      </c>
      <c r="AD95" s="34">
        <f t="shared" ca="1" si="78"/>
        <v>3</v>
      </c>
      <c r="AE95" s="9">
        <v>10</v>
      </c>
      <c r="AF95" s="8">
        <v>0</v>
      </c>
      <c r="AG95" s="8">
        <v>0</v>
      </c>
      <c r="AH95" s="8">
        <v>0</v>
      </c>
      <c r="AI95" s="8">
        <v>0</v>
      </c>
      <c r="AJ95" s="8">
        <v>1</v>
      </c>
    </row>
    <row r="96" spans="1:36" ht="21" customHeight="1">
      <c r="A96" s="21" t="str">
        <f t="shared" ca="1" si="75"/>
        <v>11103_2-1/110&lt;lv15&gt;s4</v>
      </c>
      <c r="B96" s="8">
        <v>11103</v>
      </c>
      <c r="C96" s="51">
        <v>2</v>
      </c>
      <c r="D96" s="2" t="str">
        <f t="shared" si="76"/>
        <v>11103_2</v>
      </c>
      <c r="E96" s="5" t="str">
        <f ca="1">VLOOKUP($B96,OFFSET([1]quests!$A$1,0,0,COUNTA([1]quests!$A:$A),MATCH(E$1,[1]quests!$1:$1,0)-MATCH($B$1,[1]quests!$1:$1,0)+1),MATCH(E$1,[1]quests!$1:$1,0)-MATCH($B$1,[1]quests!$1:$1,0)+1,FALSE)</f>
        <v>【キャンペーン限定】 青の素材</v>
      </c>
      <c r="F96" s="5" t="str">
        <f ca="1">VLOOKUP($D96,OFFSET([1]stages!$A$1,0,0,COUNTA([1]stages!$A:$A),MATCH(F$1,[1]stages!$2:$2,0)-MATCH($D$1,[1]stages!$2:$2,0)+1),MATCH(F$1,[1]stages!$2:$2,0)-MATCH($D$1,[1]stages!$2:$2,0)+1,FALSE)</f>
        <v>水のウサギ 【中級】</v>
      </c>
      <c r="G96" s="32">
        <v>1</v>
      </c>
      <c r="H96" s="20" t="str">
        <f t="shared" si="77"/>
        <v>11103_2-1</v>
      </c>
      <c r="I96" s="31">
        <v>110</v>
      </c>
      <c r="J96" s="26" t="str">
        <f ca="1">VLOOKUP($I96,OFFSET([2]enemies!$A$1,0,0,COUNTA([2]enemies!$A:$A),MATCH(J$1,[2]enemies!$2:$2,0)-MATCH($I$1,[2]enemies!$2:$2,0)+1),MATCH(J$1,[2]enemies!$2:$2,0)-MATCH($I$1,[2]enemies!$2:$2,0)+1,FALSE)</f>
        <v>ブルーラビット</v>
      </c>
      <c r="K96" s="29" t="str">
        <f ca="1">VLOOKUP($I96,OFFSET([2]enemies!$A$1,0,0,COUNTA([2]enemies!$A:$A),MATCH(K$1,[2]enemies!$2:$2,0)-MATCH($I$1,[2]enemies!$2:$2,0)+1),MATCH(K$1,[2]enemies!$2:$2,0)-MATCH($I$1,[2]enemies!$2:$2,0)+1,FALSE)</f>
        <v>blue</v>
      </c>
      <c r="L96" s="29" t="str">
        <f ca="1">VLOOKUP($I96,OFFSET([3]characters!$A$1,0,0,COUNTA([3]characters!$A:$A),MATCH(L$1,[3]characters!$2:$2,0)-MATCH($I$1,[3]characters!$2:$2,0)+1),MATCH(L$1,[3]characters!$2:$2,0)-MATCH($I$1,[3]characters!$2:$2,0)+1,FALSE)</f>
        <v>Material</v>
      </c>
      <c r="M96" s="28" t="str">
        <f ca="1">VLOOKUP($I96,OFFSET([3]characters!$A$1,0,0,COUNTA([3]characters!$A:$A),MATCH(M$1,[3]characters!$2:$2,0)-MATCH($I$1,[3]characters!$2:$2,0)+2),MATCH(M$1,[3]characters!$2:$2,0)-MATCH($I$1,[3]characters!$2:$2,0)+2,FALSE)</f>
        <v>Unknown</v>
      </c>
      <c r="N96" s="5">
        <f ca="1">VLOOKUP($I96,OFFSET([2]enemies!$A$1,0,0,COUNTA([2]enemies!$A:$A),MATCH(N$1,[2]enemies!$2:$2,0)-MATCH($I$1,[2]enemies!$2:$2,0)+1),MATCH(N$1,[2]enemies!$2:$2,0)-MATCH($I$1,[2]enemies!$2:$2,0)+1,FALSE)</f>
        <v>15</v>
      </c>
      <c r="O96" s="6">
        <v>15</v>
      </c>
      <c r="P96" s="48">
        <v>1.8</v>
      </c>
      <c r="Q96" s="46">
        <v>1</v>
      </c>
      <c r="R96" s="6">
        <v>0</v>
      </c>
      <c r="S96" s="5" t="str">
        <f ca="1">VLOOKUP($T96,OFFSET([4]enemy_skill_sets!$B$1,0,0,COUNTA([4]enemy_skill_sets!$B:$B),MATCH(J$1,[4]enemy_skill_sets!$1:$1,0)-MATCH($T$1,[4]enemy_skill_sets!$1:$1,0)+2),MATCH(J$1,[4]enemy_skill_sets!$1:$1,0)-MATCH($T$1,[4]enemy_skill_sets!$1:$1,0)+2,FALSE)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6" s="5">
        <f ca="1">VLOOKUP($I96,OFFSET([2]enemies!$A$1,0,0,COUNTA([2]enemies!$A:$A),MATCH(T$1,[2]enemies!$2:$2,0)-MATCH($I$1,[2]enemies!$2:$2,0)+1),MATCH(T$1,[2]enemies!$2:$2,0)-MATCH($I$1,[2]enemies!$2:$2,0)+1,FALSE)</f>
        <v>0</v>
      </c>
      <c r="U96" s="7">
        <v>0</v>
      </c>
      <c r="V96" s="7">
        <v>100</v>
      </c>
      <c r="W96" s="7">
        <v>0</v>
      </c>
      <c r="X96" s="26">
        <f ca="1">VLOOKUP($I96,OFFSET([2]enemies!$A$1,0,0,COUNTA([2]enemies!$A:$A),MATCH(X$1,[2]enemies!$2:$2,0)-MATCH($I$1,[2]enemies!$2:$2,0)+1),MATCH(X$1,[2]enemies!$2:$2,0)-MATCH($I$1,[2]enemies!$2:$2,0)+1,FALSE)</f>
        <v>4</v>
      </c>
      <c r="Y96" s="31">
        <v>110</v>
      </c>
      <c r="Z96" s="5" t="str">
        <f ca="1">IFERROR(VLOOKUP($Y96,OFFSET([3]characters!$A$1,0,0,COUNTA([3]characters!$A:$A),MATCH(Z$1,[3]characters!$2:$2,0)-MATCH("character_id",[3]characters!$2:$2,0)+1),MATCH(Z$1,[3]characters!$2:$2,0)-MATCH("character_id",[3]characters!$2:$2,0)+1,FALSE),"")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96" s="5">
        <f ca="1">IFERROR(VLOOKUP($Y96,OFFSET([3]characters!$A$1,0,0,COUNTA([3]characters!$A:$A),MATCH(AA$1,[3]characters!$2:$2,0)-MATCH("character_id",[3]characters!$2:$2,0)+1),MATCH(AA$1,[3]characters!$2:$2,0)-MATCH("character_id",[3]characters!$2:$2,0)+1,FALSE),"")</f>
        <v>3</v>
      </c>
      <c r="AB96" s="5" t="str">
        <f ca="1">IFERROR(VLOOKUP($Y96,OFFSET([3]characters!$A$1,0,0,COUNTA([3]characters!$A:$A),MATCH(AB$1,[3]characters!$2:$2,0)-MATCH("character_id",[3]characters!$2:$2,0)+1),MATCH(AB$1,[3]characters!$2:$2,0)-MATCH("character_id",[3]characters!$2:$2,0)+1,FALSE),"")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96" s="8">
        <v>1</v>
      </c>
      <c r="AD96" s="34">
        <f t="shared" ca="1" si="78"/>
        <v>3</v>
      </c>
      <c r="AE96" s="9">
        <v>30</v>
      </c>
      <c r="AF96" s="8">
        <v>0</v>
      </c>
      <c r="AG96" s="8">
        <v>0</v>
      </c>
      <c r="AH96" s="8">
        <v>0</v>
      </c>
      <c r="AI96" s="8">
        <v>0</v>
      </c>
      <c r="AJ96" s="8">
        <v>1</v>
      </c>
    </row>
    <row r="97" spans="1:36" ht="21" customHeight="1">
      <c r="A97" s="21" t="str">
        <f t="shared" ca="1" si="75"/>
        <v>11103_2-2/110&lt;lv15&gt;s4</v>
      </c>
      <c r="B97" s="8">
        <v>11103</v>
      </c>
      <c r="C97" s="51">
        <v>2</v>
      </c>
      <c r="D97" s="2" t="str">
        <f t="shared" si="76"/>
        <v>11103_2</v>
      </c>
      <c r="E97" s="5" t="str">
        <f ca="1">VLOOKUP($B97,OFFSET([1]quests!$A$1,0,0,COUNTA([1]quests!$A:$A),MATCH(E$1,[1]quests!$1:$1,0)-MATCH($B$1,[1]quests!$1:$1,0)+1),MATCH(E$1,[1]quests!$1:$1,0)-MATCH($B$1,[1]quests!$1:$1,0)+1,FALSE)</f>
        <v>【キャンペーン限定】 青の素材</v>
      </c>
      <c r="F97" s="5" t="str">
        <f ca="1">VLOOKUP($D97,OFFSET([1]stages!$A$1,0,0,COUNTA([1]stages!$A:$A),MATCH(F$1,[1]stages!$2:$2,0)-MATCH($D$1,[1]stages!$2:$2,0)+1),MATCH(F$1,[1]stages!$2:$2,0)-MATCH($D$1,[1]stages!$2:$2,0)+1,FALSE)</f>
        <v>水のウサギ 【中級】</v>
      </c>
      <c r="G97" s="32">
        <v>2</v>
      </c>
      <c r="H97" s="20" t="str">
        <f t="shared" si="77"/>
        <v>11103_2-2</v>
      </c>
      <c r="I97" s="31">
        <v>110</v>
      </c>
      <c r="J97" s="26" t="str">
        <f ca="1">VLOOKUP($I97,OFFSET([2]enemies!$A$1,0,0,COUNTA([2]enemies!$A:$A),MATCH(J$1,[2]enemies!$2:$2,0)-MATCH($I$1,[2]enemies!$2:$2,0)+1),MATCH(J$1,[2]enemies!$2:$2,0)-MATCH($I$1,[2]enemies!$2:$2,0)+1,FALSE)</f>
        <v>ブルーラビット</v>
      </c>
      <c r="K97" s="29" t="str">
        <f ca="1">VLOOKUP($I97,OFFSET([2]enemies!$A$1,0,0,COUNTA([2]enemies!$A:$A),MATCH(K$1,[2]enemies!$2:$2,0)-MATCH($I$1,[2]enemies!$2:$2,0)+1),MATCH(K$1,[2]enemies!$2:$2,0)-MATCH($I$1,[2]enemies!$2:$2,0)+1,FALSE)</f>
        <v>blue</v>
      </c>
      <c r="L97" s="29" t="str">
        <f ca="1">VLOOKUP($I97,OFFSET([3]characters!$A$1,0,0,COUNTA([3]characters!$A:$A),MATCH(L$1,[3]characters!$2:$2,0)-MATCH($I$1,[3]characters!$2:$2,0)+1),MATCH(L$1,[3]characters!$2:$2,0)-MATCH($I$1,[3]characters!$2:$2,0)+1,FALSE)</f>
        <v>Material</v>
      </c>
      <c r="M97" s="28" t="str">
        <f ca="1">VLOOKUP($I97,OFFSET([3]characters!$A$1,0,0,COUNTA([3]characters!$A:$A),MATCH(M$1,[3]characters!$2:$2,0)-MATCH($I$1,[3]characters!$2:$2,0)+2),MATCH(M$1,[3]characters!$2:$2,0)-MATCH($I$1,[3]characters!$2:$2,0)+2,FALSE)</f>
        <v>Unknown</v>
      </c>
      <c r="N97" s="5">
        <f ca="1">VLOOKUP($I97,OFFSET([2]enemies!$A$1,0,0,COUNTA([2]enemies!$A:$A),MATCH(N$1,[2]enemies!$2:$2,0)-MATCH($I$1,[2]enemies!$2:$2,0)+1),MATCH(N$1,[2]enemies!$2:$2,0)-MATCH($I$1,[2]enemies!$2:$2,0)+1,FALSE)</f>
        <v>15</v>
      </c>
      <c r="O97" s="6">
        <v>15</v>
      </c>
      <c r="P97" s="48">
        <v>1.8</v>
      </c>
      <c r="Q97" s="46">
        <v>1</v>
      </c>
      <c r="R97" s="6">
        <v>0</v>
      </c>
      <c r="S97" s="5" t="str">
        <f ca="1">VLOOKUP($T97,OFFSET([4]enemy_skill_sets!$B$1,0,0,COUNTA([4]enemy_skill_sets!$B:$B),MATCH(J$1,[4]enemy_skill_sets!$1:$1,0)-MATCH($T$1,[4]enemy_skill_sets!$1:$1,0)+2),MATCH(J$1,[4]enemy_skill_sets!$1:$1,0)-MATCH($T$1,[4]enemy_skill_sets!$1:$1,0)+2,FALSE)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7" s="5">
        <f ca="1">VLOOKUP($I97,OFFSET([2]enemies!$A$1,0,0,COUNTA([2]enemies!$A:$A),MATCH(T$1,[2]enemies!$2:$2,0)-MATCH($I$1,[2]enemies!$2:$2,0)+1),MATCH(T$1,[2]enemies!$2:$2,0)-MATCH($I$1,[2]enemies!$2:$2,0)+1,FALSE)</f>
        <v>0</v>
      </c>
      <c r="U97" s="7">
        <v>0</v>
      </c>
      <c r="V97" s="7">
        <v>100</v>
      </c>
      <c r="W97" s="7">
        <v>0</v>
      </c>
      <c r="X97" s="26">
        <f ca="1">VLOOKUP($I97,OFFSET([2]enemies!$A$1,0,0,COUNTA([2]enemies!$A:$A),MATCH(X$1,[2]enemies!$2:$2,0)-MATCH($I$1,[2]enemies!$2:$2,0)+1),MATCH(X$1,[2]enemies!$2:$2,0)-MATCH($I$1,[2]enemies!$2:$2,0)+1,FALSE)</f>
        <v>4</v>
      </c>
      <c r="Y97" s="31">
        <v>110</v>
      </c>
      <c r="Z97" s="5" t="str">
        <f ca="1">IFERROR(VLOOKUP($Y97,OFFSET([3]characters!$A$1,0,0,COUNTA([3]characters!$A:$A),MATCH(Z$1,[3]characters!$2:$2,0)-MATCH("character_id",[3]characters!$2:$2,0)+1),MATCH(Z$1,[3]characters!$2:$2,0)-MATCH("character_id",[3]characters!$2:$2,0)+1,FALSE),"")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97" s="5">
        <f ca="1">IFERROR(VLOOKUP($Y97,OFFSET([3]characters!$A$1,0,0,COUNTA([3]characters!$A:$A),MATCH(AA$1,[3]characters!$2:$2,0)-MATCH("character_id",[3]characters!$2:$2,0)+1),MATCH(AA$1,[3]characters!$2:$2,0)-MATCH("character_id",[3]characters!$2:$2,0)+1,FALSE),"")</f>
        <v>3</v>
      </c>
      <c r="AB97" s="5" t="str">
        <f ca="1">IFERROR(VLOOKUP($Y97,OFFSET([3]characters!$A$1,0,0,COUNTA([3]characters!$A:$A),MATCH(AB$1,[3]characters!$2:$2,0)-MATCH("character_id",[3]characters!$2:$2,0)+1),MATCH(AB$1,[3]characters!$2:$2,0)-MATCH("character_id",[3]characters!$2:$2,0)+1,FALSE),"")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97" s="8">
        <v>1</v>
      </c>
      <c r="AD97" s="34">
        <f t="shared" ca="1" si="78"/>
        <v>3</v>
      </c>
      <c r="AE97" s="9">
        <v>30</v>
      </c>
      <c r="AF97" s="8">
        <v>0</v>
      </c>
      <c r="AG97" s="8">
        <v>0</v>
      </c>
      <c r="AH97" s="8">
        <v>0</v>
      </c>
      <c r="AI97" s="8">
        <v>0</v>
      </c>
      <c r="AJ97" s="8">
        <v>1</v>
      </c>
    </row>
    <row r="98" spans="1:36" ht="21" customHeight="1">
      <c r="A98" s="21" t="str">
        <f t="shared" ca="1" si="75"/>
        <v>11103_2-3/110&lt;lv15&gt;s4</v>
      </c>
      <c r="B98" s="8">
        <v>11103</v>
      </c>
      <c r="C98" s="51">
        <v>2</v>
      </c>
      <c r="D98" s="2" t="str">
        <f t="shared" si="76"/>
        <v>11103_2</v>
      </c>
      <c r="E98" s="5" t="str">
        <f ca="1">VLOOKUP($B98,OFFSET([1]quests!$A$1,0,0,COUNTA([1]quests!$A:$A),MATCH(E$1,[1]quests!$1:$1,0)-MATCH($B$1,[1]quests!$1:$1,0)+1),MATCH(E$1,[1]quests!$1:$1,0)-MATCH($B$1,[1]quests!$1:$1,0)+1,FALSE)</f>
        <v>【キャンペーン限定】 青の素材</v>
      </c>
      <c r="F98" s="5" t="str">
        <f ca="1">VLOOKUP($D98,OFFSET([1]stages!$A$1,0,0,COUNTA([1]stages!$A:$A),MATCH(F$1,[1]stages!$2:$2,0)-MATCH($D$1,[1]stages!$2:$2,0)+1),MATCH(F$1,[1]stages!$2:$2,0)-MATCH($D$1,[1]stages!$2:$2,0)+1,FALSE)</f>
        <v>水のウサギ 【中級】</v>
      </c>
      <c r="G98" s="32">
        <v>3</v>
      </c>
      <c r="H98" s="20" t="str">
        <f t="shared" si="77"/>
        <v>11103_2-3</v>
      </c>
      <c r="I98" s="31">
        <v>110</v>
      </c>
      <c r="J98" s="26" t="str">
        <f ca="1">VLOOKUP($I98,OFFSET([2]enemies!$A$1,0,0,COUNTA([2]enemies!$A:$A),MATCH(J$1,[2]enemies!$2:$2,0)-MATCH($I$1,[2]enemies!$2:$2,0)+1),MATCH(J$1,[2]enemies!$2:$2,0)-MATCH($I$1,[2]enemies!$2:$2,0)+1,FALSE)</f>
        <v>ブルーラビット</v>
      </c>
      <c r="K98" s="29" t="str">
        <f ca="1">VLOOKUP($I98,OFFSET([2]enemies!$A$1,0,0,COUNTA([2]enemies!$A:$A),MATCH(K$1,[2]enemies!$2:$2,0)-MATCH($I$1,[2]enemies!$2:$2,0)+1),MATCH(K$1,[2]enemies!$2:$2,0)-MATCH($I$1,[2]enemies!$2:$2,0)+1,FALSE)</f>
        <v>blue</v>
      </c>
      <c r="L98" s="29" t="str">
        <f ca="1">VLOOKUP($I98,OFFSET([3]characters!$A$1,0,0,COUNTA([3]characters!$A:$A),MATCH(L$1,[3]characters!$2:$2,0)-MATCH($I$1,[3]characters!$2:$2,0)+1),MATCH(L$1,[3]characters!$2:$2,0)-MATCH($I$1,[3]characters!$2:$2,0)+1,FALSE)</f>
        <v>Material</v>
      </c>
      <c r="M98" s="28" t="str">
        <f ca="1">VLOOKUP($I98,OFFSET([3]characters!$A$1,0,0,COUNTA([3]characters!$A:$A),MATCH(M$1,[3]characters!$2:$2,0)-MATCH($I$1,[3]characters!$2:$2,0)+2),MATCH(M$1,[3]characters!$2:$2,0)-MATCH($I$1,[3]characters!$2:$2,0)+2,FALSE)</f>
        <v>Unknown</v>
      </c>
      <c r="N98" s="5">
        <f ca="1">VLOOKUP($I98,OFFSET([2]enemies!$A$1,0,0,COUNTA([2]enemies!$A:$A),MATCH(N$1,[2]enemies!$2:$2,0)-MATCH($I$1,[2]enemies!$2:$2,0)+1),MATCH(N$1,[2]enemies!$2:$2,0)-MATCH($I$1,[2]enemies!$2:$2,0)+1,FALSE)</f>
        <v>15</v>
      </c>
      <c r="O98" s="6">
        <v>15</v>
      </c>
      <c r="P98" s="48">
        <v>1.8</v>
      </c>
      <c r="Q98" s="46">
        <v>1</v>
      </c>
      <c r="R98" s="6">
        <v>0</v>
      </c>
      <c r="S98" s="5" t="str">
        <f ca="1">VLOOKUP($T98,OFFSET([4]enemy_skill_sets!$B$1,0,0,COUNTA([4]enemy_skill_sets!$B:$B),MATCH(J$1,[4]enemy_skill_sets!$1:$1,0)-MATCH($T$1,[4]enemy_skill_sets!$1:$1,0)+2),MATCH(J$1,[4]enemy_skill_sets!$1:$1,0)-MATCH($T$1,[4]enemy_skill_sets!$1:$1,0)+2,FALSE)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8" s="5">
        <f ca="1">VLOOKUP($I98,OFFSET([2]enemies!$A$1,0,0,COUNTA([2]enemies!$A:$A),MATCH(T$1,[2]enemies!$2:$2,0)-MATCH($I$1,[2]enemies!$2:$2,0)+1),MATCH(T$1,[2]enemies!$2:$2,0)-MATCH($I$1,[2]enemies!$2:$2,0)+1,FALSE)</f>
        <v>0</v>
      </c>
      <c r="U98" s="7">
        <v>0</v>
      </c>
      <c r="V98" s="7">
        <v>100</v>
      </c>
      <c r="W98" s="7">
        <v>0</v>
      </c>
      <c r="X98" s="26">
        <f ca="1">VLOOKUP($I98,OFFSET([2]enemies!$A$1,0,0,COUNTA([2]enemies!$A:$A),MATCH(X$1,[2]enemies!$2:$2,0)-MATCH($I$1,[2]enemies!$2:$2,0)+1),MATCH(X$1,[2]enemies!$2:$2,0)-MATCH($I$1,[2]enemies!$2:$2,0)+1,FALSE)</f>
        <v>4</v>
      </c>
      <c r="Y98" s="31">
        <v>110</v>
      </c>
      <c r="Z98" s="5" t="str">
        <f ca="1">IFERROR(VLOOKUP($Y98,OFFSET([3]characters!$A$1,0,0,COUNTA([3]characters!$A:$A),MATCH(Z$1,[3]characters!$2:$2,0)-MATCH("character_id",[3]characters!$2:$2,0)+1),MATCH(Z$1,[3]characters!$2:$2,0)-MATCH("character_id",[3]characters!$2:$2,0)+1,FALSE),"")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98" s="5">
        <f ca="1">IFERROR(VLOOKUP($Y98,OFFSET([3]characters!$A$1,0,0,COUNTA([3]characters!$A:$A),MATCH(AA$1,[3]characters!$2:$2,0)-MATCH("character_id",[3]characters!$2:$2,0)+1),MATCH(AA$1,[3]characters!$2:$2,0)-MATCH("character_id",[3]characters!$2:$2,0)+1,FALSE),"")</f>
        <v>3</v>
      </c>
      <c r="AB98" s="5" t="str">
        <f ca="1">IFERROR(VLOOKUP($Y98,OFFSET([3]characters!$A$1,0,0,COUNTA([3]characters!$A:$A),MATCH(AB$1,[3]characters!$2:$2,0)-MATCH("character_id",[3]characters!$2:$2,0)+1),MATCH(AB$1,[3]characters!$2:$2,0)-MATCH("character_id",[3]characters!$2:$2,0)+1,FALSE),"")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98" s="8">
        <v>1</v>
      </c>
      <c r="AD98" s="34">
        <f t="shared" ca="1" si="78"/>
        <v>3</v>
      </c>
      <c r="AE98" s="9">
        <v>30</v>
      </c>
      <c r="AF98" s="8">
        <v>0</v>
      </c>
      <c r="AG98" s="8">
        <v>0</v>
      </c>
      <c r="AH98" s="8">
        <v>0</v>
      </c>
      <c r="AI98" s="8">
        <v>0</v>
      </c>
      <c r="AJ98" s="8">
        <v>1</v>
      </c>
    </row>
    <row r="99" spans="1:36" ht="21" customHeight="1">
      <c r="A99" s="21" t="str">
        <f t="shared" ca="1" si="75"/>
        <v>11103_2-3/111&lt;lv15&gt;s1</v>
      </c>
      <c r="B99" s="8">
        <v>11103</v>
      </c>
      <c r="C99" s="51">
        <v>2</v>
      </c>
      <c r="D99" s="2" t="str">
        <f t="shared" si="76"/>
        <v>11103_2</v>
      </c>
      <c r="E99" s="5" t="str">
        <f ca="1">VLOOKUP($B99,OFFSET([1]quests!$A$1,0,0,COUNTA([1]quests!$A:$A),MATCH(E$1,[1]quests!$1:$1,0)-MATCH($B$1,[1]quests!$1:$1,0)+1),MATCH(E$1,[1]quests!$1:$1,0)-MATCH($B$1,[1]quests!$1:$1,0)+1,FALSE)</f>
        <v>【キャンペーン限定】 青の素材</v>
      </c>
      <c r="F99" s="5" t="str">
        <f ca="1">VLOOKUP($D99,OFFSET([1]stages!$A$1,0,0,COUNTA([1]stages!$A:$A),MATCH(F$1,[1]stages!$2:$2,0)-MATCH($D$1,[1]stages!$2:$2,0)+1),MATCH(F$1,[1]stages!$2:$2,0)-MATCH($D$1,[1]stages!$2:$2,0)+1,FALSE)</f>
        <v>水のウサギ 【中級】</v>
      </c>
      <c r="G99" s="32">
        <v>3</v>
      </c>
      <c r="H99" s="20" t="str">
        <f t="shared" si="77"/>
        <v>11103_2-3</v>
      </c>
      <c r="I99" s="31">
        <v>111</v>
      </c>
      <c r="J99" s="26" t="str">
        <f ca="1">VLOOKUP($I99,OFFSET([2]enemies!$A$1,0,0,COUNTA([2]enemies!$A:$A),MATCH(J$1,[2]enemies!$2:$2,0)-MATCH($I$1,[2]enemies!$2:$2,0)+1),MATCH(J$1,[2]enemies!$2:$2,0)-MATCH($I$1,[2]enemies!$2:$2,0)+1,FALSE)</f>
        <v>ブルーキャタップ</v>
      </c>
      <c r="K99" s="29" t="str">
        <f ca="1">VLOOKUP($I99,OFFSET([2]enemies!$A$1,0,0,COUNTA([2]enemies!$A:$A),MATCH(K$1,[2]enemies!$2:$2,0)-MATCH($I$1,[2]enemies!$2:$2,0)+1),MATCH(K$1,[2]enemies!$2:$2,0)-MATCH($I$1,[2]enemies!$2:$2,0)+1,FALSE)</f>
        <v>blue</v>
      </c>
      <c r="L99" s="29" t="str">
        <f ca="1">VLOOKUP($I99,OFFSET([3]characters!$A$1,0,0,COUNTA([3]characters!$A:$A),MATCH(L$1,[3]characters!$2:$2,0)-MATCH($I$1,[3]characters!$2:$2,0)+1),MATCH(L$1,[3]characters!$2:$2,0)-MATCH($I$1,[3]characters!$2:$2,0)+1,FALSE)</f>
        <v>Material</v>
      </c>
      <c r="M99" s="28" t="str">
        <f ca="1">VLOOKUP($I99,OFFSET([3]characters!$A$1,0,0,COUNTA([3]characters!$A:$A),MATCH(M$1,[3]characters!$2:$2,0)-MATCH($I$1,[3]characters!$2:$2,0)+2),MATCH(M$1,[3]characters!$2:$2,0)-MATCH($I$1,[3]characters!$2:$2,0)+2,FALSE)</f>
        <v>Unknown</v>
      </c>
      <c r="N99" s="5">
        <f ca="1">VLOOKUP($I99,OFFSET([2]enemies!$A$1,0,0,COUNTA([2]enemies!$A:$A),MATCH(N$1,[2]enemies!$2:$2,0)-MATCH($I$1,[2]enemies!$2:$2,0)+1),MATCH(N$1,[2]enemies!$2:$2,0)-MATCH($I$1,[2]enemies!$2:$2,0)+1,FALSE)</f>
        <v>15</v>
      </c>
      <c r="O99" s="6">
        <v>15</v>
      </c>
      <c r="P99" s="46">
        <v>2</v>
      </c>
      <c r="Q99" s="46">
        <v>1</v>
      </c>
      <c r="R99" s="6">
        <v>0</v>
      </c>
      <c r="S99" s="5" t="str">
        <f ca="1">VLOOKUP($T99,OFFSET([4]enemy_skill_sets!$B$1,0,0,COUNTA([4]enemy_skill_sets!$B:$B),MATCH(J$1,[4]enemy_skill_sets!$1:$1,0)-MATCH($T$1,[4]enemy_skill_sets!$1:$1,0)+2),MATCH(J$1,[4]enemy_skill_sets!$1:$1,0)-MATCH($T$1,[4]enemy_skill_sets!$1:$1,0)+2,FALSE)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9" s="5">
        <f ca="1">VLOOKUP($I99,OFFSET([2]enemies!$A$1,0,0,COUNTA([2]enemies!$A:$A),MATCH(T$1,[2]enemies!$2:$2,0)-MATCH($I$1,[2]enemies!$2:$2,0)+1),MATCH(T$1,[2]enemies!$2:$2,0)-MATCH($I$1,[2]enemies!$2:$2,0)+1,FALSE)</f>
        <v>0</v>
      </c>
      <c r="U99" s="7">
        <v>0</v>
      </c>
      <c r="V99" s="7">
        <v>25</v>
      </c>
      <c r="W99" s="7">
        <v>0</v>
      </c>
      <c r="X99" s="26">
        <f ca="1">VLOOKUP($I99,OFFSET([2]enemies!$A$1,0,0,COUNTA([2]enemies!$A:$A),MATCH(X$1,[2]enemies!$2:$2,0)-MATCH($I$1,[2]enemies!$2:$2,0)+1),MATCH(X$1,[2]enemies!$2:$2,0)-MATCH($I$1,[2]enemies!$2:$2,0)+1,FALSE)</f>
        <v>1</v>
      </c>
      <c r="Y99" s="31">
        <v>111</v>
      </c>
      <c r="Z99" s="5" t="str">
        <f ca="1">IFERROR(VLOOKUP($Y99,OFFSET([3]characters!$A$1,0,0,COUNTA([3]characters!$A:$A),MATCH(Z$1,[3]characters!$2:$2,0)-MATCH("character_id",[3]characters!$2:$2,0)+1),MATCH(Z$1,[3]characters!$2:$2,0)-MATCH("character_id",[3]characters!$2:$2,0)+1,FALSE),"")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99" s="5">
        <f ca="1">IFERROR(VLOOKUP($Y99,OFFSET([3]characters!$A$1,0,0,COUNTA([3]characters!$A:$A),MATCH(AA$1,[3]characters!$2:$2,0)-MATCH("character_id",[3]characters!$2:$2,0)+1),MATCH(AA$1,[3]characters!$2:$2,0)-MATCH("character_id",[3]characters!$2:$2,0)+1,FALSE),"")</f>
        <v>4</v>
      </c>
      <c r="AB99" s="5" t="str">
        <f ca="1">IFERROR(VLOOKUP($Y99,OFFSET([3]characters!$A$1,0,0,COUNTA([3]characters!$A:$A),MATCH(AB$1,[3]characters!$2:$2,0)-MATCH("character_id",[3]characters!$2:$2,0)+1),MATCH(AB$1,[3]characters!$2:$2,0)-MATCH("character_id",[3]characters!$2:$2,0)+1,FALSE),"")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99" s="8">
        <v>1</v>
      </c>
      <c r="AD99" s="34">
        <f t="shared" ca="1" si="78"/>
        <v>4</v>
      </c>
      <c r="AE99" s="9">
        <v>5</v>
      </c>
      <c r="AF99" s="8">
        <v>0</v>
      </c>
      <c r="AG99" s="8">
        <v>0</v>
      </c>
      <c r="AH99" s="8">
        <v>0</v>
      </c>
      <c r="AI99" s="8">
        <v>0</v>
      </c>
      <c r="AJ99" s="8">
        <v>1</v>
      </c>
    </row>
    <row r="100" spans="1:36" ht="21" customHeight="1">
      <c r="A100" s="21" t="str">
        <f t="shared" ca="1" si="75"/>
        <v>11103_2-4/110&lt;lv15&gt;s4</v>
      </c>
      <c r="B100" s="8">
        <v>11103</v>
      </c>
      <c r="C100" s="51">
        <v>2</v>
      </c>
      <c r="D100" s="2" t="str">
        <f t="shared" si="76"/>
        <v>11103_2</v>
      </c>
      <c r="E100" s="5" t="str">
        <f ca="1">VLOOKUP($B100,OFFSET([1]quests!$A$1,0,0,COUNTA([1]quests!$A:$A),MATCH(E$1,[1]quests!$1:$1,0)-MATCH($B$1,[1]quests!$1:$1,0)+1),MATCH(E$1,[1]quests!$1:$1,0)-MATCH($B$1,[1]quests!$1:$1,0)+1,FALSE)</f>
        <v>【キャンペーン限定】 青の素材</v>
      </c>
      <c r="F100" s="5" t="str">
        <f ca="1">VLOOKUP($D100,OFFSET([1]stages!$A$1,0,0,COUNTA([1]stages!$A:$A),MATCH(F$1,[1]stages!$2:$2,0)-MATCH($D$1,[1]stages!$2:$2,0)+1),MATCH(F$1,[1]stages!$2:$2,0)-MATCH($D$1,[1]stages!$2:$2,0)+1,FALSE)</f>
        <v>水のウサギ 【中級】</v>
      </c>
      <c r="G100" s="32">
        <v>4</v>
      </c>
      <c r="H100" s="20" t="str">
        <f t="shared" si="77"/>
        <v>11103_2-4</v>
      </c>
      <c r="I100" s="31">
        <v>110</v>
      </c>
      <c r="J100" s="26" t="str">
        <f ca="1">VLOOKUP($I100,OFFSET([2]enemies!$A$1,0,0,COUNTA([2]enemies!$A:$A),MATCH(J$1,[2]enemies!$2:$2,0)-MATCH($I$1,[2]enemies!$2:$2,0)+1),MATCH(J$1,[2]enemies!$2:$2,0)-MATCH($I$1,[2]enemies!$2:$2,0)+1,FALSE)</f>
        <v>ブルーラビット</v>
      </c>
      <c r="K100" s="29" t="str">
        <f ca="1">VLOOKUP($I100,OFFSET([2]enemies!$A$1,0,0,COUNTA([2]enemies!$A:$A),MATCH(K$1,[2]enemies!$2:$2,0)-MATCH($I$1,[2]enemies!$2:$2,0)+1),MATCH(K$1,[2]enemies!$2:$2,0)-MATCH($I$1,[2]enemies!$2:$2,0)+1,FALSE)</f>
        <v>blue</v>
      </c>
      <c r="L100" s="29" t="str">
        <f ca="1">VLOOKUP($I100,OFFSET([3]characters!$A$1,0,0,COUNTA([3]characters!$A:$A),MATCH(L$1,[3]characters!$2:$2,0)-MATCH($I$1,[3]characters!$2:$2,0)+1),MATCH(L$1,[3]characters!$2:$2,0)-MATCH($I$1,[3]characters!$2:$2,0)+1,FALSE)</f>
        <v>Material</v>
      </c>
      <c r="M100" s="28" t="str">
        <f ca="1">VLOOKUP($I100,OFFSET([3]characters!$A$1,0,0,COUNTA([3]characters!$A:$A),MATCH(M$1,[3]characters!$2:$2,0)-MATCH($I$1,[3]characters!$2:$2,0)+2),MATCH(M$1,[3]characters!$2:$2,0)-MATCH($I$1,[3]characters!$2:$2,0)+2,FALSE)</f>
        <v>Unknown</v>
      </c>
      <c r="N100" s="5">
        <f ca="1">VLOOKUP($I100,OFFSET([2]enemies!$A$1,0,0,COUNTA([2]enemies!$A:$A),MATCH(N$1,[2]enemies!$2:$2,0)-MATCH($I$1,[2]enemies!$2:$2,0)+1),MATCH(N$1,[2]enemies!$2:$2,0)-MATCH($I$1,[2]enemies!$2:$2,0)+1,FALSE)</f>
        <v>15</v>
      </c>
      <c r="O100" s="6">
        <v>15</v>
      </c>
      <c r="P100" s="48">
        <v>1.8</v>
      </c>
      <c r="Q100" s="46">
        <v>1</v>
      </c>
      <c r="R100" s="6">
        <v>0</v>
      </c>
      <c r="S100" s="5" t="str">
        <f ca="1">VLOOKUP($T100,OFFSET([4]enemy_skill_sets!$B$1,0,0,COUNTA([4]enemy_skill_sets!$B:$B),MATCH(J$1,[4]enemy_skill_sets!$1:$1,0)-MATCH($T$1,[4]enemy_skill_sets!$1:$1,0)+2),MATCH(J$1,[4]enemy_skill_sets!$1:$1,0)-MATCH($T$1,[4]enemy_skill_sets!$1:$1,0)+2,FALSE)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0" s="5">
        <f ca="1">VLOOKUP($I100,OFFSET([2]enemies!$A$1,0,0,COUNTA([2]enemies!$A:$A),MATCH(T$1,[2]enemies!$2:$2,0)-MATCH($I$1,[2]enemies!$2:$2,0)+1),MATCH(T$1,[2]enemies!$2:$2,0)-MATCH($I$1,[2]enemies!$2:$2,0)+1,FALSE)</f>
        <v>0</v>
      </c>
      <c r="U100" s="7">
        <v>0</v>
      </c>
      <c r="V100" s="7">
        <v>100</v>
      </c>
      <c r="W100" s="7">
        <v>0</v>
      </c>
      <c r="X100" s="26">
        <f ca="1">VLOOKUP($I100,OFFSET([2]enemies!$A$1,0,0,COUNTA([2]enemies!$A:$A),MATCH(X$1,[2]enemies!$2:$2,0)-MATCH($I$1,[2]enemies!$2:$2,0)+1),MATCH(X$1,[2]enemies!$2:$2,0)-MATCH($I$1,[2]enemies!$2:$2,0)+1,FALSE)</f>
        <v>4</v>
      </c>
      <c r="Y100" s="31">
        <v>110</v>
      </c>
      <c r="Z100" s="5" t="str">
        <f ca="1">IFERROR(VLOOKUP($Y100,OFFSET([3]characters!$A$1,0,0,COUNTA([3]characters!$A:$A),MATCH(Z$1,[3]characters!$2:$2,0)-MATCH("character_id",[3]characters!$2:$2,0)+1),MATCH(Z$1,[3]characters!$2:$2,0)-MATCH("character_id",[3]characters!$2:$2,0)+1,FALSE),"")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100" s="5">
        <f ca="1">IFERROR(VLOOKUP($Y100,OFFSET([3]characters!$A$1,0,0,COUNTA([3]characters!$A:$A),MATCH(AA$1,[3]characters!$2:$2,0)-MATCH("character_id",[3]characters!$2:$2,0)+1),MATCH(AA$1,[3]characters!$2:$2,0)-MATCH("character_id",[3]characters!$2:$2,0)+1,FALSE),"")</f>
        <v>3</v>
      </c>
      <c r="AB100" s="5" t="str">
        <f ca="1">IFERROR(VLOOKUP($Y100,OFFSET([3]characters!$A$1,0,0,COUNTA([3]characters!$A:$A),MATCH(AB$1,[3]characters!$2:$2,0)-MATCH("character_id",[3]characters!$2:$2,0)+1),MATCH(AB$1,[3]characters!$2:$2,0)-MATCH("character_id",[3]characters!$2:$2,0)+1,FALSE),"")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00" s="8">
        <v>1</v>
      </c>
      <c r="AD100" s="34">
        <f t="shared" ca="1" si="78"/>
        <v>3</v>
      </c>
      <c r="AE100" s="9">
        <v>30</v>
      </c>
      <c r="AF100" s="8">
        <v>0</v>
      </c>
      <c r="AG100" s="8">
        <v>0</v>
      </c>
      <c r="AH100" s="8">
        <v>0</v>
      </c>
      <c r="AI100" s="8">
        <v>0</v>
      </c>
      <c r="AJ100" s="8">
        <v>1</v>
      </c>
    </row>
    <row r="101" spans="1:36" ht="21" customHeight="1">
      <c r="A101" s="21" t="str">
        <f t="shared" ca="1" si="75"/>
        <v>11103_2-4/111&lt;lv15&gt;s1</v>
      </c>
      <c r="B101" s="8">
        <v>11103</v>
      </c>
      <c r="C101" s="51">
        <v>2</v>
      </c>
      <c r="D101" s="2" t="str">
        <f t="shared" si="76"/>
        <v>11103_2</v>
      </c>
      <c r="E101" s="5" t="str">
        <f ca="1">VLOOKUP($B101,OFFSET([1]quests!$A$1,0,0,COUNTA([1]quests!$A:$A),MATCH(E$1,[1]quests!$1:$1,0)-MATCH($B$1,[1]quests!$1:$1,0)+1),MATCH(E$1,[1]quests!$1:$1,0)-MATCH($B$1,[1]quests!$1:$1,0)+1,FALSE)</f>
        <v>【キャンペーン限定】 青の素材</v>
      </c>
      <c r="F101" s="5" t="str">
        <f ca="1">VLOOKUP($D101,OFFSET([1]stages!$A$1,0,0,COUNTA([1]stages!$A:$A),MATCH(F$1,[1]stages!$2:$2,0)-MATCH($D$1,[1]stages!$2:$2,0)+1),MATCH(F$1,[1]stages!$2:$2,0)-MATCH($D$1,[1]stages!$2:$2,0)+1,FALSE)</f>
        <v>水のウサギ 【中級】</v>
      </c>
      <c r="G101" s="32">
        <v>4</v>
      </c>
      <c r="H101" s="20" t="str">
        <f t="shared" si="77"/>
        <v>11103_2-4</v>
      </c>
      <c r="I101" s="31">
        <v>111</v>
      </c>
      <c r="J101" s="26" t="str">
        <f ca="1">VLOOKUP($I101,OFFSET([2]enemies!$A$1,0,0,COUNTA([2]enemies!$A:$A),MATCH(J$1,[2]enemies!$2:$2,0)-MATCH($I$1,[2]enemies!$2:$2,0)+1),MATCH(J$1,[2]enemies!$2:$2,0)-MATCH($I$1,[2]enemies!$2:$2,0)+1,FALSE)</f>
        <v>ブルーキャタップ</v>
      </c>
      <c r="K101" s="29" t="str">
        <f ca="1">VLOOKUP($I101,OFFSET([2]enemies!$A$1,0,0,COUNTA([2]enemies!$A:$A),MATCH(K$1,[2]enemies!$2:$2,0)-MATCH($I$1,[2]enemies!$2:$2,0)+1),MATCH(K$1,[2]enemies!$2:$2,0)-MATCH($I$1,[2]enemies!$2:$2,0)+1,FALSE)</f>
        <v>blue</v>
      </c>
      <c r="L101" s="29" t="str">
        <f ca="1">VLOOKUP($I101,OFFSET([3]characters!$A$1,0,0,COUNTA([3]characters!$A:$A),MATCH(L$1,[3]characters!$2:$2,0)-MATCH($I$1,[3]characters!$2:$2,0)+1),MATCH(L$1,[3]characters!$2:$2,0)-MATCH($I$1,[3]characters!$2:$2,0)+1,FALSE)</f>
        <v>Material</v>
      </c>
      <c r="M101" s="28" t="str">
        <f ca="1">VLOOKUP($I101,OFFSET([3]characters!$A$1,0,0,COUNTA([3]characters!$A:$A),MATCH(M$1,[3]characters!$2:$2,0)-MATCH($I$1,[3]characters!$2:$2,0)+2),MATCH(M$1,[3]characters!$2:$2,0)-MATCH($I$1,[3]characters!$2:$2,0)+2,FALSE)</f>
        <v>Unknown</v>
      </c>
      <c r="N101" s="5">
        <f ca="1">VLOOKUP($I101,OFFSET([2]enemies!$A$1,0,0,COUNTA([2]enemies!$A:$A),MATCH(N$1,[2]enemies!$2:$2,0)-MATCH($I$1,[2]enemies!$2:$2,0)+1),MATCH(N$1,[2]enemies!$2:$2,0)-MATCH($I$1,[2]enemies!$2:$2,0)+1,FALSE)</f>
        <v>15</v>
      </c>
      <c r="O101" s="6">
        <v>15</v>
      </c>
      <c r="P101" s="46">
        <v>2</v>
      </c>
      <c r="Q101" s="46">
        <v>1</v>
      </c>
      <c r="R101" s="6">
        <v>0</v>
      </c>
      <c r="S101" s="5" t="str">
        <f ca="1">VLOOKUP($T101,OFFSET([4]enemy_skill_sets!$B$1,0,0,COUNTA([4]enemy_skill_sets!$B:$B),MATCH(J$1,[4]enemy_skill_sets!$1:$1,0)-MATCH($T$1,[4]enemy_skill_sets!$1:$1,0)+2),MATCH(J$1,[4]enemy_skill_sets!$1:$1,0)-MATCH($T$1,[4]enemy_skill_sets!$1:$1,0)+2,FALSE)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1" s="5">
        <f ca="1">VLOOKUP($I101,OFFSET([2]enemies!$A$1,0,0,COUNTA([2]enemies!$A:$A),MATCH(T$1,[2]enemies!$2:$2,0)-MATCH($I$1,[2]enemies!$2:$2,0)+1),MATCH(T$1,[2]enemies!$2:$2,0)-MATCH($I$1,[2]enemies!$2:$2,0)+1,FALSE)</f>
        <v>0</v>
      </c>
      <c r="U101" s="7">
        <v>0</v>
      </c>
      <c r="V101" s="7">
        <v>25</v>
      </c>
      <c r="W101" s="7">
        <v>0</v>
      </c>
      <c r="X101" s="26">
        <f ca="1">VLOOKUP($I101,OFFSET([2]enemies!$A$1,0,0,COUNTA([2]enemies!$A:$A),MATCH(X$1,[2]enemies!$2:$2,0)-MATCH($I$1,[2]enemies!$2:$2,0)+1),MATCH(X$1,[2]enemies!$2:$2,0)-MATCH($I$1,[2]enemies!$2:$2,0)+1,FALSE)</f>
        <v>1</v>
      </c>
      <c r="Y101" s="31">
        <v>111</v>
      </c>
      <c r="Z101" s="5" t="str">
        <f ca="1">IFERROR(VLOOKUP($Y101,OFFSET([3]characters!$A$1,0,0,COUNTA([3]characters!$A:$A),MATCH(Z$1,[3]characters!$2:$2,0)-MATCH("character_id",[3]characters!$2:$2,0)+1),MATCH(Z$1,[3]characters!$2:$2,0)-MATCH("character_id",[3]characters!$2:$2,0)+1,FALSE),"")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101" s="5">
        <f ca="1">IFERROR(VLOOKUP($Y101,OFFSET([3]characters!$A$1,0,0,COUNTA([3]characters!$A:$A),MATCH(AA$1,[3]characters!$2:$2,0)-MATCH("character_id",[3]characters!$2:$2,0)+1),MATCH(AA$1,[3]characters!$2:$2,0)-MATCH("character_id",[3]characters!$2:$2,0)+1,FALSE),"")</f>
        <v>4</v>
      </c>
      <c r="AB101" s="5" t="str">
        <f ca="1">IFERROR(VLOOKUP($Y101,OFFSET([3]characters!$A$1,0,0,COUNTA([3]characters!$A:$A),MATCH(AB$1,[3]characters!$2:$2,0)-MATCH("character_id",[3]characters!$2:$2,0)+1),MATCH(AB$1,[3]characters!$2:$2,0)-MATCH("character_id",[3]characters!$2:$2,0)+1,FALSE),"")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01" s="8">
        <v>1</v>
      </c>
      <c r="AD101" s="34">
        <f t="shared" ca="1" si="78"/>
        <v>4</v>
      </c>
      <c r="AE101" s="9">
        <v>5</v>
      </c>
      <c r="AF101" s="8">
        <v>0</v>
      </c>
      <c r="AG101" s="8">
        <v>0</v>
      </c>
      <c r="AH101" s="8">
        <v>0</v>
      </c>
      <c r="AI101" s="8">
        <v>0</v>
      </c>
      <c r="AJ101" s="8">
        <v>1</v>
      </c>
    </row>
    <row r="102" spans="1:36" ht="21" customHeight="1">
      <c r="A102" s="21" t="str">
        <f t="shared" ca="1" si="75"/>
        <v>11103_2-5/110&lt;lv15&gt;s4</v>
      </c>
      <c r="B102" s="8">
        <v>11103</v>
      </c>
      <c r="C102" s="51">
        <v>2</v>
      </c>
      <c r="D102" s="2" t="str">
        <f t="shared" si="76"/>
        <v>11103_2</v>
      </c>
      <c r="E102" s="5" t="str">
        <f ca="1">VLOOKUP($B102,OFFSET([1]quests!$A$1,0,0,COUNTA([1]quests!$A:$A),MATCH(E$1,[1]quests!$1:$1,0)-MATCH($B$1,[1]quests!$1:$1,0)+1),MATCH(E$1,[1]quests!$1:$1,0)-MATCH($B$1,[1]quests!$1:$1,0)+1,FALSE)</f>
        <v>【キャンペーン限定】 青の素材</v>
      </c>
      <c r="F102" s="5" t="str">
        <f ca="1">VLOOKUP($D102,OFFSET([1]stages!$A$1,0,0,COUNTA([1]stages!$A:$A),MATCH(F$1,[1]stages!$2:$2,0)-MATCH($D$1,[1]stages!$2:$2,0)+1),MATCH(F$1,[1]stages!$2:$2,0)-MATCH($D$1,[1]stages!$2:$2,0)+1,FALSE)</f>
        <v>水のウサギ 【中級】</v>
      </c>
      <c r="G102" s="32">
        <v>5</v>
      </c>
      <c r="H102" s="20" t="str">
        <f t="shared" si="77"/>
        <v>11103_2-5</v>
      </c>
      <c r="I102" s="31">
        <v>110</v>
      </c>
      <c r="J102" s="26" t="str">
        <f ca="1">VLOOKUP($I102,OFFSET([2]enemies!$A$1,0,0,COUNTA([2]enemies!$A:$A),MATCH(J$1,[2]enemies!$2:$2,0)-MATCH($I$1,[2]enemies!$2:$2,0)+1),MATCH(J$1,[2]enemies!$2:$2,0)-MATCH($I$1,[2]enemies!$2:$2,0)+1,FALSE)</f>
        <v>ブルーラビット</v>
      </c>
      <c r="K102" s="29" t="str">
        <f ca="1">VLOOKUP($I102,OFFSET([2]enemies!$A$1,0,0,COUNTA([2]enemies!$A:$A),MATCH(K$1,[2]enemies!$2:$2,0)-MATCH($I$1,[2]enemies!$2:$2,0)+1),MATCH(K$1,[2]enemies!$2:$2,0)-MATCH($I$1,[2]enemies!$2:$2,0)+1,FALSE)</f>
        <v>blue</v>
      </c>
      <c r="L102" s="29" t="str">
        <f ca="1">VLOOKUP($I102,OFFSET([3]characters!$A$1,0,0,COUNTA([3]characters!$A:$A),MATCH(L$1,[3]characters!$2:$2,0)-MATCH($I$1,[3]characters!$2:$2,0)+1),MATCH(L$1,[3]characters!$2:$2,0)-MATCH($I$1,[3]characters!$2:$2,0)+1,FALSE)</f>
        <v>Material</v>
      </c>
      <c r="M102" s="28" t="str">
        <f ca="1">VLOOKUP($I102,OFFSET([3]characters!$A$1,0,0,COUNTA([3]characters!$A:$A),MATCH(M$1,[3]characters!$2:$2,0)-MATCH($I$1,[3]characters!$2:$2,0)+2),MATCH(M$1,[3]characters!$2:$2,0)-MATCH($I$1,[3]characters!$2:$2,0)+2,FALSE)</f>
        <v>Unknown</v>
      </c>
      <c r="N102" s="5">
        <f ca="1">VLOOKUP($I102,OFFSET([2]enemies!$A$1,0,0,COUNTA([2]enemies!$A:$A),MATCH(N$1,[2]enemies!$2:$2,0)-MATCH($I$1,[2]enemies!$2:$2,0)+1),MATCH(N$1,[2]enemies!$2:$2,0)-MATCH($I$1,[2]enemies!$2:$2,0)+1,FALSE)</f>
        <v>15</v>
      </c>
      <c r="O102" s="6">
        <v>15</v>
      </c>
      <c r="P102" s="48">
        <v>1.8</v>
      </c>
      <c r="Q102" s="46">
        <v>1</v>
      </c>
      <c r="R102" s="6">
        <v>0</v>
      </c>
      <c r="S102" s="5" t="str">
        <f ca="1">VLOOKUP($T102,OFFSET([4]enemy_skill_sets!$B$1,0,0,COUNTA([4]enemy_skill_sets!$B:$B),MATCH(J$1,[4]enemy_skill_sets!$1:$1,0)-MATCH($T$1,[4]enemy_skill_sets!$1:$1,0)+2),MATCH(J$1,[4]enemy_skill_sets!$1:$1,0)-MATCH($T$1,[4]enemy_skill_sets!$1:$1,0)+2,FALSE)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2" s="5">
        <f ca="1">VLOOKUP($I102,OFFSET([2]enemies!$A$1,0,0,COUNTA([2]enemies!$A:$A),MATCH(T$1,[2]enemies!$2:$2,0)-MATCH($I$1,[2]enemies!$2:$2,0)+1),MATCH(T$1,[2]enemies!$2:$2,0)-MATCH($I$1,[2]enemies!$2:$2,0)+1,FALSE)</f>
        <v>0</v>
      </c>
      <c r="U102" s="7">
        <v>2</v>
      </c>
      <c r="V102" s="7">
        <v>100</v>
      </c>
      <c r="W102" s="7">
        <v>0</v>
      </c>
      <c r="X102" s="26">
        <f ca="1">VLOOKUP($I102,OFFSET([2]enemies!$A$1,0,0,COUNTA([2]enemies!$A:$A),MATCH(X$1,[2]enemies!$2:$2,0)-MATCH($I$1,[2]enemies!$2:$2,0)+1),MATCH(X$1,[2]enemies!$2:$2,0)-MATCH($I$1,[2]enemies!$2:$2,0)+1,FALSE)</f>
        <v>4</v>
      </c>
      <c r="Y102" s="31">
        <v>110</v>
      </c>
      <c r="Z102" s="5" t="str">
        <f ca="1">IFERROR(VLOOKUP($Y102,OFFSET([3]characters!$A$1,0,0,COUNTA([3]characters!$A:$A),MATCH(Z$1,[3]characters!$2:$2,0)-MATCH("character_id",[3]characters!$2:$2,0)+1),MATCH(Z$1,[3]characters!$2:$2,0)-MATCH("character_id",[3]characters!$2:$2,0)+1,FALSE),"")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102" s="5">
        <f ca="1">IFERROR(VLOOKUP($Y102,OFFSET([3]characters!$A$1,0,0,COUNTA([3]characters!$A:$A),MATCH(AA$1,[3]characters!$2:$2,0)-MATCH("character_id",[3]characters!$2:$2,0)+1),MATCH(AA$1,[3]characters!$2:$2,0)-MATCH("character_id",[3]characters!$2:$2,0)+1,FALSE),"")</f>
        <v>3</v>
      </c>
      <c r="AB102" s="5" t="str">
        <f ca="1">IFERROR(VLOOKUP($Y102,OFFSET([3]characters!$A$1,0,0,COUNTA([3]characters!$A:$A),MATCH(AB$1,[3]characters!$2:$2,0)-MATCH("character_id",[3]characters!$2:$2,0)+1),MATCH(AB$1,[3]characters!$2:$2,0)-MATCH("character_id",[3]characters!$2:$2,0)+1,FALSE),"")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02" s="8">
        <v>1</v>
      </c>
      <c r="AD102" s="34">
        <f t="shared" ca="1" si="78"/>
        <v>3</v>
      </c>
      <c r="AE102" s="9">
        <v>100</v>
      </c>
      <c r="AF102" s="8">
        <v>0</v>
      </c>
      <c r="AG102" s="8">
        <v>0</v>
      </c>
      <c r="AH102" s="8">
        <v>0</v>
      </c>
      <c r="AI102" s="8">
        <v>0</v>
      </c>
      <c r="AJ102" s="8">
        <v>1</v>
      </c>
    </row>
    <row r="103" spans="1:36" ht="21" customHeight="1">
      <c r="A103" s="21" t="str">
        <f t="shared" ca="1" si="75"/>
        <v>11103_2-5/54&lt;lv18&gt;s2</v>
      </c>
      <c r="B103" s="8">
        <v>11103</v>
      </c>
      <c r="C103" s="51">
        <v>2</v>
      </c>
      <c r="D103" s="2" t="str">
        <f t="shared" si="76"/>
        <v>11103_2</v>
      </c>
      <c r="E103" s="5" t="str">
        <f ca="1">VLOOKUP($B103,OFFSET([1]quests!$A$1,0,0,COUNTA([1]quests!$A:$A),MATCH(E$1,[1]quests!$1:$1,0)-MATCH($B$1,[1]quests!$1:$1,0)+1),MATCH(E$1,[1]quests!$1:$1,0)-MATCH($B$1,[1]quests!$1:$1,0)+1,FALSE)</f>
        <v>【キャンペーン限定】 青の素材</v>
      </c>
      <c r="F103" s="5" t="str">
        <f ca="1">VLOOKUP($D103,OFFSET([1]stages!$A$1,0,0,COUNTA([1]stages!$A:$A),MATCH(F$1,[1]stages!$2:$2,0)-MATCH($D$1,[1]stages!$2:$2,0)+1),MATCH(F$1,[1]stages!$2:$2,0)-MATCH($D$1,[1]stages!$2:$2,0)+1,FALSE)</f>
        <v>水のウサギ 【中級】</v>
      </c>
      <c r="G103" s="32">
        <v>5</v>
      </c>
      <c r="H103" s="20" t="str">
        <f t="shared" si="77"/>
        <v>11103_2-5</v>
      </c>
      <c r="I103" s="31">
        <v>54</v>
      </c>
      <c r="J103" s="26" t="str">
        <f ca="1">VLOOKUP($I103,OFFSET([2]enemies!$A$1,0,0,COUNTA([2]enemies!$A:$A),MATCH(J$1,[2]enemies!$2:$2,0)-MATCH($I$1,[2]enemies!$2:$2,0)+1),MATCH(J$1,[2]enemies!$2:$2,0)-MATCH($I$1,[2]enemies!$2:$2,0)+1,FALSE)</f>
        <v>蒼斬のレジスタンス ケンジ</v>
      </c>
      <c r="K103" s="29" t="str">
        <f ca="1">VLOOKUP($I103,OFFSET([2]enemies!$A$1,0,0,COUNTA([2]enemies!$A:$A),MATCH(K$1,[2]enemies!$2:$2,0)-MATCH($I$1,[2]enemies!$2:$2,0)+1),MATCH(K$1,[2]enemies!$2:$2,0)-MATCH($I$1,[2]enemies!$2:$2,0)+1,FALSE)</f>
        <v>blue</v>
      </c>
      <c r="L103" s="29" t="str">
        <f ca="1">VLOOKUP($I103,OFFSET([3]characters!$A$1,0,0,COUNTA([3]characters!$A:$A),MATCH(L$1,[3]characters!$2:$2,0)-MATCH($I$1,[3]characters!$2:$2,0)+1),MATCH(L$1,[3]characters!$2:$2,0)-MATCH($I$1,[3]characters!$2:$2,0)+1,FALSE)</f>
        <v>Drop1N</v>
      </c>
      <c r="M103" s="28" t="str">
        <f ca="1">VLOOKUP($I103,OFFSET([3]characters!$A$1,0,0,COUNTA([3]characters!$A:$A),MATCH(M$1,[3]characters!$2:$2,0)-MATCH($I$1,[3]characters!$2:$2,0)+2),MATCH(M$1,[3]characters!$2:$2,0)-MATCH($I$1,[3]characters!$2:$2,0)+2,FALSE)</f>
        <v>ヒューマン</v>
      </c>
      <c r="N103" s="5">
        <f ca="1">VLOOKUP($I103,OFFSET([2]enemies!$A$1,0,0,COUNTA([2]enemies!$A:$A),MATCH(N$1,[2]enemies!$2:$2,0)-MATCH($I$1,[2]enemies!$2:$2,0)+1),MATCH(N$1,[2]enemies!$2:$2,0)-MATCH($I$1,[2]enemies!$2:$2,0)+1,FALSE)</f>
        <v>20</v>
      </c>
      <c r="O103" s="6">
        <v>18</v>
      </c>
      <c r="P103" s="46">
        <v>1</v>
      </c>
      <c r="Q103" s="46">
        <v>1</v>
      </c>
      <c r="R103" s="6">
        <v>0</v>
      </c>
      <c r="S103" s="5" t="str">
        <f ca="1">VLOOKUP($T103,OFFSET([4]enemy_skill_sets!$B$1,0,0,COUNTA([4]enemy_skill_sets!$B:$B),MATCH(J$1,[4]enemy_skill_sets!$1:$1,0)-MATCH($T$1,[4]enemy_skill_sets!$1:$1,0)+2),MATCH(J$1,[4]enemy_skill_sets!$1:$1,0)-MATCH($T$1,[4]enemy_skill_sets!$1:$1,0)+2,FALSE)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103" s="5">
        <f ca="1">VLOOKUP($I103,OFFSET([2]enemies!$A$1,0,0,COUNTA([2]enemies!$A:$A),MATCH(T$1,[2]enemies!$2:$2,0)-MATCH($I$1,[2]enemies!$2:$2,0)+1),MATCH(T$1,[2]enemies!$2:$2,0)-MATCH($I$1,[2]enemies!$2:$2,0)+1,FALSE)</f>
        <v>53</v>
      </c>
      <c r="U103" s="7">
        <v>0</v>
      </c>
      <c r="V103" s="7">
        <v>100</v>
      </c>
      <c r="W103" s="7">
        <v>1</v>
      </c>
      <c r="X103" s="26">
        <f ca="1">VLOOKUP($I103,OFFSET([2]enemies!$A$1,0,0,COUNTA([2]enemies!$A:$A),MATCH(X$1,[2]enemies!$2:$2,0)-MATCH($I$1,[2]enemies!$2:$2,0)+1),MATCH(X$1,[2]enemies!$2:$2,0)-MATCH($I$1,[2]enemies!$2:$2,0)+1,FALSE)</f>
        <v>2</v>
      </c>
      <c r="Y103" s="31">
        <v>53</v>
      </c>
      <c r="Z103" s="5" t="str">
        <f ca="1">IFERROR(VLOOKUP($Y103,OFFSET([3]characters!$A$1,0,0,COUNTA([3]characters!$A:$A),MATCH(Z$1,[3]characters!$2:$2,0)-MATCH("character_id",[3]characters!$2:$2,0)+1),MATCH(Z$1,[3]characters!$2:$2,0)-MATCH("character_id",[3]characters!$2:$2,0)+1,FALSE),"")</f>
        <v>ケンジ</v>
      </c>
      <c r="AA103" s="5">
        <f ca="1">IFERROR(VLOOKUP($Y103,OFFSET([3]characters!$A$1,0,0,COUNTA([3]characters!$A:$A),MATCH(AA$1,[3]characters!$2:$2,0)-MATCH("character_id",[3]characters!$2:$2,0)+1),MATCH(AA$1,[3]characters!$2:$2,0)-MATCH("character_id",[3]characters!$2:$2,0)+1,FALSE),"")</f>
        <v>2</v>
      </c>
      <c r="AB103" s="5" t="str">
        <f ca="1">IFERROR(VLOOKUP($Y103,OFFSET([3]characters!$A$1,0,0,COUNTA([3]characters!$A:$A),MATCH(AB$1,[3]characters!$2:$2,0)-MATCH("character_id",[3]characters!$2:$2,0)+1),MATCH(AB$1,[3]characters!$2:$2,0)-MATCH("character_id",[3]characters!$2:$2,0)+1,FALSE),"")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03" s="8">
        <v>1</v>
      </c>
      <c r="AD103" s="34">
        <f t="shared" ca="1" si="78"/>
        <v>2</v>
      </c>
      <c r="AE103" s="9">
        <v>0</v>
      </c>
      <c r="AF103" s="8">
        <v>0</v>
      </c>
      <c r="AG103" s="8">
        <v>0</v>
      </c>
      <c r="AH103" s="8">
        <v>0</v>
      </c>
      <c r="AI103" s="8">
        <v>0</v>
      </c>
      <c r="AJ103" s="8">
        <v>1</v>
      </c>
    </row>
    <row r="104" spans="1:36" ht="21" customHeight="1">
      <c r="A104" s="21" t="str">
        <f t="shared" ca="1" si="75"/>
        <v>11103_2-5/46&lt;lv18&gt;s3</v>
      </c>
      <c r="B104" s="8">
        <v>11103</v>
      </c>
      <c r="C104" s="51">
        <v>2</v>
      </c>
      <c r="D104" s="2" t="str">
        <f t="shared" si="76"/>
        <v>11103_2</v>
      </c>
      <c r="E104" s="5" t="str">
        <f ca="1">VLOOKUP($B104,OFFSET([1]quests!$A$1,0,0,COUNTA([1]quests!$A:$A),MATCH(E$1,[1]quests!$1:$1,0)-MATCH($B$1,[1]quests!$1:$1,0)+1),MATCH(E$1,[1]quests!$1:$1,0)-MATCH($B$1,[1]quests!$1:$1,0)+1,FALSE)</f>
        <v>【キャンペーン限定】 青の素材</v>
      </c>
      <c r="F104" s="5" t="str">
        <f ca="1">VLOOKUP($D104,OFFSET([1]stages!$A$1,0,0,COUNTA([1]stages!$A:$A),MATCH(F$1,[1]stages!$2:$2,0)-MATCH($D$1,[1]stages!$2:$2,0)+1),MATCH(F$1,[1]stages!$2:$2,0)-MATCH($D$1,[1]stages!$2:$2,0)+1,FALSE)</f>
        <v>水のウサギ 【中級】</v>
      </c>
      <c r="G104" s="32">
        <v>5</v>
      </c>
      <c r="H104" s="20" t="str">
        <f t="shared" si="77"/>
        <v>11103_2-5</v>
      </c>
      <c r="I104" s="31">
        <v>46</v>
      </c>
      <c r="J104" s="26" t="str">
        <f ca="1">VLOOKUP($I104,OFFSET([2]enemies!$A$1,0,0,COUNTA([2]enemies!$A:$A),MATCH(J$1,[2]enemies!$2:$2,0)-MATCH($I$1,[2]enemies!$2:$2,0)+1),MATCH(J$1,[2]enemies!$2:$2,0)-MATCH($I$1,[2]enemies!$2:$2,0)+1,FALSE)</f>
        <v>微笑みの筆跡 ショウイン</v>
      </c>
      <c r="K104" s="29" t="str">
        <f ca="1">VLOOKUP($I104,OFFSET([2]enemies!$A$1,0,0,COUNTA([2]enemies!$A:$A),MATCH(K$1,[2]enemies!$2:$2,0)-MATCH($I$1,[2]enemies!$2:$2,0)+1),MATCH(K$1,[2]enemies!$2:$2,0)-MATCH($I$1,[2]enemies!$2:$2,0)+1,FALSE)</f>
        <v>blue</v>
      </c>
      <c r="L104" s="29" t="str">
        <f ca="1">VLOOKUP($I104,OFFSET([3]characters!$A$1,0,0,COUNTA([3]characters!$A:$A),MATCH(L$1,[3]characters!$2:$2,0)-MATCH($I$1,[3]characters!$2:$2,0)+1),MATCH(L$1,[3]characters!$2:$2,0)-MATCH($I$1,[3]characters!$2:$2,0)+1,FALSE)</f>
        <v>Drop1N</v>
      </c>
      <c r="M104" s="28" t="str">
        <f ca="1">VLOOKUP($I104,OFFSET([3]characters!$A$1,0,0,COUNTA([3]characters!$A:$A),MATCH(M$1,[3]characters!$2:$2,0)-MATCH($I$1,[3]characters!$2:$2,0)+2),MATCH(M$1,[3]characters!$2:$2,0)-MATCH($I$1,[3]characters!$2:$2,0)+2,FALSE)</f>
        <v>アニマル</v>
      </c>
      <c r="N104" s="5">
        <f ca="1">VLOOKUP($I104,OFFSET([2]enemies!$A$1,0,0,COUNTA([2]enemies!$A:$A),MATCH(N$1,[2]enemies!$2:$2,0)-MATCH($I$1,[2]enemies!$2:$2,0)+1),MATCH(N$1,[2]enemies!$2:$2,0)-MATCH($I$1,[2]enemies!$2:$2,0)+1,FALSE)</f>
        <v>20</v>
      </c>
      <c r="O104" s="6">
        <v>18</v>
      </c>
      <c r="P104" s="46">
        <v>1</v>
      </c>
      <c r="Q104" s="46">
        <v>1</v>
      </c>
      <c r="R104" s="6">
        <v>0</v>
      </c>
      <c r="S104" s="5" t="str">
        <f ca="1">VLOOKUP($T104,OFFSET([4]enemy_skill_sets!$B$1,0,0,COUNTA([4]enemy_skill_sets!$B:$B),MATCH(J$1,[4]enemy_skill_sets!$1:$1,0)-MATCH($T$1,[4]enemy_skill_sets!$1:$1,0)+2),MATCH(J$1,[4]enemy_skill_sets!$1:$1,0)-MATCH($T$1,[4]enemy_skill_sets!$1:$1,0)+2,FALSE)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4" s="5">
        <f ca="1">VLOOKUP($I104,OFFSET([2]enemies!$A$1,0,0,COUNTA([2]enemies!$A:$A),MATCH(T$1,[2]enemies!$2:$2,0)-MATCH($I$1,[2]enemies!$2:$2,0)+1),MATCH(T$1,[2]enemies!$2:$2,0)-MATCH($I$1,[2]enemies!$2:$2,0)+1,FALSE)</f>
        <v>0</v>
      </c>
      <c r="U104" s="7">
        <v>0</v>
      </c>
      <c r="V104" s="7">
        <v>100</v>
      </c>
      <c r="W104" s="7">
        <v>1</v>
      </c>
      <c r="X104" s="26">
        <f ca="1">VLOOKUP($I104,OFFSET([2]enemies!$A$1,0,0,COUNTA([2]enemies!$A:$A),MATCH(X$1,[2]enemies!$2:$2,0)-MATCH($I$1,[2]enemies!$2:$2,0)+1),MATCH(X$1,[2]enemies!$2:$2,0)-MATCH($I$1,[2]enemies!$2:$2,0)+1,FALSE)</f>
        <v>3</v>
      </c>
      <c r="Y104" s="31">
        <v>45</v>
      </c>
      <c r="Z104" s="5" t="str">
        <f ca="1">IFERROR(VLOOKUP($Y104,OFFSET([3]characters!$A$1,0,0,COUNTA([3]characters!$A:$A),MATCH(Z$1,[3]characters!$2:$2,0)-MATCH("character_id",[3]characters!$2:$2,0)+1),MATCH(Z$1,[3]characters!$2:$2,0)-MATCH("character_id",[3]characters!$2:$2,0)+1,FALSE),"")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104" s="5">
        <f ca="1">IFERROR(VLOOKUP($Y104,OFFSET([3]characters!$A$1,0,0,COUNTA([3]characters!$A:$A),MATCH(AA$1,[3]characters!$2:$2,0)-MATCH("character_id",[3]characters!$2:$2,0)+1),MATCH(AA$1,[3]characters!$2:$2,0)-MATCH("character_id",[3]characters!$2:$2,0)+1,FALSE),"")</f>
        <v>2</v>
      </c>
      <c r="AB104" s="5" t="str">
        <f ca="1">IFERROR(VLOOKUP($Y104,OFFSET([3]characters!$A$1,0,0,COUNTA([3]characters!$A:$A),MATCH(AB$1,[3]characters!$2:$2,0)-MATCH("character_id",[3]characters!$2:$2,0)+1),MATCH(AB$1,[3]characters!$2:$2,0)-MATCH("character_id",[3]characters!$2:$2,0)+1,FALSE),"")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04" s="8">
        <v>1</v>
      </c>
      <c r="AD104" s="34">
        <f t="shared" ca="1" si="78"/>
        <v>2</v>
      </c>
      <c r="AE104" s="9">
        <v>0</v>
      </c>
      <c r="AF104" s="8">
        <v>0</v>
      </c>
      <c r="AG104" s="8">
        <v>0</v>
      </c>
      <c r="AH104" s="8">
        <v>0</v>
      </c>
      <c r="AI104" s="8">
        <v>0</v>
      </c>
      <c r="AJ104" s="8">
        <v>1</v>
      </c>
    </row>
    <row r="105" spans="1:36" ht="21" customHeight="1">
      <c r="A105" s="21" t="str">
        <f t="shared" ca="1" si="75"/>
        <v>11103_2-5/62&lt;lv18&gt;s2</v>
      </c>
      <c r="B105" s="8">
        <v>11103</v>
      </c>
      <c r="C105" s="51">
        <v>2</v>
      </c>
      <c r="D105" s="2" t="str">
        <f t="shared" si="76"/>
        <v>11103_2</v>
      </c>
      <c r="E105" s="5" t="str">
        <f ca="1">VLOOKUP($B105,OFFSET([1]quests!$A$1,0,0,COUNTA([1]quests!$A:$A),MATCH(E$1,[1]quests!$1:$1,0)-MATCH($B$1,[1]quests!$1:$1,0)+1),MATCH(E$1,[1]quests!$1:$1,0)-MATCH($B$1,[1]quests!$1:$1,0)+1,FALSE)</f>
        <v>【キャンペーン限定】 青の素材</v>
      </c>
      <c r="F105" s="5" t="str">
        <f ca="1">VLOOKUP($D105,OFFSET([1]stages!$A$1,0,0,COUNTA([1]stages!$A:$A),MATCH(F$1,[1]stages!$2:$2,0)-MATCH($D$1,[1]stages!$2:$2,0)+1),MATCH(F$1,[1]stages!$2:$2,0)-MATCH($D$1,[1]stages!$2:$2,0)+1,FALSE)</f>
        <v>水のウサギ 【中級】</v>
      </c>
      <c r="G105" s="32">
        <v>5</v>
      </c>
      <c r="H105" s="20" t="str">
        <f t="shared" si="77"/>
        <v>11103_2-5</v>
      </c>
      <c r="I105" s="31">
        <v>62</v>
      </c>
      <c r="J105" s="26" t="str">
        <f ca="1">VLOOKUP($I105,OFFSET([2]enemies!$A$1,0,0,COUNTA([2]enemies!$A:$A),MATCH(J$1,[2]enemies!$2:$2,0)-MATCH($I$1,[2]enemies!$2:$2,0)+1),MATCH(J$1,[2]enemies!$2:$2,0)-MATCH($I$1,[2]enemies!$2:$2,0)+1,FALSE)</f>
        <v>脈動旋律のクロウ</v>
      </c>
      <c r="K105" s="29" t="str">
        <f ca="1">VLOOKUP($I105,OFFSET([2]enemies!$A$1,0,0,COUNTA([2]enemies!$A:$A),MATCH(K$1,[2]enemies!$2:$2,0)-MATCH($I$1,[2]enemies!$2:$2,0)+1),MATCH(K$1,[2]enemies!$2:$2,0)-MATCH($I$1,[2]enemies!$2:$2,0)+1,FALSE)</f>
        <v>blue</v>
      </c>
      <c r="L105" s="29" t="str">
        <f ca="1">VLOOKUP($I105,OFFSET([3]characters!$A$1,0,0,COUNTA([3]characters!$A:$A),MATCH(L$1,[3]characters!$2:$2,0)-MATCH($I$1,[3]characters!$2:$2,0)+1),MATCH(L$1,[3]characters!$2:$2,0)-MATCH($I$1,[3]characters!$2:$2,0)+1,FALSE)</f>
        <v>Drop1N</v>
      </c>
      <c r="M105" s="28" t="str">
        <f ca="1">VLOOKUP($I105,OFFSET([3]characters!$A$1,0,0,COUNTA([3]characters!$A:$A),MATCH(M$1,[3]characters!$2:$2,0)-MATCH($I$1,[3]characters!$2:$2,0)+2),MATCH(M$1,[3]characters!$2:$2,0)-MATCH($I$1,[3]characters!$2:$2,0)+2,FALSE)</f>
        <v>アニマル</v>
      </c>
      <c r="N105" s="5">
        <f ca="1">VLOOKUP($I105,OFFSET([2]enemies!$A$1,0,0,COUNTA([2]enemies!$A:$A),MATCH(N$1,[2]enemies!$2:$2,0)-MATCH($I$1,[2]enemies!$2:$2,0)+1),MATCH(N$1,[2]enemies!$2:$2,0)-MATCH($I$1,[2]enemies!$2:$2,0)+1,FALSE)</f>
        <v>20</v>
      </c>
      <c r="O105" s="6">
        <v>18</v>
      </c>
      <c r="P105" s="46">
        <v>1</v>
      </c>
      <c r="Q105" s="46">
        <v>1</v>
      </c>
      <c r="R105" s="6">
        <v>0</v>
      </c>
      <c r="S105" s="5" t="str">
        <f ca="1">VLOOKUP($T105,OFFSET([4]enemy_skill_sets!$B$1,0,0,COUNTA([4]enemy_skill_sets!$B:$B),MATCH(J$1,[4]enemy_skill_sets!$1:$1,0)-MATCH($T$1,[4]enemy_skill_sets!$1:$1,0)+2),MATCH(J$1,[4]enemy_skill_sets!$1:$1,0)-MATCH($T$1,[4]enemy_skill_sets!$1:$1,0)+2,FALSE)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5" s="5">
        <f ca="1">VLOOKUP($I105,OFFSET([2]enemies!$A$1,0,0,COUNTA([2]enemies!$A:$A),MATCH(T$1,[2]enemies!$2:$2,0)-MATCH($I$1,[2]enemies!$2:$2,0)+1),MATCH(T$1,[2]enemies!$2:$2,0)-MATCH($I$1,[2]enemies!$2:$2,0)+1,FALSE)</f>
        <v>0</v>
      </c>
      <c r="U105" s="7">
        <v>0</v>
      </c>
      <c r="V105" s="7">
        <v>100</v>
      </c>
      <c r="W105" s="7">
        <v>1</v>
      </c>
      <c r="X105" s="26">
        <f ca="1">VLOOKUP($I105,OFFSET([2]enemies!$A$1,0,0,COUNTA([2]enemies!$A:$A),MATCH(X$1,[2]enemies!$2:$2,0)-MATCH($I$1,[2]enemies!$2:$2,0)+1),MATCH(X$1,[2]enemies!$2:$2,0)-MATCH($I$1,[2]enemies!$2:$2,0)+1,FALSE)</f>
        <v>2</v>
      </c>
      <c r="Y105" s="31">
        <v>61</v>
      </c>
      <c r="Z105" s="5" t="str">
        <f ca="1">IFERROR(VLOOKUP($Y105,OFFSET([3]characters!$A$1,0,0,COUNTA([3]characters!$A:$A),MATCH(Z$1,[3]characters!$2:$2,0)-MATCH("character_id",[3]characters!$2:$2,0)+1),MATCH(Z$1,[3]characters!$2:$2,0)-MATCH("character_id",[3]characters!$2:$2,0)+1,FALSE),"")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105" s="5">
        <f ca="1">IFERROR(VLOOKUP($Y105,OFFSET([3]characters!$A$1,0,0,COUNTA([3]characters!$A:$A),MATCH(AA$1,[3]characters!$2:$2,0)-MATCH("character_id",[3]characters!$2:$2,0)+1),MATCH(AA$1,[3]characters!$2:$2,0)-MATCH("character_id",[3]characters!$2:$2,0)+1,FALSE),"")</f>
        <v>2</v>
      </c>
      <c r="AB105" s="5" t="str">
        <f ca="1">IFERROR(VLOOKUP($Y105,OFFSET([3]characters!$A$1,0,0,COUNTA([3]characters!$A:$A),MATCH(AB$1,[3]characters!$2:$2,0)-MATCH("character_id",[3]characters!$2:$2,0)+1),MATCH(AB$1,[3]characters!$2:$2,0)-MATCH("character_id",[3]characters!$2:$2,0)+1,FALSE),"")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05" s="8">
        <v>1</v>
      </c>
      <c r="AD105" s="34">
        <f t="shared" ca="1" si="78"/>
        <v>2</v>
      </c>
      <c r="AE105" s="9">
        <v>0</v>
      </c>
      <c r="AF105" s="8">
        <v>0</v>
      </c>
      <c r="AG105" s="8">
        <v>0</v>
      </c>
      <c r="AH105" s="8">
        <v>0</v>
      </c>
      <c r="AI105" s="8">
        <v>0</v>
      </c>
      <c r="AJ105" s="8">
        <v>1</v>
      </c>
    </row>
    <row r="106" spans="1:36" ht="21" customHeight="1">
      <c r="A106" s="21" t="str">
        <f t="shared" ca="1" si="75"/>
        <v>11103_3-1/111&lt;lv30&gt;s1</v>
      </c>
      <c r="B106" s="8">
        <v>11103</v>
      </c>
      <c r="C106" s="51">
        <v>3</v>
      </c>
      <c r="D106" s="2" t="str">
        <f t="shared" si="76"/>
        <v>11103_3</v>
      </c>
      <c r="E106" s="5" t="str">
        <f ca="1">VLOOKUP($B106,OFFSET([1]quests!$A$1,0,0,COUNTA([1]quests!$A:$A),MATCH(E$1,[1]quests!$1:$1,0)-MATCH($B$1,[1]quests!$1:$1,0)+1),MATCH(E$1,[1]quests!$1:$1,0)-MATCH($B$1,[1]quests!$1:$1,0)+1,FALSE)</f>
        <v>【キャンペーン限定】 青の素材</v>
      </c>
      <c r="F106" s="5" t="str">
        <f ca="1">VLOOKUP($D106,OFFSET([1]stages!$A$1,0,0,COUNTA([1]stages!$A:$A),MATCH(F$1,[1]stages!$2:$2,0)-MATCH($D$1,[1]stages!$2:$2,0)+1),MATCH(F$1,[1]stages!$2:$2,0)-MATCH($D$1,[1]stages!$2:$2,0)+1,FALSE)</f>
        <v>水のイモムシ 【上級】</v>
      </c>
      <c r="G106" s="32">
        <v>1</v>
      </c>
      <c r="H106" s="20" t="str">
        <f t="shared" si="77"/>
        <v>11103_3-1</v>
      </c>
      <c r="I106" s="31">
        <v>111</v>
      </c>
      <c r="J106" s="26" t="str">
        <f ca="1">VLOOKUP($I106,OFFSET([2]enemies!$A$1,0,0,COUNTA([2]enemies!$A:$A),MATCH(J$1,[2]enemies!$2:$2,0)-MATCH($I$1,[2]enemies!$2:$2,0)+1),MATCH(J$1,[2]enemies!$2:$2,0)-MATCH($I$1,[2]enemies!$2:$2,0)+1,FALSE)</f>
        <v>ブルーキャタップ</v>
      </c>
      <c r="K106" s="29" t="str">
        <f ca="1">VLOOKUP($I106,OFFSET([2]enemies!$A$1,0,0,COUNTA([2]enemies!$A:$A),MATCH(K$1,[2]enemies!$2:$2,0)-MATCH($I$1,[2]enemies!$2:$2,0)+1),MATCH(K$1,[2]enemies!$2:$2,0)-MATCH($I$1,[2]enemies!$2:$2,0)+1,FALSE)</f>
        <v>blue</v>
      </c>
      <c r="L106" s="29" t="str">
        <f ca="1">VLOOKUP($I106,OFFSET([3]characters!$A$1,0,0,COUNTA([3]characters!$A:$A),MATCH(L$1,[3]characters!$2:$2,0)-MATCH($I$1,[3]characters!$2:$2,0)+1),MATCH(L$1,[3]characters!$2:$2,0)-MATCH($I$1,[3]characters!$2:$2,0)+1,FALSE)</f>
        <v>Material</v>
      </c>
      <c r="M106" s="28" t="str">
        <f ca="1">VLOOKUP($I106,OFFSET([3]characters!$A$1,0,0,COUNTA([3]characters!$A:$A),MATCH(M$1,[3]characters!$2:$2,0)-MATCH($I$1,[3]characters!$2:$2,0)+2),MATCH(M$1,[3]characters!$2:$2,0)-MATCH($I$1,[3]characters!$2:$2,0)+2,FALSE)</f>
        <v>Unknown</v>
      </c>
      <c r="N106" s="5">
        <f ca="1">VLOOKUP($I106,OFFSET([2]enemies!$A$1,0,0,COUNTA([2]enemies!$A:$A),MATCH(N$1,[2]enemies!$2:$2,0)-MATCH($I$1,[2]enemies!$2:$2,0)+1),MATCH(N$1,[2]enemies!$2:$2,0)-MATCH($I$1,[2]enemies!$2:$2,0)+1,FALSE)</f>
        <v>15</v>
      </c>
      <c r="O106" s="6">
        <v>30</v>
      </c>
      <c r="P106" s="46">
        <v>2</v>
      </c>
      <c r="Q106" s="46">
        <v>1</v>
      </c>
      <c r="R106" s="6">
        <v>0</v>
      </c>
      <c r="S106" s="5" t="str">
        <f ca="1">VLOOKUP($T106,OFFSET([4]enemy_skill_sets!$B$1,0,0,COUNTA([4]enemy_skill_sets!$B:$B),MATCH(J$1,[4]enemy_skill_sets!$1:$1,0)-MATCH($T$1,[4]enemy_skill_sets!$1:$1,0)+2),MATCH(J$1,[4]enemy_skill_sets!$1:$1,0)-MATCH($T$1,[4]enemy_skill_sets!$1:$1,0)+2,FALSE)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6" s="5">
        <f ca="1">VLOOKUP($I106,OFFSET([2]enemies!$A$1,0,0,COUNTA([2]enemies!$A:$A),MATCH(T$1,[2]enemies!$2:$2,0)-MATCH($I$1,[2]enemies!$2:$2,0)+1),MATCH(T$1,[2]enemies!$2:$2,0)-MATCH($I$1,[2]enemies!$2:$2,0)+1,FALSE)</f>
        <v>0</v>
      </c>
      <c r="U106" s="7">
        <v>1</v>
      </c>
      <c r="V106" s="7">
        <v>100</v>
      </c>
      <c r="W106" s="7">
        <v>1</v>
      </c>
      <c r="X106" s="26">
        <f ca="1">VLOOKUP($I106,OFFSET([2]enemies!$A$1,0,0,COUNTA([2]enemies!$A:$A),MATCH(X$1,[2]enemies!$2:$2,0)-MATCH($I$1,[2]enemies!$2:$2,0)+1),MATCH(X$1,[2]enemies!$2:$2,0)-MATCH($I$1,[2]enemies!$2:$2,0)+1,FALSE)</f>
        <v>1</v>
      </c>
      <c r="Y106" s="31">
        <v>111</v>
      </c>
      <c r="Z106" s="5" t="str">
        <f ca="1">IFERROR(VLOOKUP($Y106,OFFSET([3]characters!$A$1,0,0,COUNTA([3]characters!$A:$A),MATCH(Z$1,[3]characters!$2:$2,0)-MATCH("character_id",[3]characters!$2:$2,0)+1),MATCH(Z$1,[3]characters!$2:$2,0)-MATCH("character_id",[3]characters!$2:$2,0)+1,FALSE),"")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106" s="5">
        <f ca="1">IFERROR(VLOOKUP($Y106,OFFSET([3]characters!$A$1,0,0,COUNTA([3]characters!$A:$A),MATCH(AA$1,[3]characters!$2:$2,0)-MATCH("character_id",[3]characters!$2:$2,0)+1),MATCH(AA$1,[3]characters!$2:$2,0)-MATCH("character_id",[3]characters!$2:$2,0)+1,FALSE),"")</f>
        <v>4</v>
      </c>
      <c r="AB106" s="5" t="str">
        <f ca="1">IFERROR(VLOOKUP($Y106,OFFSET([3]characters!$A$1,0,0,COUNTA([3]characters!$A:$A),MATCH(AB$1,[3]characters!$2:$2,0)-MATCH("character_id",[3]characters!$2:$2,0)+1),MATCH(AB$1,[3]characters!$2:$2,0)-MATCH("character_id",[3]characters!$2:$2,0)+1,FALSE),"")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06" s="8">
        <v>1</v>
      </c>
      <c r="AD106" s="34">
        <f t="shared" ca="1" si="78"/>
        <v>4</v>
      </c>
      <c r="AE106" s="9">
        <v>10</v>
      </c>
      <c r="AF106" s="8">
        <v>0</v>
      </c>
      <c r="AG106" s="8">
        <v>0</v>
      </c>
      <c r="AH106" s="8">
        <v>0</v>
      </c>
      <c r="AI106" s="8">
        <v>0</v>
      </c>
      <c r="AJ106" s="8">
        <v>1</v>
      </c>
    </row>
    <row r="107" spans="1:36" ht="21" customHeight="1">
      <c r="A107" s="21" t="str">
        <f t="shared" ca="1" si="75"/>
        <v>11103_3-1/37&lt;lv35&gt;s3</v>
      </c>
      <c r="B107" s="8">
        <v>11103</v>
      </c>
      <c r="C107" s="51">
        <v>3</v>
      </c>
      <c r="D107" s="2" t="str">
        <f t="shared" si="76"/>
        <v>11103_3</v>
      </c>
      <c r="E107" s="5" t="str">
        <f ca="1">VLOOKUP($B107,OFFSET([1]quests!$A$1,0,0,COUNTA([1]quests!$A:$A),MATCH(E$1,[1]quests!$1:$1,0)-MATCH($B$1,[1]quests!$1:$1,0)+1),MATCH(E$1,[1]quests!$1:$1,0)-MATCH($B$1,[1]quests!$1:$1,0)+1,FALSE)</f>
        <v>【キャンペーン限定】 青の素材</v>
      </c>
      <c r="F107" s="5" t="str">
        <f ca="1">VLOOKUP($D107,OFFSET([1]stages!$A$1,0,0,COUNTA([1]stages!$A:$A),MATCH(F$1,[1]stages!$2:$2,0)-MATCH($D$1,[1]stages!$2:$2,0)+1),MATCH(F$1,[1]stages!$2:$2,0)-MATCH($D$1,[1]stages!$2:$2,0)+1,FALSE)</f>
        <v>水のイモムシ 【上級】</v>
      </c>
      <c r="G107" s="32">
        <v>1</v>
      </c>
      <c r="H107" s="20" t="str">
        <f t="shared" si="77"/>
        <v>11103_3-1</v>
      </c>
      <c r="I107" s="31">
        <v>37</v>
      </c>
      <c r="J107" s="26" t="str">
        <f ca="1">VLOOKUP($I107,OFFSET([2]enemies!$A$1,0,0,COUNTA([2]enemies!$A:$A),MATCH(J$1,[2]enemies!$2:$2,0)-MATCH($I$1,[2]enemies!$2:$2,0)+1),MATCH(J$1,[2]enemies!$2:$2,0)-MATCH($I$1,[2]enemies!$2:$2,0)+1,FALSE)</f>
        <v>ガイル</v>
      </c>
      <c r="K107" s="29" t="str">
        <f ca="1">VLOOKUP($I107,OFFSET([2]enemies!$A$1,0,0,COUNTA([2]enemies!$A:$A),MATCH(K$1,[2]enemies!$2:$2,0)-MATCH($I$1,[2]enemies!$2:$2,0)+1),MATCH(K$1,[2]enemies!$2:$2,0)-MATCH($I$1,[2]enemies!$2:$2,0)+1,FALSE)</f>
        <v>blue</v>
      </c>
      <c r="L107" s="29" t="str">
        <f ca="1">VLOOKUP($I107,OFFSET([3]characters!$A$1,0,0,COUNTA([3]characters!$A:$A),MATCH(L$1,[3]characters!$2:$2,0)-MATCH($I$1,[3]characters!$2:$2,0)+1),MATCH(L$1,[3]characters!$2:$2,0)-MATCH($I$1,[3]characters!$2:$2,0)+1,FALSE)</f>
        <v>Drop1S</v>
      </c>
      <c r="M107" s="28" t="str">
        <f ca="1">VLOOKUP($I107,OFFSET([3]characters!$A$1,0,0,COUNTA([3]characters!$A:$A),MATCH(M$1,[3]characters!$2:$2,0)-MATCH($I$1,[3]characters!$2:$2,0)+2),MATCH(M$1,[3]characters!$2:$2,0)-MATCH($I$1,[3]characters!$2:$2,0)+2,FALSE)</f>
        <v>アニマル</v>
      </c>
      <c r="N107" s="5">
        <f ca="1">VLOOKUP($I107,OFFSET([2]enemies!$A$1,0,0,COUNTA([2]enemies!$A:$A),MATCH(N$1,[2]enemies!$2:$2,0)-MATCH($I$1,[2]enemies!$2:$2,0)+1),MATCH(N$1,[2]enemies!$2:$2,0)-MATCH($I$1,[2]enemies!$2:$2,0)+1,FALSE)</f>
        <v>15</v>
      </c>
      <c r="O107" s="6">
        <v>35</v>
      </c>
      <c r="P107" s="46">
        <v>1</v>
      </c>
      <c r="Q107" s="46">
        <v>1</v>
      </c>
      <c r="R107" s="6">
        <v>0</v>
      </c>
      <c r="S107" s="5" t="str">
        <f ca="1">VLOOKUP($T107,OFFSET([4]enemy_skill_sets!$B$1,0,0,COUNTA([4]enemy_skill_sets!$B:$B),MATCH(J$1,[4]enemy_skill_sets!$1:$1,0)-MATCH($T$1,[4]enemy_skill_sets!$1:$1,0)+2),MATCH(J$1,[4]enemy_skill_sets!$1:$1,0)-MATCH($T$1,[4]enemy_skill_sets!$1:$1,0)+2,FALSE)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107" s="5">
        <f ca="1">VLOOKUP($I107,OFFSET([2]enemies!$A$1,0,0,COUNTA([2]enemies!$A:$A),MATCH(T$1,[2]enemies!$2:$2,0)-MATCH($I$1,[2]enemies!$2:$2,0)+1),MATCH(T$1,[2]enemies!$2:$2,0)-MATCH($I$1,[2]enemies!$2:$2,0)+1,FALSE)</f>
        <v>37</v>
      </c>
      <c r="U107" s="7">
        <v>0</v>
      </c>
      <c r="V107" s="7">
        <v>100</v>
      </c>
      <c r="W107" s="7">
        <v>0</v>
      </c>
      <c r="X107" s="26">
        <f ca="1">VLOOKUP($I107,OFFSET([2]enemies!$A$1,0,0,COUNTA([2]enemies!$A:$A),MATCH(X$1,[2]enemies!$2:$2,0)-MATCH($I$1,[2]enemies!$2:$2,0)+1),MATCH(X$1,[2]enemies!$2:$2,0)-MATCH($I$1,[2]enemies!$2:$2,0)+1,FALSE)</f>
        <v>3</v>
      </c>
      <c r="Y107" s="31">
        <v>37</v>
      </c>
      <c r="Z107" s="5" t="str">
        <f ca="1">IFERROR(VLOOKUP($Y107,OFFSET([3]characters!$A$1,0,0,COUNTA([3]characters!$A:$A),MATCH(Z$1,[3]characters!$2:$2,0)-MATCH("character_id",[3]characters!$2:$2,0)+1),MATCH(Z$1,[3]characters!$2:$2,0)-MATCH("character_id",[3]characters!$2:$2,0)+1,FALSE),"")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107" s="5">
        <f ca="1">IFERROR(VLOOKUP($Y107,OFFSET([3]characters!$A$1,0,0,COUNTA([3]characters!$A:$A),MATCH(AA$1,[3]characters!$2:$2,0)-MATCH("character_id",[3]characters!$2:$2,0)+1),MATCH(AA$1,[3]characters!$2:$2,0)-MATCH("character_id",[3]characters!$2:$2,0)+1,FALSE),"")</f>
        <v>2</v>
      </c>
      <c r="AB107" s="5" t="str">
        <f ca="1">IFERROR(VLOOKUP($Y107,OFFSET([3]characters!$A$1,0,0,COUNTA([3]characters!$A:$A),MATCH(AB$1,[3]characters!$2:$2,0)-MATCH("character_id",[3]characters!$2:$2,0)+1),MATCH(AB$1,[3]characters!$2:$2,0)-MATCH("character_id",[3]characters!$2:$2,0)+1,FALSE),"")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07" s="8">
        <v>1</v>
      </c>
      <c r="AD107" s="34">
        <f t="shared" ca="1" si="78"/>
        <v>2</v>
      </c>
      <c r="AE107" s="9">
        <v>0</v>
      </c>
      <c r="AF107" s="8">
        <v>0</v>
      </c>
      <c r="AG107" s="8">
        <v>0</v>
      </c>
      <c r="AH107" s="8">
        <v>0</v>
      </c>
      <c r="AI107" s="8">
        <v>0</v>
      </c>
      <c r="AJ107" s="8">
        <v>1</v>
      </c>
    </row>
    <row r="108" spans="1:36" ht="21" customHeight="1">
      <c r="A108" s="21" t="str">
        <f t="shared" ca="1" si="75"/>
        <v>11103_3-1/29&lt;lv35&gt;s2</v>
      </c>
      <c r="B108" s="8">
        <v>11103</v>
      </c>
      <c r="C108" s="51">
        <v>3</v>
      </c>
      <c r="D108" s="2" t="str">
        <f t="shared" si="76"/>
        <v>11103_3</v>
      </c>
      <c r="E108" s="5" t="str">
        <f ca="1">VLOOKUP($B108,OFFSET([1]quests!$A$1,0,0,COUNTA([1]quests!$A:$A),MATCH(E$1,[1]quests!$1:$1,0)-MATCH($B$1,[1]quests!$1:$1,0)+1),MATCH(E$1,[1]quests!$1:$1,0)-MATCH($B$1,[1]quests!$1:$1,0)+1,FALSE)</f>
        <v>【キャンペーン限定】 青の素材</v>
      </c>
      <c r="F108" s="5" t="str">
        <f ca="1">VLOOKUP($D108,OFFSET([1]stages!$A$1,0,0,COUNTA([1]stages!$A:$A),MATCH(F$1,[1]stages!$2:$2,0)-MATCH($D$1,[1]stages!$2:$2,0)+1),MATCH(F$1,[1]stages!$2:$2,0)-MATCH($D$1,[1]stages!$2:$2,0)+1,FALSE)</f>
        <v>水のイモムシ 【上級】</v>
      </c>
      <c r="G108" s="32">
        <v>1</v>
      </c>
      <c r="H108" s="20" t="str">
        <f t="shared" si="77"/>
        <v>11103_3-1</v>
      </c>
      <c r="I108" s="31">
        <v>29</v>
      </c>
      <c r="J108" s="26" t="str">
        <f ca="1">VLOOKUP($I108,OFFSET([2]enemies!$A$1,0,0,COUNTA([2]enemies!$A:$A),MATCH(J$1,[2]enemies!$2:$2,0)-MATCH($I$1,[2]enemies!$2:$2,0)+1),MATCH(J$1,[2]enemies!$2:$2,0)-MATCH($I$1,[2]enemies!$2:$2,0)+1,FALSE)</f>
        <v>スケアクロウ</v>
      </c>
      <c r="K108" s="29" t="str">
        <f ca="1">VLOOKUP($I108,OFFSET([2]enemies!$A$1,0,0,COUNTA([2]enemies!$A:$A),MATCH(K$1,[2]enemies!$2:$2,0)-MATCH($I$1,[2]enemies!$2:$2,0)+1),MATCH(K$1,[2]enemies!$2:$2,0)-MATCH($I$1,[2]enemies!$2:$2,0)+1,FALSE)</f>
        <v>blue</v>
      </c>
      <c r="L108" s="29" t="str">
        <f ca="1">VLOOKUP($I108,OFFSET([3]characters!$A$1,0,0,COUNTA([3]characters!$A:$A),MATCH(L$1,[3]characters!$2:$2,0)-MATCH($I$1,[3]characters!$2:$2,0)+1),MATCH(L$1,[3]characters!$2:$2,0)-MATCH($I$1,[3]characters!$2:$2,0)+1,FALSE)</f>
        <v>Drop1N</v>
      </c>
      <c r="M108" s="28" t="str">
        <f ca="1">VLOOKUP($I108,OFFSET([3]characters!$A$1,0,0,COUNTA([3]characters!$A:$A),MATCH(M$1,[3]characters!$2:$2,0)-MATCH($I$1,[3]characters!$2:$2,0)+2),MATCH(M$1,[3]characters!$2:$2,0)-MATCH($I$1,[3]characters!$2:$2,0)+2,FALSE)</f>
        <v>マシン</v>
      </c>
      <c r="N108" s="5">
        <f ca="1">VLOOKUP($I108,OFFSET([2]enemies!$A$1,0,0,COUNTA([2]enemies!$A:$A),MATCH(N$1,[2]enemies!$2:$2,0)-MATCH($I$1,[2]enemies!$2:$2,0)+1),MATCH(N$1,[2]enemies!$2:$2,0)-MATCH($I$1,[2]enemies!$2:$2,0)+1,FALSE)</f>
        <v>15</v>
      </c>
      <c r="O108" s="6">
        <v>35</v>
      </c>
      <c r="P108" s="46">
        <v>1</v>
      </c>
      <c r="Q108" s="46">
        <v>1</v>
      </c>
      <c r="R108" s="6">
        <v>0</v>
      </c>
      <c r="S108" s="5" t="str">
        <f ca="1">VLOOKUP($T108,OFFSET([4]enemy_skill_sets!$B$1,0,0,COUNTA([4]enemy_skill_sets!$B:$B),MATCH(J$1,[4]enemy_skill_sets!$1:$1,0)-MATCH($T$1,[4]enemy_skill_sets!$1:$1,0)+2),MATCH(J$1,[4]enemy_skill_sets!$1:$1,0)-MATCH($T$1,[4]enemy_skill_sets!$1:$1,0)+2,FALSE)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8" s="5">
        <f ca="1">VLOOKUP($I108,OFFSET([2]enemies!$A$1,0,0,COUNTA([2]enemies!$A:$A),MATCH(T$1,[2]enemies!$2:$2,0)-MATCH($I$1,[2]enemies!$2:$2,0)+1),MATCH(T$1,[2]enemies!$2:$2,0)-MATCH($I$1,[2]enemies!$2:$2,0)+1,FALSE)</f>
        <v>0</v>
      </c>
      <c r="U108" s="7">
        <v>0</v>
      </c>
      <c r="V108" s="7">
        <v>100</v>
      </c>
      <c r="W108" s="7">
        <v>0</v>
      </c>
      <c r="X108" s="26">
        <f ca="1">VLOOKUP($I108,OFFSET([2]enemies!$A$1,0,0,COUNTA([2]enemies!$A:$A),MATCH(X$1,[2]enemies!$2:$2,0)-MATCH($I$1,[2]enemies!$2:$2,0)+1),MATCH(X$1,[2]enemies!$2:$2,0)-MATCH($I$1,[2]enemies!$2:$2,0)+1,FALSE)</f>
        <v>2</v>
      </c>
      <c r="Y108" s="31">
        <v>29</v>
      </c>
      <c r="Z108" s="5" t="str">
        <f ca="1">IFERROR(VLOOKUP($Y108,OFFSET([3]characters!$A$1,0,0,COUNTA([3]characters!$A:$A),MATCH(Z$1,[3]characters!$2:$2,0)-MATCH("character_id",[3]characters!$2:$2,0)+1),MATCH(Z$1,[3]characters!$2:$2,0)-MATCH("character_id",[3]characters!$2:$2,0)+1,FALSE),"")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108" s="5">
        <f ca="1">IFERROR(VLOOKUP($Y108,OFFSET([3]characters!$A$1,0,0,COUNTA([3]characters!$A:$A),MATCH(AA$1,[3]characters!$2:$2,0)-MATCH("character_id",[3]characters!$2:$2,0)+1),MATCH(AA$1,[3]characters!$2:$2,0)-MATCH("character_id",[3]characters!$2:$2,0)+1,FALSE),"")</f>
        <v>1</v>
      </c>
      <c r="AB108" s="5" t="str">
        <f ca="1">IFERROR(VLOOKUP($Y108,OFFSET([3]characters!$A$1,0,0,COUNTA([3]characters!$A:$A),MATCH(AB$1,[3]characters!$2:$2,0)-MATCH("character_id",[3]characters!$2:$2,0)+1),MATCH(AB$1,[3]characters!$2:$2,0)-MATCH("character_id",[3]characters!$2:$2,0)+1,FALSE),"")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08" s="8">
        <v>1</v>
      </c>
      <c r="AD108" s="34">
        <f t="shared" ca="1" si="78"/>
        <v>1</v>
      </c>
      <c r="AE108" s="9">
        <v>0</v>
      </c>
      <c r="AF108" s="8">
        <v>0</v>
      </c>
      <c r="AG108" s="8">
        <v>0</v>
      </c>
      <c r="AH108" s="8">
        <v>0</v>
      </c>
      <c r="AI108" s="8">
        <v>0</v>
      </c>
      <c r="AJ108" s="8">
        <v>1</v>
      </c>
    </row>
    <row r="109" spans="1:36" ht="21" customHeight="1">
      <c r="A109" s="21" t="str">
        <f t="shared" ca="1" si="75"/>
        <v>11103_3-1/340&lt;lv1&gt;s1</v>
      </c>
      <c r="B109" s="8">
        <v>11103</v>
      </c>
      <c r="C109" s="51">
        <v>3</v>
      </c>
      <c r="D109" s="2" t="str">
        <f t="shared" si="76"/>
        <v>11103_3</v>
      </c>
      <c r="E109" s="5" t="str">
        <f ca="1">VLOOKUP($B109,OFFSET([1]quests!$A$1,0,0,COUNTA([1]quests!$A:$A),MATCH(E$1,[1]quests!$1:$1,0)-MATCH($B$1,[1]quests!$1:$1,0)+1),MATCH(E$1,[1]quests!$1:$1,0)-MATCH($B$1,[1]quests!$1:$1,0)+1,FALSE)</f>
        <v>【キャンペーン限定】 青の素材</v>
      </c>
      <c r="F109" s="5" t="str">
        <f ca="1">VLOOKUP($D109,OFFSET([1]stages!$A$1,0,0,COUNTA([1]stages!$A:$A),MATCH(F$1,[1]stages!$2:$2,0)-MATCH($D$1,[1]stages!$2:$2,0)+1),MATCH(F$1,[1]stages!$2:$2,0)-MATCH($D$1,[1]stages!$2:$2,0)+1,FALSE)</f>
        <v>水のイモムシ 【上級】</v>
      </c>
      <c r="G109" s="32">
        <v>1</v>
      </c>
      <c r="H109" s="20" t="str">
        <f t="shared" si="77"/>
        <v>11103_3-1</v>
      </c>
      <c r="I109" s="31">
        <v>340</v>
      </c>
      <c r="J109" s="26" t="str">
        <f ca="1">VLOOKUP($I109,OFFSET([2]enemies!$A$1,0,0,COUNTA([2]enemies!$A:$A),MATCH(J$1,[2]enemies!$2:$2,0)-MATCH($I$1,[2]enemies!$2:$2,0)+1),MATCH(J$1,[2]enemies!$2:$2,0)-MATCH($I$1,[2]enemies!$2:$2,0)+1,FALSE)</f>
        <v>水のメタルピヨピヨ</v>
      </c>
      <c r="K109" s="29" t="str">
        <f ca="1">VLOOKUP($I109,OFFSET([2]enemies!$A$1,0,0,COUNTA([2]enemies!$A:$A),MATCH(K$1,[2]enemies!$2:$2,0)-MATCH($I$1,[2]enemies!$2:$2,0)+1),MATCH(K$1,[2]enemies!$2:$2,0)-MATCH($I$1,[2]enemies!$2:$2,0)+1,FALSE)</f>
        <v>blue</v>
      </c>
      <c r="L109" s="29" t="str">
        <f ca="1">VLOOKUP($I109,OFFSET([3]characters!$A$1,0,0,COUNTA([3]characters!$A:$A),MATCH(L$1,[3]characters!$2:$2,0)-MATCH($I$1,[3]characters!$2:$2,0)+1),MATCH(L$1,[3]characters!$2:$2,0)-MATCH($I$1,[3]characters!$2:$2,0)+1,FALSE)</f>
        <v>Material</v>
      </c>
      <c r="M109" s="28" t="str">
        <f ca="1">VLOOKUP($I109,OFFSET([3]characters!$A$1,0,0,COUNTA([3]characters!$A:$A),MATCH(M$1,[3]characters!$2:$2,0)-MATCH($I$1,[3]characters!$2:$2,0)+2),MATCH(M$1,[3]characters!$2:$2,0)-MATCH($I$1,[3]characters!$2:$2,0)+2,FALSE)</f>
        <v>Unknown</v>
      </c>
      <c r="N109" s="5">
        <f ca="1">VLOOKUP($I109,OFFSET([2]enemies!$A$1,0,0,COUNTA([2]enemies!$A:$A),MATCH(N$1,[2]enemies!$2:$2,0)-MATCH($I$1,[2]enemies!$2:$2,0)+1),MATCH(N$1,[2]enemies!$2:$2,0)-MATCH($I$1,[2]enemies!$2:$2,0)+1,FALSE)</f>
        <v>15</v>
      </c>
      <c r="O109" s="6">
        <v>1</v>
      </c>
      <c r="P109" s="46">
        <v>1</v>
      </c>
      <c r="Q109" s="46">
        <v>1</v>
      </c>
      <c r="R109" s="6">
        <v>0</v>
      </c>
      <c r="S109" s="5" t="str">
        <f ca="1">VLOOKUP($T109,OFFSET([4]enemy_skill_sets!$B$1,0,0,COUNTA([4]enemy_skill_sets!$B:$B),MATCH(J$1,[4]enemy_skill_sets!$1:$1,0)-MATCH($T$1,[4]enemy_skill_sets!$1:$1,0)+2),MATCH(J$1,[4]enemy_skill_sets!$1:$1,0)-MATCH($T$1,[4]enemy_skill_sets!$1:$1,0)+2,FALSE)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9" s="5">
        <f ca="1">VLOOKUP($I109,OFFSET([2]enemies!$A$1,0,0,COUNTA([2]enemies!$A:$A),MATCH(T$1,[2]enemies!$2:$2,0)-MATCH($I$1,[2]enemies!$2:$2,0)+1),MATCH(T$1,[2]enemies!$2:$2,0)-MATCH($I$1,[2]enemies!$2:$2,0)+1,FALSE)</f>
        <v>0</v>
      </c>
      <c r="U109" s="7">
        <v>0</v>
      </c>
      <c r="V109" s="7">
        <v>30</v>
      </c>
      <c r="W109" s="7">
        <v>0</v>
      </c>
      <c r="X109" s="26">
        <f ca="1">VLOOKUP($I109,OFFSET([2]enemies!$A$1,0,0,COUNTA([2]enemies!$A:$A),MATCH(X$1,[2]enemies!$2:$2,0)-MATCH($I$1,[2]enemies!$2:$2,0)+1),MATCH(X$1,[2]enemies!$2:$2,0)-MATCH($I$1,[2]enemies!$2:$2,0)+1,FALSE)</f>
        <v>1</v>
      </c>
      <c r="Y109" s="31">
        <v>340</v>
      </c>
      <c r="Z109" s="5" t="str">
        <f ca="1">IFERROR(VLOOKUP($Y109,OFFSET([3]characters!$A$1,0,0,COUNTA([3]characters!$A:$A),MATCH(Z$1,[3]characters!$2:$2,0)-MATCH("character_id",[3]characters!$2:$2,0)+1),MATCH(Z$1,[3]characters!$2:$2,0)-MATCH("character_id",[3]characters!$2:$2,0)+1,FALSE),"")</f>
        <v>水のメタルピヨピヨ</v>
      </c>
      <c r="AA109" s="5">
        <f ca="1">IFERROR(VLOOKUP($Y109,OFFSET([3]characters!$A$1,0,0,COUNTA([3]characters!$A:$A),MATCH(AA$1,[3]characters!$2:$2,0)-MATCH("character_id",[3]characters!$2:$2,0)+1),MATCH(AA$1,[3]characters!$2:$2,0)-MATCH("character_id",[3]characters!$2:$2,0)+1,FALSE),"")</f>
        <v>3</v>
      </c>
      <c r="AB109" s="5" t="str">
        <f ca="1">IFERROR(VLOOKUP($Y109,OFFSET([3]characters!$A$1,0,0,COUNTA([3]characters!$A:$A),MATCH(AB$1,[3]characters!$2:$2,0)-MATCH("character_id",[3]characters!$2:$2,0)+1),MATCH(AB$1,[3]characters!$2:$2,0)-MATCH("character_id",[3]characters!$2:$2,0)+1,FALSE),"")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09" s="8">
        <v>1</v>
      </c>
      <c r="AD109" s="34">
        <f t="shared" ca="1" si="78"/>
        <v>3</v>
      </c>
      <c r="AE109" s="9">
        <v>10</v>
      </c>
      <c r="AF109" s="8">
        <v>0</v>
      </c>
      <c r="AG109" s="8">
        <v>0</v>
      </c>
      <c r="AH109" s="8">
        <v>0</v>
      </c>
      <c r="AI109" s="8">
        <v>0</v>
      </c>
      <c r="AJ109" s="8">
        <v>1</v>
      </c>
    </row>
    <row r="110" spans="1:36" ht="21" customHeight="1">
      <c r="A110" s="21" t="str">
        <f t="shared" ca="1" si="75"/>
        <v>11103_3-1/341&lt;lv1&gt;s2</v>
      </c>
      <c r="B110" s="8">
        <v>11103</v>
      </c>
      <c r="C110" s="51">
        <v>3</v>
      </c>
      <c r="D110" s="2" t="str">
        <f t="shared" si="76"/>
        <v>11103_3</v>
      </c>
      <c r="E110" s="5" t="str">
        <f ca="1">VLOOKUP($B110,OFFSET([1]quests!$A$1,0,0,COUNTA([1]quests!$A:$A),MATCH(E$1,[1]quests!$1:$1,0)-MATCH($B$1,[1]quests!$1:$1,0)+1),MATCH(E$1,[1]quests!$1:$1,0)-MATCH($B$1,[1]quests!$1:$1,0)+1,FALSE)</f>
        <v>【キャンペーン限定】 青の素材</v>
      </c>
      <c r="F110" s="5" t="str">
        <f ca="1">VLOOKUP($D110,OFFSET([1]stages!$A$1,0,0,COUNTA([1]stages!$A:$A),MATCH(F$1,[1]stages!$2:$2,0)-MATCH($D$1,[1]stages!$2:$2,0)+1),MATCH(F$1,[1]stages!$2:$2,0)-MATCH($D$1,[1]stages!$2:$2,0)+1,FALSE)</f>
        <v>水のイモムシ 【上級】</v>
      </c>
      <c r="G110" s="32">
        <v>1</v>
      </c>
      <c r="H110" s="20" t="str">
        <f t="shared" si="77"/>
        <v>11103_3-1</v>
      </c>
      <c r="I110" s="31">
        <v>341</v>
      </c>
      <c r="J110" s="26" t="str">
        <f ca="1">VLOOKUP($I110,OFFSET([2]enemies!$A$1,0,0,COUNTA([2]enemies!$A:$A),MATCH(J$1,[2]enemies!$2:$2,0)-MATCH($I$1,[2]enemies!$2:$2,0)+1),MATCH(J$1,[2]enemies!$2:$2,0)-MATCH($I$1,[2]enemies!$2:$2,0)+1,FALSE)</f>
        <v>水のメタルチック</v>
      </c>
      <c r="K110" s="29" t="str">
        <f ca="1">VLOOKUP($I110,OFFSET([2]enemies!$A$1,0,0,COUNTA([2]enemies!$A:$A),MATCH(K$1,[2]enemies!$2:$2,0)-MATCH($I$1,[2]enemies!$2:$2,0)+1),MATCH(K$1,[2]enemies!$2:$2,0)-MATCH($I$1,[2]enemies!$2:$2,0)+1,FALSE)</f>
        <v>blue</v>
      </c>
      <c r="L110" s="29" t="str">
        <f ca="1">VLOOKUP($I110,OFFSET([3]characters!$A$1,0,0,COUNTA([3]characters!$A:$A),MATCH(L$1,[3]characters!$2:$2,0)-MATCH($I$1,[3]characters!$2:$2,0)+1),MATCH(L$1,[3]characters!$2:$2,0)-MATCH($I$1,[3]characters!$2:$2,0)+1,FALSE)</f>
        <v>Material</v>
      </c>
      <c r="M110" s="28" t="str">
        <f ca="1">VLOOKUP($I110,OFFSET([3]characters!$A$1,0,0,COUNTA([3]characters!$A:$A),MATCH(M$1,[3]characters!$2:$2,0)-MATCH($I$1,[3]characters!$2:$2,0)+2),MATCH(M$1,[3]characters!$2:$2,0)-MATCH($I$1,[3]characters!$2:$2,0)+2,FALSE)</f>
        <v>Unknown</v>
      </c>
      <c r="N110" s="5">
        <f ca="1">VLOOKUP($I110,OFFSET([2]enemies!$A$1,0,0,COUNTA([2]enemies!$A:$A),MATCH(N$1,[2]enemies!$2:$2,0)-MATCH($I$1,[2]enemies!$2:$2,0)+1),MATCH(N$1,[2]enemies!$2:$2,0)-MATCH($I$1,[2]enemies!$2:$2,0)+1,FALSE)</f>
        <v>15</v>
      </c>
      <c r="O110" s="6">
        <v>1</v>
      </c>
      <c r="P110" s="46">
        <v>1</v>
      </c>
      <c r="Q110" s="46">
        <v>1</v>
      </c>
      <c r="R110" s="6">
        <v>0</v>
      </c>
      <c r="S110" s="5" t="str">
        <f ca="1">VLOOKUP($T110,OFFSET([4]enemy_skill_sets!$B$1,0,0,COUNTA([4]enemy_skill_sets!$B:$B),MATCH(J$1,[4]enemy_skill_sets!$1:$1,0)-MATCH($T$1,[4]enemy_skill_sets!$1:$1,0)+2),MATCH(J$1,[4]enemy_skill_sets!$1:$1,0)-MATCH($T$1,[4]enemy_skill_sets!$1:$1,0)+2,FALSE)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0" s="5">
        <f ca="1">VLOOKUP($I110,OFFSET([2]enemies!$A$1,0,0,COUNTA([2]enemies!$A:$A),MATCH(T$1,[2]enemies!$2:$2,0)-MATCH($I$1,[2]enemies!$2:$2,0)+1),MATCH(T$1,[2]enemies!$2:$2,0)-MATCH($I$1,[2]enemies!$2:$2,0)+1,FALSE)</f>
        <v>0</v>
      </c>
      <c r="U110" s="7">
        <v>0</v>
      </c>
      <c r="V110" s="7">
        <v>30</v>
      </c>
      <c r="W110" s="7">
        <v>0</v>
      </c>
      <c r="X110" s="26">
        <f ca="1">VLOOKUP($I110,OFFSET([2]enemies!$A$1,0,0,COUNTA([2]enemies!$A:$A),MATCH(X$1,[2]enemies!$2:$2,0)-MATCH($I$1,[2]enemies!$2:$2,0)+1),MATCH(X$1,[2]enemies!$2:$2,0)-MATCH($I$1,[2]enemies!$2:$2,0)+1,FALSE)</f>
        <v>2</v>
      </c>
      <c r="Y110" s="31">
        <v>341</v>
      </c>
      <c r="Z110" s="5" t="str">
        <f ca="1">IFERROR(VLOOKUP($Y110,OFFSET([3]characters!$A$1,0,0,COUNTA([3]characters!$A:$A),MATCH(Z$1,[3]characters!$2:$2,0)-MATCH("character_id",[3]characters!$2:$2,0)+1),MATCH(Z$1,[3]characters!$2:$2,0)-MATCH("character_id",[3]characters!$2:$2,0)+1,FALSE),"")</f>
        <v>水のメタルチック</v>
      </c>
      <c r="AA110" s="5">
        <f ca="1">IFERROR(VLOOKUP($Y110,OFFSET([3]characters!$A$1,0,0,COUNTA([3]characters!$A:$A),MATCH(AA$1,[3]characters!$2:$2,0)-MATCH("character_id",[3]characters!$2:$2,0)+1),MATCH(AA$1,[3]characters!$2:$2,0)-MATCH("character_id",[3]characters!$2:$2,0)+1,FALSE),"")</f>
        <v>4</v>
      </c>
      <c r="AB110" s="5" t="str">
        <f ca="1">IFERROR(VLOOKUP($Y110,OFFSET([3]characters!$A$1,0,0,COUNTA([3]characters!$A:$A),MATCH(AB$1,[3]characters!$2:$2,0)-MATCH("character_id",[3]characters!$2:$2,0)+1),MATCH(AB$1,[3]characters!$2:$2,0)-MATCH("character_id",[3]characters!$2:$2,0)+1,FALSE),"")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10" s="8">
        <v>1</v>
      </c>
      <c r="AD110" s="34">
        <f t="shared" ca="1" si="78"/>
        <v>4</v>
      </c>
      <c r="AE110" s="9">
        <v>5</v>
      </c>
      <c r="AF110" s="8">
        <v>0</v>
      </c>
      <c r="AG110" s="8">
        <v>0</v>
      </c>
      <c r="AH110" s="8">
        <v>0</v>
      </c>
      <c r="AI110" s="8">
        <v>0</v>
      </c>
      <c r="AJ110" s="8">
        <v>1</v>
      </c>
    </row>
    <row r="111" spans="1:36" ht="21" customHeight="1">
      <c r="A111" s="21" t="str">
        <f t="shared" ca="1" si="75"/>
        <v>11103_3-2/111&lt;lv30&gt;s1</v>
      </c>
      <c r="B111" s="8">
        <v>11103</v>
      </c>
      <c r="C111" s="51">
        <v>3</v>
      </c>
      <c r="D111" s="2" t="str">
        <f t="shared" si="76"/>
        <v>11103_3</v>
      </c>
      <c r="E111" s="5" t="str">
        <f ca="1">VLOOKUP($B111,OFFSET([1]quests!$A$1,0,0,COUNTA([1]quests!$A:$A),MATCH(E$1,[1]quests!$1:$1,0)-MATCH($B$1,[1]quests!$1:$1,0)+1),MATCH(E$1,[1]quests!$1:$1,0)-MATCH($B$1,[1]quests!$1:$1,0)+1,FALSE)</f>
        <v>【キャンペーン限定】 青の素材</v>
      </c>
      <c r="F111" s="5" t="str">
        <f ca="1">VLOOKUP($D111,OFFSET([1]stages!$A$1,0,0,COUNTA([1]stages!$A:$A),MATCH(F$1,[1]stages!$2:$2,0)-MATCH($D$1,[1]stages!$2:$2,0)+1),MATCH(F$1,[1]stages!$2:$2,0)-MATCH($D$1,[1]stages!$2:$2,0)+1,FALSE)</f>
        <v>水のイモムシ 【上級】</v>
      </c>
      <c r="G111" s="32">
        <v>2</v>
      </c>
      <c r="H111" s="20" t="str">
        <f t="shared" si="77"/>
        <v>11103_3-2</v>
      </c>
      <c r="I111" s="31">
        <v>111</v>
      </c>
      <c r="J111" s="26" t="str">
        <f ca="1">VLOOKUP($I111,OFFSET([2]enemies!$A$1,0,0,COUNTA([2]enemies!$A:$A),MATCH(J$1,[2]enemies!$2:$2,0)-MATCH($I$1,[2]enemies!$2:$2,0)+1),MATCH(J$1,[2]enemies!$2:$2,0)-MATCH($I$1,[2]enemies!$2:$2,0)+1,FALSE)</f>
        <v>ブルーキャタップ</v>
      </c>
      <c r="K111" s="29" t="str">
        <f ca="1">VLOOKUP($I111,OFFSET([2]enemies!$A$1,0,0,COUNTA([2]enemies!$A:$A),MATCH(K$1,[2]enemies!$2:$2,0)-MATCH($I$1,[2]enemies!$2:$2,0)+1),MATCH(K$1,[2]enemies!$2:$2,0)-MATCH($I$1,[2]enemies!$2:$2,0)+1,FALSE)</f>
        <v>blue</v>
      </c>
      <c r="L111" s="29" t="str">
        <f ca="1">VLOOKUP($I111,OFFSET([3]characters!$A$1,0,0,COUNTA([3]characters!$A:$A),MATCH(L$1,[3]characters!$2:$2,0)-MATCH($I$1,[3]characters!$2:$2,0)+1),MATCH(L$1,[3]characters!$2:$2,0)-MATCH($I$1,[3]characters!$2:$2,0)+1,FALSE)</f>
        <v>Material</v>
      </c>
      <c r="M111" s="28" t="str">
        <f ca="1">VLOOKUP($I111,OFFSET([3]characters!$A$1,0,0,COUNTA([3]characters!$A:$A),MATCH(M$1,[3]characters!$2:$2,0)-MATCH($I$1,[3]characters!$2:$2,0)+2),MATCH(M$1,[3]characters!$2:$2,0)-MATCH($I$1,[3]characters!$2:$2,0)+2,FALSE)</f>
        <v>Unknown</v>
      </c>
      <c r="N111" s="5">
        <f ca="1">VLOOKUP($I111,OFFSET([2]enemies!$A$1,0,0,COUNTA([2]enemies!$A:$A),MATCH(N$1,[2]enemies!$2:$2,0)-MATCH($I$1,[2]enemies!$2:$2,0)+1),MATCH(N$1,[2]enemies!$2:$2,0)-MATCH($I$1,[2]enemies!$2:$2,0)+1,FALSE)</f>
        <v>15</v>
      </c>
      <c r="O111" s="6">
        <v>30</v>
      </c>
      <c r="P111" s="46">
        <v>2</v>
      </c>
      <c r="Q111" s="46">
        <v>1</v>
      </c>
      <c r="R111" s="6">
        <v>0</v>
      </c>
      <c r="S111" s="5" t="str">
        <f ca="1">VLOOKUP($T111,OFFSET([4]enemy_skill_sets!$B$1,0,0,COUNTA([4]enemy_skill_sets!$B:$B),MATCH(J$1,[4]enemy_skill_sets!$1:$1,0)-MATCH($T$1,[4]enemy_skill_sets!$1:$1,0)+2),MATCH(J$1,[4]enemy_skill_sets!$1:$1,0)-MATCH($T$1,[4]enemy_skill_sets!$1:$1,0)+2,FALSE)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1" s="5">
        <f ca="1">VLOOKUP($I111,OFFSET([2]enemies!$A$1,0,0,COUNTA([2]enemies!$A:$A),MATCH(T$1,[2]enemies!$2:$2,0)-MATCH($I$1,[2]enemies!$2:$2,0)+1),MATCH(T$1,[2]enemies!$2:$2,0)-MATCH($I$1,[2]enemies!$2:$2,0)+1,FALSE)</f>
        <v>0</v>
      </c>
      <c r="U111" s="7">
        <v>1</v>
      </c>
      <c r="V111" s="7">
        <v>100</v>
      </c>
      <c r="W111" s="7">
        <v>1</v>
      </c>
      <c r="X111" s="26">
        <f ca="1">VLOOKUP($I111,OFFSET([2]enemies!$A$1,0,0,COUNTA([2]enemies!$A:$A),MATCH(X$1,[2]enemies!$2:$2,0)-MATCH($I$1,[2]enemies!$2:$2,0)+1),MATCH(X$1,[2]enemies!$2:$2,0)-MATCH($I$1,[2]enemies!$2:$2,0)+1,FALSE)</f>
        <v>1</v>
      </c>
      <c r="Y111" s="31">
        <v>111</v>
      </c>
      <c r="Z111" s="5" t="str">
        <f ca="1">IFERROR(VLOOKUP($Y111,OFFSET([3]characters!$A$1,0,0,COUNTA([3]characters!$A:$A),MATCH(Z$1,[3]characters!$2:$2,0)-MATCH("character_id",[3]characters!$2:$2,0)+1),MATCH(Z$1,[3]characters!$2:$2,0)-MATCH("character_id",[3]characters!$2:$2,0)+1,FALSE),"")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111" s="5">
        <f ca="1">IFERROR(VLOOKUP($Y111,OFFSET([3]characters!$A$1,0,0,COUNTA([3]characters!$A:$A),MATCH(AA$1,[3]characters!$2:$2,0)-MATCH("character_id",[3]characters!$2:$2,0)+1),MATCH(AA$1,[3]characters!$2:$2,0)-MATCH("character_id",[3]characters!$2:$2,0)+1,FALSE),"")</f>
        <v>4</v>
      </c>
      <c r="AB111" s="5" t="str">
        <f ca="1">IFERROR(VLOOKUP($Y111,OFFSET([3]characters!$A$1,0,0,COUNTA([3]characters!$A:$A),MATCH(AB$1,[3]characters!$2:$2,0)-MATCH("character_id",[3]characters!$2:$2,0)+1),MATCH(AB$1,[3]characters!$2:$2,0)-MATCH("character_id",[3]characters!$2:$2,0)+1,FALSE),"")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11" s="8">
        <v>1</v>
      </c>
      <c r="AD111" s="34">
        <f t="shared" ca="1" si="78"/>
        <v>4</v>
      </c>
      <c r="AE111" s="9">
        <v>10</v>
      </c>
      <c r="AF111" s="8">
        <v>0</v>
      </c>
      <c r="AG111" s="8">
        <v>0</v>
      </c>
      <c r="AH111" s="8">
        <v>0</v>
      </c>
      <c r="AI111" s="8">
        <v>0</v>
      </c>
      <c r="AJ111" s="8">
        <v>1</v>
      </c>
    </row>
    <row r="112" spans="1:36" ht="21" customHeight="1">
      <c r="A112" s="21" t="str">
        <f t="shared" ref="A112:A115" ca="1" si="79">B112&amp;"_"&amp;C112&amp;"-"&amp;G112&amp;"/"&amp;I112&amp;"&lt;lv"&amp;O112&amp;"&gt;s"&amp;X112</f>
        <v>11103_3-2/37&lt;lv35&gt;s3</v>
      </c>
      <c r="B112" s="8">
        <v>11103</v>
      </c>
      <c r="C112" s="51">
        <v>3</v>
      </c>
      <c r="D112" s="2" t="str">
        <f t="shared" ref="D112:D115" si="80">B112&amp;"_"&amp;C112</f>
        <v>11103_3</v>
      </c>
      <c r="E112" s="5" t="str">
        <f ca="1">VLOOKUP($B112,OFFSET([1]quests!$A$1,0,0,COUNTA([1]quests!$A:$A),MATCH(E$1,[1]quests!$1:$1,0)-MATCH($B$1,[1]quests!$1:$1,0)+1),MATCH(E$1,[1]quests!$1:$1,0)-MATCH($B$1,[1]quests!$1:$1,0)+1,FALSE)</f>
        <v>【キャンペーン限定】 青の素材</v>
      </c>
      <c r="F112" s="5" t="str">
        <f ca="1">VLOOKUP($D112,OFFSET([1]stages!$A$1,0,0,COUNTA([1]stages!$A:$A),MATCH(F$1,[1]stages!$2:$2,0)-MATCH($D$1,[1]stages!$2:$2,0)+1),MATCH(F$1,[1]stages!$2:$2,0)-MATCH($D$1,[1]stages!$2:$2,0)+1,FALSE)</f>
        <v>水のイモムシ 【上級】</v>
      </c>
      <c r="G112" s="32">
        <v>2</v>
      </c>
      <c r="H112" s="20" t="str">
        <f t="shared" ref="H112:H115" si="81">B112&amp;"_"&amp;C112&amp;"-"&amp;G112</f>
        <v>11103_3-2</v>
      </c>
      <c r="I112" s="31">
        <v>37</v>
      </c>
      <c r="J112" s="26" t="str">
        <f ca="1">VLOOKUP($I112,OFFSET([2]enemies!$A$1,0,0,COUNTA([2]enemies!$A:$A),MATCH(J$1,[2]enemies!$2:$2,0)-MATCH($I$1,[2]enemies!$2:$2,0)+1),MATCH(J$1,[2]enemies!$2:$2,0)-MATCH($I$1,[2]enemies!$2:$2,0)+1,FALSE)</f>
        <v>ガイル</v>
      </c>
      <c r="K112" s="29" t="str">
        <f ca="1">VLOOKUP($I112,OFFSET([2]enemies!$A$1,0,0,COUNTA([2]enemies!$A:$A),MATCH(K$1,[2]enemies!$2:$2,0)-MATCH($I$1,[2]enemies!$2:$2,0)+1),MATCH(K$1,[2]enemies!$2:$2,0)-MATCH($I$1,[2]enemies!$2:$2,0)+1,FALSE)</f>
        <v>blue</v>
      </c>
      <c r="L112" s="29" t="str">
        <f ca="1">VLOOKUP($I112,OFFSET([3]characters!$A$1,0,0,COUNTA([3]characters!$A:$A),MATCH(L$1,[3]characters!$2:$2,0)-MATCH($I$1,[3]characters!$2:$2,0)+1),MATCH(L$1,[3]characters!$2:$2,0)-MATCH($I$1,[3]characters!$2:$2,0)+1,FALSE)</f>
        <v>Drop1S</v>
      </c>
      <c r="M112" s="28" t="str">
        <f ca="1">VLOOKUP($I112,OFFSET([3]characters!$A$1,0,0,COUNTA([3]characters!$A:$A),MATCH(M$1,[3]characters!$2:$2,0)-MATCH($I$1,[3]characters!$2:$2,0)+2),MATCH(M$1,[3]characters!$2:$2,0)-MATCH($I$1,[3]characters!$2:$2,0)+2,FALSE)</f>
        <v>アニマル</v>
      </c>
      <c r="N112" s="5">
        <f ca="1">VLOOKUP($I112,OFFSET([2]enemies!$A$1,0,0,COUNTA([2]enemies!$A:$A),MATCH(N$1,[2]enemies!$2:$2,0)-MATCH($I$1,[2]enemies!$2:$2,0)+1),MATCH(N$1,[2]enemies!$2:$2,0)-MATCH($I$1,[2]enemies!$2:$2,0)+1,FALSE)</f>
        <v>15</v>
      </c>
      <c r="O112" s="6">
        <v>35</v>
      </c>
      <c r="P112" s="46">
        <v>1</v>
      </c>
      <c r="Q112" s="46">
        <v>1</v>
      </c>
      <c r="R112" s="6">
        <v>0</v>
      </c>
      <c r="S112" s="5" t="str">
        <f ca="1">VLOOKUP($T112,OFFSET([4]enemy_skill_sets!$B$1,0,0,COUNTA([4]enemy_skill_sets!$B:$B),MATCH(J$1,[4]enemy_skill_sets!$1:$1,0)-MATCH($T$1,[4]enemy_skill_sets!$1:$1,0)+2),MATCH(J$1,[4]enemy_skill_sets!$1:$1,0)-MATCH($T$1,[4]enemy_skill_sets!$1:$1,0)+2,FALSE)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112" s="5">
        <f ca="1">VLOOKUP($I112,OFFSET([2]enemies!$A$1,0,0,COUNTA([2]enemies!$A:$A),MATCH(T$1,[2]enemies!$2:$2,0)-MATCH($I$1,[2]enemies!$2:$2,0)+1),MATCH(T$1,[2]enemies!$2:$2,0)-MATCH($I$1,[2]enemies!$2:$2,0)+1,FALSE)</f>
        <v>37</v>
      </c>
      <c r="U112" s="7">
        <v>0</v>
      </c>
      <c r="V112" s="7">
        <v>100</v>
      </c>
      <c r="W112" s="7">
        <v>0</v>
      </c>
      <c r="X112" s="26">
        <f ca="1">VLOOKUP($I112,OFFSET([2]enemies!$A$1,0,0,COUNTA([2]enemies!$A:$A),MATCH(X$1,[2]enemies!$2:$2,0)-MATCH($I$1,[2]enemies!$2:$2,0)+1),MATCH(X$1,[2]enemies!$2:$2,0)-MATCH($I$1,[2]enemies!$2:$2,0)+1,FALSE)</f>
        <v>3</v>
      </c>
      <c r="Y112" s="31">
        <v>37</v>
      </c>
      <c r="Z112" s="5" t="str">
        <f ca="1">IFERROR(VLOOKUP($Y112,OFFSET([3]characters!$A$1,0,0,COUNTA([3]characters!$A:$A),MATCH(Z$1,[3]characters!$2:$2,0)-MATCH("character_id",[3]characters!$2:$2,0)+1),MATCH(Z$1,[3]characters!$2:$2,0)-MATCH("character_id",[3]characters!$2:$2,0)+1,FALSE),"")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112" s="5">
        <f ca="1">IFERROR(VLOOKUP($Y112,OFFSET([3]characters!$A$1,0,0,COUNTA([3]characters!$A:$A),MATCH(AA$1,[3]characters!$2:$2,0)-MATCH("character_id",[3]characters!$2:$2,0)+1),MATCH(AA$1,[3]characters!$2:$2,0)-MATCH("character_id",[3]characters!$2:$2,0)+1,FALSE),"")</f>
        <v>2</v>
      </c>
      <c r="AB112" s="5" t="str">
        <f ca="1">IFERROR(VLOOKUP($Y112,OFFSET([3]characters!$A$1,0,0,COUNTA([3]characters!$A:$A),MATCH(AB$1,[3]characters!$2:$2,0)-MATCH("character_id",[3]characters!$2:$2,0)+1),MATCH(AB$1,[3]characters!$2:$2,0)-MATCH("character_id",[3]characters!$2:$2,0)+1,FALSE),"")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12" s="8">
        <v>1</v>
      </c>
      <c r="AD112" s="34">
        <f t="shared" ref="AD112:AD115" ca="1" si="82">AA112</f>
        <v>2</v>
      </c>
      <c r="AE112" s="9">
        <v>0</v>
      </c>
      <c r="AF112" s="8">
        <v>0</v>
      </c>
      <c r="AG112" s="8">
        <v>0</v>
      </c>
      <c r="AH112" s="8">
        <v>0</v>
      </c>
      <c r="AI112" s="8">
        <v>0</v>
      </c>
      <c r="AJ112" s="8">
        <v>1</v>
      </c>
    </row>
    <row r="113" spans="1:36" ht="21" customHeight="1">
      <c r="A113" s="21" t="str">
        <f t="shared" ca="1" si="79"/>
        <v>11103_3-2/29&lt;lv35&gt;s2</v>
      </c>
      <c r="B113" s="8">
        <v>11103</v>
      </c>
      <c r="C113" s="51">
        <v>3</v>
      </c>
      <c r="D113" s="2" t="str">
        <f t="shared" si="80"/>
        <v>11103_3</v>
      </c>
      <c r="E113" s="5" t="str">
        <f ca="1">VLOOKUP($B113,OFFSET([1]quests!$A$1,0,0,COUNTA([1]quests!$A:$A),MATCH(E$1,[1]quests!$1:$1,0)-MATCH($B$1,[1]quests!$1:$1,0)+1),MATCH(E$1,[1]quests!$1:$1,0)-MATCH($B$1,[1]quests!$1:$1,0)+1,FALSE)</f>
        <v>【キャンペーン限定】 青の素材</v>
      </c>
      <c r="F113" s="5" t="str">
        <f ca="1">VLOOKUP($D113,OFFSET([1]stages!$A$1,0,0,COUNTA([1]stages!$A:$A),MATCH(F$1,[1]stages!$2:$2,0)-MATCH($D$1,[1]stages!$2:$2,0)+1),MATCH(F$1,[1]stages!$2:$2,0)-MATCH($D$1,[1]stages!$2:$2,0)+1,FALSE)</f>
        <v>水のイモムシ 【上級】</v>
      </c>
      <c r="G113" s="32">
        <v>2</v>
      </c>
      <c r="H113" s="20" t="str">
        <f t="shared" si="81"/>
        <v>11103_3-2</v>
      </c>
      <c r="I113" s="31">
        <v>29</v>
      </c>
      <c r="J113" s="26" t="str">
        <f ca="1">VLOOKUP($I113,OFFSET([2]enemies!$A$1,0,0,COUNTA([2]enemies!$A:$A),MATCH(J$1,[2]enemies!$2:$2,0)-MATCH($I$1,[2]enemies!$2:$2,0)+1),MATCH(J$1,[2]enemies!$2:$2,0)-MATCH($I$1,[2]enemies!$2:$2,0)+1,FALSE)</f>
        <v>スケアクロウ</v>
      </c>
      <c r="K113" s="29" t="str">
        <f ca="1">VLOOKUP($I113,OFFSET([2]enemies!$A$1,0,0,COUNTA([2]enemies!$A:$A),MATCH(K$1,[2]enemies!$2:$2,0)-MATCH($I$1,[2]enemies!$2:$2,0)+1),MATCH(K$1,[2]enemies!$2:$2,0)-MATCH($I$1,[2]enemies!$2:$2,0)+1,FALSE)</f>
        <v>blue</v>
      </c>
      <c r="L113" s="29" t="str">
        <f ca="1">VLOOKUP($I113,OFFSET([3]characters!$A$1,0,0,COUNTA([3]characters!$A:$A),MATCH(L$1,[3]characters!$2:$2,0)-MATCH($I$1,[3]characters!$2:$2,0)+1),MATCH(L$1,[3]characters!$2:$2,0)-MATCH($I$1,[3]characters!$2:$2,0)+1,FALSE)</f>
        <v>Drop1N</v>
      </c>
      <c r="M113" s="28" t="str">
        <f ca="1">VLOOKUP($I113,OFFSET([3]characters!$A$1,0,0,COUNTA([3]characters!$A:$A),MATCH(M$1,[3]characters!$2:$2,0)-MATCH($I$1,[3]characters!$2:$2,0)+2),MATCH(M$1,[3]characters!$2:$2,0)-MATCH($I$1,[3]characters!$2:$2,0)+2,FALSE)</f>
        <v>マシン</v>
      </c>
      <c r="N113" s="5">
        <f ca="1">VLOOKUP($I113,OFFSET([2]enemies!$A$1,0,0,COUNTA([2]enemies!$A:$A),MATCH(N$1,[2]enemies!$2:$2,0)-MATCH($I$1,[2]enemies!$2:$2,0)+1),MATCH(N$1,[2]enemies!$2:$2,0)-MATCH($I$1,[2]enemies!$2:$2,0)+1,FALSE)</f>
        <v>15</v>
      </c>
      <c r="O113" s="6">
        <v>35</v>
      </c>
      <c r="P113" s="46">
        <v>1</v>
      </c>
      <c r="Q113" s="46">
        <v>1</v>
      </c>
      <c r="R113" s="6">
        <v>0</v>
      </c>
      <c r="S113" s="5" t="str">
        <f ca="1">VLOOKUP($T113,OFFSET([4]enemy_skill_sets!$B$1,0,0,COUNTA([4]enemy_skill_sets!$B:$B),MATCH(J$1,[4]enemy_skill_sets!$1:$1,0)-MATCH($T$1,[4]enemy_skill_sets!$1:$1,0)+2),MATCH(J$1,[4]enemy_skill_sets!$1:$1,0)-MATCH($T$1,[4]enemy_skill_sets!$1:$1,0)+2,FALSE)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3" s="5">
        <f ca="1">VLOOKUP($I113,OFFSET([2]enemies!$A$1,0,0,COUNTA([2]enemies!$A:$A),MATCH(T$1,[2]enemies!$2:$2,0)-MATCH($I$1,[2]enemies!$2:$2,0)+1),MATCH(T$1,[2]enemies!$2:$2,0)-MATCH($I$1,[2]enemies!$2:$2,0)+1,FALSE)</f>
        <v>0</v>
      </c>
      <c r="U113" s="7">
        <v>0</v>
      </c>
      <c r="V113" s="7">
        <v>100</v>
      </c>
      <c r="W113" s="7">
        <v>0</v>
      </c>
      <c r="X113" s="26">
        <f ca="1">VLOOKUP($I113,OFFSET([2]enemies!$A$1,0,0,COUNTA([2]enemies!$A:$A),MATCH(X$1,[2]enemies!$2:$2,0)-MATCH($I$1,[2]enemies!$2:$2,0)+1),MATCH(X$1,[2]enemies!$2:$2,0)-MATCH($I$1,[2]enemies!$2:$2,0)+1,FALSE)</f>
        <v>2</v>
      </c>
      <c r="Y113" s="31">
        <v>29</v>
      </c>
      <c r="Z113" s="5" t="str">
        <f ca="1">IFERROR(VLOOKUP($Y113,OFFSET([3]characters!$A$1,0,0,COUNTA([3]characters!$A:$A),MATCH(Z$1,[3]characters!$2:$2,0)-MATCH("character_id",[3]characters!$2:$2,0)+1),MATCH(Z$1,[3]characters!$2:$2,0)-MATCH("character_id",[3]characters!$2:$2,0)+1,FALSE),"")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113" s="5">
        <f ca="1">IFERROR(VLOOKUP($Y113,OFFSET([3]characters!$A$1,0,0,COUNTA([3]characters!$A:$A),MATCH(AA$1,[3]characters!$2:$2,0)-MATCH("character_id",[3]characters!$2:$2,0)+1),MATCH(AA$1,[3]characters!$2:$2,0)-MATCH("character_id",[3]characters!$2:$2,0)+1,FALSE),"")</f>
        <v>1</v>
      </c>
      <c r="AB113" s="5" t="str">
        <f ca="1">IFERROR(VLOOKUP($Y113,OFFSET([3]characters!$A$1,0,0,COUNTA([3]characters!$A:$A),MATCH(AB$1,[3]characters!$2:$2,0)-MATCH("character_id",[3]characters!$2:$2,0)+1),MATCH(AB$1,[3]characters!$2:$2,0)-MATCH("character_id",[3]characters!$2:$2,0)+1,FALSE),"")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13" s="8">
        <v>1</v>
      </c>
      <c r="AD113" s="34">
        <f t="shared" ca="1" si="82"/>
        <v>1</v>
      </c>
      <c r="AE113" s="9">
        <v>0</v>
      </c>
      <c r="AF113" s="8">
        <v>0</v>
      </c>
      <c r="AG113" s="8">
        <v>0</v>
      </c>
      <c r="AH113" s="8">
        <v>0</v>
      </c>
      <c r="AI113" s="8">
        <v>0</v>
      </c>
      <c r="AJ113" s="8">
        <v>1</v>
      </c>
    </row>
    <row r="114" spans="1:36" ht="21" customHeight="1">
      <c r="A114" s="21" t="str">
        <f t="shared" ca="1" si="79"/>
        <v>11103_3-2/340&lt;lv1&gt;s1</v>
      </c>
      <c r="B114" s="8">
        <v>11103</v>
      </c>
      <c r="C114" s="51">
        <v>3</v>
      </c>
      <c r="D114" s="2" t="str">
        <f t="shared" si="80"/>
        <v>11103_3</v>
      </c>
      <c r="E114" s="5" t="str">
        <f ca="1">VLOOKUP($B114,OFFSET([1]quests!$A$1,0,0,COUNTA([1]quests!$A:$A),MATCH(E$1,[1]quests!$1:$1,0)-MATCH($B$1,[1]quests!$1:$1,0)+1),MATCH(E$1,[1]quests!$1:$1,0)-MATCH($B$1,[1]quests!$1:$1,0)+1,FALSE)</f>
        <v>【キャンペーン限定】 青の素材</v>
      </c>
      <c r="F114" s="5" t="str">
        <f ca="1">VLOOKUP($D114,OFFSET([1]stages!$A$1,0,0,COUNTA([1]stages!$A:$A),MATCH(F$1,[1]stages!$2:$2,0)-MATCH($D$1,[1]stages!$2:$2,0)+1),MATCH(F$1,[1]stages!$2:$2,0)-MATCH($D$1,[1]stages!$2:$2,0)+1,FALSE)</f>
        <v>水のイモムシ 【上級】</v>
      </c>
      <c r="G114" s="32">
        <v>2</v>
      </c>
      <c r="H114" s="20" t="str">
        <f t="shared" si="81"/>
        <v>11103_3-2</v>
      </c>
      <c r="I114" s="31">
        <v>340</v>
      </c>
      <c r="J114" s="26" t="str">
        <f ca="1">VLOOKUP($I114,OFFSET([2]enemies!$A$1,0,0,COUNTA([2]enemies!$A:$A),MATCH(J$1,[2]enemies!$2:$2,0)-MATCH($I$1,[2]enemies!$2:$2,0)+1),MATCH(J$1,[2]enemies!$2:$2,0)-MATCH($I$1,[2]enemies!$2:$2,0)+1,FALSE)</f>
        <v>水のメタルピヨピヨ</v>
      </c>
      <c r="K114" s="29" t="str">
        <f ca="1">VLOOKUP($I114,OFFSET([2]enemies!$A$1,0,0,COUNTA([2]enemies!$A:$A),MATCH(K$1,[2]enemies!$2:$2,0)-MATCH($I$1,[2]enemies!$2:$2,0)+1),MATCH(K$1,[2]enemies!$2:$2,0)-MATCH($I$1,[2]enemies!$2:$2,0)+1,FALSE)</f>
        <v>blue</v>
      </c>
      <c r="L114" s="29" t="str">
        <f ca="1">VLOOKUP($I114,OFFSET([3]characters!$A$1,0,0,COUNTA([3]characters!$A:$A),MATCH(L$1,[3]characters!$2:$2,0)-MATCH($I$1,[3]characters!$2:$2,0)+1),MATCH(L$1,[3]characters!$2:$2,0)-MATCH($I$1,[3]characters!$2:$2,0)+1,FALSE)</f>
        <v>Material</v>
      </c>
      <c r="M114" s="28" t="str">
        <f ca="1">VLOOKUP($I114,OFFSET([3]characters!$A$1,0,0,COUNTA([3]characters!$A:$A),MATCH(M$1,[3]characters!$2:$2,0)-MATCH($I$1,[3]characters!$2:$2,0)+2),MATCH(M$1,[3]characters!$2:$2,0)-MATCH($I$1,[3]characters!$2:$2,0)+2,FALSE)</f>
        <v>Unknown</v>
      </c>
      <c r="N114" s="5">
        <f ca="1">VLOOKUP($I114,OFFSET([2]enemies!$A$1,0,0,COUNTA([2]enemies!$A:$A),MATCH(N$1,[2]enemies!$2:$2,0)-MATCH($I$1,[2]enemies!$2:$2,0)+1),MATCH(N$1,[2]enemies!$2:$2,0)-MATCH($I$1,[2]enemies!$2:$2,0)+1,FALSE)</f>
        <v>15</v>
      </c>
      <c r="O114" s="6">
        <v>1</v>
      </c>
      <c r="P114" s="46">
        <v>1</v>
      </c>
      <c r="Q114" s="46">
        <v>1</v>
      </c>
      <c r="R114" s="6">
        <v>0</v>
      </c>
      <c r="S114" s="5" t="str">
        <f ca="1">VLOOKUP($T114,OFFSET([4]enemy_skill_sets!$B$1,0,0,COUNTA([4]enemy_skill_sets!$B:$B),MATCH(J$1,[4]enemy_skill_sets!$1:$1,0)-MATCH($T$1,[4]enemy_skill_sets!$1:$1,0)+2),MATCH(J$1,[4]enemy_skill_sets!$1:$1,0)-MATCH($T$1,[4]enemy_skill_sets!$1:$1,0)+2,FALSE)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4" s="5">
        <f ca="1">VLOOKUP($I114,OFFSET([2]enemies!$A$1,0,0,COUNTA([2]enemies!$A:$A),MATCH(T$1,[2]enemies!$2:$2,0)-MATCH($I$1,[2]enemies!$2:$2,0)+1),MATCH(T$1,[2]enemies!$2:$2,0)-MATCH($I$1,[2]enemies!$2:$2,0)+1,FALSE)</f>
        <v>0</v>
      </c>
      <c r="U114" s="7">
        <v>0</v>
      </c>
      <c r="V114" s="7">
        <v>30</v>
      </c>
      <c r="W114" s="7">
        <v>0</v>
      </c>
      <c r="X114" s="26">
        <f ca="1">VLOOKUP($I114,OFFSET([2]enemies!$A$1,0,0,COUNTA([2]enemies!$A:$A),MATCH(X$1,[2]enemies!$2:$2,0)-MATCH($I$1,[2]enemies!$2:$2,0)+1),MATCH(X$1,[2]enemies!$2:$2,0)-MATCH($I$1,[2]enemies!$2:$2,0)+1,FALSE)</f>
        <v>1</v>
      </c>
      <c r="Y114" s="31">
        <v>340</v>
      </c>
      <c r="Z114" s="5" t="str">
        <f ca="1">IFERROR(VLOOKUP($Y114,OFFSET([3]characters!$A$1,0,0,COUNTA([3]characters!$A:$A),MATCH(Z$1,[3]characters!$2:$2,0)-MATCH("character_id",[3]characters!$2:$2,0)+1),MATCH(Z$1,[3]characters!$2:$2,0)-MATCH("character_id",[3]characters!$2:$2,0)+1,FALSE),"")</f>
        <v>水のメタルピヨピヨ</v>
      </c>
      <c r="AA114" s="5">
        <f ca="1">IFERROR(VLOOKUP($Y114,OFFSET([3]characters!$A$1,0,0,COUNTA([3]characters!$A:$A),MATCH(AA$1,[3]characters!$2:$2,0)-MATCH("character_id",[3]characters!$2:$2,0)+1),MATCH(AA$1,[3]characters!$2:$2,0)-MATCH("character_id",[3]characters!$2:$2,0)+1,FALSE),"")</f>
        <v>3</v>
      </c>
      <c r="AB114" s="5" t="str">
        <f ca="1">IFERROR(VLOOKUP($Y114,OFFSET([3]characters!$A$1,0,0,COUNTA([3]characters!$A:$A),MATCH(AB$1,[3]characters!$2:$2,0)-MATCH("character_id",[3]characters!$2:$2,0)+1),MATCH(AB$1,[3]characters!$2:$2,0)-MATCH("character_id",[3]characters!$2:$2,0)+1,FALSE),"")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14" s="8">
        <v>1</v>
      </c>
      <c r="AD114" s="34">
        <f t="shared" ca="1" si="82"/>
        <v>3</v>
      </c>
      <c r="AE114" s="9">
        <v>10</v>
      </c>
      <c r="AF114" s="8">
        <v>0</v>
      </c>
      <c r="AG114" s="8">
        <v>0</v>
      </c>
      <c r="AH114" s="8">
        <v>0</v>
      </c>
      <c r="AI114" s="8">
        <v>0</v>
      </c>
      <c r="AJ114" s="8">
        <v>1</v>
      </c>
    </row>
    <row r="115" spans="1:36" ht="21" customHeight="1">
      <c r="A115" s="21" t="str">
        <f t="shared" ca="1" si="79"/>
        <v>11103_3-2/341&lt;lv1&gt;s2</v>
      </c>
      <c r="B115" s="8">
        <v>11103</v>
      </c>
      <c r="C115" s="51">
        <v>3</v>
      </c>
      <c r="D115" s="2" t="str">
        <f t="shared" si="80"/>
        <v>11103_3</v>
      </c>
      <c r="E115" s="5" t="str">
        <f ca="1">VLOOKUP($B115,OFFSET([1]quests!$A$1,0,0,COUNTA([1]quests!$A:$A),MATCH(E$1,[1]quests!$1:$1,0)-MATCH($B$1,[1]quests!$1:$1,0)+1),MATCH(E$1,[1]quests!$1:$1,0)-MATCH($B$1,[1]quests!$1:$1,0)+1,FALSE)</f>
        <v>【キャンペーン限定】 青の素材</v>
      </c>
      <c r="F115" s="5" t="str">
        <f ca="1">VLOOKUP($D115,OFFSET([1]stages!$A$1,0,0,COUNTA([1]stages!$A:$A),MATCH(F$1,[1]stages!$2:$2,0)-MATCH($D$1,[1]stages!$2:$2,0)+1),MATCH(F$1,[1]stages!$2:$2,0)-MATCH($D$1,[1]stages!$2:$2,0)+1,FALSE)</f>
        <v>水のイモムシ 【上級】</v>
      </c>
      <c r="G115" s="32">
        <v>2</v>
      </c>
      <c r="H115" s="20" t="str">
        <f t="shared" si="81"/>
        <v>11103_3-2</v>
      </c>
      <c r="I115" s="31">
        <v>341</v>
      </c>
      <c r="J115" s="26" t="str">
        <f ca="1">VLOOKUP($I115,OFFSET([2]enemies!$A$1,0,0,COUNTA([2]enemies!$A:$A),MATCH(J$1,[2]enemies!$2:$2,0)-MATCH($I$1,[2]enemies!$2:$2,0)+1),MATCH(J$1,[2]enemies!$2:$2,0)-MATCH($I$1,[2]enemies!$2:$2,0)+1,FALSE)</f>
        <v>水のメタルチック</v>
      </c>
      <c r="K115" s="29" t="str">
        <f ca="1">VLOOKUP($I115,OFFSET([2]enemies!$A$1,0,0,COUNTA([2]enemies!$A:$A),MATCH(K$1,[2]enemies!$2:$2,0)-MATCH($I$1,[2]enemies!$2:$2,0)+1),MATCH(K$1,[2]enemies!$2:$2,0)-MATCH($I$1,[2]enemies!$2:$2,0)+1,FALSE)</f>
        <v>blue</v>
      </c>
      <c r="L115" s="29" t="str">
        <f ca="1">VLOOKUP($I115,OFFSET([3]characters!$A$1,0,0,COUNTA([3]characters!$A:$A),MATCH(L$1,[3]characters!$2:$2,0)-MATCH($I$1,[3]characters!$2:$2,0)+1),MATCH(L$1,[3]characters!$2:$2,0)-MATCH($I$1,[3]characters!$2:$2,0)+1,FALSE)</f>
        <v>Material</v>
      </c>
      <c r="M115" s="28" t="str">
        <f ca="1">VLOOKUP($I115,OFFSET([3]characters!$A$1,0,0,COUNTA([3]characters!$A:$A),MATCH(M$1,[3]characters!$2:$2,0)-MATCH($I$1,[3]characters!$2:$2,0)+2),MATCH(M$1,[3]characters!$2:$2,0)-MATCH($I$1,[3]characters!$2:$2,0)+2,FALSE)</f>
        <v>Unknown</v>
      </c>
      <c r="N115" s="5">
        <f ca="1">VLOOKUP($I115,OFFSET([2]enemies!$A$1,0,0,COUNTA([2]enemies!$A:$A),MATCH(N$1,[2]enemies!$2:$2,0)-MATCH($I$1,[2]enemies!$2:$2,0)+1),MATCH(N$1,[2]enemies!$2:$2,0)-MATCH($I$1,[2]enemies!$2:$2,0)+1,FALSE)</f>
        <v>15</v>
      </c>
      <c r="O115" s="6">
        <v>1</v>
      </c>
      <c r="P115" s="46">
        <v>1</v>
      </c>
      <c r="Q115" s="46">
        <v>1</v>
      </c>
      <c r="R115" s="6">
        <v>0</v>
      </c>
      <c r="S115" s="5" t="str">
        <f ca="1">VLOOKUP($T115,OFFSET([4]enemy_skill_sets!$B$1,0,0,COUNTA([4]enemy_skill_sets!$B:$B),MATCH(J$1,[4]enemy_skill_sets!$1:$1,0)-MATCH($T$1,[4]enemy_skill_sets!$1:$1,0)+2),MATCH(J$1,[4]enemy_skill_sets!$1:$1,0)-MATCH($T$1,[4]enemy_skill_sets!$1:$1,0)+2,FALSE)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5" s="5">
        <f ca="1">VLOOKUP($I115,OFFSET([2]enemies!$A$1,0,0,COUNTA([2]enemies!$A:$A),MATCH(T$1,[2]enemies!$2:$2,0)-MATCH($I$1,[2]enemies!$2:$2,0)+1),MATCH(T$1,[2]enemies!$2:$2,0)-MATCH($I$1,[2]enemies!$2:$2,0)+1,FALSE)</f>
        <v>0</v>
      </c>
      <c r="U115" s="7">
        <v>0</v>
      </c>
      <c r="V115" s="7">
        <v>30</v>
      </c>
      <c r="W115" s="7">
        <v>0</v>
      </c>
      <c r="X115" s="26">
        <f ca="1">VLOOKUP($I115,OFFSET([2]enemies!$A$1,0,0,COUNTA([2]enemies!$A:$A),MATCH(X$1,[2]enemies!$2:$2,0)-MATCH($I$1,[2]enemies!$2:$2,0)+1),MATCH(X$1,[2]enemies!$2:$2,0)-MATCH($I$1,[2]enemies!$2:$2,0)+1,FALSE)</f>
        <v>2</v>
      </c>
      <c r="Y115" s="31">
        <v>341</v>
      </c>
      <c r="Z115" s="5" t="str">
        <f ca="1">IFERROR(VLOOKUP($Y115,OFFSET([3]characters!$A$1,0,0,COUNTA([3]characters!$A:$A),MATCH(Z$1,[3]characters!$2:$2,0)-MATCH("character_id",[3]characters!$2:$2,0)+1),MATCH(Z$1,[3]characters!$2:$2,0)-MATCH("character_id",[3]characters!$2:$2,0)+1,FALSE),"")</f>
        <v>水のメタルチック</v>
      </c>
      <c r="AA115" s="5">
        <f ca="1">IFERROR(VLOOKUP($Y115,OFFSET([3]characters!$A$1,0,0,COUNTA([3]characters!$A:$A),MATCH(AA$1,[3]characters!$2:$2,0)-MATCH("character_id",[3]characters!$2:$2,0)+1),MATCH(AA$1,[3]characters!$2:$2,0)-MATCH("character_id",[3]characters!$2:$2,0)+1,FALSE),"")</f>
        <v>4</v>
      </c>
      <c r="AB115" s="5" t="str">
        <f ca="1">IFERROR(VLOOKUP($Y115,OFFSET([3]characters!$A$1,0,0,COUNTA([3]characters!$A:$A),MATCH(AB$1,[3]characters!$2:$2,0)-MATCH("character_id",[3]characters!$2:$2,0)+1),MATCH(AB$1,[3]characters!$2:$2,0)-MATCH("character_id",[3]characters!$2:$2,0)+1,FALSE),"")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15" s="8">
        <v>1</v>
      </c>
      <c r="AD115" s="34">
        <f t="shared" ca="1" si="82"/>
        <v>4</v>
      </c>
      <c r="AE115" s="9">
        <v>5</v>
      </c>
      <c r="AF115" s="8">
        <v>0</v>
      </c>
      <c r="AG115" s="8">
        <v>0</v>
      </c>
      <c r="AH115" s="8">
        <v>0</v>
      </c>
      <c r="AI115" s="8">
        <v>0</v>
      </c>
      <c r="AJ115" s="8">
        <v>1</v>
      </c>
    </row>
    <row r="116" spans="1:36" ht="21" customHeight="1">
      <c r="A116" s="21" t="str">
        <f t="shared" ca="1" si="75"/>
        <v>11103_3-3/111&lt;lv30&gt;s1</v>
      </c>
      <c r="B116" s="8">
        <v>11103</v>
      </c>
      <c r="C116" s="51">
        <v>3</v>
      </c>
      <c r="D116" s="2" t="str">
        <f t="shared" si="76"/>
        <v>11103_3</v>
      </c>
      <c r="E116" s="5" t="str">
        <f ca="1">VLOOKUP($B116,OFFSET([1]quests!$A$1,0,0,COUNTA([1]quests!$A:$A),MATCH(E$1,[1]quests!$1:$1,0)-MATCH($B$1,[1]quests!$1:$1,0)+1),MATCH(E$1,[1]quests!$1:$1,0)-MATCH($B$1,[1]quests!$1:$1,0)+1,FALSE)</f>
        <v>【キャンペーン限定】 青の素材</v>
      </c>
      <c r="F116" s="5" t="str">
        <f ca="1">VLOOKUP($D116,OFFSET([1]stages!$A$1,0,0,COUNTA([1]stages!$A:$A),MATCH(F$1,[1]stages!$2:$2,0)-MATCH($D$1,[1]stages!$2:$2,0)+1),MATCH(F$1,[1]stages!$2:$2,0)-MATCH($D$1,[1]stages!$2:$2,0)+1,FALSE)</f>
        <v>水のイモムシ 【上級】</v>
      </c>
      <c r="G116" s="32">
        <v>3</v>
      </c>
      <c r="H116" s="20" t="str">
        <f t="shared" si="77"/>
        <v>11103_3-3</v>
      </c>
      <c r="I116" s="31">
        <v>111</v>
      </c>
      <c r="J116" s="26" t="str">
        <f ca="1">VLOOKUP($I116,OFFSET([2]enemies!$A$1,0,0,COUNTA([2]enemies!$A:$A),MATCH(J$1,[2]enemies!$2:$2,0)-MATCH($I$1,[2]enemies!$2:$2,0)+1),MATCH(J$1,[2]enemies!$2:$2,0)-MATCH($I$1,[2]enemies!$2:$2,0)+1,FALSE)</f>
        <v>ブルーキャタップ</v>
      </c>
      <c r="K116" s="29" t="str">
        <f ca="1">VLOOKUP($I116,OFFSET([2]enemies!$A$1,0,0,COUNTA([2]enemies!$A:$A),MATCH(K$1,[2]enemies!$2:$2,0)-MATCH($I$1,[2]enemies!$2:$2,0)+1),MATCH(K$1,[2]enemies!$2:$2,0)-MATCH($I$1,[2]enemies!$2:$2,0)+1,FALSE)</f>
        <v>blue</v>
      </c>
      <c r="L116" s="29" t="str">
        <f ca="1">VLOOKUP($I116,OFFSET([3]characters!$A$1,0,0,COUNTA([3]characters!$A:$A),MATCH(L$1,[3]characters!$2:$2,0)-MATCH($I$1,[3]characters!$2:$2,0)+1),MATCH(L$1,[3]characters!$2:$2,0)-MATCH($I$1,[3]characters!$2:$2,0)+1,FALSE)</f>
        <v>Material</v>
      </c>
      <c r="M116" s="28" t="str">
        <f ca="1">VLOOKUP($I116,OFFSET([3]characters!$A$1,0,0,COUNTA([3]characters!$A:$A),MATCH(M$1,[3]characters!$2:$2,0)-MATCH($I$1,[3]characters!$2:$2,0)+2),MATCH(M$1,[3]characters!$2:$2,0)-MATCH($I$1,[3]characters!$2:$2,0)+2,FALSE)</f>
        <v>Unknown</v>
      </c>
      <c r="N116" s="5">
        <f ca="1">VLOOKUP($I116,OFFSET([2]enemies!$A$1,0,0,COUNTA([2]enemies!$A:$A),MATCH(N$1,[2]enemies!$2:$2,0)-MATCH($I$1,[2]enemies!$2:$2,0)+1),MATCH(N$1,[2]enemies!$2:$2,0)-MATCH($I$1,[2]enemies!$2:$2,0)+1,FALSE)</f>
        <v>15</v>
      </c>
      <c r="O116" s="6">
        <v>30</v>
      </c>
      <c r="P116" s="46">
        <v>2</v>
      </c>
      <c r="Q116" s="46">
        <v>1</v>
      </c>
      <c r="R116" s="6">
        <v>0</v>
      </c>
      <c r="S116" s="5" t="str">
        <f ca="1">VLOOKUP($T116,OFFSET([4]enemy_skill_sets!$B$1,0,0,COUNTA([4]enemy_skill_sets!$B:$B),MATCH(J$1,[4]enemy_skill_sets!$1:$1,0)-MATCH($T$1,[4]enemy_skill_sets!$1:$1,0)+2),MATCH(J$1,[4]enemy_skill_sets!$1:$1,0)-MATCH($T$1,[4]enemy_skill_sets!$1:$1,0)+2,FALSE)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6" s="5">
        <f ca="1">VLOOKUP($I116,OFFSET([2]enemies!$A$1,0,0,COUNTA([2]enemies!$A:$A),MATCH(T$1,[2]enemies!$2:$2,0)-MATCH($I$1,[2]enemies!$2:$2,0)+1),MATCH(T$1,[2]enemies!$2:$2,0)-MATCH($I$1,[2]enemies!$2:$2,0)+1,FALSE)</f>
        <v>0</v>
      </c>
      <c r="U116" s="7">
        <v>1</v>
      </c>
      <c r="V116" s="7">
        <v>100</v>
      </c>
      <c r="W116" s="7">
        <v>1</v>
      </c>
      <c r="X116" s="26">
        <f ca="1">VLOOKUP($I116,OFFSET([2]enemies!$A$1,0,0,COUNTA([2]enemies!$A:$A),MATCH(X$1,[2]enemies!$2:$2,0)-MATCH($I$1,[2]enemies!$2:$2,0)+1),MATCH(X$1,[2]enemies!$2:$2,0)-MATCH($I$1,[2]enemies!$2:$2,0)+1,FALSE)</f>
        <v>1</v>
      </c>
      <c r="Y116" s="31">
        <v>111</v>
      </c>
      <c r="Z116" s="5" t="str">
        <f ca="1">IFERROR(VLOOKUP($Y116,OFFSET([3]characters!$A$1,0,0,COUNTA([3]characters!$A:$A),MATCH(Z$1,[3]characters!$2:$2,0)-MATCH("character_id",[3]characters!$2:$2,0)+1),MATCH(Z$1,[3]characters!$2:$2,0)-MATCH("character_id",[3]characters!$2:$2,0)+1,FALSE),"")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116" s="5">
        <f ca="1">IFERROR(VLOOKUP($Y116,OFFSET([3]characters!$A$1,0,0,COUNTA([3]characters!$A:$A),MATCH(AA$1,[3]characters!$2:$2,0)-MATCH("character_id",[3]characters!$2:$2,0)+1),MATCH(AA$1,[3]characters!$2:$2,0)-MATCH("character_id",[3]characters!$2:$2,0)+1,FALSE),"")</f>
        <v>4</v>
      </c>
      <c r="AB116" s="5" t="str">
        <f ca="1">IFERROR(VLOOKUP($Y116,OFFSET([3]characters!$A$1,0,0,COUNTA([3]characters!$A:$A),MATCH(AB$1,[3]characters!$2:$2,0)-MATCH("character_id",[3]characters!$2:$2,0)+1),MATCH(AB$1,[3]characters!$2:$2,0)-MATCH("character_id",[3]characters!$2:$2,0)+1,FALSE),"")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16" s="8">
        <v>1</v>
      </c>
      <c r="AD116" s="34">
        <f t="shared" ca="1" si="78"/>
        <v>4</v>
      </c>
      <c r="AE116" s="9">
        <v>50</v>
      </c>
      <c r="AF116" s="8">
        <v>0</v>
      </c>
      <c r="AG116" s="8">
        <v>0</v>
      </c>
      <c r="AH116" s="8">
        <v>0</v>
      </c>
      <c r="AI116" s="8">
        <v>0</v>
      </c>
      <c r="AJ116" s="8">
        <v>1</v>
      </c>
    </row>
    <row r="117" spans="1:36" ht="21" customHeight="1">
      <c r="A117" s="21" t="str">
        <f t="shared" ca="1" si="75"/>
        <v>11103_3-3/37&lt;lv35&gt;s3</v>
      </c>
      <c r="B117" s="8">
        <v>11103</v>
      </c>
      <c r="C117" s="51">
        <v>3</v>
      </c>
      <c r="D117" s="2" t="str">
        <f t="shared" si="76"/>
        <v>11103_3</v>
      </c>
      <c r="E117" s="5" t="str">
        <f ca="1">VLOOKUP($B117,OFFSET([1]quests!$A$1,0,0,COUNTA([1]quests!$A:$A),MATCH(E$1,[1]quests!$1:$1,0)-MATCH($B$1,[1]quests!$1:$1,0)+1),MATCH(E$1,[1]quests!$1:$1,0)-MATCH($B$1,[1]quests!$1:$1,0)+1,FALSE)</f>
        <v>【キャンペーン限定】 青の素材</v>
      </c>
      <c r="F117" s="5" t="str">
        <f ca="1">VLOOKUP($D117,OFFSET([1]stages!$A$1,0,0,COUNTA([1]stages!$A:$A),MATCH(F$1,[1]stages!$2:$2,0)-MATCH($D$1,[1]stages!$2:$2,0)+1),MATCH(F$1,[1]stages!$2:$2,0)-MATCH($D$1,[1]stages!$2:$2,0)+1,FALSE)</f>
        <v>水のイモムシ 【上級】</v>
      </c>
      <c r="G117" s="32">
        <v>3</v>
      </c>
      <c r="H117" s="20" t="str">
        <f t="shared" si="77"/>
        <v>11103_3-3</v>
      </c>
      <c r="I117" s="31">
        <v>37</v>
      </c>
      <c r="J117" s="26" t="str">
        <f ca="1">VLOOKUP($I117,OFFSET([2]enemies!$A$1,0,0,COUNTA([2]enemies!$A:$A),MATCH(J$1,[2]enemies!$2:$2,0)-MATCH($I$1,[2]enemies!$2:$2,0)+1),MATCH(J$1,[2]enemies!$2:$2,0)-MATCH($I$1,[2]enemies!$2:$2,0)+1,FALSE)</f>
        <v>ガイル</v>
      </c>
      <c r="K117" s="29" t="str">
        <f ca="1">VLOOKUP($I117,OFFSET([2]enemies!$A$1,0,0,COUNTA([2]enemies!$A:$A),MATCH(K$1,[2]enemies!$2:$2,0)-MATCH($I$1,[2]enemies!$2:$2,0)+1),MATCH(K$1,[2]enemies!$2:$2,0)-MATCH($I$1,[2]enemies!$2:$2,0)+1,FALSE)</f>
        <v>blue</v>
      </c>
      <c r="L117" s="29" t="str">
        <f ca="1">VLOOKUP($I117,OFFSET([3]characters!$A$1,0,0,COUNTA([3]characters!$A:$A),MATCH(L$1,[3]characters!$2:$2,0)-MATCH($I$1,[3]characters!$2:$2,0)+1),MATCH(L$1,[3]characters!$2:$2,0)-MATCH($I$1,[3]characters!$2:$2,0)+1,FALSE)</f>
        <v>Drop1S</v>
      </c>
      <c r="M117" s="28" t="str">
        <f ca="1">VLOOKUP($I117,OFFSET([3]characters!$A$1,0,0,COUNTA([3]characters!$A:$A),MATCH(M$1,[3]characters!$2:$2,0)-MATCH($I$1,[3]characters!$2:$2,0)+2),MATCH(M$1,[3]characters!$2:$2,0)-MATCH($I$1,[3]characters!$2:$2,0)+2,FALSE)</f>
        <v>アニマル</v>
      </c>
      <c r="N117" s="5">
        <f ca="1">VLOOKUP($I117,OFFSET([2]enemies!$A$1,0,0,COUNTA([2]enemies!$A:$A),MATCH(N$1,[2]enemies!$2:$2,0)-MATCH($I$1,[2]enemies!$2:$2,0)+1),MATCH(N$1,[2]enemies!$2:$2,0)-MATCH($I$1,[2]enemies!$2:$2,0)+1,FALSE)</f>
        <v>15</v>
      </c>
      <c r="O117" s="6">
        <v>35</v>
      </c>
      <c r="P117" s="46">
        <v>1</v>
      </c>
      <c r="Q117" s="46">
        <v>1</v>
      </c>
      <c r="R117" s="6">
        <v>0</v>
      </c>
      <c r="S117" s="5" t="str">
        <f ca="1">VLOOKUP($T117,OFFSET([4]enemy_skill_sets!$B$1,0,0,COUNTA([4]enemy_skill_sets!$B:$B),MATCH(J$1,[4]enemy_skill_sets!$1:$1,0)-MATCH($T$1,[4]enemy_skill_sets!$1:$1,0)+2),MATCH(J$1,[4]enemy_skill_sets!$1:$1,0)-MATCH($T$1,[4]enemy_skill_sets!$1:$1,0)+2,FALSE)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117" s="5">
        <f ca="1">VLOOKUP($I117,OFFSET([2]enemies!$A$1,0,0,COUNTA([2]enemies!$A:$A),MATCH(T$1,[2]enemies!$2:$2,0)-MATCH($I$1,[2]enemies!$2:$2,0)+1),MATCH(T$1,[2]enemies!$2:$2,0)-MATCH($I$1,[2]enemies!$2:$2,0)+1,FALSE)</f>
        <v>37</v>
      </c>
      <c r="U117" s="7">
        <v>0</v>
      </c>
      <c r="V117" s="7">
        <v>100</v>
      </c>
      <c r="W117" s="7">
        <v>0</v>
      </c>
      <c r="X117" s="26">
        <f ca="1">VLOOKUP($I117,OFFSET([2]enemies!$A$1,0,0,COUNTA([2]enemies!$A:$A),MATCH(X$1,[2]enemies!$2:$2,0)-MATCH($I$1,[2]enemies!$2:$2,0)+1),MATCH(X$1,[2]enemies!$2:$2,0)-MATCH($I$1,[2]enemies!$2:$2,0)+1,FALSE)</f>
        <v>3</v>
      </c>
      <c r="Y117" s="31">
        <v>37</v>
      </c>
      <c r="Z117" s="5" t="str">
        <f ca="1">IFERROR(VLOOKUP($Y117,OFFSET([3]characters!$A$1,0,0,COUNTA([3]characters!$A:$A),MATCH(Z$1,[3]characters!$2:$2,0)-MATCH("character_id",[3]characters!$2:$2,0)+1),MATCH(Z$1,[3]characters!$2:$2,0)-MATCH("character_id",[3]characters!$2:$2,0)+1,FALSE),"")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117" s="5">
        <f ca="1">IFERROR(VLOOKUP($Y117,OFFSET([3]characters!$A$1,0,0,COUNTA([3]characters!$A:$A),MATCH(AA$1,[3]characters!$2:$2,0)-MATCH("character_id",[3]characters!$2:$2,0)+1),MATCH(AA$1,[3]characters!$2:$2,0)-MATCH("character_id",[3]characters!$2:$2,0)+1,FALSE),"")</f>
        <v>2</v>
      </c>
      <c r="AB117" s="5" t="str">
        <f ca="1">IFERROR(VLOOKUP($Y117,OFFSET([3]characters!$A$1,0,0,COUNTA([3]characters!$A:$A),MATCH(AB$1,[3]characters!$2:$2,0)-MATCH("character_id",[3]characters!$2:$2,0)+1),MATCH(AB$1,[3]characters!$2:$2,0)-MATCH("character_id",[3]characters!$2:$2,0)+1,FALSE),"")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17" s="8">
        <v>1</v>
      </c>
      <c r="AD117" s="34">
        <f t="shared" ca="1" si="78"/>
        <v>2</v>
      </c>
      <c r="AE117" s="9">
        <v>0</v>
      </c>
      <c r="AF117" s="8">
        <v>0</v>
      </c>
      <c r="AG117" s="8">
        <v>0</v>
      </c>
      <c r="AH117" s="8">
        <v>0</v>
      </c>
      <c r="AI117" s="8">
        <v>0</v>
      </c>
      <c r="AJ117" s="8">
        <v>1</v>
      </c>
    </row>
    <row r="118" spans="1:36" ht="21" customHeight="1">
      <c r="A118" s="21" t="str">
        <f t="shared" ca="1" si="75"/>
        <v>11103_3-3/29&lt;lv35&gt;s2</v>
      </c>
      <c r="B118" s="8">
        <v>11103</v>
      </c>
      <c r="C118" s="51">
        <v>3</v>
      </c>
      <c r="D118" s="2" t="str">
        <f t="shared" si="76"/>
        <v>11103_3</v>
      </c>
      <c r="E118" s="5" t="str">
        <f ca="1">VLOOKUP($B118,OFFSET([1]quests!$A$1,0,0,COUNTA([1]quests!$A:$A),MATCH(E$1,[1]quests!$1:$1,0)-MATCH($B$1,[1]quests!$1:$1,0)+1),MATCH(E$1,[1]quests!$1:$1,0)-MATCH($B$1,[1]quests!$1:$1,0)+1,FALSE)</f>
        <v>【キャンペーン限定】 青の素材</v>
      </c>
      <c r="F118" s="5" t="str">
        <f ca="1">VLOOKUP($D118,OFFSET([1]stages!$A$1,0,0,COUNTA([1]stages!$A:$A),MATCH(F$1,[1]stages!$2:$2,0)-MATCH($D$1,[1]stages!$2:$2,0)+1),MATCH(F$1,[1]stages!$2:$2,0)-MATCH($D$1,[1]stages!$2:$2,0)+1,FALSE)</f>
        <v>水のイモムシ 【上級】</v>
      </c>
      <c r="G118" s="32">
        <v>3</v>
      </c>
      <c r="H118" s="20" t="str">
        <f t="shared" si="77"/>
        <v>11103_3-3</v>
      </c>
      <c r="I118" s="31">
        <v>29</v>
      </c>
      <c r="J118" s="26" t="str">
        <f ca="1">VLOOKUP($I118,OFFSET([2]enemies!$A$1,0,0,COUNTA([2]enemies!$A:$A),MATCH(J$1,[2]enemies!$2:$2,0)-MATCH($I$1,[2]enemies!$2:$2,0)+1),MATCH(J$1,[2]enemies!$2:$2,0)-MATCH($I$1,[2]enemies!$2:$2,0)+1,FALSE)</f>
        <v>スケアクロウ</v>
      </c>
      <c r="K118" s="29" t="str">
        <f ca="1">VLOOKUP($I118,OFFSET([2]enemies!$A$1,0,0,COUNTA([2]enemies!$A:$A),MATCH(K$1,[2]enemies!$2:$2,0)-MATCH($I$1,[2]enemies!$2:$2,0)+1),MATCH(K$1,[2]enemies!$2:$2,0)-MATCH($I$1,[2]enemies!$2:$2,0)+1,FALSE)</f>
        <v>blue</v>
      </c>
      <c r="L118" s="29" t="str">
        <f ca="1">VLOOKUP($I118,OFFSET([3]characters!$A$1,0,0,COUNTA([3]characters!$A:$A),MATCH(L$1,[3]characters!$2:$2,0)-MATCH($I$1,[3]characters!$2:$2,0)+1),MATCH(L$1,[3]characters!$2:$2,0)-MATCH($I$1,[3]characters!$2:$2,0)+1,FALSE)</f>
        <v>Drop1N</v>
      </c>
      <c r="M118" s="28" t="str">
        <f ca="1">VLOOKUP($I118,OFFSET([3]characters!$A$1,0,0,COUNTA([3]characters!$A:$A),MATCH(M$1,[3]characters!$2:$2,0)-MATCH($I$1,[3]characters!$2:$2,0)+2),MATCH(M$1,[3]characters!$2:$2,0)-MATCH($I$1,[3]characters!$2:$2,0)+2,FALSE)</f>
        <v>マシン</v>
      </c>
      <c r="N118" s="5">
        <f ca="1">VLOOKUP($I118,OFFSET([2]enemies!$A$1,0,0,COUNTA([2]enemies!$A:$A),MATCH(N$1,[2]enemies!$2:$2,0)-MATCH($I$1,[2]enemies!$2:$2,0)+1),MATCH(N$1,[2]enemies!$2:$2,0)-MATCH($I$1,[2]enemies!$2:$2,0)+1,FALSE)</f>
        <v>15</v>
      </c>
      <c r="O118" s="6">
        <v>35</v>
      </c>
      <c r="P118" s="46">
        <v>1</v>
      </c>
      <c r="Q118" s="46">
        <v>1</v>
      </c>
      <c r="R118" s="6">
        <v>0</v>
      </c>
      <c r="S118" s="5" t="str">
        <f ca="1">VLOOKUP($T118,OFFSET([4]enemy_skill_sets!$B$1,0,0,COUNTA([4]enemy_skill_sets!$B:$B),MATCH(J$1,[4]enemy_skill_sets!$1:$1,0)-MATCH($T$1,[4]enemy_skill_sets!$1:$1,0)+2),MATCH(J$1,[4]enemy_skill_sets!$1:$1,0)-MATCH($T$1,[4]enemy_skill_sets!$1:$1,0)+2,FALSE)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8" s="5">
        <f ca="1">VLOOKUP($I118,OFFSET([2]enemies!$A$1,0,0,COUNTA([2]enemies!$A:$A),MATCH(T$1,[2]enemies!$2:$2,0)-MATCH($I$1,[2]enemies!$2:$2,0)+1),MATCH(T$1,[2]enemies!$2:$2,0)-MATCH($I$1,[2]enemies!$2:$2,0)+1,FALSE)</f>
        <v>0</v>
      </c>
      <c r="U118" s="7">
        <v>0</v>
      </c>
      <c r="V118" s="7">
        <v>100</v>
      </c>
      <c r="W118" s="7">
        <v>0</v>
      </c>
      <c r="X118" s="26">
        <f ca="1">VLOOKUP($I118,OFFSET([2]enemies!$A$1,0,0,COUNTA([2]enemies!$A:$A),MATCH(X$1,[2]enemies!$2:$2,0)-MATCH($I$1,[2]enemies!$2:$2,0)+1),MATCH(X$1,[2]enemies!$2:$2,0)-MATCH($I$1,[2]enemies!$2:$2,0)+1,FALSE)</f>
        <v>2</v>
      </c>
      <c r="Y118" s="31">
        <v>29</v>
      </c>
      <c r="Z118" s="5" t="str">
        <f ca="1">IFERROR(VLOOKUP($Y118,OFFSET([3]characters!$A$1,0,0,COUNTA([3]characters!$A:$A),MATCH(Z$1,[3]characters!$2:$2,0)-MATCH("character_id",[3]characters!$2:$2,0)+1),MATCH(Z$1,[3]characters!$2:$2,0)-MATCH("character_id",[3]characters!$2:$2,0)+1,FALSE),"")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118" s="5">
        <f ca="1">IFERROR(VLOOKUP($Y118,OFFSET([3]characters!$A$1,0,0,COUNTA([3]characters!$A:$A),MATCH(AA$1,[3]characters!$2:$2,0)-MATCH("character_id",[3]characters!$2:$2,0)+1),MATCH(AA$1,[3]characters!$2:$2,0)-MATCH("character_id",[3]characters!$2:$2,0)+1,FALSE),"")</f>
        <v>1</v>
      </c>
      <c r="AB118" s="5" t="str">
        <f ca="1">IFERROR(VLOOKUP($Y118,OFFSET([3]characters!$A$1,0,0,COUNTA([3]characters!$A:$A),MATCH(AB$1,[3]characters!$2:$2,0)-MATCH("character_id",[3]characters!$2:$2,0)+1),MATCH(AB$1,[3]characters!$2:$2,0)-MATCH("character_id",[3]characters!$2:$2,0)+1,FALSE),"")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18" s="8">
        <v>1</v>
      </c>
      <c r="AD118" s="34">
        <f t="shared" ca="1" si="78"/>
        <v>1</v>
      </c>
      <c r="AE118" s="9">
        <v>0</v>
      </c>
      <c r="AF118" s="8">
        <v>0</v>
      </c>
      <c r="AG118" s="8">
        <v>0</v>
      </c>
      <c r="AH118" s="8">
        <v>0</v>
      </c>
      <c r="AI118" s="8">
        <v>0</v>
      </c>
      <c r="AJ118" s="8">
        <v>1</v>
      </c>
    </row>
    <row r="119" spans="1:36" ht="21" customHeight="1">
      <c r="A119" s="21" t="str">
        <f t="shared" ca="1" si="75"/>
        <v>11103_3-3/340&lt;lv1&gt;s1</v>
      </c>
      <c r="B119" s="8">
        <v>11103</v>
      </c>
      <c r="C119" s="51">
        <v>3</v>
      </c>
      <c r="D119" s="2" t="str">
        <f t="shared" si="76"/>
        <v>11103_3</v>
      </c>
      <c r="E119" s="5" t="str">
        <f ca="1">VLOOKUP($B119,OFFSET([1]quests!$A$1,0,0,COUNTA([1]quests!$A:$A),MATCH(E$1,[1]quests!$1:$1,0)-MATCH($B$1,[1]quests!$1:$1,0)+1),MATCH(E$1,[1]quests!$1:$1,0)-MATCH($B$1,[1]quests!$1:$1,0)+1,FALSE)</f>
        <v>【キャンペーン限定】 青の素材</v>
      </c>
      <c r="F119" s="5" t="str">
        <f ca="1">VLOOKUP($D119,OFFSET([1]stages!$A$1,0,0,COUNTA([1]stages!$A:$A),MATCH(F$1,[1]stages!$2:$2,0)-MATCH($D$1,[1]stages!$2:$2,0)+1),MATCH(F$1,[1]stages!$2:$2,0)-MATCH($D$1,[1]stages!$2:$2,0)+1,FALSE)</f>
        <v>水のイモムシ 【上級】</v>
      </c>
      <c r="G119" s="32">
        <v>3</v>
      </c>
      <c r="H119" s="20" t="str">
        <f t="shared" si="77"/>
        <v>11103_3-3</v>
      </c>
      <c r="I119" s="31">
        <v>340</v>
      </c>
      <c r="J119" s="26" t="str">
        <f ca="1">VLOOKUP($I119,OFFSET([2]enemies!$A$1,0,0,COUNTA([2]enemies!$A:$A),MATCH(J$1,[2]enemies!$2:$2,0)-MATCH($I$1,[2]enemies!$2:$2,0)+1),MATCH(J$1,[2]enemies!$2:$2,0)-MATCH($I$1,[2]enemies!$2:$2,0)+1,FALSE)</f>
        <v>水のメタルピヨピヨ</v>
      </c>
      <c r="K119" s="29" t="str">
        <f ca="1">VLOOKUP($I119,OFFSET([2]enemies!$A$1,0,0,COUNTA([2]enemies!$A:$A),MATCH(K$1,[2]enemies!$2:$2,0)-MATCH($I$1,[2]enemies!$2:$2,0)+1),MATCH(K$1,[2]enemies!$2:$2,0)-MATCH($I$1,[2]enemies!$2:$2,0)+1,FALSE)</f>
        <v>blue</v>
      </c>
      <c r="L119" s="29" t="str">
        <f ca="1">VLOOKUP($I119,OFFSET([3]characters!$A$1,0,0,COUNTA([3]characters!$A:$A),MATCH(L$1,[3]characters!$2:$2,0)-MATCH($I$1,[3]characters!$2:$2,0)+1),MATCH(L$1,[3]characters!$2:$2,0)-MATCH($I$1,[3]characters!$2:$2,0)+1,FALSE)</f>
        <v>Material</v>
      </c>
      <c r="M119" s="28" t="str">
        <f ca="1">VLOOKUP($I119,OFFSET([3]characters!$A$1,0,0,COUNTA([3]characters!$A:$A),MATCH(M$1,[3]characters!$2:$2,0)-MATCH($I$1,[3]characters!$2:$2,0)+2),MATCH(M$1,[3]characters!$2:$2,0)-MATCH($I$1,[3]characters!$2:$2,0)+2,FALSE)</f>
        <v>Unknown</v>
      </c>
      <c r="N119" s="5">
        <f ca="1">VLOOKUP($I119,OFFSET([2]enemies!$A$1,0,0,COUNTA([2]enemies!$A:$A),MATCH(N$1,[2]enemies!$2:$2,0)-MATCH($I$1,[2]enemies!$2:$2,0)+1),MATCH(N$1,[2]enemies!$2:$2,0)-MATCH($I$1,[2]enemies!$2:$2,0)+1,FALSE)</f>
        <v>15</v>
      </c>
      <c r="O119" s="6">
        <v>1</v>
      </c>
      <c r="P119" s="46">
        <v>1</v>
      </c>
      <c r="Q119" s="46">
        <v>1</v>
      </c>
      <c r="R119" s="6">
        <v>0</v>
      </c>
      <c r="S119" s="5" t="str">
        <f ca="1">VLOOKUP($T119,OFFSET([4]enemy_skill_sets!$B$1,0,0,COUNTA([4]enemy_skill_sets!$B:$B),MATCH(J$1,[4]enemy_skill_sets!$1:$1,0)-MATCH($T$1,[4]enemy_skill_sets!$1:$1,0)+2),MATCH(J$1,[4]enemy_skill_sets!$1:$1,0)-MATCH($T$1,[4]enemy_skill_sets!$1:$1,0)+2,FALSE)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9" s="5">
        <f ca="1">VLOOKUP($I119,OFFSET([2]enemies!$A$1,0,0,COUNTA([2]enemies!$A:$A),MATCH(T$1,[2]enemies!$2:$2,0)-MATCH($I$1,[2]enemies!$2:$2,0)+1),MATCH(T$1,[2]enemies!$2:$2,0)-MATCH($I$1,[2]enemies!$2:$2,0)+1,FALSE)</f>
        <v>0</v>
      </c>
      <c r="U119" s="7">
        <v>0</v>
      </c>
      <c r="V119" s="7">
        <v>30</v>
      </c>
      <c r="W119" s="7">
        <v>0</v>
      </c>
      <c r="X119" s="26">
        <f ca="1">VLOOKUP($I119,OFFSET([2]enemies!$A$1,0,0,COUNTA([2]enemies!$A:$A),MATCH(X$1,[2]enemies!$2:$2,0)-MATCH($I$1,[2]enemies!$2:$2,0)+1),MATCH(X$1,[2]enemies!$2:$2,0)-MATCH($I$1,[2]enemies!$2:$2,0)+1,FALSE)</f>
        <v>1</v>
      </c>
      <c r="Y119" s="31">
        <v>340</v>
      </c>
      <c r="Z119" s="5" t="str">
        <f ca="1">IFERROR(VLOOKUP($Y119,OFFSET([3]characters!$A$1,0,0,COUNTA([3]characters!$A:$A),MATCH(Z$1,[3]characters!$2:$2,0)-MATCH("character_id",[3]characters!$2:$2,0)+1),MATCH(Z$1,[3]characters!$2:$2,0)-MATCH("character_id",[3]characters!$2:$2,0)+1,FALSE),"")</f>
        <v>水のメタルピヨピヨ</v>
      </c>
      <c r="AA119" s="5">
        <f ca="1">IFERROR(VLOOKUP($Y119,OFFSET([3]characters!$A$1,0,0,COUNTA([3]characters!$A:$A),MATCH(AA$1,[3]characters!$2:$2,0)-MATCH("character_id",[3]characters!$2:$2,0)+1),MATCH(AA$1,[3]characters!$2:$2,0)-MATCH("character_id",[3]characters!$2:$2,0)+1,FALSE),"")</f>
        <v>3</v>
      </c>
      <c r="AB119" s="5" t="str">
        <f ca="1">IFERROR(VLOOKUP($Y119,OFFSET([3]characters!$A$1,0,0,COUNTA([3]characters!$A:$A),MATCH(AB$1,[3]characters!$2:$2,0)-MATCH("character_id",[3]characters!$2:$2,0)+1),MATCH(AB$1,[3]characters!$2:$2,0)-MATCH("character_id",[3]characters!$2:$2,0)+1,FALSE),"")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19" s="8">
        <v>1</v>
      </c>
      <c r="AD119" s="34">
        <f t="shared" ca="1" si="78"/>
        <v>3</v>
      </c>
      <c r="AE119" s="9">
        <v>10</v>
      </c>
      <c r="AF119" s="8">
        <v>0</v>
      </c>
      <c r="AG119" s="8">
        <v>0</v>
      </c>
      <c r="AH119" s="8">
        <v>0</v>
      </c>
      <c r="AI119" s="8">
        <v>0</v>
      </c>
      <c r="AJ119" s="8">
        <v>1</v>
      </c>
    </row>
    <row r="120" spans="1:36" ht="21" customHeight="1">
      <c r="A120" s="21" t="str">
        <f t="shared" ca="1" si="75"/>
        <v>11103_3-3/341&lt;lv1&gt;s2</v>
      </c>
      <c r="B120" s="8">
        <v>11103</v>
      </c>
      <c r="C120" s="51">
        <v>3</v>
      </c>
      <c r="D120" s="2" t="str">
        <f t="shared" si="76"/>
        <v>11103_3</v>
      </c>
      <c r="E120" s="5" t="str">
        <f ca="1">VLOOKUP($B120,OFFSET([1]quests!$A$1,0,0,COUNTA([1]quests!$A:$A),MATCH(E$1,[1]quests!$1:$1,0)-MATCH($B$1,[1]quests!$1:$1,0)+1),MATCH(E$1,[1]quests!$1:$1,0)-MATCH($B$1,[1]quests!$1:$1,0)+1,FALSE)</f>
        <v>【キャンペーン限定】 青の素材</v>
      </c>
      <c r="F120" s="5" t="str">
        <f ca="1">VLOOKUP($D120,OFFSET([1]stages!$A$1,0,0,COUNTA([1]stages!$A:$A),MATCH(F$1,[1]stages!$2:$2,0)-MATCH($D$1,[1]stages!$2:$2,0)+1),MATCH(F$1,[1]stages!$2:$2,0)-MATCH($D$1,[1]stages!$2:$2,0)+1,FALSE)</f>
        <v>水のイモムシ 【上級】</v>
      </c>
      <c r="G120" s="32">
        <v>3</v>
      </c>
      <c r="H120" s="20" t="str">
        <f t="shared" si="77"/>
        <v>11103_3-3</v>
      </c>
      <c r="I120" s="31">
        <v>341</v>
      </c>
      <c r="J120" s="26" t="str">
        <f ca="1">VLOOKUP($I120,OFFSET([2]enemies!$A$1,0,0,COUNTA([2]enemies!$A:$A),MATCH(J$1,[2]enemies!$2:$2,0)-MATCH($I$1,[2]enemies!$2:$2,0)+1),MATCH(J$1,[2]enemies!$2:$2,0)-MATCH($I$1,[2]enemies!$2:$2,0)+1,FALSE)</f>
        <v>水のメタルチック</v>
      </c>
      <c r="K120" s="29" t="str">
        <f ca="1">VLOOKUP($I120,OFFSET([2]enemies!$A$1,0,0,COUNTA([2]enemies!$A:$A),MATCH(K$1,[2]enemies!$2:$2,0)-MATCH($I$1,[2]enemies!$2:$2,0)+1),MATCH(K$1,[2]enemies!$2:$2,0)-MATCH($I$1,[2]enemies!$2:$2,0)+1,FALSE)</f>
        <v>blue</v>
      </c>
      <c r="L120" s="29" t="str">
        <f ca="1">VLOOKUP($I120,OFFSET([3]characters!$A$1,0,0,COUNTA([3]characters!$A:$A),MATCH(L$1,[3]characters!$2:$2,0)-MATCH($I$1,[3]characters!$2:$2,0)+1),MATCH(L$1,[3]characters!$2:$2,0)-MATCH($I$1,[3]characters!$2:$2,0)+1,FALSE)</f>
        <v>Material</v>
      </c>
      <c r="M120" s="28" t="str">
        <f ca="1">VLOOKUP($I120,OFFSET([3]characters!$A$1,0,0,COUNTA([3]characters!$A:$A),MATCH(M$1,[3]characters!$2:$2,0)-MATCH($I$1,[3]characters!$2:$2,0)+2),MATCH(M$1,[3]characters!$2:$2,0)-MATCH($I$1,[3]characters!$2:$2,0)+2,FALSE)</f>
        <v>Unknown</v>
      </c>
      <c r="N120" s="5">
        <f ca="1">VLOOKUP($I120,OFFSET([2]enemies!$A$1,0,0,COUNTA([2]enemies!$A:$A),MATCH(N$1,[2]enemies!$2:$2,0)-MATCH($I$1,[2]enemies!$2:$2,0)+1),MATCH(N$1,[2]enemies!$2:$2,0)-MATCH($I$1,[2]enemies!$2:$2,0)+1,FALSE)</f>
        <v>15</v>
      </c>
      <c r="O120" s="6">
        <v>1</v>
      </c>
      <c r="P120" s="46">
        <v>1</v>
      </c>
      <c r="Q120" s="46">
        <v>1</v>
      </c>
      <c r="R120" s="6">
        <v>0</v>
      </c>
      <c r="S120" s="5" t="str">
        <f ca="1">VLOOKUP($T120,OFFSET([4]enemy_skill_sets!$B$1,0,0,COUNTA([4]enemy_skill_sets!$B:$B),MATCH(J$1,[4]enemy_skill_sets!$1:$1,0)-MATCH($T$1,[4]enemy_skill_sets!$1:$1,0)+2),MATCH(J$1,[4]enemy_skill_sets!$1:$1,0)-MATCH($T$1,[4]enemy_skill_sets!$1:$1,0)+2,FALSE)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0" s="5">
        <f ca="1">VLOOKUP($I120,OFFSET([2]enemies!$A$1,0,0,COUNTA([2]enemies!$A:$A),MATCH(T$1,[2]enemies!$2:$2,0)-MATCH($I$1,[2]enemies!$2:$2,0)+1),MATCH(T$1,[2]enemies!$2:$2,0)-MATCH($I$1,[2]enemies!$2:$2,0)+1,FALSE)</f>
        <v>0</v>
      </c>
      <c r="U120" s="7">
        <v>0</v>
      </c>
      <c r="V120" s="7">
        <v>30</v>
      </c>
      <c r="W120" s="7">
        <v>0</v>
      </c>
      <c r="X120" s="26">
        <f ca="1">VLOOKUP($I120,OFFSET([2]enemies!$A$1,0,0,COUNTA([2]enemies!$A:$A),MATCH(X$1,[2]enemies!$2:$2,0)-MATCH($I$1,[2]enemies!$2:$2,0)+1),MATCH(X$1,[2]enemies!$2:$2,0)-MATCH($I$1,[2]enemies!$2:$2,0)+1,FALSE)</f>
        <v>2</v>
      </c>
      <c r="Y120" s="31">
        <v>341</v>
      </c>
      <c r="Z120" s="5" t="str">
        <f ca="1">IFERROR(VLOOKUP($Y120,OFFSET([3]characters!$A$1,0,0,COUNTA([3]characters!$A:$A),MATCH(Z$1,[3]characters!$2:$2,0)-MATCH("character_id",[3]characters!$2:$2,0)+1),MATCH(Z$1,[3]characters!$2:$2,0)-MATCH("character_id",[3]characters!$2:$2,0)+1,FALSE),"")</f>
        <v>水のメタルチック</v>
      </c>
      <c r="AA120" s="5">
        <f ca="1">IFERROR(VLOOKUP($Y120,OFFSET([3]characters!$A$1,0,0,COUNTA([3]characters!$A:$A),MATCH(AA$1,[3]characters!$2:$2,0)-MATCH("character_id",[3]characters!$2:$2,0)+1),MATCH(AA$1,[3]characters!$2:$2,0)-MATCH("character_id",[3]characters!$2:$2,0)+1,FALSE),"")</f>
        <v>4</v>
      </c>
      <c r="AB120" s="5" t="str">
        <f ca="1">IFERROR(VLOOKUP($Y120,OFFSET([3]characters!$A$1,0,0,COUNTA([3]characters!$A:$A),MATCH(AB$1,[3]characters!$2:$2,0)-MATCH("character_id",[3]characters!$2:$2,0)+1),MATCH(AB$1,[3]characters!$2:$2,0)-MATCH("character_id",[3]characters!$2:$2,0)+1,FALSE),"")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20" s="8">
        <v>1</v>
      </c>
      <c r="AD120" s="34">
        <f t="shared" ca="1" si="78"/>
        <v>4</v>
      </c>
      <c r="AE120" s="9">
        <v>5</v>
      </c>
      <c r="AF120" s="8">
        <v>0</v>
      </c>
      <c r="AG120" s="8">
        <v>0</v>
      </c>
      <c r="AH120" s="8">
        <v>0</v>
      </c>
      <c r="AI120" s="8">
        <v>0</v>
      </c>
      <c r="AJ120" s="8">
        <v>1</v>
      </c>
    </row>
    <row r="121" spans="1:36" ht="21" customHeight="1">
      <c r="A121" s="21" t="str">
        <f t="shared" ca="1" si="75"/>
        <v>11103_3-4/111&lt;lv30&gt;s1</v>
      </c>
      <c r="B121" s="8">
        <v>11103</v>
      </c>
      <c r="C121" s="51">
        <v>3</v>
      </c>
      <c r="D121" s="2" t="str">
        <f t="shared" si="76"/>
        <v>11103_3</v>
      </c>
      <c r="E121" s="5" t="str">
        <f ca="1">VLOOKUP($B121,OFFSET([1]quests!$A$1,0,0,COUNTA([1]quests!$A:$A),MATCH(E$1,[1]quests!$1:$1,0)-MATCH($B$1,[1]quests!$1:$1,0)+1),MATCH(E$1,[1]quests!$1:$1,0)-MATCH($B$1,[1]quests!$1:$1,0)+1,FALSE)</f>
        <v>【キャンペーン限定】 青の素材</v>
      </c>
      <c r="F121" s="5" t="str">
        <f ca="1">VLOOKUP($D121,OFFSET([1]stages!$A$1,0,0,COUNTA([1]stages!$A:$A),MATCH(F$1,[1]stages!$2:$2,0)-MATCH($D$1,[1]stages!$2:$2,0)+1),MATCH(F$1,[1]stages!$2:$2,0)-MATCH($D$1,[1]stages!$2:$2,0)+1,FALSE)</f>
        <v>水のイモムシ 【上級】</v>
      </c>
      <c r="G121" s="32">
        <v>4</v>
      </c>
      <c r="H121" s="20" t="str">
        <f t="shared" si="77"/>
        <v>11103_3-4</v>
      </c>
      <c r="I121" s="31">
        <v>111</v>
      </c>
      <c r="J121" s="26" t="str">
        <f ca="1">VLOOKUP($I121,OFFSET([2]enemies!$A$1,0,0,COUNTA([2]enemies!$A:$A),MATCH(J$1,[2]enemies!$2:$2,0)-MATCH($I$1,[2]enemies!$2:$2,0)+1),MATCH(J$1,[2]enemies!$2:$2,0)-MATCH($I$1,[2]enemies!$2:$2,0)+1,FALSE)</f>
        <v>ブルーキャタップ</v>
      </c>
      <c r="K121" s="29" t="str">
        <f ca="1">VLOOKUP($I121,OFFSET([2]enemies!$A$1,0,0,COUNTA([2]enemies!$A:$A),MATCH(K$1,[2]enemies!$2:$2,0)-MATCH($I$1,[2]enemies!$2:$2,0)+1),MATCH(K$1,[2]enemies!$2:$2,0)-MATCH($I$1,[2]enemies!$2:$2,0)+1,FALSE)</f>
        <v>blue</v>
      </c>
      <c r="L121" s="29" t="str">
        <f ca="1">VLOOKUP($I121,OFFSET([3]characters!$A$1,0,0,COUNTA([3]characters!$A:$A),MATCH(L$1,[3]characters!$2:$2,0)-MATCH($I$1,[3]characters!$2:$2,0)+1),MATCH(L$1,[3]characters!$2:$2,0)-MATCH($I$1,[3]characters!$2:$2,0)+1,FALSE)</f>
        <v>Material</v>
      </c>
      <c r="M121" s="28" t="str">
        <f ca="1">VLOOKUP($I121,OFFSET([3]characters!$A$1,0,0,COUNTA([3]characters!$A:$A),MATCH(M$1,[3]characters!$2:$2,0)-MATCH($I$1,[3]characters!$2:$2,0)+2),MATCH(M$1,[3]characters!$2:$2,0)-MATCH($I$1,[3]characters!$2:$2,0)+2,FALSE)</f>
        <v>Unknown</v>
      </c>
      <c r="N121" s="5">
        <f ca="1">VLOOKUP($I121,OFFSET([2]enemies!$A$1,0,0,COUNTA([2]enemies!$A:$A),MATCH(N$1,[2]enemies!$2:$2,0)-MATCH($I$1,[2]enemies!$2:$2,0)+1),MATCH(N$1,[2]enemies!$2:$2,0)-MATCH($I$1,[2]enemies!$2:$2,0)+1,FALSE)</f>
        <v>15</v>
      </c>
      <c r="O121" s="6">
        <v>30</v>
      </c>
      <c r="P121" s="46">
        <v>2</v>
      </c>
      <c r="Q121" s="46">
        <v>1</v>
      </c>
      <c r="R121" s="6">
        <v>0</v>
      </c>
      <c r="S121" s="5" t="str">
        <f ca="1">VLOOKUP($T121,OFFSET([4]enemy_skill_sets!$B$1,0,0,COUNTA([4]enemy_skill_sets!$B:$B),MATCH(J$1,[4]enemy_skill_sets!$1:$1,0)-MATCH($T$1,[4]enemy_skill_sets!$1:$1,0)+2),MATCH(J$1,[4]enemy_skill_sets!$1:$1,0)-MATCH($T$1,[4]enemy_skill_sets!$1:$1,0)+2,FALSE)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1" s="5">
        <f ca="1">VLOOKUP($I121,OFFSET([2]enemies!$A$1,0,0,COUNTA([2]enemies!$A:$A),MATCH(T$1,[2]enemies!$2:$2,0)-MATCH($I$1,[2]enemies!$2:$2,0)+1),MATCH(T$1,[2]enemies!$2:$2,0)-MATCH($I$1,[2]enemies!$2:$2,0)+1,FALSE)</f>
        <v>0</v>
      </c>
      <c r="U121" s="7">
        <v>1</v>
      </c>
      <c r="V121" s="7">
        <v>100</v>
      </c>
      <c r="W121" s="7">
        <v>1</v>
      </c>
      <c r="X121" s="26">
        <f ca="1">VLOOKUP($I121,OFFSET([2]enemies!$A$1,0,0,COUNTA([2]enemies!$A:$A),MATCH(X$1,[2]enemies!$2:$2,0)-MATCH($I$1,[2]enemies!$2:$2,0)+1),MATCH(X$1,[2]enemies!$2:$2,0)-MATCH($I$1,[2]enemies!$2:$2,0)+1,FALSE)</f>
        <v>1</v>
      </c>
      <c r="Y121" s="31">
        <v>111</v>
      </c>
      <c r="Z121" s="5" t="str">
        <f ca="1">IFERROR(VLOOKUP($Y121,OFFSET([3]characters!$A$1,0,0,COUNTA([3]characters!$A:$A),MATCH(Z$1,[3]characters!$2:$2,0)-MATCH("character_id",[3]characters!$2:$2,0)+1),MATCH(Z$1,[3]characters!$2:$2,0)-MATCH("character_id",[3]characters!$2:$2,0)+1,FALSE),"")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121" s="5">
        <f ca="1">IFERROR(VLOOKUP($Y121,OFFSET([3]characters!$A$1,0,0,COUNTA([3]characters!$A:$A),MATCH(AA$1,[3]characters!$2:$2,0)-MATCH("character_id",[3]characters!$2:$2,0)+1),MATCH(AA$1,[3]characters!$2:$2,0)-MATCH("character_id",[3]characters!$2:$2,0)+1,FALSE),"")</f>
        <v>4</v>
      </c>
      <c r="AB121" s="5" t="str">
        <f ca="1">IFERROR(VLOOKUP($Y121,OFFSET([3]characters!$A$1,0,0,COUNTA([3]characters!$A:$A),MATCH(AB$1,[3]characters!$2:$2,0)-MATCH("character_id",[3]characters!$2:$2,0)+1),MATCH(AB$1,[3]characters!$2:$2,0)-MATCH("character_id",[3]characters!$2:$2,0)+1,FALSE),"")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21" s="8">
        <v>1</v>
      </c>
      <c r="AD121" s="34">
        <f t="shared" ca="1" si="78"/>
        <v>4</v>
      </c>
      <c r="AE121" s="9">
        <v>30</v>
      </c>
      <c r="AF121" s="8">
        <v>0</v>
      </c>
      <c r="AG121" s="8">
        <v>0</v>
      </c>
      <c r="AH121" s="8">
        <v>0</v>
      </c>
      <c r="AI121" s="8">
        <v>0</v>
      </c>
      <c r="AJ121" s="8">
        <v>1</v>
      </c>
    </row>
    <row r="122" spans="1:36" ht="21" customHeight="1">
      <c r="A122" s="21" t="str">
        <f t="shared" ref="A122:A125" ca="1" si="83">B122&amp;"_"&amp;C122&amp;"-"&amp;G122&amp;"/"&amp;I122&amp;"&lt;lv"&amp;O122&amp;"&gt;s"&amp;X122</f>
        <v>11103_3-4/37&lt;lv35&gt;s3</v>
      </c>
      <c r="B122" s="8">
        <v>11103</v>
      </c>
      <c r="C122" s="51">
        <v>3</v>
      </c>
      <c r="D122" s="2" t="str">
        <f t="shared" ref="D122:D125" si="84">B122&amp;"_"&amp;C122</f>
        <v>11103_3</v>
      </c>
      <c r="E122" s="5" t="str">
        <f ca="1">VLOOKUP($B122,OFFSET([1]quests!$A$1,0,0,COUNTA([1]quests!$A:$A),MATCH(E$1,[1]quests!$1:$1,0)-MATCH($B$1,[1]quests!$1:$1,0)+1),MATCH(E$1,[1]quests!$1:$1,0)-MATCH($B$1,[1]quests!$1:$1,0)+1,FALSE)</f>
        <v>【キャンペーン限定】 青の素材</v>
      </c>
      <c r="F122" s="5" t="str">
        <f ca="1">VLOOKUP($D122,OFFSET([1]stages!$A$1,0,0,COUNTA([1]stages!$A:$A),MATCH(F$1,[1]stages!$2:$2,0)-MATCH($D$1,[1]stages!$2:$2,0)+1),MATCH(F$1,[1]stages!$2:$2,0)-MATCH($D$1,[1]stages!$2:$2,0)+1,FALSE)</f>
        <v>水のイモムシ 【上級】</v>
      </c>
      <c r="G122" s="32">
        <v>4</v>
      </c>
      <c r="H122" s="20" t="str">
        <f t="shared" ref="H122:H125" si="85">B122&amp;"_"&amp;C122&amp;"-"&amp;G122</f>
        <v>11103_3-4</v>
      </c>
      <c r="I122" s="31">
        <v>37</v>
      </c>
      <c r="J122" s="26" t="str">
        <f ca="1">VLOOKUP($I122,OFFSET([2]enemies!$A$1,0,0,COUNTA([2]enemies!$A:$A),MATCH(J$1,[2]enemies!$2:$2,0)-MATCH($I$1,[2]enemies!$2:$2,0)+1),MATCH(J$1,[2]enemies!$2:$2,0)-MATCH($I$1,[2]enemies!$2:$2,0)+1,FALSE)</f>
        <v>ガイル</v>
      </c>
      <c r="K122" s="29" t="str">
        <f ca="1">VLOOKUP($I122,OFFSET([2]enemies!$A$1,0,0,COUNTA([2]enemies!$A:$A),MATCH(K$1,[2]enemies!$2:$2,0)-MATCH($I$1,[2]enemies!$2:$2,0)+1),MATCH(K$1,[2]enemies!$2:$2,0)-MATCH($I$1,[2]enemies!$2:$2,0)+1,FALSE)</f>
        <v>blue</v>
      </c>
      <c r="L122" s="29" t="str">
        <f ca="1">VLOOKUP($I122,OFFSET([3]characters!$A$1,0,0,COUNTA([3]characters!$A:$A),MATCH(L$1,[3]characters!$2:$2,0)-MATCH($I$1,[3]characters!$2:$2,0)+1),MATCH(L$1,[3]characters!$2:$2,0)-MATCH($I$1,[3]characters!$2:$2,0)+1,FALSE)</f>
        <v>Drop1S</v>
      </c>
      <c r="M122" s="28" t="str">
        <f ca="1">VLOOKUP($I122,OFFSET([3]characters!$A$1,0,0,COUNTA([3]characters!$A:$A),MATCH(M$1,[3]characters!$2:$2,0)-MATCH($I$1,[3]characters!$2:$2,0)+2),MATCH(M$1,[3]characters!$2:$2,0)-MATCH($I$1,[3]characters!$2:$2,0)+2,FALSE)</f>
        <v>アニマル</v>
      </c>
      <c r="N122" s="5">
        <f ca="1">VLOOKUP($I122,OFFSET([2]enemies!$A$1,0,0,COUNTA([2]enemies!$A:$A),MATCH(N$1,[2]enemies!$2:$2,0)-MATCH($I$1,[2]enemies!$2:$2,0)+1),MATCH(N$1,[2]enemies!$2:$2,0)-MATCH($I$1,[2]enemies!$2:$2,0)+1,FALSE)</f>
        <v>15</v>
      </c>
      <c r="O122" s="6">
        <v>35</v>
      </c>
      <c r="P122" s="46">
        <v>1</v>
      </c>
      <c r="Q122" s="46">
        <v>1</v>
      </c>
      <c r="R122" s="6">
        <v>0</v>
      </c>
      <c r="S122" s="5" t="str">
        <f ca="1">VLOOKUP($T122,OFFSET([4]enemy_skill_sets!$B$1,0,0,COUNTA([4]enemy_skill_sets!$B:$B),MATCH(J$1,[4]enemy_skill_sets!$1:$1,0)-MATCH($T$1,[4]enemy_skill_sets!$1:$1,0)+2),MATCH(J$1,[4]enemy_skill_sets!$1:$1,0)-MATCH($T$1,[4]enemy_skill_sets!$1:$1,0)+2,FALSE)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122" s="5">
        <f ca="1">VLOOKUP($I122,OFFSET([2]enemies!$A$1,0,0,COUNTA([2]enemies!$A:$A),MATCH(T$1,[2]enemies!$2:$2,0)-MATCH($I$1,[2]enemies!$2:$2,0)+1),MATCH(T$1,[2]enemies!$2:$2,0)-MATCH($I$1,[2]enemies!$2:$2,0)+1,FALSE)</f>
        <v>37</v>
      </c>
      <c r="U122" s="7">
        <v>0</v>
      </c>
      <c r="V122" s="7">
        <v>100</v>
      </c>
      <c r="W122" s="7">
        <v>0</v>
      </c>
      <c r="X122" s="26">
        <f ca="1">VLOOKUP($I122,OFFSET([2]enemies!$A$1,0,0,COUNTA([2]enemies!$A:$A),MATCH(X$1,[2]enemies!$2:$2,0)-MATCH($I$1,[2]enemies!$2:$2,0)+1),MATCH(X$1,[2]enemies!$2:$2,0)-MATCH($I$1,[2]enemies!$2:$2,0)+1,FALSE)</f>
        <v>3</v>
      </c>
      <c r="Y122" s="31">
        <v>37</v>
      </c>
      <c r="Z122" s="5" t="str">
        <f ca="1">IFERROR(VLOOKUP($Y122,OFFSET([3]characters!$A$1,0,0,COUNTA([3]characters!$A:$A),MATCH(Z$1,[3]characters!$2:$2,0)-MATCH("character_id",[3]characters!$2:$2,0)+1),MATCH(Z$1,[3]characters!$2:$2,0)-MATCH("character_id",[3]characters!$2:$2,0)+1,FALSE),"")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122" s="5">
        <f ca="1">IFERROR(VLOOKUP($Y122,OFFSET([3]characters!$A$1,0,0,COUNTA([3]characters!$A:$A),MATCH(AA$1,[3]characters!$2:$2,0)-MATCH("character_id",[3]characters!$2:$2,0)+1),MATCH(AA$1,[3]characters!$2:$2,0)-MATCH("character_id",[3]characters!$2:$2,0)+1,FALSE),"")</f>
        <v>2</v>
      </c>
      <c r="AB122" s="5" t="str">
        <f ca="1">IFERROR(VLOOKUP($Y122,OFFSET([3]characters!$A$1,0,0,COUNTA([3]characters!$A:$A),MATCH(AB$1,[3]characters!$2:$2,0)-MATCH("character_id",[3]characters!$2:$2,0)+1),MATCH(AB$1,[3]characters!$2:$2,0)-MATCH("character_id",[3]characters!$2:$2,0)+1,FALSE),"")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22" s="8">
        <v>1</v>
      </c>
      <c r="AD122" s="34">
        <f t="shared" ref="AD122:AD125" ca="1" si="86">AA122</f>
        <v>2</v>
      </c>
      <c r="AE122" s="9">
        <v>0</v>
      </c>
      <c r="AF122" s="8">
        <v>0</v>
      </c>
      <c r="AG122" s="8">
        <v>0</v>
      </c>
      <c r="AH122" s="8">
        <v>0</v>
      </c>
      <c r="AI122" s="8">
        <v>0</v>
      </c>
      <c r="AJ122" s="8">
        <v>1</v>
      </c>
    </row>
    <row r="123" spans="1:36" ht="21" customHeight="1">
      <c r="A123" s="21" t="str">
        <f t="shared" ca="1" si="83"/>
        <v>11103_3-4/29&lt;lv35&gt;s2</v>
      </c>
      <c r="B123" s="8">
        <v>11103</v>
      </c>
      <c r="C123" s="51">
        <v>3</v>
      </c>
      <c r="D123" s="2" t="str">
        <f t="shared" si="84"/>
        <v>11103_3</v>
      </c>
      <c r="E123" s="5" t="str">
        <f ca="1">VLOOKUP($B123,OFFSET([1]quests!$A$1,0,0,COUNTA([1]quests!$A:$A),MATCH(E$1,[1]quests!$1:$1,0)-MATCH($B$1,[1]quests!$1:$1,0)+1),MATCH(E$1,[1]quests!$1:$1,0)-MATCH($B$1,[1]quests!$1:$1,0)+1,FALSE)</f>
        <v>【キャンペーン限定】 青の素材</v>
      </c>
      <c r="F123" s="5" t="str">
        <f ca="1">VLOOKUP($D123,OFFSET([1]stages!$A$1,0,0,COUNTA([1]stages!$A:$A),MATCH(F$1,[1]stages!$2:$2,0)-MATCH($D$1,[1]stages!$2:$2,0)+1),MATCH(F$1,[1]stages!$2:$2,0)-MATCH($D$1,[1]stages!$2:$2,0)+1,FALSE)</f>
        <v>水のイモムシ 【上級】</v>
      </c>
      <c r="G123" s="32">
        <v>4</v>
      </c>
      <c r="H123" s="20" t="str">
        <f t="shared" si="85"/>
        <v>11103_3-4</v>
      </c>
      <c r="I123" s="31">
        <v>29</v>
      </c>
      <c r="J123" s="26" t="str">
        <f ca="1">VLOOKUP($I123,OFFSET([2]enemies!$A$1,0,0,COUNTA([2]enemies!$A:$A),MATCH(J$1,[2]enemies!$2:$2,0)-MATCH($I$1,[2]enemies!$2:$2,0)+1),MATCH(J$1,[2]enemies!$2:$2,0)-MATCH($I$1,[2]enemies!$2:$2,0)+1,FALSE)</f>
        <v>スケアクロウ</v>
      </c>
      <c r="K123" s="29" t="str">
        <f ca="1">VLOOKUP($I123,OFFSET([2]enemies!$A$1,0,0,COUNTA([2]enemies!$A:$A),MATCH(K$1,[2]enemies!$2:$2,0)-MATCH($I$1,[2]enemies!$2:$2,0)+1),MATCH(K$1,[2]enemies!$2:$2,0)-MATCH($I$1,[2]enemies!$2:$2,0)+1,FALSE)</f>
        <v>blue</v>
      </c>
      <c r="L123" s="29" t="str">
        <f ca="1">VLOOKUP($I123,OFFSET([3]characters!$A$1,0,0,COUNTA([3]characters!$A:$A),MATCH(L$1,[3]characters!$2:$2,0)-MATCH($I$1,[3]characters!$2:$2,0)+1),MATCH(L$1,[3]characters!$2:$2,0)-MATCH($I$1,[3]characters!$2:$2,0)+1,FALSE)</f>
        <v>Drop1N</v>
      </c>
      <c r="M123" s="28" t="str">
        <f ca="1">VLOOKUP($I123,OFFSET([3]characters!$A$1,0,0,COUNTA([3]characters!$A:$A),MATCH(M$1,[3]characters!$2:$2,0)-MATCH($I$1,[3]characters!$2:$2,0)+2),MATCH(M$1,[3]characters!$2:$2,0)-MATCH($I$1,[3]characters!$2:$2,0)+2,FALSE)</f>
        <v>マシン</v>
      </c>
      <c r="N123" s="5">
        <f ca="1">VLOOKUP($I123,OFFSET([2]enemies!$A$1,0,0,COUNTA([2]enemies!$A:$A),MATCH(N$1,[2]enemies!$2:$2,0)-MATCH($I$1,[2]enemies!$2:$2,0)+1),MATCH(N$1,[2]enemies!$2:$2,0)-MATCH($I$1,[2]enemies!$2:$2,0)+1,FALSE)</f>
        <v>15</v>
      </c>
      <c r="O123" s="6">
        <v>35</v>
      </c>
      <c r="P123" s="46">
        <v>1</v>
      </c>
      <c r="Q123" s="46">
        <v>1</v>
      </c>
      <c r="R123" s="6">
        <v>0</v>
      </c>
      <c r="S123" s="5" t="str">
        <f ca="1">VLOOKUP($T123,OFFSET([4]enemy_skill_sets!$B$1,0,0,COUNTA([4]enemy_skill_sets!$B:$B),MATCH(J$1,[4]enemy_skill_sets!$1:$1,0)-MATCH($T$1,[4]enemy_skill_sets!$1:$1,0)+2),MATCH(J$1,[4]enemy_skill_sets!$1:$1,0)-MATCH($T$1,[4]enemy_skill_sets!$1:$1,0)+2,FALSE)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3" s="5">
        <f ca="1">VLOOKUP($I123,OFFSET([2]enemies!$A$1,0,0,COUNTA([2]enemies!$A:$A),MATCH(T$1,[2]enemies!$2:$2,0)-MATCH($I$1,[2]enemies!$2:$2,0)+1),MATCH(T$1,[2]enemies!$2:$2,0)-MATCH($I$1,[2]enemies!$2:$2,0)+1,FALSE)</f>
        <v>0</v>
      </c>
      <c r="U123" s="7">
        <v>0</v>
      </c>
      <c r="V123" s="7">
        <v>100</v>
      </c>
      <c r="W123" s="7">
        <v>0</v>
      </c>
      <c r="X123" s="26">
        <f ca="1">VLOOKUP($I123,OFFSET([2]enemies!$A$1,0,0,COUNTA([2]enemies!$A:$A),MATCH(X$1,[2]enemies!$2:$2,0)-MATCH($I$1,[2]enemies!$2:$2,0)+1),MATCH(X$1,[2]enemies!$2:$2,0)-MATCH($I$1,[2]enemies!$2:$2,0)+1,FALSE)</f>
        <v>2</v>
      </c>
      <c r="Y123" s="31">
        <v>29</v>
      </c>
      <c r="Z123" s="5" t="str">
        <f ca="1">IFERROR(VLOOKUP($Y123,OFFSET([3]characters!$A$1,0,0,COUNTA([3]characters!$A:$A),MATCH(Z$1,[3]characters!$2:$2,0)-MATCH("character_id",[3]characters!$2:$2,0)+1),MATCH(Z$1,[3]characters!$2:$2,0)-MATCH("character_id",[3]characters!$2:$2,0)+1,FALSE),"")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123" s="5">
        <f ca="1">IFERROR(VLOOKUP($Y123,OFFSET([3]characters!$A$1,0,0,COUNTA([3]characters!$A:$A),MATCH(AA$1,[3]characters!$2:$2,0)-MATCH("character_id",[3]characters!$2:$2,0)+1),MATCH(AA$1,[3]characters!$2:$2,0)-MATCH("character_id",[3]characters!$2:$2,0)+1,FALSE),"")</f>
        <v>1</v>
      </c>
      <c r="AB123" s="5" t="str">
        <f ca="1">IFERROR(VLOOKUP($Y123,OFFSET([3]characters!$A$1,0,0,COUNTA([3]characters!$A:$A),MATCH(AB$1,[3]characters!$2:$2,0)-MATCH("character_id",[3]characters!$2:$2,0)+1),MATCH(AB$1,[3]characters!$2:$2,0)-MATCH("character_id",[3]characters!$2:$2,0)+1,FALSE),"")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23" s="8">
        <v>1</v>
      </c>
      <c r="AD123" s="34">
        <f t="shared" ca="1" si="86"/>
        <v>1</v>
      </c>
      <c r="AE123" s="9">
        <v>0</v>
      </c>
      <c r="AF123" s="8">
        <v>0</v>
      </c>
      <c r="AG123" s="8">
        <v>0</v>
      </c>
      <c r="AH123" s="8">
        <v>0</v>
      </c>
      <c r="AI123" s="8">
        <v>0</v>
      </c>
      <c r="AJ123" s="8">
        <v>1</v>
      </c>
    </row>
    <row r="124" spans="1:36" ht="21" customHeight="1">
      <c r="A124" s="21" t="str">
        <f t="shared" ca="1" si="83"/>
        <v>11103_3-4/340&lt;lv1&gt;s1</v>
      </c>
      <c r="B124" s="8">
        <v>11103</v>
      </c>
      <c r="C124" s="51">
        <v>3</v>
      </c>
      <c r="D124" s="2" t="str">
        <f t="shared" si="84"/>
        <v>11103_3</v>
      </c>
      <c r="E124" s="5" t="str">
        <f ca="1">VLOOKUP($B124,OFFSET([1]quests!$A$1,0,0,COUNTA([1]quests!$A:$A),MATCH(E$1,[1]quests!$1:$1,0)-MATCH($B$1,[1]quests!$1:$1,0)+1),MATCH(E$1,[1]quests!$1:$1,0)-MATCH($B$1,[1]quests!$1:$1,0)+1,FALSE)</f>
        <v>【キャンペーン限定】 青の素材</v>
      </c>
      <c r="F124" s="5" t="str">
        <f ca="1">VLOOKUP($D124,OFFSET([1]stages!$A$1,0,0,COUNTA([1]stages!$A:$A),MATCH(F$1,[1]stages!$2:$2,0)-MATCH($D$1,[1]stages!$2:$2,0)+1),MATCH(F$1,[1]stages!$2:$2,0)-MATCH($D$1,[1]stages!$2:$2,0)+1,FALSE)</f>
        <v>水のイモムシ 【上級】</v>
      </c>
      <c r="G124" s="32">
        <v>4</v>
      </c>
      <c r="H124" s="20" t="str">
        <f t="shared" si="85"/>
        <v>11103_3-4</v>
      </c>
      <c r="I124" s="31">
        <v>340</v>
      </c>
      <c r="J124" s="26" t="str">
        <f ca="1">VLOOKUP($I124,OFFSET([2]enemies!$A$1,0,0,COUNTA([2]enemies!$A:$A),MATCH(J$1,[2]enemies!$2:$2,0)-MATCH($I$1,[2]enemies!$2:$2,0)+1),MATCH(J$1,[2]enemies!$2:$2,0)-MATCH($I$1,[2]enemies!$2:$2,0)+1,FALSE)</f>
        <v>水のメタルピヨピヨ</v>
      </c>
      <c r="K124" s="29" t="str">
        <f ca="1">VLOOKUP($I124,OFFSET([2]enemies!$A$1,0,0,COUNTA([2]enemies!$A:$A),MATCH(K$1,[2]enemies!$2:$2,0)-MATCH($I$1,[2]enemies!$2:$2,0)+1),MATCH(K$1,[2]enemies!$2:$2,0)-MATCH($I$1,[2]enemies!$2:$2,0)+1,FALSE)</f>
        <v>blue</v>
      </c>
      <c r="L124" s="29" t="str">
        <f ca="1">VLOOKUP($I124,OFFSET([3]characters!$A$1,0,0,COUNTA([3]characters!$A:$A),MATCH(L$1,[3]characters!$2:$2,0)-MATCH($I$1,[3]characters!$2:$2,0)+1),MATCH(L$1,[3]characters!$2:$2,0)-MATCH($I$1,[3]characters!$2:$2,0)+1,FALSE)</f>
        <v>Material</v>
      </c>
      <c r="M124" s="28" t="str">
        <f ca="1">VLOOKUP($I124,OFFSET([3]characters!$A$1,0,0,COUNTA([3]characters!$A:$A),MATCH(M$1,[3]characters!$2:$2,0)-MATCH($I$1,[3]characters!$2:$2,0)+2),MATCH(M$1,[3]characters!$2:$2,0)-MATCH($I$1,[3]characters!$2:$2,0)+2,FALSE)</f>
        <v>Unknown</v>
      </c>
      <c r="N124" s="5">
        <f ca="1">VLOOKUP($I124,OFFSET([2]enemies!$A$1,0,0,COUNTA([2]enemies!$A:$A),MATCH(N$1,[2]enemies!$2:$2,0)-MATCH($I$1,[2]enemies!$2:$2,0)+1),MATCH(N$1,[2]enemies!$2:$2,0)-MATCH($I$1,[2]enemies!$2:$2,0)+1,FALSE)</f>
        <v>15</v>
      </c>
      <c r="O124" s="6">
        <v>1</v>
      </c>
      <c r="P124" s="46">
        <v>1</v>
      </c>
      <c r="Q124" s="46">
        <v>1</v>
      </c>
      <c r="R124" s="6">
        <v>0</v>
      </c>
      <c r="S124" s="5" t="str">
        <f ca="1">VLOOKUP($T124,OFFSET([4]enemy_skill_sets!$B$1,0,0,COUNTA([4]enemy_skill_sets!$B:$B),MATCH(J$1,[4]enemy_skill_sets!$1:$1,0)-MATCH($T$1,[4]enemy_skill_sets!$1:$1,0)+2),MATCH(J$1,[4]enemy_skill_sets!$1:$1,0)-MATCH($T$1,[4]enemy_skill_sets!$1:$1,0)+2,FALSE)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4" s="5">
        <f ca="1">VLOOKUP($I124,OFFSET([2]enemies!$A$1,0,0,COUNTA([2]enemies!$A:$A),MATCH(T$1,[2]enemies!$2:$2,0)-MATCH($I$1,[2]enemies!$2:$2,0)+1),MATCH(T$1,[2]enemies!$2:$2,0)-MATCH($I$1,[2]enemies!$2:$2,0)+1,FALSE)</f>
        <v>0</v>
      </c>
      <c r="U124" s="7">
        <v>0</v>
      </c>
      <c r="V124" s="7">
        <v>30</v>
      </c>
      <c r="W124" s="7">
        <v>0</v>
      </c>
      <c r="X124" s="26">
        <f ca="1">VLOOKUP($I124,OFFSET([2]enemies!$A$1,0,0,COUNTA([2]enemies!$A:$A),MATCH(X$1,[2]enemies!$2:$2,0)-MATCH($I$1,[2]enemies!$2:$2,0)+1),MATCH(X$1,[2]enemies!$2:$2,0)-MATCH($I$1,[2]enemies!$2:$2,0)+1,FALSE)</f>
        <v>1</v>
      </c>
      <c r="Y124" s="31">
        <v>340</v>
      </c>
      <c r="Z124" s="5" t="str">
        <f ca="1">IFERROR(VLOOKUP($Y124,OFFSET([3]characters!$A$1,0,0,COUNTA([3]characters!$A:$A),MATCH(Z$1,[3]characters!$2:$2,0)-MATCH("character_id",[3]characters!$2:$2,0)+1),MATCH(Z$1,[3]characters!$2:$2,0)-MATCH("character_id",[3]characters!$2:$2,0)+1,FALSE),"")</f>
        <v>水のメタルピヨピヨ</v>
      </c>
      <c r="AA124" s="5">
        <f ca="1">IFERROR(VLOOKUP($Y124,OFFSET([3]characters!$A$1,0,0,COUNTA([3]characters!$A:$A),MATCH(AA$1,[3]characters!$2:$2,0)-MATCH("character_id",[3]characters!$2:$2,0)+1),MATCH(AA$1,[3]characters!$2:$2,0)-MATCH("character_id",[3]characters!$2:$2,0)+1,FALSE),"")</f>
        <v>3</v>
      </c>
      <c r="AB124" s="5" t="str">
        <f ca="1">IFERROR(VLOOKUP($Y124,OFFSET([3]characters!$A$1,0,0,COUNTA([3]characters!$A:$A),MATCH(AB$1,[3]characters!$2:$2,0)-MATCH("character_id",[3]characters!$2:$2,0)+1),MATCH(AB$1,[3]characters!$2:$2,0)-MATCH("character_id",[3]characters!$2:$2,0)+1,FALSE),"")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24" s="8">
        <v>1</v>
      </c>
      <c r="AD124" s="34">
        <f t="shared" ca="1" si="86"/>
        <v>3</v>
      </c>
      <c r="AE124" s="9">
        <v>10</v>
      </c>
      <c r="AF124" s="8">
        <v>0</v>
      </c>
      <c r="AG124" s="8">
        <v>0</v>
      </c>
      <c r="AH124" s="8">
        <v>0</v>
      </c>
      <c r="AI124" s="8">
        <v>0</v>
      </c>
      <c r="AJ124" s="8">
        <v>1</v>
      </c>
    </row>
    <row r="125" spans="1:36" ht="21" customHeight="1">
      <c r="A125" s="21" t="str">
        <f t="shared" ca="1" si="83"/>
        <v>11103_3-4/341&lt;lv1&gt;s2</v>
      </c>
      <c r="B125" s="8">
        <v>11103</v>
      </c>
      <c r="C125" s="51">
        <v>3</v>
      </c>
      <c r="D125" s="2" t="str">
        <f t="shared" si="84"/>
        <v>11103_3</v>
      </c>
      <c r="E125" s="5" t="str">
        <f ca="1">VLOOKUP($B125,OFFSET([1]quests!$A$1,0,0,COUNTA([1]quests!$A:$A),MATCH(E$1,[1]quests!$1:$1,0)-MATCH($B$1,[1]quests!$1:$1,0)+1),MATCH(E$1,[1]quests!$1:$1,0)-MATCH($B$1,[1]quests!$1:$1,0)+1,FALSE)</f>
        <v>【キャンペーン限定】 青の素材</v>
      </c>
      <c r="F125" s="5" t="str">
        <f ca="1">VLOOKUP($D125,OFFSET([1]stages!$A$1,0,0,COUNTA([1]stages!$A:$A),MATCH(F$1,[1]stages!$2:$2,0)-MATCH($D$1,[1]stages!$2:$2,0)+1),MATCH(F$1,[1]stages!$2:$2,0)-MATCH($D$1,[1]stages!$2:$2,0)+1,FALSE)</f>
        <v>水のイモムシ 【上級】</v>
      </c>
      <c r="G125" s="32">
        <v>4</v>
      </c>
      <c r="H125" s="20" t="str">
        <f t="shared" si="85"/>
        <v>11103_3-4</v>
      </c>
      <c r="I125" s="31">
        <v>341</v>
      </c>
      <c r="J125" s="26" t="str">
        <f ca="1">VLOOKUP($I125,OFFSET([2]enemies!$A$1,0,0,COUNTA([2]enemies!$A:$A),MATCH(J$1,[2]enemies!$2:$2,0)-MATCH($I$1,[2]enemies!$2:$2,0)+1),MATCH(J$1,[2]enemies!$2:$2,0)-MATCH($I$1,[2]enemies!$2:$2,0)+1,FALSE)</f>
        <v>水のメタルチック</v>
      </c>
      <c r="K125" s="29" t="str">
        <f ca="1">VLOOKUP($I125,OFFSET([2]enemies!$A$1,0,0,COUNTA([2]enemies!$A:$A),MATCH(K$1,[2]enemies!$2:$2,0)-MATCH($I$1,[2]enemies!$2:$2,0)+1),MATCH(K$1,[2]enemies!$2:$2,0)-MATCH($I$1,[2]enemies!$2:$2,0)+1,FALSE)</f>
        <v>blue</v>
      </c>
      <c r="L125" s="29" t="str">
        <f ca="1">VLOOKUP($I125,OFFSET([3]characters!$A$1,0,0,COUNTA([3]characters!$A:$A),MATCH(L$1,[3]characters!$2:$2,0)-MATCH($I$1,[3]characters!$2:$2,0)+1),MATCH(L$1,[3]characters!$2:$2,0)-MATCH($I$1,[3]characters!$2:$2,0)+1,FALSE)</f>
        <v>Material</v>
      </c>
      <c r="M125" s="28" t="str">
        <f ca="1">VLOOKUP($I125,OFFSET([3]characters!$A$1,0,0,COUNTA([3]characters!$A:$A),MATCH(M$1,[3]characters!$2:$2,0)-MATCH($I$1,[3]characters!$2:$2,0)+2),MATCH(M$1,[3]characters!$2:$2,0)-MATCH($I$1,[3]characters!$2:$2,0)+2,FALSE)</f>
        <v>Unknown</v>
      </c>
      <c r="N125" s="5">
        <f ca="1">VLOOKUP($I125,OFFSET([2]enemies!$A$1,0,0,COUNTA([2]enemies!$A:$A),MATCH(N$1,[2]enemies!$2:$2,0)-MATCH($I$1,[2]enemies!$2:$2,0)+1),MATCH(N$1,[2]enemies!$2:$2,0)-MATCH($I$1,[2]enemies!$2:$2,0)+1,FALSE)</f>
        <v>15</v>
      </c>
      <c r="O125" s="6">
        <v>1</v>
      </c>
      <c r="P125" s="46">
        <v>1</v>
      </c>
      <c r="Q125" s="46">
        <v>1</v>
      </c>
      <c r="R125" s="6">
        <v>0</v>
      </c>
      <c r="S125" s="5" t="str">
        <f ca="1">VLOOKUP($T125,OFFSET([4]enemy_skill_sets!$B$1,0,0,COUNTA([4]enemy_skill_sets!$B:$B),MATCH(J$1,[4]enemy_skill_sets!$1:$1,0)-MATCH($T$1,[4]enemy_skill_sets!$1:$1,0)+2),MATCH(J$1,[4]enemy_skill_sets!$1:$1,0)-MATCH($T$1,[4]enemy_skill_sets!$1:$1,0)+2,FALSE)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5" s="5">
        <f ca="1">VLOOKUP($I125,OFFSET([2]enemies!$A$1,0,0,COUNTA([2]enemies!$A:$A),MATCH(T$1,[2]enemies!$2:$2,0)-MATCH($I$1,[2]enemies!$2:$2,0)+1),MATCH(T$1,[2]enemies!$2:$2,0)-MATCH($I$1,[2]enemies!$2:$2,0)+1,FALSE)</f>
        <v>0</v>
      </c>
      <c r="U125" s="7">
        <v>0</v>
      </c>
      <c r="V125" s="7">
        <v>30</v>
      </c>
      <c r="W125" s="7">
        <v>0</v>
      </c>
      <c r="X125" s="26">
        <f ca="1">VLOOKUP($I125,OFFSET([2]enemies!$A$1,0,0,COUNTA([2]enemies!$A:$A),MATCH(X$1,[2]enemies!$2:$2,0)-MATCH($I$1,[2]enemies!$2:$2,0)+1),MATCH(X$1,[2]enemies!$2:$2,0)-MATCH($I$1,[2]enemies!$2:$2,0)+1,FALSE)</f>
        <v>2</v>
      </c>
      <c r="Y125" s="31">
        <v>341</v>
      </c>
      <c r="Z125" s="5" t="str">
        <f ca="1">IFERROR(VLOOKUP($Y125,OFFSET([3]characters!$A$1,0,0,COUNTA([3]characters!$A:$A),MATCH(Z$1,[3]characters!$2:$2,0)-MATCH("character_id",[3]characters!$2:$2,0)+1),MATCH(Z$1,[3]characters!$2:$2,0)-MATCH("character_id",[3]characters!$2:$2,0)+1,FALSE),"")</f>
        <v>水のメタルチック</v>
      </c>
      <c r="AA125" s="5">
        <f ca="1">IFERROR(VLOOKUP($Y125,OFFSET([3]characters!$A$1,0,0,COUNTA([3]characters!$A:$A),MATCH(AA$1,[3]characters!$2:$2,0)-MATCH("character_id",[3]characters!$2:$2,0)+1),MATCH(AA$1,[3]characters!$2:$2,0)-MATCH("character_id",[3]characters!$2:$2,0)+1,FALSE),"")</f>
        <v>4</v>
      </c>
      <c r="AB125" s="5" t="str">
        <f ca="1">IFERROR(VLOOKUP($Y125,OFFSET([3]characters!$A$1,0,0,COUNTA([3]characters!$A:$A),MATCH(AB$1,[3]characters!$2:$2,0)-MATCH("character_id",[3]characters!$2:$2,0)+1),MATCH(AB$1,[3]characters!$2:$2,0)-MATCH("character_id",[3]characters!$2:$2,0)+1,FALSE),"")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25" s="8">
        <v>1</v>
      </c>
      <c r="AD125" s="34">
        <f t="shared" ca="1" si="86"/>
        <v>4</v>
      </c>
      <c r="AE125" s="9">
        <v>5</v>
      </c>
      <c r="AF125" s="8">
        <v>0</v>
      </c>
      <c r="AG125" s="8">
        <v>0</v>
      </c>
      <c r="AH125" s="8">
        <v>0</v>
      </c>
      <c r="AI125" s="8">
        <v>0</v>
      </c>
      <c r="AJ125" s="8">
        <v>1</v>
      </c>
    </row>
    <row r="126" spans="1:36" ht="21" customHeight="1">
      <c r="A126" s="21" t="str">
        <f t="shared" ca="1" si="75"/>
        <v>11103_3-5/111&lt;lv30&gt;s1</v>
      </c>
      <c r="B126" s="8">
        <v>11103</v>
      </c>
      <c r="C126" s="51">
        <v>3</v>
      </c>
      <c r="D126" s="2" t="str">
        <f t="shared" si="76"/>
        <v>11103_3</v>
      </c>
      <c r="E126" s="5" t="str">
        <f ca="1">VLOOKUP($B126,OFFSET([1]quests!$A$1,0,0,COUNTA([1]quests!$A:$A),MATCH(E$1,[1]quests!$1:$1,0)-MATCH($B$1,[1]quests!$1:$1,0)+1),MATCH(E$1,[1]quests!$1:$1,0)-MATCH($B$1,[1]quests!$1:$1,0)+1,FALSE)</f>
        <v>【キャンペーン限定】 青の素材</v>
      </c>
      <c r="F126" s="5" t="str">
        <f ca="1">VLOOKUP($D126,OFFSET([1]stages!$A$1,0,0,COUNTA([1]stages!$A:$A),MATCH(F$1,[1]stages!$2:$2,0)-MATCH($D$1,[1]stages!$2:$2,0)+1),MATCH(F$1,[1]stages!$2:$2,0)-MATCH($D$1,[1]stages!$2:$2,0)+1,FALSE)</f>
        <v>水のイモムシ 【上級】</v>
      </c>
      <c r="G126" s="32">
        <v>5</v>
      </c>
      <c r="H126" s="20" t="str">
        <f t="shared" si="77"/>
        <v>11103_3-5</v>
      </c>
      <c r="I126" s="31">
        <v>111</v>
      </c>
      <c r="J126" s="26" t="str">
        <f ca="1">VLOOKUP($I126,OFFSET([2]enemies!$A$1,0,0,COUNTA([2]enemies!$A:$A),MATCH(J$1,[2]enemies!$2:$2,0)-MATCH($I$1,[2]enemies!$2:$2,0)+1),MATCH(J$1,[2]enemies!$2:$2,0)-MATCH($I$1,[2]enemies!$2:$2,0)+1,FALSE)</f>
        <v>ブルーキャタップ</v>
      </c>
      <c r="K126" s="29" t="str">
        <f ca="1">VLOOKUP($I126,OFFSET([2]enemies!$A$1,0,0,COUNTA([2]enemies!$A:$A),MATCH(K$1,[2]enemies!$2:$2,0)-MATCH($I$1,[2]enemies!$2:$2,0)+1),MATCH(K$1,[2]enemies!$2:$2,0)-MATCH($I$1,[2]enemies!$2:$2,0)+1,FALSE)</f>
        <v>blue</v>
      </c>
      <c r="L126" s="29" t="str">
        <f ca="1">VLOOKUP($I126,OFFSET([3]characters!$A$1,0,0,COUNTA([3]characters!$A:$A),MATCH(L$1,[3]characters!$2:$2,0)-MATCH($I$1,[3]characters!$2:$2,0)+1),MATCH(L$1,[3]characters!$2:$2,0)-MATCH($I$1,[3]characters!$2:$2,0)+1,FALSE)</f>
        <v>Material</v>
      </c>
      <c r="M126" s="28" t="str">
        <f ca="1">VLOOKUP($I126,OFFSET([3]characters!$A$1,0,0,COUNTA([3]characters!$A:$A),MATCH(M$1,[3]characters!$2:$2,0)-MATCH($I$1,[3]characters!$2:$2,0)+2),MATCH(M$1,[3]characters!$2:$2,0)-MATCH($I$1,[3]characters!$2:$2,0)+2,FALSE)</f>
        <v>Unknown</v>
      </c>
      <c r="N126" s="5">
        <f ca="1">VLOOKUP($I126,OFFSET([2]enemies!$A$1,0,0,COUNTA([2]enemies!$A:$A),MATCH(N$1,[2]enemies!$2:$2,0)-MATCH($I$1,[2]enemies!$2:$2,0)+1),MATCH(N$1,[2]enemies!$2:$2,0)-MATCH($I$1,[2]enemies!$2:$2,0)+1,FALSE)</f>
        <v>15</v>
      </c>
      <c r="O126" s="6">
        <v>30</v>
      </c>
      <c r="P126" s="46">
        <v>2</v>
      </c>
      <c r="Q126" s="46">
        <v>1</v>
      </c>
      <c r="R126" s="6">
        <v>0</v>
      </c>
      <c r="S126" s="5" t="str">
        <f ca="1">VLOOKUP($T126,OFFSET([4]enemy_skill_sets!$B$1,0,0,COUNTA([4]enemy_skill_sets!$B:$B),MATCH(J$1,[4]enemy_skill_sets!$1:$1,0)-MATCH($T$1,[4]enemy_skill_sets!$1:$1,0)+2),MATCH(J$1,[4]enemy_skill_sets!$1:$1,0)-MATCH($T$1,[4]enemy_skill_sets!$1:$1,0)+2,FALSE)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6" s="5">
        <f ca="1">VLOOKUP($I126,OFFSET([2]enemies!$A$1,0,0,COUNTA([2]enemies!$A:$A),MATCH(T$1,[2]enemies!$2:$2,0)-MATCH($I$1,[2]enemies!$2:$2,0)+1),MATCH(T$1,[2]enemies!$2:$2,0)-MATCH($I$1,[2]enemies!$2:$2,0)+1,FALSE)</f>
        <v>0</v>
      </c>
      <c r="U126" s="7">
        <v>1</v>
      </c>
      <c r="V126" s="7">
        <v>100</v>
      </c>
      <c r="W126" s="7">
        <v>1</v>
      </c>
      <c r="X126" s="26">
        <f ca="1">VLOOKUP($I126,OFFSET([2]enemies!$A$1,0,0,COUNTA([2]enemies!$A:$A),MATCH(X$1,[2]enemies!$2:$2,0)-MATCH($I$1,[2]enemies!$2:$2,0)+1),MATCH(X$1,[2]enemies!$2:$2,0)-MATCH($I$1,[2]enemies!$2:$2,0)+1,FALSE)</f>
        <v>1</v>
      </c>
      <c r="Y126" s="31">
        <v>111</v>
      </c>
      <c r="Z126" s="5" t="str">
        <f ca="1">IFERROR(VLOOKUP($Y126,OFFSET([3]characters!$A$1,0,0,COUNTA([3]characters!$A:$A),MATCH(Z$1,[3]characters!$2:$2,0)-MATCH("character_id",[3]characters!$2:$2,0)+1),MATCH(Z$1,[3]characters!$2:$2,0)-MATCH("character_id",[3]characters!$2:$2,0)+1,FALSE),"")</f>
        <v>ブルーキャタップ</v>
      </c>
      <c r="AA126" s="5">
        <f ca="1">IFERROR(VLOOKUP($Y126,OFFSET([3]characters!$A$1,0,0,COUNTA([3]characters!$A:$A),MATCH(AA$1,[3]characters!$2:$2,0)-MATCH("character_id",[3]characters!$2:$2,0)+1),MATCH(AA$1,[3]characters!$2:$2,0)-MATCH("character_id",[3]characters!$2:$2,0)+1,FALSE),"")</f>
        <v>4</v>
      </c>
      <c r="AB126" s="5" t="str">
        <f ca="1">IFERROR(VLOOKUP($Y126,OFFSET([3]characters!$A$1,0,0,COUNTA([3]characters!$A:$A),MATCH(AB$1,[3]characters!$2:$2,0)-MATCH("character_id",[3]characters!$2:$2,0)+1),MATCH(AB$1,[3]characters!$2:$2,0)-MATCH("character_id",[3]characters!$2:$2,0)+1,FALSE),"")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26" s="8">
        <v>1</v>
      </c>
      <c r="AD126" s="34">
        <f t="shared" ca="1" si="78"/>
        <v>4</v>
      </c>
      <c r="AE126" s="9">
        <v>100</v>
      </c>
      <c r="AF126" s="8">
        <v>0</v>
      </c>
      <c r="AG126" s="8">
        <v>0</v>
      </c>
      <c r="AH126" s="8">
        <v>0</v>
      </c>
      <c r="AI126" s="8">
        <v>0</v>
      </c>
      <c r="AJ126" s="8">
        <v>1</v>
      </c>
    </row>
    <row r="127" spans="1:36" ht="21" customHeight="1">
      <c r="A127" s="21" t="str">
        <f ca="1">B127&amp;"_"&amp;C127&amp;"-"&amp;G127&amp;"/"&amp;I127&amp;"&lt;lv"&amp;O127&amp;"&gt;s"&amp;X127</f>
        <v>11103_3-5/130&lt;lv30&gt;s3</v>
      </c>
      <c r="B127" s="8">
        <v>11103</v>
      </c>
      <c r="C127" s="51">
        <v>3</v>
      </c>
      <c r="D127" s="2" t="str">
        <f t="shared" si="76"/>
        <v>11103_3</v>
      </c>
      <c r="E127" s="5" t="str">
        <f ca="1">VLOOKUP($B127,OFFSET([1]quests!$A$1,0,0,COUNTA([1]quests!$A:$A),MATCH(E$1,[1]quests!$1:$1,0)-MATCH($B$1,[1]quests!$1:$1,0)+1),MATCH(E$1,[1]quests!$1:$1,0)-MATCH($B$1,[1]quests!$1:$1,0)+1,FALSE)</f>
        <v>【キャンペーン限定】 青の素材</v>
      </c>
      <c r="F127" s="5" t="str">
        <f ca="1">VLOOKUP($D127,OFFSET([1]stages!$A$1,0,0,COUNTA([1]stages!$A:$A),MATCH(F$1,[1]stages!$2:$2,0)-MATCH($D$1,[1]stages!$2:$2,0)+1),MATCH(F$1,[1]stages!$2:$2,0)-MATCH($D$1,[1]stages!$2:$2,0)+1,FALSE)</f>
        <v>水のイモムシ 【上級】</v>
      </c>
      <c r="G127" s="32">
        <v>5</v>
      </c>
      <c r="H127" s="20" t="str">
        <f t="shared" si="77"/>
        <v>11103_3-5</v>
      </c>
      <c r="I127" s="31">
        <v>130</v>
      </c>
      <c r="J127" s="26" t="str">
        <f ca="1">VLOOKUP($I127,OFFSET([2]enemies!$A$1,0,0,COUNTA([2]enemies!$A:$A),MATCH(J$1,[2]enemies!$2:$2,0)-MATCH($I$1,[2]enemies!$2:$2,0)+1),MATCH(J$1,[2]enemies!$2:$2,0)-MATCH($I$1,[2]enemies!$2:$2,0)+1,FALSE)</f>
        <v>狼男 ローレンス</v>
      </c>
      <c r="K127" s="29" t="str">
        <f ca="1">VLOOKUP($I127,OFFSET([2]enemies!$A$1,0,0,COUNTA([2]enemies!$A:$A),MATCH(K$1,[2]enemies!$2:$2,0)-MATCH($I$1,[2]enemies!$2:$2,0)+1),MATCH(K$1,[2]enemies!$2:$2,0)-MATCH($I$1,[2]enemies!$2:$2,0)+1,FALSE)</f>
        <v>blue</v>
      </c>
      <c r="L127" s="29" t="str">
        <f ca="1">VLOOKUP($I127,OFFSET([3]characters!$A$1,0,0,COUNTA([3]characters!$A:$A),MATCH(L$1,[3]characters!$2:$2,0)-MATCH($I$1,[3]characters!$2:$2,0)+1),MATCH(L$1,[3]characters!$2:$2,0)-MATCH($I$1,[3]characters!$2:$2,0)+1,FALSE)</f>
        <v>PremiumW</v>
      </c>
      <c r="M127" s="28" t="str">
        <f ca="1">VLOOKUP($I127,OFFSET([3]characters!$A$1,0,0,COUNTA([3]characters!$A:$A),MATCH(M$1,[3]characters!$2:$2,0)-MATCH($I$1,[3]characters!$2:$2,0)+2),MATCH(M$1,[3]characters!$2:$2,0)-MATCH($I$1,[3]characters!$2:$2,0)+2,FALSE)</f>
        <v>アニマル</v>
      </c>
      <c r="N127" s="5">
        <f ca="1">VLOOKUP($I127,OFFSET([2]enemies!$A$1,0,0,COUNTA([2]enemies!$A:$A),MATCH(N$1,[2]enemies!$2:$2,0)-MATCH($I$1,[2]enemies!$2:$2,0)+1),MATCH(N$1,[2]enemies!$2:$2,0)-MATCH($I$1,[2]enemies!$2:$2,0)+1,FALSE)</f>
        <v>20</v>
      </c>
      <c r="O127" s="6">
        <v>30</v>
      </c>
      <c r="P127" s="46">
        <v>1</v>
      </c>
      <c r="Q127" s="46">
        <v>1</v>
      </c>
      <c r="R127" s="6">
        <v>0</v>
      </c>
      <c r="S127" s="5" t="str">
        <f ca="1">VLOOKUP($T127,OFFSET([4]enemy_skill_sets!$B$1,0,0,COUNTA([4]enemy_skill_sets!$B:$B),MATCH(J$1,[4]enemy_skill_sets!$1:$1,0)-MATCH($T$1,[4]enemy_skill_sets!$1:$1,0)+2),MATCH(J$1,[4]enemy_skill_sets!$1:$1,0)-MATCH($T$1,[4]enemy_skill_sets!$1:$1,0)+2,FALSE)</f>
        <v>攻撃力×1.5倍の攻撃</v>
      </c>
      <c r="T127" s="5">
        <f ca="1">VLOOKUP($I127,OFFSET([2]enemies!$A$1,0,0,COUNTA([2]enemies!$A:$A),MATCH(T$1,[2]enemies!$2:$2,0)-MATCH($I$1,[2]enemies!$2:$2,0)+1),MATCH(T$1,[2]enemies!$2:$2,0)-MATCH($I$1,[2]enemies!$2:$2,0)+1,FALSE)</f>
        <v>130</v>
      </c>
      <c r="U127" s="7">
        <v>0</v>
      </c>
      <c r="V127" s="7">
        <v>100</v>
      </c>
      <c r="W127" s="7">
        <v>1</v>
      </c>
      <c r="X127" s="26">
        <f ca="1">VLOOKUP($I127,OFFSET([2]enemies!$A$1,0,0,COUNTA([2]enemies!$A:$A),MATCH(X$1,[2]enemies!$2:$2,0)-MATCH($I$1,[2]enemies!$2:$2,0)+1),MATCH(X$1,[2]enemies!$2:$2,0)-MATCH($I$1,[2]enemies!$2:$2,0)+1,FALSE)</f>
        <v>3</v>
      </c>
      <c r="Y127" s="31">
        <v>130</v>
      </c>
      <c r="Z127" s="5" t="str">
        <f ca="1">IFERROR(VLOOKUP($Y127,OFFSET([3]characters!$A$1,0,0,COUNTA([3]characters!$A:$A),MATCH(Z$1,[3]characters!$2:$2,0)-MATCH("character_id",[3]characters!$2:$2,0)+1),MATCH(Z$1,[3]characters!$2:$2,0)-MATCH("character_id",[3]characters!$2:$2,0)+1,FALSE),"")</f>
        <v>狼男 ローレンス</v>
      </c>
      <c r="AA127" s="5">
        <f ca="1">IFERROR(VLOOKUP($Y127,OFFSET([3]characters!$A$1,0,0,COUNTA([3]characters!$A:$A),MATCH(AA$1,[3]characters!$2:$2,0)-MATCH("character_id",[3]characters!$2:$2,0)+1),MATCH(AA$1,[3]characters!$2:$2,0)-MATCH("character_id",[3]characters!$2:$2,0)+1,FALSE),"")</f>
        <v>3</v>
      </c>
      <c r="AB127" s="5" t="str">
        <f ca="1">IFERROR(VLOOKUP($Y127,OFFSET([3]characters!$A$1,0,0,COUNTA([3]characters!$A:$A),MATCH(AB$1,[3]characters!$2:$2,0)-MATCH("character_id",[3]characters!$2:$2,0)+1),MATCH(AB$1,[3]characters!$2:$2,0)-MATCH("character_id",[3]characters!$2:$2,0)+1,FALSE),"")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127" s="8">
        <v>1</v>
      </c>
      <c r="AD127" s="34">
        <f t="shared" ca="1" si="78"/>
        <v>3</v>
      </c>
      <c r="AE127" s="9">
        <v>0</v>
      </c>
      <c r="AF127" s="8">
        <v>0</v>
      </c>
      <c r="AG127" s="8">
        <v>0</v>
      </c>
      <c r="AH127" s="8">
        <v>0</v>
      </c>
      <c r="AI127" s="8">
        <v>0</v>
      </c>
      <c r="AJ127" s="8">
        <v>1</v>
      </c>
    </row>
    <row r="128" spans="1:36" ht="21" customHeight="1">
      <c r="A128" s="21" t="str">
        <f ca="1">B128&amp;"_"&amp;C128&amp;"-"&amp;G128&amp;"/"&amp;I128&amp;"&lt;lv"&amp;O128&amp;"&gt;s"&amp;X128</f>
        <v>11103_3-5/138&lt;lv30&gt;s2</v>
      </c>
      <c r="B128" s="8">
        <v>11103</v>
      </c>
      <c r="C128" s="51">
        <v>3</v>
      </c>
      <c r="D128" s="2" t="str">
        <f t="shared" si="76"/>
        <v>11103_3</v>
      </c>
      <c r="E128" s="5" t="str">
        <f ca="1">VLOOKUP($B128,OFFSET([1]quests!$A$1,0,0,COUNTA([1]quests!$A:$A),MATCH(E$1,[1]quests!$1:$1,0)-MATCH($B$1,[1]quests!$1:$1,0)+1),MATCH(E$1,[1]quests!$1:$1,0)-MATCH($B$1,[1]quests!$1:$1,0)+1,FALSE)</f>
        <v>【キャンペーン限定】 青の素材</v>
      </c>
      <c r="F128" s="5" t="str">
        <f ca="1">VLOOKUP($D128,OFFSET([1]stages!$A$1,0,0,COUNTA([1]stages!$A:$A),MATCH(F$1,[1]stages!$2:$2,0)-MATCH($D$1,[1]stages!$2:$2,0)+1),MATCH(F$1,[1]stages!$2:$2,0)-MATCH($D$1,[1]stages!$2:$2,0)+1,FALSE)</f>
        <v>水のイモムシ 【上級】</v>
      </c>
      <c r="G128" s="32">
        <v>5</v>
      </c>
      <c r="H128" s="20" t="str">
        <f t="shared" si="77"/>
        <v>11103_3-5</v>
      </c>
      <c r="I128" s="31">
        <v>138</v>
      </c>
      <c r="J128" s="26" t="str">
        <f ca="1">VLOOKUP($I128,OFFSET([2]enemies!$A$1,0,0,COUNTA([2]enemies!$A:$A),MATCH(J$1,[2]enemies!$2:$2,0)-MATCH($I$1,[2]enemies!$2:$2,0)+1),MATCH(J$1,[2]enemies!$2:$2,0)-MATCH($I$1,[2]enemies!$2:$2,0)+1,FALSE)</f>
        <v>蒼薙のトモエ</v>
      </c>
      <c r="K128" s="29" t="str">
        <f ca="1">VLOOKUP($I128,OFFSET([2]enemies!$A$1,0,0,COUNTA([2]enemies!$A:$A),MATCH(K$1,[2]enemies!$2:$2,0)-MATCH($I$1,[2]enemies!$2:$2,0)+1),MATCH(K$1,[2]enemies!$2:$2,0)-MATCH($I$1,[2]enemies!$2:$2,0)+1,FALSE)</f>
        <v>blue</v>
      </c>
      <c r="L128" s="29" t="str">
        <f ca="1">VLOOKUP($I128,OFFSET([3]characters!$A$1,0,0,COUNTA([3]characters!$A:$A),MATCH(L$1,[3]characters!$2:$2,0)-MATCH($I$1,[3]characters!$2:$2,0)+1),MATCH(L$1,[3]characters!$2:$2,0)-MATCH($I$1,[3]characters!$2:$2,0)+1,FALSE)</f>
        <v>PremiumW</v>
      </c>
      <c r="M128" s="28" t="str">
        <f ca="1">VLOOKUP($I128,OFFSET([3]characters!$A$1,0,0,COUNTA([3]characters!$A:$A),MATCH(M$1,[3]characters!$2:$2,0)-MATCH($I$1,[3]characters!$2:$2,0)+2),MATCH(M$1,[3]characters!$2:$2,0)-MATCH($I$1,[3]characters!$2:$2,0)+2,FALSE)</f>
        <v>ヒューマン</v>
      </c>
      <c r="N128" s="5">
        <f ca="1">VLOOKUP($I128,OFFSET([2]enemies!$A$1,0,0,COUNTA([2]enemies!$A:$A),MATCH(N$1,[2]enemies!$2:$2,0)-MATCH($I$1,[2]enemies!$2:$2,0)+1),MATCH(N$1,[2]enemies!$2:$2,0)-MATCH($I$1,[2]enemies!$2:$2,0)+1,FALSE)</f>
        <v>20</v>
      </c>
      <c r="O128" s="6">
        <v>30</v>
      </c>
      <c r="P128" s="46">
        <v>1</v>
      </c>
      <c r="Q128" s="46">
        <v>1</v>
      </c>
      <c r="R128" s="6">
        <v>0</v>
      </c>
      <c r="S128" s="5" t="str">
        <f ca="1">VLOOKUP($T128,OFFSET([4]enemy_skill_sets!$B$1,0,0,COUNTA([4]enemy_skill_sets!$B:$B),MATCH(J$1,[4]enemy_skill_sets!$1:$1,0)-MATCH($T$1,[4]enemy_skill_sets!$1:$1,0)+2),MATCH(J$1,[4]enemy_skill_sets!$1:$1,0)-MATCH($T$1,[4]enemy_skill_sets!$1:$1,0)+2,FALSE)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8" s="5">
        <f ca="1">VLOOKUP($I128,OFFSET([2]enemies!$A$1,0,0,COUNTA([2]enemies!$A:$A),MATCH(T$1,[2]enemies!$2:$2,0)-MATCH($I$1,[2]enemies!$2:$2,0)+1),MATCH(T$1,[2]enemies!$2:$2,0)-MATCH($I$1,[2]enemies!$2:$2,0)+1,FALSE)</f>
        <v>0</v>
      </c>
      <c r="U128" s="7">
        <v>0</v>
      </c>
      <c r="V128" s="7">
        <v>100</v>
      </c>
      <c r="W128" s="7">
        <v>1</v>
      </c>
      <c r="X128" s="26">
        <f ca="1">VLOOKUP($I128,OFFSET([2]enemies!$A$1,0,0,COUNTA([2]enemies!$A:$A),MATCH(X$1,[2]enemies!$2:$2,0)-MATCH($I$1,[2]enemies!$2:$2,0)+1),MATCH(X$1,[2]enemies!$2:$2,0)-MATCH($I$1,[2]enemies!$2:$2,0)+1,FALSE)</f>
        <v>2</v>
      </c>
      <c r="Y128" s="31">
        <v>138</v>
      </c>
      <c r="Z128" s="5" t="str">
        <f ca="1">IFERROR(VLOOKUP($Y128,OFFSET([3]characters!$A$1,0,0,COUNTA([3]characters!$A:$A),MATCH(Z$1,[3]characters!$2:$2,0)-MATCH("character_id",[3]characters!$2:$2,0)+1),MATCH(Z$1,[3]characters!$2:$2,0)-MATCH("character_id",[3]characters!$2:$2,0)+1,FALSE),"")</f>
        <v>蒼薙のトモエ</v>
      </c>
      <c r="AA128" s="5">
        <f ca="1">IFERROR(VLOOKUP($Y128,OFFSET([3]characters!$A$1,0,0,COUNTA([3]characters!$A:$A),MATCH(AA$1,[3]characters!$2:$2,0)-MATCH("character_id",[3]characters!$2:$2,0)+1),MATCH(AA$1,[3]characters!$2:$2,0)-MATCH("character_id",[3]characters!$2:$2,0)+1,FALSE),"")</f>
        <v>3</v>
      </c>
      <c r="AB128" s="5" t="str">
        <f ca="1">IFERROR(VLOOKUP($Y128,OFFSET([3]characters!$A$1,0,0,COUNTA([3]characters!$A:$A),MATCH(AB$1,[3]characters!$2:$2,0)-MATCH("character_id",[3]characters!$2:$2,0)+1),MATCH(AB$1,[3]characters!$2:$2,0)-MATCH("character_id",[3]characters!$2:$2,0)+1,FALSE),"")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128" s="8">
        <v>1</v>
      </c>
      <c r="AD128" s="34">
        <f t="shared" ca="1" si="78"/>
        <v>3</v>
      </c>
      <c r="AE128" s="9">
        <v>0</v>
      </c>
      <c r="AF128" s="8">
        <v>0</v>
      </c>
      <c r="AG128" s="8">
        <v>0</v>
      </c>
      <c r="AH128" s="8">
        <v>0</v>
      </c>
      <c r="AI128" s="8">
        <v>0</v>
      </c>
      <c r="AJ128" s="8">
        <v>1</v>
      </c>
    </row>
    <row r="129" spans="1:36" ht="21" customHeight="1">
      <c r="A129" s="21" t="str">
        <f ca="1">B129&amp;"_"&amp;C129&amp;"-"&amp;G129&amp;"/"&amp;I129&amp;"&lt;lv"&amp;O129&amp;"&gt;s"&amp;X129</f>
        <v>11103_3-5/146&lt;lv30&gt;s3</v>
      </c>
      <c r="B129" s="8">
        <v>11103</v>
      </c>
      <c r="C129" s="51">
        <v>3</v>
      </c>
      <c r="D129" s="2" t="str">
        <f t="shared" si="76"/>
        <v>11103_3</v>
      </c>
      <c r="E129" s="5" t="str">
        <f ca="1">VLOOKUP($B129,OFFSET([1]quests!$A$1,0,0,COUNTA([1]quests!$A:$A),MATCH(E$1,[1]quests!$1:$1,0)-MATCH($B$1,[1]quests!$1:$1,0)+1),MATCH(E$1,[1]quests!$1:$1,0)-MATCH($B$1,[1]quests!$1:$1,0)+1,FALSE)</f>
        <v>【キャンペーン限定】 青の素材</v>
      </c>
      <c r="F129" s="5" t="str">
        <f ca="1">VLOOKUP($D129,OFFSET([1]stages!$A$1,0,0,COUNTA([1]stages!$A:$A),MATCH(F$1,[1]stages!$2:$2,0)-MATCH($D$1,[1]stages!$2:$2,0)+1),MATCH(F$1,[1]stages!$2:$2,0)-MATCH($D$1,[1]stages!$2:$2,0)+1,FALSE)</f>
        <v>水のイモムシ 【上級】</v>
      </c>
      <c r="G129" s="32">
        <v>5</v>
      </c>
      <c r="H129" s="20" t="str">
        <f t="shared" si="77"/>
        <v>11103_3-5</v>
      </c>
      <c r="I129" s="31">
        <v>146</v>
      </c>
      <c r="J129" s="26" t="str">
        <f ca="1">VLOOKUP($I129,OFFSET([2]enemies!$A$1,0,0,COUNTA([2]enemies!$A:$A),MATCH(J$1,[2]enemies!$2:$2,0)-MATCH($I$1,[2]enemies!$2:$2,0)+1),MATCH(J$1,[2]enemies!$2:$2,0)-MATCH($I$1,[2]enemies!$2:$2,0)+1,FALSE)</f>
        <v>マーメイド</v>
      </c>
      <c r="K129" s="29" t="str">
        <f ca="1">VLOOKUP($I129,OFFSET([2]enemies!$A$1,0,0,COUNTA([2]enemies!$A:$A),MATCH(K$1,[2]enemies!$2:$2,0)-MATCH($I$1,[2]enemies!$2:$2,0)+1),MATCH(K$1,[2]enemies!$2:$2,0)-MATCH($I$1,[2]enemies!$2:$2,0)+1,FALSE)</f>
        <v>blue</v>
      </c>
      <c r="L129" s="29" t="str">
        <f ca="1">VLOOKUP($I129,OFFSET([3]characters!$A$1,0,0,COUNTA([3]characters!$A:$A),MATCH(L$1,[3]characters!$2:$2,0)-MATCH($I$1,[3]characters!$2:$2,0)+1),MATCH(L$1,[3]characters!$2:$2,0)-MATCH($I$1,[3]characters!$2:$2,0)+1,FALSE)</f>
        <v>PremiumW</v>
      </c>
      <c r="M129" s="28" t="str">
        <f ca="1">VLOOKUP($I129,OFFSET([3]characters!$A$1,0,0,COUNTA([3]characters!$A:$A),MATCH(M$1,[3]characters!$2:$2,0)-MATCH($I$1,[3]characters!$2:$2,0)+2),MATCH(M$1,[3]characters!$2:$2,0)-MATCH($I$1,[3]characters!$2:$2,0)+2,FALSE)</f>
        <v>ヒューマン</v>
      </c>
      <c r="N129" s="5">
        <f ca="1">VLOOKUP($I129,OFFSET([2]enemies!$A$1,0,0,COUNTA([2]enemies!$A:$A),MATCH(N$1,[2]enemies!$2:$2,0)-MATCH($I$1,[2]enemies!$2:$2,0)+1),MATCH(N$1,[2]enemies!$2:$2,0)-MATCH($I$1,[2]enemies!$2:$2,0)+1,FALSE)</f>
        <v>20</v>
      </c>
      <c r="O129" s="6">
        <v>30</v>
      </c>
      <c r="P129" s="46">
        <v>1</v>
      </c>
      <c r="Q129" s="46">
        <v>1</v>
      </c>
      <c r="R129" s="6">
        <v>0</v>
      </c>
      <c r="S129" s="5" t="str">
        <f ca="1">VLOOKUP($T129,OFFSET([4]enemy_skill_sets!$B$1,0,0,COUNTA([4]enemy_skill_sets!$B:$B),MATCH(J$1,[4]enemy_skill_sets!$1:$1,0)-MATCH($T$1,[4]enemy_skill_sets!$1:$1,0)+2),MATCH(J$1,[4]enemy_skill_sets!$1:$1,0)-MATCH($T$1,[4]enemy_skill_sets!$1:$1,0)+2,FALSE)</f>
        <v>ハートパネルで回復できない</v>
      </c>
      <c r="T129" s="5">
        <f ca="1">VLOOKUP($I129,OFFSET([2]enemies!$A$1,0,0,COUNTA([2]enemies!$A:$A),MATCH(T$1,[2]enemies!$2:$2,0)-MATCH($I$1,[2]enemies!$2:$2,0)+1),MATCH(T$1,[2]enemies!$2:$2,0)-MATCH($I$1,[2]enemies!$2:$2,0)+1,FALSE)</f>
        <v>146</v>
      </c>
      <c r="U129" s="7">
        <v>0</v>
      </c>
      <c r="V129" s="7">
        <v>100</v>
      </c>
      <c r="W129" s="7">
        <v>1</v>
      </c>
      <c r="X129" s="26">
        <f ca="1">VLOOKUP($I129,OFFSET([2]enemies!$A$1,0,0,COUNTA([2]enemies!$A:$A),MATCH(X$1,[2]enemies!$2:$2,0)-MATCH($I$1,[2]enemies!$2:$2,0)+1),MATCH(X$1,[2]enemies!$2:$2,0)-MATCH($I$1,[2]enemies!$2:$2,0)+1,FALSE)</f>
        <v>3</v>
      </c>
      <c r="Y129" s="31">
        <v>146</v>
      </c>
      <c r="Z129" s="5" t="str">
        <f ca="1">IFERROR(VLOOKUP($Y129,OFFSET([3]characters!$A$1,0,0,COUNTA([3]characters!$A:$A),MATCH(Z$1,[3]characters!$2:$2,0)-MATCH("character_id",[3]characters!$2:$2,0)+1),MATCH(Z$1,[3]characters!$2:$2,0)-MATCH("character_id",[3]characters!$2:$2,0)+1,FALSE),"")</f>
        <v>マーメイド</v>
      </c>
      <c r="AA129" s="5">
        <f ca="1">IFERROR(VLOOKUP($Y129,OFFSET([3]characters!$A$1,0,0,COUNTA([3]characters!$A:$A),MATCH(AA$1,[3]characters!$2:$2,0)-MATCH("character_id",[3]characters!$2:$2,0)+1),MATCH(AA$1,[3]characters!$2:$2,0)-MATCH("character_id",[3]characters!$2:$2,0)+1,FALSE),"")</f>
        <v>3</v>
      </c>
      <c r="AB129" s="5" t="str">
        <f ca="1">IFERROR(VLOOKUP($Y129,OFFSET([3]characters!$A$1,0,0,COUNTA([3]characters!$A:$A),MATCH(AB$1,[3]characters!$2:$2,0)-MATCH("character_id",[3]characters!$2:$2,0)+1),MATCH(AB$1,[3]characters!$2:$2,0)-MATCH("character_id",[3]characters!$2:$2,0)+1,FALSE),"")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129" s="8">
        <v>1</v>
      </c>
      <c r="AD129" s="34">
        <f t="shared" ca="1" si="78"/>
        <v>3</v>
      </c>
      <c r="AE129" s="9">
        <v>0</v>
      </c>
      <c r="AF129" s="8">
        <v>0</v>
      </c>
      <c r="AG129" s="8">
        <v>0</v>
      </c>
      <c r="AH129" s="8">
        <v>0</v>
      </c>
      <c r="AI129" s="8">
        <v>0</v>
      </c>
      <c r="AJ129" s="8">
        <v>1</v>
      </c>
    </row>
    <row r="130" spans="1:36" ht="21" customHeight="1">
      <c r="A130" s="21" t="str">
        <f ca="1">B130&amp;"_"&amp;C130&amp;"-"&amp;G130&amp;"/"&amp;I130&amp;"&lt;lv"&amp;O130&amp;"&gt;s"&amp;X130</f>
        <v>11103_3-5/154&lt;lv30&gt;s3</v>
      </c>
      <c r="B130" s="8">
        <v>11103</v>
      </c>
      <c r="C130" s="51">
        <v>3</v>
      </c>
      <c r="D130" s="2" t="str">
        <f t="shared" si="76"/>
        <v>11103_3</v>
      </c>
      <c r="E130" s="5" t="str">
        <f ca="1">VLOOKUP($B130,OFFSET([1]quests!$A$1,0,0,COUNTA([1]quests!$A:$A),MATCH(E$1,[1]quests!$1:$1,0)-MATCH($B$1,[1]quests!$1:$1,0)+1),MATCH(E$1,[1]quests!$1:$1,0)-MATCH($B$1,[1]quests!$1:$1,0)+1,FALSE)</f>
        <v>【キャンペーン限定】 青の素材</v>
      </c>
      <c r="F130" s="5" t="str">
        <f ca="1">VLOOKUP($D130,OFFSET([1]stages!$A$1,0,0,COUNTA([1]stages!$A:$A),MATCH(F$1,[1]stages!$2:$2,0)-MATCH($D$1,[1]stages!$2:$2,0)+1),MATCH(F$1,[1]stages!$2:$2,0)-MATCH($D$1,[1]stages!$2:$2,0)+1,FALSE)</f>
        <v>水のイモムシ 【上級】</v>
      </c>
      <c r="G130" s="32">
        <v>5</v>
      </c>
      <c r="H130" s="20" t="str">
        <f t="shared" si="77"/>
        <v>11103_3-5</v>
      </c>
      <c r="I130" s="31">
        <v>154</v>
      </c>
      <c r="J130" s="26" t="str">
        <f ca="1">VLOOKUP($I130,OFFSET([2]enemies!$A$1,0,0,COUNTA([2]enemies!$A:$A),MATCH(J$1,[2]enemies!$2:$2,0)-MATCH($I$1,[2]enemies!$2:$2,0)+1),MATCH(J$1,[2]enemies!$2:$2,0)-MATCH($I$1,[2]enemies!$2:$2,0)+1,FALSE)</f>
        <v>始末屋 ハンナ</v>
      </c>
      <c r="K130" s="29" t="str">
        <f ca="1">VLOOKUP($I130,OFFSET([2]enemies!$A$1,0,0,COUNTA([2]enemies!$A:$A),MATCH(K$1,[2]enemies!$2:$2,0)-MATCH($I$1,[2]enemies!$2:$2,0)+1),MATCH(K$1,[2]enemies!$2:$2,0)-MATCH($I$1,[2]enemies!$2:$2,0)+1,FALSE)</f>
        <v>blue</v>
      </c>
      <c r="L130" s="29" t="str">
        <f ca="1">VLOOKUP($I130,OFFSET([3]characters!$A$1,0,0,COUNTA([3]characters!$A:$A),MATCH(L$1,[3]characters!$2:$2,0)-MATCH($I$1,[3]characters!$2:$2,0)+1),MATCH(L$1,[3]characters!$2:$2,0)-MATCH($I$1,[3]characters!$2:$2,0)+1,FALSE)</f>
        <v>PremiumW</v>
      </c>
      <c r="M130" s="28" t="str">
        <f ca="1">VLOOKUP($I130,OFFSET([3]characters!$A$1,0,0,COUNTA([3]characters!$A:$A),MATCH(M$1,[3]characters!$2:$2,0)-MATCH($I$1,[3]characters!$2:$2,0)+2),MATCH(M$1,[3]characters!$2:$2,0)-MATCH($I$1,[3]characters!$2:$2,0)+2,FALSE)</f>
        <v>ヒューマン</v>
      </c>
      <c r="N130" s="5">
        <f ca="1">VLOOKUP($I130,OFFSET([2]enemies!$A$1,0,0,COUNTA([2]enemies!$A:$A),MATCH(N$1,[2]enemies!$2:$2,0)-MATCH($I$1,[2]enemies!$2:$2,0)+1),MATCH(N$1,[2]enemies!$2:$2,0)-MATCH($I$1,[2]enemies!$2:$2,0)+1,FALSE)</f>
        <v>20</v>
      </c>
      <c r="O130" s="6">
        <v>30</v>
      </c>
      <c r="P130" s="46">
        <v>1</v>
      </c>
      <c r="Q130" s="46">
        <v>1</v>
      </c>
      <c r="R130" s="6">
        <v>0</v>
      </c>
      <c r="S130" s="5" t="str">
        <f ca="1">VLOOKUP($T130,OFFSET([4]enemy_skill_sets!$B$1,0,0,COUNTA([4]enemy_skill_sets!$B:$B),MATCH(J$1,[4]enemy_skill_sets!$1:$1,0)-MATCH($T$1,[4]enemy_skill_sets!$1:$1,0)+2),MATCH(J$1,[4]enemy_skill_sets!$1:$1,0)-MATCH($T$1,[4]enemy_skill_sets!$1:$1,0)+2,FALSE)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130" s="5">
        <f ca="1">VLOOKUP($I130,OFFSET([2]enemies!$A$1,0,0,COUNTA([2]enemies!$A:$A),MATCH(T$1,[2]enemies!$2:$2,0)-MATCH($I$1,[2]enemies!$2:$2,0)+1),MATCH(T$1,[2]enemies!$2:$2,0)-MATCH($I$1,[2]enemies!$2:$2,0)+1,FALSE)</f>
        <v>154</v>
      </c>
      <c r="U130" s="7">
        <v>0</v>
      </c>
      <c r="V130" s="7">
        <v>100</v>
      </c>
      <c r="W130" s="7">
        <v>1</v>
      </c>
      <c r="X130" s="26">
        <f ca="1">VLOOKUP($I130,OFFSET([2]enemies!$A$1,0,0,COUNTA([2]enemies!$A:$A),MATCH(X$1,[2]enemies!$2:$2,0)-MATCH($I$1,[2]enemies!$2:$2,0)+1),MATCH(X$1,[2]enemies!$2:$2,0)-MATCH($I$1,[2]enemies!$2:$2,0)+1,FALSE)</f>
        <v>3</v>
      </c>
      <c r="Y130" s="31">
        <v>154</v>
      </c>
      <c r="Z130" s="5" t="str">
        <f ca="1">IFERROR(VLOOKUP($Y130,OFFSET([3]characters!$A$1,0,0,COUNTA([3]characters!$A:$A),MATCH(Z$1,[3]characters!$2:$2,0)-MATCH("character_id",[3]characters!$2:$2,0)+1),MATCH(Z$1,[3]characters!$2:$2,0)-MATCH("character_id",[3]characters!$2:$2,0)+1,FALSE),"")</f>
        <v>始末屋 ハンナ</v>
      </c>
      <c r="AA130" s="5">
        <f ca="1">IFERROR(VLOOKUP($Y130,OFFSET([3]characters!$A$1,0,0,COUNTA([3]characters!$A:$A),MATCH(AA$1,[3]characters!$2:$2,0)-MATCH("character_id",[3]characters!$2:$2,0)+1),MATCH(AA$1,[3]characters!$2:$2,0)-MATCH("character_id",[3]characters!$2:$2,0)+1,FALSE),"")</f>
        <v>3</v>
      </c>
      <c r="AB130" s="5" t="str">
        <f ca="1">IFERROR(VLOOKUP($Y130,OFFSET([3]characters!$A$1,0,0,COUNTA([3]characters!$A:$A),MATCH(AB$1,[3]characters!$2:$2,0)-MATCH("character_id",[3]characters!$2:$2,0)+1),MATCH(AB$1,[3]characters!$2:$2,0)-MATCH("character_id",[3]characters!$2:$2,0)+1,FALSE),"")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130" s="8">
        <v>1</v>
      </c>
      <c r="AD130" s="34">
        <f t="shared" ca="1" si="78"/>
        <v>3</v>
      </c>
      <c r="AE130" s="9">
        <v>0</v>
      </c>
      <c r="AF130" s="8">
        <v>0</v>
      </c>
      <c r="AG130" s="8">
        <v>0</v>
      </c>
      <c r="AH130" s="8">
        <v>0</v>
      </c>
      <c r="AI130" s="8">
        <v>0</v>
      </c>
      <c r="AJ130" s="8">
        <v>1</v>
      </c>
    </row>
    <row r="131" spans="1:36" ht="21" customHeight="1">
      <c r="A131" s="21" t="str">
        <f t="shared" ref="A131:A132" ca="1" si="87">B131&amp;"_"&amp;C131&amp;"-"&amp;G131&amp;"/"&amp;I131&amp;"&lt;lv"&amp;O131&amp;"&gt;s"&amp;X131</f>
        <v>11104_1-1/105&lt;lv3&gt;s1</v>
      </c>
      <c r="B131" s="8">
        <v>11104</v>
      </c>
      <c r="C131" s="52">
        <v>1</v>
      </c>
      <c r="D131" s="2" t="str">
        <f t="shared" si="76"/>
        <v>11104_1</v>
      </c>
      <c r="E131" s="5" t="str">
        <f ca="1">VLOOKUP($B131,OFFSET([1]quests!$A$1,0,0,COUNTA([1]quests!$A:$A),MATCH(E$1,[1]quests!$1:$1,0)-MATCH($B$1,[1]quests!$1:$1,0)+1),MATCH(E$1,[1]quests!$1:$1,0)-MATCH($B$1,[1]quests!$1:$1,0)+1,FALSE)</f>
        <v>【キャンペーン限定】 緑の素材</v>
      </c>
      <c r="F131" s="5" t="str">
        <f ca="1">VLOOKUP($D131,OFFSET([1]stages!$A$1,0,0,COUNTA([1]stages!$A:$A),MATCH(F$1,[1]stages!$2:$2,0)-MATCH($D$1,[1]stages!$2:$2,0)+1),MATCH(F$1,[1]stages!$2:$2,0)-MATCH($D$1,[1]stages!$2:$2,0)+1,FALSE)</f>
        <v>樹のチェシャ猫 【初級】</v>
      </c>
      <c r="G131" s="32">
        <v>1</v>
      </c>
      <c r="H131" s="20" t="str">
        <f t="shared" si="77"/>
        <v>11104_1-1</v>
      </c>
      <c r="I131" s="31">
        <v>105</v>
      </c>
      <c r="J131" s="26" t="str">
        <f ca="1">VLOOKUP($I131,OFFSET([2]enemies!$A$1,0,0,COUNTA([2]enemies!$A:$A),MATCH(J$1,[2]enemies!$2:$2,0)-MATCH($I$1,[2]enemies!$2:$2,0)+1),MATCH(J$1,[2]enemies!$2:$2,0)-MATCH($I$1,[2]enemies!$2:$2,0)+1,FALSE)</f>
        <v>グリーンチェシャ</v>
      </c>
      <c r="K131" s="29" t="str">
        <f ca="1">VLOOKUP($I131,OFFSET([2]enemies!$A$1,0,0,COUNTA([2]enemies!$A:$A),MATCH(K$1,[2]enemies!$2:$2,0)-MATCH($I$1,[2]enemies!$2:$2,0)+1),MATCH(K$1,[2]enemies!$2:$2,0)-MATCH($I$1,[2]enemies!$2:$2,0)+1,FALSE)</f>
        <v>green</v>
      </c>
      <c r="L131" s="29" t="str">
        <f ca="1">VLOOKUP($I131,OFFSET([3]characters!$A$1,0,0,COUNTA([3]characters!$A:$A),MATCH(L$1,[3]characters!$2:$2,0)-MATCH($I$1,[3]characters!$2:$2,0)+1),MATCH(L$1,[3]characters!$2:$2,0)-MATCH($I$1,[3]characters!$2:$2,0)+1,FALSE)</f>
        <v>Material</v>
      </c>
      <c r="M131" s="28" t="str">
        <f ca="1">VLOOKUP($I131,OFFSET([3]characters!$A$1,0,0,COUNTA([3]characters!$A:$A),MATCH(M$1,[3]characters!$2:$2,0)-MATCH($I$1,[3]characters!$2:$2,0)+2),MATCH(M$1,[3]characters!$2:$2,0)-MATCH($I$1,[3]characters!$2:$2,0)+2,FALSE)</f>
        <v>Unknown</v>
      </c>
      <c r="N131" s="5">
        <f ca="1">VLOOKUP($I131,OFFSET([2]enemies!$A$1,0,0,COUNTA([2]enemies!$A:$A),MATCH(N$1,[2]enemies!$2:$2,0)-MATCH($I$1,[2]enemies!$2:$2,0)+1),MATCH(N$1,[2]enemies!$2:$2,0)-MATCH($I$1,[2]enemies!$2:$2,0)+1,FALSE)</f>
        <v>15</v>
      </c>
      <c r="O131" s="6">
        <v>3</v>
      </c>
      <c r="P131" s="46">
        <v>1</v>
      </c>
      <c r="Q131" s="46">
        <v>1</v>
      </c>
      <c r="R131" s="6">
        <v>0</v>
      </c>
      <c r="S131" s="5" t="str">
        <f ca="1">VLOOKUP($T131,OFFSET([4]enemy_skill_sets!$B$1,0,0,COUNTA([4]enemy_skill_sets!$B:$B),MATCH(J$1,[4]enemy_skill_sets!$1:$1,0)-MATCH($T$1,[4]enemy_skill_sets!$1:$1,0)+2),MATCH(J$1,[4]enemy_skill_sets!$1:$1,0)-MATCH($T$1,[4]enemy_skill_sets!$1:$1,0)+2,FALSE)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1" s="5">
        <f ca="1">VLOOKUP($I131,OFFSET([2]enemies!$A$1,0,0,COUNTA([2]enemies!$A:$A),MATCH(T$1,[2]enemies!$2:$2,0)-MATCH($I$1,[2]enemies!$2:$2,0)+1),MATCH(T$1,[2]enemies!$2:$2,0)-MATCH($I$1,[2]enemies!$2:$2,0)+1,FALSE)</f>
        <v>0</v>
      </c>
      <c r="U131" s="7">
        <v>0</v>
      </c>
      <c r="V131" s="7">
        <v>100</v>
      </c>
      <c r="W131" s="7">
        <v>0</v>
      </c>
      <c r="X131" s="26">
        <f ca="1">VLOOKUP($I131,OFFSET([2]enemies!$A$1,0,0,COUNTA([2]enemies!$A:$A),MATCH(X$1,[2]enemies!$2:$2,0)-MATCH($I$1,[2]enemies!$2:$2,0)+1),MATCH(X$1,[2]enemies!$2:$2,0)-MATCH($I$1,[2]enemies!$2:$2,0)+1,FALSE)</f>
        <v>1</v>
      </c>
      <c r="Y131" s="31">
        <v>105</v>
      </c>
      <c r="Z131" s="5" t="str">
        <f ca="1">IFERROR(VLOOKUP($Y131,OFFSET([3]characters!$A$1,0,0,COUNTA([3]characters!$A:$A),MATCH(Z$1,[3]characters!$2:$2,0)-MATCH("character_id",[3]characters!$2:$2,0)+1),MATCH(Z$1,[3]characters!$2:$2,0)-MATCH("character_id",[3]characters!$2:$2,0)+1,FALSE),"")</f>
        <v>グリーンチェシャ</v>
      </c>
      <c r="AA131" s="5">
        <f ca="1">IFERROR(VLOOKUP($Y131,OFFSET([3]characters!$A$1,0,0,COUNTA([3]characters!$A:$A),MATCH(AA$1,[3]characters!$2:$2,0)-MATCH("character_id",[3]characters!$2:$2,0)+1),MATCH(AA$1,[3]characters!$2:$2,0)-MATCH("character_id",[3]characters!$2:$2,0)+1,FALSE),"")</f>
        <v>2</v>
      </c>
      <c r="AB131" s="5" t="str">
        <f ca="1">IFERROR(VLOOKUP($Y131,OFFSET([3]characters!$A$1,0,0,COUNTA([3]characters!$A:$A),MATCH(AB$1,[3]characters!$2:$2,0)-MATCH("character_id",[3]characters!$2:$2,0)+1),MATCH(AB$1,[3]characters!$2:$2,0)-MATCH("character_id",[3]characters!$2:$2,0)+1,FALSE),"")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31" s="8">
        <v>1</v>
      </c>
      <c r="AD131" s="34">
        <f t="shared" ca="1" si="78"/>
        <v>2</v>
      </c>
      <c r="AE131" s="9">
        <v>50</v>
      </c>
      <c r="AF131" s="8">
        <v>0</v>
      </c>
      <c r="AG131" s="8">
        <v>0</v>
      </c>
      <c r="AH131" s="8">
        <v>0</v>
      </c>
      <c r="AI131" s="8">
        <v>0</v>
      </c>
      <c r="AJ131" s="8">
        <v>1</v>
      </c>
    </row>
    <row r="132" spans="1:36" ht="21" customHeight="1">
      <c r="A132" s="21" t="str">
        <f t="shared" ca="1" si="87"/>
        <v>11104_1-2/105&lt;lv3&gt;s1</v>
      </c>
      <c r="B132" s="8">
        <v>11104</v>
      </c>
      <c r="C132" s="52">
        <v>1</v>
      </c>
      <c r="D132" s="2" t="str">
        <f t="shared" si="76"/>
        <v>11104_1</v>
      </c>
      <c r="E132" s="5" t="str">
        <f ca="1">VLOOKUP($B132,OFFSET([1]quests!$A$1,0,0,COUNTA([1]quests!$A:$A),MATCH(E$1,[1]quests!$1:$1,0)-MATCH($B$1,[1]quests!$1:$1,0)+1),MATCH(E$1,[1]quests!$1:$1,0)-MATCH($B$1,[1]quests!$1:$1,0)+1,FALSE)</f>
        <v>【キャンペーン限定】 緑の素材</v>
      </c>
      <c r="F132" s="5" t="str">
        <f ca="1">VLOOKUP($D132,OFFSET([1]stages!$A$1,0,0,COUNTA([1]stages!$A:$A),MATCH(F$1,[1]stages!$2:$2,0)-MATCH($D$1,[1]stages!$2:$2,0)+1),MATCH(F$1,[1]stages!$2:$2,0)-MATCH($D$1,[1]stages!$2:$2,0)+1,FALSE)</f>
        <v>樹のチェシャ猫 【初級】</v>
      </c>
      <c r="G132" s="32">
        <v>2</v>
      </c>
      <c r="H132" s="20" t="str">
        <f t="shared" si="77"/>
        <v>11104_1-2</v>
      </c>
      <c r="I132" s="31">
        <v>105</v>
      </c>
      <c r="J132" s="26" t="str">
        <f ca="1">VLOOKUP($I132,OFFSET([2]enemies!$A$1,0,0,COUNTA([2]enemies!$A:$A),MATCH(J$1,[2]enemies!$2:$2,0)-MATCH($I$1,[2]enemies!$2:$2,0)+1),MATCH(J$1,[2]enemies!$2:$2,0)-MATCH($I$1,[2]enemies!$2:$2,0)+1,FALSE)</f>
        <v>グリーンチェシャ</v>
      </c>
      <c r="K132" s="29" t="str">
        <f ca="1">VLOOKUP($I132,OFFSET([2]enemies!$A$1,0,0,COUNTA([2]enemies!$A:$A),MATCH(K$1,[2]enemies!$2:$2,0)-MATCH($I$1,[2]enemies!$2:$2,0)+1),MATCH(K$1,[2]enemies!$2:$2,0)-MATCH($I$1,[2]enemies!$2:$2,0)+1,FALSE)</f>
        <v>green</v>
      </c>
      <c r="L132" s="29" t="str">
        <f ca="1">VLOOKUP($I132,OFFSET([3]characters!$A$1,0,0,COUNTA([3]characters!$A:$A),MATCH(L$1,[3]characters!$2:$2,0)-MATCH($I$1,[3]characters!$2:$2,0)+1),MATCH(L$1,[3]characters!$2:$2,0)-MATCH($I$1,[3]characters!$2:$2,0)+1,FALSE)</f>
        <v>Material</v>
      </c>
      <c r="M132" s="28" t="str">
        <f ca="1">VLOOKUP($I132,OFFSET([3]characters!$A$1,0,0,COUNTA([3]characters!$A:$A),MATCH(M$1,[3]characters!$2:$2,0)-MATCH($I$1,[3]characters!$2:$2,0)+2),MATCH(M$1,[3]characters!$2:$2,0)-MATCH($I$1,[3]characters!$2:$2,0)+2,FALSE)</f>
        <v>Unknown</v>
      </c>
      <c r="N132" s="5">
        <f ca="1">VLOOKUP($I132,OFFSET([2]enemies!$A$1,0,0,COUNTA([2]enemies!$A:$A),MATCH(N$1,[2]enemies!$2:$2,0)-MATCH($I$1,[2]enemies!$2:$2,0)+1),MATCH(N$1,[2]enemies!$2:$2,0)-MATCH($I$1,[2]enemies!$2:$2,0)+1,FALSE)</f>
        <v>15</v>
      </c>
      <c r="O132" s="6">
        <v>3</v>
      </c>
      <c r="P132" s="46">
        <v>1</v>
      </c>
      <c r="Q132" s="46">
        <v>1</v>
      </c>
      <c r="R132" s="6">
        <v>0</v>
      </c>
      <c r="S132" s="5" t="str">
        <f ca="1">VLOOKUP($T132,OFFSET([4]enemy_skill_sets!$B$1,0,0,COUNTA([4]enemy_skill_sets!$B:$B),MATCH(J$1,[4]enemy_skill_sets!$1:$1,0)-MATCH($T$1,[4]enemy_skill_sets!$1:$1,0)+2),MATCH(J$1,[4]enemy_skill_sets!$1:$1,0)-MATCH($T$1,[4]enemy_skill_sets!$1:$1,0)+2,FALSE)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2" s="5">
        <f ca="1">VLOOKUP($I132,OFFSET([2]enemies!$A$1,0,0,COUNTA([2]enemies!$A:$A),MATCH(T$1,[2]enemies!$2:$2,0)-MATCH($I$1,[2]enemies!$2:$2,0)+1),MATCH(T$1,[2]enemies!$2:$2,0)-MATCH($I$1,[2]enemies!$2:$2,0)+1,FALSE)</f>
        <v>0</v>
      </c>
      <c r="U132" s="7">
        <v>0</v>
      </c>
      <c r="V132" s="7">
        <v>100</v>
      </c>
      <c r="W132" s="7">
        <v>0</v>
      </c>
      <c r="X132" s="26">
        <f ca="1">VLOOKUP($I132,OFFSET([2]enemies!$A$1,0,0,COUNTA([2]enemies!$A:$A),MATCH(X$1,[2]enemies!$2:$2,0)-MATCH($I$1,[2]enemies!$2:$2,0)+1),MATCH(X$1,[2]enemies!$2:$2,0)-MATCH($I$1,[2]enemies!$2:$2,0)+1,FALSE)</f>
        <v>1</v>
      </c>
      <c r="Y132" s="31">
        <v>105</v>
      </c>
      <c r="Z132" s="5" t="str">
        <f ca="1">IFERROR(VLOOKUP($Y132,OFFSET([3]characters!$A$1,0,0,COUNTA([3]characters!$A:$A),MATCH(Z$1,[3]characters!$2:$2,0)-MATCH("character_id",[3]characters!$2:$2,0)+1),MATCH(Z$1,[3]characters!$2:$2,0)-MATCH("character_id",[3]characters!$2:$2,0)+1,FALSE),"")</f>
        <v>グリーンチェシャ</v>
      </c>
      <c r="AA132" s="5">
        <f ca="1">IFERROR(VLOOKUP($Y132,OFFSET([3]characters!$A$1,0,0,COUNTA([3]characters!$A:$A),MATCH(AA$1,[3]characters!$2:$2,0)-MATCH("character_id",[3]characters!$2:$2,0)+1),MATCH(AA$1,[3]characters!$2:$2,0)-MATCH("character_id",[3]characters!$2:$2,0)+1,FALSE),"")</f>
        <v>2</v>
      </c>
      <c r="AB132" s="5" t="str">
        <f ca="1">IFERROR(VLOOKUP($Y132,OFFSET([3]characters!$A$1,0,0,COUNTA([3]characters!$A:$A),MATCH(AB$1,[3]characters!$2:$2,0)-MATCH("character_id",[3]characters!$2:$2,0)+1),MATCH(AB$1,[3]characters!$2:$2,0)-MATCH("character_id",[3]characters!$2:$2,0)+1,FALSE),"")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32" s="8">
        <v>1</v>
      </c>
      <c r="AD132" s="34">
        <f t="shared" ca="1" si="78"/>
        <v>2</v>
      </c>
      <c r="AE132" s="9">
        <v>50</v>
      </c>
      <c r="AF132" s="8">
        <v>0</v>
      </c>
      <c r="AG132" s="8">
        <v>0</v>
      </c>
      <c r="AH132" s="8">
        <v>0</v>
      </c>
      <c r="AI132" s="8">
        <v>0</v>
      </c>
      <c r="AJ132" s="8">
        <v>1</v>
      </c>
    </row>
    <row r="133" spans="1:36" ht="21" customHeight="1">
      <c r="A133" s="21" t="str">
        <f t="shared" ref="A133:A169" ca="1" si="88">B133&amp;"_"&amp;C133&amp;"-"&amp;G133&amp;"/"&amp;I133&amp;"&lt;lv"&amp;O133&amp;"&gt;s"&amp;X133</f>
        <v>11104_1-3/105&lt;lv3&gt;s1</v>
      </c>
      <c r="B133" s="8">
        <v>11104</v>
      </c>
      <c r="C133" s="52">
        <v>1</v>
      </c>
      <c r="D133" s="2" t="str">
        <f t="shared" ref="D133:D175" si="89">B133&amp;"_"&amp;C133</f>
        <v>11104_1</v>
      </c>
      <c r="E133" s="5" t="str">
        <f ca="1">VLOOKUP($B133,OFFSET([1]quests!$A$1,0,0,COUNTA([1]quests!$A:$A),MATCH(E$1,[1]quests!$1:$1,0)-MATCH($B$1,[1]quests!$1:$1,0)+1),MATCH(E$1,[1]quests!$1:$1,0)-MATCH($B$1,[1]quests!$1:$1,0)+1,FALSE)</f>
        <v>【キャンペーン限定】 緑の素材</v>
      </c>
      <c r="F133" s="5" t="str">
        <f ca="1">VLOOKUP($D133,OFFSET([1]stages!$A$1,0,0,COUNTA([1]stages!$A:$A),MATCH(F$1,[1]stages!$2:$2,0)-MATCH($D$1,[1]stages!$2:$2,0)+1),MATCH(F$1,[1]stages!$2:$2,0)-MATCH($D$1,[1]stages!$2:$2,0)+1,FALSE)</f>
        <v>樹のチェシャ猫 【初級】</v>
      </c>
      <c r="G133" s="32">
        <v>3</v>
      </c>
      <c r="H133" s="20" t="str">
        <f t="shared" ref="H133:H175" si="90">B133&amp;"_"&amp;C133&amp;"-"&amp;G133</f>
        <v>11104_1-3</v>
      </c>
      <c r="I133" s="31">
        <v>105</v>
      </c>
      <c r="J133" s="26" t="str">
        <f ca="1">VLOOKUP($I133,OFFSET([2]enemies!$A$1,0,0,COUNTA([2]enemies!$A:$A),MATCH(J$1,[2]enemies!$2:$2,0)-MATCH($I$1,[2]enemies!$2:$2,0)+1),MATCH(J$1,[2]enemies!$2:$2,0)-MATCH($I$1,[2]enemies!$2:$2,0)+1,FALSE)</f>
        <v>グリーンチェシャ</v>
      </c>
      <c r="K133" s="29" t="str">
        <f ca="1">VLOOKUP($I133,OFFSET([2]enemies!$A$1,0,0,COUNTA([2]enemies!$A:$A),MATCH(K$1,[2]enemies!$2:$2,0)-MATCH($I$1,[2]enemies!$2:$2,0)+1),MATCH(K$1,[2]enemies!$2:$2,0)-MATCH($I$1,[2]enemies!$2:$2,0)+1,FALSE)</f>
        <v>green</v>
      </c>
      <c r="L133" s="29" t="str">
        <f ca="1">VLOOKUP($I133,OFFSET([3]characters!$A$1,0,0,COUNTA([3]characters!$A:$A),MATCH(L$1,[3]characters!$2:$2,0)-MATCH($I$1,[3]characters!$2:$2,0)+1),MATCH(L$1,[3]characters!$2:$2,0)-MATCH($I$1,[3]characters!$2:$2,0)+1,FALSE)</f>
        <v>Material</v>
      </c>
      <c r="M133" s="28" t="str">
        <f ca="1">VLOOKUP($I133,OFFSET([3]characters!$A$1,0,0,COUNTA([3]characters!$A:$A),MATCH(M$1,[3]characters!$2:$2,0)-MATCH($I$1,[3]characters!$2:$2,0)+2),MATCH(M$1,[3]characters!$2:$2,0)-MATCH($I$1,[3]characters!$2:$2,0)+2,FALSE)</f>
        <v>Unknown</v>
      </c>
      <c r="N133" s="5">
        <f ca="1">VLOOKUP($I133,OFFSET([2]enemies!$A$1,0,0,COUNTA([2]enemies!$A:$A),MATCH(N$1,[2]enemies!$2:$2,0)-MATCH($I$1,[2]enemies!$2:$2,0)+1),MATCH(N$1,[2]enemies!$2:$2,0)-MATCH($I$1,[2]enemies!$2:$2,0)+1,FALSE)</f>
        <v>15</v>
      </c>
      <c r="O133" s="6">
        <v>3</v>
      </c>
      <c r="P133" s="46">
        <v>1</v>
      </c>
      <c r="Q133" s="46">
        <v>1</v>
      </c>
      <c r="R133" s="6">
        <v>0</v>
      </c>
      <c r="S133" s="5" t="str">
        <f ca="1">VLOOKUP($T133,OFFSET([4]enemy_skill_sets!$B$1,0,0,COUNTA([4]enemy_skill_sets!$B:$B),MATCH(J$1,[4]enemy_skill_sets!$1:$1,0)-MATCH($T$1,[4]enemy_skill_sets!$1:$1,0)+2),MATCH(J$1,[4]enemy_skill_sets!$1:$1,0)-MATCH($T$1,[4]enemy_skill_sets!$1:$1,0)+2,FALSE)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3" s="5">
        <f ca="1">VLOOKUP($I133,OFFSET([2]enemies!$A$1,0,0,COUNTA([2]enemies!$A:$A),MATCH(T$1,[2]enemies!$2:$2,0)-MATCH($I$1,[2]enemies!$2:$2,0)+1),MATCH(T$1,[2]enemies!$2:$2,0)-MATCH($I$1,[2]enemies!$2:$2,0)+1,FALSE)</f>
        <v>0</v>
      </c>
      <c r="U133" s="7">
        <v>0</v>
      </c>
      <c r="V133" s="7">
        <v>100</v>
      </c>
      <c r="W133" s="7">
        <v>0</v>
      </c>
      <c r="X133" s="26">
        <f ca="1">VLOOKUP($I133,OFFSET([2]enemies!$A$1,0,0,COUNTA([2]enemies!$A:$A),MATCH(X$1,[2]enemies!$2:$2,0)-MATCH($I$1,[2]enemies!$2:$2,0)+1),MATCH(X$1,[2]enemies!$2:$2,0)-MATCH($I$1,[2]enemies!$2:$2,0)+1,FALSE)</f>
        <v>1</v>
      </c>
      <c r="Y133" s="31">
        <v>105</v>
      </c>
      <c r="Z133" s="5" t="str">
        <f ca="1">IFERROR(VLOOKUP($Y133,OFFSET([3]characters!$A$1,0,0,COUNTA([3]characters!$A:$A),MATCH(Z$1,[3]characters!$2:$2,0)-MATCH("character_id",[3]characters!$2:$2,0)+1),MATCH(Z$1,[3]characters!$2:$2,0)-MATCH("character_id",[3]characters!$2:$2,0)+1,FALSE),"")</f>
        <v>グリーンチェシャ</v>
      </c>
      <c r="AA133" s="5">
        <f ca="1">IFERROR(VLOOKUP($Y133,OFFSET([3]characters!$A$1,0,0,COUNTA([3]characters!$A:$A),MATCH(AA$1,[3]characters!$2:$2,0)-MATCH("character_id",[3]characters!$2:$2,0)+1),MATCH(AA$1,[3]characters!$2:$2,0)-MATCH("character_id",[3]characters!$2:$2,0)+1,FALSE),"")</f>
        <v>2</v>
      </c>
      <c r="AB133" s="5" t="str">
        <f ca="1">IFERROR(VLOOKUP($Y133,OFFSET([3]characters!$A$1,0,0,COUNTA([3]characters!$A:$A),MATCH(AB$1,[3]characters!$2:$2,0)-MATCH("character_id",[3]characters!$2:$2,0)+1),MATCH(AB$1,[3]characters!$2:$2,0)-MATCH("character_id",[3]characters!$2:$2,0)+1,FALSE),"")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33" s="8">
        <v>1</v>
      </c>
      <c r="AD133" s="34">
        <f t="shared" ref="AD133:AD175" ca="1" si="91">AA133</f>
        <v>2</v>
      </c>
      <c r="AE133" s="9">
        <v>50</v>
      </c>
      <c r="AF133" s="8">
        <v>0</v>
      </c>
      <c r="AG133" s="8">
        <v>0</v>
      </c>
      <c r="AH133" s="8">
        <v>0</v>
      </c>
      <c r="AI133" s="8">
        <v>0</v>
      </c>
      <c r="AJ133" s="8">
        <v>1</v>
      </c>
    </row>
    <row r="134" spans="1:36" ht="21" customHeight="1">
      <c r="A134" s="21" t="str">
        <f t="shared" ca="1" si="88"/>
        <v>11104_1-3/106&lt;lv3&gt;s2</v>
      </c>
      <c r="B134" s="8">
        <v>11104</v>
      </c>
      <c r="C134" s="52">
        <v>1</v>
      </c>
      <c r="D134" s="2" t="str">
        <f t="shared" si="89"/>
        <v>11104_1</v>
      </c>
      <c r="E134" s="5" t="str">
        <f ca="1">VLOOKUP($B134,OFFSET([1]quests!$A$1,0,0,COUNTA([1]quests!$A:$A),MATCH(E$1,[1]quests!$1:$1,0)-MATCH($B$1,[1]quests!$1:$1,0)+1),MATCH(E$1,[1]quests!$1:$1,0)-MATCH($B$1,[1]quests!$1:$1,0)+1,FALSE)</f>
        <v>【キャンペーン限定】 緑の素材</v>
      </c>
      <c r="F134" s="5" t="str">
        <f ca="1">VLOOKUP($D134,OFFSET([1]stages!$A$1,0,0,COUNTA([1]stages!$A:$A),MATCH(F$1,[1]stages!$2:$2,0)-MATCH($D$1,[1]stages!$2:$2,0)+1),MATCH(F$1,[1]stages!$2:$2,0)-MATCH($D$1,[1]stages!$2:$2,0)+1,FALSE)</f>
        <v>樹のチェシャ猫 【初級】</v>
      </c>
      <c r="G134" s="32">
        <v>3</v>
      </c>
      <c r="H134" s="20" t="str">
        <f t="shared" si="90"/>
        <v>11104_1-3</v>
      </c>
      <c r="I134" s="31">
        <v>106</v>
      </c>
      <c r="J134" s="26" t="str">
        <f ca="1">VLOOKUP($I134,OFFSET([2]enemies!$A$1,0,0,COUNTA([2]enemies!$A:$A),MATCH(J$1,[2]enemies!$2:$2,0)-MATCH($I$1,[2]enemies!$2:$2,0)+1),MATCH(J$1,[2]enemies!$2:$2,0)-MATCH($I$1,[2]enemies!$2:$2,0)+1,FALSE)</f>
        <v>グリーンラビット</v>
      </c>
      <c r="K134" s="29" t="str">
        <f ca="1">VLOOKUP($I134,OFFSET([2]enemies!$A$1,0,0,COUNTA([2]enemies!$A:$A),MATCH(K$1,[2]enemies!$2:$2,0)-MATCH($I$1,[2]enemies!$2:$2,0)+1),MATCH(K$1,[2]enemies!$2:$2,0)-MATCH($I$1,[2]enemies!$2:$2,0)+1,FALSE)</f>
        <v>green</v>
      </c>
      <c r="L134" s="29" t="str">
        <f ca="1">VLOOKUP($I134,OFFSET([3]characters!$A$1,0,0,COUNTA([3]characters!$A:$A),MATCH(L$1,[3]characters!$2:$2,0)-MATCH($I$1,[3]characters!$2:$2,0)+1),MATCH(L$1,[3]characters!$2:$2,0)-MATCH($I$1,[3]characters!$2:$2,0)+1,FALSE)</f>
        <v>Material</v>
      </c>
      <c r="M134" s="28" t="str">
        <f ca="1">VLOOKUP($I134,OFFSET([3]characters!$A$1,0,0,COUNTA([3]characters!$A:$A),MATCH(M$1,[3]characters!$2:$2,0)-MATCH($I$1,[3]characters!$2:$2,0)+2),MATCH(M$1,[3]characters!$2:$2,0)-MATCH($I$1,[3]characters!$2:$2,0)+2,FALSE)</f>
        <v>Unknown</v>
      </c>
      <c r="N134" s="5">
        <f ca="1">VLOOKUP($I134,OFFSET([2]enemies!$A$1,0,0,COUNTA([2]enemies!$A:$A),MATCH(N$1,[2]enemies!$2:$2,0)-MATCH($I$1,[2]enemies!$2:$2,0)+1),MATCH(N$1,[2]enemies!$2:$2,0)-MATCH($I$1,[2]enemies!$2:$2,0)+1,FALSE)</f>
        <v>15</v>
      </c>
      <c r="O134" s="6">
        <v>3</v>
      </c>
      <c r="P134" s="48">
        <v>1.8</v>
      </c>
      <c r="Q134" s="46">
        <v>1</v>
      </c>
      <c r="R134" s="6">
        <v>0</v>
      </c>
      <c r="S134" s="5" t="str">
        <f ca="1">VLOOKUP($T134,OFFSET([4]enemy_skill_sets!$B$1,0,0,COUNTA([4]enemy_skill_sets!$B:$B),MATCH(J$1,[4]enemy_skill_sets!$1:$1,0)-MATCH($T$1,[4]enemy_skill_sets!$1:$1,0)+2),MATCH(J$1,[4]enemy_skill_sets!$1:$1,0)-MATCH($T$1,[4]enemy_skill_sets!$1:$1,0)+2,FALSE)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4" s="5">
        <f ca="1">VLOOKUP($I134,OFFSET([2]enemies!$A$1,0,0,COUNTA([2]enemies!$A:$A),MATCH(T$1,[2]enemies!$2:$2,0)-MATCH($I$1,[2]enemies!$2:$2,0)+1),MATCH(T$1,[2]enemies!$2:$2,0)-MATCH($I$1,[2]enemies!$2:$2,0)+1,FALSE)</f>
        <v>0</v>
      </c>
      <c r="U134" s="7">
        <v>0</v>
      </c>
      <c r="V134" s="7">
        <v>40</v>
      </c>
      <c r="W134" s="7">
        <v>0</v>
      </c>
      <c r="X134" s="26">
        <f ca="1">VLOOKUP($I134,OFFSET([2]enemies!$A$1,0,0,COUNTA([2]enemies!$A:$A),MATCH(X$1,[2]enemies!$2:$2,0)-MATCH($I$1,[2]enemies!$2:$2,0)+1),MATCH(X$1,[2]enemies!$2:$2,0)-MATCH($I$1,[2]enemies!$2:$2,0)+1,FALSE)</f>
        <v>2</v>
      </c>
      <c r="Y134" s="31">
        <v>106</v>
      </c>
      <c r="Z134" s="5" t="str">
        <f ca="1">IFERROR(VLOOKUP($Y134,OFFSET([3]characters!$A$1,0,0,COUNTA([3]characters!$A:$A),MATCH(Z$1,[3]characters!$2:$2,0)-MATCH("character_id",[3]characters!$2:$2,0)+1),MATCH(Z$1,[3]characters!$2:$2,0)-MATCH("character_id",[3]characters!$2:$2,0)+1,FALSE),"")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134" s="5">
        <f ca="1">IFERROR(VLOOKUP($Y134,OFFSET([3]characters!$A$1,0,0,COUNTA([3]characters!$A:$A),MATCH(AA$1,[3]characters!$2:$2,0)-MATCH("character_id",[3]characters!$2:$2,0)+1),MATCH(AA$1,[3]characters!$2:$2,0)-MATCH("character_id",[3]characters!$2:$2,0)+1,FALSE),"")</f>
        <v>3</v>
      </c>
      <c r="AB134" s="5" t="str">
        <f ca="1">IFERROR(VLOOKUP($Y134,OFFSET([3]characters!$A$1,0,0,COUNTA([3]characters!$A:$A),MATCH(AB$1,[3]characters!$2:$2,0)-MATCH("character_id",[3]characters!$2:$2,0)+1),MATCH(AB$1,[3]characters!$2:$2,0)-MATCH("character_id",[3]characters!$2:$2,0)+1,FALSE),"")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34" s="8">
        <v>1</v>
      </c>
      <c r="AD134" s="34">
        <f t="shared" ca="1" si="91"/>
        <v>3</v>
      </c>
      <c r="AE134" s="9">
        <v>10</v>
      </c>
      <c r="AF134" s="8">
        <v>0</v>
      </c>
      <c r="AG134" s="8">
        <v>0</v>
      </c>
      <c r="AH134" s="8">
        <v>0</v>
      </c>
      <c r="AI134" s="8">
        <v>0</v>
      </c>
      <c r="AJ134" s="8">
        <v>1</v>
      </c>
    </row>
    <row r="135" spans="1:36" ht="21" customHeight="1">
      <c r="A135" s="21" t="str">
        <f t="shared" ca="1" si="88"/>
        <v>11104_1-4/105&lt;lv3&gt;s1</v>
      </c>
      <c r="B135" s="8">
        <v>11104</v>
      </c>
      <c r="C135" s="52">
        <v>1</v>
      </c>
      <c r="D135" s="2" t="str">
        <f t="shared" si="89"/>
        <v>11104_1</v>
      </c>
      <c r="E135" s="5" t="str">
        <f ca="1">VLOOKUP($B135,OFFSET([1]quests!$A$1,0,0,COUNTA([1]quests!$A:$A),MATCH(E$1,[1]quests!$1:$1,0)-MATCH($B$1,[1]quests!$1:$1,0)+1),MATCH(E$1,[1]quests!$1:$1,0)-MATCH($B$1,[1]quests!$1:$1,0)+1,FALSE)</f>
        <v>【キャンペーン限定】 緑の素材</v>
      </c>
      <c r="F135" s="5" t="str">
        <f ca="1">VLOOKUP($D135,OFFSET([1]stages!$A$1,0,0,COUNTA([1]stages!$A:$A),MATCH(F$1,[1]stages!$2:$2,0)-MATCH($D$1,[1]stages!$2:$2,0)+1),MATCH(F$1,[1]stages!$2:$2,0)-MATCH($D$1,[1]stages!$2:$2,0)+1,FALSE)</f>
        <v>樹のチェシャ猫 【初級】</v>
      </c>
      <c r="G135" s="32">
        <v>4</v>
      </c>
      <c r="H135" s="20" t="str">
        <f t="shared" si="90"/>
        <v>11104_1-4</v>
      </c>
      <c r="I135" s="31">
        <v>105</v>
      </c>
      <c r="J135" s="26" t="str">
        <f ca="1">VLOOKUP($I135,OFFSET([2]enemies!$A$1,0,0,COUNTA([2]enemies!$A:$A),MATCH(J$1,[2]enemies!$2:$2,0)-MATCH($I$1,[2]enemies!$2:$2,0)+1),MATCH(J$1,[2]enemies!$2:$2,0)-MATCH($I$1,[2]enemies!$2:$2,0)+1,FALSE)</f>
        <v>グリーンチェシャ</v>
      </c>
      <c r="K135" s="29" t="str">
        <f ca="1">VLOOKUP($I135,OFFSET([2]enemies!$A$1,0,0,COUNTA([2]enemies!$A:$A),MATCH(K$1,[2]enemies!$2:$2,0)-MATCH($I$1,[2]enemies!$2:$2,0)+1),MATCH(K$1,[2]enemies!$2:$2,0)-MATCH($I$1,[2]enemies!$2:$2,0)+1,FALSE)</f>
        <v>green</v>
      </c>
      <c r="L135" s="29" t="str">
        <f ca="1">VLOOKUP($I135,OFFSET([3]characters!$A$1,0,0,COUNTA([3]characters!$A:$A),MATCH(L$1,[3]characters!$2:$2,0)-MATCH($I$1,[3]characters!$2:$2,0)+1),MATCH(L$1,[3]characters!$2:$2,0)-MATCH($I$1,[3]characters!$2:$2,0)+1,FALSE)</f>
        <v>Material</v>
      </c>
      <c r="M135" s="28" t="str">
        <f ca="1">VLOOKUP($I135,OFFSET([3]characters!$A$1,0,0,COUNTA([3]characters!$A:$A),MATCH(M$1,[3]characters!$2:$2,0)-MATCH($I$1,[3]characters!$2:$2,0)+2),MATCH(M$1,[3]characters!$2:$2,0)-MATCH($I$1,[3]characters!$2:$2,0)+2,FALSE)</f>
        <v>Unknown</v>
      </c>
      <c r="N135" s="5">
        <f ca="1">VLOOKUP($I135,OFFSET([2]enemies!$A$1,0,0,COUNTA([2]enemies!$A:$A),MATCH(N$1,[2]enemies!$2:$2,0)-MATCH($I$1,[2]enemies!$2:$2,0)+1),MATCH(N$1,[2]enemies!$2:$2,0)-MATCH($I$1,[2]enemies!$2:$2,0)+1,FALSE)</f>
        <v>15</v>
      </c>
      <c r="O135" s="6">
        <v>3</v>
      </c>
      <c r="P135" s="46">
        <v>1</v>
      </c>
      <c r="Q135" s="46">
        <v>1</v>
      </c>
      <c r="R135" s="6">
        <v>0</v>
      </c>
      <c r="S135" s="5" t="str">
        <f ca="1">VLOOKUP($T135,OFFSET([4]enemy_skill_sets!$B$1,0,0,COUNTA([4]enemy_skill_sets!$B:$B),MATCH(J$1,[4]enemy_skill_sets!$1:$1,0)-MATCH($T$1,[4]enemy_skill_sets!$1:$1,0)+2),MATCH(J$1,[4]enemy_skill_sets!$1:$1,0)-MATCH($T$1,[4]enemy_skill_sets!$1:$1,0)+2,FALSE)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5" s="5">
        <f ca="1">VLOOKUP($I135,OFFSET([2]enemies!$A$1,0,0,COUNTA([2]enemies!$A:$A),MATCH(T$1,[2]enemies!$2:$2,0)-MATCH($I$1,[2]enemies!$2:$2,0)+1),MATCH(T$1,[2]enemies!$2:$2,0)-MATCH($I$1,[2]enemies!$2:$2,0)+1,FALSE)</f>
        <v>0</v>
      </c>
      <c r="U135" s="7">
        <v>0</v>
      </c>
      <c r="V135" s="7">
        <v>100</v>
      </c>
      <c r="W135" s="7">
        <v>0</v>
      </c>
      <c r="X135" s="26">
        <f ca="1">VLOOKUP($I135,OFFSET([2]enemies!$A$1,0,0,COUNTA([2]enemies!$A:$A),MATCH(X$1,[2]enemies!$2:$2,0)-MATCH($I$1,[2]enemies!$2:$2,0)+1),MATCH(X$1,[2]enemies!$2:$2,0)-MATCH($I$1,[2]enemies!$2:$2,0)+1,FALSE)</f>
        <v>1</v>
      </c>
      <c r="Y135" s="31">
        <v>105</v>
      </c>
      <c r="Z135" s="5" t="str">
        <f ca="1">IFERROR(VLOOKUP($Y135,OFFSET([3]characters!$A$1,0,0,COUNTA([3]characters!$A:$A),MATCH(Z$1,[3]characters!$2:$2,0)-MATCH("character_id",[3]characters!$2:$2,0)+1),MATCH(Z$1,[3]characters!$2:$2,0)-MATCH("character_id",[3]characters!$2:$2,0)+1,FALSE),"")</f>
        <v>グリーンチェシャ</v>
      </c>
      <c r="AA135" s="5">
        <f ca="1">IFERROR(VLOOKUP($Y135,OFFSET([3]characters!$A$1,0,0,COUNTA([3]characters!$A:$A),MATCH(AA$1,[3]characters!$2:$2,0)-MATCH("character_id",[3]characters!$2:$2,0)+1),MATCH(AA$1,[3]characters!$2:$2,0)-MATCH("character_id",[3]characters!$2:$2,0)+1,FALSE),"")</f>
        <v>2</v>
      </c>
      <c r="AB135" s="5" t="str">
        <f ca="1">IFERROR(VLOOKUP($Y135,OFFSET([3]characters!$A$1,0,0,COUNTA([3]characters!$A:$A),MATCH(AB$1,[3]characters!$2:$2,0)-MATCH("character_id",[3]characters!$2:$2,0)+1),MATCH(AB$1,[3]characters!$2:$2,0)-MATCH("character_id",[3]characters!$2:$2,0)+1,FALSE),"")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35" s="8">
        <v>1</v>
      </c>
      <c r="AD135" s="34">
        <f t="shared" ca="1" si="91"/>
        <v>2</v>
      </c>
      <c r="AE135" s="9">
        <v>50</v>
      </c>
      <c r="AF135" s="8">
        <v>0</v>
      </c>
      <c r="AG135" s="8">
        <v>0</v>
      </c>
      <c r="AH135" s="8">
        <v>0</v>
      </c>
      <c r="AI135" s="8">
        <v>0</v>
      </c>
      <c r="AJ135" s="8">
        <v>1</v>
      </c>
    </row>
    <row r="136" spans="1:36" ht="21" customHeight="1">
      <c r="A136" s="21" t="str">
        <f t="shared" ca="1" si="88"/>
        <v>11104_1-4/106&lt;lv3&gt;s2</v>
      </c>
      <c r="B136" s="8">
        <v>11104</v>
      </c>
      <c r="C136" s="52">
        <v>1</v>
      </c>
      <c r="D136" s="2" t="str">
        <f t="shared" si="89"/>
        <v>11104_1</v>
      </c>
      <c r="E136" s="5" t="str">
        <f ca="1">VLOOKUP($B136,OFFSET([1]quests!$A$1,0,0,COUNTA([1]quests!$A:$A),MATCH(E$1,[1]quests!$1:$1,0)-MATCH($B$1,[1]quests!$1:$1,0)+1),MATCH(E$1,[1]quests!$1:$1,0)-MATCH($B$1,[1]quests!$1:$1,0)+1,FALSE)</f>
        <v>【キャンペーン限定】 緑の素材</v>
      </c>
      <c r="F136" s="5" t="str">
        <f ca="1">VLOOKUP($D136,OFFSET([1]stages!$A$1,0,0,COUNTA([1]stages!$A:$A),MATCH(F$1,[1]stages!$2:$2,0)-MATCH($D$1,[1]stages!$2:$2,0)+1),MATCH(F$1,[1]stages!$2:$2,0)-MATCH($D$1,[1]stages!$2:$2,0)+1,FALSE)</f>
        <v>樹のチェシャ猫 【初級】</v>
      </c>
      <c r="G136" s="32">
        <v>4</v>
      </c>
      <c r="H136" s="20" t="str">
        <f t="shared" si="90"/>
        <v>11104_1-4</v>
      </c>
      <c r="I136" s="31">
        <v>106</v>
      </c>
      <c r="J136" s="26" t="str">
        <f ca="1">VLOOKUP($I136,OFFSET([2]enemies!$A$1,0,0,COUNTA([2]enemies!$A:$A),MATCH(J$1,[2]enemies!$2:$2,0)-MATCH($I$1,[2]enemies!$2:$2,0)+1),MATCH(J$1,[2]enemies!$2:$2,0)-MATCH($I$1,[2]enemies!$2:$2,0)+1,FALSE)</f>
        <v>グリーンラビット</v>
      </c>
      <c r="K136" s="29" t="str">
        <f ca="1">VLOOKUP($I136,OFFSET([2]enemies!$A$1,0,0,COUNTA([2]enemies!$A:$A),MATCH(K$1,[2]enemies!$2:$2,0)-MATCH($I$1,[2]enemies!$2:$2,0)+1),MATCH(K$1,[2]enemies!$2:$2,0)-MATCH($I$1,[2]enemies!$2:$2,0)+1,FALSE)</f>
        <v>green</v>
      </c>
      <c r="L136" s="29" t="str">
        <f ca="1">VLOOKUP($I136,OFFSET([3]characters!$A$1,0,0,COUNTA([3]characters!$A:$A),MATCH(L$1,[3]characters!$2:$2,0)-MATCH($I$1,[3]characters!$2:$2,0)+1),MATCH(L$1,[3]characters!$2:$2,0)-MATCH($I$1,[3]characters!$2:$2,0)+1,FALSE)</f>
        <v>Material</v>
      </c>
      <c r="M136" s="28" t="str">
        <f ca="1">VLOOKUP($I136,OFFSET([3]characters!$A$1,0,0,COUNTA([3]characters!$A:$A),MATCH(M$1,[3]characters!$2:$2,0)-MATCH($I$1,[3]characters!$2:$2,0)+2),MATCH(M$1,[3]characters!$2:$2,0)-MATCH($I$1,[3]characters!$2:$2,0)+2,FALSE)</f>
        <v>Unknown</v>
      </c>
      <c r="N136" s="5">
        <f ca="1">VLOOKUP($I136,OFFSET([2]enemies!$A$1,0,0,COUNTA([2]enemies!$A:$A),MATCH(N$1,[2]enemies!$2:$2,0)-MATCH($I$1,[2]enemies!$2:$2,0)+1),MATCH(N$1,[2]enemies!$2:$2,0)-MATCH($I$1,[2]enemies!$2:$2,0)+1,FALSE)</f>
        <v>15</v>
      </c>
      <c r="O136" s="6">
        <v>3</v>
      </c>
      <c r="P136" s="48">
        <v>1.8</v>
      </c>
      <c r="Q136" s="46">
        <v>1</v>
      </c>
      <c r="R136" s="6">
        <v>0</v>
      </c>
      <c r="S136" s="5" t="str">
        <f ca="1">VLOOKUP($T136,OFFSET([4]enemy_skill_sets!$B$1,0,0,COUNTA([4]enemy_skill_sets!$B:$B),MATCH(J$1,[4]enemy_skill_sets!$1:$1,0)-MATCH($T$1,[4]enemy_skill_sets!$1:$1,0)+2),MATCH(J$1,[4]enemy_skill_sets!$1:$1,0)-MATCH($T$1,[4]enemy_skill_sets!$1:$1,0)+2,FALSE)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6" s="5">
        <f ca="1">VLOOKUP($I136,OFFSET([2]enemies!$A$1,0,0,COUNTA([2]enemies!$A:$A),MATCH(T$1,[2]enemies!$2:$2,0)-MATCH($I$1,[2]enemies!$2:$2,0)+1),MATCH(T$1,[2]enemies!$2:$2,0)-MATCH($I$1,[2]enemies!$2:$2,0)+1,FALSE)</f>
        <v>0</v>
      </c>
      <c r="U136" s="7">
        <v>0</v>
      </c>
      <c r="V136" s="7">
        <v>40</v>
      </c>
      <c r="W136" s="7">
        <v>0</v>
      </c>
      <c r="X136" s="26">
        <f ca="1">VLOOKUP($I136,OFFSET([2]enemies!$A$1,0,0,COUNTA([2]enemies!$A:$A),MATCH(X$1,[2]enemies!$2:$2,0)-MATCH($I$1,[2]enemies!$2:$2,0)+1),MATCH(X$1,[2]enemies!$2:$2,0)-MATCH($I$1,[2]enemies!$2:$2,0)+1,FALSE)</f>
        <v>2</v>
      </c>
      <c r="Y136" s="31">
        <v>106</v>
      </c>
      <c r="Z136" s="5" t="str">
        <f ca="1">IFERROR(VLOOKUP($Y136,OFFSET([3]characters!$A$1,0,0,COUNTA([3]characters!$A:$A),MATCH(Z$1,[3]characters!$2:$2,0)-MATCH("character_id",[3]characters!$2:$2,0)+1),MATCH(Z$1,[3]characters!$2:$2,0)-MATCH("character_id",[3]characters!$2:$2,0)+1,FALSE),"")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136" s="5">
        <f ca="1">IFERROR(VLOOKUP($Y136,OFFSET([3]characters!$A$1,0,0,COUNTA([3]characters!$A:$A),MATCH(AA$1,[3]characters!$2:$2,0)-MATCH("character_id",[3]characters!$2:$2,0)+1),MATCH(AA$1,[3]characters!$2:$2,0)-MATCH("character_id",[3]characters!$2:$2,0)+1,FALSE),"")</f>
        <v>3</v>
      </c>
      <c r="AB136" s="5" t="str">
        <f ca="1">IFERROR(VLOOKUP($Y136,OFFSET([3]characters!$A$1,0,0,COUNTA([3]characters!$A:$A),MATCH(AB$1,[3]characters!$2:$2,0)-MATCH("character_id",[3]characters!$2:$2,0)+1),MATCH(AB$1,[3]characters!$2:$2,0)-MATCH("character_id",[3]characters!$2:$2,0)+1,FALSE),"")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36" s="8">
        <v>1</v>
      </c>
      <c r="AD136" s="34">
        <f t="shared" ca="1" si="91"/>
        <v>3</v>
      </c>
      <c r="AE136" s="9">
        <v>20</v>
      </c>
      <c r="AF136" s="8">
        <v>0</v>
      </c>
      <c r="AG136" s="8">
        <v>0</v>
      </c>
      <c r="AH136" s="8">
        <v>0</v>
      </c>
      <c r="AI136" s="8">
        <v>0</v>
      </c>
      <c r="AJ136" s="8">
        <v>1</v>
      </c>
    </row>
    <row r="137" spans="1:36" ht="21" customHeight="1">
      <c r="A137" s="21" t="str">
        <f t="shared" ca="1" si="88"/>
        <v>11104_1-5/105&lt;lv3&gt;s1</v>
      </c>
      <c r="B137" s="8">
        <v>11104</v>
      </c>
      <c r="C137" s="52">
        <v>1</v>
      </c>
      <c r="D137" s="2" t="str">
        <f t="shared" si="89"/>
        <v>11104_1</v>
      </c>
      <c r="E137" s="5" t="str">
        <f ca="1">VLOOKUP($B137,OFFSET([1]quests!$A$1,0,0,COUNTA([1]quests!$A:$A),MATCH(E$1,[1]quests!$1:$1,0)-MATCH($B$1,[1]quests!$1:$1,0)+1),MATCH(E$1,[1]quests!$1:$1,0)-MATCH($B$1,[1]quests!$1:$1,0)+1,FALSE)</f>
        <v>【キャンペーン限定】 緑の素材</v>
      </c>
      <c r="F137" s="5" t="str">
        <f ca="1">VLOOKUP($D137,OFFSET([1]stages!$A$1,0,0,COUNTA([1]stages!$A:$A),MATCH(F$1,[1]stages!$2:$2,0)-MATCH($D$1,[1]stages!$2:$2,0)+1),MATCH(F$1,[1]stages!$2:$2,0)-MATCH($D$1,[1]stages!$2:$2,0)+1,FALSE)</f>
        <v>樹のチェシャ猫 【初級】</v>
      </c>
      <c r="G137" s="32">
        <v>5</v>
      </c>
      <c r="H137" s="20" t="str">
        <f t="shared" si="90"/>
        <v>11104_1-5</v>
      </c>
      <c r="I137" s="31">
        <v>105</v>
      </c>
      <c r="J137" s="26" t="str">
        <f ca="1">VLOOKUP($I137,OFFSET([2]enemies!$A$1,0,0,COUNTA([2]enemies!$A:$A),MATCH(J$1,[2]enemies!$2:$2,0)-MATCH($I$1,[2]enemies!$2:$2,0)+1),MATCH(J$1,[2]enemies!$2:$2,0)-MATCH($I$1,[2]enemies!$2:$2,0)+1,FALSE)</f>
        <v>グリーンチェシャ</v>
      </c>
      <c r="K137" s="29" t="str">
        <f ca="1">VLOOKUP($I137,OFFSET([2]enemies!$A$1,0,0,COUNTA([2]enemies!$A:$A),MATCH(K$1,[2]enemies!$2:$2,0)-MATCH($I$1,[2]enemies!$2:$2,0)+1),MATCH(K$1,[2]enemies!$2:$2,0)-MATCH($I$1,[2]enemies!$2:$2,0)+1,FALSE)</f>
        <v>green</v>
      </c>
      <c r="L137" s="29" t="str">
        <f ca="1">VLOOKUP($I137,OFFSET([3]characters!$A$1,0,0,COUNTA([3]characters!$A:$A),MATCH(L$1,[3]characters!$2:$2,0)-MATCH($I$1,[3]characters!$2:$2,0)+1),MATCH(L$1,[3]characters!$2:$2,0)-MATCH($I$1,[3]characters!$2:$2,0)+1,FALSE)</f>
        <v>Material</v>
      </c>
      <c r="M137" s="28" t="str">
        <f ca="1">VLOOKUP($I137,OFFSET([3]characters!$A$1,0,0,COUNTA([3]characters!$A:$A),MATCH(M$1,[3]characters!$2:$2,0)-MATCH($I$1,[3]characters!$2:$2,0)+2),MATCH(M$1,[3]characters!$2:$2,0)-MATCH($I$1,[3]characters!$2:$2,0)+2,FALSE)</f>
        <v>Unknown</v>
      </c>
      <c r="N137" s="5">
        <f ca="1">VLOOKUP($I137,OFFSET([2]enemies!$A$1,0,0,COUNTA([2]enemies!$A:$A),MATCH(N$1,[2]enemies!$2:$2,0)-MATCH($I$1,[2]enemies!$2:$2,0)+1),MATCH(N$1,[2]enemies!$2:$2,0)-MATCH($I$1,[2]enemies!$2:$2,0)+1,FALSE)</f>
        <v>15</v>
      </c>
      <c r="O137" s="6">
        <v>3</v>
      </c>
      <c r="P137" s="46">
        <v>1</v>
      </c>
      <c r="Q137" s="46">
        <v>1</v>
      </c>
      <c r="R137" s="6">
        <v>0</v>
      </c>
      <c r="S137" s="5" t="str">
        <f ca="1">VLOOKUP($T137,OFFSET([4]enemy_skill_sets!$B$1,0,0,COUNTA([4]enemy_skill_sets!$B:$B),MATCH(J$1,[4]enemy_skill_sets!$1:$1,0)-MATCH($T$1,[4]enemy_skill_sets!$1:$1,0)+2),MATCH(J$1,[4]enemy_skill_sets!$1:$1,0)-MATCH($T$1,[4]enemy_skill_sets!$1:$1,0)+2,FALSE)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7" s="5">
        <f ca="1">VLOOKUP($I137,OFFSET([2]enemies!$A$1,0,0,COUNTA([2]enemies!$A:$A),MATCH(T$1,[2]enemies!$2:$2,0)-MATCH($I$1,[2]enemies!$2:$2,0)+1),MATCH(T$1,[2]enemies!$2:$2,0)-MATCH($I$1,[2]enemies!$2:$2,0)+1,FALSE)</f>
        <v>0</v>
      </c>
      <c r="U137" s="7">
        <v>2</v>
      </c>
      <c r="V137" s="7">
        <v>100</v>
      </c>
      <c r="W137" s="7">
        <v>0</v>
      </c>
      <c r="X137" s="26">
        <f ca="1">VLOOKUP($I137,OFFSET([2]enemies!$A$1,0,0,COUNTA([2]enemies!$A:$A),MATCH(X$1,[2]enemies!$2:$2,0)-MATCH($I$1,[2]enemies!$2:$2,0)+1),MATCH(X$1,[2]enemies!$2:$2,0)-MATCH($I$1,[2]enemies!$2:$2,0)+1,FALSE)</f>
        <v>1</v>
      </c>
      <c r="Y137" s="31">
        <v>105</v>
      </c>
      <c r="Z137" s="5" t="str">
        <f ca="1">IFERROR(VLOOKUP($Y137,OFFSET([3]characters!$A$1,0,0,COUNTA([3]characters!$A:$A),MATCH(Z$1,[3]characters!$2:$2,0)-MATCH("character_id",[3]characters!$2:$2,0)+1),MATCH(Z$1,[3]characters!$2:$2,0)-MATCH("character_id",[3]characters!$2:$2,0)+1,FALSE),"")</f>
        <v>グリーンチェシャ</v>
      </c>
      <c r="AA137" s="5">
        <f ca="1">IFERROR(VLOOKUP($Y137,OFFSET([3]characters!$A$1,0,0,COUNTA([3]characters!$A:$A),MATCH(AA$1,[3]characters!$2:$2,0)-MATCH("character_id",[3]characters!$2:$2,0)+1),MATCH(AA$1,[3]characters!$2:$2,0)-MATCH("character_id",[3]characters!$2:$2,0)+1,FALSE),"")</f>
        <v>2</v>
      </c>
      <c r="AB137" s="5" t="str">
        <f ca="1">IFERROR(VLOOKUP($Y137,OFFSET([3]characters!$A$1,0,0,COUNTA([3]characters!$A:$A),MATCH(AB$1,[3]characters!$2:$2,0)-MATCH("character_id",[3]characters!$2:$2,0)+1),MATCH(AB$1,[3]characters!$2:$2,0)-MATCH("character_id",[3]characters!$2:$2,0)+1,FALSE),"")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37" s="8">
        <v>1</v>
      </c>
      <c r="AD137" s="34">
        <f t="shared" ca="1" si="91"/>
        <v>2</v>
      </c>
      <c r="AE137" s="9">
        <v>50</v>
      </c>
      <c r="AF137" s="8">
        <v>0</v>
      </c>
      <c r="AG137" s="8">
        <v>0</v>
      </c>
      <c r="AH137" s="8">
        <v>0</v>
      </c>
      <c r="AI137" s="8">
        <v>0</v>
      </c>
      <c r="AJ137" s="8">
        <v>1</v>
      </c>
    </row>
    <row r="138" spans="1:36" ht="21" customHeight="1">
      <c r="A138" s="21" t="str">
        <f t="shared" ca="1" si="88"/>
        <v>11104_1-5/106&lt;lv5&gt;s2</v>
      </c>
      <c r="B138" s="8">
        <v>11104</v>
      </c>
      <c r="C138" s="52">
        <v>1</v>
      </c>
      <c r="D138" s="2" t="str">
        <f t="shared" si="89"/>
        <v>11104_1</v>
      </c>
      <c r="E138" s="5" t="str">
        <f ca="1">VLOOKUP($B138,OFFSET([1]quests!$A$1,0,0,COUNTA([1]quests!$A:$A),MATCH(E$1,[1]quests!$1:$1,0)-MATCH($B$1,[1]quests!$1:$1,0)+1),MATCH(E$1,[1]quests!$1:$1,0)-MATCH($B$1,[1]quests!$1:$1,0)+1,FALSE)</f>
        <v>【キャンペーン限定】 緑の素材</v>
      </c>
      <c r="F138" s="5" t="str">
        <f ca="1">VLOOKUP($D138,OFFSET([1]stages!$A$1,0,0,COUNTA([1]stages!$A:$A),MATCH(F$1,[1]stages!$2:$2,0)-MATCH($D$1,[1]stages!$2:$2,0)+1),MATCH(F$1,[1]stages!$2:$2,0)-MATCH($D$1,[1]stages!$2:$2,0)+1,FALSE)</f>
        <v>樹のチェシャ猫 【初級】</v>
      </c>
      <c r="G138" s="32">
        <v>5</v>
      </c>
      <c r="H138" s="20" t="str">
        <f t="shared" si="90"/>
        <v>11104_1-5</v>
      </c>
      <c r="I138" s="31">
        <v>106</v>
      </c>
      <c r="J138" s="26" t="str">
        <f ca="1">VLOOKUP($I138,OFFSET([2]enemies!$A$1,0,0,COUNTA([2]enemies!$A:$A),MATCH(J$1,[2]enemies!$2:$2,0)-MATCH($I$1,[2]enemies!$2:$2,0)+1),MATCH(J$1,[2]enemies!$2:$2,0)-MATCH($I$1,[2]enemies!$2:$2,0)+1,FALSE)</f>
        <v>グリーンラビット</v>
      </c>
      <c r="K138" s="29" t="str">
        <f ca="1">VLOOKUP($I138,OFFSET([2]enemies!$A$1,0,0,COUNTA([2]enemies!$A:$A),MATCH(K$1,[2]enemies!$2:$2,0)-MATCH($I$1,[2]enemies!$2:$2,0)+1),MATCH(K$1,[2]enemies!$2:$2,0)-MATCH($I$1,[2]enemies!$2:$2,0)+1,FALSE)</f>
        <v>green</v>
      </c>
      <c r="L138" s="29" t="str">
        <f ca="1">VLOOKUP($I138,OFFSET([3]characters!$A$1,0,0,COUNTA([3]characters!$A:$A),MATCH(L$1,[3]characters!$2:$2,0)-MATCH($I$1,[3]characters!$2:$2,0)+1),MATCH(L$1,[3]characters!$2:$2,0)-MATCH($I$1,[3]characters!$2:$2,0)+1,FALSE)</f>
        <v>Material</v>
      </c>
      <c r="M138" s="28" t="str">
        <f ca="1">VLOOKUP($I138,OFFSET([3]characters!$A$1,0,0,COUNTA([3]characters!$A:$A),MATCH(M$1,[3]characters!$2:$2,0)-MATCH($I$1,[3]characters!$2:$2,0)+2),MATCH(M$1,[3]characters!$2:$2,0)-MATCH($I$1,[3]characters!$2:$2,0)+2,FALSE)</f>
        <v>Unknown</v>
      </c>
      <c r="N138" s="5">
        <f ca="1">VLOOKUP($I138,OFFSET([2]enemies!$A$1,0,0,COUNTA([2]enemies!$A:$A),MATCH(N$1,[2]enemies!$2:$2,0)-MATCH($I$1,[2]enemies!$2:$2,0)+1),MATCH(N$1,[2]enemies!$2:$2,0)-MATCH($I$1,[2]enemies!$2:$2,0)+1,FALSE)</f>
        <v>15</v>
      </c>
      <c r="O138" s="6">
        <v>5</v>
      </c>
      <c r="P138" s="48">
        <v>1.8</v>
      </c>
      <c r="Q138" s="46">
        <v>1</v>
      </c>
      <c r="R138" s="6">
        <v>0</v>
      </c>
      <c r="S138" s="5" t="str">
        <f ca="1">VLOOKUP($T138,OFFSET([4]enemy_skill_sets!$B$1,0,0,COUNTA([4]enemy_skill_sets!$B:$B),MATCH(J$1,[4]enemy_skill_sets!$1:$1,0)-MATCH($T$1,[4]enemy_skill_sets!$1:$1,0)+2),MATCH(J$1,[4]enemy_skill_sets!$1:$1,0)-MATCH($T$1,[4]enemy_skill_sets!$1:$1,0)+2,FALSE)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8" s="5">
        <f ca="1">VLOOKUP($I138,OFFSET([2]enemies!$A$1,0,0,COUNTA([2]enemies!$A:$A),MATCH(T$1,[2]enemies!$2:$2,0)-MATCH($I$1,[2]enemies!$2:$2,0)+1),MATCH(T$1,[2]enemies!$2:$2,0)-MATCH($I$1,[2]enemies!$2:$2,0)+1,FALSE)</f>
        <v>0</v>
      </c>
      <c r="U138" s="7">
        <v>1</v>
      </c>
      <c r="V138" s="7">
        <v>100</v>
      </c>
      <c r="W138" s="7">
        <v>1</v>
      </c>
      <c r="X138" s="26">
        <f ca="1">VLOOKUP($I138,OFFSET([2]enemies!$A$1,0,0,COUNTA([2]enemies!$A:$A),MATCH(X$1,[2]enemies!$2:$2,0)-MATCH($I$1,[2]enemies!$2:$2,0)+1),MATCH(X$1,[2]enemies!$2:$2,0)-MATCH($I$1,[2]enemies!$2:$2,0)+1,FALSE)</f>
        <v>2</v>
      </c>
      <c r="Y138" s="31">
        <v>106</v>
      </c>
      <c r="Z138" s="5" t="str">
        <f ca="1">IFERROR(VLOOKUP($Y138,OFFSET([3]characters!$A$1,0,0,COUNTA([3]characters!$A:$A),MATCH(Z$1,[3]characters!$2:$2,0)-MATCH("character_id",[3]characters!$2:$2,0)+1),MATCH(Z$1,[3]characters!$2:$2,0)-MATCH("character_id",[3]characters!$2:$2,0)+1,FALSE),"")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138" s="5">
        <f ca="1">IFERROR(VLOOKUP($Y138,OFFSET([3]characters!$A$1,0,0,COUNTA([3]characters!$A:$A),MATCH(AA$1,[3]characters!$2:$2,0)-MATCH("character_id",[3]characters!$2:$2,0)+1),MATCH(AA$1,[3]characters!$2:$2,0)-MATCH("character_id",[3]characters!$2:$2,0)+1,FALSE),"")</f>
        <v>3</v>
      </c>
      <c r="AB138" s="5" t="str">
        <f ca="1">IFERROR(VLOOKUP($Y138,OFFSET([3]characters!$A$1,0,0,COUNTA([3]characters!$A:$A),MATCH(AB$1,[3]characters!$2:$2,0)-MATCH("character_id",[3]characters!$2:$2,0)+1),MATCH(AB$1,[3]characters!$2:$2,0)-MATCH("character_id",[3]characters!$2:$2,0)+1,FALSE),"")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38" s="8">
        <v>1</v>
      </c>
      <c r="AD138" s="34">
        <f t="shared" ca="1" si="91"/>
        <v>3</v>
      </c>
      <c r="AE138" s="9">
        <v>10</v>
      </c>
      <c r="AF138" s="8">
        <v>0</v>
      </c>
      <c r="AG138" s="8">
        <v>0</v>
      </c>
      <c r="AH138" s="8">
        <v>0</v>
      </c>
      <c r="AI138" s="8">
        <v>0</v>
      </c>
      <c r="AJ138" s="8">
        <v>1</v>
      </c>
    </row>
    <row r="139" spans="1:36" ht="21" customHeight="1">
      <c r="A139" s="21" t="str">
        <f t="shared" ca="1" si="88"/>
        <v>11104_2-1/106&lt;lv15&gt;s2</v>
      </c>
      <c r="B139" s="8">
        <v>11104</v>
      </c>
      <c r="C139" s="52">
        <v>2</v>
      </c>
      <c r="D139" s="2" t="str">
        <f t="shared" si="89"/>
        <v>11104_2</v>
      </c>
      <c r="E139" s="5" t="str">
        <f ca="1">VLOOKUP($B139,OFFSET([1]quests!$A$1,0,0,COUNTA([1]quests!$A:$A),MATCH(E$1,[1]quests!$1:$1,0)-MATCH($B$1,[1]quests!$1:$1,0)+1),MATCH(E$1,[1]quests!$1:$1,0)-MATCH($B$1,[1]quests!$1:$1,0)+1,FALSE)</f>
        <v>【キャンペーン限定】 緑の素材</v>
      </c>
      <c r="F139" s="5" t="str">
        <f ca="1">VLOOKUP($D139,OFFSET([1]stages!$A$1,0,0,COUNTA([1]stages!$A:$A),MATCH(F$1,[1]stages!$2:$2,0)-MATCH($D$1,[1]stages!$2:$2,0)+1),MATCH(F$1,[1]stages!$2:$2,0)-MATCH($D$1,[1]stages!$2:$2,0)+1,FALSE)</f>
        <v>樹のウサギ 【中級】</v>
      </c>
      <c r="G139" s="32">
        <v>1</v>
      </c>
      <c r="H139" s="20" t="str">
        <f t="shared" si="90"/>
        <v>11104_2-1</v>
      </c>
      <c r="I139" s="31">
        <v>106</v>
      </c>
      <c r="J139" s="26" t="str">
        <f ca="1">VLOOKUP($I139,OFFSET([2]enemies!$A$1,0,0,COUNTA([2]enemies!$A:$A),MATCH(J$1,[2]enemies!$2:$2,0)-MATCH($I$1,[2]enemies!$2:$2,0)+1),MATCH(J$1,[2]enemies!$2:$2,0)-MATCH($I$1,[2]enemies!$2:$2,0)+1,FALSE)</f>
        <v>グリーンラビット</v>
      </c>
      <c r="K139" s="29" t="str">
        <f ca="1">VLOOKUP($I139,OFFSET([2]enemies!$A$1,0,0,COUNTA([2]enemies!$A:$A),MATCH(K$1,[2]enemies!$2:$2,0)-MATCH($I$1,[2]enemies!$2:$2,0)+1),MATCH(K$1,[2]enemies!$2:$2,0)-MATCH($I$1,[2]enemies!$2:$2,0)+1,FALSE)</f>
        <v>green</v>
      </c>
      <c r="L139" s="29" t="str">
        <f ca="1">VLOOKUP($I139,OFFSET([3]characters!$A$1,0,0,COUNTA([3]characters!$A:$A),MATCH(L$1,[3]characters!$2:$2,0)-MATCH($I$1,[3]characters!$2:$2,0)+1),MATCH(L$1,[3]characters!$2:$2,0)-MATCH($I$1,[3]characters!$2:$2,0)+1,FALSE)</f>
        <v>Material</v>
      </c>
      <c r="M139" s="28" t="str">
        <f ca="1">VLOOKUP($I139,OFFSET([3]characters!$A$1,0,0,COUNTA([3]characters!$A:$A),MATCH(M$1,[3]characters!$2:$2,0)-MATCH($I$1,[3]characters!$2:$2,0)+2),MATCH(M$1,[3]characters!$2:$2,0)-MATCH($I$1,[3]characters!$2:$2,0)+2,FALSE)</f>
        <v>Unknown</v>
      </c>
      <c r="N139" s="5">
        <f ca="1">VLOOKUP($I139,OFFSET([2]enemies!$A$1,0,0,COUNTA([2]enemies!$A:$A),MATCH(N$1,[2]enemies!$2:$2,0)-MATCH($I$1,[2]enemies!$2:$2,0)+1),MATCH(N$1,[2]enemies!$2:$2,0)-MATCH($I$1,[2]enemies!$2:$2,0)+1,FALSE)</f>
        <v>15</v>
      </c>
      <c r="O139" s="6">
        <v>15</v>
      </c>
      <c r="P139" s="48">
        <v>1.8</v>
      </c>
      <c r="Q139" s="46">
        <v>1</v>
      </c>
      <c r="R139" s="6">
        <v>0</v>
      </c>
      <c r="S139" s="5" t="str">
        <f ca="1">VLOOKUP($T139,OFFSET([4]enemy_skill_sets!$B$1,0,0,COUNTA([4]enemy_skill_sets!$B:$B),MATCH(J$1,[4]enemy_skill_sets!$1:$1,0)-MATCH($T$1,[4]enemy_skill_sets!$1:$1,0)+2),MATCH(J$1,[4]enemy_skill_sets!$1:$1,0)-MATCH($T$1,[4]enemy_skill_sets!$1:$1,0)+2,FALSE)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9" s="5">
        <f ca="1">VLOOKUP($I139,OFFSET([2]enemies!$A$1,0,0,COUNTA([2]enemies!$A:$A),MATCH(T$1,[2]enemies!$2:$2,0)-MATCH($I$1,[2]enemies!$2:$2,0)+1),MATCH(T$1,[2]enemies!$2:$2,0)-MATCH($I$1,[2]enemies!$2:$2,0)+1,FALSE)</f>
        <v>0</v>
      </c>
      <c r="U139" s="7">
        <v>0</v>
      </c>
      <c r="V139" s="7">
        <v>100</v>
      </c>
      <c r="W139" s="7">
        <v>0</v>
      </c>
      <c r="X139" s="26">
        <f ca="1">VLOOKUP($I139,OFFSET([2]enemies!$A$1,0,0,COUNTA([2]enemies!$A:$A),MATCH(X$1,[2]enemies!$2:$2,0)-MATCH($I$1,[2]enemies!$2:$2,0)+1),MATCH(X$1,[2]enemies!$2:$2,0)-MATCH($I$1,[2]enemies!$2:$2,0)+1,FALSE)</f>
        <v>2</v>
      </c>
      <c r="Y139" s="31">
        <v>106</v>
      </c>
      <c r="Z139" s="5" t="str">
        <f ca="1">IFERROR(VLOOKUP($Y139,OFFSET([3]characters!$A$1,0,0,COUNTA([3]characters!$A:$A),MATCH(Z$1,[3]characters!$2:$2,0)-MATCH("character_id",[3]characters!$2:$2,0)+1),MATCH(Z$1,[3]characters!$2:$2,0)-MATCH("character_id",[3]characters!$2:$2,0)+1,FALSE),"")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139" s="5">
        <f ca="1">IFERROR(VLOOKUP($Y139,OFFSET([3]characters!$A$1,0,0,COUNTA([3]characters!$A:$A),MATCH(AA$1,[3]characters!$2:$2,0)-MATCH("character_id",[3]characters!$2:$2,0)+1),MATCH(AA$1,[3]characters!$2:$2,0)-MATCH("character_id",[3]characters!$2:$2,0)+1,FALSE),"")</f>
        <v>3</v>
      </c>
      <c r="AB139" s="5" t="str">
        <f ca="1">IFERROR(VLOOKUP($Y139,OFFSET([3]characters!$A$1,0,0,COUNTA([3]characters!$A:$A),MATCH(AB$1,[3]characters!$2:$2,0)-MATCH("character_id",[3]characters!$2:$2,0)+1),MATCH(AB$1,[3]characters!$2:$2,0)-MATCH("character_id",[3]characters!$2:$2,0)+1,FALSE),"")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39" s="8">
        <v>1</v>
      </c>
      <c r="AD139" s="34">
        <f t="shared" ca="1" si="91"/>
        <v>3</v>
      </c>
      <c r="AE139" s="9">
        <v>30</v>
      </c>
      <c r="AF139" s="8">
        <v>0</v>
      </c>
      <c r="AG139" s="8">
        <v>0</v>
      </c>
      <c r="AH139" s="8">
        <v>0</v>
      </c>
      <c r="AI139" s="8">
        <v>0</v>
      </c>
      <c r="AJ139" s="8">
        <v>1</v>
      </c>
    </row>
    <row r="140" spans="1:36" ht="21" customHeight="1">
      <c r="A140" s="21" t="str">
        <f t="shared" ca="1" si="88"/>
        <v>11104_2-2/106&lt;lv15&gt;s2</v>
      </c>
      <c r="B140" s="8">
        <v>11104</v>
      </c>
      <c r="C140" s="52">
        <v>2</v>
      </c>
      <c r="D140" s="2" t="str">
        <f t="shared" si="89"/>
        <v>11104_2</v>
      </c>
      <c r="E140" s="5" t="str">
        <f ca="1">VLOOKUP($B140,OFFSET([1]quests!$A$1,0,0,COUNTA([1]quests!$A:$A),MATCH(E$1,[1]quests!$1:$1,0)-MATCH($B$1,[1]quests!$1:$1,0)+1),MATCH(E$1,[1]quests!$1:$1,0)-MATCH($B$1,[1]quests!$1:$1,0)+1,FALSE)</f>
        <v>【キャンペーン限定】 緑の素材</v>
      </c>
      <c r="F140" s="5" t="str">
        <f ca="1">VLOOKUP($D140,OFFSET([1]stages!$A$1,0,0,COUNTA([1]stages!$A:$A),MATCH(F$1,[1]stages!$2:$2,0)-MATCH($D$1,[1]stages!$2:$2,0)+1),MATCH(F$1,[1]stages!$2:$2,0)-MATCH($D$1,[1]stages!$2:$2,0)+1,FALSE)</f>
        <v>樹のウサギ 【中級】</v>
      </c>
      <c r="G140" s="32">
        <v>2</v>
      </c>
      <c r="H140" s="20" t="str">
        <f t="shared" si="90"/>
        <v>11104_2-2</v>
      </c>
      <c r="I140" s="31">
        <v>106</v>
      </c>
      <c r="J140" s="26" t="str">
        <f ca="1">VLOOKUP($I140,OFFSET([2]enemies!$A$1,0,0,COUNTA([2]enemies!$A:$A),MATCH(J$1,[2]enemies!$2:$2,0)-MATCH($I$1,[2]enemies!$2:$2,0)+1),MATCH(J$1,[2]enemies!$2:$2,0)-MATCH($I$1,[2]enemies!$2:$2,0)+1,FALSE)</f>
        <v>グリーンラビット</v>
      </c>
      <c r="K140" s="29" t="str">
        <f ca="1">VLOOKUP($I140,OFFSET([2]enemies!$A$1,0,0,COUNTA([2]enemies!$A:$A),MATCH(K$1,[2]enemies!$2:$2,0)-MATCH($I$1,[2]enemies!$2:$2,0)+1),MATCH(K$1,[2]enemies!$2:$2,0)-MATCH($I$1,[2]enemies!$2:$2,0)+1,FALSE)</f>
        <v>green</v>
      </c>
      <c r="L140" s="29" t="str">
        <f ca="1">VLOOKUP($I140,OFFSET([3]characters!$A$1,0,0,COUNTA([3]characters!$A:$A),MATCH(L$1,[3]characters!$2:$2,0)-MATCH($I$1,[3]characters!$2:$2,0)+1),MATCH(L$1,[3]characters!$2:$2,0)-MATCH($I$1,[3]characters!$2:$2,0)+1,FALSE)</f>
        <v>Material</v>
      </c>
      <c r="M140" s="28" t="str">
        <f ca="1">VLOOKUP($I140,OFFSET([3]characters!$A$1,0,0,COUNTA([3]characters!$A:$A),MATCH(M$1,[3]characters!$2:$2,0)-MATCH($I$1,[3]characters!$2:$2,0)+2),MATCH(M$1,[3]characters!$2:$2,0)-MATCH($I$1,[3]characters!$2:$2,0)+2,FALSE)</f>
        <v>Unknown</v>
      </c>
      <c r="N140" s="5">
        <f ca="1">VLOOKUP($I140,OFFSET([2]enemies!$A$1,0,0,COUNTA([2]enemies!$A:$A),MATCH(N$1,[2]enemies!$2:$2,0)-MATCH($I$1,[2]enemies!$2:$2,0)+1),MATCH(N$1,[2]enemies!$2:$2,0)-MATCH($I$1,[2]enemies!$2:$2,0)+1,FALSE)</f>
        <v>15</v>
      </c>
      <c r="O140" s="6">
        <v>15</v>
      </c>
      <c r="P140" s="48">
        <v>1.8</v>
      </c>
      <c r="Q140" s="46">
        <v>1</v>
      </c>
      <c r="R140" s="6">
        <v>0</v>
      </c>
      <c r="S140" s="5" t="str">
        <f ca="1">VLOOKUP($T140,OFFSET([4]enemy_skill_sets!$B$1,0,0,COUNTA([4]enemy_skill_sets!$B:$B),MATCH(J$1,[4]enemy_skill_sets!$1:$1,0)-MATCH($T$1,[4]enemy_skill_sets!$1:$1,0)+2),MATCH(J$1,[4]enemy_skill_sets!$1:$1,0)-MATCH($T$1,[4]enemy_skill_sets!$1:$1,0)+2,FALSE)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0" s="5">
        <f ca="1">VLOOKUP($I140,OFFSET([2]enemies!$A$1,0,0,COUNTA([2]enemies!$A:$A),MATCH(T$1,[2]enemies!$2:$2,0)-MATCH($I$1,[2]enemies!$2:$2,0)+1),MATCH(T$1,[2]enemies!$2:$2,0)-MATCH($I$1,[2]enemies!$2:$2,0)+1,FALSE)</f>
        <v>0</v>
      </c>
      <c r="U140" s="7">
        <v>0</v>
      </c>
      <c r="V140" s="7">
        <v>100</v>
      </c>
      <c r="W140" s="7">
        <v>0</v>
      </c>
      <c r="X140" s="26">
        <f ca="1">VLOOKUP($I140,OFFSET([2]enemies!$A$1,0,0,COUNTA([2]enemies!$A:$A),MATCH(X$1,[2]enemies!$2:$2,0)-MATCH($I$1,[2]enemies!$2:$2,0)+1),MATCH(X$1,[2]enemies!$2:$2,0)-MATCH($I$1,[2]enemies!$2:$2,0)+1,FALSE)</f>
        <v>2</v>
      </c>
      <c r="Y140" s="31">
        <v>106</v>
      </c>
      <c r="Z140" s="5" t="str">
        <f ca="1">IFERROR(VLOOKUP($Y140,OFFSET([3]characters!$A$1,0,0,COUNTA([3]characters!$A:$A),MATCH(Z$1,[3]characters!$2:$2,0)-MATCH("character_id",[3]characters!$2:$2,0)+1),MATCH(Z$1,[3]characters!$2:$2,0)-MATCH("character_id",[3]characters!$2:$2,0)+1,FALSE),"")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140" s="5">
        <f ca="1">IFERROR(VLOOKUP($Y140,OFFSET([3]characters!$A$1,0,0,COUNTA([3]characters!$A:$A),MATCH(AA$1,[3]characters!$2:$2,0)-MATCH("character_id",[3]characters!$2:$2,0)+1),MATCH(AA$1,[3]characters!$2:$2,0)-MATCH("character_id",[3]characters!$2:$2,0)+1,FALSE),"")</f>
        <v>3</v>
      </c>
      <c r="AB140" s="5" t="str">
        <f ca="1">IFERROR(VLOOKUP($Y140,OFFSET([3]characters!$A$1,0,0,COUNTA([3]characters!$A:$A),MATCH(AB$1,[3]characters!$2:$2,0)-MATCH("character_id",[3]characters!$2:$2,0)+1),MATCH(AB$1,[3]characters!$2:$2,0)-MATCH("character_id",[3]characters!$2:$2,0)+1,FALSE),"")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40" s="8">
        <v>1</v>
      </c>
      <c r="AD140" s="34">
        <f t="shared" ca="1" si="91"/>
        <v>3</v>
      </c>
      <c r="AE140" s="9">
        <v>30</v>
      </c>
      <c r="AF140" s="8">
        <v>0</v>
      </c>
      <c r="AG140" s="8">
        <v>0</v>
      </c>
      <c r="AH140" s="8">
        <v>0</v>
      </c>
      <c r="AI140" s="8">
        <v>0</v>
      </c>
      <c r="AJ140" s="8">
        <v>1</v>
      </c>
    </row>
    <row r="141" spans="1:36" ht="21" customHeight="1">
      <c r="A141" s="21" t="str">
        <f t="shared" ca="1" si="88"/>
        <v>11104_2-3/106&lt;lv15&gt;s2</v>
      </c>
      <c r="B141" s="8">
        <v>11104</v>
      </c>
      <c r="C141" s="52">
        <v>2</v>
      </c>
      <c r="D141" s="2" t="str">
        <f t="shared" si="89"/>
        <v>11104_2</v>
      </c>
      <c r="E141" s="5" t="str">
        <f ca="1">VLOOKUP($B141,OFFSET([1]quests!$A$1,0,0,COUNTA([1]quests!$A:$A),MATCH(E$1,[1]quests!$1:$1,0)-MATCH($B$1,[1]quests!$1:$1,0)+1),MATCH(E$1,[1]quests!$1:$1,0)-MATCH($B$1,[1]quests!$1:$1,0)+1,FALSE)</f>
        <v>【キャンペーン限定】 緑の素材</v>
      </c>
      <c r="F141" s="5" t="str">
        <f ca="1">VLOOKUP($D141,OFFSET([1]stages!$A$1,0,0,COUNTA([1]stages!$A:$A),MATCH(F$1,[1]stages!$2:$2,0)-MATCH($D$1,[1]stages!$2:$2,0)+1),MATCH(F$1,[1]stages!$2:$2,0)-MATCH($D$1,[1]stages!$2:$2,0)+1,FALSE)</f>
        <v>樹のウサギ 【中級】</v>
      </c>
      <c r="G141" s="32">
        <v>3</v>
      </c>
      <c r="H141" s="20" t="str">
        <f t="shared" si="90"/>
        <v>11104_2-3</v>
      </c>
      <c r="I141" s="31">
        <v>106</v>
      </c>
      <c r="J141" s="26" t="str">
        <f ca="1">VLOOKUP($I141,OFFSET([2]enemies!$A$1,0,0,COUNTA([2]enemies!$A:$A),MATCH(J$1,[2]enemies!$2:$2,0)-MATCH($I$1,[2]enemies!$2:$2,0)+1),MATCH(J$1,[2]enemies!$2:$2,0)-MATCH($I$1,[2]enemies!$2:$2,0)+1,FALSE)</f>
        <v>グリーンラビット</v>
      </c>
      <c r="K141" s="29" t="str">
        <f ca="1">VLOOKUP($I141,OFFSET([2]enemies!$A$1,0,0,COUNTA([2]enemies!$A:$A),MATCH(K$1,[2]enemies!$2:$2,0)-MATCH($I$1,[2]enemies!$2:$2,0)+1),MATCH(K$1,[2]enemies!$2:$2,0)-MATCH($I$1,[2]enemies!$2:$2,0)+1,FALSE)</f>
        <v>green</v>
      </c>
      <c r="L141" s="29" t="str">
        <f ca="1">VLOOKUP($I141,OFFSET([3]characters!$A$1,0,0,COUNTA([3]characters!$A:$A),MATCH(L$1,[3]characters!$2:$2,0)-MATCH($I$1,[3]characters!$2:$2,0)+1),MATCH(L$1,[3]characters!$2:$2,0)-MATCH($I$1,[3]characters!$2:$2,0)+1,FALSE)</f>
        <v>Material</v>
      </c>
      <c r="M141" s="28" t="str">
        <f ca="1">VLOOKUP($I141,OFFSET([3]characters!$A$1,0,0,COUNTA([3]characters!$A:$A),MATCH(M$1,[3]characters!$2:$2,0)-MATCH($I$1,[3]characters!$2:$2,0)+2),MATCH(M$1,[3]characters!$2:$2,0)-MATCH($I$1,[3]characters!$2:$2,0)+2,FALSE)</f>
        <v>Unknown</v>
      </c>
      <c r="N141" s="5">
        <f ca="1">VLOOKUP($I141,OFFSET([2]enemies!$A$1,0,0,COUNTA([2]enemies!$A:$A),MATCH(N$1,[2]enemies!$2:$2,0)-MATCH($I$1,[2]enemies!$2:$2,0)+1),MATCH(N$1,[2]enemies!$2:$2,0)-MATCH($I$1,[2]enemies!$2:$2,0)+1,FALSE)</f>
        <v>15</v>
      </c>
      <c r="O141" s="6">
        <v>15</v>
      </c>
      <c r="P141" s="48">
        <v>1.8</v>
      </c>
      <c r="Q141" s="46">
        <v>1</v>
      </c>
      <c r="R141" s="6">
        <v>0</v>
      </c>
      <c r="S141" s="5" t="str">
        <f ca="1">VLOOKUP($T141,OFFSET([4]enemy_skill_sets!$B$1,0,0,COUNTA([4]enemy_skill_sets!$B:$B),MATCH(J$1,[4]enemy_skill_sets!$1:$1,0)-MATCH($T$1,[4]enemy_skill_sets!$1:$1,0)+2),MATCH(J$1,[4]enemy_skill_sets!$1:$1,0)-MATCH($T$1,[4]enemy_skill_sets!$1:$1,0)+2,FALSE)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1" s="5">
        <f ca="1">VLOOKUP($I141,OFFSET([2]enemies!$A$1,0,0,COUNTA([2]enemies!$A:$A),MATCH(T$1,[2]enemies!$2:$2,0)-MATCH($I$1,[2]enemies!$2:$2,0)+1),MATCH(T$1,[2]enemies!$2:$2,0)-MATCH($I$1,[2]enemies!$2:$2,0)+1,FALSE)</f>
        <v>0</v>
      </c>
      <c r="U141" s="7">
        <v>0</v>
      </c>
      <c r="V141" s="7">
        <v>100</v>
      </c>
      <c r="W141" s="7">
        <v>0</v>
      </c>
      <c r="X141" s="26">
        <f ca="1">VLOOKUP($I141,OFFSET([2]enemies!$A$1,0,0,COUNTA([2]enemies!$A:$A),MATCH(X$1,[2]enemies!$2:$2,0)-MATCH($I$1,[2]enemies!$2:$2,0)+1),MATCH(X$1,[2]enemies!$2:$2,0)-MATCH($I$1,[2]enemies!$2:$2,0)+1,FALSE)</f>
        <v>2</v>
      </c>
      <c r="Y141" s="31">
        <v>106</v>
      </c>
      <c r="Z141" s="5" t="str">
        <f ca="1">IFERROR(VLOOKUP($Y141,OFFSET([3]characters!$A$1,0,0,COUNTA([3]characters!$A:$A),MATCH(Z$1,[3]characters!$2:$2,0)-MATCH("character_id",[3]characters!$2:$2,0)+1),MATCH(Z$1,[3]characters!$2:$2,0)-MATCH("character_id",[3]characters!$2:$2,0)+1,FALSE),"")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141" s="5">
        <f ca="1">IFERROR(VLOOKUP($Y141,OFFSET([3]characters!$A$1,0,0,COUNTA([3]characters!$A:$A),MATCH(AA$1,[3]characters!$2:$2,0)-MATCH("character_id",[3]characters!$2:$2,0)+1),MATCH(AA$1,[3]characters!$2:$2,0)-MATCH("character_id",[3]characters!$2:$2,0)+1,FALSE),"")</f>
        <v>3</v>
      </c>
      <c r="AB141" s="5" t="str">
        <f ca="1">IFERROR(VLOOKUP($Y141,OFFSET([3]characters!$A$1,0,0,COUNTA([3]characters!$A:$A),MATCH(AB$1,[3]characters!$2:$2,0)-MATCH("character_id",[3]characters!$2:$2,0)+1),MATCH(AB$1,[3]characters!$2:$2,0)-MATCH("character_id",[3]characters!$2:$2,0)+1,FALSE),"")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41" s="8">
        <v>1</v>
      </c>
      <c r="AD141" s="34">
        <f t="shared" ca="1" si="91"/>
        <v>3</v>
      </c>
      <c r="AE141" s="9">
        <v>30</v>
      </c>
      <c r="AF141" s="8">
        <v>0</v>
      </c>
      <c r="AG141" s="8">
        <v>0</v>
      </c>
      <c r="AH141" s="8">
        <v>0</v>
      </c>
      <c r="AI141" s="8">
        <v>0</v>
      </c>
      <c r="AJ141" s="8">
        <v>1</v>
      </c>
    </row>
    <row r="142" spans="1:36" ht="21" customHeight="1">
      <c r="A142" s="21" t="str">
        <f t="shared" ca="1" si="88"/>
        <v>11104_2-3/107&lt;lv15&gt;s1</v>
      </c>
      <c r="B142" s="8">
        <v>11104</v>
      </c>
      <c r="C142" s="52">
        <v>2</v>
      </c>
      <c r="D142" s="2" t="str">
        <f t="shared" si="89"/>
        <v>11104_2</v>
      </c>
      <c r="E142" s="5" t="str">
        <f ca="1">VLOOKUP($B142,OFFSET([1]quests!$A$1,0,0,COUNTA([1]quests!$A:$A),MATCH(E$1,[1]quests!$1:$1,0)-MATCH($B$1,[1]quests!$1:$1,0)+1),MATCH(E$1,[1]quests!$1:$1,0)-MATCH($B$1,[1]quests!$1:$1,0)+1,FALSE)</f>
        <v>【キャンペーン限定】 緑の素材</v>
      </c>
      <c r="F142" s="5" t="str">
        <f ca="1">VLOOKUP($D142,OFFSET([1]stages!$A$1,0,0,COUNTA([1]stages!$A:$A),MATCH(F$1,[1]stages!$2:$2,0)-MATCH($D$1,[1]stages!$2:$2,0)+1),MATCH(F$1,[1]stages!$2:$2,0)-MATCH($D$1,[1]stages!$2:$2,0)+1,FALSE)</f>
        <v>樹のウサギ 【中級】</v>
      </c>
      <c r="G142" s="32">
        <v>3</v>
      </c>
      <c r="H142" s="20" t="str">
        <f t="shared" si="90"/>
        <v>11104_2-3</v>
      </c>
      <c r="I142" s="31">
        <v>107</v>
      </c>
      <c r="J142" s="26" t="str">
        <f ca="1">VLOOKUP($I142,OFFSET([2]enemies!$A$1,0,0,COUNTA([2]enemies!$A:$A),MATCH(J$1,[2]enemies!$2:$2,0)-MATCH($I$1,[2]enemies!$2:$2,0)+1),MATCH(J$1,[2]enemies!$2:$2,0)-MATCH($I$1,[2]enemies!$2:$2,0)+1,FALSE)</f>
        <v>グリーンキャタップ</v>
      </c>
      <c r="K142" s="29" t="str">
        <f ca="1">VLOOKUP($I142,OFFSET([2]enemies!$A$1,0,0,COUNTA([2]enemies!$A:$A),MATCH(K$1,[2]enemies!$2:$2,0)-MATCH($I$1,[2]enemies!$2:$2,0)+1),MATCH(K$1,[2]enemies!$2:$2,0)-MATCH($I$1,[2]enemies!$2:$2,0)+1,FALSE)</f>
        <v>green</v>
      </c>
      <c r="L142" s="29" t="str">
        <f ca="1">VLOOKUP($I142,OFFSET([3]characters!$A$1,0,0,COUNTA([3]characters!$A:$A),MATCH(L$1,[3]characters!$2:$2,0)-MATCH($I$1,[3]characters!$2:$2,0)+1),MATCH(L$1,[3]characters!$2:$2,0)-MATCH($I$1,[3]characters!$2:$2,0)+1,FALSE)</f>
        <v>Material</v>
      </c>
      <c r="M142" s="28" t="str">
        <f ca="1">VLOOKUP($I142,OFFSET([3]characters!$A$1,0,0,COUNTA([3]characters!$A:$A),MATCH(M$1,[3]characters!$2:$2,0)-MATCH($I$1,[3]characters!$2:$2,0)+2),MATCH(M$1,[3]characters!$2:$2,0)-MATCH($I$1,[3]characters!$2:$2,0)+2,FALSE)</f>
        <v>Unknown</v>
      </c>
      <c r="N142" s="5">
        <f ca="1">VLOOKUP($I142,OFFSET([2]enemies!$A$1,0,0,COUNTA([2]enemies!$A:$A),MATCH(N$1,[2]enemies!$2:$2,0)-MATCH($I$1,[2]enemies!$2:$2,0)+1),MATCH(N$1,[2]enemies!$2:$2,0)-MATCH($I$1,[2]enemies!$2:$2,0)+1,FALSE)</f>
        <v>15</v>
      </c>
      <c r="O142" s="6">
        <v>15</v>
      </c>
      <c r="P142" s="46">
        <v>2</v>
      </c>
      <c r="Q142" s="46">
        <v>1</v>
      </c>
      <c r="R142" s="6">
        <v>0</v>
      </c>
      <c r="S142" s="5" t="str">
        <f ca="1">VLOOKUP($T142,OFFSET([4]enemy_skill_sets!$B$1,0,0,COUNTA([4]enemy_skill_sets!$B:$B),MATCH(J$1,[4]enemy_skill_sets!$1:$1,0)-MATCH($T$1,[4]enemy_skill_sets!$1:$1,0)+2),MATCH(J$1,[4]enemy_skill_sets!$1:$1,0)-MATCH($T$1,[4]enemy_skill_sets!$1:$1,0)+2,FALSE)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2" s="5">
        <f ca="1">VLOOKUP($I142,OFFSET([2]enemies!$A$1,0,0,COUNTA([2]enemies!$A:$A),MATCH(T$1,[2]enemies!$2:$2,0)-MATCH($I$1,[2]enemies!$2:$2,0)+1),MATCH(T$1,[2]enemies!$2:$2,0)-MATCH($I$1,[2]enemies!$2:$2,0)+1,FALSE)</f>
        <v>0</v>
      </c>
      <c r="U142" s="7">
        <v>0</v>
      </c>
      <c r="V142" s="7">
        <v>25</v>
      </c>
      <c r="W142" s="7">
        <v>0</v>
      </c>
      <c r="X142" s="26">
        <f ca="1">VLOOKUP($I142,OFFSET([2]enemies!$A$1,0,0,COUNTA([2]enemies!$A:$A),MATCH(X$1,[2]enemies!$2:$2,0)-MATCH($I$1,[2]enemies!$2:$2,0)+1),MATCH(X$1,[2]enemies!$2:$2,0)-MATCH($I$1,[2]enemies!$2:$2,0)+1,FALSE)</f>
        <v>1</v>
      </c>
      <c r="Y142" s="31">
        <v>107</v>
      </c>
      <c r="Z142" s="5" t="str">
        <f ca="1">IFERROR(VLOOKUP($Y142,OFFSET([3]characters!$A$1,0,0,COUNTA([3]characters!$A:$A),MATCH(Z$1,[3]characters!$2:$2,0)-MATCH("character_id",[3]characters!$2:$2,0)+1),MATCH(Z$1,[3]characters!$2:$2,0)-MATCH("character_id",[3]characters!$2:$2,0)+1,FALSE),"")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142" s="5">
        <f ca="1">IFERROR(VLOOKUP($Y142,OFFSET([3]characters!$A$1,0,0,COUNTA([3]characters!$A:$A),MATCH(AA$1,[3]characters!$2:$2,0)-MATCH("character_id",[3]characters!$2:$2,0)+1),MATCH(AA$1,[3]characters!$2:$2,0)-MATCH("character_id",[3]characters!$2:$2,0)+1,FALSE),"")</f>
        <v>4</v>
      </c>
      <c r="AB142" s="5" t="str">
        <f ca="1">IFERROR(VLOOKUP($Y142,OFFSET([3]characters!$A$1,0,0,COUNTA([3]characters!$A:$A),MATCH(AB$1,[3]characters!$2:$2,0)-MATCH("character_id",[3]characters!$2:$2,0)+1),MATCH(AB$1,[3]characters!$2:$2,0)-MATCH("character_id",[3]characters!$2:$2,0)+1,FALSE),"")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42" s="8">
        <v>1</v>
      </c>
      <c r="AD142" s="34">
        <f t="shared" ca="1" si="91"/>
        <v>4</v>
      </c>
      <c r="AE142" s="9">
        <v>5</v>
      </c>
      <c r="AF142" s="8">
        <v>0</v>
      </c>
      <c r="AG142" s="8">
        <v>0</v>
      </c>
      <c r="AH142" s="8">
        <v>0</v>
      </c>
      <c r="AI142" s="8">
        <v>0</v>
      </c>
      <c r="AJ142" s="8">
        <v>1</v>
      </c>
    </row>
    <row r="143" spans="1:36" ht="21" customHeight="1">
      <c r="A143" s="21" t="str">
        <f t="shared" ca="1" si="88"/>
        <v>11104_2-4/106&lt;lv15&gt;s2</v>
      </c>
      <c r="B143" s="8">
        <v>11104</v>
      </c>
      <c r="C143" s="52">
        <v>2</v>
      </c>
      <c r="D143" s="2" t="str">
        <f t="shared" si="89"/>
        <v>11104_2</v>
      </c>
      <c r="E143" s="5" t="str">
        <f ca="1">VLOOKUP($B143,OFFSET([1]quests!$A$1,0,0,COUNTA([1]quests!$A:$A),MATCH(E$1,[1]quests!$1:$1,0)-MATCH($B$1,[1]quests!$1:$1,0)+1),MATCH(E$1,[1]quests!$1:$1,0)-MATCH($B$1,[1]quests!$1:$1,0)+1,FALSE)</f>
        <v>【キャンペーン限定】 緑の素材</v>
      </c>
      <c r="F143" s="5" t="str">
        <f ca="1">VLOOKUP($D143,OFFSET([1]stages!$A$1,0,0,COUNTA([1]stages!$A:$A),MATCH(F$1,[1]stages!$2:$2,0)-MATCH($D$1,[1]stages!$2:$2,0)+1),MATCH(F$1,[1]stages!$2:$2,0)-MATCH($D$1,[1]stages!$2:$2,0)+1,FALSE)</f>
        <v>樹のウサギ 【中級】</v>
      </c>
      <c r="G143" s="32">
        <v>4</v>
      </c>
      <c r="H143" s="20" t="str">
        <f t="shared" si="90"/>
        <v>11104_2-4</v>
      </c>
      <c r="I143" s="31">
        <v>106</v>
      </c>
      <c r="J143" s="26" t="str">
        <f ca="1">VLOOKUP($I143,OFFSET([2]enemies!$A$1,0,0,COUNTA([2]enemies!$A:$A),MATCH(J$1,[2]enemies!$2:$2,0)-MATCH($I$1,[2]enemies!$2:$2,0)+1),MATCH(J$1,[2]enemies!$2:$2,0)-MATCH($I$1,[2]enemies!$2:$2,0)+1,FALSE)</f>
        <v>グリーンラビット</v>
      </c>
      <c r="K143" s="29" t="str">
        <f ca="1">VLOOKUP($I143,OFFSET([2]enemies!$A$1,0,0,COUNTA([2]enemies!$A:$A),MATCH(K$1,[2]enemies!$2:$2,0)-MATCH($I$1,[2]enemies!$2:$2,0)+1),MATCH(K$1,[2]enemies!$2:$2,0)-MATCH($I$1,[2]enemies!$2:$2,0)+1,FALSE)</f>
        <v>green</v>
      </c>
      <c r="L143" s="29" t="str">
        <f ca="1">VLOOKUP($I143,OFFSET([3]characters!$A$1,0,0,COUNTA([3]characters!$A:$A),MATCH(L$1,[3]characters!$2:$2,0)-MATCH($I$1,[3]characters!$2:$2,0)+1),MATCH(L$1,[3]characters!$2:$2,0)-MATCH($I$1,[3]characters!$2:$2,0)+1,FALSE)</f>
        <v>Material</v>
      </c>
      <c r="M143" s="28" t="str">
        <f ca="1">VLOOKUP($I143,OFFSET([3]characters!$A$1,0,0,COUNTA([3]characters!$A:$A),MATCH(M$1,[3]characters!$2:$2,0)-MATCH($I$1,[3]characters!$2:$2,0)+2),MATCH(M$1,[3]characters!$2:$2,0)-MATCH($I$1,[3]characters!$2:$2,0)+2,FALSE)</f>
        <v>Unknown</v>
      </c>
      <c r="N143" s="5">
        <f ca="1">VLOOKUP($I143,OFFSET([2]enemies!$A$1,0,0,COUNTA([2]enemies!$A:$A),MATCH(N$1,[2]enemies!$2:$2,0)-MATCH($I$1,[2]enemies!$2:$2,0)+1),MATCH(N$1,[2]enemies!$2:$2,0)-MATCH($I$1,[2]enemies!$2:$2,0)+1,FALSE)</f>
        <v>15</v>
      </c>
      <c r="O143" s="6">
        <v>15</v>
      </c>
      <c r="P143" s="48">
        <v>1.8</v>
      </c>
      <c r="Q143" s="46">
        <v>1</v>
      </c>
      <c r="R143" s="6">
        <v>0</v>
      </c>
      <c r="S143" s="5" t="str">
        <f ca="1">VLOOKUP($T143,OFFSET([4]enemy_skill_sets!$B$1,0,0,COUNTA([4]enemy_skill_sets!$B:$B),MATCH(J$1,[4]enemy_skill_sets!$1:$1,0)-MATCH($T$1,[4]enemy_skill_sets!$1:$1,0)+2),MATCH(J$1,[4]enemy_skill_sets!$1:$1,0)-MATCH($T$1,[4]enemy_skill_sets!$1:$1,0)+2,FALSE)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3" s="5">
        <f ca="1">VLOOKUP($I143,OFFSET([2]enemies!$A$1,0,0,COUNTA([2]enemies!$A:$A),MATCH(T$1,[2]enemies!$2:$2,0)-MATCH($I$1,[2]enemies!$2:$2,0)+1),MATCH(T$1,[2]enemies!$2:$2,0)-MATCH($I$1,[2]enemies!$2:$2,0)+1,FALSE)</f>
        <v>0</v>
      </c>
      <c r="U143" s="7">
        <v>0</v>
      </c>
      <c r="V143" s="7">
        <v>100</v>
      </c>
      <c r="W143" s="7">
        <v>0</v>
      </c>
      <c r="X143" s="26">
        <f ca="1">VLOOKUP($I143,OFFSET([2]enemies!$A$1,0,0,COUNTA([2]enemies!$A:$A),MATCH(X$1,[2]enemies!$2:$2,0)-MATCH($I$1,[2]enemies!$2:$2,0)+1),MATCH(X$1,[2]enemies!$2:$2,0)-MATCH($I$1,[2]enemies!$2:$2,0)+1,FALSE)</f>
        <v>2</v>
      </c>
      <c r="Y143" s="31">
        <v>106</v>
      </c>
      <c r="Z143" s="5" t="str">
        <f ca="1">IFERROR(VLOOKUP($Y143,OFFSET([3]characters!$A$1,0,0,COUNTA([3]characters!$A:$A),MATCH(Z$1,[3]characters!$2:$2,0)-MATCH("character_id",[3]characters!$2:$2,0)+1),MATCH(Z$1,[3]characters!$2:$2,0)-MATCH("character_id",[3]characters!$2:$2,0)+1,FALSE),"")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143" s="5">
        <f ca="1">IFERROR(VLOOKUP($Y143,OFFSET([3]characters!$A$1,0,0,COUNTA([3]characters!$A:$A),MATCH(AA$1,[3]characters!$2:$2,0)-MATCH("character_id",[3]characters!$2:$2,0)+1),MATCH(AA$1,[3]characters!$2:$2,0)-MATCH("character_id",[3]characters!$2:$2,0)+1,FALSE),"")</f>
        <v>3</v>
      </c>
      <c r="AB143" s="5" t="str">
        <f ca="1">IFERROR(VLOOKUP($Y143,OFFSET([3]characters!$A$1,0,0,COUNTA([3]characters!$A:$A),MATCH(AB$1,[3]characters!$2:$2,0)-MATCH("character_id",[3]characters!$2:$2,0)+1),MATCH(AB$1,[3]characters!$2:$2,0)-MATCH("character_id",[3]characters!$2:$2,0)+1,FALSE),"")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43" s="8">
        <v>1</v>
      </c>
      <c r="AD143" s="34">
        <f t="shared" ca="1" si="91"/>
        <v>3</v>
      </c>
      <c r="AE143" s="9">
        <v>30</v>
      </c>
      <c r="AF143" s="8">
        <v>0</v>
      </c>
      <c r="AG143" s="8">
        <v>0</v>
      </c>
      <c r="AH143" s="8">
        <v>0</v>
      </c>
      <c r="AI143" s="8">
        <v>0</v>
      </c>
      <c r="AJ143" s="8">
        <v>1</v>
      </c>
    </row>
    <row r="144" spans="1:36" ht="21" customHeight="1">
      <c r="A144" s="21" t="str">
        <f t="shared" ca="1" si="88"/>
        <v>11104_2-4/107&lt;lv15&gt;s1</v>
      </c>
      <c r="B144" s="8">
        <v>11104</v>
      </c>
      <c r="C144" s="52">
        <v>2</v>
      </c>
      <c r="D144" s="2" t="str">
        <f t="shared" si="89"/>
        <v>11104_2</v>
      </c>
      <c r="E144" s="5" t="str">
        <f ca="1">VLOOKUP($B144,OFFSET([1]quests!$A$1,0,0,COUNTA([1]quests!$A:$A),MATCH(E$1,[1]quests!$1:$1,0)-MATCH($B$1,[1]quests!$1:$1,0)+1),MATCH(E$1,[1]quests!$1:$1,0)-MATCH($B$1,[1]quests!$1:$1,0)+1,FALSE)</f>
        <v>【キャンペーン限定】 緑の素材</v>
      </c>
      <c r="F144" s="5" t="str">
        <f ca="1">VLOOKUP($D144,OFFSET([1]stages!$A$1,0,0,COUNTA([1]stages!$A:$A),MATCH(F$1,[1]stages!$2:$2,0)-MATCH($D$1,[1]stages!$2:$2,0)+1),MATCH(F$1,[1]stages!$2:$2,0)-MATCH($D$1,[1]stages!$2:$2,0)+1,FALSE)</f>
        <v>樹のウサギ 【中級】</v>
      </c>
      <c r="G144" s="32">
        <v>4</v>
      </c>
      <c r="H144" s="20" t="str">
        <f t="shared" si="90"/>
        <v>11104_2-4</v>
      </c>
      <c r="I144" s="31">
        <v>107</v>
      </c>
      <c r="J144" s="26" t="str">
        <f ca="1">VLOOKUP($I144,OFFSET([2]enemies!$A$1,0,0,COUNTA([2]enemies!$A:$A),MATCH(J$1,[2]enemies!$2:$2,0)-MATCH($I$1,[2]enemies!$2:$2,0)+1),MATCH(J$1,[2]enemies!$2:$2,0)-MATCH($I$1,[2]enemies!$2:$2,0)+1,FALSE)</f>
        <v>グリーンキャタップ</v>
      </c>
      <c r="K144" s="29" t="str">
        <f ca="1">VLOOKUP($I144,OFFSET([2]enemies!$A$1,0,0,COUNTA([2]enemies!$A:$A),MATCH(K$1,[2]enemies!$2:$2,0)-MATCH($I$1,[2]enemies!$2:$2,0)+1),MATCH(K$1,[2]enemies!$2:$2,0)-MATCH($I$1,[2]enemies!$2:$2,0)+1,FALSE)</f>
        <v>green</v>
      </c>
      <c r="L144" s="29" t="str">
        <f ca="1">VLOOKUP($I144,OFFSET([3]characters!$A$1,0,0,COUNTA([3]characters!$A:$A),MATCH(L$1,[3]characters!$2:$2,0)-MATCH($I$1,[3]characters!$2:$2,0)+1),MATCH(L$1,[3]characters!$2:$2,0)-MATCH($I$1,[3]characters!$2:$2,0)+1,FALSE)</f>
        <v>Material</v>
      </c>
      <c r="M144" s="28" t="str">
        <f ca="1">VLOOKUP($I144,OFFSET([3]characters!$A$1,0,0,COUNTA([3]characters!$A:$A),MATCH(M$1,[3]characters!$2:$2,0)-MATCH($I$1,[3]characters!$2:$2,0)+2),MATCH(M$1,[3]characters!$2:$2,0)-MATCH($I$1,[3]characters!$2:$2,0)+2,FALSE)</f>
        <v>Unknown</v>
      </c>
      <c r="N144" s="5">
        <f ca="1">VLOOKUP($I144,OFFSET([2]enemies!$A$1,0,0,COUNTA([2]enemies!$A:$A),MATCH(N$1,[2]enemies!$2:$2,0)-MATCH($I$1,[2]enemies!$2:$2,0)+1),MATCH(N$1,[2]enemies!$2:$2,0)-MATCH($I$1,[2]enemies!$2:$2,0)+1,FALSE)</f>
        <v>15</v>
      </c>
      <c r="O144" s="6">
        <v>15</v>
      </c>
      <c r="P144" s="46">
        <v>2</v>
      </c>
      <c r="Q144" s="46">
        <v>1</v>
      </c>
      <c r="R144" s="6">
        <v>0</v>
      </c>
      <c r="S144" s="5" t="str">
        <f ca="1">VLOOKUP($T144,OFFSET([4]enemy_skill_sets!$B$1,0,0,COUNTA([4]enemy_skill_sets!$B:$B),MATCH(J$1,[4]enemy_skill_sets!$1:$1,0)-MATCH($T$1,[4]enemy_skill_sets!$1:$1,0)+2),MATCH(J$1,[4]enemy_skill_sets!$1:$1,0)-MATCH($T$1,[4]enemy_skill_sets!$1:$1,0)+2,FALSE)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4" s="5">
        <f ca="1">VLOOKUP($I144,OFFSET([2]enemies!$A$1,0,0,COUNTA([2]enemies!$A:$A),MATCH(T$1,[2]enemies!$2:$2,0)-MATCH($I$1,[2]enemies!$2:$2,0)+1),MATCH(T$1,[2]enemies!$2:$2,0)-MATCH($I$1,[2]enemies!$2:$2,0)+1,FALSE)</f>
        <v>0</v>
      </c>
      <c r="U144" s="7">
        <v>0</v>
      </c>
      <c r="V144" s="7">
        <v>25</v>
      </c>
      <c r="W144" s="7">
        <v>0</v>
      </c>
      <c r="X144" s="26">
        <f ca="1">VLOOKUP($I144,OFFSET([2]enemies!$A$1,0,0,COUNTA([2]enemies!$A:$A),MATCH(X$1,[2]enemies!$2:$2,0)-MATCH($I$1,[2]enemies!$2:$2,0)+1),MATCH(X$1,[2]enemies!$2:$2,0)-MATCH($I$1,[2]enemies!$2:$2,0)+1,FALSE)</f>
        <v>1</v>
      </c>
      <c r="Y144" s="31">
        <v>107</v>
      </c>
      <c r="Z144" s="5" t="str">
        <f ca="1">IFERROR(VLOOKUP($Y144,OFFSET([3]characters!$A$1,0,0,COUNTA([3]characters!$A:$A),MATCH(Z$1,[3]characters!$2:$2,0)-MATCH("character_id",[3]characters!$2:$2,0)+1),MATCH(Z$1,[3]characters!$2:$2,0)-MATCH("character_id",[3]characters!$2:$2,0)+1,FALSE),"")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144" s="5">
        <f ca="1">IFERROR(VLOOKUP($Y144,OFFSET([3]characters!$A$1,0,0,COUNTA([3]characters!$A:$A),MATCH(AA$1,[3]characters!$2:$2,0)-MATCH("character_id",[3]characters!$2:$2,0)+1),MATCH(AA$1,[3]characters!$2:$2,0)-MATCH("character_id",[3]characters!$2:$2,0)+1,FALSE),"")</f>
        <v>4</v>
      </c>
      <c r="AB144" s="5" t="str">
        <f ca="1">IFERROR(VLOOKUP($Y144,OFFSET([3]characters!$A$1,0,0,COUNTA([3]characters!$A:$A),MATCH(AB$1,[3]characters!$2:$2,0)-MATCH("character_id",[3]characters!$2:$2,0)+1),MATCH(AB$1,[3]characters!$2:$2,0)-MATCH("character_id",[3]characters!$2:$2,0)+1,FALSE),"")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44" s="8">
        <v>1</v>
      </c>
      <c r="AD144" s="34">
        <f t="shared" ca="1" si="91"/>
        <v>4</v>
      </c>
      <c r="AE144" s="9">
        <v>5</v>
      </c>
      <c r="AF144" s="8">
        <v>0</v>
      </c>
      <c r="AG144" s="8">
        <v>0</v>
      </c>
      <c r="AH144" s="8">
        <v>0</v>
      </c>
      <c r="AI144" s="8">
        <v>0</v>
      </c>
      <c r="AJ144" s="8">
        <v>1</v>
      </c>
    </row>
    <row r="145" spans="1:36" ht="21" customHeight="1">
      <c r="A145" s="21" t="str">
        <f t="shared" ca="1" si="88"/>
        <v>11104_2-5/106&lt;lv15&gt;s2</v>
      </c>
      <c r="B145" s="8">
        <v>11104</v>
      </c>
      <c r="C145" s="52">
        <v>2</v>
      </c>
      <c r="D145" s="2" t="str">
        <f t="shared" si="89"/>
        <v>11104_2</v>
      </c>
      <c r="E145" s="5" t="str">
        <f ca="1">VLOOKUP($B145,OFFSET([1]quests!$A$1,0,0,COUNTA([1]quests!$A:$A),MATCH(E$1,[1]quests!$1:$1,0)-MATCH($B$1,[1]quests!$1:$1,0)+1),MATCH(E$1,[1]quests!$1:$1,0)-MATCH($B$1,[1]quests!$1:$1,0)+1,FALSE)</f>
        <v>【キャンペーン限定】 緑の素材</v>
      </c>
      <c r="F145" s="5" t="str">
        <f ca="1">VLOOKUP($D145,OFFSET([1]stages!$A$1,0,0,COUNTA([1]stages!$A:$A),MATCH(F$1,[1]stages!$2:$2,0)-MATCH($D$1,[1]stages!$2:$2,0)+1),MATCH(F$1,[1]stages!$2:$2,0)-MATCH($D$1,[1]stages!$2:$2,0)+1,FALSE)</f>
        <v>樹のウサギ 【中級】</v>
      </c>
      <c r="G145" s="32">
        <v>5</v>
      </c>
      <c r="H145" s="20" t="str">
        <f t="shared" si="90"/>
        <v>11104_2-5</v>
      </c>
      <c r="I145" s="31">
        <v>106</v>
      </c>
      <c r="J145" s="26" t="str">
        <f ca="1">VLOOKUP($I145,OFFSET([2]enemies!$A$1,0,0,COUNTA([2]enemies!$A:$A),MATCH(J$1,[2]enemies!$2:$2,0)-MATCH($I$1,[2]enemies!$2:$2,0)+1),MATCH(J$1,[2]enemies!$2:$2,0)-MATCH($I$1,[2]enemies!$2:$2,0)+1,FALSE)</f>
        <v>グリーンラビット</v>
      </c>
      <c r="K145" s="29" t="str">
        <f ca="1">VLOOKUP($I145,OFFSET([2]enemies!$A$1,0,0,COUNTA([2]enemies!$A:$A),MATCH(K$1,[2]enemies!$2:$2,0)-MATCH($I$1,[2]enemies!$2:$2,0)+1),MATCH(K$1,[2]enemies!$2:$2,0)-MATCH($I$1,[2]enemies!$2:$2,0)+1,FALSE)</f>
        <v>green</v>
      </c>
      <c r="L145" s="29" t="str">
        <f ca="1">VLOOKUP($I145,OFFSET([3]characters!$A$1,0,0,COUNTA([3]characters!$A:$A),MATCH(L$1,[3]characters!$2:$2,0)-MATCH($I$1,[3]characters!$2:$2,0)+1),MATCH(L$1,[3]characters!$2:$2,0)-MATCH($I$1,[3]characters!$2:$2,0)+1,FALSE)</f>
        <v>Material</v>
      </c>
      <c r="M145" s="28" t="str">
        <f ca="1">VLOOKUP($I145,OFFSET([3]characters!$A$1,0,0,COUNTA([3]characters!$A:$A),MATCH(M$1,[3]characters!$2:$2,0)-MATCH($I$1,[3]characters!$2:$2,0)+2),MATCH(M$1,[3]characters!$2:$2,0)-MATCH($I$1,[3]characters!$2:$2,0)+2,FALSE)</f>
        <v>Unknown</v>
      </c>
      <c r="N145" s="5">
        <f ca="1">VLOOKUP($I145,OFFSET([2]enemies!$A$1,0,0,COUNTA([2]enemies!$A:$A),MATCH(N$1,[2]enemies!$2:$2,0)-MATCH($I$1,[2]enemies!$2:$2,0)+1),MATCH(N$1,[2]enemies!$2:$2,0)-MATCH($I$1,[2]enemies!$2:$2,0)+1,FALSE)</f>
        <v>15</v>
      </c>
      <c r="O145" s="6">
        <v>15</v>
      </c>
      <c r="P145" s="48">
        <v>1.8</v>
      </c>
      <c r="Q145" s="46">
        <v>1</v>
      </c>
      <c r="R145" s="6">
        <v>0</v>
      </c>
      <c r="S145" s="5" t="str">
        <f ca="1">VLOOKUP($T145,OFFSET([4]enemy_skill_sets!$B$1,0,0,COUNTA([4]enemy_skill_sets!$B:$B),MATCH(J$1,[4]enemy_skill_sets!$1:$1,0)-MATCH($T$1,[4]enemy_skill_sets!$1:$1,0)+2),MATCH(J$1,[4]enemy_skill_sets!$1:$1,0)-MATCH($T$1,[4]enemy_skill_sets!$1:$1,0)+2,FALSE)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5" s="5">
        <f ca="1">VLOOKUP($I145,OFFSET([2]enemies!$A$1,0,0,COUNTA([2]enemies!$A:$A),MATCH(T$1,[2]enemies!$2:$2,0)-MATCH($I$1,[2]enemies!$2:$2,0)+1),MATCH(T$1,[2]enemies!$2:$2,0)-MATCH($I$1,[2]enemies!$2:$2,0)+1,FALSE)</f>
        <v>0</v>
      </c>
      <c r="U145" s="7">
        <v>2</v>
      </c>
      <c r="V145" s="7">
        <v>100</v>
      </c>
      <c r="W145" s="7">
        <v>0</v>
      </c>
      <c r="X145" s="26">
        <f ca="1">VLOOKUP($I145,OFFSET([2]enemies!$A$1,0,0,COUNTA([2]enemies!$A:$A),MATCH(X$1,[2]enemies!$2:$2,0)-MATCH($I$1,[2]enemies!$2:$2,0)+1),MATCH(X$1,[2]enemies!$2:$2,0)-MATCH($I$1,[2]enemies!$2:$2,0)+1,FALSE)</f>
        <v>2</v>
      </c>
      <c r="Y145" s="31">
        <v>106</v>
      </c>
      <c r="Z145" s="5" t="str">
        <f ca="1">IFERROR(VLOOKUP($Y145,OFFSET([3]characters!$A$1,0,0,COUNTA([3]characters!$A:$A),MATCH(Z$1,[3]characters!$2:$2,0)-MATCH("character_id",[3]characters!$2:$2,0)+1),MATCH(Z$1,[3]characters!$2:$2,0)-MATCH("character_id",[3]characters!$2:$2,0)+1,FALSE),"")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145" s="5">
        <f ca="1">IFERROR(VLOOKUP($Y145,OFFSET([3]characters!$A$1,0,0,COUNTA([3]characters!$A:$A),MATCH(AA$1,[3]characters!$2:$2,0)-MATCH("character_id",[3]characters!$2:$2,0)+1),MATCH(AA$1,[3]characters!$2:$2,0)-MATCH("character_id",[3]characters!$2:$2,0)+1,FALSE),"")</f>
        <v>3</v>
      </c>
      <c r="AB145" s="5" t="str">
        <f ca="1">IFERROR(VLOOKUP($Y145,OFFSET([3]characters!$A$1,0,0,COUNTA([3]characters!$A:$A),MATCH(AB$1,[3]characters!$2:$2,0)-MATCH("character_id",[3]characters!$2:$2,0)+1),MATCH(AB$1,[3]characters!$2:$2,0)-MATCH("character_id",[3]characters!$2:$2,0)+1,FALSE),"")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45" s="8">
        <v>1</v>
      </c>
      <c r="AD145" s="34">
        <f t="shared" ca="1" si="91"/>
        <v>3</v>
      </c>
      <c r="AE145" s="9">
        <v>100</v>
      </c>
      <c r="AF145" s="8">
        <v>0</v>
      </c>
      <c r="AG145" s="8">
        <v>0</v>
      </c>
      <c r="AH145" s="8">
        <v>0</v>
      </c>
      <c r="AI145" s="8">
        <v>0</v>
      </c>
      <c r="AJ145" s="8">
        <v>1</v>
      </c>
    </row>
    <row r="146" spans="1:36" ht="21" customHeight="1">
      <c r="A146" s="21" t="str">
        <f t="shared" ca="1" si="88"/>
        <v>11104_2-5/52&lt;lv18&gt;s2</v>
      </c>
      <c r="B146" s="8">
        <v>11104</v>
      </c>
      <c r="C146" s="52">
        <v>2</v>
      </c>
      <c r="D146" s="2" t="str">
        <f t="shared" si="89"/>
        <v>11104_2</v>
      </c>
      <c r="E146" s="5" t="str">
        <f ca="1">VLOOKUP($B146,OFFSET([1]quests!$A$1,0,0,COUNTA([1]quests!$A:$A),MATCH(E$1,[1]quests!$1:$1,0)-MATCH($B$1,[1]quests!$1:$1,0)+1),MATCH(E$1,[1]quests!$1:$1,0)-MATCH($B$1,[1]quests!$1:$1,0)+1,FALSE)</f>
        <v>【キャンペーン限定】 緑の素材</v>
      </c>
      <c r="F146" s="5" t="str">
        <f ca="1">VLOOKUP($D146,OFFSET([1]stages!$A$1,0,0,COUNTA([1]stages!$A:$A),MATCH(F$1,[1]stages!$2:$2,0)-MATCH($D$1,[1]stages!$2:$2,0)+1),MATCH(F$1,[1]stages!$2:$2,0)-MATCH($D$1,[1]stages!$2:$2,0)+1,FALSE)</f>
        <v>樹のウサギ 【中級】</v>
      </c>
      <c r="G146" s="32">
        <v>5</v>
      </c>
      <c r="H146" s="20" t="str">
        <f t="shared" si="90"/>
        <v>11104_2-5</v>
      </c>
      <c r="I146" s="31">
        <v>52</v>
      </c>
      <c r="J146" s="26" t="str">
        <f ca="1">VLOOKUP($I146,OFFSET([2]enemies!$A$1,0,0,COUNTA([2]enemies!$A:$A),MATCH(J$1,[2]enemies!$2:$2,0)-MATCH($I$1,[2]enemies!$2:$2,0)+1),MATCH(J$1,[2]enemies!$2:$2,0)-MATCH($I$1,[2]enemies!$2:$2,0)+1,FALSE)</f>
        <v>翠槍のレジスタンス マイ</v>
      </c>
      <c r="K146" s="29" t="str">
        <f ca="1">VLOOKUP($I146,OFFSET([2]enemies!$A$1,0,0,COUNTA([2]enemies!$A:$A),MATCH(K$1,[2]enemies!$2:$2,0)-MATCH($I$1,[2]enemies!$2:$2,0)+1),MATCH(K$1,[2]enemies!$2:$2,0)-MATCH($I$1,[2]enemies!$2:$2,0)+1,FALSE)</f>
        <v>green</v>
      </c>
      <c r="L146" s="29" t="str">
        <f ca="1">VLOOKUP($I146,OFFSET([3]characters!$A$1,0,0,COUNTA([3]characters!$A:$A),MATCH(L$1,[3]characters!$2:$2,0)-MATCH($I$1,[3]characters!$2:$2,0)+1),MATCH(L$1,[3]characters!$2:$2,0)-MATCH($I$1,[3]characters!$2:$2,0)+1,FALSE)</f>
        <v>Drop1N</v>
      </c>
      <c r="M146" s="28" t="str">
        <f ca="1">VLOOKUP($I146,OFFSET([3]characters!$A$1,0,0,COUNTA([3]characters!$A:$A),MATCH(M$1,[3]characters!$2:$2,0)-MATCH($I$1,[3]characters!$2:$2,0)+2),MATCH(M$1,[3]characters!$2:$2,0)-MATCH($I$1,[3]characters!$2:$2,0)+2,FALSE)</f>
        <v>ヒューマン</v>
      </c>
      <c r="N146" s="5">
        <f ca="1">VLOOKUP($I146,OFFSET([2]enemies!$A$1,0,0,COUNTA([2]enemies!$A:$A),MATCH(N$1,[2]enemies!$2:$2,0)-MATCH($I$1,[2]enemies!$2:$2,0)+1),MATCH(N$1,[2]enemies!$2:$2,0)-MATCH($I$1,[2]enemies!$2:$2,0)+1,FALSE)</f>
        <v>20</v>
      </c>
      <c r="O146" s="6">
        <v>18</v>
      </c>
      <c r="P146" s="46">
        <v>1</v>
      </c>
      <c r="Q146" s="46">
        <v>1</v>
      </c>
      <c r="R146" s="6">
        <v>0</v>
      </c>
      <c r="S146" s="5" t="str">
        <f ca="1">VLOOKUP($T146,OFFSET([4]enemy_skill_sets!$B$1,0,0,COUNTA([4]enemy_skill_sets!$B:$B),MATCH(J$1,[4]enemy_skill_sets!$1:$1,0)-MATCH($T$1,[4]enemy_skill_sets!$1:$1,0)+2),MATCH(J$1,[4]enemy_skill_sets!$1:$1,0)-MATCH($T$1,[4]enemy_skill_sets!$1:$1,0)+2,FALSE)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146" s="5">
        <f ca="1">VLOOKUP($I146,OFFSET([2]enemies!$A$1,0,0,COUNTA([2]enemies!$A:$A),MATCH(T$1,[2]enemies!$2:$2,0)-MATCH($I$1,[2]enemies!$2:$2,0)+1),MATCH(T$1,[2]enemies!$2:$2,0)-MATCH($I$1,[2]enemies!$2:$2,0)+1,FALSE)</f>
        <v>51</v>
      </c>
      <c r="U146" s="7">
        <v>0</v>
      </c>
      <c r="V146" s="7">
        <v>100</v>
      </c>
      <c r="W146" s="7">
        <v>1</v>
      </c>
      <c r="X146" s="26">
        <f ca="1">VLOOKUP($I146,OFFSET([2]enemies!$A$1,0,0,COUNTA([2]enemies!$A:$A),MATCH(X$1,[2]enemies!$2:$2,0)-MATCH($I$1,[2]enemies!$2:$2,0)+1),MATCH(X$1,[2]enemies!$2:$2,0)-MATCH($I$1,[2]enemies!$2:$2,0)+1,FALSE)</f>
        <v>2</v>
      </c>
      <c r="Y146" s="31">
        <v>51</v>
      </c>
      <c r="Z146" s="5" t="str">
        <f ca="1">IFERROR(VLOOKUP($Y146,OFFSET([3]characters!$A$1,0,0,COUNTA([3]characters!$A:$A),MATCH(Z$1,[3]characters!$2:$2,0)-MATCH("character_id",[3]characters!$2:$2,0)+1),MATCH(Z$1,[3]characters!$2:$2,0)-MATCH("character_id",[3]characters!$2:$2,0)+1,FALSE),"")</f>
        <v>マイ</v>
      </c>
      <c r="AA146" s="5">
        <f ca="1">IFERROR(VLOOKUP($Y146,OFFSET([3]characters!$A$1,0,0,COUNTA([3]characters!$A:$A),MATCH(AA$1,[3]characters!$2:$2,0)-MATCH("character_id",[3]characters!$2:$2,0)+1),MATCH(AA$1,[3]characters!$2:$2,0)-MATCH("character_id",[3]characters!$2:$2,0)+1,FALSE),"")</f>
        <v>2</v>
      </c>
      <c r="AB146" s="5" t="str">
        <f ca="1">IFERROR(VLOOKUP($Y146,OFFSET([3]characters!$A$1,0,0,COUNTA([3]characters!$A:$A),MATCH(AB$1,[3]characters!$2:$2,0)-MATCH("character_id",[3]characters!$2:$2,0)+1),MATCH(AB$1,[3]characters!$2:$2,0)-MATCH("character_id",[3]characters!$2:$2,0)+1,FALSE),"")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46" s="8">
        <v>1</v>
      </c>
      <c r="AD146" s="34">
        <f t="shared" ca="1" si="91"/>
        <v>2</v>
      </c>
      <c r="AE146" s="9">
        <v>0</v>
      </c>
      <c r="AF146" s="8">
        <v>0</v>
      </c>
      <c r="AG146" s="8">
        <v>0</v>
      </c>
      <c r="AH146" s="8">
        <v>0</v>
      </c>
      <c r="AI146" s="8">
        <v>0</v>
      </c>
      <c r="AJ146" s="8">
        <v>1</v>
      </c>
    </row>
    <row r="147" spans="1:36" ht="21" customHeight="1">
      <c r="A147" s="21" t="str">
        <f t="shared" ref="A147" ca="1" si="92">B147&amp;"_"&amp;C147&amp;"-"&amp;G147&amp;"/"&amp;I147&amp;"&lt;lv"&amp;O147&amp;"&gt;s"&amp;X147</f>
        <v>11104_2-5/44&lt;lv18&gt;s2</v>
      </c>
      <c r="B147" s="8">
        <v>11104</v>
      </c>
      <c r="C147" s="52">
        <v>2</v>
      </c>
      <c r="D147" s="2" t="str">
        <f t="shared" ref="D147" si="93">B147&amp;"_"&amp;C147</f>
        <v>11104_2</v>
      </c>
      <c r="E147" s="5" t="str">
        <f ca="1">VLOOKUP($B147,OFFSET([1]quests!$A$1,0,0,COUNTA([1]quests!$A:$A),MATCH(E$1,[1]quests!$1:$1,0)-MATCH($B$1,[1]quests!$1:$1,0)+1),MATCH(E$1,[1]quests!$1:$1,0)-MATCH($B$1,[1]quests!$1:$1,0)+1,FALSE)</f>
        <v>【キャンペーン限定】 緑の素材</v>
      </c>
      <c r="F147" s="5" t="str">
        <f ca="1">VLOOKUP($D147,OFFSET([1]stages!$A$1,0,0,COUNTA([1]stages!$A:$A),MATCH(F$1,[1]stages!$2:$2,0)-MATCH($D$1,[1]stages!$2:$2,0)+1),MATCH(F$1,[1]stages!$2:$2,0)-MATCH($D$1,[1]stages!$2:$2,0)+1,FALSE)</f>
        <v>樹のウサギ 【中級】</v>
      </c>
      <c r="G147" s="32">
        <v>5</v>
      </c>
      <c r="H147" s="20" t="str">
        <f t="shared" ref="H147" si="94">B147&amp;"_"&amp;C147&amp;"-"&amp;G147</f>
        <v>11104_2-5</v>
      </c>
      <c r="I147" s="31">
        <v>44</v>
      </c>
      <c r="J147" s="26" t="str">
        <f ca="1">VLOOKUP($I147,OFFSET([2]enemies!$A$1,0,0,COUNTA([2]enemies!$A:$A),MATCH(J$1,[2]enemies!$2:$2,0)-MATCH($I$1,[2]enemies!$2:$2,0)+1),MATCH(J$1,[2]enemies!$2:$2,0)-MATCH($I$1,[2]enemies!$2:$2,0)+1,FALSE)</f>
        <v>遠い星からやってきたムゥ</v>
      </c>
      <c r="K147" s="29" t="str">
        <f ca="1">VLOOKUP($I147,OFFSET([2]enemies!$A$1,0,0,COUNTA([2]enemies!$A:$A),MATCH(K$1,[2]enemies!$2:$2,0)-MATCH($I$1,[2]enemies!$2:$2,0)+1),MATCH(K$1,[2]enemies!$2:$2,0)-MATCH($I$1,[2]enemies!$2:$2,0)+1,FALSE)</f>
        <v>green</v>
      </c>
      <c r="L147" s="29" t="str">
        <f ca="1">VLOOKUP($I147,OFFSET([3]characters!$A$1,0,0,COUNTA([3]characters!$A:$A),MATCH(L$1,[3]characters!$2:$2,0)-MATCH($I$1,[3]characters!$2:$2,0)+1),MATCH(L$1,[3]characters!$2:$2,0)-MATCH($I$1,[3]characters!$2:$2,0)+1,FALSE)</f>
        <v>Drop1N</v>
      </c>
      <c r="M147" s="28" t="str">
        <f ca="1">VLOOKUP($I147,OFFSET([3]characters!$A$1,0,0,COUNTA([3]characters!$A:$A),MATCH(M$1,[3]characters!$2:$2,0)-MATCH($I$1,[3]characters!$2:$2,0)+2),MATCH(M$1,[3]characters!$2:$2,0)-MATCH($I$1,[3]characters!$2:$2,0)+2,FALSE)</f>
        <v>ドラゴン</v>
      </c>
      <c r="N147" s="5">
        <f ca="1">VLOOKUP($I147,OFFSET([2]enemies!$A$1,0,0,COUNTA([2]enemies!$A:$A),MATCH(N$1,[2]enemies!$2:$2,0)-MATCH($I$1,[2]enemies!$2:$2,0)+1),MATCH(N$1,[2]enemies!$2:$2,0)-MATCH($I$1,[2]enemies!$2:$2,0)+1,FALSE)</f>
        <v>20</v>
      </c>
      <c r="O147" s="6">
        <v>18</v>
      </c>
      <c r="P147" s="46">
        <v>1</v>
      </c>
      <c r="Q147" s="46">
        <v>1</v>
      </c>
      <c r="R147" s="6">
        <v>0</v>
      </c>
      <c r="S147" s="5" t="str">
        <f ca="1">VLOOKUP($T147,OFFSET([4]enemy_skill_sets!$B$1,0,0,COUNTA([4]enemy_skill_sets!$B:$B),MATCH(J$1,[4]enemy_skill_sets!$1:$1,0)-MATCH($T$1,[4]enemy_skill_sets!$1:$1,0)+2),MATCH(J$1,[4]enemy_skill_sets!$1:$1,0)-MATCH($T$1,[4]enemy_skill_sets!$1:$1,0)+2,FALSE)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7" s="5">
        <f ca="1">VLOOKUP($I147,OFFSET([2]enemies!$A$1,0,0,COUNTA([2]enemies!$A:$A),MATCH(T$1,[2]enemies!$2:$2,0)-MATCH($I$1,[2]enemies!$2:$2,0)+1),MATCH(T$1,[2]enemies!$2:$2,0)-MATCH($I$1,[2]enemies!$2:$2,0)+1,FALSE)</f>
        <v>0</v>
      </c>
      <c r="U147" s="7">
        <v>0</v>
      </c>
      <c r="V147" s="7">
        <v>100</v>
      </c>
      <c r="W147" s="7">
        <v>1</v>
      </c>
      <c r="X147" s="26">
        <f ca="1">VLOOKUP($I147,OFFSET([2]enemies!$A$1,0,0,COUNTA([2]enemies!$A:$A),MATCH(X$1,[2]enemies!$2:$2,0)-MATCH($I$1,[2]enemies!$2:$2,0)+1),MATCH(X$1,[2]enemies!$2:$2,0)-MATCH($I$1,[2]enemies!$2:$2,0)+1,FALSE)</f>
        <v>2</v>
      </c>
      <c r="Y147" s="31">
        <v>43</v>
      </c>
      <c r="Z147" s="5" t="str">
        <f ca="1">IFERROR(VLOOKUP($Y147,OFFSET([3]characters!$A$1,0,0,COUNTA([3]characters!$A:$A),MATCH(Z$1,[3]characters!$2:$2,0)-MATCH("character_id",[3]characters!$2:$2,0)+1),MATCH(Z$1,[3]characters!$2:$2,0)-MATCH("character_id",[3]characters!$2:$2,0)+1,FALSE),"")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147" s="5">
        <f ca="1">IFERROR(VLOOKUP($Y147,OFFSET([3]characters!$A$1,0,0,COUNTA([3]characters!$A:$A),MATCH(AA$1,[3]characters!$2:$2,0)-MATCH("character_id",[3]characters!$2:$2,0)+1),MATCH(AA$1,[3]characters!$2:$2,0)-MATCH("character_id",[3]characters!$2:$2,0)+1,FALSE),"")</f>
        <v>2</v>
      </c>
      <c r="AB147" s="5" t="str">
        <f ca="1">IFERROR(VLOOKUP($Y147,OFFSET([3]characters!$A$1,0,0,COUNTA([3]characters!$A:$A),MATCH(AB$1,[3]characters!$2:$2,0)-MATCH("character_id",[3]characters!$2:$2,0)+1),MATCH(AB$1,[3]characters!$2:$2,0)-MATCH("character_id",[3]characters!$2:$2,0)+1,FALSE),"")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47" s="8">
        <v>1</v>
      </c>
      <c r="AD147" s="34">
        <f t="shared" ref="AD147" ca="1" si="95">AA147</f>
        <v>2</v>
      </c>
      <c r="AE147" s="9">
        <v>0</v>
      </c>
      <c r="AF147" s="8">
        <v>0</v>
      </c>
      <c r="AG147" s="8">
        <v>0</v>
      </c>
      <c r="AH147" s="8">
        <v>0</v>
      </c>
      <c r="AI147" s="8">
        <v>0</v>
      </c>
      <c r="AJ147" s="8">
        <v>1</v>
      </c>
    </row>
    <row r="148" spans="1:36" ht="21" customHeight="1">
      <c r="A148" s="21" t="str">
        <f t="shared" ref="A148" ca="1" si="96">B148&amp;"_"&amp;C148&amp;"-"&amp;G148&amp;"/"&amp;I148&amp;"&lt;lv"&amp;O148&amp;"&gt;s"&amp;X148</f>
        <v>11104_2-5/60&lt;lv18&gt;s2</v>
      </c>
      <c r="B148" s="8">
        <v>11104</v>
      </c>
      <c r="C148" s="52">
        <v>2</v>
      </c>
      <c r="D148" s="2" t="str">
        <f t="shared" ref="D148" si="97">B148&amp;"_"&amp;C148</f>
        <v>11104_2</v>
      </c>
      <c r="E148" s="5" t="str">
        <f ca="1">VLOOKUP($B148,OFFSET([1]quests!$A$1,0,0,COUNTA([1]quests!$A:$A),MATCH(E$1,[1]quests!$1:$1,0)-MATCH($B$1,[1]quests!$1:$1,0)+1),MATCH(E$1,[1]quests!$1:$1,0)-MATCH($B$1,[1]quests!$1:$1,0)+1,FALSE)</f>
        <v>【キャンペーン限定】 緑の素材</v>
      </c>
      <c r="F148" s="5" t="str">
        <f ca="1">VLOOKUP($D148,OFFSET([1]stages!$A$1,0,0,COUNTA([1]stages!$A:$A),MATCH(F$1,[1]stages!$2:$2,0)-MATCH($D$1,[1]stages!$2:$2,0)+1),MATCH(F$1,[1]stages!$2:$2,0)-MATCH($D$1,[1]stages!$2:$2,0)+1,FALSE)</f>
        <v>樹のウサギ 【中級】</v>
      </c>
      <c r="G148" s="32">
        <v>5</v>
      </c>
      <c r="H148" s="20" t="str">
        <f t="shared" ref="H148" si="98">B148&amp;"_"&amp;C148&amp;"-"&amp;G148</f>
        <v>11104_2-5</v>
      </c>
      <c r="I148" s="31">
        <v>60</v>
      </c>
      <c r="J148" s="26" t="str">
        <f ca="1">VLOOKUP($I148,OFFSET([2]enemies!$A$1,0,0,COUNTA([2]enemies!$A:$A),MATCH(J$1,[2]enemies!$2:$2,0)-MATCH($I$1,[2]enemies!$2:$2,0)+1),MATCH(J$1,[2]enemies!$2:$2,0)-MATCH($I$1,[2]enemies!$2:$2,0)+1,FALSE)</f>
        <v>おでかけマーチ</v>
      </c>
      <c r="K148" s="29" t="str">
        <f ca="1">VLOOKUP($I148,OFFSET([2]enemies!$A$1,0,0,COUNTA([2]enemies!$A:$A),MATCH(K$1,[2]enemies!$2:$2,0)-MATCH($I$1,[2]enemies!$2:$2,0)+1),MATCH(K$1,[2]enemies!$2:$2,0)-MATCH($I$1,[2]enemies!$2:$2,0)+1,FALSE)</f>
        <v>green</v>
      </c>
      <c r="L148" s="29" t="str">
        <f ca="1">VLOOKUP($I148,OFFSET([3]characters!$A$1,0,0,COUNTA([3]characters!$A:$A),MATCH(L$1,[3]characters!$2:$2,0)-MATCH($I$1,[3]characters!$2:$2,0)+1),MATCH(L$1,[3]characters!$2:$2,0)-MATCH($I$1,[3]characters!$2:$2,0)+1,FALSE)</f>
        <v>Drop1N</v>
      </c>
      <c r="M148" s="28" t="str">
        <f ca="1">VLOOKUP($I148,OFFSET([3]characters!$A$1,0,0,COUNTA([3]characters!$A:$A),MATCH(M$1,[3]characters!$2:$2,0)-MATCH($I$1,[3]characters!$2:$2,0)+2),MATCH(M$1,[3]characters!$2:$2,0)-MATCH($I$1,[3]characters!$2:$2,0)+2,FALSE)</f>
        <v>アニマル</v>
      </c>
      <c r="N148" s="5">
        <f ca="1">VLOOKUP($I148,OFFSET([2]enemies!$A$1,0,0,COUNTA([2]enemies!$A:$A),MATCH(N$1,[2]enemies!$2:$2,0)-MATCH($I$1,[2]enemies!$2:$2,0)+1),MATCH(N$1,[2]enemies!$2:$2,0)-MATCH($I$1,[2]enemies!$2:$2,0)+1,FALSE)</f>
        <v>20</v>
      </c>
      <c r="O148" s="6">
        <v>18</v>
      </c>
      <c r="P148" s="46">
        <v>1</v>
      </c>
      <c r="Q148" s="46">
        <v>1</v>
      </c>
      <c r="R148" s="6">
        <v>0</v>
      </c>
      <c r="S148" s="5" t="str">
        <f ca="1">VLOOKUP($T148,OFFSET([4]enemy_skill_sets!$B$1,0,0,COUNTA([4]enemy_skill_sets!$B:$B),MATCH(J$1,[4]enemy_skill_sets!$1:$1,0)-MATCH($T$1,[4]enemy_skill_sets!$1:$1,0)+2),MATCH(J$1,[4]enemy_skill_sets!$1:$1,0)-MATCH($T$1,[4]enemy_skill_sets!$1:$1,0)+2,FALSE)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8" s="5">
        <f ca="1">VLOOKUP($I148,OFFSET([2]enemies!$A$1,0,0,COUNTA([2]enemies!$A:$A),MATCH(T$1,[2]enemies!$2:$2,0)-MATCH($I$1,[2]enemies!$2:$2,0)+1),MATCH(T$1,[2]enemies!$2:$2,0)-MATCH($I$1,[2]enemies!$2:$2,0)+1,FALSE)</f>
        <v>0</v>
      </c>
      <c r="U148" s="7">
        <v>0</v>
      </c>
      <c r="V148" s="7">
        <v>100</v>
      </c>
      <c r="W148" s="7">
        <v>1</v>
      </c>
      <c r="X148" s="26">
        <f ca="1">VLOOKUP($I148,OFFSET([2]enemies!$A$1,0,0,COUNTA([2]enemies!$A:$A),MATCH(X$1,[2]enemies!$2:$2,0)-MATCH($I$1,[2]enemies!$2:$2,0)+1),MATCH(X$1,[2]enemies!$2:$2,0)-MATCH($I$1,[2]enemies!$2:$2,0)+1,FALSE)</f>
        <v>2</v>
      </c>
      <c r="Y148" s="31">
        <v>59</v>
      </c>
      <c r="Z148" s="5" t="str">
        <f ca="1">IFERROR(VLOOKUP($Y148,OFFSET([3]characters!$A$1,0,0,COUNTA([3]characters!$A:$A),MATCH(Z$1,[3]characters!$2:$2,0)-MATCH("character_id",[3]characters!$2:$2,0)+1),MATCH(Z$1,[3]characters!$2:$2,0)-MATCH("character_id",[3]characters!$2:$2,0)+1,FALSE),"")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148" s="5">
        <f ca="1">IFERROR(VLOOKUP($Y148,OFFSET([3]characters!$A$1,0,0,COUNTA([3]characters!$A:$A),MATCH(AA$1,[3]characters!$2:$2,0)-MATCH("character_id",[3]characters!$2:$2,0)+1),MATCH(AA$1,[3]characters!$2:$2,0)-MATCH("character_id",[3]characters!$2:$2,0)+1,FALSE),"")</f>
        <v>2</v>
      </c>
      <c r="AB148" s="5" t="str">
        <f ca="1">IFERROR(VLOOKUP($Y148,OFFSET([3]characters!$A$1,0,0,COUNTA([3]characters!$A:$A),MATCH(AB$1,[3]characters!$2:$2,0)-MATCH("character_id",[3]characters!$2:$2,0)+1),MATCH(AB$1,[3]characters!$2:$2,0)-MATCH("character_id",[3]characters!$2:$2,0)+1,FALSE),"")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48" s="8">
        <v>1</v>
      </c>
      <c r="AD148" s="34">
        <f t="shared" ref="AD148" ca="1" si="99">AA148</f>
        <v>2</v>
      </c>
      <c r="AE148" s="9">
        <v>0</v>
      </c>
      <c r="AF148" s="8">
        <v>0</v>
      </c>
      <c r="AG148" s="8">
        <v>0</v>
      </c>
      <c r="AH148" s="8">
        <v>0</v>
      </c>
      <c r="AI148" s="8">
        <v>0</v>
      </c>
      <c r="AJ148" s="8">
        <v>1</v>
      </c>
    </row>
    <row r="149" spans="1:36" ht="21" customHeight="1">
      <c r="A149" s="21" t="str">
        <f t="shared" ca="1" si="88"/>
        <v>11104_3-1/107&lt;lv30&gt;s1</v>
      </c>
      <c r="B149" s="8">
        <v>11104</v>
      </c>
      <c r="C149" s="52">
        <v>3</v>
      </c>
      <c r="D149" s="2" t="str">
        <f t="shared" si="89"/>
        <v>11104_3</v>
      </c>
      <c r="E149" s="5" t="str">
        <f ca="1">VLOOKUP($B149,OFFSET([1]quests!$A$1,0,0,COUNTA([1]quests!$A:$A),MATCH(E$1,[1]quests!$1:$1,0)-MATCH($B$1,[1]quests!$1:$1,0)+1),MATCH(E$1,[1]quests!$1:$1,0)-MATCH($B$1,[1]quests!$1:$1,0)+1,FALSE)</f>
        <v>【キャンペーン限定】 緑の素材</v>
      </c>
      <c r="F149" s="5" t="str">
        <f ca="1">VLOOKUP($D149,OFFSET([1]stages!$A$1,0,0,COUNTA([1]stages!$A:$A),MATCH(F$1,[1]stages!$2:$2,0)-MATCH($D$1,[1]stages!$2:$2,0)+1),MATCH(F$1,[1]stages!$2:$2,0)-MATCH($D$1,[1]stages!$2:$2,0)+1,FALSE)</f>
        <v>樹のイモムシ 【上級】</v>
      </c>
      <c r="G149" s="32">
        <v>1</v>
      </c>
      <c r="H149" s="20" t="str">
        <f t="shared" si="90"/>
        <v>11104_3-1</v>
      </c>
      <c r="I149" s="31">
        <v>107</v>
      </c>
      <c r="J149" s="26" t="str">
        <f ca="1">VLOOKUP($I149,OFFSET([2]enemies!$A$1,0,0,COUNTA([2]enemies!$A:$A),MATCH(J$1,[2]enemies!$2:$2,0)-MATCH($I$1,[2]enemies!$2:$2,0)+1),MATCH(J$1,[2]enemies!$2:$2,0)-MATCH($I$1,[2]enemies!$2:$2,0)+1,FALSE)</f>
        <v>グリーンキャタップ</v>
      </c>
      <c r="K149" s="29" t="str">
        <f ca="1">VLOOKUP($I149,OFFSET([2]enemies!$A$1,0,0,COUNTA([2]enemies!$A:$A),MATCH(K$1,[2]enemies!$2:$2,0)-MATCH($I$1,[2]enemies!$2:$2,0)+1),MATCH(K$1,[2]enemies!$2:$2,0)-MATCH($I$1,[2]enemies!$2:$2,0)+1,FALSE)</f>
        <v>green</v>
      </c>
      <c r="L149" s="29" t="str">
        <f ca="1">VLOOKUP($I149,OFFSET([3]characters!$A$1,0,0,COUNTA([3]characters!$A:$A),MATCH(L$1,[3]characters!$2:$2,0)-MATCH($I$1,[3]characters!$2:$2,0)+1),MATCH(L$1,[3]characters!$2:$2,0)-MATCH($I$1,[3]characters!$2:$2,0)+1,FALSE)</f>
        <v>Material</v>
      </c>
      <c r="M149" s="28" t="str">
        <f ca="1">VLOOKUP($I149,OFFSET([3]characters!$A$1,0,0,COUNTA([3]characters!$A:$A),MATCH(M$1,[3]characters!$2:$2,0)-MATCH($I$1,[3]characters!$2:$2,0)+2),MATCH(M$1,[3]characters!$2:$2,0)-MATCH($I$1,[3]characters!$2:$2,0)+2,FALSE)</f>
        <v>Unknown</v>
      </c>
      <c r="N149" s="5">
        <f ca="1">VLOOKUP($I149,OFFSET([2]enemies!$A$1,0,0,COUNTA([2]enemies!$A:$A),MATCH(N$1,[2]enemies!$2:$2,0)-MATCH($I$1,[2]enemies!$2:$2,0)+1),MATCH(N$1,[2]enemies!$2:$2,0)-MATCH($I$1,[2]enemies!$2:$2,0)+1,FALSE)</f>
        <v>15</v>
      </c>
      <c r="O149" s="6">
        <v>30</v>
      </c>
      <c r="P149" s="46">
        <v>2</v>
      </c>
      <c r="Q149" s="46">
        <v>1</v>
      </c>
      <c r="R149" s="6">
        <v>0</v>
      </c>
      <c r="S149" s="5" t="str">
        <f ca="1">VLOOKUP($T149,OFFSET([4]enemy_skill_sets!$B$1,0,0,COUNTA([4]enemy_skill_sets!$B:$B),MATCH(J$1,[4]enemy_skill_sets!$1:$1,0)-MATCH($T$1,[4]enemy_skill_sets!$1:$1,0)+2),MATCH(J$1,[4]enemy_skill_sets!$1:$1,0)-MATCH($T$1,[4]enemy_skill_sets!$1:$1,0)+2,FALSE)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9" s="5">
        <f ca="1">VLOOKUP($I149,OFFSET([2]enemies!$A$1,0,0,COUNTA([2]enemies!$A:$A),MATCH(T$1,[2]enemies!$2:$2,0)-MATCH($I$1,[2]enemies!$2:$2,0)+1),MATCH(T$1,[2]enemies!$2:$2,0)-MATCH($I$1,[2]enemies!$2:$2,0)+1,FALSE)</f>
        <v>0</v>
      </c>
      <c r="U149" s="7">
        <v>1</v>
      </c>
      <c r="V149" s="7">
        <v>100</v>
      </c>
      <c r="W149" s="7">
        <v>1</v>
      </c>
      <c r="X149" s="26">
        <f ca="1">VLOOKUP($I149,OFFSET([2]enemies!$A$1,0,0,COUNTA([2]enemies!$A:$A),MATCH(X$1,[2]enemies!$2:$2,0)-MATCH($I$1,[2]enemies!$2:$2,0)+1),MATCH(X$1,[2]enemies!$2:$2,0)-MATCH($I$1,[2]enemies!$2:$2,0)+1,FALSE)</f>
        <v>1</v>
      </c>
      <c r="Y149" s="31">
        <v>107</v>
      </c>
      <c r="Z149" s="5" t="str">
        <f ca="1">IFERROR(VLOOKUP($Y149,OFFSET([3]characters!$A$1,0,0,COUNTA([3]characters!$A:$A),MATCH(Z$1,[3]characters!$2:$2,0)-MATCH("character_id",[3]characters!$2:$2,0)+1),MATCH(Z$1,[3]characters!$2:$2,0)-MATCH("character_id",[3]characters!$2:$2,0)+1,FALSE),"")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149" s="5">
        <f ca="1">IFERROR(VLOOKUP($Y149,OFFSET([3]characters!$A$1,0,0,COUNTA([3]characters!$A:$A),MATCH(AA$1,[3]characters!$2:$2,0)-MATCH("character_id",[3]characters!$2:$2,0)+1),MATCH(AA$1,[3]characters!$2:$2,0)-MATCH("character_id",[3]characters!$2:$2,0)+1,FALSE),"")</f>
        <v>4</v>
      </c>
      <c r="AB149" s="5" t="str">
        <f ca="1">IFERROR(VLOOKUP($Y149,OFFSET([3]characters!$A$1,0,0,COUNTA([3]characters!$A:$A),MATCH(AB$1,[3]characters!$2:$2,0)-MATCH("character_id",[3]characters!$2:$2,0)+1),MATCH(AB$1,[3]characters!$2:$2,0)-MATCH("character_id",[3]characters!$2:$2,0)+1,FALSE),"")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49" s="8">
        <v>1</v>
      </c>
      <c r="AD149" s="34">
        <f t="shared" ca="1" si="91"/>
        <v>4</v>
      </c>
      <c r="AE149" s="9">
        <v>10</v>
      </c>
      <c r="AF149" s="8">
        <v>0</v>
      </c>
      <c r="AG149" s="8">
        <v>0</v>
      </c>
      <c r="AH149" s="8">
        <v>0</v>
      </c>
      <c r="AI149" s="8">
        <v>0</v>
      </c>
      <c r="AJ149" s="8">
        <v>1</v>
      </c>
    </row>
    <row r="150" spans="1:36" ht="21" customHeight="1">
      <c r="A150" s="21" t="str">
        <f t="shared" ca="1" si="88"/>
        <v>11104_3-1/35&lt;lv35&gt;s4</v>
      </c>
      <c r="B150" s="8">
        <v>11104</v>
      </c>
      <c r="C150" s="52">
        <v>3</v>
      </c>
      <c r="D150" s="2" t="str">
        <f t="shared" si="89"/>
        <v>11104_3</v>
      </c>
      <c r="E150" s="5" t="str">
        <f ca="1">VLOOKUP($B150,OFFSET([1]quests!$A$1,0,0,COUNTA([1]quests!$A:$A),MATCH(E$1,[1]quests!$1:$1,0)-MATCH($B$1,[1]quests!$1:$1,0)+1),MATCH(E$1,[1]quests!$1:$1,0)-MATCH($B$1,[1]quests!$1:$1,0)+1,FALSE)</f>
        <v>【キャンペーン限定】 緑の素材</v>
      </c>
      <c r="F150" s="5" t="str">
        <f ca="1">VLOOKUP($D150,OFFSET([1]stages!$A$1,0,0,COUNTA([1]stages!$A:$A),MATCH(F$1,[1]stages!$2:$2,0)-MATCH($D$1,[1]stages!$2:$2,0)+1),MATCH(F$1,[1]stages!$2:$2,0)-MATCH($D$1,[1]stages!$2:$2,0)+1,FALSE)</f>
        <v>樹のイモムシ 【上級】</v>
      </c>
      <c r="G150" s="32">
        <v>1</v>
      </c>
      <c r="H150" s="20" t="str">
        <f t="shared" si="90"/>
        <v>11104_3-1</v>
      </c>
      <c r="I150" s="31">
        <v>35</v>
      </c>
      <c r="J150" s="26" t="str">
        <f ca="1">VLOOKUP($I150,OFFSET([2]enemies!$A$1,0,0,COUNTA([2]enemies!$A:$A),MATCH(J$1,[2]enemies!$2:$2,0)-MATCH($I$1,[2]enemies!$2:$2,0)+1),MATCH(J$1,[2]enemies!$2:$2,0)-MATCH($I$1,[2]enemies!$2:$2,0)+1,FALSE)</f>
        <v>F2</v>
      </c>
      <c r="K150" s="29" t="str">
        <f ca="1">VLOOKUP($I150,OFFSET([2]enemies!$A$1,0,0,COUNTA([2]enemies!$A:$A),MATCH(K$1,[2]enemies!$2:$2,0)-MATCH($I$1,[2]enemies!$2:$2,0)+1),MATCH(K$1,[2]enemies!$2:$2,0)-MATCH($I$1,[2]enemies!$2:$2,0)+1,FALSE)</f>
        <v>green</v>
      </c>
      <c r="L150" s="29" t="str">
        <f ca="1">VLOOKUP($I150,OFFSET([3]characters!$A$1,0,0,COUNTA([3]characters!$A:$A),MATCH(L$1,[3]characters!$2:$2,0)-MATCH($I$1,[3]characters!$2:$2,0)+1),MATCH(L$1,[3]characters!$2:$2,0)-MATCH($I$1,[3]characters!$2:$2,0)+1,FALSE)</f>
        <v>Drop1S</v>
      </c>
      <c r="M150" s="28" t="str">
        <f ca="1">VLOOKUP($I150,OFFSET([3]characters!$A$1,0,0,COUNTA([3]characters!$A:$A),MATCH(M$1,[3]characters!$2:$2,0)-MATCH($I$1,[3]characters!$2:$2,0)+2),MATCH(M$1,[3]characters!$2:$2,0)-MATCH($I$1,[3]characters!$2:$2,0)+2,FALSE)</f>
        <v>マシン</v>
      </c>
      <c r="N150" s="5">
        <f ca="1">VLOOKUP($I150,OFFSET([2]enemies!$A$1,0,0,COUNTA([2]enemies!$A:$A),MATCH(N$1,[2]enemies!$2:$2,0)-MATCH($I$1,[2]enemies!$2:$2,0)+1),MATCH(N$1,[2]enemies!$2:$2,0)-MATCH($I$1,[2]enemies!$2:$2,0)+1,FALSE)</f>
        <v>15</v>
      </c>
      <c r="O150" s="6">
        <v>35</v>
      </c>
      <c r="P150" s="46">
        <v>1</v>
      </c>
      <c r="Q150" s="46">
        <v>1</v>
      </c>
      <c r="R150" s="6">
        <v>0</v>
      </c>
      <c r="S150" s="5" t="str">
        <f ca="1">VLOOKUP($T150,OFFSET([4]enemy_skill_sets!$B$1,0,0,COUNTA([4]enemy_skill_sets!$B:$B),MATCH(J$1,[4]enemy_skill_sets!$1:$1,0)-MATCH($T$1,[4]enemy_skill_sets!$1:$1,0)+2),MATCH(J$1,[4]enemy_skill_sets!$1:$1,0)-MATCH($T$1,[4]enemy_skill_sets!$1:$1,0)+2,FALSE)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150" s="5">
        <f ca="1">VLOOKUP($I150,OFFSET([2]enemies!$A$1,0,0,COUNTA([2]enemies!$A:$A),MATCH(T$1,[2]enemies!$2:$2,0)-MATCH($I$1,[2]enemies!$2:$2,0)+1),MATCH(T$1,[2]enemies!$2:$2,0)-MATCH($I$1,[2]enemies!$2:$2,0)+1,FALSE)</f>
        <v>35</v>
      </c>
      <c r="U150" s="7">
        <v>0</v>
      </c>
      <c r="V150" s="7">
        <v>100</v>
      </c>
      <c r="W150" s="7">
        <v>0</v>
      </c>
      <c r="X150" s="26">
        <f ca="1">VLOOKUP($I150,OFFSET([2]enemies!$A$1,0,0,COUNTA([2]enemies!$A:$A),MATCH(X$1,[2]enemies!$2:$2,0)-MATCH($I$1,[2]enemies!$2:$2,0)+1),MATCH(X$1,[2]enemies!$2:$2,0)-MATCH($I$1,[2]enemies!$2:$2,0)+1,FALSE)</f>
        <v>4</v>
      </c>
      <c r="Y150" s="31">
        <v>35</v>
      </c>
      <c r="Z150" s="5" t="str">
        <f ca="1">IFERROR(VLOOKUP($Y150,OFFSET([3]characters!$A$1,0,0,COUNTA([3]characters!$A:$A),MATCH(Z$1,[3]characters!$2:$2,0)-MATCH("character_id",[3]characters!$2:$2,0)+1),MATCH(Z$1,[3]characters!$2:$2,0)-MATCH("character_id",[3]characters!$2:$2,0)+1,FALSE),"")</f>
        <v>F2</v>
      </c>
      <c r="AA150" s="5">
        <f ca="1">IFERROR(VLOOKUP($Y150,OFFSET([3]characters!$A$1,0,0,COUNTA([3]characters!$A:$A),MATCH(AA$1,[3]characters!$2:$2,0)-MATCH("character_id",[3]characters!$2:$2,0)+1),MATCH(AA$1,[3]characters!$2:$2,0)-MATCH("character_id",[3]characters!$2:$2,0)+1,FALSE),"")</f>
        <v>2</v>
      </c>
      <c r="AB150" s="5" t="str">
        <f ca="1">IFERROR(VLOOKUP($Y150,OFFSET([3]characters!$A$1,0,0,COUNTA([3]characters!$A:$A),MATCH(AB$1,[3]characters!$2:$2,0)-MATCH("character_id",[3]characters!$2:$2,0)+1),MATCH(AB$1,[3]characters!$2:$2,0)-MATCH("character_id",[3]characters!$2:$2,0)+1,FALSE),"")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50" s="8">
        <v>1</v>
      </c>
      <c r="AD150" s="34">
        <f t="shared" ca="1" si="91"/>
        <v>2</v>
      </c>
      <c r="AE150" s="9">
        <v>0</v>
      </c>
      <c r="AF150" s="8">
        <v>0</v>
      </c>
      <c r="AG150" s="8">
        <v>0</v>
      </c>
      <c r="AH150" s="8">
        <v>0</v>
      </c>
      <c r="AI150" s="8">
        <v>0</v>
      </c>
      <c r="AJ150" s="8">
        <v>1</v>
      </c>
    </row>
    <row r="151" spans="1:36" ht="21" customHeight="1">
      <c r="A151" s="21" t="str">
        <f t="shared" ca="1" si="88"/>
        <v>11104_3-1/27&lt;lv35&gt;s1</v>
      </c>
      <c r="B151" s="8">
        <v>11104</v>
      </c>
      <c r="C151" s="52">
        <v>3</v>
      </c>
      <c r="D151" s="2" t="str">
        <f t="shared" si="89"/>
        <v>11104_3</v>
      </c>
      <c r="E151" s="5" t="str">
        <f ca="1">VLOOKUP($B151,OFFSET([1]quests!$A$1,0,0,COUNTA([1]quests!$A:$A),MATCH(E$1,[1]quests!$1:$1,0)-MATCH($B$1,[1]quests!$1:$1,0)+1),MATCH(E$1,[1]quests!$1:$1,0)-MATCH($B$1,[1]quests!$1:$1,0)+1,FALSE)</f>
        <v>【キャンペーン限定】 緑の素材</v>
      </c>
      <c r="F151" s="5" t="str">
        <f ca="1">VLOOKUP($D151,OFFSET([1]stages!$A$1,0,0,COUNTA([1]stages!$A:$A),MATCH(F$1,[1]stages!$2:$2,0)-MATCH($D$1,[1]stages!$2:$2,0)+1),MATCH(F$1,[1]stages!$2:$2,0)-MATCH($D$1,[1]stages!$2:$2,0)+1,FALSE)</f>
        <v>樹のイモムシ 【上級】</v>
      </c>
      <c r="G151" s="32">
        <v>1</v>
      </c>
      <c r="H151" s="20" t="str">
        <f t="shared" si="90"/>
        <v>11104_3-1</v>
      </c>
      <c r="I151" s="31">
        <v>27</v>
      </c>
      <c r="J151" s="26" t="str">
        <f ca="1">VLOOKUP($I151,OFFSET([2]enemies!$A$1,0,0,COUNTA([2]enemies!$A:$A),MATCH(J$1,[2]enemies!$2:$2,0)-MATCH($I$1,[2]enemies!$2:$2,0)+1),MATCH(J$1,[2]enemies!$2:$2,0)-MATCH($I$1,[2]enemies!$2:$2,0)+1,FALSE)</f>
        <v>パトライン</v>
      </c>
      <c r="K151" s="29" t="str">
        <f ca="1">VLOOKUP($I151,OFFSET([2]enemies!$A$1,0,0,COUNTA([2]enemies!$A:$A),MATCH(K$1,[2]enemies!$2:$2,0)-MATCH($I$1,[2]enemies!$2:$2,0)+1),MATCH(K$1,[2]enemies!$2:$2,0)-MATCH($I$1,[2]enemies!$2:$2,0)+1,FALSE)</f>
        <v>green</v>
      </c>
      <c r="L151" s="29" t="str">
        <f ca="1">VLOOKUP($I151,OFFSET([3]characters!$A$1,0,0,COUNTA([3]characters!$A:$A),MATCH(L$1,[3]characters!$2:$2,0)-MATCH($I$1,[3]characters!$2:$2,0)+1),MATCH(L$1,[3]characters!$2:$2,0)-MATCH($I$1,[3]characters!$2:$2,0)+1,FALSE)</f>
        <v>Drop1N</v>
      </c>
      <c r="M151" s="28" t="str">
        <f ca="1">VLOOKUP($I151,OFFSET([3]characters!$A$1,0,0,COUNTA([3]characters!$A:$A),MATCH(M$1,[3]characters!$2:$2,0)-MATCH($I$1,[3]characters!$2:$2,0)+2),MATCH(M$1,[3]characters!$2:$2,0)-MATCH($I$1,[3]characters!$2:$2,0)+2,FALSE)</f>
        <v>マシン</v>
      </c>
      <c r="N151" s="5">
        <f ca="1">VLOOKUP($I151,OFFSET([2]enemies!$A$1,0,0,COUNTA([2]enemies!$A:$A),MATCH(N$1,[2]enemies!$2:$2,0)-MATCH($I$1,[2]enemies!$2:$2,0)+1),MATCH(N$1,[2]enemies!$2:$2,0)-MATCH($I$1,[2]enemies!$2:$2,0)+1,FALSE)</f>
        <v>15</v>
      </c>
      <c r="O151" s="6">
        <v>35</v>
      </c>
      <c r="P151" s="46">
        <v>1</v>
      </c>
      <c r="Q151" s="46">
        <v>1</v>
      </c>
      <c r="R151" s="6">
        <v>0</v>
      </c>
      <c r="S151" s="5" t="str">
        <f ca="1">VLOOKUP($T151,OFFSET([4]enemy_skill_sets!$B$1,0,0,COUNTA([4]enemy_skill_sets!$B:$B),MATCH(J$1,[4]enemy_skill_sets!$1:$1,0)-MATCH($T$1,[4]enemy_skill_sets!$1:$1,0)+2),MATCH(J$1,[4]enemy_skill_sets!$1:$1,0)-MATCH($T$1,[4]enemy_skill_sets!$1:$1,0)+2,FALSE)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1" s="5">
        <f ca="1">VLOOKUP($I151,OFFSET([2]enemies!$A$1,0,0,COUNTA([2]enemies!$A:$A),MATCH(T$1,[2]enemies!$2:$2,0)-MATCH($I$1,[2]enemies!$2:$2,0)+1),MATCH(T$1,[2]enemies!$2:$2,0)-MATCH($I$1,[2]enemies!$2:$2,0)+1,FALSE)</f>
        <v>0</v>
      </c>
      <c r="U151" s="7">
        <v>0</v>
      </c>
      <c r="V151" s="7">
        <v>100</v>
      </c>
      <c r="W151" s="7">
        <v>0</v>
      </c>
      <c r="X151" s="26">
        <f ca="1">VLOOKUP($I151,OFFSET([2]enemies!$A$1,0,0,COUNTA([2]enemies!$A:$A),MATCH(X$1,[2]enemies!$2:$2,0)-MATCH($I$1,[2]enemies!$2:$2,0)+1),MATCH(X$1,[2]enemies!$2:$2,0)-MATCH($I$1,[2]enemies!$2:$2,0)+1,FALSE)</f>
        <v>1</v>
      </c>
      <c r="Y151" s="31">
        <v>27</v>
      </c>
      <c r="Z151" s="5" t="str">
        <f ca="1">IFERROR(VLOOKUP($Y151,OFFSET([3]characters!$A$1,0,0,COUNTA([3]characters!$A:$A),MATCH(Z$1,[3]characters!$2:$2,0)-MATCH("character_id",[3]characters!$2:$2,0)+1),MATCH(Z$1,[3]characters!$2:$2,0)-MATCH("character_id",[3]characters!$2:$2,0)+1,FALSE),"")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151" s="5">
        <f ca="1">IFERROR(VLOOKUP($Y151,OFFSET([3]characters!$A$1,0,0,COUNTA([3]characters!$A:$A),MATCH(AA$1,[3]characters!$2:$2,0)-MATCH("character_id",[3]characters!$2:$2,0)+1),MATCH(AA$1,[3]characters!$2:$2,0)-MATCH("character_id",[3]characters!$2:$2,0)+1,FALSE),"")</f>
        <v>1</v>
      </c>
      <c r="AB151" s="5" t="str">
        <f ca="1">IFERROR(VLOOKUP($Y151,OFFSET([3]characters!$A$1,0,0,COUNTA([3]characters!$A:$A),MATCH(AB$1,[3]characters!$2:$2,0)-MATCH("character_id",[3]characters!$2:$2,0)+1),MATCH(AB$1,[3]characters!$2:$2,0)-MATCH("character_id",[3]characters!$2:$2,0)+1,FALSE),"")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51" s="8">
        <v>1</v>
      </c>
      <c r="AD151" s="34">
        <f t="shared" ca="1" si="91"/>
        <v>1</v>
      </c>
      <c r="AE151" s="9">
        <v>0</v>
      </c>
      <c r="AF151" s="8">
        <v>0</v>
      </c>
      <c r="AG151" s="8">
        <v>0</v>
      </c>
      <c r="AH151" s="8">
        <v>0</v>
      </c>
      <c r="AI151" s="8">
        <v>0</v>
      </c>
      <c r="AJ151" s="8">
        <v>1</v>
      </c>
    </row>
    <row r="152" spans="1:36" ht="21" customHeight="1">
      <c r="A152" s="21" t="str">
        <f t="shared" ca="1" si="88"/>
        <v>11104_3-1/336&lt;lv1&gt;s1</v>
      </c>
      <c r="B152" s="8">
        <v>11104</v>
      </c>
      <c r="C152" s="52">
        <v>3</v>
      </c>
      <c r="D152" s="2" t="str">
        <f t="shared" si="89"/>
        <v>11104_3</v>
      </c>
      <c r="E152" s="5" t="str">
        <f ca="1">VLOOKUP($B152,OFFSET([1]quests!$A$1,0,0,COUNTA([1]quests!$A:$A),MATCH(E$1,[1]quests!$1:$1,0)-MATCH($B$1,[1]quests!$1:$1,0)+1),MATCH(E$1,[1]quests!$1:$1,0)-MATCH($B$1,[1]quests!$1:$1,0)+1,FALSE)</f>
        <v>【キャンペーン限定】 緑の素材</v>
      </c>
      <c r="F152" s="5" t="str">
        <f ca="1">VLOOKUP($D152,OFFSET([1]stages!$A$1,0,0,COUNTA([1]stages!$A:$A),MATCH(F$1,[1]stages!$2:$2,0)-MATCH($D$1,[1]stages!$2:$2,0)+1),MATCH(F$1,[1]stages!$2:$2,0)-MATCH($D$1,[1]stages!$2:$2,0)+1,FALSE)</f>
        <v>樹のイモムシ 【上級】</v>
      </c>
      <c r="G152" s="32">
        <v>1</v>
      </c>
      <c r="H152" s="20" t="str">
        <f t="shared" si="90"/>
        <v>11104_3-1</v>
      </c>
      <c r="I152" s="31">
        <v>336</v>
      </c>
      <c r="J152" s="26" t="str">
        <f ca="1">VLOOKUP($I152,OFFSET([2]enemies!$A$1,0,0,COUNTA([2]enemies!$A:$A),MATCH(J$1,[2]enemies!$2:$2,0)-MATCH($I$1,[2]enemies!$2:$2,0)+1),MATCH(J$1,[2]enemies!$2:$2,0)-MATCH($I$1,[2]enemies!$2:$2,0)+1,FALSE)</f>
        <v>森のメタルピヨピヨ</v>
      </c>
      <c r="K152" s="29" t="str">
        <f ca="1">VLOOKUP($I152,OFFSET([2]enemies!$A$1,0,0,COUNTA([2]enemies!$A:$A),MATCH(K$1,[2]enemies!$2:$2,0)-MATCH($I$1,[2]enemies!$2:$2,0)+1),MATCH(K$1,[2]enemies!$2:$2,0)-MATCH($I$1,[2]enemies!$2:$2,0)+1,FALSE)</f>
        <v>green</v>
      </c>
      <c r="L152" s="29" t="str">
        <f ca="1">VLOOKUP($I152,OFFSET([3]characters!$A$1,0,0,COUNTA([3]characters!$A:$A),MATCH(L$1,[3]characters!$2:$2,0)-MATCH($I$1,[3]characters!$2:$2,0)+1),MATCH(L$1,[3]characters!$2:$2,0)-MATCH($I$1,[3]characters!$2:$2,0)+1,FALSE)</f>
        <v>Material</v>
      </c>
      <c r="M152" s="28" t="str">
        <f ca="1">VLOOKUP($I152,OFFSET([3]characters!$A$1,0,0,COUNTA([3]characters!$A:$A),MATCH(M$1,[3]characters!$2:$2,0)-MATCH($I$1,[3]characters!$2:$2,0)+2),MATCH(M$1,[3]characters!$2:$2,0)-MATCH($I$1,[3]characters!$2:$2,0)+2,FALSE)</f>
        <v>Unknown</v>
      </c>
      <c r="N152" s="5">
        <f ca="1">VLOOKUP($I152,OFFSET([2]enemies!$A$1,0,0,COUNTA([2]enemies!$A:$A),MATCH(N$1,[2]enemies!$2:$2,0)-MATCH($I$1,[2]enemies!$2:$2,0)+1),MATCH(N$1,[2]enemies!$2:$2,0)-MATCH($I$1,[2]enemies!$2:$2,0)+1,FALSE)</f>
        <v>15</v>
      </c>
      <c r="O152" s="6">
        <v>1</v>
      </c>
      <c r="P152" s="46">
        <v>1</v>
      </c>
      <c r="Q152" s="46">
        <v>1</v>
      </c>
      <c r="R152" s="6">
        <v>0</v>
      </c>
      <c r="S152" s="5" t="str">
        <f ca="1">VLOOKUP($T152,OFFSET([4]enemy_skill_sets!$B$1,0,0,COUNTA([4]enemy_skill_sets!$B:$B),MATCH(J$1,[4]enemy_skill_sets!$1:$1,0)-MATCH($T$1,[4]enemy_skill_sets!$1:$1,0)+2),MATCH(J$1,[4]enemy_skill_sets!$1:$1,0)-MATCH($T$1,[4]enemy_skill_sets!$1:$1,0)+2,FALSE)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2" s="5">
        <f ca="1">VLOOKUP($I152,OFFSET([2]enemies!$A$1,0,0,COUNTA([2]enemies!$A:$A),MATCH(T$1,[2]enemies!$2:$2,0)-MATCH($I$1,[2]enemies!$2:$2,0)+1),MATCH(T$1,[2]enemies!$2:$2,0)-MATCH($I$1,[2]enemies!$2:$2,0)+1,FALSE)</f>
        <v>0</v>
      </c>
      <c r="U152" s="7">
        <v>0</v>
      </c>
      <c r="V152" s="7">
        <v>30</v>
      </c>
      <c r="W152" s="7">
        <v>0</v>
      </c>
      <c r="X152" s="26">
        <f ca="1">VLOOKUP($I152,OFFSET([2]enemies!$A$1,0,0,COUNTA([2]enemies!$A:$A),MATCH(X$1,[2]enemies!$2:$2,0)-MATCH($I$1,[2]enemies!$2:$2,0)+1),MATCH(X$1,[2]enemies!$2:$2,0)-MATCH($I$1,[2]enemies!$2:$2,0)+1,FALSE)</f>
        <v>1</v>
      </c>
      <c r="Y152" s="31">
        <v>336</v>
      </c>
      <c r="Z152" s="5" t="str">
        <f ca="1">IFERROR(VLOOKUP($Y152,OFFSET([3]characters!$A$1,0,0,COUNTA([3]characters!$A:$A),MATCH(Z$1,[3]characters!$2:$2,0)-MATCH("character_id",[3]characters!$2:$2,0)+1),MATCH(Z$1,[3]characters!$2:$2,0)-MATCH("character_id",[3]characters!$2:$2,0)+1,FALSE),"")</f>
        <v>森のメタルピヨピヨ</v>
      </c>
      <c r="AA152" s="5">
        <f ca="1">IFERROR(VLOOKUP($Y152,OFFSET([3]characters!$A$1,0,0,COUNTA([3]characters!$A:$A),MATCH(AA$1,[3]characters!$2:$2,0)-MATCH("character_id",[3]characters!$2:$2,0)+1),MATCH(AA$1,[3]characters!$2:$2,0)-MATCH("character_id",[3]characters!$2:$2,0)+1,FALSE),"")</f>
        <v>3</v>
      </c>
      <c r="AB152" s="5" t="str">
        <f ca="1">IFERROR(VLOOKUP($Y152,OFFSET([3]characters!$A$1,0,0,COUNTA([3]characters!$A:$A),MATCH(AB$1,[3]characters!$2:$2,0)-MATCH("character_id",[3]characters!$2:$2,0)+1),MATCH(AB$1,[3]characters!$2:$2,0)-MATCH("character_id",[3]characters!$2:$2,0)+1,FALSE),"")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52" s="8">
        <v>1</v>
      </c>
      <c r="AD152" s="34">
        <f t="shared" ca="1" si="91"/>
        <v>3</v>
      </c>
      <c r="AE152" s="9">
        <v>10</v>
      </c>
      <c r="AF152" s="8">
        <v>0</v>
      </c>
      <c r="AG152" s="8">
        <v>0</v>
      </c>
      <c r="AH152" s="8">
        <v>0</v>
      </c>
      <c r="AI152" s="8">
        <v>0</v>
      </c>
      <c r="AJ152" s="8">
        <v>1</v>
      </c>
    </row>
    <row r="153" spans="1:36" ht="21" customHeight="1">
      <c r="A153" s="21" t="str">
        <f t="shared" ca="1" si="88"/>
        <v>11104_3-1/337&lt;lv1&gt;s2</v>
      </c>
      <c r="B153" s="8">
        <v>11104</v>
      </c>
      <c r="C153" s="52">
        <v>3</v>
      </c>
      <c r="D153" s="2" t="str">
        <f t="shared" si="89"/>
        <v>11104_3</v>
      </c>
      <c r="E153" s="5" t="str">
        <f ca="1">VLOOKUP($B153,OFFSET([1]quests!$A$1,0,0,COUNTA([1]quests!$A:$A),MATCH(E$1,[1]quests!$1:$1,0)-MATCH($B$1,[1]quests!$1:$1,0)+1),MATCH(E$1,[1]quests!$1:$1,0)-MATCH($B$1,[1]quests!$1:$1,0)+1,FALSE)</f>
        <v>【キャンペーン限定】 緑の素材</v>
      </c>
      <c r="F153" s="5" t="str">
        <f ca="1">VLOOKUP($D153,OFFSET([1]stages!$A$1,0,0,COUNTA([1]stages!$A:$A),MATCH(F$1,[1]stages!$2:$2,0)-MATCH($D$1,[1]stages!$2:$2,0)+1),MATCH(F$1,[1]stages!$2:$2,0)-MATCH($D$1,[1]stages!$2:$2,0)+1,FALSE)</f>
        <v>樹のイモムシ 【上級】</v>
      </c>
      <c r="G153" s="32">
        <v>1</v>
      </c>
      <c r="H153" s="20" t="str">
        <f t="shared" si="90"/>
        <v>11104_3-1</v>
      </c>
      <c r="I153" s="31">
        <v>337</v>
      </c>
      <c r="J153" s="26" t="str">
        <f ca="1">VLOOKUP($I153,OFFSET([2]enemies!$A$1,0,0,COUNTA([2]enemies!$A:$A),MATCH(J$1,[2]enemies!$2:$2,0)-MATCH($I$1,[2]enemies!$2:$2,0)+1),MATCH(J$1,[2]enemies!$2:$2,0)-MATCH($I$1,[2]enemies!$2:$2,0)+1,FALSE)</f>
        <v>森のメタルチック</v>
      </c>
      <c r="K153" s="29" t="str">
        <f ca="1">VLOOKUP($I153,OFFSET([2]enemies!$A$1,0,0,COUNTA([2]enemies!$A:$A),MATCH(K$1,[2]enemies!$2:$2,0)-MATCH($I$1,[2]enemies!$2:$2,0)+1),MATCH(K$1,[2]enemies!$2:$2,0)-MATCH($I$1,[2]enemies!$2:$2,0)+1,FALSE)</f>
        <v>green</v>
      </c>
      <c r="L153" s="29" t="str">
        <f ca="1">VLOOKUP($I153,OFFSET([3]characters!$A$1,0,0,COUNTA([3]characters!$A:$A),MATCH(L$1,[3]characters!$2:$2,0)-MATCH($I$1,[3]characters!$2:$2,0)+1),MATCH(L$1,[3]characters!$2:$2,0)-MATCH($I$1,[3]characters!$2:$2,0)+1,FALSE)</f>
        <v>Material</v>
      </c>
      <c r="M153" s="28" t="str">
        <f ca="1">VLOOKUP($I153,OFFSET([3]characters!$A$1,0,0,COUNTA([3]characters!$A:$A),MATCH(M$1,[3]characters!$2:$2,0)-MATCH($I$1,[3]characters!$2:$2,0)+2),MATCH(M$1,[3]characters!$2:$2,0)-MATCH($I$1,[3]characters!$2:$2,0)+2,FALSE)</f>
        <v>Unknown</v>
      </c>
      <c r="N153" s="5">
        <f ca="1">VLOOKUP($I153,OFFSET([2]enemies!$A$1,0,0,COUNTA([2]enemies!$A:$A),MATCH(N$1,[2]enemies!$2:$2,0)-MATCH($I$1,[2]enemies!$2:$2,0)+1),MATCH(N$1,[2]enemies!$2:$2,0)-MATCH($I$1,[2]enemies!$2:$2,0)+1,FALSE)</f>
        <v>15</v>
      </c>
      <c r="O153" s="6">
        <v>1</v>
      </c>
      <c r="P153" s="46">
        <v>1</v>
      </c>
      <c r="Q153" s="46">
        <v>1</v>
      </c>
      <c r="R153" s="6">
        <v>0</v>
      </c>
      <c r="S153" s="5" t="str">
        <f ca="1">VLOOKUP($T153,OFFSET([4]enemy_skill_sets!$B$1,0,0,COUNTA([4]enemy_skill_sets!$B:$B),MATCH(J$1,[4]enemy_skill_sets!$1:$1,0)-MATCH($T$1,[4]enemy_skill_sets!$1:$1,0)+2),MATCH(J$1,[4]enemy_skill_sets!$1:$1,0)-MATCH($T$1,[4]enemy_skill_sets!$1:$1,0)+2,FALSE)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3" s="5">
        <f ca="1">VLOOKUP($I153,OFFSET([2]enemies!$A$1,0,0,COUNTA([2]enemies!$A:$A),MATCH(T$1,[2]enemies!$2:$2,0)-MATCH($I$1,[2]enemies!$2:$2,0)+1),MATCH(T$1,[2]enemies!$2:$2,0)-MATCH($I$1,[2]enemies!$2:$2,0)+1,FALSE)</f>
        <v>0</v>
      </c>
      <c r="U153" s="7">
        <v>0</v>
      </c>
      <c r="V153" s="7">
        <v>30</v>
      </c>
      <c r="W153" s="7">
        <v>0</v>
      </c>
      <c r="X153" s="26">
        <f ca="1">VLOOKUP($I153,OFFSET([2]enemies!$A$1,0,0,COUNTA([2]enemies!$A:$A),MATCH(X$1,[2]enemies!$2:$2,0)-MATCH($I$1,[2]enemies!$2:$2,0)+1),MATCH(X$1,[2]enemies!$2:$2,0)-MATCH($I$1,[2]enemies!$2:$2,0)+1,FALSE)</f>
        <v>2</v>
      </c>
      <c r="Y153" s="31">
        <v>337</v>
      </c>
      <c r="Z153" s="5" t="str">
        <f ca="1">IFERROR(VLOOKUP($Y153,OFFSET([3]characters!$A$1,0,0,COUNTA([3]characters!$A:$A),MATCH(Z$1,[3]characters!$2:$2,0)-MATCH("character_id",[3]characters!$2:$2,0)+1),MATCH(Z$1,[3]characters!$2:$2,0)-MATCH("character_id",[3]characters!$2:$2,0)+1,FALSE),"")</f>
        <v>森のメタルチック</v>
      </c>
      <c r="AA153" s="5">
        <f ca="1">IFERROR(VLOOKUP($Y153,OFFSET([3]characters!$A$1,0,0,COUNTA([3]characters!$A:$A),MATCH(AA$1,[3]characters!$2:$2,0)-MATCH("character_id",[3]characters!$2:$2,0)+1),MATCH(AA$1,[3]characters!$2:$2,0)-MATCH("character_id",[3]characters!$2:$2,0)+1,FALSE),"")</f>
        <v>4</v>
      </c>
      <c r="AB153" s="5" t="str">
        <f ca="1">IFERROR(VLOOKUP($Y153,OFFSET([3]characters!$A$1,0,0,COUNTA([3]characters!$A:$A),MATCH(AB$1,[3]characters!$2:$2,0)-MATCH("character_id",[3]characters!$2:$2,0)+1),MATCH(AB$1,[3]characters!$2:$2,0)-MATCH("character_id",[3]characters!$2:$2,0)+1,FALSE),"")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53" s="8">
        <v>1</v>
      </c>
      <c r="AD153" s="34">
        <f t="shared" ca="1" si="91"/>
        <v>4</v>
      </c>
      <c r="AE153" s="9">
        <v>5</v>
      </c>
      <c r="AF153" s="8">
        <v>0</v>
      </c>
      <c r="AG153" s="8">
        <v>0</v>
      </c>
      <c r="AH153" s="8">
        <v>0</v>
      </c>
      <c r="AI153" s="8">
        <v>0</v>
      </c>
      <c r="AJ153" s="8">
        <v>1</v>
      </c>
    </row>
    <row r="154" spans="1:36" ht="21" customHeight="1">
      <c r="A154" s="21" t="str">
        <f t="shared" ca="1" si="88"/>
        <v>11104_3-2/107&lt;lv30&gt;s1</v>
      </c>
      <c r="B154" s="8">
        <v>11104</v>
      </c>
      <c r="C154" s="52">
        <v>3</v>
      </c>
      <c r="D154" s="2" t="str">
        <f t="shared" si="89"/>
        <v>11104_3</v>
      </c>
      <c r="E154" s="5" t="str">
        <f ca="1">VLOOKUP($B154,OFFSET([1]quests!$A$1,0,0,COUNTA([1]quests!$A:$A),MATCH(E$1,[1]quests!$1:$1,0)-MATCH($B$1,[1]quests!$1:$1,0)+1),MATCH(E$1,[1]quests!$1:$1,0)-MATCH($B$1,[1]quests!$1:$1,0)+1,FALSE)</f>
        <v>【キャンペーン限定】 緑の素材</v>
      </c>
      <c r="F154" s="5" t="str">
        <f ca="1">VLOOKUP($D154,OFFSET([1]stages!$A$1,0,0,COUNTA([1]stages!$A:$A),MATCH(F$1,[1]stages!$2:$2,0)-MATCH($D$1,[1]stages!$2:$2,0)+1),MATCH(F$1,[1]stages!$2:$2,0)-MATCH($D$1,[1]stages!$2:$2,0)+1,FALSE)</f>
        <v>樹のイモムシ 【上級】</v>
      </c>
      <c r="G154" s="32">
        <v>2</v>
      </c>
      <c r="H154" s="20" t="str">
        <f t="shared" si="90"/>
        <v>11104_3-2</v>
      </c>
      <c r="I154" s="31">
        <v>107</v>
      </c>
      <c r="J154" s="26" t="str">
        <f ca="1">VLOOKUP($I154,OFFSET([2]enemies!$A$1,0,0,COUNTA([2]enemies!$A:$A),MATCH(J$1,[2]enemies!$2:$2,0)-MATCH($I$1,[2]enemies!$2:$2,0)+1),MATCH(J$1,[2]enemies!$2:$2,0)-MATCH($I$1,[2]enemies!$2:$2,0)+1,FALSE)</f>
        <v>グリーンキャタップ</v>
      </c>
      <c r="K154" s="29" t="str">
        <f ca="1">VLOOKUP($I154,OFFSET([2]enemies!$A$1,0,0,COUNTA([2]enemies!$A:$A),MATCH(K$1,[2]enemies!$2:$2,0)-MATCH($I$1,[2]enemies!$2:$2,0)+1),MATCH(K$1,[2]enemies!$2:$2,0)-MATCH($I$1,[2]enemies!$2:$2,0)+1,FALSE)</f>
        <v>green</v>
      </c>
      <c r="L154" s="29" t="str">
        <f ca="1">VLOOKUP($I154,OFFSET([3]characters!$A$1,0,0,COUNTA([3]characters!$A:$A),MATCH(L$1,[3]characters!$2:$2,0)-MATCH($I$1,[3]characters!$2:$2,0)+1),MATCH(L$1,[3]characters!$2:$2,0)-MATCH($I$1,[3]characters!$2:$2,0)+1,FALSE)</f>
        <v>Material</v>
      </c>
      <c r="M154" s="28" t="str">
        <f ca="1">VLOOKUP($I154,OFFSET([3]characters!$A$1,0,0,COUNTA([3]characters!$A:$A),MATCH(M$1,[3]characters!$2:$2,0)-MATCH($I$1,[3]characters!$2:$2,0)+2),MATCH(M$1,[3]characters!$2:$2,0)-MATCH($I$1,[3]characters!$2:$2,0)+2,FALSE)</f>
        <v>Unknown</v>
      </c>
      <c r="N154" s="5">
        <f ca="1">VLOOKUP($I154,OFFSET([2]enemies!$A$1,0,0,COUNTA([2]enemies!$A:$A),MATCH(N$1,[2]enemies!$2:$2,0)-MATCH($I$1,[2]enemies!$2:$2,0)+1),MATCH(N$1,[2]enemies!$2:$2,0)-MATCH($I$1,[2]enemies!$2:$2,0)+1,FALSE)</f>
        <v>15</v>
      </c>
      <c r="O154" s="6">
        <v>30</v>
      </c>
      <c r="P154" s="46">
        <v>2</v>
      </c>
      <c r="Q154" s="46">
        <v>1</v>
      </c>
      <c r="R154" s="6">
        <v>0</v>
      </c>
      <c r="S154" s="5" t="str">
        <f ca="1">VLOOKUP($T154,OFFSET([4]enemy_skill_sets!$B$1,0,0,COUNTA([4]enemy_skill_sets!$B:$B),MATCH(J$1,[4]enemy_skill_sets!$1:$1,0)-MATCH($T$1,[4]enemy_skill_sets!$1:$1,0)+2),MATCH(J$1,[4]enemy_skill_sets!$1:$1,0)-MATCH($T$1,[4]enemy_skill_sets!$1:$1,0)+2,FALSE)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4" s="5">
        <f ca="1">VLOOKUP($I154,OFFSET([2]enemies!$A$1,0,0,COUNTA([2]enemies!$A:$A),MATCH(T$1,[2]enemies!$2:$2,0)-MATCH($I$1,[2]enemies!$2:$2,0)+1),MATCH(T$1,[2]enemies!$2:$2,0)-MATCH($I$1,[2]enemies!$2:$2,0)+1,FALSE)</f>
        <v>0</v>
      </c>
      <c r="U154" s="7">
        <v>1</v>
      </c>
      <c r="V154" s="7">
        <v>100</v>
      </c>
      <c r="W154" s="7">
        <v>1</v>
      </c>
      <c r="X154" s="26">
        <f ca="1">VLOOKUP($I154,OFFSET([2]enemies!$A$1,0,0,COUNTA([2]enemies!$A:$A),MATCH(X$1,[2]enemies!$2:$2,0)-MATCH($I$1,[2]enemies!$2:$2,0)+1),MATCH(X$1,[2]enemies!$2:$2,0)-MATCH($I$1,[2]enemies!$2:$2,0)+1,FALSE)</f>
        <v>1</v>
      </c>
      <c r="Y154" s="31">
        <v>107</v>
      </c>
      <c r="Z154" s="5" t="str">
        <f ca="1">IFERROR(VLOOKUP($Y154,OFFSET([3]characters!$A$1,0,0,COUNTA([3]characters!$A:$A),MATCH(Z$1,[3]characters!$2:$2,0)-MATCH("character_id",[3]characters!$2:$2,0)+1),MATCH(Z$1,[3]characters!$2:$2,0)-MATCH("character_id",[3]characters!$2:$2,0)+1,FALSE),"")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154" s="5">
        <f ca="1">IFERROR(VLOOKUP($Y154,OFFSET([3]characters!$A$1,0,0,COUNTA([3]characters!$A:$A),MATCH(AA$1,[3]characters!$2:$2,0)-MATCH("character_id",[3]characters!$2:$2,0)+1),MATCH(AA$1,[3]characters!$2:$2,0)-MATCH("character_id",[3]characters!$2:$2,0)+1,FALSE),"")</f>
        <v>4</v>
      </c>
      <c r="AB154" s="5" t="str">
        <f ca="1">IFERROR(VLOOKUP($Y154,OFFSET([3]characters!$A$1,0,0,COUNTA([3]characters!$A:$A),MATCH(AB$1,[3]characters!$2:$2,0)-MATCH("character_id",[3]characters!$2:$2,0)+1),MATCH(AB$1,[3]characters!$2:$2,0)-MATCH("character_id",[3]characters!$2:$2,0)+1,FALSE),"")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54" s="8">
        <v>1</v>
      </c>
      <c r="AD154" s="34">
        <f t="shared" ca="1" si="91"/>
        <v>4</v>
      </c>
      <c r="AE154" s="9">
        <v>10</v>
      </c>
      <c r="AF154" s="8">
        <v>0</v>
      </c>
      <c r="AG154" s="8">
        <v>0</v>
      </c>
      <c r="AH154" s="8">
        <v>0</v>
      </c>
      <c r="AI154" s="8">
        <v>0</v>
      </c>
      <c r="AJ154" s="8">
        <v>1</v>
      </c>
    </row>
    <row r="155" spans="1:36" ht="21" customHeight="1">
      <c r="A155" s="21" t="str">
        <f t="shared" ref="A155:A158" ca="1" si="100">B155&amp;"_"&amp;C155&amp;"-"&amp;G155&amp;"/"&amp;I155&amp;"&lt;lv"&amp;O155&amp;"&gt;s"&amp;X155</f>
        <v>11104_3-2/35&lt;lv35&gt;s4</v>
      </c>
      <c r="B155" s="8">
        <v>11104</v>
      </c>
      <c r="C155" s="52">
        <v>3</v>
      </c>
      <c r="D155" s="2" t="str">
        <f t="shared" ref="D155:D158" si="101">B155&amp;"_"&amp;C155</f>
        <v>11104_3</v>
      </c>
      <c r="E155" s="5" t="str">
        <f ca="1">VLOOKUP($B155,OFFSET([1]quests!$A$1,0,0,COUNTA([1]quests!$A:$A),MATCH(E$1,[1]quests!$1:$1,0)-MATCH($B$1,[1]quests!$1:$1,0)+1),MATCH(E$1,[1]quests!$1:$1,0)-MATCH($B$1,[1]quests!$1:$1,0)+1,FALSE)</f>
        <v>【キャンペーン限定】 緑の素材</v>
      </c>
      <c r="F155" s="5" t="str">
        <f ca="1">VLOOKUP($D155,OFFSET([1]stages!$A$1,0,0,COUNTA([1]stages!$A:$A),MATCH(F$1,[1]stages!$2:$2,0)-MATCH($D$1,[1]stages!$2:$2,0)+1),MATCH(F$1,[1]stages!$2:$2,0)-MATCH($D$1,[1]stages!$2:$2,0)+1,FALSE)</f>
        <v>樹のイモムシ 【上級】</v>
      </c>
      <c r="G155" s="32">
        <v>2</v>
      </c>
      <c r="H155" s="20" t="str">
        <f t="shared" ref="H155:H158" si="102">B155&amp;"_"&amp;C155&amp;"-"&amp;G155</f>
        <v>11104_3-2</v>
      </c>
      <c r="I155" s="31">
        <v>35</v>
      </c>
      <c r="J155" s="26" t="str">
        <f ca="1">VLOOKUP($I155,OFFSET([2]enemies!$A$1,0,0,COUNTA([2]enemies!$A:$A),MATCH(J$1,[2]enemies!$2:$2,0)-MATCH($I$1,[2]enemies!$2:$2,0)+1),MATCH(J$1,[2]enemies!$2:$2,0)-MATCH($I$1,[2]enemies!$2:$2,0)+1,FALSE)</f>
        <v>F2</v>
      </c>
      <c r="K155" s="29" t="str">
        <f ca="1">VLOOKUP($I155,OFFSET([2]enemies!$A$1,0,0,COUNTA([2]enemies!$A:$A),MATCH(K$1,[2]enemies!$2:$2,0)-MATCH($I$1,[2]enemies!$2:$2,0)+1),MATCH(K$1,[2]enemies!$2:$2,0)-MATCH($I$1,[2]enemies!$2:$2,0)+1,FALSE)</f>
        <v>green</v>
      </c>
      <c r="L155" s="29" t="str">
        <f ca="1">VLOOKUP($I155,OFFSET([3]characters!$A$1,0,0,COUNTA([3]characters!$A:$A),MATCH(L$1,[3]characters!$2:$2,0)-MATCH($I$1,[3]characters!$2:$2,0)+1),MATCH(L$1,[3]characters!$2:$2,0)-MATCH($I$1,[3]characters!$2:$2,0)+1,FALSE)</f>
        <v>Drop1S</v>
      </c>
      <c r="M155" s="28" t="str">
        <f ca="1">VLOOKUP($I155,OFFSET([3]characters!$A$1,0,0,COUNTA([3]characters!$A:$A),MATCH(M$1,[3]characters!$2:$2,0)-MATCH($I$1,[3]characters!$2:$2,0)+2),MATCH(M$1,[3]characters!$2:$2,0)-MATCH($I$1,[3]characters!$2:$2,0)+2,FALSE)</f>
        <v>マシン</v>
      </c>
      <c r="N155" s="5">
        <f ca="1">VLOOKUP($I155,OFFSET([2]enemies!$A$1,0,0,COUNTA([2]enemies!$A:$A),MATCH(N$1,[2]enemies!$2:$2,0)-MATCH($I$1,[2]enemies!$2:$2,0)+1),MATCH(N$1,[2]enemies!$2:$2,0)-MATCH($I$1,[2]enemies!$2:$2,0)+1,FALSE)</f>
        <v>15</v>
      </c>
      <c r="O155" s="6">
        <v>35</v>
      </c>
      <c r="P155" s="46">
        <v>1</v>
      </c>
      <c r="Q155" s="46">
        <v>1</v>
      </c>
      <c r="R155" s="6">
        <v>0</v>
      </c>
      <c r="S155" s="5" t="str">
        <f ca="1">VLOOKUP($T155,OFFSET([4]enemy_skill_sets!$B$1,0,0,COUNTA([4]enemy_skill_sets!$B:$B),MATCH(J$1,[4]enemy_skill_sets!$1:$1,0)-MATCH($T$1,[4]enemy_skill_sets!$1:$1,0)+2),MATCH(J$1,[4]enemy_skill_sets!$1:$1,0)-MATCH($T$1,[4]enemy_skill_sets!$1:$1,0)+2,FALSE)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155" s="5">
        <f ca="1">VLOOKUP($I155,OFFSET([2]enemies!$A$1,0,0,COUNTA([2]enemies!$A:$A),MATCH(T$1,[2]enemies!$2:$2,0)-MATCH($I$1,[2]enemies!$2:$2,0)+1),MATCH(T$1,[2]enemies!$2:$2,0)-MATCH($I$1,[2]enemies!$2:$2,0)+1,FALSE)</f>
        <v>35</v>
      </c>
      <c r="U155" s="7">
        <v>0</v>
      </c>
      <c r="V155" s="7">
        <v>100</v>
      </c>
      <c r="W155" s="7">
        <v>0</v>
      </c>
      <c r="X155" s="26">
        <f ca="1">VLOOKUP($I155,OFFSET([2]enemies!$A$1,0,0,COUNTA([2]enemies!$A:$A),MATCH(X$1,[2]enemies!$2:$2,0)-MATCH($I$1,[2]enemies!$2:$2,0)+1),MATCH(X$1,[2]enemies!$2:$2,0)-MATCH($I$1,[2]enemies!$2:$2,0)+1,FALSE)</f>
        <v>4</v>
      </c>
      <c r="Y155" s="31">
        <v>35</v>
      </c>
      <c r="Z155" s="5" t="str">
        <f ca="1">IFERROR(VLOOKUP($Y155,OFFSET([3]characters!$A$1,0,0,COUNTA([3]characters!$A:$A),MATCH(Z$1,[3]characters!$2:$2,0)-MATCH("character_id",[3]characters!$2:$2,0)+1),MATCH(Z$1,[3]characters!$2:$2,0)-MATCH("character_id",[3]characters!$2:$2,0)+1,FALSE),"")</f>
        <v>F2</v>
      </c>
      <c r="AA155" s="5">
        <f ca="1">IFERROR(VLOOKUP($Y155,OFFSET([3]characters!$A$1,0,0,COUNTA([3]characters!$A:$A),MATCH(AA$1,[3]characters!$2:$2,0)-MATCH("character_id",[3]characters!$2:$2,0)+1),MATCH(AA$1,[3]characters!$2:$2,0)-MATCH("character_id",[3]characters!$2:$2,0)+1,FALSE),"")</f>
        <v>2</v>
      </c>
      <c r="AB155" s="5" t="str">
        <f ca="1">IFERROR(VLOOKUP($Y155,OFFSET([3]characters!$A$1,0,0,COUNTA([3]characters!$A:$A),MATCH(AB$1,[3]characters!$2:$2,0)-MATCH("character_id",[3]characters!$2:$2,0)+1),MATCH(AB$1,[3]characters!$2:$2,0)-MATCH("character_id",[3]characters!$2:$2,0)+1,FALSE),"")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55" s="8">
        <v>1</v>
      </c>
      <c r="AD155" s="34">
        <f t="shared" ref="AD155:AD158" ca="1" si="103">AA155</f>
        <v>2</v>
      </c>
      <c r="AE155" s="9">
        <v>0</v>
      </c>
      <c r="AF155" s="8">
        <v>0</v>
      </c>
      <c r="AG155" s="8">
        <v>0</v>
      </c>
      <c r="AH155" s="8">
        <v>0</v>
      </c>
      <c r="AI155" s="8">
        <v>0</v>
      </c>
      <c r="AJ155" s="8">
        <v>1</v>
      </c>
    </row>
    <row r="156" spans="1:36" ht="21" customHeight="1">
      <c r="A156" s="21" t="str">
        <f t="shared" ca="1" si="100"/>
        <v>11104_3-2/27&lt;lv35&gt;s1</v>
      </c>
      <c r="B156" s="8">
        <v>11104</v>
      </c>
      <c r="C156" s="52">
        <v>3</v>
      </c>
      <c r="D156" s="2" t="str">
        <f t="shared" si="101"/>
        <v>11104_3</v>
      </c>
      <c r="E156" s="5" t="str">
        <f ca="1">VLOOKUP($B156,OFFSET([1]quests!$A$1,0,0,COUNTA([1]quests!$A:$A),MATCH(E$1,[1]quests!$1:$1,0)-MATCH($B$1,[1]quests!$1:$1,0)+1),MATCH(E$1,[1]quests!$1:$1,0)-MATCH($B$1,[1]quests!$1:$1,0)+1,FALSE)</f>
        <v>【キャンペーン限定】 緑の素材</v>
      </c>
      <c r="F156" s="5" t="str">
        <f ca="1">VLOOKUP($D156,OFFSET([1]stages!$A$1,0,0,COUNTA([1]stages!$A:$A),MATCH(F$1,[1]stages!$2:$2,0)-MATCH($D$1,[1]stages!$2:$2,0)+1),MATCH(F$1,[1]stages!$2:$2,0)-MATCH($D$1,[1]stages!$2:$2,0)+1,FALSE)</f>
        <v>樹のイモムシ 【上級】</v>
      </c>
      <c r="G156" s="32">
        <v>2</v>
      </c>
      <c r="H156" s="20" t="str">
        <f t="shared" si="102"/>
        <v>11104_3-2</v>
      </c>
      <c r="I156" s="31">
        <v>27</v>
      </c>
      <c r="J156" s="26" t="str">
        <f ca="1">VLOOKUP($I156,OFFSET([2]enemies!$A$1,0,0,COUNTA([2]enemies!$A:$A),MATCH(J$1,[2]enemies!$2:$2,0)-MATCH($I$1,[2]enemies!$2:$2,0)+1),MATCH(J$1,[2]enemies!$2:$2,0)-MATCH($I$1,[2]enemies!$2:$2,0)+1,FALSE)</f>
        <v>パトライン</v>
      </c>
      <c r="K156" s="29" t="str">
        <f ca="1">VLOOKUP($I156,OFFSET([2]enemies!$A$1,0,0,COUNTA([2]enemies!$A:$A),MATCH(K$1,[2]enemies!$2:$2,0)-MATCH($I$1,[2]enemies!$2:$2,0)+1),MATCH(K$1,[2]enemies!$2:$2,0)-MATCH($I$1,[2]enemies!$2:$2,0)+1,FALSE)</f>
        <v>green</v>
      </c>
      <c r="L156" s="29" t="str">
        <f ca="1">VLOOKUP($I156,OFFSET([3]characters!$A$1,0,0,COUNTA([3]characters!$A:$A),MATCH(L$1,[3]characters!$2:$2,0)-MATCH($I$1,[3]characters!$2:$2,0)+1),MATCH(L$1,[3]characters!$2:$2,0)-MATCH($I$1,[3]characters!$2:$2,0)+1,FALSE)</f>
        <v>Drop1N</v>
      </c>
      <c r="M156" s="28" t="str">
        <f ca="1">VLOOKUP($I156,OFFSET([3]characters!$A$1,0,0,COUNTA([3]characters!$A:$A),MATCH(M$1,[3]characters!$2:$2,0)-MATCH($I$1,[3]characters!$2:$2,0)+2),MATCH(M$1,[3]characters!$2:$2,0)-MATCH($I$1,[3]characters!$2:$2,0)+2,FALSE)</f>
        <v>マシン</v>
      </c>
      <c r="N156" s="5">
        <f ca="1">VLOOKUP($I156,OFFSET([2]enemies!$A$1,0,0,COUNTA([2]enemies!$A:$A),MATCH(N$1,[2]enemies!$2:$2,0)-MATCH($I$1,[2]enemies!$2:$2,0)+1),MATCH(N$1,[2]enemies!$2:$2,0)-MATCH($I$1,[2]enemies!$2:$2,0)+1,FALSE)</f>
        <v>15</v>
      </c>
      <c r="O156" s="6">
        <v>35</v>
      </c>
      <c r="P156" s="46">
        <v>1</v>
      </c>
      <c r="Q156" s="46">
        <v>1</v>
      </c>
      <c r="R156" s="6">
        <v>0</v>
      </c>
      <c r="S156" s="5" t="str">
        <f ca="1">VLOOKUP($T156,OFFSET([4]enemy_skill_sets!$B$1,0,0,COUNTA([4]enemy_skill_sets!$B:$B),MATCH(J$1,[4]enemy_skill_sets!$1:$1,0)-MATCH($T$1,[4]enemy_skill_sets!$1:$1,0)+2),MATCH(J$1,[4]enemy_skill_sets!$1:$1,0)-MATCH($T$1,[4]enemy_skill_sets!$1:$1,0)+2,FALSE)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6" s="5">
        <f ca="1">VLOOKUP($I156,OFFSET([2]enemies!$A$1,0,0,COUNTA([2]enemies!$A:$A),MATCH(T$1,[2]enemies!$2:$2,0)-MATCH($I$1,[2]enemies!$2:$2,0)+1),MATCH(T$1,[2]enemies!$2:$2,0)-MATCH($I$1,[2]enemies!$2:$2,0)+1,FALSE)</f>
        <v>0</v>
      </c>
      <c r="U156" s="7">
        <v>0</v>
      </c>
      <c r="V156" s="7">
        <v>100</v>
      </c>
      <c r="W156" s="7">
        <v>0</v>
      </c>
      <c r="X156" s="26">
        <f ca="1">VLOOKUP($I156,OFFSET([2]enemies!$A$1,0,0,COUNTA([2]enemies!$A:$A),MATCH(X$1,[2]enemies!$2:$2,0)-MATCH($I$1,[2]enemies!$2:$2,0)+1),MATCH(X$1,[2]enemies!$2:$2,0)-MATCH($I$1,[2]enemies!$2:$2,0)+1,FALSE)</f>
        <v>1</v>
      </c>
      <c r="Y156" s="31">
        <v>27</v>
      </c>
      <c r="Z156" s="5" t="str">
        <f ca="1">IFERROR(VLOOKUP($Y156,OFFSET([3]characters!$A$1,0,0,COUNTA([3]characters!$A:$A),MATCH(Z$1,[3]characters!$2:$2,0)-MATCH("character_id",[3]characters!$2:$2,0)+1),MATCH(Z$1,[3]characters!$2:$2,0)-MATCH("character_id",[3]characters!$2:$2,0)+1,FALSE),"")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156" s="5">
        <f ca="1">IFERROR(VLOOKUP($Y156,OFFSET([3]characters!$A$1,0,0,COUNTA([3]characters!$A:$A),MATCH(AA$1,[3]characters!$2:$2,0)-MATCH("character_id",[3]characters!$2:$2,0)+1),MATCH(AA$1,[3]characters!$2:$2,0)-MATCH("character_id",[3]characters!$2:$2,0)+1,FALSE),"")</f>
        <v>1</v>
      </c>
      <c r="AB156" s="5" t="str">
        <f ca="1">IFERROR(VLOOKUP($Y156,OFFSET([3]characters!$A$1,0,0,COUNTA([3]characters!$A:$A),MATCH(AB$1,[3]characters!$2:$2,0)-MATCH("character_id",[3]characters!$2:$2,0)+1),MATCH(AB$1,[3]characters!$2:$2,0)-MATCH("character_id",[3]characters!$2:$2,0)+1,FALSE),"")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56" s="8">
        <v>1</v>
      </c>
      <c r="AD156" s="34">
        <f t="shared" ca="1" si="103"/>
        <v>1</v>
      </c>
      <c r="AE156" s="9">
        <v>0</v>
      </c>
      <c r="AF156" s="8">
        <v>0</v>
      </c>
      <c r="AG156" s="8">
        <v>0</v>
      </c>
      <c r="AH156" s="8">
        <v>0</v>
      </c>
      <c r="AI156" s="8">
        <v>0</v>
      </c>
      <c r="AJ156" s="8">
        <v>1</v>
      </c>
    </row>
    <row r="157" spans="1:36" ht="21" customHeight="1">
      <c r="A157" s="21" t="str">
        <f t="shared" ca="1" si="100"/>
        <v>11104_3-2/336&lt;lv1&gt;s1</v>
      </c>
      <c r="B157" s="8">
        <v>11104</v>
      </c>
      <c r="C157" s="52">
        <v>3</v>
      </c>
      <c r="D157" s="2" t="str">
        <f t="shared" si="101"/>
        <v>11104_3</v>
      </c>
      <c r="E157" s="5" t="str">
        <f ca="1">VLOOKUP($B157,OFFSET([1]quests!$A$1,0,0,COUNTA([1]quests!$A:$A),MATCH(E$1,[1]quests!$1:$1,0)-MATCH($B$1,[1]quests!$1:$1,0)+1),MATCH(E$1,[1]quests!$1:$1,0)-MATCH($B$1,[1]quests!$1:$1,0)+1,FALSE)</f>
        <v>【キャンペーン限定】 緑の素材</v>
      </c>
      <c r="F157" s="5" t="str">
        <f ca="1">VLOOKUP($D157,OFFSET([1]stages!$A$1,0,0,COUNTA([1]stages!$A:$A),MATCH(F$1,[1]stages!$2:$2,0)-MATCH($D$1,[1]stages!$2:$2,0)+1),MATCH(F$1,[1]stages!$2:$2,0)-MATCH($D$1,[1]stages!$2:$2,0)+1,FALSE)</f>
        <v>樹のイモムシ 【上級】</v>
      </c>
      <c r="G157" s="32">
        <v>2</v>
      </c>
      <c r="H157" s="20" t="str">
        <f t="shared" si="102"/>
        <v>11104_3-2</v>
      </c>
      <c r="I157" s="31">
        <v>336</v>
      </c>
      <c r="J157" s="26" t="str">
        <f ca="1">VLOOKUP($I157,OFFSET([2]enemies!$A$1,0,0,COUNTA([2]enemies!$A:$A),MATCH(J$1,[2]enemies!$2:$2,0)-MATCH($I$1,[2]enemies!$2:$2,0)+1),MATCH(J$1,[2]enemies!$2:$2,0)-MATCH($I$1,[2]enemies!$2:$2,0)+1,FALSE)</f>
        <v>森のメタルピヨピヨ</v>
      </c>
      <c r="K157" s="29" t="str">
        <f ca="1">VLOOKUP($I157,OFFSET([2]enemies!$A$1,0,0,COUNTA([2]enemies!$A:$A),MATCH(K$1,[2]enemies!$2:$2,0)-MATCH($I$1,[2]enemies!$2:$2,0)+1),MATCH(K$1,[2]enemies!$2:$2,0)-MATCH($I$1,[2]enemies!$2:$2,0)+1,FALSE)</f>
        <v>green</v>
      </c>
      <c r="L157" s="29" t="str">
        <f ca="1">VLOOKUP($I157,OFFSET([3]characters!$A$1,0,0,COUNTA([3]characters!$A:$A),MATCH(L$1,[3]characters!$2:$2,0)-MATCH($I$1,[3]characters!$2:$2,0)+1),MATCH(L$1,[3]characters!$2:$2,0)-MATCH($I$1,[3]characters!$2:$2,0)+1,FALSE)</f>
        <v>Material</v>
      </c>
      <c r="M157" s="28" t="str">
        <f ca="1">VLOOKUP($I157,OFFSET([3]characters!$A$1,0,0,COUNTA([3]characters!$A:$A),MATCH(M$1,[3]characters!$2:$2,0)-MATCH($I$1,[3]characters!$2:$2,0)+2),MATCH(M$1,[3]characters!$2:$2,0)-MATCH($I$1,[3]characters!$2:$2,0)+2,FALSE)</f>
        <v>Unknown</v>
      </c>
      <c r="N157" s="5">
        <f ca="1">VLOOKUP($I157,OFFSET([2]enemies!$A$1,0,0,COUNTA([2]enemies!$A:$A),MATCH(N$1,[2]enemies!$2:$2,0)-MATCH($I$1,[2]enemies!$2:$2,0)+1),MATCH(N$1,[2]enemies!$2:$2,0)-MATCH($I$1,[2]enemies!$2:$2,0)+1,FALSE)</f>
        <v>15</v>
      </c>
      <c r="O157" s="6">
        <v>1</v>
      </c>
      <c r="P157" s="46">
        <v>1</v>
      </c>
      <c r="Q157" s="46">
        <v>1</v>
      </c>
      <c r="R157" s="6">
        <v>0</v>
      </c>
      <c r="S157" s="5" t="str">
        <f ca="1">VLOOKUP($T157,OFFSET([4]enemy_skill_sets!$B$1,0,0,COUNTA([4]enemy_skill_sets!$B:$B),MATCH(J$1,[4]enemy_skill_sets!$1:$1,0)-MATCH($T$1,[4]enemy_skill_sets!$1:$1,0)+2),MATCH(J$1,[4]enemy_skill_sets!$1:$1,0)-MATCH($T$1,[4]enemy_skill_sets!$1:$1,0)+2,FALSE)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7" s="5">
        <f ca="1">VLOOKUP($I157,OFFSET([2]enemies!$A$1,0,0,COUNTA([2]enemies!$A:$A),MATCH(T$1,[2]enemies!$2:$2,0)-MATCH($I$1,[2]enemies!$2:$2,0)+1),MATCH(T$1,[2]enemies!$2:$2,0)-MATCH($I$1,[2]enemies!$2:$2,0)+1,FALSE)</f>
        <v>0</v>
      </c>
      <c r="U157" s="7">
        <v>0</v>
      </c>
      <c r="V157" s="7">
        <v>30</v>
      </c>
      <c r="W157" s="7">
        <v>0</v>
      </c>
      <c r="X157" s="26">
        <f ca="1">VLOOKUP($I157,OFFSET([2]enemies!$A$1,0,0,COUNTA([2]enemies!$A:$A),MATCH(X$1,[2]enemies!$2:$2,0)-MATCH($I$1,[2]enemies!$2:$2,0)+1),MATCH(X$1,[2]enemies!$2:$2,0)-MATCH($I$1,[2]enemies!$2:$2,0)+1,FALSE)</f>
        <v>1</v>
      </c>
      <c r="Y157" s="31">
        <v>336</v>
      </c>
      <c r="Z157" s="5" t="str">
        <f ca="1">IFERROR(VLOOKUP($Y157,OFFSET([3]characters!$A$1,0,0,COUNTA([3]characters!$A:$A),MATCH(Z$1,[3]characters!$2:$2,0)-MATCH("character_id",[3]characters!$2:$2,0)+1),MATCH(Z$1,[3]characters!$2:$2,0)-MATCH("character_id",[3]characters!$2:$2,0)+1,FALSE),"")</f>
        <v>森のメタルピヨピヨ</v>
      </c>
      <c r="AA157" s="5">
        <f ca="1">IFERROR(VLOOKUP($Y157,OFFSET([3]characters!$A$1,0,0,COUNTA([3]characters!$A:$A),MATCH(AA$1,[3]characters!$2:$2,0)-MATCH("character_id",[3]characters!$2:$2,0)+1),MATCH(AA$1,[3]characters!$2:$2,0)-MATCH("character_id",[3]characters!$2:$2,0)+1,FALSE),"")</f>
        <v>3</v>
      </c>
      <c r="AB157" s="5" t="str">
        <f ca="1">IFERROR(VLOOKUP($Y157,OFFSET([3]characters!$A$1,0,0,COUNTA([3]characters!$A:$A),MATCH(AB$1,[3]characters!$2:$2,0)-MATCH("character_id",[3]characters!$2:$2,0)+1),MATCH(AB$1,[3]characters!$2:$2,0)-MATCH("character_id",[3]characters!$2:$2,0)+1,FALSE),"")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57" s="8">
        <v>1</v>
      </c>
      <c r="AD157" s="34">
        <f t="shared" ca="1" si="103"/>
        <v>3</v>
      </c>
      <c r="AE157" s="9">
        <v>10</v>
      </c>
      <c r="AF157" s="8">
        <v>0</v>
      </c>
      <c r="AG157" s="8">
        <v>0</v>
      </c>
      <c r="AH157" s="8">
        <v>0</v>
      </c>
      <c r="AI157" s="8">
        <v>0</v>
      </c>
      <c r="AJ157" s="8">
        <v>1</v>
      </c>
    </row>
    <row r="158" spans="1:36" ht="21" customHeight="1">
      <c r="A158" s="21" t="str">
        <f t="shared" ca="1" si="100"/>
        <v>11104_3-2/337&lt;lv1&gt;s2</v>
      </c>
      <c r="B158" s="8">
        <v>11104</v>
      </c>
      <c r="C158" s="52">
        <v>3</v>
      </c>
      <c r="D158" s="2" t="str">
        <f t="shared" si="101"/>
        <v>11104_3</v>
      </c>
      <c r="E158" s="5" t="str">
        <f ca="1">VLOOKUP($B158,OFFSET([1]quests!$A$1,0,0,COUNTA([1]quests!$A:$A),MATCH(E$1,[1]quests!$1:$1,0)-MATCH($B$1,[1]quests!$1:$1,0)+1),MATCH(E$1,[1]quests!$1:$1,0)-MATCH($B$1,[1]quests!$1:$1,0)+1,FALSE)</f>
        <v>【キャンペーン限定】 緑の素材</v>
      </c>
      <c r="F158" s="5" t="str">
        <f ca="1">VLOOKUP($D158,OFFSET([1]stages!$A$1,0,0,COUNTA([1]stages!$A:$A),MATCH(F$1,[1]stages!$2:$2,0)-MATCH($D$1,[1]stages!$2:$2,0)+1),MATCH(F$1,[1]stages!$2:$2,0)-MATCH($D$1,[1]stages!$2:$2,0)+1,FALSE)</f>
        <v>樹のイモムシ 【上級】</v>
      </c>
      <c r="G158" s="32">
        <v>2</v>
      </c>
      <c r="H158" s="20" t="str">
        <f t="shared" si="102"/>
        <v>11104_3-2</v>
      </c>
      <c r="I158" s="31">
        <v>337</v>
      </c>
      <c r="J158" s="26" t="str">
        <f ca="1">VLOOKUP($I158,OFFSET([2]enemies!$A$1,0,0,COUNTA([2]enemies!$A:$A),MATCH(J$1,[2]enemies!$2:$2,0)-MATCH($I$1,[2]enemies!$2:$2,0)+1),MATCH(J$1,[2]enemies!$2:$2,0)-MATCH($I$1,[2]enemies!$2:$2,0)+1,FALSE)</f>
        <v>森のメタルチック</v>
      </c>
      <c r="K158" s="29" t="str">
        <f ca="1">VLOOKUP($I158,OFFSET([2]enemies!$A$1,0,0,COUNTA([2]enemies!$A:$A),MATCH(K$1,[2]enemies!$2:$2,0)-MATCH($I$1,[2]enemies!$2:$2,0)+1),MATCH(K$1,[2]enemies!$2:$2,0)-MATCH($I$1,[2]enemies!$2:$2,0)+1,FALSE)</f>
        <v>green</v>
      </c>
      <c r="L158" s="29" t="str">
        <f ca="1">VLOOKUP($I158,OFFSET([3]characters!$A$1,0,0,COUNTA([3]characters!$A:$A),MATCH(L$1,[3]characters!$2:$2,0)-MATCH($I$1,[3]characters!$2:$2,0)+1),MATCH(L$1,[3]characters!$2:$2,0)-MATCH($I$1,[3]characters!$2:$2,0)+1,FALSE)</f>
        <v>Material</v>
      </c>
      <c r="M158" s="28" t="str">
        <f ca="1">VLOOKUP($I158,OFFSET([3]characters!$A$1,0,0,COUNTA([3]characters!$A:$A),MATCH(M$1,[3]characters!$2:$2,0)-MATCH($I$1,[3]characters!$2:$2,0)+2),MATCH(M$1,[3]characters!$2:$2,0)-MATCH($I$1,[3]characters!$2:$2,0)+2,FALSE)</f>
        <v>Unknown</v>
      </c>
      <c r="N158" s="5">
        <f ca="1">VLOOKUP($I158,OFFSET([2]enemies!$A$1,0,0,COUNTA([2]enemies!$A:$A),MATCH(N$1,[2]enemies!$2:$2,0)-MATCH($I$1,[2]enemies!$2:$2,0)+1),MATCH(N$1,[2]enemies!$2:$2,0)-MATCH($I$1,[2]enemies!$2:$2,0)+1,FALSE)</f>
        <v>15</v>
      </c>
      <c r="O158" s="6">
        <v>1</v>
      </c>
      <c r="P158" s="46">
        <v>1</v>
      </c>
      <c r="Q158" s="46">
        <v>1</v>
      </c>
      <c r="R158" s="6">
        <v>0</v>
      </c>
      <c r="S158" s="5" t="str">
        <f ca="1">VLOOKUP($T158,OFFSET([4]enemy_skill_sets!$B$1,0,0,COUNTA([4]enemy_skill_sets!$B:$B),MATCH(J$1,[4]enemy_skill_sets!$1:$1,0)-MATCH($T$1,[4]enemy_skill_sets!$1:$1,0)+2),MATCH(J$1,[4]enemy_skill_sets!$1:$1,0)-MATCH($T$1,[4]enemy_skill_sets!$1:$1,0)+2,FALSE)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8" s="5">
        <f ca="1">VLOOKUP($I158,OFFSET([2]enemies!$A$1,0,0,COUNTA([2]enemies!$A:$A),MATCH(T$1,[2]enemies!$2:$2,0)-MATCH($I$1,[2]enemies!$2:$2,0)+1),MATCH(T$1,[2]enemies!$2:$2,0)-MATCH($I$1,[2]enemies!$2:$2,0)+1,FALSE)</f>
        <v>0</v>
      </c>
      <c r="U158" s="7">
        <v>0</v>
      </c>
      <c r="V158" s="7">
        <v>30</v>
      </c>
      <c r="W158" s="7">
        <v>0</v>
      </c>
      <c r="X158" s="26">
        <f ca="1">VLOOKUP($I158,OFFSET([2]enemies!$A$1,0,0,COUNTA([2]enemies!$A:$A),MATCH(X$1,[2]enemies!$2:$2,0)-MATCH($I$1,[2]enemies!$2:$2,0)+1),MATCH(X$1,[2]enemies!$2:$2,0)-MATCH($I$1,[2]enemies!$2:$2,0)+1,FALSE)</f>
        <v>2</v>
      </c>
      <c r="Y158" s="31">
        <v>337</v>
      </c>
      <c r="Z158" s="5" t="str">
        <f ca="1">IFERROR(VLOOKUP($Y158,OFFSET([3]characters!$A$1,0,0,COUNTA([3]characters!$A:$A),MATCH(Z$1,[3]characters!$2:$2,0)-MATCH("character_id",[3]characters!$2:$2,0)+1),MATCH(Z$1,[3]characters!$2:$2,0)-MATCH("character_id",[3]characters!$2:$2,0)+1,FALSE),"")</f>
        <v>森のメタルチック</v>
      </c>
      <c r="AA158" s="5">
        <f ca="1">IFERROR(VLOOKUP($Y158,OFFSET([3]characters!$A$1,0,0,COUNTA([3]characters!$A:$A),MATCH(AA$1,[3]characters!$2:$2,0)-MATCH("character_id",[3]characters!$2:$2,0)+1),MATCH(AA$1,[3]characters!$2:$2,0)-MATCH("character_id",[3]characters!$2:$2,0)+1,FALSE),"")</f>
        <v>4</v>
      </c>
      <c r="AB158" s="5" t="str">
        <f ca="1">IFERROR(VLOOKUP($Y158,OFFSET([3]characters!$A$1,0,0,COUNTA([3]characters!$A:$A),MATCH(AB$1,[3]characters!$2:$2,0)-MATCH("character_id",[3]characters!$2:$2,0)+1),MATCH(AB$1,[3]characters!$2:$2,0)-MATCH("character_id",[3]characters!$2:$2,0)+1,FALSE),"")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58" s="8">
        <v>1</v>
      </c>
      <c r="AD158" s="34">
        <f t="shared" ca="1" si="103"/>
        <v>4</v>
      </c>
      <c r="AE158" s="9">
        <v>5</v>
      </c>
      <c r="AF158" s="8">
        <v>0</v>
      </c>
      <c r="AG158" s="8">
        <v>0</v>
      </c>
      <c r="AH158" s="8">
        <v>0</v>
      </c>
      <c r="AI158" s="8">
        <v>0</v>
      </c>
      <c r="AJ158" s="8">
        <v>1</v>
      </c>
    </row>
    <row r="159" spans="1:36" ht="21" customHeight="1">
      <c r="A159" s="21" t="str">
        <f t="shared" ca="1" si="88"/>
        <v>11104_3-3/107&lt;lv30&gt;s1</v>
      </c>
      <c r="B159" s="8">
        <v>11104</v>
      </c>
      <c r="C159" s="52">
        <v>3</v>
      </c>
      <c r="D159" s="2" t="str">
        <f t="shared" si="89"/>
        <v>11104_3</v>
      </c>
      <c r="E159" s="5" t="str">
        <f ca="1">VLOOKUP($B159,OFFSET([1]quests!$A$1,0,0,COUNTA([1]quests!$A:$A),MATCH(E$1,[1]quests!$1:$1,0)-MATCH($B$1,[1]quests!$1:$1,0)+1),MATCH(E$1,[1]quests!$1:$1,0)-MATCH($B$1,[1]quests!$1:$1,0)+1,FALSE)</f>
        <v>【キャンペーン限定】 緑の素材</v>
      </c>
      <c r="F159" s="5" t="str">
        <f ca="1">VLOOKUP($D159,OFFSET([1]stages!$A$1,0,0,COUNTA([1]stages!$A:$A),MATCH(F$1,[1]stages!$2:$2,0)-MATCH($D$1,[1]stages!$2:$2,0)+1),MATCH(F$1,[1]stages!$2:$2,0)-MATCH($D$1,[1]stages!$2:$2,0)+1,FALSE)</f>
        <v>樹のイモムシ 【上級】</v>
      </c>
      <c r="G159" s="32">
        <v>3</v>
      </c>
      <c r="H159" s="20" t="str">
        <f t="shared" si="90"/>
        <v>11104_3-3</v>
      </c>
      <c r="I159" s="31">
        <v>107</v>
      </c>
      <c r="J159" s="26" t="str">
        <f ca="1">VLOOKUP($I159,OFFSET([2]enemies!$A$1,0,0,COUNTA([2]enemies!$A:$A),MATCH(J$1,[2]enemies!$2:$2,0)-MATCH($I$1,[2]enemies!$2:$2,0)+1),MATCH(J$1,[2]enemies!$2:$2,0)-MATCH($I$1,[2]enemies!$2:$2,0)+1,FALSE)</f>
        <v>グリーンキャタップ</v>
      </c>
      <c r="K159" s="29" t="str">
        <f ca="1">VLOOKUP($I159,OFFSET([2]enemies!$A$1,0,0,COUNTA([2]enemies!$A:$A),MATCH(K$1,[2]enemies!$2:$2,0)-MATCH($I$1,[2]enemies!$2:$2,0)+1),MATCH(K$1,[2]enemies!$2:$2,0)-MATCH($I$1,[2]enemies!$2:$2,0)+1,FALSE)</f>
        <v>green</v>
      </c>
      <c r="L159" s="29" t="str">
        <f ca="1">VLOOKUP($I159,OFFSET([3]characters!$A$1,0,0,COUNTA([3]characters!$A:$A),MATCH(L$1,[3]characters!$2:$2,0)-MATCH($I$1,[3]characters!$2:$2,0)+1),MATCH(L$1,[3]characters!$2:$2,0)-MATCH($I$1,[3]characters!$2:$2,0)+1,FALSE)</f>
        <v>Material</v>
      </c>
      <c r="M159" s="28" t="str">
        <f ca="1">VLOOKUP($I159,OFFSET([3]characters!$A$1,0,0,COUNTA([3]characters!$A:$A),MATCH(M$1,[3]characters!$2:$2,0)-MATCH($I$1,[3]characters!$2:$2,0)+2),MATCH(M$1,[3]characters!$2:$2,0)-MATCH($I$1,[3]characters!$2:$2,0)+2,FALSE)</f>
        <v>Unknown</v>
      </c>
      <c r="N159" s="5">
        <f ca="1">VLOOKUP($I159,OFFSET([2]enemies!$A$1,0,0,COUNTA([2]enemies!$A:$A),MATCH(N$1,[2]enemies!$2:$2,0)-MATCH($I$1,[2]enemies!$2:$2,0)+1),MATCH(N$1,[2]enemies!$2:$2,0)-MATCH($I$1,[2]enemies!$2:$2,0)+1,FALSE)</f>
        <v>15</v>
      </c>
      <c r="O159" s="6">
        <v>30</v>
      </c>
      <c r="P159" s="46">
        <v>2</v>
      </c>
      <c r="Q159" s="46">
        <v>1</v>
      </c>
      <c r="R159" s="6">
        <v>0</v>
      </c>
      <c r="S159" s="5" t="str">
        <f ca="1">VLOOKUP($T159,OFFSET([4]enemy_skill_sets!$B$1,0,0,COUNTA([4]enemy_skill_sets!$B:$B),MATCH(J$1,[4]enemy_skill_sets!$1:$1,0)-MATCH($T$1,[4]enemy_skill_sets!$1:$1,0)+2),MATCH(J$1,[4]enemy_skill_sets!$1:$1,0)-MATCH($T$1,[4]enemy_skill_sets!$1:$1,0)+2,FALSE)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9" s="5">
        <f ca="1">VLOOKUP($I159,OFFSET([2]enemies!$A$1,0,0,COUNTA([2]enemies!$A:$A),MATCH(T$1,[2]enemies!$2:$2,0)-MATCH($I$1,[2]enemies!$2:$2,0)+1),MATCH(T$1,[2]enemies!$2:$2,0)-MATCH($I$1,[2]enemies!$2:$2,0)+1,FALSE)</f>
        <v>0</v>
      </c>
      <c r="U159" s="7">
        <v>1</v>
      </c>
      <c r="V159" s="7">
        <v>100</v>
      </c>
      <c r="W159" s="7">
        <v>1</v>
      </c>
      <c r="X159" s="26">
        <f ca="1">VLOOKUP($I159,OFFSET([2]enemies!$A$1,0,0,COUNTA([2]enemies!$A:$A),MATCH(X$1,[2]enemies!$2:$2,0)-MATCH($I$1,[2]enemies!$2:$2,0)+1),MATCH(X$1,[2]enemies!$2:$2,0)-MATCH($I$1,[2]enemies!$2:$2,0)+1,FALSE)</f>
        <v>1</v>
      </c>
      <c r="Y159" s="31">
        <v>107</v>
      </c>
      <c r="Z159" s="5" t="str">
        <f ca="1">IFERROR(VLOOKUP($Y159,OFFSET([3]characters!$A$1,0,0,COUNTA([3]characters!$A:$A),MATCH(Z$1,[3]characters!$2:$2,0)-MATCH("character_id",[3]characters!$2:$2,0)+1),MATCH(Z$1,[3]characters!$2:$2,0)-MATCH("character_id",[3]characters!$2:$2,0)+1,FALSE),"")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159" s="5">
        <f ca="1">IFERROR(VLOOKUP($Y159,OFFSET([3]characters!$A$1,0,0,COUNTA([3]characters!$A:$A),MATCH(AA$1,[3]characters!$2:$2,0)-MATCH("character_id",[3]characters!$2:$2,0)+1),MATCH(AA$1,[3]characters!$2:$2,0)-MATCH("character_id",[3]characters!$2:$2,0)+1,FALSE),"")</f>
        <v>4</v>
      </c>
      <c r="AB159" s="5" t="str">
        <f ca="1">IFERROR(VLOOKUP($Y159,OFFSET([3]characters!$A$1,0,0,COUNTA([3]characters!$A:$A),MATCH(AB$1,[3]characters!$2:$2,0)-MATCH("character_id",[3]characters!$2:$2,0)+1),MATCH(AB$1,[3]characters!$2:$2,0)-MATCH("character_id",[3]characters!$2:$2,0)+1,FALSE),"")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59" s="8">
        <v>1</v>
      </c>
      <c r="AD159" s="34">
        <f t="shared" ca="1" si="91"/>
        <v>4</v>
      </c>
      <c r="AE159" s="9">
        <v>50</v>
      </c>
      <c r="AF159" s="8">
        <v>0</v>
      </c>
      <c r="AG159" s="8">
        <v>0</v>
      </c>
      <c r="AH159" s="8">
        <v>0</v>
      </c>
      <c r="AI159" s="8">
        <v>0</v>
      </c>
      <c r="AJ159" s="8">
        <v>1</v>
      </c>
    </row>
    <row r="160" spans="1:36" ht="21" customHeight="1">
      <c r="A160" s="21" t="str">
        <f t="shared" ca="1" si="88"/>
        <v>11104_3-3/35&lt;lv35&gt;s4</v>
      </c>
      <c r="B160" s="8">
        <v>11104</v>
      </c>
      <c r="C160" s="52">
        <v>3</v>
      </c>
      <c r="D160" s="2" t="str">
        <f t="shared" si="89"/>
        <v>11104_3</v>
      </c>
      <c r="E160" s="5" t="str">
        <f ca="1">VLOOKUP($B160,OFFSET([1]quests!$A$1,0,0,COUNTA([1]quests!$A:$A),MATCH(E$1,[1]quests!$1:$1,0)-MATCH($B$1,[1]quests!$1:$1,0)+1),MATCH(E$1,[1]quests!$1:$1,0)-MATCH($B$1,[1]quests!$1:$1,0)+1,FALSE)</f>
        <v>【キャンペーン限定】 緑の素材</v>
      </c>
      <c r="F160" s="5" t="str">
        <f ca="1">VLOOKUP($D160,OFFSET([1]stages!$A$1,0,0,COUNTA([1]stages!$A:$A),MATCH(F$1,[1]stages!$2:$2,0)-MATCH($D$1,[1]stages!$2:$2,0)+1),MATCH(F$1,[1]stages!$2:$2,0)-MATCH($D$1,[1]stages!$2:$2,0)+1,FALSE)</f>
        <v>樹のイモムシ 【上級】</v>
      </c>
      <c r="G160" s="32">
        <v>3</v>
      </c>
      <c r="H160" s="20" t="str">
        <f t="shared" si="90"/>
        <v>11104_3-3</v>
      </c>
      <c r="I160" s="31">
        <v>35</v>
      </c>
      <c r="J160" s="26" t="str">
        <f ca="1">VLOOKUP($I160,OFFSET([2]enemies!$A$1,0,0,COUNTA([2]enemies!$A:$A),MATCH(J$1,[2]enemies!$2:$2,0)-MATCH($I$1,[2]enemies!$2:$2,0)+1),MATCH(J$1,[2]enemies!$2:$2,0)-MATCH($I$1,[2]enemies!$2:$2,0)+1,FALSE)</f>
        <v>F2</v>
      </c>
      <c r="K160" s="29" t="str">
        <f ca="1">VLOOKUP($I160,OFFSET([2]enemies!$A$1,0,0,COUNTA([2]enemies!$A:$A),MATCH(K$1,[2]enemies!$2:$2,0)-MATCH($I$1,[2]enemies!$2:$2,0)+1),MATCH(K$1,[2]enemies!$2:$2,0)-MATCH($I$1,[2]enemies!$2:$2,0)+1,FALSE)</f>
        <v>green</v>
      </c>
      <c r="L160" s="29" t="str">
        <f ca="1">VLOOKUP($I160,OFFSET([3]characters!$A$1,0,0,COUNTA([3]characters!$A:$A),MATCH(L$1,[3]characters!$2:$2,0)-MATCH($I$1,[3]characters!$2:$2,0)+1),MATCH(L$1,[3]characters!$2:$2,0)-MATCH($I$1,[3]characters!$2:$2,0)+1,FALSE)</f>
        <v>Drop1S</v>
      </c>
      <c r="M160" s="28" t="str">
        <f ca="1">VLOOKUP($I160,OFFSET([3]characters!$A$1,0,0,COUNTA([3]characters!$A:$A),MATCH(M$1,[3]characters!$2:$2,0)-MATCH($I$1,[3]characters!$2:$2,0)+2),MATCH(M$1,[3]characters!$2:$2,0)-MATCH($I$1,[3]characters!$2:$2,0)+2,FALSE)</f>
        <v>マシン</v>
      </c>
      <c r="N160" s="5">
        <f ca="1">VLOOKUP($I160,OFFSET([2]enemies!$A$1,0,0,COUNTA([2]enemies!$A:$A),MATCH(N$1,[2]enemies!$2:$2,0)-MATCH($I$1,[2]enemies!$2:$2,0)+1),MATCH(N$1,[2]enemies!$2:$2,0)-MATCH($I$1,[2]enemies!$2:$2,0)+1,FALSE)</f>
        <v>15</v>
      </c>
      <c r="O160" s="6">
        <v>35</v>
      </c>
      <c r="P160" s="46">
        <v>1</v>
      </c>
      <c r="Q160" s="46">
        <v>1</v>
      </c>
      <c r="R160" s="6">
        <v>0</v>
      </c>
      <c r="S160" s="5" t="str">
        <f ca="1">VLOOKUP($T160,OFFSET([4]enemy_skill_sets!$B$1,0,0,COUNTA([4]enemy_skill_sets!$B:$B),MATCH(J$1,[4]enemy_skill_sets!$1:$1,0)-MATCH($T$1,[4]enemy_skill_sets!$1:$1,0)+2),MATCH(J$1,[4]enemy_skill_sets!$1:$1,0)-MATCH($T$1,[4]enemy_skill_sets!$1:$1,0)+2,FALSE)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160" s="5">
        <f ca="1">VLOOKUP($I160,OFFSET([2]enemies!$A$1,0,0,COUNTA([2]enemies!$A:$A),MATCH(T$1,[2]enemies!$2:$2,0)-MATCH($I$1,[2]enemies!$2:$2,0)+1),MATCH(T$1,[2]enemies!$2:$2,0)-MATCH($I$1,[2]enemies!$2:$2,0)+1,FALSE)</f>
        <v>35</v>
      </c>
      <c r="U160" s="7">
        <v>0</v>
      </c>
      <c r="V160" s="7">
        <v>100</v>
      </c>
      <c r="W160" s="7">
        <v>0</v>
      </c>
      <c r="X160" s="26">
        <f ca="1">VLOOKUP($I160,OFFSET([2]enemies!$A$1,0,0,COUNTA([2]enemies!$A:$A),MATCH(X$1,[2]enemies!$2:$2,0)-MATCH($I$1,[2]enemies!$2:$2,0)+1),MATCH(X$1,[2]enemies!$2:$2,0)-MATCH($I$1,[2]enemies!$2:$2,0)+1,FALSE)</f>
        <v>4</v>
      </c>
      <c r="Y160" s="31">
        <v>35</v>
      </c>
      <c r="Z160" s="5" t="str">
        <f ca="1">IFERROR(VLOOKUP($Y160,OFFSET([3]characters!$A$1,0,0,COUNTA([3]characters!$A:$A),MATCH(Z$1,[3]characters!$2:$2,0)-MATCH("character_id",[3]characters!$2:$2,0)+1),MATCH(Z$1,[3]characters!$2:$2,0)-MATCH("character_id",[3]characters!$2:$2,0)+1,FALSE),"")</f>
        <v>F2</v>
      </c>
      <c r="AA160" s="5">
        <f ca="1">IFERROR(VLOOKUP($Y160,OFFSET([3]characters!$A$1,0,0,COUNTA([3]characters!$A:$A),MATCH(AA$1,[3]characters!$2:$2,0)-MATCH("character_id",[3]characters!$2:$2,0)+1),MATCH(AA$1,[3]characters!$2:$2,0)-MATCH("character_id",[3]characters!$2:$2,0)+1,FALSE),"")</f>
        <v>2</v>
      </c>
      <c r="AB160" s="5" t="str">
        <f ca="1">IFERROR(VLOOKUP($Y160,OFFSET([3]characters!$A$1,0,0,COUNTA([3]characters!$A:$A),MATCH(AB$1,[3]characters!$2:$2,0)-MATCH("character_id",[3]characters!$2:$2,0)+1),MATCH(AB$1,[3]characters!$2:$2,0)-MATCH("character_id",[3]characters!$2:$2,0)+1,FALSE),"")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60" s="8">
        <v>1</v>
      </c>
      <c r="AD160" s="34">
        <f t="shared" ca="1" si="91"/>
        <v>2</v>
      </c>
      <c r="AE160" s="9">
        <v>0</v>
      </c>
      <c r="AF160" s="8">
        <v>0</v>
      </c>
      <c r="AG160" s="8">
        <v>0</v>
      </c>
      <c r="AH160" s="8">
        <v>0</v>
      </c>
      <c r="AI160" s="8">
        <v>0</v>
      </c>
      <c r="AJ160" s="8">
        <v>1</v>
      </c>
    </row>
    <row r="161" spans="1:36" ht="21" customHeight="1">
      <c r="A161" s="21" t="str">
        <f t="shared" ca="1" si="88"/>
        <v>11104_3-3/27&lt;lv35&gt;s1</v>
      </c>
      <c r="B161" s="8">
        <v>11104</v>
      </c>
      <c r="C161" s="52">
        <v>3</v>
      </c>
      <c r="D161" s="2" t="str">
        <f t="shared" si="89"/>
        <v>11104_3</v>
      </c>
      <c r="E161" s="5" t="str">
        <f ca="1">VLOOKUP($B161,OFFSET([1]quests!$A$1,0,0,COUNTA([1]quests!$A:$A),MATCH(E$1,[1]quests!$1:$1,0)-MATCH($B$1,[1]quests!$1:$1,0)+1),MATCH(E$1,[1]quests!$1:$1,0)-MATCH($B$1,[1]quests!$1:$1,0)+1,FALSE)</f>
        <v>【キャンペーン限定】 緑の素材</v>
      </c>
      <c r="F161" s="5" t="str">
        <f ca="1">VLOOKUP($D161,OFFSET([1]stages!$A$1,0,0,COUNTA([1]stages!$A:$A),MATCH(F$1,[1]stages!$2:$2,0)-MATCH($D$1,[1]stages!$2:$2,0)+1),MATCH(F$1,[1]stages!$2:$2,0)-MATCH($D$1,[1]stages!$2:$2,0)+1,FALSE)</f>
        <v>樹のイモムシ 【上級】</v>
      </c>
      <c r="G161" s="32">
        <v>3</v>
      </c>
      <c r="H161" s="20" t="str">
        <f t="shared" si="90"/>
        <v>11104_3-3</v>
      </c>
      <c r="I161" s="31">
        <v>27</v>
      </c>
      <c r="J161" s="26" t="str">
        <f ca="1">VLOOKUP($I161,OFFSET([2]enemies!$A$1,0,0,COUNTA([2]enemies!$A:$A),MATCH(J$1,[2]enemies!$2:$2,0)-MATCH($I$1,[2]enemies!$2:$2,0)+1),MATCH(J$1,[2]enemies!$2:$2,0)-MATCH($I$1,[2]enemies!$2:$2,0)+1,FALSE)</f>
        <v>パトライン</v>
      </c>
      <c r="K161" s="29" t="str">
        <f ca="1">VLOOKUP($I161,OFFSET([2]enemies!$A$1,0,0,COUNTA([2]enemies!$A:$A),MATCH(K$1,[2]enemies!$2:$2,0)-MATCH($I$1,[2]enemies!$2:$2,0)+1),MATCH(K$1,[2]enemies!$2:$2,0)-MATCH($I$1,[2]enemies!$2:$2,0)+1,FALSE)</f>
        <v>green</v>
      </c>
      <c r="L161" s="29" t="str">
        <f ca="1">VLOOKUP($I161,OFFSET([3]characters!$A$1,0,0,COUNTA([3]characters!$A:$A),MATCH(L$1,[3]characters!$2:$2,0)-MATCH($I$1,[3]characters!$2:$2,0)+1),MATCH(L$1,[3]characters!$2:$2,0)-MATCH($I$1,[3]characters!$2:$2,0)+1,FALSE)</f>
        <v>Drop1N</v>
      </c>
      <c r="M161" s="28" t="str">
        <f ca="1">VLOOKUP($I161,OFFSET([3]characters!$A$1,0,0,COUNTA([3]characters!$A:$A),MATCH(M$1,[3]characters!$2:$2,0)-MATCH($I$1,[3]characters!$2:$2,0)+2),MATCH(M$1,[3]characters!$2:$2,0)-MATCH($I$1,[3]characters!$2:$2,0)+2,FALSE)</f>
        <v>マシン</v>
      </c>
      <c r="N161" s="5">
        <f ca="1">VLOOKUP($I161,OFFSET([2]enemies!$A$1,0,0,COUNTA([2]enemies!$A:$A),MATCH(N$1,[2]enemies!$2:$2,0)-MATCH($I$1,[2]enemies!$2:$2,0)+1),MATCH(N$1,[2]enemies!$2:$2,0)-MATCH($I$1,[2]enemies!$2:$2,0)+1,FALSE)</f>
        <v>15</v>
      </c>
      <c r="O161" s="6">
        <v>35</v>
      </c>
      <c r="P161" s="46">
        <v>1</v>
      </c>
      <c r="Q161" s="46">
        <v>1</v>
      </c>
      <c r="R161" s="6">
        <v>0</v>
      </c>
      <c r="S161" s="5" t="str">
        <f ca="1">VLOOKUP($T161,OFFSET([4]enemy_skill_sets!$B$1,0,0,COUNTA([4]enemy_skill_sets!$B:$B),MATCH(J$1,[4]enemy_skill_sets!$1:$1,0)-MATCH($T$1,[4]enemy_skill_sets!$1:$1,0)+2),MATCH(J$1,[4]enemy_skill_sets!$1:$1,0)-MATCH($T$1,[4]enemy_skill_sets!$1:$1,0)+2,FALSE)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1" s="5">
        <f ca="1">VLOOKUP($I161,OFFSET([2]enemies!$A$1,0,0,COUNTA([2]enemies!$A:$A),MATCH(T$1,[2]enemies!$2:$2,0)-MATCH($I$1,[2]enemies!$2:$2,0)+1),MATCH(T$1,[2]enemies!$2:$2,0)-MATCH($I$1,[2]enemies!$2:$2,0)+1,FALSE)</f>
        <v>0</v>
      </c>
      <c r="U161" s="7">
        <v>0</v>
      </c>
      <c r="V161" s="7">
        <v>100</v>
      </c>
      <c r="W161" s="7">
        <v>0</v>
      </c>
      <c r="X161" s="26">
        <f ca="1">VLOOKUP($I161,OFFSET([2]enemies!$A$1,0,0,COUNTA([2]enemies!$A:$A),MATCH(X$1,[2]enemies!$2:$2,0)-MATCH($I$1,[2]enemies!$2:$2,0)+1),MATCH(X$1,[2]enemies!$2:$2,0)-MATCH($I$1,[2]enemies!$2:$2,0)+1,FALSE)</f>
        <v>1</v>
      </c>
      <c r="Y161" s="31">
        <v>27</v>
      </c>
      <c r="Z161" s="5" t="str">
        <f ca="1">IFERROR(VLOOKUP($Y161,OFFSET([3]characters!$A$1,0,0,COUNTA([3]characters!$A:$A),MATCH(Z$1,[3]characters!$2:$2,0)-MATCH("character_id",[3]characters!$2:$2,0)+1),MATCH(Z$1,[3]characters!$2:$2,0)-MATCH("character_id",[3]characters!$2:$2,0)+1,FALSE),"")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161" s="5">
        <f ca="1">IFERROR(VLOOKUP($Y161,OFFSET([3]characters!$A$1,0,0,COUNTA([3]characters!$A:$A),MATCH(AA$1,[3]characters!$2:$2,0)-MATCH("character_id",[3]characters!$2:$2,0)+1),MATCH(AA$1,[3]characters!$2:$2,0)-MATCH("character_id",[3]characters!$2:$2,0)+1,FALSE),"")</f>
        <v>1</v>
      </c>
      <c r="AB161" s="5" t="str">
        <f ca="1">IFERROR(VLOOKUP($Y161,OFFSET([3]characters!$A$1,0,0,COUNTA([3]characters!$A:$A),MATCH(AB$1,[3]characters!$2:$2,0)-MATCH("character_id",[3]characters!$2:$2,0)+1),MATCH(AB$1,[3]characters!$2:$2,0)-MATCH("character_id",[3]characters!$2:$2,0)+1,FALSE),"")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61" s="8">
        <v>1</v>
      </c>
      <c r="AD161" s="34">
        <f t="shared" ca="1" si="91"/>
        <v>1</v>
      </c>
      <c r="AE161" s="9">
        <v>0</v>
      </c>
      <c r="AF161" s="8">
        <v>0</v>
      </c>
      <c r="AG161" s="8">
        <v>0</v>
      </c>
      <c r="AH161" s="8">
        <v>0</v>
      </c>
      <c r="AI161" s="8">
        <v>0</v>
      </c>
      <c r="AJ161" s="8">
        <v>1</v>
      </c>
    </row>
    <row r="162" spans="1:36" ht="21" customHeight="1">
      <c r="A162" s="21" t="str">
        <f t="shared" ca="1" si="88"/>
        <v>11104_3-3/336&lt;lv1&gt;s1</v>
      </c>
      <c r="B162" s="8">
        <v>11104</v>
      </c>
      <c r="C162" s="52">
        <v>3</v>
      </c>
      <c r="D162" s="2" t="str">
        <f t="shared" si="89"/>
        <v>11104_3</v>
      </c>
      <c r="E162" s="5" t="str">
        <f ca="1">VLOOKUP($B162,OFFSET([1]quests!$A$1,0,0,COUNTA([1]quests!$A:$A),MATCH(E$1,[1]quests!$1:$1,0)-MATCH($B$1,[1]quests!$1:$1,0)+1),MATCH(E$1,[1]quests!$1:$1,0)-MATCH($B$1,[1]quests!$1:$1,0)+1,FALSE)</f>
        <v>【キャンペーン限定】 緑の素材</v>
      </c>
      <c r="F162" s="5" t="str">
        <f ca="1">VLOOKUP($D162,OFFSET([1]stages!$A$1,0,0,COUNTA([1]stages!$A:$A),MATCH(F$1,[1]stages!$2:$2,0)-MATCH($D$1,[1]stages!$2:$2,0)+1),MATCH(F$1,[1]stages!$2:$2,0)-MATCH($D$1,[1]stages!$2:$2,0)+1,FALSE)</f>
        <v>樹のイモムシ 【上級】</v>
      </c>
      <c r="G162" s="32">
        <v>3</v>
      </c>
      <c r="H162" s="20" t="str">
        <f t="shared" si="90"/>
        <v>11104_3-3</v>
      </c>
      <c r="I162" s="31">
        <v>336</v>
      </c>
      <c r="J162" s="26" t="str">
        <f ca="1">VLOOKUP($I162,OFFSET([2]enemies!$A$1,0,0,COUNTA([2]enemies!$A:$A),MATCH(J$1,[2]enemies!$2:$2,0)-MATCH($I$1,[2]enemies!$2:$2,0)+1),MATCH(J$1,[2]enemies!$2:$2,0)-MATCH($I$1,[2]enemies!$2:$2,0)+1,FALSE)</f>
        <v>森のメタルピヨピヨ</v>
      </c>
      <c r="K162" s="29" t="str">
        <f ca="1">VLOOKUP($I162,OFFSET([2]enemies!$A$1,0,0,COUNTA([2]enemies!$A:$A),MATCH(K$1,[2]enemies!$2:$2,0)-MATCH($I$1,[2]enemies!$2:$2,0)+1),MATCH(K$1,[2]enemies!$2:$2,0)-MATCH($I$1,[2]enemies!$2:$2,0)+1,FALSE)</f>
        <v>green</v>
      </c>
      <c r="L162" s="29" t="str">
        <f ca="1">VLOOKUP($I162,OFFSET([3]characters!$A$1,0,0,COUNTA([3]characters!$A:$A),MATCH(L$1,[3]characters!$2:$2,0)-MATCH($I$1,[3]characters!$2:$2,0)+1),MATCH(L$1,[3]characters!$2:$2,0)-MATCH($I$1,[3]characters!$2:$2,0)+1,FALSE)</f>
        <v>Material</v>
      </c>
      <c r="M162" s="28" t="str">
        <f ca="1">VLOOKUP($I162,OFFSET([3]characters!$A$1,0,0,COUNTA([3]characters!$A:$A),MATCH(M$1,[3]characters!$2:$2,0)-MATCH($I$1,[3]characters!$2:$2,0)+2),MATCH(M$1,[3]characters!$2:$2,0)-MATCH($I$1,[3]characters!$2:$2,0)+2,FALSE)</f>
        <v>Unknown</v>
      </c>
      <c r="N162" s="5">
        <f ca="1">VLOOKUP($I162,OFFSET([2]enemies!$A$1,0,0,COUNTA([2]enemies!$A:$A),MATCH(N$1,[2]enemies!$2:$2,0)-MATCH($I$1,[2]enemies!$2:$2,0)+1),MATCH(N$1,[2]enemies!$2:$2,0)-MATCH($I$1,[2]enemies!$2:$2,0)+1,FALSE)</f>
        <v>15</v>
      </c>
      <c r="O162" s="6">
        <v>1</v>
      </c>
      <c r="P162" s="46">
        <v>1</v>
      </c>
      <c r="Q162" s="46">
        <v>1</v>
      </c>
      <c r="R162" s="6">
        <v>0</v>
      </c>
      <c r="S162" s="5" t="str">
        <f ca="1">VLOOKUP($T162,OFFSET([4]enemy_skill_sets!$B$1,0,0,COUNTA([4]enemy_skill_sets!$B:$B),MATCH(J$1,[4]enemy_skill_sets!$1:$1,0)-MATCH($T$1,[4]enemy_skill_sets!$1:$1,0)+2),MATCH(J$1,[4]enemy_skill_sets!$1:$1,0)-MATCH($T$1,[4]enemy_skill_sets!$1:$1,0)+2,FALSE)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2" s="5">
        <f ca="1">VLOOKUP($I162,OFFSET([2]enemies!$A$1,0,0,COUNTA([2]enemies!$A:$A),MATCH(T$1,[2]enemies!$2:$2,0)-MATCH($I$1,[2]enemies!$2:$2,0)+1),MATCH(T$1,[2]enemies!$2:$2,0)-MATCH($I$1,[2]enemies!$2:$2,0)+1,FALSE)</f>
        <v>0</v>
      </c>
      <c r="U162" s="7">
        <v>0</v>
      </c>
      <c r="V162" s="7">
        <v>30</v>
      </c>
      <c r="W162" s="7">
        <v>0</v>
      </c>
      <c r="X162" s="26">
        <f ca="1">VLOOKUP($I162,OFFSET([2]enemies!$A$1,0,0,COUNTA([2]enemies!$A:$A),MATCH(X$1,[2]enemies!$2:$2,0)-MATCH($I$1,[2]enemies!$2:$2,0)+1),MATCH(X$1,[2]enemies!$2:$2,0)-MATCH($I$1,[2]enemies!$2:$2,0)+1,FALSE)</f>
        <v>1</v>
      </c>
      <c r="Y162" s="31">
        <v>336</v>
      </c>
      <c r="Z162" s="5" t="str">
        <f ca="1">IFERROR(VLOOKUP($Y162,OFFSET([3]characters!$A$1,0,0,COUNTA([3]characters!$A:$A),MATCH(Z$1,[3]characters!$2:$2,0)-MATCH("character_id",[3]characters!$2:$2,0)+1),MATCH(Z$1,[3]characters!$2:$2,0)-MATCH("character_id",[3]characters!$2:$2,0)+1,FALSE),"")</f>
        <v>森のメタルピヨピヨ</v>
      </c>
      <c r="AA162" s="5">
        <f ca="1">IFERROR(VLOOKUP($Y162,OFFSET([3]characters!$A$1,0,0,COUNTA([3]characters!$A:$A),MATCH(AA$1,[3]characters!$2:$2,0)-MATCH("character_id",[3]characters!$2:$2,0)+1),MATCH(AA$1,[3]characters!$2:$2,0)-MATCH("character_id",[3]characters!$2:$2,0)+1,FALSE),"")</f>
        <v>3</v>
      </c>
      <c r="AB162" s="5" t="str">
        <f ca="1">IFERROR(VLOOKUP($Y162,OFFSET([3]characters!$A$1,0,0,COUNTA([3]characters!$A:$A),MATCH(AB$1,[3]characters!$2:$2,0)-MATCH("character_id",[3]characters!$2:$2,0)+1),MATCH(AB$1,[3]characters!$2:$2,0)-MATCH("character_id",[3]characters!$2:$2,0)+1,FALSE),"")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62" s="8">
        <v>1</v>
      </c>
      <c r="AD162" s="34">
        <f t="shared" ca="1" si="91"/>
        <v>3</v>
      </c>
      <c r="AE162" s="9">
        <v>10</v>
      </c>
      <c r="AF162" s="8">
        <v>0</v>
      </c>
      <c r="AG162" s="8">
        <v>0</v>
      </c>
      <c r="AH162" s="8">
        <v>0</v>
      </c>
      <c r="AI162" s="8">
        <v>0</v>
      </c>
      <c r="AJ162" s="8">
        <v>1</v>
      </c>
    </row>
    <row r="163" spans="1:36" ht="21" customHeight="1">
      <c r="A163" s="21" t="str">
        <f t="shared" ca="1" si="88"/>
        <v>11104_3-3/337&lt;lv1&gt;s2</v>
      </c>
      <c r="B163" s="8">
        <v>11104</v>
      </c>
      <c r="C163" s="52">
        <v>3</v>
      </c>
      <c r="D163" s="2" t="str">
        <f t="shared" si="89"/>
        <v>11104_3</v>
      </c>
      <c r="E163" s="5" t="str">
        <f ca="1">VLOOKUP($B163,OFFSET([1]quests!$A$1,0,0,COUNTA([1]quests!$A:$A),MATCH(E$1,[1]quests!$1:$1,0)-MATCH($B$1,[1]quests!$1:$1,0)+1),MATCH(E$1,[1]quests!$1:$1,0)-MATCH($B$1,[1]quests!$1:$1,0)+1,FALSE)</f>
        <v>【キャンペーン限定】 緑の素材</v>
      </c>
      <c r="F163" s="5" t="str">
        <f ca="1">VLOOKUP($D163,OFFSET([1]stages!$A$1,0,0,COUNTA([1]stages!$A:$A),MATCH(F$1,[1]stages!$2:$2,0)-MATCH($D$1,[1]stages!$2:$2,0)+1),MATCH(F$1,[1]stages!$2:$2,0)-MATCH($D$1,[1]stages!$2:$2,0)+1,FALSE)</f>
        <v>樹のイモムシ 【上級】</v>
      </c>
      <c r="G163" s="32">
        <v>3</v>
      </c>
      <c r="H163" s="20" t="str">
        <f t="shared" si="90"/>
        <v>11104_3-3</v>
      </c>
      <c r="I163" s="31">
        <v>337</v>
      </c>
      <c r="J163" s="26" t="str">
        <f ca="1">VLOOKUP($I163,OFFSET([2]enemies!$A$1,0,0,COUNTA([2]enemies!$A:$A),MATCH(J$1,[2]enemies!$2:$2,0)-MATCH($I$1,[2]enemies!$2:$2,0)+1),MATCH(J$1,[2]enemies!$2:$2,0)-MATCH($I$1,[2]enemies!$2:$2,0)+1,FALSE)</f>
        <v>森のメタルチック</v>
      </c>
      <c r="K163" s="29" t="str">
        <f ca="1">VLOOKUP($I163,OFFSET([2]enemies!$A$1,0,0,COUNTA([2]enemies!$A:$A),MATCH(K$1,[2]enemies!$2:$2,0)-MATCH($I$1,[2]enemies!$2:$2,0)+1),MATCH(K$1,[2]enemies!$2:$2,0)-MATCH($I$1,[2]enemies!$2:$2,0)+1,FALSE)</f>
        <v>green</v>
      </c>
      <c r="L163" s="29" t="str">
        <f ca="1">VLOOKUP($I163,OFFSET([3]characters!$A$1,0,0,COUNTA([3]characters!$A:$A),MATCH(L$1,[3]characters!$2:$2,0)-MATCH($I$1,[3]characters!$2:$2,0)+1),MATCH(L$1,[3]characters!$2:$2,0)-MATCH($I$1,[3]characters!$2:$2,0)+1,FALSE)</f>
        <v>Material</v>
      </c>
      <c r="M163" s="28" t="str">
        <f ca="1">VLOOKUP($I163,OFFSET([3]characters!$A$1,0,0,COUNTA([3]characters!$A:$A),MATCH(M$1,[3]characters!$2:$2,0)-MATCH($I$1,[3]characters!$2:$2,0)+2),MATCH(M$1,[3]characters!$2:$2,0)-MATCH($I$1,[3]characters!$2:$2,0)+2,FALSE)</f>
        <v>Unknown</v>
      </c>
      <c r="N163" s="5">
        <f ca="1">VLOOKUP($I163,OFFSET([2]enemies!$A$1,0,0,COUNTA([2]enemies!$A:$A),MATCH(N$1,[2]enemies!$2:$2,0)-MATCH($I$1,[2]enemies!$2:$2,0)+1),MATCH(N$1,[2]enemies!$2:$2,0)-MATCH($I$1,[2]enemies!$2:$2,0)+1,FALSE)</f>
        <v>15</v>
      </c>
      <c r="O163" s="6">
        <v>1</v>
      </c>
      <c r="P163" s="46">
        <v>1</v>
      </c>
      <c r="Q163" s="46">
        <v>1</v>
      </c>
      <c r="R163" s="6">
        <v>0</v>
      </c>
      <c r="S163" s="5" t="str">
        <f ca="1">VLOOKUP($T163,OFFSET([4]enemy_skill_sets!$B$1,0,0,COUNTA([4]enemy_skill_sets!$B:$B),MATCH(J$1,[4]enemy_skill_sets!$1:$1,0)-MATCH($T$1,[4]enemy_skill_sets!$1:$1,0)+2),MATCH(J$1,[4]enemy_skill_sets!$1:$1,0)-MATCH($T$1,[4]enemy_skill_sets!$1:$1,0)+2,FALSE)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3" s="5">
        <f ca="1">VLOOKUP($I163,OFFSET([2]enemies!$A$1,0,0,COUNTA([2]enemies!$A:$A),MATCH(T$1,[2]enemies!$2:$2,0)-MATCH($I$1,[2]enemies!$2:$2,0)+1),MATCH(T$1,[2]enemies!$2:$2,0)-MATCH($I$1,[2]enemies!$2:$2,0)+1,FALSE)</f>
        <v>0</v>
      </c>
      <c r="U163" s="7">
        <v>0</v>
      </c>
      <c r="V163" s="7">
        <v>30</v>
      </c>
      <c r="W163" s="7">
        <v>0</v>
      </c>
      <c r="X163" s="26">
        <f ca="1">VLOOKUP($I163,OFFSET([2]enemies!$A$1,0,0,COUNTA([2]enemies!$A:$A),MATCH(X$1,[2]enemies!$2:$2,0)-MATCH($I$1,[2]enemies!$2:$2,0)+1),MATCH(X$1,[2]enemies!$2:$2,0)-MATCH($I$1,[2]enemies!$2:$2,0)+1,FALSE)</f>
        <v>2</v>
      </c>
      <c r="Y163" s="31">
        <v>337</v>
      </c>
      <c r="Z163" s="5" t="str">
        <f ca="1">IFERROR(VLOOKUP($Y163,OFFSET([3]characters!$A$1,0,0,COUNTA([3]characters!$A:$A),MATCH(Z$1,[3]characters!$2:$2,0)-MATCH("character_id",[3]characters!$2:$2,0)+1),MATCH(Z$1,[3]characters!$2:$2,0)-MATCH("character_id",[3]characters!$2:$2,0)+1,FALSE),"")</f>
        <v>森のメタルチック</v>
      </c>
      <c r="AA163" s="5">
        <f ca="1">IFERROR(VLOOKUP($Y163,OFFSET([3]characters!$A$1,0,0,COUNTA([3]characters!$A:$A),MATCH(AA$1,[3]characters!$2:$2,0)-MATCH("character_id",[3]characters!$2:$2,0)+1),MATCH(AA$1,[3]characters!$2:$2,0)-MATCH("character_id",[3]characters!$2:$2,0)+1,FALSE),"")</f>
        <v>4</v>
      </c>
      <c r="AB163" s="5" t="str">
        <f ca="1">IFERROR(VLOOKUP($Y163,OFFSET([3]characters!$A$1,0,0,COUNTA([3]characters!$A:$A),MATCH(AB$1,[3]characters!$2:$2,0)-MATCH("character_id",[3]characters!$2:$2,0)+1),MATCH(AB$1,[3]characters!$2:$2,0)-MATCH("character_id",[3]characters!$2:$2,0)+1,FALSE),"")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63" s="8">
        <v>1</v>
      </c>
      <c r="AD163" s="34">
        <f t="shared" ca="1" si="91"/>
        <v>4</v>
      </c>
      <c r="AE163" s="9">
        <v>5</v>
      </c>
      <c r="AF163" s="8">
        <v>0</v>
      </c>
      <c r="AG163" s="8">
        <v>0</v>
      </c>
      <c r="AH163" s="8">
        <v>0</v>
      </c>
      <c r="AI163" s="8">
        <v>0</v>
      </c>
      <c r="AJ163" s="8">
        <v>1</v>
      </c>
    </row>
    <row r="164" spans="1:36" ht="21" customHeight="1">
      <c r="A164" s="21" t="str">
        <f t="shared" ca="1" si="88"/>
        <v>11104_3-4/107&lt;lv30&gt;s1</v>
      </c>
      <c r="B164" s="8">
        <v>11104</v>
      </c>
      <c r="C164" s="52">
        <v>3</v>
      </c>
      <c r="D164" s="2" t="str">
        <f t="shared" si="89"/>
        <v>11104_3</v>
      </c>
      <c r="E164" s="5" t="str">
        <f ca="1">VLOOKUP($B164,OFFSET([1]quests!$A$1,0,0,COUNTA([1]quests!$A:$A),MATCH(E$1,[1]quests!$1:$1,0)-MATCH($B$1,[1]quests!$1:$1,0)+1),MATCH(E$1,[1]quests!$1:$1,0)-MATCH($B$1,[1]quests!$1:$1,0)+1,FALSE)</f>
        <v>【キャンペーン限定】 緑の素材</v>
      </c>
      <c r="F164" s="5" t="str">
        <f ca="1">VLOOKUP($D164,OFFSET([1]stages!$A$1,0,0,COUNTA([1]stages!$A:$A),MATCH(F$1,[1]stages!$2:$2,0)-MATCH($D$1,[1]stages!$2:$2,0)+1),MATCH(F$1,[1]stages!$2:$2,0)-MATCH($D$1,[1]stages!$2:$2,0)+1,FALSE)</f>
        <v>樹のイモムシ 【上級】</v>
      </c>
      <c r="G164" s="32">
        <v>4</v>
      </c>
      <c r="H164" s="20" t="str">
        <f t="shared" si="90"/>
        <v>11104_3-4</v>
      </c>
      <c r="I164" s="31">
        <v>107</v>
      </c>
      <c r="J164" s="26" t="str">
        <f ca="1">VLOOKUP($I164,OFFSET([2]enemies!$A$1,0,0,COUNTA([2]enemies!$A:$A),MATCH(J$1,[2]enemies!$2:$2,0)-MATCH($I$1,[2]enemies!$2:$2,0)+1),MATCH(J$1,[2]enemies!$2:$2,0)-MATCH($I$1,[2]enemies!$2:$2,0)+1,FALSE)</f>
        <v>グリーンキャタップ</v>
      </c>
      <c r="K164" s="29" t="str">
        <f ca="1">VLOOKUP($I164,OFFSET([2]enemies!$A$1,0,0,COUNTA([2]enemies!$A:$A),MATCH(K$1,[2]enemies!$2:$2,0)-MATCH($I$1,[2]enemies!$2:$2,0)+1),MATCH(K$1,[2]enemies!$2:$2,0)-MATCH($I$1,[2]enemies!$2:$2,0)+1,FALSE)</f>
        <v>green</v>
      </c>
      <c r="L164" s="29" t="str">
        <f ca="1">VLOOKUP($I164,OFFSET([3]characters!$A$1,0,0,COUNTA([3]characters!$A:$A),MATCH(L$1,[3]characters!$2:$2,0)-MATCH($I$1,[3]characters!$2:$2,0)+1),MATCH(L$1,[3]characters!$2:$2,0)-MATCH($I$1,[3]characters!$2:$2,0)+1,FALSE)</f>
        <v>Material</v>
      </c>
      <c r="M164" s="28" t="str">
        <f ca="1">VLOOKUP($I164,OFFSET([3]characters!$A$1,0,0,COUNTA([3]characters!$A:$A),MATCH(M$1,[3]characters!$2:$2,0)-MATCH($I$1,[3]characters!$2:$2,0)+2),MATCH(M$1,[3]characters!$2:$2,0)-MATCH($I$1,[3]characters!$2:$2,0)+2,FALSE)</f>
        <v>Unknown</v>
      </c>
      <c r="N164" s="5">
        <f ca="1">VLOOKUP($I164,OFFSET([2]enemies!$A$1,0,0,COUNTA([2]enemies!$A:$A),MATCH(N$1,[2]enemies!$2:$2,0)-MATCH($I$1,[2]enemies!$2:$2,0)+1),MATCH(N$1,[2]enemies!$2:$2,0)-MATCH($I$1,[2]enemies!$2:$2,0)+1,FALSE)</f>
        <v>15</v>
      </c>
      <c r="O164" s="6">
        <v>30</v>
      </c>
      <c r="P164" s="46">
        <v>2</v>
      </c>
      <c r="Q164" s="46">
        <v>1</v>
      </c>
      <c r="R164" s="6">
        <v>0</v>
      </c>
      <c r="S164" s="5" t="str">
        <f ca="1">VLOOKUP($T164,OFFSET([4]enemy_skill_sets!$B$1,0,0,COUNTA([4]enemy_skill_sets!$B:$B),MATCH(J$1,[4]enemy_skill_sets!$1:$1,0)-MATCH($T$1,[4]enemy_skill_sets!$1:$1,0)+2),MATCH(J$1,[4]enemy_skill_sets!$1:$1,0)-MATCH($T$1,[4]enemy_skill_sets!$1:$1,0)+2,FALSE)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4" s="5">
        <f ca="1">VLOOKUP($I164,OFFSET([2]enemies!$A$1,0,0,COUNTA([2]enemies!$A:$A),MATCH(T$1,[2]enemies!$2:$2,0)-MATCH($I$1,[2]enemies!$2:$2,0)+1),MATCH(T$1,[2]enemies!$2:$2,0)-MATCH($I$1,[2]enemies!$2:$2,0)+1,FALSE)</f>
        <v>0</v>
      </c>
      <c r="U164" s="7">
        <v>1</v>
      </c>
      <c r="V164" s="7">
        <v>100</v>
      </c>
      <c r="W164" s="7">
        <v>1</v>
      </c>
      <c r="X164" s="26">
        <f ca="1">VLOOKUP($I164,OFFSET([2]enemies!$A$1,0,0,COUNTA([2]enemies!$A:$A),MATCH(X$1,[2]enemies!$2:$2,0)-MATCH($I$1,[2]enemies!$2:$2,0)+1),MATCH(X$1,[2]enemies!$2:$2,0)-MATCH($I$1,[2]enemies!$2:$2,0)+1,FALSE)</f>
        <v>1</v>
      </c>
      <c r="Y164" s="31">
        <v>107</v>
      </c>
      <c r="Z164" s="5" t="str">
        <f ca="1">IFERROR(VLOOKUP($Y164,OFFSET([3]characters!$A$1,0,0,COUNTA([3]characters!$A:$A),MATCH(Z$1,[3]characters!$2:$2,0)-MATCH("character_id",[3]characters!$2:$2,0)+1),MATCH(Z$1,[3]characters!$2:$2,0)-MATCH("character_id",[3]characters!$2:$2,0)+1,FALSE),"")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164" s="5">
        <f ca="1">IFERROR(VLOOKUP($Y164,OFFSET([3]characters!$A$1,0,0,COUNTA([3]characters!$A:$A),MATCH(AA$1,[3]characters!$2:$2,0)-MATCH("character_id",[3]characters!$2:$2,0)+1),MATCH(AA$1,[3]characters!$2:$2,0)-MATCH("character_id",[3]characters!$2:$2,0)+1,FALSE),"")</f>
        <v>4</v>
      </c>
      <c r="AB164" s="5" t="str">
        <f ca="1">IFERROR(VLOOKUP($Y164,OFFSET([3]characters!$A$1,0,0,COUNTA([3]characters!$A:$A),MATCH(AB$1,[3]characters!$2:$2,0)-MATCH("character_id",[3]characters!$2:$2,0)+1),MATCH(AB$1,[3]characters!$2:$2,0)-MATCH("character_id",[3]characters!$2:$2,0)+1,FALSE),"")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64" s="8">
        <v>1</v>
      </c>
      <c r="AD164" s="34">
        <f t="shared" ca="1" si="91"/>
        <v>4</v>
      </c>
      <c r="AE164" s="9">
        <v>30</v>
      </c>
      <c r="AF164" s="8">
        <v>0</v>
      </c>
      <c r="AG164" s="8">
        <v>0</v>
      </c>
      <c r="AH164" s="8">
        <v>0</v>
      </c>
      <c r="AI164" s="8">
        <v>0</v>
      </c>
      <c r="AJ164" s="8">
        <v>1</v>
      </c>
    </row>
    <row r="165" spans="1:36" ht="21" customHeight="1">
      <c r="A165" s="21" t="str">
        <f t="shared" ref="A165:A168" ca="1" si="104">B165&amp;"_"&amp;C165&amp;"-"&amp;G165&amp;"/"&amp;I165&amp;"&lt;lv"&amp;O165&amp;"&gt;s"&amp;X165</f>
        <v>11104_3-4/35&lt;lv35&gt;s4</v>
      </c>
      <c r="B165" s="8">
        <v>11104</v>
      </c>
      <c r="C165" s="52">
        <v>3</v>
      </c>
      <c r="D165" s="2" t="str">
        <f t="shared" ref="D165:D168" si="105">B165&amp;"_"&amp;C165</f>
        <v>11104_3</v>
      </c>
      <c r="E165" s="5" t="str">
        <f ca="1">VLOOKUP($B165,OFFSET([1]quests!$A$1,0,0,COUNTA([1]quests!$A:$A),MATCH(E$1,[1]quests!$1:$1,0)-MATCH($B$1,[1]quests!$1:$1,0)+1),MATCH(E$1,[1]quests!$1:$1,0)-MATCH($B$1,[1]quests!$1:$1,0)+1,FALSE)</f>
        <v>【キャンペーン限定】 緑の素材</v>
      </c>
      <c r="F165" s="5" t="str">
        <f ca="1">VLOOKUP($D165,OFFSET([1]stages!$A$1,0,0,COUNTA([1]stages!$A:$A),MATCH(F$1,[1]stages!$2:$2,0)-MATCH($D$1,[1]stages!$2:$2,0)+1),MATCH(F$1,[1]stages!$2:$2,0)-MATCH($D$1,[1]stages!$2:$2,0)+1,FALSE)</f>
        <v>樹のイモムシ 【上級】</v>
      </c>
      <c r="G165" s="32">
        <v>4</v>
      </c>
      <c r="H165" s="20" t="str">
        <f t="shared" ref="H165:H168" si="106">B165&amp;"_"&amp;C165&amp;"-"&amp;G165</f>
        <v>11104_3-4</v>
      </c>
      <c r="I165" s="31">
        <v>35</v>
      </c>
      <c r="J165" s="26" t="str">
        <f ca="1">VLOOKUP($I165,OFFSET([2]enemies!$A$1,0,0,COUNTA([2]enemies!$A:$A),MATCH(J$1,[2]enemies!$2:$2,0)-MATCH($I$1,[2]enemies!$2:$2,0)+1),MATCH(J$1,[2]enemies!$2:$2,0)-MATCH($I$1,[2]enemies!$2:$2,0)+1,FALSE)</f>
        <v>F2</v>
      </c>
      <c r="K165" s="29" t="str">
        <f ca="1">VLOOKUP($I165,OFFSET([2]enemies!$A$1,0,0,COUNTA([2]enemies!$A:$A),MATCH(K$1,[2]enemies!$2:$2,0)-MATCH($I$1,[2]enemies!$2:$2,0)+1),MATCH(K$1,[2]enemies!$2:$2,0)-MATCH($I$1,[2]enemies!$2:$2,0)+1,FALSE)</f>
        <v>green</v>
      </c>
      <c r="L165" s="29" t="str">
        <f ca="1">VLOOKUP($I165,OFFSET([3]characters!$A$1,0,0,COUNTA([3]characters!$A:$A),MATCH(L$1,[3]characters!$2:$2,0)-MATCH($I$1,[3]characters!$2:$2,0)+1),MATCH(L$1,[3]characters!$2:$2,0)-MATCH($I$1,[3]characters!$2:$2,0)+1,FALSE)</f>
        <v>Drop1S</v>
      </c>
      <c r="M165" s="28" t="str">
        <f ca="1">VLOOKUP($I165,OFFSET([3]characters!$A$1,0,0,COUNTA([3]characters!$A:$A),MATCH(M$1,[3]characters!$2:$2,0)-MATCH($I$1,[3]characters!$2:$2,0)+2),MATCH(M$1,[3]characters!$2:$2,0)-MATCH($I$1,[3]characters!$2:$2,0)+2,FALSE)</f>
        <v>マシン</v>
      </c>
      <c r="N165" s="5">
        <f ca="1">VLOOKUP($I165,OFFSET([2]enemies!$A$1,0,0,COUNTA([2]enemies!$A:$A),MATCH(N$1,[2]enemies!$2:$2,0)-MATCH($I$1,[2]enemies!$2:$2,0)+1),MATCH(N$1,[2]enemies!$2:$2,0)-MATCH($I$1,[2]enemies!$2:$2,0)+1,FALSE)</f>
        <v>15</v>
      </c>
      <c r="O165" s="6">
        <v>35</v>
      </c>
      <c r="P165" s="46">
        <v>1</v>
      </c>
      <c r="Q165" s="46">
        <v>1</v>
      </c>
      <c r="R165" s="6">
        <v>0</v>
      </c>
      <c r="S165" s="5" t="str">
        <f ca="1">VLOOKUP($T165,OFFSET([4]enemy_skill_sets!$B$1,0,0,COUNTA([4]enemy_skill_sets!$B:$B),MATCH(J$1,[4]enemy_skill_sets!$1:$1,0)-MATCH($T$1,[4]enemy_skill_sets!$1:$1,0)+2),MATCH(J$1,[4]enemy_skill_sets!$1:$1,0)-MATCH($T$1,[4]enemy_skill_sets!$1:$1,0)+2,FALSE)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165" s="5">
        <f ca="1">VLOOKUP($I165,OFFSET([2]enemies!$A$1,0,0,COUNTA([2]enemies!$A:$A),MATCH(T$1,[2]enemies!$2:$2,0)-MATCH($I$1,[2]enemies!$2:$2,0)+1),MATCH(T$1,[2]enemies!$2:$2,0)-MATCH($I$1,[2]enemies!$2:$2,0)+1,FALSE)</f>
        <v>35</v>
      </c>
      <c r="U165" s="7">
        <v>0</v>
      </c>
      <c r="V165" s="7">
        <v>100</v>
      </c>
      <c r="W165" s="7">
        <v>0</v>
      </c>
      <c r="X165" s="26">
        <f ca="1">VLOOKUP($I165,OFFSET([2]enemies!$A$1,0,0,COUNTA([2]enemies!$A:$A),MATCH(X$1,[2]enemies!$2:$2,0)-MATCH($I$1,[2]enemies!$2:$2,0)+1),MATCH(X$1,[2]enemies!$2:$2,0)-MATCH($I$1,[2]enemies!$2:$2,0)+1,FALSE)</f>
        <v>4</v>
      </c>
      <c r="Y165" s="31">
        <v>35</v>
      </c>
      <c r="Z165" s="5" t="str">
        <f ca="1">IFERROR(VLOOKUP($Y165,OFFSET([3]characters!$A$1,0,0,COUNTA([3]characters!$A:$A),MATCH(Z$1,[3]characters!$2:$2,0)-MATCH("character_id",[3]characters!$2:$2,0)+1),MATCH(Z$1,[3]characters!$2:$2,0)-MATCH("character_id",[3]characters!$2:$2,0)+1,FALSE),"")</f>
        <v>F2</v>
      </c>
      <c r="AA165" s="5">
        <f ca="1">IFERROR(VLOOKUP($Y165,OFFSET([3]characters!$A$1,0,0,COUNTA([3]characters!$A:$A),MATCH(AA$1,[3]characters!$2:$2,0)-MATCH("character_id",[3]characters!$2:$2,0)+1),MATCH(AA$1,[3]characters!$2:$2,0)-MATCH("character_id",[3]characters!$2:$2,0)+1,FALSE),"")</f>
        <v>2</v>
      </c>
      <c r="AB165" s="5" t="str">
        <f ca="1">IFERROR(VLOOKUP($Y165,OFFSET([3]characters!$A$1,0,0,COUNTA([3]characters!$A:$A),MATCH(AB$1,[3]characters!$2:$2,0)-MATCH("character_id",[3]characters!$2:$2,0)+1),MATCH(AB$1,[3]characters!$2:$2,0)-MATCH("character_id",[3]characters!$2:$2,0)+1,FALSE),"")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65" s="8">
        <v>1</v>
      </c>
      <c r="AD165" s="34">
        <f t="shared" ref="AD165:AD168" ca="1" si="107">AA165</f>
        <v>2</v>
      </c>
      <c r="AE165" s="9">
        <v>0</v>
      </c>
      <c r="AF165" s="8">
        <v>0</v>
      </c>
      <c r="AG165" s="8">
        <v>0</v>
      </c>
      <c r="AH165" s="8">
        <v>0</v>
      </c>
      <c r="AI165" s="8">
        <v>0</v>
      </c>
      <c r="AJ165" s="8">
        <v>1</v>
      </c>
    </row>
    <row r="166" spans="1:36" ht="21" customHeight="1">
      <c r="A166" s="21" t="str">
        <f t="shared" ca="1" si="104"/>
        <v>11104_3-4/27&lt;lv35&gt;s1</v>
      </c>
      <c r="B166" s="8">
        <v>11104</v>
      </c>
      <c r="C166" s="52">
        <v>3</v>
      </c>
      <c r="D166" s="2" t="str">
        <f t="shared" si="105"/>
        <v>11104_3</v>
      </c>
      <c r="E166" s="5" t="str">
        <f ca="1">VLOOKUP($B166,OFFSET([1]quests!$A$1,0,0,COUNTA([1]quests!$A:$A),MATCH(E$1,[1]quests!$1:$1,0)-MATCH($B$1,[1]quests!$1:$1,0)+1),MATCH(E$1,[1]quests!$1:$1,0)-MATCH($B$1,[1]quests!$1:$1,0)+1,FALSE)</f>
        <v>【キャンペーン限定】 緑の素材</v>
      </c>
      <c r="F166" s="5" t="str">
        <f ca="1">VLOOKUP($D166,OFFSET([1]stages!$A$1,0,0,COUNTA([1]stages!$A:$A),MATCH(F$1,[1]stages!$2:$2,0)-MATCH($D$1,[1]stages!$2:$2,0)+1),MATCH(F$1,[1]stages!$2:$2,0)-MATCH($D$1,[1]stages!$2:$2,0)+1,FALSE)</f>
        <v>樹のイモムシ 【上級】</v>
      </c>
      <c r="G166" s="32">
        <v>4</v>
      </c>
      <c r="H166" s="20" t="str">
        <f t="shared" si="106"/>
        <v>11104_3-4</v>
      </c>
      <c r="I166" s="31">
        <v>27</v>
      </c>
      <c r="J166" s="26" t="str">
        <f ca="1">VLOOKUP($I166,OFFSET([2]enemies!$A$1,0,0,COUNTA([2]enemies!$A:$A),MATCH(J$1,[2]enemies!$2:$2,0)-MATCH($I$1,[2]enemies!$2:$2,0)+1),MATCH(J$1,[2]enemies!$2:$2,0)-MATCH($I$1,[2]enemies!$2:$2,0)+1,FALSE)</f>
        <v>パトライン</v>
      </c>
      <c r="K166" s="29" t="str">
        <f ca="1">VLOOKUP($I166,OFFSET([2]enemies!$A$1,0,0,COUNTA([2]enemies!$A:$A),MATCH(K$1,[2]enemies!$2:$2,0)-MATCH($I$1,[2]enemies!$2:$2,0)+1),MATCH(K$1,[2]enemies!$2:$2,0)-MATCH($I$1,[2]enemies!$2:$2,0)+1,FALSE)</f>
        <v>green</v>
      </c>
      <c r="L166" s="29" t="str">
        <f ca="1">VLOOKUP($I166,OFFSET([3]characters!$A$1,0,0,COUNTA([3]characters!$A:$A),MATCH(L$1,[3]characters!$2:$2,0)-MATCH($I$1,[3]characters!$2:$2,0)+1),MATCH(L$1,[3]characters!$2:$2,0)-MATCH($I$1,[3]characters!$2:$2,0)+1,FALSE)</f>
        <v>Drop1N</v>
      </c>
      <c r="M166" s="28" t="str">
        <f ca="1">VLOOKUP($I166,OFFSET([3]characters!$A$1,0,0,COUNTA([3]characters!$A:$A),MATCH(M$1,[3]characters!$2:$2,0)-MATCH($I$1,[3]characters!$2:$2,0)+2),MATCH(M$1,[3]characters!$2:$2,0)-MATCH($I$1,[3]characters!$2:$2,0)+2,FALSE)</f>
        <v>マシン</v>
      </c>
      <c r="N166" s="5">
        <f ca="1">VLOOKUP($I166,OFFSET([2]enemies!$A$1,0,0,COUNTA([2]enemies!$A:$A),MATCH(N$1,[2]enemies!$2:$2,0)-MATCH($I$1,[2]enemies!$2:$2,0)+1),MATCH(N$1,[2]enemies!$2:$2,0)-MATCH($I$1,[2]enemies!$2:$2,0)+1,FALSE)</f>
        <v>15</v>
      </c>
      <c r="O166" s="6">
        <v>35</v>
      </c>
      <c r="P166" s="46">
        <v>1</v>
      </c>
      <c r="Q166" s="46">
        <v>1</v>
      </c>
      <c r="R166" s="6">
        <v>0</v>
      </c>
      <c r="S166" s="5" t="str">
        <f ca="1">VLOOKUP($T166,OFFSET([4]enemy_skill_sets!$B$1,0,0,COUNTA([4]enemy_skill_sets!$B:$B),MATCH(J$1,[4]enemy_skill_sets!$1:$1,0)-MATCH($T$1,[4]enemy_skill_sets!$1:$1,0)+2),MATCH(J$1,[4]enemy_skill_sets!$1:$1,0)-MATCH($T$1,[4]enemy_skill_sets!$1:$1,0)+2,FALSE)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6" s="5">
        <f ca="1">VLOOKUP($I166,OFFSET([2]enemies!$A$1,0,0,COUNTA([2]enemies!$A:$A),MATCH(T$1,[2]enemies!$2:$2,0)-MATCH($I$1,[2]enemies!$2:$2,0)+1),MATCH(T$1,[2]enemies!$2:$2,0)-MATCH($I$1,[2]enemies!$2:$2,0)+1,FALSE)</f>
        <v>0</v>
      </c>
      <c r="U166" s="7">
        <v>0</v>
      </c>
      <c r="V166" s="7">
        <v>100</v>
      </c>
      <c r="W166" s="7">
        <v>0</v>
      </c>
      <c r="X166" s="26">
        <f ca="1">VLOOKUP($I166,OFFSET([2]enemies!$A$1,0,0,COUNTA([2]enemies!$A:$A),MATCH(X$1,[2]enemies!$2:$2,0)-MATCH($I$1,[2]enemies!$2:$2,0)+1),MATCH(X$1,[2]enemies!$2:$2,0)-MATCH($I$1,[2]enemies!$2:$2,0)+1,FALSE)</f>
        <v>1</v>
      </c>
      <c r="Y166" s="31">
        <v>27</v>
      </c>
      <c r="Z166" s="5" t="str">
        <f ca="1">IFERROR(VLOOKUP($Y166,OFFSET([3]characters!$A$1,0,0,COUNTA([3]characters!$A:$A),MATCH(Z$1,[3]characters!$2:$2,0)-MATCH("character_id",[3]characters!$2:$2,0)+1),MATCH(Z$1,[3]characters!$2:$2,0)-MATCH("character_id",[3]characters!$2:$2,0)+1,FALSE),"")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166" s="5">
        <f ca="1">IFERROR(VLOOKUP($Y166,OFFSET([3]characters!$A$1,0,0,COUNTA([3]characters!$A:$A),MATCH(AA$1,[3]characters!$2:$2,0)-MATCH("character_id",[3]characters!$2:$2,0)+1),MATCH(AA$1,[3]characters!$2:$2,0)-MATCH("character_id",[3]characters!$2:$2,0)+1,FALSE),"")</f>
        <v>1</v>
      </c>
      <c r="AB166" s="5" t="str">
        <f ca="1">IFERROR(VLOOKUP($Y166,OFFSET([3]characters!$A$1,0,0,COUNTA([3]characters!$A:$A),MATCH(AB$1,[3]characters!$2:$2,0)-MATCH("character_id",[3]characters!$2:$2,0)+1),MATCH(AB$1,[3]characters!$2:$2,0)-MATCH("character_id",[3]characters!$2:$2,0)+1,FALSE),"")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66" s="8">
        <v>1</v>
      </c>
      <c r="AD166" s="34">
        <f t="shared" ca="1" si="107"/>
        <v>1</v>
      </c>
      <c r="AE166" s="9">
        <v>0</v>
      </c>
      <c r="AF166" s="8">
        <v>0</v>
      </c>
      <c r="AG166" s="8">
        <v>0</v>
      </c>
      <c r="AH166" s="8">
        <v>0</v>
      </c>
      <c r="AI166" s="8">
        <v>0</v>
      </c>
      <c r="AJ166" s="8">
        <v>1</v>
      </c>
    </row>
    <row r="167" spans="1:36" ht="21" customHeight="1">
      <c r="A167" s="21" t="str">
        <f t="shared" ca="1" si="104"/>
        <v>11104_3-4/336&lt;lv1&gt;s1</v>
      </c>
      <c r="B167" s="8">
        <v>11104</v>
      </c>
      <c r="C167" s="52">
        <v>3</v>
      </c>
      <c r="D167" s="2" t="str">
        <f t="shared" si="105"/>
        <v>11104_3</v>
      </c>
      <c r="E167" s="5" t="str">
        <f ca="1">VLOOKUP($B167,OFFSET([1]quests!$A$1,0,0,COUNTA([1]quests!$A:$A),MATCH(E$1,[1]quests!$1:$1,0)-MATCH($B$1,[1]quests!$1:$1,0)+1),MATCH(E$1,[1]quests!$1:$1,0)-MATCH($B$1,[1]quests!$1:$1,0)+1,FALSE)</f>
        <v>【キャンペーン限定】 緑の素材</v>
      </c>
      <c r="F167" s="5" t="str">
        <f ca="1">VLOOKUP($D167,OFFSET([1]stages!$A$1,0,0,COUNTA([1]stages!$A:$A),MATCH(F$1,[1]stages!$2:$2,0)-MATCH($D$1,[1]stages!$2:$2,0)+1),MATCH(F$1,[1]stages!$2:$2,0)-MATCH($D$1,[1]stages!$2:$2,0)+1,FALSE)</f>
        <v>樹のイモムシ 【上級】</v>
      </c>
      <c r="G167" s="32">
        <v>4</v>
      </c>
      <c r="H167" s="20" t="str">
        <f t="shared" si="106"/>
        <v>11104_3-4</v>
      </c>
      <c r="I167" s="31">
        <v>336</v>
      </c>
      <c r="J167" s="26" t="str">
        <f ca="1">VLOOKUP($I167,OFFSET([2]enemies!$A$1,0,0,COUNTA([2]enemies!$A:$A),MATCH(J$1,[2]enemies!$2:$2,0)-MATCH($I$1,[2]enemies!$2:$2,0)+1),MATCH(J$1,[2]enemies!$2:$2,0)-MATCH($I$1,[2]enemies!$2:$2,0)+1,FALSE)</f>
        <v>森のメタルピヨピヨ</v>
      </c>
      <c r="K167" s="29" t="str">
        <f ca="1">VLOOKUP($I167,OFFSET([2]enemies!$A$1,0,0,COUNTA([2]enemies!$A:$A),MATCH(K$1,[2]enemies!$2:$2,0)-MATCH($I$1,[2]enemies!$2:$2,0)+1),MATCH(K$1,[2]enemies!$2:$2,0)-MATCH($I$1,[2]enemies!$2:$2,0)+1,FALSE)</f>
        <v>green</v>
      </c>
      <c r="L167" s="29" t="str">
        <f ca="1">VLOOKUP($I167,OFFSET([3]characters!$A$1,0,0,COUNTA([3]characters!$A:$A),MATCH(L$1,[3]characters!$2:$2,0)-MATCH($I$1,[3]characters!$2:$2,0)+1),MATCH(L$1,[3]characters!$2:$2,0)-MATCH($I$1,[3]characters!$2:$2,0)+1,FALSE)</f>
        <v>Material</v>
      </c>
      <c r="M167" s="28" t="str">
        <f ca="1">VLOOKUP($I167,OFFSET([3]characters!$A$1,0,0,COUNTA([3]characters!$A:$A),MATCH(M$1,[3]characters!$2:$2,0)-MATCH($I$1,[3]characters!$2:$2,0)+2),MATCH(M$1,[3]characters!$2:$2,0)-MATCH($I$1,[3]characters!$2:$2,0)+2,FALSE)</f>
        <v>Unknown</v>
      </c>
      <c r="N167" s="5">
        <f ca="1">VLOOKUP($I167,OFFSET([2]enemies!$A$1,0,0,COUNTA([2]enemies!$A:$A),MATCH(N$1,[2]enemies!$2:$2,0)-MATCH($I$1,[2]enemies!$2:$2,0)+1),MATCH(N$1,[2]enemies!$2:$2,0)-MATCH($I$1,[2]enemies!$2:$2,0)+1,FALSE)</f>
        <v>15</v>
      </c>
      <c r="O167" s="6">
        <v>1</v>
      </c>
      <c r="P167" s="46">
        <v>1</v>
      </c>
      <c r="Q167" s="46">
        <v>1</v>
      </c>
      <c r="R167" s="6">
        <v>0</v>
      </c>
      <c r="S167" s="5" t="str">
        <f ca="1">VLOOKUP($T167,OFFSET([4]enemy_skill_sets!$B$1,0,0,COUNTA([4]enemy_skill_sets!$B:$B),MATCH(J$1,[4]enemy_skill_sets!$1:$1,0)-MATCH($T$1,[4]enemy_skill_sets!$1:$1,0)+2),MATCH(J$1,[4]enemy_skill_sets!$1:$1,0)-MATCH($T$1,[4]enemy_skill_sets!$1:$1,0)+2,FALSE)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7" s="5">
        <f ca="1">VLOOKUP($I167,OFFSET([2]enemies!$A$1,0,0,COUNTA([2]enemies!$A:$A),MATCH(T$1,[2]enemies!$2:$2,0)-MATCH($I$1,[2]enemies!$2:$2,0)+1),MATCH(T$1,[2]enemies!$2:$2,0)-MATCH($I$1,[2]enemies!$2:$2,0)+1,FALSE)</f>
        <v>0</v>
      </c>
      <c r="U167" s="7">
        <v>0</v>
      </c>
      <c r="V167" s="7">
        <v>30</v>
      </c>
      <c r="W167" s="7">
        <v>0</v>
      </c>
      <c r="X167" s="26">
        <f ca="1">VLOOKUP($I167,OFFSET([2]enemies!$A$1,0,0,COUNTA([2]enemies!$A:$A),MATCH(X$1,[2]enemies!$2:$2,0)-MATCH($I$1,[2]enemies!$2:$2,0)+1),MATCH(X$1,[2]enemies!$2:$2,0)-MATCH($I$1,[2]enemies!$2:$2,0)+1,FALSE)</f>
        <v>1</v>
      </c>
      <c r="Y167" s="31">
        <v>336</v>
      </c>
      <c r="Z167" s="5" t="str">
        <f ca="1">IFERROR(VLOOKUP($Y167,OFFSET([3]characters!$A$1,0,0,COUNTA([3]characters!$A:$A),MATCH(Z$1,[3]characters!$2:$2,0)-MATCH("character_id",[3]characters!$2:$2,0)+1),MATCH(Z$1,[3]characters!$2:$2,0)-MATCH("character_id",[3]characters!$2:$2,0)+1,FALSE),"")</f>
        <v>森のメタルピヨピヨ</v>
      </c>
      <c r="AA167" s="5">
        <f ca="1">IFERROR(VLOOKUP($Y167,OFFSET([3]characters!$A$1,0,0,COUNTA([3]characters!$A:$A),MATCH(AA$1,[3]characters!$2:$2,0)-MATCH("character_id",[3]characters!$2:$2,0)+1),MATCH(AA$1,[3]characters!$2:$2,0)-MATCH("character_id",[3]characters!$2:$2,0)+1,FALSE),"")</f>
        <v>3</v>
      </c>
      <c r="AB167" s="5" t="str">
        <f ca="1">IFERROR(VLOOKUP($Y167,OFFSET([3]characters!$A$1,0,0,COUNTA([3]characters!$A:$A),MATCH(AB$1,[3]characters!$2:$2,0)-MATCH("character_id",[3]characters!$2:$2,0)+1),MATCH(AB$1,[3]characters!$2:$2,0)-MATCH("character_id",[3]characters!$2:$2,0)+1,FALSE),"")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67" s="8">
        <v>1</v>
      </c>
      <c r="AD167" s="34">
        <f t="shared" ca="1" si="107"/>
        <v>3</v>
      </c>
      <c r="AE167" s="9">
        <v>10</v>
      </c>
      <c r="AF167" s="8">
        <v>0</v>
      </c>
      <c r="AG167" s="8">
        <v>0</v>
      </c>
      <c r="AH167" s="8">
        <v>0</v>
      </c>
      <c r="AI167" s="8">
        <v>0</v>
      </c>
      <c r="AJ167" s="8">
        <v>1</v>
      </c>
    </row>
    <row r="168" spans="1:36" ht="21" customHeight="1">
      <c r="A168" s="21" t="str">
        <f t="shared" ca="1" si="104"/>
        <v>11104_3-4/337&lt;lv1&gt;s2</v>
      </c>
      <c r="B168" s="8">
        <v>11104</v>
      </c>
      <c r="C168" s="52">
        <v>3</v>
      </c>
      <c r="D168" s="2" t="str">
        <f t="shared" si="105"/>
        <v>11104_3</v>
      </c>
      <c r="E168" s="5" t="str">
        <f ca="1">VLOOKUP($B168,OFFSET([1]quests!$A$1,0,0,COUNTA([1]quests!$A:$A),MATCH(E$1,[1]quests!$1:$1,0)-MATCH($B$1,[1]quests!$1:$1,0)+1),MATCH(E$1,[1]quests!$1:$1,0)-MATCH($B$1,[1]quests!$1:$1,0)+1,FALSE)</f>
        <v>【キャンペーン限定】 緑の素材</v>
      </c>
      <c r="F168" s="5" t="str">
        <f ca="1">VLOOKUP($D168,OFFSET([1]stages!$A$1,0,0,COUNTA([1]stages!$A:$A),MATCH(F$1,[1]stages!$2:$2,0)-MATCH($D$1,[1]stages!$2:$2,0)+1),MATCH(F$1,[1]stages!$2:$2,0)-MATCH($D$1,[1]stages!$2:$2,0)+1,FALSE)</f>
        <v>樹のイモムシ 【上級】</v>
      </c>
      <c r="G168" s="32">
        <v>4</v>
      </c>
      <c r="H168" s="20" t="str">
        <f t="shared" si="106"/>
        <v>11104_3-4</v>
      </c>
      <c r="I168" s="31">
        <v>337</v>
      </c>
      <c r="J168" s="26" t="str">
        <f ca="1">VLOOKUP($I168,OFFSET([2]enemies!$A$1,0,0,COUNTA([2]enemies!$A:$A),MATCH(J$1,[2]enemies!$2:$2,0)-MATCH($I$1,[2]enemies!$2:$2,0)+1),MATCH(J$1,[2]enemies!$2:$2,0)-MATCH($I$1,[2]enemies!$2:$2,0)+1,FALSE)</f>
        <v>森のメタルチック</v>
      </c>
      <c r="K168" s="29" t="str">
        <f ca="1">VLOOKUP($I168,OFFSET([2]enemies!$A$1,0,0,COUNTA([2]enemies!$A:$A),MATCH(K$1,[2]enemies!$2:$2,0)-MATCH($I$1,[2]enemies!$2:$2,0)+1),MATCH(K$1,[2]enemies!$2:$2,0)-MATCH($I$1,[2]enemies!$2:$2,0)+1,FALSE)</f>
        <v>green</v>
      </c>
      <c r="L168" s="29" t="str">
        <f ca="1">VLOOKUP($I168,OFFSET([3]characters!$A$1,0,0,COUNTA([3]characters!$A:$A),MATCH(L$1,[3]characters!$2:$2,0)-MATCH($I$1,[3]characters!$2:$2,0)+1),MATCH(L$1,[3]characters!$2:$2,0)-MATCH($I$1,[3]characters!$2:$2,0)+1,FALSE)</f>
        <v>Material</v>
      </c>
      <c r="M168" s="28" t="str">
        <f ca="1">VLOOKUP($I168,OFFSET([3]characters!$A$1,0,0,COUNTA([3]characters!$A:$A),MATCH(M$1,[3]characters!$2:$2,0)-MATCH($I$1,[3]characters!$2:$2,0)+2),MATCH(M$1,[3]characters!$2:$2,0)-MATCH($I$1,[3]characters!$2:$2,0)+2,FALSE)</f>
        <v>Unknown</v>
      </c>
      <c r="N168" s="5">
        <f ca="1">VLOOKUP($I168,OFFSET([2]enemies!$A$1,0,0,COUNTA([2]enemies!$A:$A),MATCH(N$1,[2]enemies!$2:$2,0)-MATCH($I$1,[2]enemies!$2:$2,0)+1),MATCH(N$1,[2]enemies!$2:$2,0)-MATCH($I$1,[2]enemies!$2:$2,0)+1,FALSE)</f>
        <v>15</v>
      </c>
      <c r="O168" s="6">
        <v>1</v>
      </c>
      <c r="P168" s="46">
        <v>1</v>
      </c>
      <c r="Q168" s="46">
        <v>1</v>
      </c>
      <c r="R168" s="6">
        <v>0</v>
      </c>
      <c r="S168" s="5" t="str">
        <f ca="1">VLOOKUP($T168,OFFSET([4]enemy_skill_sets!$B$1,0,0,COUNTA([4]enemy_skill_sets!$B:$B),MATCH(J$1,[4]enemy_skill_sets!$1:$1,0)-MATCH($T$1,[4]enemy_skill_sets!$1:$1,0)+2),MATCH(J$1,[4]enemy_skill_sets!$1:$1,0)-MATCH($T$1,[4]enemy_skill_sets!$1:$1,0)+2,FALSE)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8" s="5">
        <f ca="1">VLOOKUP($I168,OFFSET([2]enemies!$A$1,0,0,COUNTA([2]enemies!$A:$A),MATCH(T$1,[2]enemies!$2:$2,0)-MATCH($I$1,[2]enemies!$2:$2,0)+1),MATCH(T$1,[2]enemies!$2:$2,0)-MATCH($I$1,[2]enemies!$2:$2,0)+1,FALSE)</f>
        <v>0</v>
      </c>
      <c r="U168" s="7">
        <v>0</v>
      </c>
      <c r="V168" s="7">
        <v>30</v>
      </c>
      <c r="W168" s="7">
        <v>0</v>
      </c>
      <c r="X168" s="26">
        <f ca="1">VLOOKUP($I168,OFFSET([2]enemies!$A$1,0,0,COUNTA([2]enemies!$A:$A),MATCH(X$1,[2]enemies!$2:$2,0)-MATCH($I$1,[2]enemies!$2:$2,0)+1),MATCH(X$1,[2]enemies!$2:$2,0)-MATCH($I$1,[2]enemies!$2:$2,0)+1,FALSE)</f>
        <v>2</v>
      </c>
      <c r="Y168" s="31">
        <v>337</v>
      </c>
      <c r="Z168" s="5" t="str">
        <f ca="1">IFERROR(VLOOKUP($Y168,OFFSET([3]characters!$A$1,0,0,COUNTA([3]characters!$A:$A),MATCH(Z$1,[3]characters!$2:$2,0)-MATCH("character_id",[3]characters!$2:$2,0)+1),MATCH(Z$1,[3]characters!$2:$2,0)-MATCH("character_id",[3]characters!$2:$2,0)+1,FALSE),"")</f>
        <v>森のメタルチック</v>
      </c>
      <c r="AA168" s="5">
        <f ca="1">IFERROR(VLOOKUP($Y168,OFFSET([3]characters!$A$1,0,0,COUNTA([3]characters!$A:$A),MATCH(AA$1,[3]characters!$2:$2,0)-MATCH("character_id",[3]characters!$2:$2,0)+1),MATCH(AA$1,[3]characters!$2:$2,0)-MATCH("character_id",[3]characters!$2:$2,0)+1,FALSE),"")</f>
        <v>4</v>
      </c>
      <c r="AB168" s="5" t="str">
        <f ca="1">IFERROR(VLOOKUP($Y168,OFFSET([3]characters!$A$1,0,0,COUNTA([3]characters!$A:$A),MATCH(AB$1,[3]characters!$2:$2,0)-MATCH("character_id",[3]characters!$2:$2,0)+1),MATCH(AB$1,[3]characters!$2:$2,0)-MATCH("character_id",[3]characters!$2:$2,0)+1,FALSE),"")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68" s="8">
        <v>1</v>
      </c>
      <c r="AD168" s="34">
        <f t="shared" ca="1" si="107"/>
        <v>4</v>
      </c>
      <c r="AE168" s="9">
        <v>5</v>
      </c>
      <c r="AF168" s="8">
        <v>0</v>
      </c>
      <c r="AG168" s="8">
        <v>0</v>
      </c>
      <c r="AH168" s="8">
        <v>0</v>
      </c>
      <c r="AI168" s="8">
        <v>0</v>
      </c>
      <c r="AJ168" s="8">
        <v>1</v>
      </c>
    </row>
    <row r="169" spans="1:36" ht="21" customHeight="1">
      <c r="A169" s="21" t="str">
        <f t="shared" ca="1" si="88"/>
        <v>11104_3-5/107&lt;lv30&gt;s1</v>
      </c>
      <c r="B169" s="8">
        <v>11104</v>
      </c>
      <c r="C169" s="52">
        <v>3</v>
      </c>
      <c r="D169" s="2" t="str">
        <f t="shared" si="89"/>
        <v>11104_3</v>
      </c>
      <c r="E169" s="5" t="str">
        <f ca="1">VLOOKUP($B169,OFFSET([1]quests!$A$1,0,0,COUNTA([1]quests!$A:$A),MATCH(E$1,[1]quests!$1:$1,0)-MATCH($B$1,[1]quests!$1:$1,0)+1),MATCH(E$1,[1]quests!$1:$1,0)-MATCH($B$1,[1]quests!$1:$1,0)+1,FALSE)</f>
        <v>【キャンペーン限定】 緑の素材</v>
      </c>
      <c r="F169" s="5" t="str">
        <f ca="1">VLOOKUP($D169,OFFSET([1]stages!$A$1,0,0,COUNTA([1]stages!$A:$A),MATCH(F$1,[1]stages!$2:$2,0)-MATCH($D$1,[1]stages!$2:$2,0)+1),MATCH(F$1,[1]stages!$2:$2,0)-MATCH($D$1,[1]stages!$2:$2,0)+1,FALSE)</f>
        <v>樹のイモムシ 【上級】</v>
      </c>
      <c r="G169" s="32">
        <v>5</v>
      </c>
      <c r="H169" s="20" t="str">
        <f t="shared" si="90"/>
        <v>11104_3-5</v>
      </c>
      <c r="I169" s="31">
        <v>107</v>
      </c>
      <c r="J169" s="26" t="str">
        <f ca="1">VLOOKUP($I169,OFFSET([2]enemies!$A$1,0,0,COUNTA([2]enemies!$A:$A),MATCH(J$1,[2]enemies!$2:$2,0)-MATCH($I$1,[2]enemies!$2:$2,0)+1),MATCH(J$1,[2]enemies!$2:$2,0)-MATCH($I$1,[2]enemies!$2:$2,0)+1,FALSE)</f>
        <v>グリーンキャタップ</v>
      </c>
      <c r="K169" s="29" t="str">
        <f ca="1">VLOOKUP($I169,OFFSET([2]enemies!$A$1,0,0,COUNTA([2]enemies!$A:$A),MATCH(K$1,[2]enemies!$2:$2,0)-MATCH($I$1,[2]enemies!$2:$2,0)+1),MATCH(K$1,[2]enemies!$2:$2,0)-MATCH($I$1,[2]enemies!$2:$2,0)+1,FALSE)</f>
        <v>green</v>
      </c>
      <c r="L169" s="29" t="str">
        <f ca="1">VLOOKUP($I169,OFFSET([3]characters!$A$1,0,0,COUNTA([3]characters!$A:$A),MATCH(L$1,[3]characters!$2:$2,0)-MATCH($I$1,[3]characters!$2:$2,0)+1),MATCH(L$1,[3]characters!$2:$2,0)-MATCH($I$1,[3]characters!$2:$2,0)+1,FALSE)</f>
        <v>Material</v>
      </c>
      <c r="M169" s="28" t="str">
        <f ca="1">VLOOKUP($I169,OFFSET([3]characters!$A$1,0,0,COUNTA([3]characters!$A:$A),MATCH(M$1,[3]characters!$2:$2,0)-MATCH($I$1,[3]characters!$2:$2,0)+2),MATCH(M$1,[3]characters!$2:$2,0)-MATCH($I$1,[3]characters!$2:$2,0)+2,FALSE)</f>
        <v>Unknown</v>
      </c>
      <c r="N169" s="5">
        <f ca="1">VLOOKUP($I169,OFFSET([2]enemies!$A$1,0,0,COUNTA([2]enemies!$A:$A),MATCH(N$1,[2]enemies!$2:$2,0)-MATCH($I$1,[2]enemies!$2:$2,0)+1),MATCH(N$1,[2]enemies!$2:$2,0)-MATCH($I$1,[2]enemies!$2:$2,0)+1,FALSE)</f>
        <v>15</v>
      </c>
      <c r="O169" s="6">
        <v>30</v>
      </c>
      <c r="P169" s="46">
        <v>2</v>
      </c>
      <c r="Q169" s="46">
        <v>1</v>
      </c>
      <c r="R169" s="6">
        <v>0</v>
      </c>
      <c r="S169" s="5" t="str">
        <f ca="1">VLOOKUP($T169,OFFSET([4]enemy_skill_sets!$B$1,0,0,COUNTA([4]enemy_skill_sets!$B:$B),MATCH(J$1,[4]enemy_skill_sets!$1:$1,0)-MATCH($T$1,[4]enemy_skill_sets!$1:$1,0)+2),MATCH(J$1,[4]enemy_skill_sets!$1:$1,0)-MATCH($T$1,[4]enemy_skill_sets!$1:$1,0)+2,FALSE)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9" s="5">
        <f ca="1">VLOOKUP($I169,OFFSET([2]enemies!$A$1,0,0,COUNTA([2]enemies!$A:$A),MATCH(T$1,[2]enemies!$2:$2,0)-MATCH($I$1,[2]enemies!$2:$2,0)+1),MATCH(T$1,[2]enemies!$2:$2,0)-MATCH($I$1,[2]enemies!$2:$2,0)+1,FALSE)</f>
        <v>0</v>
      </c>
      <c r="U169" s="7">
        <v>1</v>
      </c>
      <c r="V169" s="7">
        <v>100</v>
      </c>
      <c r="W169" s="7">
        <v>1</v>
      </c>
      <c r="X169" s="26">
        <f ca="1">VLOOKUP($I169,OFFSET([2]enemies!$A$1,0,0,COUNTA([2]enemies!$A:$A),MATCH(X$1,[2]enemies!$2:$2,0)-MATCH($I$1,[2]enemies!$2:$2,0)+1),MATCH(X$1,[2]enemies!$2:$2,0)-MATCH($I$1,[2]enemies!$2:$2,0)+1,FALSE)</f>
        <v>1</v>
      </c>
      <c r="Y169" s="31">
        <v>107</v>
      </c>
      <c r="Z169" s="5" t="str">
        <f ca="1">IFERROR(VLOOKUP($Y169,OFFSET([3]characters!$A$1,0,0,COUNTA([3]characters!$A:$A),MATCH(Z$1,[3]characters!$2:$2,0)-MATCH("character_id",[3]characters!$2:$2,0)+1),MATCH(Z$1,[3]characters!$2:$2,0)-MATCH("character_id",[3]characters!$2:$2,0)+1,FALSE),"")</f>
        <v>グリーンキャタップ</v>
      </c>
      <c r="AA169" s="5">
        <f ca="1">IFERROR(VLOOKUP($Y169,OFFSET([3]characters!$A$1,0,0,COUNTA([3]characters!$A:$A),MATCH(AA$1,[3]characters!$2:$2,0)-MATCH("character_id",[3]characters!$2:$2,0)+1),MATCH(AA$1,[3]characters!$2:$2,0)-MATCH("character_id",[3]characters!$2:$2,0)+1,FALSE),"")</f>
        <v>4</v>
      </c>
      <c r="AB169" s="5" t="str">
        <f ca="1">IFERROR(VLOOKUP($Y169,OFFSET([3]characters!$A$1,0,0,COUNTA([3]characters!$A:$A),MATCH(AB$1,[3]characters!$2:$2,0)-MATCH("character_id",[3]characters!$2:$2,0)+1),MATCH(AB$1,[3]characters!$2:$2,0)-MATCH("character_id",[3]characters!$2:$2,0)+1,FALSE),"")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69" s="8">
        <v>1</v>
      </c>
      <c r="AD169" s="34">
        <f t="shared" ca="1" si="91"/>
        <v>4</v>
      </c>
      <c r="AE169" s="9">
        <v>100</v>
      </c>
      <c r="AF169" s="8">
        <v>0</v>
      </c>
      <c r="AG169" s="8">
        <v>0</v>
      </c>
      <c r="AH169" s="8">
        <v>0</v>
      </c>
      <c r="AI169" s="8">
        <v>0</v>
      </c>
      <c r="AJ169" s="8">
        <v>1</v>
      </c>
    </row>
    <row r="170" spans="1:36" ht="21" customHeight="1">
      <c r="A170" s="21" t="str">
        <f ca="1">B170&amp;"_"&amp;C170&amp;"-"&amp;G170&amp;"/"&amp;I170&amp;"&lt;lv"&amp;O170&amp;"&gt;s"&amp;X170</f>
        <v>11104_3-5/128&lt;lv30&gt;s2</v>
      </c>
      <c r="B170" s="8">
        <v>11104</v>
      </c>
      <c r="C170" s="52">
        <v>3</v>
      </c>
      <c r="D170" s="2" t="str">
        <f t="shared" si="89"/>
        <v>11104_3</v>
      </c>
      <c r="E170" s="5" t="str">
        <f ca="1">VLOOKUP($B170,OFFSET([1]quests!$A$1,0,0,COUNTA([1]quests!$A:$A),MATCH(E$1,[1]quests!$1:$1,0)-MATCH($B$1,[1]quests!$1:$1,0)+1),MATCH(E$1,[1]quests!$1:$1,0)-MATCH($B$1,[1]quests!$1:$1,0)+1,FALSE)</f>
        <v>【キャンペーン限定】 緑の素材</v>
      </c>
      <c r="F170" s="5" t="str">
        <f ca="1">VLOOKUP($D170,OFFSET([1]stages!$A$1,0,0,COUNTA([1]stages!$A:$A),MATCH(F$1,[1]stages!$2:$2,0)-MATCH($D$1,[1]stages!$2:$2,0)+1),MATCH(F$1,[1]stages!$2:$2,0)-MATCH($D$1,[1]stages!$2:$2,0)+1,FALSE)</f>
        <v>樹のイモムシ 【上級】</v>
      </c>
      <c r="G170" s="32">
        <v>5</v>
      </c>
      <c r="H170" s="20" t="str">
        <f t="shared" si="90"/>
        <v>11104_3-5</v>
      </c>
      <c r="I170" s="31">
        <v>128</v>
      </c>
      <c r="J170" s="26" t="str">
        <f ca="1">VLOOKUP($I170,OFFSET([2]enemies!$A$1,0,0,COUNTA([2]enemies!$A:$A),MATCH(J$1,[2]enemies!$2:$2,0)-MATCH($I$1,[2]enemies!$2:$2,0)+1),MATCH(J$1,[2]enemies!$2:$2,0)-MATCH($I$1,[2]enemies!$2:$2,0)+1,FALSE)</f>
        <v>野生児 アマラ</v>
      </c>
      <c r="K170" s="29" t="str">
        <f ca="1">VLOOKUP($I170,OFFSET([2]enemies!$A$1,0,0,COUNTA([2]enemies!$A:$A),MATCH(K$1,[2]enemies!$2:$2,0)-MATCH($I$1,[2]enemies!$2:$2,0)+1),MATCH(K$1,[2]enemies!$2:$2,0)-MATCH($I$1,[2]enemies!$2:$2,0)+1,FALSE)</f>
        <v>green</v>
      </c>
      <c r="L170" s="29" t="str">
        <f ca="1">VLOOKUP($I170,OFFSET([3]characters!$A$1,0,0,COUNTA([3]characters!$A:$A),MATCH(L$1,[3]characters!$2:$2,0)-MATCH($I$1,[3]characters!$2:$2,0)+1),MATCH(L$1,[3]characters!$2:$2,0)-MATCH($I$1,[3]characters!$2:$2,0)+1,FALSE)</f>
        <v>PremiumW</v>
      </c>
      <c r="M170" s="28" t="str">
        <f ca="1">VLOOKUP($I170,OFFSET([3]characters!$A$1,0,0,COUNTA([3]characters!$A:$A),MATCH(M$1,[3]characters!$2:$2,0)-MATCH($I$1,[3]characters!$2:$2,0)+2),MATCH(M$1,[3]characters!$2:$2,0)-MATCH($I$1,[3]characters!$2:$2,0)+2,FALSE)</f>
        <v>ヒューマン</v>
      </c>
      <c r="N170" s="5">
        <f ca="1">VLOOKUP($I170,OFFSET([2]enemies!$A$1,0,0,COUNTA([2]enemies!$A:$A),MATCH(N$1,[2]enemies!$2:$2,0)-MATCH($I$1,[2]enemies!$2:$2,0)+1),MATCH(N$1,[2]enemies!$2:$2,0)-MATCH($I$1,[2]enemies!$2:$2,0)+1,FALSE)</f>
        <v>20</v>
      </c>
      <c r="O170" s="6">
        <v>30</v>
      </c>
      <c r="P170" s="46">
        <v>1</v>
      </c>
      <c r="Q170" s="46">
        <v>1</v>
      </c>
      <c r="R170" s="6">
        <v>0</v>
      </c>
      <c r="S170" s="5" t="str">
        <f ca="1">VLOOKUP($T170,OFFSET([4]enemy_skill_sets!$B$1,0,0,COUNTA([4]enemy_skill_sets!$B:$B),MATCH(J$1,[4]enemy_skill_sets!$1:$1,0)-MATCH($T$1,[4]enemy_skill_sets!$1:$1,0)+2),MATCH(J$1,[4]enemy_skill_sets!$1:$1,0)-MATCH($T$1,[4]enemy_skill_sets!$1:$1,0)+2,FALSE)</f>
        <v>5ターン攻撃力小UP</v>
      </c>
      <c r="T170" s="5">
        <f ca="1">VLOOKUP($I170,OFFSET([2]enemies!$A$1,0,0,COUNTA([2]enemies!$A:$A),MATCH(T$1,[2]enemies!$2:$2,0)-MATCH($I$1,[2]enemies!$2:$2,0)+1),MATCH(T$1,[2]enemies!$2:$2,0)-MATCH($I$1,[2]enemies!$2:$2,0)+1,FALSE)</f>
        <v>128</v>
      </c>
      <c r="U170" s="7">
        <v>0</v>
      </c>
      <c r="V170" s="7">
        <v>100</v>
      </c>
      <c r="W170" s="7">
        <v>1</v>
      </c>
      <c r="X170" s="26">
        <f ca="1">VLOOKUP($I170,OFFSET([2]enemies!$A$1,0,0,COUNTA([2]enemies!$A:$A),MATCH(X$1,[2]enemies!$2:$2,0)-MATCH($I$1,[2]enemies!$2:$2,0)+1),MATCH(X$1,[2]enemies!$2:$2,0)-MATCH($I$1,[2]enemies!$2:$2,0)+1,FALSE)</f>
        <v>2</v>
      </c>
      <c r="Y170" s="31">
        <v>128</v>
      </c>
      <c r="Z170" s="5" t="str">
        <f ca="1">IFERROR(VLOOKUP($Y170,OFFSET([3]characters!$A$1,0,0,COUNTA([3]characters!$A:$A),MATCH(Z$1,[3]characters!$2:$2,0)-MATCH("character_id",[3]characters!$2:$2,0)+1),MATCH(Z$1,[3]characters!$2:$2,0)-MATCH("character_id",[3]characters!$2:$2,0)+1,FALSE),"")</f>
        <v>野生児 アマラ</v>
      </c>
      <c r="AA170" s="5">
        <f ca="1">IFERROR(VLOOKUP($Y170,OFFSET([3]characters!$A$1,0,0,COUNTA([3]characters!$A:$A),MATCH(AA$1,[3]characters!$2:$2,0)-MATCH("character_id",[3]characters!$2:$2,0)+1),MATCH(AA$1,[3]characters!$2:$2,0)-MATCH("character_id",[3]characters!$2:$2,0)+1,FALSE),"")</f>
        <v>3</v>
      </c>
      <c r="AB170" s="5" t="str">
        <f ca="1">IFERROR(VLOOKUP($Y170,OFFSET([3]characters!$A$1,0,0,COUNTA([3]characters!$A:$A),MATCH(AB$1,[3]characters!$2:$2,0)-MATCH("character_id",[3]characters!$2:$2,0)+1),MATCH(AB$1,[3]characters!$2:$2,0)-MATCH("character_id",[3]characters!$2:$2,0)+1,FALSE),"")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170" s="8">
        <v>1</v>
      </c>
      <c r="AD170" s="34">
        <f t="shared" ca="1" si="91"/>
        <v>3</v>
      </c>
      <c r="AE170" s="9">
        <v>0</v>
      </c>
      <c r="AF170" s="8">
        <v>0</v>
      </c>
      <c r="AG170" s="8">
        <v>0</v>
      </c>
      <c r="AH170" s="8">
        <v>0</v>
      </c>
      <c r="AI170" s="8">
        <v>0</v>
      </c>
      <c r="AJ170" s="8">
        <v>1</v>
      </c>
    </row>
    <row r="171" spans="1:36" ht="21" customHeight="1">
      <c r="A171" s="21" t="str">
        <f ca="1">B171&amp;"_"&amp;C171&amp;"-"&amp;G171&amp;"/"&amp;I171&amp;"&lt;lv"&amp;O171&amp;"&gt;s"&amp;X171</f>
        <v>11104_3-5/136&lt;lv30&gt;s4</v>
      </c>
      <c r="B171" s="8">
        <v>11104</v>
      </c>
      <c r="C171" s="52">
        <v>3</v>
      </c>
      <c r="D171" s="2" t="str">
        <f t="shared" si="89"/>
        <v>11104_3</v>
      </c>
      <c r="E171" s="5" t="str">
        <f ca="1">VLOOKUP($B171,OFFSET([1]quests!$A$1,0,0,COUNTA([1]quests!$A:$A),MATCH(E$1,[1]quests!$1:$1,0)-MATCH($B$1,[1]quests!$1:$1,0)+1),MATCH(E$1,[1]quests!$1:$1,0)-MATCH($B$1,[1]quests!$1:$1,0)+1,FALSE)</f>
        <v>【キャンペーン限定】 緑の素材</v>
      </c>
      <c r="F171" s="5" t="str">
        <f ca="1">VLOOKUP($D171,OFFSET([1]stages!$A$1,0,0,COUNTA([1]stages!$A:$A),MATCH(F$1,[1]stages!$2:$2,0)-MATCH($D$1,[1]stages!$2:$2,0)+1),MATCH(F$1,[1]stages!$2:$2,0)-MATCH($D$1,[1]stages!$2:$2,0)+1,FALSE)</f>
        <v>樹のイモムシ 【上級】</v>
      </c>
      <c r="G171" s="32">
        <v>5</v>
      </c>
      <c r="H171" s="20" t="str">
        <f t="shared" si="90"/>
        <v>11104_3-5</v>
      </c>
      <c r="I171" s="31">
        <v>136</v>
      </c>
      <c r="J171" s="26" t="str">
        <f ca="1">VLOOKUP($I171,OFFSET([2]enemies!$A$1,0,0,COUNTA([2]enemies!$A:$A),MATCH(J$1,[2]enemies!$2:$2,0)-MATCH($I$1,[2]enemies!$2:$2,0)+1),MATCH(J$1,[2]enemies!$2:$2,0)-MATCH($I$1,[2]enemies!$2:$2,0)+1,FALSE)</f>
        <v>お針子チハヤ</v>
      </c>
      <c r="K171" s="29" t="str">
        <f ca="1">VLOOKUP($I171,OFFSET([2]enemies!$A$1,0,0,COUNTA([2]enemies!$A:$A),MATCH(K$1,[2]enemies!$2:$2,0)-MATCH($I$1,[2]enemies!$2:$2,0)+1),MATCH(K$1,[2]enemies!$2:$2,0)-MATCH($I$1,[2]enemies!$2:$2,0)+1,FALSE)</f>
        <v>green</v>
      </c>
      <c r="L171" s="29" t="str">
        <f ca="1">VLOOKUP($I171,OFFSET([3]characters!$A$1,0,0,COUNTA([3]characters!$A:$A),MATCH(L$1,[3]characters!$2:$2,0)-MATCH($I$1,[3]characters!$2:$2,0)+1),MATCH(L$1,[3]characters!$2:$2,0)-MATCH($I$1,[3]characters!$2:$2,0)+1,FALSE)</f>
        <v>PremiumW</v>
      </c>
      <c r="M171" s="28" t="str">
        <f ca="1">VLOOKUP($I171,OFFSET([3]characters!$A$1,0,0,COUNTA([3]characters!$A:$A),MATCH(M$1,[3]characters!$2:$2,0)-MATCH($I$1,[3]characters!$2:$2,0)+2),MATCH(M$1,[3]characters!$2:$2,0)-MATCH($I$1,[3]characters!$2:$2,0)+2,FALSE)</f>
        <v>ヒューマン</v>
      </c>
      <c r="N171" s="5">
        <f ca="1">VLOOKUP($I171,OFFSET([2]enemies!$A$1,0,0,COUNTA([2]enemies!$A:$A),MATCH(N$1,[2]enemies!$2:$2,0)-MATCH($I$1,[2]enemies!$2:$2,0)+1),MATCH(N$1,[2]enemies!$2:$2,0)-MATCH($I$1,[2]enemies!$2:$2,0)+1,FALSE)</f>
        <v>20</v>
      </c>
      <c r="O171" s="6">
        <v>30</v>
      </c>
      <c r="P171" s="46">
        <v>1</v>
      </c>
      <c r="Q171" s="46">
        <v>1</v>
      </c>
      <c r="R171" s="6">
        <v>0</v>
      </c>
      <c r="S171" s="5" t="str">
        <f ca="1">VLOOKUP($T171,OFFSET([4]enemy_skill_sets!$B$1,0,0,COUNTA([4]enemy_skill_sets!$B:$B),MATCH(J$1,[4]enemy_skill_sets!$1:$1,0)-MATCH($T$1,[4]enemy_skill_sets!$1:$1,0)+2),MATCH(J$1,[4]enemy_skill_sets!$1:$1,0)-MATCH($T$1,[4]enemy_skill_sets!$1:$1,0)+2,FALSE)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171" s="5">
        <f ca="1">VLOOKUP($I171,OFFSET([2]enemies!$A$1,0,0,COUNTA([2]enemies!$A:$A),MATCH(T$1,[2]enemies!$2:$2,0)-MATCH($I$1,[2]enemies!$2:$2,0)+1),MATCH(T$1,[2]enemies!$2:$2,0)-MATCH($I$1,[2]enemies!$2:$2,0)+1,FALSE)</f>
        <v>136</v>
      </c>
      <c r="U171" s="7">
        <v>0</v>
      </c>
      <c r="V171" s="7">
        <v>100</v>
      </c>
      <c r="W171" s="7">
        <v>1</v>
      </c>
      <c r="X171" s="26">
        <f ca="1">VLOOKUP($I171,OFFSET([2]enemies!$A$1,0,0,COUNTA([2]enemies!$A:$A),MATCH(X$1,[2]enemies!$2:$2,0)-MATCH($I$1,[2]enemies!$2:$2,0)+1),MATCH(X$1,[2]enemies!$2:$2,0)-MATCH($I$1,[2]enemies!$2:$2,0)+1,FALSE)</f>
        <v>4</v>
      </c>
      <c r="Y171" s="31">
        <v>136</v>
      </c>
      <c r="Z171" s="5" t="str">
        <f ca="1">IFERROR(VLOOKUP($Y171,OFFSET([3]characters!$A$1,0,0,COUNTA([3]characters!$A:$A),MATCH(Z$1,[3]characters!$2:$2,0)-MATCH("character_id",[3]characters!$2:$2,0)+1),MATCH(Z$1,[3]characters!$2:$2,0)-MATCH("character_id",[3]characters!$2:$2,0)+1,FALSE),"")</f>
        <v>お針子チハヤ</v>
      </c>
      <c r="AA171" s="5">
        <f ca="1">IFERROR(VLOOKUP($Y171,OFFSET([3]characters!$A$1,0,0,COUNTA([3]characters!$A:$A),MATCH(AA$1,[3]characters!$2:$2,0)-MATCH("character_id",[3]characters!$2:$2,0)+1),MATCH(AA$1,[3]characters!$2:$2,0)-MATCH("character_id",[3]characters!$2:$2,0)+1,FALSE),"")</f>
        <v>3</v>
      </c>
      <c r="AB171" s="5" t="str">
        <f ca="1">IFERROR(VLOOKUP($Y171,OFFSET([3]characters!$A$1,0,0,COUNTA([3]characters!$A:$A),MATCH(AB$1,[3]characters!$2:$2,0)-MATCH("character_id",[3]characters!$2:$2,0)+1),MATCH(AB$1,[3]characters!$2:$2,0)-MATCH("character_id",[3]characters!$2:$2,0)+1,FALSE),"")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171" s="8">
        <v>1</v>
      </c>
      <c r="AD171" s="34">
        <f t="shared" ca="1" si="91"/>
        <v>3</v>
      </c>
      <c r="AE171" s="9">
        <v>0</v>
      </c>
      <c r="AF171" s="8">
        <v>0</v>
      </c>
      <c r="AG171" s="8">
        <v>0</v>
      </c>
      <c r="AH171" s="8">
        <v>0</v>
      </c>
      <c r="AI171" s="8">
        <v>0</v>
      </c>
      <c r="AJ171" s="8">
        <v>1</v>
      </c>
    </row>
    <row r="172" spans="1:36" ht="21" customHeight="1">
      <c r="A172" s="21" t="str">
        <f ca="1">B172&amp;"_"&amp;C172&amp;"-"&amp;G172&amp;"/"&amp;I172&amp;"&lt;lv"&amp;O172&amp;"&gt;s"&amp;X172</f>
        <v>11104_3-5/144&lt;lv30&gt;s2</v>
      </c>
      <c r="B172" s="8">
        <v>11104</v>
      </c>
      <c r="C172" s="52">
        <v>3</v>
      </c>
      <c r="D172" s="2" t="str">
        <f t="shared" si="89"/>
        <v>11104_3</v>
      </c>
      <c r="E172" s="5" t="str">
        <f ca="1">VLOOKUP($B172,OFFSET([1]quests!$A$1,0,0,COUNTA([1]quests!$A:$A),MATCH(E$1,[1]quests!$1:$1,0)-MATCH($B$1,[1]quests!$1:$1,0)+1),MATCH(E$1,[1]quests!$1:$1,0)-MATCH($B$1,[1]quests!$1:$1,0)+1,FALSE)</f>
        <v>【キャンペーン限定】 緑の素材</v>
      </c>
      <c r="F172" s="5" t="str">
        <f ca="1">VLOOKUP($D172,OFFSET([1]stages!$A$1,0,0,COUNTA([1]stages!$A:$A),MATCH(F$1,[1]stages!$2:$2,0)-MATCH($D$1,[1]stages!$2:$2,0)+1),MATCH(F$1,[1]stages!$2:$2,0)-MATCH($D$1,[1]stages!$2:$2,0)+1,FALSE)</f>
        <v>樹のイモムシ 【上級】</v>
      </c>
      <c r="G172" s="32">
        <v>5</v>
      </c>
      <c r="H172" s="20" t="str">
        <f t="shared" si="90"/>
        <v>11104_3-5</v>
      </c>
      <c r="I172" s="31">
        <v>144</v>
      </c>
      <c r="J172" s="26" t="str">
        <f ca="1">VLOOKUP($I172,OFFSET([2]enemies!$A$1,0,0,COUNTA([2]enemies!$A:$A),MATCH(J$1,[2]enemies!$2:$2,0)-MATCH($I$1,[2]enemies!$2:$2,0)+1),MATCH(J$1,[2]enemies!$2:$2,0)-MATCH($I$1,[2]enemies!$2:$2,0)+1,FALSE)</f>
        <v>かぐや</v>
      </c>
      <c r="K172" s="29" t="str">
        <f ca="1">VLOOKUP($I172,OFFSET([2]enemies!$A$1,0,0,COUNTA([2]enemies!$A:$A),MATCH(K$1,[2]enemies!$2:$2,0)-MATCH($I$1,[2]enemies!$2:$2,0)+1),MATCH(K$1,[2]enemies!$2:$2,0)-MATCH($I$1,[2]enemies!$2:$2,0)+1,FALSE)</f>
        <v>green</v>
      </c>
      <c r="L172" s="29" t="str">
        <f ca="1">VLOOKUP($I172,OFFSET([3]characters!$A$1,0,0,COUNTA([3]characters!$A:$A),MATCH(L$1,[3]characters!$2:$2,0)-MATCH($I$1,[3]characters!$2:$2,0)+1),MATCH(L$1,[3]characters!$2:$2,0)-MATCH($I$1,[3]characters!$2:$2,0)+1,FALSE)</f>
        <v>PremiumW</v>
      </c>
      <c r="M172" s="28" t="str">
        <f ca="1">VLOOKUP($I172,OFFSET([3]characters!$A$1,0,0,COUNTA([3]characters!$A:$A),MATCH(M$1,[3]characters!$2:$2,0)-MATCH($I$1,[3]characters!$2:$2,0)+2),MATCH(M$1,[3]characters!$2:$2,0)-MATCH($I$1,[3]characters!$2:$2,0)+2,FALSE)</f>
        <v>ヒューマン</v>
      </c>
      <c r="N172" s="5">
        <f ca="1">VLOOKUP($I172,OFFSET([2]enemies!$A$1,0,0,COUNTA([2]enemies!$A:$A),MATCH(N$1,[2]enemies!$2:$2,0)-MATCH($I$1,[2]enemies!$2:$2,0)+1),MATCH(N$1,[2]enemies!$2:$2,0)-MATCH($I$1,[2]enemies!$2:$2,0)+1,FALSE)</f>
        <v>20</v>
      </c>
      <c r="O172" s="6">
        <v>30</v>
      </c>
      <c r="P172" s="46">
        <v>1</v>
      </c>
      <c r="Q172" s="46">
        <v>1</v>
      </c>
      <c r="R172" s="6">
        <v>0</v>
      </c>
      <c r="S172" s="5" t="str">
        <f ca="1">VLOOKUP($T172,OFFSET([4]enemy_skill_sets!$B$1,0,0,COUNTA([4]enemy_skill_sets!$B:$B),MATCH(J$1,[4]enemy_skill_sets!$1:$1,0)-MATCH($T$1,[4]enemy_skill_sets!$1:$1,0)+2),MATCH(J$1,[4]enemy_skill_sets!$1:$1,0)-MATCH($T$1,[4]enemy_skill_sets!$1:$1,0)+2,FALSE)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2" s="5">
        <f ca="1">VLOOKUP($I172,OFFSET([2]enemies!$A$1,0,0,COUNTA([2]enemies!$A:$A),MATCH(T$1,[2]enemies!$2:$2,0)-MATCH($I$1,[2]enemies!$2:$2,0)+1),MATCH(T$1,[2]enemies!$2:$2,0)-MATCH($I$1,[2]enemies!$2:$2,0)+1,FALSE)</f>
        <v>0</v>
      </c>
      <c r="U172" s="7">
        <v>0</v>
      </c>
      <c r="V172" s="7">
        <v>100</v>
      </c>
      <c r="W172" s="7">
        <v>1</v>
      </c>
      <c r="X172" s="26">
        <f ca="1">VLOOKUP($I172,OFFSET([2]enemies!$A$1,0,0,COUNTA([2]enemies!$A:$A),MATCH(X$1,[2]enemies!$2:$2,0)-MATCH($I$1,[2]enemies!$2:$2,0)+1),MATCH(X$1,[2]enemies!$2:$2,0)-MATCH($I$1,[2]enemies!$2:$2,0)+1,FALSE)</f>
        <v>2</v>
      </c>
      <c r="Y172" s="31">
        <v>144</v>
      </c>
      <c r="Z172" s="5" t="str">
        <f ca="1">IFERROR(VLOOKUP($Y172,OFFSET([3]characters!$A$1,0,0,COUNTA([3]characters!$A:$A),MATCH(Z$1,[3]characters!$2:$2,0)-MATCH("character_id",[3]characters!$2:$2,0)+1),MATCH(Z$1,[3]characters!$2:$2,0)-MATCH("character_id",[3]characters!$2:$2,0)+1,FALSE),"")</f>
        <v>かぐや</v>
      </c>
      <c r="AA172" s="5">
        <f ca="1">IFERROR(VLOOKUP($Y172,OFFSET([3]characters!$A$1,0,0,COUNTA([3]characters!$A:$A),MATCH(AA$1,[3]characters!$2:$2,0)-MATCH("character_id",[3]characters!$2:$2,0)+1),MATCH(AA$1,[3]characters!$2:$2,0)-MATCH("character_id",[3]characters!$2:$2,0)+1,FALSE),"")</f>
        <v>3</v>
      </c>
      <c r="AB172" s="5" t="str">
        <f ca="1">IFERROR(VLOOKUP($Y172,OFFSET([3]characters!$A$1,0,0,COUNTA([3]characters!$A:$A),MATCH(AB$1,[3]characters!$2:$2,0)-MATCH("character_id",[3]characters!$2:$2,0)+1),MATCH(AB$1,[3]characters!$2:$2,0)-MATCH("character_id",[3]characters!$2:$2,0)+1,FALSE),"")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172" s="8">
        <v>1</v>
      </c>
      <c r="AD172" s="34">
        <f t="shared" ca="1" si="91"/>
        <v>3</v>
      </c>
      <c r="AE172" s="9">
        <v>0</v>
      </c>
      <c r="AF172" s="8">
        <v>0</v>
      </c>
      <c r="AG172" s="8">
        <v>0</v>
      </c>
      <c r="AH172" s="8">
        <v>0</v>
      </c>
      <c r="AI172" s="8">
        <v>0</v>
      </c>
      <c r="AJ172" s="8">
        <v>1</v>
      </c>
    </row>
    <row r="173" spans="1:36" ht="21" customHeight="1">
      <c r="A173" s="21" t="str">
        <f ca="1">B173&amp;"_"&amp;C173&amp;"-"&amp;G173&amp;"/"&amp;I173&amp;"&lt;lv"&amp;O173&amp;"&gt;s"&amp;X173</f>
        <v>11104_3-5/152&lt;lv30&gt;s1</v>
      </c>
      <c r="B173" s="8">
        <v>11104</v>
      </c>
      <c r="C173" s="52">
        <v>3</v>
      </c>
      <c r="D173" s="2" t="str">
        <f t="shared" si="89"/>
        <v>11104_3</v>
      </c>
      <c r="E173" s="5" t="str">
        <f ca="1">VLOOKUP($B173,OFFSET([1]quests!$A$1,0,0,COUNTA([1]quests!$A:$A),MATCH(E$1,[1]quests!$1:$1,0)-MATCH($B$1,[1]quests!$1:$1,0)+1),MATCH(E$1,[1]quests!$1:$1,0)-MATCH($B$1,[1]quests!$1:$1,0)+1,FALSE)</f>
        <v>【キャンペーン限定】 緑の素材</v>
      </c>
      <c r="F173" s="5" t="str">
        <f ca="1">VLOOKUP($D173,OFFSET([1]stages!$A$1,0,0,COUNTA([1]stages!$A:$A),MATCH(F$1,[1]stages!$2:$2,0)-MATCH($D$1,[1]stages!$2:$2,0)+1),MATCH(F$1,[1]stages!$2:$2,0)-MATCH($D$1,[1]stages!$2:$2,0)+1,FALSE)</f>
        <v>樹のイモムシ 【上級】</v>
      </c>
      <c r="G173" s="32">
        <v>5</v>
      </c>
      <c r="H173" s="20" t="str">
        <f t="shared" si="90"/>
        <v>11104_3-5</v>
      </c>
      <c r="I173" s="31">
        <v>152</v>
      </c>
      <c r="J173" s="26" t="str">
        <f ca="1">VLOOKUP($I173,OFFSET([2]enemies!$A$1,0,0,COUNTA([2]enemies!$A:$A),MATCH(J$1,[2]enemies!$2:$2,0)-MATCH($I$1,[2]enemies!$2:$2,0)+1),MATCH(J$1,[2]enemies!$2:$2,0)-MATCH($I$1,[2]enemies!$2:$2,0)+1,FALSE)</f>
        <v>功夫少女ランラン</v>
      </c>
      <c r="K173" s="29" t="str">
        <f ca="1">VLOOKUP($I173,OFFSET([2]enemies!$A$1,0,0,COUNTA([2]enemies!$A:$A),MATCH(K$1,[2]enemies!$2:$2,0)-MATCH($I$1,[2]enemies!$2:$2,0)+1),MATCH(K$1,[2]enemies!$2:$2,0)-MATCH($I$1,[2]enemies!$2:$2,0)+1,FALSE)</f>
        <v>green</v>
      </c>
      <c r="L173" s="29" t="str">
        <f ca="1">VLOOKUP($I173,OFFSET([3]characters!$A$1,0,0,COUNTA([3]characters!$A:$A),MATCH(L$1,[3]characters!$2:$2,0)-MATCH($I$1,[3]characters!$2:$2,0)+1),MATCH(L$1,[3]characters!$2:$2,0)-MATCH($I$1,[3]characters!$2:$2,0)+1,FALSE)</f>
        <v>PremiumW</v>
      </c>
      <c r="M173" s="28" t="str">
        <f ca="1">VLOOKUP($I173,OFFSET([3]characters!$A$1,0,0,COUNTA([3]characters!$A:$A),MATCH(M$1,[3]characters!$2:$2,0)-MATCH($I$1,[3]characters!$2:$2,0)+2),MATCH(M$1,[3]characters!$2:$2,0)-MATCH($I$1,[3]characters!$2:$2,0)+2,FALSE)</f>
        <v>ヒューマン</v>
      </c>
      <c r="N173" s="5">
        <f ca="1">VLOOKUP($I173,OFFSET([2]enemies!$A$1,0,0,COUNTA([2]enemies!$A:$A),MATCH(N$1,[2]enemies!$2:$2,0)-MATCH($I$1,[2]enemies!$2:$2,0)+1),MATCH(N$1,[2]enemies!$2:$2,0)-MATCH($I$1,[2]enemies!$2:$2,0)+1,FALSE)</f>
        <v>20</v>
      </c>
      <c r="O173" s="6">
        <v>30</v>
      </c>
      <c r="P173" s="46">
        <v>1</v>
      </c>
      <c r="Q173" s="46">
        <v>1</v>
      </c>
      <c r="R173" s="6">
        <v>0</v>
      </c>
      <c r="S173" s="5" t="str">
        <f ca="1">VLOOKUP($T173,OFFSET([4]enemy_skill_sets!$B$1,0,0,COUNTA([4]enemy_skill_sets!$B:$B),MATCH(J$1,[4]enemy_skill_sets!$1:$1,0)-MATCH($T$1,[4]enemy_skill_sets!$1:$1,0)+2),MATCH(J$1,[4]enemy_skill_sets!$1:$1,0)-MATCH($T$1,[4]enemy_skill_sets!$1:$1,0)+2,FALSE)</f>
        <v>攻撃力×1.3倍の攻撃</v>
      </c>
      <c r="T173" s="5">
        <f ca="1">VLOOKUP($I173,OFFSET([2]enemies!$A$1,0,0,COUNTA([2]enemies!$A:$A),MATCH(T$1,[2]enemies!$2:$2,0)-MATCH($I$1,[2]enemies!$2:$2,0)+1),MATCH(T$1,[2]enemies!$2:$2,0)-MATCH($I$1,[2]enemies!$2:$2,0)+1,FALSE)</f>
        <v>152</v>
      </c>
      <c r="U173" s="7">
        <v>0</v>
      </c>
      <c r="V173" s="7">
        <v>100</v>
      </c>
      <c r="W173" s="7">
        <v>1</v>
      </c>
      <c r="X173" s="26">
        <f ca="1">VLOOKUP($I173,OFFSET([2]enemies!$A$1,0,0,COUNTA([2]enemies!$A:$A),MATCH(X$1,[2]enemies!$2:$2,0)-MATCH($I$1,[2]enemies!$2:$2,0)+1),MATCH(X$1,[2]enemies!$2:$2,0)-MATCH($I$1,[2]enemies!$2:$2,0)+1,FALSE)</f>
        <v>1</v>
      </c>
      <c r="Y173" s="31">
        <v>152</v>
      </c>
      <c r="Z173" s="5" t="str">
        <f ca="1">IFERROR(VLOOKUP($Y173,OFFSET([3]characters!$A$1,0,0,COUNTA([3]characters!$A:$A),MATCH(Z$1,[3]characters!$2:$2,0)-MATCH("character_id",[3]characters!$2:$2,0)+1),MATCH(Z$1,[3]characters!$2:$2,0)-MATCH("character_id",[3]characters!$2:$2,0)+1,FALSE),"")</f>
        <v>功夫少女ランラン</v>
      </c>
      <c r="AA173" s="5">
        <f ca="1">IFERROR(VLOOKUP($Y173,OFFSET([3]characters!$A$1,0,0,COUNTA([3]characters!$A:$A),MATCH(AA$1,[3]characters!$2:$2,0)-MATCH("character_id",[3]characters!$2:$2,0)+1),MATCH(AA$1,[3]characters!$2:$2,0)-MATCH("character_id",[3]characters!$2:$2,0)+1,FALSE),"")</f>
        <v>3</v>
      </c>
      <c r="AB173" s="5" t="str">
        <f ca="1">IFERROR(VLOOKUP($Y173,OFFSET([3]characters!$A$1,0,0,COUNTA([3]characters!$A:$A),MATCH(AB$1,[3]characters!$2:$2,0)-MATCH("character_id",[3]characters!$2:$2,0)+1),MATCH(AB$1,[3]characters!$2:$2,0)-MATCH("character_id",[3]characters!$2:$2,0)+1,FALSE),"")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173" s="8">
        <v>1</v>
      </c>
      <c r="AD173" s="34">
        <f t="shared" ca="1" si="91"/>
        <v>3</v>
      </c>
      <c r="AE173" s="9">
        <v>0</v>
      </c>
      <c r="AF173" s="8">
        <v>0</v>
      </c>
      <c r="AG173" s="8">
        <v>0</v>
      </c>
      <c r="AH173" s="8">
        <v>0</v>
      </c>
      <c r="AI173" s="8">
        <v>0</v>
      </c>
      <c r="AJ173" s="8">
        <v>1</v>
      </c>
    </row>
    <row r="174" spans="1:36" ht="21" customHeight="1">
      <c r="A174" s="21" t="str">
        <f t="shared" ref="A174:A175" ca="1" si="108">B174&amp;"_"&amp;C174&amp;"-"&amp;G174&amp;"/"&amp;I174&amp;"&lt;lv"&amp;O174&amp;"&gt;s"&amp;X174</f>
        <v>11105_1-1/33&lt;lv42&gt;s2</v>
      </c>
      <c r="B174" s="8">
        <v>11105</v>
      </c>
      <c r="C174" s="53">
        <v>1</v>
      </c>
      <c r="D174" s="2" t="str">
        <f t="shared" si="89"/>
        <v>11105_1</v>
      </c>
      <c r="E174" s="5" t="str">
        <f ca="1">VLOOKUP($B174,OFFSET([1]quests!$A$1,0,0,COUNTA([1]quests!$A:$A),MATCH(E$1,[1]quests!$1:$1,0)-MATCH($B$1,[1]quests!$1:$1,0)+1),MATCH(E$1,[1]quests!$1:$1,0)-MATCH($B$1,[1]quests!$1:$1,0)+1,FALSE)</f>
        <v>【キャンペーン限定】 帽子屋を追え！</v>
      </c>
      <c r="F174" s="5" t="str">
        <f ca="1">VLOOKUP($D174,OFFSET([1]stages!$A$1,0,0,COUNTA([1]stages!$A:$A),MATCH(F$1,[1]stages!$2:$2,0)-MATCH($D$1,[1]stages!$2:$2,0)+1),MATCH(F$1,[1]stages!$2:$2,0)-MATCH($D$1,[1]stages!$2:$2,0)+1,FALSE)</f>
        <v>火の帽子屋 【超級】</v>
      </c>
      <c r="G174" s="32">
        <v>1</v>
      </c>
      <c r="H174" s="20" t="str">
        <f t="shared" si="90"/>
        <v>11105_1-1</v>
      </c>
      <c r="I174" s="31">
        <v>33</v>
      </c>
      <c r="J174" s="26" t="str">
        <f ca="1">VLOOKUP($I174,OFFSET([2]enemies!$A$1,0,0,COUNTA([2]enemies!$A:$A),MATCH(J$1,[2]enemies!$2:$2,0)-MATCH($I$1,[2]enemies!$2:$2,0)+1),MATCH(J$1,[2]enemies!$2:$2,0)-MATCH($I$1,[2]enemies!$2:$2,0)+1,FALSE)</f>
        <v>ゴクウ</v>
      </c>
      <c r="K174" s="29" t="str">
        <f ca="1">VLOOKUP($I174,OFFSET([2]enemies!$A$1,0,0,COUNTA([2]enemies!$A:$A),MATCH(K$1,[2]enemies!$2:$2,0)-MATCH($I$1,[2]enemies!$2:$2,0)+1),MATCH(K$1,[2]enemies!$2:$2,0)-MATCH($I$1,[2]enemies!$2:$2,0)+1,FALSE)</f>
        <v>red</v>
      </c>
      <c r="L174" s="29" t="str">
        <f ca="1">VLOOKUP($I174,OFFSET([3]characters!$A$1,0,0,COUNTA([3]characters!$A:$A),MATCH(L$1,[3]characters!$2:$2,0)-MATCH($I$1,[3]characters!$2:$2,0)+1),MATCH(L$1,[3]characters!$2:$2,0)-MATCH($I$1,[3]characters!$2:$2,0)+1,FALSE)</f>
        <v>Drop1S</v>
      </c>
      <c r="M174" s="28" t="str">
        <f ca="1">VLOOKUP($I174,OFFSET([3]characters!$A$1,0,0,COUNTA([3]characters!$A:$A),MATCH(M$1,[3]characters!$2:$2,0)-MATCH($I$1,[3]characters!$2:$2,0)+2),MATCH(M$1,[3]characters!$2:$2,0)-MATCH($I$1,[3]characters!$2:$2,0)+2,FALSE)</f>
        <v>アニマル</v>
      </c>
      <c r="N174" s="5">
        <f ca="1">VLOOKUP($I174,OFFSET([2]enemies!$A$1,0,0,COUNTA([2]enemies!$A:$A),MATCH(N$1,[2]enemies!$2:$2,0)-MATCH($I$1,[2]enemies!$2:$2,0)+1),MATCH(N$1,[2]enemies!$2:$2,0)-MATCH($I$1,[2]enemies!$2:$2,0)+1,FALSE)</f>
        <v>15</v>
      </c>
      <c r="O174" s="6">
        <v>42</v>
      </c>
      <c r="P174" s="46">
        <v>1</v>
      </c>
      <c r="Q174" s="46">
        <v>1</v>
      </c>
      <c r="R174" s="6">
        <v>0</v>
      </c>
      <c r="S174" s="5" t="str">
        <f ca="1">VLOOKUP($T174,OFFSET([4]enemy_skill_sets!$B$1,0,0,COUNTA([4]enemy_skill_sets!$B:$B),MATCH(J$1,[4]enemy_skill_sets!$1:$1,0)-MATCH($T$1,[4]enemy_skill_sets!$1:$1,0)+2),MATCH(J$1,[4]enemy_skill_sets!$1:$1,0)-MATCH($T$1,[4]enemy_skill_sets!$1:$1,0)+2,FALSE)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174" s="5">
        <f ca="1">VLOOKUP($I174,OFFSET([2]enemies!$A$1,0,0,COUNTA([2]enemies!$A:$A),MATCH(T$1,[2]enemies!$2:$2,0)-MATCH($I$1,[2]enemies!$2:$2,0)+1),MATCH(T$1,[2]enemies!$2:$2,0)-MATCH($I$1,[2]enemies!$2:$2,0)+1,FALSE)</f>
        <v>33</v>
      </c>
      <c r="U174" s="7">
        <v>0</v>
      </c>
      <c r="V174" s="7">
        <v>100</v>
      </c>
      <c r="W174" s="7">
        <v>0</v>
      </c>
      <c r="X174" s="26">
        <f ca="1">VLOOKUP($I174,OFFSET([2]enemies!$A$1,0,0,COUNTA([2]enemies!$A:$A),MATCH(X$1,[2]enemies!$2:$2,0)-MATCH($I$1,[2]enemies!$2:$2,0)+1),MATCH(X$1,[2]enemies!$2:$2,0)-MATCH($I$1,[2]enemies!$2:$2,0)+1,FALSE)</f>
        <v>2</v>
      </c>
      <c r="Y174" s="31">
        <v>33</v>
      </c>
      <c r="Z174" s="5" t="str">
        <f ca="1">IFERROR(VLOOKUP($Y174,OFFSET([3]characters!$A$1,0,0,COUNTA([3]characters!$A:$A),MATCH(Z$1,[3]characters!$2:$2,0)-MATCH("character_id",[3]characters!$2:$2,0)+1),MATCH(Z$1,[3]characters!$2:$2,0)-MATCH("character_id",[3]characters!$2:$2,0)+1,FALSE),"")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174" s="5">
        <f ca="1">IFERROR(VLOOKUP($Y174,OFFSET([3]characters!$A$1,0,0,COUNTA([3]characters!$A:$A),MATCH(AA$1,[3]characters!$2:$2,0)-MATCH("character_id",[3]characters!$2:$2,0)+1),MATCH(AA$1,[3]characters!$2:$2,0)-MATCH("character_id",[3]characters!$2:$2,0)+1,FALSE),"")</f>
        <v>2</v>
      </c>
      <c r="AB174" s="5" t="str">
        <f ca="1">IFERROR(VLOOKUP($Y174,OFFSET([3]characters!$A$1,0,0,COUNTA([3]characters!$A:$A),MATCH(AB$1,[3]characters!$2:$2,0)-MATCH("character_id",[3]characters!$2:$2,0)+1),MATCH(AB$1,[3]characters!$2:$2,0)-MATCH("character_id",[3]characters!$2:$2,0)+1,FALSE),"")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74" s="8">
        <v>1</v>
      </c>
      <c r="AD174" s="34">
        <f t="shared" ca="1" si="91"/>
        <v>2</v>
      </c>
      <c r="AE174" s="9">
        <v>0</v>
      </c>
      <c r="AF174" s="8">
        <v>0</v>
      </c>
      <c r="AG174" s="8">
        <v>0</v>
      </c>
      <c r="AH174" s="8">
        <v>0</v>
      </c>
      <c r="AI174" s="8">
        <v>0</v>
      </c>
      <c r="AJ174" s="8">
        <v>1</v>
      </c>
    </row>
    <row r="175" spans="1:36" ht="21" customHeight="1">
      <c r="A175" s="21" t="str">
        <f t="shared" ca="1" si="108"/>
        <v>11105_1-1/21&lt;lv42&gt;s2</v>
      </c>
      <c r="B175" s="8">
        <v>11105</v>
      </c>
      <c r="C175" s="53">
        <v>1</v>
      </c>
      <c r="D175" s="2" t="str">
        <f t="shared" si="89"/>
        <v>11105_1</v>
      </c>
      <c r="E175" s="5" t="str">
        <f ca="1">VLOOKUP($B175,OFFSET([1]quests!$A$1,0,0,COUNTA([1]quests!$A:$A),MATCH(E$1,[1]quests!$1:$1,0)-MATCH($B$1,[1]quests!$1:$1,0)+1),MATCH(E$1,[1]quests!$1:$1,0)-MATCH($B$1,[1]quests!$1:$1,0)+1,FALSE)</f>
        <v>【キャンペーン限定】 帽子屋を追え！</v>
      </c>
      <c r="F175" s="5" t="str">
        <f ca="1">VLOOKUP($D175,OFFSET([1]stages!$A$1,0,0,COUNTA([1]stages!$A:$A),MATCH(F$1,[1]stages!$2:$2,0)-MATCH($D$1,[1]stages!$2:$2,0)+1),MATCH(F$1,[1]stages!$2:$2,0)-MATCH($D$1,[1]stages!$2:$2,0)+1,FALSE)</f>
        <v>火の帽子屋 【超級】</v>
      </c>
      <c r="G175" s="32">
        <v>1</v>
      </c>
      <c r="H175" s="20" t="str">
        <f t="shared" si="90"/>
        <v>11105_1-1</v>
      </c>
      <c r="I175" s="31">
        <v>21</v>
      </c>
      <c r="J175" s="26" t="str">
        <f ca="1">VLOOKUP($I175,OFFSET([2]enemies!$A$1,0,0,COUNTA([2]enemies!$A:$A),MATCH(J$1,[2]enemies!$2:$2,0)-MATCH($I$1,[2]enemies!$2:$2,0)+1),MATCH(J$1,[2]enemies!$2:$2,0)-MATCH($I$1,[2]enemies!$2:$2,0)+1,FALSE)</f>
        <v>ヴェロキー</v>
      </c>
      <c r="K175" s="29" t="str">
        <f ca="1">VLOOKUP($I175,OFFSET([2]enemies!$A$1,0,0,COUNTA([2]enemies!$A:$A),MATCH(K$1,[2]enemies!$2:$2,0)-MATCH($I$1,[2]enemies!$2:$2,0)+1),MATCH(K$1,[2]enemies!$2:$2,0)-MATCH($I$1,[2]enemies!$2:$2,0)+1,FALSE)</f>
        <v>red</v>
      </c>
      <c r="L175" s="29" t="str">
        <f ca="1">VLOOKUP($I175,OFFSET([3]characters!$A$1,0,0,COUNTA([3]characters!$A:$A),MATCH(L$1,[3]characters!$2:$2,0)-MATCH($I$1,[3]characters!$2:$2,0)+1),MATCH(L$1,[3]characters!$2:$2,0)-MATCH($I$1,[3]characters!$2:$2,0)+1,FALSE)</f>
        <v>Drop1N</v>
      </c>
      <c r="M175" s="28" t="str">
        <f ca="1">VLOOKUP($I175,OFFSET([3]characters!$A$1,0,0,COUNTA([3]characters!$A:$A),MATCH(M$1,[3]characters!$2:$2,0)-MATCH($I$1,[3]characters!$2:$2,0)+2),MATCH(M$1,[3]characters!$2:$2,0)-MATCH($I$1,[3]characters!$2:$2,0)+2,FALSE)</f>
        <v>ドラゴン</v>
      </c>
      <c r="N175" s="5">
        <f ca="1">VLOOKUP($I175,OFFSET([2]enemies!$A$1,0,0,COUNTA([2]enemies!$A:$A),MATCH(N$1,[2]enemies!$2:$2,0)-MATCH($I$1,[2]enemies!$2:$2,0)+1),MATCH(N$1,[2]enemies!$2:$2,0)-MATCH($I$1,[2]enemies!$2:$2,0)+1,FALSE)</f>
        <v>15</v>
      </c>
      <c r="O175" s="6">
        <v>42</v>
      </c>
      <c r="P175" s="46">
        <v>1</v>
      </c>
      <c r="Q175" s="46">
        <v>1</v>
      </c>
      <c r="R175" s="6">
        <v>0</v>
      </c>
      <c r="S175" s="5" t="str">
        <f ca="1">VLOOKUP($T175,OFFSET([4]enemy_skill_sets!$B$1,0,0,COUNTA([4]enemy_skill_sets!$B:$B),MATCH(J$1,[4]enemy_skill_sets!$1:$1,0)-MATCH($T$1,[4]enemy_skill_sets!$1:$1,0)+2),MATCH(J$1,[4]enemy_skill_sets!$1:$1,0)-MATCH($T$1,[4]enemy_skill_sets!$1:$1,0)+2,FALSE)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5" s="5">
        <f ca="1">VLOOKUP($I175,OFFSET([2]enemies!$A$1,0,0,COUNTA([2]enemies!$A:$A),MATCH(T$1,[2]enemies!$2:$2,0)-MATCH($I$1,[2]enemies!$2:$2,0)+1),MATCH(T$1,[2]enemies!$2:$2,0)-MATCH($I$1,[2]enemies!$2:$2,0)+1,FALSE)</f>
        <v>0</v>
      </c>
      <c r="U175" s="7">
        <v>0</v>
      </c>
      <c r="V175" s="7">
        <v>100</v>
      </c>
      <c r="W175" s="7">
        <v>0</v>
      </c>
      <c r="X175" s="26">
        <f ca="1">VLOOKUP($I175,OFFSET([2]enemies!$A$1,0,0,COUNTA([2]enemies!$A:$A),MATCH(X$1,[2]enemies!$2:$2,0)-MATCH($I$1,[2]enemies!$2:$2,0)+1),MATCH(X$1,[2]enemies!$2:$2,0)-MATCH($I$1,[2]enemies!$2:$2,0)+1,FALSE)</f>
        <v>2</v>
      </c>
      <c r="Y175" s="31">
        <v>21</v>
      </c>
      <c r="Z175" s="5" t="str">
        <f ca="1">IFERROR(VLOOKUP($Y175,OFFSET([3]characters!$A$1,0,0,COUNTA([3]characters!$A:$A),MATCH(Z$1,[3]characters!$2:$2,0)-MATCH("character_id",[3]characters!$2:$2,0)+1),MATCH(Z$1,[3]characters!$2:$2,0)-MATCH("character_id",[3]characters!$2:$2,0)+1,FALSE),"")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175" s="5">
        <f ca="1">IFERROR(VLOOKUP($Y175,OFFSET([3]characters!$A$1,0,0,COUNTA([3]characters!$A:$A),MATCH(AA$1,[3]characters!$2:$2,0)-MATCH("character_id",[3]characters!$2:$2,0)+1),MATCH(AA$1,[3]characters!$2:$2,0)-MATCH("character_id",[3]characters!$2:$2,0)+1,FALSE),"")</f>
        <v>1</v>
      </c>
      <c r="AB175" s="5" t="str">
        <f ca="1">IFERROR(VLOOKUP($Y175,OFFSET([3]characters!$A$1,0,0,COUNTA([3]characters!$A:$A),MATCH(AB$1,[3]characters!$2:$2,0)-MATCH("character_id",[3]characters!$2:$2,0)+1),MATCH(AB$1,[3]characters!$2:$2,0)-MATCH("character_id",[3]characters!$2:$2,0)+1,FALSE),"")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75" s="8">
        <v>1</v>
      </c>
      <c r="AD175" s="34">
        <f t="shared" ca="1" si="91"/>
        <v>1</v>
      </c>
      <c r="AE175" s="9">
        <v>0</v>
      </c>
      <c r="AF175" s="8">
        <v>0</v>
      </c>
      <c r="AG175" s="8">
        <v>0</v>
      </c>
      <c r="AH175" s="8">
        <v>0</v>
      </c>
      <c r="AI175" s="8">
        <v>0</v>
      </c>
      <c r="AJ175" s="8">
        <v>1</v>
      </c>
    </row>
    <row r="176" spans="1:36" ht="21" customHeight="1">
      <c r="A176" s="21" t="str">
        <f t="shared" ref="A176:A179" ca="1" si="109">B176&amp;"_"&amp;C176&amp;"-"&amp;G176&amp;"/"&amp;I176&amp;"&lt;lv"&amp;O176&amp;"&gt;s"&amp;X176</f>
        <v>11105_1-2/33&lt;lv42&gt;s2</v>
      </c>
      <c r="B176" s="8">
        <v>11105</v>
      </c>
      <c r="C176" s="53">
        <v>1</v>
      </c>
      <c r="D176" s="2" t="str">
        <f t="shared" ref="D176:D179" si="110">B176&amp;"_"&amp;C176</f>
        <v>11105_1</v>
      </c>
      <c r="E176" s="5" t="str">
        <f ca="1">VLOOKUP($B176,OFFSET([1]quests!$A$1,0,0,COUNTA([1]quests!$A:$A),MATCH(E$1,[1]quests!$1:$1,0)-MATCH($B$1,[1]quests!$1:$1,0)+1),MATCH(E$1,[1]quests!$1:$1,0)-MATCH($B$1,[1]quests!$1:$1,0)+1,FALSE)</f>
        <v>【キャンペーン限定】 帽子屋を追え！</v>
      </c>
      <c r="F176" s="5" t="str">
        <f ca="1">VLOOKUP($D176,OFFSET([1]stages!$A$1,0,0,COUNTA([1]stages!$A:$A),MATCH(F$1,[1]stages!$2:$2,0)-MATCH($D$1,[1]stages!$2:$2,0)+1),MATCH(F$1,[1]stages!$2:$2,0)-MATCH($D$1,[1]stages!$2:$2,0)+1,FALSE)</f>
        <v>火の帽子屋 【超級】</v>
      </c>
      <c r="G176" s="32">
        <v>2</v>
      </c>
      <c r="H176" s="20" t="str">
        <f t="shared" ref="H176:H179" si="111">B176&amp;"_"&amp;C176&amp;"-"&amp;G176</f>
        <v>11105_1-2</v>
      </c>
      <c r="I176" s="31">
        <v>33</v>
      </c>
      <c r="J176" s="26" t="str">
        <f ca="1">VLOOKUP($I176,OFFSET([2]enemies!$A$1,0,0,COUNTA([2]enemies!$A:$A),MATCH(J$1,[2]enemies!$2:$2,0)-MATCH($I$1,[2]enemies!$2:$2,0)+1),MATCH(J$1,[2]enemies!$2:$2,0)-MATCH($I$1,[2]enemies!$2:$2,0)+1,FALSE)</f>
        <v>ゴクウ</v>
      </c>
      <c r="K176" s="29" t="str">
        <f ca="1">VLOOKUP($I176,OFFSET([2]enemies!$A$1,0,0,COUNTA([2]enemies!$A:$A),MATCH(K$1,[2]enemies!$2:$2,0)-MATCH($I$1,[2]enemies!$2:$2,0)+1),MATCH(K$1,[2]enemies!$2:$2,0)-MATCH($I$1,[2]enemies!$2:$2,0)+1,FALSE)</f>
        <v>red</v>
      </c>
      <c r="L176" s="29" t="str">
        <f ca="1">VLOOKUP($I176,OFFSET([3]characters!$A$1,0,0,COUNTA([3]characters!$A:$A),MATCH(L$1,[3]characters!$2:$2,0)-MATCH($I$1,[3]characters!$2:$2,0)+1),MATCH(L$1,[3]characters!$2:$2,0)-MATCH($I$1,[3]characters!$2:$2,0)+1,FALSE)</f>
        <v>Drop1S</v>
      </c>
      <c r="M176" s="28" t="str">
        <f ca="1">VLOOKUP($I176,OFFSET([3]characters!$A$1,0,0,COUNTA([3]characters!$A:$A),MATCH(M$1,[3]characters!$2:$2,0)-MATCH($I$1,[3]characters!$2:$2,0)+2),MATCH(M$1,[3]characters!$2:$2,0)-MATCH($I$1,[3]characters!$2:$2,0)+2,FALSE)</f>
        <v>アニマル</v>
      </c>
      <c r="N176" s="5">
        <f ca="1">VLOOKUP($I176,OFFSET([2]enemies!$A$1,0,0,COUNTA([2]enemies!$A:$A),MATCH(N$1,[2]enemies!$2:$2,0)-MATCH($I$1,[2]enemies!$2:$2,0)+1),MATCH(N$1,[2]enemies!$2:$2,0)-MATCH($I$1,[2]enemies!$2:$2,0)+1,FALSE)</f>
        <v>15</v>
      </c>
      <c r="O176" s="6">
        <v>42</v>
      </c>
      <c r="P176" s="46">
        <v>1</v>
      </c>
      <c r="Q176" s="46">
        <v>1</v>
      </c>
      <c r="R176" s="6">
        <v>0</v>
      </c>
      <c r="S176" s="5" t="str">
        <f ca="1">VLOOKUP($T176,OFFSET([4]enemy_skill_sets!$B$1,0,0,COUNTA([4]enemy_skill_sets!$B:$B),MATCH(J$1,[4]enemy_skill_sets!$1:$1,0)-MATCH($T$1,[4]enemy_skill_sets!$1:$1,0)+2),MATCH(J$1,[4]enemy_skill_sets!$1:$1,0)-MATCH($T$1,[4]enemy_skill_sets!$1:$1,0)+2,FALSE)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176" s="5">
        <f ca="1">VLOOKUP($I176,OFFSET([2]enemies!$A$1,0,0,COUNTA([2]enemies!$A:$A),MATCH(T$1,[2]enemies!$2:$2,0)-MATCH($I$1,[2]enemies!$2:$2,0)+1),MATCH(T$1,[2]enemies!$2:$2,0)-MATCH($I$1,[2]enemies!$2:$2,0)+1,FALSE)</f>
        <v>33</v>
      </c>
      <c r="U176" s="7">
        <v>0</v>
      </c>
      <c r="V176" s="7">
        <v>100</v>
      </c>
      <c r="W176" s="7">
        <v>0</v>
      </c>
      <c r="X176" s="26">
        <f ca="1">VLOOKUP($I176,OFFSET([2]enemies!$A$1,0,0,COUNTA([2]enemies!$A:$A),MATCH(X$1,[2]enemies!$2:$2,0)-MATCH($I$1,[2]enemies!$2:$2,0)+1),MATCH(X$1,[2]enemies!$2:$2,0)-MATCH($I$1,[2]enemies!$2:$2,0)+1,FALSE)</f>
        <v>2</v>
      </c>
      <c r="Y176" s="31">
        <v>33</v>
      </c>
      <c r="Z176" s="5" t="str">
        <f ca="1">IFERROR(VLOOKUP($Y176,OFFSET([3]characters!$A$1,0,0,COUNTA([3]characters!$A:$A),MATCH(Z$1,[3]characters!$2:$2,0)-MATCH("character_id",[3]characters!$2:$2,0)+1),MATCH(Z$1,[3]characters!$2:$2,0)-MATCH("character_id",[3]characters!$2:$2,0)+1,FALSE),"")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176" s="5">
        <f ca="1">IFERROR(VLOOKUP($Y176,OFFSET([3]characters!$A$1,0,0,COUNTA([3]characters!$A:$A),MATCH(AA$1,[3]characters!$2:$2,0)-MATCH("character_id",[3]characters!$2:$2,0)+1),MATCH(AA$1,[3]characters!$2:$2,0)-MATCH("character_id",[3]characters!$2:$2,0)+1,FALSE),"")</f>
        <v>2</v>
      </c>
      <c r="AB176" s="5" t="str">
        <f ca="1">IFERROR(VLOOKUP($Y176,OFFSET([3]characters!$A$1,0,0,COUNTA([3]characters!$A:$A),MATCH(AB$1,[3]characters!$2:$2,0)-MATCH("character_id",[3]characters!$2:$2,0)+1),MATCH(AB$1,[3]characters!$2:$2,0)-MATCH("character_id",[3]characters!$2:$2,0)+1,FALSE),"")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76" s="8">
        <v>1</v>
      </c>
      <c r="AD176" s="34">
        <f t="shared" ref="AD176:AD179" ca="1" si="112">AA176</f>
        <v>2</v>
      </c>
      <c r="AE176" s="9">
        <v>0</v>
      </c>
      <c r="AF176" s="8">
        <v>0</v>
      </c>
      <c r="AG176" s="8">
        <v>0</v>
      </c>
      <c r="AH176" s="8">
        <v>0</v>
      </c>
      <c r="AI176" s="8">
        <v>0</v>
      </c>
      <c r="AJ176" s="8">
        <v>1</v>
      </c>
    </row>
    <row r="177" spans="1:36" ht="21" customHeight="1">
      <c r="A177" s="21" t="str">
        <f t="shared" ca="1" si="109"/>
        <v>11105_1-2/21&lt;lv42&gt;s2</v>
      </c>
      <c r="B177" s="8">
        <v>11105</v>
      </c>
      <c r="C177" s="53">
        <v>1</v>
      </c>
      <c r="D177" s="2" t="str">
        <f t="shared" si="110"/>
        <v>11105_1</v>
      </c>
      <c r="E177" s="5" t="str">
        <f ca="1">VLOOKUP($B177,OFFSET([1]quests!$A$1,0,0,COUNTA([1]quests!$A:$A),MATCH(E$1,[1]quests!$1:$1,0)-MATCH($B$1,[1]quests!$1:$1,0)+1),MATCH(E$1,[1]quests!$1:$1,0)-MATCH($B$1,[1]quests!$1:$1,0)+1,FALSE)</f>
        <v>【キャンペーン限定】 帽子屋を追え！</v>
      </c>
      <c r="F177" s="5" t="str">
        <f ca="1">VLOOKUP($D177,OFFSET([1]stages!$A$1,0,0,COUNTA([1]stages!$A:$A),MATCH(F$1,[1]stages!$2:$2,0)-MATCH($D$1,[1]stages!$2:$2,0)+1),MATCH(F$1,[1]stages!$2:$2,0)-MATCH($D$1,[1]stages!$2:$2,0)+1,FALSE)</f>
        <v>火の帽子屋 【超級】</v>
      </c>
      <c r="G177" s="32">
        <v>2</v>
      </c>
      <c r="H177" s="20" t="str">
        <f t="shared" si="111"/>
        <v>11105_1-2</v>
      </c>
      <c r="I177" s="31">
        <v>21</v>
      </c>
      <c r="J177" s="26" t="str">
        <f ca="1">VLOOKUP($I177,OFFSET([2]enemies!$A$1,0,0,COUNTA([2]enemies!$A:$A),MATCH(J$1,[2]enemies!$2:$2,0)-MATCH($I$1,[2]enemies!$2:$2,0)+1),MATCH(J$1,[2]enemies!$2:$2,0)-MATCH($I$1,[2]enemies!$2:$2,0)+1,FALSE)</f>
        <v>ヴェロキー</v>
      </c>
      <c r="K177" s="29" t="str">
        <f ca="1">VLOOKUP($I177,OFFSET([2]enemies!$A$1,0,0,COUNTA([2]enemies!$A:$A),MATCH(K$1,[2]enemies!$2:$2,0)-MATCH($I$1,[2]enemies!$2:$2,0)+1),MATCH(K$1,[2]enemies!$2:$2,0)-MATCH($I$1,[2]enemies!$2:$2,0)+1,FALSE)</f>
        <v>red</v>
      </c>
      <c r="L177" s="29" t="str">
        <f ca="1">VLOOKUP($I177,OFFSET([3]characters!$A$1,0,0,COUNTA([3]characters!$A:$A),MATCH(L$1,[3]characters!$2:$2,0)-MATCH($I$1,[3]characters!$2:$2,0)+1),MATCH(L$1,[3]characters!$2:$2,0)-MATCH($I$1,[3]characters!$2:$2,0)+1,FALSE)</f>
        <v>Drop1N</v>
      </c>
      <c r="M177" s="28" t="str">
        <f ca="1">VLOOKUP($I177,OFFSET([3]characters!$A$1,0,0,COUNTA([3]characters!$A:$A),MATCH(M$1,[3]characters!$2:$2,0)-MATCH($I$1,[3]characters!$2:$2,0)+2),MATCH(M$1,[3]characters!$2:$2,0)-MATCH($I$1,[3]characters!$2:$2,0)+2,FALSE)</f>
        <v>ドラゴン</v>
      </c>
      <c r="N177" s="5">
        <f ca="1">VLOOKUP($I177,OFFSET([2]enemies!$A$1,0,0,COUNTA([2]enemies!$A:$A),MATCH(N$1,[2]enemies!$2:$2,0)-MATCH($I$1,[2]enemies!$2:$2,0)+1),MATCH(N$1,[2]enemies!$2:$2,0)-MATCH($I$1,[2]enemies!$2:$2,0)+1,FALSE)</f>
        <v>15</v>
      </c>
      <c r="O177" s="6">
        <v>42</v>
      </c>
      <c r="P177" s="46">
        <v>1</v>
      </c>
      <c r="Q177" s="46">
        <v>1</v>
      </c>
      <c r="R177" s="6">
        <v>0</v>
      </c>
      <c r="S177" s="5" t="str">
        <f ca="1">VLOOKUP($T177,OFFSET([4]enemy_skill_sets!$B$1,0,0,COUNTA([4]enemy_skill_sets!$B:$B),MATCH(J$1,[4]enemy_skill_sets!$1:$1,0)-MATCH($T$1,[4]enemy_skill_sets!$1:$1,0)+2),MATCH(J$1,[4]enemy_skill_sets!$1:$1,0)-MATCH($T$1,[4]enemy_skill_sets!$1:$1,0)+2,FALSE)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7" s="5">
        <f ca="1">VLOOKUP($I177,OFFSET([2]enemies!$A$1,0,0,COUNTA([2]enemies!$A:$A),MATCH(T$1,[2]enemies!$2:$2,0)-MATCH($I$1,[2]enemies!$2:$2,0)+1),MATCH(T$1,[2]enemies!$2:$2,0)-MATCH($I$1,[2]enemies!$2:$2,0)+1,FALSE)</f>
        <v>0</v>
      </c>
      <c r="U177" s="7">
        <v>0</v>
      </c>
      <c r="V177" s="7">
        <v>100</v>
      </c>
      <c r="W177" s="7">
        <v>0</v>
      </c>
      <c r="X177" s="26">
        <f ca="1">VLOOKUP($I177,OFFSET([2]enemies!$A$1,0,0,COUNTA([2]enemies!$A:$A),MATCH(X$1,[2]enemies!$2:$2,0)-MATCH($I$1,[2]enemies!$2:$2,0)+1),MATCH(X$1,[2]enemies!$2:$2,0)-MATCH($I$1,[2]enemies!$2:$2,0)+1,FALSE)</f>
        <v>2</v>
      </c>
      <c r="Y177" s="31">
        <v>21</v>
      </c>
      <c r="Z177" s="5" t="str">
        <f ca="1">IFERROR(VLOOKUP($Y177,OFFSET([3]characters!$A$1,0,0,COUNTA([3]characters!$A:$A),MATCH(Z$1,[3]characters!$2:$2,0)-MATCH("character_id",[3]characters!$2:$2,0)+1),MATCH(Z$1,[3]characters!$2:$2,0)-MATCH("character_id",[3]characters!$2:$2,0)+1,FALSE),"")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177" s="5">
        <f ca="1">IFERROR(VLOOKUP($Y177,OFFSET([3]characters!$A$1,0,0,COUNTA([3]characters!$A:$A),MATCH(AA$1,[3]characters!$2:$2,0)-MATCH("character_id",[3]characters!$2:$2,0)+1),MATCH(AA$1,[3]characters!$2:$2,0)-MATCH("character_id",[3]characters!$2:$2,0)+1,FALSE),"")</f>
        <v>1</v>
      </c>
      <c r="AB177" s="5" t="str">
        <f ca="1">IFERROR(VLOOKUP($Y177,OFFSET([3]characters!$A$1,0,0,COUNTA([3]characters!$A:$A),MATCH(AB$1,[3]characters!$2:$2,0)-MATCH("character_id",[3]characters!$2:$2,0)+1),MATCH(AB$1,[3]characters!$2:$2,0)-MATCH("character_id",[3]characters!$2:$2,0)+1,FALSE),"")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77" s="8">
        <v>1</v>
      </c>
      <c r="AD177" s="34">
        <f t="shared" ca="1" si="112"/>
        <v>1</v>
      </c>
      <c r="AE177" s="9">
        <v>0</v>
      </c>
      <c r="AF177" s="8">
        <v>0</v>
      </c>
      <c r="AG177" s="8">
        <v>0</v>
      </c>
      <c r="AH177" s="8">
        <v>0</v>
      </c>
      <c r="AI177" s="8">
        <v>0</v>
      </c>
      <c r="AJ177" s="8">
        <v>1</v>
      </c>
    </row>
    <row r="178" spans="1:36" ht="21" customHeight="1">
      <c r="A178" s="21" t="str">
        <f t="shared" ca="1" si="109"/>
        <v>11105_1-2/332&lt;lv1&gt;s1</v>
      </c>
      <c r="B178" s="8">
        <v>11105</v>
      </c>
      <c r="C178" s="53">
        <v>1</v>
      </c>
      <c r="D178" s="2" t="str">
        <f t="shared" si="110"/>
        <v>11105_1</v>
      </c>
      <c r="E178" s="5" t="str">
        <f ca="1">VLOOKUP($B178,OFFSET([1]quests!$A$1,0,0,COUNTA([1]quests!$A:$A),MATCH(E$1,[1]quests!$1:$1,0)-MATCH($B$1,[1]quests!$1:$1,0)+1),MATCH(E$1,[1]quests!$1:$1,0)-MATCH($B$1,[1]quests!$1:$1,0)+1,FALSE)</f>
        <v>【キャンペーン限定】 帽子屋を追え！</v>
      </c>
      <c r="F178" s="5" t="str">
        <f ca="1">VLOOKUP($D178,OFFSET([1]stages!$A$1,0,0,COUNTA([1]stages!$A:$A),MATCH(F$1,[1]stages!$2:$2,0)-MATCH($D$1,[1]stages!$2:$2,0)+1),MATCH(F$1,[1]stages!$2:$2,0)-MATCH($D$1,[1]stages!$2:$2,0)+1,FALSE)</f>
        <v>火の帽子屋 【超級】</v>
      </c>
      <c r="G178" s="32">
        <v>2</v>
      </c>
      <c r="H178" s="20" t="str">
        <f t="shared" si="111"/>
        <v>11105_1-2</v>
      </c>
      <c r="I178" s="31">
        <v>332</v>
      </c>
      <c r="J178" s="26" t="str">
        <f ca="1">VLOOKUP($I178,OFFSET([2]enemies!$A$1,0,0,COUNTA([2]enemies!$A:$A),MATCH(J$1,[2]enemies!$2:$2,0)-MATCH($I$1,[2]enemies!$2:$2,0)+1),MATCH(J$1,[2]enemies!$2:$2,0)-MATCH($I$1,[2]enemies!$2:$2,0)+1,FALSE)</f>
        <v>炎のメタルピヨピヨ</v>
      </c>
      <c r="K178" s="29" t="str">
        <f ca="1">VLOOKUP($I178,OFFSET([2]enemies!$A$1,0,0,COUNTA([2]enemies!$A:$A),MATCH(K$1,[2]enemies!$2:$2,0)-MATCH($I$1,[2]enemies!$2:$2,0)+1),MATCH(K$1,[2]enemies!$2:$2,0)-MATCH($I$1,[2]enemies!$2:$2,0)+1,FALSE)</f>
        <v>red</v>
      </c>
      <c r="L178" s="29" t="str">
        <f ca="1">VLOOKUP($I178,OFFSET([3]characters!$A$1,0,0,COUNTA([3]characters!$A:$A),MATCH(L$1,[3]characters!$2:$2,0)-MATCH($I$1,[3]characters!$2:$2,0)+1),MATCH(L$1,[3]characters!$2:$2,0)-MATCH($I$1,[3]characters!$2:$2,0)+1,FALSE)</f>
        <v>Material</v>
      </c>
      <c r="M178" s="28" t="str">
        <f ca="1">VLOOKUP($I178,OFFSET([3]characters!$A$1,0,0,COUNTA([3]characters!$A:$A),MATCH(M$1,[3]characters!$2:$2,0)-MATCH($I$1,[3]characters!$2:$2,0)+2),MATCH(M$1,[3]characters!$2:$2,0)-MATCH($I$1,[3]characters!$2:$2,0)+2,FALSE)</f>
        <v>Unknown</v>
      </c>
      <c r="N178" s="5">
        <f ca="1">VLOOKUP($I178,OFFSET([2]enemies!$A$1,0,0,COUNTA([2]enemies!$A:$A),MATCH(N$1,[2]enemies!$2:$2,0)-MATCH($I$1,[2]enemies!$2:$2,0)+1),MATCH(N$1,[2]enemies!$2:$2,0)-MATCH($I$1,[2]enemies!$2:$2,0)+1,FALSE)</f>
        <v>15</v>
      </c>
      <c r="O178" s="6">
        <v>1</v>
      </c>
      <c r="P178" s="46">
        <v>1</v>
      </c>
      <c r="Q178" s="46">
        <v>1</v>
      </c>
      <c r="R178" s="6">
        <v>0</v>
      </c>
      <c r="S178" s="5" t="str">
        <f ca="1">VLOOKUP($T178,OFFSET([4]enemy_skill_sets!$B$1,0,0,COUNTA([4]enemy_skill_sets!$B:$B),MATCH(J$1,[4]enemy_skill_sets!$1:$1,0)-MATCH($T$1,[4]enemy_skill_sets!$1:$1,0)+2),MATCH(J$1,[4]enemy_skill_sets!$1:$1,0)-MATCH($T$1,[4]enemy_skill_sets!$1:$1,0)+2,FALSE)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8" s="5">
        <f ca="1">VLOOKUP($I178,OFFSET([2]enemies!$A$1,0,0,COUNTA([2]enemies!$A:$A),MATCH(T$1,[2]enemies!$2:$2,0)-MATCH($I$1,[2]enemies!$2:$2,0)+1),MATCH(T$1,[2]enemies!$2:$2,0)-MATCH($I$1,[2]enemies!$2:$2,0)+1,FALSE)</f>
        <v>0</v>
      </c>
      <c r="U178" s="7">
        <v>0</v>
      </c>
      <c r="V178" s="7">
        <v>20</v>
      </c>
      <c r="W178" s="7">
        <v>0</v>
      </c>
      <c r="X178" s="26">
        <f ca="1">VLOOKUP($I178,OFFSET([2]enemies!$A$1,0,0,COUNTA([2]enemies!$A:$A),MATCH(X$1,[2]enemies!$2:$2,0)-MATCH($I$1,[2]enemies!$2:$2,0)+1),MATCH(X$1,[2]enemies!$2:$2,0)-MATCH($I$1,[2]enemies!$2:$2,0)+1,FALSE)</f>
        <v>1</v>
      </c>
      <c r="Y178" s="31">
        <v>332</v>
      </c>
      <c r="Z178" s="5" t="str">
        <f ca="1">IFERROR(VLOOKUP($Y178,OFFSET([3]characters!$A$1,0,0,COUNTA([3]characters!$A:$A),MATCH(Z$1,[3]characters!$2:$2,0)-MATCH("character_id",[3]characters!$2:$2,0)+1),MATCH(Z$1,[3]characters!$2:$2,0)-MATCH("character_id",[3]characters!$2:$2,0)+1,FALSE),"")</f>
        <v>炎のメタルピヨピヨ</v>
      </c>
      <c r="AA178" s="5">
        <f ca="1">IFERROR(VLOOKUP($Y178,OFFSET([3]characters!$A$1,0,0,COUNTA([3]characters!$A:$A),MATCH(AA$1,[3]characters!$2:$2,0)-MATCH("character_id",[3]characters!$2:$2,0)+1),MATCH(AA$1,[3]characters!$2:$2,0)-MATCH("character_id",[3]characters!$2:$2,0)+1,FALSE),"")</f>
        <v>3</v>
      </c>
      <c r="AB178" s="5" t="str">
        <f ca="1">IFERROR(VLOOKUP($Y178,OFFSET([3]characters!$A$1,0,0,COUNTA([3]characters!$A:$A),MATCH(AB$1,[3]characters!$2:$2,0)-MATCH("character_id",[3]characters!$2:$2,0)+1),MATCH(AB$1,[3]characters!$2:$2,0)-MATCH("character_id",[3]characters!$2:$2,0)+1,FALSE),"")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78" s="8">
        <v>1</v>
      </c>
      <c r="AD178" s="34">
        <f t="shared" ca="1" si="112"/>
        <v>3</v>
      </c>
      <c r="AE178" s="9">
        <v>10</v>
      </c>
      <c r="AF178" s="8">
        <v>0</v>
      </c>
      <c r="AG178" s="8">
        <v>0</v>
      </c>
      <c r="AH178" s="8">
        <v>0</v>
      </c>
      <c r="AI178" s="8">
        <v>0</v>
      </c>
      <c r="AJ178" s="8">
        <v>1</v>
      </c>
    </row>
    <row r="179" spans="1:36" ht="21" customHeight="1">
      <c r="A179" s="21" t="str">
        <f t="shared" ca="1" si="109"/>
        <v>11105_1-2/333&lt;lv1&gt;s2</v>
      </c>
      <c r="B179" s="8">
        <v>11105</v>
      </c>
      <c r="C179" s="53">
        <v>1</v>
      </c>
      <c r="D179" s="2" t="str">
        <f t="shared" si="110"/>
        <v>11105_1</v>
      </c>
      <c r="E179" s="5" t="str">
        <f ca="1">VLOOKUP($B179,OFFSET([1]quests!$A$1,0,0,COUNTA([1]quests!$A:$A),MATCH(E$1,[1]quests!$1:$1,0)-MATCH($B$1,[1]quests!$1:$1,0)+1),MATCH(E$1,[1]quests!$1:$1,0)-MATCH($B$1,[1]quests!$1:$1,0)+1,FALSE)</f>
        <v>【キャンペーン限定】 帽子屋を追え！</v>
      </c>
      <c r="F179" s="5" t="str">
        <f ca="1">VLOOKUP($D179,OFFSET([1]stages!$A$1,0,0,COUNTA([1]stages!$A:$A),MATCH(F$1,[1]stages!$2:$2,0)-MATCH($D$1,[1]stages!$2:$2,0)+1),MATCH(F$1,[1]stages!$2:$2,0)-MATCH($D$1,[1]stages!$2:$2,0)+1,FALSE)</f>
        <v>火の帽子屋 【超級】</v>
      </c>
      <c r="G179" s="32">
        <v>2</v>
      </c>
      <c r="H179" s="20" t="str">
        <f t="shared" si="111"/>
        <v>11105_1-2</v>
      </c>
      <c r="I179" s="31">
        <v>333</v>
      </c>
      <c r="J179" s="26" t="str">
        <f ca="1">VLOOKUP($I179,OFFSET([2]enemies!$A$1,0,0,COUNTA([2]enemies!$A:$A),MATCH(J$1,[2]enemies!$2:$2,0)-MATCH($I$1,[2]enemies!$2:$2,0)+1),MATCH(J$1,[2]enemies!$2:$2,0)-MATCH($I$1,[2]enemies!$2:$2,0)+1,FALSE)</f>
        <v>炎のメタルチック</v>
      </c>
      <c r="K179" s="29" t="str">
        <f ca="1">VLOOKUP($I179,OFFSET([2]enemies!$A$1,0,0,COUNTA([2]enemies!$A:$A),MATCH(K$1,[2]enemies!$2:$2,0)-MATCH($I$1,[2]enemies!$2:$2,0)+1),MATCH(K$1,[2]enemies!$2:$2,0)-MATCH($I$1,[2]enemies!$2:$2,0)+1,FALSE)</f>
        <v>red</v>
      </c>
      <c r="L179" s="29" t="str">
        <f ca="1">VLOOKUP($I179,OFFSET([3]characters!$A$1,0,0,COUNTA([3]characters!$A:$A),MATCH(L$1,[3]characters!$2:$2,0)-MATCH($I$1,[3]characters!$2:$2,0)+1),MATCH(L$1,[3]characters!$2:$2,0)-MATCH($I$1,[3]characters!$2:$2,0)+1,FALSE)</f>
        <v>Material</v>
      </c>
      <c r="M179" s="28" t="str">
        <f ca="1">VLOOKUP($I179,OFFSET([3]characters!$A$1,0,0,COUNTA([3]characters!$A:$A),MATCH(M$1,[3]characters!$2:$2,0)-MATCH($I$1,[3]characters!$2:$2,0)+2),MATCH(M$1,[3]characters!$2:$2,0)-MATCH($I$1,[3]characters!$2:$2,0)+2,FALSE)</f>
        <v>Unknown</v>
      </c>
      <c r="N179" s="5">
        <f ca="1">VLOOKUP($I179,OFFSET([2]enemies!$A$1,0,0,COUNTA([2]enemies!$A:$A),MATCH(N$1,[2]enemies!$2:$2,0)-MATCH($I$1,[2]enemies!$2:$2,0)+1),MATCH(N$1,[2]enemies!$2:$2,0)-MATCH($I$1,[2]enemies!$2:$2,0)+1,FALSE)</f>
        <v>15</v>
      </c>
      <c r="O179" s="6">
        <v>1</v>
      </c>
      <c r="P179" s="46">
        <v>1</v>
      </c>
      <c r="Q179" s="46">
        <v>1</v>
      </c>
      <c r="R179" s="6">
        <v>0</v>
      </c>
      <c r="S179" s="5" t="str">
        <f ca="1">VLOOKUP($T179,OFFSET([4]enemy_skill_sets!$B$1,0,0,COUNTA([4]enemy_skill_sets!$B:$B),MATCH(J$1,[4]enemy_skill_sets!$1:$1,0)-MATCH($T$1,[4]enemy_skill_sets!$1:$1,0)+2),MATCH(J$1,[4]enemy_skill_sets!$1:$1,0)-MATCH($T$1,[4]enemy_skill_sets!$1:$1,0)+2,FALSE)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9" s="5">
        <f ca="1">VLOOKUP($I179,OFFSET([2]enemies!$A$1,0,0,COUNTA([2]enemies!$A:$A),MATCH(T$1,[2]enemies!$2:$2,0)-MATCH($I$1,[2]enemies!$2:$2,0)+1),MATCH(T$1,[2]enemies!$2:$2,0)-MATCH($I$1,[2]enemies!$2:$2,0)+1,FALSE)</f>
        <v>0</v>
      </c>
      <c r="U179" s="7">
        <v>0</v>
      </c>
      <c r="V179" s="7">
        <v>10</v>
      </c>
      <c r="W179" s="7">
        <v>0</v>
      </c>
      <c r="X179" s="26">
        <f ca="1">VLOOKUP($I179,OFFSET([2]enemies!$A$1,0,0,COUNTA([2]enemies!$A:$A),MATCH(X$1,[2]enemies!$2:$2,0)-MATCH($I$1,[2]enemies!$2:$2,0)+1),MATCH(X$1,[2]enemies!$2:$2,0)-MATCH($I$1,[2]enemies!$2:$2,0)+1,FALSE)</f>
        <v>2</v>
      </c>
      <c r="Y179" s="31">
        <v>333</v>
      </c>
      <c r="Z179" s="5" t="str">
        <f ca="1">IFERROR(VLOOKUP($Y179,OFFSET([3]characters!$A$1,0,0,COUNTA([3]characters!$A:$A),MATCH(Z$1,[3]characters!$2:$2,0)-MATCH("character_id",[3]characters!$2:$2,0)+1),MATCH(Z$1,[3]characters!$2:$2,0)-MATCH("character_id",[3]characters!$2:$2,0)+1,FALSE),"")</f>
        <v>炎のメタルチック</v>
      </c>
      <c r="AA179" s="5">
        <f ca="1">IFERROR(VLOOKUP($Y179,OFFSET([3]characters!$A$1,0,0,COUNTA([3]characters!$A:$A),MATCH(AA$1,[3]characters!$2:$2,0)-MATCH("character_id",[3]characters!$2:$2,0)+1),MATCH(AA$1,[3]characters!$2:$2,0)-MATCH("character_id",[3]characters!$2:$2,0)+1,FALSE),"")</f>
        <v>4</v>
      </c>
      <c r="AB179" s="5" t="str">
        <f ca="1">IFERROR(VLOOKUP($Y179,OFFSET([3]characters!$A$1,0,0,COUNTA([3]characters!$A:$A),MATCH(AB$1,[3]characters!$2:$2,0)-MATCH("character_id",[3]characters!$2:$2,0)+1),MATCH(AB$1,[3]characters!$2:$2,0)-MATCH("character_id",[3]characters!$2:$2,0)+1,FALSE),"")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79" s="8">
        <v>1</v>
      </c>
      <c r="AD179" s="34">
        <f t="shared" ca="1" si="112"/>
        <v>4</v>
      </c>
      <c r="AE179" s="9">
        <v>5</v>
      </c>
      <c r="AF179" s="8">
        <v>0</v>
      </c>
      <c r="AG179" s="8">
        <v>0</v>
      </c>
      <c r="AH179" s="8">
        <v>0</v>
      </c>
      <c r="AI179" s="8">
        <v>0</v>
      </c>
      <c r="AJ179" s="8">
        <v>1</v>
      </c>
    </row>
    <row r="180" spans="1:36" ht="21" customHeight="1">
      <c r="A180" s="21" t="str">
        <f t="shared" ref="A180:A191" ca="1" si="113">B180&amp;"_"&amp;C180&amp;"-"&amp;G180&amp;"/"&amp;I180&amp;"&lt;lv"&amp;O180&amp;"&gt;s"&amp;X180</f>
        <v>11105_1-3/135&lt;lv50&gt;s3</v>
      </c>
      <c r="B180" s="8">
        <v>11105</v>
      </c>
      <c r="C180" s="53">
        <v>1</v>
      </c>
      <c r="D180" s="2" t="str">
        <f t="shared" ref="D180:D191" si="114">B180&amp;"_"&amp;C180</f>
        <v>11105_1</v>
      </c>
      <c r="E180" s="5" t="str">
        <f ca="1">VLOOKUP($B180,OFFSET([1]quests!$A$1,0,0,COUNTA([1]quests!$A:$A),MATCH(E$1,[1]quests!$1:$1,0)-MATCH($B$1,[1]quests!$1:$1,0)+1),MATCH(E$1,[1]quests!$1:$1,0)-MATCH($B$1,[1]quests!$1:$1,0)+1,FALSE)</f>
        <v>【キャンペーン限定】 帽子屋を追え！</v>
      </c>
      <c r="F180" s="5" t="str">
        <f ca="1">VLOOKUP($D180,OFFSET([1]stages!$A$1,0,0,COUNTA([1]stages!$A:$A),MATCH(F$1,[1]stages!$2:$2,0)-MATCH($D$1,[1]stages!$2:$2,0)+1),MATCH(F$1,[1]stages!$2:$2,0)-MATCH($D$1,[1]stages!$2:$2,0)+1,FALSE)</f>
        <v>火の帽子屋 【超級】</v>
      </c>
      <c r="G180" s="32">
        <v>3</v>
      </c>
      <c r="H180" s="20" t="str">
        <f t="shared" ref="H180:H191" si="115">B180&amp;"_"&amp;C180&amp;"-"&amp;G180</f>
        <v>11105_1-3</v>
      </c>
      <c r="I180" s="31">
        <v>135</v>
      </c>
      <c r="J180" s="26" t="str">
        <f ca="1">VLOOKUP($I180,OFFSET([2]enemies!$A$1,0,0,COUNTA([2]enemies!$A:$A),MATCH(J$1,[2]enemies!$2:$2,0)-MATCH($I$1,[2]enemies!$2:$2,0)+1),MATCH(J$1,[2]enemies!$2:$2,0)-MATCH($I$1,[2]enemies!$2:$2,0)+1,FALSE)</f>
        <v>京の炎華夕霧</v>
      </c>
      <c r="K180" s="29" t="str">
        <f ca="1">VLOOKUP($I180,OFFSET([2]enemies!$A$1,0,0,COUNTA([2]enemies!$A:$A),MATCH(K$1,[2]enemies!$2:$2,0)-MATCH($I$1,[2]enemies!$2:$2,0)+1),MATCH(K$1,[2]enemies!$2:$2,0)-MATCH($I$1,[2]enemies!$2:$2,0)+1,FALSE)</f>
        <v>red</v>
      </c>
      <c r="L180" s="29" t="str">
        <f ca="1">VLOOKUP($I180,OFFSET([3]characters!$A$1,0,0,COUNTA([3]characters!$A:$A),MATCH(L$1,[3]characters!$2:$2,0)-MATCH($I$1,[3]characters!$2:$2,0)+1),MATCH(L$1,[3]characters!$2:$2,0)-MATCH($I$1,[3]characters!$2:$2,0)+1,FALSE)</f>
        <v>PremiumW</v>
      </c>
      <c r="M180" s="28" t="str">
        <f ca="1">VLOOKUP($I180,OFFSET([3]characters!$A$1,0,0,COUNTA([3]characters!$A:$A),MATCH(M$1,[3]characters!$2:$2,0)-MATCH($I$1,[3]characters!$2:$2,0)+2),MATCH(M$1,[3]characters!$2:$2,0)-MATCH($I$1,[3]characters!$2:$2,0)+2,FALSE)</f>
        <v>ヒューマン</v>
      </c>
      <c r="N180" s="5">
        <f ca="1">VLOOKUP($I180,OFFSET([2]enemies!$A$1,0,0,COUNTA([2]enemies!$A:$A),MATCH(N$1,[2]enemies!$2:$2,0)-MATCH($I$1,[2]enemies!$2:$2,0)+1),MATCH(N$1,[2]enemies!$2:$2,0)-MATCH($I$1,[2]enemies!$2:$2,0)+1,FALSE)</f>
        <v>30</v>
      </c>
      <c r="O180" s="6">
        <v>50</v>
      </c>
      <c r="P180" s="46">
        <v>1</v>
      </c>
      <c r="Q180" s="46">
        <v>1</v>
      </c>
      <c r="R180" s="6">
        <v>0</v>
      </c>
      <c r="S180" s="5" t="str">
        <f ca="1">VLOOKUP($T180,OFFSET([4]enemy_skill_sets!$B$1,0,0,COUNTA([4]enemy_skill_sets!$B:$B),MATCH(J$1,[4]enemy_skill_sets!$1:$1,0)-MATCH($T$1,[4]enemy_skill_sets!$1:$1,0)+2),MATCH(J$1,[4]enemy_skill_sets!$1:$1,0)-MATCH($T$1,[4]enemy_skill_sets!$1:$1,0)+2,FALSE)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180" s="5">
        <f ca="1">VLOOKUP($I180,OFFSET([2]enemies!$A$1,0,0,COUNTA([2]enemies!$A:$A),MATCH(T$1,[2]enemies!$2:$2,0)-MATCH($I$1,[2]enemies!$2:$2,0)+1),MATCH(T$1,[2]enemies!$2:$2,0)-MATCH($I$1,[2]enemies!$2:$2,0)+1,FALSE)</f>
        <v>134</v>
      </c>
      <c r="U180" s="7">
        <v>0</v>
      </c>
      <c r="V180" s="7">
        <v>80</v>
      </c>
      <c r="W180" s="7">
        <v>1</v>
      </c>
      <c r="X180" s="26">
        <f ca="1">VLOOKUP($I180,OFFSET([2]enemies!$A$1,0,0,COUNTA([2]enemies!$A:$A),MATCH(X$1,[2]enemies!$2:$2,0)-MATCH($I$1,[2]enemies!$2:$2,0)+1),MATCH(X$1,[2]enemies!$2:$2,0)-MATCH($I$1,[2]enemies!$2:$2,0)+1,FALSE)</f>
        <v>3</v>
      </c>
      <c r="Y180" s="31">
        <v>134</v>
      </c>
      <c r="Z180" s="5" t="str">
        <f ca="1">IFERROR(VLOOKUP($Y180,OFFSET([3]characters!$A$1,0,0,COUNTA([3]characters!$A:$A),MATCH(Z$1,[3]characters!$2:$2,0)-MATCH("character_id",[3]characters!$2:$2,0)+1),MATCH(Z$1,[3]characters!$2:$2,0)-MATCH("character_id",[3]characters!$2:$2,0)+1,FALSE),"")</f>
        <v>妖炎の夕霧</v>
      </c>
      <c r="AA180" s="5">
        <f ca="1">IFERROR(VLOOKUP($Y180,OFFSET([3]characters!$A$1,0,0,COUNTA([3]characters!$A:$A),MATCH(AA$1,[3]characters!$2:$2,0)-MATCH("character_id",[3]characters!$2:$2,0)+1),MATCH(AA$1,[3]characters!$2:$2,0)-MATCH("character_id",[3]characters!$2:$2,0)+1,FALSE),"")</f>
        <v>3</v>
      </c>
      <c r="AB180" s="5" t="str">
        <f ca="1">IFERROR(VLOOKUP($Y180,OFFSET([3]characters!$A$1,0,0,COUNTA([3]characters!$A:$A),MATCH(AB$1,[3]characters!$2:$2,0)-MATCH("character_id",[3]characters!$2:$2,0)+1),MATCH(AB$1,[3]characters!$2:$2,0)-MATCH("character_id",[3]characters!$2:$2,0)+1,FALSE),"")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180" s="8">
        <v>1</v>
      </c>
      <c r="AD180" s="34">
        <f t="shared" ref="AD180:AD191" ca="1" si="116">AA180</f>
        <v>3</v>
      </c>
      <c r="AE180" s="9">
        <v>0</v>
      </c>
      <c r="AF180" s="8">
        <v>0</v>
      </c>
      <c r="AG180" s="8">
        <v>0</v>
      </c>
      <c r="AH180" s="8">
        <v>0</v>
      </c>
      <c r="AI180" s="8">
        <v>0</v>
      </c>
      <c r="AJ180" s="8">
        <v>1</v>
      </c>
    </row>
    <row r="181" spans="1:36" ht="21" customHeight="1">
      <c r="A181" s="21" t="str">
        <f t="shared" ca="1" si="113"/>
        <v>11105_1-3/334&lt;lv1&gt;s3</v>
      </c>
      <c r="B181" s="8">
        <v>11105</v>
      </c>
      <c r="C181" s="53">
        <v>1</v>
      </c>
      <c r="D181" s="2" t="str">
        <f t="shared" si="114"/>
        <v>11105_1</v>
      </c>
      <c r="E181" s="5" t="str">
        <f ca="1">VLOOKUP($B181,OFFSET([1]quests!$A$1,0,0,COUNTA([1]quests!$A:$A),MATCH(E$1,[1]quests!$1:$1,0)-MATCH($B$1,[1]quests!$1:$1,0)+1),MATCH(E$1,[1]quests!$1:$1,0)-MATCH($B$1,[1]quests!$1:$1,0)+1,FALSE)</f>
        <v>【キャンペーン限定】 帽子屋を追え！</v>
      </c>
      <c r="F181" s="5" t="str">
        <f ca="1">VLOOKUP($D181,OFFSET([1]stages!$A$1,0,0,COUNTA([1]stages!$A:$A),MATCH(F$1,[1]stages!$2:$2,0)-MATCH($D$1,[1]stages!$2:$2,0)+1),MATCH(F$1,[1]stages!$2:$2,0)-MATCH($D$1,[1]stages!$2:$2,0)+1,FALSE)</f>
        <v>火の帽子屋 【超級】</v>
      </c>
      <c r="G181" s="32">
        <v>3</v>
      </c>
      <c r="H181" s="20" t="str">
        <f t="shared" si="115"/>
        <v>11105_1-3</v>
      </c>
      <c r="I181" s="31">
        <v>334</v>
      </c>
      <c r="J181" s="26" t="str">
        <f ca="1">VLOOKUP($I181,OFFSET([2]enemies!$A$1,0,0,COUNTA([2]enemies!$A:$A),MATCH(J$1,[2]enemies!$2:$2,0)-MATCH($I$1,[2]enemies!$2:$2,0)+1),MATCH(J$1,[2]enemies!$2:$2,0)-MATCH($I$1,[2]enemies!$2:$2,0)+1,FALSE)</f>
        <v>炎のメタルダック</v>
      </c>
      <c r="K181" s="29" t="str">
        <f ca="1">VLOOKUP($I181,OFFSET([2]enemies!$A$1,0,0,COUNTA([2]enemies!$A:$A),MATCH(K$1,[2]enemies!$2:$2,0)-MATCH($I$1,[2]enemies!$2:$2,0)+1),MATCH(K$1,[2]enemies!$2:$2,0)-MATCH($I$1,[2]enemies!$2:$2,0)+1,FALSE)</f>
        <v>red</v>
      </c>
      <c r="L181" s="29" t="str">
        <f ca="1">VLOOKUP($I181,OFFSET([3]characters!$A$1,0,0,COUNTA([3]characters!$A:$A),MATCH(L$1,[3]characters!$2:$2,0)-MATCH($I$1,[3]characters!$2:$2,0)+1),MATCH(L$1,[3]characters!$2:$2,0)-MATCH($I$1,[3]characters!$2:$2,0)+1,FALSE)</f>
        <v>Material</v>
      </c>
      <c r="M181" s="28" t="str">
        <f ca="1">VLOOKUP($I181,OFFSET([3]characters!$A$1,0,0,COUNTA([3]characters!$A:$A),MATCH(M$1,[3]characters!$2:$2,0)-MATCH($I$1,[3]characters!$2:$2,0)+2),MATCH(M$1,[3]characters!$2:$2,0)-MATCH($I$1,[3]characters!$2:$2,0)+2,FALSE)</f>
        <v>Unknown</v>
      </c>
      <c r="N181" s="5">
        <f ca="1">VLOOKUP($I181,OFFSET([2]enemies!$A$1,0,0,COUNTA([2]enemies!$A:$A),MATCH(N$1,[2]enemies!$2:$2,0)-MATCH($I$1,[2]enemies!$2:$2,0)+1),MATCH(N$1,[2]enemies!$2:$2,0)-MATCH($I$1,[2]enemies!$2:$2,0)+1,FALSE)</f>
        <v>20</v>
      </c>
      <c r="O181" s="6">
        <v>1</v>
      </c>
      <c r="P181" s="46">
        <v>1</v>
      </c>
      <c r="Q181" s="46">
        <v>1</v>
      </c>
      <c r="R181" s="6">
        <v>0</v>
      </c>
      <c r="S181" s="5" t="str">
        <f ca="1">VLOOKUP($T181,OFFSET([4]enemy_skill_sets!$B$1,0,0,COUNTA([4]enemy_skill_sets!$B:$B),MATCH(J$1,[4]enemy_skill_sets!$1:$1,0)-MATCH($T$1,[4]enemy_skill_sets!$1:$1,0)+2),MATCH(J$1,[4]enemy_skill_sets!$1:$1,0)-MATCH($T$1,[4]enemy_skill_sets!$1:$1,0)+2,FALSE)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1" s="5">
        <f ca="1">VLOOKUP($I181,OFFSET([2]enemies!$A$1,0,0,COUNTA([2]enemies!$A:$A),MATCH(T$1,[2]enemies!$2:$2,0)-MATCH($I$1,[2]enemies!$2:$2,0)+1),MATCH(T$1,[2]enemies!$2:$2,0)-MATCH($I$1,[2]enemies!$2:$2,0)+1,FALSE)</f>
        <v>0</v>
      </c>
      <c r="U181" s="7">
        <v>0</v>
      </c>
      <c r="V181" s="7">
        <v>20</v>
      </c>
      <c r="W181" s="7">
        <v>1</v>
      </c>
      <c r="X181" s="26">
        <f ca="1">VLOOKUP($I181,OFFSET([2]enemies!$A$1,0,0,COUNTA([2]enemies!$A:$A),MATCH(X$1,[2]enemies!$2:$2,0)-MATCH($I$1,[2]enemies!$2:$2,0)+1),MATCH(X$1,[2]enemies!$2:$2,0)-MATCH($I$1,[2]enemies!$2:$2,0)+1,FALSE)</f>
        <v>3</v>
      </c>
      <c r="Y181" s="31">
        <v>334</v>
      </c>
      <c r="Z181" s="5" t="str">
        <f ca="1">IFERROR(VLOOKUP($Y181,OFFSET([3]characters!$A$1,0,0,COUNTA([3]characters!$A:$A),MATCH(Z$1,[3]characters!$2:$2,0)-MATCH("character_id",[3]characters!$2:$2,0)+1),MATCH(Z$1,[3]characters!$2:$2,0)-MATCH("character_id",[3]characters!$2:$2,0)+1,FALSE),"")</f>
        <v>炎のメタルダック</v>
      </c>
      <c r="AA181" s="5">
        <f ca="1">IFERROR(VLOOKUP($Y181,OFFSET([3]characters!$A$1,0,0,COUNTA([3]characters!$A:$A),MATCH(AA$1,[3]characters!$2:$2,0)-MATCH("character_id",[3]characters!$2:$2,0)+1),MATCH(AA$1,[3]characters!$2:$2,0)-MATCH("character_id",[3]characters!$2:$2,0)+1,FALSE),"")</f>
        <v>5</v>
      </c>
      <c r="AB181" s="5" t="str">
        <f ca="1">IFERROR(VLOOKUP($Y181,OFFSET([3]characters!$A$1,0,0,COUNTA([3]characters!$A:$A),MATCH(AB$1,[3]characters!$2:$2,0)-MATCH("character_id",[3]characters!$2:$2,0)+1),MATCH(AB$1,[3]characters!$2:$2,0)-MATCH("character_id",[3]characters!$2:$2,0)+1,FALSE),"")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81" s="8">
        <v>1</v>
      </c>
      <c r="AD181" s="34">
        <f t="shared" ca="1" si="116"/>
        <v>5</v>
      </c>
      <c r="AE181" s="9">
        <v>5</v>
      </c>
      <c r="AF181" s="8">
        <v>0</v>
      </c>
      <c r="AG181" s="8">
        <v>0</v>
      </c>
      <c r="AH181" s="8">
        <v>0</v>
      </c>
      <c r="AI181" s="8">
        <v>0</v>
      </c>
      <c r="AJ181" s="8">
        <v>1</v>
      </c>
    </row>
    <row r="182" spans="1:36" ht="21" customHeight="1">
      <c r="A182" s="21" t="str">
        <f t="shared" ref="A182" ca="1" si="117">B182&amp;"_"&amp;C182&amp;"-"&amp;G182&amp;"/"&amp;I182&amp;"&lt;lv"&amp;O182&amp;"&gt;s"&amp;X182</f>
        <v>11105_1-3/332&lt;lv1&gt;s1</v>
      </c>
      <c r="B182" s="8">
        <v>11105</v>
      </c>
      <c r="C182" s="53">
        <v>1</v>
      </c>
      <c r="D182" s="2" t="str">
        <f t="shared" ref="D182" si="118">B182&amp;"_"&amp;C182</f>
        <v>11105_1</v>
      </c>
      <c r="E182" s="5" t="str">
        <f ca="1">VLOOKUP($B182,OFFSET([1]quests!$A$1,0,0,COUNTA([1]quests!$A:$A),MATCH(E$1,[1]quests!$1:$1,0)-MATCH($B$1,[1]quests!$1:$1,0)+1),MATCH(E$1,[1]quests!$1:$1,0)-MATCH($B$1,[1]quests!$1:$1,0)+1,FALSE)</f>
        <v>【キャンペーン限定】 帽子屋を追え！</v>
      </c>
      <c r="F182" s="5" t="str">
        <f ca="1">VLOOKUP($D182,OFFSET([1]stages!$A$1,0,0,COUNTA([1]stages!$A:$A),MATCH(F$1,[1]stages!$2:$2,0)-MATCH($D$1,[1]stages!$2:$2,0)+1),MATCH(F$1,[1]stages!$2:$2,0)-MATCH($D$1,[1]stages!$2:$2,0)+1,FALSE)</f>
        <v>火の帽子屋 【超級】</v>
      </c>
      <c r="G182" s="32">
        <v>3</v>
      </c>
      <c r="H182" s="20" t="str">
        <f t="shared" ref="H182" si="119">B182&amp;"_"&amp;C182&amp;"-"&amp;G182</f>
        <v>11105_1-3</v>
      </c>
      <c r="I182" s="31">
        <v>332</v>
      </c>
      <c r="J182" s="26" t="str">
        <f ca="1">VLOOKUP($I182,OFFSET([2]enemies!$A$1,0,0,COUNTA([2]enemies!$A:$A),MATCH(J$1,[2]enemies!$2:$2,0)-MATCH($I$1,[2]enemies!$2:$2,0)+1),MATCH(J$1,[2]enemies!$2:$2,0)-MATCH($I$1,[2]enemies!$2:$2,0)+1,FALSE)</f>
        <v>炎のメタルピヨピヨ</v>
      </c>
      <c r="K182" s="29" t="str">
        <f ca="1">VLOOKUP($I182,OFFSET([2]enemies!$A$1,0,0,COUNTA([2]enemies!$A:$A),MATCH(K$1,[2]enemies!$2:$2,0)-MATCH($I$1,[2]enemies!$2:$2,0)+1),MATCH(K$1,[2]enemies!$2:$2,0)-MATCH($I$1,[2]enemies!$2:$2,0)+1,FALSE)</f>
        <v>red</v>
      </c>
      <c r="L182" s="29" t="str">
        <f ca="1">VLOOKUP($I182,OFFSET([3]characters!$A$1,0,0,COUNTA([3]characters!$A:$A),MATCH(L$1,[3]characters!$2:$2,0)-MATCH($I$1,[3]characters!$2:$2,0)+1),MATCH(L$1,[3]characters!$2:$2,0)-MATCH($I$1,[3]characters!$2:$2,0)+1,FALSE)</f>
        <v>Material</v>
      </c>
      <c r="M182" s="28" t="str">
        <f ca="1">VLOOKUP($I182,OFFSET([3]characters!$A$1,0,0,COUNTA([3]characters!$A:$A),MATCH(M$1,[3]characters!$2:$2,0)-MATCH($I$1,[3]characters!$2:$2,0)+2),MATCH(M$1,[3]characters!$2:$2,0)-MATCH($I$1,[3]characters!$2:$2,0)+2,FALSE)</f>
        <v>Unknown</v>
      </c>
      <c r="N182" s="5">
        <f ca="1">VLOOKUP($I182,OFFSET([2]enemies!$A$1,0,0,COUNTA([2]enemies!$A:$A),MATCH(N$1,[2]enemies!$2:$2,0)-MATCH($I$1,[2]enemies!$2:$2,0)+1),MATCH(N$1,[2]enemies!$2:$2,0)-MATCH($I$1,[2]enemies!$2:$2,0)+1,FALSE)</f>
        <v>15</v>
      </c>
      <c r="O182" s="6">
        <v>1</v>
      </c>
      <c r="P182" s="46">
        <v>1</v>
      </c>
      <c r="Q182" s="46">
        <v>1</v>
      </c>
      <c r="R182" s="6">
        <v>0</v>
      </c>
      <c r="S182" s="5" t="str">
        <f ca="1">VLOOKUP($T182,OFFSET([4]enemy_skill_sets!$B$1,0,0,COUNTA([4]enemy_skill_sets!$B:$B),MATCH(J$1,[4]enemy_skill_sets!$1:$1,0)-MATCH($T$1,[4]enemy_skill_sets!$1:$1,0)+2),MATCH(J$1,[4]enemy_skill_sets!$1:$1,0)-MATCH($T$1,[4]enemy_skill_sets!$1:$1,0)+2,FALSE)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2" s="5">
        <f ca="1">VLOOKUP($I182,OFFSET([2]enemies!$A$1,0,0,COUNTA([2]enemies!$A:$A),MATCH(T$1,[2]enemies!$2:$2,0)-MATCH($I$1,[2]enemies!$2:$2,0)+1),MATCH(T$1,[2]enemies!$2:$2,0)-MATCH($I$1,[2]enemies!$2:$2,0)+1,FALSE)</f>
        <v>0</v>
      </c>
      <c r="U182" s="7">
        <v>1</v>
      </c>
      <c r="V182" s="7">
        <v>100</v>
      </c>
      <c r="W182" s="7">
        <v>0</v>
      </c>
      <c r="X182" s="26">
        <f ca="1">VLOOKUP($I182,OFFSET([2]enemies!$A$1,0,0,COUNTA([2]enemies!$A:$A),MATCH(X$1,[2]enemies!$2:$2,0)-MATCH($I$1,[2]enemies!$2:$2,0)+1),MATCH(X$1,[2]enemies!$2:$2,0)-MATCH($I$1,[2]enemies!$2:$2,0)+1,FALSE)</f>
        <v>1</v>
      </c>
      <c r="Y182" s="31">
        <v>332</v>
      </c>
      <c r="Z182" s="5" t="str">
        <f ca="1">IFERROR(VLOOKUP($Y182,OFFSET([3]characters!$A$1,0,0,COUNTA([3]characters!$A:$A),MATCH(Z$1,[3]characters!$2:$2,0)-MATCH("character_id",[3]characters!$2:$2,0)+1),MATCH(Z$1,[3]characters!$2:$2,0)-MATCH("character_id",[3]characters!$2:$2,0)+1,FALSE),"")</f>
        <v>炎のメタルピヨピヨ</v>
      </c>
      <c r="AA182" s="5">
        <f ca="1">IFERROR(VLOOKUP($Y182,OFFSET([3]characters!$A$1,0,0,COUNTA([3]characters!$A:$A),MATCH(AA$1,[3]characters!$2:$2,0)-MATCH("character_id",[3]characters!$2:$2,0)+1),MATCH(AA$1,[3]characters!$2:$2,0)-MATCH("character_id",[3]characters!$2:$2,0)+1,FALSE),"")</f>
        <v>3</v>
      </c>
      <c r="AB182" s="5" t="str">
        <f ca="1">IFERROR(VLOOKUP($Y182,OFFSET([3]characters!$A$1,0,0,COUNTA([3]characters!$A:$A),MATCH(AB$1,[3]characters!$2:$2,0)-MATCH("character_id",[3]characters!$2:$2,0)+1),MATCH(AB$1,[3]characters!$2:$2,0)-MATCH("character_id",[3]characters!$2:$2,0)+1,FALSE),"")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82" s="8">
        <v>1</v>
      </c>
      <c r="AD182" s="34">
        <f t="shared" ref="AD182" ca="1" si="120">AA182</f>
        <v>3</v>
      </c>
      <c r="AE182" s="9">
        <v>20</v>
      </c>
      <c r="AF182" s="8">
        <v>0</v>
      </c>
      <c r="AG182" s="8">
        <v>0</v>
      </c>
      <c r="AH182" s="8">
        <v>0</v>
      </c>
      <c r="AI182" s="8">
        <v>0</v>
      </c>
      <c r="AJ182" s="8">
        <v>1</v>
      </c>
    </row>
    <row r="183" spans="1:36" ht="21" customHeight="1">
      <c r="A183" s="21" t="str">
        <f t="shared" ref="A183" ca="1" si="121">B183&amp;"_"&amp;C183&amp;"-"&amp;G183&amp;"/"&amp;I183&amp;"&lt;lv"&amp;O183&amp;"&gt;s"&amp;X183</f>
        <v>11105_1-3/333&lt;lv1&gt;s2</v>
      </c>
      <c r="B183" s="8">
        <v>11105</v>
      </c>
      <c r="C183" s="53">
        <v>1</v>
      </c>
      <c r="D183" s="2" t="str">
        <f t="shared" ref="D183" si="122">B183&amp;"_"&amp;C183</f>
        <v>11105_1</v>
      </c>
      <c r="E183" s="5" t="str">
        <f ca="1">VLOOKUP($B183,OFFSET([1]quests!$A$1,0,0,COUNTA([1]quests!$A:$A),MATCH(E$1,[1]quests!$1:$1,0)-MATCH($B$1,[1]quests!$1:$1,0)+1),MATCH(E$1,[1]quests!$1:$1,0)-MATCH($B$1,[1]quests!$1:$1,0)+1,FALSE)</f>
        <v>【キャンペーン限定】 帽子屋を追え！</v>
      </c>
      <c r="F183" s="5" t="str">
        <f ca="1">VLOOKUP($D183,OFFSET([1]stages!$A$1,0,0,COUNTA([1]stages!$A:$A),MATCH(F$1,[1]stages!$2:$2,0)-MATCH($D$1,[1]stages!$2:$2,0)+1),MATCH(F$1,[1]stages!$2:$2,0)-MATCH($D$1,[1]stages!$2:$2,0)+1,FALSE)</f>
        <v>火の帽子屋 【超級】</v>
      </c>
      <c r="G183" s="32">
        <v>3</v>
      </c>
      <c r="H183" s="20" t="str">
        <f t="shared" ref="H183" si="123">B183&amp;"_"&amp;C183&amp;"-"&amp;G183</f>
        <v>11105_1-3</v>
      </c>
      <c r="I183" s="31">
        <v>333</v>
      </c>
      <c r="J183" s="26" t="str">
        <f ca="1">VLOOKUP($I183,OFFSET([2]enemies!$A$1,0,0,COUNTA([2]enemies!$A:$A),MATCH(J$1,[2]enemies!$2:$2,0)-MATCH($I$1,[2]enemies!$2:$2,0)+1),MATCH(J$1,[2]enemies!$2:$2,0)-MATCH($I$1,[2]enemies!$2:$2,0)+1,FALSE)</f>
        <v>炎のメタルチック</v>
      </c>
      <c r="K183" s="29" t="str">
        <f ca="1">VLOOKUP($I183,OFFSET([2]enemies!$A$1,0,0,COUNTA([2]enemies!$A:$A),MATCH(K$1,[2]enemies!$2:$2,0)-MATCH($I$1,[2]enemies!$2:$2,0)+1),MATCH(K$1,[2]enemies!$2:$2,0)-MATCH($I$1,[2]enemies!$2:$2,0)+1,FALSE)</f>
        <v>red</v>
      </c>
      <c r="L183" s="29" t="str">
        <f ca="1">VLOOKUP($I183,OFFSET([3]characters!$A$1,0,0,COUNTA([3]characters!$A:$A),MATCH(L$1,[3]characters!$2:$2,0)-MATCH($I$1,[3]characters!$2:$2,0)+1),MATCH(L$1,[3]characters!$2:$2,0)-MATCH($I$1,[3]characters!$2:$2,0)+1,FALSE)</f>
        <v>Material</v>
      </c>
      <c r="M183" s="28" t="str">
        <f ca="1">VLOOKUP($I183,OFFSET([3]characters!$A$1,0,0,COUNTA([3]characters!$A:$A),MATCH(M$1,[3]characters!$2:$2,0)-MATCH($I$1,[3]characters!$2:$2,0)+2),MATCH(M$1,[3]characters!$2:$2,0)-MATCH($I$1,[3]characters!$2:$2,0)+2,FALSE)</f>
        <v>Unknown</v>
      </c>
      <c r="N183" s="5">
        <f ca="1">VLOOKUP($I183,OFFSET([2]enemies!$A$1,0,0,COUNTA([2]enemies!$A:$A),MATCH(N$1,[2]enemies!$2:$2,0)-MATCH($I$1,[2]enemies!$2:$2,0)+1),MATCH(N$1,[2]enemies!$2:$2,0)-MATCH($I$1,[2]enemies!$2:$2,0)+1,FALSE)</f>
        <v>15</v>
      </c>
      <c r="O183" s="6">
        <v>1</v>
      </c>
      <c r="P183" s="46">
        <v>1</v>
      </c>
      <c r="Q183" s="46">
        <v>1</v>
      </c>
      <c r="R183" s="6">
        <v>0</v>
      </c>
      <c r="S183" s="5" t="str">
        <f ca="1">VLOOKUP($T183,OFFSET([4]enemy_skill_sets!$B$1,0,0,COUNTA([4]enemy_skill_sets!$B:$B),MATCH(J$1,[4]enemy_skill_sets!$1:$1,0)-MATCH($T$1,[4]enemy_skill_sets!$1:$1,0)+2),MATCH(J$1,[4]enemy_skill_sets!$1:$1,0)-MATCH($T$1,[4]enemy_skill_sets!$1:$1,0)+2,FALSE)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3" s="5">
        <f ca="1">VLOOKUP($I183,OFFSET([2]enemies!$A$1,0,0,COUNTA([2]enemies!$A:$A),MATCH(T$1,[2]enemies!$2:$2,0)-MATCH($I$1,[2]enemies!$2:$2,0)+1),MATCH(T$1,[2]enemies!$2:$2,0)-MATCH($I$1,[2]enemies!$2:$2,0)+1,FALSE)</f>
        <v>0</v>
      </c>
      <c r="U183" s="7">
        <v>1</v>
      </c>
      <c r="V183" s="7">
        <v>100</v>
      </c>
      <c r="W183" s="7">
        <v>0</v>
      </c>
      <c r="X183" s="26">
        <f ca="1">VLOOKUP($I183,OFFSET([2]enemies!$A$1,0,0,COUNTA([2]enemies!$A:$A),MATCH(X$1,[2]enemies!$2:$2,0)-MATCH($I$1,[2]enemies!$2:$2,0)+1),MATCH(X$1,[2]enemies!$2:$2,0)-MATCH($I$1,[2]enemies!$2:$2,0)+1,FALSE)</f>
        <v>2</v>
      </c>
      <c r="Y183" s="31">
        <v>333</v>
      </c>
      <c r="Z183" s="5" t="str">
        <f ca="1">IFERROR(VLOOKUP($Y183,OFFSET([3]characters!$A$1,0,0,COUNTA([3]characters!$A:$A),MATCH(Z$1,[3]characters!$2:$2,0)-MATCH("character_id",[3]characters!$2:$2,0)+1),MATCH(Z$1,[3]characters!$2:$2,0)-MATCH("character_id",[3]characters!$2:$2,0)+1,FALSE),"")</f>
        <v>炎のメタルチック</v>
      </c>
      <c r="AA183" s="5">
        <f ca="1">IFERROR(VLOOKUP($Y183,OFFSET([3]characters!$A$1,0,0,COUNTA([3]characters!$A:$A),MATCH(AA$1,[3]characters!$2:$2,0)-MATCH("character_id",[3]characters!$2:$2,0)+1),MATCH(AA$1,[3]characters!$2:$2,0)-MATCH("character_id",[3]characters!$2:$2,0)+1,FALSE),"")</f>
        <v>4</v>
      </c>
      <c r="AB183" s="5" t="str">
        <f ca="1">IFERROR(VLOOKUP($Y183,OFFSET([3]characters!$A$1,0,0,COUNTA([3]characters!$A:$A),MATCH(AB$1,[3]characters!$2:$2,0)-MATCH("character_id",[3]characters!$2:$2,0)+1),MATCH(AB$1,[3]characters!$2:$2,0)-MATCH("character_id",[3]characters!$2:$2,0)+1,FALSE),"")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83" s="8">
        <v>1</v>
      </c>
      <c r="AD183" s="34">
        <f t="shared" ref="AD183" ca="1" si="124">AA183</f>
        <v>4</v>
      </c>
      <c r="AE183" s="9">
        <v>10</v>
      </c>
      <c r="AF183" s="8">
        <v>0</v>
      </c>
      <c r="AG183" s="8">
        <v>0</v>
      </c>
      <c r="AH183" s="8">
        <v>0</v>
      </c>
      <c r="AI183" s="8">
        <v>0</v>
      </c>
      <c r="AJ183" s="8">
        <v>1</v>
      </c>
    </row>
    <row r="184" spans="1:36" ht="21" customHeight="1">
      <c r="A184" s="21" t="str">
        <f t="shared" ca="1" si="113"/>
        <v>11105_1-4/33&lt;lv42&gt;s2</v>
      </c>
      <c r="B184" s="8">
        <v>11105</v>
      </c>
      <c r="C184" s="53">
        <v>1</v>
      </c>
      <c r="D184" s="2" t="str">
        <f t="shared" si="114"/>
        <v>11105_1</v>
      </c>
      <c r="E184" s="5" t="str">
        <f ca="1">VLOOKUP($B184,OFFSET([1]quests!$A$1,0,0,COUNTA([1]quests!$A:$A),MATCH(E$1,[1]quests!$1:$1,0)-MATCH($B$1,[1]quests!$1:$1,0)+1),MATCH(E$1,[1]quests!$1:$1,0)-MATCH($B$1,[1]quests!$1:$1,0)+1,FALSE)</f>
        <v>【キャンペーン限定】 帽子屋を追え！</v>
      </c>
      <c r="F184" s="5" t="str">
        <f ca="1">VLOOKUP($D184,OFFSET([1]stages!$A$1,0,0,COUNTA([1]stages!$A:$A),MATCH(F$1,[1]stages!$2:$2,0)-MATCH($D$1,[1]stages!$2:$2,0)+1),MATCH(F$1,[1]stages!$2:$2,0)-MATCH($D$1,[1]stages!$2:$2,0)+1,FALSE)</f>
        <v>火の帽子屋 【超級】</v>
      </c>
      <c r="G184" s="32">
        <v>4</v>
      </c>
      <c r="H184" s="20" t="str">
        <f t="shared" si="115"/>
        <v>11105_1-4</v>
      </c>
      <c r="I184" s="31">
        <v>33</v>
      </c>
      <c r="J184" s="26" t="str">
        <f ca="1">VLOOKUP($I184,OFFSET([2]enemies!$A$1,0,0,COUNTA([2]enemies!$A:$A),MATCH(J$1,[2]enemies!$2:$2,0)-MATCH($I$1,[2]enemies!$2:$2,0)+1),MATCH(J$1,[2]enemies!$2:$2,0)-MATCH($I$1,[2]enemies!$2:$2,0)+1,FALSE)</f>
        <v>ゴクウ</v>
      </c>
      <c r="K184" s="29" t="str">
        <f ca="1">VLOOKUP($I184,OFFSET([2]enemies!$A$1,0,0,COUNTA([2]enemies!$A:$A),MATCH(K$1,[2]enemies!$2:$2,0)-MATCH($I$1,[2]enemies!$2:$2,0)+1),MATCH(K$1,[2]enemies!$2:$2,0)-MATCH($I$1,[2]enemies!$2:$2,0)+1,FALSE)</f>
        <v>red</v>
      </c>
      <c r="L184" s="29" t="str">
        <f ca="1">VLOOKUP($I184,OFFSET([3]characters!$A$1,0,0,COUNTA([3]characters!$A:$A),MATCH(L$1,[3]characters!$2:$2,0)-MATCH($I$1,[3]characters!$2:$2,0)+1),MATCH(L$1,[3]characters!$2:$2,0)-MATCH($I$1,[3]characters!$2:$2,0)+1,FALSE)</f>
        <v>Drop1S</v>
      </c>
      <c r="M184" s="28" t="str">
        <f ca="1">VLOOKUP($I184,OFFSET([3]characters!$A$1,0,0,COUNTA([3]characters!$A:$A),MATCH(M$1,[3]characters!$2:$2,0)-MATCH($I$1,[3]characters!$2:$2,0)+2),MATCH(M$1,[3]characters!$2:$2,0)-MATCH($I$1,[3]characters!$2:$2,0)+2,FALSE)</f>
        <v>アニマル</v>
      </c>
      <c r="N184" s="5">
        <f ca="1">VLOOKUP($I184,OFFSET([2]enemies!$A$1,0,0,COUNTA([2]enemies!$A:$A),MATCH(N$1,[2]enemies!$2:$2,0)-MATCH($I$1,[2]enemies!$2:$2,0)+1),MATCH(N$1,[2]enemies!$2:$2,0)-MATCH($I$1,[2]enemies!$2:$2,0)+1,FALSE)</f>
        <v>15</v>
      </c>
      <c r="O184" s="6">
        <v>42</v>
      </c>
      <c r="P184" s="46">
        <v>1</v>
      </c>
      <c r="Q184" s="46">
        <v>1</v>
      </c>
      <c r="R184" s="6">
        <v>0</v>
      </c>
      <c r="S184" s="5" t="str">
        <f ca="1">VLOOKUP($T184,OFFSET([4]enemy_skill_sets!$B$1,0,0,COUNTA([4]enemy_skill_sets!$B:$B),MATCH(J$1,[4]enemy_skill_sets!$1:$1,0)-MATCH($T$1,[4]enemy_skill_sets!$1:$1,0)+2),MATCH(J$1,[4]enemy_skill_sets!$1:$1,0)-MATCH($T$1,[4]enemy_skill_sets!$1:$1,0)+2,FALSE)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184" s="5">
        <f ca="1">VLOOKUP($I184,OFFSET([2]enemies!$A$1,0,0,COUNTA([2]enemies!$A:$A),MATCH(T$1,[2]enemies!$2:$2,0)-MATCH($I$1,[2]enemies!$2:$2,0)+1),MATCH(T$1,[2]enemies!$2:$2,0)-MATCH($I$1,[2]enemies!$2:$2,0)+1,FALSE)</f>
        <v>33</v>
      </c>
      <c r="U184" s="7">
        <v>0</v>
      </c>
      <c r="V184" s="7">
        <v>100</v>
      </c>
      <c r="W184" s="7">
        <v>0</v>
      </c>
      <c r="X184" s="26">
        <f ca="1">VLOOKUP($I184,OFFSET([2]enemies!$A$1,0,0,COUNTA([2]enemies!$A:$A),MATCH(X$1,[2]enemies!$2:$2,0)-MATCH($I$1,[2]enemies!$2:$2,0)+1),MATCH(X$1,[2]enemies!$2:$2,0)-MATCH($I$1,[2]enemies!$2:$2,0)+1,FALSE)</f>
        <v>2</v>
      </c>
      <c r="Y184" s="31">
        <v>33</v>
      </c>
      <c r="Z184" s="5" t="str">
        <f ca="1">IFERROR(VLOOKUP($Y184,OFFSET([3]characters!$A$1,0,0,COUNTA([3]characters!$A:$A),MATCH(Z$1,[3]characters!$2:$2,0)-MATCH("character_id",[3]characters!$2:$2,0)+1),MATCH(Z$1,[3]characters!$2:$2,0)-MATCH("character_id",[3]characters!$2:$2,0)+1,FALSE),"")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184" s="5">
        <f ca="1">IFERROR(VLOOKUP($Y184,OFFSET([3]characters!$A$1,0,0,COUNTA([3]characters!$A:$A),MATCH(AA$1,[3]characters!$2:$2,0)-MATCH("character_id",[3]characters!$2:$2,0)+1),MATCH(AA$1,[3]characters!$2:$2,0)-MATCH("character_id",[3]characters!$2:$2,0)+1,FALSE),"")</f>
        <v>2</v>
      </c>
      <c r="AB184" s="5" t="str">
        <f ca="1">IFERROR(VLOOKUP($Y184,OFFSET([3]characters!$A$1,0,0,COUNTA([3]characters!$A:$A),MATCH(AB$1,[3]characters!$2:$2,0)-MATCH("character_id",[3]characters!$2:$2,0)+1),MATCH(AB$1,[3]characters!$2:$2,0)-MATCH("character_id",[3]characters!$2:$2,0)+1,FALSE),"")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84" s="8">
        <v>1</v>
      </c>
      <c r="AD184" s="34">
        <f t="shared" ca="1" si="116"/>
        <v>2</v>
      </c>
      <c r="AE184" s="9">
        <v>0</v>
      </c>
      <c r="AF184" s="8">
        <v>0</v>
      </c>
      <c r="AG184" s="8">
        <v>0</v>
      </c>
      <c r="AH184" s="8">
        <v>0</v>
      </c>
      <c r="AI184" s="8">
        <v>0</v>
      </c>
      <c r="AJ184" s="8">
        <v>1</v>
      </c>
    </row>
    <row r="185" spans="1:36" ht="21" customHeight="1">
      <c r="A185" s="21" t="str">
        <f t="shared" ca="1" si="113"/>
        <v>11105_1-4/21&lt;lv42&gt;s2</v>
      </c>
      <c r="B185" s="8">
        <v>11105</v>
      </c>
      <c r="C185" s="53">
        <v>1</v>
      </c>
      <c r="D185" s="2" t="str">
        <f t="shared" si="114"/>
        <v>11105_1</v>
      </c>
      <c r="E185" s="5" t="str">
        <f ca="1">VLOOKUP($B185,OFFSET([1]quests!$A$1,0,0,COUNTA([1]quests!$A:$A),MATCH(E$1,[1]quests!$1:$1,0)-MATCH($B$1,[1]quests!$1:$1,0)+1),MATCH(E$1,[1]quests!$1:$1,0)-MATCH($B$1,[1]quests!$1:$1,0)+1,FALSE)</f>
        <v>【キャンペーン限定】 帽子屋を追え！</v>
      </c>
      <c r="F185" s="5" t="str">
        <f ca="1">VLOOKUP($D185,OFFSET([1]stages!$A$1,0,0,COUNTA([1]stages!$A:$A),MATCH(F$1,[1]stages!$2:$2,0)-MATCH($D$1,[1]stages!$2:$2,0)+1),MATCH(F$1,[1]stages!$2:$2,0)-MATCH($D$1,[1]stages!$2:$2,0)+1,FALSE)</f>
        <v>火の帽子屋 【超級】</v>
      </c>
      <c r="G185" s="32">
        <v>4</v>
      </c>
      <c r="H185" s="20" t="str">
        <f t="shared" si="115"/>
        <v>11105_1-4</v>
      </c>
      <c r="I185" s="31">
        <v>21</v>
      </c>
      <c r="J185" s="26" t="str">
        <f ca="1">VLOOKUP($I185,OFFSET([2]enemies!$A$1,0,0,COUNTA([2]enemies!$A:$A),MATCH(J$1,[2]enemies!$2:$2,0)-MATCH($I$1,[2]enemies!$2:$2,0)+1),MATCH(J$1,[2]enemies!$2:$2,0)-MATCH($I$1,[2]enemies!$2:$2,0)+1,FALSE)</f>
        <v>ヴェロキー</v>
      </c>
      <c r="K185" s="29" t="str">
        <f ca="1">VLOOKUP($I185,OFFSET([2]enemies!$A$1,0,0,COUNTA([2]enemies!$A:$A),MATCH(K$1,[2]enemies!$2:$2,0)-MATCH($I$1,[2]enemies!$2:$2,0)+1),MATCH(K$1,[2]enemies!$2:$2,0)-MATCH($I$1,[2]enemies!$2:$2,0)+1,FALSE)</f>
        <v>red</v>
      </c>
      <c r="L185" s="29" t="str">
        <f ca="1">VLOOKUP($I185,OFFSET([3]characters!$A$1,0,0,COUNTA([3]characters!$A:$A),MATCH(L$1,[3]characters!$2:$2,0)-MATCH($I$1,[3]characters!$2:$2,0)+1),MATCH(L$1,[3]characters!$2:$2,0)-MATCH($I$1,[3]characters!$2:$2,0)+1,FALSE)</f>
        <v>Drop1N</v>
      </c>
      <c r="M185" s="28" t="str">
        <f ca="1">VLOOKUP($I185,OFFSET([3]characters!$A$1,0,0,COUNTA([3]characters!$A:$A),MATCH(M$1,[3]characters!$2:$2,0)-MATCH($I$1,[3]characters!$2:$2,0)+2),MATCH(M$1,[3]characters!$2:$2,0)-MATCH($I$1,[3]characters!$2:$2,0)+2,FALSE)</f>
        <v>ドラゴン</v>
      </c>
      <c r="N185" s="5">
        <f ca="1">VLOOKUP($I185,OFFSET([2]enemies!$A$1,0,0,COUNTA([2]enemies!$A:$A),MATCH(N$1,[2]enemies!$2:$2,0)-MATCH($I$1,[2]enemies!$2:$2,0)+1),MATCH(N$1,[2]enemies!$2:$2,0)-MATCH($I$1,[2]enemies!$2:$2,0)+1,FALSE)</f>
        <v>15</v>
      </c>
      <c r="O185" s="6">
        <v>42</v>
      </c>
      <c r="P185" s="46">
        <v>1</v>
      </c>
      <c r="Q185" s="46">
        <v>1</v>
      </c>
      <c r="R185" s="6">
        <v>0</v>
      </c>
      <c r="S185" s="5" t="str">
        <f ca="1">VLOOKUP($T185,OFFSET([4]enemy_skill_sets!$B$1,0,0,COUNTA([4]enemy_skill_sets!$B:$B),MATCH(J$1,[4]enemy_skill_sets!$1:$1,0)-MATCH($T$1,[4]enemy_skill_sets!$1:$1,0)+2),MATCH(J$1,[4]enemy_skill_sets!$1:$1,0)-MATCH($T$1,[4]enemy_skill_sets!$1:$1,0)+2,FALSE)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5" s="5">
        <f ca="1">VLOOKUP($I185,OFFSET([2]enemies!$A$1,0,0,COUNTA([2]enemies!$A:$A),MATCH(T$1,[2]enemies!$2:$2,0)-MATCH($I$1,[2]enemies!$2:$2,0)+1),MATCH(T$1,[2]enemies!$2:$2,0)-MATCH($I$1,[2]enemies!$2:$2,0)+1,FALSE)</f>
        <v>0</v>
      </c>
      <c r="U185" s="7">
        <v>0</v>
      </c>
      <c r="V185" s="7">
        <v>100</v>
      </c>
      <c r="W185" s="7">
        <v>0</v>
      </c>
      <c r="X185" s="26">
        <f ca="1">VLOOKUP($I185,OFFSET([2]enemies!$A$1,0,0,COUNTA([2]enemies!$A:$A),MATCH(X$1,[2]enemies!$2:$2,0)-MATCH($I$1,[2]enemies!$2:$2,0)+1),MATCH(X$1,[2]enemies!$2:$2,0)-MATCH($I$1,[2]enemies!$2:$2,0)+1,FALSE)</f>
        <v>2</v>
      </c>
      <c r="Y185" s="31">
        <v>21</v>
      </c>
      <c r="Z185" s="5" t="str">
        <f ca="1">IFERROR(VLOOKUP($Y185,OFFSET([3]characters!$A$1,0,0,COUNTA([3]characters!$A:$A),MATCH(Z$1,[3]characters!$2:$2,0)-MATCH("character_id",[3]characters!$2:$2,0)+1),MATCH(Z$1,[3]characters!$2:$2,0)-MATCH("character_id",[3]characters!$2:$2,0)+1,FALSE),"")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185" s="5">
        <f ca="1">IFERROR(VLOOKUP($Y185,OFFSET([3]characters!$A$1,0,0,COUNTA([3]characters!$A:$A),MATCH(AA$1,[3]characters!$2:$2,0)-MATCH("character_id",[3]characters!$2:$2,0)+1),MATCH(AA$1,[3]characters!$2:$2,0)-MATCH("character_id",[3]characters!$2:$2,0)+1,FALSE),"")</f>
        <v>1</v>
      </c>
      <c r="AB185" s="5" t="str">
        <f ca="1">IFERROR(VLOOKUP($Y185,OFFSET([3]characters!$A$1,0,0,COUNTA([3]characters!$A:$A),MATCH(AB$1,[3]characters!$2:$2,0)-MATCH("character_id",[3]characters!$2:$2,0)+1),MATCH(AB$1,[3]characters!$2:$2,0)-MATCH("character_id",[3]characters!$2:$2,0)+1,FALSE),"")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85" s="8">
        <v>1</v>
      </c>
      <c r="AD185" s="34">
        <f t="shared" ca="1" si="116"/>
        <v>1</v>
      </c>
      <c r="AE185" s="9">
        <v>0</v>
      </c>
      <c r="AF185" s="8">
        <v>0</v>
      </c>
      <c r="AG185" s="8">
        <v>0</v>
      </c>
      <c r="AH185" s="8">
        <v>0</v>
      </c>
      <c r="AI185" s="8">
        <v>0</v>
      </c>
      <c r="AJ185" s="8">
        <v>1</v>
      </c>
    </row>
    <row r="186" spans="1:36" ht="21" customHeight="1">
      <c r="A186" s="21" t="str">
        <f t="shared" ref="A186:A187" ca="1" si="125">B186&amp;"_"&amp;C186&amp;"-"&amp;G186&amp;"/"&amp;I186&amp;"&lt;lv"&amp;O186&amp;"&gt;s"&amp;X186</f>
        <v>11105_1-5/33&lt;lv42&gt;s2</v>
      </c>
      <c r="B186" s="8">
        <v>11105</v>
      </c>
      <c r="C186" s="53">
        <v>1</v>
      </c>
      <c r="D186" s="2" t="str">
        <f t="shared" ref="D186:D187" si="126">B186&amp;"_"&amp;C186</f>
        <v>11105_1</v>
      </c>
      <c r="E186" s="5" t="str">
        <f ca="1">VLOOKUP($B186,OFFSET([1]quests!$A$1,0,0,COUNTA([1]quests!$A:$A),MATCH(E$1,[1]quests!$1:$1,0)-MATCH($B$1,[1]quests!$1:$1,0)+1),MATCH(E$1,[1]quests!$1:$1,0)-MATCH($B$1,[1]quests!$1:$1,0)+1,FALSE)</f>
        <v>【キャンペーン限定】 帽子屋を追え！</v>
      </c>
      <c r="F186" s="5" t="str">
        <f ca="1">VLOOKUP($D186,OFFSET([1]stages!$A$1,0,0,COUNTA([1]stages!$A:$A),MATCH(F$1,[1]stages!$2:$2,0)-MATCH($D$1,[1]stages!$2:$2,0)+1),MATCH(F$1,[1]stages!$2:$2,0)-MATCH($D$1,[1]stages!$2:$2,0)+1,FALSE)</f>
        <v>火の帽子屋 【超級】</v>
      </c>
      <c r="G186" s="32">
        <v>5</v>
      </c>
      <c r="H186" s="20" t="str">
        <f t="shared" ref="H186:H187" si="127">B186&amp;"_"&amp;C186&amp;"-"&amp;G186</f>
        <v>11105_1-5</v>
      </c>
      <c r="I186" s="31">
        <v>33</v>
      </c>
      <c r="J186" s="26" t="str">
        <f ca="1">VLOOKUP($I186,OFFSET([2]enemies!$A$1,0,0,COUNTA([2]enemies!$A:$A),MATCH(J$1,[2]enemies!$2:$2,0)-MATCH($I$1,[2]enemies!$2:$2,0)+1),MATCH(J$1,[2]enemies!$2:$2,0)-MATCH($I$1,[2]enemies!$2:$2,0)+1,FALSE)</f>
        <v>ゴクウ</v>
      </c>
      <c r="K186" s="29" t="str">
        <f ca="1">VLOOKUP($I186,OFFSET([2]enemies!$A$1,0,0,COUNTA([2]enemies!$A:$A),MATCH(K$1,[2]enemies!$2:$2,0)-MATCH($I$1,[2]enemies!$2:$2,0)+1),MATCH(K$1,[2]enemies!$2:$2,0)-MATCH($I$1,[2]enemies!$2:$2,0)+1,FALSE)</f>
        <v>red</v>
      </c>
      <c r="L186" s="29" t="str">
        <f ca="1">VLOOKUP($I186,OFFSET([3]characters!$A$1,0,0,COUNTA([3]characters!$A:$A),MATCH(L$1,[3]characters!$2:$2,0)-MATCH($I$1,[3]characters!$2:$2,0)+1),MATCH(L$1,[3]characters!$2:$2,0)-MATCH($I$1,[3]characters!$2:$2,0)+1,FALSE)</f>
        <v>Drop1S</v>
      </c>
      <c r="M186" s="28" t="str">
        <f ca="1">VLOOKUP($I186,OFFSET([3]characters!$A$1,0,0,COUNTA([3]characters!$A:$A),MATCH(M$1,[3]characters!$2:$2,0)-MATCH($I$1,[3]characters!$2:$2,0)+2),MATCH(M$1,[3]characters!$2:$2,0)-MATCH($I$1,[3]characters!$2:$2,0)+2,FALSE)</f>
        <v>アニマル</v>
      </c>
      <c r="N186" s="5">
        <f ca="1">VLOOKUP($I186,OFFSET([2]enemies!$A$1,0,0,COUNTA([2]enemies!$A:$A),MATCH(N$1,[2]enemies!$2:$2,0)-MATCH($I$1,[2]enemies!$2:$2,0)+1),MATCH(N$1,[2]enemies!$2:$2,0)-MATCH($I$1,[2]enemies!$2:$2,0)+1,FALSE)</f>
        <v>15</v>
      </c>
      <c r="O186" s="6">
        <v>42</v>
      </c>
      <c r="P186" s="46">
        <v>1</v>
      </c>
      <c r="Q186" s="46">
        <v>1</v>
      </c>
      <c r="R186" s="6">
        <v>0</v>
      </c>
      <c r="S186" s="5" t="str">
        <f ca="1">VLOOKUP($T186,OFFSET([4]enemy_skill_sets!$B$1,0,0,COUNTA([4]enemy_skill_sets!$B:$B),MATCH(J$1,[4]enemy_skill_sets!$1:$1,0)-MATCH($T$1,[4]enemy_skill_sets!$1:$1,0)+2),MATCH(J$1,[4]enemy_skill_sets!$1:$1,0)-MATCH($T$1,[4]enemy_skill_sets!$1:$1,0)+2,FALSE)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186" s="5">
        <f ca="1">VLOOKUP($I186,OFFSET([2]enemies!$A$1,0,0,COUNTA([2]enemies!$A:$A),MATCH(T$1,[2]enemies!$2:$2,0)-MATCH($I$1,[2]enemies!$2:$2,0)+1),MATCH(T$1,[2]enemies!$2:$2,0)-MATCH($I$1,[2]enemies!$2:$2,0)+1,FALSE)</f>
        <v>33</v>
      </c>
      <c r="U186" s="7">
        <v>0</v>
      </c>
      <c r="V186" s="7">
        <v>100</v>
      </c>
      <c r="W186" s="7">
        <v>0</v>
      </c>
      <c r="X186" s="26">
        <f ca="1">VLOOKUP($I186,OFFSET([2]enemies!$A$1,0,0,COUNTA([2]enemies!$A:$A),MATCH(X$1,[2]enemies!$2:$2,0)-MATCH($I$1,[2]enemies!$2:$2,0)+1),MATCH(X$1,[2]enemies!$2:$2,0)-MATCH($I$1,[2]enemies!$2:$2,0)+1,FALSE)</f>
        <v>2</v>
      </c>
      <c r="Y186" s="31">
        <v>33</v>
      </c>
      <c r="Z186" s="5" t="str">
        <f ca="1">IFERROR(VLOOKUP($Y186,OFFSET([3]characters!$A$1,0,0,COUNTA([3]characters!$A:$A),MATCH(Z$1,[3]characters!$2:$2,0)-MATCH("character_id",[3]characters!$2:$2,0)+1),MATCH(Z$1,[3]characters!$2:$2,0)-MATCH("character_id",[3]characters!$2:$2,0)+1,FALSE),"")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186" s="5">
        <f ca="1">IFERROR(VLOOKUP($Y186,OFFSET([3]characters!$A$1,0,0,COUNTA([3]characters!$A:$A),MATCH(AA$1,[3]characters!$2:$2,0)-MATCH("character_id",[3]characters!$2:$2,0)+1),MATCH(AA$1,[3]characters!$2:$2,0)-MATCH("character_id",[3]characters!$2:$2,0)+1,FALSE),"")</f>
        <v>2</v>
      </c>
      <c r="AB186" s="5" t="str">
        <f ca="1">IFERROR(VLOOKUP($Y186,OFFSET([3]characters!$A$1,0,0,COUNTA([3]characters!$A:$A),MATCH(AB$1,[3]characters!$2:$2,0)-MATCH("character_id",[3]characters!$2:$2,0)+1),MATCH(AB$1,[3]characters!$2:$2,0)-MATCH("character_id",[3]characters!$2:$2,0)+1,FALSE),"")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86" s="8">
        <v>1</v>
      </c>
      <c r="AD186" s="34">
        <f t="shared" ref="AD186:AD187" ca="1" si="128">AA186</f>
        <v>2</v>
      </c>
      <c r="AE186" s="9">
        <v>0</v>
      </c>
      <c r="AF186" s="8">
        <v>0</v>
      </c>
      <c r="AG186" s="8">
        <v>0</v>
      </c>
      <c r="AH186" s="8">
        <v>0</v>
      </c>
      <c r="AI186" s="8">
        <v>0</v>
      </c>
      <c r="AJ186" s="8">
        <v>1</v>
      </c>
    </row>
    <row r="187" spans="1:36" ht="21" customHeight="1">
      <c r="A187" s="21" t="str">
        <f t="shared" ca="1" si="125"/>
        <v>11105_1-5/21&lt;lv42&gt;s2</v>
      </c>
      <c r="B187" s="8">
        <v>11105</v>
      </c>
      <c r="C187" s="53">
        <v>1</v>
      </c>
      <c r="D187" s="2" t="str">
        <f t="shared" si="126"/>
        <v>11105_1</v>
      </c>
      <c r="E187" s="5" t="str">
        <f ca="1">VLOOKUP($B187,OFFSET([1]quests!$A$1,0,0,COUNTA([1]quests!$A:$A),MATCH(E$1,[1]quests!$1:$1,0)-MATCH($B$1,[1]quests!$1:$1,0)+1),MATCH(E$1,[1]quests!$1:$1,0)-MATCH($B$1,[1]quests!$1:$1,0)+1,FALSE)</f>
        <v>【キャンペーン限定】 帽子屋を追え！</v>
      </c>
      <c r="F187" s="5" t="str">
        <f ca="1">VLOOKUP($D187,OFFSET([1]stages!$A$1,0,0,COUNTA([1]stages!$A:$A),MATCH(F$1,[1]stages!$2:$2,0)-MATCH($D$1,[1]stages!$2:$2,0)+1),MATCH(F$1,[1]stages!$2:$2,0)-MATCH($D$1,[1]stages!$2:$2,0)+1,FALSE)</f>
        <v>火の帽子屋 【超級】</v>
      </c>
      <c r="G187" s="32">
        <v>5</v>
      </c>
      <c r="H187" s="20" t="str">
        <f t="shared" si="127"/>
        <v>11105_1-5</v>
      </c>
      <c r="I187" s="31">
        <v>21</v>
      </c>
      <c r="J187" s="26" t="str">
        <f ca="1">VLOOKUP($I187,OFFSET([2]enemies!$A$1,0,0,COUNTA([2]enemies!$A:$A),MATCH(J$1,[2]enemies!$2:$2,0)-MATCH($I$1,[2]enemies!$2:$2,0)+1),MATCH(J$1,[2]enemies!$2:$2,0)-MATCH($I$1,[2]enemies!$2:$2,0)+1,FALSE)</f>
        <v>ヴェロキー</v>
      </c>
      <c r="K187" s="29" t="str">
        <f ca="1">VLOOKUP($I187,OFFSET([2]enemies!$A$1,0,0,COUNTA([2]enemies!$A:$A),MATCH(K$1,[2]enemies!$2:$2,0)-MATCH($I$1,[2]enemies!$2:$2,0)+1),MATCH(K$1,[2]enemies!$2:$2,0)-MATCH($I$1,[2]enemies!$2:$2,0)+1,FALSE)</f>
        <v>red</v>
      </c>
      <c r="L187" s="29" t="str">
        <f ca="1">VLOOKUP($I187,OFFSET([3]characters!$A$1,0,0,COUNTA([3]characters!$A:$A),MATCH(L$1,[3]characters!$2:$2,0)-MATCH($I$1,[3]characters!$2:$2,0)+1),MATCH(L$1,[3]characters!$2:$2,0)-MATCH($I$1,[3]characters!$2:$2,0)+1,FALSE)</f>
        <v>Drop1N</v>
      </c>
      <c r="M187" s="28" t="str">
        <f ca="1">VLOOKUP($I187,OFFSET([3]characters!$A$1,0,0,COUNTA([3]characters!$A:$A),MATCH(M$1,[3]characters!$2:$2,0)-MATCH($I$1,[3]characters!$2:$2,0)+2),MATCH(M$1,[3]characters!$2:$2,0)-MATCH($I$1,[3]characters!$2:$2,0)+2,FALSE)</f>
        <v>ドラゴン</v>
      </c>
      <c r="N187" s="5">
        <f ca="1">VLOOKUP($I187,OFFSET([2]enemies!$A$1,0,0,COUNTA([2]enemies!$A:$A),MATCH(N$1,[2]enemies!$2:$2,0)-MATCH($I$1,[2]enemies!$2:$2,0)+1),MATCH(N$1,[2]enemies!$2:$2,0)-MATCH($I$1,[2]enemies!$2:$2,0)+1,FALSE)</f>
        <v>15</v>
      </c>
      <c r="O187" s="6">
        <v>42</v>
      </c>
      <c r="P187" s="46">
        <v>1</v>
      </c>
      <c r="Q187" s="46">
        <v>1</v>
      </c>
      <c r="R187" s="6">
        <v>0</v>
      </c>
      <c r="S187" s="5" t="str">
        <f ca="1">VLOOKUP($T187,OFFSET([4]enemy_skill_sets!$B$1,0,0,COUNTA([4]enemy_skill_sets!$B:$B),MATCH(J$1,[4]enemy_skill_sets!$1:$1,0)-MATCH($T$1,[4]enemy_skill_sets!$1:$1,0)+2),MATCH(J$1,[4]enemy_skill_sets!$1:$1,0)-MATCH($T$1,[4]enemy_skill_sets!$1:$1,0)+2,FALSE)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7" s="5">
        <f ca="1">VLOOKUP($I187,OFFSET([2]enemies!$A$1,0,0,COUNTA([2]enemies!$A:$A),MATCH(T$1,[2]enemies!$2:$2,0)-MATCH($I$1,[2]enemies!$2:$2,0)+1),MATCH(T$1,[2]enemies!$2:$2,0)-MATCH($I$1,[2]enemies!$2:$2,0)+1,FALSE)</f>
        <v>0</v>
      </c>
      <c r="U187" s="7">
        <v>0</v>
      </c>
      <c r="V187" s="7">
        <v>100</v>
      </c>
      <c r="W187" s="7">
        <v>0</v>
      </c>
      <c r="X187" s="26">
        <f ca="1">VLOOKUP($I187,OFFSET([2]enemies!$A$1,0,0,COUNTA([2]enemies!$A:$A),MATCH(X$1,[2]enemies!$2:$2,0)-MATCH($I$1,[2]enemies!$2:$2,0)+1),MATCH(X$1,[2]enemies!$2:$2,0)-MATCH($I$1,[2]enemies!$2:$2,0)+1,FALSE)</f>
        <v>2</v>
      </c>
      <c r="Y187" s="31">
        <v>21</v>
      </c>
      <c r="Z187" s="5" t="str">
        <f ca="1">IFERROR(VLOOKUP($Y187,OFFSET([3]characters!$A$1,0,0,COUNTA([3]characters!$A:$A),MATCH(Z$1,[3]characters!$2:$2,0)-MATCH("character_id",[3]characters!$2:$2,0)+1),MATCH(Z$1,[3]characters!$2:$2,0)-MATCH("character_id",[3]characters!$2:$2,0)+1,FALSE),"")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187" s="5">
        <f ca="1">IFERROR(VLOOKUP($Y187,OFFSET([3]characters!$A$1,0,0,COUNTA([3]characters!$A:$A),MATCH(AA$1,[3]characters!$2:$2,0)-MATCH("character_id",[3]characters!$2:$2,0)+1),MATCH(AA$1,[3]characters!$2:$2,0)-MATCH("character_id",[3]characters!$2:$2,0)+1,FALSE),"")</f>
        <v>1</v>
      </c>
      <c r="AB187" s="5" t="str">
        <f ca="1">IFERROR(VLOOKUP($Y187,OFFSET([3]characters!$A$1,0,0,COUNTA([3]characters!$A:$A),MATCH(AB$1,[3]characters!$2:$2,0)-MATCH("character_id",[3]characters!$2:$2,0)+1),MATCH(AB$1,[3]characters!$2:$2,0)-MATCH("character_id",[3]characters!$2:$2,0)+1,FALSE),"")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87" s="8">
        <v>1</v>
      </c>
      <c r="AD187" s="34">
        <f t="shared" ca="1" si="128"/>
        <v>1</v>
      </c>
      <c r="AE187" s="9">
        <v>0</v>
      </c>
      <c r="AF187" s="8">
        <v>0</v>
      </c>
      <c r="AG187" s="8">
        <v>0</v>
      </c>
      <c r="AH187" s="8">
        <v>0</v>
      </c>
      <c r="AI187" s="8">
        <v>0</v>
      </c>
      <c r="AJ187" s="8">
        <v>1</v>
      </c>
    </row>
    <row r="188" spans="1:36" ht="21" customHeight="1">
      <c r="A188" s="21" t="str">
        <f t="shared" ca="1" si="113"/>
        <v>11105_1-6/104&lt;lv40&gt;s2</v>
      </c>
      <c r="B188" s="8">
        <v>11105</v>
      </c>
      <c r="C188" s="53">
        <v>1</v>
      </c>
      <c r="D188" s="2" t="str">
        <f t="shared" si="114"/>
        <v>11105_1</v>
      </c>
      <c r="E188" s="5" t="str">
        <f ca="1">VLOOKUP($B188,OFFSET([1]quests!$A$1,0,0,COUNTA([1]quests!$A:$A),MATCH(E$1,[1]quests!$1:$1,0)-MATCH($B$1,[1]quests!$1:$1,0)+1),MATCH(E$1,[1]quests!$1:$1,0)-MATCH($B$1,[1]quests!$1:$1,0)+1,FALSE)</f>
        <v>【キャンペーン限定】 帽子屋を追え！</v>
      </c>
      <c r="F188" s="5" t="str">
        <f ca="1">VLOOKUP($D188,OFFSET([1]stages!$A$1,0,0,COUNTA([1]stages!$A:$A),MATCH(F$1,[1]stages!$2:$2,0)-MATCH($D$1,[1]stages!$2:$2,0)+1),MATCH(F$1,[1]stages!$2:$2,0)-MATCH($D$1,[1]stages!$2:$2,0)+1,FALSE)</f>
        <v>火の帽子屋 【超級】</v>
      </c>
      <c r="G188" s="32">
        <v>6</v>
      </c>
      <c r="H188" s="20" t="str">
        <f t="shared" si="115"/>
        <v>11105_1-6</v>
      </c>
      <c r="I188" s="31">
        <v>104</v>
      </c>
      <c r="J188" s="26" t="str">
        <f ca="1">VLOOKUP($I188,OFFSET([2]enemies!$A$1,0,0,COUNTA([2]enemies!$A:$A),MATCH(J$1,[2]enemies!$2:$2,0)-MATCH($I$1,[2]enemies!$2:$2,0)+1),MATCH(J$1,[2]enemies!$2:$2,0)-MATCH($I$1,[2]enemies!$2:$2,0)+1,FALSE)</f>
        <v>炎のマッドハッター</v>
      </c>
      <c r="K188" s="29" t="str">
        <f ca="1">VLOOKUP($I188,OFFSET([2]enemies!$A$1,0,0,COUNTA([2]enemies!$A:$A),MATCH(K$1,[2]enemies!$2:$2,0)-MATCH($I$1,[2]enemies!$2:$2,0)+1),MATCH(K$1,[2]enemies!$2:$2,0)-MATCH($I$1,[2]enemies!$2:$2,0)+1,FALSE)</f>
        <v>red</v>
      </c>
      <c r="L188" s="29" t="str">
        <f ca="1">VLOOKUP($I188,OFFSET([3]characters!$A$1,0,0,COUNTA([3]characters!$A:$A),MATCH(L$1,[3]characters!$2:$2,0)-MATCH($I$1,[3]characters!$2:$2,0)+1),MATCH(L$1,[3]characters!$2:$2,0)-MATCH($I$1,[3]characters!$2:$2,0)+1,FALSE)</f>
        <v>Material</v>
      </c>
      <c r="M188" s="28" t="str">
        <f ca="1">VLOOKUP($I188,OFFSET([3]characters!$A$1,0,0,COUNTA([3]characters!$A:$A),MATCH(M$1,[3]characters!$2:$2,0)-MATCH($I$1,[3]characters!$2:$2,0)+2),MATCH(M$1,[3]characters!$2:$2,0)-MATCH($I$1,[3]characters!$2:$2,0)+2,FALSE)</f>
        <v>Unknown</v>
      </c>
      <c r="N188" s="5">
        <f ca="1">VLOOKUP($I188,OFFSET([2]enemies!$A$1,0,0,COUNTA([2]enemies!$A:$A),MATCH(N$1,[2]enemies!$2:$2,0)-MATCH($I$1,[2]enemies!$2:$2,0)+1),MATCH(N$1,[2]enemies!$2:$2,0)-MATCH($I$1,[2]enemies!$2:$2,0)+1,FALSE)</f>
        <v>20</v>
      </c>
      <c r="O188" s="6">
        <v>40</v>
      </c>
      <c r="P188" s="46">
        <v>1.7</v>
      </c>
      <c r="Q188" s="46">
        <v>1</v>
      </c>
      <c r="R188" s="6">
        <v>0</v>
      </c>
      <c r="S188" s="5" t="str">
        <f ca="1">VLOOKUP($T188,OFFSET([4]enemy_skill_sets!$B$1,0,0,COUNTA([4]enemy_skill_sets!$B:$B),MATCH(J$1,[4]enemy_skill_sets!$1:$1,0)-MATCH($T$1,[4]enemy_skill_sets!$1:$1,0)+2),MATCH(J$1,[4]enemy_skill_sets!$1:$1,0)-MATCH($T$1,[4]enemy_skill_sets!$1:$1,0)+2,FALSE)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8" s="5">
        <f ca="1">VLOOKUP($I188,OFFSET([2]enemies!$A$1,0,0,COUNTA([2]enemies!$A:$A),MATCH(T$1,[2]enemies!$2:$2,0)-MATCH($I$1,[2]enemies!$2:$2,0)+1),MATCH(T$1,[2]enemies!$2:$2,0)-MATCH($I$1,[2]enemies!$2:$2,0)+1,FALSE)</f>
        <v>0</v>
      </c>
      <c r="U188" s="7">
        <v>1</v>
      </c>
      <c r="V188" s="7">
        <v>100</v>
      </c>
      <c r="W188" s="7">
        <v>1</v>
      </c>
      <c r="X188" s="26">
        <f ca="1">VLOOKUP($I188,OFFSET([2]enemies!$A$1,0,0,COUNTA([2]enemies!$A:$A),MATCH(X$1,[2]enemies!$2:$2,0)-MATCH($I$1,[2]enemies!$2:$2,0)+1),MATCH(X$1,[2]enemies!$2:$2,0)-MATCH($I$1,[2]enemies!$2:$2,0)+1,FALSE)</f>
        <v>2</v>
      </c>
      <c r="Y188" s="31">
        <v>104</v>
      </c>
      <c r="Z188" s="5" t="str">
        <f ca="1">IFERROR(VLOOKUP($Y188,OFFSET([3]characters!$A$1,0,0,COUNTA([3]characters!$A:$A),MATCH(Z$1,[3]characters!$2:$2,0)-MATCH("character_id",[3]characters!$2:$2,0)+1),MATCH(Z$1,[3]characters!$2:$2,0)-MATCH("character_id",[3]characters!$2:$2,0)+1,FALSE),"")</f>
        <v>炎のマッドハッター</v>
      </c>
      <c r="AA188" s="5">
        <f ca="1">IFERROR(VLOOKUP($Y188,OFFSET([3]characters!$A$1,0,0,COUNTA([3]characters!$A:$A),MATCH(AA$1,[3]characters!$2:$2,0)-MATCH("character_id",[3]characters!$2:$2,0)+1),MATCH(AA$1,[3]characters!$2:$2,0)-MATCH("character_id",[3]characters!$2:$2,0)+1,FALSE),"")</f>
        <v>5</v>
      </c>
      <c r="AB188" s="5" t="str">
        <f ca="1">IFERROR(VLOOKUP($Y188,OFFSET([3]characters!$A$1,0,0,COUNTA([3]characters!$A:$A),MATCH(AB$1,[3]characters!$2:$2,0)-MATCH("character_id",[3]characters!$2:$2,0)+1),MATCH(AB$1,[3]characters!$2:$2,0)-MATCH("character_id",[3]characters!$2:$2,0)+1,FALSE),"")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88" s="8">
        <v>1</v>
      </c>
      <c r="AD188" s="34">
        <f t="shared" ca="1" si="116"/>
        <v>5</v>
      </c>
      <c r="AE188" s="9">
        <v>100</v>
      </c>
      <c r="AF188" s="8">
        <v>0</v>
      </c>
      <c r="AG188" s="8">
        <v>0</v>
      </c>
      <c r="AH188" s="8">
        <v>0</v>
      </c>
      <c r="AI188" s="8">
        <v>0</v>
      </c>
      <c r="AJ188" s="8">
        <v>1</v>
      </c>
    </row>
    <row r="189" spans="1:36" ht="21" customHeight="1">
      <c r="A189" s="21" t="str">
        <f t="shared" ca="1" si="113"/>
        <v>11105_1-6/22&lt;lv42&gt;s2</v>
      </c>
      <c r="B189" s="8">
        <v>11105</v>
      </c>
      <c r="C189" s="53">
        <v>1</v>
      </c>
      <c r="D189" s="2" t="str">
        <f t="shared" si="114"/>
        <v>11105_1</v>
      </c>
      <c r="E189" s="5" t="str">
        <f ca="1">VLOOKUP($B189,OFFSET([1]quests!$A$1,0,0,COUNTA([1]quests!$A:$A),MATCH(E$1,[1]quests!$1:$1,0)-MATCH($B$1,[1]quests!$1:$1,0)+1),MATCH(E$1,[1]quests!$1:$1,0)-MATCH($B$1,[1]quests!$1:$1,0)+1,FALSE)</f>
        <v>【キャンペーン限定】 帽子屋を追え！</v>
      </c>
      <c r="F189" s="5" t="str">
        <f ca="1">VLOOKUP($D189,OFFSET([1]stages!$A$1,0,0,COUNTA([1]stages!$A:$A),MATCH(F$1,[1]stages!$2:$2,0)-MATCH($D$1,[1]stages!$2:$2,0)+1),MATCH(F$1,[1]stages!$2:$2,0)-MATCH($D$1,[1]stages!$2:$2,0)+1,FALSE)</f>
        <v>火の帽子屋 【超級】</v>
      </c>
      <c r="G189" s="32">
        <v>6</v>
      </c>
      <c r="H189" s="20" t="str">
        <f t="shared" si="115"/>
        <v>11105_1-6</v>
      </c>
      <c r="I189" s="31">
        <v>22</v>
      </c>
      <c r="J189" s="26" t="str">
        <f ca="1">VLOOKUP($I189,OFFSET([2]enemies!$A$1,0,0,COUNTA([2]enemies!$A:$A),MATCH(J$1,[2]enemies!$2:$2,0)-MATCH($I$1,[2]enemies!$2:$2,0)+1),MATCH(J$1,[2]enemies!$2:$2,0)-MATCH($I$1,[2]enemies!$2:$2,0)+1,FALSE)</f>
        <v>突然変異ヴェロキー</v>
      </c>
      <c r="K189" s="29" t="str">
        <f ca="1">VLOOKUP($I189,OFFSET([2]enemies!$A$1,0,0,COUNTA([2]enemies!$A:$A),MATCH(K$1,[2]enemies!$2:$2,0)-MATCH($I$1,[2]enemies!$2:$2,0)+1),MATCH(K$1,[2]enemies!$2:$2,0)-MATCH($I$1,[2]enemies!$2:$2,0)+1,FALSE)</f>
        <v>red</v>
      </c>
      <c r="L189" s="29" t="str">
        <f ca="1">VLOOKUP($I189,OFFSET([3]characters!$A$1,0,0,COUNTA([3]characters!$A:$A),MATCH(L$1,[3]characters!$2:$2,0)-MATCH($I$1,[3]characters!$2:$2,0)+1),MATCH(L$1,[3]characters!$2:$2,0)-MATCH($I$1,[3]characters!$2:$2,0)+1,FALSE)</f>
        <v>Drop1N</v>
      </c>
      <c r="M189" s="28" t="str">
        <f ca="1">VLOOKUP($I189,OFFSET([3]characters!$A$1,0,0,COUNTA([3]characters!$A:$A),MATCH(M$1,[3]characters!$2:$2,0)-MATCH($I$1,[3]characters!$2:$2,0)+2),MATCH(M$1,[3]characters!$2:$2,0)-MATCH($I$1,[3]characters!$2:$2,0)+2,FALSE)</f>
        <v>ドラゴン</v>
      </c>
      <c r="N189" s="5">
        <f ca="1">VLOOKUP($I189,OFFSET([2]enemies!$A$1,0,0,COUNTA([2]enemies!$A:$A),MATCH(N$1,[2]enemies!$2:$2,0)-MATCH($I$1,[2]enemies!$2:$2,0)+1),MATCH(N$1,[2]enemies!$2:$2,0)-MATCH($I$1,[2]enemies!$2:$2,0)+1,FALSE)</f>
        <v>15</v>
      </c>
      <c r="O189" s="6">
        <v>42</v>
      </c>
      <c r="P189" s="46">
        <v>1</v>
      </c>
      <c r="Q189" s="46">
        <v>1</v>
      </c>
      <c r="R189" s="6">
        <v>0</v>
      </c>
      <c r="S189" s="5" t="str">
        <f ca="1">VLOOKUP($T189,OFFSET([4]enemy_skill_sets!$B$1,0,0,COUNTA([4]enemy_skill_sets!$B:$B),MATCH(J$1,[4]enemy_skill_sets!$1:$1,0)-MATCH($T$1,[4]enemy_skill_sets!$1:$1,0)+2),MATCH(J$1,[4]enemy_skill_sets!$1:$1,0)-MATCH($T$1,[4]enemy_skill_sets!$1:$1,0)+2,FALSE)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9" s="5">
        <f ca="1">VLOOKUP($I189,OFFSET([2]enemies!$A$1,0,0,COUNTA([2]enemies!$A:$A),MATCH(T$1,[2]enemies!$2:$2,0)-MATCH($I$1,[2]enemies!$2:$2,0)+1),MATCH(T$1,[2]enemies!$2:$2,0)-MATCH($I$1,[2]enemies!$2:$2,0)+1,FALSE)</f>
        <v>0</v>
      </c>
      <c r="U189" s="7">
        <v>2</v>
      </c>
      <c r="V189" s="7">
        <v>100</v>
      </c>
      <c r="W189" s="7">
        <v>0</v>
      </c>
      <c r="X189" s="26">
        <f ca="1">VLOOKUP($I189,OFFSET([2]enemies!$A$1,0,0,COUNTA([2]enemies!$A:$A),MATCH(X$1,[2]enemies!$2:$2,0)-MATCH($I$1,[2]enemies!$2:$2,0)+1),MATCH(X$1,[2]enemies!$2:$2,0)-MATCH($I$1,[2]enemies!$2:$2,0)+1,FALSE)</f>
        <v>2</v>
      </c>
      <c r="Y189" s="31">
        <v>21</v>
      </c>
      <c r="Z189" s="5" t="str">
        <f ca="1">IFERROR(VLOOKUP($Y189,OFFSET([3]characters!$A$1,0,0,COUNTA([3]characters!$A:$A),MATCH(Z$1,[3]characters!$2:$2,0)-MATCH("character_id",[3]characters!$2:$2,0)+1),MATCH(Z$1,[3]characters!$2:$2,0)-MATCH("character_id",[3]characters!$2:$2,0)+1,FALSE),"")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189" s="5">
        <f ca="1">IFERROR(VLOOKUP($Y189,OFFSET([3]characters!$A$1,0,0,COUNTA([3]characters!$A:$A),MATCH(AA$1,[3]characters!$2:$2,0)-MATCH("character_id",[3]characters!$2:$2,0)+1),MATCH(AA$1,[3]characters!$2:$2,0)-MATCH("character_id",[3]characters!$2:$2,0)+1,FALSE),"")</f>
        <v>1</v>
      </c>
      <c r="AB189" s="5" t="str">
        <f ca="1">IFERROR(VLOOKUP($Y189,OFFSET([3]characters!$A$1,0,0,COUNTA([3]characters!$A:$A),MATCH(AB$1,[3]characters!$2:$2,0)-MATCH("character_id",[3]characters!$2:$2,0)+1),MATCH(AB$1,[3]characters!$2:$2,0)-MATCH("character_id",[3]characters!$2:$2,0)+1,FALSE),"")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89" s="8">
        <v>1</v>
      </c>
      <c r="AD189" s="34">
        <f t="shared" ca="1" si="116"/>
        <v>1</v>
      </c>
      <c r="AE189" s="9">
        <v>0</v>
      </c>
      <c r="AF189" s="8">
        <v>0</v>
      </c>
      <c r="AG189" s="8">
        <v>0</v>
      </c>
      <c r="AH189" s="8">
        <v>0</v>
      </c>
      <c r="AI189" s="8">
        <v>0</v>
      </c>
      <c r="AJ189" s="8">
        <v>1</v>
      </c>
    </row>
    <row r="190" spans="1:36" ht="21" customHeight="1">
      <c r="A190" s="21" t="str">
        <f t="shared" ca="1" si="113"/>
        <v>11105_2-1/35&lt;lv40&gt;s4</v>
      </c>
      <c r="B190" s="8">
        <v>11105</v>
      </c>
      <c r="C190" s="52">
        <v>2</v>
      </c>
      <c r="D190" s="2" t="str">
        <f t="shared" si="114"/>
        <v>11105_2</v>
      </c>
      <c r="E190" s="5" t="str">
        <f ca="1">VLOOKUP($B190,OFFSET([1]quests!$A$1,0,0,COUNTA([1]quests!$A:$A),MATCH(E$1,[1]quests!$1:$1,0)-MATCH($B$1,[1]quests!$1:$1,0)+1),MATCH(E$1,[1]quests!$1:$1,0)-MATCH($B$1,[1]quests!$1:$1,0)+1,FALSE)</f>
        <v>【キャンペーン限定】 帽子屋を追え！</v>
      </c>
      <c r="F190" s="5" t="str">
        <f ca="1">VLOOKUP($D190,OFFSET([1]stages!$A$1,0,0,COUNTA([1]stages!$A:$A),MATCH(F$1,[1]stages!$2:$2,0)-MATCH($D$1,[1]stages!$2:$2,0)+1),MATCH(F$1,[1]stages!$2:$2,0)-MATCH($D$1,[1]stages!$2:$2,0)+1,FALSE)</f>
        <v>樹の帽子屋 【超級】</v>
      </c>
      <c r="G190" s="32">
        <v>1</v>
      </c>
      <c r="H190" s="20" t="str">
        <f t="shared" si="115"/>
        <v>11105_2-1</v>
      </c>
      <c r="I190" s="31">
        <v>35</v>
      </c>
      <c r="J190" s="26" t="str">
        <f ca="1">VLOOKUP($I190,OFFSET([2]enemies!$A$1,0,0,COUNTA([2]enemies!$A:$A),MATCH(J$1,[2]enemies!$2:$2,0)-MATCH($I$1,[2]enemies!$2:$2,0)+1),MATCH(J$1,[2]enemies!$2:$2,0)-MATCH($I$1,[2]enemies!$2:$2,0)+1,FALSE)</f>
        <v>F2</v>
      </c>
      <c r="K190" s="29" t="str">
        <f ca="1">VLOOKUP($I190,OFFSET([2]enemies!$A$1,0,0,COUNTA([2]enemies!$A:$A),MATCH(K$1,[2]enemies!$2:$2,0)-MATCH($I$1,[2]enemies!$2:$2,0)+1),MATCH(K$1,[2]enemies!$2:$2,0)-MATCH($I$1,[2]enemies!$2:$2,0)+1,FALSE)</f>
        <v>green</v>
      </c>
      <c r="L190" s="29" t="str">
        <f ca="1">VLOOKUP($I190,OFFSET([3]characters!$A$1,0,0,COUNTA([3]characters!$A:$A),MATCH(L$1,[3]characters!$2:$2,0)-MATCH($I$1,[3]characters!$2:$2,0)+1),MATCH(L$1,[3]characters!$2:$2,0)-MATCH($I$1,[3]characters!$2:$2,0)+1,FALSE)</f>
        <v>Drop1S</v>
      </c>
      <c r="M190" s="28" t="str">
        <f ca="1">VLOOKUP($I190,OFFSET([3]characters!$A$1,0,0,COUNTA([3]characters!$A:$A),MATCH(M$1,[3]characters!$2:$2,0)-MATCH($I$1,[3]characters!$2:$2,0)+2),MATCH(M$1,[3]characters!$2:$2,0)-MATCH($I$1,[3]characters!$2:$2,0)+2,FALSE)</f>
        <v>マシン</v>
      </c>
      <c r="N190" s="5">
        <f ca="1">VLOOKUP($I190,OFFSET([2]enemies!$A$1,0,0,COUNTA([2]enemies!$A:$A),MATCH(N$1,[2]enemies!$2:$2,0)-MATCH($I$1,[2]enemies!$2:$2,0)+1),MATCH(N$1,[2]enemies!$2:$2,0)-MATCH($I$1,[2]enemies!$2:$2,0)+1,FALSE)</f>
        <v>15</v>
      </c>
      <c r="O190" s="6">
        <v>40</v>
      </c>
      <c r="P190" s="46">
        <v>1.3</v>
      </c>
      <c r="Q190" s="46">
        <v>0.8</v>
      </c>
      <c r="R190" s="6">
        <v>0</v>
      </c>
      <c r="S190" s="5" t="str">
        <f ca="1">VLOOKUP($T190,OFFSET([4]enemy_skill_sets!$B$1,0,0,COUNTA([4]enemy_skill_sets!$B:$B),MATCH(J$1,[4]enemy_skill_sets!$1:$1,0)-MATCH($T$1,[4]enemy_skill_sets!$1:$1,0)+2),MATCH(J$1,[4]enemy_skill_sets!$1:$1,0)-MATCH($T$1,[4]enemy_skill_sets!$1:$1,0)+2,FALSE)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190" s="5">
        <f ca="1">VLOOKUP($I190,OFFSET([2]enemies!$A$1,0,0,COUNTA([2]enemies!$A:$A),MATCH(T$1,[2]enemies!$2:$2,0)-MATCH($I$1,[2]enemies!$2:$2,0)+1),MATCH(T$1,[2]enemies!$2:$2,0)-MATCH($I$1,[2]enemies!$2:$2,0)+1,FALSE)</f>
        <v>35</v>
      </c>
      <c r="U190" s="7">
        <v>0</v>
      </c>
      <c r="V190" s="7">
        <v>100</v>
      </c>
      <c r="W190" s="7">
        <v>0</v>
      </c>
      <c r="X190" s="26">
        <f ca="1">VLOOKUP($I190,OFFSET([2]enemies!$A$1,0,0,COUNTA([2]enemies!$A:$A),MATCH(X$1,[2]enemies!$2:$2,0)-MATCH($I$1,[2]enemies!$2:$2,0)+1),MATCH(X$1,[2]enemies!$2:$2,0)-MATCH($I$1,[2]enemies!$2:$2,0)+1,FALSE)</f>
        <v>4</v>
      </c>
      <c r="Y190" s="31">
        <v>35</v>
      </c>
      <c r="Z190" s="5" t="str">
        <f ca="1">IFERROR(VLOOKUP($Y190,OFFSET([3]characters!$A$1,0,0,COUNTA([3]characters!$A:$A),MATCH(Z$1,[3]characters!$2:$2,0)-MATCH("character_id",[3]characters!$2:$2,0)+1),MATCH(Z$1,[3]characters!$2:$2,0)-MATCH("character_id",[3]characters!$2:$2,0)+1,FALSE),"")</f>
        <v>F2</v>
      </c>
      <c r="AA190" s="5">
        <f ca="1">IFERROR(VLOOKUP($Y190,OFFSET([3]characters!$A$1,0,0,COUNTA([3]characters!$A:$A),MATCH(AA$1,[3]characters!$2:$2,0)-MATCH("character_id",[3]characters!$2:$2,0)+1),MATCH(AA$1,[3]characters!$2:$2,0)-MATCH("character_id",[3]characters!$2:$2,0)+1,FALSE),"")</f>
        <v>2</v>
      </c>
      <c r="AB190" s="5" t="str">
        <f ca="1">IFERROR(VLOOKUP($Y190,OFFSET([3]characters!$A$1,0,0,COUNTA([3]characters!$A:$A),MATCH(AB$1,[3]characters!$2:$2,0)-MATCH("character_id",[3]characters!$2:$2,0)+1),MATCH(AB$1,[3]characters!$2:$2,0)-MATCH("character_id",[3]characters!$2:$2,0)+1,FALSE),"")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90" s="8">
        <v>1</v>
      </c>
      <c r="AD190" s="34">
        <f t="shared" ca="1" si="116"/>
        <v>2</v>
      </c>
      <c r="AE190" s="9">
        <v>0</v>
      </c>
      <c r="AF190" s="8">
        <v>0</v>
      </c>
      <c r="AG190" s="8">
        <v>0</v>
      </c>
      <c r="AH190" s="8">
        <v>0</v>
      </c>
      <c r="AI190" s="8">
        <v>0</v>
      </c>
      <c r="AJ190" s="8">
        <v>1</v>
      </c>
    </row>
    <row r="191" spans="1:36" ht="21" customHeight="1">
      <c r="A191" s="21" t="str">
        <f t="shared" ca="1" si="113"/>
        <v>11105_2-1/27&lt;lv42&gt;s1</v>
      </c>
      <c r="B191" s="8">
        <v>11105</v>
      </c>
      <c r="C191" s="52">
        <v>2</v>
      </c>
      <c r="D191" s="2" t="str">
        <f t="shared" si="114"/>
        <v>11105_2</v>
      </c>
      <c r="E191" s="5" t="str">
        <f ca="1">VLOOKUP($B191,OFFSET([1]quests!$A$1,0,0,COUNTA([1]quests!$A:$A),MATCH(E$1,[1]quests!$1:$1,0)-MATCH($B$1,[1]quests!$1:$1,0)+1),MATCH(E$1,[1]quests!$1:$1,0)-MATCH($B$1,[1]quests!$1:$1,0)+1,FALSE)</f>
        <v>【キャンペーン限定】 帽子屋を追え！</v>
      </c>
      <c r="F191" s="5" t="str">
        <f ca="1">VLOOKUP($D191,OFFSET([1]stages!$A$1,0,0,COUNTA([1]stages!$A:$A),MATCH(F$1,[1]stages!$2:$2,0)-MATCH($D$1,[1]stages!$2:$2,0)+1),MATCH(F$1,[1]stages!$2:$2,0)-MATCH($D$1,[1]stages!$2:$2,0)+1,FALSE)</f>
        <v>樹の帽子屋 【超級】</v>
      </c>
      <c r="G191" s="32">
        <v>1</v>
      </c>
      <c r="H191" s="20" t="str">
        <f t="shared" si="115"/>
        <v>11105_2-1</v>
      </c>
      <c r="I191" s="31">
        <v>27</v>
      </c>
      <c r="J191" s="26" t="str">
        <f ca="1">VLOOKUP($I191,OFFSET([2]enemies!$A$1,0,0,COUNTA([2]enemies!$A:$A),MATCH(J$1,[2]enemies!$2:$2,0)-MATCH($I$1,[2]enemies!$2:$2,0)+1),MATCH(J$1,[2]enemies!$2:$2,0)-MATCH($I$1,[2]enemies!$2:$2,0)+1,FALSE)</f>
        <v>パトライン</v>
      </c>
      <c r="K191" s="29" t="str">
        <f ca="1">VLOOKUP($I191,OFFSET([2]enemies!$A$1,0,0,COUNTA([2]enemies!$A:$A),MATCH(K$1,[2]enemies!$2:$2,0)-MATCH($I$1,[2]enemies!$2:$2,0)+1),MATCH(K$1,[2]enemies!$2:$2,0)-MATCH($I$1,[2]enemies!$2:$2,0)+1,FALSE)</f>
        <v>green</v>
      </c>
      <c r="L191" s="29" t="str">
        <f ca="1">VLOOKUP($I191,OFFSET([3]characters!$A$1,0,0,COUNTA([3]characters!$A:$A),MATCH(L$1,[3]characters!$2:$2,0)-MATCH($I$1,[3]characters!$2:$2,0)+1),MATCH(L$1,[3]characters!$2:$2,0)-MATCH($I$1,[3]characters!$2:$2,0)+1,FALSE)</f>
        <v>Drop1N</v>
      </c>
      <c r="M191" s="28" t="str">
        <f ca="1">VLOOKUP($I191,OFFSET([3]characters!$A$1,0,0,COUNTA([3]characters!$A:$A),MATCH(M$1,[3]characters!$2:$2,0)-MATCH($I$1,[3]characters!$2:$2,0)+2),MATCH(M$1,[3]characters!$2:$2,0)-MATCH($I$1,[3]characters!$2:$2,0)+2,FALSE)</f>
        <v>マシン</v>
      </c>
      <c r="N191" s="5">
        <f ca="1">VLOOKUP($I191,OFFSET([2]enemies!$A$1,0,0,COUNTA([2]enemies!$A:$A),MATCH(N$1,[2]enemies!$2:$2,0)-MATCH($I$1,[2]enemies!$2:$2,0)+1),MATCH(N$1,[2]enemies!$2:$2,0)-MATCH($I$1,[2]enemies!$2:$2,0)+1,FALSE)</f>
        <v>15</v>
      </c>
      <c r="O191" s="6">
        <v>42</v>
      </c>
      <c r="P191" s="46">
        <v>1.2</v>
      </c>
      <c r="Q191" s="46">
        <v>1</v>
      </c>
      <c r="R191" s="6">
        <v>0</v>
      </c>
      <c r="S191" s="5" t="str">
        <f ca="1">VLOOKUP($T191,OFFSET([4]enemy_skill_sets!$B$1,0,0,COUNTA([4]enemy_skill_sets!$B:$B),MATCH(J$1,[4]enemy_skill_sets!$1:$1,0)-MATCH($T$1,[4]enemy_skill_sets!$1:$1,0)+2),MATCH(J$1,[4]enemy_skill_sets!$1:$1,0)-MATCH($T$1,[4]enemy_skill_sets!$1:$1,0)+2,FALSE)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1" s="5">
        <f ca="1">VLOOKUP($I191,OFFSET([2]enemies!$A$1,0,0,COUNTA([2]enemies!$A:$A),MATCH(T$1,[2]enemies!$2:$2,0)-MATCH($I$1,[2]enemies!$2:$2,0)+1),MATCH(T$1,[2]enemies!$2:$2,0)-MATCH($I$1,[2]enemies!$2:$2,0)+1,FALSE)</f>
        <v>0</v>
      </c>
      <c r="U191" s="7">
        <v>0</v>
      </c>
      <c r="V191" s="7">
        <v>100</v>
      </c>
      <c r="W191" s="7">
        <v>0</v>
      </c>
      <c r="X191" s="26">
        <f ca="1">VLOOKUP($I191,OFFSET([2]enemies!$A$1,0,0,COUNTA([2]enemies!$A:$A),MATCH(X$1,[2]enemies!$2:$2,0)-MATCH($I$1,[2]enemies!$2:$2,0)+1),MATCH(X$1,[2]enemies!$2:$2,0)-MATCH($I$1,[2]enemies!$2:$2,0)+1,FALSE)</f>
        <v>1</v>
      </c>
      <c r="Y191" s="31">
        <v>27</v>
      </c>
      <c r="Z191" s="5" t="str">
        <f ca="1">IFERROR(VLOOKUP($Y191,OFFSET([3]characters!$A$1,0,0,COUNTA([3]characters!$A:$A),MATCH(Z$1,[3]characters!$2:$2,0)-MATCH("character_id",[3]characters!$2:$2,0)+1),MATCH(Z$1,[3]characters!$2:$2,0)-MATCH("character_id",[3]characters!$2:$2,0)+1,FALSE),"")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191" s="5">
        <f ca="1">IFERROR(VLOOKUP($Y191,OFFSET([3]characters!$A$1,0,0,COUNTA([3]characters!$A:$A),MATCH(AA$1,[3]characters!$2:$2,0)-MATCH("character_id",[3]characters!$2:$2,0)+1),MATCH(AA$1,[3]characters!$2:$2,0)-MATCH("character_id",[3]characters!$2:$2,0)+1,FALSE),"")</f>
        <v>1</v>
      </c>
      <c r="AB191" s="5" t="str">
        <f ca="1">IFERROR(VLOOKUP($Y191,OFFSET([3]characters!$A$1,0,0,COUNTA([3]characters!$A:$A),MATCH(AB$1,[3]characters!$2:$2,0)-MATCH("character_id",[3]characters!$2:$2,0)+1),MATCH(AB$1,[3]characters!$2:$2,0)-MATCH("character_id",[3]characters!$2:$2,0)+1,FALSE),"")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91" s="8">
        <v>1</v>
      </c>
      <c r="AD191" s="34">
        <f t="shared" ca="1" si="116"/>
        <v>1</v>
      </c>
      <c r="AE191" s="9">
        <v>0</v>
      </c>
      <c r="AF191" s="8">
        <v>0</v>
      </c>
      <c r="AG191" s="8">
        <v>0</v>
      </c>
      <c r="AH191" s="8">
        <v>0</v>
      </c>
      <c r="AI191" s="8">
        <v>0</v>
      </c>
      <c r="AJ191" s="8">
        <v>1</v>
      </c>
    </row>
    <row r="192" spans="1:36" ht="21" customHeight="1">
      <c r="A192" s="21" t="str">
        <f t="shared" ref="A192:A197" ca="1" si="129">B192&amp;"_"&amp;C192&amp;"-"&amp;G192&amp;"/"&amp;I192&amp;"&lt;lv"&amp;O192&amp;"&gt;s"&amp;X192</f>
        <v>11105_2-2/35&lt;lv40&gt;s4</v>
      </c>
      <c r="B192" s="8">
        <v>11105</v>
      </c>
      <c r="C192" s="52">
        <v>2</v>
      </c>
      <c r="D192" s="2" t="str">
        <f t="shared" ref="D192:D197" si="130">B192&amp;"_"&amp;C192</f>
        <v>11105_2</v>
      </c>
      <c r="E192" s="5" t="str">
        <f ca="1">VLOOKUP($B192,OFFSET([1]quests!$A$1,0,0,COUNTA([1]quests!$A:$A),MATCH(E$1,[1]quests!$1:$1,0)-MATCH($B$1,[1]quests!$1:$1,0)+1),MATCH(E$1,[1]quests!$1:$1,0)-MATCH($B$1,[1]quests!$1:$1,0)+1,FALSE)</f>
        <v>【キャンペーン限定】 帽子屋を追え！</v>
      </c>
      <c r="F192" s="5" t="str">
        <f ca="1">VLOOKUP($D192,OFFSET([1]stages!$A$1,0,0,COUNTA([1]stages!$A:$A),MATCH(F$1,[1]stages!$2:$2,0)-MATCH($D$1,[1]stages!$2:$2,0)+1),MATCH(F$1,[1]stages!$2:$2,0)-MATCH($D$1,[1]stages!$2:$2,0)+1,FALSE)</f>
        <v>樹の帽子屋 【超級】</v>
      </c>
      <c r="G192" s="32">
        <v>2</v>
      </c>
      <c r="H192" s="20" t="str">
        <f t="shared" ref="H192:H197" si="131">B192&amp;"_"&amp;C192&amp;"-"&amp;G192</f>
        <v>11105_2-2</v>
      </c>
      <c r="I192" s="31">
        <v>35</v>
      </c>
      <c r="J192" s="26" t="str">
        <f ca="1">VLOOKUP($I192,OFFSET([2]enemies!$A$1,0,0,COUNTA([2]enemies!$A:$A),MATCH(J$1,[2]enemies!$2:$2,0)-MATCH($I$1,[2]enemies!$2:$2,0)+1),MATCH(J$1,[2]enemies!$2:$2,0)-MATCH($I$1,[2]enemies!$2:$2,0)+1,FALSE)</f>
        <v>F2</v>
      </c>
      <c r="K192" s="29" t="str">
        <f ca="1">VLOOKUP($I192,OFFSET([2]enemies!$A$1,0,0,COUNTA([2]enemies!$A:$A),MATCH(K$1,[2]enemies!$2:$2,0)-MATCH($I$1,[2]enemies!$2:$2,0)+1),MATCH(K$1,[2]enemies!$2:$2,0)-MATCH($I$1,[2]enemies!$2:$2,0)+1,FALSE)</f>
        <v>green</v>
      </c>
      <c r="L192" s="29" t="str">
        <f ca="1">VLOOKUP($I192,OFFSET([3]characters!$A$1,0,0,COUNTA([3]characters!$A:$A),MATCH(L$1,[3]characters!$2:$2,0)-MATCH($I$1,[3]characters!$2:$2,0)+1),MATCH(L$1,[3]characters!$2:$2,0)-MATCH($I$1,[3]characters!$2:$2,0)+1,FALSE)</f>
        <v>Drop1S</v>
      </c>
      <c r="M192" s="28" t="str">
        <f ca="1">VLOOKUP($I192,OFFSET([3]characters!$A$1,0,0,COUNTA([3]characters!$A:$A),MATCH(M$1,[3]characters!$2:$2,0)-MATCH($I$1,[3]characters!$2:$2,0)+2),MATCH(M$1,[3]characters!$2:$2,0)-MATCH($I$1,[3]characters!$2:$2,0)+2,FALSE)</f>
        <v>マシン</v>
      </c>
      <c r="N192" s="5">
        <f ca="1">VLOOKUP($I192,OFFSET([2]enemies!$A$1,0,0,COUNTA([2]enemies!$A:$A),MATCH(N$1,[2]enemies!$2:$2,0)-MATCH($I$1,[2]enemies!$2:$2,0)+1),MATCH(N$1,[2]enemies!$2:$2,0)-MATCH($I$1,[2]enemies!$2:$2,0)+1,FALSE)</f>
        <v>15</v>
      </c>
      <c r="O192" s="6">
        <v>40</v>
      </c>
      <c r="P192" s="46">
        <v>1.3</v>
      </c>
      <c r="Q192" s="46">
        <v>0.8</v>
      </c>
      <c r="R192" s="6">
        <v>0</v>
      </c>
      <c r="S192" s="5" t="str">
        <f ca="1">VLOOKUP($T192,OFFSET([4]enemy_skill_sets!$B$1,0,0,COUNTA([4]enemy_skill_sets!$B:$B),MATCH(J$1,[4]enemy_skill_sets!$1:$1,0)-MATCH($T$1,[4]enemy_skill_sets!$1:$1,0)+2),MATCH(J$1,[4]enemy_skill_sets!$1:$1,0)-MATCH($T$1,[4]enemy_skill_sets!$1:$1,0)+2,FALSE)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192" s="5">
        <f ca="1">VLOOKUP($I192,OFFSET([2]enemies!$A$1,0,0,COUNTA([2]enemies!$A:$A),MATCH(T$1,[2]enemies!$2:$2,0)-MATCH($I$1,[2]enemies!$2:$2,0)+1),MATCH(T$1,[2]enemies!$2:$2,0)-MATCH($I$1,[2]enemies!$2:$2,0)+1,FALSE)</f>
        <v>35</v>
      </c>
      <c r="U192" s="7">
        <v>0</v>
      </c>
      <c r="V192" s="7">
        <v>100</v>
      </c>
      <c r="W192" s="7">
        <v>0</v>
      </c>
      <c r="X192" s="26">
        <f ca="1">VLOOKUP($I192,OFFSET([2]enemies!$A$1,0,0,COUNTA([2]enemies!$A:$A),MATCH(X$1,[2]enemies!$2:$2,0)-MATCH($I$1,[2]enemies!$2:$2,0)+1),MATCH(X$1,[2]enemies!$2:$2,0)-MATCH($I$1,[2]enemies!$2:$2,0)+1,FALSE)</f>
        <v>4</v>
      </c>
      <c r="Y192" s="31">
        <v>35</v>
      </c>
      <c r="Z192" s="5" t="str">
        <f ca="1">IFERROR(VLOOKUP($Y192,OFFSET([3]characters!$A$1,0,0,COUNTA([3]characters!$A:$A),MATCH(Z$1,[3]characters!$2:$2,0)-MATCH("character_id",[3]characters!$2:$2,0)+1),MATCH(Z$1,[3]characters!$2:$2,0)-MATCH("character_id",[3]characters!$2:$2,0)+1,FALSE),"")</f>
        <v>F2</v>
      </c>
      <c r="AA192" s="5">
        <f ca="1">IFERROR(VLOOKUP($Y192,OFFSET([3]characters!$A$1,0,0,COUNTA([3]characters!$A:$A),MATCH(AA$1,[3]characters!$2:$2,0)-MATCH("character_id",[3]characters!$2:$2,0)+1),MATCH(AA$1,[3]characters!$2:$2,0)-MATCH("character_id",[3]characters!$2:$2,0)+1,FALSE),"")</f>
        <v>2</v>
      </c>
      <c r="AB192" s="5" t="str">
        <f ca="1">IFERROR(VLOOKUP($Y192,OFFSET([3]characters!$A$1,0,0,COUNTA([3]characters!$A:$A),MATCH(AB$1,[3]characters!$2:$2,0)-MATCH("character_id",[3]characters!$2:$2,0)+1),MATCH(AB$1,[3]characters!$2:$2,0)-MATCH("character_id",[3]characters!$2:$2,0)+1,FALSE),"")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92" s="8">
        <v>1</v>
      </c>
      <c r="AD192" s="34">
        <f t="shared" ref="AD192:AD197" ca="1" si="132">AA192</f>
        <v>2</v>
      </c>
      <c r="AE192" s="9">
        <v>0</v>
      </c>
      <c r="AF192" s="8">
        <v>0</v>
      </c>
      <c r="AG192" s="8">
        <v>0</v>
      </c>
      <c r="AH192" s="8">
        <v>0</v>
      </c>
      <c r="AI192" s="8">
        <v>0</v>
      </c>
      <c r="AJ192" s="8">
        <v>1</v>
      </c>
    </row>
    <row r="193" spans="1:36" ht="21" customHeight="1">
      <c r="A193" s="21" t="str">
        <f t="shared" ca="1" si="129"/>
        <v>11105_2-2/27&lt;lv42&gt;s1</v>
      </c>
      <c r="B193" s="8">
        <v>11105</v>
      </c>
      <c r="C193" s="52">
        <v>2</v>
      </c>
      <c r="D193" s="2" t="str">
        <f t="shared" si="130"/>
        <v>11105_2</v>
      </c>
      <c r="E193" s="5" t="str">
        <f ca="1">VLOOKUP($B193,OFFSET([1]quests!$A$1,0,0,COUNTA([1]quests!$A:$A),MATCH(E$1,[1]quests!$1:$1,0)-MATCH($B$1,[1]quests!$1:$1,0)+1),MATCH(E$1,[1]quests!$1:$1,0)-MATCH($B$1,[1]quests!$1:$1,0)+1,FALSE)</f>
        <v>【キャンペーン限定】 帽子屋を追え！</v>
      </c>
      <c r="F193" s="5" t="str">
        <f ca="1">VLOOKUP($D193,OFFSET([1]stages!$A$1,0,0,COUNTA([1]stages!$A:$A),MATCH(F$1,[1]stages!$2:$2,0)-MATCH($D$1,[1]stages!$2:$2,0)+1),MATCH(F$1,[1]stages!$2:$2,0)-MATCH($D$1,[1]stages!$2:$2,0)+1,FALSE)</f>
        <v>樹の帽子屋 【超級】</v>
      </c>
      <c r="G193" s="32">
        <v>2</v>
      </c>
      <c r="H193" s="20" t="str">
        <f t="shared" si="131"/>
        <v>11105_2-2</v>
      </c>
      <c r="I193" s="31">
        <v>27</v>
      </c>
      <c r="J193" s="26" t="str">
        <f ca="1">VLOOKUP($I193,OFFSET([2]enemies!$A$1,0,0,COUNTA([2]enemies!$A:$A),MATCH(J$1,[2]enemies!$2:$2,0)-MATCH($I$1,[2]enemies!$2:$2,0)+1),MATCH(J$1,[2]enemies!$2:$2,0)-MATCH($I$1,[2]enemies!$2:$2,0)+1,FALSE)</f>
        <v>パトライン</v>
      </c>
      <c r="K193" s="29" t="str">
        <f ca="1">VLOOKUP($I193,OFFSET([2]enemies!$A$1,0,0,COUNTA([2]enemies!$A:$A),MATCH(K$1,[2]enemies!$2:$2,0)-MATCH($I$1,[2]enemies!$2:$2,0)+1),MATCH(K$1,[2]enemies!$2:$2,0)-MATCH($I$1,[2]enemies!$2:$2,0)+1,FALSE)</f>
        <v>green</v>
      </c>
      <c r="L193" s="29" t="str">
        <f ca="1">VLOOKUP($I193,OFFSET([3]characters!$A$1,0,0,COUNTA([3]characters!$A:$A),MATCH(L$1,[3]characters!$2:$2,0)-MATCH($I$1,[3]characters!$2:$2,0)+1),MATCH(L$1,[3]characters!$2:$2,0)-MATCH($I$1,[3]characters!$2:$2,0)+1,FALSE)</f>
        <v>Drop1N</v>
      </c>
      <c r="M193" s="28" t="str">
        <f ca="1">VLOOKUP($I193,OFFSET([3]characters!$A$1,0,0,COUNTA([3]characters!$A:$A),MATCH(M$1,[3]characters!$2:$2,0)-MATCH($I$1,[3]characters!$2:$2,0)+2),MATCH(M$1,[3]characters!$2:$2,0)-MATCH($I$1,[3]characters!$2:$2,0)+2,FALSE)</f>
        <v>マシン</v>
      </c>
      <c r="N193" s="5">
        <f ca="1">VLOOKUP($I193,OFFSET([2]enemies!$A$1,0,0,COUNTA([2]enemies!$A:$A),MATCH(N$1,[2]enemies!$2:$2,0)-MATCH($I$1,[2]enemies!$2:$2,0)+1),MATCH(N$1,[2]enemies!$2:$2,0)-MATCH($I$1,[2]enemies!$2:$2,0)+1,FALSE)</f>
        <v>15</v>
      </c>
      <c r="O193" s="6">
        <v>42</v>
      </c>
      <c r="P193" s="46">
        <v>1.2</v>
      </c>
      <c r="Q193" s="46">
        <v>1</v>
      </c>
      <c r="R193" s="6">
        <v>0</v>
      </c>
      <c r="S193" s="5" t="str">
        <f ca="1">VLOOKUP($T193,OFFSET([4]enemy_skill_sets!$B$1,0,0,COUNTA([4]enemy_skill_sets!$B:$B),MATCH(J$1,[4]enemy_skill_sets!$1:$1,0)-MATCH($T$1,[4]enemy_skill_sets!$1:$1,0)+2),MATCH(J$1,[4]enemy_skill_sets!$1:$1,0)-MATCH($T$1,[4]enemy_skill_sets!$1:$1,0)+2,FALSE)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3" s="5">
        <f ca="1">VLOOKUP($I193,OFFSET([2]enemies!$A$1,0,0,COUNTA([2]enemies!$A:$A),MATCH(T$1,[2]enemies!$2:$2,0)-MATCH($I$1,[2]enemies!$2:$2,0)+1),MATCH(T$1,[2]enemies!$2:$2,0)-MATCH($I$1,[2]enemies!$2:$2,0)+1,FALSE)</f>
        <v>0</v>
      </c>
      <c r="U193" s="7">
        <v>0</v>
      </c>
      <c r="V193" s="7">
        <v>100</v>
      </c>
      <c r="W193" s="7">
        <v>0</v>
      </c>
      <c r="X193" s="26">
        <f ca="1">VLOOKUP($I193,OFFSET([2]enemies!$A$1,0,0,COUNTA([2]enemies!$A:$A),MATCH(X$1,[2]enemies!$2:$2,0)-MATCH($I$1,[2]enemies!$2:$2,0)+1),MATCH(X$1,[2]enemies!$2:$2,0)-MATCH($I$1,[2]enemies!$2:$2,0)+1,FALSE)</f>
        <v>1</v>
      </c>
      <c r="Y193" s="31">
        <v>27</v>
      </c>
      <c r="Z193" s="5" t="str">
        <f ca="1">IFERROR(VLOOKUP($Y193,OFFSET([3]characters!$A$1,0,0,COUNTA([3]characters!$A:$A),MATCH(Z$1,[3]characters!$2:$2,0)-MATCH("character_id",[3]characters!$2:$2,0)+1),MATCH(Z$1,[3]characters!$2:$2,0)-MATCH("character_id",[3]characters!$2:$2,0)+1,FALSE),"")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193" s="5">
        <f ca="1">IFERROR(VLOOKUP($Y193,OFFSET([3]characters!$A$1,0,0,COUNTA([3]characters!$A:$A),MATCH(AA$1,[3]characters!$2:$2,0)-MATCH("character_id",[3]characters!$2:$2,0)+1),MATCH(AA$1,[3]characters!$2:$2,0)-MATCH("character_id",[3]characters!$2:$2,0)+1,FALSE),"")</f>
        <v>1</v>
      </c>
      <c r="AB193" s="5" t="str">
        <f ca="1">IFERROR(VLOOKUP($Y193,OFFSET([3]characters!$A$1,0,0,COUNTA([3]characters!$A:$A),MATCH(AB$1,[3]characters!$2:$2,0)-MATCH("character_id",[3]characters!$2:$2,0)+1),MATCH(AB$1,[3]characters!$2:$2,0)-MATCH("character_id",[3]characters!$2:$2,0)+1,FALSE),"")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93" s="8">
        <v>1</v>
      </c>
      <c r="AD193" s="34">
        <f t="shared" ca="1" si="132"/>
        <v>1</v>
      </c>
      <c r="AE193" s="9">
        <v>0</v>
      </c>
      <c r="AF193" s="8">
        <v>0</v>
      </c>
      <c r="AG193" s="8">
        <v>0</v>
      </c>
      <c r="AH193" s="8">
        <v>0</v>
      </c>
      <c r="AI193" s="8">
        <v>0</v>
      </c>
      <c r="AJ193" s="8">
        <v>1</v>
      </c>
    </row>
    <row r="194" spans="1:36" ht="21" customHeight="1">
      <c r="A194" s="21" t="str">
        <f t="shared" ca="1" si="129"/>
        <v>11105_2-3/137&lt;lv50&gt;s4</v>
      </c>
      <c r="B194" s="8">
        <v>11105</v>
      </c>
      <c r="C194" s="52">
        <v>2</v>
      </c>
      <c r="D194" s="2" t="str">
        <f t="shared" si="130"/>
        <v>11105_2</v>
      </c>
      <c r="E194" s="5" t="str">
        <f ca="1">VLOOKUP($B194,OFFSET([1]quests!$A$1,0,0,COUNTA([1]quests!$A:$A),MATCH(E$1,[1]quests!$1:$1,0)-MATCH($B$1,[1]quests!$1:$1,0)+1),MATCH(E$1,[1]quests!$1:$1,0)-MATCH($B$1,[1]quests!$1:$1,0)+1,FALSE)</f>
        <v>【キャンペーン限定】 帽子屋を追え！</v>
      </c>
      <c r="F194" s="5" t="str">
        <f ca="1">VLOOKUP($D194,OFFSET([1]stages!$A$1,0,0,COUNTA([1]stages!$A:$A),MATCH(F$1,[1]stages!$2:$2,0)-MATCH($D$1,[1]stages!$2:$2,0)+1),MATCH(F$1,[1]stages!$2:$2,0)-MATCH($D$1,[1]stages!$2:$2,0)+1,FALSE)</f>
        <v>樹の帽子屋 【超級】</v>
      </c>
      <c r="G194" s="32">
        <v>3</v>
      </c>
      <c r="H194" s="20" t="str">
        <f t="shared" si="131"/>
        <v>11105_2-3</v>
      </c>
      <c r="I194" s="31">
        <v>137</v>
      </c>
      <c r="J194" s="26" t="str">
        <f ca="1">VLOOKUP($I194,OFFSET([2]enemies!$A$1,0,0,COUNTA([2]enemies!$A:$A),MATCH(J$1,[2]enemies!$2:$2,0)-MATCH($I$1,[2]enemies!$2:$2,0)+1),MATCH(J$1,[2]enemies!$2:$2,0)-MATCH($I$1,[2]enemies!$2:$2,0)+1,FALSE)</f>
        <v>清福の仕立屋 チハヤ</v>
      </c>
      <c r="K194" s="29" t="str">
        <f ca="1">VLOOKUP($I194,OFFSET([2]enemies!$A$1,0,0,COUNTA([2]enemies!$A:$A),MATCH(K$1,[2]enemies!$2:$2,0)-MATCH($I$1,[2]enemies!$2:$2,0)+1),MATCH(K$1,[2]enemies!$2:$2,0)-MATCH($I$1,[2]enemies!$2:$2,0)+1,FALSE)</f>
        <v>green</v>
      </c>
      <c r="L194" s="29" t="str">
        <f ca="1">VLOOKUP($I194,OFFSET([3]characters!$A$1,0,0,COUNTA([3]characters!$A:$A),MATCH(L$1,[3]characters!$2:$2,0)-MATCH($I$1,[3]characters!$2:$2,0)+1),MATCH(L$1,[3]characters!$2:$2,0)-MATCH($I$1,[3]characters!$2:$2,0)+1,FALSE)</f>
        <v>PremiumW</v>
      </c>
      <c r="M194" s="28" t="str">
        <f ca="1">VLOOKUP($I194,OFFSET([3]characters!$A$1,0,0,COUNTA([3]characters!$A:$A),MATCH(M$1,[3]characters!$2:$2,0)-MATCH($I$1,[3]characters!$2:$2,0)+2),MATCH(M$1,[3]characters!$2:$2,0)-MATCH($I$1,[3]characters!$2:$2,0)+2,FALSE)</f>
        <v>ヒューマン</v>
      </c>
      <c r="N194" s="5">
        <f ca="1">VLOOKUP($I194,OFFSET([2]enemies!$A$1,0,0,COUNTA([2]enemies!$A:$A),MATCH(N$1,[2]enemies!$2:$2,0)-MATCH($I$1,[2]enemies!$2:$2,0)+1),MATCH(N$1,[2]enemies!$2:$2,0)-MATCH($I$1,[2]enemies!$2:$2,0)+1,FALSE)</f>
        <v>30</v>
      </c>
      <c r="O194" s="6">
        <v>50</v>
      </c>
      <c r="P194" s="46">
        <v>1.2</v>
      </c>
      <c r="Q194" s="46">
        <v>1</v>
      </c>
      <c r="R194" s="6">
        <v>0</v>
      </c>
      <c r="S194" s="5" t="str">
        <f ca="1">VLOOKUP($T194,OFFSET([4]enemy_skill_sets!$B$1,0,0,COUNTA([4]enemy_skill_sets!$B:$B),MATCH(J$1,[4]enemy_skill_sets!$1:$1,0)-MATCH($T$1,[4]enemy_skill_sets!$1:$1,0)+2),MATCH(J$1,[4]enemy_skill_sets!$1:$1,0)-MATCH($T$1,[4]enemy_skill_sets!$1:$1,0)+2,FALSE)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194" s="5">
        <f ca="1">VLOOKUP($I194,OFFSET([2]enemies!$A$1,0,0,COUNTA([2]enemies!$A:$A),MATCH(T$1,[2]enemies!$2:$2,0)-MATCH($I$1,[2]enemies!$2:$2,0)+1),MATCH(T$1,[2]enemies!$2:$2,0)-MATCH($I$1,[2]enemies!$2:$2,0)+1,FALSE)</f>
        <v>136</v>
      </c>
      <c r="U194" s="7">
        <v>0</v>
      </c>
      <c r="V194" s="7">
        <v>80</v>
      </c>
      <c r="W194" s="7">
        <v>1</v>
      </c>
      <c r="X194" s="26">
        <f ca="1">VLOOKUP($I194,OFFSET([2]enemies!$A$1,0,0,COUNTA([2]enemies!$A:$A),MATCH(X$1,[2]enemies!$2:$2,0)-MATCH($I$1,[2]enemies!$2:$2,0)+1),MATCH(X$1,[2]enemies!$2:$2,0)-MATCH($I$1,[2]enemies!$2:$2,0)+1,FALSE)</f>
        <v>4</v>
      </c>
      <c r="Y194" s="31">
        <v>136</v>
      </c>
      <c r="Z194" s="5" t="str">
        <f ca="1">IFERROR(VLOOKUP($Y194,OFFSET([3]characters!$A$1,0,0,COUNTA([3]characters!$A:$A),MATCH(Z$1,[3]characters!$2:$2,0)-MATCH("character_id",[3]characters!$2:$2,0)+1),MATCH(Z$1,[3]characters!$2:$2,0)-MATCH("character_id",[3]characters!$2:$2,0)+1,FALSE),"")</f>
        <v>お針子チハヤ</v>
      </c>
      <c r="AA194" s="5">
        <f ca="1">IFERROR(VLOOKUP($Y194,OFFSET([3]characters!$A$1,0,0,COUNTA([3]characters!$A:$A),MATCH(AA$1,[3]characters!$2:$2,0)-MATCH("character_id",[3]characters!$2:$2,0)+1),MATCH(AA$1,[3]characters!$2:$2,0)-MATCH("character_id",[3]characters!$2:$2,0)+1,FALSE),"")</f>
        <v>3</v>
      </c>
      <c r="AB194" s="5" t="str">
        <f ca="1">IFERROR(VLOOKUP($Y194,OFFSET([3]characters!$A$1,0,0,COUNTA([3]characters!$A:$A),MATCH(AB$1,[3]characters!$2:$2,0)-MATCH("character_id",[3]characters!$2:$2,0)+1),MATCH(AB$1,[3]characters!$2:$2,0)-MATCH("character_id",[3]characters!$2:$2,0)+1,FALSE),"")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194" s="8">
        <v>1</v>
      </c>
      <c r="AD194" s="34">
        <f t="shared" ca="1" si="132"/>
        <v>3</v>
      </c>
      <c r="AE194" s="9">
        <v>0</v>
      </c>
      <c r="AF194" s="8">
        <v>0</v>
      </c>
      <c r="AG194" s="8">
        <v>0</v>
      </c>
      <c r="AH194" s="8">
        <v>0</v>
      </c>
      <c r="AI194" s="8">
        <v>0</v>
      </c>
      <c r="AJ194" s="8">
        <v>1</v>
      </c>
    </row>
    <row r="195" spans="1:36" ht="21" customHeight="1">
      <c r="A195" s="21" t="str">
        <f t="shared" ca="1" si="129"/>
        <v>11105_2-3/338&lt;lv1&gt;s3</v>
      </c>
      <c r="B195" s="8">
        <v>11105</v>
      </c>
      <c r="C195" s="52">
        <v>2</v>
      </c>
      <c r="D195" s="2" t="str">
        <f t="shared" si="130"/>
        <v>11105_2</v>
      </c>
      <c r="E195" s="5" t="str">
        <f ca="1">VLOOKUP($B195,OFFSET([1]quests!$A$1,0,0,COUNTA([1]quests!$A:$A),MATCH(E$1,[1]quests!$1:$1,0)-MATCH($B$1,[1]quests!$1:$1,0)+1),MATCH(E$1,[1]quests!$1:$1,0)-MATCH($B$1,[1]quests!$1:$1,0)+1,FALSE)</f>
        <v>【キャンペーン限定】 帽子屋を追え！</v>
      </c>
      <c r="F195" s="5" t="str">
        <f ca="1">VLOOKUP($D195,OFFSET([1]stages!$A$1,0,0,COUNTA([1]stages!$A:$A),MATCH(F$1,[1]stages!$2:$2,0)-MATCH($D$1,[1]stages!$2:$2,0)+1),MATCH(F$1,[1]stages!$2:$2,0)-MATCH($D$1,[1]stages!$2:$2,0)+1,FALSE)</f>
        <v>樹の帽子屋 【超級】</v>
      </c>
      <c r="G195" s="32">
        <v>3</v>
      </c>
      <c r="H195" s="20" t="str">
        <f t="shared" si="131"/>
        <v>11105_2-3</v>
      </c>
      <c r="I195" s="31">
        <v>338</v>
      </c>
      <c r="J195" s="26" t="str">
        <f ca="1">VLOOKUP($I195,OFFSET([2]enemies!$A$1,0,0,COUNTA([2]enemies!$A:$A),MATCH(J$1,[2]enemies!$2:$2,0)-MATCH($I$1,[2]enemies!$2:$2,0)+1),MATCH(J$1,[2]enemies!$2:$2,0)-MATCH($I$1,[2]enemies!$2:$2,0)+1,FALSE)</f>
        <v>森のメタルダック</v>
      </c>
      <c r="K195" s="29" t="str">
        <f ca="1">VLOOKUP($I195,OFFSET([2]enemies!$A$1,0,0,COUNTA([2]enemies!$A:$A),MATCH(K$1,[2]enemies!$2:$2,0)-MATCH($I$1,[2]enemies!$2:$2,0)+1),MATCH(K$1,[2]enemies!$2:$2,0)-MATCH($I$1,[2]enemies!$2:$2,0)+1,FALSE)</f>
        <v>green</v>
      </c>
      <c r="L195" s="29" t="str">
        <f ca="1">VLOOKUP($I195,OFFSET([3]characters!$A$1,0,0,COUNTA([3]characters!$A:$A),MATCH(L$1,[3]characters!$2:$2,0)-MATCH($I$1,[3]characters!$2:$2,0)+1),MATCH(L$1,[3]characters!$2:$2,0)-MATCH($I$1,[3]characters!$2:$2,0)+1,FALSE)</f>
        <v>Material</v>
      </c>
      <c r="M195" s="28" t="str">
        <f ca="1">VLOOKUP($I195,OFFSET([3]characters!$A$1,0,0,COUNTA([3]characters!$A:$A),MATCH(M$1,[3]characters!$2:$2,0)-MATCH($I$1,[3]characters!$2:$2,0)+2),MATCH(M$1,[3]characters!$2:$2,0)-MATCH($I$1,[3]characters!$2:$2,0)+2,FALSE)</f>
        <v>Unknown</v>
      </c>
      <c r="N195" s="5">
        <f ca="1">VLOOKUP($I195,OFFSET([2]enemies!$A$1,0,0,COUNTA([2]enemies!$A:$A),MATCH(N$1,[2]enemies!$2:$2,0)-MATCH($I$1,[2]enemies!$2:$2,0)+1),MATCH(N$1,[2]enemies!$2:$2,0)-MATCH($I$1,[2]enemies!$2:$2,0)+1,FALSE)</f>
        <v>20</v>
      </c>
      <c r="O195" s="6">
        <v>1</v>
      </c>
      <c r="P195" s="46">
        <v>1</v>
      </c>
      <c r="Q195" s="46">
        <v>1</v>
      </c>
      <c r="R195" s="6">
        <v>0</v>
      </c>
      <c r="S195" s="5" t="str">
        <f ca="1">VLOOKUP($T195,OFFSET([4]enemy_skill_sets!$B$1,0,0,COUNTA([4]enemy_skill_sets!$B:$B),MATCH(J$1,[4]enemy_skill_sets!$1:$1,0)-MATCH($T$1,[4]enemy_skill_sets!$1:$1,0)+2),MATCH(J$1,[4]enemy_skill_sets!$1:$1,0)-MATCH($T$1,[4]enemy_skill_sets!$1:$1,0)+2,FALSE)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5" s="5">
        <f ca="1">VLOOKUP($I195,OFFSET([2]enemies!$A$1,0,0,COUNTA([2]enemies!$A:$A),MATCH(T$1,[2]enemies!$2:$2,0)-MATCH($I$1,[2]enemies!$2:$2,0)+1),MATCH(T$1,[2]enemies!$2:$2,0)-MATCH($I$1,[2]enemies!$2:$2,0)+1,FALSE)</f>
        <v>0</v>
      </c>
      <c r="U195" s="7">
        <v>0</v>
      </c>
      <c r="V195" s="7">
        <v>20</v>
      </c>
      <c r="W195" s="7">
        <v>1</v>
      </c>
      <c r="X195" s="26">
        <f ca="1">VLOOKUP($I195,OFFSET([2]enemies!$A$1,0,0,COUNTA([2]enemies!$A:$A),MATCH(X$1,[2]enemies!$2:$2,0)-MATCH($I$1,[2]enemies!$2:$2,0)+1),MATCH(X$1,[2]enemies!$2:$2,0)-MATCH($I$1,[2]enemies!$2:$2,0)+1,FALSE)</f>
        <v>3</v>
      </c>
      <c r="Y195" s="31">
        <v>338</v>
      </c>
      <c r="Z195" s="5" t="str">
        <f ca="1">IFERROR(VLOOKUP($Y195,OFFSET([3]characters!$A$1,0,0,COUNTA([3]characters!$A:$A),MATCH(Z$1,[3]characters!$2:$2,0)-MATCH("character_id",[3]characters!$2:$2,0)+1),MATCH(Z$1,[3]characters!$2:$2,0)-MATCH("character_id",[3]characters!$2:$2,0)+1,FALSE),"")</f>
        <v>森のメタルダック</v>
      </c>
      <c r="AA195" s="5">
        <f ca="1">IFERROR(VLOOKUP($Y195,OFFSET([3]characters!$A$1,0,0,COUNTA([3]characters!$A:$A),MATCH(AA$1,[3]characters!$2:$2,0)-MATCH("character_id",[3]characters!$2:$2,0)+1),MATCH(AA$1,[3]characters!$2:$2,0)-MATCH("character_id",[3]characters!$2:$2,0)+1,FALSE),"")</f>
        <v>5</v>
      </c>
      <c r="AB195" s="5" t="str">
        <f ca="1">IFERROR(VLOOKUP($Y195,OFFSET([3]characters!$A$1,0,0,COUNTA([3]characters!$A:$A),MATCH(AB$1,[3]characters!$2:$2,0)-MATCH("character_id",[3]characters!$2:$2,0)+1),MATCH(AB$1,[3]characters!$2:$2,0)-MATCH("character_id",[3]characters!$2:$2,0)+1,FALSE),"")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95" s="8">
        <v>1</v>
      </c>
      <c r="AD195" s="34">
        <f t="shared" ca="1" si="132"/>
        <v>5</v>
      </c>
      <c r="AE195" s="9">
        <v>5</v>
      </c>
      <c r="AF195" s="8">
        <v>0</v>
      </c>
      <c r="AG195" s="8">
        <v>0</v>
      </c>
      <c r="AH195" s="8">
        <v>0</v>
      </c>
      <c r="AI195" s="8">
        <v>0</v>
      </c>
      <c r="AJ195" s="8">
        <v>1</v>
      </c>
    </row>
    <row r="196" spans="1:36" ht="21" customHeight="1">
      <c r="A196" s="21" t="str">
        <f t="shared" ca="1" si="129"/>
        <v>11105_2-3/336&lt;lv1&gt;s1</v>
      </c>
      <c r="B196" s="8">
        <v>11105</v>
      </c>
      <c r="C196" s="52">
        <v>2</v>
      </c>
      <c r="D196" s="2" t="str">
        <f t="shared" si="130"/>
        <v>11105_2</v>
      </c>
      <c r="E196" s="5" t="str">
        <f ca="1">VLOOKUP($B196,OFFSET([1]quests!$A$1,0,0,COUNTA([1]quests!$A:$A),MATCH(E$1,[1]quests!$1:$1,0)-MATCH($B$1,[1]quests!$1:$1,0)+1),MATCH(E$1,[1]quests!$1:$1,0)-MATCH($B$1,[1]quests!$1:$1,0)+1,FALSE)</f>
        <v>【キャンペーン限定】 帽子屋を追え！</v>
      </c>
      <c r="F196" s="5" t="str">
        <f ca="1">VLOOKUP($D196,OFFSET([1]stages!$A$1,0,0,COUNTA([1]stages!$A:$A),MATCH(F$1,[1]stages!$2:$2,0)-MATCH($D$1,[1]stages!$2:$2,0)+1),MATCH(F$1,[1]stages!$2:$2,0)-MATCH($D$1,[1]stages!$2:$2,0)+1,FALSE)</f>
        <v>樹の帽子屋 【超級】</v>
      </c>
      <c r="G196" s="32">
        <v>3</v>
      </c>
      <c r="H196" s="20" t="str">
        <f t="shared" si="131"/>
        <v>11105_2-3</v>
      </c>
      <c r="I196" s="31">
        <v>336</v>
      </c>
      <c r="J196" s="26" t="str">
        <f ca="1">VLOOKUP($I196,OFFSET([2]enemies!$A$1,0,0,COUNTA([2]enemies!$A:$A),MATCH(J$1,[2]enemies!$2:$2,0)-MATCH($I$1,[2]enemies!$2:$2,0)+1),MATCH(J$1,[2]enemies!$2:$2,0)-MATCH($I$1,[2]enemies!$2:$2,0)+1,FALSE)</f>
        <v>森のメタルピヨピヨ</v>
      </c>
      <c r="K196" s="29" t="str">
        <f ca="1">VLOOKUP($I196,OFFSET([2]enemies!$A$1,0,0,COUNTA([2]enemies!$A:$A),MATCH(K$1,[2]enemies!$2:$2,0)-MATCH($I$1,[2]enemies!$2:$2,0)+1),MATCH(K$1,[2]enemies!$2:$2,0)-MATCH($I$1,[2]enemies!$2:$2,0)+1,FALSE)</f>
        <v>green</v>
      </c>
      <c r="L196" s="29" t="str">
        <f ca="1">VLOOKUP($I196,OFFSET([3]characters!$A$1,0,0,COUNTA([3]characters!$A:$A),MATCH(L$1,[3]characters!$2:$2,0)-MATCH($I$1,[3]characters!$2:$2,0)+1),MATCH(L$1,[3]characters!$2:$2,0)-MATCH($I$1,[3]characters!$2:$2,0)+1,FALSE)</f>
        <v>Material</v>
      </c>
      <c r="M196" s="28" t="str">
        <f ca="1">VLOOKUP($I196,OFFSET([3]characters!$A$1,0,0,COUNTA([3]characters!$A:$A),MATCH(M$1,[3]characters!$2:$2,0)-MATCH($I$1,[3]characters!$2:$2,0)+2),MATCH(M$1,[3]characters!$2:$2,0)-MATCH($I$1,[3]characters!$2:$2,0)+2,FALSE)</f>
        <v>Unknown</v>
      </c>
      <c r="N196" s="5">
        <f ca="1">VLOOKUP($I196,OFFSET([2]enemies!$A$1,0,0,COUNTA([2]enemies!$A:$A),MATCH(N$1,[2]enemies!$2:$2,0)-MATCH($I$1,[2]enemies!$2:$2,0)+1),MATCH(N$1,[2]enemies!$2:$2,0)-MATCH($I$1,[2]enemies!$2:$2,0)+1,FALSE)</f>
        <v>15</v>
      </c>
      <c r="O196" s="6">
        <v>1</v>
      </c>
      <c r="P196" s="46">
        <v>1</v>
      </c>
      <c r="Q196" s="46">
        <v>1</v>
      </c>
      <c r="R196" s="6">
        <v>0</v>
      </c>
      <c r="S196" s="5" t="str">
        <f ca="1">VLOOKUP($T196,OFFSET([4]enemy_skill_sets!$B$1,0,0,COUNTA([4]enemy_skill_sets!$B:$B),MATCH(J$1,[4]enemy_skill_sets!$1:$1,0)-MATCH($T$1,[4]enemy_skill_sets!$1:$1,0)+2),MATCH(J$1,[4]enemy_skill_sets!$1:$1,0)-MATCH($T$1,[4]enemy_skill_sets!$1:$1,0)+2,FALSE)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6" s="5">
        <f ca="1">VLOOKUP($I196,OFFSET([2]enemies!$A$1,0,0,COUNTA([2]enemies!$A:$A),MATCH(T$1,[2]enemies!$2:$2,0)-MATCH($I$1,[2]enemies!$2:$2,0)+1),MATCH(T$1,[2]enemies!$2:$2,0)-MATCH($I$1,[2]enemies!$2:$2,0)+1,FALSE)</f>
        <v>0</v>
      </c>
      <c r="U196" s="7">
        <v>1</v>
      </c>
      <c r="V196" s="7">
        <v>100</v>
      </c>
      <c r="W196" s="7">
        <v>0</v>
      </c>
      <c r="X196" s="26">
        <f ca="1">VLOOKUP($I196,OFFSET([2]enemies!$A$1,0,0,COUNTA([2]enemies!$A:$A),MATCH(X$1,[2]enemies!$2:$2,0)-MATCH($I$1,[2]enemies!$2:$2,0)+1),MATCH(X$1,[2]enemies!$2:$2,0)-MATCH($I$1,[2]enemies!$2:$2,0)+1,FALSE)</f>
        <v>1</v>
      </c>
      <c r="Y196" s="31">
        <v>336</v>
      </c>
      <c r="Z196" s="5" t="str">
        <f ca="1">IFERROR(VLOOKUP($Y196,OFFSET([3]characters!$A$1,0,0,COUNTA([3]characters!$A:$A),MATCH(Z$1,[3]characters!$2:$2,0)-MATCH("character_id",[3]characters!$2:$2,0)+1),MATCH(Z$1,[3]characters!$2:$2,0)-MATCH("character_id",[3]characters!$2:$2,0)+1,FALSE),"")</f>
        <v>森のメタルピヨピヨ</v>
      </c>
      <c r="AA196" s="5">
        <f ca="1">IFERROR(VLOOKUP($Y196,OFFSET([3]characters!$A$1,0,0,COUNTA([3]characters!$A:$A),MATCH(AA$1,[3]characters!$2:$2,0)-MATCH("character_id",[3]characters!$2:$2,0)+1),MATCH(AA$1,[3]characters!$2:$2,0)-MATCH("character_id",[3]characters!$2:$2,0)+1,FALSE),"")</f>
        <v>3</v>
      </c>
      <c r="AB196" s="5" t="str">
        <f ca="1">IFERROR(VLOOKUP($Y196,OFFSET([3]characters!$A$1,0,0,COUNTA([3]characters!$A:$A),MATCH(AB$1,[3]characters!$2:$2,0)-MATCH("character_id",[3]characters!$2:$2,0)+1),MATCH(AB$1,[3]characters!$2:$2,0)-MATCH("character_id",[3]characters!$2:$2,0)+1,FALSE),"")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96" s="8">
        <v>1</v>
      </c>
      <c r="AD196" s="34">
        <f t="shared" ca="1" si="132"/>
        <v>3</v>
      </c>
      <c r="AE196" s="9">
        <v>20</v>
      </c>
      <c r="AF196" s="8">
        <v>0</v>
      </c>
      <c r="AG196" s="8">
        <v>0</v>
      </c>
      <c r="AH196" s="8">
        <v>0</v>
      </c>
      <c r="AI196" s="8">
        <v>0</v>
      </c>
      <c r="AJ196" s="8">
        <v>1</v>
      </c>
    </row>
    <row r="197" spans="1:36" ht="21" customHeight="1">
      <c r="A197" s="21" t="str">
        <f t="shared" ca="1" si="129"/>
        <v>11105_2-3/337&lt;lv1&gt;s2</v>
      </c>
      <c r="B197" s="8">
        <v>11105</v>
      </c>
      <c r="C197" s="52">
        <v>2</v>
      </c>
      <c r="D197" s="2" t="str">
        <f t="shared" si="130"/>
        <v>11105_2</v>
      </c>
      <c r="E197" s="5" t="str">
        <f ca="1">VLOOKUP($B197,OFFSET([1]quests!$A$1,0,0,COUNTA([1]quests!$A:$A),MATCH(E$1,[1]quests!$1:$1,0)-MATCH($B$1,[1]quests!$1:$1,0)+1),MATCH(E$1,[1]quests!$1:$1,0)-MATCH($B$1,[1]quests!$1:$1,0)+1,FALSE)</f>
        <v>【キャンペーン限定】 帽子屋を追え！</v>
      </c>
      <c r="F197" s="5" t="str">
        <f ca="1">VLOOKUP($D197,OFFSET([1]stages!$A$1,0,0,COUNTA([1]stages!$A:$A),MATCH(F$1,[1]stages!$2:$2,0)-MATCH($D$1,[1]stages!$2:$2,0)+1),MATCH(F$1,[1]stages!$2:$2,0)-MATCH($D$1,[1]stages!$2:$2,0)+1,FALSE)</f>
        <v>樹の帽子屋 【超級】</v>
      </c>
      <c r="G197" s="32">
        <v>3</v>
      </c>
      <c r="H197" s="20" t="str">
        <f t="shared" si="131"/>
        <v>11105_2-3</v>
      </c>
      <c r="I197" s="31">
        <v>337</v>
      </c>
      <c r="J197" s="26" t="str">
        <f ca="1">VLOOKUP($I197,OFFSET([2]enemies!$A$1,0,0,COUNTA([2]enemies!$A:$A),MATCH(J$1,[2]enemies!$2:$2,0)-MATCH($I$1,[2]enemies!$2:$2,0)+1),MATCH(J$1,[2]enemies!$2:$2,0)-MATCH($I$1,[2]enemies!$2:$2,0)+1,FALSE)</f>
        <v>森のメタルチック</v>
      </c>
      <c r="K197" s="29" t="str">
        <f ca="1">VLOOKUP($I197,OFFSET([2]enemies!$A$1,0,0,COUNTA([2]enemies!$A:$A),MATCH(K$1,[2]enemies!$2:$2,0)-MATCH($I$1,[2]enemies!$2:$2,0)+1),MATCH(K$1,[2]enemies!$2:$2,0)-MATCH($I$1,[2]enemies!$2:$2,0)+1,FALSE)</f>
        <v>green</v>
      </c>
      <c r="L197" s="29" t="str">
        <f ca="1">VLOOKUP($I197,OFFSET([3]characters!$A$1,0,0,COUNTA([3]characters!$A:$A),MATCH(L$1,[3]characters!$2:$2,0)-MATCH($I$1,[3]characters!$2:$2,0)+1),MATCH(L$1,[3]characters!$2:$2,0)-MATCH($I$1,[3]characters!$2:$2,0)+1,FALSE)</f>
        <v>Material</v>
      </c>
      <c r="M197" s="28" t="str">
        <f ca="1">VLOOKUP($I197,OFFSET([3]characters!$A$1,0,0,COUNTA([3]characters!$A:$A),MATCH(M$1,[3]characters!$2:$2,0)-MATCH($I$1,[3]characters!$2:$2,0)+2),MATCH(M$1,[3]characters!$2:$2,0)-MATCH($I$1,[3]characters!$2:$2,0)+2,FALSE)</f>
        <v>Unknown</v>
      </c>
      <c r="N197" s="5">
        <f ca="1">VLOOKUP($I197,OFFSET([2]enemies!$A$1,0,0,COUNTA([2]enemies!$A:$A),MATCH(N$1,[2]enemies!$2:$2,0)-MATCH($I$1,[2]enemies!$2:$2,0)+1),MATCH(N$1,[2]enemies!$2:$2,0)-MATCH($I$1,[2]enemies!$2:$2,0)+1,FALSE)</f>
        <v>15</v>
      </c>
      <c r="O197" s="6">
        <v>1</v>
      </c>
      <c r="P197" s="46">
        <v>1</v>
      </c>
      <c r="Q197" s="46">
        <v>1</v>
      </c>
      <c r="R197" s="6">
        <v>0</v>
      </c>
      <c r="S197" s="5" t="str">
        <f ca="1">VLOOKUP($T197,OFFSET([4]enemy_skill_sets!$B$1,0,0,COUNTA([4]enemy_skill_sets!$B:$B),MATCH(J$1,[4]enemy_skill_sets!$1:$1,0)-MATCH($T$1,[4]enemy_skill_sets!$1:$1,0)+2),MATCH(J$1,[4]enemy_skill_sets!$1:$1,0)-MATCH($T$1,[4]enemy_skill_sets!$1:$1,0)+2,FALSE)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7" s="5">
        <f ca="1">VLOOKUP($I197,OFFSET([2]enemies!$A$1,0,0,COUNTA([2]enemies!$A:$A),MATCH(T$1,[2]enemies!$2:$2,0)-MATCH($I$1,[2]enemies!$2:$2,0)+1),MATCH(T$1,[2]enemies!$2:$2,0)-MATCH($I$1,[2]enemies!$2:$2,0)+1,FALSE)</f>
        <v>0</v>
      </c>
      <c r="U197" s="7">
        <v>1</v>
      </c>
      <c r="V197" s="7">
        <v>100</v>
      </c>
      <c r="W197" s="7">
        <v>0</v>
      </c>
      <c r="X197" s="26">
        <f ca="1">VLOOKUP($I197,OFFSET([2]enemies!$A$1,0,0,COUNTA([2]enemies!$A:$A),MATCH(X$1,[2]enemies!$2:$2,0)-MATCH($I$1,[2]enemies!$2:$2,0)+1),MATCH(X$1,[2]enemies!$2:$2,0)-MATCH($I$1,[2]enemies!$2:$2,0)+1,FALSE)</f>
        <v>2</v>
      </c>
      <c r="Y197" s="31">
        <v>337</v>
      </c>
      <c r="Z197" s="5" t="str">
        <f ca="1">IFERROR(VLOOKUP($Y197,OFFSET([3]characters!$A$1,0,0,COUNTA([3]characters!$A:$A),MATCH(Z$1,[3]characters!$2:$2,0)-MATCH("character_id",[3]characters!$2:$2,0)+1),MATCH(Z$1,[3]characters!$2:$2,0)-MATCH("character_id",[3]characters!$2:$2,0)+1,FALSE),"")</f>
        <v>森のメタルチック</v>
      </c>
      <c r="AA197" s="5">
        <f ca="1">IFERROR(VLOOKUP($Y197,OFFSET([3]characters!$A$1,0,0,COUNTA([3]characters!$A:$A),MATCH(AA$1,[3]characters!$2:$2,0)-MATCH("character_id",[3]characters!$2:$2,0)+1),MATCH(AA$1,[3]characters!$2:$2,0)-MATCH("character_id",[3]characters!$2:$2,0)+1,FALSE),"")</f>
        <v>4</v>
      </c>
      <c r="AB197" s="5" t="str">
        <f ca="1">IFERROR(VLOOKUP($Y197,OFFSET([3]characters!$A$1,0,0,COUNTA([3]characters!$A:$A),MATCH(AB$1,[3]characters!$2:$2,0)-MATCH("character_id",[3]characters!$2:$2,0)+1),MATCH(AB$1,[3]characters!$2:$2,0)-MATCH("character_id",[3]characters!$2:$2,0)+1,FALSE),"")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97" s="8">
        <v>1</v>
      </c>
      <c r="AD197" s="34">
        <f t="shared" ca="1" si="132"/>
        <v>4</v>
      </c>
      <c r="AE197" s="9">
        <v>10</v>
      </c>
      <c r="AF197" s="8">
        <v>0</v>
      </c>
      <c r="AG197" s="8">
        <v>0</v>
      </c>
      <c r="AH197" s="8">
        <v>0</v>
      </c>
      <c r="AI197" s="8">
        <v>0</v>
      </c>
      <c r="AJ197" s="8">
        <v>1</v>
      </c>
    </row>
    <row r="198" spans="1:36" ht="21" customHeight="1">
      <c r="A198" s="21" t="str">
        <f t="shared" ref="A198:A203" ca="1" si="133">B198&amp;"_"&amp;C198&amp;"-"&amp;G198&amp;"/"&amp;I198&amp;"&lt;lv"&amp;O198&amp;"&gt;s"&amp;X198</f>
        <v>11105_2-4/35&lt;lv40&gt;s4</v>
      </c>
      <c r="B198" s="8">
        <v>11105</v>
      </c>
      <c r="C198" s="52">
        <v>2</v>
      </c>
      <c r="D198" s="2" t="str">
        <f t="shared" ref="D198:D203" si="134">B198&amp;"_"&amp;C198</f>
        <v>11105_2</v>
      </c>
      <c r="E198" s="5" t="str">
        <f ca="1">VLOOKUP($B198,OFFSET([1]quests!$A$1,0,0,COUNTA([1]quests!$A:$A),MATCH(E$1,[1]quests!$1:$1,0)-MATCH($B$1,[1]quests!$1:$1,0)+1),MATCH(E$1,[1]quests!$1:$1,0)-MATCH($B$1,[1]quests!$1:$1,0)+1,FALSE)</f>
        <v>【キャンペーン限定】 帽子屋を追え！</v>
      </c>
      <c r="F198" s="5" t="str">
        <f ca="1">VLOOKUP($D198,OFFSET([1]stages!$A$1,0,0,COUNTA([1]stages!$A:$A),MATCH(F$1,[1]stages!$2:$2,0)-MATCH($D$1,[1]stages!$2:$2,0)+1),MATCH(F$1,[1]stages!$2:$2,0)-MATCH($D$1,[1]stages!$2:$2,0)+1,FALSE)</f>
        <v>樹の帽子屋 【超級】</v>
      </c>
      <c r="G198" s="32">
        <v>4</v>
      </c>
      <c r="H198" s="20" t="str">
        <f t="shared" ref="H198:H203" si="135">B198&amp;"_"&amp;C198&amp;"-"&amp;G198</f>
        <v>11105_2-4</v>
      </c>
      <c r="I198" s="31">
        <v>35</v>
      </c>
      <c r="J198" s="26" t="str">
        <f ca="1">VLOOKUP($I198,OFFSET([2]enemies!$A$1,0,0,COUNTA([2]enemies!$A:$A),MATCH(J$1,[2]enemies!$2:$2,0)-MATCH($I$1,[2]enemies!$2:$2,0)+1),MATCH(J$1,[2]enemies!$2:$2,0)-MATCH($I$1,[2]enemies!$2:$2,0)+1,FALSE)</f>
        <v>F2</v>
      </c>
      <c r="K198" s="29" t="str">
        <f ca="1">VLOOKUP($I198,OFFSET([2]enemies!$A$1,0,0,COUNTA([2]enemies!$A:$A),MATCH(K$1,[2]enemies!$2:$2,0)-MATCH($I$1,[2]enemies!$2:$2,0)+1),MATCH(K$1,[2]enemies!$2:$2,0)-MATCH($I$1,[2]enemies!$2:$2,0)+1,FALSE)</f>
        <v>green</v>
      </c>
      <c r="L198" s="29" t="str">
        <f ca="1">VLOOKUP($I198,OFFSET([3]characters!$A$1,0,0,COUNTA([3]characters!$A:$A),MATCH(L$1,[3]characters!$2:$2,0)-MATCH($I$1,[3]characters!$2:$2,0)+1),MATCH(L$1,[3]characters!$2:$2,0)-MATCH($I$1,[3]characters!$2:$2,0)+1,FALSE)</f>
        <v>Drop1S</v>
      </c>
      <c r="M198" s="28" t="str">
        <f ca="1">VLOOKUP($I198,OFFSET([3]characters!$A$1,0,0,COUNTA([3]characters!$A:$A),MATCH(M$1,[3]characters!$2:$2,0)-MATCH($I$1,[3]characters!$2:$2,0)+2),MATCH(M$1,[3]characters!$2:$2,0)-MATCH($I$1,[3]characters!$2:$2,0)+2,FALSE)</f>
        <v>マシン</v>
      </c>
      <c r="N198" s="5">
        <f ca="1">VLOOKUP($I198,OFFSET([2]enemies!$A$1,0,0,COUNTA([2]enemies!$A:$A),MATCH(N$1,[2]enemies!$2:$2,0)-MATCH($I$1,[2]enemies!$2:$2,0)+1),MATCH(N$1,[2]enemies!$2:$2,0)-MATCH($I$1,[2]enemies!$2:$2,0)+1,FALSE)</f>
        <v>15</v>
      </c>
      <c r="O198" s="6">
        <v>40</v>
      </c>
      <c r="P198" s="46">
        <v>1.3</v>
      </c>
      <c r="Q198" s="46">
        <v>0.8</v>
      </c>
      <c r="R198" s="6">
        <v>0</v>
      </c>
      <c r="S198" s="5" t="str">
        <f ca="1">VLOOKUP($T198,OFFSET([4]enemy_skill_sets!$B$1,0,0,COUNTA([4]enemy_skill_sets!$B:$B),MATCH(J$1,[4]enemy_skill_sets!$1:$1,0)-MATCH($T$1,[4]enemy_skill_sets!$1:$1,0)+2),MATCH(J$1,[4]enemy_skill_sets!$1:$1,0)-MATCH($T$1,[4]enemy_skill_sets!$1:$1,0)+2,FALSE)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198" s="5">
        <f ca="1">VLOOKUP($I198,OFFSET([2]enemies!$A$1,0,0,COUNTA([2]enemies!$A:$A),MATCH(T$1,[2]enemies!$2:$2,0)-MATCH($I$1,[2]enemies!$2:$2,0)+1),MATCH(T$1,[2]enemies!$2:$2,0)-MATCH($I$1,[2]enemies!$2:$2,0)+1,FALSE)</f>
        <v>35</v>
      </c>
      <c r="U198" s="7">
        <v>0</v>
      </c>
      <c r="V198" s="7">
        <v>100</v>
      </c>
      <c r="W198" s="7">
        <v>0</v>
      </c>
      <c r="X198" s="26">
        <f ca="1">VLOOKUP($I198,OFFSET([2]enemies!$A$1,0,0,COUNTA([2]enemies!$A:$A),MATCH(X$1,[2]enemies!$2:$2,0)-MATCH($I$1,[2]enemies!$2:$2,0)+1),MATCH(X$1,[2]enemies!$2:$2,0)-MATCH($I$1,[2]enemies!$2:$2,0)+1,FALSE)</f>
        <v>4</v>
      </c>
      <c r="Y198" s="31">
        <v>35</v>
      </c>
      <c r="Z198" s="5" t="str">
        <f ca="1">IFERROR(VLOOKUP($Y198,OFFSET([3]characters!$A$1,0,0,COUNTA([3]characters!$A:$A),MATCH(Z$1,[3]characters!$2:$2,0)-MATCH("character_id",[3]characters!$2:$2,0)+1),MATCH(Z$1,[3]characters!$2:$2,0)-MATCH("character_id",[3]characters!$2:$2,0)+1,FALSE),"")</f>
        <v>F2</v>
      </c>
      <c r="AA198" s="5">
        <f ca="1">IFERROR(VLOOKUP($Y198,OFFSET([3]characters!$A$1,0,0,COUNTA([3]characters!$A:$A),MATCH(AA$1,[3]characters!$2:$2,0)-MATCH("character_id",[3]characters!$2:$2,0)+1),MATCH(AA$1,[3]characters!$2:$2,0)-MATCH("character_id",[3]characters!$2:$2,0)+1,FALSE),"")</f>
        <v>2</v>
      </c>
      <c r="AB198" s="5" t="str">
        <f ca="1">IFERROR(VLOOKUP($Y198,OFFSET([3]characters!$A$1,0,0,COUNTA([3]characters!$A:$A),MATCH(AB$1,[3]characters!$2:$2,0)-MATCH("character_id",[3]characters!$2:$2,0)+1),MATCH(AB$1,[3]characters!$2:$2,0)-MATCH("character_id",[3]characters!$2:$2,0)+1,FALSE),"")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98" s="8">
        <v>1</v>
      </c>
      <c r="AD198" s="34">
        <f t="shared" ref="AD198:AD203" ca="1" si="136">AA198</f>
        <v>2</v>
      </c>
      <c r="AE198" s="9">
        <v>0</v>
      </c>
      <c r="AF198" s="8">
        <v>0</v>
      </c>
      <c r="AG198" s="8">
        <v>0</v>
      </c>
      <c r="AH198" s="8">
        <v>0</v>
      </c>
      <c r="AI198" s="8">
        <v>0</v>
      </c>
      <c r="AJ198" s="8">
        <v>1</v>
      </c>
    </row>
    <row r="199" spans="1:36" ht="21" customHeight="1">
      <c r="A199" s="21" t="str">
        <f t="shared" ca="1" si="133"/>
        <v>11105_2-4/27&lt;lv42&gt;s1</v>
      </c>
      <c r="B199" s="8">
        <v>11105</v>
      </c>
      <c r="C199" s="52">
        <v>2</v>
      </c>
      <c r="D199" s="2" t="str">
        <f t="shared" si="134"/>
        <v>11105_2</v>
      </c>
      <c r="E199" s="5" t="str">
        <f ca="1">VLOOKUP($B199,OFFSET([1]quests!$A$1,0,0,COUNTA([1]quests!$A:$A),MATCH(E$1,[1]quests!$1:$1,0)-MATCH($B$1,[1]quests!$1:$1,0)+1),MATCH(E$1,[1]quests!$1:$1,0)-MATCH($B$1,[1]quests!$1:$1,0)+1,FALSE)</f>
        <v>【キャンペーン限定】 帽子屋を追え！</v>
      </c>
      <c r="F199" s="5" t="str">
        <f ca="1">VLOOKUP($D199,OFFSET([1]stages!$A$1,0,0,COUNTA([1]stages!$A:$A),MATCH(F$1,[1]stages!$2:$2,0)-MATCH($D$1,[1]stages!$2:$2,0)+1),MATCH(F$1,[1]stages!$2:$2,0)-MATCH($D$1,[1]stages!$2:$2,0)+1,FALSE)</f>
        <v>樹の帽子屋 【超級】</v>
      </c>
      <c r="G199" s="32">
        <v>4</v>
      </c>
      <c r="H199" s="20" t="str">
        <f t="shared" si="135"/>
        <v>11105_2-4</v>
      </c>
      <c r="I199" s="31">
        <v>27</v>
      </c>
      <c r="J199" s="26" t="str">
        <f ca="1">VLOOKUP($I199,OFFSET([2]enemies!$A$1,0,0,COUNTA([2]enemies!$A:$A),MATCH(J$1,[2]enemies!$2:$2,0)-MATCH($I$1,[2]enemies!$2:$2,0)+1),MATCH(J$1,[2]enemies!$2:$2,0)-MATCH($I$1,[2]enemies!$2:$2,0)+1,FALSE)</f>
        <v>パトライン</v>
      </c>
      <c r="K199" s="29" t="str">
        <f ca="1">VLOOKUP($I199,OFFSET([2]enemies!$A$1,0,0,COUNTA([2]enemies!$A:$A),MATCH(K$1,[2]enemies!$2:$2,0)-MATCH($I$1,[2]enemies!$2:$2,0)+1),MATCH(K$1,[2]enemies!$2:$2,0)-MATCH($I$1,[2]enemies!$2:$2,0)+1,FALSE)</f>
        <v>green</v>
      </c>
      <c r="L199" s="29" t="str">
        <f ca="1">VLOOKUP($I199,OFFSET([3]characters!$A$1,0,0,COUNTA([3]characters!$A:$A),MATCH(L$1,[3]characters!$2:$2,0)-MATCH($I$1,[3]characters!$2:$2,0)+1),MATCH(L$1,[3]characters!$2:$2,0)-MATCH($I$1,[3]characters!$2:$2,0)+1,FALSE)</f>
        <v>Drop1N</v>
      </c>
      <c r="M199" s="28" t="str">
        <f ca="1">VLOOKUP($I199,OFFSET([3]characters!$A$1,0,0,COUNTA([3]characters!$A:$A),MATCH(M$1,[3]characters!$2:$2,0)-MATCH($I$1,[3]characters!$2:$2,0)+2),MATCH(M$1,[3]characters!$2:$2,0)-MATCH($I$1,[3]characters!$2:$2,0)+2,FALSE)</f>
        <v>マシン</v>
      </c>
      <c r="N199" s="5">
        <f ca="1">VLOOKUP($I199,OFFSET([2]enemies!$A$1,0,0,COUNTA([2]enemies!$A:$A),MATCH(N$1,[2]enemies!$2:$2,0)-MATCH($I$1,[2]enemies!$2:$2,0)+1),MATCH(N$1,[2]enemies!$2:$2,0)-MATCH($I$1,[2]enemies!$2:$2,0)+1,FALSE)</f>
        <v>15</v>
      </c>
      <c r="O199" s="6">
        <v>42</v>
      </c>
      <c r="P199" s="46">
        <v>1.2</v>
      </c>
      <c r="Q199" s="46">
        <v>1</v>
      </c>
      <c r="R199" s="6">
        <v>0</v>
      </c>
      <c r="S199" s="5" t="str">
        <f ca="1">VLOOKUP($T199,OFFSET([4]enemy_skill_sets!$B$1,0,0,COUNTA([4]enemy_skill_sets!$B:$B),MATCH(J$1,[4]enemy_skill_sets!$1:$1,0)-MATCH($T$1,[4]enemy_skill_sets!$1:$1,0)+2),MATCH(J$1,[4]enemy_skill_sets!$1:$1,0)-MATCH($T$1,[4]enemy_skill_sets!$1:$1,0)+2,FALSE)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9" s="5">
        <f ca="1">VLOOKUP($I199,OFFSET([2]enemies!$A$1,0,0,COUNTA([2]enemies!$A:$A),MATCH(T$1,[2]enemies!$2:$2,0)-MATCH($I$1,[2]enemies!$2:$2,0)+1),MATCH(T$1,[2]enemies!$2:$2,0)-MATCH($I$1,[2]enemies!$2:$2,0)+1,FALSE)</f>
        <v>0</v>
      </c>
      <c r="U199" s="7">
        <v>0</v>
      </c>
      <c r="V199" s="7">
        <v>100</v>
      </c>
      <c r="W199" s="7">
        <v>0</v>
      </c>
      <c r="X199" s="26">
        <f ca="1">VLOOKUP($I199,OFFSET([2]enemies!$A$1,0,0,COUNTA([2]enemies!$A:$A),MATCH(X$1,[2]enemies!$2:$2,0)-MATCH($I$1,[2]enemies!$2:$2,0)+1),MATCH(X$1,[2]enemies!$2:$2,0)-MATCH($I$1,[2]enemies!$2:$2,0)+1,FALSE)</f>
        <v>1</v>
      </c>
      <c r="Y199" s="31">
        <v>27</v>
      </c>
      <c r="Z199" s="5" t="str">
        <f ca="1">IFERROR(VLOOKUP($Y199,OFFSET([3]characters!$A$1,0,0,COUNTA([3]characters!$A:$A),MATCH(Z$1,[3]characters!$2:$2,0)-MATCH("character_id",[3]characters!$2:$2,0)+1),MATCH(Z$1,[3]characters!$2:$2,0)-MATCH("character_id",[3]characters!$2:$2,0)+1,FALSE),"")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199" s="5">
        <f ca="1">IFERROR(VLOOKUP($Y199,OFFSET([3]characters!$A$1,0,0,COUNTA([3]characters!$A:$A),MATCH(AA$1,[3]characters!$2:$2,0)-MATCH("character_id",[3]characters!$2:$2,0)+1),MATCH(AA$1,[3]characters!$2:$2,0)-MATCH("character_id",[3]characters!$2:$2,0)+1,FALSE),"")</f>
        <v>1</v>
      </c>
      <c r="AB199" s="5" t="str">
        <f ca="1">IFERROR(VLOOKUP($Y199,OFFSET([3]characters!$A$1,0,0,COUNTA([3]characters!$A:$A),MATCH(AB$1,[3]characters!$2:$2,0)-MATCH("character_id",[3]characters!$2:$2,0)+1),MATCH(AB$1,[3]characters!$2:$2,0)-MATCH("character_id",[3]characters!$2:$2,0)+1,FALSE),"")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99" s="8">
        <v>1</v>
      </c>
      <c r="AD199" s="34">
        <f t="shared" ca="1" si="136"/>
        <v>1</v>
      </c>
      <c r="AE199" s="9">
        <v>0</v>
      </c>
      <c r="AF199" s="8">
        <v>0</v>
      </c>
      <c r="AG199" s="8">
        <v>0</v>
      </c>
      <c r="AH199" s="8">
        <v>0</v>
      </c>
      <c r="AI199" s="8">
        <v>0</v>
      </c>
      <c r="AJ199" s="8">
        <v>1</v>
      </c>
    </row>
    <row r="200" spans="1:36" ht="21" customHeight="1">
      <c r="A200" s="21" t="str">
        <f t="shared" ref="A200:A201" ca="1" si="137">B200&amp;"_"&amp;C200&amp;"-"&amp;G200&amp;"/"&amp;I200&amp;"&lt;lv"&amp;O200&amp;"&gt;s"&amp;X200</f>
        <v>11105_2-5/35&lt;lv40&gt;s4</v>
      </c>
      <c r="B200" s="8">
        <v>11105</v>
      </c>
      <c r="C200" s="52">
        <v>2</v>
      </c>
      <c r="D200" s="2" t="str">
        <f t="shared" ref="D200:D201" si="138">B200&amp;"_"&amp;C200</f>
        <v>11105_2</v>
      </c>
      <c r="E200" s="5" t="str">
        <f ca="1">VLOOKUP($B200,OFFSET([1]quests!$A$1,0,0,COUNTA([1]quests!$A:$A),MATCH(E$1,[1]quests!$1:$1,0)-MATCH($B$1,[1]quests!$1:$1,0)+1),MATCH(E$1,[1]quests!$1:$1,0)-MATCH($B$1,[1]quests!$1:$1,0)+1,FALSE)</f>
        <v>【キャンペーン限定】 帽子屋を追え！</v>
      </c>
      <c r="F200" s="5" t="str">
        <f ca="1">VLOOKUP($D200,OFFSET([1]stages!$A$1,0,0,COUNTA([1]stages!$A:$A),MATCH(F$1,[1]stages!$2:$2,0)-MATCH($D$1,[1]stages!$2:$2,0)+1),MATCH(F$1,[1]stages!$2:$2,0)-MATCH($D$1,[1]stages!$2:$2,0)+1,FALSE)</f>
        <v>樹の帽子屋 【超級】</v>
      </c>
      <c r="G200" s="32">
        <v>5</v>
      </c>
      <c r="H200" s="20" t="str">
        <f t="shared" ref="H200:H201" si="139">B200&amp;"_"&amp;C200&amp;"-"&amp;G200</f>
        <v>11105_2-5</v>
      </c>
      <c r="I200" s="31">
        <v>35</v>
      </c>
      <c r="J200" s="26" t="str">
        <f ca="1">VLOOKUP($I200,OFFSET([2]enemies!$A$1,0,0,COUNTA([2]enemies!$A:$A),MATCH(J$1,[2]enemies!$2:$2,0)-MATCH($I$1,[2]enemies!$2:$2,0)+1),MATCH(J$1,[2]enemies!$2:$2,0)-MATCH($I$1,[2]enemies!$2:$2,0)+1,FALSE)</f>
        <v>F2</v>
      </c>
      <c r="K200" s="29" t="str">
        <f ca="1">VLOOKUP($I200,OFFSET([2]enemies!$A$1,0,0,COUNTA([2]enemies!$A:$A),MATCH(K$1,[2]enemies!$2:$2,0)-MATCH($I$1,[2]enemies!$2:$2,0)+1),MATCH(K$1,[2]enemies!$2:$2,0)-MATCH($I$1,[2]enemies!$2:$2,0)+1,FALSE)</f>
        <v>green</v>
      </c>
      <c r="L200" s="29" t="str">
        <f ca="1">VLOOKUP($I200,OFFSET([3]characters!$A$1,0,0,COUNTA([3]characters!$A:$A),MATCH(L$1,[3]characters!$2:$2,0)-MATCH($I$1,[3]characters!$2:$2,0)+1),MATCH(L$1,[3]characters!$2:$2,0)-MATCH($I$1,[3]characters!$2:$2,0)+1,FALSE)</f>
        <v>Drop1S</v>
      </c>
      <c r="M200" s="28" t="str">
        <f ca="1">VLOOKUP($I200,OFFSET([3]characters!$A$1,0,0,COUNTA([3]characters!$A:$A),MATCH(M$1,[3]characters!$2:$2,0)-MATCH($I$1,[3]characters!$2:$2,0)+2),MATCH(M$1,[3]characters!$2:$2,0)-MATCH($I$1,[3]characters!$2:$2,0)+2,FALSE)</f>
        <v>マシン</v>
      </c>
      <c r="N200" s="5">
        <f ca="1">VLOOKUP($I200,OFFSET([2]enemies!$A$1,0,0,COUNTA([2]enemies!$A:$A),MATCH(N$1,[2]enemies!$2:$2,0)-MATCH($I$1,[2]enemies!$2:$2,0)+1),MATCH(N$1,[2]enemies!$2:$2,0)-MATCH($I$1,[2]enemies!$2:$2,0)+1,FALSE)</f>
        <v>15</v>
      </c>
      <c r="O200" s="6">
        <v>40</v>
      </c>
      <c r="P200" s="46">
        <v>1.3</v>
      </c>
      <c r="Q200" s="46">
        <v>0.8</v>
      </c>
      <c r="R200" s="6">
        <v>0</v>
      </c>
      <c r="S200" s="5" t="str">
        <f ca="1">VLOOKUP($T200,OFFSET([4]enemy_skill_sets!$B$1,0,0,COUNTA([4]enemy_skill_sets!$B:$B),MATCH(J$1,[4]enemy_skill_sets!$1:$1,0)-MATCH($T$1,[4]enemy_skill_sets!$1:$1,0)+2),MATCH(J$1,[4]enemy_skill_sets!$1:$1,0)-MATCH($T$1,[4]enemy_skill_sets!$1:$1,0)+2,FALSE)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200" s="5">
        <f ca="1">VLOOKUP($I200,OFFSET([2]enemies!$A$1,0,0,COUNTA([2]enemies!$A:$A),MATCH(T$1,[2]enemies!$2:$2,0)-MATCH($I$1,[2]enemies!$2:$2,0)+1),MATCH(T$1,[2]enemies!$2:$2,0)-MATCH($I$1,[2]enemies!$2:$2,0)+1,FALSE)</f>
        <v>35</v>
      </c>
      <c r="U200" s="7">
        <v>0</v>
      </c>
      <c r="V200" s="7">
        <v>100</v>
      </c>
      <c r="W200" s="7">
        <v>0</v>
      </c>
      <c r="X200" s="26">
        <f ca="1">VLOOKUP($I200,OFFSET([2]enemies!$A$1,0,0,COUNTA([2]enemies!$A:$A),MATCH(X$1,[2]enemies!$2:$2,0)-MATCH($I$1,[2]enemies!$2:$2,0)+1),MATCH(X$1,[2]enemies!$2:$2,0)-MATCH($I$1,[2]enemies!$2:$2,0)+1,FALSE)</f>
        <v>4</v>
      </c>
      <c r="Y200" s="31">
        <v>35</v>
      </c>
      <c r="Z200" s="5" t="str">
        <f ca="1">IFERROR(VLOOKUP($Y200,OFFSET([3]characters!$A$1,0,0,COUNTA([3]characters!$A:$A),MATCH(Z$1,[3]characters!$2:$2,0)-MATCH("character_id",[3]characters!$2:$2,0)+1),MATCH(Z$1,[3]characters!$2:$2,0)-MATCH("character_id",[3]characters!$2:$2,0)+1,FALSE),"")</f>
        <v>F2</v>
      </c>
      <c r="AA200" s="5">
        <f ca="1">IFERROR(VLOOKUP($Y200,OFFSET([3]characters!$A$1,0,0,COUNTA([3]characters!$A:$A),MATCH(AA$1,[3]characters!$2:$2,0)-MATCH("character_id",[3]characters!$2:$2,0)+1),MATCH(AA$1,[3]characters!$2:$2,0)-MATCH("character_id",[3]characters!$2:$2,0)+1,FALSE),"")</f>
        <v>2</v>
      </c>
      <c r="AB200" s="5" t="str">
        <f ca="1">IFERROR(VLOOKUP($Y200,OFFSET([3]characters!$A$1,0,0,COUNTA([3]characters!$A:$A),MATCH(AB$1,[3]characters!$2:$2,0)-MATCH("character_id",[3]characters!$2:$2,0)+1),MATCH(AB$1,[3]characters!$2:$2,0)-MATCH("character_id",[3]characters!$2:$2,0)+1,FALSE),"")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00" s="8">
        <v>1</v>
      </c>
      <c r="AD200" s="34">
        <f t="shared" ref="AD200:AD201" ca="1" si="140">AA200</f>
        <v>2</v>
      </c>
      <c r="AE200" s="9">
        <v>0</v>
      </c>
      <c r="AF200" s="8">
        <v>0</v>
      </c>
      <c r="AG200" s="8">
        <v>0</v>
      </c>
      <c r="AH200" s="8">
        <v>0</v>
      </c>
      <c r="AI200" s="8">
        <v>0</v>
      </c>
      <c r="AJ200" s="8">
        <v>1</v>
      </c>
    </row>
    <row r="201" spans="1:36" ht="21" customHeight="1">
      <c r="A201" s="21" t="str">
        <f t="shared" ca="1" si="137"/>
        <v>11105_2-5/27&lt;lv42&gt;s1</v>
      </c>
      <c r="B201" s="8">
        <v>11105</v>
      </c>
      <c r="C201" s="52">
        <v>2</v>
      </c>
      <c r="D201" s="2" t="str">
        <f t="shared" si="138"/>
        <v>11105_2</v>
      </c>
      <c r="E201" s="5" t="str">
        <f ca="1">VLOOKUP($B201,OFFSET([1]quests!$A$1,0,0,COUNTA([1]quests!$A:$A),MATCH(E$1,[1]quests!$1:$1,0)-MATCH($B$1,[1]quests!$1:$1,0)+1),MATCH(E$1,[1]quests!$1:$1,0)-MATCH($B$1,[1]quests!$1:$1,0)+1,FALSE)</f>
        <v>【キャンペーン限定】 帽子屋を追え！</v>
      </c>
      <c r="F201" s="5" t="str">
        <f ca="1">VLOOKUP($D201,OFFSET([1]stages!$A$1,0,0,COUNTA([1]stages!$A:$A),MATCH(F$1,[1]stages!$2:$2,0)-MATCH($D$1,[1]stages!$2:$2,0)+1),MATCH(F$1,[1]stages!$2:$2,0)-MATCH($D$1,[1]stages!$2:$2,0)+1,FALSE)</f>
        <v>樹の帽子屋 【超級】</v>
      </c>
      <c r="G201" s="32">
        <v>5</v>
      </c>
      <c r="H201" s="20" t="str">
        <f t="shared" si="139"/>
        <v>11105_2-5</v>
      </c>
      <c r="I201" s="31">
        <v>27</v>
      </c>
      <c r="J201" s="26" t="str">
        <f ca="1">VLOOKUP($I201,OFFSET([2]enemies!$A$1,0,0,COUNTA([2]enemies!$A:$A),MATCH(J$1,[2]enemies!$2:$2,0)-MATCH($I$1,[2]enemies!$2:$2,0)+1),MATCH(J$1,[2]enemies!$2:$2,0)-MATCH($I$1,[2]enemies!$2:$2,0)+1,FALSE)</f>
        <v>パトライン</v>
      </c>
      <c r="K201" s="29" t="str">
        <f ca="1">VLOOKUP($I201,OFFSET([2]enemies!$A$1,0,0,COUNTA([2]enemies!$A:$A),MATCH(K$1,[2]enemies!$2:$2,0)-MATCH($I$1,[2]enemies!$2:$2,0)+1),MATCH(K$1,[2]enemies!$2:$2,0)-MATCH($I$1,[2]enemies!$2:$2,0)+1,FALSE)</f>
        <v>green</v>
      </c>
      <c r="L201" s="29" t="str">
        <f ca="1">VLOOKUP($I201,OFFSET([3]characters!$A$1,0,0,COUNTA([3]characters!$A:$A),MATCH(L$1,[3]characters!$2:$2,0)-MATCH($I$1,[3]characters!$2:$2,0)+1),MATCH(L$1,[3]characters!$2:$2,0)-MATCH($I$1,[3]characters!$2:$2,0)+1,FALSE)</f>
        <v>Drop1N</v>
      </c>
      <c r="M201" s="28" t="str">
        <f ca="1">VLOOKUP($I201,OFFSET([3]characters!$A$1,0,0,COUNTA([3]characters!$A:$A),MATCH(M$1,[3]characters!$2:$2,0)-MATCH($I$1,[3]characters!$2:$2,0)+2),MATCH(M$1,[3]characters!$2:$2,0)-MATCH($I$1,[3]characters!$2:$2,0)+2,FALSE)</f>
        <v>マシン</v>
      </c>
      <c r="N201" s="5">
        <f ca="1">VLOOKUP($I201,OFFSET([2]enemies!$A$1,0,0,COUNTA([2]enemies!$A:$A),MATCH(N$1,[2]enemies!$2:$2,0)-MATCH($I$1,[2]enemies!$2:$2,0)+1),MATCH(N$1,[2]enemies!$2:$2,0)-MATCH($I$1,[2]enemies!$2:$2,0)+1,FALSE)</f>
        <v>15</v>
      </c>
      <c r="O201" s="6">
        <v>42</v>
      </c>
      <c r="P201" s="46">
        <v>1.2</v>
      </c>
      <c r="Q201" s="46">
        <v>1</v>
      </c>
      <c r="R201" s="6">
        <v>0</v>
      </c>
      <c r="S201" s="5" t="str">
        <f ca="1">VLOOKUP($T201,OFFSET([4]enemy_skill_sets!$B$1,0,0,COUNTA([4]enemy_skill_sets!$B:$B),MATCH(J$1,[4]enemy_skill_sets!$1:$1,0)-MATCH($T$1,[4]enemy_skill_sets!$1:$1,0)+2),MATCH(J$1,[4]enemy_skill_sets!$1:$1,0)-MATCH($T$1,[4]enemy_skill_sets!$1:$1,0)+2,FALSE)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1" s="5">
        <f ca="1">VLOOKUP($I201,OFFSET([2]enemies!$A$1,0,0,COUNTA([2]enemies!$A:$A),MATCH(T$1,[2]enemies!$2:$2,0)-MATCH($I$1,[2]enemies!$2:$2,0)+1),MATCH(T$1,[2]enemies!$2:$2,0)-MATCH($I$1,[2]enemies!$2:$2,0)+1,FALSE)</f>
        <v>0</v>
      </c>
      <c r="U201" s="7">
        <v>0</v>
      </c>
      <c r="V201" s="7">
        <v>100</v>
      </c>
      <c r="W201" s="7">
        <v>0</v>
      </c>
      <c r="X201" s="26">
        <f ca="1">VLOOKUP($I201,OFFSET([2]enemies!$A$1,0,0,COUNTA([2]enemies!$A:$A),MATCH(X$1,[2]enemies!$2:$2,0)-MATCH($I$1,[2]enemies!$2:$2,0)+1),MATCH(X$1,[2]enemies!$2:$2,0)-MATCH($I$1,[2]enemies!$2:$2,0)+1,FALSE)</f>
        <v>1</v>
      </c>
      <c r="Y201" s="31">
        <v>27</v>
      </c>
      <c r="Z201" s="5" t="str">
        <f ca="1">IFERROR(VLOOKUP($Y201,OFFSET([3]characters!$A$1,0,0,COUNTA([3]characters!$A:$A),MATCH(Z$1,[3]characters!$2:$2,0)-MATCH("character_id",[3]characters!$2:$2,0)+1),MATCH(Z$1,[3]characters!$2:$2,0)-MATCH("character_id",[3]characters!$2:$2,0)+1,FALSE),"")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201" s="5">
        <f ca="1">IFERROR(VLOOKUP($Y201,OFFSET([3]characters!$A$1,0,0,COUNTA([3]characters!$A:$A),MATCH(AA$1,[3]characters!$2:$2,0)-MATCH("character_id",[3]characters!$2:$2,0)+1),MATCH(AA$1,[3]characters!$2:$2,0)-MATCH("character_id",[3]characters!$2:$2,0)+1,FALSE),"")</f>
        <v>1</v>
      </c>
      <c r="AB201" s="5" t="str">
        <f ca="1">IFERROR(VLOOKUP($Y201,OFFSET([3]characters!$A$1,0,0,COUNTA([3]characters!$A:$A),MATCH(AB$1,[3]characters!$2:$2,0)-MATCH("character_id",[3]characters!$2:$2,0)+1),MATCH(AB$1,[3]characters!$2:$2,0)-MATCH("character_id",[3]characters!$2:$2,0)+1,FALSE),"")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01" s="8">
        <v>1</v>
      </c>
      <c r="AD201" s="34">
        <f t="shared" ca="1" si="140"/>
        <v>1</v>
      </c>
      <c r="AE201" s="9">
        <v>0</v>
      </c>
      <c r="AF201" s="8">
        <v>0</v>
      </c>
      <c r="AG201" s="8">
        <v>0</v>
      </c>
      <c r="AH201" s="8">
        <v>0</v>
      </c>
      <c r="AI201" s="8">
        <v>0</v>
      </c>
      <c r="AJ201" s="8">
        <v>1</v>
      </c>
    </row>
    <row r="202" spans="1:36" ht="21" customHeight="1">
      <c r="A202" s="21" t="str">
        <f t="shared" ca="1" si="133"/>
        <v>11105_2-6/108&lt;lv40&gt;s2</v>
      </c>
      <c r="B202" s="8">
        <v>11105</v>
      </c>
      <c r="C202" s="52">
        <v>2</v>
      </c>
      <c r="D202" s="2" t="str">
        <f t="shared" si="134"/>
        <v>11105_2</v>
      </c>
      <c r="E202" s="5" t="str">
        <f ca="1">VLOOKUP($B202,OFFSET([1]quests!$A$1,0,0,COUNTA([1]quests!$A:$A),MATCH(E$1,[1]quests!$1:$1,0)-MATCH($B$1,[1]quests!$1:$1,0)+1),MATCH(E$1,[1]quests!$1:$1,0)-MATCH($B$1,[1]quests!$1:$1,0)+1,FALSE)</f>
        <v>【キャンペーン限定】 帽子屋を追え！</v>
      </c>
      <c r="F202" s="5" t="str">
        <f ca="1">VLOOKUP($D202,OFFSET([1]stages!$A$1,0,0,COUNTA([1]stages!$A:$A),MATCH(F$1,[1]stages!$2:$2,0)-MATCH($D$1,[1]stages!$2:$2,0)+1),MATCH(F$1,[1]stages!$2:$2,0)-MATCH($D$1,[1]stages!$2:$2,0)+1,FALSE)</f>
        <v>樹の帽子屋 【超級】</v>
      </c>
      <c r="G202" s="32">
        <v>6</v>
      </c>
      <c r="H202" s="20" t="str">
        <f t="shared" si="135"/>
        <v>11105_2-6</v>
      </c>
      <c r="I202" s="31">
        <v>108</v>
      </c>
      <c r="J202" s="26" t="str">
        <f ca="1">VLOOKUP($I202,OFFSET([2]enemies!$A$1,0,0,COUNTA([2]enemies!$A:$A),MATCH(J$1,[2]enemies!$2:$2,0)-MATCH($I$1,[2]enemies!$2:$2,0)+1),MATCH(J$1,[2]enemies!$2:$2,0)-MATCH($I$1,[2]enemies!$2:$2,0)+1,FALSE)</f>
        <v>森のマッドハッター</v>
      </c>
      <c r="K202" s="29" t="str">
        <f ca="1">VLOOKUP($I202,OFFSET([2]enemies!$A$1,0,0,COUNTA([2]enemies!$A:$A),MATCH(K$1,[2]enemies!$2:$2,0)-MATCH($I$1,[2]enemies!$2:$2,0)+1),MATCH(K$1,[2]enemies!$2:$2,0)-MATCH($I$1,[2]enemies!$2:$2,0)+1,FALSE)</f>
        <v>green</v>
      </c>
      <c r="L202" s="29" t="str">
        <f ca="1">VLOOKUP($I202,OFFSET([3]characters!$A$1,0,0,COUNTA([3]characters!$A:$A),MATCH(L$1,[3]characters!$2:$2,0)-MATCH($I$1,[3]characters!$2:$2,0)+1),MATCH(L$1,[3]characters!$2:$2,0)-MATCH($I$1,[3]characters!$2:$2,0)+1,FALSE)</f>
        <v>Material</v>
      </c>
      <c r="M202" s="28" t="str">
        <f ca="1">VLOOKUP($I202,OFFSET([3]characters!$A$1,0,0,COUNTA([3]characters!$A:$A),MATCH(M$1,[3]characters!$2:$2,0)-MATCH($I$1,[3]characters!$2:$2,0)+2),MATCH(M$1,[3]characters!$2:$2,0)-MATCH($I$1,[3]characters!$2:$2,0)+2,FALSE)</f>
        <v>Unknown</v>
      </c>
      <c r="N202" s="5">
        <f ca="1">VLOOKUP($I202,OFFSET([2]enemies!$A$1,0,0,COUNTA([2]enemies!$A:$A),MATCH(N$1,[2]enemies!$2:$2,0)-MATCH($I$1,[2]enemies!$2:$2,0)+1),MATCH(N$1,[2]enemies!$2:$2,0)-MATCH($I$1,[2]enemies!$2:$2,0)+1,FALSE)</f>
        <v>20</v>
      </c>
      <c r="O202" s="6">
        <v>40</v>
      </c>
      <c r="P202" s="46">
        <v>2</v>
      </c>
      <c r="Q202" s="46">
        <v>1</v>
      </c>
      <c r="R202" s="6">
        <v>0</v>
      </c>
      <c r="S202" s="5" t="str">
        <f ca="1">VLOOKUP($T202,OFFSET([4]enemy_skill_sets!$B$1,0,0,COUNTA([4]enemy_skill_sets!$B:$B),MATCH(J$1,[4]enemy_skill_sets!$1:$1,0)-MATCH($T$1,[4]enemy_skill_sets!$1:$1,0)+2),MATCH(J$1,[4]enemy_skill_sets!$1:$1,0)-MATCH($T$1,[4]enemy_skill_sets!$1:$1,0)+2,FALSE)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2" s="5">
        <f ca="1">VLOOKUP($I202,OFFSET([2]enemies!$A$1,0,0,COUNTA([2]enemies!$A:$A),MATCH(T$1,[2]enemies!$2:$2,0)-MATCH($I$1,[2]enemies!$2:$2,0)+1),MATCH(T$1,[2]enemies!$2:$2,0)-MATCH($I$1,[2]enemies!$2:$2,0)+1,FALSE)</f>
        <v>0</v>
      </c>
      <c r="U202" s="7">
        <v>0</v>
      </c>
      <c r="V202" s="7">
        <v>100</v>
      </c>
      <c r="W202" s="7">
        <v>1</v>
      </c>
      <c r="X202" s="26">
        <f ca="1">VLOOKUP($I202,OFFSET([2]enemies!$A$1,0,0,COUNTA([2]enemies!$A:$A),MATCH(X$1,[2]enemies!$2:$2,0)-MATCH($I$1,[2]enemies!$2:$2,0)+1),MATCH(X$1,[2]enemies!$2:$2,0)-MATCH($I$1,[2]enemies!$2:$2,0)+1,FALSE)</f>
        <v>2</v>
      </c>
      <c r="Y202" s="31">
        <v>108</v>
      </c>
      <c r="Z202" s="5" t="str">
        <f ca="1">IFERROR(VLOOKUP($Y202,OFFSET([3]characters!$A$1,0,0,COUNTA([3]characters!$A:$A),MATCH(Z$1,[3]characters!$2:$2,0)-MATCH("character_id",[3]characters!$2:$2,0)+1),MATCH(Z$1,[3]characters!$2:$2,0)-MATCH("character_id",[3]characters!$2:$2,0)+1,FALSE),"")</f>
        <v>森のマッドハッター</v>
      </c>
      <c r="AA202" s="5">
        <f ca="1">IFERROR(VLOOKUP($Y202,OFFSET([3]characters!$A$1,0,0,COUNTA([3]characters!$A:$A),MATCH(AA$1,[3]characters!$2:$2,0)-MATCH("character_id",[3]characters!$2:$2,0)+1),MATCH(AA$1,[3]characters!$2:$2,0)-MATCH("character_id",[3]characters!$2:$2,0)+1,FALSE),"")</f>
        <v>5</v>
      </c>
      <c r="AB202" s="5" t="str">
        <f ca="1">IFERROR(VLOOKUP($Y202,OFFSET([3]characters!$A$1,0,0,COUNTA([3]characters!$A:$A),MATCH(AB$1,[3]characters!$2:$2,0)-MATCH("character_id",[3]characters!$2:$2,0)+1),MATCH(AB$1,[3]characters!$2:$2,0)-MATCH("character_id",[3]characters!$2:$2,0)+1,FALSE),"")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02" s="8">
        <v>1</v>
      </c>
      <c r="AD202" s="34">
        <f t="shared" ca="1" si="136"/>
        <v>5</v>
      </c>
      <c r="AE202" s="9">
        <v>100</v>
      </c>
      <c r="AF202" s="8">
        <v>0</v>
      </c>
      <c r="AG202" s="8">
        <v>0</v>
      </c>
      <c r="AH202" s="8">
        <v>0</v>
      </c>
      <c r="AI202" s="8">
        <v>0</v>
      </c>
      <c r="AJ202" s="8">
        <v>1</v>
      </c>
    </row>
    <row r="203" spans="1:36" ht="21" customHeight="1">
      <c r="A203" s="21" t="str">
        <f t="shared" ca="1" si="133"/>
        <v>11105_2-6/24&lt;lv45&gt;s4</v>
      </c>
      <c r="B203" s="8">
        <v>11105</v>
      </c>
      <c r="C203" s="52">
        <v>2</v>
      </c>
      <c r="D203" s="2" t="str">
        <f t="shared" si="134"/>
        <v>11105_2</v>
      </c>
      <c r="E203" s="5" t="str">
        <f ca="1">VLOOKUP($B203,OFFSET([1]quests!$A$1,0,0,COUNTA([1]quests!$A:$A),MATCH(E$1,[1]quests!$1:$1,0)-MATCH($B$1,[1]quests!$1:$1,0)+1),MATCH(E$1,[1]quests!$1:$1,0)-MATCH($B$1,[1]quests!$1:$1,0)+1,FALSE)</f>
        <v>【キャンペーン限定】 帽子屋を追え！</v>
      </c>
      <c r="F203" s="5" t="str">
        <f ca="1">VLOOKUP($D203,OFFSET([1]stages!$A$1,0,0,COUNTA([1]stages!$A:$A),MATCH(F$1,[1]stages!$2:$2,0)-MATCH($D$1,[1]stages!$2:$2,0)+1),MATCH(F$1,[1]stages!$2:$2,0)-MATCH($D$1,[1]stages!$2:$2,0)+1,FALSE)</f>
        <v>樹の帽子屋 【超級】</v>
      </c>
      <c r="G203" s="32">
        <v>6</v>
      </c>
      <c r="H203" s="20" t="str">
        <f t="shared" si="135"/>
        <v>11105_2-6</v>
      </c>
      <c r="I203" s="31">
        <v>24</v>
      </c>
      <c r="J203" s="26" t="str">
        <f ca="1">VLOOKUP($I203,OFFSET([2]enemies!$A$1,0,0,COUNTA([2]enemies!$A:$A),MATCH(J$1,[2]enemies!$2:$2,0)-MATCH($I$1,[2]enemies!$2:$2,0)+1),MATCH(J$1,[2]enemies!$2:$2,0)-MATCH($I$1,[2]enemies!$2:$2,0)+1,FALSE)</f>
        <v>天翔のミール</v>
      </c>
      <c r="K203" s="29" t="str">
        <f ca="1">VLOOKUP($I203,OFFSET([2]enemies!$A$1,0,0,COUNTA([2]enemies!$A:$A),MATCH(K$1,[2]enemies!$2:$2,0)-MATCH($I$1,[2]enemies!$2:$2,0)+1),MATCH(K$1,[2]enemies!$2:$2,0)-MATCH($I$1,[2]enemies!$2:$2,0)+1,FALSE)</f>
        <v>green</v>
      </c>
      <c r="L203" s="29" t="str">
        <f ca="1">VLOOKUP($I203,OFFSET([3]characters!$A$1,0,0,COUNTA([3]characters!$A:$A),MATCH(L$1,[3]characters!$2:$2,0)-MATCH($I$1,[3]characters!$2:$2,0)+1),MATCH(L$1,[3]characters!$2:$2,0)-MATCH($I$1,[3]characters!$2:$2,0)+1,FALSE)</f>
        <v>Drop1N</v>
      </c>
      <c r="M203" s="28" t="str">
        <f ca="1">VLOOKUP($I203,OFFSET([3]characters!$A$1,0,0,COUNTA([3]characters!$A:$A),MATCH(M$1,[3]characters!$2:$2,0)-MATCH($I$1,[3]characters!$2:$2,0)+2),MATCH(M$1,[3]characters!$2:$2,0)-MATCH($I$1,[3]characters!$2:$2,0)+2,FALSE)</f>
        <v>アニマル</v>
      </c>
      <c r="N203" s="5">
        <f ca="1">VLOOKUP($I203,OFFSET([2]enemies!$A$1,0,0,COUNTA([2]enemies!$A:$A),MATCH(N$1,[2]enemies!$2:$2,0)-MATCH($I$1,[2]enemies!$2:$2,0)+1),MATCH(N$1,[2]enemies!$2:$2,0)-MATCH($I$1,[2]enemies!$2:$2,0)+1,FALSE)</f>
        <v>15</v>
      </c>
      <c r="O203" s="6">
        <v>45</v>
      </c>
      <c r="P203" s="46">
        <v>1.5</v>
      </c>
      <c r="Q203" s="46">
        <v>1</v>
      </c>
      <c r="R203" s="6">
        <v>0</v>
      </c>
      <c r="S203" s="5" t="str">
        <f ca="1">VLOOKUP($T203,OFFSET([4]enemy_skill_sets!$B$1,0,0,COUNTA([4]enemy_skill_sets!$B:$B),MATCH(J$1,[4]enemy_skill_sets!$1:$1,0)-MATCH($T$1,[4]enemy_skill_sets!$1:$1,0)+2),MATCH(J$1,[4]enemy_skill_sets!$1:$1,0)-MATCH($T$1,[4]enemy_skill_sets!$1:$1,0)+2,FALSE)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3" s="5">
        <f ca="1">VLOOKUP($I203,OFFSET([2]enemies!$A$1,0,0,COUNTA([2]enemies!$A:$A),MATCH(T$1,[2]enemies!$2:$2,0)-MATCH($I$1,[2]enemies!$2:$2,0)+1),MATCH(T$1,[2]enemies!$2:$2,0)-MATCH($I$1,[2]enemies!$2:$2,0)+1,FALSE)</f>
        <v>0</v>
      </c>
      <c r="U203" s="7">
        <v>0</v>
      </c>
      <c r="V203" s="7">
        <v>100</v>
      </c>
      <c r="W203" s="7">
        <v>0</v>
      </c>
      <c r="X203" s="26">
        <f ca="1">VLOOKUP($I203,OFFSET([2]enemies!$A$1,0,0,COUNTA([2]enemies!$A:$A),MATCH(X$1,[2]enemies!$2:$2,0)-MATCH($I$1,[2]enemies!$2:$2,0)+1),MATCH(X$1,[2]enemies!$2:$2,0)-MATCH($I$1,[2]enemies!$2:$2,0)+1,FALSE)</f>
        <v>4</v>
      </c>
      <c r="Y203" s="31">
        <v>23</v>
      </c>
      <c r="Z203" s="5" t="str">
        <f ca="1">IFERROR(VLOOKUP($Y203,OFFSET([3]characters!$A$1,0,0,COUNTA([3]characters!$A:$A),MATCH(Z$1,[3]characters!$2:$2,0)-MATCH("character_id",[3]characters!$2:$2,0)+1),MATCH(Z$1,[3]characters!$2:$2,0)-MATCH("character_id",[3]characters!$2:$2,0)+1,FALSE),"")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203" s="5">
        <f ca="1">IFERROR(VLOOKUP($Y203,OFFSET([3]characters!$A$1,0,0,COUNTA([3]characters!$A:$A),MATCH(AA$1,[3]characters!$2:$2,0)-MATCH("character_id",[3]characters!$2:$2,0)+1),MATCH(AA$1,[3]characters!$2:$2,0)-MATCH("character_id",[3]characters!$2:$2,0)+1,FALSE),"")</f>
        <v>1</v>
      </c>
      <c r="AB203" s="5" t="str">
        <f ca="1">IFERROR(VLOOKUP($Y203,OFFSET([3]characters!$A$1,0,0,COUNTA([3]characters!$A:$A),MATCH(AB$1,[3]characters!$2:$2,0)-MATCH("character_id",[3]characters!$2:$2,0)+1),MATCH(AB$1,[3]characters!$2:$2,0)-MATCH("character_id",[3]characters!$2:$2,0)+1,FALSE),"")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03" s="8">
        <v>1</v>
      </c>
      <c r="AD203" s="34">
        <f t="shared" ca="1" si="136"/>
        <v>1</v>
      </c>
      <c r="AE203" s="9">
        <v>0</v>
      </c>
      <c r="AF203" s="8">
        <v>0</v>
      </c>
      <c r="AG203" s="8">
        <v>0</v>
      </c>
      <c r="AH203" s="8">
        <v>0</v>
      </c>
      <c r="AI203" s="8">
        <v>0</v>
      </c>
      <c r="AJ203" s="8">
        <v>1</v>
      </c>
    </row>
    <row r="204" spans="1:36" ht="21" customHeight="1">
      <c r="A204" s="21" t="str">
        <f t="shared" ref="A204:A219" ca="1" si="141">B204&amp;"_"&amp;C204&amp;"-"&amp;G204&amp;"/"&amp;I204&amp;"&lt;lv"&amp;O204&amp;"&gt;s"&amp;X204</f>
        <v>11105_3-1/37&lt;lv42&gt;s3</v>
      </c>
      <c r="B204" s="8">
        <v>11105</v>
      </c>
      <c r="C204" s="51">
        <v>3</v>
      </c>
      <c r="D204" s="2" t="str">
        <f t="shared" ref="D204:D219" si="142">B204&amp;"_"&amp;C204</f>
        <v>11105_3</v>
      </c>
      <c r="E204" s="5" t="str">
        <f ca="1">VLOOKUP($B204,OFFSET([1]quests!$A$1,0,0,COUNTA([1]quests!$A:$A),MATCH(E$1,[1]quests!$1:$1,0)-MATCH($B$1,[1]quests!$1:$1,0)+1),MATCH(E$1,[1]quests!$1:$1,0)-MATCH($B$1,[1]quests!$1:$1,0)+1,FALSE)</f>
        <v>【キャンペーン限定】 帽子屋を追え！</v>
      </c>
      <c r="F204" s="5" t="str">
        <f ca="1">VLOOKUP($D204,OFFSET([1]stages!$A$1,0,0,COUNTA([1]stages!$A:$A),MATCH(F$1,[1]stages!$2:$2,0)-MATCH($D$1,[1]stages!$2:$2,0)+1),MATCH(F$1,[1]stages!$2:$2,0)-MATCH($D$1,[1]stages!$2:$2,0)+1,FALSE)</f>
        <v>水の帽子屋 【超級】</v>
      </c>
      <c r="G204" s="32">
        <v>1</v>
      </c>
      <c r="H204" s="20" t="str">
        <f t="shared" ref="H204:H219" si="143">B204&amp;"_"&amp;C204&amp;"-"&amp;G204</f>
        <v>11105_3-1</v>
      </c>
      <c r="I204" s="31">
        <v>37</v>
      </c>
      <c r="J204" s="26" t="str">
        <f ca="1">VLOOKUP($I204,OFFSET([2]enemies!$A$1,0,0,COUNTA([2]enemies!$A:$A),MATCH(J$1,[2]enemies!$2:$2,0)-MATCH($I$1,[2]enemies!$2:$2,0)+1),MATCH(J$1,[2]enemies!$2:$2,0)-MATCH($I$1,[2]enemies!$2:$2,0)+1,FALSE)</f>
        <v>ガイル</v>
      </c>
      <c r="K204" s="29" t="str">
        <f ca="1">VLOOKUP($I204,OFFSET([2]enemies!$A$1,0,0,COUNTA([2]enemies!$A:$A),MATCH(K$1,[2]enemies!$2:$2,0)-MATCH($I$1,[2]enemies!$2:$2,0)+1),MATCH(K$1,[2]enemies!$2:$2,0)-MATCH($I$1,[2]enemies!$2:$2,0)+1,FALSE)</f>
        <v>blue</v>
      </c>
      <c r="L204" s="29" t="str">
        <f ca="1">VLOOKUP($I204,OFFSET([3]characters!$A$1,0,0,COUNTA([3]characters!$A:$A),MATCH(L$1,[3]characters!$2:$2,0)-MATCH($I$1,[3]characters!$2:$2,0)+1),MATCH(L$1,[3]characters!$2:$2,0)-MATCH($I$1,[3]characters!$2:$2,0)+1,FALSE)</f>
        <v>Drop1S</v>
      </c>
      <c r="M204" s="28" t="str">
        <f ca="1">VLOOKUP($I204,OFFSET([3]characters!$A$1,0,0,COUNTA([3]characters!$A:$A),MATCH(M$1,[3]characters!$2:$2,0)-MATCH($I$1,[3]characters!$2:$2,0)+2),MATCH(M$1,[3]characters!$2:$2,0)-MATCH($I$1,[3]characters!$2:$2,0)+2,FALSE)</f>
        <v>アニマル</v>
      </c>
      <c r="N204" s="5">
        <f ca="1">VLOOKUP($I204,OFFSET([2]enemies!$A$1,0,0,COUNTA([2]enemies!$A:$A),MATCH(N$1,[2]enemies!$2:$2,0)-MATCH($I$1,[2]enemies!$2:$2,0)+1),MATCH(N$1,[2]enemies!$2:$2,0)-MATCH($I$1,[2]enemies!$2:$2,0)+1,FALSE)</f>
        <v>15</v>
      </c>
      <c r="O204" s="6">
        <v>42</v>
      </c>
      <c r="P204" s="46">
        <v>1</v>
      </c>
      <c r="Q204" s="46">
        <v>1</v>
      </c>
      <c r="R204" s="6">
        <v>0</v>
      </c>
      <c r="S204" s="5" t="str">
        <f ca="1">VLOOKUP($T204,OFFSET([4]enemy_skill_sets!$B$1,0,0,COUNTA([4]enemy_skill_sets!$B:$B),MATCH(J$1,[4]enemy_skill_sets!$1:$1,0)-MATCH($T$1,[4]enemy_skill_sets!$1:$1,0)+2),MATCH(J$1,[4]enemy_skill_sets!$1:$1,0)-MATCH($T$1,[4]enemy_skill_sets!$1:$1,0)+2,FALSE)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204" s="5">
        <f ca="1">VLOOKUP($I204,OFFSET([2]enemies!$A$1,0,0,COUNTA([2]enemies!$A:$A),MATCH(T$1,[2]enemies!$2:$2,0)-MATCH($I$1,[2]enemies!$2:$2,0)+1),MATCH(T$1,[2]enemies!$2:$2,0)-MATCH($I$1,[2]enemies!$2:$2,0)+1,FALSE)</f>
        <v>37</v>
      </c>
      <c r="U204" s="7">
        <v>0</v>
      </c>
      <c r="V204" s="7">
        <v>100</v>
      </c>
      <c r="W204" s="7">
        <v>0</v>
      </c>
      <c r="X204" s="26">
        <f ca="1">VLOOKUP($I204,OFFSET([2]enemies!$A$1,0,0,COUNTA([2]enemies!$A:$A),MATCH(X$1,[2]enemies!$2:$2,0)-MATCH($I$1,[2]enemies!$2:$2,0)+1),MATCH(X$1,[2]enemies!$2:$2,0)-MATCH($I$1,[2]enemies!$2:$2,0)+1,FALSE)</f>
        <v>3</v>
      </c>
      <c r="Y204" s="31">
        <v>37</v>
      </c>
      <c r="Z204" s="5" t="str">
        <f ca="1">IFERROR(VLOOKUP($Y204,OFFSET([3]characters!$A$1,0,0,COUNTA([3]characters!$A:$A),MATCH(Z$1,[3]characters!$2:$2,0)-MATCH("character_id",[3]characters!$2:$2,0)+1),MATCH(Z$1,[3]characters!$2:$2,0)-MATCH("character_id",[3]characters!$2:$2,0)+1,FALSE),"")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204" s="5">
        <f ca="1">IFERROR(VLOOKUP($Y204,OFFSET([3]characters!$A$1,0,0,COUNTA([3]characters!$A:$A),MATCH(AA$1,[3]characters!$2:$2,0)-MATCH("character_id",[3]characters!$2:$2,0)+1),MATCH(AA$1,[3]characters!$2:$2,0)-MATCH("character_id",[3]characters!$2:$2,0)+1,FALSE),"")</f>
        <v>2</v>
      </c>
      <c r="AB204" s="5" t="str">
        <f ca="1">IFERROR(VLOOKUP($Y204,OFFSET([3]characters!$A$1,0,0,COUNTA([3]characters!$A:$A),MATCH(AB$1,[3]characters!$2:$2,0)-MATCH("character_id",[3]characters!$2:$2,0)+1),MATCH(AB$1,[3]characters!$2:$2,0)-MATCH("character_id",[3]characters!$2:$2,0)+1,FALSE),"")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04" s="8">
        <v>1</v>
      </c>
      <c r="AD204" s="34">
        <f t="shared" ref="AD204:AD219" ca="1" si="144">AA204</f>
        <v>2</v>
      </c>
      <c r="AE204" s="9">
        <v>0</v>
      </c>
      <c r="AF204" s="8">
        <v>0</v>
      </c>
      <c r="AG204" s="8">
        <v>0</v>
      </c>
      <c r="AH204" s="8">
        <v>0</v>
      </c>
      <c r="AI204" s="8">
        <v>0</v>
      </c>
      <c r="AJ204" s="8">
        <v>1</v>
      </c>
    </row>
    <row r="205" spans="1:36" ht="21" customHeight="1">
      <c r="A205" s="21" t="str">
        <f t="shared" ca="1" si="141"/>
        <v>11105_3-1/29&lt;lv42&gt;s2</v>
      </c>
      <c r="B205" s="8">
        <v>11105</v>
      </c>
      <c r="C205" s="51">
        <v>3</v>
      </c>
      <c r="D205" s="2" t="str">
        <f t="shared" si="142"/>
        <v>11105_3</v>
      </c>
      <c r="E205" s="5" t="str">
        <f ca="1">VLOOKUP($B205,OFFSET([1]quests!$A$1,0,0,COUNTA([1]quests!$A:$A),MATCH(E$1,[1]quests!$1:$1,0)-MATCH($B$1,[1]quests!$1:$1,0)+1),MATCH(E$1,[1]quests!$1:$1,0)-MATCH($B$1,[1]quests!$1:$1,0)+1,FALSE)</f>
        <v>【キャンペーン限定】 帽子屋を追え！</v>
      </c>
      <c r="F205" s="5" t="str">
        <f ca="1">VLOOKUP($D205,OFFSET([1]stages!$A$1,0,0,COUNTA([1]stages!$A:$A),MATCH(F$1,[1]stages!$2:$2,0)-MATCH($D$1,[1]stages!$2:$2,0)+1),MATCH(F$1,[1]stages!$2:$2,0)-MATCH($D$1,[1]stages!$2:$2,0)+1,FALSE)</f>
        <v>水の帽子屋 【超級】</v>
      </c>
      <c r="G205" s="32">
        <v>1</v>
      </c>
      <c r="H205" s="20" t="str">
        <f t="shared" si="143"/>
        <v>11105_3-1</v>
      </c>
      <c r="I205" s="31">
        <v>29</v>
      </c>
      <c r="J205" s="26" t="str">
        <f ca="1">VLOOKUP($I205,OFFSET([2]enemies!$A$1,0,0,COUNTA([2]enemies!$A:$A),MATCH(J$1,[2]enemies!$2:$2,0)-MATCH($I$1,[2]enemies!$2:$2,0)+1),MATCH(J$1,[2]enemies!$2:$2,0)-MATCH($I$1,[2]enemies!$2:$2,0)+1,FALSE)</f>
        <v>スケアクロウ</v>
      </c>
      <c r="K205" s="29" t="str">
        <f ca="1">VLOOKUP($I205,OFFSET([2]enemies!$A$1,0,0,COUNTA([2]enemies!$A:$A),MATCH(K$1,[2]enemies!$2:$2,0)-MATCH($I$1,[2]enemies!$2:$2,0)+1),MATCH(K$1,[2]enemies!$2:$2,0)-MATCH($I$1,[2]enemies!$2:$2,0)+1,FALSE)</f>
        <v>blue</v>
      </c>
      <c r="L205" s="29" t="str">
        <f ca="1">VLOOKUP($I205,OFFSET([3]characters!$A$1,0,0,COUNTA([3]characters!$A:$A),MATCH(L$1,[3]characters!$2:$2,0)-MATCH($I$1,[3]characters!$2:$2,0)+1),MATCH(L$1,[3]characters!$2:$2,0)-MATCH($I$1,[3]characters!$2:$2,0)+1,FALSE)</f>
        <v>Drop1N</v>
      </c>
      <c r="M205" s="28" t="str">
        <f ca="1">VLOOKUP($I205,OFFSET([3]characters!$A$1,0,0,COUNTA([3]characters!$A:$A),MATCH(M$1,[3]characters!$2:$2,0)-MATCH($I$1,[3]characters!$2:$2,0)+2),MATCH(M$1,[3]characters!$2:$2,0)-MATCH($I$1,[3]characters!$2:$2,0)+2,FALSE)</f>
        <v>マシン</v>
      </c>
      <c r="N205" s="5">
        <f ca="1">VLOOKUP($I205,OFFSET([2]enemies!$A$1,0,0,COUNTA([2]enemies!$A:$A),MATCH(N$1,[2]enemies!$2:$2,0)-MATCH($I$1,[2]enemies!$2:$2,0)+1),MATCH(N$1,[2]enemies!$2:$2,0)-MATCH($I$1,[2]enemies!$2:$2,0)+1,FALSE)</f>
        <v>15</v>
      </c>
      <c r="O205" s="6">
        <v>42</v>
      </c>
      <c r="P205" s="46">
        <v>1</v>
      </c>
      <c r="Q205" s="46">
        <v>1</v>
      </c>
      <c r="R205" s="6">
        <v>0</v>
      </c>
      <c r="S205" s="5" t="str">
        <f ca="1">VLOOKUP($T205,OFFSET([4]enemy_skill_sets!$B$1,0,0,COUNTA([4]enemy_skill_sets!$B:$B),MATCH(J$1,[4]enemy_skill_sets!$1:$1,0)-MATCH($T$1,[4]enemy_skill_sets!$1:$1,0)+2),MATCH(J$1,[4]enemy_skill_sets!$1:$1,0)-MATCH($T$1,[4]enemy_skill_sets!$1:$1,0)+2,FALSE)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5" s="5">
        <f ca="1">VLOOKUP($I205,OFFSET([2]enemies!$A$1,0,0,COUNTA([2]enemies!$A:$A),MATCH(T$1,[2]enemies!$2:$2,0)-MATCH($I$1,[2]enemies!$2:$2,0)+1),MATCH(T$1,[2]enemies!$2:$2,0)-MATCH($I$1,[2]enemies!$2:$2,0)+1,FALSE)</f>
        <v>0</v>
      </c>
      <c r="U205" s="7">
        <v>0</v>
      </c>
      <c r="V205" s="7">
        <v>100</v>
      </c>
      <c r="W205" s="7">
        <v>0</v>
      </c>
      <c r="X205" s="26">
        <f ca="1">VLOOKUP($I205,OFFSET([2]enemies!$A$1,0,0,COUNTA([2]enemies!$A:$A),MATCH(X$1,[2]enemies!$2:$2,0)-MATCH($I$1,[2]enemies!$2:$2,0)+1),MATCH(X$1,[2]enemies!$2:$2,0)-MATCH($I$1,[2]enemies!$2:$2,0)+1,FALSE)</f>
        <v>2</v>
      </c>
      <c r="Y205" s="31">
        <v>29</v>
      </c>
      <c r="Z205" s="5" t="str">
        <f ca="1">IFERROR(VLOOKUP($Y205,OFFSET([3]characters!$A$1,0,0,COUNTA([3]characters!$A:$A),MATCH(Z$1,[3]characters!$2:$2,0)-MATCH("character_id",[3]characters!$2:$2,0)+1),MATCH(Z$1,[3]characters!$2:$2,0)-MATCH("character_id",[3]characters!$2:$2,0)+1,FALSE),"")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205" s="5">
        <f ca="1">IFERROR(VLOOKUP($Y205,OFFSET([3]characters!$A$1,0,0,COUNTA([3]characters!$A:$A),MATCH(AA$1,[3]characters!$2:$2,0)-MATCH("character_id",[3]characters!$2:$2,0)+1),MATCH(AA$1,[3]characters!$2:$2,0)-MATCH("character_id",[3]characters!$2:$2,0)+1,FALSE),"")</f>
        <v>1</v>
      </c>
      <c r="AB205" s="5" t="str">
        <f ca="1">IFERROR(VLOOKUP($Y205,OFFSET([3]characters!$A$1,0,0,COUNTA([3]characters!$A:$A),MATCH(AB$1,[3]characters!$2:$2,0)-MATCH("character_id",[3]characters!$2:$2,0)+1),MATCH(AB$1,[3]characters!$2:$2,0)-MATCH("character_id",[3]characters!$2:$2,0)+1,FALSE),"")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05" s="8">
        <v>1</v>
      </c>
      <c r="AD205" s="34">
        <f t="shared" ca="1" si="144"/>
        <v>1</v>
      </c>
      <c r="AE205" s="9">
        <v>0</v>
      </c>
      <c r="AF205" s="8">
        <v>0</v>
      </c>
      <c r="AG205" s="8">
        <v>0</v>
      </c>
      <c r="AH205" s="8">
        <v>0</v>
      </c>
      <c r="AI205" s="8">
        <v>0</v>
      </c>
      <c r="AJ205" s="8">
        <v>1</v>
      </c>
    </row>
    <row r="206" spans="1:36" ht="21" customHeight="1">
      <c r="A206" s="21" t="str">
        <f t="shared" ref="A206:A211" ca="1" si="145">B206&amp;"_"&amp;C206&amp;"-"&amp;G206&amp;"/"&amp;I206&amp;"&lt;lv"&amp;O206&amp;"&gt;s"&amp;X206</f>
        <v>11105_3-2/37&lt;lv42&gt;s3</v>
      </c>
      <c r="B206" s="8">
        <v>11105</v>
      </c>
      <c r="C206" s="51">
        <v>3</v>
      </c>
      <c r="D206" s="2" t="str">
        <f t="shared" ref="D206:D211" si="146">B206&amp;"_"&amp;C206</f>
        <v>11105_3</v>
      </c>
      <c r="E206" s="5" t="str">
        <f ca="1">VLOOKUP($B206,OFFSET([1]quests!$A$1,0,0,COUNTA([1]quests!$A:$A),MATCH(E$1,[1]quests!$1:$1,0)-MATCH($B$1,[1]quests!$1:$1,0)+1),MATCH(E$1,[1]quests!$1:$1,0)-MATCH($B$1,[1]quests!$1:$1,0)+1,FALSE)</f>
        <v>【キャンペーン限定】 帽子屋を追え！</v>
      </c>
      <c r="F206" s="5" t="str">
        <f ca="1">VLOOKUP($D206,OFFSET([1]stages!$A$1,0,0,COUNTA([1]stages!$A:$A),MATCH(F$1,[1]stages!$2:$2,0)-MATCH($D$1,[1]stages!$2:$2,0)+1),MATCH(F$1,[1]stages!$2:$2,0)-MATCH($D$1,[1]stages!$2:$2,0)+1,FALSE)</f>
        <v>水の帽子屋 【超級】</v>
      </c>
      <c r="G206" s="32">
        <v>2</v>
      </c>
      <c r="H206" s="20" t="str">
        <f t="shared" ref="H206:H211" si="147">B206&amp;"_"&amp;C206&amp;"-"&amp;G206</f>
        <v>11105_3-2</v>
      </c>
      <c r="I206" s="31">
        <v>37</v>
      </c>
      <c r="J206" s="26" t="str">
        <f ca="1">VLOOKUP($I206,OFFSET([2]enemies!$A$1,0,0,COUNTA([2]enemies!$A:$A),MATCH(J$1,[2]enemies!$2:$2,0)-MATCH($I$1,[2]enemies!$2:$2,0)+1),MATCH(J$1,[2]enemies!$2:$2,0)-MATCH($I$1,[2]enemies!$2:$2,0)+1,FALSE)</f>
        <v>ガイル</v>
      </c>
      <c r="K206" s="29" t="str">
        <f ca="1">VLOOKUP($I206,OFFSET([2]enemies!$A$1,0,0,COUNTA([2]enemies!$A:$A),MATCH(K$1,[2]enemies!$2:$2,0)-MATCH($I$1,[2]enemies!$2:$2,0)+1),MATCH(K$1,[2]enemies!$2:$2,0)-MATCH($I$1,[2]enemies!$2:$2,0)+1,FALSE)</f>
        <v>blue</v>
      </c>
      <c r="L206" s="29" t="str">
        <f ca="1">VLOOKUP($I206,OFFSET([3]characters!$A$1,0,0,COUNTA([3]characters!$A:$A),MATCH(L$1,[3]characters!$2:$2,0)-MATCH($I$1,[3]characters!$2:$2,0)+1),MATCH(L$1,[3]characters!$2:$2,0)-MATCH($I$1,[3]characters!$2:$2,0)+1,FALSE)</f>
        <v>Drop1S</v>
      </c>
      <c r="M206" s="28" t="str">
        <f ca="1">VLOOKUP($I206,OFFSET([3]characters!$A$1,0,0,COUNTA([3]characters!$A:$A),MATCH(M$1,[3]characters!$2:$2,0)-MATCH($I$1,[3]characters!$2:$2,0)+2),MATCH(M$1,[3]characters!$2:$2,0)-MATCH($I$1,[3]characters!$2:$2,0)+2,FALSE)</f>
        <v>アニマル</v>
      </c>
      <c r="N206" s="5">
        <f ca="1">VLOOKUP($I206,OFFSET([2]enemies!$A$1,0,0,COUNTA([2]enemies!$A:$A),MATCH(N$1,[2]enemies!$2:$2,0)-MATCH($I$1,[2]enemies!$2:$2,0)+1),MATCH(N$1,[2]enemies!$2:$2,0)-MATCH($I$1,[2]enemies!$2:$2,0)+1,FALSE)</f>
        <v>15</v>
      </c>
      <c r="O206" s="6">
        <v>42</v>
      </c>
      <c r="P206" s="46">
        <v>1</v>
      </c>
      <c r="Q206" s="46">
        <v>1</v>
      </c>
      <c r="R206" s="6">
        <v>0</v>
      </c>
      <c r="S206" s="5" t="str">
        <f ca="1">VLOOKUP($T206,OFFSET([4]enemy_skill_sets!$B$1,0,0,COUNTA([4]enemy_skill_sets!$B:$B),MATCH(J$1,[4]enemy_skill_sets!$1:$1,0)-MATCH($T$1,[4]enemy_skill_sets!$1:$1,0)+2),MATCH(J$1,[4]enemy_skill_sets!$1:$1,0)-MATCH($T$1,[4]enemy_skill_sets!$1:$1,0)+2,FALSE)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206" s="5">
        <f ca="1">VLOOKUP($I206,OFFSET([2]enemies!$A$1,0,0,COUNTA([2]enemies!$A:$A),MATCH(T$1,[2]enemies!$2:$2,0)-MATCH($I$1,[2]enemies!$2:$2,0)+1),MATCH(T$1,[2]enemies!$2:$2,0)-MATCH($I$1,[2]enemies!$2:$2,0)+1,FALSE)</f>
        <v>37</v>
      </c>
      <c r="U206" s="7">
        <v>0</v>
      </c>
      <c r="V206" s="7">
        <v>100</v>
      </c>
      <c r="W206" s="7">
        <v>0</v>
      </c>
      <c r="X206" s="26">
        <f ca="1">VLOOKUP($I206,OFFSET([2]enemies!$A$1,0,0,COUNTA([2]enemies!$A:$A),MATCH(X$1,[2]enemies!$2:$2,0)-MATCH($I$1,[2]enemies!$2:$2,0)+1),MATCH(X$1,[2]enemies!$2:$2,0)-MATCH($I$1,[2]enemies!$2:$2,0)+1,FALSE)</f>
        <v>3</v>
      </c>
      <c r="Y206" s="31">
        <v>37</v>
      </c>
      <c r="Z206" s="5" t="str">
        <f ca="1">IFERROR(VLOOKUP($Y206,OFFSET([3]characters!$A$1,0,0,COUNTA([3]characters!$A:$A),MATCH(Z$1,[3]characters!$2:$2,0)-MATCH("character_id",[3]characters!$2:$2,0)+1),MATCH(Z$1,[3]characters!$2:$2,0)-MATCH("character_id",[3]characters!$2:$2,0)+1,FALSE),"")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206" s="5">
        <f ca="1">IFERROR(VLOOKUP($Y206,OFFSET([3]characters!$A$1,0,0,COUNTA([3]characters!$A:$A),MATCH(AA$1,[3]characters!$2:$2,0)-MATCH("character_id",[3]characters!$2:$2,0)+1),MATCH(AA$1,[3]characters!$2:$2,0)-MATCH("character_id",[3]characters!$2:$2,0)+1,FALSE),"")</f>
        <v>2</v>
      </c>
      <c r="AB206" s="5" t="str">
        <f ca="1">IFERROR(VLOOKUP($Y206,OFFSET([3]characters!$A$1,0,0,COUNTA([3]characters!$A:$A),MATCH(AB$1,[3]characters!$2:$2,0)-MATCH("character_id",[3]characters!$2:$2,0)+1),MATCH(AB$1,[3]characters!$2:$2,0)-MATCH("character_id",[3]characters!$2:$2,0)+1,FALSE),"")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06" s="8">
        <v>1</v>
      </c>
      <c r="AD206" s="34">
        <f t="shared" ref="AD206:AD211" ca="1" si="148">AA206</f>
        <v>2</v>
      </c>
      <c r="AE206" s="9">
        <v>0</v>
      </c>
      <c r="AF206" s="8">
        <v>0</v>
      </c>
      <c r="AG206" s="8">
        <v>0</v>
      </c>
      <c r="AH206" s="8">
        <v>0</v>
      </c>
      <c r="AI206" s="8">
        <v>0</v>
      </c>
      <c r="AJ206" s="8">
        <v>1</v>
      </c>
    </row>
    <row r="207" spans="1:36" ht="21" customHeight="1">
      <c r="A207" s="21" t="str">
        <f t="shared" ca="1" si="145"/>
        <v>11105_3-2/29&lt;lv42&gt;s2</v>
      </c>
      <c r="B207" s="8">
        <v>11105</v>
      </c>
      <c r="C207" s="51">
        <v>3</v>
      </c>
      <c r="D207" s="2" t="str">
        <f t="shared" si="146"/>
        <v>11105_3</v>
      </c>
      <c r="E207" s="5" t="str">
        <f ca="1">VLOOKUP($B207,OFFSET([1]quests!$A$1,0,0,COUNTA([1]quests!$A:$A),MATCH(E$1,[1]quests!$1:$1,0)-MATCH($B$1,[1]quests!$1:$1,0)+1),MATCH(E$1,[1]quests!$1:$1,0)-MATCH($B$1,[1]quests!$1:$1,0)+1,FALSE)</f>
        <v>【キャンペーン限定】 帽子屋を追え！</v>
      </c>
      <c r="F207" s="5" t="str">
        <f ca="1">VLOOKUP($D207,OFFSET([1]stages!$A$1,0,0,COUNTA([1]stages!$A:$A),MATCH(F$1,[1]stages!$2:$2,0)-MATCH($D$1,[1]stages!$2:$2,0)+1),MATCH(F$1,[1]stages!$2:$2,0)-MATCH($D$1,[1]stages!$2:$2,0)+1,FALSE)</f>
        <v>水の帽子屋 【超級】</v>
      </c>
      <c r="G207" s="32">
        <v>2</v>
      </c>
      <c r="H207" s="20" t="str">
        <f t="shared" si="147"/>
        <v>11105_3-2</v>
      </c>
      <c r="I207" s="31">
        <v>29</v>
      </c>
      <c r="J207" s="26" t="str">
        <f ca="1">VLOOKUP($I207,OFFSET([2]enemies!$A$1,0,0,COUNTA([2]enemies!$A:$A),MATCH(J$1,[2]enemies!$2:$2,0)-MATCH($I$1,[2]enemies!$2:$2,0)+1),MATCH(J$1,[2]enemies!$2:$2,0)-MATCH($I$1,[2]enemies!$2:$2,0)+1,FALSE)</f>
        <v>スケアクロウ</v>
      </c>
      <c r="K207" s="29" t="str">
        <f ca="1">VLOOKUP($I207,OFFSET([2]enemies!$A$1,0,0,COUNTA([2]enemies!$A:$A),MATCH(K$1,[2]enemies!$2:$2,0)-MATCH($I$1,[2]enemies!$2:$2,0)+1),MATCH(K$1,[2]enemies!$2:$2,0)-MATCH($I$1,[2]enemies!$2:$2,0)+1,FALSE)</f>
        <v>blue</v>
      </c>
      <c r="L207" s="29" t="str">
        <f ca="1">VLOOKUP($I207,OFFSET([3]characters!$A$1,0,0,COUNTA([3]characters!$A:$A),MATCH(L$1,[3]characters!$2:$2,0)-MATCH($I$1,[3]characters!$2:$2,0)+1),MATCH(L$1,[3]characters!$2:$2,0)-MATCH($I$1,[3]characters!$2:$2,0)+1,FALSE)</f>
        <v>Drop1N</v>
      </c>
      <c r="M207" s="28" t="str">
        <f ca="1">VLOOKUP($I207,OFFSET([3]characters!$A$1,0,0,COUNTA([3]characters!$A:$A),MATCH(M$1,[3]characters!$2:$2,0)-MATCH($I$1,[3]characters!$2:$2,0)+2),MATCH(M$1,[3]characters!$2:$2,0)-MATCH($I$1,[3]characters!$2:$2,0)+2,FALSE)</f>
        <v>マシン</v>
      </c>
      <c r="N207" s="5">
        <f ca="1">VLOOKUP($I207,OFFSET([2]enemies!$A$1,0,0,COUNTA([2]enemies!$A:$A),MATCH(N$1,[2]enemies!$2:$2,0)-MATCH($I$1,[2]enemies!$2:$2,0)+1),MATCH(N$1,[2]enemies!$2:$2,0)-MATCH($I$1,[2]enemies!$2:$2,0)+1,FALSE)</f>
        <v>15</v>
      </c>
      <c r="O207" s="6">
        <v>42</v>
      </c>
      <c r="P207" s="46">
        <v>1</v>
      </c>
      <c r="Q207" s="46">
        <v>1</v>
      </c>
      <c r="R207" s="6">
        <v>0</v>
      </c>
      <c r="S207" s="5" t="str">
        <f ca="1">VLOOKUP($T207,OFFSET([4]enemy_skill_sets!$B$1,0,0,COUNTA([4]enemy_skill_sets!$B:$B),MATCH(J$1,[4]enemy_skill_sets!$1:$1,0)-MATCH($T$1,[4]enemy_skill_sets!$1:$1,0)+2),MATCH(J$1,[4]enemy_skill_sets!$1:$1,0)-MATCH($T$1,[4]enemy_skill_sets!$1:$1,0)+2,FALSE)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7" s="5">
        <f ca="1">VLOOKUP($I207,OFFSET([2]enemies!$A$1,0,0,COUNTA([2]enemies!$A:$A),MATCH(T$1,[2]enemies!$2:$2,0)-MATCH($I$1,[2]enemies!$2:$2,0)+1),MATCH(T$1,[2]enemies!$2:$2,0)-MATCH($I$1,[2]enemies!$2:$2,0)+1,FALSE)</f>
        <v>0</v>
      </c>
      <c r="U207" s="7">
        <v>0</v>
      </c>
      <c r="V207" s="7">
        <v>100</v>
      </c>
      <c r="W207" s="7">
        <v>0</v>
      </c>
      <c r="X207" s="26">
        <f ca="1">VLOOKUP($I207,OFFSET([2]enemies!$A$1,0,0,COUNTA([2]enemies!$A:$A),MATCH(X$1,[2]enemies!$2:$2,0)-MATCH($I$1,[2]enemies!$2:$2,0)+1),MATCH(X$1,[2]enemies!$2:$2,0)-MATCH($I$1,[2]enemies!$2:$2,0)+1,FALSE)</f>
        <v>2</v>
      </c>
      <c r="Y207" s="31">
        <v>29</v>
      </c>
      <c r="Z207" s="5" t="str">
        <f ca="1">IFERROR(VLOOKUP($Y207,OFFSET([3]characters!$A$1,0,0,COUNTA([3]characters!$A:$A),MATCH(Z$1,[3]characters!$2:$2,0)-MATCH("character_id",[3]characters!$2:$2,0)+1),MATCH(Z$1,[3]characters!$2:$2,0)-MATCH("character_id",[3]characters!$2:$2,0)+1,FALSE),"")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207" s="5">
        <f ca="1">IFERROR(VLOOKUP($Y207,OFFSET([3]characters!$A$1,0,0,COUNTA([3]characters!$A:$A),MATCH(AA$1,[3]characters!$2:$2,0)-MATCH("character_id",[3]characters!$2:$2,0)+1),MATCH(AA$1,[3]characters!$2:$2,0)-MATCH("character_id",[3]characters!$2:$2,0)+1,FALSE),"")</f>
        <v>1</v>
      </c>
      <c r="AB207" s="5" t="str">
        <f ca="1">IFERROR(VLOOKUP($Y207,OFFSET([3]characters!$A$1,0,0,COUNTA([3]characters!$A:$A),MATCH(AB$1,[3]characters!$2:$2,0)-MATCH("character_id",[3]characters!$2:$2,0)+1),MATCH(AB$1,[3]characters!$2:$2,0)-MATCH("character_id",[3]characters!$2:$2,0)+1,FALSE),"")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07" s="8">
        <v>1</v>
      </c>
      <c r="AD207" s="34">
        <f t="shared" ca="1" si="148"/>
        <v>1</v>
      </c>
      <c r="AE207" s="9">
        <v>0</v>
      </c>
      <c r="AF207" s="8">
        <v>0</v>
      </c>
      <c r="AG207" s="8">
        <v>0</v>
      </c>
      <c r="AH207" s="8">
        <v>0</v>
      </c>
      <c r="AI207" s="8">
        <v>0</v>
      </c>
      <c r="AJ207" s="8">
        <v>1</v>
      </c>
    </row>
    <row r="208" spans="1:36" ht="21" customHeight="1">
      <c r="A208" s="21" t="str">
        <f t="shared" ca="1" si="145"/>
        <v>11105_3-3/139&lt;lv50&gt;s2</v>
      </c>
      <c r="B208" s="8">
        <v>11105</v>
      </c>
      <c r="C208" s="51">
        <v>3</v>
      </c>
      <c r="D208" s="2" t="str">
        <f t="shared" si="146"/>
        <v>11105_3</v>
      </c>
      <c r="E208" s="5" t="str">
        <f ca="1">VLOOKUP($B208,OFFSET([1]quests!$A$1,0,0,COUNTA([1]quests!$A:$A),MATCH(E$1,[1]quests!$1:$1,0)-MATCH($B$1,[1]quests!$1:$1,0)+1),MATCH(E$1,[1]quests!$1:$1,0)-MATCH($B$1,[1]quests!$1:$1,0)+1,FALSE)</f>
        <v>【キャンペーン限定】 帽子屋を追え！</v>
      </c>
      <c r="F208" s="5" t="str">
        <f ca="1">VLOOKUP($D208,OFFSET([1]stages!$A$1,0,0,COUNTA([1]stages!$A:$A),MATCH(F$1,[1]stages!$2:$2,0)-MATCH($D$1,[1]stages!$2:$2,0)+1),MATCH(F$1,[1]stages!$2:$2,0)-MATCH($D$1,[1]stages!$2:$2,0)+1,FALSE)</f>
        <v>水の帽子屋 【超級】</v>
      </c>
      <c r="G208" s="32">
        <v>3</v>
      </c>
      <c r="H208" s="20" t="str">
        <f t="shared" si="147"/>
        <v>11105_3-3</v>
      </c>
      <c r="I208" s="31">
        <v>139</v>
      </c>
      <c r="J208" s="26" t="str">
        <f ca="1">VLOOKUP($I208,OFFSET([2]enemies!$A$1,0,0,COUNTA([2]enemies!$A:$A),MATCH(J$1,[2]enemies!$2:$2,0)-MATCH($I$1,[2]enemies!$2:$2,0)+1),MATCH(J$1,[2]enemies!$2:$2,0)-MATCH($I$1,[2]enemies!$2:$2,0)+1,FALSE)</f>
        <v>蒼昇刃姫 トモエ</v>
      </c>
      <c r="K208" s="29" t="str">
        <f ca="1">VLOOKUP($I208,OFFSET([2]enemies!$A$1,0,0,COUNTA([2]enemies!$A:$A),MATCH(K$1,[2]enemies!$2:$2,0)-MATCH($I$1,[2]enemies!$2:$2,0)+1),MATCH(K$1,[2]enemies!$2:$2,0)-MATCH($I$1,[2]enemies!$2:$2,0)+1,FALSE)</f>
        <v>blue</v>
      </c>
      <c r="L208" s="29" t="str">
        <f ca="1">VLOOKUP($I208,OFFSET([3]characters!$A$1,0,0,COUNTA([3]characters!$A:$A),MATCH(L$1,[3]characters!$2:$2,0)-MATCH($I$1,[3]characters!$2:$2,0)+1),MATCH(L$1,[3]characters!$2:$2,0)-MATCH($I$1,[3]characters!$2:$2,0)+1,FALSE)</f>
        <v>PremiumW</v>
      </c>
      <c r="M208" s="28" t="str">
        <f ca="1">VLOOKUP($I208,OFFSET([3]characters!$A$1,0,0,COUNTA([3]characters!$A:$A),MATCH(M$1,[3]characters!$2:$2,0)-MATCH($I$1,[3]characters!$2:$2,0)+2),MATCH(M$1,[3]characters!$2:$2,0)-MATCH($I$1,[3]characters!$2:$2,0)+2,FALSE)</f>
        <v>ヒューマン</v>
      </c>
      <c r="N208" s="5">
        <f ca="1">VLOOKUP($I208,OFFSET([2]enemies!$A$1,0,0,COUNTA([2]enemies!$A:$A),MATCH(N$1,[2]enemies!$2:$2,0)-MATCH($I$1,[2]enemies!$2:$2,0)+1),MATCH(N$1,[2]enemies!$2:$2,0)-MATCH($I$1,[2]enemies!$2:$2,0)+1,FALSE)</f>
        <v>30</v>
      </c>
      <c r="O208" s="6">
        <v>50</v>
      </c>
      <c r="P208" s="46">
        <v>1</v>
      </c>
      <c r="Q208" s="46">
        <v>1</v>
      </c>
      <c r="R208" s="6">
        <v>0</v>
      </c>
      <c r="S208" s="5" t="str">
        <f ca="1">VLOOKUP($T208,OFFSET([4]enemy_skill_sets!$B$1,0,0,COUNTA([4]enemy_skill_sets!$B:$B),MATCH(J$1,[4]enemy_skill_sets!$1:$1,0)-MATCH($T$1,[4]enemy_skill_sets!$1:$1,0)+2),MATCH(J$1,[4]enemy_skill_sets!$1:$1,0)-MATCH($T$1,[4]enemy_skill_sets!$1:$1,0)+2,FALSE)</f>
        <v>攻撃力×1.5倍の攻撃</v>
      </c>
      <c r="T208" s="5">
        <f ca="1">VLOOKUP($I208,OFFSET([2]enemies!$A$1,0,0,COUNTA([2]enemies!$A:$A),MATCH(T$1,[2]enemies!$2:$2,0)-MATCH($I$1,[2]enemies!$2:$2,0)+1),MATCH(T$1,[2]enemies!$2:$2,0)-MATCH($I$1,[2]enemies!$2:$2,0)+1,FALSE)</f>
        <v>139</v>
      </c>
      <c r="U208" s="7">
        <v>0</v>
      </c>
      <c r="V208" s="7">
        <v>80</v>
      </c>
      <c r="W208" s="7">
        <v>1</v>
      </c>
      <c r="X208" s="26">
        <f ca="1">VLOOKUP($I208,OFFSET([2]enemies!$A$1,0,0,COUNTA([2]enemies!$A:$A),MATCH(X$1,[2]enemies!$2:$2,0)-MATCH($I$1,[2]enemies!$2:$2,0)+1),MATCH(X$1,[2]enemies!$2:$2,0)-MATCH($I$1,[2]enemies!$2:$2,0)+1,FALSE)</f>
        <v>2</v>
      </c>
      <c r="Y208" s="31">
        <v>138</v>
      </c>
      <c r="Z208" s="5" t="str">
        <f ca="1">IFERROR(VLOOKUP($Y208,OFFSET([3]characters!$A$1,0,0,COUNTA([3]characters!$A:$A),MATCH(Z$1,[3]characters!$2:$2,0)-MATCH("character_id",[3]characters!$2:$2,0)+1),MATCH(Z$1,[3]characters!$2:$2,0)-MATCH("character_id",[3]characters!$2:$2,0)+1,FALSE),"")</f>
        <v>蒼薙のトモエ</v>
      </c>
      <c r="AA208" s="5">
        <f ca="1">IFERROR(VLOOKUP($Y208,OFFSET([3]characters!$A$1,0,0,COUNTA([3]characters!$A:$A),MATCH(AA$1,[3]characters!$2:$2,0)-MATCH("character_id",[3]characters!$2:$2,0)+1),MATCH(AA$1,[3]characters!$2:$2,0)-MATCH("character_id",[3]characters!$2:$2,0)+1,FALSE),"")</f>
        <v>3</v>
      </c>
      <c r="AB208" s="5" t="str">
        <f ca="1">IFERROR(VLOOKUP($Y208,OFFSET([3]characters!$A$1,0,0,COUNTA([3]characters!$A:$A),MATCH(AB$1,[3]characters!$2:$2,0)-MATCH("character_id",[3]characters!$2:$2,0)+1),MATCH(AB$1,[3]characters!$2:$2,0)-MATCH("character_id",[3]characters!$2:$2,0)+1,FALSE),"")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208" s="8">
        <v>1</v>
      </c>
      <c r="AD208" s="34">
        <f t="shared" ca="1" si="148"/>
        <v>3</v>
      </c>
      <c r="AE208" s="9">
        <v>0</v>
      </c>
      <c r="AF208" s="8">
        <v>0</v>
      </c>
      <c r="AG208" s="8">
        <v>0</v>
      </c>
      <c r="AH208" s="8">
        <v>0</v>
      </c>
      <c r="AI208" s="8">
        <v>0</v>
      </c>
      <c r="AJ208" s="8">
        <v>1</v>
      </c>
    </row>
    <row r="209" spans="1:36" ht="21" customHeight="1">
      <c r="A209" s="21" t="str">
        <f t="shared" ca="1" si="145"/>
        <v>11105_3-3/342&lt;lv1&gt;s3</v>
      </c>
      <c r="B209" s="8">
        <v>11105</v>
      </c>
      <c r="C209" s="51">
        <v>3</v>
      </c>
      <c r="D209" s="2" t="str">
        <f t="shared" si="146"/>
        <v>11105_3</v>
      </c>
      <c r="E209" s="5" t="str">
        <f ca="1">VLOOKUP($B209,OFFSET([1]quests!$A$1,0,0,COUNTA([1]quests!$A:$A),MATCH(E$1,[1]quests!$1:$1,0)-MATCH($B$1,[1]quests!$1:$1,0)+1),MATCH(E$1,[1]quests!$1:$1,0)-MATCH($B$1,[1]quests!$1:$1,0)+1,FALSE)</f>
        <v>【キャンペーン限定】 帽子屋を追え！</v>
      </c>
      <c r="F209" s="5" t="str">
        <f ca="1">VLOOKUP($D209,OFFSET([1]stages!$A$1,0,0,COUNTA([1]stages!$A:$A),MATCH(F$1,[1]stages!$2:$2,0)-MATCH($D$1,[1]stages!$2:$2,0)+1),MATCH(F$1,[1]stages!$2:$2,0)-MATCH($D$1,[1]stages!$2:$2,0)+1,FALSE)</f>
        <v>水の帽子屋 【超級】</v>
      </c>
      <c r="G209" s="32">
        <v>3</v>
      </c>
      <c r="H209" s="20" t="str">
        <f t="shared" si="147"/>
        <v>11105_3-3</v>
      </c>
      <c r="I209" s="31">
        <v>342</v>
      </c>
      <c r="J209" s="26" t="str">
        <f ca="1">VLOOKUP($I209,OFFSET([2]enemies!$A$1,0,0,COUNTA([2]enemies!$A:$A),MATCH(J$1,[2]enemies!$2:$2,0)-MATCH($I$1,[2]enemies!$2:$2,0)+1),MATCH(J$1,[2]enemies!$2:$2,0)-MATCH($I$1,[2]enemies!$2:$2,0)+1,FALSE)</f>
        <v>水のメタルダック</v>
      </c>
      <c r="K209" s="29" t="str">
        <f ca="1">VLOOKUP($I209,OFFSET([2]enemies!$A$1,0,0,COUNTA([2]enemies!$A:$A),MATCH(K$1,[2]enemies!$2:$2,0)-MATCH($I$1,[2]enemies!$2:$2,0)+1),MATCH(K$1,[2]enemies!$2:$2,0)-MATCH($I$1,[2]enemies!$2:$2,0)+1,FALSE)</f>
        <v>blue</v>
      </c>
      <c r="L209" s="29" t="str">
        <f ca="1">VLOOKUP($I209,OFFSET([3]characters!$A$1,0,0,COUNTA([3]characters!$A:$A),MATCH(L$1,[3]characters!$2:$2,0)-MATCH($I$1,[3]characters!$2:$2,0)+1),MATCH(L$1,[3]characters!$2:$2,0)-MATCH($I$1,[3]characters!$2:$2,0)+1,FALSE)</f>
        <v>Material</v>
      </c>
      <c r="M209" s="28" t="str">
        <f ca="1">VLOOKUP($I209,OFFSET([3]characters!$A$1,0,0,COUNTA([3]characters!$A:$A),MATCH(M$1,[3]characters!$2:$2,0)-MATCH($I$1,[3]characters!$2:$2,0)+2),MATCH(M$1,[3]characters!$2:$2,0)-MATCH($I$1,[3]characters!$2:$2,0)+2,FALSE)</f>
        <v>Unknown</v>
      </c>
      <c r="N209" s="5">
        <f ca="1">VLOOKUP($I209,OFFSET([2]enemies!$A$1,0,0,COUNTA([2]enemies!$A:$A),MATCH(N$1,[2]enemies!$2:$2,0)-MATCH($I$1,[2]enemies!$2:$2,0)+1),MATCH(N$1,[2]enemies!$2:$2,0)-MATCH($I$1,[2]enemies!$2:$2,0)+1,FALSE)</f>
        <v>20</v>
      </c>
      <c r="O209" s="6">
        <v>1</v>
      </c>
      <c r="P209" s="46">
        <v>1</v>
      </c>
      <c r="Q209" s="46">
        <v>1</v>
      </c>
      <c r="R209" s="6">
        <v>0</v>
      </c>
      <c r="S209" s="5" t="str">
        <f ca="1">VLOOKUP($T209,OFFSET([4]enemy_skill_sets!$B$1,0,0,COUNTA([4]enemy_skill_sets!$B:$B),MATCH(J$1,[4]enemy_skill_sets!$1:$1,0)-MATCH($T$1,[4]enemy_skill_sets!$1:$1,0)+2),MATCH(J$1,[4]enemy_skill_sets!$1:$1,0)-MATCH($T$1,[4]enemy_skill_sets!$1:$1,0)+2,FALSE)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9" s="5">
        <f ca="1">VLOOKUP($I209,OFFSET([2]enemies!$A$1,0,0,COUNTA([2]enemies!$A:$A),MATCH(T$1,[2]enemies!$2:$2,0)-MATCH($I$1,[2]enemies!$2:$2,0)+1),MATCH(T$1,[2]enemies!$2:$2,0)-MATCH($I$1,[2]enemies!$2:$2,0)+1,FALSE)</f>
        <v>0</v>
      </c>
      <c r="U209" s="7">
        <v>0</v>
      </c>
      <c r="V209" s="7">
        <v>20</v>
      </c>
      <c r="W209" s="7">
        <v>1</v>
      </c>
      <c r="X209" s="26">
        <f ca="1">VLOOKUP($I209,OFFSET([2]enemies!$A$1,0,0,COUNTA([2]enemies!$A:$A),MATCH(X$1,[2]enemies!$2:$2,0)-MATCH($I$1,[2]enemies!$2:$2,0)+1),MATCH(X$1,[2]enemies!$2:$2,0)-MATCH($I$1,[2]enemies!$2:$2,0)+1,FALSE)</f>
        <v>3</v>
      </c>
      <c r="Y209" s="31">
        <v>342</v>
      </c>
      <c r="Z209" s="5" t="str">
        <f ca="1">IFERROR(VLOOKUP($Y209,OFFSET([3]characters!$A$1,0,0,COUNTA([3]characters!$A:$A),MATCH(Z$1,[3]characters!$2:$2,0)-MATCH("character_id",[3]characters!$2:$2,0)+1),MATCH(Z$1,[3]characters!$2:$2,0)-MATCH("character_id",[3]characters!$2:$2,0)+1,FALSE),"")</f>
        <v>水のメタルダック</v>
      </c>
      <c r="AA209" s="5">
        <f ca="1">IFERROR(VLOOKUP($Y209,OFFSET([3]characters!$A$1,0,0,COUNTA([3]characters!$A:$A),MATCH(AA$1,[3]characters!$2:$2,0)-MATCH("character_id",[3]characters!$2:$2,0)+1),MATCH(AA$1,[3]characters!$2:$2,0)-MATCH("character_id",[3]characters!$2:$2,0)+1,FALSE),"")</f>
        <v>5</v>
      </c>
      <c r="AB209" s="5" t="str">
        <f ca="1">IFERROR(VLOOKUP($Y209,OFFSET([3]characters!$A$1,0,0,COUNTA([3]characters!$A:$A),MATCH(AB$1,[3]characters!$2:$2,0)-MATCH("character_id",[3]characters!$2:$2,0)+1),MATCH(AB$1,[3]characters!$2:$2,0)-MATCH("character_id",[3]characters!$2:$2,0)+1,FALSE),"")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09" s="8">
        <v>1</v>
      </c>
      <c r="AD209" s="34">
        <f t="shared" ca="1" si="148"/>
        <v>5</v>
      </c>
      <c r="AE209" s="9">
        <v>5</v>
      </c>
      <c r="AF209" s="8">
        <v>0</v>
      </c>
      <c r="AG209" s="8">
        <v>0</v>
      </c>
      <c r="AH209" s="8">
        <v>0</v>
      </c>
      <c r="AI209" s="8">
        <v>0</v>
      </c>
      <c r="AJ209" s="8">
        <v>1</v>
      </c>
    </row>
    <row r="210" spans="1:36" ht="21" customHeight="1">
      <c r="A210" s="21" t="str">
        <f t="shared" ca="1" si="145"/>
        <v>11105_3-3/340&lt;lv1&gt;s1</v>
      </c>
      <c r="B210" s="8">
        <v>11105</v>
      </c>
      <c r="C210" s="51">
        <v>3</v>
      </c>
      <c r="D210" s="2" t="str">
        <f t="shared" si="146"/>
        <v>11105_3</v>
      </c>
      <c r="E210" s="5" t="str">
        <f ca="1">VLOOKUP($B210,OFFSET([1]quests!$A$1,0,0,COUNTA([1]quests!$A:$A),MATCH(E$1,[1]quests!$1:$1,0)-MATCH($B$1,[1]quests!$1:$1,0)+1),MATCH(E$1,[1]quests!$1:$1,0)-MATCH($B$1,[1]quests!$1:$1,0)+1,FALSE)</f>
        <v>【キャンペーン限定】 帽子屋を追え！</v>
      </c>
      <c r="F210" s="5" t="str">
        <f ca="1">VLOOKUP($D210,OFFSET([1]stages!$A$1,0,0,COUNTA([1]stages!$A:$A),MATCH(F$1,[1]stages!$2:$2,0)-MATCH($D$1,[1]stages!$2:$2,0)+1),MATCH(F$1,[1]stages!$2:$2,0)-MATCH($D$1,[1]stages!$2:$2,0)+1,FALSE)</f>
        <v>水の帽子屋 【超級】</v>
      </c>
      <c r="G210" s="32">
        <v>3</v>
      </c>
      <c r="H210" s="20" t="str">
        <f t="shared" si="147"/>
        <v>11105_3-3</v>
      </c>
      <c r="I210" s="31">
        <v>340</v>
      </c>
      <c r="J210" s="26" t="str">
        <f ca="1">VLOOKUP($I210,OFFSET([2]enemies!$A$1,0,0,COUNTA([2]enemies!$A:$A),MATCH(J$1,[2]enemies!$2:$2,0)-MATCH($I$1,[2]enemies!$2:$2,0)+1),MATCH(J$1,[2]enemies!$2:$2,0)-MATCH($I$1,[2]enemies!$2:$2,0)+1,FALSE)</f>
        <v>水のメタルピヨピヨ</v>
      </c>
      <c r="K210" s="29" t="str">
        <f ca="1">VLOOKUP($I210,OFFSET([2]enemies!$A$1,0,0,COUNTA([2]enemies!$A:$A),MATCH(K$1,[2]enemies!$2:$2,0)-MATCH($I$1,[2]enemies!$2:$2,0)+1),MATCH(K$1,[2]enemies!$2:$2,0)-MATCH($I$1,[2]enemies!$2:$2,0)+1,FALSE)</f>
        <v>blue</v>
      </c>
      <c r="L210" s="29" t="str">
        <f ca="1">VLOOKUP($I210,OFFSET([3]characters!$A$1,0,0,COUNTA([3]characters!$A:$A),MATCH(L$1,[3]characters!$2:$2,0)-MATCH($I$1,[3]characters!$2:$2,0)+1),MATCH(L$1,[3]characters!$2:$2,0)-MATCH($I$1,[3]characters!$2:$2,0)+1,FALSE)</f>
        <v>Material</v>
      </c>
      <c r="M210" s="28" t="str">
        <f ca="1">VLOOKUP($I210,OFFSET([3]characters!$A$1,0,0,COUNTA([3]characters!$A:$A),MATCH(M$1,[3]characters!$2:$2,0)-MATCH($I$1,[3]characters!$2:$2,0)+2),MATCH(M$1,[3]characters!$2:$2,0)-MATCH($I$1,[3]characters!$2:$2,0)+2,FALSE)</f>
        <v>Unknown</v>
      </c>
      <c r="N210" s="5">
        <f ca="1">VLOOKUP($I210,OFFSET([2]enemies!$A$1,0,0,COUNTA([2]enemies!$A:$A),MATCH(N$1,[2]enemies!$2:$2,0)-MATCH($I$1,[2]enemies!$2:$2,0)+1),MATCH(N$1,[2]enemies!$2:$2,0)-MATCH($I$1,[2]enemies!$2:$2,0)+1,FALSE)</f>
        <v>15</v>
      </c>
      <c r="O210" s="6">
        <v>1</v>
      </c>
      <c r="P210" s="46">
        <v>1</v>
      </c>
      <c r="Q210" s="46">
        <v>1</v>
      </c>
      <c r="R210" s="6">
        <v>0</v>
      </c>
      <c r="S210" s="5" t="str">
        <f ca="1">VLOOKUP($T210,OFFSET([4]enemy_skill_sets!$B$1,0,0,COUNTA([4]enemy_skill_sets!$B:$B),MATCH(J$1,[4]enemy_skill_sets!$1:$1,0)-MATCH($T$1,[4]enemy_skill_sets!$1:$1,0)+2),MATCH(J$1,[4]enemy_skill_sets!$1:$1,0)-MATCH($T$1,[4]enemy_skill_sets!$1:$1,0)+2,FALSE)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0" s="5">
        <f ca="1">VLOOKUP($I210,OFFSET([2]enemies!$A$1,0,0,COUNTA([2]enemies!$A:$A),MATCH(T$1,[2]enemies!$2:$2,0)-MATCH($I$1,[2]enemies!$2:$2,0)+1),MATCH(T$1,[2]enemies!$2:$2,0)-MATCH($I$1,[2]enemies!$2:$2,0)+1,FALSE)</f>
        <v>0</v>
      </c>
      <c r="U210" s="7">
        <v>1</v>
      </c>
      <c r="V210" s="7">
        <v>100</v>
      </c>
      <c r="W210" s="7">
        <v>0</v>
      </c>
      <c r="X210" s="26">
        <f ca="1">VLOOKUP($I210,OFFSET([2]enemies!$A$1,0,0,COUNTA([2]enemies!$A:$A),MATCH(X$1,[2]enemies!$2:$2,0)-MATCH($I$1,[2]enemies!$2:$2,0)+1),MATCH(X$1,[2]enemies!$2:$2,0)-MATCH($I$1,[2]enemies!$2:$2,0)+1,FALSE)</f>
        <v>1</v>
      </c>
      <c r="Y210" s="31">
        <v>340</v>
      </c>
      <c r="Z210" s="5" t="str">
        <f ca="1">IFERROR(VLOOKUP($Y210,OFFSET([3]characters!$A$1,0,0,COUNTA([3]characters!$A:$A),MATCH(Z$1,[3]characters!$2:$2,0)-MATCH("character_id",[3]characters!$2:$2,0)+1),MATCH(Z$1,[3]characters!$2:$2,0)-MATCH("character_id",[3]characters!$2:$2,0)+1,FALSE),"")</f>
        <v>水のメタルピヨピヨ</v>
      </c>
      <c r="AA210" s="5">
        <f ca="1">IFERROR(VLOOKUP($Y210,OFFSET([3]characters!$A$1,0,0,COUNTA([3]characters!$A:$A),MATCH(AA$1,[3]characters!$2:$2,0)-MATCH("character_id",[3]characters!$2:$2,0)+1),MATCH(AA$1,[3]characters!$2:$2,0)-MATCH("character_id",[3]characters!$2:$2,0)+1,FALSE),"")</f>
        <v>3</v>
      </c>
      <c r="AB210" s="5" t="str">
        <f ca="1">IFERROR(VLOOKUP($Y210,OFFSET([3]characters!$A$1,0,0,COUNTA([3]characters!$A:$A),MATCH(AB$1,[3]characters!$2:$2,0)-MATCH("character_id",[3]characters!$2:$2,0)+1),MATCH(AB$1,[3]characters!$2:$2,0)-MATCH("character_id",[3]characters!$2:$2,0)+1,FALSE),"")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10" s="8">
        <v>1</v>
      </c>
      <c r="AD210" s="34">
        <f t="shared" ca="1" si="148"/>
        <v>3</v>
      </c>
      <c r="AE210" s="9">
        <v>20</v>
      </c>
      <c r="AF210" s="8">
        <v>0</v>
      </c>
      <c r="AG210" s="8">
        <v>0</v>
      </c>
      <c r="AH210" s="8">
        <v>0</v>
      </c>
      <c r="AI210" s="8">
        <v>0</v>
      </c>
      <c r="AJ210" s="8">
        <v>1</v>
      </c>
    </row>
    <row r="211" spans="1:36" ht="21" customHeight="1">
      <c r="A211" s="21" t="str">
        <f t="shared" ca="1" si="145"/>
        <v>11105_3-3/341&lt;lv1&gt;s2</v>
      </c>
      <c r="B211" s="8">
        <v>11105</v>
      </c>
      <c r="C211" s="51">
        <v>3</v>
      </c>
      <c r="D211" s="2" t="str">
        <f t="shared" si="146"/>
        <v>11105_3</v>
      </c>
      <c r="E211" s="5" t="str">
        <f ca="1">VLOOKUP($B211,OFFSET([1]quests!$A$1,0,0,COUNTA([1]quests!$A:$A),MATCH(E$1,[1]quests!$1:$1,0)-MATCH($B$1,[1]quests!$1:$1,0)+1),MATCH(E$1,[1]quests!$1:$1,0)-MATCH($B$1,[1]quests!$1:$1,0)+1,FALSE)</f>
        <v>【キャンペーン限定】 帽子屋を追え！</v>
      </c>
      <c r="F211" s="5" t="str">
        <f ca="1">VLOOKUP($D211,OFFSET([1]stages!$A$1,0,0,COUNTA([1]stages!$A:$A),MATCH(F$1,[1]stages!$2:$2,0)-MATCH($D$1,[1]stages!$2:$2,0)+1),MATCH(F$1,[1]stages!$2:$2,0)-MATCH($D$1,[1]stages!$2:$2,0)+1,FALSE)</f>
        <v>水の帽子屋 【超級】</v>
      </c>
      <c r="G211" s="32">
        <v>3</v>
      </c>
      <c r="H211" s="20" t="str">
        <f t="shared" si="147"/>
        <v>11105_3-3</v>
      </c>
      <c r="I211" s="31">
        <v>341</v>
      </c>
      <c r="J211" s="26" t="str">
        <f ca="1">VLOOKUP($I211,OFFSET([2]enemies!$A$1,0,0,COUNTA([2]enemies!$A:$A),MATCH(J$1,[2]enemies!$2:$2,0)-MATCH($I$1,[2]enemies!$2:$2,0)+1),MATCH(J$1,[2]enemies!$2:$2,0)-MATCH($I$1,[2]enemies!$2:$2,0)+1,FALSE)</f>
        <v>水のメタルチック</v>
      </c>
      <c r="K211" s="29" t="str">
        <f ca="1">VLOOKUP($I211,OFFSET([2]enemies!$A$1,0,0,COUNTA([2]enemies!$A:$A),MATCH(K$1,[2]enemies!$2:$2,0)-MATCH($I$1,[2]enemies!$2:$2,0)+1),MATCH(K$1,[2]enemies!$2:$2,0)-MATCH($I$1,[2]enemies!$2:$2,0)+1,FALSE)</f>
        <v>blue</v>
      </c>
      <c r="L211" s="29" t="str">
        <f ca="1">VLOOKUP($I211,OFFSET([3]characters!$A$1,0,0,COUNTA([3]characters!$A:$A),MATCH(L$1,[3]characters!$2:$2,0)-MATCH($I$1,[3]characters!$2:$2,0)+1),MATCH(L$1,[3]characters!$2:$2,0)-MATCH($I$1,[3]characters!$2:$2,0)+1,FALSE)</f>
        <v>Material</v>
      </c>
      <c r="M211" s="28" t="str">
        <f ca="1">VLOOKUP($I211,OFFSET([3]characters!$A$1,0,0,COUNTA([3]characters!$A:$A),MATCH(M$1,[3]characters!$2:$2,0)-MATCH($I$1,[3]characters!$2:$2,0)+2),MATCH(M$1,[3]characters!$2:$2,0)-MATCH($I$1,[3]characters!$2:$2,0)+2,FALSE)</f>
        <v>Unknown</v>
      </c>
      <c r="N211" s="5">
        <f ca="1">VLOOKUP($I211,OFFSET([2]enemies!$A$1,0,0,COUNTA([2]enemies!$A:$A),MATCH(N$1,[2]enemies!$2:$2,0)-MATCH($I$1,[2]enemies!$2:$2,0)+1),MATCH(N$1,[2]enemies!$2:$2,0)-MATCH($I$1,[2]enemies!$2:$2,0)+1,FALSE)</f>
        <v>15</v>
      </c>
      <c r="O211" s="6">
        <v>1</v>
      </c>
      <c r="P211" s="46">
        <v>1</v>
      </c>
      <c r="Q211" s="46">
        <v>1</v>
      </c>
      <c r="R211" s="6">
        <v>0</v>
      </c>
      <c r="S211" s="5" t="str">
        <f ca="1">VLOOKUP($T211,OFFSET([4]enemy_skill_sets!$B$1,0,0,COUNTA([4]enemy_skill_sets!$B:$B),MATCH(J$1,[4]enemy_skill_sets!$1:$1,0)-MATCH($T$1,[4]enemy_skill_sets!$1:$1,0)+2),MATCH(J$1,[4]enemy_skill_sets!$1:$1,0)-MATCH($T$1,[4]enemy_skill_sets!$1:$1,0)+2,FALSE)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1" s="5">
        <f ca="1">VLOOKUP($I211,OFFSET([2]enemies!$A$1,0,0,COUNTA([2]enemies!$A:$A),MATCH(T$1,[2]enemies!$2:$2,0)-MATCH($I$1,[2]enemies!$2:$2,0)+1),MATCH(T$1,[2]enemies!$2:$2,0)-MATCH($I$1,[2]enemies!$2:$2,0)+1,FALSE)</f>
        <v>0</v>
      </c>
      <c r="U211" s="7">
        <v>1</v>
      </c>
      <c r="V211" s="7">
        <v>100</v>
      </c>
      <c r="W211" s="7">
        <v>0</v>
      </c>
      <c r="X211" s="26">
        <f ca="1">VLOOKUP($I211,OFFSET([2]enemies!$A$1,0,0,COUNTA([2]enemies!$A:$A),MATCH(X$1,[2]enemies!$2:$2,0)-MATCH($I$1,[2]enemies!$2:$2,0)+1),MATCH(X$1,[2]enemies!$2:$2,0)-MATCH($I$1,[2]enemies!$2:$2,0)+1,FALSE)</f>
        <v>2</v>
      </c>
      <c r="Y211" s="31">
        <v>341</v>
      </c>
      <c r="Z211" s="5" t="str">
        <f ca="1">IFERROR(VLOOKUP($Y211,OFFSET([3]characters!$A$1,0,0,COUNTA([3]characters!$A:$A),MATCH(Z$1,[3]characters!$2:$2,0)-MATCH("character_id",[3]characters!$2:$2,0)+1),MATCH(Z$1,[3]characters!$2:$2,0)-MATCH("character_id",[3]characters!$2:$2,0)+1,FALSE),"")</f>
        <v>水のメタルチック</v>
      </c>
      <c r="AA211" s="5">
        <f ca="1">IFERROR(VLOOKUP($Y211,OFFSET([3]characters!$A$1,0,0,COUNTA([3]characters!$A:$A),MATCH(AA$1,[3]characters!$2:$2,0)-MATCH("character_id",[3]characters!$2:$2,0)+1),MATCH(AA$1,[3]characters!$2:$2,0)-MATCH("character_id",[3]characters!$2:$2,0)+1,FALSE),"")</f>
        <v>4</v>
      </c>
      <c r="AB211" s="5" t="str">
        <f ca="1">IFERROR(VLOOKUP($Y211,OFFSET([3]characters!$A$1,0,0,COUNTA([3]characters!$A:$A),MATCH(AB$1,[3]characters!$2:$2,0)-MATCH("character_id",[3]characters!$2:$2,0)+1),MATCH(AB$1,[3]characters!$2:$2,0)-MATCH("character_id",[3]characters!$2:$2,0)+1,FALSE),"")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11" s="8">
        <v>1</v>
      </c>
      <c r="AD211" s="34">
        <f t="shared" ca="1" si="148"/>
        <v>4</v>
      </c>
      <c r="AE211" s="9">
        <v>10</v>
      </c>
      <c r="AF211" s="8">
        <v>0</v>
      </c>
      <c r="AG211" s="8">
        <v>0</v>
      </c>
      <c r="AH211" s="8">
        <v>0</v>
      </c>
      <c r="AI211" s="8">
        <v>0</v>
      </c>
      <c r="AJ211" s="8">
        <v>1</v>
      </c>
    </row>
    <row r="212" spans="1:36" ht="21" customHeight="1">
      <c r="A212" s="21" t="str">
        <f t="shared" ca="1" si="141"/>
        <v>11105_3-4/37&lt;lv42&gt;s3</v>
      </c>
      <c r="B212" s="8">
        <v>11105</v>
      </c>
      <c r="C212" s="51">
        <v>3</v>
      </c>
      <c r="D212" s="2" t="str">
        <f t="shared" si="142"/>
        <v>11105_3</v>
      </c>
      <c r="E212" s="5" t="str">
        <f ca="1">VLOOKUP($B212,OFFSET([1]quests!$A$1,0,0,COUNTA([1]quests!$A:$A),MATCH(E$1,[1]quests!$1:$1,0)-MATCH($B$1,[1]quests!$1:$1,0)+1),MATCH(E$1,[1]quests!$1:$1,0)-MATCH($B$1,[1]quests!$1:$1,0)+1,FALSE)</f>
        <v>【キャンペーン限定】 帽子屋を追え！</v>
      </c>
      <c r="F212" s="5" t="str">
        <f ca="1">VLOOKUP($D212,OFFSET([1]stages!$A$1,0,0,COUNTA([1]stages!$A:$A),MATCH(F$1,[1]stages!$2:$2,0)-MATCH($D$1,[1]stages!$2:$2,0)+1),MATCH(F$1,[1]stages!$2:$2,0)-MATCH($D$1,[1]stages!$2:$2,0)+1,FALSE)</f>
        <v>水の帽子屋 【超級】</v>
      </c>
      <c r="G212" s="32">
        <v>4</v>
      </c>
      <c r="H212" s="20" t="str">
        <f t="shared" si="143"/>
        <v>11105_3-4</v>
      </c>
      <c r="I212" s="31">
        <v>37</v>
      </c>
      <c r="J212" s="26" t="str">
        <f ca="1">VLOOKUP($I212,OFFSET([2]enemies!$A$1,0,0,COUNTA([2]enemies!$A:$A),MATCH(J$1,[2]enemies!$2:$2,0)-MATCH($I$1,[2]enemies!$2:$2,0)+1),MATCH(J$1,[2]enemies!$2:$2,0)-MATCH($I$1,[2]enemies!$2:$2,0)+1,FALSE)</f>
        <v>ガイル</v>
      </c>
      <c r="K212" s="29" t="str">
        <f ca="1">VLOOKUP($I212,OFFSET([2]enemies!$A$1,0,0,COUNTA([2]enemies!$A:$A),MATCH(K$1,[2]enemies!$2:$2,0)-MATCH($I$1,[2]enemies!$2:$2,0)+1),MATCH(K$1,[2]enemies!$2:$2,0)-MATCH($I$1,[2]enemies!$2:$2,0)+1,FALSE)</f>
        <v>blue</v>
      </c>
      <c r="L212" s="29" t="str">
        <f ca="1">VLOOKUP($I212,OFFSET([3]characters!$A$1,0,0,COUNTA([3]characters!$A:$A),MATCH(L$1,[3]characters!$2:$2,0)-MATCH($I$1,[3]characters!$2:$2,0)+1),MATCH(L$1,[3]characters!$2:$2,0)-MATCH($I$1,[3]characters!$2:$2,0)+1,FALSE)</f>
        <v>Drop1S</v>
      </c>
      <c r="M212" s="28" t="str">
        <f ca="1">VLOOKUP($I212,OFFSET([3]characters!$A$1,0,0,COUNTA([3]characters!$A:$A),MATCH(M$1,[3]characters!$2:$2,0)-MATCH($I$1,[3]characters!$2:$2,0)+2),MATCH(M$1,[3]characters!$2:$2,0)-MATCH($I$1,[3]characters!$2:$2,0)+2,FALSE)</f>
        <v>アニマル</v>
      </c>
      <c r="N212" s="5">
        <f ca="1">VLOOKUP($I212,OFFSET([2]enemies!$A$1,0,0,COUNTA([2]enemies!$A:$A),MATCH(N$1,[2]enemies!$2:$2,0)-MATCH($I$1,[2]enemies!$2:$2,0)+1),MATCH(N$1,[2]enemies!$2:$2,0)-MATCH($I$1,[2]enemies!$2:$2,0)+1,FALSE)</f>
        <v>15</v>
      </c>
      <c r="O212" s="6">
        <v>42</v>
      </c>
      <c r="P212" s="46">
        <v>1</v>
      </c>
      <c r="Q212" s="46">
        <v>1</v>
      </c>
      <c r="R212" s="6">
        <v>0</v>
      </c>
      <c r="S212" s="5" t="str">
        <f ca="1">VLOOKUP($T212,OFFSET([4]enemy_skill_sets!$B$1,0,0,COUNTA([4]enemy_skill_sets!$B:$B),MATCH(J$1,[4]enemy_skill_sets!$1:$1,0)-MATCH($T$1,[4]enemy_skill_sets!$1:$1,0)+2),MATCH(J$1,[4]enemy_skill_sets!$1:$1,0)-MATCH($T$1,[4]enemy_skill_sets!$1:$1,0)+2,FALSE)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212" s="5">
        <f ca="1">VLOOKUP($I212,OFFSET([2]enemies!$A$1,0,0,COUNTA([2]enemies!$A:$A),MATCH(T$1,[2]enemies!$2:$2,0)-MATCH($I$1,[2]enemies!$2:$2,0)+1),MATCH(T$1,[2]enemies!$2:$2,0)-MATCH($I$1,[2]enemies!$2:$2,0)+1,FALSE)</f>
        <v>37</v>
      </c>
      <c r="U212" s="7">
        <v>0</v>
      </c>
      <c r="V212" s="7">
        <v>100</v>
      </c>
      <c r="W212" s="7">
        <v>0</v>
      </c>
      <c r="X212" s="26">
        <f ca="1">VLOOKUP($I212,OFFSET([2]enemies!$A$1,0,0,COUNTA([2]enemies!$A:$A),MATCH(X$1,[2]enemies!$2:$2,0)-MATCH($I$1,[2]enemies!$2:$2,0)+1),MATCH(X$1,[2]enemies!$2:$2,0)-MATCH($I$1,[2]enemies!$2:$2,0)+1,FALSE)</f>
        <v>3</v>
      </c>
      <c r="Y212" s="31">
        <v>37</v>
      </c>
      <c r="Z212" s="5" t="str">
        <f ca="1">IFERROR(VLOOKUP($Y212,OFFSET([3]characters!$A$1,0,0,COUNTA([3]characters!$A:$A),MATCH(Z$1,[3]characters!$2:$2,0)-MATCH("character_id",[3]characters!$2:$2,0)+1),MATCH(Z$1,[3]characters!$2:$2,0)-MATCH("character_id",[3]characters!$2:$2,0)+1,FALSE),"")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212" s="5">
        <f ca="1">IFERROR(VLOOKUP($Y212,OFFSET([3]characters!$A$1,0,0,COUNTA([3]characters!$A:$A),MATCH(AA$1,[3]characters!$2:$2,0)-MATCH("character_id",[3]characters!$2:$2,0)+1),MATCH(AA$1,[3]characters!$2:$2,0)-MATCH("character_id",[3]characters!$2:$2,0)+1,FALSE),"")</f>
        <v>2</v>
      </c>
      <c r="AB212" s="5" t="str">
        <f ca="1">IFERROR(VLOOKUP($Y212,OFFSET([3]characters!$A$1,0,0,COUNTA([3]characters!$A:$A),MATCH(AB$1,[3]characters!$2:$2,0)-MATCH("character_id",[3]characters!$2:$2,0)+1),MATCH(AB$1,[3]characters!$2:$2,0)-MATCH("character_id",[3]characters!$2:$2,0)+1,FALSE),"")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12" s="8">
        <v>1</v>
      </c>
      <c r="AD212" s="34">
        <f t="shared" ca="1" si="144"/>
        <v>2</v>
      </c>
      <c r="AE212" s="9">
        <v>0</v>
      </c>
      <c r="AF212" s="8">
        <v>0</v>
      </c>
      <c r="AG212" s="8">
        <v>0</v>
      </c>
      <c r="AH212" s="8">
        <v>0</v>
      </c>
      <c r="AI212" s="8">
        <v>0</v>
      </c>
      <c r="AJ212" s="8">
        <v>1</v>
      </c>
    </row>
    <row r="213" spans="1:36" ht="21" customHeight="1">
      <c r="A213" s="21" t="str">
        <f t="shared" ca="1" si="141"/>
        <v>11105_3-4/29&lt;lv42&gt;s2</v>
      </c>
      <c r="B213" s="8">
        <v>11105</v>
      </c>
      <c r="C213" s="51">
        <v>3</v>
      </c>
      <c r="D213" s="2" t="str">
        <f t="shared" si="142"/>
        <v>11105_3</v>
      </c>
      <c r="E213" s="5" t="str">
        <f ca="1">VLOOKUP($B213,OFFSET([1]quests!$A$1,0,0,COUNTA([1]quests!$A:$A),MATCH(E$1,[1]quests!$1:$1,0)-MATCH($B$1,[1]quests!$1:$1,0)+1),MATCH(E$1,[1]quests!$1:$1,0)-MATCH($B$1,[1]quests!$1:$1,0)+1,FALSE)</f>
        <v>【キャンペーン限定】 帽子屋を追え！</v>
      </c>
      <c r="F213" s="5" t="str">
        <f ca="1">VLOOKUP($D213,OFFSET([1]stages!$A$1,0,0,COUNTA([1]stages!$A:$A),MATCH(F$1,[1]stages!$2:$2,0)-MATCH($D$1,[1]stages!$2:$2,0)+1),MATCH(F$1,[1]stages!$2:$2,0)-MATCH($D$1,[1]stages!$2:$2,0)+1,FALSE)</f>
        <v>水の帽子屋 【超級】</v>
      </c>
      <c r="G213" s="32">
        <v>4</v>
      </c>
      <c r="H213" s="20" t="str">
        <f t="shared" si="143"/>
        <v>11105_3-4</v>
      </c>
      <c r="I213" s="31">
        <v>29</v>
      </c>
      <c r="J213" s="26" t="str">
        <f ca="1">VLOOKUP($I213,OFFSET([2]enemies!$A$1,0,0,COUNTA([2]enemies!$A:$A),MATCH(J$1,[2]enemies!$2:$2,0)-MATCH($I$1,[2]enemies!$2:$2,0)+1),MATCH(J$1,[2]enemies!$2:$2,0)-MATCH($I$1,[2]enemies!$2:$2,0)+1,FALSE)</f>
        <v>スケアクロウ</v>
      </c>
      <c r="K213" s="29" t="str">
        <f ca="1">VLOOKUP($I213,OFFSET([2]enemies!$A$1,0,0,COUNTA([2]enemies!$A:$A),MATCH(K$1,[2]enemies!$2:$2,0)-MATCH($I$1,[2]enemies!$2:$2,0)+1),MATCH(K$1,[2]enemies!$2:$2,0)-MATCH($I$1,[2]enemies!$2:$2,0)+1,FALSE)</f>
        <v>blue</v>
      </c>
      <c r="L213" s="29" t="str">
        <f ca="1">VLOOKUP($I213,OFFSET([3]characters!$A$1,0,0,COUNTA([3]characters!$A:$A),MATCH(L$1,[3]characters!$2:$2,0)-MATCH($I$1,[3]characters!$2:$2,0)+1),MATCH(L$1,[3]characters!$2:$2,0)-MATCH($I$1,[3]characters!$2:$2,0)+1,FALSE)</f>
        <v>Drop1N</v>
      </c>
      <c r="M213" s="28" t="str">
        <f ca="1">VLOOKUP($I213,OFFSET([3]characters!$A$1,0,0,COUNTA([3]characters!$A:$A),MATCH(M$1,[3]characters!$2:$2,0)-MATCH($I$1,[3]characters!$2:$2,0)+2),MATCH(M$1,[3]characters!$2:$2,0)-MATCH($I$1,[3]characters!$2:$2,0)+2,FALSE)</f>
        <v>マシン</v>
      </c>
      <c r="N213" s="5">
        <f ca="1">VLOOKUP($I213,OFFSET([2]enemies!$A$1,0,0,COUNTA([2]enemies!$A:$A),MATCH(N$1,[2]enemies!$2:$2,0)-MATCH($I$1,[2]enemies!$2:$2,0)+1),MATCH(N$1,[2]enemies!$2:$2,0)-MATCH($I$1,[2]enemies!$2:$2,0)+1,FALSE)</f>
        <v>15</v>
      </c>
      <c r="O213" s="6">
        <v>42</v>
      </c>
      <c r="P213" s="46">
        <v>1</v>
      </c>
      <c r="Q213" s="46">
        <v>1</v>
      </c>
      <c r="R213" s="6">
        <v>0</v>
      </c>
      <c r="S213" s="5" t="str">
        <f ca="1">VLOOKUP($T213,OFFSET([4]enemy_skill_sets!$B$1,0,0,COUNTA([4]enemy_skill_sets!$B:$B),MATCH(J$1,[4]enemy_skill_sets!$1:$1,0)-MATCH($T$1,[4]enemy_skill_sets!$1:$1,0)+2),MATCH(J$1,[4]enemy_skill_sets!$1:$1,0)-MATCH($T$1,[4]enemy_skill_sets!$1:$1,0)+2,FALSE)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3" s="5">
        <f ca="1">VLOOKUP($I213,OFFSET([2]enemies!$A$1,0,0,COUNTA([2]enemies!$A:$A),MATCH(T$1,[2]enemies!$2:$2,0)-MATCH($I$1,[2]enemies!$2:$2,0)+1),MATCH(T$1,[2]enemies!$2:$2,0)-MATCH($I$1,[2]enemies!$2:$2,0)+1,FALSE)</f>
        <v>0</v>
      </c>
      <c r="U213" s="7">
        <v>0</v>
      </c>
      <c r="V213" s="7">
        <v>100</v>
      </c>
      <c r="W213" s="7">
        <v>0</v>
      </c>
      <c r="X213" s="26">
        <f ca="1">VLOOKUP($I213,OFFSET([2]enemies!$A$1,0,0,COUNTA([2]enemies!$A:$A),MATCH(X$1,[2]enemies!$2:$2,0)-MATCH($I$1,[2]enemies!$2:$2,0)+1),MATCH(X$1,[2]enemies!$2:$2,0)-MATCH($I$1,[2]enemies!$2:$2,0)+1,FALSE)</f>
        <v>2</v>
      </c>
      <c r="Y213" s="31">
        <v>29</v>
      </c>
      <c r="Z213" s="5" t="str">
        <f ca="1">IFERROR(VLOOKUP($Y213,OFFSET([3]characters!$A$1,0,0,COUNTA([3]characters!$A:$A),MATCH(Z$1,[3]characters!$2:$2,0)-MATCH("character_id",[3]characters!$2:$2,0)+1),MATCH(Z$1,[3]characters!$2:$2,0)-MATCH("character_id",[3]characters!$2:$2,0)+1,FALSE),"")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213" s="5">
        <f ca="1">IFERROR(VLOOKUP($Y213,OFFSET([3]characters!$A$1,0,0,COUNTA([3]characters!$A:$A),MATCH(AA$1,[3]characters!$2:$2,0)-MATCH("character_id",[3]characters!$2:$2,0)+1),MATCH(AA$1,[3]characters!$2:$2,0)-MATCH("character_id",[3]characters!$2:$2,0)+1,FALSE),"")</f>
        <v>1</v>
      </c>
      <c r="AB213" s="5" t="str">
        <f ca="1">IFERROR(VLOOKUP($Y213,OFFSET([3]characters!$A$1,0,0,COUNTA([3]characters!$A:$A),MATCH(AB$1,[3]characters!$2:$2,0)-MATCH("character_id",[3]characters!$2:$2,0)+1),MATCH(AB$1,[3]characters!$2:$2,0)-MATCH("character_id",[3]characters!$2:$2,0)+1,FALSE),"")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13" s="8">
        <v>1</v>
      </c>
      <c r="AD213" s="34">
        <f t="shared" ca="1" si="144"/>
        <v>1</v>
      </c>
      <c r="AE213" s="9">
        <v>0</v>
      </c>
      <c r="AF213" s="8">
        <v>0</v>
      </c>
      <c r="AG213" s="8">
        <v>0</v>
      </c>
      <c r="AH213" s="8">
        <v>0</v>
      </c>
      <c r="AI213" s="8">
        <v>0</v>
      </c>
      <c r="AJ213" s="8">
        <v>1</v>
      </c>
    </row>
    <row r="214" spans="1:36" ht="21" customHeight="1">
      <c r="A214" s="21" t="str">
        <f t="shared" ref="A214:A215" ca="1" si="149">B214&amp;"_"&amp;C214&amp;"-"&amp;G214&amp;"/"&amp;I214&amp;"&lt;lv"&amp;O214&amp;"&gt;s"&amp;X214</f>
        <v>11105_3-5/37&lt;lv42&gt;s3</v>
      </c>
      <c r="B214" s="8">
        <v>11105</v>
      </c>
      <c r="C214" s="51">
        <v>3</v>
      </c>
      <c r="D214" s="2" t="str">
        <f t="shared" ref="D214:D215" si="150">B214&amp;"_"&amp;C214</f>
        <v>11105_3</v>
      </c>
      <c r="E214" s="5" t="str">
        <f ca="1">VLOOKUP($B214,OFFSET([1]quests!$A$1,0,0,COUNTA([1]quests!$A:$A),MATCH(E$1,[1]quests!$1:$1,0)-MATCH($B$1,[1]quests!$1:$1,0)+1),MATCH(E$1,[1]quests!$1:$1,0)-MATCH($B$1,[1]quests!$1:$1,0)+1,FALSE)</f>
        <v>【キャンペーン限定】 帽子屋を追え！</v>
      </c>
      <c r="F214" s="5" t="str">
        <f ca="1">VLOOKUP($D214,OFFSET([1]stages!$A$1,0,0,COUNTA([1]stages!$A:$A),MATCH(F$1,[1]stages!$2:$2,0)-MATCH($D$1,[1]stages!$2:$2,0)+1),MATCH(F$1,[1]stages!$2:$2,0)-MATCH($D$1,[1]stages!$2:$2,0)+1,FALSE)</f>
        <v>水の帽子屋 【超級】</v>
      </c>
      <c r="G214" s="32">
        <v>5</v>
      </c>
      <c r="H214" s="20" t="str">
        <f t="shared" ref="H214:H215" si="151">B214&amp;"_"&amp;C214&amp;"-"&amp;G214</f>
        <v>11105_3-5</v>
      </c>
      <c r="I214" s="31">
        <v>37</v>
      </c>
      <c r="J214" s="26" t="str">
        <f ca="1">VLOOKUP($I214,OFFSET([2]enemies!$A$1,0,0,COUNTA([2]enemies!$A:$A),MATCH(J$1,[2]enemies!$2:$2,0)-MATCH($I$1,[2]enemies!$2:$2,0)+1),MATCH(J$1,[2]enemies!$2:$2,0)-MATCH($I$1,[2]enemies!$2:$2,0)+1,FALSE)</f>
        <v>ガイル</v>
      </c>
      <c r="K214" s="29" t="str">
        <f ca="1">VLOOKUP($I214,OFFSET([2]enemies!$A$1,0,0,COUNTA([2]enemies!$A:$A),MATCH(K$1,[2]enemies!$2:$2,0)-MATCH($I$1,[2]enemies!$2:$2,0)+1),MATCH(K$1,[2]enemies!$2:$2,0)-MATCH($I$1,[2]enemies!$2:$2,0)+1,FALSE)</f>
        <v>blue</v>
      </c>
      <c r="L214" s="29" t="str">
        <f ca="1">VLOOKUP($I214,OFFSET([3]characters!$A$1,0,0,COUNTA([3]characters!$A:$A),MATCH(L$1,[3]characters!$2:$2,0)-MATCH($I$1,[3]characters!$2:$2,0)+1),MATCH(L$1,[3]characters!$2:$2,0)-MATCH($I$1,[3]characters!$2:$2,0)+1,FALSE)</f>
        <v>Drop1S</v>
      </c>
      <c r="M214" s="28" t="str">
        <f ca="1">VLOOKUP($I214,OFFSET([3]characters!$A$1,0,0,COUNTA([3]characters!$A:$A),MATCH(M$1,[3]characters!$2:$2,0)-MATCH($I$1,[3]characters!$2:$2,0)+2),MATCH(M$1,[3]characters!$2:$2,0)-MATCH($I$1,[3]characters!$2:$2,0)+2,FALSE)</f>
        <v>アニマル</v>
      </c>
      <c r="N214" s="5">
        <f ca="1">VLOOKUP($I214,OFFSET([2]enemies!$A$1,0,0,COUNTA([2]enemies!$A:$A),MATCH(N$1,[2]enemies!$2:$2,0)-MATCH($I$1,[2]enemies!$2:$2,0)+1),MATCH(N$1,[2]enemies!$2:$2,0)-MATCH($I$1,[2]enemies!$2:$2,0)+1,FALSE)</f>
        <v>15</v>
      </c>
      <c r="O214" s="6">
        <v>42</v>
      </c>
      <c r="P214" s="46">
        <v>1</v>
      </c>
      <c r="Q214" s="46">
        <v>1</v>
      </c>
      <c r="R214" s="6">
        <v>0</v>
      </c>
      <c r="S214" s="5" t="str">
        <f ca="1">VLOOKUP($T214,OFFSET([4]enemy_skill_sets!$B$1,0,0,COUNTA([4]enemy_skill_sets!$B:$B),MATCH(J$1,[4]enemy_skill_sets!$1:$1,0)-MATCH($T$1,[4]enemy_skill_sets!$1:$1,0)+2),MATCH(J$1,[4]enemy_skill_sets!$1:$1,0)-MATCH($T$1,[4]enemy_skill_sets!$1:$1,0)+2,FALSE)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214" s="5">
        <f ca="1">VLOOKUP($I214,OFFSET([2]enemies!$A$1,0,0,COUNTA([2]enemies!$A:$A),MATCH(T$1,[2]enemies!$2:$2,0)-MATCH($I$1,[2]enemies!$2:$2,0)+1),MATCH(T$1,[2]enemies!$2:$2,0)-MATCH($I$1,[2]enemies!$2:$2,0)+1,FALSE)</f>
        <v>37</v>
      </c>
      <c r="U214" s="7">
        <v>0</v>
      </c>
      <c r="V214" s="7">
        <v>100</v>
      </c>
      <c r="W214" s="7">
        <v>0</v>
      </c>
      <c r="X214" s="26">
        <f ca="1">VLOOKUP($I214,OFFSET([2]enemies!$A$1,0,0,COUNTA([2]enemies!$A:$A),MATCH(X$1,[2]enemies!$2:$2,0)-MATCH($I$1,[2]enemies!$2:$2,0)+1),MATCH(X$1,[2]enemies!$2:$2,0)-MATCH($I$1,[2]enemies!$2:$2,0)+1,FALSE)</f>
        <v>3</v>
      </c>
      <c r="Y214" s="31">
        <v>37</v>
      </c>
      <c r="Z214" s="5" t="str">
        <f ca="1">IFERROR(VLOOKUP($Y214,OFFSET([3]characters!$A$1,0,0,COUNTA([3]characters!$A:$A),MATCH(Z$1,[3]characters!$2:$2,0)-MATCH("character_id",[3]characters!$2:$2,0)+1),MATCH(Z$1,[3]characters!$2:$2,0)-MATCH("character_id",[3]characters!$2:$2,0)+1,FALSE),"")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214" s="5">
        <f ca="1">IFERROR(VLOOKUP($Y214,OFFSET([3]characters!$A$1,0,0,COUNTA([3]characters!$A:$A),MATCH(AA$1,[3]characters!$2:$2,0)-MATCH("character_id",[3]characters!$2:$2,0)+1),MATCH(AA$1,[3]characters!$2:$2,0)-MATCH("character_id",[3]characters!$2:$2,0)+1,FALSE),"")</f>
        <v>2</v>
      </c>
      <c r="AB214" s="5" t="str">
        <f ca="1">IFERROR(VLOOKUP($Y214,OFFSET([3]characters!$A$1,0,0,COUNTA([3]characters!$A:$A),MATCH(AB$1,[3]characters!$2:$2,0)-MATCH("character_id",[3]characters!$2:$2,0)+1),MATCH(AB$1,[3]characters!$2:$2,0)-MATCH("character_id",[3]characters!$2:$2,0)+1,FALSE),"")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14" s="8">
        <v>1</v>
      </c>
      <c r="AD214" s="34">
        <f t="shared" ref="AD214:AD215" ca="1" si="152">AA214</f>
        <v>2</v>
      </c>
      <c r="AE214" s="9">
        <v>0</v>
      </c>
      <c r="AF214" s="8">
        <v>0</v>
      </c>
      <c r="AG214" s="8">
        <v>0</v>
      </c>
      <c r="AH214" s="8">
        <v>0</v>
      </c>
      <c r="AI214" s="8">
        <v>0</v>
      </c>
      <c r="AJ214" s="8">
        <v>1</v>
      </c>
    </row>
    <row r="215" spans="1:36" ht="21" customHeight="1">
      <c r="A215" s="21" t="str">
        <f t="shared" ca="1" si="149"/>
        <v>11105_3-5/29&lt;lv42&gt;s2</v>
      </c>
      <c r="B215" s="8">
        <v>11105</v>
      </c>
      <c r="C215" s="51">
        <v>3</v>
      </c>
      <c r="D215" s="2" t="str">
        <f t="shared" si="150"/>
        <v>11105_3</v>
      </c>
      <c r="E215" s="5" t="str">
        <f ca="1">VLOOKUP($B215,OFFSET([1]quests!$A$1,0,0,COUNTA([1]quests!$A:$A),MATCH(E$1,[1]quests!$1:$1,0)-MATCH($B$1,[1]quests!$1:$1,0)+1),MATCH(E$1,[1]quests!$1:$1,0)-MATCH($B$1,[1]quests!$1:$1,0)+1,FALSE)</f>
        <v>【キャンペーン限定】 帽子屋を追え！</v>
      </c>
      <c r="F215" s="5" t="str">
        <f ca="1">VLOOKUP($D215,OFFSET([1]stages!$A$1,0,0,COUNTA([1]stages!$A:$A),MATCH(F$1,[1]stages!$2:$2,0)-MATCH($D$1,[1]stages!$2:$2,0)+1),MATCH(F$1,[1]stages!$2:$2,0)-MATCH($D$1,[1]stages!$2:$2,0)+1,FALSE)</f>
        <v>水の帽子屋 【超級】</v>
      </c>
      <c r="G215" s="32">
        <v>5</v>
      </c>
      <c r="H215" s="20" t="str">
        <f t="shared" si="151"/>
        <v>11105_3-5</v>
      </c>
      <c r="I215" s="31">
        <v>29</v>
      </c>
      <c r="J215" s="26" t="str">
        <f ca="1">VLOOKUP($I215,OFFSET([2]enemies!$A$1,0,0,COUNTA([2]enemies!$A:$A),MATCH(J$1,[2]enemies!$2:$2,0)-MATCH($I$1,[2]enemies!$2:$2,0)+1),MATCH(J$1,[2]enemies!$2:$2,0)-MATCH($I$1,[2]enemies!$2:$2,0)+1,FALSE)</f>
        <v>スケアクロウ</v>
      </c>
      <c r="K215" s="29" t="str">
        <f ca="1">VLOOKUP($I215,OFFSET([2]enemies!$A$1,0,0,COUNTA([2]enemies!$A:$A),MATCH(K$1,[2]enemies!$2:$2,0)-MATCH($I$1,[2]enemies!$2:$2,0)+1),MATCH(K$1,[2]enemies!$2:$2,0)-MATCH($I$1,[2]enemies!$2:$2,0)+1,FALSE)</f>
        <v>blue</v>
      </c>
      <c r="L215" s="29" t="str">
        <f ca="1">VLOOKUP($I215,OFFSET([3]characters!$A$1,0,0,COUNTA([3]characters!$A:$A),MATCH(L$1,[3]characters!$2:$2,0)-MATCH($I$1,[3]characters!$2:$2,0)+1),MATCH(L$1,[3]characters!$2:$2,0)-MATCH($I$1,[3]characters!$2:$2,0)+1,FALSE)</f>
        <v>Drop1N</v>
      </c>
      <c r="M215" s="28" t="str">
        <f ca="1">VLOOKUP($I215,OFFSET([3]characters!$A$1,0,0,COUNTA([3]characters!$A:$A),MATCH(M$1,[3]characters!$2:$2,0)-MATCH($I$1,[3]characters!$2:$2,0)+2),MATCH(M$1,[3]characters!$2:$2,0)-MATCH($I$1,[3]characters!$2:$2,0)+2,FALSE)</f>
        <v>マシン</v>
      </c>
      <c r="N215" s="5">
        <f ca="1">VLOOKUP($I215,OFFSET([2]enemies!$A$1,0,0,COUNTA([2]enemies!$A:$A),MATCH(N$1,[2]enemies!$2:$2,0)-MATCH($I$1,[2]enemies!$2:$2,0)+1),MATCH(N$1,[2]enemies!$2:$2,0)-MATCH($I$1,[2]enemies!$2:$2,0)+1,FALSE)</f>
        <v>15</v>
      </c>
      <c r="O215" s="6">
        <v>42</v>
      </c>
      <c r="P215" s="46">
        <v>1</v>
      </c>
      <c r="Q215" s="46">
        <v>1</v>
      </c>
      <c r="R215" s="6">
        <v>0</v>
      </c>
      <c r="S215" s="5" t="str">
        <f ca="1">VLOOKUP($T215,OFFSET([4]enemy_skill_sets!$B$1,0,0,COUNTA([4]enemy_skill_sets!$B:$B),MATCH(J$1,[4]enemy_skill_sets!$1:$1,0)-MATCH($T$1,[4]enemy_skill_sets!$1:$1,0)+2),MATCH(J$1,[4]enemy_skill_sets!$1:$1,0)-MATCH($T$1,[4]enemy_skill_sets!$1:$1,0)+2,FALSE)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5" s="5">
        <f ca="1">VLOOKUP($I215,OFFSET([2]enemies!$A$1,0,0,COUNTA([2]enemies!$A:$A),MATCH(T$1,[2]enemies!$2:$2,0)-MATCH($I$1,[2]enemies!$2:$2,0)+1),MATCH(T$1,[2]enemies!$2:$2,0)-MATCH($I$1,[2]enemies!$2:$2,0)+1,FALSE)</f>
        <v>0</v>
      </c>
      <c r="U215" s="7">
        <v>0</v>
      </c>
      <c r="V215" s="7">
        <v>100</v>
      </c>
      <c r="W215" s="7">
        <v>0</v>
      </c>
      <c r="X215" s="26">
        <f ca="1">VLOOKUP($I215,OFFSET([2]enemies!$A$1,0,0,COUNTA([2]enemies!$A:$A),MATCH(X$1,[2]enemies!$2:$2,0)-MATCH($I$1,[2]enemies!$2:$2,0)+1),MATCH(X$1,[2]enemies!$2:$2,0)-MATCH($I$1,[2]enemies!$2:$2,0)+1,FALSE)</f>
        <v>2</v>
      </c>
      <c r="Y215" s="31">
        <v>29</v>
      </c>
      <c r="Z215" s="5" t="str">
        <f ca="1">IFERROR(VLOOKUP($Y215,OFFSET([3]characters!$A$1,0,0,COUNTA([3]characters!$A:$A),MATCH(Z$1,[3]characters!$2:$2,0)-MATCH("character_id",[3]characters!$2:$2,0)+1),MATCH(Z$1,[3]characters!$2:$2,0)-MATCH("character_id",[3]characters!$2:$2,0)+1,FALSE),"")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215" s="5">
        <f ca="1">IFERROR(VLOOKUP($Y215,OFFSET([3]characters!$A$1,0,0,COUNTA([3]characters!$A:$A),MATCH(AA$1,[3]characters!$2:$2,0)-MATCH("character_id",[3]characters!$2:$2,0)+1),MATCH(AA$1,[3]characters!$2:$2,0)-MATCH("character_id",[3]characters!$2:$2,0)+1,FALSE),"")</f>
        <v>1</v>
      </c>
      <c r="AB215" s="5" t="str">
        <f ca="1">IFERROR(VLOOKUP($Y215,OFFSET([3]characters!$A$1,0,0,COUNTA([3]characters!$A:$A),MATCH(AB$1,[3]characters!$2:$2,0)-MATCH("character_id",[3]characters!$2:$2,0)+1),MATCH(AB$1,[3]characters!$2:$2,0)-MATCH("character_id",[3]characters!$2:$2,0)+1,FALSE),"")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15" s="8">
        <v>1</v>
      </c>
      <c r="AD215" s="34">
        <f t="shared" ca="1" si="152"/>
        <v>1</v>
      </c>
      <c r="AE215" s="9">
        <v>0</v>
      </c>
      <c r="AF215" s="8">
        <v>0</v>
      </c>
      <c r="AG215" s="8">
        <v>0</v>
      </c>
      <c r="AH215" s="8">
        <v>0</v>
      </c>
      <c r="AI215" s="8">
        <v>0</v>
      </c>
      <c r="AJ215" s="8">
        <v>1</v>
      </c>
    </row>
    <row r="216" spans="1:36" ht="21" customHeight="1">
      <c r="A216" s="21" t="str">
        <f t="shared" ca="1" si="141"/>
        <v>11105_3-6/112&lt;lv40&gt;s2</v>
      </c>
      <c r="B216" s="8">
        <v>11105</v>
      </c>
      <c r="C216" s="51">
        <v>3</v>
      </c>
      <c r="D216" s="2" t="str">
        <f t="shared" si="142"/>
        <v>11105_3</v>
      </c>
      <c r="E216" s="5" t="str">
        <f ca="1">VLOOKUP($B216,OFFSET([1]quests!$A$1,0,0,COUNTA([1]quests!$A:$A),MATCH(E$1,[1]quests!$1:$1,0)-MATCH($B$1,[1]quests!$1:$1,0)+1),MATCH(E$1,[1]quests!$1:$1,0)-MATCH($B$1,[1]quests!$1:$1,0)+1,FALSE)</f>
        <v>【キャンペーン限定】 帽子屋を追え！</v>
      </c>
      <c r="F216" s="5" t="str">
        <f ca="1">VLOOKUP($D216,OFFSET([1]stages!$A$1,0,0,COUNTA([1]stages!$A:$A),MATCH(F$1,[1]stages!$2:$2,0)-MATCH($D$1,[1]stages!$2:$2,0)+1),MATCH(F$1,[1]stages!$2:$2,0)-MATCH($D$1,[1]stages!$2:$2,0)+1,FALSE)</f>
        <v>水の帽子屋 【超級】</v>
      </c>
      <c r="G216" s="32">
        <v>6</v>
      </c>
      <c r="H216" s="20" t="str">
        <f t="shared" si="143"/>
        <v>11105_3-6</v>
      </c>
      <c r="I216" s="31">
        <v>112</v>
      </c>
      <c r="J216" s="26" t="str">
        <f ca="1">VLOOKUP($I216,OFFSET([2]enemies!$A$1,0,0,COUNTA([2]enemies!$A:$A),MATCH(J$1,[2]enemies!$2:$2,0)-MATCH($I$1,[2]enemies!$2:$2,0)+1),MATCH(J$1,[2]enemies!$2:$2,0)-MATCH($I$1,[2]enemies!$2:$2,0)+1,FALSE)</f>
        <v>水のマッドハッター</v>
      </c>
      <c r="K216" s="29" t="str">
        <f ca="1">VLOOKUP($I216,OFFSET([2]enemies!$A$1,0,0,COUNTA([2]enemies!$A:$A),MATCH(K$1,[2]enemies!$2:$2,0)-MATCH($I$1,[2]enemies!$2:$2,0)+1),MATCH(K$1,[2]enemies!$2:$2,0)-MATCH($I$1,[2]enemies!$2:$2,0)+1,FALSE)</f>
        <v>blue</v>
      </c>
      <c r="L216" s="29" t="str">
        <f ca="1">VLOOKUP($I216,OFFSET([3]characters!$A$1,0,0,COUNTA([3]characters!$A:$A),MATCH(L$1,[3]characters!$2:$2,0)-MATCH($I$1,[3]characters!$2:$2,0)+1),MATCH(L$1,[3]characters!$2:$2,0)-MATCH($I$1,[3]characters!$2:$2,0)+1,FALSE)</f>
        <v>Material</v>
      </c>
      <c r="M216" s="28" t="str">
        <f ca="1">VLOOKUP($I216,OFFSET([3]characters!$A$1,0,0,COUNTA([3]characters!$A:$A),MATCH(M$1,[3]characters!$2:$2,0)-MATCH($I$1,[3]characters!$2:$2,0)+2),MATCH(M$1,[3]characters!$2:$2,0)-MATCH($I$1,[3]characters!$2:$2,0)+2,FALSE)</f>
        <v>Unknown</v>
      </c>
      <c r="N216" s="5">
        <f ca="1">VLOOKUP($I216,OFFSET([2]enemies!$A$1,0,0,COUNTA([2]enemies!$A:$A),MATCH(N$1,[2]enemies!$2:$2,0)-MATCH($I$1,[2]enemies!$2:$2,0)+1),MATCH(N$1,[2]enemies!$2:$2,0)-MATCH($I$1,[2]enemies!$2:$2,0)+1,FALSE)</f>
        <v>20</v>
      </c>
      <c r="O216" s="6">
        <v>40</v>
      </c>
      <c r="P216" s="46">
        <v>1.7</v>
      </c>
      <c r="Q216" s="46">
        <v>1</v>
      </c>
      <c r="R216" s="6">
        <v>0</v>
      </c>
      <c r="S216" s="5" t="str">
        <f ca="1">VLOOKUP($T216,OFFSET([4]enemy_skill_sets!$B$1,0,0,COUNTA([4]enemy_skill_sets!$B:$B),MATCH(J$1,[4]enemy_skill_sets!$1:$1,0)-MATCH($T$1,[4]enemy_skill_sets!$1:$1,0)+2),MATCH(J$1,[4]enemy_skill_sets!$1:$1,0)-MATCH($T$1,[4]enemy_skill_sets!$1:$1,0)+2,FALSE)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6" s="5">
        <f ca="1">VLOOKUP($I216,OFFSET([2]enemies!$A$1,0,0,COUNTA([2]enemies!$A:$A),MATCH(T$1,[2]enemies!$2:$2,0)-MATCH($I$1,[2]enemies!$2:$2,0)+1),MATCH(T$1,[2]enemies!$2:$2,0)-MATCH($I$1,[2]enemies!$2:$2,0)+1,FALSE)</f>
        <v>0</v>
      </c>
      <c r="U216" s="7">
        <v>1</v>
      </c>
      <c r="V216" s="7">
        <v>100</v>
      </c>
      <c r="W216" s="7">
        <v>1</v>
      </c>
      <c r="X216" s="26">
        <f ca="1">VLOOKUP($I216,OFFSET([2]enemies!$A$1,0,0,COUNTA([2]enemies!$A:$A),MATCH(X$1,[2]enemies!$2:$2,0)-MATCH($I$1,[2]enemies!$2:$2,0)+1),MATCH(X$1,[2]enemies!$2:$2,0)-MATCH($I$1,[2]enemies!$2:$2,0)+1,FALSE)</f>
        <v>2</v>
      </c>
      <c r="Y216" s="31">
        <v>112</v>
      </c>
      <c r="Z216" s="5" t="str">
        <f ca="1">IFERROR(VLOOKUP($Y216,OFFSET([3]characters!$A$1,0,0,COUNTA([3]characters!$A:$A),MATCH(Z$1,[3]characters!$2:$2,0)-MATCH("character_id",[3]characters!$2:$2,0)+1),MATCH(Z$1,[3]characters!$2:$2,0)-MATCH("character_id",[3]characters!$2:$2,0)+1,FALSE),"")</f>
        <v>水のマッドハッター</v>
      </c>
      <c r="AA216" s="5">
        <f ca="1">IFERROR(VLOOKUP($Y216,OFFSET([3]characters!$A$1,0,0,COUNTA([3]characters!$A:$A),MATCH(AA$1,[3]characters!$2:$2,0)-MATCH("character_id",[3]characters!$2:$2,0)+1),MATCH(AA$1,[3]characters!$2:$2,0)-MATCH("character_id",[3]characters!$2:$2,0)+1,FALSE),"")</f>
        <v>5</v>
      </c>
      <c r="AB216" s="5" t="str">
        <f ca="1">IFERROR(VLOOKUP($Y216,OFFSET([3]characters!$A$1,0,0,COUNTA([3]characters!$A:$A),MATCH(AB$1,[3]characters!$2:$2,0)-MATCH("character_id",[3]characters!$2:$2,0)+1),MATCH(AB$1,[3]characters!$2:$2,0)-MATCH("character_id",[3]characters!$2:$2,0)+1,FALSE),"")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16" s="8">
        <v>1</v>
      </c>
      <c r="AD216" s="34">
        <f t="shared" ca="1" si="144"/>
        <v>5</v>
      </c>
      <c r="AE216" s="9">
        <v>100</v>
      </c>
      <c r="AF216" s="8">
        <v>0</v>
      </c>
      <c r="AG216" s="8">
        <v>0</v>
      </c>
      <c r="AH216" s="8">
        <v>0</v>
      </c>
      <c r="AI216" s="8">
        <v>0</v>
      </c>
      <c r="AJ216" s="8">
        <v>1</v>
      </c>
    </row>
    <row r="217" spans="1:36" ht="21" customHeight="1">
      <c r="A217" s="21" t="str">
        <f t="shared" ca="1" si="141"/>
        <v>11105_3-6/26&lt;lv45&gt;s3</v>
      </c>
      <c r="B217" s="8">
        <v>11105</v>
      </c>
      <c r="C217" s="51">
        <v>3</v>
      </c>
      <c r="D217" s="2" t="str">
        <f t="shared" si="142"/>
        <v>11105_3</v>
      </c>
      <c r="E217" s="5" t="str">
        <f ca="1">VLOOKUP($B217,OFFSET([1]quests!$A$1,0,0,COUNTA([1]quests!$A:$A),MATCH(E$1,[1]quests!$1:$1,0)-MATCH($B$1,[1]quests!$1:$1,0)+1),MATCH(E$1,[1]quests!$1:$1,0)-MATCH($B$1,[1]quests!$1:$1,0)+1,FALSE)</f>
        <v>【キャンペーン限定】 帽子屋を追え！</v>
      </c>
      <c r="F217" s="5" t="str">
        <f ca="1">VLOOKUP($D217,OFFSET([1]stages!$A$1,0,0,COUNTA([1]stages!$A:$A),MATCH(F$1,[1]stages!$2:$2,0)-MATCH($D$1,[1]stages!$2:$2,0)+1),MATCH(F$1,[1]stages!$2:$2,0)-MATCH($D$1,[1]stages!$2:$2,0)+1,FALSE)</f>
        <v>水の帽子屋 【超級】</v>
      </c>
      <c r="G217" s="32">
        <v>6</v>
      </c>
      <c r="H217" s="20" t="str">
        <f t="shared" si="143"/>
        <v>11105_3-6</v>
      </c>
      <c r="I217" s="31">
        <v>26</v>
      </c>
      <c r="J217" s="26" t="str">
        <f ca="1">VLOOKUP($I217,OFFSET([2]enemies!$A$1,0,0,COUNTA([2]enemies!$A:$A),MATCH(J$1,[2]enemies!$2:$2,0)-MATCH($I$1,[2]enemies!$2:$2,0)+1),MATCH(J$1,[2]enemies!$2:$2,0)-MATCH($I$1,[2]enemies!$2:$2,0)+1,FALSE)</f>
        <v>勇犬 ハチ</v>
      </c>
      <c r="K217" s="29" t="str">
        <f ca="1">VLOOKUP($I217,OFFSET([2]enemies!$A$1,0,0,COUNTA([2]enemies!$A:$A),MATCH(K$1,[2]enemies!$2:$2,0)-MATCH($I$1,[2]enemies!$2:$2,0)+1),MATCH(K$1,[2]enemies!$2:$2,0)-MATCH($I$1,[2]enemies!$2:$2,0)+1,FALSE)</f>
        <v>blue</v>
      </c>
      <c r="L217" s="29" t="str">
        <f ca="1">VLOOKUP($I217,OFFSET([3]characters!$A$1,0,0,COUNTA([3]characters!$A:$A),MATCH(L$1,[3]characters!$2:$2,0)-MATCH($I$1,[3]characters!$2:$2,0)+1),MATCH(L$1,[3]characters!$2:$2,0)-MATCH($I$1,[3]characters!$2:$2,0)+1,FALSE)</f>
        <v>Drop1N</v>
      </c>
      <c r="M217" s="28" t="str">
        <f ca="1">VLOOKUP($I217,OFFSET([3]characters!$A$1,0,0,COUNTA([3]characters!$A:$A),MATCH(M$1,[3]characters!$2:$2,0)-MATCH($I$1,[3]characters!$2:$2,0)+2),MATCH(M$1,[3]characters!$2:$2,0)-MATCH($I$1,[3]characters!$2:$2,0)+2,FALSE)</f>
        <v>アニマル</v>
      </c>
      <c r="N217" s="5">
        <f ca="1">VLOOKUP($I217,OFFSET([2]enemies!$A$1,0,0,COUNTA([2]enemies!$A:$A),MATCH(N$1,[2]enemies!$2:$2,0)-MATCH($I$1,[2]enemies!$2:$2,0)+1),MATCH(N$1,[2]enemies!$2:$2,0)-MATCH($I$1,[2]enemies!$2:$2,0)+1,FALSE)</f>
        <v>15</v>
      </c>
      <c r="O217" s="6">
        <v>45</v>
      </c>
      <c r="P217" s="46">
        <v>1</v>
      </c>
      <c r="Q217" s="46">
        <v>1</v>
      </c>
      <c r="R217" s="6">
        <v>0</v>
      </c>
      <c r="S217" s="5" t="str">
        <f ca="1">VLOOKUP($T217,OFFSET([4]enemy_skill_sets!$B$1,0,0,COUNTA([4]enemy_skill_sets!$B:$B),MATCH(J$1,[4]enemy_skill_sets!$1:$1,0)-MATCH($T$1,[4]enemy_skill_sets!$1:$1,0)+2),MATCH(J$1,[4]enemy_skill_sets!$1:$1,0)-MATCH($T$1,[4]enemy_skill_sets!$1:$1,0)+2,FALSE)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7" s="5">
        <f ca="1">VLOOKUP($I217,OFFSET([2]enemies!$A$1,0,0,COUNTA([2]enemies!$A:$A),MATCH(T$1,[2]enemies!$2:$2,0)-MATCH($I$1,[2]enemies!$2:$2,0)+1),MATCH(T$1,[2]enemies!$2:$2,0)-MATCH($I$1,[2]enemies!$2:$2,0)+1,FALSE)</f>
        <v>0</v>
      </c>
      <c r="U217" s="7">
        <v>2</v>
      </c>
      <c r="V217" s="7">
        <v>100</v>
      </c>
      <c r="W217" s="7">
        <v>0</v>
      </c>
      <c r="X217" s="26">
        <f ca="1">VLOOKUP($I217,OFFSET([2]enemies!$A$1,0,0,COUNTA([2]enemies!$A:$A),MATCH(X$1,[2]enemies!$2:$2,0)-MATCH($I$1,[2]enemies!$2:$2,0)+1),MATCH(X$1,[2]enemies!$2:$2,0)-MATCH($I$1,[2]enemies!$2:$2,0)+1,FALSE)</f>
        <v>3</v>
      </c>
      <c r="Y217" s="31">
        <v>25</v>
      </c>
      <c r="Z217" s="5" t="str">
        <f ca="1">IFERROR(VLOOKUP($Y217,OFFSET([3]characters!$A$1,0,0,COUNTA([3]characters!$A:$A),MATCH(Z$1,[3]characters!$2:$2,0)-MATCH("character_id",[3]characters!$2:$2,0)+1),MATCH(Z$1,[3]characters!$2:$2,0)-MATCH("character_id",[3]characters!$2:$2,0)+1,FALSE),"")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217" s="5">
        <f ca="1">IFERROR(VLOOKUP($Y217,OFFSET([3]characters!$A$1,0,0,COUNTA([3]characters!$A:$A),MATCH(AA$1,[3]characters!$2:$2,0)-MATCH("character_id",[3]characters!$2:$2,0)+1),MATCH(AA$1,[3]characters!$2:$2,0)-MATCH("character_id",[3]characters!$2:$2,0)+1,FALSE),"")</f>
        <v>1</v>
      </c>
      <c r="AB217" s="5" t="str">
        <f ca="1">IFERROR(VLOOKUP($Y217,OFFSET([3]characters!$A$1,0,0,COUNTA([3]characters!$A:$A),MATCH(AB$1,[3]characters!$2:$2,0)-MATCH("character_id",[3]characters!$2:$2,0)+1),MATCH(AB$1,[3]characters!$2:$2,0)-MATCH("character_id",[3]characters!$2:$2,0)+1,FALSE),"")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17" s="8">
        <v>1</v>
      </c>
      <c r="AD217" s="34">
        <f t="shared" ca="1" si="144"/>
        <v>1</v>
      </c>
      <c r="AE217" s="9">
        <v>0</v>
      </c>
      <c r="AF217" s="8">
        <v>0</v>
      </c>
      <c r="AG217" s="8">
        <v>0</v>
      </c>
      <c r="AH217" s="8">
        <v>0</v>
      </c>
      <c r="AI217" s="8">
        <v>0</v>
      </c>
      <c r="AJ217" s="8">
        <v>1</v>
      </c>
    </row>
    <row r="218" spans="1:36" ht="21" customHeight="1">
      <c r="A218" s="21" t="str">
        <f t="shared" ca="1" si="141"/>
        <v>11105_4-1/39&lt;lv42&gt;s3</v>
      </c>
      <c r="B218" s="8">
        <v>11105</v>
      </c>
      <c r="C218" s="49">
        <v>4</v>
      </c>
      <c r="D218" s="2" t="str">
        <f t="shared" si="142"/>
        <v>11105_4</v>
      </c>
      <c r="E218" s="5" t="str">
        <f ca="1">VLOOKUP($B218,OFFSET([1]quests!$A$1,0,0,COUNTA([1]quests!$A:$A),MATCH(E$1,[1]quests!$1:$1,0)-MATCH($B$1,[1]quests!$1:$1,0)+1),MATCH(E$1,[1]quests!$1:$1,0)-MATCH($B$1,[1]quests!$1:$1,0)+1,FALSE)</f>
        <v>【キャンペーン限定】 帽子屋を追え！</v>
      </c>
      <c r="F218" s="5" t="str">
        <f ca="1">VLOOKUP($D218,OFFSET([1]stages!$A$1,0,0,COUNTA([1]stages!$A:$A),MATCH(F$1,[1]stages!$2:$2,0)-MATCH($D$1,[1]stages!$2:$2,0)+1),MATCH(F$1,[1]stages!$2:$2,0)-MATCH($D$1,[1]stages!$2:$2,0)+1,FALSE)</f>
        <v>雷の帽子屋 【超級】</v>
      </c>
      <c r="G218" s="32">
        <v>1</v>
      </c>
      <c r="H218" s="20" t="str">
        <f t="shared" si="143"/>
        <v>11105_4-1</v>
      </c>
      <c r="I218" s="31">
        <v>39</v>
      </c>
      <c r="J218" s="26" t="str">
        <f ca="1">VLOOKUP($I218,OFFSET([2]enemies!$A$1,0,0,COUNTA([2]enemies!$A:$A),MATCH(J$1,[2]enemies!$2:$2,0)-MATCH($I$1,[2]enemies!$2:$2,0)+1),MATCH(J$1,[2]enemies!$2:$2,0)-MATCH($I$1,[2]enemies!$2:$2,0)+1,FALSE)</f>
        <v>マーロン</v>
      </c>
      <c r="K218" s="29" t="str">
        <f ca="1">VLOOKUP($I218,OFFSET([2]enemies!$A$1,0,0,COUNTA([2]enemies!$A:$A),MATCH(K$1,[2]enemies!$2:$2,0)-MATCH($I$1,[2]enemies!$2:$2,0)+1),MATCH(K$1,[2]enemies!$2:$2,0)-MATCH($I$1,[2]enemies!$2:$2,0)+1,FALSE)</f>
        <v>yellow</v>
      </c>
      <c r="L218" s="29" t="str">
        <f ca="1">VLOOKUP($I218,OFFSET([3]characters!$A$1,0,0,COUNTA([3]characters!$A:$A),MATCH(L$1,[3]characters!$2:$2,0)-MATCH($I$1,[3]characters!$2:$2,0)+1),MATCH(L$1,[3]characters!$2:$2,0)-MATCH($I$1,[3]characters!$2:$2,0)+1,FALSE)</f>
        <v>Drop1S</v>
      </c>
      <c r="M218" s="28" t="str">
        <f ca="1">VLOOKUP($I218,OFFSET([3]characters!$A$1,0,0,COUNTA([3]characters!$A:$A),MATCH(M$1,[3]characters!$2:$2,0)-MATCH($I$1,[3]characters!$2:$2,0)+2),MATCH(M$1,[3]characters!$2:$2,0)-MATCH($I$1,[3]characters!$2:$2,0)+2,FALSE)</f>
        <v>ヒューマン</v>
      </c>
      <c r="N218" s="5">
        <f ca="1">VLOOKUP($I218,OFFSET([2]enemies!$A$1,0,0,COUNTA([2]enemies!$A:$A),MATCH(N$1,[2]enemies!$2:$2,0)-MATCH($I$1,[2]enemies!$2:$2,0)+1),MATCH(N$1,[2]enemies!$2:$2,0)-MATCH($I$1,[2]enemies!$2:$2,0)+1,FALSE)</f>
        <v>15</v>
      </c>
      <c r="O218" s="6">
        <v>42</v>
      </c>
      <c r="P218" s="46">
        <v>1</v>
      </c>
      <c r="Q218" s="46">
        <v>1</v>
      </c>
      <c r="R218" s="6">
        <v>0</v>
      </c>
      <c r="S218" s="5" t="str">
        <f ca="1">VLOOKUP($T218,OFFSET([4]enemy_skill_sets!$B$1,0,0,COUNTA([4]enemy_skill_sets!$B:$B),MATCH(J$1,[4]enemy_skill_sets!$1:$1,0)-MATCH($T$1,[4]enemy_skill_sets!$1:$1,0)+2),MATCH(J$1,[4]enemy_skill_sets!$1:$1,0)-MATCH($T$1,[4]enemy_skill_sets!$1:$1,0)+2,FALSE)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218" s="5">
        <f ca="1">VLOOKUP($I218,OFFSET([2]enemies!$A$1,0,0,COUNTA([2]enemies!$A:$A),MATCH(T$1,[2]enemies!$2:$2,0)-MATCH($I$1,[2]enemies!$2:$2,0)+1),MATCH(T$1,[2]enemies!$2:$2,0)-MATCH($I$1,[2]enemies!$2:$2,0)+1,FALSE)</f>
        <v>39</v>
      </c>
      <c r="U218" s="7">
        <v>0</v>
      </c>
      <c r="V218" s="7">
        <v>100</v>
      </c>
      <c r="W218" s="7">
        <v>0</v>
      </c>
      <c r="X218" s="26">
        <f ca="1">VLOOKUP($I218,OFFSET([2]enemies!$A$1,0,0,COUNTA([2]enemies!$A:$A),MATCH(X$1,[2]enemies!$2:$2,0)-MATCH($I$1,[2]enemies!$2:$2,0)+1),MATCH(X$1,[2]enemies!$2:$2,0)-MATCH($I$1,[2]enemies!$2:$2,0)+1,FALSE)</f>
        <v>3</v>
      </c>
      <c r="Y218" s="31">
        <v>39</v>
      </c>
      <c r="Z218" s="5" t="str">
        <f ca="1">IFERROR(VLOOKUP($Y218,OFFSET([3]characters!$A$1,0,0,COUNTA([3]characters!$A:$A),MATCH(Z$1,[3]characters!$2:$2,0)-MATCH("character_id",[3]characters!$2:$2,0)+1),MATCH(Z$1,[3]characters!$2:$2,0)-MATCH("character_id",[3]characters!$2:$2,0)+1,FALSE),"")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218" s="5">
        <f ca="1">IFERROR(VLOOKUP($Y218,OFFSET([3]characters!$A$1,0,0,COUNTA([3]characters!$A:$A),MATCH(AA$1,[3]characters!$2:$2,0)-MATCH("character_id",[3]characters!$2:$2,0)+1),MATCH(AA$1,[3]characters!$2:$2,0)-MATCH("character_id",[3]characters!$2:$2,0)+1,FALSE),"")</f>
        <v>2</v>
      </c>
      <c r="AB218" s="5" t="str">
        <f ca="1">IFERROR(VLOOKUP($Y218,OFFSET([3]characters!$A$1,0,0,COUNTA([3]characters!$A:$A),MATCH(AB$1,[3]characters!$2:$2,0)-MATCH("character_id",[3]characters!$2:$2,0)+1),MATCH(AB$1,[3]characters!$2:$2,0)-MATCH("character_id",[3]characters!$2:$2,0)+1,FALSE),"")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18" s="8">
        <v>1</v>
      </c>
      <c r="AD218" s="34">
        <f t="shared" ca="1" si="144"/>
        <v>2</v>
      </c>
      <c r="AE218" s="9">
        <v>0</v>
      </c>
      <c r="AF218" s="8">
        <v>0</v>
      </c>
      <c r="AG218" s="8">
        <v>0</v>
      </c>
      <c r="AH218" s="8">
        <v>0</v>
      </c>
      <c r="AI218" s="8">
        <v>0</v>
      </c>
      <c r="AJ218" s="8">
        <v>1</v>
      </c>
    </row>
    <row r="219" spans="1:36" ht="21" customHeight="1">
      <c r="A219" s="21" t="str">
        <f t="shared" ca="1" si="141"/>
        <v>11105_4-1/31&lt;lv42&gt;s2</v>
      </c>
      <c r="B219" s="8">
        <v>11105</v>
      </c>
      <c r="C219" s="49">
        <v>4</v>
      </c>
      <c r="D219" s="2" t="str">
        <f t="shared" si="142"/>
        <v>11105_4</v>
      </c>
      <c r="E219" s="5" t="str">
        <f ca="1">VLOOKUP($B219,OFFSET([1]quests!$A$1,0,0,COUNTA([1]quests!$A:$A),MATCH(E$1,[1]quests!$1:$1,0)-MATCH($B$1,[1]quests!$1:$1,0)+1),MATCH(E$1,[1]quests!$1:$1,0)-MATCH($B$1,[1]quests!$1:$1,0)+1,FALSE)</f>
        <v>【キャンペーン限定】 帽子屋を追え！</v>
      </c>
      <c r="F219" s="5" t="str">
        <f ca="1">VLOOKUP($D219,OFFSET([1]stages!$A$1,0,0,COUNTA([1]stages!$A:$A),MATCH(F$1,[1]stages!$2:$2,0)-MATCH($D$1,[1]stages!$2:$2,0)+1),MATCH(F$1,[1]stages!$2:$2,0)-MATCH($D$1,[1]stages!$2:$2,0)+1,FALSE)</f>
        <v>雷の帽子屋 【超級】</v>
      </c>
      <c r="G219" s="32">
        <v>1</v>
      </c>
      <c r="H219" s="20" t="str">
        <f t="shared" si="143"/>
        <v>11105_4-1</v>
      </c>
      <c r="I219" s="31">
        <v>31</v>
      </c>
      <c r="J219" s="26" t="str">
        <f ca="1">VLOOKUP($I219,OFFSET([2]enemies!$A$1,0,0,COUNTA([2]enemies!$A:$A),MATCH(J$1,[2]enemies!$2:$2,0)-MATCH($I$1,[2]enemies!$2:$2,0)+1),MATCH(J$1,[2]enemies!$2:$2,0)-MATCH($I$1,[2]enemies!$2:$2,0)+1,FALSE)</f>
        <v>マービー</v>
      </c>
      <c r="K219" s="29" t="str">
        <f ca="1">VLOOKUP($I219,OFFSET([2]enemies!$A$1,0,0,COUNTA([2]enemies!$A:$A),MATCH(K$1,[2]enemies!$2:$2,0)-MATCH($I$1,[2]enemies!$2:$2,0)+1),MATCH(K$1,[2]enemies!$2:$2,0)-MATCH($I$1,[2]enemies!$2:$2,0)+1,FALSE)</f>
        <v>yellow</v>
      </c>
      <c r="L219" s="29" t="str">
        <f ca="1">VLOOKUP($I219,OFFSET([3]characters!$A$1,0,0,COUNTA([3]characters!$A:$A),MATCH(L$1,[3]characters!$2:$2,0)-MATCH($I$1,[3]characters!$2:$2,0)+1),MATCH(L$1,[3]characters!$2:$2,0)-MATCH($I$1,[3]characters!$2:$2,0)+1,FALSE)</f>
        <v>Drop1N</v>
      </c>
      <c r="M219" s="28" t="str">
        <f ca="1">VLOOKUP($I219,OFFSET([3]characters!$A$1,0,0,COUNTA([3]characters!$A:$A),MATCH(M$1,[3]characters!$2:$2,0)-MATCH($I$1,[3]characters!$2:$2,0)+2),MATCH(M$1,[3]characters!$2:$2,0)-MATCH($I$1,[3]characters!$2:$2,0)+2,FALSE)</f>
        <v>マシン</v>
      </c>
      <c r="N219" s="5">
        <f ca="1">VLOOKUP($I219,OFFSET([2]enemies!$A$1,0,0,COUNTA([2]enemies!$A:$A),MATCH(N$1,[2]enemies!$2:$2,0)-MATCH($I$1,[2]enemies!$2:$2,0)+1),MATCH(N$1,[2]enemies!$2:$2,0)-MATCH($I$1,[2]enemies!$2:$2,0)+1,FALSE)</f>
        <v>15</v>
      </c>
      <c r="O219" s="6">
        <v>42</v>
      </c>
      <c r="P219" s="46">
        <v>1</v>
      </c>
      <c r="Q219" s="46">
        <v>1</v>
      </c>
      <c r="R219" s="6">
        <v>0</v>
      </c>
      <c r="S219" s="5" t="str">
        <f ca="1">VLOOKUP($T219,OFFSET([4]enemy_skill_sets!$B$1,0,0,COUNTA([4]enemy_skill_sets!$B:$B),MATCH(J$1,[4]enemy_skill_sets!$1:$1,0)-MATCH($T$1,[4]enemy_skill_sets!$1:$1,0)+2),MATCH(J$1,[4]enemy_skill_sets!$1:$1,0)-MATCH($T$1,[4]enemy_skill_sets!$1:$1,0)+2,FALSE)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9" s="5">
        <f ca="1">VLOOKUP($I219,OFFSET([2]enemies!$A$1,0,0,COUNTA([2]enemies!$A:$A),MATCH(T$1,[2]enemies!$2:$2,0)-MATCH($I$1,[2]enemies!$2:$2,0)+1),MATCH(T$1,[2]enemies!$2:$2,0)-MATCH($I$1,[2]enemies!$2:$2,0)+1,FALSE)</f>
        <v>0</v>
      </c>
      <c r="U219" s="7">
        <v>0</v>
      </c>
      <c r="V219" s="7">
        <v>100</v>
      </c>
      <c r="W219" s="7">
        <v>0</v>
      </c>
      <c r="X219" s="26">
        <f ca="1">VLOOKUP($I219,OFFSET([2]enemies!$A$1,0,0,COUNTA([2]enemies!$A:$A),MATCH(X$1,[2]enemies!$2:$2,0)-MATCH($I$1,[2]enemies!$2:$2,0)+1),MATCH(X$1,[2]enemies!$2:$2,0)-MATCH($I$1,[2]enemies!$2:$2,0)+1,FALSE)</f>
        <v>2</v>
      </c>
      <c r="Y219" s="31">
        <v>31</v>
      </c>
      <c r="Z219" s="5" t="str">
        <f ca="1">IFERROR(VLOOKUP($Y219,OFFSET([3]characters!$A$1,0,0,COUNTA([3]characters!$A:$A),MATCH(Z$1,[3]characters!$2:$2,0)-MATCH("character_id",[3]characters!$2:$2,0)+1),MATCH(Z$1,[3]characters!$2:$2,0)-MATCH("character_id",[3]characters!$2:$2,0)+1,FALSE),"")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219" s="5">
        <f ca="1">IFERROR(VLOOKUP($Y219,OFFSET([3]characters!$A$1,0,0,COUNTA([3]characters!$A:$A),MATCH(AA$1,[3]characters!$2:$2,0)-MATCH("character_id",[3]characters!$2:$2,0)+1),MATCH(AA$1,[3]characters!$2:$2,0)-MATCH("character_id",[3]characters!$2:$2,0)+1,FALSE),"")</f>
        <v>1</v>
      </c>
      <c r="AB219" s="5" t="str">
        <f ca="1">IFERROR(VLOOKUP($Y219,OFFSET([3]characters!$A$1,0,0,COUNTA([3]characters!$A:$A),MATCH(AB$1,[3]characters!$2:$2,0)-MATCH("character_id",[3]characters!$2:$2,0)+1),MATCH(AB$1,[3]characters!$2:$2,0)-MATCH("character_id",[3]characters!$2:$2,0)+1,FALSE),"")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19" s="8">
        <v>1</v>
      </c>
      <c r="AD219" s="34">
        <f t="shared" ca="1" si="144"/>
        <v>1</v>
      </c>
      <c r="AE219" s="9">
        <v>0</v>
      </c>
      <c r="AF219" s="8">
        <v>0</v>
      </c>
      <c r="AG219" s="8">
        <v>0</v>
      </c>
      <c r="AH219" s="8">
        <v>0</v>
      </c>
      <c r="AI219" s="8">
        <v>0</v>
      </c>
      <c r="AJ219" s="8">
        <v>1</v>
      </c>
    </row>
    <row r="220" spans="1:36" ht="21" customHeight="1">
      <c r="A220" s="21" t="str">
        <f t="shared" ref="A220:A225" ca="1" si="153">B220&amp;"_"&amp;C220&amp;"-"&amp;G220&amp;"/"&amp;I220&amp;"&lt;lv"&amp;O220&amp;"&gt;s"&amp;X220</f>
        <v>11105_4-2/39&lt;lv42&gt;s3</v>
      </c>
      <c r="B220" s="8">
        <v>11105</v>
      </c>
      <c r="C220" s="49">
        <v>4</v>
      </c>
      <c r="D220" s="2" t="str">
        <f t="shared" ref="D220:D225" si="154">B220&amp;"_"&amp;C220</f>
        <v>11105_4</v>
      </c>
      <c r="E220" s="5" t="str">
        <f ca="1">VLOOKUP($B220,OFFSET([1]quests!$A$1,0,0,COUNTA([1]quests!$A:$A),MATCH(E$1,[1]quests!$1:$1,0)-MATCH($B$1,[1]quests!$1:$1,0)+1),MATCH(E$1,[1]quests!$1:$1,0)-MATCH($B$1,[1]quests!$1:$1,0)+1,FALSE)</f>
        <v>【キャンペーン限定】 帽子屋を追え！</v>
      </c>
      <c r="F220" s="5" t="str">
        <f ca="1">VLOOKUP($D220,OFFSET([1]stages!$A$1,0,0,COUNTA([1]stages!$A:$A),MATCH(F$1,[1]stages!$2:$2,0)-MATCH($D$1,[1]stages!$2:$2,0)+1),MATCH(F$1,[1]stages!$2:$2,0)-MATCH($D$1,[1]stages!$2:$2,0)+1,FALSE)</f>
        <v>雷の帽子屋 【超級】</v>
      </c>
      <c r="G220" s="32">
        <v>2</v>
      </c>
      <c r="H220" s="20" t="str">
        <f t="shared" ref="H220:H225" si="155">B220&amp;"_"&amp;C220&amp;"-"&amp;G220</f>
        <v>11105_4-2</v>
      </c>
      <c r="I220" s="31">
        <v>39</v>
      </c>
      <c r="J220" s="26" t="str">
        <f ca="1">VLOOKUP($I220,OFFSET([2]enemies!$A$1,0,0,COUNTA([2]enemies!$A:$A),MATCH(J$1,[2]enemies!$2:$2,0)-MATCH($I$1,[2]enemies!$2:$2,0)+1),MATCH(J$1,[2]enemies!$2:$2,0)-MATCH($I$1,[2]enemies!$2:$2,0)+1,FALSE)</f>
        <v>マーロン</v>
      </c>
      <c r="K220" s="29" t="str">
        <f ca="1">VLOOKUP($I220,OFFSET([2]enemies!$A$1,0,0,COUNTA([2]enemies!$A:$A),MATCH(K$1,[2]enemies!$2:$2,0)-MATCH($I$1,[2]enemies!$2:$2,0)+1),MATCH(K$1,[2]enemies!$2:$2,0)-MATCH($I$1,[2]enemies!$2:$2,0)+1,FALSE)</f>
        <v>yellow</v>
      </c>
      <c r="L220" s="29" t="str">
        <f ca="1">VLOOKUP($I220,OFFSET([3]characters!$A$1,0,0,COUNTA([3]characters!$A:$A),MATCH(L$1,[3]characters!$2:$2,0)-MATCH($I$1,[3]characters!$2:$2,0)+1),MATCH(L$1,[3]characters!$2:$2,0)-MATCH($I$1,[3]characters!$2:$2,0)+1,FALSE)</f>
        <v>Drop1S</v>
      </c>
      <c r="M220" s="28" t="str">
        <f ca="1">VLOOKUP($I220,OFFSET([3]characters!$A$1,0,0,COUNTA([3]characters!$A:$A),MATCH(M$1,[3]characters!$2:$2,0)-MATCH($I$1,[3]characters!$2:$2,0)+2),MATCH(M$1,[3]characters!$2:$2,0)-MATCH($I$1,[3]characters!$2:$2,0)+2,FALSE)</f>
        <v>ヒューマン</v>
      </c>
      <c r="N220" s="5">
        <f ca="1">VLOOKUP($I220,OFFSET([2]enemies!$A$1,0,0,COUNTA([2]enemies!$A:$A),MATCH(N$1,[2]enemies!$2:$2,0)-MATCH($I$1,[2]enemies!$2:$2,0)+1),MATCH(N$1,[2]enemies!$2:$2,0)-MATCH($I$1,[2]enemies!$2:$2,0)+1,FALSE)</f>
        <v>15</v>
      </c>
      <c r="O220" s="6">
        <v>42</v>
      </c>
      <c r="P220" s="46">
        <v>1</v>
      </c>
      <c r="Q220" s="46">
        <v>1</v>
      </c>
      <c r="R220" s="6">
        <v>0</v>
      </c>
      <c r="S220" s="5" t="str">
        <f ca="1">VLOOKUP($T220,OFFSET([4]enemy_skill_sets!$B$1,0,0,COUNTA([4]enemy_skill_sets!$B:$B),MATCH(J$1,[4]enemy_skill_sets!$1:$1,0)-MATCH($T$1,[4]enemy_skill_sets!$1:$1,0)+2),MATCH(J$1,[4]enemy_skill_sets!$1:$1,0)-MATCH($T$1,[4]enemy_skill_sets!$1:$1,0)+2,FALSE)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220" s="5">
        <f ca="1">VLOOKUP($I220,OFFSET([2]enemies!$A$1,0,0,COUNTA([2]enemies!$A:$A),MATCH(T$1,[2]enemies!$2:$2,0)-MATCH($I$1,[2]enemies!$2:$2,0)+1),MATCH(T$1,[2]enemies!$2:$2,0)-MATCH($I$1,[2]enemies!$2:$2,0)+1,FALSE)</f>
        <v>39</v>
      </c>
      <c r="U220" s="7">
        <v>0</v>
      </c>
      <c r="V220" s="7">
        <v>100</v>
      </c>
      <c r="W220" s="7">
        <v>0</v>
      </c>
      <c r="X220" s="26">
        <f ca="1">VLOOKUP($I220,OFFSET([2]enemies!$A$1,0,0,COUNTA([2]enemies!$A:$A),MATCH(X$1,[2]enemies!$2:$2,0)-MATCH($I$1,[2]enemies!$2:$2,0)+1),MATCH(X$1,[2]enemies!$2:$2,0)-MATCH($I$1,[2]enemies!$2:$2,0)+1,FALSE)</f>
        <v>3</v>
      </c>
      <c r="Y220" s="31">
        <v>39</v>
      </c>
      <c r="Z220" s="5" t="str">
        <f ca="1">IFERROR(VLOOKUP($Y220,OFFSET([3]characters!$A$1,0,0,COUNTA([3]characters!$A:$A),MATCH(Z$1,[3]characters!$2:$2,0)-MATCH("character_id",[3]characters!$2:$2,0)+1),MATCH(Z$1,[3]characters!$2:$2,0)-MATCH("character_id",[3]characters!$2:$2,0)+1,FALSE),"")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220" s="5">
        <f ca="1">IFERROR(VLOOKUP($Y220,OFFSET([3]characters!$A$1,0,0,COUNTA([3]characters!$A:$A),MATCH(AA$1,[3]characters!$2:$2,0)-MATCH("character_id",[3]characters!$2:$2,0)+1),MATCH(AA$1,[3]characters!$2:$2,0)-MATCH("character_id",[3]characters!$2:$2,0)+1,FALSE),"")</f>
        <v>2</v>
      </c>
      <c r="AB220" s="5" t="str">
        <f ca="1">IFERROR(VLOOKUP($Y220,OFFSET([3]characters!$A$1,0,0,COUNTA([3]characters!$A:$A),MATCH(AB$1,[3]characters!$2:$2,0)-MATCH("character_id",[3]characters!$2:$2,0)+1),MATCH(AB$1,[3]characters!$2:$2,0)-MATCH("character_id",[3]characters!$2:$2,0)+1,FALSE),"")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20" s="8">
        <v>1</v>
      </c>
      <c r="AD220" s="34">
        <f t="shared" ref="AD220:AD225" ca="1" si="156">AA220</f>
        <v>2</v>
      </c>
      <c r="AE220" s="9">
        <v>0</v>
      </c>
      <c r="AF220" s="8">
        <v>0</v>
      </c>
      <c r="AG220" s="8">
        <v>0</v>
      </c>
      <c r="AH220" s="8">
        <v>0</v>
      </c>
      <c r="AI220" s="8">
        <v>0</v>
      </c>
      <c r="AJ220" s="8">
        <v>1</v>
      </c>
    </row>
    <row r="221" spans="1:36" ht="21" customHeight="1">
      <c r="A221" s="21" t="str">
        <f t="shared" ca="1" si="153"/>
        <v>11105_4-2/31&lt;lv42&gt;s2</v>
      </c>
      <c r="B221" s="8">
        <v>11105</v>
      </c>
      <c r="C221" s="49">
        <v>4</v>
      </c>
      <c r="D221" s="2" t="str">
        <f t="shared" si="154"/>
        <v>11105_4</v>
      </c>
      <c r="E221" s="5" t="str">
        <f ca="1">VLOOKUP($B221,OFFSET([1]quests!$A$1,0,0,COUNTA([1]quests!$A:$A),MATCH(E$1,[1]quests!$1:$1,0)-MATCH($B$1,[1]quests!$1:$1,0)+1),MATCH(E$1,[1]quests!$1:$1,0)-MATCH($B$1,[1]quests!$1:$1,0)+1,FALSE)</f>
        <v>【キャンペーン限定】 帽子屋を追え！</v>
      </c>
      <c r="F221" s="5" t="str">
        <f ca="1">VLOOKUP($D221,OFFSET([1]stages!$A$1,0,0,COUNTA([1]stages!$A:$A),MATCH(F$1,[1]stages!$2:$2,0)-MATCH($D$1,[1]stages!$2:$2,0)+1),MATCH(F$1,[1]stages!$2:$2,0)-MATCH($D$1,[1]stages!$2:$2,0)+1,FALSE)</f>
        <v>雷の帽子屋 【超級】</v>
      </c>
      <c r="G221" s="32">
        <v>2</v>
      </c>
      <c r="H221" s="20" t="str">
        <f t="shared" si="155"/>
        <v>11105_4-2</v>
      </c>
      <c r="I221" s="31">
        <v>31</v>
      </c>
      <c r="J221" s="26" t="str">
        <f ca="1">VLOOKUP($I221,OFFSET([2]enemies!$A$1,0,0,COUNTA([2]enemies!$A:$A),MATCH(J$1,[2]enemies!$2:$2,0)-MATCH($I$1,[2]enemies!$2:$2,0)+1),MATCH(J$1,[2]enemies!$2:$2,0)-MATCH($I$1,[2]enemies!$2:$2,0)+1,FALSE)</f>
        <v>マービー</v>
      </c>
      <c r="K221" s="29" t="str">
        <f ca="1">VLOOKUP($I221,OFFSET([2]enemies!$A$1,0,0,COUNTA([2]enemies!$A:$A),MATCH(K$1,[2]enemies!$2:$2,0)-MATCH($I$1,[2]enemies!$2:$2,0)+1),MATCH(K$1,[2]enemies!$2:$2,0)-MATCH($I$1,[2]enemies!$2:$2,0)+1,FALSE)</f>
        <v>yellow</v>
      </c>
      <c r="L221" s="29" t="str">
        <f ca="1">VLOOKUP($I221,OFFSET([3]characters!$A$1,0,0,COUNTA([3]characters!$A:$A),MATCH(L$1,[3]characters!$2:$2,0)-MATCH($I$1,[3]characters!$2:$2,0)+1),MATCH(L$1,[3]characters!$2:$2,0)-MATCH($I$1,[3]characters!$2:$2,0)+1,FALSE)</f>
        <v>Drop1N</v>
      </c>
      <c r="M221" s="28" t="str">
        <f ca="1">VLOOKUP($I221,OFFSET([3]characters!$A$1,0,0,COUNTA([3]characters!$A:$A),MATCH(M$1,[3]characters!$2:$2,0)-MATCH($I$1,[3]characters!$2:$2,0)+2),MATCH(M$1,[3]characters!$2:$2,0)-MATCH($I$1,[3]characters!$2:$2,0)+2,FALSE)</f>
        <v>マシン</v>
      </c>
      <c r="N221" s="5">
        <f ca="1">VLOOKUP($I221,OFFSET([2]enemies!$A$1,0,0,COUNTA([2]enemies!$A:$A),MATCH(N$1,[2]enemies!$2:$2,0)-MATCH($I$1,[2]enemies!$2:$2,0)+1),MATCH(N$1,[2]enemies!$2:$2,0)-MATCH($I$1,[2]enemies!$2:$2,0)+1,FALSE)</f>
        <v>15</v>
      </c>
      <c r="O221" s="6">
        <v>42</v>
      </c>
      <c r="P221" s="46">
        <v>1</v>
      </c>
      <c r="Q221" s="46">
        <v>1</v>
      </c>
      <c r="R221" s="6">
        <v>0</v>
      </c>
      <c r="S221" s="5" t="str">
        <f ca="1">VLOOKUP($T221,OFFSET([4]enemy_skill_sets!$B$1,0,0,COUNTA([4]enemy_skill_sets!$B:$B),MATCH(J$1,[4]enemy_skill_sets!$1:$1,0)-MATCH($T$1,[4]enemy_skill_sets!$1:$1,0)+2),MATCH(J$1,[4]enemy_skill_sets!$1:$1,0)-MATCH($T$1,[4]enemy_skill_sets!$1:$1,0)+2,FALSE)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1" s="5">
        <f ca="1">VLOOKUP($I221,OFFSET([2]enemies!$A$1,0,0,COUNTA([2]enemies!$A:$A),MATCH(T$1,[2]enemies!$2:$2,0)-MATCH($I$1,[2]enemies!$2:$2,0)+1),MATCH(T$1,[2]enemies!$2:$2,0)-MATCH($I$1,[2]enemies!$2:$2,0)+1,FALSE)</f>
        <v>0</v>
      </c>
      <c r="U221" s="7">
        <v>0</v>
      </c>
      <c r="V221" s="7">
        <v>100</v>
      </c>
      <c r="W221" s="7">
        <v>0</v>
      </c>
      <c r="X221" s="26">
        <f ca="1">VLOOKUP($I221,OFFSET([2]enemies!$A$1,0,0,COUNTA([2]enemies!$A:$A),MATCH(X$1,[2]enemies!$2:$2,0)-MATCH($I$1,[2]enemies!$2:$2,0)+1),MATCH(X$1,[2]enemies!$2:$2,0)-MATCH($I$1,[2]enemies!$2:$2,0)+1,FALSE)</f>
        <v>2</v>
      </c>
      <c r="Y221" s="31">
        <v>31</v>
      </c>
      <c r="Z221" s="5" t="str">
        <f ca="1">IFERROR(VLOOKUP($Y221,OFFSET([3]characters!$A$1,0,0,COUNTA([3]characters!$A:$A),MATCH(Z$1,[3]characters!$2:$2,0)-MATCH("character_id",[3]characters!$2:$2,0)+1),MATCH(Z$1,[3]characters!$2:$2,0)-MATCH("character_id",[3]characters!$2:$2,0)+1,FALSE),"")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221" s="5">
        <f ca="1">IFERROR(VLOOKUP($Y221,OFFSET([3]characters!$A$1,0,0,COUNTA([3]characters!$A:$A),MATCH(AA$1,[3]characters!$2:$2,0)-MATCH("character_id",[3]characters!$2:$2,0)+1),MATCH(AA$1,[3]characters!$2:$2,0)-MATCH("character_id",[3]characters!$2:$2,0)+1,FALSE),"")</f>
        <v>1</v>
      </c>
      <c r="AB221" s="5" t="str">
        <f ca="1">IFERROR(VLOOKUP($Y221,OFFSET([3]characters!$A$1,0,0,COUNTA([3]characters!$A:$A),MATCH(AB$1,[3]characters!$2:$2,0)-MATCH("character_id",[3]characters!$2:$2,0)+1),MATCH(AB$1,[3]characters!$2:$2,0)-MATCH("character_id",[3]characters!$2:$2,0)+1,FALSE),"")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21" s="8">
        <v>1</v>
      </c>
      <c r="AD221" s="34">
        <f t="shared" ca="1" si="156"/>
        <v>1</v>
      </c>
      <c r="AE221" s="9">
        <v>0</v>
      </c>
      <c r="AF221" s="8">
        <v>0</v>
      </c>
      <c r="AG221" s="8">
        <v>0</v>
      </c>
      <c r="AH221" s="8">
        <v>0</v>
      </c>
      <c r="AI221" s="8">
        <v>0</v>
      </c>
      <c r="AJ221" s="8">
        <v>1</v>
      </c>
    </row>
    <row r="222" spans="1:36" ht="21" customHeight="1">
      <c r="A222" s="21" t="str">
        <f t="shared" ca="1" si="153"/>
        <v>11105_4-3/141&lt;lv50&gt;s2</v>
      </c>
      <c r="B222" s="8">
        <v>11105</v>
      </c>
      <c r="C222" s="49">
        <v>4</v>
      </c>
      <c r="D222" s="2" t="str">
        <f t="shared" si="154"/>
        <v>11105_4</v>
      </c>
      <c r="E222" s="5" t="str">
        <f ca="1">VLOOKUP($B222,OFFSET([1]quests!$A$1,0,0,COUNTA([1]quests!$A:$A),MATCH(E$1,[1]quests!$1:$1,0)-MATCH($B$1,[1]quests!$1:$1,0)+1),MATCH(E$1,[1]quests!$1:$1,0)-MATCH($B$1,[1]quests!$1:$1,0)+1,FALSE)</f>
        <v>【キャンペーン限定】 帽子屋を追え！</v>
      </c>
      <c r="F222" s="5" t="str">
        <f ca="1">VLOOKUP($D222,OFFSET([1]stages!$A$1,0,0,COUNTA([1]stages!$A:$A),MATCH(F$1,[1]stages!$2:$2,0)-MATCH($D$1,[1]stages!$2:$2,0)+1),MATCH(F$1,[1]stages!$2:$2,0)-MATCH($D$1,[1]stages!$2:$2,0)+1,FALSE)</f>
        <v>雷の帽子屋 【超級】</v>
      </c>
      <c r="G222" s="32">
        <v>3</v>
      </c>
      <c r="H222" s="20" t="str">
        <f t="shared" si="155"/>
        <v>11105_4-3</v>
      </c>
      <c r="I222" s="31">
        <v>141</v>
      </c>
      <c r="J222" s="26" t="str">
        <f ca="1">VLOOKUP($I222,OFFSET([2]enemies!$A$1,0,0,COUNTA([2]enemies!$A:$A),MATCH(J$1,[2]enemies!$2:$2,0)-MATCH($I$1,[2]enemies!$2:$2,0)+1),MATCH(J$1,[2]enemies!$2:$2,0)-MATCH($I$1,[2]enemies!$2:$2,0)+1,FALSE)</f>
        <v>妖狐演舞 タマモ</v>
      </c>
      <c r="K222" s="29" t="str">
        <f ca="1">VLOOKUP($I222,OFFSET([2]enemies!$A$1,0,0,COUNTA([2]enemies!$A:$A),MATCH(K$1,[2]enemies!$2:$2,0)-MATCH($I$1,[2]enemies!$2:$2,0)+1),MATCH(K$1,[2]enemies!$2:$2,0)-MATCH($I$1,[2]enemies!$2:$2,0)+1,FALSE)</f>
        <v>yellow</v>
      </c>
      <c r="L222" s="29" t="str">
        <f ca="1">VLOOKUP($I222,OFFSET([3]characters!$A$1,0,0,COUNTA([3]characters!$A:$A),MATCH(L$1,[3]characters!$2:$2,0)-MATCH($I$1,[3]characters!$2:$2,0)+1),MATCH(L$1,[3]characters!$2:$2,0)-MATCH($I$1,[3]characters!$2:$2,0)+1,FALSE)</f>
        <v>PremiumW</v>
      </c>
      <c r="M222" s="28" t="str">
        <f ca="1">VLOOKUP($I222,OFFSET([3]characters!$A$1,0,0,COUNTA([3]characters!$A:$A),MATCH(M$1,[3]characters!$2:$2,0)-MATCH($I$1,[3]characters!$2:$2,0)+2),MATCH(M$1,[3]characters!$2:$2,0)-MATCH($I$1,[3]characters!$2:$2,0)+2,FALSE)</f>
        <v>アニマル</v>
      </c>
      <c r="N222" s="5">
        <f ca="1">VLOOKUP($I222,OFFSET([2]enemies!$A$1,0,0,COUNTA([2]enemies!$A:$A),MATCH(N$1,[2]enemies!$2:$2,0)-MATCH($I$1,[2]enemies!$2:$2,0)+1),MATCH(N$1,[2]enemies!$2:$2,0)-MATCH($I$1,[2]enemies!$2:$2,0)+1,FALSE)</f>
        <v>30</v>
      </c>
      <c r="O222" s="6">
        <v>50</v>
      </c>
      <c r="P222" s="46">
        <v>1</v>
      </c>
      <c r="Q222" s="46">
        <v>1</v>
      </c>
      <c r="R222" s="6">
        <v>0</v>
      </c>
      <c r="S222" s="5" t="str">
        <f ca="1">VLOOKUP($T222,OFFSET([4]enemy_skill_sets!$B$1,0,0,COUNTA([4]enemy_skill_sets!$B:$B),MATCH(J$1,[4]enemy_skill_sets!$1:$1,0)-MATCH($T$1,[4]enemy_skill_sets!$1:$1,0)+2),MATCH(J$1,[4]enemy_skill_sets!$1:$1,0)-MATCH($T$1,[4]enemy_skill_sets!$1:$1,0)+2,FALSE)</f>
        <v>2ターン攻撃頻度が1ターンにUP</v>
      </c>
      <c r="T222" s="5">
        <f ca="1">VLOOKUP($I222,OFFSET([2]enemies!$A$1,0,0,COUNTA([2]enemies!$A:$A),MATCH(T$1,[2]enemies!$2:$2,0)-MATCH($I$1,[2]enemies!$2:$2,0)+1),MATCH(T$1,[2]enemies!$2:$2,0)-MATCH($I$1,[2]enemies!$2:$2,0)+1,FALSE)</f>
        <v>141</v>
      </c>
      <c r="U222" s="7">
        <v>0</v>
      </c>
      <c r="V222" s="7">
        <v>80</v>
      </c>
      <c r="W222" s="7">
        <v>1</v>
      </c>
      <c r="X222" s="26">
        <f ca="1">VLOOKUP($I222,OFFSET([2]enemies!$A$1,0,0,COUNTA([2]enemies!$A:$A),MATCH(X$1,[2]enemies!$2:$2,0)-MATCH($I$1,[2]enemies!$2:$2,0)+1),MATCH(X$1,[2]enemies!$2:$2,0)-MATCH($I$1,[2]enemies!$2:$2,0)+1,FALSE)</f>
        <v>2</v>
      </c>
      <c r="Y222" s="31">
        <v>141</v>
      </c>
      <c r="Z222" s="5" t="str">
        <f ca="1">IFERROR(VLOOKUP($Y222,OFFSET([3]characters!$A$1,0,0,COUNTA([3]characters!$A:$A),MATCH(Z$1,[3]characters!$2:$2,0)-MATCH("character_id",[3]characters!$2:$2,0)+1),MATCH(Z$1,[3]characters!$2:$2,0)-MATCH("character_id",[3]characters!$2:$2,0)+1,FALSE),"")</f>
        <v>妖狐演舞 タマモ</v>
      </c>
      <c r="AA222" s="5">
        <f ca="1">IFERROR(VLOOKUP($Y222,OFFSET([3]characters!$A$1,0,0,COUNTA([3]characters!$A:$A),MATCH(AA$1,[3]characters!$2:$2,0)-MATCH("character_id",[3]characters!$2:$2,0)+1),MATCH(AA$1,[3]characters!$2:$2,0)-MATCH("character_id",[3]characters!$2:$2,0)+1,FALSE),"")</f>
        <v>4</v>
      </c>
      <c r="AB222" s="5" t="str">
        <f ca="1">IFERROR(VLOOKUP($Y222,OFFSET([3]characters!$A$1,0,0,COUNTA([3]characters!$A:$A),MATCH(AB$1,[3]characters!$2:$2,0)-MATCH("character_id",[3]characters!$2:$2,0)+1),MATCH(AB$1,[3]characters!$2:$2,0)-MATCH("character_id",[3]characters!$2:$2,0)+1,FALSE),"")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222" s="8">
        <v>1</v>
      </c>
      <c r="AD222" s="34">
        <f t="shared" ca="1" si="156"/>
        <v>4</v>
      </c>
      <c r="AE222" s="9">
        <v>0</v>
      </c>
      <c r="AF222" s="8">
        <v>0</v>
      </c>
      <c r="AG222" s="8">
        <v>0</v>
      </c>
      <c r="AH222" s="8">
        <v>0</v>
      </c>
      <c r="AI222" s="8">
        <v>0</v>
      </c>
      <c r="AJ222" s="8">
        <v>1</v>
      </c>
    </row>
    <row r="223" spans="1:36" ht="21" customHeight="1">
      <c r="A223" s="21" t="str">
        <f t="shared" ca="1" si="153"/>
        <v>11105_4-3/346&lt;lv1&gt;s3</v>
      </c>
      <c r="B223" s="8">
        <v>11105</v>
      </c>
      <c r="C223" s="49">
        <v>4</v>
      </c>
      <c r="D223" s="2" t="str">
        <f t="shared" si="154"/>
        <v>11105_4</v>
      </c>
      <c r="E223" s="5" t="str">
        <f ca="1">VLOOKUP($B223,OFFSET([1]quests!$A$1,0,0,COUNTA([1]quests!$A:$A),MATCH(E$1,[1]quests!$1:$1,0)-MATCH($B$1,[1]quests!$1:$1,0)+1),MATCH(E$1,[1]quests!$1:$1,0)-MATCH($B$1,[1]quests!$1:$1,0)+1,FALSE)</f>
        <v>【キャンペーン限定】 帽子屋を追え！</v>
      </c>
      <c r="F223" s="5" t="str">
        <f ca="1">VLOOKUP($D223,OFFSET([1]stages!$A$1,0,0,COUNTA([1]stages!$A:$A),MATCH(F$1,[1]stages!$2:$2,0)-MATCH($D$1,[1]stages!$2:$2,0)+1),MATCH(F$1,[1]stages!$2:$2,0)-MATCH($D$1,[1]stages!$2:$2,0)+1,FALSE)</f>
        <v>雷の帽子屋 【超級】</v>
      </c>
      <c r="G223" s="32">
        <v>3</v>
      </c>
      <c r="H223" s="20" t="str">
        <f t="shared" si="155"/>
        <v>11105_4-3</v>
      </c>
      <c r="I223" s="31">
        <v>346</v>
      </c>
      <c r="J223" s="26" t="str">
        <f ca="1">VLOOKUP($I223,OFFSET([2]enemies!$A$1,0,0,COUNTA([2]enemies!$A:$A),MATCH(J$1,[2]enemies!$2:$2,0)-MATCH($I$1,[2]enemies!$2:$2,0)+1),MATCH(J$1,[2]enemies!$2:$2,0)-MATCH($I$1,[2]enemies!$2:$2,0)+1,FALSE)</f>
        <v>雷のメタルダック</v>
      </c>
      <c r="K223" s="29" t="str">
        <f ca="1">VLOOKUP($I223,OFFSET([2]enemies!$A$1,0,0,COUNTA([2]enemies!$A:$A),MATCH(K$1,[2]enemies!$2:$2,0)-MATCH($I$1,[2]enemies!$2:$2,0)+1),MATCH(K$1,[2]enemies!$2:$2,0)-MATCH($I$1,[2]enemies!$2:$2,0)+1,FALSE)</f>
        <v>yellow</v>
      </c>
      <c r="L223" s="29" t="str">
        <f ca="1">VLOOKUP($I223,OFFSET([3]characters!$A$1,0,0,COUNTA([3]characters!$A:$A),MATCH(L$1,[3]characters!$2:$2,0)-MATCH($I$1,[3]characters!$2:$2,0)+1),MATCH(L$1,[3]characters!$2:$2,0)-MATCH($I$1,[3]characters!$2:$2,0)+1,FALSE)</f>
        <v>Material</v>
      </c>
      <c r="M223" s="28" t="str">
        <f ca="1">VLOOKUP($I223,OFFSET([3]characters!$A$1,0,0,COUNTA([3]characters!$A:$A),MATCH(M$1,[3]characters!$2:$2,0)-MATCH($I$1,[3]characters!$2:$2,0)+2),MATCH(M$1,[3]characters!$2:$2,0)-MATCH($I$1,[3]characters!$2:$2,0)+2,FALSE)</f>
        <v>Unknown</v>
      </c>
      <c r="N223" s="5">
        <f ca="1">VLOOKUP($I223,OFFSET([2]enemies!$A$1,0,0,COUNTA([2]enemies!$A:$A),MATCH(N$1,[2]enemies!$2:$2,0)-MATCH($I$1,[2]enemies!$2:$2,0)+1),MATCH(N$1,[2]enemies!$2:$2,0)-MATCH($I$1,[2]enemies!$2:$2,0)+1,FALSE)</f>
        <v>20</v>
      </c>
      <c r="O223" s="6">
        <v>1</v>
      </c>
      <c r="P223" s="46">
        <v>1</v>
      </c>
      <c r="Q223" s="46">
        <v>1</v>
      </c>
      <c r="R223" s="6">
        <v>0</v>
      </c>
      <c r="S223" s="5" t="str">
        <f ca="1">VLOOKUP($T223,OFFSET([4]enemy_skill_sets!$B$1,0,0,COUNTA([4]enemy_skill_sets!$B:$B),MATCH(J$1,[4]enemy_skill_sets!$1:$1,0)-MATCH($T$1,[4]enemy_skill_sets!$1:$1,0)+2),MATCH(J$1,[4]enemy_skill_sets!$1:$1,0)-MATCH($T$1,[4]enemy_skill_sets!$1:$1,0)+2,FALSE)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3" s="5">
        <f ca="1">VLOOKUP($I223,OFFSET([2]enemies!$A$1,0,0,COUNTA([2]enemies!$A:$A),MATCH(T$1,[2]enemies!$2:$2,0)-MATCH($I$1,[2]enemies!$2:$2,0)+1),MATCH(T$1,[2]enemies!$2:$2,0)-MATCH($I$1,[2]enemies!$2:$2,0)+1,FALSE)</f>
        <v>0</v>
      </c>
      <c r="U223" s="7">
        <v>0</v>
      </c>
      <c r="V223" s="7">
        <v>20</v>
      </c>
      <c r="W223" s="7">
        <v>1</v>
      </c>
      <c r="X223" s="26">
        <f ca="1">VLOOKUP($I223,OFFSET([2]enemies!$A$1,0,0,COUNTA([2]enemies!$A:$A),MATCH(X$1,[2]enemies!$2:$2,0)-MATCH($I$1,[2]enemies!$2:$2,0)+1),MATCH(X$1,[2]enemies!$2:$2,0)-MATCH($I$1,[2]enemies!$2:$2,0)+1,FALSE)</f>
        <v>3</v>
      </c>
      <c r="Y223" s="31">
        <v>346</v>
      </c>
      <c r="Z223" s="5" t="str">
        <f ca="1">IFERROR(VLOOKUP($Y223,OFFSET([3]characters!$A$1,0,0,COUNTA([3]characters!$A:$A),MATCH(Z$1,[3]characters!$2:$2,0)-MATCH("character_id",[3]characters!$2:$2,0)+1),MATCH(Z$1,[3]characters!$2:$2,0)-MATCH("character_id",[3]characters!$2:$2,0)+1,FALSE),"")</f>
        <v>雷のメタルダック</v>
      </c>
      <c r="AA223" s="5">
        <f ca="1">IFERROR(VLOOKUP($Y223,OFFSET([3]characters!$A$1,0,0,COUNTA([3]characters!$A:$A),MATCH(AA$1,[3]characters!$2:$2,0)-MATCH("character_id",[3]characters!$2:$2,0)+1),MATCH(AA$1,[3]characters!$2:$2,0)-MATCH("character_id",[3]characters!$2:$2,0)+1,FALSE),"")</f>
        <v>5</v>
      </c>
      <c r="AB223" s="5" t="str">
        <f ca="1">IFERROR(VLOOKUP($Y223,OFFSET([3]characters!$A$1,0,0,COUNTA([3]characters!$A:$A),MATCH(AB$1,[3]characters!$2:$2,0)-MATCH("character_id",[3]characters!$2:$2,0)+1),MATCH(AB$1,[3]characters!$2:$2,0)-MATCH("character_id",[3]characters!$2:$2,0)+1,FALSE),"")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23" s="8">
        <v>1</v>
      </c>
      <c r="AD223" s="34">
        <f t="shared" ca="1" si="156"/>
        <v>5</v>
      </c>
      <c r="AE223" s="9">
        <v>5</v>
      </c>
      <c r="AF223" s="8">
        <v>0</v>
      </c>
      <c r="AG223" s="8">
        <v>0</v>
      </c>
      <c r="AH223" s="8">
        <v>0</v>
      </c>
      <c r="AI223" s="8">
        <v>0</v>
      </c>
      <c r="AJ223" s="8">
        <v>1</v>
      </c>
    </row>
    <row r="224" spans="1:36" ht="21" customHeight="1">
      <c r="A224" s="21" t="str">
        <f t="shared" ca="1" si="153"/>
        <v>11105_4-3/344&lt;lv1&gt;s1</v>
      </c>
      <c r="B224" s="8">
        <v>11105</v>
      </c>
      <c r="C224" s="49">
        <v>4</v>
      </c>
      <c r="D224" s="2" t="str">
        <f t="shared" si="154"/>
        <v>11105_4</v>
      </c>
      <c r="E224" s="5" t="str">
        <f ca="1">VLOOKUP($B224,OFFSET([1]quests!$A$1,0,0,COUNTA([1]quests!$A:$A),MATCH(E$1,[1]quests!$1:$1,0)-MATCH($B$1,[1]quests!$1:$1,0)+1),MATCH(E$1,[1]quests!$1:$1,0)-MATCH($B$1,[1]quests!$1:$1,0)+1,FALSE)</f>
        <v>【キャンペーン限定】 帽子屋を追え！</v>
      </c>
      <c r="F224" s="5" t="str">
        <f ca="1">VLOOKUP($D224,OFFSET([1]stages!$A$1,0,0,COUNTA([1]stages!$A:$A),MATCH(F$1,[1]stages!$2:$2,0)-MATCH($D$1,[1]stages!$2:$2,0)+1),MATCH(F$1,[1]stages!$2:$2,0)-MATCH($D$1,[1]stages!$2:$2,0)+1,FALSE)</f>
        <v>雷の帽子屋 【超級】</v>
      </c>
      <c r="G224" s="32">
        <v>3</v>
      </c>
      <c r="H224" s="20" t="str">
        <f t="shared" si="155"/>
        <v>11105_4-3</v>
      </c>
      <c r="I224" s="31">
        <v>344</v>
      </c>
      <c r="J224" s="26" t="str">
        <f ca="1">VLOOKUP($I224,OFFSET([2]enemies!$A$1,0,0,COUNTA([2]enemies!$A:$A),MATCH(J$1,[2]enemies!$2:$2,0)-MATCH($I$1,[2]enemies!$2:$2,0)+1),MATCH(J$1,[2]enemies!$2:$2,0)-MATCH($I$1,[2]enemies!$2:$2,0)+1,FALSE)</f>
        <v>雷のメタルピヨピヨ</v>
      </c>
      <c r="K224" s="29" t="str">
        <f ca="1">VLOOKUP($I224,OFFSET([2]enemies!$A$1,0,0,COUNTA([2]enemies!$A:$A),MATCH(K$1,[2]enemies!$2:$2,0)-MATCH($I$1,[2]enemies!$2:$2,0)+1),MATCH(K$1,[2]enemies!$2:$2,0)-MATCH($I$1,[2]enemies!$2:$2,0)+1,FALSE)</f>
        <v>yellow</v>
      </c>
      <c r="L224" s="29" t="str">
        <f ca="1">VLOOKUP($I224,OFFSET([3]characters!$A$1,0,0,COUNTA([3]characters!$A:$A),MATCH(L$1,[3]characters!$2:$2,0)-MATCH($I$1,[3]characters!$2:$2,0)+1),MATCH(L$1,[3]characters!$2:$2,0)-MATCH($I$1,[3]characters!$2:$2,0)+1,FALSE)</f>
        <v>Material</v>
      </c>
      <c r="M224" s="28" t="str">
        <f ca="1">VLOOKUP($I224,OFFSET([3]characters!$A$1,0,0,COUNTA([3]characters!$A:$A),MATCH(M$1,[3]characters!$2:$2,0)-MATCH($I$1,[3]characters!$2:$2,0)+2),MATCH(M$1,[3]characters!$2:$2,0)-MATCH($I$1,[3]characters!$2:$2,0)+2,FALSE)</f>
        <v>Unknown</v>
      </c>
      <c r="N224" s="5">
        <f ca="1">VLOOKUP($I224,OFFSET([2]enemies!$A$1,0,0,COUNTA([2]enemies!$A:$A),MATCH(N$1,[2]enemies!$2:$2,0)-MATCH($I$1,[2]enemies!$2:$2,0)+1),MATCH(N$1,[2]enemies!$2:$2,0)-MATCH($I$1,[2]enemies!$2:$2,0)+1,FALSE)</f>
        <v>15</v>
      </c>
      <c r="O224" s="6">
        <v>1</v>
      </c>
      <c r="P224" s="46">
        <v>1</v>
      </c>
      <c r="Q224" s="46">
        <v>1</v>
      </c>
      <c r="R224" s="6">
        <v>0</v>
      </c>
      <c r="S224" s="5" t="str">
        <f ca="1">VLOOKUP($T224,OFFSET([4]enemy_skill_sets!$B$1,0,0,COUNTA([4]enemy_skill_sets!$B:$B),MATCH(J$1,[4]enemy_skill_sets!$1:$1,0)-MATCH($T$1,[4]enemy_skill_sets!$1:$1,0)+2),MATCH(J$1,[4]enemy_skill_sets!$1:$1,0)-MATCH($T$1,[4]enemy_skill_sets!$1:$1,0)+2,FALSE)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4" s="5">
        <f ca="1">VLOOKUP($I224,OFFSET([2]enemies!$A$1,0,0,COUNTA([2]enemies!$A:$A),MATCH(T$1,[2]enemies!$2:$2,0)-MATCH($I$1,[2]enemies!$2:$2,0)+1),MATCH(T$1,[2]enemies!$2:$2,0)-MATCH($I$1,[2]enemies!$2:$2,0)+1,FALSE)</f>
        <v>0</v>
      </c>
      <c r="U224" s="7">
        <v>1</v>
      </c>
      <c r="V224" s="7">
        <v>100</v>
      </c>
      <c r="W224" s="7">
        <v>0</v>
      </c>
      <c r="X224" s="26">
        <f ca="1">VLOOKUP($I224,OFFSET([2]enemies!$A$1,0,0,COUNTA([2]enemies!$A:$A),MATCH(X$1,[2]enemies!$2:$2,0)-MATCH($I$1,[2]enemies!$2:$2,0)+1),MATCH(X$1,[2]enemies!$2:$2,0)-MATCH($I$1,[2]enemies!$2:$2,0)+1,FALSE)</f>
        <v>1</v>
      </c>
      <c r="Y224" s="31">
        <v>344</v>
      </c>
      <c r="Z224" s="5" t="str">
        <f ca="1">IFERROR(VLOOKUP($Y224,OFFSET([3]characters!$A$1,0,0,COUNTA([3]characters!$A:$A),MATCH(Z$1,[3]characters!$2:$2,0)-MATCH("character_id",[3]characters!$2:$2,0)+1),MATCH(Z$1,[3]characters!$2:$2,0)-MATCH("character_id",[3]characters!$2:$2,0)+1,FALSE),"")</f>
        <v>雷のメタルピヨピヨ</v>
      </c>
      <c r="AA224" s="5">
        <f ca="1">IFERROR(VLOOKUP($Y224,OFFSET([3]characters!$A$1,0,0,COUNTA([3]characters!$A:$A),MATCH(AA$1,[3]characters!$2:$2,0)-MATCH("character_id",[3]characters!$2:$2,0)+1),MATCH(AA$1,[3]characters!$2:$2,0)-MATCH("character_id",[3]characters!$2:$2,0)+1,FALSE),"")</f>
        <v>3</v>
      </c>
      <c r="AB224" s="5" t="str">
        <f ca="1">IFERROR(VLOOKUP($Y224,OFFSET([3]characters!$A$1,0,0,COUNTA([3]characters!$A:$A),MATCH(AB$1,[3]characters!$2:$2,0)-MATCH("character_id",[3]characters!$2:$2,0)+1),MATCH(AB$1,[3]characters!$2:$2,0)-MATCH("character_id",[3]characters!$2:$2,0)+1,FALSE),"")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24" s="8">
        <v>1</v>
      </c>
      <c r="AD224" s="34">
        <f t="shared" ca="1" si="156"/>
        <v>3</v>
      </c>
      <c r="AE224" s="9">
        <v>20</v>
      </c>
      <c r="AF224" s="8">
        <v>0</v>
      </c>
      <c r="AG224" s="8">
        <v>0</v>
      </c>
      <c r="AH224" s="8">
        <v>0</v>
      </c>
      <c r="AI224" s="8">
        <v>0</v>
      </c>
      <c r="AJ224" s="8">
        <v>1</v>
      </c>
    </row>
    <row r="225" spans="1:36" ht="21" customHeight="1">
      <c r="A225" s="21" t="str">
        <f t="shared" ca="1" si="153"/>
        <v>11105_4-3/345&lt;lv1&gt;s2</v>
      </c>
      <c r="B225" s="8">
        <v>11105</v>
      </c>
      <c r="C225" s="49">
        <v>4</v>
      </c>
      <c r="D225" s="2" t="str">
        <f t="shared" si="154"/>
        <v>11105_4</v>
      </c>
      <c r="E225" s="5" t="str">
        <f ca="1">VLOOKUP($B225,OFFSET([1]quests!$A$1,0,0,COUNTA([1]quests!$A:$A),MATCH(E$1,[1]quests!$1:$1,0)-MATCH($B$1,[1]quests!$1:$1,0)+1),MATCH(E$1,[1]quests!$1:$1,0)-MATCH($B$1,[1]quests!$1:$1,0)+1,FALSE)</f>
        <v>【キャンペーン限定】 帽子屋を追え！</v>
      </c>
      <c r="F225" s="5" t="str">
        <f ca="1">VLOOKUP($D225,OFFSET([1]stages!$A$1,0,0,COUNTA([1]stages!$A:$A),MATCH(F$1,[1]stages!$2:$2,0)-MATCH($D$1,[1]stages!$2:$2,0)+1),MATCH(F$1,[1]stages!$2:$2,0)-MATCH($D$1,[1]stages!$2:$2,0)+1,FALSE)</f>
        <v>雷の帽子屋 【超級】</v>
      </c>
      <c r="G225" s="32">
        <v>3</v>
      </c>
      <c r="H225" s="20" t="str">
        <f t="shared" si="155"/>
        <v>11105_4-3</v>
      </c>
      <c r="I225" s="31">
        <v>345</v>
      </c>
      <c r="J225" s="26" t="str">
        <f ca="1">VLOOKUP($I225,OFFSET([2]enemies!$A$1,0,0,COUNTA([2]enemies!$A:$A),MATCH(J$1,[2]enemies!$2:$2,0)-MATCH($I$1,[2]enemies!$2:$2,0)+1),MATCH(J$1,[2]enemies!$2:$2,0)-MATCH($I$1,[2]enemies!$2:$2,0)+1,FALSE)</f>
        <v>雷のメタルチック</v>
      </c>
      <c r="K225" s="29" t="str">
        <f ca="1">VLOOKUP($I225,OFFSET([2]enemies!$A$1,0,0,COUNTA([2]enemies!$A:$A),MATCH(K$1,[2]enemies!$2:$2,0)-MATCH($I$1,[2]enemies!$2:$2,0)+1),MATCH(K$1,[2]enemies!$2:$2,0)-MATCH($I$1,[2]enemies!$2:$2,0)+1,FALSE)</f>
        <v>yellow</v>
      </c>
      <c r="L225" s="29" t="str">
        <f ca="1">VLOOKUP($I225,OFFSET([3]characters!$A$1,0,0,COUNTA([3]characters!$A:$A),MATCH(L$1,[3]characters!$2:$2,0)-MATCH($I$1,[3]characters!$2:$2,0)+1),MATCH(L$1,[3]characters!$2:$2,0)-MATCH($I$1,[3]characters!$2:$2,0)+1,FALSE)</f>
        <v>Material</v>
      </c>
      <c r="M225" s="28" t="str">
        <f ca="1">VLOOKUP($I225,OFFSET([3]characters!$A$1,0,0,COUNTA([3]characters!$A:$A),MATCH(M$1,[3]characters!$2:$2,0)-MATCH($I$1,[3]characters!$2:$2,0)+2),MATCH(M$1,[3]characters!$2:$2,0)-MATCH($I$1,[3]characters!$2:$2,0)+2,FALSE)</f>
        <v>Unknown</v>
      </c>
      <c r="N225" s="5">
        <f ca="1">VLOOKUP($I225,OFFSET([2]enemies!$A$1,0,0,COUNTA([2]enemies!$A:$A),MATCH(N$1,[2]enemies!$2:$2,0)-MATCH($I$1,[2]enemies!$2:$2,0)+1),MATCH(N$1,[2]enemies!$2:$2,0)-MATCH($I$1,[2]enemies!$2:$2,0)+1,FALSE)</f>
        <v>15</v>
      </c>
      <c r="O225" s="6">
        <v>1</v>
      </c>
      <c r="P225" s="46">
        <v>1</v>
      </c>
      <c r="Q225" s="46">
        <v>1</v>
      </c>
      <c r="R225" s="6">
        <v>0</v>
      </c>
      <c r="S225" s="5" t="str">
        <f ca="1">VLOOKUP($T225,OFFSET([4]enemy_skill_sets!$B$1,0,0,COUNTA([4]enemy_skill_sets!$B:$B),MATCH(J$1,[4]enemy_skill_sets!$1:$1,0)-MATCH($T$1,[4]enemy_skill_sets!$1:$1,0)+2),MATCH(J$1,[4]enemy_skill_sets!$1:$1,0)-MATCH($T$1,[4]enemy_skill_sets!$1:$1,0)+2,FALSE)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5" s="5">
        <f ca="1">VLOOKUP($I225,OFFSET([2]enemies!$A$1,0,0,COUNTA([2]enemies!$A:$A),MATCH(T$1,[2]enemies!$2:$2,0)-MATCH($I$1,[2]enemies!$2:$2,0)+1),MATCH(T$1,[2]enemies!$2:$2,0)-MATCH($I$1,[2]enemies!$2:$2,0)+1,FALSE)</f>
        <v>0</v>
      </c>
      <c r="U225" s="7">
        <v>1</v>
      </c>
      <c r="V225" s="7">
        <v>100</v>
      </c>
      <c r="W225" s="7">
        <v>0</v>
      </c>
      <c r="X225" s="26">
        <f ca="1">VLOOKUP($I225,OFFSET([2]enemies!$A$1,0,0,COUNTA([2]enemies!$A:$A),MATCH(X$1,[2]enemies!$2:$2,0)-MATCH($I$1,[2]enemies!$2:$2,0)+1),MATCH(X$1,[2]enemies!$2:$2,0)-MATCH($I$1,[2]enemies!$2:$2,0)+1,FALSE)</f>
        <v>2</v>
      </c>
      <c r="Y225" s="31">
        <v>345</v>
      </c>
      <c r="Z225" s="5" t="str">
        <f ca="1">IFERROR(VLOOKUP($Y225,OFFSET([3]characters!$A$1,0,0,COUNTA([3]characters!$A:$A),MATCH(Z$1,[3]characters!$2:$2,0)-MATCH("character_id",[3]characters!$2:$2,0)+1),MATCH(Z$1,[3]characters!$2:$2,0)-MATCH("character_id",[3]characters!$2:$2,0)+1,FALSE),"")</f>
        <v>雷のメタルチック</v>
      </c>
      <c r="AA225" s="5">
        <f ca="1">IFERROR(VLOOKUP($Y225,OFFSET([3]characters!$A$1,0,0,COUNTA([3]characters!$A:$A),MATCH(AA$1,[3]characters!$2:$2,0)-MATCH("character_id",[3]characters!$2:$2,0)+1),MATCH(AA$1,[3]characters!$2:$2,0)-MATCH("character_id",[3]characters!$2:$2,0)+1,FALSE),"")</f>
        <v>4</v>
      </c>
      <c r="AB225" s="5" t="str">
        <f ca="1">IFERROR(VLOOKUP($Y225,OFFSET([3]characters!$A$1,0,0,COUNTA([3]characters!$A:$A),MATCH(AB$1,[3]characters!$2:$2,0)-MATCH("character_id",[3]characters!$2:$2,0)+1),MATCH(AB$1,[3]characters!$2:$2,0)-MATCH("character_id",[3]characters!$2:$2,0)+1,FALSE),"")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25" s="8">
        <v>1</v>
      </c>
      <c r="AD225" s="34">
        <f t="shared" ca="1" si="156"/>
        <v>4</v>
      </c>
      <c r="AE225" s="9">
        <v>10</v>
      </c>
      <c r="AF225" s="8">
        <v>0</v>
      </c>
      <c r="AG225" s="8">
        <v>0</v>
      </c>
      <c r="AH225" s="8">
        <v>0</v>
      </c>
      <c r="AI225" s="8">
        <v>0</v>
      </c>
      <c r="AJ225" s="8">
        <v>1</v>
      </c>
    </row>
    <row r="226" spans="1:36" ht="21" customHeight="1">
      <c r="A226" s="21" t="str">
        <f t="shared" ref="A226:A231" ca="1" si="157">B226&amp;"_"&amp;C226&amp;"-"&amp;G226&amp;"/"&amp;I226&amp;"&lt;lv"&amp;O226&amp;"&gt;s"&amp;X226</f>
        <v>11105_4-4/39&lt;lv42&gt;s3</v>
      </c>
      <c r="B226" s="8">
        <v>11105</v>
      </c>
      <c r="C226" s="49">
        <v>4</v>
      </c>
      <c r="D226" s="2" t="str">
        <f t="shared" ref="D226:D231" si="158">B226&amp;"_"&amp;C226</f>
        <v>11105_4</v>
      </c>
      <c r="E226" s="5" t="str">
        <f ca="1">VLOOKUP($B226,OFFSET([1]quests!$A$1,0,0,COUNTA([1]quests!$A:$A),MATCH(E$1,[1]quests!$1:$1,0)-MATCH($B$1,[1]quests!$1:$1,0)+1),MATCH(E$1,[1]quests!$1:$1,0)-MATCH($B$1,[1]quests!$1:$1,0)+1,FALSE)</f>
        <v>【キャンペーン限定】 帽子屋を追え！</v>
      </c>
      <c r="F226" s="5" t="str">
        <f ca="1">VLOOKUP($D226,OFFSET([1]stages!$A$1,0,0,COUNTA([1]stages!$A:$A),MATCH(F$1,[1]stages!$2:$2,0)-MATCH($D$1,[1]stages!$2:$2,0)+1),MATCH(F$1,[1]stages!$2:$2,0)-MATCH($D$1,[1]stages!$2:$2,0)+1,FALSE)</f>
        <v>雷の帽子屋 【超級】</v>
      </c>
      <c r="G226" s="32">
        <v>4</v>
      </c>
      <c r="H226" s="20" t="str">
        <f t="shared" ref="H226:H231" si="159">B226&amp;"_"&amp;C226&amp;"-"&amp;G226</f>
        <v>11105_4-4</v>
      </c>
      <c r="I226" s="31">
        <v>39</v>
      </c>
      <c r="J226" s="26" t="str">
        <f ca="1">VLOOKUP($I226,OFFSET([2]enemies!$A$1,0,0,COUNTA([2]enemies!$A:$A),MATCH(J$1,[2]enemies!$2:$2,0)-MATCH($I$1,[2]enemies!$2:$2,0)+1),MATCH(J$1,[2]enemies!$2:$2,0)-MATCH($I$1,[2]enemies!$2:$2,0)+1,FALSE)</f>
        <v>マーロン</v>
      </c>
      <c r="K226" s="29" t="str">
        <f ca="1">VLOOKUP($I226,OFFSET([2]enemies!$A$1,0,0,COUNTA([2]enemies!$A:$A),MATCH(K$1,[2]enemies!$2:$2,0)-MATCH($I$1,[2]enemies!$2:$2,0)+1),MATCH(K$1,[2]enemies!$2:$2,0)-MATCH($I$1,[2]enemies!$2:$2,0)+1,FALSE)</f>
        <v>yellow</v>
      </c>
      <c r="L226" s="29" t="str">
        <f ca="1">VLOOKUP($I226,OFFSET([3]characters!$A$1,0,0,COUNTA([3]characters!$A:$A),MATCH(L$1,[3]characters!$2:$2,0)-MATCH($I$1,[3]characters!$2:$2,0)+1),MATCH(L$1,[3]characters!$2:$2,0)-MATCH($I$1,[3]characters!$2:$2,0)+1,FALSE)</f>
        <v>Drop1S</v>
      </c>
      <c r="M226" s="28" t="str">
        <f ca="1">VLOOKUP($I226,OFFSET([3]characters!$A$1,0,0,COUNTA([3]characters!$A:$A),MATCH(M$1,[3]characters!$2:$2,0)-MATCH($I$1,[3]characters!$2:$2,0)+2),MATCH(M$1,[3]characters!$2:$2,0)-MATCH($I$1,[3]characters!$2:$2,0)+2,FALSE)</f>
        <v>ヒューマン</v>
      </c>
      <c r="N226" s="5">
        <f ca="1">VLOOKUP($I226,OFFSET([2]enemies!$A$1,0,0,COUNTA([2]enemies!$A:$A),MATCH(N$1,[2]enemies!$2:$2,0)-MATCH($I$1,[2]enemies!$2:$2,0)+1),MATCH(N$1,[2]enemies!$2:$2,0)-MATCH($I$1,[2]enemies!$2:$2,0)+1,FALSE)</f>
        <v>15</v>
      </c>
      <c r="O226" s="6">
        <v>42</v>
      </c>
      <c r="P226" s="46">
        <v>1</v>
      </c>
      <c r="Q226" s="46">
        <v>1</v>
      </c>
      <c r="R226" s="6">
        <v>0</v>
      </c>
      <c r="S226" s="5" t="str">
        <f ca="1">VLOOKUP($T226,OFFSET([4]enemy_skill_sets!$B$1,0,0,COUNTA([4]enemy_skill_sets!$B:$B),MATCH(J$1,[4]enemy_skill_sets!$1:$1,0)-MATCH($T$1,[4]enemy_skill_sets!$1:$1,0)+2),MATCH(J$1,[4]enemy_skill_sets!$1:$1,0)-MATCH($T$1,[4]enemy_skill_sets!$1:$1,0)+2,FALSE)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226" s="5">
        <f ca="1">VLOOKUP($I226,OFFSET([2]enemies!$A$1,0,0,COUNTA([2]enemies!$A:$A),MATCH(T$1,[2]enemies!$2:$2,0)-MATCH($I$1,[2]enemies!$2:$2,0)+1),MATCH(T$1,[2]enemies!$2:$2,0)-MATCH($I$1,[2]enemies!$2:$2,0)+1,FALSE)</f>
        <v>39</v>
      </c>
      <c r="U226" s="7">
        <v>0</v>
      </c>
      <c r="V226" s="7">
        <v>100</v>
      </c>
      <c r="W226" s="7">
        <v>0</v>
      </c>
      <c r="X226" s="26">
        <f ca="1">VLOOKUP($I226,OFFSET([2]enemies!$A$1,0,0,COUNTA([2]enemies!$A:$A),MATCH(X$1,[2]enemies!$2:$2,0)-MATCH($I$1,[2]enemies!$2:$2,0)+1),MATCH(X$1,[2]enemies!$2:$2,0)-MATCH($I$1,[2]enemies!$2:$2,0)+1,FALSE)</f>
        <v>3</v>
      </c>
      <c r="Y226" s="31">
        <v>39</v>
      </c>
      <c r="Z226" s="5" t="str">
        <f ca="1">IFERROR(VLOOKUP($Y226,OFFSET([3]characters!$A$1,0,0,COUNTA([3]characters!$A:$A),MATCH(Z$1,[3]characters!$2:$2,0)-MATCH("character_id",[3]characters!$2:$2,0)+1),MATCH(Z$1,[3]characters!$2:$2,0)-MATCH("character_id",[3]characters!$2:$2,0)+1,FALSE),"")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226" s="5">
        <f ca="1">IFERROR(VLOOKUP($Y226,OFFSET([3]characters!$A$1,0,0,COUNTA([3]characters!$A:$A),MATCH(AA$1,[3]characters!$2:$2,0)-MATCH("character_id",[3]characters!$2:$2,0)+1),MATCH(AA$1,[3]characters!$2:$2,0)-MATCH("character_id",[3]characters!$2:$2,0)+1,FALSE),"")</f>
        <v>2</v>
      </c>
      <c r="AB226" s="5" t="str">
        <f ca="1">IFERROR(VLOOKUP($Y226,OFFSET([3]characters!$A$1,0,0,COUNTA([3]characters!$A:$A),MATCH(AB$1,[3]characters!$2:$2,0)-MATCH("character_id",[3]characters!$2:$2,0)+1),MATCH(AB$1,[3]characters!$2:$2,0)-MATCH("character_id",[3]characters!$2:$2,0)+1,FALSE),"")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26" s="8">
        <v>1</v>
      </c>
      <c r="AD226" s="34">
        <f t="shared" ref="AD226:AD231" ca="1" si="160">AA226</f>
        <v>2</v>
      </c>
      <c r="AE226" s="9">
        <v>0</v>
      </c>
      <c r="AF226" s="8">
        <v>0</v>
      </c>
      <c r="AG226" s="8">
        <v>0</v>
      </c>
      <c r="AH226" s="8">
        <v>0</v>
      </c>
      <c r="AI226" s="8">
        <v>0</v>
      </c>
      <c r="AJ226" s="8">
        <v>1</v>
      </c>
    </row>
    <row r="227" spans="1:36" ht="21" customHeight="1">
      <c r="A227" s="21" t="str">
        <f t="shared" ca="1" si="157"/>
        <v>11105_4-4/31&lt;lv42&gt;s2</v>
      </c>
      <c r="B227" s="8">
        <v>11105</v>
      </c>
      <c r="C227" s="49">
        <v>4</v>
      </c>
      <c r="D227" s="2" t="str">
        <f t="shared" si="158"/>
        <v>11105_4</v>
      </c>
      <c r="E227" s="5" t="str">
        <f ca="1">VLOOKUP($B227,OFFSET([1]quests!$A$1,0,0,COUNTA([1]quests!$A:$A),MATCH(E$1,[1]quests!$1:$1,0)-MATCH($B$1,[1]quests!$1:$1,0)+1),MATCH(E$1,[1]quests!$1:$1,0)-MATCH($B$1,[1]quests!$1:$1,0)+1,FALSE)</f>
        <v>【キャンペーン限定】 帽子屋を追え！</v>
      </c>
      <c r="F227" s="5" t="str">
        <f ca="1">VLOOKUP($D227,OFFSET([1]stages!$A$1,0,0,COUNTA([1]stages!$A:$A),MATCH(F$1,[1]stages!$2:$2,0)-MATCH($D$1,[1]stages!$2:$2,0)+1),MATCH(F$1,[1]stages!$2:$2,0)-MATCH($D$1,[1]stages!$2:$2,0)+1,FALSE)</f>
        <v>雷の帽子屋 【超級】</v>
      </c>
      <c r="G227" s="32">
        <v>4</v>
      </c>
      <c r="H227" s="20" t="str">
        <f t="shared" si="159"/>
        <v>11105_4-4</v>
      </c>
      <c r="I227" s="31">
        <v>31</v>
      </c>
      <c r="J227" s="26" t="str">
        <f ca="1">VLOOKUP($I227,OFFSET([2]enemies!$A$1,0,0,COUNTA([2]enemies!$A:$A),MATCH(J$1,[2]enemies!$2:$2,0)-MATCH($I$1,[2]enemies!$2:$2,0)+1),MATCH(J$1,[2]enemies!$2:$2,0)-MATCH($I$1,[2]enemies!$2:$2,0)+1,FALSE)</f>
        <v>マービー</v>
      </c>
      <c r="K227" s="29" t="str">
        <f ca="1">VLOOKUP($I227,OFFSET([2]enemies!$A$1,0,0,COUNTA([2]enemies!$A:$A),MATCH(K$1,[2]enemies!$2:$2,0)-MATCH($I$1,[2]enemies!$2:$2,0)+1),MATCH(K$1,[2]enemies!$2:$2,0)-MATCH($I$1,[2]enemies!$2:$2,0)+1,FALSE)</f>
        <v>yellow</v>
      </c>
      <c r="L227" s="29" t="str">
        <f ca="1">VLOOKUP($I227,OFFSET([3]characters!$A$1,0,0,COUNTA([3]characters!$A:$A),MATCH(L$1,[3]characters!$2:$2,0)-MATCH($I$1,[3]characters!$2:$2,0)+1),MATCH(L$1,[3]characters!$2:$2,0)-MATCH($I$1,[3]characters!$2:$2,0)+1,FALSE)</f>
        <v>Drop1N</v>
      </c>
      <c r="M227" s="28" t="str">
        <f ca="1">VLOOKUP($I227,OFFSET([3]characters!$A$1,0,0,COUNTA([3]characters!$A:$A),MATCH(M$1,[3]characters!$2:$2,0)-MATCH($I$1,[3]characters!$2:$2,0)+2),MATCH(M$1,[3]characters!$2:$2,0)-MATCH($I$1,[3]characters!$2:$2,0)+2,FALSE)</f>
        <v>マシン</v>
      </c>
      <c r="N227" s="5">
        <f ca="1">VLOOKUP($I227,OFFSET([2]enemies!$A$1,0,0,COUNTA([2]enemies!$A:$A),MATCH(N$1,[2]enemies!$2:$2,0)-MATCH($I$1,[2]enemies!$2:$2,0)+1),MATCH(N$1,[2]enemies!$2:$2,0)-MATCH($I$1,[2]enemies!$2:$2,0)+1,FALSE)</f>
        <v>15</v>
      </c>
      <c r="O227" s="6">
        <v>42</v>
      </c>
      <c r="P227" s="46">
        <v>1</v>
      </c>
      <c r="Q227" s="46">
        <v>1</v>
      </c>
      <c r="R227" s="6">
        <v>0</v>
      </c>
      <c r="S227" s="5" t="str">
        <f ca="1">VLOOKUP($T227,OFFSET([4]enemy_skill_sets!$B$1,0,0,COUNTA([4]enemy_skill_sets!$B:$B),MATCH(J$1,[4]enemy_skill_sets!$1:$1,0)-MATCH($T$1,[4]enemy_skill_sets!$1:$1,0)+2),MATCH(J$1,[4]enemy_skill_sets!$1:$1,0)-MATCH($T$1,[4]enemy_skill_sets!$1:$1,0)+2,FALSE)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7" s="5">
        <f ca="1">VLOOKUP($I227,OFFSET([2]enemies!$A$1,0,0,COUNTA([2]enemies!$A:$A),MATCH(T$1,[2]enemies!$2:$2,0)-MATCH($I$1,[2]enemies!$2:$2,0)+1),MATCH(T$1,[2]enemies!$2:$2,0)-MATCH($I$1,[2]enemies!$2:$2,0)+1,FALSE)</f>
        <v>0</v>
      </c>
      <c r="U227" s="7">
        <v>0</v>
      </c>
      <c r="V227" s="7">
        <v>100</v>
      </c>
      <c r="W227" s="7">
        <v>0</v>
      </c>
      <c r="X227" s="26">
        <f ca="1">VLOOKUP($I227,OFFSET([2]enemies!$A$1,0,0,COUNTA([2]enemies!$A:$A),MATCH(X$1,[2]enemies!$2:$2,0)-MATCH($I$1,[2]enemies!$2:$2,0)+1),MATCH(X$1,[2]enemies!$2:$2,0)-MATCH($I$1,[2]enemies!$2:$2,0)+1,FALSE)</f>
        <v>2</v>
      </c>
      <c r="Y227" s="31">
        <v>31</v>
      </c>
      <c r="Z227" s="5" t="str">
        <f ca="1">IFERROR(VLOOKUP($Y227,OFFSET([3]characters!$A$1,0,0,COUNTA([3]characters!$A:$A),MATCH(Z$1,[3]characters!$2:$2,0)-MATCH("character_id",[3]characters!$2:$2,0)+1),MATCH(Z$1,[3]characters!$2:$2,0)-MATCH("character_id",[3]characters!$2:$2,0)+1,FALSE),"")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227" s="5">
        <f ca="1">IFERROR(VLOOKUP($Y227,OFFSET([3]characters!$A$1,0,0,COUNTA([3]characters!$A:$A),MATCH(AA$1,[3]characters!$2:$2,0)-MATCH("character_id",[3]characters!$2:$2,0)+1),MATCH(AA$1,[3]characters!$2:$2,0)-MATCH("character_id",[3]characters!$2:$2,0)+1,FALSE),"")</f>
        <v>1</v>
      </c>
      <c r="AB227" s="5" t="str">
        <f ca="1">IFERROR(VLOOKUP($Y227,OFFSET([3]characters!$A$1,0,0,COUNTA([3]characters!$A:$A),MATCH(AB$1,[3]characters!$2:$2,0)-MATCH("character_id",[3]characters!$2:$2,0)+1),MATCH(AB$1,[3]characters!$2:$2,0)-MATCH("character_id",[3]characters!$2:$2,0)+1,FALSE),"")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27" s="8">
        <v>1</v>
      </c>
      <c r="AD227" s="34">
        <f t="shared" ca="1" si="160"/>
        <v>1</v>
      </c>
      <c r="AE227" s="9">
        <v>0</v>
      </c>
      <c r="AF227" s="8">
        <v>0</v>
      </c>
      <c r="AG227" s="8">
        <v>0</v>
      </c>
      <c r="AH227" s="8">
        <v>0</v>
      </c>
      <c r="AI227" s="8">
        <v>0</v>
      </c>
      <c r="AJ227" s="8">
        <v>1</v>
      </c>
    </row>
    <row r="228" spans="1:36" ht="21" customHeight="1">
      <c r="A228" s="21" t="str">
        <f t="shared" ref="A228:A229" ca="1" si="161">B228&amp;"_"&amp;C228&amp;"-"&amp;G228&amp;"/"&amp;I228&amp;"&lt;lv"&amp;O228&amp;"&gt;s"&amp;X228</f>
        <v>11105_4-5/39&lt;lv42&gt;s3</v>
      </c>
      <c r="B228" s="8">
        <v>11105</v>
      </c>
      <c r="C228" s="49">
        <v>4</v>
      </c>
      <c r="D228" s="2" t="str">
        <f t="shared" ref="D228:D229" si="162">B228&amp;"_"&amp;C228</f>
        <v>11105_4</v>
      </c>
      <c r="E228" s="5" t="str">
        <f ca="1">VLOOKUP($B228,OFFSET([1]quests!$A$1,0,0,COUNTA([1]quests!$A:$A),MATCH(E$1,[1]quests!$1:$1,0)-MATCH($B$1,[1]quests!$1:$1,0)+1),MATCH(E$1,[1]quests!$1:$1,0)-MATCH($B$1,[1]quests!$1:$1,0)+1,FALSE)</f>
        <v>【キャンペーン限定】 帽子屋を追え！</v>
      </c>
      <c r="F228" s="5" t="str">
        <f ca="1">VLOOKUP($D228,OFFSET([1]stages!$A$1,0,0,COUNTA([1]stages!$A:$A),MATCH(F$1,[1]stages!$2:$2,0)-MATCH($D$1,[1]stages!$2:$2,0)+1),MATCH(F$1,[1]stages!$2:$2,0)-MATCH($D$1,[1]stages!$2:$2,0)+1,FALSE)</f>
        <v>雷の帽子屋 【超級】</v>
      </c>
      <c r="G228" s="32">
        <v>5</v>
      </c>
      <c r="H228" s="20" t="str">
        <f t="shared" ref="H228:H229" si="163">B228&amp;"_"&amp;C228&amp;"-"&amp;G228</f>
        <v>11105_4-5</v>
      </c>
      <c r="I228" s="31">
        <v>39</v>
      </c>
      <c r="J228" s="26" t="str">
        <f ca="1">VLOOKUP($I228,OFFSET([2]enemies!$A$1,0,0,COUNTA([2]enemies!$A:$A),MATCH(J$1,[2]enemies!$2:$2,0)-MATCH($I$1,[2]enemies!$2:$2,0)+1),MATCH(J$1,[2]enemies!$2:$2,0)-MATCH($I$1,[2]enemies!$2:$2,0)+1,FALSE)</f>
        <v>マーロン</v>
      </c>
      <c r="K228" s="29" t="str">
        <f ca="1">VLOOKUP($I228,OFFSET([2]enemies!$A$1,0,0,COUNTA([2]enemies!$A:$A),MATCH(K$1,[2]enemies!$2:$2,0)-MATCH($I$1,[2]enemies!$2:$2,0)+1),MATCH(K$1,[2]enemies!$2:$2,0)-MATCH($I$1,[2]enemies!$2:$2,0)+1,FALSE)</f>
        <v>yellow</v>
      </c>
      <c r="L228" s="29" t="str">
        <f ca="1">VLOOKUP($I228,OFFSET([3]characters!$A$1,0,0,COUNTA([3]characters!$A:$A),MATCH(L$1,[3]characters!$2:$2,0)-MATCH($I$1,[3]characters!$2:$2,0)+1),MATCH(L$1,[3]characters!$2:$2,0)-MATCH($I$1,[3]characters!$2:$2,0)+1,FALSE)</f>
        <v>Drop1S</v>
      </c>
      <c r="M228" s="28" t="str">
        <f ca="1">VLOOKUP($I228,OFFSET([3]characters!$A$1,0,0,COUNTA([3]characters!$A:$A),MATCH(M$1,[3]characters!$2:$2,0)-MATCH($I$1,[3]characters!$2:$2,0)+2),MATCH(M$1,[3]characters!$2:$2,0)-MATCH($I$1,[3]characters!$2:$2,0)+2,FALSE)</f>
        <v>ヒューマン</v>
      </c>
      <c r="N228" s="5">
        <f ca="1">VLOOKUP($I228,OFFSET([2]enemies!$A$1,0,0,COUNTA([2]enemies!$A:$A),MATCH(N$1,[2]enemies!$2:$2,0)-MATCH($I$1,[2]enemies!$2:$2,0)+1),MATCH(N$1,[2]enemies!$2:$2,0)-MATCH($I$1,[2]enemies!$2:$2,0)+1,FALSE)</f>
        <v>15</v>
      </c>
      <c r="O228" s="6">
        <v>42</v>
      </c>
      <c r="P228" s="46">
        <v>1</v>
      </c>
      <c r="Q228" s="46">
        <v>1</v>
      </c>
      <c r="R228" s="6">
        <v>0</v>
      </c>
      <c r="S228" s="5" t="str">
        <f ca="1">VLOOKUP($T228,OFFSET([4]enemy_skill_sets!$B$1,0,0,COUNTA([4]enemy_skill_sets!$B:$B),MATCH(J$1,[4]enemy_skill_sets!$1:$1,0)-MATCH($T$1,[4]enemy_skill_sets!$1:$1,0)+2),MATCH(J$1,[4]enemy_skill_sets!$1:$1,0)-MATCH($T$1,[4]enemy_skill_sets!$1:$1,0)+2,FALSE)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228" s="5">
        <f ca="1">VLOOKUP($I228,OFFSET([2]enemies!$A$1,0,0,COUNTA([2]enemies!$A:$A),MATCH(T$1,[2]enemies!$2:$2,0)-MATCH($I$1,[2]enemies!$2:$2,0)+1),MATCH(T$1,[2]enemies!$2:$2,0)-MATCH($I$1,[2]enemies!$2:$2,0)+1,FALSE)</f>
        <v>39</v>
      </c>
      <c r="U228" s="7">
        <v>0</v>
      </c>
      <c r="V228" s="7">
        <v>100</v>
      </c>
      <c r="W228" s="7">
        <v>0</v>
      </c>
      <c r="X228" s="26">
        <f ca="1">VLOOKUP($I228,OFFSET([2]enemies!$A$1,0,0,COUNTA([2]enemies!$A:$A),MATCH(X$1,[2]enemies!$2:$2,0)-MATCH($I$1,[2]enemies!$2:$2,0)+1),MATCH(X$1,[2]enemies!$2:$2,0)-MATCH($I$1,[2]enemies!$2:$2,0)+1,FALSE)</f>
        <v>3</v>
      </c>
      <c r="Y228" s="31">
        <v>39</v>
      </c>
      <c r="Z228" s="5" t="str">
        <f ca="1">IFERROR(VLOOKUP($Y228,OFFSET([3]characters!$A$1,0,0,COUNTA([3]characters!$A:$A),MATCH(Z$1,[3]characters!$2:$2,0)-MATCH("character_id",[3]characters!$2:$2,0)+1),MATCH(Z$1,[3]characters!$2:$2,0)-MATCH("character_id",[3]characters!$2:$2,0)+1,FALSE),"")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228" s="5">
        <f ca="1">IFERROR(VLOOKUP($Y228,OFFSET([3]characters!$A$1,0,0,COUNTA([3]characters!$A:$A),MATCH(AA$1,[3]characters!$2:$2,0)-MATCH("character_id",[3]characters!$2:$2,0)+1),MATCH(AA$1,[3]characters!$2:$2,0)-MATCH("character_id",[3]characters!$2:$2,0)+1,FALSE),"")</f>
        <v>2</v>
      </c>
      <c r="AB228" s="5" t="str">
        <f ca="1">IFERROR(VLOOKUP($Y228,OFFSET([3]characters!$A$1,0,0,COUNTA([3]characters!$A:$A),MATCH(AB$1,[3]characters!$2:$2,0)-MATCH("character_id",[3]characters!$2:$2,0)+1),MATCH(AB$1,[3]characters!$2:$2,0)-MATCH("character_id",[3]characters!$2:$2,0)+1,FALSE),"")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28" s="8">
        <v>1</v>
      </c>
      <c r="AD228" s="34">
        <f t="shared" ref="AD228:AD229" ca="1" si="164">AA228</f>
        <v>2</v>
      </c>
      <c r="AE228" s="9">
        <v>0</v>
      </c>
      <c r="AF228" s="8">
        <v>0</v>
      </c>
      <c r="AG228" s="8">
        <v>0</v>
      </c>
      <c r="AH228" s="8">
        <v>0</v>
      </c>
      <c r="AI228" s="8">
        <v>0</v>
      </c>
      <c r="AJ228" s="8">
        <v>1</v>
      </c>
    </row>
    <row r="229" spans="1:36" ht="21" customHeight="1">
      <c r="A229" s="21" t="str">
        <f t="shared" ca="1" si="161"/>
        <v>11105_4-5/31&lt;lv42&gt;s2</v>
      </c>
      <c r="B229" s="8">
        <v>11105</v>
      </c>
      <c r="C229" s="49">
        <v>4</v>
      </c>
      <c r="D229" s="2" t="str">
        <f t="shared" si="162"/>
        <v>11105_4</v>
      </c>
      <c r="E229" s="5" t="str">
        <f ca="1">VLOOKUP($B229,OFFSET([1]quests!$A$1,0,0,COUNTA([1]quests!$A:$A),MATCH(E$1,[1]quests!$1:$1,0)-MATCH($B$1,[1]quests!$1:$1,0)+1),MATCH(E$1,[1]quests!$1:$1,0)-MATCH($B$1,[1]quests!$1:$1,0)+1,FALSE)</f>
        <v>【キャンペーン限定】 帽子屋を追え！</v>
      </c>
      <c r="F229" s="5" t="str">
        <f ca="1">VLOOKUP($D229,OFFSET([1]stages!$A$1,0,0,COUNTA([1]stages!$A:$A),MATCH(F$1,[1]stages!$2:$2,0)-MATCH($D$1,[1]stages!$2:$2,0)+1),MATCH(F$1,[1]stages!$2:$2,0)-MATCH($D$1,[1]stages!$2:$2,0)+1,FALSE)</f>
        <v>雷の帽子屋 【超級】</v>
      </c>
      <c r="G229" s="32">
        <v>5</v>
      </c>
      <c r="H229" s="20" t="str">
        <f t="shared" si="163"/>
        <v>11105_4-5</v>
      </c>
      <c r="I229" s="31">
        <v>31</v>
      </c>
      <c r="J229" s="26" t="str">
        <f ca="1">VLOOKUP($I229,OFFSET([2]enemies!$A$1,0,0,COUNTA([2]enemies!$A:$A),MATCH(J$1,[2]enemies!$2:$2,0)-MATCH($I$1,[2]enemies!$2:$2,0)+1),MATCH(J$1,[2]enemies!$2:$2,0)-MATCH($I$1,[2]enemies!$2:$2,0)+1,FALSE)</f>
        <v>マービー</v>
      </c>
      <c r="K229" s="29" t="str">
        <f ca="1">VLOOKUP($I229,OFFSET([2]enemies!$A$1,0,0,COUNTA([2]enemies!$A:$A),MATCH(K$1,[2]enemies!$2:$2,0)-MATCH($I$1,[2]enemies!$2:$2,0)+1),MATCH(K$1,[2]enemies!$2:$2,0)-MATCH($I$1,[2]enemies!$2:$2,0)+1,FALSE)</f>
        <v>yellow</v>
      </c>
      <c r="L229" s="29" t="str">
        <f ca="1">VLOOKUP($I229,OFFSET([3]characters!$A$1,0,0,COUNTA([3]characters!$A:$A),MATCH(L$1,[3]characters!$2:$2,0)-MATCH($I$1,[3]characters!$2:$2,0)+1),MATCH(L$1,[3]characters!$2:$2,0)-MATCH($I$1,[3]characters!$2:$2,0)+1,FALSE)</f>
        <v>Drop1N</v>
      </c>
      <c r="M229" s="28" t="str">
        <f ca="1">VLOOKUP($I229,OFFSET([3]characters!$A$1,0,0,COUNTA([3]characters!$A:$A),MATCH(M$1,[3]characters!$2:$2,0)-MATCH($I$1,[3]characters!$2:$2,0)+2),MATCH(M$1,[3]characters!$2:$2,0)-MATCH($I$1,[3]characters!$2:$2,0)+2,FALSE)</f>
        <v>マシン</v>
      </c>
      <c r="N229" s="5">
        <f ca="1">VLOOKUP($I229,OFFSET([2]enemies!$A$1,0,0,COUNTA([2]enemies!$A:$A),MATCH(N$1,[2]enemies!$2:$2,0)-MATCH($I$1,[2]enemies!$2:$2,0)+1),MATCH(N$1,[2]enemies!$2:$2,0)-MATCH($I$1,[2]enemies!$2:$2,0)+1,FALSE)</f>
        <v>15</v>
      </c>
      <c r="O229" s="6">
        <v>42</v>
      </c>
      <c r="P229" s="46">
        <v>1</v>
      </c>
      <c r="Q229" s="46">
        <v>1</v>
      </c>
      <c r="R229" s="6">
        <v>0</v>
      </c>
      <c r="S229" s="5" t="str">
        <f ca="1">VLOOKUP($T229,OFFSET([4]enemy_skill_sets!$B$1,0,0,COUNTA([4]enemy_skill_sets!$B:$B),MATCH(J$1,[4]enemy_skill_sets!$1:$1,0)-MATCH($T$1,[4]enemy_skill_sets!$1:$1,0)+2),MATCH(J$1,[4]enemy_skill_sets!$1:$1,0)-MATCH($T$1,[4]enemy_skill_sets!$1:$1,0)+2,FALSE)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9" s="5">
        <f ca="1">VLOOKUP($I229,OFFSET([2]enemies!$A$1,0,0,COUNTA([2]enemies!$A:$A),MATCH(T$1,[2]enemies!$2:$2,0)-MATCH($I$1,[2]enemies!$2:$2,0)+1),MATCH(T$1,[2]enemies!$2:$2,0)-MATCH($I$1,[2]enemies!$2:$2,0)+1,FALSE)</f>
        <v>0</v>
      </c>
      <c r="U229" s="7">
        <v>0</v>
      </c>
      <c r="V229" s="7">
        <v>100</v>
      </c>
      <c r="W229" s="7">
        <v>0</v>
      </c>
      <c r="X229" s="26">
        <f ca="1">VLOOKUP($I229,OFFSET([2]enemies!$A$1,0,0,COUNTA([2]enemies!$A:$A),MATCH(X$1,[2]enemies!$2:$2,0)-MATCH($I$1,[2]enemies!$2:$2,0)+1),MATCH(X$1,[2]enemies!$2:$2,0)-MATCH($I$1,[2]enemies!$2:$2,0)+1,FALSE)</f>
        <v>2</v>
      </c>
      <c r="Y229" s="31">
        <v>31</v>
      </c>
      <c r="Z229" s="5" t="str">
        <f ca="1">IFERROR(VLOOKUP($Y229,OFFSET([3]characters!$A$1,0,0,COUNTA([3]characters!$A:$A),MATCH(Z$1,[3]characters!$2:$2,0)-MATCH("character_id",[3]characters!$2:$2,0)+1),MATCH(Z$1,[3]characters!$2:$2,0)-MATCH("character_id",[3]characters!$2:$2,0)+1,FALSE),"")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229" s="5">
        <f ca="1">IFERROR(VLOOKUP($Y229,OFFSET([3]characters!$A$1,0,0,COUNTA([3]characters!$A:$A),MATCH(AA$1,[3]characters!$2:$2,0)-MATCH("character_id",[3]characters!$2:$2,0)+1),MATCH(AA$1,[3]characters!$2:$2,0)-MATCH("character_id",[3]characters!$2:$2,0)+1,FALSE),"")</f>
        <v>1</v>
      </c>
      <c r="AB229" s="5" t="str">
        <f ca="1">IFERROR(VLOOKUP($Y229,OFFSET([3]characters!$A$1,0,0,COUNTA([3]characters!$A:$A),MATCH(AB$1,[3]characters!$2:$2,0)-MATCH("character_id",[3]characters!$2:$2,0)+1),MATCH(AB$1,[3]characters!$2:$2,0)-MATCH("character_id",[3]characters!$2:$2,0)+1,FALSE),"")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29" s="8">
        <v>1</v>
      </c>
      <c r="AD229" s="34">
        <f t="shared" ca="1" si="164"/>
        <v>1</v>
      </c>
      <c r="AE229" s="9">
        <v>0</v>
      </c>
      <c r="AF229" s="8">
        <v>0</v>
      </c>
      <c r="AG229" s="8">
        <v>0</v>
      </c>
      <c r="AH229" s="8">
        <v>0</v>
      </c>
      <c r="AI229" s="8">
        <v>0</v>
      </c>
      <c r="AJ229" s="8">
        <v>1</v>
      </c>
    </row>
    <row r="230" spans="1:36" ht="21" customHeight="1">
      <c r="A230" s="21" t="str">
        <f t="shared" ca="1" si="157"/>
        <v>11105_4-6/116&lt;lv40&gt;s2</v>
      </c>
      <c r="B230" s="8">
        <v>11105</v>
      </c>
      <c r="C230" s="49">
        <v>4</v>
      </c>
      <c r="D230" s="2" t="str">
        <f t="shared" si="158"/>
        <v>11105_4</v>
      </c>
      <c r="E230" s="5" t="str">
        <f ca="1">VLOOKUP($B230,OFFSET([1]quests!$A$1,0,0,COUNTA([1]quests!$A:$A),MATCH(E$1,[1]quests!$1:$1,0)-MATCH($B$1,[1]quests!$1:$1,0)+1),MATCH(E$1,[1]quests!$1:$1,0)-MATCH($B$1,[1]quests!$1:$1,0)+1,FALSE)</f>
        <v>【キャンペーン限定】 帽子屋を追え！</v>
      </c>
      <c r="F230" s="5" t="str">
        <f ca="1">VLOOKUP($D230,OFFSET([1]stages!$A$1,0,0,COUNTA([1]stages!$A:$A),MATCH(F$1,[1]stages!$2:$2,0)-MATCH($D$1,[1]stages!$2:$2,0)+1),MATCH(F$1,[1]stages!$2:$2,0)-MATCH($D$1,[1]stages!$2:$2,0)+1,FALSE)</f>
        <v>雷の帽子屋 【超級】</v>
      </c>
      <c r="G230" s="32">
        <v>6</v>
      </c>
      <c r="H230" s="20" t="str">
        <f t="shared" si="159"/>
        <v>11105_4-6</v>
      </c>
      <c r="I230" s="31">
        <v>116</v>
      </c>
      <c r="J230" s="26" t="str">
        <f ca="1">VLOOKUP($I230,OFFSET([2]enemies!$A$1,0,0,COUNTA([2]enemies!$A:$A),MATCH(J$1,[2]enemies!$2:$2,0)-MATCH($I$1,[2]enemies!$2:$2,0)+1),MATCH(J$1,[2]enemies!$2:$2,0)-MATCH($I$1,[2]enemies!$2:$2,0)+1,FALSE)</f>
        <v>雷のマッドハッター</v>
      </c>
      <c r="K230" s="29" t="str">
        <f ca="1">VLOOKUP($I230,OFFSET([2]enemies!$A$1,0,0,COUNTA([2]enemies!$A:$A),MATCH(K$1,[2]enemies!$2:$2,0)-MATCH($I$1,[2]enemies!$2:$2,0)+1),MATCH(K$1,[2]enemies!$2:$2,0)-MATCH($I$1,[2]enemies!$2:$2,0)+1,FALSE)</f>
        <v>yellow</v>
      </c>
      <c r="L230" s="29" t="str">
        <f ca="1">VLOOKUP($I230,OFFSET([3]characters!$A$1,0,0,COUNTA([3]characters!$A:$A),MATCH(L$1,[3]characters!$2:$2,0)-MATCH($I$1,[3]characters!$2:$2,0)+1),MATCH(L$1,[3]characters!$2:$2,0)-MATCH($I$1,[3]characters!$2:$2,0)+1,FALSE)</f>
        <v>Material</v>
      </c>
      <c r="M230" s="28" t="str">
        <f ca="1">VLOOKUP($I230,OFFSET([3]characters!$A$1,0,0,COUNTA([3]characters!$A:$A),MATCH(M$1,[3]characters!$2:$2,0)-MATCH($I$1,[3]characters!$2:$2,0)+2),MATCH(M$1,[3]characters!$2:$2,0)-MATCH($I$1,[3]characters!$2:$2,0)+2,FALSE)</f>
        <v>Unknown</v>
      </c>
      <c r="N230" s="5">
        <f ca="1">VLOOKUP($I230,OFFSET([2]enemies!$A$1,0,0,COUNTA([2]enemies!$A:$A),MATCH(N$1,[2]enemies!$2:$2,0)-MATCH($I$1,[2]enemies!$2:$2,0)+1),MATCH(N$1,[2]enemies!$2:$2,0)-MATCH($I$1,[2]enemies!$2:$2,0)+1,FALSE)</f>
        <v>20</v>
      </c>
      <c r="O230" s="6">
        <v>40</v>
      </c>
      <c r="P230" s="48">
        <v>1.7</v>
      </c>
      <c r="Q230" s="46">
        <v>1</v>
      </c>
      <c r="R230" s="6">
        <v>0</v>
      </c>
      <c r="S230" s="5" t="str">
        <f ca="1">VLOOKUP($T230,OFFSET([4]enemy_skill_sets!$B$1,0,0,COUNTA([4]enemy_skill_sets!$B:$B),MATCH(J$1,[4]enemy_skill_sets!$1:$1,0)-MATCH($T$1,[4]enemy_skill_sets!$1:$1,0)+2),MATCH(J$1,[4]enemy_skill_sets!$1:$1,0)-MATCH($T$1,[4]enemy_skill_sets!$1:$1,0)+2,FALSE)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0" s="5">
        <f ca="1">VLOOKUP($I230,OFFSET([2]enemies!$A$1,0,0,COUNTA([2]enemies!$A:$A),MATCH(T$1,[2]enemies!$2:$2,0)-MATCH($I$1,[2]enemies!$2:$2,0)+1),MATCH(T$1,[2]enemies!$2:$2,0)-MATCH($I$1,[2]enemies!$2:$2,0)+1,FALSE)</f>
        <v>0</v>
      </c>
      <c r="U230" s="7">
        <v>1</v>
      </c>
      <c r="V230" s="7">
        <v>100</v>
      </c>
      <c r="W230" s="7">
        <v>1</v>
      </c>
      <c r="X230" s="26">
        <f ca="1">VLOOKUP($I230,OFFSET([2]enemies!$A$1,0,0,COUNTA([2]enemies!$A:$A),MATCH(X$1,[2]enemies!$2:$2,0)-MATCH($I$1,[2]enemies!$2:$2,0)+1),MATCH(X$1,[2]enemies!$2:$2,0)-MATCH($I$1,[2]enemies!$2:$2,0)+1,FALSE)</f>
        <v>2</v>
      </c>
      <c r="Y230" s="31">
        <v>116</v>
      </c>
      <c r="Z230" s="5" t="str">
        <f ca="1">IFERROR(VLOOKUP($Y230,OFFSET([3]characters!$A$1,0,0,COUNTA([3]characters!$A:$A),MATCH(Z$1,[3]characters!$2:$2,0)-MATCH("character_id",[3]characters!$2:$2,0)+1),MATCH(Z$1,[3]characters!$2:$2,0)-MATCH("character_id",[3]characters!$2:$2,0)+1,FALSE),"")</f>
        <v>雷のマッドハッター</v>
      </c>
      <c r="AA230" s="5">
        <f ca="1">IFERROR(VLOOKUP($Y230,OFFSET([3]characters!$A$1,0,0,COUNTA([3]characters!$A:$A),MATCH(AA$1,[3]characters!$2:$2,0)-MATCH("character_id",[3]characters!$2:$2,0)+1),MATCH(AA$1,[3]characters!$2:$2,0)-MATCH("character_id",[3]characters!$2:$2,0)+1,FALSE),"")</f>
        <v>5</v>
      </c>
      <c r="AB230" s="5" t="str">
        <f ca="1">IFERROR(VLOOKUP($Y230,OFFSET([3]characters!$A$1,0,0,COUNTA([3]characters!$A:$A),MATCH(AB$1,[3]characters!$2:$2,0)-MATCH("character_id",[3]characters!$2:$2,0)+1),MATCH(AB$1,[3]characters!$2:$2,0)-MATCH("character_id",[3]characters!$2:$2,0)+1,FALSE),"")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30" s="8">
        <v>1</v>
      </c>
      <c r="AD230" s="34">
        <f t="shared" ca="1" si="160"/>
        <v>5</v>
      </c>
      <c r="AE230" s="9">
        <v>100</v>
      </c>
      <c r="AF230" s="8">
        <v>0</v>
      </c>
      <c r="AG230" s="8">
        <v>0</v>
      </c>
      <c r="AH230" s="8">
        <v>0</v>
      </c>
      <c r="AI230" s="8">
        <v>0</v>
      </c>
      <c r="AJ230" s="8">
        <v>1</v>
      </c>
    </row>
    <row r="231" spans="1:36" ht="21" customHeight="1">
      <c r="A231" s="21" t="str">
        <f t="shared" si="157"/>
        <v>11105_4-6/32&lt;lv45&gt;s2</v>
      </c>
      <c r="B231" s="8">
        <v>11105</v>
      </c>
      <c r="C231" s="49">
        <v>4</v>
      </c>
      <c r="D231" s="2" t="str">
        <f t="shared" si="158"/>
        <v>11105_4</v>
      </c>
      <c r="E231" s="5" t="str">
        <f ca="1">VLOOKUP($B231,OFFSET([1]quests!$A$1,0,0,COUNTA([1]quests!$A:$A),MATCH(E$1,[1]quests!$1:$1,0)-MATCH($B$1,[1]quests!$1:$1,0)+1),MATCH(E$1,[1]quests!$1:$1,0)-MATCH($B$1,[1]quests!$1:$1,0)+1,FALSE)</f>
        <v>【キャンペーン限定】 帽子屋を追え！</v>
      </c>
      <c r="F231" s="5" t="str">
        <f ca="1">VLOOKUP($D231,OFFSET([1]stages!$A$1,0,0,COUNTA([1]stages!$A:$A),MATCH(F$1,[1]stages!$2:$2,0)-MATCH($D$1,[1]stages!$2:$2,0)+1),MATCH(F$1,[1]stages!$2:$2,0)-MATCH($D$1,[1]stages!$2:$2,0)+1,FALSE)</f>
        <v>雷の帽子屋 【超級】</v>
      </c>
      <c r="G231" s="32">
        <v>6</v>
      </c>
      <c r="H231" s="20" t="str">
        <f t="shared" si="159"/>
        <v>11105_4-6</v>
      </c>
      <c r="I231" s="31">
        <v>32</v>
      </c>
      <c r="J231" s="26" t="str">
        <f ca="1">VLOOKUP($I231,OFFSET([2]enemies!$A$1,0,0,COUNTA([2]enemies!$A:$A),MATCH(J$1,[2]enemies!$2:$2,0)-MATCH($I$1,[2]enemies!$2:$2,0)+1),MATCH(J$1,[2]enemies!$2:$2,0)-MATCH($I$1,[2]enemies!$2:$2,0)+1,FALSE)</f>
        <v>沈黙のジャミング マービー</v>
      </c>
      <c r="K231" s="29" t="str">
        <f ca="1">VLOOKUP($I231,OFFSET([2]enemies!$A$1,0,0,COUNTA([2]enemies!$A:$A),MATCH(K$1,[2]enemies!$2:$2,0)-MATCH($I$1,[2]enemies!$2:$2,0)+1),MATCH(K$1,[2]enemies!$2:$2,0)-MATCH($I$1,[2]enemies!$2:$2,0)+1,FALSE)</f>
        <v>yellow</v>
      </c>
      <c r="L231" s="29" t="str">
        <f ca="1">VLOOKUP($I231,OFFSET([3]characters!$A$1,0,0,COUNTA([3]characters!$A:$A),MATCH(L$1,[3]characters!$2:$2,0)-MATCH($I$1,[3]characters!$2:$2,0)+1),MATCH(L$1,[3]characters!$2:$2,0)-MATCH($I$1,[3]characters!$2:$2,0)+1,FALSE)</f>
        <v>Drop1N</v>
      </c>
      <c r="M231" s="28" t="str">
        <f ca="1">VLOOKUP($I231,OFFSET([3]characters!$A$1,0,0,COUNTA([3]characters!$A:$A),MATCH(M$1,[3]characters!$2:$2,0)-MATCH($I$1,[3]characters!$2:$2,0)+2),MATCH(M$1,[3]characters!$2:$2,0)-MATCH($I$1,[3]characters!$2:$2,0)+2,FALSE)</f>
        <v>マシン</v>
      </c>
      <c r="N231" s="5">
        <f ca="1">VLOOKUP($I231,OFFSET([2]enemies!$A$1,0,0,COUNTA([2]enemies!$A:$A),MATCH(N$1,[2]enemies!$2:$2,0)-MATCH($I$1,[2]enemies!$2:$2,0)+1),MATCH(N$1,[2]enemies!$2:$2,0)-MATCH($I$1,[2]enemies!$2:$2,0)+1,FALSE)</f>
        <v>15</v>
      </c>
      <c r="O231" s="6">
        <v>45</v>
      </c>
      <c r="P231" s="46">
        <v>1</v>
      </c>
      <c r="Q231" s="46">
        <v>1</v>
      </c>
      <c r="R231" s="6">
        <v>0</v>
      </c>
      <c r="S231" s="5" t="str">
        <f ca="1">VLOOKUP($T231,OFFSET([4]enemy_skill_sets!$B$1,0,0,COUNTA([4]enemy_skill_sets!$B:$B),MATCH(J$1,[4]enemy_skill_sets!$1:$1,0)-MATCH($T$1,[4]enemy_skill_sets!$1:$1,0)+2),MATCH(J$1,[4]enemy_skill_sets!$1:$1,0)-MATCH($T$1,[4]enemy_skill_sets!$1:$1,0)+2,FALSE)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1" s="5">
        <f ca="1">VLOOKUP($I231,OFFSET([2]enemies!$A$1,0,0,COUNTA([2]enemies!$A:$A),MATCH(T$1,[2]enemies!$2:$2,0)-MATCH($I$1,[2]enemies!$2:$2,0)+1),MATCH(T$1,[2]enemies!$2:$2,0)-MATCH($I$1,[2]enemies!$2:$2,0)+1,FALSE)</f>
        <v>0</v>
      </c>
      <c r="U231" s="7">
        <v>2</v>
      </c>
      <c r="V231" s="7">
        <v>100</v>
      </c>
      <c r="W231" s="7">
        <v>0</v>
      </c>
      <c r="X231" s="26">
        <v>2</v>
      </c>
      <c r="Y231" s="31">
        <v>31</v>
      </c>
      <c r="Z231" s="5" t="str">
        <f ca="1">IFERROR(VLOOKUP($Y231,OFFSET([3]characters!$A$1,0,0,COUNTA([3]characters!$A:$A),MATCH(Z$1,[3]characters!$2:$2,0)-MATCH("character_id",[3]characters!$2:$2,0)+1),MATCH(Z$1,[3]characters!$2:$2,0)-MATCH("character_id",[3]characters!$2:$2,0)+1,FALSE),"")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231" s="5">
        <f ca="1">IFERROR(VLOOKUP($Y231,OFFSET([3]characters!$A$1,0,0,COUNTA([3]characters!$A:$A),MATCH(AA$1,[3]characters!$2:$2,0)-MATCH("character_id",[3]characters!$2:$2,0)+1),MATCH(AA$1,[3]characters!$2:$2,0)-MATCH("character_id",[3]characters!$2:$2,0)+1,FALSE),"")</f>
        <v>1</v>
      </c>
      <c r="AB231" s="5" t="str">
        <f ca="1">IFERROR(VLOOKUP($Y231,OFFSET([3]characters!$A$1,0,0,COUNTA([3]characters!$A:$A),MATCH(AB$1,[3]characters!$2:$2,0)-MATCH("character_id",[3]characters!$2:$2,0)+1),MATCH(AB$1,[3]characters!$2:$2,0)-MATCH("character_id",[3]characters!$2:$2,0)+1,FALSE),"")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31" s="8">
        <v>1</v>
      </c>
      <c r="AD231" s="34">
        <f t="shared" ca="1" si="160"/>
        <v>1</v>
      </c>
      <c r="AE231" s="9">
        <v>0</v>
      </c>
      <c r="AF231" s="8">
        <v>0</v>
      </c>
      <c r="AG231" s="8">
        <v>0</v>
      </c>
      <c r="AH231" s="8">
        <v>0</v>
      </c>
      <c r="AI231" s="8">
        <v>0</v>
      </c>
      <c r="AJ231" s="8">
        <v>1</v>
      </c>
    </row>
    <row r="232" spans="1:36" ht="21" customHeight="1">
      <c r="A232" s="21" t="str">
        <f t="shared" ref="A232:A306" ca="1" si="165">B232&amp;"_"&amp;C232&amp;"-"&amp;G232&amp;"/"&amp;I232&amp;"&lt;lv"&amp;O232&amp;"&gt;s"&amp;X232</f>
        <v>11106_1-1/117&lt;lv1&gt;s1</v>
      </c>
      <c r="B232" s="8">
        <v>11106</v>
      </c>
      <c r="C232" s="32">
        <v>1</v>
      </c>
      <c r="D232" s="2" t="str">
        <f t="shared" ref="D232:D306" si="166">B232&amp;"_"&amp;C232</f>
        <v>11106_1</v>
      </c>
      <c r="E232" s="5" t="str">
        <f ca="1">VLOOKUP($B232,OFFSET([1]quests!$A$1,0,0,COUNTA([1]quests!$A:$A),MATCH(E$1,[1]quests!$1:$1,0)-MATCH($B$1,[1]quests!$1:$1,0)+1),MATCH(E$1,[1]quests!$1:$1,0)-MATCH($B$1,[1]quests!$1:$1,0)+1,FALSE)</f>
        <v>【キャンペーン限定】 ゴールドカジノ</v>
      </c>
      <c r="F232" s="5" t="str">
        <f ca="1">VLOOKUP($D232,OFFSET([1]stages!$A$1,0,0,COUNTA([1]stages!$A:$A),MATCH(F$1,[1]stages!$2:$2,0)-MATCH($D$1,[1]stages!$2:$2,0)+1),MATCH(F$1,[1]stages!$2:$2,0)-MATCH($D$1,[1]stages!$2:$2,0)+1,FALSE)</f>
        <v>ゴールドカジノ 【初級】</v>
      </c>
      <c r="G232" s="32">
        <v>1</v>
      </c>
      <c r="H232" s="20" t="str">
        <f t="shared" ref="H232:H306" si="167">B232&amp;"_"&amp;C232&amp;"-"&amp;G232</f>
        <v>11106_1-1</v>
      </c>
      <c r="I232" s="31">
        <v>117</v>
      </c>
      <c r="J232" s="26" t="str">
        <f ca="1">VLOOKUP($I232,OFFSET([2]enemies!$A$1,0,0,COUNTA([2]enemies!$A:$A),MATCH(J$1,[2]enemies!$2:$2,0)-MATCH($I$1,[2]enemies!$2:$2,0)+1),MATCH(J$1,[2]enemies!$2:$2,0)-MATCH($I$1,[2]enemies!$2:$2,0)+1,FALSE)</f>
        <v>ゴールドピヨピヨ</v>
      </c>
      <c r="K232" s="29" t="str">
        <f ca="1">VLOOKUP($I232,OFFSET([2]enemies!$A$1,0,0,COUNTA([2]enemies!$A:$A),MATCH(K$1,[2]enemies!$2:$2,0)-MATCH($I$1,[2]enemies!$2:$2,0)+1),MATCH(K$1,[2]enemies!$2:$2,0)-MATCH($I$1,[2]enemies!$2:$2,0)+1,FALSE)</f>
        <v>yellow</v>
      </c>
      <c r="L232" s="29" t="str">
        <f ca="1">VLOOKUP($I232,OFFSET([3]characters!$A$1,0,0,COUNTA([3]characters!$A:$A),MATCH(L$1,[3]characters!$2:$2,0)-MATCH($I$1,[3]characters!$2:$2,0)+1),MATCH(L$1,[3]characters!$2:$2,0)-MATCH($I$1,[3]characters!$2:$2,0)+1,FALSE)</f>
        <v>Material</v>
      </c>
      <c r="M232" s="28" t="str">
        <f ca="1">VLOOKUP($I232,OFFSET([3]characters!$A$1,0,0,COUNTA([3]characters!$A:$A),MATCH(M$1,[3]characters!$2:$2,0)-MATCH($I$1,[3]characters!$2:$2,0)+2),MATCH(M$1,[3]characters!$2:$2,0)-MATCH($I$1,[3]characters!$2:$2,0)+2,FALSE)</f>
        <v>Unknown</v>
      </c>
      <c r="N232" s="5">
        <f ca="1">VLOOKUP($I232,OFFSET([2]enemies!$A$1,0,0,COUNTA([2]enemies!$A:$A),MATCH(N$1,[2]enemies!$2:$2,0)-MATCH($I$1,[2]enemies!$2:$2,0)+1),MATCH(N$1,[2]enemies!$2:$2,0)-MATCH($I$1,[2]enemies!$2:$2,0)+1,FALSE)</f>
        <v>15</v>
      </c>
      <c r="O232" s="6">
        <v>1</v>
      </c>
      <c r="P232" s="48">
        <v>10.5</v>
      </c>
      <c r="Q232" s="46">
        <v>11</v>
      </c>
      <c r="R232" s="6">
        <v>0</v>
      </c>
      <c r="S232" s="5" t="str">
        <f ca="1">VLOOKUP($T232,OFFSET([4]enemy_skill_sets!$B$1,0,0,COUNTA([4]enemy_skill_sets!$B:$B),MATCH(J$1,[4]enemy_skill_sets!$1:$1,0)-MATCH($T$1,[4]enemy_skill_sets!$1:$1,0)+2),MATCH(J$1,[4]enemy_skill_sets!$1:$1,0)-MATCH($T$1,[4]enemy_skill_sets!$1:$1,0)+2,FALSE)</f>
        <v>ゴールドカジノのピヨピヨはターン０になると自爆する！</v>
      </c>
      <c r="T232" s="42">
        <v>11701</v>
      </c>
      <c r="U232" s="7">
        <v>1</v>
      </c>
      <c r="V232" s="7">
        <v>100</v>
      </c>
      <c r="W232" s="7">
        <v>0</v>
      </c>
      <c r="X232" s="26">
        <f ca="1">VLOOKUP($I232,OFFSET([2]enemies!$A$1,0,0,COUNTA([2]enemies!$A:$A),MATCH(X$1,[2]enemies!$2:$2,0)-MATCH($I$1,[2]enemies!$2:$2,0)+1),MATCH(X$1,[2]enemies!$2:$2,0)-MATCH($I$1,[2]enemies!$2:$2,0)+1,FALSE)</f>
        <v>1</v>
      </c>
      <c r="Y232" s="31">
        <v>117</v>
      </c>
      <c r="Z232" s="5" t="str">
        <f ca="1">IFERROR(VLOOKUP($Y232,OFFSET([3]characters!$A$1,0,0,COUNTA([3]characters!$A:$A),MATCH(Z$1,[3]characters!$2:$2,0)-MATCH("character_id",[3]characters!$2:$2,0)+1),MATCH(Z$1,[3]characters!$2:$2,0)-MATCH("character_id",[3]characters!$2:$2,0)+1,FALSE),"")</f>
        <v>ゴールドピヨピヨ</v>
      </c>
      <c r="AA232" s="5">
        <f ca="1">IFERROR(VLOOKUP($Y232,OFFSET([3]characters!$A$1,0,0,COUNTA([3]characters!$A:$A),MATCH(AA$1,[3]characters!$2:$2,0)-MATCH("character_id",[3]characters!$2:$2,0)+1),MATCH(AA$1,[3]characters!$2:$2,0)-MATCH("character_id",[3]characters!$2:$2,0)+1,FALSE),"")</f>
        <v>3</v>
      </c>
      <c r="AB232" s="5" t="str">
        <f ca="1">IFERROR(VLOOKUP($Y232,OFFSET([3]characters!$A$1,0,0,COUNTA([3]characters!$A:$A),MATCH(AB$1,[3]characters!$2:$2,0)-MATCH("character_id",[3]characters!$2:$2,0)+1),MATCH(AB$1,[3]characters!$2:$2,0)-MATCH("character_id",[3]characters!$2:$2,0)+1,FALSE),"")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32" s="8">
        <v>1</v>
      </c>
      <c r="AD232" s="34">
        <f t="shared" ref="AD232:AD306" ca="1" si="168">AA232</f>
        <v>3</v>
      </c>
      <c r="AE232" s="9">
        <v>50</v>
      </c>
      <c r="AF232" s="8">
        <v>0</v>
      </c>
      <c r="AG232" s="8">
        <v>0</v>
      </c>
      <c r="AH232" s="8">
        <v>0</v>
      </c>
      <c r="AI232" s="8">
        <v>0</v>
      </c>
      <c r="AJ232" s="8">
        <v>1</v>
      </c>
    </row>
    <row r="233" spans="1:36" ht="21" customHeight="1">
      <c r="A233" s="21" t="str">
        <f t="shared" ref="A233" ca="1" si="169">B233&amp;"_"&amp;C233&amp;"-"&amp;G233&amp;"/"&amp;I233&amp;"&lt;lv"&amp;O233&amp;"&gt;s"&amp;X233</f>
        <v>11106_1-1/1&lt;lv5&gt;s1</v>
      </c>
      <c r="B233" s="8">
        <v>11106</v>
      </c>
      <c r="C233" s="32">
        <v>1</v>
      </c>
      <c r="D233" s="2" t="str">
        <f t="shared" ref="D233" si="170">B233&amp;"_"&amp;C233</f>
        <v>11106_1</v>
      </c>
      <c r="E233" s="5" t="str">
        <f ca="1">VLOOKUP($B233,OFFSET([1]quests!$A$1,0,0,COUNTA([1]quests!$A:$A),MATCH(E$1,[1]quests!$1:$1,0)-MATCH($B$1,[1]quests!$1:$1,0)+1),MATCH(E$1,[1]quests!$1:$1,0)-MATCH($B$1,[1]quests!$1:$1,0)+1,FALSE)</f>
        <v>【キャンペーン限定】 ゴールドカジノ</v>
      </c>
      <c r="F233" s="5" t="str">
        <f ca="1">VLOOKUP($D233,OFFSET([1]stages!$A$1,0,0,COUNTA([1]stages!$A:$A),MATCH(F$1,[1]stages!$2:$2,0)-MATCH($D$1,[1]stages!$2:$2,0)+1),MATCH(F$1,[1]stages!$2:$2,0)-MATCH($D$1,[1]stages!$2:$2,0)+1,FALSE)</f>
        <v>ゴールドカジノ 【初級】</v>
      </c>
      <c r="G233" s="32">
        <v>1</v>
      </c>
      <c r="H233" s="20" t="str">
        <f t="shared" ref="H233" si="171">B233&amp;"_"&amp;C233&amp;"-"&amp;G233</f>
        <v>11106_1-1</v>
      </c>
      <c r="I233" s="31">
        <v>1</v>
      </c>
      <c r="J233" s="26" t="str">
        <f ca="1">VLOOKUP($I233,OFFSET([2]enemies!$A$1,0,0,COUNTA([2]enemies!$A:$A),MATCH(J$1,[2]enemies!$2:$2,0)-MATCH($I$1,[2]enemies!$2:$2,0)+1),MATCH(J$1,[2]enemies!$2:$2,0)-MATCH($I$1,[2]enemies!$2:$2,0)+1,FALSE)</f>
        <v>ジェリー</v>
      </c>
      <c r="K233" s="29" t="str">
        <f ca="1">VLOOKUP($I233,OFFSET([2]enemies!$A$1,0,0,COUNTA([2]enemies!$A:$A),MATCH(K$1,[2]enemies!$2:$2,0)-MATCH($I$1,[2]enemies!$2:$2,0)+1),MATCH(K$1,[2]enemies!$2:$2,0)-MATCH($I$1,[2]enemies!$2:$2,0)+1,FALSE)</f>
        <v>red</v>
      </c>
      <c r="L233" s="29" t="str">
        <f ca="1">VLOOKUP($I233,OFFSET([3]characters!$A$1,0,0,COUNTA([3]characters!$A:$A),MATCH(L$1,[3]characters!$2:$2,0)-MATCH($I$1,[3]characters!$2:$2,0)+1),MATCH(L$1,[3]characters!$2:$2,0)-MATCH($I$1,[3]characters!$2:$2,0)+1,FALSE)</f>
        <v>Drop1T</v>
      </c>
      <c r="M233" s="28" t="str">
        <f ca="1">VLOOKUP($I233,OFFSET([3]characters!$A$1,0,0,COUNTA([3]characters!$A:$A),MATCH(M$1,[3]characters!$2:$2,0)-MATCH($I$1,[3]characters!$2:$2,0)+2),MATCH(M$1,[3]characters!$2:$2,0)-MATCH($I$1,[3]characters!$2:$2,0)+2,FALSE)</f>
        <v>Unknown</v>
      </c>
      <c r="N233" s="5">
        <f ca="1">VLOOKUP($I233,OFFSET([2]enemies!$A$1,0,0,COUNTA([2]enemies!$A:$A),MATCH(N$1,[2]enemies!$2:$2,0)-MATCH($I$1,[2]enemies!$2:$2,0)+1),MATCH(N$1,[2]enemies!$2:$2,0)-MATCH($I$1,[2]enemies!$2:$2,0)+1,FALSE)</f>
        <v>15</v>
      </c>
      <c r="O233" s="6">
        <v>5</v>
      </c>
      <c r="P233" s="46">
        <v>1</v>
      </c>
      <c r="Q233" s="46">
        <v>1</v>
      </c>
      <c r="R233" s="6">
        <v>0</v>
      </c>
      <c r="S233" s="5" t="str">
        <f ca="1">VLOOKUP($T233,OFFSET([4]enemy_skill_sets!$B$1,0,0,COUNTA([4]enemy_skill_sets!$B:$B),MATCH(J$1,[4]enemy_skill_sets!$1:$1,0)-MATCH($T$1,[4]enemy_skill_sets!$1:$1,0)+2),MATCH(J$1,[4]enemy_skill_sets!$1:$1,0)-MATCH($T$1,[4]enemy_skill_sets!$1:$1,0)+2,FALSE)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3" s="5">
        <f ca="1">VLOOKUP($I233,OFFSET([2]enemies!$A$1,0,0,COUNTA([2]enemies!$A:$A),MATCH(T$1,[2]enemies!$2:$2,0)-MATCH($I$1,[2]enemies!$2:$2,0)+1),MATCH(T$1,[2]enemies!$2:$2,0)-MATCH($I$1,[2]enemies!$2:$2,0)+1,FALSE)</f>
        <v>0</v>
      </c>
      <c r="U233" s="7">
        <v>0</v>
      </c>
      <c r="V233" s="7">
        <v>100</v>
      </c>
      <c r="W233" s="7">
        <v>0</v>
      </c>
      <c r="X233" s="26">
        <f ca="1">VLOOKUP($I233,OFFSET([2]enemies!$A$1,0,0,COUNTA([2]enemies!$A:$A),MATCH(X$1,[2]enemies!$2:$2,0)-MATCH($I$1,[2]enemies!$2:$2,0)+1),MATCH(X$1,[2]enemies!$2:$2,0)-MATCH($I$1,[2]enemies!$2:$2,0)+1,FALSE)</f>
        <v>1</v>
      </c>
      <c r="Y233" s="31">
        <v>1</v>
      </c>
      <c r="Z233" s="5" t="str">
        <f ca="1">IFERROR(VLOOKUP($Y233,OFFSET([3]characters!$A$1,0,0,COUNTA([3]characters!$A:$A),MATCH(Z$1,[3]characters!$2:$2,0)-MATCH("character_id",[3]characters!$2:$2,0)+1),MATCH(Z$1,[3]characters!$2:$2,0)-MATCH("character_id",[3]characters!$2:$2,0)+1,FALSE),"")</f>
        <v>ジェリー</v>
      </c>
      <c r="AA233" s="5">
        <f ca="1">IFERROR(VLOOKUP($Y233,OFFSET([3]characters!$A$1,0,0,COUNTA([3]characters!$A:$A),MATCH(AA$1,[3]characters!$2:$2,0)-MATCH("character_id",[3]characters!$2:$2,0)+1),MATCH(AA$1,[3]characters!$2:$2,0)-MATCH("character_id",[3]characters!$2:$2,0)+1,FALSE),"")</f>
        <v>1</v>
      </c>
      <c r="AB233" s="5" t="str">
        <f ca="1">IFERROR(VLOOKUP($Y233,OFFSET([3]characters!$A$1,0,0,COUNTA([3]characters!$A:$A),MATCH(AB$1,[3]characters!$2:$2,0)-MATCH("character_id",[3]characters!$2:$2,0)+1),MATCH(AB$1,[3]characters!$2:$2,0)-MATCH("character_id",[3]characters!$2:$2,0)+1,FALSE),"")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233" s="8">
        <v>1</v>
      </c>
      <c r="AD233" s="34">
        <f t="shared" ref="AD233" ca="1" si="172">AA233</f>
        <v>1</v>
      </c>
      <c r="AE233" s="9">
        <v>0</v>
      </c>
      <c r="AF233" s="8">
        <v>0</v>
      </c>
      <c r="AG233" s="8">
        <v>0</v>
      </c>
      <c r="AH233" s="8">
        <v>0</v>
      </c>
      <c r="AI233" s="8">
        <v>0</v>
      </c>
      <c r="AJ233" s="8">
        <v>1</v>
      </c>
    </row>
    <row r="234" spans="1:36" ht="21" customHeight="1">
      <c r="A234" s="21" t="str">
        <f t="shared" ca="1" si="165"/>
        <v>11106_1-2/117&lt;lv2&gt;s1</v>
      </c>
      <c r="B234" s="8">
        <v>11106</v>
      </c>
      <c r="C234" s="32">
        <v>1</v>
      </c>
      <c r="D234" s="2" t="str">
        <f t="shared" si="166"/>
        <v>11106_1</v>
      </c>
      <c r="E234" s="5" t="str">
        <f ca="1">VLOOKUP($B234,OFFSET([1]quests!$A$1,0,0,COUNTA([1]quests!$A:$A),MATCH(E$1,[1]quests!$1:$1,0)-MATCH($B$1,[1]quests!$1:$1,0)+1),MATCH(E$1,[1]quests!$1:$1,0)-MATCH($B$1,[1]quests!$1:$1,0)+1,FALSE)</f>
        <v>【キャンペーン限定】 ゴールドカジノ</v>
      </c>
      <c r="F234" s="5" t="str">
        <f ca="1">VLOOKUP($D234,OFFSET([1]stages!$A$1,0,0,COUNTA([1]stages!$A:$A),MATCH(F$1,[1]stages!$2:$2,0)-MATCH($D$1,[1]stages!$2:$2,0)+1),MATCH(F$1,[1]stages!$2:$2,0)-MATCH($D$1,[1]stages!$2:$2,0)+1,FALSE)</f>
        <v>ゴールドカジノ 【初級】</v>
      </c>
      <c r="G234" s="32">
        <v>2</v>
      </c>
      <c r="H234" s="20" t="str">
        <f t="shared" si="167"/>
        <v>11106_1-2</v>
      </c>
      <c r="I234" s="31">
        <v>117</v>
      </c>
      <c r="J234" s="26" t="str">
        <f ca="1">VLOOKUP($I234,OFFSET([2]enemies!$A$1,0,0,COUNTA([2]enemies!$A:$A),MATCH(J$1,[2]enemies!$2:$2,0)-MATCH($I$1,[2]enemies!$2:$2,0)+1),MATCH(J$1,[2]enemies!$2:$2,0)-MATCH($I$1,[2]enemies!$2:$2,0)+1,FALSE)</f>
        <v>ゴールドピヨピヨ</v>
      </c>
      <c r="K234" s="29" t="str">
        <f ca="1">VLOOKUP($I234,OFFSET([2]enemies!$A$1,0,0,COUNTA([2]enemies!$A:$A),MATCH(K$1,[2]enemies!$2:$2,0)-MATCH($I$1,[2]enemies!$2:$2,0)+1),MATCH(K$1,[2]enemies!$2:$2,0)-MATCH($I$1,[2]enemies!$2:$2,0)+1,FALSE)</f>
        <v>yellow</v>
      </c>
      <c r="L234" s="29" t="str">
        <f ca="1">VLOOKUP($I234,OFFSET([3]characters!$A$1,0,0,COUNTA([3]characters!$A:$A),MATCH(L$1,[3]characters!$2:$2,0)-MATCH($I$1,[3]characters!$2:$2,0)+1),MATCH(L$1,[3]characters!$2:$2,0)-MATCH($I$1,[3]characters!$2:$2,0)+1,FALSE)</f>
        <v>Material</v>
      </c>
      <c r="M234" s="28" t="str">
        <f ca="1">VLOOKUP($I234,OFFSET([3]characters!$A$1,0,0,COUNTA([3]characters!$A:$A),MATCH(M$1,[3]characters!$2:$2,0)-MATCH($I$1,[3]characters!$2:$2,0)+2),MATCH(M$1,[3]characters!$2:$2,0)-MATCH($I$1,[3]characters!$2:$2,0)+2,FALSE)</f>
        <v>Unknown</v>
      </c>
      <c r="N234" s="5">
        <f ca="1">VLOOKUP($I234,OFFSET([2]enemies!$A$1,0,0,COUNTA([2]enemies!$A:$A),MATCH(N$1,[2]enemies!$2:$2,0)-MATCH($I$1,[2]enemies!$2:$2,0)+1),MATCH(N$1,[2]enemies!$2:$2,0)-MATCH($I$1,[2]enemies!$2:$2,0)+1,FALSE)</f>
        <v>15</v>
      </c>
      <c r="O234" s="6">
        <v>2</v>
      </c>
      <c r="P234" s="48">
        <v>7.5</v>
      </c>
      <c r="Q234" s="46">
        <v>11</v>
      </c>
      <c r="R234" s="6">
        <v>0</v>
      </c>
      <c r="S234" s="5" t="str">
        <f ca="1">VLOOKUP($T234,OFFSET([4]enemy_skill_sets!$B$1,0,0,COUNTA([4]enemy_skill_sets!$B:$B),MATCH(J$1,[4]enemy_skill_sets!$1:$1,0)-MATCH($T$1,[4]enemy_skill_sets!$1:$1,0)+2),MATCH(J$1,[4]enemy_skill_sets!$1:$1,0)-MATCH($T$1,[4]enemy_skill_sets!$1:$1,0)+2,FALSE)</f>
        <v>攻撃力10倍の自爆攻撃！</v>
      </c>
      <c r="T234" s="42">
        <v>11702</v>
      </c>
      <c r="U234" s="7">
        <v>1</v>
      </c>
      <c r="V234" s="7">
        <v>100</v>
      </c>
      <c r="W234" s="7">
        <v>0</v>
      </c>
      <c r="X234" s="26">
        <f ca="1">VLOOKUP($I234,OFFSET([2]enemies!$A$1,0,0,COUNTA([2]enemies!$A:$A),MATCH(X$1,[2]enemies!$2:$2,0)-MATCH($I$1,[2]enemies!$2:$2,0)+1),MATCH(X$1,[2]enemies!$2:$2,0)-MATCH($I$1,[2]enemies!$2:$2,0)+1,FALSE)</f>
        <v>1</v>
      </c>
      <c r="Y234" s="31">
        <v>117</v>
      </c>
      <c r="Z234" s="5" t="str">
        <f ca="1">IFERROR(VLOOKUP($Y234,OFFSET([3]characters!$A$1,0,0,COUNTA([3]characters!$A:$A),MATCH(Z$1,[3]characters!$2:$2,0)-MATCH("character_id",[3]characters!$2:$2,0)+1),MATCH(Z$1,[3]characters!$2:$2,0)-MATCH("character_id",[3]characters!$2:$2,0)+1,FALSE),"")</f>
        <v>ゴールドピヨピヨ</v>
      </c>
      <c r="AA234" s="5">
        <f ca="1">IFERROR(VLOOKUP($Y234,OFFSET([3]characters!$A$1,0,0,COUNTA([3]characters!$A:$A),MATCH(AA$1,[3]characters!$2:$2,0)-MATCH("character_id",[3]characters!$2:$2,0)+1),MATCH(AA$1,[3]characters!$2:$2,0)-MATCH("character_id",[3]characters!$2:$2,0)+1,FALSE),"")</f>
        <v>3</v>
      </c>
      <c r="AB234" s="5" t="str">
        <f ca="1">IFERROR(VLOOKUP($Y234,OFFSET([3]characters!$A$1,0,0,COUNTA([3]characters!$A:$A),MATCH(AB$1,[3]characters!$2:$2,0)-MATCH("character_id",[3]characters!$2:$2,0)+1),MATCH(AB$1,[3]characters!$2:$2,0)-MATCH("character_id",[3]characters!$2:$2,0)+1,FALSE),"")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34" s="8">
        <v>1</v>
      </c>
      <c r="AD234" s="34">
        <f t="shared" ca="1" si="168"/>
        <v>3</v>
      </c>
      <c r="AE234" s="9">
        <v>50</v>
      </c>
      <c r="AF234" s="8">
        <v>0</v>
      </c>
      <c r="AG234" s="8">
        <v>0</v>
      </c>
      <c r="AH234" s="8">
        <v>0</v>
      </c>
      <c r="AI234" s="8">
        <v>0</v>
      </c>
      <c r="AJ234" s="8">
        <v>1</v>
      </c>
    </row>
    <row r="235" spans="1:36" ht="21" customHeight="1">
      <c r="A235" s="21" t="str">
        <f t="shared" ref="A235:A238" ca="1" si="173">B235&amp;"_"&amp;C235&amp;"-"&amp;G235&amp;"/"&amp;I235&amp;"&lt;lv"&amp;O235&amp;"&gt;s"&amp;X235</f>
        <v>11106_1-2/117&lt;lv1&gt;s1</v>
      </c>
      <c r="B235" s="8">
        <v>11106</v>
      </c>
      <c r="C235" s="32">
        <v>1</v>
      </c>
      <c r="D235" s="2" t="str">
        <f t="shared" ref="D235:D238" si="174">B235&amp;"_"&amp;C235</f>
        <v>11106_1</v>
      </c>
      <c r="E235" s="5" t="str">
        <f ca="1">VLOOKUP($B235,OFFSET([1]quests!$A$1,0,0,COUNTA([1]quests!$A:$A),MATCH(E$1,[1]quests!$1:$1,0)-MATCH($B$1,[1]quests!$1:$1,0)+1),MATCH(E$1,[1]quests!$1:$1,0)-MATCH($B$1,[1]quests!$1:$1,0)+1,FALSE)</f>
        <v>【キャンペーン限定】 ゴールドカジノ</v>
      </c>
      <c r="F235" s="5" t="str">
        <f ca="1">VLOOKUP($D235,OFFSET([1]stages!$A$1,0,0,COUNTA([1]stages!$A:$A),MATCH(F$1,[1]stages!$2:$2,0)-MATCH($D$1,[1]stages!$2:$2,0)+1),MATCH(F$1,[1]stages!$2:$2,0)-MATCH($D$1,[1]stages!$2:$2,0)+1,FALSE)</f>
        <v>ゴールドカジノ 【初級】</v>
      </c>
      <c r="G235" s="32">
        <v>2</v>
      </c>
      <c r="H235" s="20" t="str">
        <f t="shared" ref="H235:H238" si="175">B235&amp;"_"&amp;C235&amp;"-"&amp;G235</f>
        <v>11106_1-2</v>
      </c>
      <c r="I235" s="31">
        <v>117</v>
      </c>
      <c r="J235" s="26" t="str">
        <f ca="1">VLOOKUP($I235,OFFSET([2]enemies!$A$1,0,0,COUNTA([2]enemies!$A:$A),MATCH(J$1,[2]enemies!$2:$2,0)-MATCH($I$1,[2]enemies!$2:$2,0)+1),MATCH(J$1,[2]enemies!$2:$2,0)-MATCH($I$1,[2]enemies!$2:$2,0)+1,FALSE)</f>
        <v>ゴールドピヨピヨ</v>
      </c>
      <c r="K235" s="29" t="str">
        <f ca="1">VLOOKUP($I235,OFFSET([2]enemies!$A$1,0,0,COUNTA([2]enemies!$A:$A),MATCH(K$1,[2]enemies!$2:$2,0)-MATCH($I$1,[2]enemies!$2:$2,0)+1),MATCH(K$1,[2]enemies!$2:$2,0)-MATCH($I$1,[2]enemies!$2:$2,0)+1,FALSE)</f>
        <v>yellow</v>
      </c>
      <c r="L235" s="29" t="str">
        <f ca="1">VLOOKUP($I235,OFFSET([3]characters!$A$1,0,0,COUNTA([3]characters!$A:$A),MATCH(L$1,[3]characters!$2:$2,0)-MATCH($I$1,[3]characters!$2:$2,0)+1),MATCH(L$1,[3]characters!$2:$2,0)-MATCH($I$1,[3]characters!$2:$2,0)+1,FALSE)</f>
        <v>Material</v>
      </c>
      <c r="M235" s="28" t="str">
        <f ca="1">VLOOKUP($I235,OFFSET([3]characters!$A$1,0,0,COUNTA([3]characters!$A:$A),MATCH(M$1,[3]characters!$2:$2,0)-MATCH($I$1,[3]characters!$2:$2,0)+2),MATCH(M$1,[3]characters!$2:$2,0)-MATCH($I$1,[3]characters!$2:$2,0)+2,FALSE)</f>
        <v>Unknown</v>
      </c>
      <c r="N235" s="5">
        <f ca="1">VLOOKUP($I235,OFFSET([2]enemies!$A$1,0,0,COUNTA([2]enemies!$A:$A),MATCH(N$1,[2]enemies!$2:$2,0)-MATCH($I$1,[2]enemies!$2:$2,0)+1),MATCH(N$1,[2]enemies!$2:$2,0)-MATCH($I$1,[2]enemies!$2:$2,0)+1,FALSE)</f>
        <v>15</v>
      </c>
      <c r="O235" s="6">
        <v>1</v>
      </c>
      <c r="P235" s="48">
        <v>10.5</v>
      </c>
      <c r="Q235" s="46">
        <v>11</v>
      </c>
      <c r="R235" s="6">
        <v>0</v>
      </c>
      <c r="S235" s="5" t="str">
        <f ca="1">VLOOKUP($T235,OFFSET([4]enemy_skill_sets!$B$1,0,0,COUNTA([4]enemy_skill_sets!$B:$B),MATCH(J$1,[4]enemy_skill_sets!$1:$1,0)-MATCH($T$1,[4]enemy_skill_sets!$1:$1,0)+2),MATCH(J$1,[4]enemy_skill_sets!$1:$1,0)-MATCH($T$1,[4]enemy_skill_sets!$1:$1,0)+2,FALSE)</f>
        <v>攻撃力10倍の自爆攻撃！</v>
      </c>
      <c r="T235" s="42">
        <v>11702</v>
      </c>
      <c r="U235" s="7">
        <v>0</v>
      </c>
      <c r="V235" s="7">
        <v>100</v>
      </c>
      <c r="W235" s="7">
        <v>0</v>
      </c>
      <c r="X235" s="26">
        <f ca="1">VLOOKUP($I235,OFFSET([2]enemies!$A$1,0,0,COUNTA([2]enemies!$A:$A),MATCH(X$1,[2]enemies!$2:$2,0)-MATCH($I$1,[2]enemies!$2:$2,0)+1),MATCH(X$1,[2]enemies!$2:$2,0)-MATCH($I$1,[2]enemies!$2:$2,0)+1,FALSE)</f>
        <v>1</v>
      </c>
      <c r="Y235" s="31">
        <v>117</v>
      </c>
      <c r="Z235" s="5" t="str">
        <f ca="1">IFERROR(VLOOKUP($Y235,OFFSET([3]characters!$A$1,0,0,COUNTA([3]characters!$A:$A),MATCH(Z$1,[3]characters!$2:$2,0)-MATCH("character_id",[3]characters!$2:$2,0)+1),MATCH(Z$1,[3]characters!$2:$2,0)-MATCH("character_id",[3]characters!$2:$2,0)+1,FALSE),"")</f>
        <v>ゴールドピヨピヨ</v>
      </c>
      <c r="AA235" s="5">
        <f ca="1">IFERROR(VLOOKUP($Y235,OFFSET([3]characters!$A$1,0,0,COUNTA([3]characters!$A:$A),MATCH(AA$1,[3]characters!$2:$2,0)-MATCH("character_id",[3]characters!$2:$2,0)+1),MATCH(AA$1,[3]characters!$2:$2,0)-MATCH("character_id",[3]characters!$2:$2,0)+1,FALSE),"")</f>
        <v>3</v>
      </c>
      <c r="AB235" s="5" t="str">
        <f ca="1">IFERROR(VLOOKUP($Y235,OFFSET([3]characters!$A$1,0,0,COUNTA([3]characters!$A:$A),MATCH(AB$1,[3]characters!$2:$2,0)-MATCH("character_id",[3]characters!$2:$2,0)+1),MATCH(AB$1,[3]characters!$2:$2,0)-MATCH("character_id",[3]characters!$2:$2,0)+1,FALSE),"")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35" s="8">
        <v>1</v>
      </c>
      <c r="AD235" s="34">
        <f t="shared" ref="AD235:AD238" ca="1" si="176">AA235</f>
        <v>3</v>
      </c>
      <c r="AE235" s="9">
        <v>50</v>
      </c>
      <c r="AF235" s="8">
        <v>0</v>
      </c>
      <c r="AG235" s="8">
        <v>0</v>
      </c>
      <c r="AH235" s="8">
        <v>0</v>
      </c>
      <c r="AI235" s="8">
        <v>0</v>
      </c>
      <c r="AJ235" s="8">
        <v>1</v>
      </c>
    </row>
    <row r="236" spans="1:36" ht="21" customHeight="1">
      <c r="A236" s="21" t="str">
        <f t="shared" ca="1" si="173"/>
        <v>11106_1-2/1&lt;lv5&gt;s1</v>
      </c>
      <c r="B236" s="8">
        <v>11106</v>
      </c>
      <c r="C236" s="32">
        <v>1</v>
      </c>
      <c r="D236" s="2" t="str">
        <f t="shared" si="174"/>
        <v>11106_1</v>
      </c>
      <c r="E236" s="5" t="str">
        <f ca="1">VLOOKUP($B236,OFFSET([1]quests!$A$1,0,0,COUNTA([1]quests!$A:$A),MATCH(E$1,[1]quests!$1:$1,0)-MATCH($B$1,[1]quests!$1:$1,0)+1),MATCH(E$1,[1]quests!$1:$1,0)-MATCH($B$1,[1]quests!$1:$1,0)+1,FALSE)</f>
        <v>【キャンペーン限定】 ゴールドカジノ</v>
      </c>
      <c r="F236" s="5" t="str">
        <f ca="1">VLOOKUP($D236,OFFSET([1]stages!$A$1,0,0,COUNTA([1]stages!$A:$A),MATCH(F$1,[1]stages!$2:$2,0)-MATCH($D$1,[1]stages!$2:$2,0)+1),MATCH(F$1,[1]stages!$2:$2,0)-MATCH($D$1,[1]stages!$2:$2,0)+1,FALSE)</f>
        <v>ゴールドカジノ 【初級】</v>
      </c>
      <c r="G236" s="32">
        <v>2</v>
      </c>
      <c r="H236" s="20" t="str">
        <f t="shared" si="175"/>
        <v>11106_1-2</v>
      </c>
      <c r="I236" s="31">
        <v>1</v>
      </c>
      <c r="J236" s="26" t="str">
        <f ca="1">VLOOKUP($I236,OFFSET([2]enemies!$A$1,0,0,COUNTA([2]enemies!$A:$A),MATCH(J$1,[2]enemies!$2:$2,0)-MATCH($I$1,[2]enemies!$2:$2,0)+1),MATCH(J$1,[2]enemies!$2:$2,0)-MATCH($I$1,[2]enemies!$2:$2,0)+1,FALSE)</f>
        <v>ジェリー</v>
      </c>
      <c r="K236" s="29" t="str">
        <f ca="1">VLOOKUP($I236,OFFSET([2]enemies!$A$1,0,0,COUNTA([2]enemies!$A:$A),MATCH(K$1,[2]enemies!$2:$2,0)-MATCH($I$1,[2]enemies!$2:$2,0)+1),MATCH(K$1,[2]enemies!$2:$2,0)-MATCH($I$1,[2]enemies!$2:$2,0)+1,FALSE)</f>
        <v>red</v>
      </c>
      <c r="L236" s="29" t="str">
        <f ca="1">VLOOKUP($I236,OFFSET([3]characters!$A$1,0,0,COUNTA([3]characters!$A:$A),MATCH(L$1,[3]characters!$2:$2,0)-MATCH($I$1,[3]characters!$2:$2,0)+1),MATCH(L$1,[3]characters!$2:$2,0)-MATCH($I$1,[3]characters!$2:$2,0)+1,FALSE)</f>
        <v>Drop1T</v>
      </c>
      <c r="M236" s="28" t="str">
        <f ca="1">VLOOKUP($I236,OFFSET([3]characters!$A$1,0,0,COUNTA([3]characters!$A:$A),MATCH(M$1,[3]characters!$2:$2,0)-MATCH($I$1,[3]characters!$2:$2,0)+2),MATCH(M$1,[3]characters!$2:$2,0)-MATCH($I$1,[3]characters!$2:$2,0)+2,FALSE)</f>
        <v>Unknown</v>
      </c>
      <c r="N236" s="5">
        <f ca="1">VLOOKUP($I236,OFFSET([2]enemies!$A$1,0,0,COUNTA([2]enemies!$A:$A),MATCH(N$1,[2]enemies!$2:$2,0)-MATCH($I$1,[2]enemies!$2:$2,0)+1),MATCH(N$1,[2]enemies!$2:$2,0)-MATCH($I$1,[2]enemies!$2:$2,0)+1,FALSE)</f>
        <v>15</v>
      </c>
      <c r="O236" s="6">
        <v>5</v>
      </c>
      <c r="P236" s="46">
        <v>1</v>
      </c>
      <c r="Q236" s="46">
        <v>1</v>
      </c>
      <c r="R236" s="6">
        <v>0</v>
      </c>
      <c r="S236" s="5" t="str">
        <f ca="1">VLOOKUP($T236,OFFSET([4]enemy_skill_sets!$B$1,0,0,COUNTA([4]enemy_skill_sets!$B:$B),MATCH(J$1,[4]enemy_skill_sets!$1:$1,0)-MATCH($T$1,[4]enemy_skill_sets!$1:$1,0)+2),MATCH(J$1,[4]enemy_skill_sets!$1:$1,0)-MATCH($T$1,[4]enemy_skill_sets!$1:$1,0)+2,FALSE)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6" s="5">
        <f ca="1">VLOOKUP($I236,OFFSET([2]enemies!$A$1,0,0,COUNTA([2]enemies!$A:$A),MATCH(T$1,[2]enemies!$2:$2,0)-MATCH($I$1,[2]enemies!$2:$2,0)+1),MATCH(T$1,[2]enemies!$2:$2,0)-MATCH($I$1,[2]enemies!$2:$2,0)+1,FALSE)</f>
        <v>0</v>
      </c>
      <c r="U236" s="7">
        <v>0</v>
      </c>
      <c r="V236" s="7">
        <v>100</v>
      </c>
      <c r="W236" s="7">
        <v>0</v>
      </c>
      <c r="X236" s="26">
        <f ca="1">VLOOKUP($I236,OFFSET([2]enemies!$A$1,0,0,COUNTA([2]enemies!$A:$A),MATCH(X$1,[2]enemies!$2:$2,0)-MATCH($I$1,[2]enemies!$2:$2,0)+1),MATCH(X$1,[2]enemies!$2:$2,0)-MATCH($I$1,[2]enemies!$2:$2,0)+1,FALSE)</f>
        <v>1</v>
      </c>
      <c r="Y236" s="31">
        <v>1</v>
      </c>
      <c r="Z236" s="5" t="str">
        <f ca="1">IFERROR(VLOOKUP($Y236,OFFSET([3]characters!$A$1,0,0,COUNTA([3]characters!$A:$A),MATCH(Z$1,[3]characters!$2:$2,0)-MATCH("character_id",[3]characters!$2:$2,0)+1),MATCH(Z$1,[3]characters!$2:$2,0)-MATCH("character_id",[3]characters!$2:$2,0)+1,FALSE),"")</f>
        <v>ジェリー</v>
      </c>
      <c r="AA236" s="5">
        <f ca="1">IFERROR(VLOOKUP($Y236,OFFSET([3]characters!$A$1,0,0,COUNTA([3]characters!$A:$A),MATCH(AA$1,[3]characters!$2:$2,0)-MATCH("character_id",[3]characters!$2:$2,0)+1),MATCH(AA$1,[3]characters!$2:$2,0)-MATCH("character_id",[3]characters!$2:$2,0)+1,FALSE),"")</f>
        <v>1</v>
      </c>
      <c r="AB236" s="5" t="str">
        <f ca="1">IFERROR(VLOOKUP($Y236,OFFSET([3]characters!$A$1,0,0,COUNTA([3]characters!$A:$A),MATCH(AB$1,[3]characters!$2:$2,0)-MATCH("character_id",[3]characters!$2:$2,0)+1),MATCH(AB$1,[3]characters!$2:$2,0)-MATCH("character_id",[3]characters!$2:$2,0)+1,FALSE),"")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236" s="8">
        <v>1</v>
      </c>
      <c r="AD236" s="34">
        <f t="shared" ca="1" si="176"/>
        <v>1</v>
      </c>
      <c r="AE236" s="9">
        <v>0</v>
      </c>
      <c r="AF236" s="8">
        <v>0</v>
      </c>
      <c r="AG236" s="8">
        <v>0</v>
      </c>
      <c r="AH236" s="8">
        <v>0</v>
      </c>
      <c r="AI236" s="8">
        <v>0</v>
      </c>
      <c r="AJ236" s="8">
        <v>1</v>
      </c>
    </row>
    <row r="237" spans="1:36" ht="21" customHeight="1">
      <c r="A237" s="21" t="str">
        <f t="shared" ref="A237" ca="1" si="177">B237&amp;"_"&amp;C237&amp;"-"&amp;G237&amp;"/"&amp;I237&amp;"&lt;lv"&amp;O237&amp;"&gt;s"&amp;X237</f>
        <v>11106_1-2/3&lt;lv5&gt;s2</v>
      </c>
      <c r="B237" s="8">
        <v>11106</v>
      </c>
      <c r="C237" s="32">
        <v>1</v>
      </c>
      <c r="D237" s="2" t="str">
        <f t="shared" ref="D237" si="178">B237&amp;"_"&amp;C237</f>
        <v>11106_1</v>
      </c>
      <c r="E237" s="5" t="str">
        <f ca="1">VLOOKUP($B237,OFFSET([1]quests!$A$1,0,0,COUNTA([1]quests!$A:$A),MATCH(E$1,[1]quests!$1:$1,0)-MATCH($B$1,[1]quests!$1:$1,0)+1),MATCH(E$1,[1]quests!$1:$1,0)-MATCH($B$1,[1]quests!$1:$1,0)+1,FALSE)</f>
        <v>【キャンペーン限定】 ゴールドカジノ</v>
      </c>
      <c r="F237" s="5" t="str">
        <f ca="1">VLOOKUP($D237,OFFSET([1]stages!$A$1,0,0,COUNTA([1]stages!$A:$A),MATCH(F$1,[1]stages!$2:$2,0)-MATCH($D$1,[1]stages!$2:$2,0)+1),MATCH(F$1,[1]stages!$2:$2,0)-MATCH($D$1,[1]stages!$2:$2,0)+1,FALSE)</f>
        <v>ゴールドカジノ 【初級】</v>
      </c>
      <c r="G237" s="32">
        <v>2</v>
      </c>
      <c r="H237" s="20" t="str">
        <f t="shared" ref="H237" si="179">B237&amp;"_"&amp;C237&amp;"-"&amp;G237</f>
        <v>11106_1-2</v>
      </c>
      <c r="I237" s="31">
        <v>3</v>
      </c>
      <c r="J237" s="26" t="str">
        <f ca="1">VLOOKUP($I237,OFFSET([2]enemies!$A$1,0,0,COUNTA([2]enemies!$A:$A),MATCH(J$1,[2]enemies!$2:$2,0)-MATCH($I$1,[2]enemies!$2:$2,0)+1),MATCH(J$1,[2]enemies!$2:$2,0)-MATCH($I$1,[2]enemies!$2:$2,0)+1,FALSE)</f>
        <v>エージェント ジョー</v>
      </c>
      <c r="K237" s="29" t="str">
        <f ca="1">VLOOKUP($I237,OFFSET([2]enemies!$A$1,0,0,COUNTA([2]enemies!$A:$A),MATCH(K$1,[2]enemies!$2:$2,0)-MATCH($I$1,[2]enemies!$2:$2,0)+1),MATCH(K$1,[2]enemies!$2:$2,0)-MATCH($I$1,[2]enemies!$2:$2,0)+1,FALSE)</f>
        <v>green</v>
      </c>
      <c r="L237" s="29" t="str">
        <f ca="1">VLOOKUP($I237,OFFSET([3]characters!$A$1,0,0,COUNTA([3]characters!$A:$A),MATCH(L$1,[3]characters!$2:$2,0)-MATCH($I$1,[3]characters!$2:$2,0)+1),MATCH(L$1,[3]characters!$2:$2,0)-MATCH($I$1,[3]characters!$2:$2,0)+1,FALSE)</f>
        <v>Drop1T</v>
      </c>
      <c r="M237" s="28" t="str">
        <f ca="1">VLOOKUP($I237,OFFSET([3]characters!$A$1,0,0,COUNTA([3]characters!$A:$A),MATCH(M$1,[3]characters!$2:$2,0)-MATCH($I$1,[3]characters!$2:$2,0)+2),MATCH(M$1,[3]characters!$2:$2,0)-MATCH($I$1,[3]characters!$2:$2,0)+2,FALSE)</f>
        <v>Unknown</v>
      </c>
      <c r="N237" s="5">
        <f ca="1">VLOOKUP($I237,OFFSET([2]enemies!$A$1,0,0,COUNTA([2]enemies!$A:$A),MATCH(N$1,[2]enemies!$2:$2,0)-MATCH($I$1,[2]enemies!$2:$2,0)+1),MATCH(N$1,[2]enemies!$2:$2,0)-MATCH($I$1,[2]enemies!$2:$2,0)+1,FALSE)</f>
        <v>15</v>
      </c>
      <c r="O237" s="6">
        <v>5</v>
      </c>
      <c r="P237" s="46">
        <v>1</v>
      </c>
      <c r="Q237" s="46">
        <v>1</v>
      </c>
      <c r="R237" s="6">
        <v>0</v>
      </c>
      <c r="S237" s="5" t="str">
        <f ca="1">VLOOKUP($T237,OFFSET([4]enemy_skill_sets!$B$1,0,0,COUNTA([4]enemy_skill_sets!$B:$B),MATCH(J$1,[4]enemy_skill_sets!$1:$1,0)-MATCH($T$1,[4]enemy_skill_sets!$1:$1,0)+2),MATCH(J$1,[4]enemy_skill_sets!$1:$1,0)-MATCH($T$1,[4]enemy_skill_sets!$1:$1,0)+2,FALSE)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7" s="5">
        <f ca="1">VLOOKUP($I237,OFFSET([2]enemies!$A$1,0,0,COUNTA([2]enemies!$A:$A),MATCH(T$1,[2]enemies!$2:$2,0)-MATCH($I$1,[2]enemies!$2:$2,0)+1),MATCH(T$1,[2]enemies!$2:$2,0)-MATCH($I$1,[2]enemies!$2:$2,0)+1,FALSE)</f>
        <v>0</v>
      </c>
      <c r="U237" s="7">
        <v>0</v>
      </c>
      <c r="V237" s="7">
        <v>100</v>
      </c>
      <c r="W237" s="7">
        <v>0</v>
      </c>
      <c r="X237" s="26">
        <f ca="1">VLOOKUP($I237,OFFSET([2]enemies!$A$1,0,0,COUNTA([2]enemies!$A:$A),MATCH(X$1,[2]enemies!$2:$2,0)-MATCH($I$1,[2]enemies!$2:$2,0)+1),MATCH(X$1,[2]enemies!$2:$2,0)-MATCH($I$1,[2]enemies!$2:$2,0)+1,FALSE)</f>
        <v>2</v>
      </c>
      <c r="Y237" s="31">
        <v>3</v>
      </c>
      <c r="Z237" s="5" t="str">
        <f ca="1">IFERROR(VLOOKUP($Y237,OFFSET([3]characters!$A$1,0,0,COUNTA([3]characters!$A:$A),MATCH(Z$1,[3]characters!$2:$2,0)-MATCH("character_id",[3]characters!$2:$2,0)+1),MATCH(Z$1,[3]characters!$2:$2,0)-MATCH("character_id",[3]characters!$2:$2,0)+1,FALSE),"")</f>
        <v>エージェント ジョー</v>
      </c>
      <c r="AA237" s="5">
        <f ca="1">IFERROR(VLOOKUP($Y237,OFFSET([3]characters!$A$1,0,0,COUNTA([3]characters!$A:$A),MATCH(AA$1,[3]characters!$2:$2,0)-MATCH("character_id",[3]characters!$2:$2,0)+1),MATCH(AA$1,[3]characters!$2:$2,0)-MATCH("character_id",[3]characters!$2:$2,0)+1,FALSE),"")</f>
        <v>1</v>
      </c>
      <c r="AB237" s="5" t="str">
        <f ca="1">IFERROR(VLOOKUP($Y237,OFFSET([3]characters!$A$1,0,0,COUNTA([3]characters!$A:$A),MATCH(AB$1,[3]characters!$2:$2,0)-MATCH("character_id",[3]characters!$2:$2,0)+1),MATCH(AB$1,[3]characters!$2:$2,0)-MATCH("character_id",[3]characters!$2:$2,0)+1,FALSE),"")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237" s="8">
        <v>1</v>
      </c>
      <c r="AD237" s="34">
        <f t="shared" ref="AD237" ca="1" si="180">AA237</f>
        <v>1</v>
      </c>
      <c r="AE237" s="9">
        <v>0</v>
      </c>
      <c r="AF237" s="8">
        <v>0</v>
      </c>
      <c r="AG237" s="8">
        <v>0</v>
      </c>
      <c r="AH237" s="8">
        <v>0</v>
      </c>
      <c r="AI237" s="8">
        <v>0</v>
      </c>
      <c r="AJ237" s="8">
        <v>1</v>
      </c>
    </row>
    <row r="238" spans="1:36" ht="21" customHeight="1">
      <c r="A238" s="21" t="str">
        <f t="shared" ca="1" si="173"/>
        <v>11106_1-2/5&lt;lv5&gt;s3</v>
      </c>
      <c r="B238" s="8">
        <v>11106</v>
      </c>
      <c r="C238" s="32">
        <v>1</v>
      </c>
      <c r="D238" s="2" t="str">
        <f t="shared" si="174"/>
        <v>11106_1</v>
      </c>
      <c r="E238" s="5" t="str">
        <f ca="1">VLOOKUP($B238,OFFSET([1]quests!$A$1,0,0,COUNTA([1]quests!$A:$A),MATCH(E$1,[1]quests!$1:$1,0)-MATCH($B$1,[1]quests!$1:$1,0)+1),MATCH(E$1,[1]quests!$1:$1,0)-MATCH($B$1,[1]quests!$1:$1,0)+1,FALSE)</f>
        <v>【キャンペーン限定】 ゴールドカジノ</v>
      </c>
      <c r="F238" s="5" t="str">
        <f ca="1">VLOOKUP($D238,OFFSET([1]stages!$A$1,0,0,COUNTA([1]stages!$A:$A),MATCH(F$1,[1]stages!$2:$2,0)-MATCH($D$1,[1]stages!$2:$2,0)+1),MATCH(F$1,[1]stages!$2:$2,0)-MATCH($D$1,[1]stages!$2:$2,0)+1,FALSE)</f>
        <v>ゴールドカジノ 【初級】</v>
      </c>
      <c r="G238" s="32">
        <v>2</v>
      </c>
      <c r="H238" s="20" t="str">
        <f t="shared" si="175"/>
        <v>11106_1-2</v>
      </c>
      <c r="I238" s="31">
        <v>5</v>
      </c>
      <c r="J238" s="26" t="str">
        <f ca="1">VLOOKUP($I238,OFFSET([2]enemies!$A$1,0,0,COUNTA([2]enemies!$A:$A),MATCH(J$1,[2]enemies!$2:$2,0)-MATCH($I$1,[2]enemies!$2:$2,0)+1),MATCH(J$1,[2]enemies!$2:$2,0)-MATCH($I$1,[2]enemies!$2:$2,0)+1,FALSE)</f>
        <v>パトドッグ ポチ</v>
      </c>
      <c r="K238" s="29" t="str">
        <f ca="1">VLOOKUP($I238,OFFSET([2]enemies!$A$1,0,0,COUNTA([2]enemies!$A:$A),MATCH(K$1,[2]enemies!$2:$2,0)-MATCH($I$1,[2]enemies!$2:$2,0)+1),MATCH(K$1,[2]enemies!$2:$2,0)-MATCH($I$1,[2]enemies!$2:$2,0)+1,FALSE)</f>
        <v>blue</v>
      </c>
      <c r="L238" s="29" t="str">
        <f ca="1">VLOOKUP($I238,OFFSET([3]characters!$A$1,0,0,COUNTA([3]characters!$A:$A),MATCH(L$1,[3]characters!$2:$2,0)-MATCH($I$1,[3]characters!$2:$2,0)+1),MATCH(L$1,[3]characters!$2:$2,0)-MATCH($I$1,[3]characters!$2:$2,0)+1,FALSE)</f>
        <v>Drop1T</v>
      </c>
      <c r="M238" s="28" t="str">
        <f ca="1">VLOOKUP($I238,OFFSET([3]characters!$A$1,0,0,COUNTA([3]characters!$A:$A),MATCH(M$1,[3]characters!$2:$2,0)-MATCH($I$1,[3]characters!$2:$2,0)+2),MATCH(M$1,[3]characters!$2:$2,0)-MATCH($I$1,[3]characters!$2:$2,0)+2,FALSE)</f>
        <v>Unknown</v>
      </c>
      <c r="N238" s="5">
        <f ca="1">VLOOKUP($I238,OFFSET([2]enemies!$A$1,0,0,COUNTA([2]enemies!$A:$A),MATCH(N$1,[2]enemies!$2:$2,0)-MATCH($I$1,[2]enemies!$2:$2,0)+1),MATCH(N$1,[2]enemies!$2:$2,0)-MATCH($I$1,[2]enemies!$2:$2,0)+1,FALSE)</f>
        <v>15</v>
      </c>
      <c r="O238" s="6">
        <v>5</v>
      </c>
      <c r="P238" s="46">
        <v>1</v>
      </c>
      <c r="Q238" s="46">
        <v>1</v>
      </c>
      <c r="R238" s="6">
        <v>0</v>
      </c>
      <c r="S238" s="5" t="str">
        <f ca="1">VLOOKUP($T238,OFFSET([4]enemy_skill_sets!$B$1,0,0,COUNTA([4]enemy_skill_sets!$B:$B),MATCH(J$1,[4]enemy_skill_sets!$1:$1,0)-MATCH($T$1,[4]enemy_skill_sets!$1:$1,0)+2),MATCH(J$1,[4]enemy_skill_sets!$1:$1,0)-MATCH($T$1,[4]enemy_skill_sets!$1:$1,0)+2,FALSE)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8" s="5">
        <f ca="1">VLOOKUP($I238,OFFSET([2]enemies!$A$1,0,0,COUNTA([2]enemies!$A:$A),MATCH(T$1,[2]enemies!$2:$2,0)-MATCH($I$1,[2]enemies!$2:$2,0)+1),MATCH(T$1,[2]enemies!$2:$2,0)-MATCH($I$1,[2]enemies!$2:$2,0)+1,FALSE)</f>
        <v>0</v>
      </c>
      <c r="U238" s="7">
        <v>0</v>
      </c>
      <c r="V238" s="7">
        <v>100</v>
      </c>
      <c r="W238" s="7">
        <v>0</v>
      </c>
      <c r="X238" s="26">
        <f ca="1">VLOOKUP($I238,OFFSET([2]enemies!$A$1,0,0,COUNTA([2]enemies!$A:$A),MATCH(X$1,[2]enemies!$2:$2,0)-MATCH($I$1,[2]enemies!$2:$2,0)+1),MATCH(X$1,[2]enemies!$2:$2,0)-MATCH($I$1,[2]enemies!$2:$2,0)+1,FALSE)</f>
        <v>3</v>
      </c>
      <c r="Y238" s="31">
        <v>5</v>
      </c>
      <c r="Z238" s="5" t="str">
        <f ca="1">IFERROR(VLOOKUP($Y238,OFFSET([3]characters!$A$1,0,0,COUNTA([3]characters!$A:$A),MATCH(Z$1,[3]characters!$2:$2,0)-MATCH("character_id",[3]characters!$2:$2,0)+1),MATCH(Z$1,[3]characters!$2:$2,0)-MATCH("character_id",[3]characters!$2:$2,0)+1,FALSE),"")</f>
        <v>パトドッグ ポチ</v>
      </c>
      <c r="AA238" s="5">
        <f ca="1">IFERROR(VLOOKUP($Y238,OFFSET([3]characters!$A$1,0,0,COUNTA([3]characters!$A:$A),MATCH(AA$1,[3]characters!$2:$2,0)-MATCH("character_id",[3]characters!$2:$2,0)+1),MATCH(AA$1,[3]characters!$2:$2,0)-MATCH("character_id",[3]characters!$2:$2,0)+1,FALSE),"")</f>
        <v>1</v>
      </c>
      <c r="AB238" s="5" t="str">
        <f ca="1">IFERROR(VLOOKUP($Y238,OFFSET([3]characters!$A$1,0,0,COUNTA([3]characters!$A:$A),MATCH(AB$1,[3]characters!$2:$2,0)-MATCH("character_id",[3]characters!$2:$2,0)+1),MATCH(AB$1,[3]characters!$2:$2,0)-MATCH("character_id",[3]characters!$2:$2,0)+1,FALSE),"")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238" s="8">
        <v>1</v>
      </c>
      <c r="AD238" s="34">
        <f t="shared" ca="1" si="176"/>
        <v>1</v>
      </c>
      <c r="AE238" s="9">
        <v>0</v>
      </c>
      <c r="AF238" s="8">
        <v>0</v>
      </c>
      <c r="AG238" s="8">
        <v>0</v>
      </c>
      <c r="AH238" s="8">
        <v>0</v>
      </c>
      <c r="AI238" s="8">
        <v>0</v>
      </c>
      <c r="AJ238" s="8">
        <v>1</v>
      </c>
    </row>
    <row r="239" spans="1:36" ht="21" customHeight="1">
      <c r="A239" s="21" t="str">
        <f t="shared" ref="A239" ca="1" si="181">B239&amp;"_"&amp;C239&amp;"-"&amp;G239&amp;"/"&amp;I239&amp;"&lt;lv"&amp;O239&amp;"&gt;s"&amp;X239</f>
        <v>11106_1-2/7&lt;lv5&gt;s2</v>
      </c>
      <c r="B239" s="8">
        <v>11106</v>
      </c>
      <c r="C239" s="32">
        <v>1</v>
      </c>
      <c r="D239" s="2" t="str">
        <f t="shared" ref="D239" si="182">B239&amp;"_"&amp;C239</f>
        <v>11106_1</v>
      </c>
      <c r="E239" s="5" t="str">
        <f ca="1">VLOOKUP($B239,OFFSET([1]quests!$A$1,0,0,COUNTA([1]quests!$A:$A),MATCH(E$1,[1]quests!$1:$1,0)-MATCH($B$1,[1]quests!$1:$1,0)+1),MATCH(E$1,[1]quests!$1:$1,0)-MATCH($B$1,[1]quests!$1:$1,0)+1,FALSE)</f>
        <v>【キャンペーン限定】 ゴールドカジノ</v>
      </c>
      <c r="F239" s="5" t="str">
        <f ca="1">VLOOKUP($D239,OFFSET([1]stages!$A$1,0,0,COUNTA([1]stages!$A:$A),MATCH(F$1,[1]stages!$2:$2,0)-MATCH($D$1,[1]stages!$2:$2,0)+1),MATCH(F$1,[1]stages!$2:$2,0)-MATCH($D$1,[1]stages!$2:$2,0)+1,FALSE)</f>
        <v>ゴールドカジノ 【初級】</v>
      </c>
      <c r="G239" s="32">
        <v>2</v>
      </c>
      <c r="H239" s="20" t="str">
        <f t="shared" ref="H239" si="183">B239&amp;"_"&amp;C239&amp;"-"&amp;G239</f>
        <v>11106_1-2</v>
      </c>
      <c r="I239" s="31">
        <v>7</v>
      </c>
      <c r="J239" s="26" t="str">
        <f ca="1">VLOOKUP($I239,OFFSET([2]enemies!$A$1,0,0,COUNTA([2]enemies!$A:$A),MATCH(J$1,[2]enemies!$2:$2,0)-MATCH($I$1,[2]enemies!$2:$2,0)+1),MATCH(J$1,[2]enemies!$2:$2,0)-MATCH($I$1,[2]enemies!$2:$2,0)+1,FALSE)</f>
        <v>エレキポット</v>
      </c>
      <c r="K239" s="29" t="str">
        <f ca="1">VLOOKUP($I239,OFFSET([2]enemies!$A$1,0,0,COUNTA([2]enemies!$A:$A),MATCH(K$1,[2]enemies!$2:$2,0)-MATCH($I$1,[2]enemies!$2:$2,0)+1),MATCH(K$1,[2]enemies!$2:$2,0)-MATCH($I$1,[2]enemies!$2:$2,0)+1,FALSE)</f>
        <v>yellow</v>
      </c>
      <c r="L239" s="29" t="str">
        <f ca="1">VLOOKUP($I239,OFFSET([3]characters!$A$1,0,0,COUNTA([3]characters!$A:$A),MATCH(L$1,[3]characters!$2:$2,0)-MATCH($I$1,[3]characters!$2:$2,0)+1),MATCH(L$1,[3]characters!$2:$2,0)-MATCH($I$1,[3]characters!$2:$2,0)+1,FALSE)</f>
        <v>Drop1T</v>
      </c>
      <c r="M239" s="28" t="str">
        <f ca="1">VLOOKUP($I239,OFFSET([3]characters!$A$1,0,0,COUNTA([3]characters!$A:$A),MATCH(M$1,[3]characters!$2:$2,0)-MATCH($I$1,[3]characters!$2:$2,0)+2),MATCH(M$1,[3]characters!$2:$2,0)-MATCH($I$1,[3]characters!$2:$2,0)+2,FALSE)</f>
        <v>Unknown</v>
      </c>
      <c r="N239" s="5">
        <f ca="1">VLOOKUP($I239,OFFSET([2]enemies!$A$1,0,0,COUNTA([2]enemies!$A:$A),MATCH(N$1,[2]enemies!$2:$2,0)-MATCH($I$1,[2]enemies!$2:$2,0)+1),MATCH(N$1,[2]enemies!$2:$2,0)-MATCH($I$1,[2]enemies!$2:$2,0)+1,FALSE)</f>
        <v>15</v>
      </c>
      <c r="O239" s="6">
        <v>5</v>
      </c>
      <c r="P239" s="46">
        <v>1</v>
      </c>
      <c r="Q239" s="46">
        <v>1</v>
      </c>
      <c r="R239" s="6">
        <v>0</v>
      </c>
      <c r="S239" s="5" t="str">
        <f ca="1">VLOOKUP($T239,OFFSET([4]enemy_skill_sets!$B$1,0,0,COUNTA([4]enemy_skill_sets!$B:$B),MATCH(J$1,[4]enemy_skill_sets!$1:$1,0)-MATCH($T$1,[4]enemy_skill_sets!$1:$1,0)+2),MATCH(J$1,[4]enemy_skill_sets!$1:$1,0)-MATCH($T$1,[4]enemy_skill_sets!$1:$1,0)+2,FALSE)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9" s="5">
        <f ca="1">VLOOKUP($I239,OFFSET([2]enemies!$A$1,0,0,COUNTA([2]enemies!$A:$A),MATCH(T$1,[2]enemies!$2:$2,0)-MATCH($I$1,[2]enemies!$2:$2,0)+1),MATCH(T$1,[2]enemies!$2:$2,0)-MATCH($I$1,[2]enemies!$2:$2,0)+1,FALSE)</f>
        <v>0</v>
      </c>
      <c r="U239" s="7">
        <v>0</v>
      </c>
      <c r="V239" s="7">
        <v>100</v>
      </c>
      <c r="W239" s="7">
        <v>0</v>
      </c>
      <c r="X239" s="26">
        <f ca="1">VLOOKUP($I239,OFFSET([2]enemies!$A$1,0,0,COUNTA([2]enemies!$A:$A),MATCH(X$1,[2]enemies!$2:$2,0)-MATCH($I$1,[2]enemies!$2:$2,0)+1),MATCH(X$1,[2]enemies!$2:$2,0)-MATCH($I$1,[2]enemies!$2:$2,0)+1,FALSE)</f>
        <v>2</v>
      </c>
      <c r="Y239" s="31">
        <v>7</v>
      </c>
      <c r="Z239" s="5" t="str">
        <f ca="1">IFERROR(VLOOKUP($Y239,OFFSET([3]characters!$A$1,0,0,COUNTA([3]characters!$A:$A),MATCH(Z$1,[3]characters!$2:$2,0)-MATCH("character_id",[3]characters!$2:$2,0)+1),MATCH(Z$1,[3]characters!$2:$2,0)-MATCH("character_id",[3]characters!$2:$2,0)+1,FALSE),"")</f>
        <v>エレキポット</v>
      </c>
      <c r="AA239" s="5">
        <f ca="1">IFERROR(VLOOKUP($Y239,OFFSET([3]characters!$A$1,0,0,COUNTA([3]characters!$A:$A),MATCH(AA$1,[3]characters!$2:$2,0)-MATCH("character_id",[3]characters!$2:$2,0)+1),MATCH(AA$1,[3]characters!$2:$2,0)-MATCH("character_id",[3]characters!$2:$2,0)+1,FALSE),"")</f>
        <v>1</v>
      </c>
      <c r="AB239" s="5" t="str">
        <f ca="1">IFERROR(VLOOKUP($Y239,OFFSET([3]characters!$A$1,0,0,COUNTA([3]characters!$A:$A),MATCH(AB$1,[3]characters!$2:$2,0)-MATCH("character_id",[3]characters!$2:$2,0)+1),MATCH(AB$1,[3]characters!$2:$2,0)-MATCH("character_id",[3]characters!$2:$2,0)+1,FALSE),"")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239" s="8">
        <v>1</v>
      </c>
      <c r="AD239" s="34">
        <f t="shared" ref="AD239" ca="1" si="184">AA239</f>
        <v>1</v>
      </c>
      <c r="AE239" s="9">
        <v>0</v>
      </c>
      <c r="AF239" s="8">
        <v>0</v>
      </c>
      <c r="AG239" s="8">
        <v>0</v>
      </c>
      <c r="AH239" s="8">
        <v>0</v>
      </c>
      <c r="AI239" s="8">
        <v>0</v>
      </c>
      <c r="AJ239" s="8">
        <v>1</v>
      </c>
    </row>
    <row r="240" spans="1:36" ht="21" customHeight="1">
      <c r="A240" s="21" t="str">
        <f t="shared" ca="1" si="165"/>
        <v>11106_1-3/117&lt;lv2&gt;s1</v>
      </c>
      <c r="B240" s="8">
        <v>11106</v>
      </c>
      <c r="C240" s="32">
        <v>1</v>
      </c>
      <c r="D240" s="2" t="str">
        <f t="shared" si="166"/>
        <v>11106_1</v>
      </c>
      <c r="E240" s="5" t="str">
        <f ca="1">VLOOKUP($B240,OFFSET([1]quests!$A$1,0,0,COUNTA([1]quests!$A:$A),MATCH(E$1,[1]quests!$1:$1,0)-MATCH($B$1,[1]quests!$1:$1,0)+1),MATCH(E$1,[1]quests!$1:$1,0)-MATCH($B$1,[1]quests!$1:$1,0)+1,FALSE)</f>
        <v>【キャンペーン限定】 ゴールドカジノ</v>
      </c>
      <c r="F240" s="5" t="str">
        <f ca="1">VLOOKUP($D240,OFFSET([1]stages!$A$1,0,0,COUNTA([1]stages!$A:$A),MATCH(F$1,[1]stages!$2:$2,0)-MATCH($D$1,[1]stages!$2:$2,0)+1),MATCH(F$1,[1]stages!$2:$2,0)-MATCH($D$1,[1]stages!$2:$2,0)+1,FALSE)</f>
        <v>ゴールドカジノ 【初級】</v>
      </c>
      <c r="G240" s="32">
        <v>3</v>
      </c>
      <c r="H240" s="20" t="str">
        <f t="shared" si="167"/>
        <v>11106_1-3</v>
      </c>
      <c r="I240" s="31">
        <v>117</v>
      </c>
      <c r="J240" s="26" t="str">
        <f ca="1">VLOOKUP($I240,OFFSET([2]enemies!$A$1,0,0,COUNTA([2]enemies!$A:$A),MATCH(J$1,[2]enemies!$2:$2,0)-MATCH($I$1,[2]enemies!$2:$2,0)+1),MATCH(J$1,[2]enemies!$2:$2,0)-MATCH($I$1,[2]enemies!$2:$2,0)+1,FALSE)</f>
        <v>ゴールドピヨピヨ</v>
      </c>
      <c r="K240" s="29" t="str">
        <f ca="1">VLOOKUP($I240,OFFSET([2]enemies!$A$1,0,0,COUNTA([2]enemies!$A:$A),MATCH(K$1,[2]enemies!$2:$2,0)-MATCH($I$1,[2]enemies!$2:$2,0)+1),MATCH(K$1,[2]enemies!$2:$2,0)-MATCH($I$1,[2]enemies!$2:$2,0)+1,FALSE)</f>
        <v>yellow</v>
      </c>
      <c r="L240" s="29" t="str">
        <f ca="1">VLOOKUP($I240,OFFSET([3]characters!$A$1,0,0,COUNTA([3]characters!$A:$A),MATCH(L$1,[3]characters!$2:$2,0)-MATCH($I$1,[3]characters!$2:$2,0)+1),MATCH(L$1,[3]characters!$2:$2,0)-MATCH($I$1,[3]characters!$2:$2,0)+1,FALSE)</f>
        <v>Material</v>
      </c>
      <c r="M240" s="28" t="str">
        <f ca="1">VLOOKUP($I240,OFFSET([3]characters!$A$1,0,0,COUNTA([3]characters!$A:$A),MATCH(M$1,[3]characters!$2:$2,0)-MATCH($I$1,[3]characters!$2:$2,0)+2),MATCH(M$1,[3]characters!$2:$2,0)-MATCH($I$1,[3]characters!$2:$2,0)+2,FALSE)</f>
        <v>Unknown</v>
      </c>
      <c r="N240" s="5">
        <f ca="1">VLOOKUP($I240,OFFSET([2]enemies!$A$1,0,0,COUNTA([2]enemies!$A:$A),MATCH(N$1,[2]enemies!$2:$2,0)-MATCH($I$1,[2]enemies!$2:$2,0)+1),MATCH(N$1,[2]enemies!$2:$2,0)-MATCH($I$1,[2]enemies!$2:$2,0)+1,FALSE)</f>
        <v>15</v>
      </c>
      <c r="O240" s="6">
        <v>2</v>
      </c>
      <c r="P240" s="48">
        <v>7.5</v>
      </c>
      <c r="Q240" s="46">
        <v>11</v>
      </c>
      <c r="R240" s="6">
        <v>0</v>
      </c>
      <c r="S240" s="5" t="str">
        <f ca="1">VLOOKUP($T240,OFFSET([4]enemy_skill_sets!$B$1,0,0,COUNTA([4]enemy_skill_sets!$B:$B),MATCH(J$1,[4]enemy_skill_sets!$1:$1,0)-MATCH($T$1,[4]enemy_skill_sets!$1:$1,0)+2),MATCH(J$1,[4]enemy_skill_sets!$1:$1,0)-MATCH($T$1,[4]enemy_skill_sets!$1:$1,0)+2,FALSE)</f>
        <v>攻撃力10倍の自爆攻撃！</v>
      </c>
      <c r="T240" s="42">
        <v>11702</v>
      </c>
      <c r="U240" s="7">
        <v>1</v>
      </c>
      <c r="V240" s="7">
        <v>100</v>
      </c>
      <c r="W240" s="7">
        <v>0</v>
      </c>
      <c r="X240" s="26">
        <f ca="1">VLOOKUP($I240,OFFSET([2]enemies!$A$1,0,0,COUNTA([2]enemies!$A:$A),MATCH(X$1,[2]enemies!$2:$2,0)-MATCH($I$1,[2]enemies!$2:$2,0)+1),MATCH(X$1,[2]enemies!$2:$2,0)-MATCH($I$1,[2]enemies!$2:$2,0)+1,FALSE)</f>
        <v>1</v>
      </c>
      <c r="Y240" s="31">
        <v>117</v>
      </c>
      <c r="Z240" s="5" t="str">
        <f ca="1">IFERROR(VLOOKUP($Y240,OFFSET([3]characters!$A$1,0,0,COUNTA([3]characters!$A:$A),MATCH(Z$1,[3]characters!$2:$2,0)-MATCH("character_id",[3]characters!$2:$2,0)+1),MATCH(Z$1,[3]characters!$2:$2,0)-MATCH("character_id",[3]characters!$2:$2,0)+1,FALSE),"")</f>
        <v>ゴールドピヨピヨ</v>
      </c>
      <c r="AA240" s="5">
        <f ca="1">IFERROR(VLOOKUP($Y240,OFFSET([3]characters!$A$1,0,0,COUNTA([3]characters!$A:$A),MATCH(AA$1,[3]characters!$2:$2,0)-MATCH("character_id",[3]characters!$2:$2,0)+1),MATCH(AA$1,[3]characters!$2:$2,0)-MATCH("character_id",[3]characters!$2:$2,0)+1,FALSE),"")</f>
        <v>3</v>
      </c>
      <c r="AB240" s="5" t="str">
        <f ca="1">IFERROR(VLOOKUP($Y240,OFFSET([3]characters!$A$1,0,0,COUNTA([3]characters!$A:$A),MATCH(AB$1,[3]characters!$2:$2,0)-MATCH("character_id",[3]characters!$2:$2,0)+1),MATCH(AB$1,[3]characters!$2:$2,0)-MATCH("character_id",[3]characters!$2:$2,0)+1,FALSE),"")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40" s="8">
        <v>1</v>
      </c>
      <c r="AD240" s="34">
        <f t="shared" ca="1" si="168"/>
        <v>3</v>
      </c>
      <c r="AE240" s="9">
        <v>30</v>
      </c>
      <c r="AF240" s="8">
        <v>0</v>
      </c>
      <c r="AG240" s="8">
        <v>0</v>
      </c>
      <c r="AH240" s="8">
        <v>0</v>
      </c>
      <c r="AI240" s="8">
        <v>0</v>
      </c>
      <c r="AJ240" s="8">
        <v>1</v>
      </c>
    </row>
    <row r="241" spans="1:36" ht="21" customHeight="1">
      <c r="A241" s="21" t="str">
        <f t="shared" ca="1" si="165"/>
        <v>11106_1-3/118&lt;lv2&gt;s2</v>
      </c>
      <c r="B241" s="8">
        <v>11106</v>
      </c>
      <c r="C241" s="32">
        <v>1</v>
      </c>
      <c r="D241" s="2" t="str">
        <f t="shared" si="166"/>
        <v>11106_1</v>
      </c>
      <c r="E241" s="5" t="str">
        <f ca="1">VLOOKUP($B241,OFFSET([1]quests!$A$1,0,0,COUNTA([1]quests!$A:$A),MATCH(E$1,[1]quests!$1:$1,0)-MATCH($B$1,[1]quests!$1:$1,0)+1),MATCH(E$1,[1]quests!$1:$1,0)-MATCH($B$1,[1]quests!$1:$1,0)+1,FALSE)</f>
        <v>【キャンペーン限定】 ゴールドカジノ</v>
      </c>
      <c r="F241" s="5" t="str">
        <f ca="1">VLOOKUP($D241,OFFSET([1]stages!$A$1,0,0,COUNTA([1]stages!$A:$A),MATCH(F$1,[1]stages!$2:$2,0)-MATCH($D$1,[1]stages!$2:$2,0)+1),MATCH(F$1,[1]stages!$2:$2,0)-MATCH($D$1,[1]stages!$2:$2,0)+1,FALSE)</f>
        <v>ゴールドカジノ 【初級】</v>
      </c>
      <c r="G241" s="32">
        <v>3</v>
      </c>
      <c r="H241" s="20" t="str">
        <f t="shared" si="167"/>
        <v>11106_1-3</v>
      </c>
      <c r="I241" s="31">
        <v>118</v>
      </c>
      <c r="J241" s="26" t="str">
        <f ca="1">VLOOKUP($I241,OFFSET([2]enemies!$A$1,0,0,COUNTA([2]enemies!$A:$A),MATCH(J$1,[2]enemies!$2:$2,0)-MATCH($I$1,[2]enemies!$2:$2,0)+1),MATCH(J$1,[2]enemies!$2:$2,0)-MATCH($I$1,[2]enemies!$2:$2,0)+1,FALSE)</f>
        <v>ゴールドチック</v>
      </c>
      <c r="K241" s="29" t="str">
        <f ca="1">VLOOKUP($I241,OFFSET([2]enemies!$A$1,0,0,COUNTA([2]enemies!$A:$A),MATCH(K$1,[2]enemies!$2:$2,0)-MATCH($I$1,[2]enemies!$2:$2,0)+1),MATCH(K$1,[2]enemies!$2:$2,0)-MATCH($I$1,[2]enemies!$2:$2,0)+1,FALSE)</f>
        <v>yellow</v>
      </c>
      <c r="L241" s="29" t="str">
        <f ca="1">VLOOKUP($I241,OFFSET([3]characters!$A$1,0,0,COUNTA([3]characters!$A:$A),MATCH(L$1,[3]characters!$2:$2,0)-MATCH($I$1,[3]characters!$2:$2,0)+1),MATCH(L$1,[3]characters!$2:$2,0)-MATCH($I$1,[3]characters!$2:$2,0)+1,FALSE)</f>
        <v>Material</v>
      </c>
      <c r="M241" s="28" t="str">
        <f ca="1">VLOOKUP($I241,OFFSET([3]characters!$A$1,0,0,COUNTA([3]characters!$A:$A),MATCH(M$1,[3]characters!$2:$2,0)-MATCH($I$1,[3]characters!$2:$2,0)+2),MATCH(M$1,[3]characters!$2:$2,0)-MATCH($I$1,[3]characters!$2:$2,0)+2,FALSE)</f>
        <v>Unknown</v>
      </c>
      <c r="N241" s="5">
        <f ca="1">VLOOKUP($I241,OFFSET([2]enemies!$A$1,0,0,COUNTA([2]enemies!$A:$A),MATCH(N$1,[2]enemies!$2:$2,0)-MATCH($I$1,[2]enemies!$2:$2,0)+1),MATCH(N$1,[2]enemies!$2:$2,0)-MATCH($I$1,[2]enemies!$2:$2,0)+1,FALSE)</f>
        <v>15</v>
      </c>
      <c r="O241" s="6">
        <v>2</v>
      </c>
      <c r="P241" s="48">
        <v>7.5</v>
      </c>
      <c r="Q241" s="46">
        <v>10</v>
      </c>
      <c r="R241" s="6">
        <v>0</v>
      </c>
      <c r="S241" s="5" t="str">
        <f ca="1">VLOOKUP($T241,OFFSET([4]enemy_skill_sets!$B$1,0,0,COUNTA([4]enemy_skill_sets!$B:$B),MATCH(J$1,[4]enemy_skill_sets!$1:$1,0)-MATCH($T$1,[4]enemy_skill_sets!$1:$1,0)+2),MATCH(J$1,[4]enemy_skill_sets!$1:$1,0)-MATCH($T$1,[4]enemy_skill_sets!$1:$1,0)+2,FALSE)</f>
        <v>攻撃力10倍の自爆攻撃！</v>
      </c>
      <c r="T241" s="42">
        <v>11702</v>
      </c>
      <c r="U241" s="7">
        <v>1</v>
      </c>
      <c r="V241" s="7">
        <v>100</v>
      </c>
      <c r="W241" s="7">
        <v>0</v>
      </c>
      <c r="X241" s="26">
        <f ca="1">VLOOKUP($I241,OFFSET([2]enemies!$A$1,0,0,COUNTA([2]enemies!$A:$A),MATCH(X$1,[2]enemies!$2:$2,0)-MATCH($I$1,[2]enemies!$2:$2,0)+1),MATCH(X$1,[2]enemies!$2:$2,0)-MATCH($I$1,[2]enemies!$2:$2,0)+1,FALSE)</f>
        <v>2</v>
      </c>
      <c r="Y241" s="31">
        <v>118</v>
      </c>
      <c r="Z241" s="5" t="str">
        <f ca="1">IFERROR(VLOOKUP($Y241,OFFSET([3]characters!$A$1,0,0,COUNTA([3]characters!$A:$A),MATCH(Z$1,[3]characters!$2:$2,0)-MATCH("character_id",[3]characters!$2:$2,0)+1),MATCH(Z$1,[3]characters!$2:$2,0)-MATCH("character_id",[3]characters!$2:$2,0)+1,FALSE),"")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241" s="5">
        <f ca="1">IFERROR(VLOOKUP($Y241,OFFSET([3]characters!$A$1,0,0,COUNTA([3]characters!$A:$A),MATCH(AA$1,[3]characters!$2:$2,0)-MATCH("character_id",[3]characters!$2:$2,0)+1),MATCH(AA$1,[3]characters!$2:$2,0)-MATCH("character_id",[3]characters!$2:$2,0)+1,FALSE),"")</f>
        <v>4</v>
      </c>
      <c r="AB241" s="5" t="str">
        <f ca="1">IFERROR(VLOOKUP($Y241,OFFSET([3]characters!$A$1,0,0,COUNTA([3]characters!$A:$A),MATCH(AB$1,[3]characters!$2:$2,0)-MATCH("character_id",[3]characters!$2:$2,0)+1),MATCH(AB$1,[3]characters!$2:$2,0)-MATCH("character_id",[3]characters!$2:$2,0)+1,FALSE),"")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41" s="8">
        <v>1</v>
      </c>
      <c r="AD241" s="34">
        <f t="shared" ca="1" si="168"/>
        <v>4</v>
      </c>
      <c r="AE241" s="9">
        <v>10</v>
      </c>
      <c r="AF241" s="8">
        <v>0</v>
      </c>
      <c r="AG241" s="8">
        <v>0</v>
      </c>
      <c r="AH241" s="8">
        <v>0</v>
      </c>
      <c r="AI241" s="8">
        <v>0</v>
      </c>
      <c r="AJ241" s="8">
        <v>1</v>
      </c>
    </row>
    <row r="242" spans="1:36" ht="21" customHeight="1">
      <c r="A242" s="21" t="str">
        <f t="shared" ref="A242:A247" ca="1" si="185">B242&amp;"_"&amp;C242&amp;"-"&amp;G242&amp;"/"&amp;I242&amp;"&lt;lv"&amp;O242&amp;"&gt;s"&amp;X242</f>
        <v>11106_1-3/117&lt;lv1&gt;s1</v>
      </c>
      <c r="B242" s="8">
        <v>11106</v>
      </c>
      <c r="C242" s="32">
        <v>1</v>
      </c>
      <c r="D242" s="2" t="str">
        <f t="shared" ref="D242:D247" si="186">B242&amp;"_"&amp;C242</f>
        <v>11106_1</v>
      </c>
      <c r="E242" s="5" t="str">
        <f ca="1">VLOOKUP($B242,OFFSET([1]quests!$A$1,0,0,COUNTA([1]quests!$A:$A),MATCH(E$1,[1]quests!$1:$1,0)-MATCH($B$1,[1]quests!$1:$1,0)+1),MATCH(E$1,[1]quests!$1:$1,0)-MATCH($B$1,[1]quests!$1:$1,0)+1,FALSE)</f>
        <v>【キャンペーン限定】 ゴールドカジノ</v>
      </c>
      <c r="F242" s="5" t="str">
        <f ca="1">VLOOKUP($D242,OFFSET([1]stages!$A$1,0,0,COUNTA([1]stages!$A:$A),MATCH(F$1,[1]stages!$2:$2,0)-MATCH($D$1,[1]stages!$2:$2,0)+1),MATCH(F$1,[1]stages!$2:$2,0)-MATCH($D$1,[1]stages!$2:$2,0)+1,FALSE)</f>
        <v>ゴールドカジノ 【初級】</v>
      </c>
      <c r="G242" s="32">
        <v>3</v>
      </c>
      <c r="H242" s="20" t="str">
        <f t="shared" ref="H242:H247" si="187">B242&amp;"_"&amp;C242&amp;"-"&amp;G242</f>
        <v>11106_1-3</v>
      </c>
      <c r="I242" s="31">
        <v>117</v>
      </c>
      <c r="J242" s="26" t="str">
        <f ca="1">VLOOKUP($I242,OFFSET([2]enemies!$A$1,0,0,COUNTA([2]enemies!$A:$A),MATCH(J$1,[2]enemies!$2:$2,0)-MATCH($I$1,[2]enemies!$2:$2,0)+1),MATCH(J$1,[2]enemies!$2:$2,0)-MATCH($I$1,[2]enemies!$2:$2,0)+1,FALSE)</f>
        <v>ゴールドピヨピヨ</v>
      </c>
      <c r="K242" s="29" t="str">
        <f ca="1">VLOOKUP($I242,OFFSET([2]enemies!$A$1,0,0,COUNTA([2]enemies!$A:$A),MATCH(K$1,[2]enemies!$2:$2,0)-MATCH($I$1,[2]enemies!$2:$2,0)+1),MATCH(K$1,[2]enemies!$2:$2,0)-MATCH($I$1,[2]enemies!$2:$2,0)+1,FALSE)</f>
        <v>yellow</v>
      </c>
      <c r="L242" s="29" t="str">
        <f ca="1">VLOOKUP($I242,OFFSET([3]characters!$A$1,0,0,COUNTA([3]characters!$A:$A),MATCH(L$1,[3]characters!$2:$2,0)-MATCH($I$1,[3]characters!$2:$2,0)+1),MATCH(L$1,[3]characters!$2:$2,0)-MATCH($I$1,[3]characters!$2:$2,0)+1,FALSE)</f>
        <v>Material</v>
      </c>
      <c r="M242" s="28" t="str">
        <f ca="1">VLOOKUP($I242,OFFSET([3]characters!$A$1,0,0,COUNTA([3]characters!$A:$A),MATCH(M$1,[3]characters!$2:$2,0)-MATCH($I$1,[3]characters!$2:$2,0)+2),MATCH(M$1,[3]characters!$2:$2,0)-MATCH($I$1,[3]characters!$2:$2,0)+2,FALSE)</f>
        <v>Unknown</v>
      </c>
      <c r="N242" s="5">
        <f ca="1">VLOOKUP($I242,OFFSET([2]enemies!$A$1,0,0,COUNTA([2]enemies!$A:$A),MATCH(N$1,[2]enemies!$2:$2,0)-MATCH($I$1,[2]enemies!$2:$2,0)+1),MATCH(N$1,[2]enemies!$2:$2,0)-MATCH($I$1,[2]enemies!$2:$2,0)+1,FALSE)</f>
        <v>15</v>
      </c>
      <c r="O242" s="6">
        <v>1</v>
      </c>
      <c r="P242" s="48">
        <v>10.5</v>
      </c>
      <c r="Q242" s="46">
        <v>11</v>
      </c>
      <c r="R242" s="6">
        <v>0</v>
      </c>
      <c r="S242" s="5" t="str">
        <f ca="1">VLOOKUP($T242,OFFSET([4]enemy_skill_sets!$B$1,0,0,COUNTA([4]enemy_skill_sets!$B:$B),MATCH(J$1,[4]enemy_skill_sets!$1:$1,0)-MATCH($T$1,[4]enemy_skill_sets!$1:$1,0)+2),MATCH(J$1,[4]enemy_skill_sets!$1:$1,0)-MATCH($T$1,[4]enemy_skill_sets!$1:$1,0)+2,FALSE)</f>
        <v>攻撃力10倍の自爆攻撃！</v>
      </c>
      <c r="T242" s="42">
        <v>11702</v>
      </c>
      <c r="U242" s="7">
        <v>0</v>
      </c>
      <c r="V242" s="7">
        <v>100</v>
      </c>
      <c r="W242" s="7">
        <v>0</v>
      </c>
      <c r="X242" s="26">
        <f ca="1">VLOOKUP($I242,OFFSET([2]enemies!$A$1,0,0,COUNTA([2]enemies!$A:$A),MATCH(X$1,[2]enemies!$2:$2,0)-MATCH($I$1,[2]enemies!$2:$2,0)+1),MATCH(X$1,[2]enemies!$2:$2,0)-MATCH($I$1,[2]enemies!$2:$2,0)+1,FALSE)</f>
        <v>1</v>
      </c>
      <c r="Y242" s="31">
        <v>117</v>
      </c>
      <c r="Z242" s="5" t="str">
        <f ca="1">IFERROR(VLOOKUP($Y242,OFFSET([3]characters!$A$1,0,0,COUNTA([3]characters!$A:$A),MATCH(Z$1,[3]characters!$2:$2,0)-MATCH("character_id",[3]characters!$2:$2,0)+1),MATCH(Z$1,[3]characters!$2:$2,0)-MATCH("character_id",[3]characters!$2:$2,0)+1,FALSE),"")</f>
        <v>ゴールドピヨピヨ</v>
      </c>
      <c r="AA242" s="5">
        <f ca="1">IFERROR(VLOOKUP($Y242,OFFSET([3]characters!$A$1,0,0,COUNTA([3]characters!$A:$A),MATCH(AA$1,[3]characters!$2:$2,0)-MATCH("character_id",[3]characters!$2:$2,0)+1),MATCH(AA$1,[3]characters!$2:$2,0)-MATCH("character_id",[3]characters!$2:$2,0)+1,FALSE),"")</f>
        <v>3</v>
      </c>
      <c r="AB242" s="5" t="str">
        <f ca="1">IFERROR(VLOOKUP($Y242,OFFSET([3]characters!$A$1,0,0,COUNTA([3]characters!$A:$A),MATCH(AB$1,[3]characters!$2:$2,0)-MATCH("character_id",[3]characters!$2:$2,0)+1),MATCH(AB$1,[3]characters!$2:$2,0)-MATCH("character_id",[3]characters!$2:$2,0)+1,FALSE),"")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42" s="8">
        <v>1</v>
      </c>
      <c r="AD242" s="34">
        <f t="shared" ref="AD242:AD247" ca="1" si="188">AA242</f>
        <v>3</v>
      </c>
      <c r="AE242" s="9">
        <v>30</v>
      </c>
      <c r="AF242" s="8">
        <v>0</v>
      </c>
      <c r="AG242" s="8">
        <v>0</v>
      </c>
      <c r="AH242" s="8">
        <v>0</v>
      </c>
      <c r="AI242" s="8">
        <v>0</v>
      </c>
      <c r="AJ242" s="8">
        <v>1</v>
      </c>
    </row>
    <row r="243" spans="1:36" ht="21" customHeight="1">
      <c r="A243" s="21" t="str">
        <f t="shared" ca="1" si="185"/>
        <v>11106_1-3/118&lt;lv1&gt;s2</v>
      </c>
      <c r="B243" s="8">
        <v>11106</v>
      </c>
      <c r="C243" s="32">
        <v>1</v>
      </c>
      <c r="D243" s="2" t="str">
        <f t="shared" si="186"/>
        <v>11106_1</v>
      </c>
      <c r="E243" s="5" t="str">
        <f ca="1">VLOOKUP($B243,OFFSET([1]quests!$A$1,0,0,COUNTA([1]quests!$A:$A),MATCH(E$1,[1]quests!$1:$1,0)-MATCH($B$1,[1]quests!$1:$1,0)+1),MATCH(E$1,[1]quests!$1:$1,0)-MATCH($B$1,[1]quests!$1:$1,0)+1,FALSE)</f>
        <v>【キャンペーン限定】 ゴールドカジノ</v>
      </c>
      <c r="F243" s="5" t="str">
        <f ca="1">VLOOKUP($D243,OFFSET([1]stages!$A$1,0,0,COUNTA([1]stages!$A:$A),MATCH(F$1,[1]stages!$2:$2,0)-MATCH($D$1,[1]stages!$2:$2,0)+1),MATCH(F$1,[1]stages!$2:$2,0)-MATCH($D$1,[1]stages!$2:$2,0)+1,FALSE)</f>
        <v>ゴールドカジノ 【初級】</v>
      </c>
      <c r="G243" s="32">
        <v>3</v>
      </c>
      <c r="H243" s="20" t="str">
        <f t="shared" si="187"/>
        <v>11106_1-3</v>
      </c>
      <c r="I243" s="31">
        <v>118</v>
      </c>
      <c r="J243" s="26" t="str">
        <f ca="1">VLOOKUP($I243,OFFSET([2]enemies!$A$1,0,0,COUNTA([2]enemies!$A:$A),MATCH(J$1,[2]enemies!$2:$2,0)-MATCH($I$1,[2]enemies!$2:$2,0)+1),MATCH(J$1,[2]enemies!$2:$2,0)-MATCH($I$1,[2]enemies!$2:$2,0)+1,FALSE)</f>
        <v>ゴールドチック</v>
      </c>
      <c r="K243" s="29" t="str">
        <f ca="1">VLOOKUP($I243,OFFSET([2]enemies!$A$1,0,0,COUNTA([2]enemies!$A:$A),MATCH(K$1,[2]enemies!$2:$2,0)-MATCH($I$1,[2]enemies!$2:$2,0)+1),MATCH(K$1,[2]enemies!$2:$2,0)-MATCH($I$1,[2]enemies!$2:$2,0)+1,FALSE)</f>
        <v>yellow</v>
      </c>
      <c r="L243" s="29" t="str">
        <f ca="1">VLOOKUP($I243,OFFSET([3]characters!$A$1,0,0,COUNTA([3]characters!$A:$A),MATCH(L$1,[3]characters!$2:$2,0)-MATCH($I$1,[3]characters!$2:$2,0)+1),MATCH(L$1,[3]characters!$2:$2,0)-MATCH($I$1,[3]characters!$2:$2,0)+1,FALSE)</f>
        <v>Material</v>
      </c>
      <c r="M243" s="28" t="str">
        <f ca="1">VLOOKUP($I243,OFFSET([3]characters!$A$1,0,0,COUNTA([3]characters!$A:$A),MATCH(M$1,[3]characters!$2:$2,0)-MATCH($I$1,[3]characters!$2:$2,0)+2),MATCH(M$1,[3]characters!$2:$2,0)-MATCH($I$1,[3]characters!$2:$2,0)+2,FALSE)</f>
        <v>Unknown</v>
      </c>
      <c r="N243" s="5">
        <f ca="1">VLOOKUP($I243,OFFSET([2]enemies!$A$1,0,0,COUNTA([2]enemies!$A:$A),MATCH(N$1,[2]enemies!$2:$2,0)-MATCH($I$1,[2]enemies!$2:$2,0)+1),MATCH(N$1,[2]enemies!$2:$2,0)-MATCH($I$1,[2]enemies!$2:$2,0)+1,FALSE)</f>
        <v>15</v>
      </c>
      <c r="O243" s="6">
        <v>1</v>
      </c>
      <c r="P243" s="48">
        <v>10.5</v>
      </c>
      <c r="Q243" s="46">
        <v>10</v>
      </c>
      <c r="R243" s="6">
        <v>0</v>
      </c>
      <c r="S243" s="5" t="str">
        <f ca="1">VLOOKUP($T243,OFFSET([4]enemy_skill_sets!$B$1,0,0,COUNTA([4]enemy_skill_sets!$B:$B),MATCH(J$1,[4]enemy_skill_sets!$1:$1,0)-MATCH($T$1,[4]enemy_skill_sets!$1:$1,0)+2),MATCH(J$1,[4]enemy_skill_sets!$1:$1,0)-MATCH($T$1,[4]enemy_skill_sets!$1:$1,0)+2,FALSE)</f>
        <v>攻撃力10倍の自爆攻撃！</v>
      </c>
      <c r="T243" s="42">
        <v>11702</v>
      </c>
      <c r="U243" s="7">
        <v>0</v>
      </c>
      <c r="V243" s="7">
        <v>100</v>
      </c>
      <c r="W243" s="7">
        <v>0</v>
      </c>
      <c r="X243" s="26">
        <f ca="1">VLOOKUP($I243,OFFSET([2]enemies!$A$1,0,0,COUNTA([2]enemies!$A:$A),MATCH(X$1,[2]enemies!$2:$2,0)-MATCH($I$1,[2]enemies!$2:$2,0)+1),MATCH(X$1,[2]enemies!$2:$2,0)-MATCH($I$1,[2]enemies!$2:$2,0)+1,FALSE)</f>
        <v>2</v>
      </c>
      <c r="Y243" s="31">
        <v>118</v>
      </c>
      <c r="Z243" s="5" t="str">
        <f ca="1">IFERROR(VLOOKUP($Y243,OFFSET([3]characters!$A$1,0,0,COUNTA([3]characters!$A:$A),MATCH(Z$1,[3]characters!$2:$2,0)-MATCH("character_id",[3]characters!$2:$2,0)+1),MATCH(Z$1,[3]characters!$2:$2,0)-MATCH("character_id",[3]characters!$2:$2,0)+1,FALSE),"")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243" s="5">
        <f ca="1">IFERROR(VLOOKUP($Y243,OFFSET([3]characters!$A$1,0,0,COUNTA([3]characters!$A:$A),MATCH(AA$1,[3]characters!$2:$2,0)-MATCH("character_id",[3]characters!$2:$2,0)+1),MATCH(AA$1,[3]characters!$2:$2,0)-MATCH("character_id",[3]characters!$2:$2,0)+1,FALSE),"")</f>
        <v>4</v>
      </c>
      <c r="AB243" s="5" t="str">
        <f ca="1">IFERROR(VLOOKUP($Y243,OFFSET([3]characters!$A$1,0,0,COUNTA([3]characters!$A:$A),MATCH(AB$1,[3]characters!$2:$2,0)-MATCH("character_id",[3]characters!$2:$2,0)+1),MATCH(AB$1,[3]characters!$2:$2,0)-MATCH("character_id",[3]characters!$2:$2,0)+1,FALSE),"")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43" s="8">
        <v>1</v>
      </c>
      <c r="AD243" s="34">
        <f t="shared" ca="1" si="188"/>
        <v>4</v>
      </c>
      <c r="AE243" s="9">
        <v>10</v>
      </c>
      <c r="AF243" s="8">
        <v>0</v>
      </c>
      <c r="AG243" s="8">
        <v>0</v>
      </c>
      <c r="AH243" s="8">
        <v>0</v>
      </c>
      <c r="AI243" s="8">
        <v>0</v>
      </c>
      <c r="AJ243" s="8">
        <v>1</v>
      </c>
    </row>
    <row r="244" spans="1:36" ht="21" customHeight="1">
      <c r="A244" s="21" t="str">
        <f t="shared" ca="1" si="185"/>
        <v>11106_1-3/1&lt;lv5&gt;s1</v>
      </c>
      <c r="B244" s="8">
        <v>11106</v>
      </c>
      <c r="C244" s="32">
        <v>1</v>
      </c>
      <c r="D244" s="2" t="str">
        <f t="shared" si="186"/>
        <v>11106_1</v>
      </c>
      <c r="E244" s="5" t="str">
        <f ca="1">VLOOKUP($B244,OFFSET([1]quests!$A$1,0,0,COUNTA([1]quests!$A:$A),MATCH(E$1,[1]quests!$1:$1,0)-MATCH($B$1,[1]quests!$1:$1,0)+1),MATCH(E$1,[1]quests!$1:$1,0)-MATCH($B$1,[1]quests!$1:$1,0)+1,FALSE)</f>
        <v>【キャンペーン限定】 ゴールドカジノ</v>
      </c>
      <c r="F244" s="5" t="str">
        <f ca="1">VLOOKUP($D244,OFFSET([1]stages!$A$1,0,0,COUNTA([1]stages!$A:$A),MATCH(F$1,[1]stages!$2:$2,0)-MATCH($D$1,[1]stages!$2:$2,0)+1),MATCH(F$1,[1]stages!$2:$2,0)-MATCH($D$1,[1]stages!$2:$2,0)+1,FALSE)</f>
        <v>ゴールドカジノ 【初級】</v>
      </c>
      <c r="G244" s="32">
        <v>3</v>
      </c>
      <c r="H244" s="20" t="str">
        <f t="shared" si="187"/>
        <v>11106_1-3</v>
      </c>
      <c r="I244" s="31">
        <v>1</v>
      </c>
      <c r="J244" s="26" t="str">
        <f ca="1">VLOOKUP($I244,OFFSET([2]enemies!$A$1,0,0,COUNTA([2]enemies!$A:$A),MATCH(J$1,[2]enemies!$2:$2,0)-MATCH($I$1,[2]enemies!$2:$2,0)+1),MATCH(J$1,[2]enemies!$2:$2,0)-MATCH($I$1,[2]enemies!$2:$2,0)+1,FALSE)</f>
        <v>ジェリー</v>
      </c>
      <c r="K244" s="29" t="str">
        <f ca="1">VLOOKUP($I244,OFFSET([2]enemies!$A$1,0,0,COUNTA([2]enemies!$A:$A),MATCH(K$1,[2]enemies!$2:$2,0)-MATCH($I$1,[2]enemies!$2:$2,0)+1),MATCH(K$1,[2]enemies!$2:$2,0)-MATCH($I$1,[2]enemies!$2:$2,0)+1,FALSE)</f>
        <v>red</v>
      </c>
      <c r="L244" s="29" t="str">
        <f ca="1">VLOOKUP($I244,OFFSET([3]characters!$A$1,0,0,COUNTA([3]characters!$A:$A),MATCH(L$1,[3]characters!$2:$2,0)-MATCH($I$1,[3]characters!$2:$2,0)+1),MATCH(L$1,[3]characters!$2:$2,0)-MATCH($I$1,[3]characters!$2:$2,0)+1,FALSE)</f>
        <v>Drop1T</v>
      </c>
      <c r="M244" s="28" t="str">
        <f ca="1">VLOOKUP($I244,OFFSET([3]characters!$A$1,0,0,COUNTA([3]characters!$A:$A),MATCH(M$1,[3]characters!$2:$2,0)-MATCH($I$1,[3]characters!$2:$2,0)+2),MATCH(M$1,[3]characters!$2:$2,0)-MATCH($I$1,[3]characters!$2:$2,0)+2,FALSE)</f>
        <v>Unknown</v>
      </c>
      <c r="N244" s="5">
        <f ca="1">VLOOKUP($I244,OFFSET([2]enemies!$A$1,0,0,COUNTA([2]enemies!$A:$A),MATCH(N$1,[2]enemies!$2:$2,0)-MATCH($I$1,[2]enemies!$2:$2,0)+1),MATCH(N$1,[2]enemies!$2:$2,0)-MATCH($I$1,[2]enemies!$2:$2,0)+1,FALSE)</f>
        <v>15</v>
      </c>
      <c r="O244" s="6">
        <v>5</v>
      </c>
      <c r="P244" s="46">
        <v>1</v>
      </c>
      <c r="Q244" s="46">
        <v>1</v>
      </c>
      <c r="R244" s="6">
        <v>0</v>
      </c>
      <c r="S244" s="5" t="str">
        <f ca="1">VLOOKUP($T244,OFFSET([4]enemy_skill_sets!$B$1,0,0,COUNTA([4]enemy_skill_sets!$B:$B),MATCH(J$1,[4]enemy_skill_sets!$1:$1,0)-MATCH($T$1,[4]enemy_skill_sets!$1:$1,0)+2),MATCH(J$1,[4]enemy_skill_sets!$1:$1,0)-MATCH($T$1,[4]enemy_skill_sets!$1:$1,0)+2,FALSE)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4" s="5">
        <f ca="1">VLOOKUP($I244,OFFSET([2]enemies!$A$1,0,0,COUNTA([2]enemies!$A:$A),MATCH(T$1,[2]enemies!$2:$2,0)-MATCH($I$1,[2]enemies!$2:$2,0)+1),MATCH(T$1,[2]enemies!$2:$2,0)-MATCH($I$1,[2]enemies!$2:$2,0)+1,FALSE)</f>
        <v>0</v>
      </c>
      <c r="U244" s="7">
        <v>0</v>
      </c>
      <c r="V244" s="7">
        <v>100</v>
      </c>
      <c r="W244" s="7">
        <v>0</v>
      </c>
      <c r="X244" s="26">
        <f ca="1">VLOOKUP($I244,OFFSET([2]enemies!$A$1,0,0,COUNTA([2]enemies!$A:$A),MATCH(X$1,[2]enemies!$2:$2,0)-MATCH($I$1,[2]enemies!$2:$2,0)+1),MATCH(X$1,[2]enemies!$2:$2,0)-MATCH($I$1,[2]enemies!$2:$2,0)+1,FALSE)</f>
        <v>1</v>
      </c>
      <c r="Y244" s="31">
        <v>1</v>
      </c>
      <c r="Z244" s="5" t="str">
        <f ca="1">IFERROR(VLOOKUP($Y244,OFFSET([3]characters!$A$1,0,0,COUNTA([3]characters!$A:$A),MATCH(Z$1,[3]characters!$2:$2,0)-MATCH("character_id",[3]characters!$2:$2,0)+1),MATCH(Z$1,[3]characters!$2:$2,0)-MATCH("character_id",[3]characters!$2:$2,0)+1,FALSE),"")</f>
        <v>ジェリー</v>
      </c>
      <c r="AA244" s="5">
        <f ca="1">IFERROR(VLOOKUP($Y244,OFFSET([3]characters!$A$1,0,0,COUNTA([3]characters!$A:$A),MATCH(AA$1,[3]characters!$2:$2,0)-MATCH("character_id",[3]characters!$2:$2,0)+1),MATCH(AA$1,[3]characters!$2:$2,0)-MATCH("character_id",[3]characters!$2:$2,0)+1,FALSE),"")</f>
        <v>1</v>
      </c>
      <c r="AB244" s="5" t="str">
        <f ca="1">IFERROR(VLOOKUP($Y244,OFFSET([3]characters!$A$1,0,0,COUNTA([3]characters!$A:$A),MATCH(AB$1,[3]characters!$2:$2,0)-MATCH("character_id",[3]characters!$2:$2,0)+1),MATCH(AB$1,[3]characters!$2:$2,0)-MATCH("character_id",[3]characters!$2:$2,0)+1,FALSE),"")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244" s="8">
        <v>1</v>
      </c>
      <c r="AD244" s="34">
        <f t="shared" ca="1" si="188"/>
        <v>1</v>
      </c>
      <c r="AE244" s="9">
        <v>0</v>
      </c>
      <c r="AF244" s="8">
        <v>0</v>
      </c>
      <c r="AG244" s="8">
        <v>0</v>
      </c>
      <c r="AH244" s="8">
        <v>0</v>
      </c>
      <c r="AI244" s="8">
        <v>0</v>
      </c>
      <c r="AJ244" s="8">
        <v>1</v>
      </c>
    </row>
    <row r="245" spans="1:36" ht="21" customHeight="1">
      <c r="A245" s="21" t="str">
        <f t="shared" ca="1" si="185"/>
        <v>11106_1-3/3&lt;lv5&gt;s2</v>
      </c>
      <c r="B245" s="8">
        <v>11106</v>
      </c>
      <c r="C245" s="32">
        <v>1</v>
      </c>
      <c r="D245" s="2" t="str">
        <f t="shared" si="186"/>
        <v>11106_1</v>
      </c>
      <c r="E245" s="5" t="str">
        <f ca="1">VLOOKUP($B245,OFFSET([1]quests!$A$1,0,0,COUNTA([1]quests!$A:$A),MATCH(E$1,[1]quests!$1:$1,0)-MATCH($B$1,[1]quests!$1:$1,0)+1),MATCH(E$1,[1]quests!$1:$1,0)-MATCH($B$1,[1]quests!$1:$1,0)+1,FALSE)</f>
        <v>【キャンペーン限定】 ゴールドカジノ</v>
      </c>
      <c r="F245" s="5" t="str">
        <f ca="1">VLOOKUP($D245,OFFSET([1]stages!$A$1,0,0,COUNTA([1]stages!$A:$A),MATCH(F$1,[1]stages!$2:$2,0)-MATCH($D$1,[1]stages!$2:$2,0)+1),MATCH(F$1,[1]stages!$2:$2,0)-MATCH($D$1,[1]stages!$2:$2,0)+1,FALSE)</f>
        <v>ゴールドカジノ 【初級】</v>
      </c>
      <c r="G245" s="32">
        <v>3</v>
      </c>
      <c r="H245" s="20" t="str">
        <f t="shared" si="187"/>
        <v>11106_1-3</v>
      </c>
      <c r="I245" s="31">
        <v>3</v>
      </c>
      <c r="J245" s="26" t="str">
        <f ca="1">VLOOKUP($I245,OFFSET([2]enemies!$A$1,0,0,COUNTA([2]enemies!$A:$A),MATCH(J$1,[2]enemies!$2:$2,0)-MATCH($I$1,[2]enemies!$2:$2,0)+1),MATCH(J$1,[2]enemies!$2:$2,0)-MATCH($I$1,[2]enemies!$2:$2,0)+1,FALSE)</f>
        <v>エージェント ジョー</v>
      </c>
      <c r="K245" s="29" t="str">
        <f ca="1">VLOOKUP($I245,OFFSET([2]enemies!$A$1,0,0,COUNTA([2]enemies!$A:$A),MATCH(K$1,[2]enemies!$2:$2,0)-MATCH($I$1,[2]enemies!$2:$2,0)+1),MATCH(K$1,[2]enemies!$2:$2,0)-MATCH($I$1,[2]enemies!$2:$2,0)+1,FALSE)</f>
        <v>green</v>
      </c>
      <c r="L245" s="29" t="str">
        <f ca="1">VLOOKUP($I245,OFFSET([3]characters!$A$1,0,0,COUNTA([3]characters!$A:$A),MATCH(L$1,[3]characters!$2:$2,0)-MATCH($I$1,[3]characters!$2:$2,0)+1),MATCH(L$1,[3]characters!$2:$2,0)-MATCH($I$1,[3]characters!$2:$2,0)+1,FALSE)</f>
        <v>Drop1T</v>
      </c>
      <c r="M245" s="28" t="str">
        <f ca="1">VLOOKUP($I245,OFFSET([3]characters!$A$1,0,0,COUNTA([3]characters!$A:$A),MATCH(M$1,[3]characters!$2:$2,0)-MATCH($I$1,[3]characters!$2:$2,0)+2),MATCH(M$1,[3]characters!$2:$2,0)-MATCH($I$1,[3]characters!$2:$2,0)+2,FALSE)</f>
        <v>Unknown</v>
      </c>
      <c r="N245" s="5">
        <f ca="1">VLOOKUP($I245,OFFSET([2]enemies!$A$1,0,0,COUNTA([2]enemies!$A:$A),MATCH(N$1,[2]enemies!$2:$2,0)-MATCH($I$1,[2]enemies!$2:$2,0)+1),MATCH(N$1,[2]enemies!$2:$2,0)-MATCH($I$1,[2]enemies!$2:$2,0)+1,FALSE)</f>
        <v>15</v>
      </c>
      <c r="O245" s="6">
        <v>5</v>
      </c>
      <c r="P245" s="46">
        <v>1</v>
      </c>
      <c r="Q245" s="46">
        <v>1</v>
      </c>
      <c r="R245" s="6">
        <v>0</v>
      </c>
      <c r="S245" s="5" t="str">
        <f ca="1">VLOOKUP($T245,OFFSET([4]enemy_skill_sets!$B$1,0,0,COUNTA([4]enemy_skill_sets!$B:$B),MATCH(J$1,[4]enemy_skill_sets!$1:$1,0)-MATCH($T$1,[4]enemy_skill_sets!$1:$1,0)+2),MATCH(J$1,[4]enemy_skill_sets!$1:$1,0)-MATCH($T$1,[4]enemy_skill_sets!$1:$1,0)+2,FALSE)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5" s="5">
        <f ca="1">VLOOKUP($I245,OFFSET([2]enemies!$A$1,0,0,COUNTA([2]enemies!$A:$A),MATCH(T$1,[2]enemies!$2:$2,0)-MATCH($I$1,[2]enemies!$2:$2,0)+1),MATCH(T$1,[2]enemies!$2:$2,0)-MATCH($I$1,[2]enemies!$2:$2,0)+1,FALSE)</f>
        <v>0</v>
      </c>
      <c r="U245" s="7">
        <v>0</v>
      </c>
      <c r="V245" s="7">
        <v>100</v>
      </c>
      <c r="W245" s="7">
        <v>0</v>
      </c>
      <c r="X245" s="26">
        <f ca="1">VLOOKUP($I245,OFFSET([2]enemies!$A$1,0,0,COUNTA([2]enemies!$A:$A),MATCH(X$1,[2]enemies!$2:$2,0)-MATCH($I$1,[2]enemies!$2:$2,0)+1),MATCH(X$1,[2]enemies!$2:$2,0)-MATCH($I$1,[2]enemies!$2:$2,0)+1,FALSE)</f>
        <v>2</v>
      </c>
      <c r="Y245" s="31">
        <v>3</v>
      </c>
      <c r="Z245" s="5" t="str">
        <f ca="1">IFERROR(VLOOKUP($Y245,OFFSET([3]characters!$A$1,0,0,COUNTA([3]characters!$A:$A),MATCH(Z$1,[3]characters!$2:$2,0)-MATCH("character_id",[3]characters!$2:$2,0)+1),MATCH(Z$1,[3]characters!$2:$2,0)-MATCH("character_id",[3]characters!$2:$2,0)+1,FALSE),"")</f>
        <v>エージェント ジョー</v>
      </c>
      <c r="AA245" s="5">
        <f ca="1">IFERROR(VLOOKUP($Y245,OFFSET([3]characters!$A$1,0,0,COUNTA([3]characters!$A:$A),MATCH(AA$1,[3]characters!$2:$2,0)-MATCH("character_id",[3]characters!$2:$2,0)+1),MATCH(AA$1,[3]characters!$2:$2,0)-MATCH("character_id",[3]characters!$2:$2,0)+1,FALSE),"")</f>
        <v>1</v>
      </c>
      <c r="AB245" s="5" t="str">
        <f ca="1">IFERROR(VLOOKUP($Y245,OFFSET([3]characters!$A$1,0,0,COUNTA([3]characters!$A:$A),MATCH(AB$1,[3]characters!$2:$2,0)-MATCH("character_id",[3]characters!$2:$2,0)+1),MATCH(AB$1,[3]characters!$2:$2,0)-MATCH("character_id",[3]characters!$2:$2,0)+1,FALSE),"")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245" s="8">
        <v>1</v>
      </c>
      <c r="AD245" s="34">
        <f t="shared" ca="1" si="188"/>
        <v>1</v>
      </c>
      <c r="AE245" s="9">
        <v>0</v>
      </c>
      <c r="AF245" s="8">
        <v>0</v>
      </c>
      <c r="AG245" s="8">
        <v>0</v>
      </c>
      <c r="AH245" s="8">
        <v>0</v>
      </c>
      <c r="AI245" s="8">
        <v>0</v>
      </c>
      <c r="AJ245" s="8">
        <v>1</v>
      </c>
    </row>
    <row r="246" spans="1:36" ht="21" customHeight="1">
      <c r="A246" s="21" t="str">
        <f t="shared" ca="1" si="185"/>
        <v>11106_1-3/5&lt;lv5&gt;s3</v>
      </c>
      <c r="B246" s="8">
        <v>11106</v>
      </c>
      <c r="C246" s="32">
        <v>1</v>
      </c>
      <c r="D246" s="2" t="str">
        <f t="shared" si="186"/>
        <v>11106_1</v>
      </c>
      <c r="E246" s="5" t="str">
        <f ca="1">VLOOKUP($B246,OFFSET([1]quests!$A$1,0,0,COUNTA([1]quests!$A:$A),MATCH(E$1,[1]quests!$1:$1,0)-MATCH($B$1,[1]quests!$1:$1,0)+1),MATCH(E$1,[1]quests!$1:$1,0)-MATCH($B$1,[1]quests!$1:$1,0)+1,FALSE)</f>
        <v>【キャンペーン限定】 ゴールドカジノ</v>
      </c>
      <c r="F246" s="5" t="str">
        <f ca="1">VLOOKUP($D246,OFFSET([1]stages!$A$1,0,0,COUNTA([1]stages!$A:$A),MATCH(F$1,[1]stages!$2:$2,0)-MATCH($D$1,[1]stages!$2:$2,0)+1),MATCH(F$1,[1]stages!$2:$2,0)-MATCH($D$1,[1]stages!$2:$2,0)+1,FALSE)</f>
        <v>ゴールドカジノ 【初級】</v>
      </c>
      <c r="G246" s="32">
        <v>3</v>
      </c>
      <c r="H246" s="20" t="str">
        <f t="shared" si="187"/>
        <v>11106_1-3</v>
      </c>
      <c r="I246" s="31">
        <v>5</v>
      </c>
      <c r="J246" s="26" t="str">
        <f ca="1">VLOOKUP($I246,OFFSET([2]enemies!$A$1,0,0,COUNTA([2]enemies!$A:$A),MATCH(J$1,[2]enemies!$2:$2,0)-MATCH($I$1,[2]enemies!$2:$2,0)+1),MATCH(J$1,[2]enemies!$2:$2,0)-MATCH($I$1,[2]enemies!$2:$2,0)+1,FALSE)</f>
        <v>パトドッグ ポチ</v>
      </c>
      <c r="K246" s="29" t="str">
        <f ca="1">VLOOKUP($I246,OFFSET([2]enemies!$A$1,0,0,COUNTA([2]enemies!$A:$A),MATCH(K$1,[2]enemies!$2:$2,0)-MATCH($I$1,[2]enemies!$2:$2,0)+1),MATCH(K$1,[2]enemies!$2:$2,0)-MATCH($I$1,[2]enemies!$2:$2,0)+1,FALSE)</f>
        <v>blue</v>
      </c>
      <c r="L246" s="29" t="str">
        <f ca="1">VLOOKUP($I246,OFFSET([3]characters!$A$1,0,0,COUNTA([3]characters!$A:$A),MATCH(L$1,[3]characters!$2:$2,0)-MATCH($I$1,[3]characters!$2:$2,0)+1),MATCH(L$1,[3]characters!$2:$2,0)-MATCH($I$1,[3]characters!$2:$2,0)+1,FALSE)</f>
        <v>Drop1T</v>
      </c>
      <c r="M246" s="28" t="str">
        <f ca="1">VLOOKUP($I246,OFFSET([3]characters!$A$1,0,0,COUNTA([3]characters!$A:$A),MATCH(M$1,[3]characters!$2:$2,0)-MATCH($I$1,[3]characters!$2:$2,0)+2),MATCH(M$1,[3]characters!$2:$2,0)-MATCH($I$1,[3]characters!$2:$2,0)+2,FALSE)</f>
        <v>Unknown</v>
      </c>
      <c r="N246" s="5">
        <f ca="1">VLOOKUP($I246,OFFSET([2]enemies!$A$1,0,0,COUNTA([2]enemies!$A:$A),MATCH(N$1,[2]enemies!$2:$2,0)-MATCH($I$1,[2]enemies!$2:$2,0)+1),MATCH(N$1,[2]enemies!$2:$2,0)-MATCH($I$1,[2]enemies!$2:$2,0)+1,FALSE)</f>
        <v>15</v>
      </c>
      <c r="O246" s="6">
        <v>5</v>
      </c>
      <c r="P246" s="46">
        <v>1</v>
      </c>
      <c r="Q246" s="46">
        <v>1</v>
      </c>
      <c r="R246" s="6">
        <v>0</v>
      </c>
      <c r="S246" s="5" t="str">
        <f ca="1">VLOOKUP($T246,OFFSET([4]enemy_skill_sets!$B$1,0,0,COUNTA([4]enemy_skill_sets!$B:$B),MATCH(J$1,[4]enemy_skill_sets!$1:$1,0)-MATCH($T$1,[4]enemy_skill_sets!$1:$1,0)+2),MATCH(J$1,[4]enemy_skill_sets!$1:$1,0)-MATCH($T$1,[4]enemy_skill_sets!$1:$1,0)+2,FALSE)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6" s="5">
        <f ca="1">VLOOKUP($I246,OFFSET([2]enemies!$A$1,0,0,COUNTA([2]enemies!$A:$A),MATCH(T$1,[2]enemies!$2:$2,0)-MATCH($I$1,[2]enemies!$2:$2,0)+1),MATCH(T$1,[2]enemies!$2:$2,0)-MATCH($I$1,[2]enemies!$2:$2,0)+1,FALSE)</f>
        <v>0</v>
      </c>
      <c r="U246" s="7">
        <v>0</v>
      </c>
      <c r="V246" s="7">
        <v>100</v>
      </c>
      <c r="W246" s="7">
        <v>0</v>
      </c>
      <c r="X246" s="26">
        <f ca="1">VLOOKUP($I246,OFFSET([2]enemies!$A$1,0,0,COUNTA([2]enemies!$A:$A),MATCH(X$1,[2]enemies!$2:$2,0)-MATCH($I$1,[2]enemies!$2:$2,0)+1),MATCH(X$1,[2]enemies!$2:$2,0)-MATCH($I$1,[2]enemies!$2:$2,0)+1,FALSE)</f>
        <v>3</v>
      </c>
      <c r="Y246" s="31">
        <v>5</v>
      </c>
      <c r="Z246" s="5" t="str">
        <f ca="1">IFERROR(VLOOKUP($Y246,OFFSET([3]characters!$A$1,0,0,COUNTA([3]characters!$A:$A),MATCH(Z$1,[3]characters!$2:$2,0)-MATCH("character_id",[3]characters!$2:$2,0)+1),MATCH(Z$1,[3]characters!$2:$2,0)-MATCH("character_id",[3]characters!$2:$2,0)+1,FALSE),"")</f>
        <v>パトドッグ ポチ</v>
      </c>
      <c r="AA246" s="5">
        <f ca="1">IFERROR(VLOOKUP($Y246,OFFSET([3]characters!$A$1,0,0,COUNTA([3]characters!$A:$A),MATCH(AA$1,[3]characters!$2:$2,0)-MATCH("character_id",[3]characters!$2:$2,0)+1),MATCH(AA$1,[3]characters!$2:$2,0)-MATCH("character_id",[3]characters!$2:$2,0)+1,FALSE),"")</f>
        <v>1</v>
      </c>
      <c r="AB246" s="5" t="str">
        <f ca="1">IFERROR(VLOOKUP($Y246,OFFSET([3]characters!$A$1,0,0,COUNTA([3]characters!$A:$A),MATCH(AB$1,[3]characters!$2:$2,0)-MATCH("character_id",[3]characters!$2:$2,0)+1),MATCH(AB$1,[3]characters!$2:$2,0)-MATCH("character_id",[3]characters!$2:$2,0)+1,FALSE),"")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246" s="8">
        <v>1</v>
      </c>
      <c r="AD246" s="34">
        <f t="shared" ca="1" si="188"/>
        <v>1</v>
      </c>
      <c r="AE246" s="9">
        <v>0</v>
      </c>
      <c r="AF246" s="8">
        <v>0</v>
      </c>
      <c r="AG246" s="8">
        <v>0</v>
      </c>
      <c r="AH246" s="8">
        <v>0</v>
      </c>
      <c r="AI246" s="8">
        <v>0</v>
      </c>
      <c r="AJ246" s="8">
        <v>1</v>
      </c>
    </row>
    <row r="247" spans="1:36" ht="21" customHeight="1">
      <c r="A247" s="21" t="str">
        <f t="shared" ca="1" si="185"/>
        <v>11106_1-3/7&lt;lv5&gt;s2</v>
      </c>
      <c r="B247" s="8">
        <v>11106</v>
      </c>
      <c r="C247" s="32">
        <v>1</v>
      </c>
      <c r="D247" s="2" t="str">
        <f t="shared" si="186"/>
        <v>11106_1</v>
      </c>
      <c r="E247" s="5" t="str">
        <f ca="1">VLOOKUP($B247,OFFSET([1]quests!$A$1,0,0,COUNTA([1]quests!$A:$A),MATCH(E$1,[1]quests!$1:$1,0)-MATCH($B$1,[1]quests!$1:$1,0)+1),MATCH(E$1,[1]quests!$1:$1,0)-MATCH($B$1,[1]quests!$1:$1,0)+1,FALSE)</f>
        <v>【キャンペーン限定】 ゴールドカジノ</v>
      </c>
      <c r="F247" s="5" t="str">
        <f ca="1">VLOOKUP($D247,OFFSET([1]stages!$A$1,0,0,COUNTA([1]stages!$A:$A),MATCH(F$1,[1]stages!$2:$2,0)-MATCH($D$1,[1]stages!$2:$2,0)+1),MATCH(F$1,[1]stages!$2:$2,0)-MATCH($D$1,[1]stages!$2:$2,0)+1,FALSE)</f>
        <v>ゴールドカジノ 【初級】</v>
      </c>
      <c r="G247" s="32">
        <v>3</v>
      </c>
      <c r="H247" s="20" t="str">
        <f t="shared" si="187"/>
        <v>11106_1-3</v>
      </c>
      <c r="I247" s="31">
        <v>7</v>
      </c>
      <c r="J247" s="26" t="str">
        <f ca="1">VLOOKUP($I247,OFFSET([2]enemies!$A$1,0,0,COUNTA([2]enemies!$A:$A),MATCH(J$1,[2]enemies!$2:$2,0)-MATCH($I$1,[2]enemies!$2:$2,0)+1),MATCH(J$1,[2]enemies!$2:$2,0)-MATCH($I$1,[2]enemies!$2:$2,0)+1,FALSE)</f>
        <v>エレキポット</v>
      </c>
      <c r="K247" s="29" t="str">
        <f ca="1">VLOOKUP($I247,OFFSET([2]enemies!$A$1,0,0,COUNTA([2]enemies!$A:$A),MATCH(K$1,[2]enemies!$2:$2,0)-MATCH($I$1,[2]enemies!$2:$2,0)+1),MATCH(K$1,[2]enemies!$2:$2,0)-MATCH($I$1,[2]enemies!$2:$2,0)+1,FALSE)</f>
        <v>yellow</v>
      </c>
      <c r="L247" s="29" t="str">
        <f ca="1">VLOOKUP($I247,OFFSET([3]characters!$A$1,0,0,COUNTA([3]characters!$A:$A),MATCH(L$1,[3]characters!$2:$2,0)-MATCH($I$1,[3]characters!$2:$2,0)+1),MATCH(L$1,[3]characters!$2:$2,0)-MATCH($I$1,[3]characters!$2:$2,0)+1,FALSE)</f>
        <v>Drop1T</v>
      </c>
      <c r="M247" s="28" t="str">
        <f ca="1">VLOOKUP($I247,OFFSET([3]characters!$A$1,0,0,COUNTA([3]characters!$A:$A),MATCH(M$1,[3]characters!$2:$2,0)-MATCH($I$1,[3]characters!$2:$2,0)+2),MATCH(M$1,[3]characters!$2:$2,0)-MATCH($I$1,[3]characters!$2:$2,0)+2,FALSE)</f>
        <v>Unknown</v>
      </c>
      <c r="N247" s="5">
        <f ca="1">VLOOKUP($I247,OFFSET([2]enemies!$A$1,0,0,COUNTA([2]enemies!$A:$A),MATCH(N$1,[2]enemies!$2:$2,0)-MATCH($I$1,[2]enemies!$2:$2,0)+1),MATCH(N$1,[2]enemies!$2:$2,0)-MATCH($I$1,[2]enemies!$2:$2,0)+1,FALSE)</f>
        <v>15</v>
      </c>
      <c r="O247" s="6">
        <v>5</v>
      </c>
      <c r="P247" s="46">
        <v>1</v>
      </c>
      <c r="Q247" s="46">
        <v>1</v>
      </c>
      <c r="R247" s="6">
        <v>0</v>
      </c>
      <c r="S247" s="5" t="str">
        <f ca="1">VLOOKUP($T247,OFFSET([4]enemy_skill_sets!$B$1,0,0,COUNTA([4]enemy_skill_sets!$B:$B),MATCH(J$1,[4]enemy_skill_sets!$1:$1,0)-MATCH($T$1,[4]enemy_skill_sets!$1:$1,0)+2),MATCH(J$1,[4]enemy_skill_sets!$1:$1,0)-MATCH($T$1,[4]enemy_skill_sets!$1:$1,0)+2,FALSE)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7" s="5">
        <f ca="1">VLOOKUP($I247,OFFSET([2]enemies!$A$1,0,0,COUNTA([2]enemies!$A:$A),MATCH(T$1,[2]enemies!$2:$2,0)-MATCH($I$1,[2]enemies!$2:$2,0)+1),MATCH(T$1,[2]enemies!$2:$2,0)-MATCH($I$1,[2]enemies!$2:$2,0)+1,FALSE)</f>
        <v>0</v>
      </c>
      <c r="U247" s="7">
        <v>0</v>
      </c>
      <c r="V247" s="7">
        <v>100</v>
      </c>
      <c r="W247" s="7">
        <v>0</v>
      </c>
      <c r="X247" s="26">
        <f ca="1">VLOOKUP($I247,OFFSET([2]enemies!$A$1,0,0,COUNTA([2]enemies!$A:$A),MATCH(X$1,[2]enemies!$2:$2,0)-MATCH($I$1,[2]enemies!$2:$2,0)+1),MATCH(X$1,[2]enemies!$2:$2,0)-MATCH($I$1,[2]enemies!$2:$2,0)+1,FALSE)</f>
        <v>2</v>
      </c>
      <c r="Y247" s="31">
        <v>7</v>
      </c>
      <c r="Z247" s="5" t="str">
        <f ca="1">IFERROR(VLOOKUP($Y247,OFFSET([3]characters!$A$1,0,0,COUNTA([3]characters!$A:$A),MATCH(Z$1,[3]characters!$2:$2,0)-MATCH("character_id",[3]characters!$2:$2,0)+1),MATCH(Z$1,[3]characters!$2:$2,0)-MATCH("character_id",[3]characters!$2:$2,0)+1,FALSE),"")</f>
        <v>エレキポット</v>
      </c>
      <c r="AA247" s="5">
        <f ca="1">IFERROR(VLOOKUP($Y247,OFFSET([3]characters!$A$1,0,0,COUNTA([3]characters!$A:$A),MATCH(AA$1,[3]characters!$2:$2,0)-MATCH("character_id",[3]characters!$2:$2,0)+1),MATCH(AA$1,[3]characters!$2:$2,0)-MATCH("character_id",[3]characters!$2:$2,0)+1,FALSE),"")</f>
        <v>1</v>
      </c>
      <c r="AB247" s="5" t="str">
        <f ca="1">IFERROR(VLOOKUP($Y247,OFFSET([3]characters!$A$1,0,0,COUNTA([3]characters!$A:$A),MATCH(AB$1,[3]characters!$2:$2,0)-MATCH("character_id",[3]characters!$2:$2,0)+1),MATCH(AB$1,[3]characters!$2:$2,0)-MATCH("character_id",[3]characters!$2:$2,0)+1,FALSE),"")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247" s="8">
        <v>1</v>
      </c>
      <c r="AD247" s="34">
        <f t="shared" ca="1" si="188"/>
        <v>1</v>
      </c>
      <c r="AE247" s="9">
        <v>0</v>
      </c>
      <c r="AF247" s="8">
        <v>0</v>
      </c>
      <c r="AG247" s="8">
        <v>0</v>
      </c>
      <c r="AH247" s="8">
        <v>0</v>
      </c>
      <c r="AI247" s="8">
        <v>0</v>
      </c>
      <c r="AJ247" s="8">
        <v>1</v>
      </c>
    </row>
    <row r="248" spans="1:36" ht="21" customHeight="1">
      <c r="A248" s="21" t="str">
        <f t="shared" ca="1" si="165"/>
        <v>11106_1-4/117&lt;lv2&gt;s1</v>
      </c>
      <c r="B248" s="8">
        <v>11106</v>
      </c>
      <c r="C248" s="32">
        <v>1</v>
      </c>
      <c r="D248" s="2" t="str">
        <f t="shared" si="166"/>
        <v>11106_1</v>
      </c>
      <c r="E248" s="5" t="str">
        <f ca="1">VLOOKUP($B248,OFFSET([1]quests!$A$1,0,0,COUNTA([1]quests!$A:$A),MATCH(E$1,[1]quests!$1:$1,0)-MATCH($B$1,[1]quests!$1:$1,0)+1),MATCH(E$1,[1]quests!$1:$1,0)-MATCH($B$1,[1]quests!$1:$1,0)+1,FALSE)</f>
        <v>【キャンペーン限定】 ゴールドカジノ</v>
      </c>
      <c r="F248" s="5" t="str">
        <f ca="1">VLOOKUP($D248,OFFSET([1]stages!$A$1,0,0,COUNTA([1]stages!$A:$A),MATCH(F$1,[1]stages!$2:$2,0)-MATCH($D$1,[1]stages!$2:$2,0)+1),MATCH(F$1,[1]stages!$2:$2,0)-MATCH($D$1,[1]stages!$2:$2,0)+1,FALSE)</f>
        <v>ゴールドカジノ 【初級】</v>
      </c>
      <c r="G248" s="32">
        <v>4</v>
      </c>
      <c r="H248" s="20" t="str">
        <f t="shared" si="167"/>
        <v>11106_1-4</v>
      </c>
      <c r="I248" s="31">
        <v>117</v>
      </c>
      <c r="J248" s="26" t="str">
        <f ca="1">VLOOKUP($I248,OFFSET([2]enemies!$A$1,0,0,COUNTA([2]enemies!$A:$A),MATCH(J$1,[2]enemies!$2:$2,0)-MATCH($I$1,[2]enemies!$2:$2,0)+1),MATCH(J$1,[2]enemies!$2:$2,0)-MATCH($I$1,[2]enemies!$2:$2,0)+1,FALSE)</f>
        <v>ゴールドピヨピヨ</v>
      </c>
      <c r="K248" s="29" t="str">
        <f ca="1">VLOOKUP($I248,OFFSET([2]enemies!$A$1,0,0,COUNTA([2]enemies!$A:$A),MATCH(K$1,[2]enemies!$2:$2,0)-MATCH($I$1,[2]enemies!$2:$2,0)+1),MATCH(K$1,[2]enemies!$2:$2,0)-MATCH($I$1,[2]enemies!$2:$2,0)+1,FALSE)</f>
        <v>yellow</v>
      </c>
      <c r="L248" s="29" t="str">
        <f ca="1">VLOOKUP($I248,OFFSET([3]characters!$A$1,0,0,COUNTA([3]characters!$A:$A),MATCH(L$1,[3]characters!$2:$2,0)-MATCH($I$1,[3]characters!$2:$2,0)+1),MATCH(L$1,[3]characters!$2:$2,0)-MATCH($I$1,[3]characters!$2:$2,0)+1,FALSE)</f>
        <v>Material</v>
      </c>
      <c r="M248" s="28" t="str">
        <f ca="1">VLOOKUP($I248,OFFSET([3]characters!$A$1,0,0,COUNTA([3]characters!$A:$A),MATCH(M$1,[3]characters!$2:$2,0)-MATCH($I$1,[3]characters!$2:$2,0)+2),MATCH(M$1,[3]characters!$2:$2,0)-MATCH($I$1,[3]characters!$2:$2,0)+2,FALSE)</f>
        <v>Unknown</v>
      </c>
      <c r="N248" s="5">
        <f ca="1">VLOOKUP($I248,OFFSET([2]enemies!$A$1,0,0,COUNTA([2]enemies!$A:$A),MATCH(N$1,[2]enemies!$2:$2,0)-MATCH($I$1,[2]enemies!$2:$2,0)+1),MATCH(N$1,[2]enemies!$2:$2,0)-MATCH($I$1,[2]enemies!$2:$2,0)+1,FALSE)</f>
        <v>15</v>
      </c>
      <c r="O248" s="6">
        <v>2</v>
      </c>
      <c r="P248" s="48">
        <v>7.5</v>
      </c>
      <c r="Q248" s="46">
        <v>11</v>
      </c>
      <c r="R248" s="6">
        <v>0</v>
      </c>
      <c r="S248" s="5" t="str">
        <f ca="1">VLOOKUP($T248,OFFSET([4]enemy_skill_sets!$B$1,0,0,COUNTA([4]enemy_skill_sets!$B:$B),MATCH(J$1,[4]enemy_skill_sets!$1:$1,0)-MATCH($T$1,[4]enemy_skill_sets!$1:$1,0)+2),MATCH(J$1,[4]enemy_skill_sets!$1:$1,0)-MATCH($T$1,[4]enemy_skill_sets!$1:$1,0)+2,FALSE)</f>
        <v>攻撃力10倍の自爆攻撃！</v>
      </c>
      <c r="T248" s="42">
        <v>11702</v>
      </c>
      <c r="U248" s="7">
        <v>1</v>
      </c>
      <c r="V248" s="7">
        <v>100</v>
      </c>
      <c r="W248" s="7">
        <v>0</v>
      </c>
      <c r="X248" s="26">
        <f ca="1">VLOOKUP($I248,OFFSET([2]enemies!$A$1,0,0,COUNTA([2]enemies!$A:$A),MATCH(X$1,[2]enemies!$2:$2,0)-MATCH($I$1,[2]enemies!$2:$2,0)+1),MATCH(X$1,[2]enemies!$2:$2,0)-MATCH($I$1,[2]enemies!$2:$2,0)+1,FALSE)</f>
        <v>1</v>
      </c>
      <c r="Y248" s="31">
        <v>117</v>
      </c>
      <c r="Z248" s="5" t="str">
        <f ca="1">IFERROR(VLOOKUP($Y248,OFFSET([3]characters!$A$1,0,0,COUNTA([3]characters!$A:$A),MATCH(Z$1,[3]characters!$2:$2,0)-MATCH("character_id",[3]characters!$2:$2,0)+1),MATCH(Z$1,[3]characters!$2:$2,0)-MATCH("character_id",[3]characters!$2:$2,0)+1,FALSE),"")</f>
        <v>ゴールドピヨピヨ</v>
      </c>
      <c r="AA248" s="5">
        <f ca="1">IFERROR(VLOOKUP($Y248,OFFSET([3]characters!$A$1,0,0,COUNTA([3]characters!$A:$A),MATCH(AA$1,[3]characters!$2:$2,0)-MATCH("character_id",[3]characters!$2:$2,0)+1),MATCH(AA$1,[3]characters!$2:$2,0)-MATCH("character_id",[3]characters!$2:$2,0)+1,FALSE),"")</f>
        <v>3</v>
      </c>
      <c r="AB248" s="5" t="str">
        <f ca="1">IFERROR(VLOOKUP($Y248,OFFSET([3]characters!$A$1,0,0,COUNTA([3]characters!$A:$A),MATCH(AB$1,[3]characters!$2:$2,0)-MATCH("character_id",[3]characters!$2:$2,0)+1),MATCH(AB$1,[3]characters!$2:$2,0)-MATCH("character_id",[3]characters!$2:$2,0)+1,FALSE),"")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48" s="8">
        <v>1</v>
      </c>
      <c r="AD248" s="34">
        <f t="shared" ca="1" si="168"/>
        <v>3</v>
      </c>
      <c r="AE248" s="9">
        <v>30</v>
      </c>
      <c r="AF248" s="8">
        <v>0</v>
      </c>
      <c r="AG248" s="8">
        <v>0</v>
      </c>
      <c r="AH248" s="8">
        <v>0</v>
      </c>
      <c r="AI248" s="8">
        <v>0</v>
      </c>
      <c r="AJ248" s="8">
        <v>1</v>
      </c>
    </row>
    <row r="249" spans="1:36" ht="21" customHeight="1">
      <c r="A249" s="21" t="str">
        <f t="shared" ca="1" si="165"/>
        <v>11106_1-4/118&lt;lv2&gt;s2</v>
      </c>
      <c r="B249" s="8">
        <v>11106</v>
      </c>
      <c r="C249" s="32">
        <v>1</v>
      </c>
      <c r="D249" s="2" t="str">
        <f t="shared" si="166"/>
        <v>11106_1</v>
      </c>
      <c r="E249" s="5" t="str">
        <f ca="1">VLOOKUP($B249,OFFSET([1]quests!$A$1,0,0,COUNTA([1]quests!$A:$A),MATCH(E$1,[1]quests!$1:$1,0)-MATCH($B$1,[1]quests!$1:$1,0)+1),MATCH(E$1,[1]quests!$1:$1,0)-MATCH($B$1,[1]quests!$1:$1,0)+1,FALSE)</f>
        <v>【キャンペーン限定】 ゴールドカジノ</v>
      </c>
      <c r="F249" s="5" t="str">
        <f ca="1">VLOOKUP($D249,OFFSET([1]stages!$A$1,0,0,COUNTA([1]stages!$A:$A),MATCH(F$1,[1]stages!$2:$2,0)-MATCH($D$1,[1]stages!$2:$2,0)+1),MATCH(F$1,[1]stages!$2:$2,0)-MATCH($D$1,[1]stages!$2:$2,0)+1,FALSE)</f>
        <v>ゴールドカジノ 【初級】</v>
      </c>
      <c r="G249" s="32">
        <v>4</v>
      </c>
      <c r="H249" s="20" t="str">
        <f t="shared" si="167"/>
        <v>11106_1-4</v>
      </c>
      <c r="I249" s="31">
        <v>118</v>
      </c>
      <c r="J249" s="26" t="str">
        <f ca="1">VLOOKUP($I249,OFFSET([2]enemies!$A$1,0,0,COUNTA([2]enemies!$A:$A),MATCH(J$1,[2]enemies!$2:$2,0)-MATCH($I$1,[2]enemies!$2:$2,0)+1),MATCH(J$1,[2]enemies!$2:$2,0)-MATCH($I$1,[2]enemies!$2:$2,0)+1,FALSE)</f>
        <v>ゴールドチック</v>
      </c>
      <c r="K249" s="29" t="str">
        <f ca="1">VLOOKUP($I249,OFFSET([2]enemies!$A$1,0,0,COUNTA([2]enemies!$A:$A),MATCH(K$1,[2]enemies!$2:$2,0)-MATCH($I$1,[2]enemies!$2:$2,0)+1),MATCH(K$1,[2]enemies!$2:$2,0)-MATCH($I$1,[2]enemies!$2:$2,0)+1,FALSE)</f>
        <v>yellow</v>
      </c>
      <c r="L249" s="29" t="str">
        <f ca="1">VLOOKUP($I249,OFFSET([3]characters!$A$1,0,0,COUNTA([3]characters!$A:$A),MATCH(L$1,[3]characters!$2:$2,0)-MATCH($I$1,[3]characters!$2:$2,0)+1),MATCH(L$1,[3]characters!$2:$2,0)-MATCH($I$1,[3]characters!$2:$2,0)+1,FALSE)</f>
        <v>Material</v>
      </c>
      <c r="M249" s="28" t="str">
        <f ca="1">VLOOKUP($I249,OFFSET([3]characters!$A$1,0,0,COUNTA([3]characters!$A:$A),MATCH(M$1,[3]characters!$2:$2,0)-MATCH($I$1,[3]characters!$2:$2,0)+2),MATCH(M$1,[3]characters!$2:$2,0)-MATCH($I$1,[3]characters!$2:$2,0)+2,FALSE)</f>
        <v>Unknown</v>
      </c>
      <c r="N249" s="5">
        <f ca="1">VLOOKUP($I249,OFFSET([2]enemies!$A$1,0,0,COUNTA([2]enemies!$A:$A),MATCH(N$1,[2]enemies!$2:$2,0)-MATCH($I$1,[2]enemies!$2:$2,0)+1),MATCH(N$1,[2]enemies!$2:$2,0)-MATCH($I$1,[2]enemies!$2:$2,0)+1,FALSE)</f>
        <v>15</v>
      </c>
      <c r="O249" s="6">
        <v>2</v>
      </c>
      <c r="P249" s="48">
        <v>7.5</v>
      </c>
      <c r="Q249" s="46">
        <v>10</v>
      </c>
      <c r="R249" s="6">
        <v>0</v>
      </c>
      <c r="S249" s="5" t="str">
        <f ca="1">VLOOKUP($T249,OFFSET([4]enemy_skill_sets!$B$1,0,0,COUNTA([4]enemy_skill_sets!$B:$B),MATCH(J$1,[4]enemy_skill_sets!$1:$1,0)-MATCH($T$1,[4]enemy_skill_sets!$1:$1,0)+2),MATCH(J$1,[4]enemy_skill_sets!$1:$1,0)-MATCH($T$1,[4]enemy_skill_sets!$1:$1,0)+2,FALSE)</f>
        <v>攻撃力10倍の自爆攻撃！</v>
      </c>
      <c r="T249" s="42">
        <v>11702</v>
      </c>
      <c r="U249" s="7">
        <v>1</v>
      </c>
      <c r="V249" s="7">
        <v>100</v>
      </c>
      <c r="W249" s="7">
        <v>0</v>
      </c>
      <c r="X249" s="26">
        <f ca="1">VLOOKUP($I249,OFFSET([2]enemies!$A$1,0,0,COUNTA([2]enemies!$A:$A),MATCH(X$1,[2]enemies!$2:$2,0)-MATCH($I$1,[2]enemies!$2:$2,0)+1),MATCH(X$1,[2]enemies!$2:$2,0)-MATCH($I$1,[2]enemies!$2:$2,0)+1,FALSE)</f>
        <v>2</v>
      </c>
      <c r="Y249" s="31">
        <v>118</v>
      </c>
      <c r="Z249" s="5" t="str">
        <f ca="1">IFERROR(VLOOKUP($Y249,OFFSET([3]characters!$A$1,0,0,COUNTA([3]characters!$A:$A),MATCH(Z$1,[3]characters!$2:$2,0)-MATCH("character_id",[3]characters!$2:$2,0)+1),MATCH(Z$1,[3]characters!$2:$2,0)-MATCH("character_id",[3]characters!$2:$2,0)+1,FALSE),"")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249" s="5">
        <f ca="1">IFERROR(VLOOKUP($Y249,OFFSET([3]characters!$A$1,0,0,COUNTA([3]characters!$A:$A),MATCH(AA$1,[3]characters!$2:$2,0)-MATCH("character_id",[3]characters!$2:$2,0)+1),MATCH(AA$1,[3]characters!$2:$2,0)-MATCH("character_id",[3]characters!$2:$2,0)+1,FALSE),"")</f>
        <v>4</v>
      </c>
      <c r="AB249" s="5" t="str">
        <f ca="1">IFERROR(VLOOKUP($Y249,OFFSET([3]characters!$A$1,0,0,COUNTA([3]characters!$A:$A),MATCH(AB$1,[3]characters!$2:$2,0)-MATCH("character_id",[3]characters!$2:$2,0)+1),MATCH(AB$1,[3]characters!$2:$2,0)-MATCH("character_id",[3]characters!$2:$2,0)+1,FALSE),"")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49" s="8">
        <v>1</v>
      </c>
      <c r="AD249" s="34">
        <f t="shared" ca="1" si="168"/>
        <v>4</v>
      </c>
      <c r="AE249" s="9">
        <v>30</v>
      </c>
      <c r="AF249" s="8">
        <v>0</v>
      </c>
      <c r="AG249" s="8">
        <v>0</v>
      </c>
      <c r="AH249" s="8">
        <v>0</v>
      </c>
      <c r="AI249" s="8">
        <v>0</v>
      </c>
      <c r="AJ249" s="8">
        <v>1</v>
      </c>
    </row>
    <row r="250" spans="1:36" ht="21" customHeight="1">
      <c r="A250" s="21" t="str">
        <f t="shared" ref="A250:A255" ca="1" si="189">B250&amp;"_"&amp;C250&amp;"-"&amp;G250&amp;"/"&amp;I250&amp;"&lt;lv"&amp;O250&amp;"&gt;s"&amp;X250</f>
        <v>11106_1-4/117&lt;lv1&gt;s1</v>
      </c>
      <c r="B250" s="8">
        <v>11106</v>
      </c>
      <c r="C250" s="32">
        <v>1</v>
      </c>
      <c r="D250" s="2" t="str">
        <f t="shared" ref="D250:D255" si="190">B250&amp;"_"&amp;C250</f>
        <v>11106_1</v>
      </c>
      <c r="E250" s="5" t="str">
        <f ca="1">VLOOKUP($B250,OFFSET([1]quests!$A$1,0,0,COUNTA([1]quests!$A:$A),MATCH(E$1,[1]quests!$1:$1,0)-MATCH($B$1,[1]quests!$1:$1,0)+1),MATCH(E$1,[1]quests!$1:$1,0)-MATCH($B$1,[1]quests!$1:$1,0)+1,FALSE)</f>
        <v>【キャンペーン限定】 ゴールドカジノ</v>
      </c>
      <c r="F250" s="5" t="str">
        <f ca="1">VLOOKUP($D250,OFFSET([1]stages!$A$1,0,0,COUNTA([1]stages!$A:$A),MATCH(F$1,[1]stages!$2:$2,0)-MATCH($D$1,[1]stages!$2:$2,0)+1),MATCH(F$1,[1]stages!$2:$2,0)-MATCH($D$1,[1]stages!$2:$2,0)+1,FALSE)</f>
        <v>ゴールドカジノ 【初級】</v>
      </c>
      <c r="G250" s="32">
        <v>4</v>
      </c>
      <c r="H250" s="20" t="str">
        <f t="shared" ref="H250:H255" si="191">B250&amp;"_"&amp;C250&amp;"-"&amp;G250</f>
        <v>11106_1-4</v>
      </c>
      <c r="I250" s="31">
        <v>117</v>
      </c>
      <c r="J250" s="26" t="str">
        <f ca="1">VLOOKUP($I250,OFFSET([2]enemies!$A$1,0,0,COUNTA([2]enemies!$A:$A),MATCH(J$1,[2]enemies!$2:$2,0)-MATCH($I$1,[2]enemies!$2:$2,0)+1),MATCH(J$1,[2]enemies!$2:$2,0)-MATCH($I$1,[2]enemies!$2:$2,0)+1,FALSE)</f>
        <v>ゴールドピヨピヨ</v>
      </c>
      <c r="K250" s="29" t="str">
        <f ca="1">VLOOKUP($I250,OFFSET([2]enemies!$A$1,0,0,COUNTA([2]enemies!$A:$A),MATCH(K$1,[2]enemies!$2:$2,0)-MATCH($I$1,[2]enemies!$2:$2,0)+1),MATCH(K$1,[2]enemies!$2:$2,0)-MATCH($I$1,[2]enemies!$2:$2,0)+1,FALSE)</f>
        <v>yellow</v>
      </c>
      <c r="L250" s="29" t="str">
        <f ca="1">VLOOKUP($I250,OFFSET([3]characters!$A$1,0,0,COUNTA([3]characters!$A:$A),MATCH(L$1,[3]characters!$2:$2,0)-MATCH($I$1,[3]characters!$2:$2,0)+1),MATCH(L$1,[3]characters!$2:$2,0)-MATCH($I$1,[3]characters!$2:$2,0)+1,FALSE)</f>
        <v>Material</v>
      </c>
      <c r="M250" s="28" t="str">
        <f ca="1">VLOOKUP($I250,OFFSET([3]characters!$A$1,0,0,COUNTA([3]characters!$A:$A),MATCH(M$1,[3]characters!$2:$2,0)-MATCH($I$1,[3]characters!$2:$2,0)+2),MATCH(M$1,[3]characters!$2:$2,0)-MATCH($I$1,[3]characters!$2:$2,0)+2,FALSE)</f>
        <v>Unknown</v>
      </c>
      <c r="N250" s="5">
        <f ca="1">VLOOKUP($I250,OFFSET([2]enemies!$A$1,0,0,COUNTA([2]enemies!$A:$A),MATCH(N$1,[2]enemies!$2:$2,0)-MATCH($I$1,[2]enemies!$2:$2,0)+1),MATCH(N$1,[2]enemies!$2:$2,0)-MATCH($I$1,[2]enemies!$2:$2,0)+1,FALSE)</f>
        <v>15</v>
      </c>
      <c r="O250" s="6">
        <v>1</v>
      </c>
      <c r="P250" s="48">
        <v>10.5</v>
      </c>
      <c r="Q250" s="46">
        <v>11</v>
      </c>
      <c r="R250" s="6">
        <v>0</v>
      </c>
      <c r="S250" s="5" t="str">
        <f ca="1">VLOOKUP($T250,OFFSET([4]enemy_skill_sets!$B$1,0,0,COUNTA([4]enemy_skill_sets!$B:$B),MATCH(J$1,[4]enemy_skill_sets!$1:$1,0)-MATCH($T$1,[4]enemy_skill_sets!$1:$1,0)+2),MATCH(J$1,[4]enemy_skill_sets!$1:$1,0)-MATCH($T$1,[4]enemy_skill_sets!$1:$1,0)+2,FALSE)</f>
        <v>攻撃力10倍の自爆攻撃！</v>
      </c>
      <c r="T250" s="42">
        <v>11702</v>
      </c>
      <c r="U250" s="7">
        <v>0</v>
      </c>
      <c r="V250" s="7">
        <v>100</v>
      </c>
      <c r="W250" s="7">
        <v>0</v>
      </c>
      <c r="X250" s="26">
        <f ca="1">VLOOKUP($I250,OFFSET([2]enemies!$A$1,0,0,COUNTA([2]enemies!$A:$A),MATCH(X$1,[2]enemies!$2:$2,0)-MATCH($I$1,[2]enemies!$2:$2,0)+1),MATCH(X$1,[2]enemies!$2:$2,0)-MATCH($I$1,[2]enemies!$2:$2,0)+1,FALSE)</f>
        <v>1</v>
      </c>
      <c r="Y250" s="31">
        <v>117</v>
      </c>
      <c r="Z250" s="5" t="str">
        <f ca="1">IFERROR(VLOOKUP($Y250,OFFSET([3]characters!$A$1,0,0,COUNTA([3]characters!$A:$A),MATCH(Z$1,[3]characters!$2:$2,0)-MATCH("character_id",[3]characters!$2:$2,0)+1),MATCH(Z$1,[3]characters!$2:$2,0)-MATCH("character_id",[3]characters!$2:$2,0)+1,FALSE),"")</f>
        <v>ゴールドピヨピヨ</v>
      </c>
      <c r="AA250" s="5">
        <f ca="1">IFERROR(VLOOKUP($Y250,OFFSET([3]characters!$A$1,0,0,COUNTA([3]characters!$A:$A),MATCH(AA$1,[3]characters!$2:$2,0)-MATCH("character_id",[3]characters!$2:$2,0)+1),MATCH(AA$1,[3]characters!$2:$2,0)-MATCH("character_id",[3]characters!$2:$2,0)+1,FALSE),"")</f>
        <v>3</v>
      </c>
      <c r="AB250" s="5" t="str">
        <f ca="1">IFERROR(VLOOKUP($Y250,OFFSET([3]characters!$A$1,0,0,COUNTA([3]characters!$A:$A),MATCH(AB$1,[3]characters!$2:$2,0)-MATCH("character_id",[3]characters!$2:$2,0)+1),MATCH(AB$1,[3]characters!$2:$2,0)-MATCH("character_id",[3]characters!$2:$2,0)+1,FALSE),"")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50" s="8">
        <v>1</v>
      </c>
      <c r="AD250" s="34">
        <f t="shared" ref="AD250:AD255" ca="1" si="192">AA250</f>
        <v>3</v>
      </c>
      <c r="AE250" s="9">
        <v>30</v>
      </c>
      <c r="AF250" s="8">
        <v>0</v>
      </c>
      <c r="AG250" s="8">
        <v>0</v>
      </c>
      <c r="AH250" s="8">
        <v>0</v>
      </c>
      <c r="AI250" s="8">
        <v>0</v>
      </c>
      <c r="AJ250" s="8">
        <v>1</v>
      </c>
    </row>
    <row r="251" spans="1:36" ht="21" customHeight="1">
      <c r="A251" s="21" t="str">
        <f t="shared" ca="1" si="189"/>
        <v>11106_1-4/118&lt;lv1&gt;s2</v>
      </c>
      <c r="B251" s="8">
        <v>11106</v>
      </c>
      <c r="C251" s="32">
        <v>1</v>
      </c>
      <c r="D251" s="2" t="str">
        <f t="shared" si="190"/>
        <v>11106_1</v>
      </c>
      <c r="E251" s="5" t="str">
        <f ca="1">VLOOKUP($B251,OFFSET([1]quests!$A$1,0,0,COUNTA([1]quests!$A:$A),MATCH(E$1,[1]quests!$1:$1,0)-MATCH($B$1,[1]quests!$1:$1,0)+1),MATCH(E$1,[1]quests!$1:$1,0)-MATCH($B$1,[1]quests!$1:$1,0)+1,FALSE)</f>
        <v>【キャンペーン限定】 ゴールドカジノ</v>
      </c>
      <c r="F251" s="5" t="str">
        <f ca="1">VLOOKUP($D251,OFFSET([1]stages!$A$1,0,0,COUNTA([1]stages!$A:$A),MATCH(F$1,[1]stages!$2:$2,0)-MATCH($D$1,[1]stages!$2:$2,0)+1),MATCH(F$1,[1]stages!$2:$2,0)-MATCH($D$1,[1]stages!$2:$2,0)+1,FALSE)</f>
        <v>ゴールドカジノ 【初級】</v>
      </c>
      <c r="G251" s="32">
        <v>4</v>
      </c>
      <c r="H251" s="20" t="str">
        <f t="shared" si="191"/>
        <v>11106_1-4</v>
      </c>
      <c r="I251" s="31">
        <v>118</v>
      </c>
      <c r="J251" s="26" t="str">
        <f ca="1">VLOOKUP($I251,OFFSET([2]enemies!$A$1,0,0,COUNTA([2]enemies!$A:$A),MATCH(J$1,[2]enemies!$2:$2,0)-MATCH($I$1,[2]enemies!$2:$2,0)+1),MATCH(J$1,[2]enemies!$2:$2,0)-MATCH($I$1,[2]enemies!$2:$2,0)+1,FALSE)</f>
        <v>ゴールドチック</v>
      </c>
      <c r="K251" s="29" t="str">
        <f ca="1">VLOOKUP($I251,OFFSET([2]enemies!$A$1,0,0,COUNTA([2]enemies!$A:$A),MATCH(K$1,[2]enemies!$2:$2,0)-MATCH($I$1,[2]enemies!$2:$2,0)+1),MATCH(K$1,[2]enemies!$2:$2,0)-MATCH($I$1,[2]enemies!$2:$2,0)+1,FALSE)</f>
        <v>yellow</v>
      </c>
      <c r="L251" s="29" t="str">
        <f ca="1">VLOOKUP($I251,OFFSET([3]characters!$A$1,0,0,COUNTA([3]characters!$A:$A),MATCH(L$1,[3]characters!$2:$2,0)-MATCH($I$1,[3]characters!$2:$2,0)+1),MATCH(L$1,[3]characters!$2:$2,0)-MATCH($I$1,[3]characters!$2:$2,0)+1,FALSE)</f>
        <v>Material</v>
      </c>
      <c r="M251" s="28" t="str">
        <f ca="1">VLOOKUP($I251,OFFSET([3]characters!$A$1,0,0,COUNTA([3]characters!$A:$A),MATCH(M$1,[3]characters!$2:$2,0)-MATCH($I$1,[3]characters!$2:$2,0)+2),MATCH(M$1,[3]characters!$2:$2,0)-MATCH($I$1,[3]characters!$2:$2,0)+2,FALSE)</f>
        <v>Unknown</v>
      </c>
      <c r="N251" s="5">
        <f ca="1">VLOOKUP($I251,OFFSET([2]enemies!$A$1,0,0,COUNTA([2]enemies!$A:$A),MATCH(N$1,[2]enemies!$2:$2,0)-MATCH($I$1,[2]enemies!$2:$2,0)+1),MATCH(N$1,[2]enemies!$2:$2,0)-MATCH($I$1,[2]enemies!$2:$2,0)+1,FALSE)</f>
        <v>15</v>
      </c>
      <c r="O251" s="6">
        <v>1</v>
      </c>
      <c r="P251" s="48">
        <v>10.5</v>
      </c>
      <c r="Q251" s="46">
        <v>10</v>
      </c>
      <c r="R251" s="6">
        <v>0</v>
      </c>
      <c r="S251" s="5" t="str">
        <f ca="1">VLOOKUP($T251,OFFSET([4]enemy_skill_sets!$B$1,0,0,COUNTA([4]enemy_skill_sets!$B:$B),MATCH(J$1,[4]enemy_skill_sets!$1:$1,0)-MATCH($T$1,[4]enemy_skill_sets!$1:$1,0)+2),MATCH(J$1,[4]enemy_skill_sets!$1:$1,0)-MATCH($T$1,[4]enemy_skill_sets!$1:$1,0)+2,FALSE)</f>
        <v>攻撃力10倍の自爆攻撃！</v>
      </c>
      <c r="T251" s="42">
        <v>11702</v>
      </c>
      <c r="U251" s="7">
        <v>0</v>
      </c>
      <c r="V251" s="7">
        <v>100</v>
      </c>
      <c r="W251" s="7">
        <v>0</v>
      </c>
      <c r="X251" s="26">
        <f ca="1">VLOOKUP($I251,OFFSET([2]enemies!$A$1,0,0,COUNTA([2]enemies!$A:$A),MATCH(X$1,[2]enemies!$2:$2,0)-MATCH($I$1,[2]enemies!$2:$2,0)+1),MATCH(X$1,[2]enemies!$2:$2,0)-MATCH($I$1,[2]enemies!$2:$2,0)+1,FALSE)</f>
        <v>2</v>
      </c>
      <c r="Y251" s="31">
        <v>118</v>
      </c>
      <c r="Z251" s="5" t="str">
        <f ca="1">IFERROR(VLOOKUP($Y251,OFFSET([3]characters!$A$1,0,0,COUNTA([3]characters!$A:$A),MATCH(Z$1,[3]characters!$2:$2,0)-MATCH("character_id",[3]characters!$2:$2,0)+1),MATCH(Z$1,[3]characters!$2:$2,0)-MATCH("character_id",[3]characters!$2:$2,0)+1,FALSE),"")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251" s="5">
        <f ca="1">IFERROR(VLOOKUP($Y251,OFFSET([3]characters!$A$1,0,0,COUNTA([3]characters!$A:$A),MATCH(AA$1,[3]characters!$2:$2,0)-MATCH("character_id",[3]characters!$2:$2,0)+1),MATCH(AA$1,[3]characters!$2:$2,0)-MATCH("character_id",[3]characters!$2:$2,0)+1,FALSE),"")</f>
        <v>4</v>
      </c>
      <c r="AB251" s="5" t="str">
        <f ca="1">IFERROR(VLOOKUP($Y251,OFFSET([3]characters!$A$1,0,0,COUNTA([3]characters!$A:$A),MATCH(AB$1,[3]characters!$2:$2,0)-MATCH("character_id",[3]characters!$2:$2,0)+1),MATCH(AB$1,[3]characters!$2:$2,0)-MATCH("character_id",[3]characters!$2:$2,0)+1,FALSE),"")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51" s="8">
        <v>1</v>
      </c>
      <c r="AD251" s="34">
        <f t="shared" ca="1" si="192"/>
        <v>4</v>
      </c>
      <c r="AE251" s="9">
        <v>30</v>
      </c>
      <c r="AF251" s="8">
        <v>0</v>
      </c>
      <c r="AG251" s="8">
        <v>0</v>
      </c>
      <c r="AH251" s="8">
        <v>0</v>
      </c>
      <c r="AI251" s="8">
        <v>0</v>
      </c>
      <c r="AJ251" s="8">
        <v>1</v>
      </c>
    </row>
    <row r="252" spans="1:36" ht="21" customHeight="1">
      <c r="A252" s="21" t="str">
        <f t="shared" ca="1" si="189"/>
        <v>11106_1-4/1&lt;lv5&gt;s1</v>
      </c>
      <c r="B252" s="8">
        <v>11106</v>
      </c>
      <c r="C252" s="32">
        <v>1</v>
      </c>
      <c r="D252" s="2" t="str">
        <f t="shared" si="190"/>
        <v>11106_1</v>
      </c>
      <c r="E252" s="5" t="str">
        <f ca="1">VLOOKUP($B252,OFFSET([1]quests!$A$1,0,0,COUNTA([1]quests!$A:$A),MATCH(E$1,[1]quests!$1:$1,0)-MATCH($B$1,[1]quests!$1:$1,0)+1),MATCH(E$1,[1]quests!$1:$1,0)-MATCH($B$1,[1]quests!$1:$1,0)+1,FALSE)</f>
        <v>【キャンペーン限定】 ゴールドカジノ</v>
      </c>
      <c r="F252" s="5" t="str">
        <f ca="1">VLOOKUP($D252,OFFSET([1]stages!$A$1,0,0,COUNTA([1]stages!$A:$A),MATCH(F$1,[1]stages!$2:$2,0)-MATCH($D$1,[1]stages!$2:$2,0)+1),MATCH(F$1,[1]stages!$2:$2,0)-MATCH($D$1,[1]stages!$2:$2,0)+1,FALSE)</f>
        <v>ゴールドカジノ 【初級】</v>
      </c>
      <c r="G252" s="32">
        <v>4</v>
      </c>
      <c r="H252" s="20" t="str">
        <f t="shared" si="191"/>
        <v>11106_1-4</v>
      </c>
      <c r="I252" s="31">
        <v>1</v>
      </c>
      <c r="J252" s="26" t="str">
        <f ca="1">VLOOKUP($I252,OFFSET([2]enemies!$A$1,0,0,COUNTA([2]enemies!$A:$A),MATCH(J$1,[2]enemies!$2:$2,0)-MATCH($I$1,[2]enemies!$2:$2,0)+1),MATCH(J$1,[2]enemies!$2:$2,0)-MATCH($I$1,[2]enemies!$2:$2,0)+1,FALSE)</f>
        <v>ジェリー</v>
      </c>
      <c r="K252" s="29" t="str">
        <f ca="1">VLOOKUP($I252,OFFSET([2]enemies!$A$1,0,0,COUNTA([2]enemies!$A:$A),MATCH(K$1,[2]enemies!$2:$2,0)-MATCH($I$1,[2]enemies!$2:$2,0)+1),MATCH(K$1,[2]enemies!$2:$2,0)-MATCH($I$1,[2]enemies!$2:$2,0)+1,FALSE)</f>
        <v>red</v>
      </c>
      <c r="L252" s="29" t="str">
        <f ca="1">VLOOKUP($I252,OFFSET([3]characters!$A$1,0,0,COUNTA([3]characters!$A:$A),MATCH(L$1,[3]characters!$2:$2,0)-MATCH($I$1,[3]characters!$2:$2,0)+1),MATCH(L$1,[3]characters!$2:$2,0)-MATCH($I$1,[3]characters!$2:$2,0)+1,FALSE)</f>
        <v>Drop1T</v>
      </c>
      <c r="M252" s="28" t="str">
        <f ca="1">VLOOKUP($I252,OFFSET([3]characters!$A$1,0,0,COUNTA([3]characters!$A:$A),MATCH(M$1,[3]characters!$2:$2,0)-MATCH($I$1,[3]characters!$2:$2,0)+2),MATCH(M$1,[3]characters!$2:$2,0)-MATCH($I$1,[3]characters!$2:$2,0)+2,FALSE)</f>
        <v>Unknown</v>
      </c>
      <c r="N252" s="5">
        <f ca="1">VLOOKUP($I252,OFFSET([2]enemies!$A$1,0,0,COUNTA([2]enemies!$A:$A),MATCH(N$1,[2]enemies!$2:$2,0)-MATCH($I$1,[2]enemies!$2:$2,0)+1),MATCH(N$1,[2]enemies!$2:$2,0)-MATCH($I$1,[2]enemies!$2:$2,0)+1,FALSE)</f>
        <v>15</v>
      </c>
      <c r="O252" s="6">
        <v>5</v>
      </c>
      <c r="P252" s="46">
        <v>1</v>
      </c>
      <c r="Q252" s="46">
        <v>1</v>
      </c>
      <c r="R252" s="6">
        <v>0</v>
      </c>
      <c r="S252" s="5" t="str">
        <f ca="1">VLOOKUP($T252,OFFSET([4]enemy_skill_sets!$B$1,0,0,COUNTA([4]enemy_skill_sets!$B:$B),MATCH(J$1,[4]enemy_skill_sets!$1:$1,0)-MATCH($T$1,[4]enemy_skill_sets!$1:$1,0)+2),MATCH(J$1,[4]enemy_skill_sets!$1:$1,0)-MATCH($T$1,[4]enemy_skill_sets!$1:$1,0)+2,FALSE)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2" s="5">
        <f ca="1">VLOOKUP($I252,OFFSET([2]enemies!$A$1,0,0,COUNTA([2]enemies!$A:$A),MATCH(T$1,[2]enemies!$2:$2,0)-MATCH($I$1,[2]enemies!$2:$2,0)+1),MATCH(T$1,[2]enemies!$2:$2,0)-MATCH($I$1,[2]enemies!$2:$2,0)+1,FALSE)</f>
        <v>0</v>
      </c>
      <c r="U252" s="7">
        <v>0</v>
      </c>
      <c r="V252" s="7">
        <v>100</v>
      </c>
      <c r="W252" s="7">
        <v>0</v>
      </c>
      <c r="X252" s="26">
        <f ca="1">VLOOKUP($I252,OFFSET([2]enemies!$A$1,0,0,COUNTA([2]enemies!$A:$A),MATCH(X$1,[2]enemies!$2:$2,0)-MATCH($I$1,[2]enemies!$2:$2,0)+1),MATCH(X$1,[2]enemies!$2:$2,0)-MATCH($I$1,[2]enemies!$2:$2,0)+1,FALSE)</f>
        <v>1</v>
      </c>
      <c r="Y252" s="31">
        <v>1</v>
      </c>
      <c r="Z252" s="5" t="str">
        <f ca="1">IFERROR(VLOOKUP($Y252,OFFSET([3]characters!$A$1,0,0,COUNTA([3]characters!$A:$A),MATCH(Z$1,[3]characters!$2:$2,0)-MATCH("character_id",[3]characters!$2:$2,0)+1),MATCH(Z$1,[3]characters!$2:$2,0)-MATCH("character_id",[3]characters!$2:$2,0)+1,FALSE),"")</f>
        <v>ジェリー</v>
      </c>
      <c r="AA252" s="5">
        <f ca="1">IFERROR(VLOOKUP($Y252,OFFSET([3]characters!$A$1,0,0,COUNTA([3]characters!$A:$A),MATCH(AA$1,[3]characters!$2:$2,0)-MATCH("character_id",[3]characters!$2:$2,0)+1),MATCH(AA$1,[3]characters!$2:$2,0)-MATCH("character_id",[3]characters!$2:$2,0)+1,FALSE),"")</f>
        <v>1</v>
      </c>
      <c r="AB252" s="5" t="str">
        <f ca="1">IFERROR(VLOOKUP($Y252,OFFSET([3]characters!$A$1,0,0,COUNTA([3]characters!$A:$A),MATCH(AB$1,[3]characters!$2:$2,0)-MATCH("character_id",[3]characters!$2:$2,0)+1),MATCH(AB$1,[3]characters!$2:$2,0)-MATCH("character_id",[3]characters!$2:$2,0)+1,FALSE),"")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252" s="8">
        <v>1</v>
      </c>
      <c r="AD252" s="34">
        <f t="shared" ca="1" si="192"/>
        <v>1</v>
      </c>
      <c r="AE252" s="9">
        <v>0</v>
      </c>
      <c r="AF252" s="8">
        <v>0</v>
      </c>
      <c r="AG252" s="8">
        <v>0</v>
      </c>
      <c r="AH252" s="8">
        <v>0</v>
      </c>
      <c r="AI252" s="8">
        <v>0</v>
      </c>
      <c r="AJ252" s="8">
        <v>1</v>
      </c>
    </row>
    <row r="253" spans="1:36" ht="21" customHeight="1">
      <c r="A253" s="21" t="str">
        <f t="shared" ca="1" si="189"/>
        <v>11106_1-4/3&lt;lv5&gt;s2</v>
      </c>
      <c r="B253" s="8">
        <v>11106</v>
      </c>
      <c r="C253" s="32">
        <v>1</v>
      </c>
      <c r="D253" s="2" t="str">
        <f t="shared" si="190"/>
        <v>11106_1</v>
      </c>
      <c r="E253" s="5" t="str">
        <f ca="1">VLOOKUP($B253,OFFSET([1]quests!$A$1,0,0,COUNTA([1]quests!$A:$A),MATCH(E$1,[1]quests!$1:$1,0)-MATCH($B$1,[1]quests!$1:$1,0)+1),MATCH(E$1,[1]quests!$1:$1,0)-MATCH($B$1,[1]quests!$1:$1,0)+1,FALSE)</f>
        <v>【キャンペーン限定】 ゴールドカジノ</v>
      </c>
      <c r="F253" s="5" t="str">
        <f ca="1">VLOOKUP($D253,OFFSET([1]stages!$A$1,0,0,COUNTA([1]stages!$A:$A),MATCH(F$1,[1]stages!$2:$2,0)-MATCH($D$1,[1]stages!$2:$2,0)+1),MATCH(F$1,[1]stages!$2:$2,0)-MATCH($D$1,[1]stages!$2:$2,0)+1,FALSE)</f>
        <v>ゴールドカジノ 【初級】</v>
      </c>
      <c r="G253" s="32">
        <v>4</v>
      </c>
      <c r="H253" s="20" t="str">
        <f t="shared" si="191"/>
        <v>11106_1-4</v>
      </c>
      <c r="I253" s="31">
        <v>3</v>
      </c>
      <c r="J253" s="26" t="str">
        <f ca="1">VLOOKUP($I253,OFFSET([2]enemies!$A$1,0,0,COUNTA([2]enemies!$A:$A),MATCH(J$1,[2]enemies!$2:$2,0)-MATCH($I$1,[2]enemies!$2:$2,0)+1),MATCH(J$1,[2]enemies!$2:$2,0)-MATCH($I$1,[2]enemies!$2:$2,0)+1,FALSE)</f>
        <v>エージェント ジョー</v>
      </c>
      <c r="K253" s="29" t="str">
        <f ca="1">VLOOKUP($I253,OFFSET([2]enemies!$A$1,0,0,COUNTA([2]enemies!$A:$A),MATCH(K$1,[2]enemies!$2:$2,0)-MATCH($I$1,[2]enemies!$2:$2,0)+1),MATCH(K$1,[2]enemies!$2:$2,0)-MATCH($I$1,[2]enemies!$2:$2,0)+1,FALSE)</f>
        <v>green</v>
      </c>
      <c r="L253" s="29" t="str">
        <f ca="1">VLOOKUP($I253,OFFSET([3]characters!$A$1,0,0,COUNTA([3]characters!$A:$A),MATCH(L$1,[3]characters!$2:$2,0)-MATCH($I$1,[3]characters!$2:$2,0)+1),MATCH(L$1,[3]characters!$2:$2,0)-MATCH($I$1,[3]characters!$2:$2,0)+1,FALSE)</f>
        <v>Drop1T</v>
      </c>
      <c r="M253" s="28" t="str">
        <f ca="1">VLOOKUP($I253,OFFSET([3]characters!$A$1,0,0,COUNTA([3]characters!$A:$A),MATCH(M$1,[3]characters!$2:$2,0)-MATCH($I$1,[3]characters!$2:$2,0)+2),MATCH(M$1,[3]characters!$2:$2,0)-MATCH($I$1,[3]characters!$2:$2,0)+2,FALSE)</f>
        <v>Unknown</v>
      </c>
      <c r="N253" s="5">
        <f ca="1">VLOOKUP($I253,OFFSET([2]enemies!$A$1,0,0,COUNTA([2]enemies!$A:$A),MATCH(N$1,[2]enemies!$2:$2,0)-MATCH($I$1,[2]enemies!$2:$2,0)+1),MATCH(N$1,[2]enemies!$2:$2,0)-MATCH($I$1,[2]enemies!$2:$2,0)+1,FALSE)</f>
        <v>15</v>
      </c>
      <c r="O253" s="6">
        <v>5</v>
      </c>
      <c r="P253" s="46">
        <v>1</v>
      </c>
      <c r="Q253" s="46">
        <v>1</v>
      </c>
      <c r="R253" s="6">
        <v>0</v>
      </c>
      <c r="S253" s="5" t="str">
        <f ca="1">VLOOKUP($T253,OFFSET([4]enemy_skill_sets!$B$1,0,0,COUNTA([4]enemy_skill_sets!$B:$B),MATCH(J$1,[4]enemy_skill_sets!$1:$1,0)-MATCH($T$1,[4]enemy_skill_sets!$1:$1,0)+2),MATCH(J$1,[4]enemy_skill_sets!$1:$1,0)-MATCH($T$1,[4]enemy_skill_sets!$1:$1,0)+2,FALSE)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3" s="5">
        <f ca="1">VLOOKUP($I253,OFFSET([2]enemies!$A$1,0,0,COUNTA([2]enemies!$A:$A),MATCH(T$1,[2]enemies!$2:$2,0)-MATCH($I$1,[2]enemies!$2:$2,0)+1),MATCH(T$1,[2]enemies!$2:$2,0)-MATCH($I$1,[2]enemies!$2:$2,0)+1,FALSE)</f>
        <v>0</v>
      </c>
      <c r="U253" s="7">
        <v>0</v>
      </c>
      <c r="V253" s="7">
        <v>100</v>
      </c>
      <c r="W253" s="7">
        <v>0</v>
      </c>
      <c r="X253" s="26">
        <f ca="1">VLOOKUP($I253,OFFSET([2]enemies!$A$1,0,0,COUNTA([2]enemies!$A:$A),MATCH(X$1,[2]enemies!$2:$2,0)-MATCH($I$1,[2]enemies!$2:$2,0)+1),MATCH(X$1,[2]enemies!$2:$2,0)-MATCH($I$1,[2]enemies!$2:$2,0)+1,FALSE)</f>
        <v>2</v>
      </c>
      <c r="Y253" s="31">
        <v>3</v>
      </c>
      <c r="Z253" s="5" t="str">
        <f ca="1">IFERROR(VLOOKUP($Y253,OFFSET([3]characters!$A$1,0,0,COUNTA([3]characters!$A:$A),MATCH(Z$1,[3]characters!$2:$2,0)-MATCH("character_id",[3]characters!$2:$2,0)+1),MATCH(Z$1,[3]characters!$2:$2,0)-MATCH("character_id",[3]characters!$2:$2,0)+1,FALSE),"")</f>
        <v>エージェント ジョー</v>
      </c>
      <c r="AA253" s="5">
        <f ca="1">IFERROR(VLOOKUP($Y253,OFFSET([3]characters!$A$1,0,0,COUNTA([3]characters!$A:$A),MATCH(AA$1,[3]characters!$2:$2,0)-MATCH("character_id",[3]characters!$2:$2,0)+1),MATCH(AA$1,[3]characters!$2:$2,0)-MATCH("character_id",[3]characters!$2:$2,0)+1,FALSE),"")</f>
        <v>1</v>
      </c>
      <c r="AB253" s="5" t="str">
        <f ca="1">IFERROR(VLOOKUP($Y253,OFFSET([3]characters!$A$1,0,0,COUNTA([3]characters!$A:$A),MATCH(AB$1,[3]characters!$2:$2,0)-MATCH("character_id",[3]characters!$2:$2,0)+1),MATCH(AB$1,[3]characters!$2:$2,0)-MATCH("character_id",[3]characters!$2:$2,0)+1,FALSE),"")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253" s="8">
        <v>1</v>
      </c>
      <c r="AD253" s="34">
        <f t="shared" ca="1" si="192"/>
        <v>1</v>
      </c>
      <c r="AE253" s="9">
        <v>0</v>
      </c>
      <c r="AF253" s="8">
        <v>0</v>
      </c>
      <c r="AG253" s="8">
        <v>0</v>
      </c>
      <c r="AH253" s="8">
        <v>0</v>
      </c>
      <c r="AI253" s="8">
        <v>0</v>
      </c>
      <c r="AJ253" s="8">
        <v>1</v>
      </c>
    </row>
    <row r="254" spans="1:36" ht="21" customHeight="1">
      <c r="A254" s="21" t="str">
        <f t="shared" ca="1" si="189"/>
        <v>11106_1-4/5&lt;lv5&gt;s3</v>
      </c>
      <c r="B254" s="8">
        <v>11106</v>
      </c>
      <c r="C254" s="32">
        <v>1</v>
      </c>
      <c r="D254" s="2" t="str">
        <f t="shared" si="190"/>
        <v>11106_1</v>
      </c>
      <c r="E254" s="5" t="str">
        <f ca="1">VLOOKUP($B254,OFFSET([1]quests!$A$1,0,0,COUNTA([1]quests!$A:$A),MATCH(E$1,[1]quests!$1:$1,0)-MATCH($B$1,[1]quests!$1:$1,0)+1),MATCH(E$1,[1]quests!$1:$1,0)-MATCH($B$1,[1]quests!$1:$1,0)+1,FALSE)</f>
        <v>【キャンペーン限定】 ゴールドカジノ</v>
      </c>
      <c r="F254" s="5" t="str">
        <f ca="1">VLOOKUP($D254,OFFSET([1]stages!$A$1,0,0,COUNTA([1]stages!$A:$A),MATCH(F$1,[1]stages!$2:$2,0)-MATCH($D$1,[1]stages!$2:$2,0)+1),MATCH(F$1,[1]stages!$2:$2,0)-MATCH($D$1,[1]stages!$2:$2,0)+1,FALSE)</f>
        <v>ゴールドカジノ 【初級】</v>
      </c>
      <c r="G254" s="32">
        <v>4</v>
      </c>
      <c r="H254" s="20" t="str">
        <f t="shared" si="191"/>
        <v>11106_1-4</v>
      </c>
      <c r="I254" s="31">
        <v>5</v>
      </c>
      <c r="J254" s="26" t="str">
        <f ca="1">VLOOKUP($I254,OFFSET([2]enemies!$A$1,0,0,COUNTA([2]enemies!$A:$A),MATCH(J$1,[2]enemies!$2:$2,0)-MATCH($I$1,[2]enemies!$2:$2,0)+1),MATCH(J$1,[2]enemies!$2:$2,0)-MATCH($I$1,[2]enemies!$2:$2,0)+1,FALSE)</f>
        <v>パトドッグ ポチ</v>
      </c>
      <c r="K254" s="29" t="str">
        <f ca="1">VLOOKUP($I254,OFFSET([2]enemies!$A$1,0,0,COUNTA([2]enemies!$A:$A),MATCH(K$1,[2]enemies!$2:$2,0)-MATCH($I$1,[2]enemies!$2:$2,0)+1),MATCH(K$1,[2]enemies!$2:$2,0)-MATCH($I$1,[2]enemies!$2:$2,0)+1,FALSE)</f>
        <v>blue</v>
      </c>
      <c r="L254" s="29" t="str">
        <f ca="1">VLOOKUP($I254,OFFSET([3]characters!$A$1,0,0,COUNTA([3]characters!$A:$A),MATCH(L$1,[3]characters!$2:$2,0)-MATCH($I$1,[3]characters!$2:$2,0)+1),MATCH(L$1,[3]characters!$2:$2,0)-MATCH($I$1,[3]characters!$2:$2,0)+1,FALSE)</f>
        <v>Drop1T</v>
      </c>
      <c r="M254" s="28" t="str">
        <f ca="1">VLOOKUP($I254,OFFSET([3]characters!$A$1,0,0,COUNTA([3]characters!$A:$A),MATCH(M$1,[3]characters!$2:$2,0)-MATCH($I$1,[3]characters!$2:$2,0)+2),MATCH(M$1,[3]characters!$2:$2,0)-MATCH($I$1,[3]characters!$2:$2,0)+2,FALSE)</f>
        <v>Unknown</v>
      </c>
      <c r="N254" s="5">
        <f ca="1">VLOOKUP($I254,OFFSET([2]enemies!$A$1,0,0,COUNTA([2]enemies!$A:$A),MATCH(N$1,[2]enemies!$2:$2,0)-MATCH($I$1,[2]enemies!$2:$2,0)+1),MATCH(N$1,[2]enemies!$2:$2,0)-MATCH($I$1,[2]enemies!$2:$2,0)+1,FALSE)</f>
        <v>15</v>
      </c>
      <c r="O254" s="6">
        <v>5</v>
      </c>
      <c r="P254" s="46">
        <v>1</v>
      </c>
      <c r="Q254" s="46">
        <v>1</v>
      </c>
      <c r="R254" s="6">
        <v>0</v>
      </c>
      <c r="S254" s="5" t="str">
        <f ca="1">VLOOKUP($T254,OFFSET([4]enemy_skill_sets!$B$1,0,0,COUNTA([4]enemy_skill_sets!$B:$B),MATCH(J$1,[4]enemy_skill_sets!$1:$1,0)-MATCH($T$1,[4]enemy_skill_sets!$1:$1,0)+2),MATCH(J$1,[4]enemy_skill_sets!$1:$1,0)-MATCH($T$1,[4]enemy_skill_sets!$1:$1,0)+2,FALSE)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4" s="5">
        <f ca="1">VLOOKUP($I254,OFFSET([2]enemies!$A$1,0,0,COUNTA([2]enemies!$A:$A),MATCH(T$1,[2]enemies!$2:$2,0)-MATCH($I$1,[2]enemies!$2:$2,0)+1),MATCH(T$1,[2]enemies!$2:$2,0)-MATCH($I$1,[2]enemies!$2:$2,0)+1,FALSE)</f>
        <v>0</v>
      </c>
      <c r="U254" s="7">
        <v>0</v>
      </c>
      <c r="V254" s="7">
        <v>100</v>
      </c>
      <c r="W254" s="7">
        <v>0</v>
      </c>
      <c r="X254" s="26">
        <f ca="1">VLOOKUP($I254,OFFSET([2]enemies!$A$1,0,0,COUNTA([2]enemies!$A:$A),MATCH(X$1,[2]enemies!$2:$2,0)-MATCH($I$1,[2]enemies!$2:$2,0)+1),MATCH(X$1,[2]enemies!$2:$2,0)-MATCH($I$1,[2]enemies!$2:$2,0)+1,FALSE)</f>
        <v>3</v>
      </c>
      <c r="Y254" s="31">
        <v>5</v>
      </c>
      <c r="Z254" s="5" t="str">
        <f ca="1">IFERROR(VLOOKUP($Y254,OFFSET([3]characters!$A$1,0,0,COUNTA([3]characters!$A:$A),MATCH(Z$1,[3]characters!$2:$2,0)-MATCH("character_id",[3]characters!$2:$2,0)+1),MATCH(Z$1,[3]characters!$2:$2,0)-MATCH("character_id",[3]characters!$2:$2,0)+1,FALSE),"")</f>
        <v>パトドッグ ポチ</v>
      </c>
      <c r="AA254" s="5">
        <f ca="1">IFERROR(VLOOKUP($Y254,OFFSET([3]characters!$A$1,0,0,COUNTA([3]characters!$A:$A),MATCH(AA$1,[3]characters!$2:$2,0)-MATCH("character_id",[3]characters!$2:$2,0)+1),MATCH(AA$1,[3]characters!$2:$2,0)-MATCH("character_id",[3]characters!$2:$2,0)+1,FALSE),"")</f>
        <v>1</v>
      </c>
      <c r="AB254" s="5" t="str">
        <f ca="1">IFERROR(VLOOKUP($Y254,OFFSET([3]characters!$A$1,0,0,COUNTA([3]characters!$A:$A),MATCH(AB$1,[3]characters!$2:$2,0)-MATCH("character_id",[3]characters!$2:$2,0)+1),MATCH(AB$1,[3]characters!$2:$2,0)-MATCH("character_id",[3]characters!$2:$2,0)+1,FALSE),"")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254" s="8">
        <v>1</v>
      </c>
      <c r="AD254" s="34">
        <f t="shared" ca="1" si="192"/>
        <v>1</v>
      </c>
      <c r="AE254" s="9">
        <v>0</v>
      </c>
      <c r="AF254" s="8">
        <v>0</v>
      </c>
      <c r="AG254" s="8">
        <v>0</v>
      </c>
      <c r="AH254" s="8">
        <v>0</v>
      </c>
      <c r="AI254" s="8">
        <v>0</v>
      </c>
      <c r="AJ254" s="8">
        <v>1</v>
      </c>
    </row>
    <row r="255" spans="1:36" ht="21" customHeight="1">
      <c r="A255" s="21" t="str">
        <f t="shared" ca="1" si="189"/>
        <v>11106_1-4/7&lt;lv5&gt;s2</v>
      </c>
      <c r="B255" s="8">
        <v>11106</v>
      </c>
      <c r="C255" s="32">
        <v>1</v>
      </c>
      <c r="D255" s="2" t="str">
        <f t="shared" si="190"/>
        <v>11106_1</v>
      </c>
      <c r="E255" s="5" t="str">
        <f ca="1">VLOOKUP($B255,OFFSET([1]quests!$A$1,0,0,COUNTA([1]quests!$A:$A),MATCH(E$1,[1]quests!$1:$1,0)-MATCH($B$1,[1]quests!$1:$1,0)+1),MATCH(E$1,[1]quests!$1:$1,0)-MATCH($B$1,[1]quests!$1:$1,0)+1,FALSE)</f>
        <v>【キャンペーン限定】 ゴールドカジノ</v>
      </c>
      <c r="F255" s="5" t="str">
        <f ca="1">VLOOKUP($D255,OFFSET([1]stages!$A$1,0,0,COUNTA([1]stages!$A:$A),MATCH(F$1,[1]stages!$2:$2,0)-MATCH($D$1,[1]stages!$2:$2,0)+1),MATCH(F$1,[1]stages!$2:$2,0)-MATCH($D$1,[1]stages!$2:$2,0)+1,FALSE)</f>
        <v>ゴールドカジノ 【初級】</v>
      </c>
      <c r="G255" s="32">
        <v>4</v>
      </c>
      <c r="H255" s="20" t="str">
        <f t="shared" si="191"/>
        <v>11106_1-4</v>
      </c>
      <c r="I255" s="31">
        <v>7</v>
      </c>
      <c r="J255" s="26" t="str">
        <f ca="1">VLOOKUP($I255,OFFSET([2]enemies!$A$1,0,0,COUNTA([2]enemies!$A:$A),MATCH(J$1,[2]enemies!$2:$2,0)-MATCH($I$1,[2]enemies!$2:$2,0)+1),MATCH(J$1,[2]enemies!$2:$2,0)-MATCH($I$1,[2]enemies!$2:$2,0)+1,FALSE)</f>
        <v>エレキポット</v>
      </c>
      <c r="K255" s="29" t="str">
        <f ca="1">VLOOKUP($I255,OFFSET([2]enemies!$A$1,0,0,COUNTA([2]enemies!$A:$A),MATCH(K$1,[2]enemies!$2:$2,0)-MATCH($I$1,[2]enemies!$2:$2,0)+1),MATCH(K$1,[2]enemies!$2:$2,0)-MATCH($I$1,[2]enemies!$2:$2,0)+1,FALSE)</f>
        <v>yellow</v>
      </c>
      <c r="L255" s="29" t="str">
        <f ca="1">VLOOKUP($I255,OFFSET([3]characters!$A$1,0,0,COUNTA([3]characters!$A:$A),MATCH(L$1,[3]characters!$2:$2,0)-MATCH($I$1,[3]characters!$2:$2,0)+1),MATCH(L$1,[3]characters!$2:$2,0)-MATCH($I$1,[3]characters!$2:$2,0)+1,FALSE)</f>
        <v>Drop1T</v>
      </c>
      <c r="M255" s="28" t="str">
        <f ca="1">VLOOKUP($I255,OFFSET([3]characters!$A$1,0,0,COUNTA([3]characters!$A:$A),MATCH(M$1,[3]characters!$2:$2,0)-MATCH($I$1,[3]characters!$2:$2,0)+2),MATCH(M$1,[3]characters!$2:$2,0)-MATCH($I$1,[3]characters!$2:$2,0)+2,FALSE)</f>
        <v>Unknown</v>
      </c>
      <c r="N255" s="5">
        <f ca="1">VLOOKUP($I255,OFFSET([2]enemies!$A$1,0,0,COUNTA([2]enemies!$A:$A),MATCH(N$1,[2]enemies!$2:$2,0)-MATCH($I$1,[2]enemies!$2:$2,0)+1),MATCH(N$1,[2]enemies!$2:$2,0)-MATCH($I$1,[2]enemies!$2:$2,0)+1,FALSE)</f>
        <v>15</v>
      </c>
      <c r="O255" s="6">
        <v>5</v>
      </c>
      <c r="P255" s="46">
        <v>1</v>
      </c>
      <c r="Q255" s="46">
        <v>1</v>
      </c>
      <c r="R255" s="6">
        <v>0</v>
      </c>
      <c r="S255" s="5" t="str">
        <f ca="1">VLOOKUP($T255,OFFSET([4]enemy_skill_sets!$B$1,0,0,COUNTA([4]enemy_skill_sets!$B:$B),MATCH(J$1,[4]enemy_skill_sets!$1:$1,0)-MATCH($T$1,[4]enemy_skill_sets!$1:$1,0)+2),MATCH(J$1,[4]enemy_skill_sets!$1:$1,0)-MATCH($T$1,[4]enemy_skill_sets!$1:$1,0)+2,FALSE)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5" s="5">
        <f ca="1">VLOOKUP($I255,OFFSET([2]enemies!$A$1,0,0,COUNTA([2]enemies!$A:$A),MATCH(T$1,[2]enemies!$2:$2,0)-MATCH($I$1,[2]enemies!$2:$2,0)+1),MATCH(T$1,[2]enemies!$2:$2,0)-MATCH($I$1,[2]enemies!$2:$2,0)+1,FALSE)</f>
        <v>0</v>
      </c>
      <c r="U255" s="7">
        <v>0</v>
      </c>
      <c r="V255" s="7">
        <v>100</v>
      </c>
      <c r="W255" s="7">
        <v>0</v>
      </c>
      <c r="X255" s="26">
        <f ca="1">VLOOKUP($I255,OFFSET([2]enemies!$A$1,0,0,COUNTA([2]enemies!$A:$A),MATCH(X$1,[2]enemies!$2:$2,0)-MATCH($I$1,[2]enemies!$2:$2,0)+1),MATCH(X$1,[2]enemies!$2:$2,0)-MATCH($I$1,[2]enemies!$2:$2,0)+1,FALSE)</f>
        <v>2</v>
      </c>
      <c r="Y255" s="31">
        <v>7</v>
      </c>
      <c r="Z255" s="5" t="str">
        <f ca="1">IFERROR(VLOOKUP($Y255,OFFSET([3]characters!$A$1,0,0,COUNTA([3]characters!$A:$A),MATCH(Z$1,[3]characters!$2:$2,0)-MATCH("character_id",[3]characters!$2:$2,0)+1),MATCH(Z$1,[3]characters!$2:$2,0)-MATCH("character_id",[3]characters!$2:$2,0)+1,FALSE),"")</f>
        <v>エレキポット</v>
      </c>
      <c r="AA255" s="5">
        <f ca="1">IFERROR(VLOOKUP($Y255,OFFSET([3]characters!$A$1,0,0,COUNTA([3]characters!$A:$A),MATCH(AA$1,[3]characters!$2:$2,0)-MATCH("character_id",[3]characters!$2:$2,0)+1),MATCH(AA$1,[3]characters!$2:$2,0)-MATCH("character_id",[3]characters!$2:$2,0)+1,FALSE),"")</f>
        <v>1</v>
      </c>
      <c r="AB255" s="5" t="str">
        <f ca="1">IFERROR(VLOOKUP($Y255,OFFSET([3]characters!$A$1,0,0,COUNTA([3]characters!$A:$A),MATCH(AB$1,[3]characters!$2:$2,0)-MATCH("character_id",[3]characters!$2:$2,0)+1),MATCH(AB$1,[3]characters!$2:$2,0)-MATCH("character_id",[3]characters!$2:$2,0)+1,FALSE),"")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255" s="8">
        <v>1</v>
      </c>
      <c r="AD255" s="34">
        <f t="shared" ca="1" si="192"/>
        <v>1</v>
      </c>
      <c r="AE255" s="9">
        <v>0</v>
      </c>
      <c r="AF255" s="8">
        <v>0</v>
      </c>
      <c r="AG255" s="8">
        <v>0</v>
      </c>
      <c r="AH255" s="8">
        <v>0</v>
      </c>
      <c r="AI255" s="8">
        <v>0</v>
      </c>
      <c r="AJ255" s="8">
        <v>1</v>
      </c>
    </row>
    <row r="256" spans="1:36" ht="21" customHeight="1">
      <c r="A256" s="21" t="str">
        <f t="shared" ca="1" si="165"/>
        <v>11106_1-5/117&lt;lv1&gt;s1</v>
      </c>
      <c r="B256" s="8">
        <v>11106</v>
      </c>
      <c r="C256" s="32">
        <v>1</v>
      </c>
      <c r="D256" s="2" t="str">
        <f t="shared" si="166"/>
        <v>11106_1</v>
      </c>
      <c r="E256" s="5" t="str">
        <f ca="1">VLOOKUP($B256,OFFSET([1]quests!$A$1,0,0,COUNTA([1]quests!$A:$A),MATCH(E$1,[1]quests!$1:$1,0)-MATCH($B$1,[1]quests!$1:$1,0)+1),MATCH(E$1,[1]quests!$1:$1,0)-MATCH($B$1,[1]quests!$1:$1,0)+1,FALSE)</f>
        <v>【キャンペーン限定】 ゴールドカジノ</v>
      </c>
      <c r="F256" s="5" t="str">
        <f ca="1">VLOOKUP($D256,OFFSET([1]stages!$A$1,0,0,COUNTA([1]stages!$A:$A),MATCH(F$1,[1]stages!$2:$2,0)-MATCH($D$1,[1]stages!$2:$2,0)+1),MATCH(F$1,[1]stages!$2:$2,0)-MATCH($D$1,[1]stages!$2:$2,0)+1,FALSE)</f>
        <v>ゴールドカジノ 【初級】</v>
      </c>
      <c r="G256" s="32">
        <v>5</v>
      </c>
      <c r="H256" s="20" t="str">
        <f t="shared" si="167"/>
        <v>11106_1-5</v>
      </c>
      <c r="I256" s="31">
        <v>117</v>
      </c>
      <c r="J256" s="26" t="str">
        <f ca="1">VLOOKUP($I256,OFFSET([2]enemies!$A$1,0,0,COUNTA([2]enemies!$A:$A),MATCH(J$1,[2]enemies!$2:$2,0)-MATCH($I$1,[2]enemies!$2:$2,0)+1),MATCH(J$1,[2]enemies!$2:$2,0)-MATCH($I$1,[2]enemies!$2:$2,0)+1,FALSE)</f>
        <v>ゴールドピヨピヨ</v>
      </c>
      <c r="K256" s="29" t="str">
        <f ca="1">VLOOKUP($I256,OFFSET([2]enemies!$A$1,0,0,COUNTA([2]enemies!$A:$A),MATCH(K$1,[2]enemies!$2:$2,0)-MATCH($I$1,[2]enemies!$2:$2,0)+1),MATCH(K$1,[2]enemies!$2:$2,0)-MATCH($I$1,[2]enemies!$2:$2,0)+1,FALSE)</f>
        <v>yellow</v>
      </c>
      <c r="L256" s="29" t="str">
        <f ca="1">VLOOKUP($I256,OFFSET([3]characters!$A$1,0,0,COUNTA([3]characters!$A:$A),MATCH(L$1,[3]characters!$2:$2,0)-MATCH($I$1,[3]characters!$2:$2,0)+1),MATCH(L$1,[3]characters!$2:$2,0)-MATCH($I$1,[3]characters!$2:$2,0)+1,FALSE)</f>
        <v>Material</v>
      </c>
      <c r="M256" s="28" t="str">
        <f ca="1">VLOOKUP($I256,OFFSET([3]characters!$A$1,0,0,COUNTA([3]characters!$A:$A),MATCH(M$1,[3]characters!$2:$2,0)-MATCH($I$1,[3]characters!$2:$2,0)+2),MATCH(M$1,[3]characters!$2:$2,0)-MATCH($I$1,[3]characters!$2:$2,0)+2,FALSE)</f>
        <v>Unknown</v>
      </c>
      <c r="N256" s="5">
        <f ca="1">VLOOKUP($I256,OFFSET([2]enemies!$A$1,0,0,COUNTA([2]enemies!$A:$A),MATCH(N$1,[2]enemies!$2:$2,0)-MATCH($I$1,[2]enemies!$2:$2,0)+1),MATCH(N$1,[2]enemies!$2:$2,0)-MATCH($I$1,[2]enemies!$2:$2,0)+1,FALSE)</f>
        <v>15</v>
      </c>
      <c r="O256" s="6">
        <v>1</v>
      </c>
      <c r="P256" s="48">
        <v>10.5</v>
      </c>
      <c r="Q256" s="46">
        <v>11</v>
      </c>
      <c r="R256" s="6">
        <v>0</v>
      </c>
      <c r="S256" s="5" t="str">
        <f ca="1">VLOOKUP($T256,OFFSET([4]enemy_skill_sets!$B$1,0,0,COUNTA([4]enemy_skill_sets!$B:$B),MATCH(J$1,[4]enemy_skill_sets!$1:$1,0)-MATCH($T$1,[4]enemy_skill_sets!$1:$1,0)+2),MATCH(J$1,[4]enemy_skill_sets!$1:$1,0)-MATCH($T$1,[4]enemy_skill_sets!$1:$1,0)+2,FALSE)</f>
        <v>攻撃力10倍の自爆攻撃！</v>
      </c>
      <c r="T256" s="42">
        <v>11702</v>
      </c>
      <c r="U256" s="7">
        <v>1</v>
      </c>
      <c r="V256" s="7">
        <v>100</v>
      </c>
      <c r="W256" s="7">
        <v>1</v>
      </c>
      <c r="X256" s="26">
        <f ca="1">VLOOKUP($I256,OFFSET([2]enemies!$A$1,0,0,COUNTA([2]enemies!$A:$A),MATCH(X$1,[2]enemies!$2:$2,0)-MATCH($I$1,[2]enemies!$2:$2,0)+1),MATCH(X$1,[2]enemies!$2:$2,0)-MATCH($I$1,[2]enemies!$2:$2,0)+1,FALSE)</f>
        <v>1</v>
      </c>
      <c r="Y256" s="31">
        <v>117</v>
      </c>
      <c r="Z256" s="5" t="str">
        <f ca="1">IFERROR(VLOOKUP($Y256,OFFSET([3]characters!$A$1,0,0,COUNTA([3]characters!$A:$A),MATCH(Z$1,[3]characters!$2:$2,0)-MATCH("character_id",[3]characters!$2:$2,0)+1),MATCH(Z$1,[3]characters!$2:$2,0)-MATCH("character_id",[3]characters!$2:$2,0)+1,FALSE),"")</f>
        <v>ゴールドピヨピヨ</v>
      </c>
      <c r="AA256" s="5">
        <f ca="1">IFERROR(VLOOKUP($Y256,OFFSET([3]characters!$A$1,0,0,COUNTA([3]characters!$A:$A),MATCH(AA$1,[3]characters!$2:$2,0)-MATCH("character_id",[3]characters!$2:$2,0)+1),MATCH(AA$1,[3]characters!$2:$2,0)-MATCH("character_id",[3]characters!$2:$2,0)+1,FALSE),"")</f>
        <v>3</v>
      </c>
      <c r="AB256" s="5" t="str">
        <f ca="1">IFERROR(VLOOKUP($Y256,OFFSET([3]characters!$A$1,0,0,COUNTA([3]characters!$A:$A),MATCH(AB$1,[3]characters!$2:$2,0)-MATCH("character_id",[3]characters!$2:$2,0)+1),MATCH(AB$1,[3]characters!$2:$2,0)-MATCH("character_id",[3]characters!$2:$2,0)+1,FALSE),"")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56" s="8">
        <v>1</v>
      </c>
      <c r="AD256" s="34">
        <f t="shared" ca="1" si="168"/>
        <v>3</v>
      </c>
      <c r="AE256" s="9">
        <v>100</v>
      </c>
      <c r="AF256" s="8">
        <v>0</v>
      </c>
      <c r="AG256" s="8">
        <v>0</v>
      </c>
      <c r="AH256" s="8">
        <v>0</v>
      </c>
      <c r="AI256" s="8">
        <v>0</v>
      </c>
      <c r="AJ256" s="8">
        <v>1</v>
      </c>
    </row>
    <row r="257" spans="1:36" ht="21" customHeight="1">
      <c r="A257" s="21" t="str">
        <f t="shared" ca="1" si="165"/>
        <v>11106_1-5/118&lt;lv1&gt;s2</v>
      </c>
      <c r="B257" s="8">
        <v>11106</v>
      </c>
      <c r="C257" s="32">
        <v>1</v>
      </c>
      <c r="D257" s="2" t="str">
        <f t="shared" si="166"/>
        <v>11106_1</v>
      </c>
      <c r="E257" s="5" t="str">
        <f ca="1">VLOOKUP($B257,OFFSET([1]quests!$A$1,0,0,COUNTA([1]quests!$A:$A),MATCH(E$1,[1]quests!$1:$1,0)-MATCH($B$1,[1]quests!$1:$1,0)+1),MATCH(E$1,[1]quests!$1:$1,0)-MATCH($B$1,[1]quests!$1:$1,0)+1,FALSE)</f>
        <v>【キャンペーン限定】 ゴールドカジノ</v>
      </c>
      <c r="F257" s="5" t="str">
        <f ca="1">VLOOKUP($D257,OFFSET([1]stages!$A$1,0,0,COUNTA([1]stages!$A:$A),MATCH(F$1,[1]stages!$2:$2,0)-MATCH($D$1,[1]stages!$2:$2,0)+1),MATCH(F$1,[1]stages!$2:$2,0)-MATCH($D$1,[1]stages!$2:$2,0)+1,FALSE)</f>
        <v>ゴールドカジノ 【初級】</v>
      </c>
      <c r="G257" s="32">
        <v>5</v>
      </c>
      <c r="H257" s="20" t="str">
        <f t="shared" si="167"/>
        <v>11106_1-5</v>
      </c>
      <c r="I257" s="31">
        <v>118</v>
      </c>
      <c r="J257" s="26" t="str">
        <f ca="1">VLOOKUP($I257,OFFSET([2]enemies!$A$1,0,0,COUNTA([2]enemies!$A:$A),MATCH(J$1,[2]enemies!$2:$2,0)-MATCH($I$1,[2]enemies!$2:$2,0)+1),MATCH(J$1,[2]enemies!$2:$2,0)-MATCH($I$1,[2]enemies!$2:$2,0)+1,FALSE)</f>
        <v>ゴールドチック</v>
      </c>
      <c r="K257" s="29" t="str">
        <f ca="1">VLOOKUP($I257,OFFSET([2]enemies!$A$1,0,0,COUNTA([2]enemies!$A:$A),MATCH(K$1,[2]enemies!$2:$2,0)-MATCH($I$1,[2]enemies!$2:$2,0)+1),MATCH(K$1,[2]enemies!$2:$2,0)-MATCH($I$1,[2]enemies!$2:$2,0)+1,FALSE)</f>
        <v>yellow</v>
      </c>
      <c r="L257" s="29" t="str">
        <f ca="1">VLOOKUP($I257,OFFSET([3]characters!$A$1,0,0,COUNTA([3]characters!$A:$A),MATCH(L$1,[3]characters!$2:$2,0)-MATCH($I$1,[3]characters!$2:$2,0)+1),MATCH(L$1,[3]characters!$2:$2,0)-MATCH($I$1,[3]characters!$2:$2,0)+1,FALSE)</f>
        <v>Material</v>
      </c>
      <c r="M257" s="28" t="str">
        <f ca="1">VLOOKUP($I257,OFFSET([3]characters!$A$1,0,0,COUNTA([3]characters!$A:$A),MATCH(M$1,[3]characters!$2:$2,0)-MATCH($I$1,[3]characters!$2:$2,0)+2),MATCH(M$1,[3]characters!$2:$2,0)-MATCH($I$1,[3]characters!$2:$2,0)+2,FALSE)</f>
        <v>Unknown</v>
      </c>
      <c r="N257" s="5">
        <f ca="1">VLOOKUP($I257,OFFSET([2]enemies!$A$1,0,0,COUNTA([2]enemies!$A:$A),MATCH(N$1,[2]enemies!$2:$2,0)-MATCH($I$1,[2]enemies!$2:$2,0)+1),MATCH(N$1,[2]enemies!$2:$2,0)-MATCH($I$1,[2]enemies!$2:$2,0)+1,FALSE)</f>
        <v>15</v>
      </c>
      <c r="O257" s="6">
        <v>1</v>
      </c>
      <c r="P257" s="48">
        <v>10.5</v>
      </c>
      <c r="Q257" s="46">
        <v>10</v>
      </c>
      <c r="R257" s="6">
        <v>0</v>
      </c>
      <c r="S257" s="5" t="str">
        <f ca="1">VLOOKUP($T257,OFFSET([4]enemy_skill_sets!$B$1,0,0,COUNTA([4]enemy_skill_sets!$B:$B),MATCH(J$1,[4]enemy_skill_sets!$1:$1,0)-MATCH($T$1,[4]enemy_skill_sets!$1:$1,0)+2),MATCH(J$1,[4]enemy_skill_sets!$1:$1,0)-MATCH($T$1,[4]enemy_skill_sets!$1:$1,0)+2,FALSE)</f>
        <v>攻撃力10倍の自爆攻撃！</v>
      </c>
      <c r="T257" s="42">
        <v>11702</v>
      </c>
      <c r="U257" s="7">
        <v>1</v>
      </c>
      <c r="V257" s="7">
        <v>100</v>
      </c>
      <c r="W257" s="7">
        <v>1</v>
      </c>
      <c r="X257" s="26">
        <f ca="1">VLOOKUP($I257,OFFSET([2]enemies!$A$1,0,0,COUNTA([2]enemies!$A:$A),MATCH(X$1,[2]enemies!$2:$2,0)-MATCH($I$1,[2]enemies!$2:$2,0)+1),MATCH(X$1,[2]enemies!$2:$2,0)-MATCH($I$1,[2]enemies!$2:$2,0)+1,FALSE)</f>
        <v>2</v>
      </c>
      <c r="Y257" s="31">
        <v>118</v>
      </c>
      <c r="Z257" s="5" t="str">
        <f ca="1">IFERROR(VLOOKUP($Y257,OFFSET([3]characters!$A$1,0,0,COUNTA([3]characters!$A:$A),MATCH(Z$1,[3]characters!$2:$2,0)-MATCH("character_id",[3]characters!$2:$2,0)+1),MATCH(Z$1,[3]characters!$2:$2,0)-MATCH("character_id",[3]characters!$2:$2,0)+1,FALSE),"")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257" s="5">
        <f ca="1">IFERROR(VLOOKUP($Y257,OFFSET([3]characters!$A$1,0,0,COUNTA([3]characters!$A:$A),MATCH(AA$1,[3]characters!$2:$2,0)-MATCH("character_id",[3]characters!$2:$2,0)+1),MATCH(AA$1,[3]characters!$2:$2,0)-MATCH("character_id",[3]characters!$2:$2,0)+1,FALSE),"")</f>
        <v>4</v>
      </c>
      <c r="AB257" s="5" t="str">
        <f ca="1">IFERROR(VLOOKUP($Y257,OFFSET([3]characters!$A$1,0,0,COUNTA([3]characters!$A:$A),MATCH(AB$1,[3]characters!$2:$2,0)-MATCH("character_id",[3]characters!$2:$2,0)+1),MATCH(AB$1,[3]characters!$2:$2,0)-MATCH("character_id",[3]characters!$2:$2,0)+1,FALSE),"")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57" s="8">
        <v>1</v>
      </c>
      <c r="AD257" s="34">
        <f t="shared" ca="1" si="168"/>
        <v>4</v>
      </c>
      <c r="AE257" s="9">
        <v>100</v>
      </c>
      <c r="AF257" s="8">
        <v>0</v>
      </c>
      <c r="AG257" s="8">
        <v>0</v>
      </c>
      <c r="AH257" s="8">
        <v>0</v>
      </c>
      <c r="AI257" s="8">
        <v>0</v>
      </c>
      <c r="AJ257" s="8">
        <v>1</v>
      </c>
    </row>
    <row r="258" spans="1:36" ht="21" customHeight="1">
      <c r="A258" s="21" t="str">
        <f t="shared" ca="1" si="165"/>
        <v>11106_2-1/117&lt;lv2&gt;s1</v>
      </c>
      <c r="B258" s="8">
        <v>11106</v>
      </c>
      <c r="C258" s="32">
        <v>2</v>
      </c>
      <c r="D258" s="2" t="str">
        <f t="shared" si="166"/>
        <v>11106_2</v>
      </c>
      <c r="E258" s="5" t="str">
        <f ca="1">VLOOKUP($B258,OFFSET([1]quests!$A$1,0,0,COUNTA([1]quests!$A:$A),MATCH(E$1,[1]quests!$1:$1,0)-MATCH($B$1,[1]quests!$1:$1,0)+1),MATCH(E$1,[1]quests!$1:$1,0)-MATCH($B$1,[1]quests!$1:$1,0)+1,FALSE)</f>
        <v>【キャンペーン限定】 ゴールドカジノ</v>
      </c>
      <c r="F258" s="5" t="str">
        <f ca="1">VLOOKUP($D258,OFFSET([1]stages!$A$1,0,0,COUNTA([1]stages!$A:$A),MATCH(F$1,[1]stages!$2:$2,0)-MATCH($D$1,[1]stages!$2:$2,0)+1),MATCH(F$1,[1]stages!$2:$2,0)-MATCH($D$1,[1]stages!$2:$2,0)+1,FALSE)</f>
        <v>ゴールドカジノ 【中級】</v>
      </c>
      <c r="G258" s="32">
        <v>1</v>
      </c>
      <c r="H258" s="20" t="str">
        <f t="shared" si="167"/>
        <v>11106_2-1</v>
      </c>
      <c r="I258" s="31">
        <v>117</v>
      </c>
      <c r="J258" s="26" t="str">
        <f ca="1">VLOOKUP($I258,OFFSET([2]enemies!$A$1,0,0,COUNTA([2]enemies!$A:$A),MATCH(J$1,[2]enemies!$2:$2,0)-MATCH($I$1,[2]enemies!$2:$2,0)+1),MATCH(J$1,[2]enemies!$2:$2,0)-MATCH($I$1,[2]enemies!$2:$2,0)+1,FALSE)</f>
        <v>ゴールドピヨピヨ</v>
      </c>
      <c r="K258" s="29" t="str">
        <f ca="1">VLOOKUP($I258,OFFSET([2]enemies!$A$1,0,0,COUNTA([2]enemies!$A:$A),MATCH(K$1,[2]enemies!$2:$2,0)-MATCH($I$1,[2]enemies!$2:$2,0)+1),MATCH(K$1,[2]enemies!$2:$2,0)-MATCH($I$1,[2]enemies!$2:$2,0)+1,FALSE)</f>
        <v>yellow</v>
      </c>
      <c r="L258" s="29" t="str">
        <f ca="1">VLOOKUP($I258,OFFSET([3]characters!$A$1,0,0,COUNTA([3]characters!$A:$A),MATCH(L$1,[3]characters!$2:$2,0)-MATCH($I$1,[3]characters!$2:$2,0)+1),MATCH(L$1,[3]characters!$2:$2,0)-MATCH($I$1,[3]characters!$2:$2,0)+1,FALSE)</f>
        <v>Material</v>
      </c>
      <c r="M258" s="28" t="str">
        <f ca="1">VLOOKUP($I258,OFFSET([3]characters!$A$1,0,0,COUNTA([3]characters!$A:$A),MATCH(M$1,[3]characters!$2:$2,0)-MATCH($I$1,[3]characters!$2:$2,0)+2),MATCH(M$1,[3]characters!$2:$2,0)-MATCH($I$1,[3]characters!$2:$2,0)+2,FALSE)</f>
        <v>Unknown</v>
      </c>
      <c r="N258" s="5">
        <f ca="1">VLOOKUP($I258,OFFSET([2]enemies!$A$1,0,0,COUNTA([2]enemies!$A:$A),MATCH(N$1,[2]enemies!$2:$2,0)-MATCH($I$1,[2]enemies!$2:$2,0)+1),MATCH(N$1,[2]enemies!$2:$2,0)-MATCH($I$1,[2]enemies!$2:$2,0)+1,FALSE)</f>
        <v>15</v>
      </c>
      <c r="O258" s="6">
        <v>2</v>
      </c>
      <c r="P258" s="46">
        <v>11.8</v>
      </c>
      <c r="Q258" s="46">
        <v>17</v>
      </c>
      <c r="R258" s="6">
        <v>0</v>
      </c>
      <c r="S258" s="5" t="str">
        <f ca="1">VLOOKUP($T258,OFFSET([4]enemy_skill_sets!$B$1,0,0,COUNTA([4]enemy_skill_sets!$B:$B),MATCH(J$1,[4]enemy_skill_sets!$1:$1,0)-MATCH($T$1,[4]enemy_skill_sets!$1:$1,0)+2),MATCH(J$1,[4]enemy_skill_sets!$1:$1,0)-MATCH($T$1,[4]enemy_skill_sets!$1:$1,0)+2,FALSE)</f>
        <v>ゴールドカジノのピヨピヨはターン０になると自爆する！</v>
      </c>
      <c r="T258" s="42">
        <v>11701</v>
      </c>
      <c r="U258" s="7">
        <v>1</v>
      </c>
      <c r="V258" s="7">
        <v>100</v>
      </c>
      <c r="W258" s="7">
        <v>0</v>
      </c>
      <c r="X258" s="26">
        <f ca="1">VLOOKUP($I258,OFFSET([2]enemies!$A$1,0,0,COUNTA([2]enemies!$A:$A),MATCH(X$1,[2]enemies!$2:$2,0)-MATCH($I$1,[2]enemies!$2:$2,0)+1),MATCH(X$1,[2]enemies!$2:$2,0)-MATCH($I$1,[2]enemies!$2:$2,0)+1,FALSE)</f>
        <v>1</v>
      </c>
      <c r="Y258" s="31">
        <v>117</v>
      </c>
      <c r="Z258" s="5" t="str">
        <f ca="1">IFERROR(VLOOKUP($Y258,OFFSET([3]characters!$A$1,0,0,COUNTA([3]characters!$A:$A),MATCH(Z$1,[3]characters!$2:$2,0)-MATCH("character_id",[3]characters!$2:$2,0)+1),MATCH(Z$1,[3]characters!$2:$2,0)-MATCH("character_id",[3]characters!$2:$2,0)+1,FALSE),"")</f>
        <v>ゴールドピヨピヨ</v>
      </c>
      <c r="AA258" s="5">
        <f ca="1">IFERROR(VLOOKUP($Y258,OFFSET([3]characters!$A$1,0,0,COUNTA([3]characters!$A:$A),MATCH(AA$1,[3]characters!$2:$2,0)-MATCH("character_id",[3]characters!$2:$2,0)+1),MATCH(AA$1,[3]characters!$2:$2,0)-MATCH("character_id",[3]characters!$2:$2,0)+1,FALSE),"")</f>
        <v>3</v>
      </c>
      <c r="AB258" s="5" t="str">
        <f ca="1">IFERROR(VLOOKUP($Y258,OFFSET([3]characters!$A$1,0,0,COUNTA([3]characters!$A:$A),MATCH(AB$1,[3]characters!$2:$2,0)-MATCH("character_id",[3]characters!$2:$2,0)+1),MATCH(AB$1,[3]characters!$2:$2,0)-MATCH("character_id",[3]characters!$2:$2,0)+1,FALSE),"")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58" s="8">
        <v>1</v>
      </c>
      <c r="AD258" s="34">
        <f t="shared" ca="1" si="168"/>
        <v>3</v>
      </c>
      <c r="AE258" s="9">
        <v>50</v>
      </c>
      <c r="AF258" s="8">
        <v>0</v>
      </c>
      <c r="AG258" s="8">
        <v>0</v>
      </c>
      <c r="AH258" s="8">
        <v>0</v>
      </c>
      <c r="AI258" s="8">
        <v>0</v>
      </c>
      <c r="AJ258" s="8">
        <v>1</v>
      </c>
    </row>
    <row r="259" spans="1:36" ht="21" customHeight="1">
      <c r="A259" s="21" t="str">
        <f t="shared" ca="1" si="165"/>
        <v>11106_2-1/118&lt;lv2&gt;s2</v>
      </c>
      <c r="B259" s="8">
        <v>11106</v>
      </c>
      <c r="C259" s="32">
        <v>2</v>
      </c>
      <c r="D259" s="2" t="str">
        <f t="shared" si="166"/>
        <v>11106_2</v>
      </c>
      <c r="E259" s="5" t="str">
        <f ca="1">VLOOKUP($B259,OFFSET([1]quests!$A$1,0,0,COUNTA([1]quests!$A:$A),MATCH(E$1,[1]quests!$1:$1,0)-MATCH($B$1,[1]quests!$1:$1,0)+1),MATCH(E$1,[1]quests!$1:$1,0)-MATCH($B$1,[1]quests!$1:$1,0)+1,FALSE)</f>
        <v>【キャンペーン限定】 ゴールドカジノ</v>
      </c>
      <c r="F259" s="5" t="str">
        <f ca="1">VLOOKUP($D259,OFFSET([1]stages!$A$1,0,0,COUNTA([1]stages!$A:$A),MATCH(F$1,[1]stages!$2:$2,0)-MATCH($D$1,[1]stages!$2:$2,0)+1),MATCH(F$1,[1]stages!$2:$2,0)-MATCH($D$1,[1]stages!$2:$2,0)+1,FALSE)</f>
        <v>ゴールドカジノ 【中級】</v>
      </c>
      <c r="G259" s="32">
        <v>1</v>
      </c>
      <c r="H259" s="20" t="str">
        <f t="shared" si="167"/>
        <v>11106_2-1</v>
      </c>
      <c r="I259" s="31">
        <v>118</v>
      </c>
      <c r="J259" s="26" t="str">
        <f ca="1">VLOOKUP($I259,OFFSET([2]enemies!$A$1,0,0,COUNTA([2]enemies!$A:$A),MATCH(J$1,[2]enemies!$2:$2,0)-MATCH($I$1,[2]enemies!$2:$2,0)+1),MATCH(J$1,[2]enemies!$2:$2,0)-MATCH($I$1,[2]enemies!$2:$2,0)+1,FALSE)</f>
        <v>ゴールドチック</v>
      </c>
      <c r="K259" s="29" t="str">
        <f ca="1">VLOOKUP($I259,OFFSET([2]enemies!$A$1,0,0,COUNTA([2]enemies!$A:$A),MATCH(K$1,[2]enemies!$2:$2,0)-MATCH($I$1,[2]enemies!$2:$2,0)+1),MATCH(K$1,[2]enemies!$2:$2,0)-MATCH($I$1,[2]enemies!$2:$2,0)+1,FALSE)</f>
        <v>yellow</v>
      </c>
      <c r="L259" s="29" t="str">
        <f ca="1">VLOOKUP($I259,OFFSET([3]characters!$A$1,0,0,COUNTA([3]characters!$A:$A),MATCH(L$1,[3]characters!$2:$2,0)-MATCH($I$1,[3]characters!$2:$2,0)+1),MATCH(L$1,[3]characters!$2:$2,0)-MATCH($I$1,[3]characters!$2:$2,0)+1,FALSE)</f>
        <v>Material</v>
      </c>
      <c r="M259" s="28" t="str">
        <f ca="1">VLOOKUP($I259,OFFSET([3]characters!$A$1,0,0,COUNTA([3]characters!$A:$A),MATCH(M$1,[3]characters!$2:$2,0)-MATCH($I$1,[3]characters!$2:$2,0)+2),MATCH(M$1,[3]characters!$2:$2,0)-MATCH($I$1,[3]characters!$2:$2,0)+2,FALSE)</f>
        <v>Unknown</v>
      </c>
      <c r="N259" s="5">
        <f ca="1">VLOOKUP($I259,OFFSET([2]enemies!$A$1,0,0,COUNTA([2]enemies!$A:$A),MATCH(N$1,[2]enemies!$2:$2,0)-MATCH($I$1,[2]enemies!$2:$2,0)+1),MATCH(N$1,[2]enemies!$2:$2,0)-MATCH($I$1,[2]enemies!$2:$2,0)+1,FALSE)</f>
        <v>15</v>
      </c>
      <c r="O259" s="6">
        <v>2</v>
      </c>
      <c r="P259" s="46">
        <v>11.8</v>
      </c>
      <c r="Q259" s="46">
        <v>15.75</v>
      </c>
      <c r="R259" s="6">
        <v>0</v>
      </c>
      <c r="S259" s="5" t="str">
        <f ca="1">VLOOKUP($T259,OFFSET([4]enemy_skill_sets!$B$1,0,0,COUNTA([4]enemy_skill_sets!$B:$B),MATCH(J$1,[4]enemy_skill_sets!$1:$1,0)-MATCH($T$1,[4]enemy_skill_sets!$1:$1,0)+2),MATCH(J$1,[4]enemy_skill_sets!$1:$1,0)-MATCH($T$1,[4]enemy_skill_sets!$1:$1,0)+2,FALSE)</f>
        <v>攻撃力20倍の自爆攻撃！</v>
      </c>
      <c r="T259" s="42">
        <v>11801</v>
      </c>
      <c r="U259" s="7">
        <v>1</v>
      </c>
      <c r="V259" s="7">
        <v>100</v>
      </c>
      <c r="W259" s="7">
        <v>0</v>
      </c>
      <c r="X259" s="26">
        <f ca="1">VLOOKUP($I259,OFFSET([2]enemies!$A$1,0,0,COUNTA([2]enemies!$A:$A),MATCH(X$1,[2]enemies!$2:$2,0)-MATCH($I$1,[2]enemies!$2:$2,0)+1),MATCH(X$1,[2]enemies!$2:$2,0)-MATCH($I$1,[2]enemies!$2:$2,0)+1,FALSE)</f>
        <v>2</v>
      </c>
      <c r="Y259" s="31">
        <v>118</v>
      </c>
      <c r="Z259" s="5" t="str">
        <f ca="1">IFERROR(VLOOKUP($Y259,OFFSET([3]characters!$A$1,0,0,COUNTA([3]characters!$A:$A),MATCH(Z$1,[3]characters!$2:$2,0)-MATCH("character_id",[3]characters!$2:$2,0)+1),MATCH(Z$1,[3]characters!$2:$2,0)-MATCH("character_id",[3]characters!$2:$2,0)+1,FALSE),"")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259" s="5">
        <f ca="1">IFERROR(VLOOKUP($Y259,OFFSET([3]characters!$A$1,0,0,COUNTA([3]characters!$A:$A),MATCH(AA$1,[3]characters!$2:$2,0)-MATCH("character_id",[3]characters!$2:$2,0)+1),MATCH(AA$1,[3]characters!$2:$2,0)-MATCH("character_id",[3]characters!$2:$2,0)+1,FALSE),"")</f>
        <v>4</v>
      </c>
      <c r="AB259" s="5" t="str">
        <f ca="1">IFERROR(VLOOKUP($Y259,OFFSET([3]characters!$A$1,0,0,COUNTA([3]characters!$A:$A),MATCH(AB$1,[3]characters!$2:$2,0)-MATCH("character_id",[3]characters!$2:$2,0)+1),MATCH(AB$1,[3]characters!$2:$2,0)-MATCH("character_id",[3]characters!$2:$2,0)+1,FALSE),"")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59" s="8">
        <v>1</v>
      </c>
      <c r="AD259" s="34">
        <f t="shared" ca="1" si="168"/>
        <v>4</v>
      </c>
      <c r="AE259" s="9">
        <v>50</v>
      </c>
      <c r="AF259" s="8">
        <v>0</v>
      </c>
      <c r="AG259" s="8">
        <v>0</v>
      </c>
      <c r="AH259" s="8">
        <v>0</v>
      </c>
      <c r="AI259" s="8">
        <v>0</v>
      </c>
      <c r="AJ259" s="8">
        <v>1</v>
      </c>
    </row>
    <row r="260" spans="1:36" ht="21" customHeight="1">
      <c r="A260" s="21" t="str">
        <f t="shared" ref="A260:A261" ca="1" si="193">B260&amp;"_"&amp;C260&amp;"-"&amp;G260&amp;"/"&amp;I260&amp;"&lt;lv"&amp;O260&amp;"&gt;s"&amp;X260</f>
        <v>11106_2-1/117&lt;lv1&gt;s1</v>
      </c>
      <c r="B260" s="8">
        <v>11106</v>
      </c>
      <c r="C260" s="32">
        <v>2</v>
      </c>
      <c r="D260" s="2" t="str">
        <f t="shared" ref="D260:D261" si="194">B260&amp;"_"&amp;C260</f>
        <v>11106_2</v>
      </c>
      <c r="E260" s="5" t="str">
        <f ca="1">VLOOKUP($B260,OFFSET([1]quests!$A$1,0,0,COUNTA([1]quests!$A:$A),MATCH(E$1,[1]quests!$1:$1,0)-MATCH($B$1,[1]quests!$1:$1,0)+1),MATCH(E$1,[1]quests!$1:$1,0)-MATCH($B$1,[1]quests!$1:$1,0)+1,FALSE)</f>
        <v>【キャンペーン限定】 ゴールドカジノ</v>
      </c>
      <c r="F260" s="5" t="str">
        <f ca="1">VLOOKUP($D260,OFFSET([1]stages!$A$1,0,0,COUNTA([1]stages!$A:$A),MATCH(F$1,[1]stages!$2:$2,0)-MATCH($D$1,[1]stages!$2:$2,0)+1),MATCH(F$1,[1]stages!$2:$2,0)-MATCH($D$1,[1]stages!$2:$2,0)+1,FALSE)</f>
        <v>ゴールドカジノ 【中級】</v>
      </c>
      <c r="G260" s="32">
        <v>1</v>
      </c>
      <c r="H260" s="20" t="str">
        <f t="shared" ref="H260:H261" si="195">B260&amp;"_"&amp;C260&amp;"-"&amp;G260</f>
        <v>11106_2-1</v>
      </c>
      <c r="I260" s="31">
        <v>117</v>
      </c>
      <c r="J260" s="26" t="str">
        <f ca="1">VLOOKUP($I260,OFFSET([2]enemies!$A$1,0,0,COUNTA([2]enemies!$A:$A),MATCH(J$1,[2]enemies!$2:$2,0)-MATCH($I$1,[2]enemies!$2:$2,0)+1),MATCH(J$1,[2]enemies!$2:$2,0)-MATCH($I$1,[2]enemies!$2:$2,0)+1,FALSE)</f>
        <v>ゴールドピヨピヨ</v>
      </c>
      <c r="K260" s="29" t="str">
        <f ca="1">VLOOKUP($I260,OFFSET([2]enemies!$A$1,0,0,COUNTA([2]enemies!$A:$A),MATCH(K$1,[2]enemies!$2:$2,0)-MATCH($I$1,[2]enemies!$2:$2,0)+1),MATCH(K$1,[2]enemies!$2:$2,0)-MATCH($I$1,[2]enemies!$2:$2,0)+1,FALSE)</f>
        <v>yellow</v>
      </c>
      <c r="L260" s="29" t="str">
        <f ca="1">VLOOKUP($I260,OFFSET([3]characters!$A$1,0,0,COUNTA([3]characters!$A:$A),MATCH(L$1,[3]characters!$2:$2,0)-MATCH($I$1,[3]characters!$2:$2,0)+1),MATCH(L$1,[3]characters!$2:$2,0)-MATCH($I$1,[3]characters!$2:$2,0)+1,FALSE)</f>
        <v>Material</v>
      </c>
      <c r="M260" s="28" t="str">
        <f ca="1">VLOOKUP($I260,OFFSET([3]characters!$A$1,0,0,COUNTA([3]characters!$A:$A),MATCH(M$1,[3]characters!$2:$2,0)-MATCH($I$1,[3]characters!$2:$2,0)+2),MATCH(M$1,[3]characters!$2:$2,0)-MATCH($I$1,[3]characters!$2:$2,0)+2,FALSE)</f>
        <v>Unknown</v>
      </c>
      <c r="N260" s="5">
        <f ca="1">VLOOKUP($I260,OFFSET([2]enemies!$A$1,0,0,COUNTA([2]enemies!$A:$A),MATCH(N$1,[2]enemies!$2:$2,0)-MATCH($I$1,[2]enemies!$2:$2,0)+1),MATCH(N$1,[2]enemies!$2:$2,0)-MATCH($I$1,[2]enemies!$2:$2,0)+1,FALSE)</f>
        <v>15</v>
      </c>
      <c r="O260" s="6">
        <v>1</v>
      </c>
      <c r="P260" s="46">
        <v>16.5</v>
      </c>
      <c r="Q260" s="46">
        <v>17.75</v>
      </c>
      <c r="R260" s="6">
        <v>0</v>
      </c>
      <c r="S260" s="5" t="str">
        <f ca="1">VLOOKUP($T260,OFFSET([4]enemy_skill_sets!$B$1,0,0,COUNTA([4]enemy_skill_sets!$B:$B),MATCH(J$1,[4]enemy_skill_sets!$1:$1,0)-MATCH($T$1,[4]enemy_skill_sets!$1:$1,0)+2),MATCH(J$1,[4]enemy_skill_sets!$1:$1,0)-MATCH($T$1,[4]enemy_skill_sets!$1:$1,0)+2,FALSE)</f>
        <v>攻撃力20倍の自爆攻撃！</v>
      </c>
      <c r="T260" s="42">
        <v>11801</v>
      </c>
      <c r="U260" s="36">
        <v>0</v>
      </c>
      <c r="V260" s="7">
        <v>100</v>
      </c>
      <c r="W260" s="7">
        <v>0</v>
      </c>
      <c r="X260" s="26">
        <f ca="1">VLOOKUP($I260,OFFSET([2]enemies!$A$1,0,0,COUNTA([2]enemies!$A:$A),MATCH(X$1,[2]enemies!$2:$2,0)-MATCH($I$1,[2]enemies!$2:$2,0)+1),MATCH(X$1,[2]enemies!$2:$2,0)-MATCH($I$1,[2]enemies!$2:$2,0)+1,FALSE)</f>
        <v>1</v>
      </c>
      <c r="Y260" s="31">
        <v>117</v>
      </c>
      <c r="Z260" s="5" t="str">
        <f ca="1">IFERROR(VLOOKUP($Y260,OFFSET([3]characters!$A$1,0,0,COUNTA([3]characters!$A:$A),MATCH(Z$1,[3]characters!$2:$2,0)-MATCH("character_id",[3]characters!$2:$2,0)+1),MATCH(Z$1,[3]characters!$2:$2,0)-MATCH("character_id",[3]characters!$2:$2,0)+1,FALSE),"")</f>
        <v>ゴールドピヨピヨ</v>
      </c>
      <c r="AA260" s="5">
        <f ca="1">IFERROR(VLOOKUP($Y260,OFFSET([3]characters!$A$1,0,0,COUNTA([3]characters!$A:$A),MATCH(AA$1,[3]characters!$2:$2,0)-MATCH("character_id",[3]characters!$2:$2,0)+1),MATCH(AA$1,[3]characters!$2:$2,0)-MATCH("character_id",[3]characters!$2:$2,0)+1,FALSE),"")</f>
        <v>3</v>
      </c>
      <c r="AB260" s="5" t="str">
        <f ca="1">IFERROR(VLOOKUP($Y260,OFFSET([3]characters!$A$1,0,0,COUNTA([3]characters!$A:$A),MATCH(AB$1,[3]characters!$2:$2,0)-MATCH("character_id",[3]characters!$2:$2,0)+1),MATCH(AB$1,[3]characters!$2:$2,0)-MATCH("character_id",[3]characters!$2:$2,0)+1,FALSE),"")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60" s="8">
        <v>1</v>
      </c>
      <c r="AD260" s="34">
        <f t="shared" ref="AD260:AD261" ca="1" si="196">AA260</f>
        <v>3</v>
      </c>
      <c r="AE260" s="9">
        <v>50</v>
      </c>
      <c r="AF260" s="8">
        <v>0</v>
      </c>
      <c r="AG260" s="8">
        <v>0</v>
      </c>
      <c r="AH260" s="8">
        <v>0</v>
      </c>
      <c r="AI260" s="8">
        <v>0</v>
      </c>
      <c r="AJ260" s="8">
        <v>1</v>
      </c>
    </row>
    <row r="261" spans="1:36" ht="21" customHeight="1">
      <c r="A261" s="21" t="str">
        <f t="shared" ca="1" si="193"/>
        <v>11106_2-1/118&lt;lv1&gt;s2</v>
      </c>
      <c r="B261" s="8">
        <v>11106</v>
      </c>
      <c r="C261" s="32">
        <v>2</v>
      </c>
      <c r="D261" s="2" t="str">
        <f t="shared" si="194"/>
        <v>11106_2</v>
      </c>
      <c r="E261" s="5" t="str">
        <f ca="1">VLOOKUP($B261,OFFSET([1]quests!$A$1,0,0,COUNTA([1]quests!$A:$A),MATCH(E$1,[1]quests!$1:$1,0)-MATCH($B$1,[1]quests!$1:$1,0)+1),MATCH(E$1,[1]quests!$1:$1,0)-MATCH($B$1,[1]quests!$1:$1,0)+1,FALSE)</f>
        <v>【キャンペーン限定】 ゴールドカジノ</v>
      </c>
      <c r="F261" s="5" t="str">
        <f ca="1">VLOOKUP($D261,OFFSET([1]stages!$A$1,0,0,COUNTA([1]stages!$A:$A),MATCH(F$1,[1]stages!$2:$2,0)-MATCH($D$1,[1]stages!$2:$2,0)+1),MATCH(F$1,[1]stages!$2:$2,0)-MATCH($D$1,[1]stages!$2:$2,0)+1,FALSE)</f>
        <v>ゴールドカジノ 【中級】</v>
      </c>
      <c r="G261" s="32">
        <v>1</v>
      </c>
      <c r="H261" s="20" t="str">
        <f t="shared" si="195"/>
        <v>11106_2-1</v>
      </c>
      <c r="I261" s="31">
        <v>118</v>
      </c>
      <c r="J261" s="26" t="str">
        <f ca="1">VLOOKUP($I261,OFFSET([2]enemies!$A$1,0,0,COUNTA([2]enemies!$A:$A),MATCH(J$1,[2]enemies!$2:$2,0)-MATCH($I$1,[2]enemies!$2:$2,0)+1),MATCH(J$1,[2]enemies!$2:$2,0)-MATCH($I$1,[2]enemies!$2:$2,0)+1,FALSE)</f>
        <v>ゴールドチック</v>
      </c>
      <c r="K261" s="29" t="str">
        <f ca="1">VLOOKUP($I261,OFFSET([2]enemies!$A$1,0,0,COUNTA([2]enemies!$A:$A),MATCH(K$1,[2]enemies!$2:$2,0)-MATCH($I$1,[2]enemies!$2:$2,0)+1),MATCH(K$1,[2]enemies!$2:$2,0)-MATCH($I$1,[2]enemies!$2:$2,0)+1,FALSE)</f>
        <v>yellow</v>
      </c>
      <c r="L261" s="29" t="str">
        <f ca="1">VLOOKUP($I261,OFFSET([3]characters!$A$1,0,0,COUNTA([3]characters!$A:$A),MATCH(L$1,[3]characters!$2:$2,0)-MATCH($I$1,[3]characters!$2:$2,0)+1),MATCH(L$1,[3]characters!$2:$2,0)-MATCH($I$1,[3]characters!$2:$2,0)+1,FALSE)</f>
        <v>Material</v>
      </c>
      <c r="M261" s="28" t="str">
        <f ca="1">VLOOKUP($I261,OFFSET([3]characters!$A$1,0,0,COUNTA([3]characters!$A:$A),MATCH(M$1,[3]characters!$2:$2,0)-MATCH($I$1,[3]characters!$2:$2,0)+2),MATCH(M$1,[3]characters!$2:$2,0)-MATCH($I$1,[3]characters!$2:$2,0)+2,FALSE)</f>
        <v>Unknown</v>
      </c>
      <c r="N261" s="5">
        <f ca="1">VLOOKUP($I261,OFFSET([2]enemies!$A$1,0,0,COUNTA([2]enemies!$A:$A),MATCH(N$1,[2]enemies!$2:$2,0)-MATCH($I$1,[2]enemies!$2:$2,0)+1),MATCH(N$1,[2]enemies!$2:$2,0)-MATCH($I$1,[2]enemies!$2:$2,0)+1,FALSE)</f>
        <v>15</v>
      </c>
      <c r="O261" s="6">
        <v>1</v>
      </c>
      <c r="P261" s="46">
        <v>16.5</v>
      </c>
      <c r="Q261" s="46">
        <v>15.75</v>
      </c>
      <c r="R261" s="6">
        <v>0</v>
      </c>
      <c r="S261" s="5" t="str">
        <f ca="1">VLOOKUP($T261,OFFSET([4]enemy_skill_sets!$B$1,0,0,COUNTA([4]enemy_skill_sets!$B:$B),MATCH(J$1,[4]enemy_skill_sets!$1:$1,0)-MATCH($T$1,[4]enemy_skill_sets!$1:$1,0)+2),MATCH(J$1,[4]enemy_skill_sets!$1:$1,0)-MATCH($T$1,[4]enemy_skill_sets!$1:$1,0)+2,FALSE)</f>
        <v>攻撃力20倍の自爆攻撃！</v>
      </c>
      <c r="T261" s="42">
        <v>11801</v>
      </c>
      <c r="U261" s="36">
        <v>0</v>
      </c>
      <c r="V261" s="7">
        <v>100</v>
      </c>
      <c r="W261" s="7">
        <v>0</v>
      </c>
      <c r="X261" s="26">
        <f ca="1">VLOOKUP($I261,OFFSET([2]enemies!$A$1,0,0,COUNTA([2]enemies!$A:$A),MATCH(X$1,[2]enemies!$2:$2,0)-MATCH($I$1,[2]enemies!$2:$2,0)+1),MATCH(X$1,[2]enemies!$2:$2,0)-MATCH($I$1,[2]enemies!$2:$2,0)+1,FALSE)</f>
        <v>2</v>
      </c>
      <c r="Y261" s="31">
        <v>118</v>
      </c>
      <c r="Z261" s="5" t="str">
        <f ca="1">IFERROR(VLOOKUP($Y261,OFFSET([3]characters!$A$1,0,0,COUNTA([3]characters!$A:$A),MATCH(Z$1,[3]characters!$2:$2,0)-MATCH("character_id",[3]characters!$2:$2,0)+1),MATCH(Z$1,[3]characters!$2:$2,0)-MATCH("character_id",[3]characters!$2:$2,0)+1,FALSE),"")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261" s="5">
        <f ca="1">IFERROR(VLOOKUP($Y261,OFFSET([3]characters!$A$1,0,0,COUNTA([3]characters!$A:$A),MATCH(AA$1,[3]characters!$2:$2,0)-MATCH("character_id",[3]characters!$2:$2,0)+1),MATCH(AA$1,[3]characters!$2:$2,0)-MATCH("character_id",[3]characters!$2:$2,0)+1,FALSE),"")</f>
        <v>4</v>
      </c>
      <c r="AB261" s="5" t="str">
        <f ca="1">IFERROR(VLOOKUP($Y261,OFFSET([3]characters!$A$1,0,0,COUNTA([3]characters!$A:$A),MATCH(AB$1,[3]characters!$2:$2,0)-MATCH("character_id",[3]characters!$2:$2,0)+1),MATCH(AB$1,[3]characters!$2:$2,0)-MATCH("character_id",[3]characters!$2:$2,0)+1,FALSE),"")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61" s="8">
        <v>1</v>
      </c>
      <c r="AD261" s="34">
        <f t="shared" ca="1" si="196"/>
        <v>4</v>
      </c>
      <c r="AE261" s="9">
        <v>50</v>
      </c>
      <c r="AF261" s="8">
        <v>0</v>
      </c>
      <c r="AG261" s="8">
        <v>0</v>
      </c>
      <c r="AH261" s="8">
        <v>0</v>
      </c>
      <c r="AI261" s="8">
        <v>0</v>
      </c>
      <c r="AJ261" s="8">
        <v>1</v>
      </c>
    </row>
    <row r="262" spans="1:36" ht="21" customHeight="1">
      <c r="A262" s="21" t="str">
        <f>B262&amp;"_"&amp;C262&amp;"-"&amp;G262&amp;"/"&amp;I262&amp;"&lt;lv"&amp;O262&amp;"&gt;s"&amp;X262</f>
        <v>11106_2-1/41&lt;lv16&gt;s1</v>
      </c>
      <c r="B262" s="8">
        <v>11106</v>
      </c>
      <c r="C262" s="32">
        <v>2</v>
      </c>
      <c r="D262" s="20" t="str">
        <f>B262&amp;"_"&amp;C262</f>
        <v>11106_2</v>
      </c>
      <c r="E262" s="5" t="str">
        <f ca="1">VLOOKUP($B262,OFFSET([1]quests!$A$1,0,0,COUNTA([1]quests!$A:$A),MATCH(E$1,[1]quests!$1:$1,0)-MATCH($B$1,[1]quests!$1:$1,0)+1),MATCH(E$1,[1]quests!$1:$1,0)-MATCH($B$1,[1]quests!$1:$1,0)+1,FALSE)</f>
        <v>【キャンペーン限定】 ゴールドカジノ</v>
      </c>
      <c r="F262" s="5" t="str">
        <f ca="1">VLOOKUP($D262,OFFSET([1]stages!$A$1,0,0,COUNTA([1]stages!$A:$A),MATCH(F$1,[1]stages!$2:$2,0)-MATCH($D$1,[1]stages!$2:$2,0)+1),MATCH(F$1,[1]stages!$2:$2,0)-MATCH($D$1,[1]stages!$2:$2,0)+1,FALSE)</f>
        <v>ゴールドカジノ 【中級】</v>
      </c>
      <c r="G262" s="32">
        <v>1</v>
      </c>
      <c r="H262" s="20" t="str">
        <f>B262&amp;"_"&amp;C262&amp;"-"&amp;G262</f>
        <v>11106_2-1</v>
      </c>
      <c r="I262" s="38">
        <v>41</v>
      </c>
      <c r="J262" s="26" t="s">
        <v>50</v>
      </c>
      <c r="K262" s="29" t="s">
        <v>51</v>
      </c>
      <c r="L262" s="29" t="s">
        <v>52</v>
      </c>
      <c r="M262" s="28" t="s">
        <v>53</v>
      </c>
      <c r="N262" s="5">
        <v>15</v>
      </c>
      <c r="O262" s="6">
        <v>16</v>
      </c>
      <c r="P262" s="46">
        <v>1</v>
      </c>
      <c r="Q262" s="46">
        <v>1</v>
      </c>
      <c r="R262" s="6">
        <v>0</v>
      </c>
      <c r="S262" s="5" t="str">
        <f ca="1">VLOOKUP($T262,OFFSET([4]enemy_skill_sets!$B$1,0,0,COUNTA([4]enemy_skill_sets!$B:$B),MATCH(J$1,[4]enemy_skill_sets!$1:$1,0)-MATCH($T$1,[4]enemy_skill_sets!$1:$1,0)+2),MATCH(J$1,[4]enemy_skill_sets!$1:$1,0)-MATCH($T$1,[4]enemy_skill_sets!$1:$1,0)+2,FALSE)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2" s="5">
        <v>0</v>
      </c>
      <c r="U262" s="36">
        <v>0</v>
      </c>
      <c r="V262" s="36">
        <v>100</v>
      </c>
      <c r="W262" s="36">
        <v>0</v>
      </c>
      <c r="X262" s="26">
        <v>1</v>
      </c>
      <c r="Y262" s="38">
        <v>41</v>
      </c>
      <c r="Z262" s="5" t="s">
        <v>50</v>
      </c>
      <c r="AA262" s="5">
        <v>2</v>
      </c>
      <c r="AB262" s="5" t="s">
        <v>52</v>
      </c>
      <c r="AC262" s="37">
        <v>1</v>
      </c>
      <c r="AD262" s="35">
        <f>AA262</f>
        <v>2</v>
      </c>
      <c r="AE262" s="9">
        <v>0</v>
      </c>
      <c r="AF262" s="35">
        <v>0</v>
      </c>
      <c r="AG262" s="35">
        <v>0</v>
      </c>
      <c r="AH262" s="35">
        <v>0</v>
      </c>
      <c r="AI262" s="35">
        <v>0</v>
      </c>
      <c r="AJ262" s="35">
        <v>1</v>
      </c>
    </row>
    <row r="263" spans="1:36" ht="21" customHeight="1">
      <c r="A263" s="21" t="str">
        <f>B263&amp;"_"&amp;C263&amp;"-"&amp;G263&amp;"/"&amp;I263&amp;"&lt;lv"&amp;O263&amp;"&gt;s"&amp;X263</f>
        <v>11106_2-1/43&lt;lv16&gt;s2</v>
      </c>
      <c r="B263" s="8">
        <v>11106</v>
      </c>
      <c r="C263" s="32">
        <v>2</v>
      </c>
      <c r="D263" s="20" t="str">
        <f>B263&amp;"_"&amp;C263</f>
        <v>11106_2</v>
      </c>
      <c r="E263" s="5" t="str">
        <f ca="1">VLOOKUP($B263,OFFSET([1]quests!$A$1,0,0,COUNTA([1]quests!$A:$A),MATCH(E$1,[1]quests!$1:$1,0)-MATCH($B$1,[1]quests!$1:$1,0)+1),MATCH(E$1,[1]quests!$1:$1,0)-MATCH($B$1,[1]quests!$1:$1,0)+1,FALSE)</f>
        <v>【キャンペーン限定】 ゴールドカジノ</v>
      </c>
      <c r="F263" s="5" t="str">
        <f ca="1">VLOOKUP($D263,OFFSET([1]stages!$A$1,0,0,COUNTA([1]stages!$A:$A),MATCH(F$1,[1]stages!$2:$2,0)-MATCH($D$1,[1]stages!$2:$2,0)+1),MATCH(F$1,[1]stages!$2:$2,0)-MATCH($D$1,[1]stages!$2:$2,0)+1,FALSE)</f>
        <v>ゴールドカジノ 【中級】</v>
      </c>
      <c r="G263" s="32">
        <v>1</v>
      </c>
      <c r="H263" s="20" t="str">
        <f>B263&amp;"_"&amp;C263&amp;"-"&amp;G263</f>
        <v>11106_2-1</v>
      </c>
      <c r="I263" s="38">
        <v>43</v>
      </c>
      <c r="J263" s="26" t="s">
        <v>54</v>
      </c>
      <c r="K263" s="29" t="s">
        <v>55</v>
      </c>
      <c r="L263" s="29" t="s">
        <v>52</v>
      </c>
      <c r="M263" s="28" t="s">
        <v>53</v>
      </c>
      <c r="N263" s="5">
        <v>15</v>
      </c>
      <c r="O263" s="6">
        <v>16</v>
      </c>
      <c r="P263" s="46">
        <v>1</v>
      </c>
      <c r="Q263" s="46">
        <v>1</v>
      </c>
      <c r="R263" s="6">
        <v>0</v>
      </c>
      <c r="S263" s="5" t="str">
        <f ca="1">VLOOKUP($T263,OFFSET([4]enemy_skill_sets!$B$1,0,0,COUNTA([4]enemy_skill_sets!$B:$B),MATCH(J$1,[4]enemy_skill_sets!$1:$1,0)-MATCH($T$1,[4]enemy_skill_sets!$1:$1,0)+2),MATCH(J$1,[4]enemy_skill_sets!$1:$1,0)-MATCH($T$1,[4]enemy_skill_sets!$1:$1,0)+2,FALSE)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3" s="5">
        <v>0</v>
      </c>
      <c r="U263" s="36">
        <v>0</v>
      </c>
      <c r="V263" s="36">
        <v>100</v>
      </c>
      <c r="W263" s="36">
        <v>0</v>
      </c>
      <c r="X263" s="26">
        <v>2</v>
      </c>
      <c r="Y263" s="38">
        <v>43</v>
      </c>
      <c r="Z263" s="5" t="s">
        <v>54</v>
      </c>
      <c r="AA263" s="5">
        <v>2</v>
      </c>
      <c r="AB263" s="5" t="s">
        <v>52</v>
      </c>
      <c r="AC263" s="37">
        <v>1</v>
      </c>
      <c r="AD263" s="35">
        <f>AA263</f>
        <v>2</v>
      </c>
      <c r="AE263" s="9">
        <v>0</v>
      </c>
      <c r="AF263" s="35">
        <v>0</v>
      </c>
      <c r="AG263" s="35">
        <v>0</v>
      </c>
      <c r="AH263" s="35">
        <v>0</v>
      </c>
      <c r="AI263" s="35">
        <v>0</v>
      </c>
      <c r="AJ263" s="35">
        <v>1</v>
      </c>
    </row>
    <row r="264" spans="1:36" ht="21" customHeight="1">
      <c r="A264" s="21" t="str">
        <f>B264&amp;"_"&amp;C264&amp;"-"&amp;G264&amp;"/"&amp;I264&amp;"&lt;lv"&amp;O264&amp;"&gt;s"&amp;X264</f>
        <v>11106_2-1/47&lt;lv16&gt;s1</v>
      </c>
      <c r="B264" s="8">
        <v>11106</v>
      </c>
      <c r="C264" s="32">
        <v>2</v>
      </c>
      <c r="D264" s="20" t="str">
        <f>B264&amp;"_"&amp;C264</f>
        <v>11106_2</v>
      </c>
      <c r="E264" s="5" t="str">
        <f ca="1">VLOOKUP($B264,OFFSET([1]quests!$A$1,0,0,COUNTA([1]quests!$A:$A),MATCH(E$1,[1]quests!$1:$1,0)-MATCH($B$1,[1]quests!$1:$1,0)+1),MATCH(E$1,[1]quests!$1:$1,0)-MATCH($B$1,[1]quests!$1:$1,0)+1,FALSE)</f>
        <v>【キャンペーン限定】 ゴールドカジノ</v>
      </c>
      <c r="F264" s="5" t="str">
        <f ca="1">VLOOKUP($D264,OFFSET([1]stages!$A$1,0,0,COUNTA([1]stages!$A:$A),MATCH(F$1,[1]stages!$2:$2,0)-MATCH($D$1,[1]stages!$2:$2,0)+1),MATCH(F$1,[1]stages!$2:$2,0)-MATCH($D$1,[1]stages!$2:$2,0)+1,FALSE)</f>
        <v>ゴールドカジノ 【中級】</v>
      </c>
      <c r="G264" s="32">
        <v>1</v>
      </c>
      <c r="H264" s="20" t="str">
        <f>B264&amp;"_"&amp;C264&amp;"-"&amp;G264</f>
        <v>11106_2-1</v>
      </c>
      <c r="I264" s="38">
        <v>47</v>
      </c>
      <c r="J264" s="26" t="s">
        <v>56</v>
      </c>
      <c r="K264" s="29" t="s">
        <v>57</v>
      </c>
      <c r="L264" s="29" t="s">
        <v>52</v>
      </c>
      <c r="M264" s="28" t="s">
        <v>58</v>
      </c>
      <c r="N264" s="5">
        <v>15</v>
      </c>
      <c r="O264" s="6">
        <v>16</v>
      </c>
      <c r="P264" s="46">
        <v>1</v>
      </c>
      <c r="Q264" s="46">
        <v>1</v>
      </c>
      <c r="R264" s="6">
        <v>0</v>
      </c>
      <c r="S264" s="5" t="str">
        <f ca="1">VLOOKUP($T264,OFFSET([4]enemy_skill_sets!$B$1,0,0,COUNTA([4]enemy_skill_sets!$B:$B),MATCH(J$1,[4]enemy_skill_sets!$1:$1,0)-MATCH($T$1,[4]enemy_skill_sets!$1:$1,0)+2),MATCH(J$1,[4]enemy_skill_sets!$1:$1,0)-MATCH($T$1,[4]enemy_skill_sets!$1:$1,0)+2,FALSE)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4" s="5">
        <v>0</v>
      </c>
      <c r="U264" s="36">
        <v>0</v>
      </c>
      <c r="V264" s="36">
        <v>100</v>
      </c>
      <c r="W264" s="36">
        <v>0</v>
      </c>
      <c r="X264" s="26">
        <v>1</v>
      </c>
      <c r="Y264" s="38">
        <v>47</v>
      </c>
      <c r="Z264" s="5" t="s">
        <v>56</v>
      </c>
      <c r="AA264" s="5">
        <v>2</v>
      </c>
      <c r="AB264" s="5" t="s">
        <v>52</v>
      </c>
      <c r="AC264" s="37">
        <v>1</v>
      </c>
      <c r="AD264" s="35">
        <f>AA264</f>
        <v>2</v>
      </c>
      <c r="AE264" s="9">
        <v>0</v>
      </c>
      <c r="AF264" s="35">
        <v>0</v>
      </c>
      <c r="AG264" s="35">
        <v>0</v>
      </c>
      <c r="AH264" s="35">
        <v>0</v>
      </c>
      <c r="AI264" s="35">
        <v>0</v>
      </c>
      <c r="AJ264" s="35">
        <v>1</v>
      </c>
    </row>
    <row r="265" spans="1:36" ht="21" customHeight="1">
      <c r="A265" s="21" t="str">
        <f>B265&amp;"_"&amp;C265&amp;"-"&amp;G265&amp;"/"&amp;I265&amp;"&lt;lv"&amp;O265&amp;"&gt;s"&amp;X265</f>
        <v>11106_2-1/45&lt;lv16&gt;s3</v>
      </c>
      <c r="B265" s="8">
        <v>11106</v>
      </c>
      <c r="C265" s="32">
        <v>2</v>
      </c>
      <c r="D265" s="20" t="str">
        <f>B265&amp;"_"&amp;C265</f>
        <v>11106_2</v>
      </c>
      <c r="E265" s="5" t="str">
        <f ca="1">VLOOKUP($B265,OFFSET([1]quests!$A$1,0,0,COUNTA([1]quests!$A:$A),MATCH(E$1,[1]quests!$1:$1,0)-MATCH($B$1,[1]quests!$1:$1,0)+1),MATCH(E$1,[1]quests!$1:$1,0)-MATCH($B$1,[1]quests!$1:$1,0)+1,FALSE)</f>
        <v>【キャンペーン限定】 ゴールドカジノ</v>
      </c>
      <c r="F265" s="5" t="str">
        <f ca="1">VLOOKUP($D265,OFFSET([1]stages!$A$1,0,0,COUNTA([1]stages!$A:$A),MATCH(F$1,[1]stages!$2:$2,0)-MATCH($D$1,[1]stages!$2:$2,0)+1),MATCH(F$1,[1]stages!$2:$2,0)-MATCH($D$1,[1]stages!$2:$2,0)+1,FALSE)</f>
        <v>ゴールドカジノ 【中級】</v>
      </c>
      <c r="G265" s="32">
        <v>1</v>
      </c>
      <c r="H265" s="20" t="str">
        <f>B265&amp;"_"&amp;C265&amp;"-"&amp;G265</f>
        <v>11106_2-1</v>
      </c>
      <c r="I265" s="38">
        <v>45</v>
      </c>
      <c r="J265" s="26" t="s">
        <v>59</v>
      </c>
      <c r="K265" s="29" t="s">
        <v>60</v>
      </c>
      <c r="L265" s="29" t="s">
        <v>52</v>
      </c>
      <c r="M265" s="28" t="s">
        <v>58</v>
      </c>
      <c r="N265" s="5">
        <v>15</v>
      </c>
      <c r="O265" s="6">
        <v>16</v>
      </c>
      <c r="P265" s="46">
        <v>1</v>
      </c>
      <c r="Q265" s="46">
        <v>1</v>
      </c>
      <c r="R265" s="6">
        <v>0</v>
      </c>
      <c r="S265" s="5" t="str">
        <f ca="1">VLOOKUP($T265,OFFSET([4]enemy_skill_sets!$B$1,0,0,COUNTA([4]enemy_skill_sets!$B:$B),MATCH(J$1,[4]enemy_skill_sets!$1:$1,0)-MATCH($T$1,[4]enemy_skill_sets!$1:$1,0)+2),MATCH(J$1,[4]enemy_skill_sets!$1:$1,0)-MATCH($T$1,[4]enemy_skill_sets!$1:$1,0)+2,FALSE)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5" s="5">
        <v>0</v>
      </c>
      <c r="U265" s="36">
        <v>0</v>
      </c>
      <c r="V265" s="36">
        <v>100</v>
      </c>
      <c r="W265" s="36">
        <v>0</v>
      </c>
      <c r="X265" s="26">
        <v>3</v>
      </c>
      <c r="Y265" s="38">
        <v>45</v>
      </c>
      <c r="Z265" s="5" t="s">
        <v>59</v>
      </c>
      <c r="AA265" s="5">
        <v>2</v>
      </c>
      <c r="AB265" s="5" t="s">
        <v>52</v>
      </c>
      <c r="AC265" s="37">
        <v>1</v>
      </c>
      <c r="AD265" s="35">
        <f>AA265</f>
        <v>2</v>
      </c>
      <c r="AE265" s="9">
        <v>0</v>
      </c>
      <c r="AF265" s="35">
        <v>0</v>
      </c>
      <c r="AG265" s="35">
        <v>0</v>
      </c>
      <c r="AH265" s="35">
        <v>0</v>
      </c>
      <c r="AI265" s="35">
        <v>0</v>
      </c>
      <c r="AJ265" s="35">
        <v>1</v>
      </c>
    </row>
    <row r="266" spans="1:36" ht="21" customHeight="1">
      <c r="A266" s="21" t="str">
        <f t="shared" ca="1" si="165"/>
        <v>11106_2-2/118&lt;lv2&gt;s2</v>
      </c>
      <c r="B266" s="8">
        <v>11106</v>
      </c>
      <c r="C266" s="32">
        <v>2</v>
      </c>
      <c r="D266" s="2" t="str">
        <f t="shared" si="166"/>
        <v>11106_2</v>
      </c>
      <c r="E266" s="5" t="str">
        <f ca="1">VLOOKUP($B266,OFFSET([1]quests!$A$1,0,0,COUNTA([1]quests!$A:$A),MATCH(E$1,[1]quests!$1:$1,0)-MATCH($B$1,[1]quests!$1:$1,0)+1),MATCH(E$1,[1]quests!$1:$1,0)-MATCH($B$1,[1]quests!$1:$1,0)+1,FALSE)</f>
        <v>【キャンペーン限定】 ゴールドカジノ</v>
      </c>
      <c r="F266" s="5" t="str">
        <f ca="1">VLOOKUP($D266,OFFSET([1]stages!$A$1,0,0,COUNTA([1]stages!$A:$A),MATCH(F$1,[1]stages!$2:$2,0)-MATCH($D$1,[1]stages!$2:$2,0)+1),MATCH(F$1,[1]stages!$2:$2,0)-MATCH($D$1,[1]stages!$2:$2,0)+1,FALSE)</f>
        <v>ゴールドカジノ 【中級】</v>
      </c>
      <c r="G266" s="32">
        <v>2</v>
      </c>
      <c r="H266" s="20" t="str">
        <f t="shared" si="167"/>
        <v>11106_2-2</v>
      </c>
      <c r="I266" s="31">
        <v>118</v>
      </c>
      <c r="J266" s="26" t="str">
        <f ca="1">VLOOKUP($I266,OFFSET([2]enemies!$A$1,0,0,COUNTA([2]enemies!$A:$A),MATCH(J$1,[2]enemies!$2:$2,0)-MATCH($I$1,[2]enemies!$2:$2,0)+1),MATCH(J$1,[2]enemies!$2:$2,0)-MATCH($I$1,[2]enemies!$2:$2,0)+1,FALSE)</f>
        <v>ゴールドチック</v>
      </c>
      <c r="K266" s="29" t="str">
        <f ca="1">VLOOKUP($I266,OFFSET([2]enemies!$A$1,0,0,COUNTA([2]enemies!$A:$A),MATCH(K$1,[2]enemies!$2:$2,0)-MATCH($I$1,[2]enemies!$2:$2,0)+1),MATCH(K$1,[2]enemies!$2:$2,0)-MATCH($I$1,[2]enemies!$2:$2,0)+1,FALSE)</f>
        <v>yellow</v>
      </c>
      <c r="L266" s="29" t="str">
        <f ca="1">VLOOKUP($I266,OFFSET([3]characters!$A$1,0,0,COUNTA([3]characters!$A:$A),MATCH(L$1,[3]characters!$2:$2,0)-MATCH($I$1,[3]characters!$2:$2,0)+1),MATCH(L$1,[3]characters!$2:$2,0)-MATCH($I$1,[3]characters!$2:$2,0)+1,FALSE)</f>
        <v>Material</v>
      </c>
      <c r="M266" s="28" t="str">
        <f ca="1">VLOOKUP($I266,OFFSET([3]characters!$A$1,0,0,COUNTA([3]characters!$A:$A),MATCH(M$1,[3]characters!$2:$2,0)-MATCH($I$1,[3]characters!$2:$2,0)+2),MATCH(M$1,[3]characters!$2:$2,0)-MATCH($I$1,[3]characters!$2:$2,0)+2,FALSE)</f>
        <v>Unknown</v>
      </c>
      <c r="N266" s="5">
        <f ca="1">VLOOKUP($I266,OFFSET([2]enemies!$A$1,0,0,COUNTA([2]enemies!$A:$A),MATCH(N$1,[2]enemies!$2:$2,0)-MATCH($I$1,[2]enemies!$2:$2,0)+1),MATCH(N$1,[2]enemies!$2:$2,0)-MATCH($I$1,[2]enemies!$2:$2,0)+1,FALSE)</f>
        <v>15</v>
      </c>
      <c r="O266" s="6">
        <v>2</v>
      </c>
      <c r="P266" s="46">
        <v>11.8</v>
      </c>
      <c r="Q266" s="46">
        <v>15.75</v>
      </c>
      <c r="R266" s="6">
        <v>0</v>
      </c>
      <c r="S266" s="5" t="str">
        <f ca="1">VLOOKUP($T266,OFFSET([4]enemy_skill_sets!$B$1,0,0,COUNTA([4]enemy_skill_sets!$B:$B),MATCH(J$1,[4]enemy_skill_sets!$1:$1,0)-MATCH($T$1,[4]enemy_skill_sets!$1:$1,0)+2),MATCH(J$1,[4]enemy_skill_sets!$1:$1,0)-MATCH($T$1,[4]enemy_skill_sets!$1:$1,0)+2,FALSE)</f>
        <v>攻撃力20倍の自爆攻撃！</v>
      </c>
      <c r="T266" s="42">
        <v>11801</v>
      </c>
      <c r="U266" s="7">
        <v>1</v>
      </c>
      <c r="V266" s="7">
        <v>100</v>
      </c>
      <c r="W266" s="7">
        <v>0</v>
      </c>
      <c r="X266" s="26">
        <f ca="1">VLOOKUP($I266,OFFSET([2]enemies!$A$1,0,0,COUNTA([2]enemies!$A:$A),MATCH(X$1,[2]enemies!$2:$2,0)-MATCH($I$1,[2]enemies!$2:$2,0)+1),MATCH(X$1,[2]enemies!$2:$2,0)-MATCH($I$1,[2]enemies!$2:$2,0)+1,FALSE)</f>
        <v>2</v>
      </c>
      <c r="Y266" s="31">
        <v>118</v>
      </c>
      <c r="Z266" s="5" t="str">
        <f ca="1">IFERROR(VLOOKUP($Y266,OFFSET([3]characters!$A$1,0,0,COUNTA([3]characters!$A:$A),MATCH(Z$1,[3]characters!$2:$2,0)-MATCH("character_id",[3]characters!$2:$2,0)+1),MATCH(Z$1,[3]characters!$2:$2,0)-MATCH("character_id",[3]characters!$2:$2,0)+1,FALSE),"")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266" s="5">
        <f ca="1">IFERROR(VLOOKUP($Y266,OFFSET([3]characters!$A$1,0,0,COUNTA([3]characters!$A:$A),MATCH(AA$1,[3]characters!$2:$2,0)-MATCH("character_id",[3]characters!$2:$2,0)+1),MATCH(AA$1,[3]characters!$2:$2,0)-MATCH("character_id",[3]characters!$2:$2,0)+1,FALSE),"")</f>
        <v>4</v>
      </c>
      <c r="AB266" s="5" t="str">
        <f ca="1">IFERROR(VLOOKUP($Y266,OFFSET([3]characters!$A$1,0,0,COUNTA([3]characters!$A:$A),MATCH(AB$1,[3]characters!$2:$2,0)-MATCH("character_id",[3]characters!$2:$2,0)+1),MATCH(AB$1,[3]characters!$2:$2,0)-MATCH("character_id",[3]characters!$2:$2,0)+1,FALSE),"")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66" s="8">
        <v>1</v>
      </c>
      <c r="AD266" s="34">
        <f t="shared" ca="1" si="168"/>
        <v>4</v>
      </c>
      <c r="AE266" s="9">
        <v>30</v>
      </c>
      <c r="AF266" s="8">
        <v>0</v>
      </c>
      <c r="AG266" s="8">
        <v>0</v>
      </c>
      <c r="AH266" s="8">
        <v>0</v>
      </c>
      <c r="AI266" s="8">
        <v>0</v>
      </c>
      <c r="AJ266" s="8">
        <v>1</v>
      </c>
    </row>
    <row r="267" spans="1:36" ht="21" customHeight="1">
      <c r="A267" s="21" t="str">
        <f t="shared" ref="A267" ca="1" si="197">B267&amp;"_"&amp;C267&amp;"-"&amp;G267&amp;"/"&amp;I267&amp;"&lt;lv"&amp;O267&amp;"&gt;s"&amp;X267</f>
        <v>11106_2-2/118&lt;lv1&gt;s2</v>
      </c>
      <c r="B267" s="8">
        <v>11106</v>
      </c>
      <c r="C267" s="32">
        <v>2</v>
      </c>
      <c r="D267" s="2" t="str">
        <f t="shared" ref="D267" si="198">B267&amp;"_"&amp;C267</f>
        <v>11106_2</v>
      </c>
      <c r="E267" s="5" t="str">
        <f ca="1">VLOOKUP($B267,OFFSET([1]quests!$A$1,0,0,COUNTA([1]quests!$A:$A),MATCH(E$1,[1]quests!$1:$1,0)-MATCH($B$1,[1]quests!$1:$1,0)+1),MATCH(E$1,[1]quests!$1:$1,0)-MATCH($B$1,[1]quests!$1:$1,0)+1,FALSE)</f>
        <v>【キャンペーン限定】 ゴールドカジノ</v>
      </c>
      <c r="F267" s="5" t="str">
        <f ca="1">VLOOKUP($D267,OFFSET([1]stages!$A$1,0,0,COUNTA([1]stages!$A:$A),MATCH(F$1,[1]stages!$2:$2,0)-MATCH($D$1,[1]stages!$2:$2,0)+1),MATCH(F$1,[1]stages!$2:$2,0)-MATCH($D$1,[1]stages!$2:$2,0)+1,FALSE)</f>
        <v>ゴールドカジノ 【中級】</v>
      </c>
      <c r="G267" s="32">
        <v>2</v>
      </c>
      <c r="H267" s="20" t="str">
        <f t="shared" ref="H267" si="199">B267&amp;"_"&amp;C267&amp;"-"&amp;G267</f>
        <v>11106_2-2</v>
      </c>
      <c r="I267" s="31">
        <v>118</v>
      </c>
      <c r="J267" s="26" t="str">
        <f ca="1">VLOOKUP($I267,OFFSET([2]enemies!$A$1,0,0,COUNTA([2]enemies!$A:$A),MATCH(J$1,[2]enemies!$2:$2,0)-MATCH($I$1,[2]enemies!$2:$2,0)+1),MATCH(J$1,[2]enemies!$2:$2,0)-MATCH($I$1,[2]enemies!$2:$2,0)+1,FALSE)</f>
        <v>ゴールドチック</v>
      </c>
      <c r="K267" s="29" t="str">
        <f ca="1">VLOOKUP($I267,OFFSET([2]enemies!$A$1,0,0,COUNTA([2]enemies!$A:$A),MATCH(K$1,[2]enemies!$2:$2,0)-MATCH($I$1,[2]enemies!$2:$2,0)+1),MATCH(K$1,[2]enemies!$2:$2,0)-MATCH($I$1,[2]enemies!$2:$2,0)+1,FALSE)</f>
        <v>yellow</v>
      </c>
      <c r="L267" s="29" t="str">
        <f ca="1">VLOOKUP($I267,OFFSET([3]characters!$A$1,0,0,COUNTA([3]characters!$A:$A),MATCH(L$1,[3]characters!$2:$2,0)-MATCH($I$1,[3]characters!$2:$2,0)+1),MATCH(L$1,[3]characters!$2:$2,0)-MATCH($I$1,[3]characters!$2:$2,0)+1,FALSE)</f>
        <v>Material</v>
      </c>
      <c r="M267" s="28" t="str">
        <f ca="1">VLOOKUP($I267,OFFSET([3]characters!$A$1,0,0,COUNTA([3]characters!$A:$A),MATCH(M$1,[3]characters!$2:$2,0)-MATCH($I$1,[3]characters!$2:$2,0)+2),MATCH(M$1,[3]characters!$2:$2,0)-MATCH($I$1,[3]characters!$2:$2,0)+2,FALSE)</f>
        <v>Unknown</v>
      </c>
      <c r="N267" s="5">
        <f ca="1">VLOOKUP($I267,OFFSET([2]enemies!$A$1,0,0,COUNTA([2]enemies!$A:$A),MATCH(N$1,[2]enemies!$2:$2,0)-MATCH($I$1,[2]enemies!$2:$2,0)+1),MATCH(N$1,[2]enemies!$2:$2,0)-MATCH($I$1,[2]enemies!$2:$2,0)+1,FALSE)</f>
        <v>15</v>
      </c>
      <c r="O267" s="6">
        <v>1</v>
      </c>
      <c r="P267" s="46">
        <v>16.5</v>
      </c>
      <c r="Q267" s="46">
        <v>15.75</v>
      </c>
      <c r="R267" s="6">
        <v>0</v>
      </c>
      <c r="S267" s="5" t="str">
        <f ca="1">VLOOKUP($T267,OFFSET([4]enemy_skill_sets!$B$1,0,0,COUNTA([4]enemy_skill_sets!$B:$B),MATCH(J$1,[4]enemy_skill_sets!$1:$1,0)-MATCH($T$1,[4]enemy_skill_sets!$1:$1,0)+2),MATCH(J$1,[4]enemy_skill_sets!$1:$1,0)-MATCH($T$1,[4]enemy_skill_sets!$1:$1,0)+2,FALSE)</f>
        <v>攻撃力20倍の自爆攻撃！</v>
      </c>
      <c r="T267" s="42">
        <v>11801</v>
      </c>
      <c r="U267" s="7">
        <v>0</v>
      </c>
      <c r="V267" s="7">
        <v>100</v>
      </c>
      <c r="W267" s="7">
        <v>0</v>
      </c>
      <c r="X267" s="26">
        <f ca="1">VLOOKUP($I267,OFFSET([2]enemies!$A$1,0,0,COUNTA([2]enemies!$A:$A),MATCH(X$1,[2]enemies!$2:$2,0)-MATCH($I$1,[2]enemies!$2:$2,0)+1),MATCH(X$1,[2]enemies!$2:$2,0)-MATCH($I$1,[2]enemies!$2:$2,0)+1,FALSE)</f>
        <v>2</v>
      </c>
      <c r="Y267" s="31">
        <v>118</v>
      </c>
      <c r="Z267" s="5" t="str">
        <f ca="1">IFERROR(VLOOKUP($Y267,OFFSET([3]characters!$A$1,0,0,COUNTA([3]characters!$A:$A),MATCH(Z$1,[3]characters!$2:$2,0)-MATCH("character_id",[3]characters!$2:$2,0)+1),MATCH(Z$1,[3]characters!$2:$2,0)-MATCH("character_id",[3]characters!$2:$2,0)+1,FALSE),"")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267" s="5">
        <f ca="1">IFERROR(VLOOKUP($Y267,OFFSET([3]characters!$A$1,0,0,COUNTA([3]characters!$A:$A),MATCH(AA$1,[3]characters!$2:$2,0)-MATCH("character_id",[3]characters!$2:$2,0)+1),MATCH(AA$1,[3]characters!$2:$2,0)-MATCH("character_id",[3]characters!$2:$2,0)+1,FALSE),"")</f>
        <v>4</v>
      </c>
      <c r="AB267" s="5" t="str">
        <f ca="1">IFERROR(VLOOKUP($Y267,OFFSET([3]characters!$A$1,0,0,COUNTA([3]characters!$A:$A),MATCH(AB$1,[3]characters!$2:$2,0)-MATCH("character_id",[3]characters!$2:$2,0)+1),MATCH(AB$1,[3]characters!$2:$2,0)-MATCH("character_id",[3]characters!$2:$2,0)+1,FALSE),"")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67" s="8">
        <v>1</v>
      </c>
      <c r="AD267" s="34">
        <f t="shared" ref="AD267" ca="1" si="200">AA267</f>
        <v>4</v>
      </c>
      <c r="AE267" s="9">
        <v>30</v>
      </c>
      <c r="AF267" s="8">
        <v>0</v>
      </c>
      <c r="AG267" s="8">
        <v>0</v>
      </c>
      <c r="AH267" s="8">
        <v>0</v>
      </c>
      <c r="AI267" s="8">
        <v>0</v>
      </c>
      <c r="AJ267" s="8">
        <v>1</v>
      </c>
    </row>
    <row r="268" spans="1:36" ht="21" customHeight="1">
      <c r="A268" s="21" t="str">
        <f>B268&amp;"_"&amp;C268&amp;"-"&amp;G268&amp;"/"&amp;I268&amp;"&lt;lv"&amp;O268&amp;"&gt;s"&amp;X268</f>
        <v>11106_2-2/41&lt;lv16&gt;s1</v>
      </c>
      <c r="B268" s="8">
        <v>11106</v>
      </c>
      <c r="C268" s="32">
        <v>2</v>
      </c>
      <c r="D268" s="20" t="str">
        <f>B268&amp;"_"&amp;C268</f>
        <v>11106_2</v>
      </c>
      <c r="E268" s="5" t="str">
        <f ca="1">VLOOKUP($B268,OFFSET([1]quests!$A$1,0,0,COUNTA([1]quests!$A:$A),MATCH(E$1,[1]quests!$1:$1,0)-MATCH($B$1,[1]quests!$1:$1,0)+1),MATCH(E$1,[1]quests!$1:$1,0)-MATCH($B$1,[1]quests!$1:$1,0)+1,FALSE)</f>
        <v>【キャンペーン限定】 ゴールドカジノ</v>
      </c>
      <c r="F268" s="5" t="str">
        <f ca="1">VLOOKUP($D268,OFFSET([1]stages!$A$1,0,0,COUNTA([1]stages!$A:$A),MATCH(F$1,[1]stages!$2:$2,0)-MATCH($D$1,[1]stages!$2:$2,0)+1),MATCH(F$1,[1]stages!$2:$2,0)-MATCH($D$1,[1]stages!$2:$2,0)+1,FALSE)</f>
        <v>ゴールドカジノ 【中級】</v>
      </c>
      <c r="G268" s="32">
        <v>2</v>
      </c>
      <c r="H268" s="20" t="str">
        <f>B268&amp;"_"&amp;C268&amp;"-"&amp;G268</f>
        <v>11106_2-2</v>
      </c>
      <c r="I268" s="38">
        <v>41</v>
      </c>
      <c r="J268" s="26" t="s">
        <v>50</v>
      </c>
      <c r="K268" s="29" t="s">
        <v>51</v>
      </c>
      <c r="L268" s="29" t="s">
        <v>52</v>
      </c>
      <c r="M268" s="28" t="s">
        <v>53</v>
      </c>
      <c r="N268" s="5">
        <v>15</v>
      </c>
      <c r="O268" s="6">
        <v>16</v>
      </c>
      <c r="P268" s="46">
        <v>1</v>
      </c>
      <c r="Q268" s="46">
        <v>1</v>
      </c>
      <c r="R268" s="6">
        <v>0</v>
      </c>
      <c r="S268" s="5" t="str">
        <f ca="1">VLOOKUP($T268,OFFSET([4]enemy_skill_sets!$B$1,0,0,COUNTA([4]enemy_skill_sets!$B:$B),MATCH(J$1,[4]enemy_skill_sets!$1:$1,0)-MATCH($T$1,[4]enemy_skill_sets!$1:$1,0)+2),MATCH(J$1,[4]enemy_skill_sets!$1:$1,0)-MATCH($T$1,[4]enemy_skill_sets!$1:$1,0)+2,FALSE)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8" s="5">
        <v>0</v>
      </c>
      <c r="U268" s="36">
        <v>0</v>
      </c>
      <c r="V268" s="36">
        <v>100</v>
      </c>
      <c r="W268" s="36">
        <v>0</v>
      </c>
      <c r="X268" s="26">
        <v>1</v>
      </c>
      <c r="Y268" s="38">
        <v>41</v>
      </c>
      <c r="Z268" s="5" t="s">
        <v>50</v>
      </c>
      <c r="AA268" s="5">
        <v>2</v>
      </c>
      <c r="AB268" s="5" t="s">
        <v>52</v>
      </c>
      <c r="AC268" s="37">
        <v>1</v>
      </c>
      <c r="AD268" s="35">
        <f>AA268</f>
        <v>2</v>
      </c>
      <c r="AE268" s="9">
        <v>0</v>
      </c>
      <c r="AF268" s="35">
        <v>0</v>
      </c>
      <c r="AG268" s="35">
        <v>0</v>
      </c>
      <c r="AH268" s="35">
        <v>0</v>
      </c>
      <c r="AI268" s="35">
        <v>0</v>
      </c>
      <c r="AJ268" s="35">
        <v>1</v>
      </c>
    </row>
    <row r="269" spans="1:36" ht="21" customHeight="1">
      <c r="A269" s="21" t="str">
        <f>B269&amp;"_"&amp;C269&amp;"-"&amp;G269&amp;"/"&amp;I269&amp;"&lt;lv"&amp;O269&amp;"&gt;s"&amp;X269</f>
        <v>11106_2-2/43&lt;lv16&gt;s2</v>
      </c>
      <c r="B269" s="8">
        <v>11106</v>
      </c>
      <c r="C269" s="32">
        <v>2</v>
      </c>
      <c r="D269" s="20" t="str">
        <f>B269&amp;"_"&amp;C269</f>
        <v>11106_2</v>
      </c>
      <c r="E269" s="5" t="str">
        <f ca="1">VLOOKUP($B269,OFFSET([1]quests!$A$1,0,0,COUNTA([1]quests!$A:$A),MATCH(E$1,[1]quests!$1:$1,0)-MATCH($B$1,[1]quests!$1:$1,0)+1),MATCH(E$1,[1]quests!$1:$1,0)-MATCH($B$1,[1]quests!$1:$1,0)+1,FALSE)</f>
        <v>【キャンペーン限定】 ゴールドカジノ</v>
      </c>
      <c r="F269" s="5" t="str">
        <f ca="1">VLOOKUP($D269,OFFSET([1]stages!$A$1,0,0,COUNTA([1]stages!$A:$A),MATCH(F$1,[1]stages!$2:$2,0)-MATCH($D$1,[1]stages!$2:$2,0)+1),MATCH(F$1,[1]stages!$2:$2,0)-MATCH($D$1,[1]stages!$2:$2,0)+1,FALSE)</f>
        <v>ゴールドカジノ 【中級】</v>
      </c>
      <c r="G269" s="32">
        <v>2</v>
      </c>
      <c r="H269" s="20" t="str">
        <f>B269&amp;"_"&amp;C269&amp;"-"&amp;G269</f>
        <v>11106_2-2</v>
      </c>
      <c r="I269" s="38">
        <v>43</v>
      </c>
      <c r="J269" s="26" t="s">
        <v>54</v>
      </c>
      <c r="K269" s="29" t="s">
        <v>55</v>
      </c>
      <c r="L269" s="29" t="s">
        <v>52</v>
      </c>
      <c r="M269" s="28" t="s">
        <v>53</v>
      </c>
      <c r="N269" s="5">
        <v>15</v>
      </c>
      <c r="O269" s="6">
        <v>16</v>
      </c>
      <c r="P269" s="46">
        <v>1</v>
      </c>
      <c r="Q269" s="46">
        <v>1</v>
      </c>
      <c r="R269" s="6">
        <v>0</v>
      </c>
      <c r="S269" s="5" t="str">
        <f ca="1">VLOOKUP($T269,OFFSET([4]enemy_skill_sets!$B$1,0,0,COUNTA([4]enemy_skill_sets!$B:$B),MATCH(J$1,[4]enemy_skill_sets!$1:$1,0)-MATCH($T$1,[4]enemy_skill_sets!$1:$1,0)+2),MATCH(J$1,[4]enemy_skill_sets!$1:$1,0)-MATCH($T$1,[4]enemy_skill_sets!$1:$1,0)+2,FALSE)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9" s="5">
        <v>0</v>
      </c>
      <c r="U269" s="36">
        <v>0</v>
      </c>
      <c r="V269" s="36">
        <v>100</v>
      </c>
      <c r="W269" s="36">
        <v>0</v>
      </c>
      <c r="X269" s="26">
        <v>2</v>
      </c>
      <c r="Y269" s="38">
        <v>43</v>
      </c>
      <c r="Z269" s="5" t="s">
        <v>54</v>
      </c>
      <c r="AA269" s="5">
        <v>2</v>
      </c>
      <c r="AB269" s="5" t="s">
        <v>52</v>
      </c>
      <c r="AC269" s="37">
        <v>1</v>
      </c>
      <c r="AD269" s="35">
        <f>AA269</f>
        <v>2</v>
      </c>
      <c r="AE269" s="9">
        <v>0</v>
      </c>
      <c r="AF269" s="35">
        <v>0</v>
      </c>
      <c r="AG269" s="35">
        <v>0</v>
      </c>
      <c r="AH269" s="35">
        <v>0</v>
      </c>
      <c r="AI269" s="35">
        <v>0</v>
      </c>
      <c r="AJ269" s="35">
        <v>1</v>
      </c>
    </row>
    <row r="270" spans="1:36" ht="21" customHeight="1">
      <c r="A270" s="21" t="str">
        <f>B270&amp;"_"&amp;C270&amp;"-"&amp;G270&amp;"/"&amp;I270&amp;"&lt;lv"&amp;O270&amp;"&gt;s"&amp;X270</f>
        <v>11106_2-2/47&lt;lv16&gt;s1</v>
      </c>
      <c r="B270" s="8">
        <v>11106</v>
      </c>
      <c r="C270" s="32">
        <v>2</v>
      </c>
      <c r="D270" s="20" t="str">
        <f>B270&amp;"_"&amp;C270</f>
        <v>11106_2</v>
      </c>
      <c r="E270" s="5" t="str">
        <f ca="1">VLOOKUP($B270,OFFSET([1]quests!$A$1,0,0,COUNTA([1]quests!$A:$A),MATCH(E$1,[1]quests!$1:$1,0)-MATCH($B$1,[1]quests!$1:$1,0)+1),MATCH(E$1,[1]quests!$1:$1,0)-MATCH($B$1,[1]quests!$1:$1,0)+1,FALSE)</f>
        <v>【キャンペーン限定】 ゴールドカジノ</v>
      </c>
      <c r="F270" s="5" t="str">
        <f ca="1">VLOOKUP($D270,OFFSET([1]stages!$A$1,0,0,COUNTA([1]stages!$A:$A),MATCH(F$1,[1]stages!$2:$2,0)-MATCH($D$1,[1]stages!$2:$2,0)+1),MATCH(F$1,[1]stages!$2:$2,0)-MATCH($D$1,[1]stages!$2:$2,0)+1,FALSE)</f>
        <v>ゴールドカジノ 【中級】</v>
      </c>
      <c r="G270" s="32">
        <v>2</v>
      </c>
      <c r="H270" s="20" t="str">
        <f>B270&amp;"_"&amp;C270&amp;"-"&amp;G270</f>
        <v>11106_2-2</v>
      </c>
      <c r="I270" s="38">
        <v>47</v>
      </c>
      <c r="J270" s="26" t="s">
        <v>56</v>
      </c>
      <c r="K270" s="29" t="s">
        <v>57</v>
      </c>
      <c r="L270" s="29" t="s">
        <v>52</v>
      </c>
      <c r="M270" s="28" t="s">
        <v>58</v>
      </c>
      <c r="N270" s="5">
        <v>15</v>
      </c>
      <c r="O270" s="6">
        <v>16</v>
      </c>
      <c r="P270" s="46">
        <v>1</v>
      </c>
      <c r="Q270" s="46">
        <v>1</v>
      </c>
      <c r="R270" s="6">
        <v>0</v>
      </c>
      <c r="S270" s="5" t="str">
        <f ca="1">VLOOKUP($T270,OFFSET([4]enemy_skill_sets!$B$1,0,0,COUNTA([4]enemy_skill_sets!$B:$B),MATCH(J$1,[4]enemy_skill_sets!$1:$1,0)-MATCH($T$1,[4]enemy_skill_sets!$1:$1,0)+2),MATCH(J$1,[4]enemy_skill_sets!$1:$1,0)-MATCH($T$1,[4]enemy_skill_sets!$1:$1,0)+2,FALSE)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0" s="5">
        <v>0</v>
      </c>
      <c r="U270" s="36">
        <v>0</v>
      </c>
      <c r="V270" s="36">
        <v>100</v>
      </c>
      <c r="W270" s="36">
        <v>0</v>
      </c>
      <c r="X270" s="26">
        <v>1</v>
      </c>
      <c r="Y270" s="38">
        <v>47</v>
      </c>
      <c r="Z270" s="5" t="s">
        <v>56</v>
      </c>
      <c r="AA270" s="5">
        <v>2</v>
      </c>
      <c r="AB270" s="5" t="s">
        <v>52</v>
      </c>
      <c r="AC270" s="37">
        <v>1</v>
      </c>
      <c r="AD270" s="35">
        <f>AA270</f>
        <v>2</v>
      </c>
      <c r="AE270" s="9">
        <v>0</v>
      </c>
      <c r="AF270" s="35">
        <v>0</v>
      </c>
      <c r="AG270" s="35">
        <v>0</v>
      </c>
      <c r="AH270" s="35">
        <v>0</v>
      </c>
      <c r="AI270" s="35">
        <v>0</v>
      </c>
      <c r="AJ270" s="35">
        <v>1</v>
      </c>
    </row>
    <row r="271" spans="1:36" ht="21" customHeight="1">
      <c r="A271" s="21" t="str">
        <f>B271&amp;"_"&amp;C271&amp;"-"&amp;G271&amp;"/"&amp;I271&amp;"&lt;lv"&amp;O271&amp;"&gt;s"&amp;X271</f>
        <v>11106_2-2/45&lt;lv16&gt;s3</v>
      </c>
      <c r="B271" s="8">
        <v>11106</v>
      </c>
      <c r="C271" s="32">
        <v>2</v>
      </c>
      <c r="D271" s="20" t="str">
        <f>B271&amp;"_"&amp;C271</f>
        <v>11106_2</v>
      </c>
      <c r="E271" s="5" t="str">
        <f ca="1">VLOOKUP($B271,OFFSET([1]quests!$A$1,0,0,COUNTA([1]quests!$A:$A),MATCH(E$1,[1]quests!$1:$1,0)-MATCH($B$1,[1]quests!$1:$1,0)+1),MATCH(E$1,[1]quests!$1:$1,0)-MATCH($B$1,[1]quests!$1:$1,0)+1,FALSE)</f>
        <v>【キャンペーン限定】 ゴールドカジノ</v>
      </c>
      <c r="F271" s="5" t="str">
        <f ca="1">VLOOKUP($D271,OFFSET([1]stages!$A$1,0,0,COUNTA([1]stages!$A:$A),MATCH(F$1,[1]stages!$2:$2,0)-MATCH($D$1,[1]stages!$2:$2,0)+1),MATCH(F$1,[1]stages!$2:$2,0)-MATCH($D$1,[1]stages!$2:$2,0)+1,FALSE)</f>
        <v>ゴールドカジノ 【中級】</v>
      </c>
      <c r="G271" s="32">
        <v>2</v>
      </c>
      <c r="H271" s="20" t="str">
        <f>B271&amp;"_"&amp;C271&amp;"-"&amp;G271</f>
        <v>11106_2-2</v>
      </c>
      <c r="I271" s="38">
        <v>45</v>
      </c>
      <c r="J271" s="26" t="s">
        <v>59</v>
      </c>
      <c r="K271" s="29" t="s">
        <v>60</v>
      </c>
      <c r="L271" s="29" t="s">
        <v>52</v>
      </c>
      <c r="M271" s="28" t="s">
        <v>58</v>
      </c>
      <c r="N271" s="5">
        <v>15</v>
      </c>
      <c r="O271" s="6">
        <v>16</v>
      </c>
      <c r="P271" s="46">
        <v>1</v>
      </c>
      <c r="Q271" s="46">
        <v>1</v>
      </c>
      <c r="R271" s="6">
        <v>0</v>
      </c>
      <c r="S271" s="5" t="str">
        <f ca="1">VLOOKUP($T271,OFFSET([4]enemy_skill_sets!$B$1,0,0,COUNTA([4]enemy_skill_sets!$B:$B),MATCH(J$1,[4]enemy_skill_sets!$1:$1,0)-MATCH($T$1,[4]enemy_skill_sets!$1:$1,0)+2),MATCH(J$1,[4]enemy_skill_sets!$1:$1,0)-MATCH($T$1,[4]enemy_skill_sets!$1:$1,0)+2,FALSE)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1" s="5">
        <v>0</v>
      </c>
      <c r="U271" s="36">
        <v>0</v>
      </c>
      <c r="V271" s="36">
        <v>100</v>
      </c>
      <c r="W271" s="36">
        <v>0</v>
      </c>
      <c r="X271" s="26">
        <v>3</v>
      </c>
      <c r="Y271" s="38">
        <v>45</v>
      </c>
      <c r="Z271" s="5" t="s">
        <v>59</v>
      </c>
      <c r="AA271" s="5">
        <v>2</v>
      </c>
      <c r="AB271" s="5" t="s">
        <v>52</v>
      </c>
      <c r="AC271" s="37">
        <v>1</v>
      </c>
      <c r="AD271" s="35">
        <f>AA271</f>
        <v>2</v>
      </c>
      <c r="AE271" s="9">
        <v>0</v>
      </c>
      <c r="AF271" s="35">
        <v>0</v>
      </c>
      <c r="AG271" s="35">
        <v>0</v>
      </c>
      <c r="AH271" s="35">
        <v>0</v>
      </c>
      <c r="AI271" s="35">
        <v>0</v>
      </c>
      <c r="AJ271" s="35">
        <v>1</v>
      </c>
    </row>
    <row r="272" spans="1:36" ht="21" customHeight="1">
      <c r="A272" s="21" t="str">
        <f t="shared" ca="1" si="165"/>
        <v>11106_2-3/118&lt;lv1&gt;s2</v>
      </c>
      <c r="B272" s="8">
        <v>11106</v>
      </c>
      <c r="C272" s="32">
        <v>2</v>
      </c>
      <c r="D272" s="2" t="str">
        <f t="shared" si="166"/>
        <v>11106_2</v>
      </c>
      <c r="E272" s="5" t="str">
        <f ca="1">VLOOKUP($B272,OFFSET([1]quests!$A$1,0,0,COUNTA([1]quests!$A:$A),MATCH(E$1,[1]quests!$1:$1,0)-MATCH($B$1,[1]quests!$1:$1,0)+1),MATCH(E$1,[1]quests!$1:$1,0)-MATCH($B$1,[1]quests!$1:$1,0)+1,FALSE)</f>
        <v>【キャンペーン限定】 ゴールドカジノ</v>
      </c>
      <c r="F272" s="5" t="str">
        <f ca="1">VLOOKUP($D272,OFFSET([1]stages!$A$1,0,0,COUNTA([1]stages!$A:$A),MATCH(F$1,[1]stages!$2:$2,0)-MATCH($D$1,[1]stages!$2:$2,0)+1),MATCH(F$1,[1]stages!$2:$2,0)-MATCH($D$1,[1]stages!$2:$2,0)+1,FALSE)</f>
        <v>ゴールドカジノ 【中級】</v>
      </c>
      <c r="G272" s="32">
        <v>3</v>
      </c>
      <c r="H272" s="20" t="str">
        <f t="shared" si="167"/>
        <v>11106_2-3</v>
      </c>
      <c r="I272" s="31">
        <v>118</v>
      </c>
      <c r="J272" s="26" t="str">
        <f ca="1">VLOOKUP($I272,OFFSET([2]enemies!$A$1,0,0,COUNTA([2]enemies!$A:$A),MATCH(J$1,[2]enemies!$2:$2,0)-MATCH($I$1,[2]enemies!$2:$2,0)+1),MATCH(J$1,[2]enemies!$2:$2,0)-MATCH($I$1,[2]enemies!$2:$2,0)+1,FALSE)</f>
        <v>ゴールドチック</v>
      </c>
      <c r="K272" s="29" t="str">
        <f ca="1">VLOOKUP($I272,OFFSET([2]enemies!$A$1,0,0,COUNTA([2]enemies!$A:$A),MATCH(K$1,[2]enemies!$2:$2,0)-MATCH($I$1,[2]enemies!$2:$2,0)+1),MATCH(K$1,[2]enemies!$2:$2,0)-MATCH($I$1,[2]enemies!$2:$2,0)+1,FALSE)</f>
        <v>yellow</v>
      </c>
      <c r="L272" s="29" t="str">
        <f ca="1">VLOOKUP($I272,OFFSET([3]characters!$A$1,0,0,COUNTA([3]characters!$A:$A),MATCH(L$1,[3]characters!$2:$2,0)-MATCH($I$1,[3]characters!$2:$2,0)+1),MATCH(L$1,[3]characters!$2:$2,0)-MATCH($I$1,[3]characters!$2:$2,0)+1,FALSE)</f>
        <v>Material</v>
      </c>
      <c r="M272" s="28" t="str">
        <f ca="1">VLOOKUP($I272,OFFSET([3]characters!$A$1,0,0,COUNTA([3]characters!$A:$A),MATCH(M$1,[3]characters!$2:$2,0)-MATCH($I$1,[3]characters!$2:$2,0)+2),MATCH(M$1,[3]characters!$2:$2,0)-MATCH($I$1,[3]characters!$2:$2,0)+2,FALSE)</f>
        <v>Unknown</v>
      </c>
      <c r="N272" s="5">
        <f ca="1">VLOOKUP($I272,OFFSET([2]enemies!$A$1,0,0,COUNTA([2]enemies!$A:$A),MATCH(N$1,[2]enemies!$2:$2,0)-MATCH($I$1,[2]enemies!$2:$2,0)+1),MATCH(N$1,[2]enemies!$2:$2,0)-MATCH($I$1,[2]enemies!$2:$2,0)+1,FALSE)</f>
        <v>15</v>
      </c>
      <c r="O272" s="6">
        <v>1</v>
      </c>
      <c r="P272" s="46">
        <v>16.5</v>
      </c>
      <c r="Q272" s="46">
        <v>15.75</v>
      </c>
      <c r="R272" s="6">
        <v>0</v>
      </c>
      <c r="S272" s="5" t="str">
        <f ca="1">VLOOKUP($T272,OFFSET([4]enemy_skill_sets!$B$1,0,0,COUNTA([4]enemy_skill_sets!$B:$B),MATCH(J$1,[4]enemy_skill_sets!$1:$1,0)-MATCH($T$1,[4]enemy_skill_sets!$1:$1,0)+2),MATCH(J$1,[4]enemy_skill_sets!$1:$1,0)-MATCH($T$1,[4]enemy_skill_sets!$1:$1,0)+2,FALSE)</f>
        <v>攻撃力20倍の自爆攻撃！</v>
      </c>
      <c r="T272" s="43">
        <v>11802</v>
      </c>
      <c r="U272" s="7">
        <v>1</v>
      </c>
      <c r="V272" s="7">
        <v>100</v>
      </c>
      <c r="W272" s="7">
        <v>0</v>
      </c>
      <c r="X272" s="26">
        <f ca="1">VLOOKUP($I272,OFFSET([2]enemies!$A$1,0,0,COUNTA([2]enemies!$A:$A),MATCH(X$1,[2]enemies!$2:$2,0)-MATCH($I$1,[2]enemies!$2:$2,0)+1),MATCH(X$1,[2]enemies!$2:$2,0)-MATCH($I$1,[2]enemies!$2:$2,0)+1,FALSE)</f>
        <v>2</v>
      </c>
      <c r="Y272" s="31">
        <v>118</v>
      </c>
      <c r="Z272" s="5" t="str">
        <f ca="1">IFERROR(VLOOKUP($Y272,OFFSET([3]characters!$A$1,0,0,COUNTA([3]characters!$A:$A),MATCH(Z$1,[3]characters!$2:$2,0)-MATCH("character_id",[3]characters!$2:$2,0)+1),MATCH(Z$1,[3]characters!$2:$2,0)-MATCH("character_id",[3]characters!$2:$2,0)+1,FALSE),"")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272" s="5">
        <f ca="1">IFERROR(VLOOKUP($Y272,OFFSET([3]characters!$A$1,0,0,COUNTA([3]characters!$A:$A),MATCH(AA$1,[3]characters!$2:$2,0)-MATCH("character_id",[3]characters!$2:$2,0)+1),MATCH(AA$1,[3]characters!$2:$2,0)-MATCH("character_id",[3]characters!$2:$2,0)+1,FALSE),"")</f>
        <v>4</v>
      </c>
      <c r="AB272" s="5" t="str">
        <f ca="1">IFERROR(VLOOKUP($Y272,OFFSET([3]characters!$A$1,0,0,COUNTA([3]characters!$A:$A),MATCH(AB$1,[3]characters!$2:$2,0)-MATCH("character_id",[3]characters!$2:$2,0)+1),MATCH(AB$1,[3]characters!$2:$2,0)-MATCH("character_id",[3]characters!$2:$2,0)+1,FALSE),"")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72" s="8">
        <v>1</v>
      </c>
      <c r="AD272" s="34">
        <f t="shared" ca="1" si="168"/>
        <v>4</v>
      </c>
      <c r="AE272" s="9">
        <v>30</v>
      </c>
      <c r="AF272" s="8">
        <v>0</v>
      </c>
      <c r="AG272" s="8">
        <v>0</v>
      </c>
      <c r="AH272" s="8">
        <v>0</v>
      </c>
      <c r="AI272" s="8">
        <v>0</v>
      </c>
      <c r="AJ272" s="8">
        <v>1</v>
      </c>
    </row>
    <row r="273" spans="1:36" ht="21" customHeight="1">
      <c r="A273" s="21" t="str">
        <f>B273&amp;"_"&amp;C273&amp;"-"&amp;G273&amp;"/"&amp;I273&amp;"&lt;lv"&amp;O273&amp;"&gt;s"&amp;X273</f>
        <v>11106_2-3/119&lt;lv1&gt;s4</v>
      </c>
      <c r="B273" s="8">
        <v>11106</v>
      </c>
      <c r="C273" s="32">
        <v>2</v>
      </c>
      <c r="D273" s="2" t="str">
        <f t="shared" si="166"/>
        <v>11106_2</v>
      </c>
      <c r="E273" s="5" t="str">
        <f ca="1">VLOOKUP($B273,OFFSET([1]quests!$A$1,0,0,COUNTA([1]quests!$A:$A),MATCH(E$1,[1]quests!$1:$1,0)-MATCH($B$1,[1]quests!$1:$1,0)+1),MATCH(E$1,[1]quests!$1:$1,0)-MATCH($B$1,[1]quests!$1:$1,0)+1,FALSE)</f>
        <v>【キャンペーン限定】 ゴールドカジノ</v>
      </c>
      <c r="F273" s="5" t="str">
        <f ca="1">VLOOKUP($D273,OFFSET([1]stages!$A$1,0,0,COUNTA([1]stages!$A:$A),MATCH(F$1,[1]stages!$2:$2,0)-MATCH($D$1,[1]stages!$2:$2,0)+1),MATCH(F$1,[1]stages!$2:$2,0)-MATCH($D$1,[1]stages!$2:$2,0)+1,FALSE)</f>
        <v>ゴールドカジノ 【中級】</v>
      </c>
      <c r="G273" s="32">
        <v>3</v>
      </c>
      <c r="H273" s="20" t="str">
        <f t="shared" si="167"/>
        <v>11106_2-3</v>
      </c>
      <c r="I273" s="31">
        <v>119</v>
      </c>
      <c r="J273" s="26" t="str">
        <f ca="1">VLOOKUP($I273,OFFSET([2]enemies!$A$1,0,0,COUNTA([2]enemies!$A:$A),MATCH(J$1,[2]enemies!$2:$2,0)-MATCH($I$1,[2]enemies!$2:$2,0)+1),MATCH(J$1,[2]enemies!$2:$2,0)-MATCH($I$1,[2]enemies!$2:$2,0)+1,FALSE)</f>
        <v>ゴールドダック</v>
      </c>
      <c r="K273" s="29" t="str">
        <f ca="1">VLOOKUP($I273,OFFSET([2]enemies!$A$1,0,0,COUNTA([2]enemies!$A:$A),MATCH(K$1,[2]enemies!$2:$2,0)-MATCH($I$1,[2]enemies!$2:$2,0)+1),MATCH(K$1,[2]enemies!$2:$2,0)-MATCH($I$1,[2]enemies!$2:$2,0)+1,FALSE)</f>
        <v>yellow</v>
      </c>
      <c r="L273" s="29" t="str">
        <f ca="1">VLOOKUP($I273,OFFSET([3]characters!$A$1,0,0,COUNTA([3]characters!$A:$A),MATCH(L$1,[3]characters!$2:$2,0)-MATCH($I$1,[3]characters!$2:$2,0)+1),MATCH(L$1,[3]characters!$2:$2,0)-MATCH($I$1,[3]characters!$2:$2,0)+1,FALSE)</f>
        <v>Material</v>
      </c>
      <c r="M273" s="28" t="str">
        <f ca="1">VLOOKUP($I273,OFFSET([3]characters!$A$1,0,0,COUNTA([3]characters!$A:$A),MATCH(M$1,[3]characters!$2:$2,0)-MATCH($I$1,[3]characters!$2:$2,0)+2),MATCH(M$1,[3]characters!$2:$2,0)-MATCH($I$1,[3]characters!$2:$2,0)+2,FALSE)</f>
        <v>Unknown</v>
      </c>
      <c r="N273" s="5">
        <f ca="1">VLOOKUP($I273,OFFSET([2]enemies!$A$1,0,0,COUNTA([2]enemies!$A:$A),MATCH(N$1,[2]enemies!$2:$2,0)-MATCH($I$1,[2]enemies!$2:$2,0)+1),MATCH(N$1,[2]enemies!$2:$2,0)-MATCH($I$1,[2]enemies!$2:$2,0)+1,FALSE)</f>
        <v>20</v>
      </c>
      <c r="O273" s="6">
        <v>1</v>
      </c>
      <c r="P273" s="46">
        <v>16.5</v>
      </c>
      <c r="Q273" s="46">
        <v>16.7</v>
      </c>
      <c r="R273" s="6">
        <v>0</v>
      </c>
      <c r="S273" s="5" t="str">
        <f ca="1">VLOOKUP($T273,OFFSET([4]enemy_skill_sets!$B$1,0,0,COUNTA([4]enemy_skill_sets!$B:$B),MATCH(J$1,[4]enemy_skill_sets!$1:$1,0)-MATCH($T$1,[4]enemy_skill_sets!$1:$1,0)+2),MATCH(J$1,[4]enemy_skill_sets!$1:$1,0)-MATCH($T$1,[4]enemy_skill_sets!$1:$1,0)+2,FALSE)</f>
        <v>攻撃力30倍の自爆攻撃！</v>
      </c>
      <c r="T273" s="43">
        <v>11902</v>
      </c>
      <c r="U273" s="7">
        <v>1</v>
      </c>
      <c r="V273" s="7">
        <v>100</v>
      </c>
      <c r="W273" s="7">
        <v>0</v>
      </c>
      <c r="X273" s="44">
        <v>4</v>
      </c>
      <c r="Y273" s="31">
        <v>119</v>
      </c>
      <c r="Z273" s="5" t="str">
        <f ca="1">IFERROR(VLOOKUP($Y273,OFFSET([3]characters!$A$1,0,0,COUNTA([3]characters!$A:$A),MATCH(Z$1,[3]characters!$2:$2,0)-MATCH("character_id",[3]characters!$2:$2,0)+1),MATCH(Z$1,[3]characters!$2:$2,0)-MATCH("character_id",[3]characters!$2:$2,0)+1,FALSE),"")</f>
        <v>ゴールドダック</v>
      </c>
      <c r="AA273" s="5">
        <f ca="1">IFERROR(VLOOKUP($Y273,OFFSET([3]characters!$A$1,0,0,COUNTA([3]characters!$A:$A),MATCH(AA$1,[3]characters!$2:$2,0)-MATCH("character_id",[3]characters!$2:$2,0)+1),MATCH(AA$1,[3]characters!$2:$2,0)-MATCH("character_id",[3]characters!$2:$2,0)+1,FALSE),"")</f>
        <v>5</v>
      </c>
      <c r="AB273" s="5" t="str">
        <f ca="1">IFERROR(VLOOKUP($Y273,OFFSET([3]characters!$A$1,0,0,COUNTA([3]characters!$A:$A),MATCH(AB$1,[3]characters!$2:$2,0)-MATCH("character_id",[3]characters!$2:$2,0)+1),MATCH(AB$1,[3]characters!$2:$2,0)-MATCH("character_id",[3]characters!$2:$2,0)+1,FALSE),"")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73" s="8">
        <v>1</v>
      </c>
      <c r="AD273" s="34">
        <f t="shared" ca="1" si="168"/>
        <v>5</v>
      </c>
      <c r="AE273" s="9">
        <v>5</v>
      </c>
      <c r="AF273" s="8">
        <v>0</v>
      </c>
      <c r="AG273" s="8">
        <v>0</v>
      </c>
      <c r="AH273" s="8">
        <v>0</v>
      </c>
      <c r="AI273" s="8">
        <v>0</v>
      </c>
      <c r="AJ273" s="8">
        <v>1</v>
      </c>
    </row>
    <row r="274" spans="1:36" ht="21" customHeight="1">
      <c r="A274" s="21" t="str">
        <f t="shared" ca="1" si="165"/>
        <v>11106_2-4/117&lt;lv1&gt;s1</v>
      </c>
      <c r="B274" s="8">
        <v>11106</v>
      </c>
      <c r="C274" s="32">
        <v>2</v>
      </c>
      <c r="D274" s="2" t="str">
        <f t="shared" si="166"/>
        <v>11106_2</v>
      </c>
      <c r="E274" s="5" t="str">
        <f ca="1">VLOOKUP($B274,OFFSET([1]quests!$A$1,0,0,COUNTA([1]quests!$A:$A),MATCH(E$1,[1]quests!$1:$1,0)-MATCH($B$1,[1]quests!$1:$1,0)+1),MATCH(E$1,[1]quests!$1:$1,0)-MATCH($B$1,[1]quests!$1:$1,0)+1,FALSE)</f>
        <v>【キャンペーン限定】 ゴールドカジノ</v>
      </c>
      <c r="F274" s="5" t="str">
        <f ca="1">VLOOKUP($D274,OFFSET([1]stages!$A$1,0,0,COUNTA([1]stages!$A:$A),MATCH(F$1,[1]stages!$2:$2,0)-MATCH($D$1,[1]stages!$2:$2,0)+1),MATCH(F$1,[1]stages!$2:$2,0)-MATCH($D$1,[1]stages!$2:$2,0)+1,FALSE)</f>
        <v>ゴールドカジノ 【中級】</v>
      </c>
      <c r="G274" s="32">
        <v>4</v>
      </c>
      <c r="H274" s="20" t="str">
        <f t="shared" si="167"/>
        <v>11106_2-4</v>
      </c>
      <c r="I274" s="31">
        <v>117</v>
      </c>
      <c r="J274" s="26" t="str">
        <f ca="1">VLOOKUP($I274,OFFSET([2]enemies!$A$1,0,0,COUNTA([2]enemies!$A:$A),MATCH(J$1,[2]enemies!$2:$2,0)-MATCH($I$1,[2]enemies!$2:$2,0)+1),MATCH(J$1,[2]enemies!$2:$2,0)-MATCH($I$1,[2]enemies!$2:$2,0)+1,FALSE)</f>
        <v>ゴールドピヨピヨ</v>
      </c>
      <c r="K274" s="29" t="str">
        <f ca="1">VLOOKUP($I274,OFFSET([2]enemies!$A$1,0,0,COUNTA([2]enemies!$A:$A),MATCH(K$1,[2]enemies!$2:$2,0)-MATCH($I$1,[2]enemies!$2:$2,0)+1),MATCH(K$1,[2]enemies!$2:$2,0)-MATCH($I$1,[2]enemies!$2:$2,0)+1,FALSE)</f>
        <v>yellow</v>
      </c>
      <c r="L274" s="29" t="str">
        <f ca="1">VLOOKUP($I274,OFFSET([3]characters!$A$1,0,0,COUNTA([3]characters!$A:$A),MATCH(L$1,[3]characters!$2:$2,0)-MATCH($I$1,[3]characters!$2:$2,0)+1),MATCH(L$1,[3]characters!$2:$2,0)-MATCH($I$1,[3]characters!$2:$2,0)+1,FALSE)</f>
        <v>Material</v>
      </c>
      <c r="M274" s="28" t="str">
        <f ca="1">VLOOKUP($I274,OFFSET([3]characters!$A$1,0,0,COUNTA([3]characters!$A:$A),MATCH(M$1,[3]characters!$2:$2,0)-MATCH($I$1,[3]characters!$2:$2,0)+2),MATCH(M$1,[3]characters!$2:$2,0)-MATCH($I$1,[3]characters!$2:$2,0)+2,FALSE)</f>
        <v>Unknown</v>
      </c>
      <c r="N274" s="5">
        <f ca="1">VLOOKUP($I274,OFFSET([2]enemies!$A$1,0,0,COUNTA([2]enemies!$A:$A),MATCH(N$1,[2]enemies!$2:$2,0)-MATCH($I$1,[2]enemies!$2:$2,0)+1),MATCH(N$1,[2]enemies!$2:$2,0)-MATCH($I$1,[2]enemies!$2:$2,0)+1,FALSE)</f>
        <v>15</v>
      </c>
      <c r="O274" s="6">
        <v>1</v>
      </c>
      <c r="P274" s="46">
        <v>16.5</v>
      </c>
      <c r="Q274" s="46">
        <v>17.75</v>
      </c>
      <c r="R274" s="6">
        <v>0</v>
      </c>
      <c r="S274" s="5" t="str">
        <f ca="1">VLOOKUP($T274,OFFSET([4]enemy_skill_sets!$B$1,0,0,COUNTA([4]enemy_skill_sets!$B:$B),MATCH(J$1,[4]enemy_skill_sets!$1:$1,0)-MATCH($T$1,[4]enemy_skill_sets!$1:$1,0)+2),MATCH(J$1,[4]enemy_skill_sets!$1:$1,0)-MATCH($T$1,[4]enemy_skill_sets!$1:$1,0)+2,FALSE)</f>
        <v>攻撃力10倍の自爆攻撃！</v>
      </c>
      <c r="T274" s="43">
        <v>11703</v>
      </c>
      <c r="U274" s="7">
        <v>1</v>
      </c>
      <c r="V274" s="7">
        <v>100</v>
      </c>
      <c r="W274" s="7">
        <v>0</v>
      </c>
      <c r="X274" s="26">
        <f ca="1">VLOOKUP($I274,OFFSET([2]enemies!$A$1,0,0,COUNTA([2]enemies!$A:$A),MATCH(X$1,[2]enemies!$2:$2,0)-MATCH($I$1,[2]enemies!$2:$2,0)+1),MATCH(X$1,[2]enemies!$2:$2,0)-MATCH($I$1,[2]enemies!$2:$2,0)+1,FALSE)</f>
        <v>1</v>
      </c>
      <c r="Y274" s="31">
        <v>117</v>
      </c>
      <c r="Z274" s="5" t="str">
        <f ca="1">IFERROR(VLOOKUP($Y274,OFFSET([3]characters!$A$1,0,0,COUNTA([3]characters!$A:$A),MATCH(Z$1,[3]characters!$2:$2,0)-MATCH("character_id",[3]characters!$2:$2,0)+1),MATCH(Z$1,[3]characters!$2:$2,0)-MATCH("character_id",[3]characters!$2:$2,0)+1,FALSE),"")</f>
        <v>ゴールドピヨピヨ</v>
      </c>
      <c r="AA274" s="5">
        <f ca="1">IFERROR(VLOOKUP($Y274,OFFSET([3]characters!$A$1,0,0,COUNTA([3]characters!$A:$A),MATCH(AA$1,[3]characters!$2:$2,0)-MATCH("character_id",[3]characters!$2:$2,0)+1),MATCH(AA$1,[3]characters!$2:$2,0)-MATCH("character_id",[3]characters!$2:$2,0)+1,FALSE),"")</f>
        <v>3</v>
      </c>
      <c r="AB274" s="5" t="str">
        <f ca="1">IFERROR(VLOOKUP($Y274,OFFSET([3]characters!$A$1,0,0,COUNTA([3]characters!$A:$A),MATCH(AB$1,[3]characters!$2:$2,0)-MATCH("character_id",[3]characters!$2:$2,0)+1),MATCH(AB$1,[3]characters!$2:$2,0)-MATCH("character_id",[3]characters!$2:$2,0)+1,FALSE),"")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74" s="8">
        <v>1</v>
      </c>
      <c r="AD274" s="34">
        <f t="shared" ca="1" si="168"/>
        <v>3</v>
      </c>
      <c r="AE274" s="9">
        <v>20</v>
      </c>
      <c r="AF274" s="8">
        <v>0</v>
      </c>
      <c r="AG274" s="8">
        <v>0</v>
      </c>
      <c r="AH274" s="8">
        <v>0</v>
      </c>
      <c r="AI274" s="8">
        <v>0</v>
      </c>
      <c r="AJ274" s="8">
        <v>1</v>
      </c>
    </row>
    <row r="275" spans="1:36" ht="21" customHeight="1">
      <c r="A275" s="21" t="str">
        <f t="shared" ca="1" si="165"/>
        <v>11106_2-4/118&lt;lv2&gt;s2</v>
      </c>
      <c r="B275" s="8">
        <v>11106</v>
      </c>
      <c r="C275" s="32">
        <v>2</v>
      </c>
      <c r="D275" s="2" t="str">
        <f t="shared" si="166"/>
        <v>11106_2</v>
      </c>
      <c r="E275" s="5" t="str">
        <f ca="1">VLOOKUP($B275,OFFSET([1]quests!$A$1,0,0,COUNTA([1]quests!$A:$A),MATCH(E$1,[1]quests!$1:$1,0)-MATCH($B$1,[1]quests!$1:$1,0)+1),MATCH(E$1,[1]quests!$1:$1,0)-MATCH($B$1,[1]quests!$1:$1,0)+1,FALSE)</f>
        <v>【キャンペーン限定】 ゴールドカジノ</v>
      </c>
      <c r="F275" s="5" t="str">
        <f ca="1">VLOOKUP($D275,OFFSET([1]stages!$A$1,0,0,COUNTA([1]stages!$A:$A),MATCH(F$1,[1]stages!$2:$2,0)-MATCH($D$1,[1]stages!$2:$2,0)+1),MATCH(F$1,[1]stages!$2:$2,0)-MATCH($D$1,[1]stages!$2:$2,0)+1,FALSE)</f>
        <v>ゴールドカジノ 【中級】</v>
      </c>
      <c r="G275" s="32">
        <v>4</v>
      </c>
      <c r="H275" s="20" t="str">
        <f t="shared" si="167"/>
        <v>11106_2-4</v>
      </c>
      <c r="I275" s="31">
        <v>118</v>
      </c>
      <c r="J275" s="26" t="str">
        <f ca="1">VLOOKUP($I275,OFFSET([2]enemies!$A$1,0,0,COUNTA([2]enemies!$A:$A),MATCH(J$1,[2]enemies!$2:$2,0)-MATCH($I$1,[2]enemies!$2:$2,0)+1),MATCH(J$1,[2]enemies!$2:$2,0)-MATCH($I$1,[2]enemies!$2:$2,0)+1,FALSE)</f>
        <v>ゴールドチック</v>
      </c>
      <c r="K275" s="29" t="str">
        <f ca="1">VLOOKUP($I275,OFFSET([2]enemies!$A$1,0,0,COUNTA([2]enemies!$A:$A),MATCH(K$1,[2]enemies!$2:$2,0)-MATCH($I$1,[2]enemies!$2:$2,0)+1),MATCH(K$1,[2]enemies!$2:$2,0)-MATCH($I$1,[2]enemies!$2:$2,0)+1,FALSE)</f>
        <v>yellow</v>
      </c>
      <c r="L275" s="29" t="str">
        <f ca="1">VLOOKUP($I275,OFFSET([3]characters!$A$1,0,0,COUNTA([3]characters!$A:$A),MATCH(L$1,[3]characters!$2:$2,0)-MATCH($I$1,[3]characters!$2:$2,0)+1),MATCH(L$1,[3]characters!$2:$2,0)-MATCH($I$1,[3]characters!$2:$2,0)+1,FALSE)</f>
        <v>Material</v>
      </c>
      <c r="M275" s="28" t="str">
        <f ca="1">VLOOKUP($I275,OFFSET([3]characters!$A$1,0,0,COUNTA([3]characters!$A:$A),MATCH(M$1,[3]characters!$2:$2,0)-MATCH($I$1,[3]characters!$2:$2,0)+2),MATCH(M$1,[3]characters!$2:$2,0)-MATCH($I$1,[3]characters!$2:$2,0)+2,FALSE)</f>
        <v>Unknown</v>
      </c>
      <c r="N275" s="5">
        <f ca="1">VLOOKUP($I275,OFFSET([2]enemies!$A$1,0,0,COUNTA([2]enemies!$A:$A),MATCH(N$1,[2]enemies!$2:$2,0)-MATCH($I$1,[2]enemies!$2:$2,0)+1),MATCH(N$1,[2]enemies!$2:$2,0)-MATCH($I$1,[2]enemies!$2:$2,0)+1,FALSE)</f>
        <v>15</v>
      </c>
      <c r="O275" s="6">
        <v>2</v>
      </c>
      <c r="P275" s="46">
        <v>11.8</v>
      </c>
      <c r="Q275" s="46">
        <v>15.75</v>
      </c>
      <c r="R275" s="6">
        <v>0</v>
      </c>
      <c r="S275" s="5" t="str">
        <f ca="1">VLOOKUP($T275,OFFSET([4]enemy_skill_sets!$B$1,0,0,COUNTA([4]enemy_skill_sets!$B:$B),MATCH(J$1,[4]enemy_skill_sets!$1:$1,0)-MATCH($T$1,[4]enemy_skill_sets!$1:$1,0)+2),MATCH(J$1,[4]enemy_skill_sets!$1:$1,0)-MATCH($T$1,[4]enemy_skill_sets!$1:$1,0)+2,FALSE)</f>
        <v>攻撃力20倍の自爆攻撃！</v>
      </c>
      <c r="T275" s="43">
        <v>11802</v>
      </c>
      <c r="U275" s="7">
        <v>0</v>
      </c>
      <c r="V275" s="7">
        <v>100</v>
      </c>
      <c r="W275" s="7">
        <v>0</v>
      </c>
      <c r="X275" s="26">
        <f ca="1">VLOOKUP($I275,OFFSET([2]enemies!$A$1,0,0,COUNTA([2]enemies!$A:$A),MATCH(X$1,[2]enemies!$2:$2,0)-MATCH($I$1,[2]enemies!$2:$2,0)+1),MATCH(X$1,[2]enemies!$2:$2,0)-MATCH($I$1,[2]enemies!$2:$2,0)+1,FALSE)</f>
        <v>2</v>
      </c>
      <c r="Y275" s="31">
        <v>118</v>
      </c>
      <c r="Z275" s="5" t="str">
        <f ca="1">IFERROR(VLOOKUP($Y275,OFFSET([3]characters!$A$1,0,0,COUNTA([3]characters!$A:$A),MATCH(Z$1,[3]characters!$2:$2,0)-MATCH("character_id",[3]characters!$2:$2,0)+1),MATCH(Z$1,[3]characters!$2:$2,0)-MATCH("character_id",[3]characters!$2:$2,0)+1,FALSE),"")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275" s="5">
        <f ca="1">IFERROR(VLOOKUP($Y275,OFFSET([3]characters!$A$1,0,0,COUNTA([3]characters!$A:$A),MATCH(AA$1,[3]characters!$2:$2,0)-MATCH("character_id",[3]characters!$2:$2,0)+1),MATCH(AA$1,[3]characters!$2:$2,0)-MATCH("character_id",[3]characters!$2:$2,0)+1,FALSE),"")</f>
        <v>4</v>
      </c>
      <c r="AB275" s="5" t="str">
        <f ca="1">IFERROR(VLOOKUP($Y275,OFFSET([3]characters!$A$1,0,0,COUNTA([3]characters!$A:$A),MATCH(AB$1,[3]characters!$2:$2,0)-MATCH("character_id",[3]characters!$2:$2,0)+1),MATCH(AB$1,[3]characters!$2:$2,0)-MATCH("character_id",[3]characters!$2:$2,0)+1,FALSE),"")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75" s="8">
        <v>1</v>
      </c>
      <c r="AD275" s="34">
        <f t="shared" ca="1" si="168"/>
        <v>4</v>
      </c>
      <c r="AE275" s="9">
        <v>50</v>
      </c>
      <c r="AF275" s="8">
        <v>0</v>
      </c>
      <c r="AG275" s="8">
        <v>0</v>
      </c>
      <c r="AH275" s="8">
        <v>0</v>
      </c>
      <c r="AI275" s="8">
        <v>0</v>
      </c>
      <c r="AJ275" s="8">
        <v>1</v>
      </c>
    </row>
    <row r="276" spans="1:36" ht="21" customHeight="1">
      <c r="A276" s="21" t="str">
        <f t="shared" ref="A276" ca="1" si="201">B276&amp;"_"&amp;C276&amp;"-"&amp;G276&amp;"/"&amp;I276&amp;"&lt;lv"&amp;O276&amp;"&gt;s"&amp;X276</f>
        <v>11106_2-4/118&lt;lv1&gt;s2</v>
      </c>
      <c r="B276" s="8">
        <v>11106</v>
      </c>
      <c r="C276" s="32">
        <v>2</v>
      </c>
      <c r="D276" s="2" t="str">
        <f t="shared" ref="D276" si="202">B276&amp;"_"&amp;C276</f>
        <v>11106_2</v>
      </c>
      <c r="E276" s="5" t="str">
        <f ca="1">VLOOKUP($B276,OFFSET([1]quests!$A$1,0,0,COUNTA([1]quests!$A:$A),MATCH(E$1,[1]quests!$1:$1,0)-MATCH($B$1,[1]quests!$1:$1,0)+1),MATCH(E$1,[1]quests!$1:$1,0)-MATCH($B$1,[1]quests!$1:$1,0)+1,FALSE)</f>
        <v>【キャンペーン限定】 ゴールドカジノ</v>
      </c>
      <c r="F276" s="5" t="str">
        <f ca="1">VLOOKUP($D276,OFFSET([1]stages!$A$1,0,0,COUNTA([1]stages!$A:$A),MATCH(F$1,[1]stages!$2:$2,0)-MATCH($D$1,[1]stages!$2:$2,0)+1),MATCH(F$1,[1]stages!$2:$2,0)-MATCH($D$1,[1]stages!$2:$2,0)+1,FALSE)</f>
        <v>ゴールドカジノ 【中級】</v>
      </c>
      <c r="G276" s="32">
        <v>4</v>
      </c>
      <c r="H276" s="20" t="str">
        <f t="shared" ref="H276" si="203">B276&amp;"_"&amp;C276&amp;"-"&amp;G276</f>
        <v>11106_2-4</v>
      </c>
      <c r="I276" s="31">
        <v>118</v>
      </c>
      <c r="J276" s="26" t="str">
        <f ca="1">VLOOKUP($I276,OFFSET([2]enemies!$A$1,0,0,COUNTA([2]enemies!$A:$A),MATCH(J$1,[2]enemies!$2:$2,0)-MATCH($I$1,[2]enemies!$2:$2,0)+1),MATCH(J$1,[2]enemies!$2:$2,0)-MATCH($I$1,[2]enemies!$2:$2,0)+1,FALSE)</f>
        <v>ゴールドチック</v>
      </c>
      <c r="K276" s="29" t="str">
        <f ca="1">VLOOKUP($I276,OFFSET([2]enemies!$A$1,0,0,COUNTA([2]enemies!$A:$A),MATCH(K$1,[2]enemies!$2:$2,0)-MATCH($I$1,[2]enemies!$2:$2,0)+1),MATCH(K$1,[2]enemies!$2:$2,0)-MATCH($I$1,[2]enemies!$2:$2,0)+1,FALSE)</f>
        <v>yellow</v>
      </c>
      <c r="L276" s="29" t="str">
        <f ca="1">VLOOKUP($I276,OFFSET([3]characters!$A$1,0,0,COUNTA([3]characters!$A:$A),MATCH(L$1,[3]characters!$2:$2,0)-MATCH($I$1,[3]characters!$2:$2,0)+1),MATCH(L$1,[3]characters!$2:$2,0)-MATCH($I$1,[3]characters!$2:$2,0)+1,FALSE)</f>
        <v>Material</v>
      </c>
      <c r="M276" s="28" t="str">
        <f ca="1">VLOOKUP($I276,OFFSET([3]characters!$A$1,0,0,COUNTA([3]characters!$A:$A),MATCH(M$1,[3]characters!$2:$2,0)-MATCH($I$1,[3]characters!$2:$2,0)+2),MATCH(M$1,[3]characters!$2:$2,0)-MATCH($I$1,[3]characters!$2:$2,0)+2,FALSE)</f>
        <v>Unknown</v>
      </c>
      <c r="N276" s="5">
        <f ca="1">VLOOKUP($I276,OFFSET([2]enemies!$A$1,0,0,COUNTA([2]enemies!$A:$A),MATCH(N$1,[2]enemies!$2:$2,0)-MATCH($I$1,[2]enemies!$2:$2,0)+1),MATCH(N$1,[2]enemies!$2:$2,0)-MATCH($I$1,[2]enemies!$2:$2,0)+1,FALSE)</f>
        <v>15</v>
      </c>
      <c r="O276" s="6">
        <v>1</v>
      </c>
      <c r="P276" s="46">
        <v>16.5</v>
      </c>
      <c r="Q276" s="46">
        <v>15.75</v>
      </c>
      <c r="R276" s="6">
        <v>0</v>
      </c>
      <c r="S276" s="5" t="str">
        <f ca="1">VLOOKUP($T276,OFFSET([4]enemy_skill_sets!$B$1,0,0,COUNTA([4]enemy_skill_sets!$B:$B),MATCH(J$1,[4]enemy_skill_sets!$1:$1,0)-MATCH($T$1,[4]enemy_skill_sets!$1:$1,0)+2),MATCH(J$1,[4]enemy_skill_sets!$1:$1,0)-MATCH($T$1,[4]enemy_skill_sets!$1:$1,0)+2,FALSE)</f>
        <v>攻撃力20倍の自爆攻撃！</v>
      </c>
      <c r="T276" s="43">
        <v>11802</v>
      </c>
      <c r="U276" s="7">
        <v>0</v>
      </c>
      <c r="V276" s="7">
        <v>100</v>
      </c>
      <c r="W276" s="7">
        <v>0</v>
      </c>
      <c r="X276" s="26">
        <f ca="1">VLOOKUP($I276,OFFSET([2]enemies!$A$1,0,0,COUNTA([2]enemies!$A:$A),MATCH(X$1,[2]enemies!$2:$2,0)-MATCH($I$1,[2]enemies!$2:$2,0)+1),MATCH(X$1,[2]enemies!$2:$2,0)-MATCH($I$1,[2]enemies!$2:$2,0)+1,FALSE)</f>
        <v>2</v>
      </c>
      <c r="Y276" s="31">
        <v>118</v>
      </c>
      <c r="Z276" s="5" t="str">
        <f ca="1">IFERROR(VLOOKUP($Y276,OFFSET([3]characters!$A$1,0,0,COUNTA([3]characters!$A:$A),MATCH(Z$1,[3]characters!$2:$2,0)-MATCH("character_id",[3]characters!$2:$2,0)+1),MATCH(Z$1,[3]characters!$2:$2,0)-MATCH("character_id",[3]characters!$2:$2,0)+1,FALSE),"")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276" s="5">
        <f ca="1">IFERROR(VLOOKUP($Y276,OFFSET([3]characters!$A$1,0,0,COUNTA([3]characters!$A:$A),MATCH(AA$1,[3]characters!$2:$2,0)-MATCH("character_id",[3]characters!$2:$2,0)+1),MATCH(AA$1,[3]characters!$2:$2,0)-MATCH("character_id",[3]characters!$2:$2,0)+1,FALSE),"")</f>
        <v>4</v>
      </c>
      <c r="AB276" s="5" t="str">
        <f ca="1">IFERROR(VLOOKUP($Y276,OFFSET([3]characters!$A$1,0,0,COUNTA([3]characters!$A:$A),MATCH(AB$1,[3]characters!$2:$2,0)-MATCH("character_id",[3]characters!$2:$2,0)+1),MATCH(AB$1,[3]characters!$2:$2,0)-MATCH("character_id",[3]characters!$2:$2,0)+1,FALSE),"")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76" s="8">
        <v>1</v>
      </c>
      <c r="AD276" s="34">
        <f t="shared" ref="AD276" ca="1" si="204">AA276</f>
        <v>4</v>
      </c>
      <c r="AE276" s="9">
        <v>50</v>
      </c>
      <c r="AF276" s="8">
        <v>0</v>
      </c>
      <c r="AG276" s="8">
        <v>0</v>
      </c>
      <c r="AH276" s="8">
        <v>0</v>
      </c>
      <c r="AI276" s="8">
        <v>0</v>
      </c>
      <c r="AJ276" s="8">
        <v>1</v>
      </c>
    </row>
    <row r="277" spans="1:36" ht="21" customHeight="1">
      <c r="A277" s="21" t="str">
        <f>B277&amp;"_"&amp;C277&amp;"-"&amp;G277&amp;"/"&amp;I277&amp;"&lt;lv"&amp;O277&amp;"&gt;s"&amp;X277</f>
        <v>11106_2-4/41&lt;lv16&gt;s1</v>
      </c>
      <c r="B277" s="8">
        <v>11106</v>
      </c>
      <c r="C277" s="32">
        <v>2</v>
      </c>
      <c r="D277" s="20" t="str">
        <f>B277&amp;"_"&amp;C277</f>
        <v>11106_2</v>
      </c>
      <c r="E277" s="5" t="str">
        <f ca="1">VLOOKUP($B277,OFFSET([1]quests!$A$1,0,0,COUNTA([1]quests!$A:$A),MATCH(E$1,[1]quests!$1:$1,0)-MATCH($B$1,[1]quests!$1:$1,0)+1),MATCH(E$1,[1]quests!$1:$1,0)-MATCH($B$1,[1]quests!$1:$1,0)+1,FALSE)</f>
        <v>【キャンペーン限定】 ゴールドカジノ</v>
      </c>
      <c r="F277" s="5" t="str">
        <f ca="1">VLOOKUP($D277,OFFSET([1]stages!$A$1,0,0,COUNTA([1]stages!$A:$A),MATCH(F$1,[1]stages!$2:$2,0)-MATCH($D$1,[1]stages!$2:$2,0)+1),MATCH(F$1,[1]stages!$2:$2,0)-MATCH($D$1,[1]stages!$2:$2,0)+1,FALSE)</f>
        <v>ゴールドカジノ 【中級】</v>
      </c>
      <c r="G277" s="32">
        <v>4</v>
      </c>
      <c r="H277" s="20" t="str">
        <f>B277&amp;"_"&amp;C277&amp;"-"&amp;G277</f>
        <v>11106_2-4</v>
      </c>
      <c r="I277" s="38">
        <v>41</v>
      </c>
      <c r="J277" s="26" t="s">
        <v>50</v>
      </c>
      <c r="K277" s="29" t="s">
        <v>51</v>
      </c>
      <c r="L277" s="29" t="s">
        <v>52</v>
      </c>
      <c r="M277" s="28" t="s">
        <v>53</v>
      </c>
      <c r="N277" s="5">
        <v>15</v>
      </c>
      <c r="O277" s="6">
        <v>16</v>
      </c>
      <c r="P277" s="46">
        <v>1</v>
      </c>
      <c r="Q277" s="46">
        <v>1</v>
      </c>
      <c r="R277" s="6">
        <v>0</v>
      </c>
      <c r="S277" s="5" t="str">
        <f ca="1">VLOOKUP($T277,OFFSET([4]enemy_skill_sets!$B$1,0,0,COUNTA([4]enemy_skill_sets!$B:$B),MATCH(J$1,[4]enemy_skill_sets!$1:$1,0)-MATCH($T$1,[4]enemy_skill_sets!$1:$1,0)+2),MATCH(J$1,[4]enemy_skill_sets!$1:$1,0)-MATCH($T$1,[4]enemy_skill_sets!$1:$1,0)+2,FALSE)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7" s="5">
        <v>0</v>
      </c>
      <c r="U277" s="36">
        <v>0</v>
      </c>
      <c r="V277" s="36">
        <v>100</v>
      </c>
      <c r="W277" s="36">
        <v>0</v>
      </c>
      <c r="X277" s="26">
        <v>1</v>
      </c>
      <c r="Y277" s="38">
        <v>41</v>
      </c>
      <c r="Z277" s="5" t="s">
        <v>50</v>
      </c>
      <c r="AA277" s="5">
        <v>2</v>
      </c>
      <c r="AB277" s="5" t="s">
        <v>52</v>
      </c>
      <c r="AC277" s="37">
        <v>1</v>
      </c>
      <c r="AD277" s="35">
        <f>AA277</f>
        <v>2</v>
      </c>
      <c r="AE277" s="9">
        <v>0</v>
      </c>
      <c r="AF277" s="35">
        <v>0</v>
      </c>
      <c r="AG277" s="35">
        <v>0</v>
      </c>
      <c r="AH277" s="35">
        <v>0</v>
      </c>
      <c r="AI277" s="35">
        <v>0</v>
      </c>
      <c r="AJ277" s="35">
        <v>1</v>
      </c>
    </row>
    <row r="278" spans="1:36" ht="21" customHeight="1">
      <c r="A278" s="21" t="str">
        <f>B278&amp;"_"&amp;C278&amp;"-"&amp;G278&amp;"/"&amp;I278&amp;"&lt;lv"&amp;O278&amp;"&gt;s"&amp;X278</f>
        <v>11106_2-4/43&lt;lv16&gt;s2</v>
      </c>
      <c r="B278" s="8">
        <v>11106</v>
      </c>
      <c r="C278" s="32">
        <v>2</v>
      </c>
      <c r="D278" s="20" t="str">
        <f>B278&amp;"_"&amp;C278</f>
        <v>11106_2</v>
      </c>
      <c r="E278" s="5" t="str">
        <f ca="1">VLOOKUP($B278,OFFSET([1]quests!$A$1,0,0,COUNTA([1]quests!$A:$A),MATCH(E$1,[1]quests!$1:$1,0)-MATCH($B$1,[1]quests!$1:$1,0)+1),MATCH(E$1,[1]quests!$1:$1,0)-MATCH($B$1,[1]quests!$1:$1,0)+1,FALSE)</f>
        <v>【キャンペーン限定】 ゴールドカジノ</v>
      </c>
      <c r="F278" s="5" t="str">
        <f ca="1">VLOOKUP($D278,OFFSET([1]stages!$A$1,0,0,COUNTA([1]stages!$A:$A),MATCH(F$1,[1]stages!$2:$2,0)-MATCH($D$1,[1]stages!$2:$2,0)+1),MATCH(F$1,[1]stages!$2:$2,0)-MATCH($D$1,[1]stages!$2:$2,0)+1,FALSE)</f>
        <v>ゴールドカジノ 【中級】</v>
      </c>
      <c r="G278" s="32">
        <v>4</v>
      </c>
      <c r="H278" s="20" t="str">
        <f>B278&amp;"_"&amp;C278&amp;"-"&amp;G278</f>
        <v>11106_2-4</v>
      </c>
      <c r="I278" s="38">
        <v>43</v>
      </c>
      <c r="J278" s="26" t="s">
        <v>54</v>
      </c>
      <c r="K278" s="29" t="s">
        <v>55</v>
      </c>
      <c r="L278" s="29" t="s">
        <v>52</v>
      </c>
      <c r="M278" s="28" t="s">
        <v>53</v>
      </c>
      <c r="N278" s="5">
        <v>15</v>
      </c>
      <c r="O278" s="6">
        <v>16</v>
      </c>
      <c r="P278" s="46">
        <v>1</v>
      </c>
      <c r="Q278" s="46">
        <v>1</v>
      </c>
      <c r="R278" s="6">
        <v>0</v>
      </c>
      <c r="S278" s="5" t="str">
        <f ca="1">VLOOKUP($T278,OFFSET([4]enemy_skill_sets!$B$1,0,0,COUNTA([4]enemy_skill_sets!$B:$B),MATCH(J$1,[4]enemy_skill_sets!$1:$1,0)-MATCH($T$1,[4]enemy_skill_sets!$1:$1,0)+2),MATCH(J$1,[4]enemy_skill_sets!$1:$1,0)-MATCH($T$1,[4]enemy_skill_sets!$1:$1,0)+2,FALSE)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8" s="5">
        <v>0</v>
      </c>
      <c r="U278" s="36">
        <v>0</v>
      </c>
      <c r="V278" s="36">
        <v>100</v>
      </c>
      <c r="W278" s="36">
        <v>0</v>
      </c>
      <c r="X278" s="26">
        <v>2</v>
      </c>
      <c r="Y278" s="38">
        <v>43</v>
      </c>
      <c r="Z278" s="5" t="s">
        <v>54</v>
      </c>
      <c r="AA278" s="5">
        <v>2</v>
      </c>
      <c r="AB278" s="5" t="s">
        <v>52</v>
      </c>
      <c r="AC278" s="37">
        <v>1</v>
      </c>
      <c r="AD278" s="35">
        <f>AA278</f>
        <v>2</v>
      </c>
      <c r="AE278" s="9">
        <v>0</v>
      </c>
      <c r="AF278" s="35">
        <v>0</v>
      </c>
      <c r="AG278" s="35">
        <v>0</v>
      </c>
      <c r="AH278" s="35">
        <v>0</v>
      </c>
      <c r="AI278" s="35">
        <v>0</v>
      </c>
      <c r="AJ278" s="35">
        <v>1</v>
      </c>
    </row>
    <row r="279" spans="1:36" ht="21" customHeight="1">
      <c r="A279" s="21" t="str">
        <f>B279&amp;"_"&amp;C279&amp;"-"&amp;G279&amp;"/"&amp;I279&amp;"&lt;lv"&amp;O279&amp;"&gt;s"&amp;X279</f>
        <v>11106_2-4/47&lt;lv16&gt;s1</v>
      </c>
      <c r="B279" s="8">
        <v>11106</v>
      </c>
      <c r="C279" s="32">
        <v>2</v>
      </c>
      <c r="D279" s="20" t="str">
        <f>B279&amp;"_"&amp;C279</f>
        <v>11106_2</v>
      </c>
      <c r="E279" s="5" t="str">
        <f ca="1">VLOOKUP($B279,OFFSET([1]quests!$A$1,0,0,COUNTA([1]quests!$A:$A),MATCH(E$1,[1]quests!$1:$1,0)-MATCH($B$1,[1]quests!$1:$1,0)+1),MATCH(E$1,[1]quests!$1:$1,0)-MATCH($B$1,[1]quests!$1:$1,0)+1,FALSE)</f>
        <v>【キャンペーン限定】 ゴールドカジノ</v>
      </c>
      <c r="F279" s="5" t="str">
        <f ca="1">VLOOKUP($D279,OFFSET([1]stages!$A$1,0,0,COUNTA([1]stages!$A:$A),MATCH(F$1,[1]stages!$2:$2,0)-MATCH($D$1,[1]stages!$2:$2,0)+1),MATCH(F$1,[1]stages!$2:$2,0)-MATCH($D$1,[1]stages!$2:$2,0)+1,FALSE)</f>
        <v>ゴールドカジノ 【中級】</v>
      </c>
      <c r="G279" s="32">
        <v>4</v>
      </c>
      <c r="H279" s="20" t="str">
        <f>B279&amp;"_"&amp;C279&amp;"-"&amp;G279</f>
        <v>11106_2-4</v>
      </c>
      <c r="I279" s="38">
        <v>47</v>
      </c>
      <c r="J279" s="26" t="s">
        <v>56</v>
      </c>
      <c r="K279" s="29" t="s">
        <v>57</v>
      </c>
      <c r="L279" s="29" t="s">
        <v>52</v>
      </c>
      <c r="M279" s="28" t="s">
        <v>58</v>
      </c>
      <c r="N279" s="5">
        <v>15</v>
      </c>
      <c r="O279" s="6">
        <v>16</v>
      </c>
      <c r="P279" s="46">
        <v>1</v>
      </c>
      <c r="Q279" s="46">
        <v>1</v>
      </c>
      <c r="R279" s="6">
        <v>0</v>
      </c>
      <c r="S279" s="5" t="str">
        <f ca="1">VLOOKUP($T279,OFFSET([4]enemy_skill_sets!$B$1,0,0,COUNTA([4]enemy_skill_sets!$B:$B),MATCH(J$1,[4]enemy_skill_sets!$1:$1,0)-MATCH($T$1,[4]enemy_skill_sets!$1:$1,0)+2),MATCH(J$1,[4]enemy_skill_sets!$1:$1,0)-MATCH($T$1,[4]enemy_skill_sets!$1:$1,0)+2,FALSE)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9" s="5">
        <v>0</v>
      </c>
      <c r="U279" s="36">
        <v>0</v>
      </c>
      <c r="V279" s="36">
        <v>100</v>
      </c>
      <c r="W279" s="36">
        <v>0</v>
      </c>
      <c r="X279" s="26">
        <v>1</v>
      </c>
      <c r="Y279" s="38">
        <v>47</v>
      </c>
      <c r="Z279" s="5" t="s">
        <v>56</v>
      </c>
      <c r="AA279" s="5">
        <v>2</v>
      </c>
      <c r="AB279" s="5" t="s">
        <v>52</v>
      </c>
      <c r="AC279" s="37">
        <v>1</v>
      </c>
      <c r="AD279" s="35">
        <f>AA279</f>
        <v>2</v>
      </c>
      <c r="AE279" s="9">
        <v>0</v>
      </c>
      <c r="AF279" s="35">
        <v>0</v>
      </c>
      <c r="AG279" s="35">
        <v>0</v>
      </c>
      <c r="AH279" s="35">
        <v>0</v>
      </c>
      <c r="AI279" s="35">
        <v>0</v>
      </c>
      <c r="AJ279" s="35">
        <v>1</v>
      </c>
    </row>
    <row r="280" spans="1:36" ht="21" customHeight="1">
      <c r="A280" s="21" t="str">
        <f>B280&amp;"_"&amp;C280&amp;"-"&amp;G280&amp;"/"&amp;I280&amp;"&lt;lv"&amp;O280&amp;"&gt;s"&amp;X280</f>
        <v>11106_2-4/45&lt;lv1&gt;s3</v>
      </c>
      <c r="B280" s="8">
        <v>11106</v>
      </c>
      <c r="C280" s="32">
        <v>2</v>
      </c>
      <c r="D280" s="20" t="str">
        <f>B280&amp;"_"&amp;C280</f>
        <v>11106_2</v>
      </c>
      <c r="E280" s="5" t="str">
        <f ca="1">VLOOKUP($B280,OFFSET([1]quests!$A$1,0,0,COUNTA([1]quests!$A:$A),MATCH(E$1,[1]quests!$1:$1,0)-MATCH($B$1,[1]quests!$1:$1,0)+1),MATCH(E$1,[1]quests!$1:$1,0)-MATCH($B$1,[1]quests!$1:$1,0)+1,FALSE)</f>
        <v>【キャンペーン限定】 ゴールドカジノ</v>
      </c>
      <c r="F280" s="5" t="str">
        <f ca="1">VLOOKUP($D280,OFFSET([1]stages!$A$1,0,0,COUNTA([1]stages!$A:$A),MATCH(F$1,[1]stages!$2:$2,0)-MATCH($D$1,[1]stages!$2:$2,0)+1),MATCH(F$1,[1]stages!$2:$2,0)-MATCH($D$1,[1]stages!$2:$2,0)+1,FALSE)</f>
        <v>ゴールドカジノ 【中級】</v>
      </c>
      <c r="G280" s="32">
        <v>4</v>
      </c>
      <c r="H280" s="20" t="str">
        <f>B280&amp;"_"&amp;C280&amp;"-"&amp;G280</f>
        <v>11106_2-4</v>
      </c>
      <c r="I280" s="38">
        <v>45</v>
      </c>
      <c r="J280" s="26" t="s">
        <v>59</v>
      </c>
      <c r="K280" s="29" t="s">
        <v>60</v>
      </c>
      <c r="L280" s="29" t="s">
        <v>52</v>
      </c>
      <c r="M280" s="28" t="s">
        <v>58</v>
      </c>
      <c r="N280" s="5">
        <v>15</v>
      </c>
      <c r="O280" s="6">
        <v>1</v>
      </c>
      <c r="P280" s="46">
        <v>1</v>
      </c>
      <c r="Q280" s="46">
        <v>1</v>
      </c>
      <c r="R280" s="6">
        <v>0</v>
      </c>
      <c r="S280" s="5" t="str">
        <f ca="1">VLOOKUP($T280,OFFSET([4]enemy_skill_sets!$B$1,0,0,COUNTA([4]enemy_skill_sets!$B:$B),MATCH(J$1,[4]enemy_skill_sets!$1:$1,0)-MATCH($T$1,[4]enemy_skill_sets!$1:$1,0)+2),MATCH(J$1,[4]enemy_skill_sets!$1:$1,0)-MATCH($T$1,[4]enemy_skill_sets!$1:$1,0)+2,FALSE)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0" s="5">
        <v>0</v>
      </c>
      <c r="U280" s="36">
        <v>0</v>
      </c>
      <c r="V280" s="36">
        <v>100</v>
      </c>
      <c r="W280" s="36">
        <v>0</v>
      </c>
      <c r="X280" s="26">
        <v>3</v>
      </c>
      <c r="Y280" s="38">
        <v>45</v>
      </c>
      <c r="Z280" s="5" t="s">
        <v>59</v>
      </c>
      <c r="AA280" s="5">
        <v>2</v>
      </c>
      <c r="AB280" s="5" t="s">
        <v>52</v>
      </c>
      <c r="AC280" s="37">
        <v>1</v>
      </c>
      <c r="AD280" s="35">
        <f>AA280</f>
        <v>2</v>
      </c>
      <c r="AE280" s="9">
        <v>0</v>
      </c>
      <c r="AF280" s="35">
        <v>0</v>
      </c>
      <c r="AG280" s="35">
        <v>0</v>
      </c>
      <c r="AH280" s="35">
        <v>0</v>
      </c>
      <c r="AI280" s="35">
        <v>0</v>
      </c>
      <c r="AJ280" s="35">
        <v>1</v>
      </c>
    </row>
    <row r="281" spans="1:36" ht="21" customHeight="1">
      <c r="A281" s="21" t="str">
        <f t="shared" ca="1" si="165"/>
        <v>11106_2-5/118&lt;lv1&gt;s2</v>
      </c>
      <c r="B281" s="8">
        <v>11106</v>
      </c>
      <c r="C281" s="32">
        <v>2</v>
      </c>
      <c r="D281" s="2" t="str">
        <f t="shared" si="166"/>
        <v>11106_2</v>
      </c>
      <c r="E281" s="5" t="str">
        <f ca="1">VLOOKUP($B281,OFFSET([1]quests!$A$1,0,0,COUNTA([1]quests!$A:$A),MATCH(E$1,[1]quests!$1:$1,0)-MATCH($B$1,[1]quests!$1:$1,0)+1),MATCH(E$1,[1]quests!$1:$1,0)-MATCH($B$1,[1]quests!$1:$1,0)+1,FALSE)</f>
        <v>【キャンペーン限定】 ゴールドカジノ</v>
      </c>
      <c r="F281" s="5" t="str">
        <f ca="1">VLOOKUP($D281,OFFSET([1]stages!$A$1,0,0,COUNTA([1]stages!$A:$A),MATCH(F$1,[1]stages!$2:$2,0)-MATCH($D$1,[1]stages!$2:$2,0)+1),MATCH(F$1,[1]stages!$2:$2,0)-MATCH($D$1,[1]stages!$2:$2,0)+1,FALSE)</f>
        <v>ゴールドカジノ 【中級】</v>
      </c>
      <c r="G281" s="32">
        <v>5</v>
      </c>
      <c r="H281" s="20" t="str">
        <f t="shared" si="167"/>
        <v>11106_2-5</v>
      </c>
      <c r="I281" s="31">
        <v>118</v>
      </c>
      <c r="J281" s="26" t="str">
        <f ca="1">VLOOKUP($I281,OFFSET([2]enemies!$A$1,0,0,COUNTA([2]enemies!$A:$A),MATCH(J$1,[2]enemies!$2:$2,0)-MATCH($I$1,[2]enemies!$2:$2,0)+1),MATCH(J$1,[2]enemies!$2:$2,0)-MATCH($I$1,[2]enemies!$2:$2,0)+1,FALSE)</f>
        <v>ゴールドチック</v>
      </c>
      <c r="K281" s="29" t="str">
        <f ca="1">VLOOKUP($I281,OFFSET([2]enemies!$A$1,0,0,COUNTA([2]enemies!$A:$A),MATCH(K$1,[2]enemies!$2:$2,0)-MATCH($I$1,[2]enemies!$2:$2,0)+1),MATCH(K$1,[2]enemies!$2:$2,0)-MATCH($I$1,[2]enemies!$2:$2,0)+1,FALSE)</f>
        <v>yellow</v>
      </c>
      <c r="L281" s="29" t="str">
        <f ca="1">VLOOKUP($I281,OFFSET([3]characters!$A$1,0,0,COUNTA([3]characters!$A:$A),MATCH(L$1,[3]characters!$2:$2,0)-MATCH($I$1,[3]characters!$2:$2,0)+1),MATCH(L$1,[3]characters!$2:$2,0)-MATCH($I$1,[3]characters!$2:$2,0)+1,FALSE)</f>
        <v>Material</v>
      </c>
      <c r="M281" s="28" t="str">
        <f ca="1">VLOOKUP($I281,OFFSET([3]characters!$A$1,0,0,COUNTA([3]characters!$A:$A),MATCH(M$1,[3]characters!$2:$2,0)-MATCH($I$1,[3]characters!$2:$2,0)+2),MATCH(M$1,[3]characters!$2:$2,0)-MATCH($I$1,[3]characters!$2:$2,0)+2,FALSE)</f>
        <v>Unknown</v>
      </c>
      <c r="N281" s="5">
        <f ca="1">VLOOKUP($I281,OFFSET([2]enemies!$A$1,0,0,COUNTA([2]enemies!$A:$A),MATCH(N$1,[2]enemies!$2:$2,0)-MATCH($I$1,[2]enemies!$2:$2,0)+1),MATCH(N$1,[2]enemies!$2:$2,0)-MATCH($I$1,[2]enemies!$2:$2,0)+1,FALSE)</f>
        <v>15</v>
      </c>
      <c r="O281" s="6">
        <v>1</v>
      </c>
      <c r="P281" s="46">
        <v>16.5</v>
      </c>
      <c r="Q281" s="46">
        <v>15.75</v>
      </c>
      <c r="R281" s="6">
        <v>0</v>
      </c>
      <c r="S281" s="5" t="str">
        <f ca="1">VLOOKUP($T281,OFFSET([4]enemy_skill_sets!$B$1,0,0,COUNTA([4]enemy_skill_sets!$B:$B),MATCH(J$1,[4]enemy_skill_sets!$1:$1,0)-MATCH($T$1,[4]enemy_skill_sets!$1:$1,0)+2),MATCH(J$1,[4]enemy_skill_sets!$1:$1,0)-MATCH($T$1,[4]enemy_skill_sets!$1:$1,0)+2,FALSE)</f>
        <v>攻撃力20倍の自爆攻撃！</v>
      </c>
      <c r="T281" s="43">
        <v>11802</v>
      </c>
      <c r="U281" s="7">
        <v>2</v>
      </c>
      <c r="V281" s="7">
        <v>100</v>
      </c>
      <c r="W281" s="7">
        <v>1</v>
      </c>
      <c r="X281" s="26">
        <f ca="1">VLOOKUP($I281,OFFSET([2]enemies!$A$1,0,0,COUNTA([2]enemies!$A:$A),MATCH(X$1,[2]enemies!$2:$2,0)-MATCH($I$1,[2]enemies!$2:$2,0)+1),MATCH(X$1,[2]enemies!$2:$2,0)-MATCH($I$1,[2]enemies!$2:$2,0)+1,FALSE)</f>
        <v>2</v>
      </c>
      <c r="Y281" s="31">
        <v>118</v>
      </c>
      <c r="Z281" s="5" t="str">
        <f ca="1">IFERROR(VLOOKUP($Y281,OFFSET([3]characters!$A$1,0,0,COUNTA([3]characters!$A:$A),MATCH(Z$1,[3]characters!$2:$2,0)-MATCH("character_id",[3]characters!$2:$2,0)+1),MATCH(Z$1,[3]characters!$2:$2,0)-MATCH("character_id",[3]characters!$2:$2,0)+1,FALSE),"")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281" s="5">
        <f ca="1">IFERROR(VLOOKUP($Y281,OFFSET([3]characters!$A$1,0,0,COUNTA([3]characters!$A:$A),MATCH(AA$1,[3]characters!$2:$2,0)-MATCH("character_id",[3]characters!$2:$2,0)+1),MATCH(AA$1,[3]characters!$2:$2,0)-MATCH("character_id",[3]characters!$2:$2,0)+1,FALSE),"")</f>
        <v>4</v>
      </c>
      <c r="AB281" s="5" t="str">
        <f ca="1">IFERROR(VLOOKUP($Y281,OFFSET([3]characters!$A$1,0,0,COUNTA([3]characters!$A:$A),MATCH(AB$1,[3]characters!$2:$2,0)-MATCH("character_id",[3]characters!$2:$2,0)+1),MATCH(AB$1,[3]characters!$2:$2,0)-MATCH("character_id",[3]characters!$2:$2,0)+1,FALSE),"")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81" s="8">
        <v>1</v>
      </c>
      <c r="AD281" s="34">
        <f t="shared" ca="1" si="168"/>
        <v>4</v>
      </c>
      <c r="AE281" s="9">
        <v>100</v>
      </c>
      <c r="AF281" s="8">
        <v>0</v>
      </c>
      <c r="AG281" s="8">
        <v>0</v>
      </c>
      <c r="AH281" s="8">
        <v>0</v>
      </c>
      <c r="AI281" s="8">
        <v>0</v>
      </c>
      <c r="AJ281" s="8">
        <v>1</v>
      </c>
    </row>
    <row r="282" spans="1:36" ht="21" customHeight="1">
      <c r="A282" s="21" t="str">
        <f t="shared" ca="1" si="165"/>
        <v>11106_3-1/117&lt;lv2&gt;s1</v>
      </c>
      <c r="B282" s="8">
        <v>11106</v>
      </c>
      <c r="C282" s="32">
        <v>3</v>
      </c>
      <c r="D282" s="2" t="str">
        <f t="shared" si="166"/>
        <v>11106_3</v>
      </c>
      <c r="E282" s="5" t="str">
        <f ca="1">VLOOKUP($B282,OFFSET([1]quests!$A$1,0,0,COUNTA([1]quests!$A:$A),MATCH(E$1,[1]quests!$1:$1,0)-MATCH($B$1,[1]quests!$1:$1,0)+1),MATCH(E$1,[1]quests!$1:$1,0)-MATCH($B$1,[1]quests!$1:$1,0)+1,FALSE)</f>
        <v>【キャンペーン限定】 ゴールドカジノ</v>
      </c>
      <c r="F282" s="5" t="str">
        <f ca="1">VLOOKUP($D282,OFFSET([1]stages!$A$1,0,0,COUNTA([1]stages!$A:$A),MATCH(F$1,[1]stages!$2:$2,0)-MATCH($D$1,[1]stages!$2:$2,0)+1),MATCH(F$1,[1]stages!$2:$2,0)-MATCH($D$1,[1]stages!$2:$2,0)+1,FALSE)</f>
        <v>ゴールドカジノ 【上級】</v>
      </c>
      <c r="G282" s="32">
        <v>1</v>
      </c>
      <c r="H282" s="20" t="str">
        <f t="shared" si="167"/>
        <v>11106_3-1</v>
      </c>
      <c r="I282" s="31">
        <v>117</v>
      </c>
      <c r="J282" s="26" t="str">
        <f ca="1">VLOOKUP($I282,OFFSET([2]enemies!$A$1,0,0,COUNTA([2]enemies!$A:$A),MATCH(J$1,[2]enemies!$2:$2,0)-MATCH($I$1,[2]enemies!$2:$2,0)+1),MATCH(J$1,[2]enemies!$2:$2,0)-MATCH($I$1,[2]enemies!$2:$2,0)+1,FALSE)</f>
        <v>ゴールドピヨピヨ</v>
      </c>
      <c r="K282" s="29" t="str">
        <f ca="1">VLOOKUP($I282,OFFSET([2]enemies!$A$1,0,0,COUNTA([2]enemies!$A:$A),MATCH(K$1,[2]enemies!$2:$2,0)-MATCH($I$1,[2]enemies!$2:$2,0)+1),MATCH(K$1,[2]enemies!$2:$2,0)-MATCH($I$1,[2]enemies!$2:$2,0)+1,FALSE)</f>
        <v>yellow</v>
      </c>
      <c r="L282" s="29" t="str">
        <f ca="1">VLOOKUP($I282,OFFSET([3]characters!$A$1,0,0,COUNTA([3]characters!$A:$A),MATCH(L$1,[3]characters!$2:$2,0)-MATCH($I$1,[3]characters!$2:$2,0)+1),MATCH(L$1,[3]characters!$2:$2,0)-MATCH($I$1,[3]characters!$2:$2,0)+1,FALSE)</f>
        <v>Material</v>
      </c>
      <c r="M282" s="28" t="str">
        <f ca="1">VLOOKUP($I282,OFFSET([3]characters!$A$1,0,0,COUNTA([3]characters!$A:$A),MATCH(M$1,[3]characters!$2:$2,0)-MATCH($I$1,[3]characters!$2:$2,0)+2),MATCH(M$1,[3]characters!$2:$2,0)-MATCH($I$1,[3]characters!$2:$2,0)+2,FALSE)</f>
        <v>Unknown</v>
      </c>
      <c r="N282" s="5">
        <f ca="1">VLOOKUP($I282,OFFSET([2]enemies!$A$1,0,0,COUNTA([2]enemies!$A:$A),MATCH(N$1,[2]enemies!$2:$2,0)-MATCH($I$1,[2]enemies!$2:$2,0)+1),MATCH(N$1,[2]enemies!$2:$2,0)-MATCH($I$1,[2]enemies!$2:$2,0)+1,FALSE)</f>
        <v>15</v>
      </c>
      <c r="O282" s="6">
        <v>2</v>
      </c>
      <c r="P282" s="46">
        <v>28.8</v>
      </c>
      <c r="Q282" s="46">
        <v>42.25</v>
      </c>
      <c r="R282" s="6">
        <v>0</v>
      </c>
      <c r="S282" s="5" t="str">
        <f ca="1">VLOOKUP($T282,OFFSET([4]enemy_skill_sets!$B$1,0,0,COUNTA([4]enemy_skill_sets!$B:$B),MATCH(J$1,[4]enemy_skill_sets!$1:$1,0)-MATCH($T$1,[4]enemy_skill_sets!$1:$1,0)+2),MATCH(J$1,[4]enemy_skill_sets!$1:$1,0)-MATCH($T$1,[4]enemy_skill_sets!$1:$1,0)+2,FALSE)</f>
        <v>ゴールドカジノのピヨピヨはターン０になると自爆する！</v>
      </c>
      <c r="T282" s="43">
        <v>11701</v>
      </c>
      <c r="U282" s="7">
        <v>1</v>
      </c>
      <c r="V282" s="7">
        <v>100</v>
      </c>
      <c r="W282" s="7">
        <v>0</v>
      </c>
      <c r="X282" s="26">
        <f ca="1">VLOOKUP($I282,OFFSET([2]enemies!$A$1,0,0,COUNTA([2]enemies!$A:$A),MATCH(X$1,[2]enemies!$2:$2,0)-MATCH($I$1,[2]enemies!$2:$2,0)+1),MATCH(X$1,[2]enemies!$2:$2,0)-MATCH($I$1,[2]enemies!$2:$2,0)+1,FALSE)</f>
        <v>1</v>
      </c>
      <c r="Y282" s="31">
        <v>117</v>
      </c>
      <c r="Z282" s="5" t="str">
        <f ca="1">IFERROR(VLOOKUP($Y282,OFFSET([3]characters!$A$1,0,0,COUNTA([3]characters!$A:$A),MATCH(Z$1,[3]characters!$2:$2,0)-MATCH("character_id",[3]characters!$2:$2,0)+1),MATCH(Z$1,[3]characters!$2:$2,0)-MATCH("character_id",[3]characters!$2:$2,0)+1,FALSE),"")</f>
        <v>ゴールドピヨピヨ</v>
      </c>
      <c r="AA282" s="5">
        <f ca="1">IFERROR(VLOOKUP($Y282,OFFSET([3]characters!$A$1,0,0,COUNTA([3]characters!$A:$A),MATCH(AA$1,[3]characters!$2:$2,0)-MATCH("character_id",[3]characters!$2:$2,0)+1),MATCH(AA$1,[3]characters!$2:$2,0)-MATCH("character_id",[3]characters!$2:$2,0)+1,FALSE),"")</f>
        <v>3</v>
      </c>
      <c r="AB282" s="5" t="str">
        <f ca="1">IFERROR(VLOOKUP($Y282,OFFSET([3]characters!$A$1,0,0,COUNTA([3]characters!$A:$A),MATCH(AB$1,[3]characters!$2:$2,0)-MATCH("character_id",[3]characters!$2:$2,0)+1),MATCH(AB$1,[3]characters!$2:$2,0)-MATCH("character_id",[3]characters!$2:$2,0)+1,FALSE),"")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82" s="8">
        <v>1</v>
      </c>
      <c r="AD282" s="34">
        <f t="shared" ca="1" si="168"/>
        <v>3</v>
      </c>
      <c r="AE282" s="9">
        <v>50</v>
      </c>
      <c r="AF282" s="8">
        <v>0</v>
      </c>
      <c r="AG282" s="8">
        <v>0</v>
      </c>
      <c r="AH282" s="8">
        <v>0</v>
      </c>
      <c r="AI282" s="8">
        <v>0</v>
      </c>
      <c r="AJ282" s="8">
        <v>1</v>
      </c>
    </row>
    <row r="283" spans="1:36" ht="21" customHeight="1">
      <c r="A283" s="21" t="str">
        <f t="shared" ref="A283" ca="1" si="205">B283&amp;"_"&amp;C283&amp;"-"&amp;G283&amp;"/"&amp;I283&amp;"&lt;lv"&amp;O283&amp;"&gt;s"&amp;X283</f>
        <v>11106_3-1/117&lt;lv1&gt;s1</v>
      </c>
      <c r="B283" s="8">
        <v>11106</v>
      </c>
      <c r="C283" s="32">
        <v>3</v>
      </c>
      <c r="D283" s="2" t="str">
        <f t="shared" ref="D283" si="206">B283&amp;"_"&amp;C283</f>
        <v>11106_3</v>
      </c>
      <c r="E283" s="5" t="str">
        <f ca="1">VLOOKUP($B283,OFFSET([1]quests!$A$1,0,0,COUNTA([1]quests!$A:$A),MATCH(E$1,[1]quests!$1:$1,0)-MATCH($B$1,[1]quests!$1:$1,0)+1),MATCH(E$1,[1]quests!$1:$1,0)-MATCH($B$1,[1]quests!$1:$1,0)+1,FALSE)</f>
        <v>【キャンペーン限定】 ゴールドカジノ</v>
      </c>
      <c r="F283" s="5" t="str">
        <f ca="1">VLOOKUP($D283,OFFSET([1]stages!$A$1,0,0,COUNTA([1]stages!$A:$A),MATCH(F$1,[1]stages!$2:$2,0)-MATCH($D$1,[1]stages!$2:$2,0)+1),MATCH(F$1,[1]stages!$2:$2,0)-MATCH($D$1,[1]stages!$2:$2,0)+1,FALSE)</f>
        <v>ゴールドカジノ 【上級】</v>
      </c>
      <c r="G283" s="32">
        <v>1</v>
      </c>
      <c r="H283" s="20" t="str">
        <f t="shared" ref="H283" si="207">B283&amp;"_"&amp;C283&amp;"-"&amp;G283</f>
        <v>11106_3-1</v>
      </c>
      <c r="I283" s="31">
        <v>117</v>
      </c>
      <c r="J283" s="26" t="str">
        <f ca="1">VLOOKUP($I283,OFFSET([2]enemies!$A$1,0,0,COUNTA([2]enemies!$A:$A),MATCH(J$1,[2]enemies!$2:$2,0)-MATCH($I$1,[2]enemies!$2:$2,0)+1),MATCH(J$1,[2]enemies!$2:$2,0)-MATCH($I$1,[2]enemies!$2:$2,0)+1,FALSE)</f>
        <v>ゴールドピヨピヨ</v>
      </c>
      <c r="K283" s="29" t="str">
        <f ca="1">VLOOKUP($I283,OFFSET([2]enemies!$A$1,0,0,COUNTA([2]enemies!$A:$A),MATCH(K$1,[2]enemies!$2:$2,0)-MATCH($I$1,[2]enemies!$2:$2,0)+1),MATCH(K$1,[2]enemies!$2:$2,0)-MATCH($I$1,[2]enemies!$2:$2,0)+1,FALSE)</f>
        <v>yellow</v>
      </c>
      <c r="L283" s="29" t="str">
        <f ca="1">VLOOKUP($I283,OFFSET([3]characters!$A$1,0,0,COUNTA([3]characters!$A:$A),MATCH(L$1,[3]characters!$2:$2,0)-MATCH($I$1,[3]characters!$2:$2,0)+1),MATCH(L$1,[3]characters!$2:$2,0)-MATCH($I$1,[3]characters!$2:$2,0)+1,FALSE)</f>
        <v>Material</v>
      </c>
      <c r="M283" s="28" t="str">
        <f ca="1">VLOOKUP($I283,OFFSET([3]characters!$A$1,0,0,COUNTA([3]characters!$A:$A),MATCH(M$1,[3]characters!$2:$2,0)-MATCH($I$1,[3]characters!$2:$2,0)+2),MATCH(M$1,[3]characters!$2:$2,0)-MATCH($I$1,[3]characters!$2:$2,0)+2,FALSE)</f>
        <v>Unknown</v>
      </c>
      <c r="N283" s="5">
        <f ca="1">VLOOKUP($I283,OFFSET([2]enemies!$A$1,0,0,COUNTA([2]enemies!$A:$A),MATCH(N$1,[2]enemies!$2:$2,0)-MATCH($I$1,[2]enemies!$2:$2,0)+1),MATCH(N$1,[2]enemies!$2:$2,0)-MATCH($I$1,[2]enemies!$2:$2,0)+1,FALSE)</f>
        <v>15</v>
      </c>
      <c r="O283" s="6">
        <v>1</v>
      </c>
      <c r="P283" s="46">
        <v>40.5</v>
      </c>
      <c r="Q283" s="46">
        <v>42.25</v>
      </c>
      <c r="R283" s="6">
        <v>0</v>
      </c>
      <c r="S283" s="5" t="str">
        <f ca="1">VLOOKUP($T283,OFFSET([4]enemy_skill_sets!$B$1,0,0,COUNTA([4]enemy_skill_sets!$B:$B),MATCH(J$1,[4]enemy_skill_sets!$1:$1,0)-MATCH($T$1,[4]enemy_skill_sets!$1:$1,0)+2),MATCH(J$1,[4]enemy_skill_sets!$1:$1,0)-MATCH($T$1,[4]enemy_skill_sets!$1:$1,0)+2,FALSE)</f>
        <v>攻撃力10倍の自爆攻撃！</v>
      </c>
      <c r="T283" s="43">
        <v>11704</v>
      </c>
      <c r="U283" s="7">
        <v>0</v>
      </c>
      <c r="V283" s="7">
        <v>100</v>
      </c>
      <c r="W283" s="7">
        <v>0</v>
      </c>
      <c r="X283" s="26">
        <f ca="1">VLOOKUP($I283,OFFSET([2]enemies!$A$1,0,0,COUNTA([2]enemies!$A:$A),MATCH(X$1,[2]enemies!$2:$2,0)-MATCH($I$1,[2]enemies!$2:$2,0)+1),MATCH(X$1,[2]enemies!$2:$2,0)-MATCH($I$1,[2]enemies!$2:$2,0)+1,FALSE)</f>
        <v>1</v>
      </c>
      <c r="Y283" s="31">
        <v>117</v>
      </c>
      <c r="Z283" s="5" t="str">
        <f ca="1">IFERROR(VLOOKUP($Y283,OFFSET([3]characters!$A$1,0,0,COUNTA([3]characters!$A:$A),MATCH(Z$1,[3]characters!$2:$2,0)-MATCH("character_id",[3]characters!$2:$2,0)+1),MATCH(Z$1,[3]characters!$2:$2,0)-MATCH("character_id",[3]characters!$2:$2,0)+1,FALSE),"")</f>
        <v>ゴールドピヨピヨ</v>
      </c>
      <c r="AA283" s="5">
        <f ca="1">IFERROR(VLOOKUP($Y283,OFFSET([3]characters!$A$1,0,0,COUNTA([3]characters!$A:$A),MATCH(AA$1,[3]characters!$2:$2,0)-MATCH("character_id",[3]characters!$2:$2,0)+1),MATCH(AA$1,[3]characters!$2:$2,0)-MATCH("character_id",[3]characters!$2:$2,0)+1,FALSE),"")</f>
        <v>3</v>
      </c>
      <c r="AB283" s="5" t="str">
        <f ca="1">IFERROR(VLOOKUP($Y283,OFFSET([3]characters!$A$1,0,0,COUNTA([3]characters!$A:$A),MATCH(AB$1,[3]characters!$2:$2,0)-MATCH("character_id",[3]characters!$2:$2,0)+1),MATCH(AB$1,[3]characters!$2:$2,0)-MATCH("character_id",[3]characters!$2:$2,0)+1,FALSE),"")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83" s="8">
        <v>1</v>
      </c>
      <c r="AD283" s="34">
        <f t="shared" ref="AD283" ca="1" si="208">AA283</f>
        <v>3</v>
      </c>
      <c r="AE283" s="9">
        <v>50</v>
      </c>
      <c r="AF283" s="8">
        <v>0</v>
      </c>
      <c r="AG283" s="8">
        <v>0</v>
      </c>
      <c r="AH283" s="8">
        <v>0</v>
      </c>
      <c r="AI283" s="8">
        <v>0</v>
      </c>
      <c r="AJ283" s="8">
        <v>1</v>
      </c>
    </row>
    <row r="284" spans="1:36" ht="21" customHeight="1">
      <c r="A284" s="21" t="str">
        <f t="shared" ca="1" si="165"/>
        <v>11106_3-1/63&lt;lv32&gt;s2</v>
      </c>
      <c r="B284" s="8">
        <v>11106</v>
      </c>
      <c r="C284" s="32">
        <v>3</v>
      </c>
      <c r="D284" s="20" t="str">
        <f t="shared" si="166"/>
        <v>11106_3</v>
      </c>
      <c r="E284" s="5" t="str">
        <f ca="1">VLOOKUP($B284,OFFSET([1]quests!$A$1,0,0,COUNTA([1]quests!$A:$A),MATCH(E$1,[1]quests!$1:$1,0)-MATCH($B$1,[1]quests!$1:$1,0)+1),MATCH(E$1,[1]quests!$1:$1,0)-MATCH($B$1,[1]quests!$1:$1,0)+1,FALSE)</f>
        <v>【キャンペーン限定】 ゴールドカジノ</v>
      </c>
      <c r="F284" s="5" t="str">
        <f ca="1">VLOOKUP($D284,OFFSET([1]stages!$A$1,0,0,COUNTA([1]stages!$A:$A),MATCH(F$1,[1]stages!$2:$2,0)-MATCH($D$1,[1]stages!$2:$2,0)+1),MATCH(F$1,[1]stages!$2:$2,0)-MATCH($D$1,[1]stages!$2:$2,0)+1,FALSE)</f>
        <v>ゴールドカジノ 【上級】</v>
      </c>
      <c r="G284" s="39">
        <v>1</v>
      </c>
      <c r="H284" s="20" t="str">
        <f t="shared" si="167"/>
        <v>11106_3-1</v>
      </c>
      <c r="I284" s="41">
        <v>63</v>
      </c>
      <c r="J284" s="26" t="str">
        <f ca="1">VLOOKUP($I284,OFFSET([2]enemies!$A$1,0,0,COUNTA([2]enemies!$A:$A),MATCH(J$1,[2]enemies!$2:$2,0)-MATCH($I$1,[2]enemies!$2:$2,0)+1),MATCH(J$1,[2]enemies!$2:$2,0)-MATCH($I$1,[2]enemies!$2:$2,0)+1,FALSE)</f>
        <v>トニー</v>
      </c>
      <c r="K284" s="29" t="str">
        <f ca="1">VLOOKUP($I284,OFFSET([2]enemies!$A$1,0,0,COUNTA([2]enemies!$A:$A),MATCH(K$1,[2]enemies!$2:$2,0)-MATCH($I$1,[2]enemies!$2:$2,0)+1),MATCH(K$1,[2]enemies!$2:$2,0)-MATCH($I$1,[2]enemies!$2:$2,0)+1,FALSE)</f>
        <v>yellow</v>
      </c>
      <c r="L284" s="29" t="str">
        <f ca="1">VLOOKUP($I284,OFFSET([3]characters!$A$1,0,0,COUNTA([3]characters!$A:$A),MATCH(L$1,[3]characters!$2:$2,0)-MATCH($I$1,[3]characters!$2:$2,0)+1),MATCH(L$1,[3]characters!$2:$2,0)-MATCH($I$1,[3]characters!$2:$2,0)+1,FALSE)</f>
        <v>Drop1N</v>
      </c>
      <c r="M284" s="28" t="str">
        <f ca="1">VLOOKUP($I284,OFFSET([3]characters!$A$1,0,0,COUNTA([3]characters!$A:$A),MATCH(M$1,[3]characters!$2:$2,0)-MATCH($I$1,[3]characters!$2:$2,0)+2),MATCH(M$1,[3]characters!$2:$2,0)-MATCH($I$1,[3]characters!$2:$2,0)+2,FALSE)</f>
        <v>アニマル</v>
      </c>
      <c r="N284" s="5">
        <f ca="1">VLOOKUP($I284,OFFSET([2]enemies!$A$1,0,0,COUNTA([2]enemies!$A:$A),MATCH(N$1,[2]enemies!$2:$2,0)-MATCH($I$1,[2]enemies!$2:$2,0)+1),MATCH(N$1,[2]enemies!$2:$2,0)-MATCH($I$1,[2]enemies!$2:$2,0)+1,FALSE)</f>
        <v>15</v>
      </c>
      <c r="O284" s="6">
        <v>32</v>
      </c>
      <c r="P284" s="46">
        <v>1</v>
      </c>
      <c r="Q284" s="46">
        <v>1</v>
      </c>
      <c r="R284" s="6">
        <v>0</v>
      </c>
      <c r="S284" s="5" t="str">
        <f ca="1">VLOOKUP($T284,OFFSET([4]enemy_skill_sets!$B$1,0,0,COUNTA([4]enemy_skill_sets!$B:$B),MATCH(J$1,[4]enemy_skill_sets!$1:$1,0)-MATCH($T$1,[4]enemy_skill_sets!$1:$1,0)+2),MATCH(J$1,[4]enemy_skill_sets!$1:$1,0)-MATCH($T$1,[4]enemy_skill_sets!$1:$1,0)+2,FALSE)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284" s="5">
        <f ca="1">VLOOKUP($I284,OFFSET([2]enemies!$A$1,0,0,COUNTA([2]enemies!$A:$A),MATCH(T$1,[2]enemies!$2:$2,0)-MATCH($I$1,[2]enemies!$2:$2,0)+1),MATCH(T$1,[2]enemies!$2:$2,0)-MATCH($I$1,[2]enemies!$2:$2,0)+1,FALSE)</f>
        <v>63</v>
      </c>
      <c r="U284" s="40">
        <v>0</v>
      </c>
      <c r="V284" s="7">
        <v>100</v>
      </c>
      <c r="W284" s="40">
        <v>0</v>
      </c>
      <c r="X284" s="26">
        <f ca="1">VLOOKUP($I284,OFFSET([2]enemies!$A$1,0,0,COUNTA([2]enemies!$A:$A),MATCH(X$1,[2]enemies!$2:$2,0)-MATCH($I$1,[2]enemies!$2:$2,0)+1),MATCH(X$1,[2]enemies!$2:$2,0)-MATCH($I$1,[2]enemies!$2:$2,0)+1,FALSE)</f>
        <v>2</v>
      </c>
      <c r="Y284" s="41">
        <v>63</v>
      </c>
      <c r="Z284" s="5" t="str">
        <f ca="1">IFERROR(VLOOKUP($Y284,OFFSET([3]characters!$A$1,0,0,COUNTA([3]characters!$A:$A),MATCH(Z$1,[3]characters!$2:$2,0)-MATCH("character_id",[3]characters!$2:$2,0)+1),MATCH(Z$1,[3]characters!$2:$2,0)-MATCH("character_id",[3]characters!$2:$2,0)+1,FALSE),"")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284" s="5">
        <f ca="1">IFERROR(VLOOKUP($Y284,OFFSET([3]characters!$A$1,0,0,COUNTA([3]characters!$A:$A),MATCH(AA$1,[3]characters!$2:$2,0)-MATCH("character_id",[3]characters!$2:$2,0)+1),MATCH(AA$1,[3]characters!$2:$2,0)-MATCH("character_id",[3]characters!$2:$2,0)+1,FALSE),"")</f>
        <v>2</v>
      </c>
      <c r="AB284" s="5" t="str">
        <f ca="1">IFERROR(VLOOKUP($Y284,OFFSET([3]characters!$A$1,0,0,COUNTA([3]characters!$A:$A),MATCH(AB$1,[3]characters!$2:$2,0)-MATCH("character_id",[3]characters!$2:$2,0)+1),MATCH(AB$1,[3]characters!$2:$2,0)-MATCH("character_id",[3]characters!$2:$2,0)+1,FALSE),"")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84" s="35">
        <v>1</v>
      </c>
      <c r="AD284" s="35">
        <f t="shared" ca="1" si="168"/>
        <v>2</v>
      </c>
      <c r="AE284" s="9">
        <v>0</v>
      </c>
      <c r="AF284" s="35">
        <v>0</v>
      </c>
      <c r="AG284" s="35">
        <v>0</v>
      </c>
      <c r="AH284" s="35">
        <v>0</v>
      </c>
      <c r="AI284" s="35">
        <v>0</v>
      </c>
      <c r="AJ284" s="35">
        <v>1</v>
      </c>
    </row>
    <row r="285" spans="1:36" ht="21" customHeight="1">
      <c r="A285" s="21" t="str">
        <f t="shared" ca="1" si="165"/>
        <v>11106_3-1/61&lt;lv32&gt;s2</v>
      </c>
      <c r="B285" s="8">
        <v>11106</v>
      </c>
      <c r="C285" s="32">
        <v>3</v>
      </c>
      <c r="D285" s="20" t="str">
        <f t="shared" si="166"/>
        <v>11106_3</v>
      </c>
      <c r="E285" s="5" t="str">
        <f ca="1">VLOOKUP($B285,OFFSET([1]quests!$A$1,0,0,COUNTA([1]quests!$A:$A),MATCH(E$1,[1]quests!$1:$1,0)-MATCH($B$1,[1]quests!$1:$1,0)+1),MATCH(E$1,[1]quests!$1:$1,0)-MATCH($B$1,[1]quests!$1:$1,0)+1,FALSE)</f>
        <v>【キャンペーン限定】 ゴールドカジノ</v>
      </c>
      <c r="F285" s="5" t="str">
        <f ca="1">VLOOKUP($D285,OFFSET([1]stages!$A$1,0,0,COUNTA([1]stages!$A:$A),MATCH(F$1,[1]stages!$2:$2,0)-MATCH($D$1,[1]stages!$2:$2,0)+1),MATCH(F$1,[1]stages!$2:$2,0)-MATCH($D$1,[1]stages!$2:$2,0)+1,FALSE)</f>
        <v>ゴールドカジノ 【上級】</v>
      </c>
      <c r="G285" s="39">
        <v>1</v>
      </c>
      <c r="H285" s="20" t="str">
        <f t="shared" si="167"/>
        <v>11106_3-1</v>
      </c>
      <c r="I285" s="41">
        <v>61</v>
      </c>
      <c r="J285" s="26" t="str">
        <f ca="1">VLOOKUP($I285,OFFSET([2]enemies!$A$1,0,0,COUNTA([2]enemies!$A:$A),MATCH(J$1,[2]enemies!$2:$2,0)-MATCH($I$1,[2]enemies!$2:$2,0)+1),MATCH(J$1,[2]enemies!$2:$2,0)-MATCH($I$1,[2]enemies!$2:$2,0)+1,FALSE)</f>
        <v>クロウ</v>
      </c>
      <c r="K285" s="29" t="str">
        <f ca="1">VLOOKUP($I285,OFFSET([2]enemies!$A$1,0,0,COUNTA([2]enemies!$A:$A),MATCH(K$1,[2]enemies!$2:$2,0)-MATCH($I$1,[2]enemies!$2:$2,0)+1),MATCH(K$1,[2]enemies!$2:$2,0)-MATCH($I$1,[2]enemies!$2:$2,0)+1,FALSE)</f>
        <v>blue</v>
      </c>
      <c r="L285" s="29" t="str">
        <f ca="1">VLOOKUP($I285,OFFSET([3]characters!$A$1,0,0,COUNTA([3]characters!$A:$A),MATCH(L$1,[3]characters!$2:$2,0)-MATCH($I$1,[3]characters!$2:$2,0)+1),MATCH(L$1,[3]characters!$2:$2,0)-MATCH($I$1,[3]characters!$2:$2,0)+1,FALSE)</f>
        <v>Drop1N</v>
      </c>
      <c r="M285" s="28" t="str">
        <f ca="1">VLOOKUP($I285,OFFSET([3]characters!$A$1,0,0,COUNTA([3]characters!$A:$A),MATCH(M$1,[3]characters!$2:$2,0)-MATCH($I$1,[3]characters!$2:$2,0)+2),MATCH(M$1,[3]characters!$2:$2,0)-MATCH($I$1,[3]characters!$2:$2,0)+2,FALSE)</f>
        <v>アニマル</v>
      </c>
      <c r="N285" s="5">
        <f ca="1">VLOOKUP($I285,OFFSET([2]enemies!$A$1,0,0,COUNTA([2]enemies!$A:$A),MATCH(N$1,[2]enemies!$2:$2,0)-MATCH($I$1,[2]enemies!$2:$2,0)+1),MATCH(N$1,[2]enemies!$2:$2,0)-MATCH($I$1,[2]enemies!$2:$2,0)+1,FALSE)</f>
        <v>15</v>
      </c>
      <c r="O285" s="6">
        <v>32</v>
      </c>
      <c r="P285" s="46">
        <v>1</v>
      </c>
      <c r="Q285" s="46">
        <v>1</v>
      </c>
      <c r="R285" s="6">
        <v>0</v>
      </c>
      <c r="S285" s="5" t="str">
        <f ca="1">VLOOKUP($T285,OFFSET([4]enemy_skill_sets!$B$1,0,0,COUNTA([4]enemy_skill_sets!$B:$B),MATCH(J$1,[4]enemy_skill_sets!$1:$1,0)-MATCH($T$1,[4]enemy_skill_sets!$1:$1,0)+2),MATCH(J$1,[4]enemy_skill_sets!$1:$1,0)-MATCH($T$1,[4]enemy_skill_sets!$1:$1,0)+2,FALSE)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285" s="5">
        <f ca="1">VLOOKUP($I285,OFFSET([2]enemies!$A$1,0,0,COUNTA([2]enemies!$A:$A),MATCH(T$1,[2]enemies!$2:$2,0)-MATCH($I$1,[2]enemies!$2:$2,0)+1),MATCH(T$1,[2]enemies!$2:$2,0)-MATCH($I$1,[2]enemies!$2:$2,0)+1,FALSE)</f>
        <v>61</v>
      </c>
      <c r="U285" s="40">
        <v>0</v>
      </c>
      <c r="V285" s="7">
        <v>100</v>
      </c>
      <c r="W285" s="40">
        <v>0</v>
      </c>
      <c r="X285" s="26">
        <f ca="1">VLOOKUP($I285,OFFSET([2]enemies!$A$1,0,0,COUNTA([2]enemies!$A:$A),MATCH(X$1,[2]enemies!$2:$2,0)-MATCH($I$1,[2]enemies!$2:$2,0)+1),MATCH(X$1,[2]enemies!$2:$2,0)-MATCH($I$1,[2]enemies!$2:$2,0)+1,FALSE)</f>
        <v>2</v>
      </c>
      <c r="Y285" s="41">
        <v>61</v>
      </c>
      <c r="Z285" s="5" t="str">
        <f ca="1">IFERROR(VLOOKUP($Y285,OFFSET([3]characters!$A$1,0,0,COUNTA([3]characters!$A:$A),MATCH(Z$1,[3]characters!$2:$2,0)-MATCH("character_id",[3]characters!$2:$2,0)+1),MATCH(Z$1,[3]characters!$2:$2,0)-MATCH("character_id",[3]characters!$2:$2,0)+1,FALSE),"")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285" s="5">
        <f ca="1">IFERROR(VLOOKUP($Y285,OFFSET([3]characters!$A$1,0,0,COUNTA([3]characters!$A:$A),MATCH(AA$1,[3]characters!$2:$2,0)-MATCH("character_id",[3]characters!$2:$2,0)+1),MATCH(AA$1,[3]characters!$2:$2,0)-MATCH("character_id",[3]characters!$2:$2,0)+1,FALSE),"")</f>
        <v>2</v>
      </c>
      <c r="AB285" s="5" t="str">
        <f ca="1">IFERROR(VLOOKUP($Y285,OFFSET([3]characters!$A$1,0,0,COUNTA([3]characters!$A:$A),MATCH(AB$1,[3]characters!$2:$2,0)-MATCH("character_id",[3]characters!$2:$2,0)+1),MATCH(AB$1,[3]characters!$2:$2,0)-MATCH("character_id",[3]characters!$2:$2,0)+1,FALSE),"")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85" s="35">
        <v>1</v>
      </c>
      <c r="AD285" s="35">
        <f t="shared" ca="1" si="168"/>
        <v>2</v>
      </c>
      <c r="AE285" s="9">
        <v>0</v>
      </c>
      <c r="AF285" s="35">
        <v>0</v>
      </c>
      <c r="AG285" s="35">
        <v>0</v>
      </c>
      <c r="AH285" s="35">
        <v>0</v>
      </c>
      <c r="AI285" s="35">
        <v>0</v>
      </c>
      <c r="AJ285" s="35">
        <v>1</v>
      </c>
    </row>
    <row r="286" spans="1:36" ht="21" customHeight="1">
      <c r="A286" s="21" t="str">
        <f t="shared" ca="1" si="165"/>
        <v>11106_3-1/57&lt;lv32&gt;s2</v>
      </c>
      <c r="B286" s="8">
        <v>11106</v>
      </c>
      <c r="C286" s="32">
        <v>3</v>
      </c>
      <c r="D286" s="20" t="str">
        <f t="shared" si="166"/>
        <v>11106_3</v>
      </c>
      <c r="E286" s="5" t="str">
        <f ca="1">VLOOKUP($B286,OFFSET([1]quests!$A$1,0,0,COUNTA([1]quests!$A:$A),MATCH(E$1,[1]quests!$1:$1,0)-MATCH($B$1,[1]quests!$1:$1,0)+1),MATCH(E$1,[1]quests!$1:$1,0)-MATCH($B$1,[1]quests!$1:$1,0)+1,FALSE)</f>
        <v>【キャンペーン限定】 ゴールドカジノ</v>
      </c>
      <c r="F286" s="5" t="str">
        <f ca="1">VLOOKUP($D286,OFFSET([1]stages!$A$1,0,0,COUNTA([1]stages!$A:$A),MATCH(F$1,[1]stages!$2:$2,0)-MATCH($D$1,[1]stages!$2:$2,0)+1),MATCH(F$1,[1]stages!$2:$2,0)-MATCH($D$1,[1]stages!$2:$2,0)+1,FALSE)</f>
        <v>ゴールドカジノ 【上級】</v>
      </c>
      <c r="G286" s="39">
        <v>1</v>
      </c>
      <c r="H286" s="20" t="str">
        <f t="shared" si="167"/>
        <v>11106_3-1</v>
      </c>
      <c r="I286" s="41">
        <v>57</v>
      </c>
      <c r="J286" s="26" t="str">
        <f ca="1">VLOOKUP($I286,OFFSET([2]enemies!$A$1,0,0,COUNTA([2]enemies!$A:$A),MATCH(J$1,[2]enemies!$2:$2,0)-MATCH($I$1,[2]enemies!$2:$2,0)+1),MATCH(J$1,[2]enemies!$2:$2,0)-MATCH($I$1,[2]enemies!$2:$2,0)+1,FALSE)</f>
        <v>チェン・リー</v>
      </c>
      <c r="K286" s="29" t="str">
        <f ca="1">VLOOKUP($I286,OFFSET([2]enemies!$A$1,0,0,COUNTA([2]enemies!$A:$A),MATCH(K$1,[2]enemies!$2:$2,0)-MATCH($I$1,[2]enemies!$2:$2,0)+1),MATCH(K$1,[2]enemies!$2:$2,0)-MATCH($I$1,[2]enemies!$2:$2,0)+1,FALSE)</f>
        <v>red</v>
      </c>
      <c r="L286" s="29" t="str">
        <f ca="1">VLOOKUP($I286,OFFSET([3]characters!$A$1,0,0,COUNTA([3]characters!$A:$A),MATCH(L$1,[3]characters!$2:$2,0)-MATCH($I$1,[3]characters!$2:$2,0)+1),MATCH(L$1,[3]characters!$2:$2,0)-MATCH($I$1,[3]characters!$2:$2,0)+1,FALSE)</f>
        <v>Drop1N</v>
      </c>
      <c r="M286" s="28" t="str">
        <f ca="1">VLOOKUP($I286,OFFSET([3]characters!$A$1,0,0,COUNTA([3]characters!$A:$A),MATCH(M$1,[3]characters!$2:$2,0)-MATCH($I$1,[3]characters!$2:$2,0)+2),MATCH(M$1,[3]characters!$2:$2,0)-MATCH($I$1,[3]characters!$2:$2,0)+2,FALSE)</f>
        <v>アニマル</v>
      </c>
      <c r="N286" s="5">
        <f ca="1">VLOOKUP($I286,OFFSET([2]enemies!$A$1,0,0,COUNTA([2]enemies!$A:$A),MATCH(N$1,[2]enemies!$2:$2,0)-MATCH($I$1,[2]enemies!$2:$2,0)+1),MATCH(N$1,[2]enemies!$2:$2,0)-MATCH($I$1,[2]enemies!$2:$2,0)+1,FALSE)</f>
        <v>15</v>
      </c>
      <c r="O286" s="6">
        <v>32</v>
      </c>
      <c r="P286" s="46">
        <v>1</v>
      </c>
      <c r="Q286" s="46">
        <v>1</v>
      </c>
      <c r="R286" s="6">
        <v>0</v>
      </c>
      <c r="S286" s="5" t="str">
        <f ca="1">VLOOKUP($T286,OFFSET([4]enemy_skill_sets!$B$1,0,0,COUNTA([4]enemy_skill_sets!$B:$B),MATCH(J$1,[4]enemy_skill_sets!$1:$1,0)-MATCH($T$1,[4]enemy_skill_sets!$1:$1,0)+2),MATCH(J$1,[4]enemy_skill_sets!$1:$1,0)-MATCH($T$1,[4]enemy_skill_sets!$1:$1,0)+2,FALSE)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286" s="5">
        <f ca="1">VLOOKUP($I286,OFFSET([2]enemies!$A$1,0,0,COUNTA([2]enemies!$A:$A),MATCH(T$1,[2]enemies!$2:$2,0)-MATCH($I$1,[2]enemies!$2:$2,0)+1),MATCH(T$1,[2]enemies!$2:$2,0)-MATCH($I$1,[2]enemies!$2:$2,0)+1,FALSE)</f>
        <v>57</v>
      </c>
      <c r="U286" s="40">
        <v>0</v>
      </c>
      <c r="V286" s="7">
        <v>100</v>
      </c>
      <c r="W286" s="40">
        <v>0</v>
      </c>
      <c r="X286" s="26">
        <f ca="1">VLOOKUP($I286,OFFSET([2]enemies!$A$1,0,0,COUNTA([2]enemies!$A:$A),MATCH(X$1,[2]enemies!$2:$2,0)-MATCH($I$1,[2]enemies!$2:$2,0)+1),MATCH(X$1,[2]enemies!$2:$2,0)-MATCH($I$1,[2]enemies!$2:$2,0)+1,FALSE)</f>
        <v>2</v>
      </c>
      <c r="Y286" s="41">
        <v>57</v>
      </c>
      <c r="Z286" s="5" t="str">
        <f ca="1">IFERROR(VLOOKUP($Y286,OFFSET([3]characters!$A$1,0,0,COUNTA([3]characters!$A:$A),MATCH(Z$1,[3]characters!$2:$2,0)-MATCH("character_id",[3]characters!$2:$2,0)+1),MATCH(Z$1,[3]characters!$2:$2,0)-MATCH("character_id",[3]characters!$2:$2,0)+1,FALSE),"")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286" s="5">
        <f ca="1">IFERROR(VLOOKUP($Y286,OFFSET([3]characters!$A$1,0,0,COUNTA([3]characters!$A:$A),MATCH(AA$1,[3]characters!$2:$2,0)-MATCH("character_id",[3]characters!$2:$2,0)+1),MATCH(AA$1,[3]characters!$2:$2,0)-MATCH("character_id",[3]characters!$2:$2,0)+1,FALSE),"")</f>
        <v>2</v>
      </c>
      <c r="AB286" s="5" t="str">
        <f ca="1">IFERROR(VLOOKUP($Y286,OFFSET([3]characters!$A$1,0,0,COUNTA([3]characters!$A:$A),MATCH(AB$1,[3]characters!$2:$2,0)-MATCH("character_id",[3]characters!$2:$2,0)+1),MATCH(AB$1,[3]characters!$2:$2,0)-MATCH("character_id",[3]characters!$2:$2,0)+1,FALSE),"")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86" s="35">
        <v>1</v>
      </c>
      <c r="AD286" s="35">
        <f t="shared" ca="1" si="168"/>
        <v>2</v>
      </c>
      <c r="AE286" s="9">
        <v>0</v>
      </c>
      <c r="AF286" s="35">
        <v>0</v>
      </c>
      <c r="AG286" s="35">
        <v>0</v>
      </c>
      <c r="AH286" s="35">
        <v>0</v>
      </c>
      <c r="AI286" s="35">
        <v>0</v>
      </c>
      <c r="AJ286" s="35">
        <v>1</v>
      </c>
    </row>
    <row r="287" spans="1:36" ht="21" customHeight="1">
      <c r="A287" s="21" t="str">
        <f t="shared" ca="1" si="165"/>
        <v>11106_3-1/59&lt;lv32&gt;s2</v>
      </c>
      <c r="B287" s="8">
        <v>11106</v>
      </c>
      <c r="C287" s="32">
        <v>3</v>
      </c>
      <c r="D287" s="20" t="str">
        <f t="shared" si="166"/>
        <v>11106_3</v>
      </c>
      <c r="E287" s="5" t="str">
        <f ca="1">VLOOKUP($B287,OFFSET([1]quests!$A$1,0,0,COUNTA([1]quests!$A:$A),MATCH(E$1,[1]quests!$1:$1,0)-MATCH($B$1,[1]quests!$1:$1,0)+1),MATCH(E$1,[1]quests!$1:$1,0)-MATCH($B$1,[1]quests!$1:$1,0)+1,FALSE)</f>
        <v>【キャンペーン限定】 ゴールドカジノ</v>
      </c>
      <c r="F287" s="5" t="str">
        <f ca="1">VLOOKUP($D287,OFFSET([1]stages!$A$1,0,0,COUNTA([1]stages!$A:$A),MATCH(F$1,[1]stages!$2:$2,0)-MATCH($D$1,[1]stages!$2:$2,0)+1),MATCH(F$1,[1]stages!$2:$2,0)-MATCH($D$1,[1]stages!$2:$2,0)+1,FALSE)</f>
        <v>ゴールドカジノ 【上級】</v>
      </c>
      <c r="G287" s="39">
        <v>1</v>
      </c>
      <c r="H287" s="20" t="str">
        <f t="shared" si="167"/>
        <v>11106_3-1</v>
      </c>
      <c r="I287" s="41">
        <v>59</v>
      </c>
      <c r="J287" s="26" t="str">
        <f ca="1">VLOOKUP($I287,OFFSET([2]enemies!$A$1,0,0,COUNTA([2]enemies!$A:$A),MATCH(J$1,[2]enemies!$2:$2,0)-MATCH($I$1,[2]enemies!$2:$2,0)+1),MATCH(J$1,[2]enemies!$2:$2,0)-MATCH($I$1,[2]enemies!$2:$2,0)+1,FALSE)</f>
        <v>マーチ</v>
      </c>
      <c r="K287" s="29" t="str">
        <f ca="1">VLOOKUP($I287,OFFSET([2]enemies!$A$1,0,0,COUNTA([2]enemies!$A:$A),MATCH(K$1,[2]enemies!$2:$2,0)-MATCH($I$1,[2]enemies!$2:$2,0)+1),MATCH(K$1,[2]enemies!$2:$2,0)-MATCH($I$1,[2]enemies!$2:$2,0)+1,FALSE)</f>
        <v>green</v>
      </c>
      <c r="L287" s="29" t="str">
        <f ca="1">VLOOKUP($I287,OFFSET([3]characters!$A$1,0,0,COUNTA([3]characters!$A:$A),MATCH(L$1,[3]characters!$2:$2,0)-MATCH($I$1,[3]characters!$2:$2,0)+1),MATCH(L$1,[3]characters!$2:$2,0)-MATCH($I$1,[3]characters!$2:$2,0)+1,FALSE)</f>
        <v>Drop1N</v>
      </c>
      <c r="M287" s="28" t="str">
        <f ca="1">VLOOKUP($I287,OFFSET([3]characters!$A$1,0,0,COUNTA([3]characters!$A:$A),MATCH(M$1,[3]characters!$2:$2,0)-MATCH($I$1,[3]characters!$2:$2,0)+2),MATCH(M$1,[3]characters!$2:$2,0)-MATCH($I$1,[3]characters!$2:$2,0)+2,FALSE)</f>
        <v>アニマル</v>
      </c>
      <c r="N287" s="5">
        <f ca="1">VLOOKUP($I287,OFFSET([2]enemies!$A$1,0,0,COUNTA([2]enemies!$A:$A),MATCH(N$1,[2]enemies!$2:$2,0)-MATCH($I$1,[2]enemies!$2:$2,0)+1),MATCH(N$1,[2]enemies!$2:$2,0)-MATCH($I$1,[2]enemies!$2:$2,0)+1,FALSE)</f>
        <v>15</v>
      </c>
      <c r="O287" s="6">
        <v>32</v>
      </c>
      <c r="P287" s="46">
        <v>1</v>
      </c>
      <c r="Q287" s="46">
        <v>1</v>
      </c>
      <c r="R287" s="6">
        <v>0</v>
      </c>
      <c r="S287" s="5" t="str">
        <f ca="1">VLOOKUP($T287,OFFSET([4]enemy_skill_sets!$B$1,0,0,COUNTA([4]enemy_skill_sets!$B:$B),MATCH(J$1,[4]enemy_skill_sets!$1:$1,0)-MATCH($T$1,[4]enemy_skill_sets!$1:$1,0)+2),MATCH(J$1,[4]enemy_skill_sets!$1:$1,0)-MATCH($T$1,[4]enemy_skill_sets!$1:$1,0)+2,FALSE)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287" s="5">
        <f ca="1">VLOOKUP($I287,OFFSET([2]enemies!$A$1,0,0,COUNTA([2]enemies!$A:$A),MATCH(T$1,[2]enemies!$2:$2,0)-MATCH($I$1,[2]enemies!$2:$2,0)+1),MATCH(T$1,[2]enemies!$2:$2,0)-MATCH($I$1,[2]enemies!$2:$2,0)+1,FALSE)</f>
        <v>59</v>
      </c>
      <c r="U287" s="40">
        <v>0</v>
      </c>
      <c r="V287" s="7">
        <v>100</v>
      </c>
      <c r="W287" s="40">
        <v>0</v>
      </c>
      <c r="X287" s="26">
        <f ca="1">VLOOKUP($I287,OFFSET([2]enemies!$A$1,0,0,COUNTA([2]enemies!$A:$A),MATCH(X$1,[2]enemies!$2:$2,0)-MATCH($I$1,[2]enemies!$2:$2,0)+1),MATCH(X$1,[2]enemies!$2:$2,0)-MATCH($I$1,[2]enemies!$2:$2,0)+1,FALSE)</f>
        <v>2</v>
      </c>
      <c r="Y287" s="41">
        <v>59</v>
      </c>
      <c r="Z287" s="5" t="str">
        <f ca="1">IFERROR(VLOOKUP($Y287,OFFSET([3]characters!$A$1,0,0,COUNTA([3]characters!$A:$A),MATCH(Z$1,[3]characters!$2:$2,0)-MATCH("character_id",[3]characters!$2:$2,0)+1),MATCH(Z$1,[3]characters!$2:$2,0)-MATCH("character_id",[3]characters!$2:$2,0)+1,FALSE),"")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287" s="5">
        <f ca="1">IFERROR(VLOOKUP($Y287,OFFSET([3]characters!$A$1,0,0,COUNTA([3]characters!$A:$A),MATCH(AA$1,[3]characters!$2:$2,0)-MATCH("character_id",[3]characters!$2:$2,0)+1),MATCH(AA$1,[3]characters!$2:$2,0)-MATCH("character_id",[3]characters!$2:$2,0)+1,FALSE),"")</f>
        <v>2</v>
      </c>
      <c r="AB287" s="5" t="str">
        <f ca="1">IFERROR(VLOOKUP($Y287,OFFSET([3]characters!$A$1,0,0,COUNTA([3]characters!$A:$A),MATCH(AB$1,[3]characters!$2:$2,0)-MATCH("character_id",[3]characters!$2:$2,0)+1),MATCH(AB$1,[3]characters!$2:$2,0)-MATCH("character_id",[3]characters!$2:$2,0)+1,FALSE),"")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87" s="35">
        <v>1</v>
      </c>
      <c r="AD287" s="35">
        <f t="shared" ca="1" si="168"/>
        <v>2</v>
      </c>
      <c r="AE287" s="9">
        <v>0</v>
      </c>
      <c r="AF287" s="35">
        <v>0</v>
      </c>
      <c r="AG287" s="35">
        <v>0</v>
      </c>
      <c r="AH287" s="35">
        <v>0</v>
      </c>
      <c r="AI287" s="35">
        <v>0</v>
      </c>
      <c r="AJ287" s="35">
        <v>1</v>
      </c>
    </row>
    <row r="288" spans="1:36" ht="21" customHeight="1">
      <c r="A288" s="21" t="str">
        <f t="shared" ca="1" si="165"/>
        <v>11106_3-2/117&lt;lv1&gt;s1</v>
      </c>
      <c r="B288" s="8">
        <v>11106</v>
      </c>
      <c r="C288" s="32">
        <v>3</v>
      </c>
      <c r="D288" s="2" t="str">
        <f t="shared" si="166"/>
        <v>11106_3</v>
      </c>
      <c r="E288" s="5" t="str">
        <f ca="1">VLOOKUP($B288,OFFSET([1]quests!$A$1,0,0,COUNTA([1]quests!$A:$A),MATCH(E$1,[1]quests!$1:$1,0)-MATCH($B$1,[1]quests!$1:$1,0)+1),MATCH(E$1,[1]quests!$1:$1,0)-MATCH($B$1,[1]quests!$1:$1,0)+1,FALSE)</f>
        <v>【キャンペーン限定】 ゴールドカジノ</v>
      </c>
      <c r="F288" s="5" t="str">
        <f ca="1">VLOOKUP($D288,OFFSET([1]stages!$A$1,0,0,COUNTA([1]stages!$A:$A),MATCH(F$1,[1]stages!$2:$2,0)-MATCH($D$1,[1]stages!$2:$2,0)+1),MATCH(F$1,[1]stages!$2:$2,0)-MATCH($D$1,[1]stages!$2:$2,0)+1,FALSE)</f>
        <v>ゴールドカジノ 【上級】</v>
      </c>
      <c r="G288" s="32">
        <v>2</v>
      </c>
      <c r="H288" s="20" t="str">
        <f t="shared" si="167"/>
        <v>11106_3-2</v>
      </c>
      <c r="I288" s="31">
        <v>117</v>
      </c>
      <c r="J288" s="26" t="str">
        <f ca="1">VLOOKUP($I288,OFFSET([2]enemies!$A$1,0,0,COUNTA([2]enemies!$A:$A),MATCH(J$1,[2]enemies!$2:$2,0)-MATCH($I$1,[2]enemies!$2:$2,0)+1),MATCH(J$1,[2]enemies!$2:$2,0)-MATCH($I$1,[2]enemies!$2:$2,0)+1,FALSE)</f>
        <v>ゴールドピヨピヨ</v>
      </c>
      <c r="K288" s="29" t="str">
        <f ca="1">VLOOKUP($I288,OFFSET([2]enemies!$A$1,0,0,COUNTA([2]enemies!$A:$A),MATCH(K$1,[2]enemies!$2:$2,0)-MATCH($I$1,[2]enemies!$2:$2,0)+1),MATCH(K$1,[2]enemies!$2:$2,0)-MATCH($I$1,[2]enemies!$2:$2,0)+1,FALSE)</f>
        <v>yellow</v>
      </c>
      <c r="L288" s="29" t="str">
        <f ca="1">VLOOKUP($I288,OFFSET([3]characters!$A$1,0,0,COUNTA([3]characters!$A:$A),MATCH(L$1,[3]characters!$2:$2,0)-MATCH($I$1,[3]characters!$2:$2,0)+1),MATCH(L$1,[3]characters!$2:$2,0)-MATCH($I$1,[3]characters!$2:$2,0)+1,FALSE)</f>
        <v>Material</v>
      </c>
      <c r="M288" s="28" t="str">
        <f ca="1">VLOOKUP($I288,OFFSET([3]characters!$A$1,0,0,COUNTA([3]characters!$A:$A),MATCH(M$1,[3]characters!$2:$2,0)-MATCH($I$1,[3]characters!$2:$2,0)+2),MATCH(M$1,[3]characters!$2:$2,0)-MATCH($I$1,[3]characters!$2:$2,0)+2,FALSE)</f>
        <v>Unknown</v>
      </c>
      <c r="N288" s="5">
        <f ca="1">VLOOKUP($I288,OFFSET([2]enemies!$A$1,0,0,COUNTA([2]enemies!$A:$A),MATCH(N$1,[2]enemies!$2:$2,0)-MATCH($I$1,[2]enemies!$2:$2,0)+1),MATCH(N$1,[2]enemies!$2:$2,0)-MATCH($I$1,[2]enemies!$2:$2,0)+1,FALSE)</f>
        <v>15</v>
      </c>
      <c r="O288" s="6">
        <v>1</v>
      </c>
      <c r="P288" s="46">
        <v>40.5</v>
      </c>
      <c r="Q288" s="46">
        <v>42.25</v>
      </c>
      <c r="R288" s="6">
        <v>0</v>
      </c>
      <c r="S288" s="5" t="str">
        <f ca="1">VLOOKUP($T288,OFFSET([4]enemy_skill_sets!$B$1,0,0,COUNTA([4]enemy_skill_sets!$B:$B),MATCH(J$1,[4]enemy_skill_sets!$1:$1,0)-MATCH($T$1,[4]enemy_skill_sets!$1:$1,0)+2),MATCH(J$1,[4]enemy_skill_sets!$1:$1,0)-MATCH($T$1,[4]enemy_skill_sets!$1:$1,0)+2,FALSE)</f>
        <v>攻撃力10倍の自爆攻撃！</v>
      </c>
      <c r="T288" s="43">
        <v>11704</v>
      </c>
      <c r="U288" s="7">
        <v>1</v>
      </c>
      <c r="V288" s="7">
        <v>100</v>
      </c>
      <c r="W288" s="7">
        <v>0</v>
      </c>
      <c r="X288" s="26">
        <f ca="1">VLOOKUP($I288,OFFSET([2]enemies!$A$1,0,0,COUNTA([2]enemies!$A:$A),MATCH(X$1,[2]enemies!$2:$2,0)-MATCH($I$1,[2]enemies!$2:$2,0)+1),MATCH(X$1,[2]enemies!$2:$2,0)-MATCH($I$1,[2]enemies!$2:$2,0)+1,FALSE)</f>
        <v>1</v>
      </c>
      <c r="Y288" s="31">
        <v>117</v>
      </c>
      <c r="Z288" s="5" t="str">
        <f ca="1">IFERROR(VLOOKUP($Y288,OFFSET([3]characters!$A$1,0,0,COUNTA([3]characters!$A:$A),MATCH(Z$1,[3]characters!$2:$2,0)-MATCH("character_id",[3]characters!$2:$2,0)+1),MATCH(Z$1,[3]characters!$2:$2,0)-MATCH("character_id",[3]characters!$2:$2,0)+1,FALSE),"")</f>
        <v>ゴールドピヨピヨ</v>
      </c>
      <c r="AA288" s="5">
        <f ca="1">IFERROR(VLOOKUP($Y288,OFFSET([3]characters!$A$1,0,0,COUNTA([3]characters!$A:$A),MATCH(AA$1,[3]characters!$2:$2,0)-MATCH("character_id",[3]characters!$2:$2,0)+1),MATCH(AA$1,[3]characters!$2:$2,0)-MATCH("character_id",[3]characters!$2:$2,0)+1,FALSE),"")</f>
        <v>3</v>
      </c>
      <c r="AB288" s="5" t="str">
        <f ca="1">IFERROR(VLOOKUP($Y288,OFFSET([3]characters!$A$1,0,0,COUNTA([3]characters!$A:$A),MATCH(AB$1,[3]characters!$2:$2,0)-MATCH("character_id",[3]characters!$2:$2,0)+1),MATCH(AB$1,[3]characters!$2:$2,0)-MATCH("character_id",[3]characters!$2:$2,0)+1,FALSE),"")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88" s="8">
        <v>1</v>
      </c>
      <c r="AD288" s="34">
        <f t="shared" ca="1" si="168"/>
        <v>3</v>
      </c>
      <c r="AE288" s="9">
        <v>50</v>
      </c>
      <c r="AF288" s="8">
        <v>0</v>
      </c>
      <c r="AG288" s="8">
        <v>0</v>
      </c>
      <c r="AH288" s="8">
        <v>0</v>
      </c>
      <c r="AI288" s="8">
        <v>0</v>
      </c>
      <c r="AJ288" s="8">
        <v>1</v>
      </c>
    </row>
    <row r="289" spans="1:36" ht="21" customHeight="1">
      <c r="A289" s="21" t="str">
        <f t="shared" ca="1" si="165"/>
        <v>11106_3-2/118&lt;lv1&gt;s2</v>
      </c>
      <c r="B289" s="8">
        <v>11106</v>
      </c>
      <c r="C289" s="32">
        <v>3</v>
      </c>
      <c r="D289" s="2" t="str">
        <f t="shared" si="166"/>
        <v>11106_3</v>
      </c>
      <c r="E289" s="5" t="str">
        <f ca="1">VLOOKUP($B289,OFFSET([1]quests!$A$1,0,0,COUNTA([1]quests!$A:$A),MATCH(E$1,[1]quests!$1:$1,0)-MATCH($B$1,[1]quests!$1:$1,0)+1),MATCH(E$1,[1]quests!$1:$1,0)-MATCH($B$1,[1]quests!$1:$1,0)+1,FALSE)</f>
        <v>【キャンペーン限定】 ゴールドカジノ</v>
      </c>
      <c r="F289" s="5" t="str">
        <f ca="1">VLOOKUP($D289,OFFSET([1]stages!$A$1,0,0,COUNTA([1]stages!$A:$A),MATCH(F$1,[1]stages!$2:$2,0)-MATCH($D$1,[1]stages!$2:$2,0)+1),MATCH(F$1,[1]stages!$2:$2,0)-MATCH($D$1,[1]stages!$2:$2,0)+1,FALSE)</f>
        <v>ゴールドカジノ 【上級】</v>
      </c>
      <c r="G289" s="32">
        <v>2</v>
      </c>
      <c r="H289" s="20" t="str">
        <f t="shared" si="167"/>
        <v>11106_3-2</v>
      </c>
      <c r="I289" s="31">
        <v>118</v>
      </c>
      <c r="J289" s="26" t="str">
        <f ca="1">VLOOKUP($I289,OFFSET([2]enemies!$A$1,0,0,COUNTA([2]enemies!$A:$A),MATCH(J$1,[2]enemies!$2:$2,0)-MATCH($I$1,[2]enemies!$2:$2,0)+1),MATCH(J$1,[2]enemies!$2:$2,0)-MATCH($I$1,[2]enemies!$2:$2,0)+1,FALSE)</f>
        <v>ゴールドチック</v>
      </c>
      <c r="K289" s="29" t="str">
        <f ca="1">VLOOKUP($I289,OFFSET([2]enemies!$A$1,0,0,COUNTA([2]enemies!$A:$A),MATCH(K$1,[2]enemies!$2:$2,0)-MATCH($I$1,[2]enemies!$2:$2,0)+1),MATCH(K$1,[2]enemies!$2:$2,0)-MATCH($I$1,[2]enemies!$2:$2,0)+1,FALSE)</f>
        <v>yellow</v>
      </c>
      <c r="L289" s="29" t="str">
        <f ca="1">VLOOKUP($I289,OFFSET([3]characters!$A$1,0,0,COUNTA([3]characters!$A:$A),MATCH(L$1,[3]characters!$2:$2,0)-MATCH($I$1,[3]characters!$2:$2,0)+1),MATCH(L$1,[3]characters!$2:$2,0)-MATCH($I$1,[3]characters!$2:$2,0)+1,FALSE)</f>
        <v>Material</v>
      </c>
      <c r="M289" s="28" t="str">
        <f ca="1">VLOOKUP($I289,OFFSET([3]characters!$A$1,0,0,COUNTA([3]characters!$A:$A),MATCH(M$1,[3]characters!$2:$2,0)-MATCH($I$1,[3]characters!$2:$2,0)+2),MATCH(M$1,[3]characters!$2:$2,0)-MATCH($I$1,[3]characters!$2:$2,0)+2,FALSE)</f>
        <v>Unknown</v>
      </c>
      <c r="N289" s="5">
        <f ca="1">VLOOKUP($I289,OFFSET([2]enemies!$A$1,0,0,COUNTA([2]enemies!$A:$A),MATCH(N$1,[2]enemies!$2:$2,0)-MATCH($I$1,[2]enemies!$2:$2,0)+1),MATCH(N$1,[2]enemies!$2:$2,0)-MATCH($I$1,[2]enemies!$2:$2,0)+1,FALSE)</f>
        <v>15</v>
      </c>
      <c r="O289" s="6">
        <v>1</v>
      </c>
      <c r="P289" s="46">
        <v>40.5</v>
      </c>
      <c r="Q289" s="46">
        <v>38.5</v>
      </c>
      <c r="R289" s="6">
        <v>0</v>
      </c>
      <c r="S289" s="5" t="str">
        <f ca="1">VLOOKUP($T289,OFFSET([4]enemy_skill_sets!$B$1,0,0,COUNTA([4]enemy_skill_sets!$B:$B),MATCH(J$1,[4]enemy_skill_sets!$1:$1,0)-MATCH($T$1,[4]enemy_skill_sets!$1:$1,0)+2),MATCH(J$1,[4]enemy_skill_sets!$1:$1,0)-MATCH($T$1,[4]enemy_skill_sets!$1:$1,0)+2,FALSE)</f>
        <v>攻撃力20倍の自爆攻撃！</v>
      </c>
      <c r="T289" s="43">
        <v>11803</v>
      </c>
      <c r="U289" s="7">
        <v>1</v>
      </c>
      <c r="V289" s="7">
        <v>100</v>
      </c>
      <c r="W289" s="7">
        <v>0</v>
      </c>
      <c r="X289" s="26">
        <f ca="1">VLOOKUP($I289,OFFSET([2]enemies!$A$1,0,0,COUNTA([2]enemies!$A:$A),MATCH(X$1,[2]enemies!$2:$2,0)-MATCH($I$1,[2]enemies!$2:$2,0)+1),MATCH(X$1,[2]enemies!$2:$2,0)-MATCH($I$1,[2]enemies!$2:$2,0)+1,FALSE)</f>
        <v>2</v>
      </c>
      <c r="Y289" s="31">
        <v>118</v>
      </c>
      <c r="Z289" s="5" t="str">
        <f ca="1">IFERROR(VLOOKUP($Y289,OFFSET([3]characters!$A$1,0,0,COUNTA([3]characters!$A:$A),MATCH(Z$1,[3]characters!$2:$2,0)-MATCH("character_id",[3]characters!$2:$2,0)+1),MATCH(Z$1,[3]characters!$2:$2,0)-MATCH("character_id",[3]characters!$2:$2,0)+1,FALSE),"")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289" s="5">
        <f ca="1">IFERROR(VLOOKUP($Y289,OFFSET([3]characters!$A$1,0,0,COUNTA([3]characters!$A:$A),MATCH(AA$1,[3]characters!$2:$2,0)-MATCH("character_id",[3]characters!$2:$2,0)+1),MATCH(AA$1,[3]characters!$2:$2,0)-MATCH("character_id",[3]characters!$2:$2,0)+1,FALSE),"")</f>
        <v>4</v>
      </c>
      <c r="AB289" s="5" t="str">
        <f ca="1">IFERROR(VLOOKUP($Y289,OFFSET([3]characters!$A$1,0,0,COUNTA([3]characters!$A:$A),MATCH(AB$1,[3]characters!$2:$2,0)-MATCH("character_id",[3]characters!$2:$2,0)+1),MATCH(AB$1,[3]characters!$2:$2,0)-MATCH("character_id",[3]characters!$2:$2,0)+1,FALSE),"")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89" s="8">
        <v>1</v>
      </c>
      <c r="AD289" s="34">
        <f t="shared" ca="1" si="168"/>
        <v>4</v>
      </c>
      <c r="AE289" s="9">
        <v>10</v>
      </c>
      <c r="AF289" s="8">
        <v>0</v>
      </c>
      <c r="AG289" s="8">
        <v>0</v>
      </c>
      <c r="AH289" s="8">
        <v>0</v>
      </c>
      <c r="AI289" s="8">
        <v>0</v>
      </c>
      <c r="AJ289" s="8">
        <v>1</v>
      </c>
    </row>
    <row r="290" spans="1:36" ht="21" customHeight="1">
      <c r="A290" s="21" t="str">
        <f t="shared" ref="A290:A293" ca="1" si="209">B290&amp;"_"&amp;C290&amp;"-"&amp;G290&amp;"/"&amp;I290&amp;"&lt;lv"&amp;O290&amp;"&gt;s"&amp;X290</f>
        <v>11106_3-2/63&lt;lv32&gt;s2</v>
      </c>
      <c r="B290" s="8">
        <v>11106</v>
      </c>
      <c r="C290" s="32">
        <v>3</v>
      </c>
      <c r="D290" s="20" t="str">
        <f t="shared" ref="D290:D293" si="210">B290&amp;"_"&amp;C290</f>
        <v>11106_3</v>
      </c>
      <c r="E290" s="5" t="str">
        <f ca="1">VLOOKUP($B290,OFFSET([1]quests!$A$1,0,0,COUNTA([1]quests!$A:$A),MATCH(E$1,[1]quests!$1:$1,0)-MATCH($B$1,[1]quests!$1:$1,0)+1),MATCH(E$1,[1]quests!$1:$1,0)-MATCH($B$1,[1]quests!$1:$1,0)+1,FALSE)</f>
        <v>【キャンペーン限定】 ゴールドカジノ</v>
      </c>
      <c r="F290" s="5" t="str">
        <f ca="1">VLOOKUP($D290,OFFSET([1]stages!$A$1,0,0,COUNTA([1]stages!$A:$A),MATCH(F$1,[1]stages!$2:$2,0)-MATCH($D$1,[1]stages!$2:$2,0)+1),MATCH(F$1,[1]stages!$2:$2,0)-MATCH($D$1,[1]stages!$2:$2,0)+1,FALSE)</f>
        <v>ゴールドカジノ 【上級】</v>
      </c>
      <c r="G290" s="32">
        <v>2</v>
      </c>
      <c r="H290" s="20" t="str">
        <f t="shared" ref="H290:H293" si="211">B290&amp;"_"&amp;C290&amp;"-"&amp;G290</f>
        <v>11106_3-2</v>
      </c>
      <c r="I290" s="41">
        <v>63</v>
      </c>
      <c r="J290" s="26" t="str">
        <f ca="1">VLOOKUP($I290,OFFSET([2]enemies!$A$1,0,0,COUNTA([2]enemies!$A:$A),MATCH(J$1,[2]enemies!$2:$2,0)-MATCH($I$1,[2]enemies!$2:$2,0)+1),MATCH(J$1,[2]enemies!$2:$2,0)-MATCH($I$1,[2]enemies!$2:$2,0)+1,FALSE)</f>
        <v>トニー</v>
      </c>
      <c r="K290" s="29" t="str">
        <f ca="1">VLOOKUP($I290,OFFSET([2]enemies!$A$1,0,0,COUNTA([2]enemies!$A:$A),MATCH(K$1,[2]enemies!$2:$2,0)-MATCH($I$1,[2]enemies!$2:$2,0)+1),MATCH(K$1,[2]enemies!$2:$2,0)-MATCH($I$1,[2]enemies!$2:$2,0)+1,FALSE)</f>
        <v>yellow</v>
      </c>
      <c r="L290" s="29" t="str">
        <f ca="1">VLOOKUP($I290,OFFSET([3]characters!$A$1,0,0,COUNTA([3]characters!$A:$A),MATCH(L$1,[3]characters!$2:$2,0)-MATCH($I$1,[3]characters!$2:$2,0)+1),MATCH(L$1,[3]characters!$2:$2,0)-MATCH($I$1,[3]characters!$2:$2,0)+1,FALSE)</f>
        <v>Drop1N</v>
      </c>
      <c r="M290" s="28" t="str">
        <f ca="1">VLOOKUP($I290,OFFSET([3]characters!$A$1,0,0,COUNTA([3]characters!$A:$A),MATCH(M$1,[3]characters!$2:$2,0)-MATCH($I$1,[3]characters!$2:$2,0)+2),MATCH(M$1,[3]characters!$2:$2,0)-MATCH($I$1,[3]characters!$2:$2,0)+2,FALSE)</f>
        <v>アニマル</v>
      </c>
      <c r="N290" s="5">
        <f ca="1">VLOOKUP($I290,OFFSET([2]enemies!$A$1,0,0,COUNTA([2]enemies!$A:$A),MATCH(N$1,[2]enemies!$2:$2,0)-MATCH($I$1,[2]enemies!$2:$2,0)+1),MATCH(N$1,[2]enemies!$2:$2,0)-MATCH($I$1,[2]enemies!$2:$2,0)+1,FALSE)</f>
        <v>15</v>
      </c>
      <c r="O290" s="6">
        <v>32</v>
      </c>
      <c r="P290" s="46">
        <v>1</v>
      </c>
      <c r="Q290" s="46">
        <v>1</v>
      </c>
      <c r="R290" s="6">
        <v>0</v>
      </c>
      <c r="S290" s="5" t="str">
        <f ca="1">VLOOKUP($T290,OFFSET([4]enemy_skill_sets!$B$1,0,0,COUNTA([4]enemy_skill_sets!$B:$B),MATCH(J$1,[4]enemy_skill_sets!$1:$1,0)-MATCH($T$1,[4]enemy_skill_sets!$1:$1,0)+2),MATCH(J$1,[4]enemy_skill_sets!$1:$1,0)-MATCH($T$1,[4]enemy_skill_sets!$1:$1,0)+2,FALSE)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290" s="5">
        <f ca="1">VLOOKUP($I290,OFFSET([2]enemies!$A$1,0,0,COUNTA([2]enemies!$A:$A),MATCH(T$1,[2]enemies!$2:$2,0)-MATCH($I$1,[2]enemies!$2:$2,0)+1),MATCH(T$1,[2]enemies!$2:$2,0)-MATCH($I$1,[2]enemies!$2:$2,0)+1,FALSE)</f>
        <v>63</v>
      </c>
      <c r="U290" s="40">
        <v>0</v>
      </c>
      <c r="V290" s="7">
        <v>100</v>
      </c>
      <c r="W290" s="40">
        <v>0</v>
      </c>
      <c r="X290" s="26">
        <f ca="1">VLOOKUP($I290,OFFSET([2]enemies!$A$1,0,0,COUNTA([2]enemies!$A:$A),MATCH(X$1,[2]enemies!$2:$2,0)-MATCH($I$1,[2]enemies!$2:$2,0)+1),MATCH(X$1,[2]enemies!$2:$2,0)-MATCH($I$1,[2]enemies!$2:$2,0)+1,FALSE)</f>
        <v>2</v>
      </c>
      <c r="Y290" s="41">
        <v>63</v>
      </c>
      <c r="Z290" s="5" t="str">
        <f ca="1">IFERROR(VLOOKUP($Y290,OFFSET([3]characters!$A$1,0,0,COUNTA([3]characters!$A:$A),MATCH(Z$1,[3]characters!$2:$2,0)-MATCH("character_id",[3]characters!$2:$2,0)+1),MATCH(Z$1,[3]characters!$2:$2,0)-MATCH("character_id",[3]characters!$2:$2,0)+1,FALSE),"")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290" s="5">
        <f ca="1">IFERROR(VLOOKUP($Y290,OFFSET([3]characters!$A$1,0,0,COUNTA([3]characters!$A:$A),MATCH(AA$1,[3]characters!$2:$2,0)-MATCH("character_id",[3]characters!$2:$2,0)+1),MATCH(AA$1,[3]characters!$2:$2,0)-MATCH("character_id",[3]characters!$2:$2,0)+1,FALSE),"")</f>
        <v>2</v>
      </c>
      <c r="AB290" s="5" t="str">
        <f ca="1">IFERROR(VLOOKUP($Y290,OFFSET([3]characters!$A$1,0,0,COUNTA([3]characters!$A:$A),MATCH(AB$1,[3]characters!$2:$2,0)-MATCH("character_id",[3]characters!$2:$2,0)+1),MATCH(AB$1,[3]characters!$2:$2,0)-MATCH("character_id",[3]characters!$2:$2,0)+1,FALSE),"")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90" s="35">
        <v>1</v>
      </c>
      <c r="AD290" s="35">
        <f t="shared" ref="AD290:AD293" ca="1" si="212">AA290</f>
        <v>2</v>
      </c>
      <c r="AE290" s="9">
        <v>0</v>
      </c>
      <c r="AF290" s="35">
        <v>0</v>
      </c>
      <c r="AG290" s="35">
        <v>0</v>
      </c>
      <c r="AH290" s="35">
        <v>0</v>
      </c>
      <c r="AI290" s="35">
        <v>0</v>
      </c>
      <c r="AJ290" s="35">
        <v>1</v>
      </c>
    </row>
    <row r="291" spans="1:36" ht="21" customHeight="1">
      <c r="A291" s="21" t="str">
        <f t="shared" ca="1" si="209"/>
        <v>11106_3-2/61&lt;lv32&gt;s2</v>
      </c>
      <c r="B291" s="8">
        <v>11106</v>
      </c>
      <c r="C291" s="32">
        <v>3</v>
      </c>
      <c r="D291" s="20" t="str">
        <f t="shared" si="210"/>
        <v>11106_3</v>
      </c>
      <c r="E291" s="5" t="str">
        <f ca="1">VLOOKUP($B291,OFFSET([1]quests!$A$1,0,0,COUNTA([1]quests!$A:$A),MATCH(E$1,[1]quests!$1:$1,0)-MATCH($B$1,[1]quests!$1:$1,0)+1),MATCH(E$1,[1]quests!$1:$1,0)-MATCH($B$1,[1]quests!$1:$1,0)+1,FALSE)</f>
        <v>【キャンペーン限定】 ゴールドカジノ</v>
      </c>
      <c r="F291" s="5" t="str">
        <f ca="1">VLOOKUP($D291,OFFSET([1]stages!$A$1,0,0,COUNTA([1]stages!$A:$A),MATCH(F$1,[1]stages!$2:$2,0)-MATCH($D$1,[1]stages!$2:$2,0)+1),MATCH(F$1,[1]stages!$2:$2,0)-MATCH($D$1,[1]stages!$2:$2,0)+1,FALSE)</f>
        <v>ゴールドカジノ 【上級】</v>
      </c>
      <c r="G291" s="32">
        <v>2</v>
      </c>
      <c r="H291" s="20" t="str">
        <f t="shared" si="211"/>
        <v>11106_3-2</v>
      </c>
      <c r="I291" s="41">
        <v>61</v>
      </c>
      <c r="J291" s="26" t="str">
        <f ca="1">VLOOKUP($I291,OFFSET([2]enemies!$A$1,0,0,COUNTA([2]enemies!$A:$A),MATCH(J$1,[2]enemies!$2:$2,0)-MATCH($I$1,[2]enemies!$2:$2,0)+1),MATCH(J$1,[2]enemies!$2:$2,0)-MATCH($I$1,[2]enemies!$2:$2,0)+1,FALSE)</f>
        <v>クロウ</v>
      </c>
      <c r="K291" s="29" t="str">
        <f ca="1">VLOOKUP($I291,OFFSET([2]enemies!$A$1,0,0,COUNTA([2]enemies!$A:$A),MATCH(K$1,[2]enemies!$2:$2,0)-MATCH($I$1,[2]enemies!$2:$2,0)+1),MATCH(K$1,[2]enemies!$2:$2,0)-MATCH($I$1,[2]enemies!$2:$2,0)+1,FALSE)</f>
        <v>blue</v>
      </c>
      <c r="L291" s="29" t="str">
        <f ca="1">VLOOKUP($I291,OFFSET([3]characters!$A$1,0,0,COUNTA([3]characters!$A:$A),MATCH(L$1,[3]characters!$2:$2,0)-MATCH($I$1,[3]characters!$2:$2,0)+1),MATCH(L$1,[3]characters!$2:$2,0)-MATCH($I$1,[3]characters!$2:$2,0)+1,FALSE)</f>
        <v>Drop1N</v>
      </c>
      <c r="M291" s="28" t="str">
        <f ca="1">VLOOKUP($I291,OFFSET([3]characters!$A$1,0,0,COUNTA([3]characters!$A:$A),MATCH(M$1,[3]characters!$2:$2,0)-MATCH($I$1,[3]characters!$2:$2,0)+2),MATCH(M$1,[3]characters!$2:$2,0)-MATCH($I$1,[3]characters!$2:$2,0)+2,FALSE)</f>
        <v>アニマル</v>
      </c>
      <c r="N291" s="5">
        <f ca="1">VLOOKUP($I291,OFFSET([2]enemies!$A$1,0,0,COUNTA([2]enemies!$A:$A),MATCH(N$1,[2]enemies!$2:$2,0)-MATCH($I$1,[2]enemies!$2:$2,0)+1),MATCH(N$1,[2]enemies!$2:$2,0)-MATCH($I$1,[2]enemies!$2:$2,0)+1,FALSE)</f>
        <v>15</v>
      </c>
      <c r="O291" s="6">
        <v>32</v>
      </c>
      <c r="P291" s="46">
        <v>1</v>
      </c>
      <c r="Q291" s="46">
        <v>1</v>
      </c>
      <c r="R291" s="6">
        <v>0</v>
      </c>
      <c r="S291" s="5" t="str">
        <f ca="1">VLOOKUP($T291,OFFSET([4]enemy_skill_sets!$B$1,0,0,COUNTA([4]enemy_skill_sets!$B:$B),MATCH(J$1,[4]enemy_skill_sets!$1:$1,0)-MATCH($T$1,[4]enemy_skill_sets!$1:$1,0)+2),MATCH(J$1,[4]enemy_skill_sets!$1:$1,0)-MATCH($T$1,[4]enemy_skill_sets!$1:$1,0)+2,FALSE)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291" s="5">
        <f ca="1">VLOOKUP($I291,OFFSET([2]enemies!$A$1,0,0,COUNTA([2]enemies!$A:$A),MATCH(T$1,[2]enemies!$2:$2,0)-MATCH($I$1,[2]enemies!$2:$2,0)+1),MATCH(T$1,[2]enemies!$2:$2,0)-MATCH($I$1,[2]enemies!$2:$2,0)+1,FALSE)</f>
        <v>61</v>
      </c>
      <c r="U291" s="40">
        <v>0</v>
      </c>
      <c r="V291" s="7">
        <v>100</v>
      </c>
      <c r="W291" s="40">
        <v>0</v>
      </c>
      <c r="X291" s="26">
        <f ca="1">VLOOKUP($I291,OFFSET([2]enemies!$A$1,0,0,COUNTA([2]enemies!$A:$A),MATCH(X$1,[2]enemies!$2:$2,0)-MATCH($I$1,[2]enemies!$2:$2,0)+1),MATCH(X$1,[2]enemies!$2:$2,0)-MATCH($I$1,[2]enemies!$2:$2,0)+1,FALSE)</f>
        <v>2</v>
      </c>
      <c r="Y291" s="41">
        <v>61</v>
      </c>
      <c r="Z291" s="5" t="str">
        <f ca="1">IFERROR(VLOOKUP($Y291,OFFSET([3]characters!$A$1,0,0,COUNTA([3]characters!$A:$A),MATCH(Z$1,[3]characters!$2:$2,0)-MATCH("character_id",[3]characters!$2:$2,0)+1),MATCH(Z$1,[3]characters!$2:$2,0)-MATCH("character_id",[3]characters!$2:$2,0)+1,FALSE),"")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291" s="5">
        <f ca="1">IFERROR(VLOOKUP($Y291,OFFSET([3]characters!$A$1,0,0,COUNTA([3]characters!$A:$A),MATCH(AA$1,[3]characters!$2:$2,0)-MATCH("character_id",[3]characters!$2:$2,0)+1),MATCH(AA$1,[3]characters!$2:$2,0)-MATCH("character_id",[3]characters!$2:$2,0)+1,FALSE),"")</f>
        <v>2</v>
      </c>
      <c r="AB291" s="5" t="str">
        <f ca="1">IFERROR(VLOOKUP($Y291,OFFSET([3]characters!$A$1,0,0,COUNTA([3]characters!$A:$A),MATCH(AB$1,[3]characters!$2:$2,0)-MATCH("character_id",[3]characters!$2:$2,0)+1),MATCH(AB$1,[3]characters!$2:$2,0)-MATCH("character_id",[3]characters!$2:$2,0)+1,FALSE),"")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91" s="35">
        <v>1</v>
      </c>
      <c r="AD291" s="35">
        <f t="shared" ca="1" si="212"/>
        <v>2</v>
      </c>
      <c r="AE291" s="9">
        <v>0</v>
      </c>
      <c r="AF291" s="35">
        <v>0</v>
      </c>
      <c r="AG291" s="35">
        <v>0</v>
      </c>
      <c r="AH291" s="35">
        <v>0</v>
      </c>
      <c r="AI291" s="35">
        <v>0</v>
      </c>
      <c r="AJ291" s="35">
        <v>1</v>
      </c>
    </row>
    <row r="292" spans="1:36" ht="21" customHeight="1">
      <c r="A292" s="21" t="str">
        <f t="shared" ca="1" si="209"/>
        <v>11106_3-2/57&lt;lv32&gt;s2</v>
      </c>
      <c r="B292" s="8">
        <v>11106</v>
      </c>
      <c r="C292" s="32">
        <v>3</v>
      </c>
      <c r="D292" s="20" t="str">
        <f t="shared" si="210"/>
        <v>11106_3</v>
      </c>
      <c r="E292" s="5" t="str">
        <f ca="1">VLOOKUP($B292,OFFSET([1]quests!$A$1,0,0,COUNTA([1]quests!$A:$A),MATCH(E$1,[1]quests!$1:$1,0)-MATCH($B$1,[1]quests!$1:$1,0)+1),MATCH(E$1,[1]quests!$1:$1,0)-MATCH($B$1,[1]quests!$1:$1,0)+1,FALSE)</f>
        <v>【キャンペーン限定】 ゴールドカジノ</v>
      </c>
      <c r="F292" s="5" t="str">
        <f ca="1">VLOOKUP($D292,OFFSET([1]stages!$A$1,0,0,COUNTA([1]stages!$A:$A),MATCH(F$1,[1]stages!$2:$2,0)-MATCH($D$1,[1]stages!$2:$2,0)+1),MATCH(F$1,[1]stages!$2:$2,0)-MATCH($D$1,[1]stages!$2:$2,0)+1,FALSE)</f>
        <v>ゴールドカジノ 【上級】</v>
      </c>
      <c r="G292" s="32">
        <v>2</v>
      </c>
      <c r="H292" s="20" t="str">
        <f t="shared" si="211"/>
        <v>11106_3-2</v>
      </c>
      <c r="I292" s="41">
        <v>57</v>
      </c>
      <c r="J292" s="26" t="str">
        <f ca="1">VLOOKUP($I292,OFFSET([2]enemies!$A$1,0,0,COUNTA([2]enemies!$A:$A),MATCH(J$1,[2]enemies!$2:$2,0)-MATCH($I$1,[2]enemies!$2:$2,0)+1),MATCH(J$1,[2]enemies!$2:$2,0)-MATCH($I$1,[2]enemies!$2:$2,0)+1,FALSE)</f>
        <v>チェン・リー</v>
      </c>
      <c r="K292" s="29" t="str">
        <f ca="1">VLOOKUP($I292,OFFSET([2]enemies!$A$1,0,0,COUNTA([2]enemies!$A:$A),MATCH(K$1,[2]enemies!$2:$2,0)-MATCH($I$1,[2]enemies!$2:$2,0)+1),MATCH(K$1,[2]enemies!$2:$2,0)-MATCH($I$1,[2]enemies!$2:$2,0)+1,FALSE)</f>
        <v>red</v>
      </c>
      <c r="L292" s="29" t="str">
        <f ca="1">VLOOKUP($I292,OFFSET([3]characters!$A$1,0,0,COUNTA([3]characters!$A:$A),MATCH(L$1,[3]characters!$2:$2,0)-MATCH($I$1,[3]characters!$2:$2,0)+1),MATCH(L$1,[3]characters!$2:$2,0)-MATCH($I$1,[3]characters!$2:$2,0)+1,FALSE)</f>
        <v>Drop1N</v>
      </c>
      <c r="M292" s="28" t="str">
        <f ca="1">VLOOKUP($I292,OFFSET([3]characters!$A$1,0,0,COUNTA([3]characters!$A:$A),MATCH(M$1,[3]characters!$2:$2,0)-MATCH($I$1,[3]characters!$2:$2,0)+2),MATCH(M$1,[3]characters!$2:$2,0)-MATCH($I$1,[3]characters!$2:$2,0)+2,FALSE)</f>
        <v>アニマル</v>
      </c>
      <c r="N292" s="5">
        <f ca="1">VLOOKUP($I292,OFFSET([2]enemies!$A$1,0,0,COUNTA([2]enemies!$A:$A),MATCH(N$1,[2]enemies!$2:$2,0)-MATCH($I$1,[2]enemies!$2:$2,0)+1),MATCH(N$1,[2]enemies!$2:$2,0)-MATCH($I$1,[2]enemies!$2:$2,0)+1,FALSE)</f>
        <v>15</v>
      </c>
      <c r="O292" s="6">
        <v>32</v>
      </c>
      <c r="P292" s="46">
        <v>1</v>
      </c>
      <c r="Q292" s="46">
        <v>1</v>
      </c>
      <c r="R292" s="6">
        <v>0</v>
      </c>
      <c r="S292" s="5" t="str">
        <f ca="1">VLOOKUP($T292,OFFSET([4]enemy_skill_sets!$B$1,0,0,COUNTA([4]enemy_skill_sets!$B:$B),MATCH(J$1,[4]enemy_skill_sets!$1:$1,0)-MATCH($T$1,[4]enemy_skill_sets!$1:$1,0)+2),MATCH(J$1,[4]enemy_skill_sets!$1:$1,0)-MATCH($T$1,[4]enemy_skill_sets!$1:$1,0)+2,FALSE)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292" s="5">
        <f ca="1">VLOOKUP($I292,OFFSET([2]enemies!$A$1,0,0,COUNTA([2]enemies!$A:$A),MATCH(T$1,[2]enemies!$2:$2,0)-MATCH($I$1,[2]enemies!$2:$2,0)+1),MATCH(T$1,[2]enemies!$2:$2,0)-MATCH($I$1,[2]enemies!$2:$2,0)+1,FALSE)</f>
        <v>57</v>
      </c>
      <c r="U292" s="40">
        <v>0</v>
      </c>
      <c r="V292" s="7">
        <v>100</v>
      </c>
      <c r="W292" s="40">
        <v>0</v>
      </c>
      <c r="X292" s="26">
        <f ca="1">VLOOKUP($I292,OFFSET([2]enemies!$A$1,0,0,COUNTA([2]enemies!$A:$A),MATCH(X$1,[2]enemies!$2:$2,0)-MATCH($I$1,[2]enemies!$2:$2,0)+1),MATCH(X$1,[2]enemies!$2:$2,0)-MATCH($I$1,[2]enemies!$2:$2,0)+1,FALSE)</f>
        <v>2</v>
      </c>
      <c r="Y292" s="41">
        <v>57</v>
      </c>
      <c r="Z292" s="5" t="str">
        <f ca="1">IFERROR(VLOOKUP($Y292,OFFSET([3]characters!$A$1,0,0,COUNTA([3]characters!$A:$A),MATCH(Z$1,[3]characters!$2:$2,0)-MATCH("character_id",[3]characters!$2:$2,0)+1),MATCH(Z$1,[3]characters!$2:$2,0)-MATCH("character_id",[3]characters!$2:$2,0)+1,FALSE),"")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292" s="5">
        <f ca="1">IFERROR(VLOOKUP($Y292,OFFSET([3]characters!$A$1,0,0,COUNTA([3]characters!$A:$A),MATCH(AA$1,[3]characters!$2:$2,0)-MATCH("character_id",[3]characters!$2:$2,0)+1),MATCH(AA$1,[3]characters!$2:$2,0)-MATCH("character_id",[3]characters!$2:$2,0)+1,FALSE),"")</f>
        <v>2</v>
      </c>
      <c r="AB292" s="5" t="str">
        <f ca="1">IFERROR(VLOOKUP($Y292,OFFSET([3]characters!$A$1,0,0,COUNTA([3]characters!$A:$A),MATCH(AB$1,[3]characters!$2:$2,0)-MATCH("character_id",[3]characters!$2:$2,0)+1),MATCH(AB$1,[3]characters!$2:$2,0)-MATCH("character_id",[3]characters!$2:$2,0)+1,FALSE),"")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92" s="35">
        <v>1</v>
      </c>
      <c r="AD292" s="35">
        <f t="shared" ca="1" si="212"/>
        <v>2</v>
      </c>
      <c r="AE292" s="9">
        <v>0</v>
      </c>
      <c r="AF292" s="35">
        <v>0</v>
      </c>
      <c r="AG292" s="35">
        <v>0</v>
      </c>
      <c r="AH292" s="35">
        <v>0</v>
      </c>
      <c r="AI292" s="35">
        <v>0</v>
      </c>
      <c r="AJ292" s="35">
        <v>1</v>
      </c>
    </row>
    <row r="293" spans="1:36" ht="21" customHeight="1">
      <c r="A293" s="21" t="str">
        <f t="shared" ca="1" si="209"/>
        <v>11106_3-2/59&lt;lv32&gt;s2</v>
      </c>
      <c r="B293" s="8">
        <v>11106</v>
      </c>
      <c r="C293" s="32">
        <v>3</v>
      </c>
      <c r="D293" s="20" t="str">
        <f t="shared" si="210"/>
        <v>11106_3</v>
      </c>
      <c r="E293" s="5" t="str">
        <f ca="1">VLOOKUP($B293,OFFSET([1]quests!$A$1,0,0,COUNTA([1]quests!$A:$A),MATCH(E$1,[1]quests!$1:$1,0)-MATCH($B$1,[1]quests!$1:$1,0)+1),MATCH(E$1,[1]quests!$1:$1,0)-MATCH($B$1,[1]quests!$1:$1,0)+1,FALSE)</f>
        <v>【キャンペーン限定】 ゴールドカジノ</v>
      </c>
      <c r="F293" s="5" t="str">
        <f ca="1">VLOOKUP($D293,OFFSET([1]stages!$A$1,0,0,COUNTA([1]stages!$A:$A),MATCH(F$1,[1]stages!$2:$2,0)-MATCH($D$1,[1]stages!$2:$2,0)+1),MATCH(F$1,[1]stages!$2:$2,0)-MATCH($D$1,[1]stages!$2:$2,0)+1,FALSE)</f>
        <v>ゴールドカジノ 【上級】</v>
      </c>
      <c r="G293" s="32">
        <v>2</v>
      </c>
      <c r="H293" s="20" t="str">
        <f t="shared" si="211"/>
        <v>11106_3-2</v>
      </c>
      <c r="I293" s="41">
        <v>59</v>
      </c>
      <c r="J293" s="26" t="str">
        <f ca="1">VLOOKUP($I293,OFFSET([2]enemies!$A$1,0,0,COUNTA([2]enemies!$A:$A),MATCH(J$1,[2]enemies!$2:$2,0)-MATCH($I$1,[2]enemies!$2:$2,0)+1),MATCH(J$1,[2]enemies!$2:$2,0)-MATCH($I$1,[2]enemies!$2:$2,0)+1,FALSE)</f>
        <v>マーチ</v>
      </c>
      <c r="K293" s="29" t="str">
        <f ca="1">VLOOKUP($I293,OFFSET([2]enemies!$A$1,0,0,COUNTA([2]enemies!$A:$A),MATCH(K$1,[2]enemies!$2:$2,0)-MATCH($I$1,[2]enemies!$2:$2,0)+1),MATCH(K$1,[2]enemies!$2:$2,0)-MATCH($I$1,[2]enemies!$2:$2,0)+1,FALSE)</f>
        <v>green</v>
      </c>
      <c r="L293" s="29" t="str">
        <f ca="1">VLOOKUP($I293,OFFSET([3]characters!$A$1,0,0,COUNTA([3]characters!$A:$A),MATCH(L$1,[3]characters!$2:$2,0)-MATCH($I$1,[3]characters!$2:$2,0)+1),MATCH(L$1,[3]characters!$2:$2,0)-MATCH($I$1,[3]characters!$2:$2,0)+1,FALSE)</f>
        <v>Drop1N</v>
      </c>
      <c r="M293" s="28" t="str">
        <f ca="1">VLOOKUP($I293,OFFSET([3]characters!$A$1,0,0,COUNTA([3]characters!$A:$A),MATCH(M$1,[3]characters!$2:$2,0)-MATCH($I$1,[3]characters!$2:$2,0)+2),MATCH(M$1,[3]characters!$2:$2,0)-MATCH($I$1,[3]characters!$2:$2,0)+2,FALSE)</f>
        <v>アニマル</v>
      </c>
      <c r="N293" s="5">
        <f ca="1">VLOOKUP($I293,OFFSET([2]enemies!$A$1,0,0,COUNTA([2]enemies!$A:$A),MATCH(N$1,[2]enemies!$2:$2,0)-MATCH($I$1,[2]enemies!$2:$2,0)+1),MATCH(N$1,[2]enemies!$2:$2,0)-MATCH($I$1,[2]enemies!$2:$2,0)+1,FALSE)</f>
        <v>15</v>
      </c>
      <c r="O293" s="6">
        <v>32</v>
      </c>
      <c r="P293" s="46">
        <v>1</v>
      </c>
      <c r="Q293" s="46">
        <v>1</v>
      </c>
      <c r="R293" s="6">
        <v>0</v>
      </c>
      <c r="S293" s="5" t="str">
        <f ca="1">VLOOKUP($T293,OFFSET([4]enemy_skill_sets!$B$1,0,0,COUNTA([4]enemy_skill_sets!$B:$B),MATCH(J$1,[4]enemy_skill_sets!$1:$1,0)-MATCH($T$1,[4]enemy_skill_sets!$1:$1,0)+2),MATCH(J$1,[4]enemy_skill_sets!$1:$1,0)-MATCH($T$1,[4]enemy_skill_sets!$1:$1,0)+2,FALSE)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293" s="5">
        <f ca="1">VLOOKUP($I293,OFFSET([2]enemies!$A$1,0,0,COUNTA([2]enemies!$A:$A),MATCH(T$1,[2]enemies!$2:$2,0)-MATCH($I$1,[2]enemies!$2:$2,0)+1),MATCH(T$1,[2]enemies!$2:$2,0)-MATCH($I$1,[2]enemies!$2:$2,0)+1,FALSE)</f>
        <v>59</v>
      </c>
      <c r="U293" s="40">
        <v>0</v>
      </c>
      <c r="V293" s="7">
        <v>100</v>
      </c>
      <c r="W293" s="40">
        <v>0</v>
      </c>
      <c r="X293" s="26">
        <f ca="1">VLOOKUP($I293,OFFSET([2]enemies!$A$1,0,0,COUNTA([2]enemies!$A:$A),MATCH(X$1,[2]enemies!$2:$2,0)-MATCH($I$1,[2]enemies!$2:$2,0)+1),MATCH(X$1,[2]enemies!$2:$2,0)-MATCH($I$1,[2]enemies!$2:$2,0)+1,FALSE)</f>
        <v>2</v>
      </c>
      <c r="Y293" s="41">
        <v>59</v>
      </c>
      <c r="Z293" s="5" t="str">
        <f ca="1">IFERROR(VLOOKUP($Y293,OFFSET([3]characters!$A$1,0,0,COUNTA([3]characters!$A:$A),MATCH(Z$1,[3]characters!$2:$2,0)-MATCH("character_id",[3]characters!$2:$2,0)+1),MATCH(Z$1,[3]characters!$2:$2,0)-MATCH("character_id",[3]characters!$2:$2,0)+1,FALSE),"")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293" s="5">
        <f ca="1">IFERROR(VLOOKUP($Y293,OFFSET([3]characters!$A$1,0,0,COUNTA([3]characters!$A:$A),MATCH(AA$1,[3]characters!$2:$2,0)-MATCH("character_id",[3]characters!$2:$2,0)+1),MATCH(AA$1,[3]characters!$2:$2,0)-MATCH("character_id",[3]characters!$2:$2,0)+1,FALSE),"")</f>
        <v>2</v>
      </c>
      <c r="AB293" s="5" t="str">
        <f ca="1">IFERROR(VLOOKUP($Y293,OFFSET([3]characters!$A$1,0,0,COUNTA([3]characters!$A:$A),MATCH(AB$1,[3]characters!$2:$2,0)-MATCH("character_id",[3]characters!$2:$2,0)+1),MATCH(AB$1,[3]characters!$2:$2,0)-MATCH("character_id",[3]characters!$2:$2,0)+1,FALSE),"")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93" s="35">
        <v>1</v>
      </c>
      <c r="AD293" s="35">
        <f t="shared" ca="1" si="212"/>
        <v>2</v>
      </c>
      <c r="AE293" s="9">
        <v>0</v>
      </c>
      <c r="AF293" s="35">
        <v>0</v>
      </c>
      <c r="AG293" s="35">
        <v>0</v>
      </c>
      <c r="AH293" s="35">
        <v>0</v>
      </c>
      <c r="AI293" s="35">
        <v>0</v>
      </c>
      <c r="AJ293" s="35">
        <v>1</v>
      </c>
    </row>
    <row r="294" spans="1:36" ht="21" customHeight="1">
      <c r="A294" s="21" t="str">
        <f t="shared" ca="1" si="165"/>
        <v>11106_3-3/118&lt;lv2&gt;s2</v>
      </c>
      <c r="B294" s="8">
        <v>11106</v>
      </c>
      <c r="C294" s="32">
        <v>3</v>
      </c>
      <c r="D294" s="2" t="str">
        <f t="shared" si="166"/>
        <v>11106_3</v>
      </c>
      <c r="E294" s="5" t="str">
        <f ca="1">VLOOKUP($B294,OFFSET([1]quests!$A$1,0,0,COUNTA([1]quests!$A:$A),MATCH(E$1,[1]quests!$1:$1,0)-MATCH($B$1,[1]quests!$1:$1,0)+1),MATCH(E$1,[1]quests!$1:$1,0)-MATCH($B$1,[1]quests!$1:$1,0)+1,FALSE)</f>
        <v>【キャンペーン限定】 ゴールドカジノ</v>
      </c>
      <c r="F294" s="5" t="str">
        <f ca="1">VLOOKUP($D294,OFFSET([1]stages!$A$1,0,0,COUNTA([1]stages!$A:$A),MATCH(F$1,[1]stages!$2:$2,0)-MATCH($D$1,[1]stages!$2:$2,0)+1),MATCH(F$1,[1]stages!$2:$2,0)-MATCH($D$1,[1]stages!$2:$2,0)+1,FALSE)</f>
        <v>ゴールドカジノ 【上級】</v>
      </c>
      <c r="G294" s="32">
        <v>3</v>
      </c>
      <c r="H294" s="20" t="str">
        <f t="shared" si="167"/>
        <v>11106_3-3</v>
      </c>
      <c r="I294" s="31">
        <v>118</v>
      </c>
      <c r="J294" s="26" t="str">
        <f ca="1">VLOOKUP($I294,OFFSET([2]enemies!$A$1,0,0,COUNTA([2]enemies!$A:$A),MATCH(J$1,[2]enemies!$2:$2,0)-MATCH($I$1,[2]enemies!$2:$2,0)+1),MATCH(J$1,[2]enemies!$2:$2,0)-MATCH($I$1,[2]enemies!$2:$2,0)+1,FALSE)</f>
        <v>ゴールドチック</v>
      </c>
      <c r="K294" s="29" t="str">
        <f ca="1">VLOOKUP($I294,OFFSET([2]enemies!$A$1,0,0,COUNTA([2]enemies!$A:$A),MATCH(K$1,[2]enemies!$2:$2,0)-MATCH($I$1,[2]enemies!$2:$2,0)+1),MATCH(K$1,[2]enemies!$2:$2,0)-MATCH($I$1,[2]enemies!$2:$2,0)+1,FALSE)</f>
        <v>yellow</v>
      </c>
      <c r="L294" s="29" t="str">
        <f ca="1">VLOOKUP($I294,OFFSET([3]characters!$A$1,0,0,COUNTA([3]characters!$A:$A),MATCH(L$1,[3]characters!$2:$2,0)-MATCH($I$1,[3]characters!$2:$2,0)+1),MATCH(L$1,[3]characters!$2:$2,0)-MATCH($I$1,[3]characters!$2:$2,0)+1,FALSE)</f>
        <v>Material</v>
      </c>
      <c r="M294" s="28" t="str">
        <f ca="1">VLOOKUP($I294,OFFSET([3]characters!$A$1,0,0,COUNTA([3]characters!$A:$A),MATCH(M$1,[3]characters!$2:$2,0)-MATCH($I$1,[3]characters!$2:$2,0)+2),MATCH(M$1,[3]characters!$2:$2,0)-MATCH($I$1,[3]characters!$2:$2,0)+2,FALSE)</f>
        <v>Unknown</v>
      </c>
      <c r="N294" s="5">
        <f ca="1">VLOOKUP($I294,OFFSET([2]enemies!$A$1,0,0,COUNTA([2]enemies!$A:$A),MATCH(N$1,[2]enemies!$2:$2,0)-MATCH($I$1,[2]enemies!$2:$2,0)+1),MATCH(N$1,[2]enemies!$2:$2,0)-MATCH($I$1,[2]enemies!$2:$2,0)+1,FALSE)</f>
        <v>15</v>
      </c>
      <c r="O294" s="6">
        <v>2</v>
      </c>
      <c r="P294" s="46">
        <v>28.8</v>
      </c>
      <c r="Q294" s="46">
        <v>38.5</v>
      </c>
      <c r="R294" s="6">
        <v>0</v>
      </c>
      <c r="S294" s="5" t="str">
        <f ca="1">VLOOKUP($T294,OFFSET([4]enemy_skill_sets!$B$1,0,0,COUNTA([4]enemy_skill_sets!$B:$B),MATCH(J$1,[4]enemy_skill_sets!$1:$1,0)-MATCH($T$1,[4]enemy_skill_sets!$1:$1,0)+2),MATCH(J$1,[4]enemy_skill_sets!$1:$1,0)-MATCH($T$1,[4]enemy_skill_sets!$1:$1,0)+2,FALSE)</f>
        <v>攻撃力20倍の自爆攻撃！</v>
      </c>
      <c r="T294" s="43">
        <v>11803</v>
      </c>
      <c r="U294" s="7">
        <v>2</v>
      </c>
      <c r="V294" s="7">
        <v>100</v>
      </c>
      <c r="W294" s="7">
        <v>0</v>
      </c>
      <c r="X294" s="26">
        <f ca="1">VLOOKUP($I294,OFFSET([2]enemies!$A$1,0,0,COUNTA([2]enemies!$A:$A),MATCH(X$1,[2]enemies!$2:$2,0)-MATCH($I$1,[2]enemies!$2:$2,0)+1),MATCH(X$1,[2]enemies!$2:$2,0)-MATCH($I$1,[2]enemies!$2:$2,0)+1,FALSE)</f>
        <v>2</v>
      </c>
      <c r="Y294" s="31">
        <v>118</v>
      </c>
      <c r="Z294" s="5" t="str">
        <f ca="1">IFERROR(VLOOKUP($Y294,OFFSET([3]characters!$A$1,0,0,COUNTA([3]characters!$A:$A),MATCH(Z$1,[3]characters!$2:$2,0)-MATCH("character_id",[3]characters!$2:$2,0)+1),MATCH(Z$1,[3]characters!$2:$2,0)-MATCH("character_id",[3]characters!$2:$2,0)+1,FALSE),"")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294" s="5">
        <f ca="1">IFERROR(VLOOKUP($Y294,OFFSET([3]characters!$A$1,0,0,COUNTA([3]characters!$A:$A),MATCH(AA$1,[3]characters!$2:$2,0)-MATCH("character_id",[3]characters!$2:$2,0)+1),MATCH(AA$1,[3]characters!$2:$2,0)-MATCH("character_id",[3]characters!$2:$2,0)+1,FALSE),"")</f>
        <v>4</v>
      </c>
      <c r="AB294" s="5" t="str">
        <f ca="1">IFERROR(VLOOKUP($Y294,OFFSET([3]characters!$A$1,0,0,COUNTA([3]characters!$A:$A),MATCH(AB$1,[3]characters!$2:$2,0)-MATCH("character_id",[3]characters!$2:$2,0)+1),MATCH(AB$1,[3]characters!$2:$2,0)-MATCH("character_id",[3]characters!$2:$2,0)+1,FALSE),"")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94" s="8">
        <v>1</v>
      </c>
      <c r="AD294" s="34">
        <f t="shared" ca="1" si="168"/>
        <v>4</v>
      </c>
      <c r="AE294" s="9">
        <v>10</v>
      </c>
      <c r="AF294" s="8">
        <v>0</v>
      </c>
      <c r="AG294" s="8">
        <v>0</v>
      </c>
      <c r="AH294" s="8">
        <v>0</v>
      </c>
      <c r="AI294" s="8">
        <v>0</v>
      </c>
      <c r="AJ294" s="8">
        <v>1</v>
      </c>
    </row>
    <row r="295" spans="1:36" ht="21" customHeight="1">
      <c r="A295" s="21" t="str">
        <f t="shared" ref="A295:A299" ca="1" si="213">B295&amp;"_"&amp;C295&amp;"-"&amp;G295&amp;"/"&amp;I295&amp;"&lt;lv"&amp;O295&amp;"&gt;s"&amp;X295</f>
        <v>11106_3-3/118&lt;lv1&gt;s2</v>
      </c>
      <c r="B295" s="8">
        <v>11106</v>
      </c>
      <c r="C295" s="32">
        <v>3</v>
      </c>
      <c r="D295" s="2" t="str">
        <f t="shared" ref="D295:D299" si="214">B295&amp;"_"&amp;C295</f>
        <v>11106_3</v>
      </c>
      <c r="E295" s="5" t="str">
        <f ca="1">VLOOKUP($B295,OFFSET([1]quests!$A$1,0,0,COUNTA([1]quests!$A:$A),MATCH(E$1,[1]quests!$1:$1,0)-MATCH($B$1,[1]quests!$1:$1,0)+1),MATCH(E$1,[1]quests!$1:$1,0)-MATCH($B$1,[1]quests!$1:$1,0)+1,FALSE)</f>
        <v>【キャンペーン限定】 ゴールドカジノ</v>
      </c>
      <c r="F295" s="5" t="str">
        <f ca="1">VLOOKUP($D295,OFFSET([1]stages!$A$1,0,0,COUNTA([1]stages!$A:$A),MATCH(F$1,[1]stages!$2:$2,0)-MATCH($D$1,[1]stages!$2:$2,0)+1),MATCH(F$1,[1]stages!$2:$2,0)-MATCH($D$1,[1]stages!$2:$2,0)+1,FALSE)</f>
        <v>ゴールドカジノ 【上級】</v>
      </c>
      <c r="G295" s="32">
        <v>3</v>
      </c>
      <c r="H295" s="20" t="str">
        <f t="shared" ref="H295:H299" si="215">B295&amp;"_"&amp;C295&amp;"-"&amp;G295</f>
        <v>11106_3-3</v>
      </c>
      <c r="I295" s="31">
        <v>118</v>
      </c>
      <c r="J295" s="26" t="str">
        <f ca="1">VLOOKUP($I295,OFFSET([2]enemies!$A$1,0,0,COUNTA([2]enemies!$A:$A),MATCH(J$1,[2]enemies!$2:$2,0)-MATCH($I$1,[2]enemies!$2:$2,0)+1),MATCH(J$1,[2]enemies!$2:$2,0)-MATCH($I$1,[2]enemies!$2:$2,0)+1,FALSE)</f>
        <v>ゴールドチック</v>
      </c>
      <c r="K295" s="29" t="str">
        <f ca="1">VLOOKUP($I295,OFFSET([2]enemies!$A$1,0,0,COUNTA([2]enemies!$A:$A),MATCH(K$1,[2]enemies!$2:$2,0)-MATCH($I$1,[2]enemies!$2:$2,0)+1),MATCH(K$1,[2]enemies!$2:$2,0)-MATCH($I$1,[2]enemies!$2:$2,0)+1,FALSE)</f>
        <v>yellow</v>
      </c>
      <c r="L295" s="29" t="str">
        <f ca="1">VLOOKUP($I295,OFFSET([3]characters!$A$1,0,0,COUNTA([3]characters!$A:$A),MATCH(L$1,[3]characters!$2:$2,0)-MATCH($I$1,[3]characters!$2:$2,0)+1),MATCH(L$1,[3]characters!$2:$2,0)-MATCH($I$1,[3]characters!$2:$2,0)+1,FALSE)</f>
        <v>Material</v>
      </c>
      <c r="M295" s="28" t="str">
        <f ca="1">VLOOKUP($I295,OFFSET([3]characters!$A$1,0,0,COUNTA([3]characters!$A:$A),MATCH(M$1,[3]characters!$2:$2,0)-MATCH($I$1,[3]characters!$2:$2,0)+2),MATCH(M$1,[3]characters!$2:$2,0)-MATCH($I$1,[3]characters!$2:$2,0)+2,FALSE)</f>
        <v>Unknown</v>
      </c>
      <c r="N295" s="5">
        <f ca="1">VLOOKUP($I295,OFFSET([2]enemies!$A$1,0,0,COUNTA([2]enemies!$A:$A),MATCH(N$1,[2]enemies!$2:$2,0)-MATCH($I$1,[2]enemies!$2:$2,0)+1),MATCH(N$1,[2]enemies!$2:$2,0)-MATCH($I$1,[2]enemies!$2:$2,0)+1,FALSE)</f>
        <v>15</v>
      </c>
      <c r="O295" s="6">
        <v>1</v>
      </c>
      <c r="P295" s="46">
        <v>40.5</v>
      </c>
      <c r="Q295" s="46">
        <v>38.5</v>
      </c>
      <c r="R295" s="6">
        <v>0</v>
      </c>
      <c r="S295" s="5" t="str">
        <f ca="1">VLOOKUP($T295,OFFSET([4]enemy_skill_sets!$B$1,0,0,COUNTA([4]enemy_skill_sets!$B:$B),MATCH(J$1,[4]enemy_skill_sets!$1:$1,0)-MATCH($T$1,[4]enemy_skill_sets!$1:$1,0)+2),MATCH(J$1,[4]enemy_skill_sets!$1:$1,0)-MATCH($T$1,[4]enemy_skill_sets!$1:$1,0)+2,FALSE)</f>
        <v>攻撃力20倍の自爆攻撃！</v>
      </c>
      <c r="T295" s="43">
        <v>11803</v>
      </c>
      <c r="U295" s="7">
        <v>0</v>
      </c>
      <c r="V295" s="7">
        <v>100</v>
      </c>
      <c r="W295" s="7">
        <v>0</v>
      </c>
      <c r="X295" s="26">
        <f ca="1">VLOOKUP($I295,OFFSET([2]enemies!$A$1,0,0,COUNTA([2]enemies!$A:$A),MATCH(X$1,[2]enemies!$2:$2,0)-MATCH($I$1,[2]enemies!$2:$2,0)+1),MATCH(X$1,[2]enemies!$2:$2,0)-MATCH($I$1,[2]enemies!$2:$2,0)+1,FALSE)</f>
        <v>2</v>
      </c>
      <c r="Y295" s="31">
        <v>118</v>
      </c>
      <c r="Z295" s="5" t="str">
        <f ca="1">IFERROR(VLOOKUP($Y295,OFFSET([3]characters!$A$1,0,0,COUNTA([3]characters!$A:$A),MATCH(Z$1,[3]characters!$2:$2,0)-MATCH("character_id",[3]characters!$2:$2,0)+1),MATCH(Z$1,[3]characters!$2:$2,0)-MATCH("character_id",[3]characters!$2:$2,0)+1,FALSE),"")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295" s="5">
        <f ca="1">IFERROR(VLOOKUP($Y295,OFFSET([3]characters!$A$1,0,0,COUNTA([3]characters!$A:$A),MATCH(AA$1,[3]characters!$2:$2,0)-MATCH("character_id",[3]characters!$2:$2,0)+1),MATCH(AA$1,[3]characters!$2:$2,0)-MATCH("character_id",[3]characters!$2:$2,0)+1,FALSE),"")</f>
        <v>4</v>
      </c>
      <c r="AB295" s="5" t="str">
        <f ca="1">IFERROR(VLOOKUP($Y295,OFFSET([3]characters!$A$1,0,0,COUNTA([3]characters!$A:$A),MATCH(AB$1,[3]characters!$2:$2,0)-MATCH("character_id",[3]characters!$2:$2,0)+1),MATCH(AB$1,[3]characters!$2:$2,0)-MATCH("character_id",[3]characters!$2:$2,0)+1,FALSE),"")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95" s="8">
        <v>1</v>
      </c>
      <c r="AD295" s="34">
        <f t="shared" ref="AD295:AD299" ca="1" si="216">AA295</f>
        <v>4</v>
      </c>
      <c r="AE295" s="9">
        <v>10</v>
      </c>
      <c r="AF295" s="8">
        <v>0</v>
      </c>
      <c r="AG295" s="8">
        <v>0</v>
      </c>
      <c r="AH295" s="8">
        <v>0</v>
      </c>
      <c r="AI295" s="8">
        <v>0</v>
      </c>
      <c r="AJ295" s="8">
        <v>1</v>
      </c>
    </row>
    <row r="296" spans="1:36" ht="21" customHeight="1">
      <c r="A296" s="21" t="str">
        <f t="shared" ca="1" si="213"/>
        <v>11106_3-3/63&lt;lv32&gt;s2</v>
      </c>
      <c r="B296" s="8">
        <v>11106</v>
      </c>
      <c r="C296" s="32">
        <v>3</v>
      </c>
      <c r="D296" s="20" t="str">
        <f t="shared" si="214"/>
        <v>11106_3</v>
      </c>
      <c r="E296" s="5" t="str">
        <f ca="1">VLOOKUP($B296,OFFSET([1]quests!$A$1,0,0,COUNTA([1]quests!$A:$A),MATCH(E$1,[1]quests!$1:$1,0)-MATCH($B$1,[1]quests!$1:$1,0)+1),MATCH(E$1,[1]quests!$1:$1,0)-MATCH($B$1,[1]quests!$1:$1,0)+1,FALSE)</f>
        <v>【キャンペーン限定】 ゴールドカジノ</v>
      </c>
      <c r="F296" s="5" t="str">
        <f ca="1">VLOOKUP($D296,OFFSET([1]stages!$A$1,0,0,COUNTA([1]stages!$A:$A),MATCH(F$1,[1]stages!$2:$2,0)-MATCH($D$1,[1]stages!$2:$2,0)+1),MATCH(F$1,[1]stages!$2:$2,0)-MATCH($D$1,[1]stages!$2:$2,0)+1,FALSE)</f>
        <v>ゴールドカジノ 【上級】</v>
      </c>
      <c r="G296" s="32">
        <v>3</v>
      </c>
      <c r="H296" s="20" t="str">
        <f t="shared" si="215"/>
        <v>11106_3-3</v>
      </c>
      <c r="I296" s="41">
        <v>63</v>
      </c>
      <c r="J296" s="26" t="str">
        <f ca="1">VLOOKUP($I296,OFFSET([2]enemies!$A$1,0,0,COUNTA([2]enemies!$A:$A),MATCH(J$1,[2]enemies!$2:$2,0)-MATCH($I$1,[2]enemies!$2:$2,0)+1),MATCH(J$1,[2]enemies!$2:$2,0)-MATCH($I$1,[2]enemies!$2:$2,0)+1,FALSE)</f>
        <v>トニー</v>
      </c>
      <c r="K296" s="29" t="str">
        <f ca="1">VLOOKUP($I296,OFFSET([2]enemies!$A$1,0,0,COUNTA([2]enemies!$A:$A),MATCH(K$1,[2]enemies!$2:$2,0)-MATCH($I$1,[2]enemies!$2:$2,0)+1),MATCH(K$1,[2]enemies!$2:$2,0)-MATCH($I$1,[2]enemies!$2:$2,0)+1,FALSE)</f>
        <v>yellow</v>
      </c>
      <c r="L296" s="29" t="str">
        <f ca="1">VLOOKUP($I296,OFFSET([3]characters!$A$1,0,0,COUNTA([3]characters!$A:$A),MATCH(L$1,[3]characters!$2:$2,0)-MATCH($I$1,[3]characters!$2:$2,0)+1),MATCH(L$1,[3]characters!$2:$2,0)-MATCH($I$1,[3]characters!$2:$2,0)+1,FALSE)</f>
        <v>Drop1N</v>
      </c>
      <c r="M296" s="28" t="str">
        <f ca="1">VLOOKUP($I296,OFFSET([3]characters!$A$1,0,0,COUNTA([3]characters!$A:$A),MATCH(M$1,[3]characters!$2:$2,0)-MATCH($I$1,[3]characters!$2:$2,0)+2),MATCH(M$1,[3]characters!$2:$2,0)-MATCH($I$1,[3]characters!$2:$2,0)+2,FALSE)</f>
        <v>アニマル</v>
      </c>
      <c r="N296" s="5">
        <f ca="1">VLOOKUP($I296,OFFSET([2]enemies!$A$1,0,0,COUNTA([2]enemies!$A:$A),MATCH(N$1,[2]enemies!$2:$2,0)-MATCH($I$1,[2]enemies!$2:$2,0)+1),MATCH(N$1,[2]enemies!$2:$2,0)-MATCH($I$1,[2]enemies!$2:$2,0)+1,FALSE)</f>
        <v>15</v>
      </c>
      <c r="O296" s="6">
        <v>32</v>
      </c>
      <c r="P296" s="46">
        <v>1</v>
      </c>
      <c r="Q296" s="46">
        <v>1</v>
      </c>
      <c r="R296" s="6">
        <v>0</v>
      </c>
      <c r="S296" s="5" t="str">
        <f ca="1">VLOOKUP($T296,OFFSET([4]enemy_skill_sets!$B$1,0,0,COUNTA([4]enemy_skill_sets!$B:$B),MATCH(J$1,[4]enemy_skill_sets!$1:$1,0)-MATCH($T$1,[4]enemy_skill_sets!$1:$1,0)+2),MATCH(J$1,[4]enemy_skill_sets!$1:$1,0)-MATCH($T$1,[4]enemy_skill_sets!$1:$1,0)+2,FALSE)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296" s="5">
        <f ca="1">VLOOKUP($I296,OFFSET([2]enemies!$A$1,0,0,COUNTA([2]enemies!$A:$A),MATCH(T$1,[2]enemies!$2:$2,0)-MATCH($I$1,[2]enemies!$2:$2,0)+1),MATCH(T$1,[2]enemies!$2:$2,0)-MATCH($I$1,[2]enemies!$2:$2,0)+1,FALSE)</f>
        <v>63</v>
      </c>
      <c r="U296" s="40">
        <v>0</v>
      </c>
      <c r="V296" s="7">
        <v>100</v>
      </c>
      <c r="W296" s="40">
        <v>0</v>
      </c>
      <c r="X296" s="26">
        <f ca="1">VLOOKUP($I296,OFFSET([2]enemies!$A$1,0,0,COUNTA([2]enemies!$A:$A),MATCH(X$1,[2]enemies!$2:$2,0)-MATCH($I$1,[2]enemies!$2:$2,0)+1),MATCH(X$1,[2]enemies!$2:$2,0)-MATCH($I$1,[2]enemies!$2:$2,0)+1,FALSE)</f>
        <v>2</v>
      </c>
      <c r="Y296" s="41">
        <v>63</v>
      </c>
      <c r="Z296" s="5" t="str">
        <f ca="1">IFERROR(VLOOKUP($Y296,OFFSET([3]characters!$A$1,0,0,COUNTA([3]characters!$A:$A),MATCH(Z$1,[3]characters!$2:$2,0)-MATCH("character_id",[3]characters!$2:$2,0)+1),MATCH(Z$1,[3]characters!$2:$2,0)-MATCH("character_id",[3]characters!$2:$2,0)+1,FALSE),"")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296" s="5">
        <f ca="1">IFERROR(VLOOKUP($Y296,OFFSET([3]characters!$A$1,0,0,COUNTA([3]characters!$A:$A),MATCH(AA$1,[3]characters!$2:$2,0)-MATCH("character_id",[3]characters!$2:$2,0)+1),MATCH(AA$1,[3]characters!$2:$2,0)-MATCH("character_id",[3]characters!$2:$2,0)+1,FALSE),"")</f>
        <v>2</v>
      </c>
      <c r="AB296" s="5" t="str">
        <f ca="1">IFERROR(VLOOKUP($Y296,OFFSET([3]characters!$A$1,0,0,COUNTA([3]characters!$A:$A),MATCH(AB$1,[3]characters!$2:$2,0)-MATCH("character_id",[3]characters!$2:$2,0)+1),MATCH(AB$1,[3]characters!$2:$2,0)-MATCH("character_id",[3]characters!$2:$2,0)+1,FALSE),"")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96" s="35">
        <v>1</v>
      </c>
      <c r="AD296" s="35">
        <f t="shared" ca="1" si="216"/>
        <v>2</v>
      </c>
      <c r="AE296" s="9">
        <v>0</v>
      </c>
      <c r="AF296" s="35">
        <v>0</v>
      </c>
      <c r="AG296" s="35">
        <v>0</v>
      </c>
      <c r="AH296" s="35">
        <v>0</v>
      </c>
      <c r="AI296" s="35">
        <v>0</v>
      </c>
      <c r="AJ296" s="35">
        <v>1</v>
      </c>
    </row>
    <row r="297" spans="1:36" ht="21" customHeight="1">
      <c r="A297" s="21" t="str">
        <f t="shared" ca="1" si="213"/>
        <v>11106_3-3/61&lt;lv32&gt;s2</v>
      </c>
      <c r="B297" s="8">
        <v>11106</v>
      </c>
      <c r="C297" s="32">
        <v>3</v>
      </c>
      <c r="D297" s="20" t="str">
        <f t="shared" si="214"/>
        <v>11106_3</v>
      </c>
      <c r="E297" s="5" t="str">
        <f ca="1">VLOOKUP($B297,OFFSET([1]quests!$A$1,0,0,COUNTA([1]quests!$A:$A),MATCH(E$1,[1]quests!$1:$1,0)-MATCH($B$1,[1]quests!$1:$1,0)+1),MATCH(E$1,[1]quests!$1:$1,0)-MATCH($B$1,[1]quests!$1:$1,0)+1,FALSE)</f>
        <v>【キャンペーン限定】 ゴールドカジノ</v>
      </c>
      <c r="F297" s="5" t="str">
        <f ca="1">VLOOKUP($D297,OFFSET([1]stages!$A$1,0,0,COUNTA([1]stages!$A:$A),MATCH(F$1,[1]stages!$2:$2,0)-MATCH($D$1,[1]stages!$2:$2,0)+1),MATCH(F$1,[1]stages!$2:$2,0)-MATCH($D$1,[1]stages!$2:$2,0)+1,FALSE)</f>
        <v>ゴールドカジノ 【上級】</v>
      </c>
      <c r="G297" s="32">
        <v>3</v>
      </c>
      <c r="H297" s="20" t="str">
        <f t="shared" si="215"/>
        <v>11106_3-3</v>
      </c>
      <c r="I297" s="41">
        <v>61</v>
      </c>
      <c r="J297" s="26" t="str">
        <f ca="1">VLOOKUP($I297,OFFSET([2]enemies!$A$1,0,0,COUNTA([2]enemies!$A:$A),MATCH(J$1,[2]enemies!$2:$2,0)-MATCH($I$1,[2]enemies!$2:$2,0)+1),MATCH(J$1,[2]enemies!$2:$2,0)-MATCH($I$1,[2]enemies!$2:$2,0)+1,FALSE)</f>
        <v>クロウ</v>
      </c>
      <c r="K297" s="29" t="str">
        <f ca="1">VLOOKUP($I297,OFFSET([2]enemies!$A$1,0,0,COUNTA([2]enemies!$A:$A),MATCH(K$1,[2]enemies!$2:$2,0)-MATCH($I$1,[2]enemies!$2:$2,0)+1),MATCH(K$1,[2]enemies!$2:$2,0)-MATCH($I$1,[2]enemies!$2:$2,0)+1,FALSE)</f>
        <v>blue</v>
      </c>
      <c r="L297" s="29" t="str">
        <f ca="1">VLOOKUP($I297,OFFSET([3]characters!$A$1,0,0,COUNTA([3]characters!$A:$A),MATCH(L$1,[3]characters!$2:$2,0)-MATCH($I$1,[3]characters!$2:$2,0)+1),MATCH(L$1,[3]characters!$2:$2,0)-MATCH($I$1,[3]characters!$2:$2,0)+1,FALSE)</f>
        <v>Drop1N</v>
      </c>
      <c r="M297" s="28" t="str">
        <f ca="1">VLOOKUP($I297,OFFSET([3]characters!$A$1,0,0,COUNTA([3]characters!$A:$A),MATCH(M$1,[3]characters!$2:$2,0)-MATCH($I$1,[3]characters!$2:$2,0)+2),MATCH(M$1,[3]characters!$2:$2,0)-MATCH($I$1,[3]characters!$2:$2,0)+2,FALSE)</f>
        <v>アニマル</v>
      </c>
      <c r="N297" s="5">
        <f ca="1">VLOOKUP($I297,OFFSET([2]enemies!$A$1,0,0,COUNTA([2]enemies!$A:$A),MATCH(N$1,[2]enemies!$2:$2,0)-MATCH($I$1,[2]enemies!$2:$2,0)+1),MATCH(N$1,[2]enemies!$2:$2,0)-MATCH($I$1,[2]enemies!$2:$2,0)+1,FALSE)</f>
        <v>15</v>
      </c>
      <c r="O297" s="6">
        <v>32</v>
      </c>
      <c r="P297" s="46">
        <v>1</v>
      </c>
      <c r="Q297" s="46">
        <v>1</v>
      </c>
      <c r="R297" s="6">
        <v>0</v>
      </c>
      <c r="S297" s="5" t="str">
        <f ca="1">VLOOKUP($T297,OFFSET([4]enemy_skill_sets!$B$1,0,0,COUNTA([4]enemy_skill_sets!$B:$B),MATCH(J$1,[4]enemy_skill_sets!$1:$1,0)-MATCH($T$1,[4]enemy_skill_sets!$1:$1,0)+2),MATCH(J$1,[4]enemy_skill_sets!$1:$1,0)-MATCH($T$1,[4]enemy_skill_sets!$1:$1,0)+2,FALSE)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297" s="5">
        <f ca="1">VLOOKUP($I297,OFFSET([2]enemies!$A$1,0,0,COUNTA([2]enemies!$A:$A),MATCH(T$1,[2]enemies!$2:$2,0)-MATCH($I$1,[2]enemies!$2:$2,0)+1),MATCH(T$1,[2]enemies!$2:$2,0)-MATCH($I$1,[2]enemies!$2:$2,0)+1,FALSE)</f>
        <v>61</v>
      </c>
      <c r="U297" s="40">
        <v>0</v>
      </c>
      <c r="V297" s="7">
        <v>100</v>
      </c>
      <c r="W297" s="40">
        <v>0</v>
      </c>
      <c r="X297" s="26">
        <f ca="1">VLOOKUP($I297,OFFSET([2]enemies!$A$1,0,0,COUNTA([2]enemies!$A:$A),MATCH(X$1,[2]enemies!$2:$2,0)-MATCH($I$1,[2]enemies!$2:$2,0)+1),MATCH(X$1,[2]enemies!$2:$2,0)-MATCH($I$1,[2]enemies!$2:$2,0)+1,FALSE)</f>
        <v>2</v>
      </c>
      <c r="Y297" s="41">
        <v>61</v>
      </c>
      <c r="Z297" s="5" t="str">
        <f ca="1">IFERROR(VLOOKUP($Y297,OFFSET([3]characters!$A$1,0,0,COUNTA([3]characters!$A:$A),MATCH(Z$1,[3]characters!$2:$2,0)-MATCH("character_id",[3]characters!$2:$2,0)+1),MATCH(Z$1,[3]characters!$2:$2,0)-MATCH("character_id",[3]characters!$2:$2,0)+1,FALSE),"")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297" s="5">
        <f ca="1">IFERROR(VLOOKUP($Y297,OFFSET([3]characters!$A$1,0,0,COUNTA([3]characters!$A:$A),MATCH(AA$1,[3]characters!$2:$2,0)-MATCH("character_id",[3]characters!$2:$2,0)+1),MATCH(AA$1,[3]characters!$2:$2,0)-MATCH("character_id",[3]characters!$2:$2,0)+1,FALSE),"")</f>
        <v>2</v>
      </c>
      <c r="AB297" s="5" t="str">
        <f ca="1">IFERROR(VLOOKUP($Y297,OFFSET([3]characters!$A$1,0,0,COUNTA([3]characters!$A:$A),MATCH(AB$1,[3]characters!$2:$2,0)-MATCH("character_id",[3]characters!$2:$2,0)+1),MATCH(AB$1,[3]characters!$2:$2,0)-MATCH("character_id",[3]characters!$2:$2,0)+1,FALSE),"")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97" s="35">
        <v>1</v>
      </c>
      <c r="AD297" s="35">
        <f t="shared" ca="1" si="216"/>
        <v>2</v>
      </c>
      <c r="AE297" s="9">
        <v>0</v>
      </c>
      <c r="AF297" s="35">
        <v>0</v>
      </c>
      <c r="AG297" s="35">
        <v>0</v>
      </c>
      <c r="AH297" s="35">
        <v>0</v>
      </c>
      <c r="AI297" s="35">
        <v>0</v>
      </c>
      <c r="AJ297" s="35">
        <v>1</v>
      </c>
    </row>
    <row r="298" spans="1:36" ht="21" customHeight="1">
      <c r="A298" s="21" t="str">
        <f t="shared" ca="1" si="213"/>
        <v>11106_3-3/57&lt;lv32&gt;s2</v>
      </c>
      <c r="B298" s="8">
        <v>11106</v>
      </c>
      <c r="C298" s="32">
        <v>3</v>
      </c>
      <c r="D298" s="20" t="str">
        <f t="shared" si="214"/>
        <v>11106_3</v>
      </c>
      <c r="E298" s="5" t="str">
        <f ca="1">VLOOKUP($B298,OFFSET([1]quests!$A$1,0,0,COUNTA([1]quests!$A:$A),MATCH(E$1,[1]quests!$1:$1,0)-MATCH($B$1,[1]quests!$1:$1,0)+1),MATCH(E$1,[1]quests!$1:$1,0)-MATCH($B$1,[1]quests!$1:$1,0)+1,FALSE)</f>
        <v>【キャンペーン限定】 ゴールドカジノ</v>
      </c>
      <c r="F298" s="5" t="str">
        <f ca="1">VLOOKUP($D298,OFFSET([1]stages!$A$1,0,0,COUNTA([1]stages!$A:$A),MATCH(F$1,[1]stages!$2:$2,0)-MATCH($D$1,[1]stages!$2:$2,0)+1),MATCH(F$1,[1]stages!$2:$2,0)-MATCH($D$1,[1]stages!$2:$2,0)+1,FALSE)</f>
        <v>ゴールドカジノ 【上級】</v>
      </c>
      <c r="G298" s="32">
        <v>3</v>
      </c>
      <c r="H298" s="20" t="str">
        <f t="shared" si="215"/>
        <v>11106_3-3</v>
      </c>
      <c r="I298" s="41">
        <v>57</v>
      </c>
      <c r="J298" s="26" t="str">
        <f ca="1">VLOOKUP($I298,OFFSET([2]enemies!$A$1,0,0,COUNTA([2]enemies!$A:$A),MATCH(J$1,[2]enemies!$2:$2,0)-MATCH($I$1,[2]enemies!$2:$2,0)+1),MATCH(J$1,[2]enemies!$2:$2,0)-MATCH($I$1,[2]enemies!$2:$2,0)+1,FALSE)</f>
        <v>チェン・リー</v>
      </c>
      <c r="K298" s="29" t="str">
        <f ca="1">VLOOKUP($I298,OFFSET([2]enemies!$A$1,0,0,COUNTA([2]enemies!$A:$A),MATCH(K$1,[2]enemies!$2:$2,0)-MATCH($I$1,[2]enemies!$2:$2,0)+1),MATCH(K$1,[2]enemies!$2:$2,0)-MATCH($I$1,[2]enemies!$2:$2,0)+1,FALSE)</f>
        <v>red</v>
      </c>
      <c r="L298" s="29" t="str">
        <f ca="1">VLOOKUP($I298,OFFSET([3]characters!$A$1,0,0,COUNTA([3]characters!$A:$A),MATCH(L$1,[3]characters!$2:$2,0)-MATCH($I$1,[3]characters!$2:$2,0)+1),MATCH(L$1,[3]characters!$2:$2,0)-MATCH($I$1,[3]characters!$2:$2,0)+1,FALSE)</f>
        <v>Drop1N</v>
      </c>
      <c r="M298" s="28" t="str">
        <f ca="1">VLOOKUP($I298,OFFSET([3]characters!$A$1,0,0,COUNTA([3]characters!$A:$A),MATCH(M$1,[3]characters!$2:$2,0)-MATCH($I$1,[3]characters!$2:$2,0)+2),MATCH(M$1,[3]characters!$2:$2,0)-MATCH($I$1,[3]characters!$2:$2,0)+2,FALSE)</f>
        <v>アニマル</v>
      </c>
      <c r="N298" s="5">
        <f ca="1">VLOOKUP($I298,OFFSET([2]enemies!$A$1,0,0,COUNTA([2]enemies!$A:$A),MATCH(N$1,[2]enemies!$2:$2,0)-MATCH($I$1,[2]enemies!$2:$2,0)+1),MATCH(N$1,[2]enemies!$2:$2,0)-MATCH($I$1,[2]enemies!$2:$2,0)+1,FALSE)</f>
        <v>15</v>
      </c>
      <c r="O298" s="6">
        <v>32</v>
      </c>
      <c r="P298" s="46">
        <v>1</v>
      </c>
      <c r="Q298" s="46">
        <v>1</v>
      </c>
      <c r="R298" s="6">
        <v>0</v>
      </c>
      <c r="S298" s="5" t="str">
        <f ca="1">VLOOKUP($T298,OFFSET([4]enemy_skill_sets!$B$1,0,0,COUNTA([4]enemy_skill_sets!$B:$B),MATCH(J$1,[4]enemy_skill_sets!$1:$1,0)-MATCH($T$1,[4]enemy_skill_sets!$1:$1,0)+2),MATCH(J$1,[4]enemy_skill_sets!$1:$1,0)-MATCH($T$1,[4]enemy_skill_sets!$1:$1,0)+2,FALSE)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298" s="5">
        <f ca="1">VLOOKUP($I298,OFFSET([2]enemies!$A$1,0,0,COUNTA([2]enemies!$A:$A),MATCH(T$1,[2]enemies!$2:$2,0)-MATCH($I$1,[2]enemies!$2:$2,0)+1),MATCH(T$1,[2]enemies!$2:$2,0)-MATCH($I$1,[2]enemies!$2:$2,0)+1,FALSE)</f>
        <v>57</v>
      </c>
      <c r="U298" s="40">
        <v>0</v>
      </c>
      <c r="V298" s="7">
        <v>100</v>
      </c>
      <c r="W298" s="40">
        <v>0</v>
      </c>
      <c r="X298" s="26">
        <f ca="1">VLOOKUP($I298,OFFSET([2]enemies!$A$1,0,0,COUNTA([2]enemies!$A:$A),MATCH(X$1,[2]enemies!$2:$2,0)-MATCH($I$1,[2]enemies!$2:$2,0)+1),MATCH(X$1,[2]enemies!$2:$2,0)-MATCH($I$1,[2]enemies!$2:$2,0)+1,FALSE)</f>
        <v>2</v>
      </c>
      <c r="Y298" s="41">
        <v>57</v>
      </c>
      <c r="Z298" s="5" t="str">
        <f ca="1">IFERROR(VLOOKUP($Y298,OFFSET([3]characters!$A$1,0,0,COUNTA([3]characters!$A:$A),MATCH(Z$1,[3]characters!$2:$2,0)-MATCH("character_id",[3]characters!$2:$2,0)+1),MATCH(Z$1,[3]characters!$2:$2,0)-MATCH("character_id",[3]characters!$2:$2,0)+1,FALSE),"")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298" s="5">
        <f ca="1">IFERROR(VLOOKUP($Y298,OFFSET([3]characters!$A$1,0,0,COUNTA([3]characters!$A:$A),MATCH(AA$1,[3]characters!$2:$2,0)-MATCH("character_id",[3]characters!$2:$2,0)+1),MATCH(AA$1,[3]characters!$2:$2,0)-MATCH("character_id",[3]characters!$2:$2,0)+1,FALSE),"")</f>
        <v>2</v>
      </c>
      <c r="AB298" s="5" t="str">
        <f ca="1">IFERROR(VLOOKUP($Y298,OFFSET([3]characters!$A$1,0,0,COUNTA([3]characters!$A:$A),MATCH(AB$1,[3]characters!$2:$2,0)-MATCH("character_id",[3]characters!$2:$2,0)+1),MATCH(AB$1,[3]characters!$2:$2,0)-MATCH("character_id",[3]characters!$2:$2,0)+1,FALSE),"")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98" s="35">
        <v>1</v>
      </c>
      <c r="AD298" s="35">
        <f t="shared" ca="1" si="216"/>
        <v>2</v>
      </c>
      <c r="AE298" s="9">
        <v>0</v>
      </c>
      <c r="AF298" s="35">
        <v>0</v>
      </c>
      <c r="AG298" s="35">
        <v>0</v>
      </c>
      <c r="AH298" s="35">
        <v>0</v>
      </c>
      <c r="AI298" s="35">
        <v>0</v>
      </c>
      <c r="AJ298" s="35">
        <v>1</v>
      </c>
    </row>
    <row r="299" spans="1:36" ht="21" customHeight="1">
      <c r="A299" s="21" t="str">
        <f t="shared" ca="1" si="213"/>
        <v>11106_3-3/59&lt;lv32&gt;s2</v>
      </c>
      <c r="B299" s="8">
        <v>11106</v>
      </c>
      <c r="C299" s="32">
        <v>3</v>
      </c>
      <c r="D299" s="20" t="str">
        <f t="shared" si="214"/>
        <v>11106_3</v>
      </c>
      <c r="E299" s="5" t="str">
        <f ca="1">VLOOKUP($B299,OFFSET([1]quests!$A$1,0,0,COUNTA([1]quests!$A:$A),MATCH(E$1,[1]quests!$1:$1,0)-MATCH($B$1,[1]quests!$1:$1,0)+1),MATCH(E$1,[1]quests!$1:$1,0)-MATCH($B$1,[1]quests!$1:$1,0)+1,FALSE)</f>
        <v>【キャンペーン限定】 ゴールドカジノ</v>
      </c>
      <c r="F299" s="5" t="str">
        <f ca="1">VLOOKUP($D299,OFFSET([1]stages!$A$1,0,0,COUNTA([1]stages!$A:$A),MATCH(F$1,[1]stages!$2:$2,0)-MATCH($D$1,[1]stages!$2:$2,0)+1),MATCH(F$1,[1]stages!$2:$2,0)-MATCH($D$1,[1]stages!$2:$2,0)+1,FALSE)</f>
        <v>ゴールドカジノ 【上級】</v>
      </c>
      <c r="G299" s="32">
        <v>3</v>
      </c>
      <c r="H299" s="20" t="str">
        <f t="shared" si="215"/>
        <v>11106_3-3</v>
      </c>
      <c r="I299" s="41">
        <v>59</v>
      </c>
      <c r="J299" s="26" t="str">
        <f ca="1">VLOOKUP($I299,OFFSET([2]enemies!$A$1,0,0,COUNTA([2]enemies!$A:$A),MATCH(J$1,[2]enemies!$2:$2,0)-MATCH($I$1,[2]enemies!$2:$2,0)+1),MATCH(J$1,[2]enemies!$2:$2,0)-MATCH($I$1,[2]enemies!$2:$2,0)+1,FALSE)</f>
        <v>マーチ</v>
      </c>
      <c r="K299" s="29" t="str">
        <f ca="1">VLOOKUP($I299,OFFSET([2]enemies!$A$1,0,0,COUNTA([2]enemies!$A:$A),MATCH(K$1,[2]enemies!$2:$2,0)-MATCH($I$1,[2]enemies!$2:$2,0)+1),MATCH(K$1,[2]enemies!$2:$2,0)-MATCH($I$1,[2]enemies!$2:$2,0)+1,FALSE)</f>
        <v>green</v>
      </c>
      <c r="L299" s="29" t="str">
        <f ca="1">VLOOKUP($I299,OFFSET([3]characters!$A$1,0,0,COUNTA([3]characters!$A:$A),MATCH(L$1,[3]characters!$2:$2,0)-MATCH($I$1,[3]characters!$2:$2,0)+1),MATCH(L$1,[3]characters!$2:$2,0)-MATCH($I$1,[3]characters!$2:$2,0)+1,FALSE)</f>
        <v>Drop1N</v>
      </c>
      <c r="M299" s="28" t="str">
        <f ca="1">VLOOKUP($I299,OFFSET([3]characters!$A$1,0,0,COUNTA([3]characters!$A:$A),MATCH(M$1,[3]characters!$2:$2,0)-MATCH($I$1,[3]characters!$2:$2,0)+2),MATCH(M$1,[3]characters!$2:$2,0)-MATCH($I$1,[3]characters!$2:$2,0)+2,FALSE)</f>
        <v>アニマル</v>
      </c>
      <c r="N299" s="5">
        <f ca="1">VLOOKUP($I299,OFFSET([2]enemies!$A$1,0,0,COUNTA([2]enemies!$A:$A),MATCH(N$1,[2]enemies!$2:$2,0)-MATCH($I$1,[2]enemies!$2:$2,0)+1),MATCH(N$1,[2]enemies!$2:$2,0)-MATCH($I$1,[2]enemies!$2:$2,0)+1,FALSE)</f>
        <v>15</v>
      </c>
      <c r="O299" s="6">
        <v>32</v>
      </c>
      <c r="P299" s="46">
        <v>1</v>
      </c>
      <c r="Q299" s="46">
        <v>1</v>
      </c>
      <c r="R299" s="6">
        <v>0</v>
      </c>
      <c r="S299" s="5" t="str">
        <f ca="1">VLOOKUP($T299,OFFSET([4]enemy_skill_sets!$B$1,0,0,COUNTA([4]enemy_skill_sets!$B:$B),MATCH(J$1,[4]enemy_skill_sets!$1:$1,0)-MATCH($T$1,[4]enemy_skill_sets!$1:$1,0)+2),MATCH(J$1,[4]enemy_skill_sets!$1:$1,0)-MATCH($T$1,[4]enemy_skill_sets!$1:$1,0)+2,FALSE)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299" s="5">
        <f ca="1">VLOOKUP($I299,OFFSET([2]enemies!$A$1,0,0,COUNTA([2]enemies!$A:$A),MATCH(T$1,[2]enemies!$2:$2,0)-MATCH($I$1,[2]enemies!$2:$2,0)+1),MATCH(T$1,[2]enemies!$2:$2,0)-MATCH($I$1,[2]enemies!$2:$2,0)+1,FALSE)</f>
        <v>59</v>
      </c>
      <c r="U299" s="40">
        <v>0</v>
      </c>
      <c r="V299" s="7">
        <v>100</v>
      </c>
      <c r="W299" s="40">
        <v>0</v>
      </c>
      <c r="X299" s="26">
        <f ca="1">VLOOKUP($I299,OFFSET([2]enemies!$A$1,0,0,COUNTA([2]enemies!$A:$A),MATCH(X$1,[2]enemies!$2:$2,0)-MATCH($I$1,[2]enemies!$2:$2,0)+1),MATCH(X$1,[2]enemies!$2:$2,0)-MATCH($I$1,[2]enemies!$2:$2,0)+1,FALSE)</f>
        <v>2</v>
      </c>
      <c r="Y299" s="41">
        <v>59</v>
      </c>
      <c r="Z299" s="5" t="str">
        <f ca="1">IFERROR(VLOOKUP($Y299,OFFSET([3]characters!$A$1,0,0,COUNTA([3]characters!$A:$A),MATCH(Z$1,[3]characters!$2:$2,0)-MATCH("character_id",[3]characters!$2:$2,0)+1),MATCH(Z$1,[3]characters!$2:$2,0)-MATCH("character_id",[3]characters!$2:$2,0)+1,FALSE),"")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299" s="5">
        <f ca="1">IFERROR(VLOOKUP($Y299,OFFSET([3]characters!$A$1,0,0,COUNTA([3]characters!$A:$A),MATCH(AA$1,[3]characters!$2:$2,0)-MATCH("character_id",[3]characters!$2:$2,0)+1),MATCH(AA$1,[3]characters!$2:$2,0)-MATCH("character_id",[3]characters!$2:$2,0)+1,FALSE),"")</f>
        <v>2</v>
      </c>
      <c r="AB299" s="5" t="str">
        <f ca="1">IFERROR(VLOOKUP($Y299,OFFSET([3]characters!$A$1,0,0,COUNTA([3]characters!$A:$A),MATCH(AB$1,[3]characters!$2:$2,0)-MATCH("character_id",[3]characters!$2:$2,0)+1),MATCH(AB$1,[3]characters!$2:$2,0)-MATCH("character_id",[3]characters!$2:$2,0)+1,FALSE),"")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99" s="35">
        <v>1</v>
      </c>
      <c r="AD299" s="35">
        <f t="shared" ca="1" si="216"/>
        <v>2</v>
      </c>
      <c r="AE299" s="9">
        <v>0</v>
      </c>
      <c r="AF299" s="35">
        <v>0</v>
      </c>
      <c r="AG299" s="35">
        <v>0</v>
      </c>
      <c r="AH299" s="35">
        <v>0</v>
      </c>
      <c r="AI299" s="35">
        <v>0</v>
      </c>
      <c r="AJ299" s="35">
        <v>1</v>
      </c>
    </row>
    <row r="300" spans="1:36" ht="21" customHeight="1">
      <c r="A300" s="21" t="str">
        <f t="shared" ca="1" si="165"/>
        <v>11106_3-4/118&lt;lv1&gt;s2</v>
      </c>
      <c r="B300" s="8">
        <v>11106</v>
      </c>
      <c r="C300" s="32">
        <v>3</v>
      </c>
      <c r="D300" s="2" t="str">
        <f t="shared" si="166"/>
        <v>11106_3</v>
      </c>
      <c r="E300" s="5" t="str">
        <f ca="1">VLOOKUP($B300,OFFSET([1]quests!$A$1,0,0,COUNTA([1]quests!$A:$A),MATCH(E$1,[1]quests!$1:$1,0)-MATCH($B$1,[1]quests!$1:$1,0)+1),MATCH(E$1,[1]quests!$1:$1,0)-MATCH($B$1,[1]quests!$1:$1,0)+1,FALSE)</f>
        <v>【キャンペーン限定】 ゴールドカジノ</v>
      </c>
      <c r="F300" s="5" t="str">
        <f ca="1">VLOOKUP($D300,OFFSET([1]stages!$A$1,0,0,COUNTA([1]stages!$A:$A),MATCH(F$1,[1]stages!$2:$2,0)-MATCH($D$1,[1]stages!$2:$2,0)+1),MATCH(F$1,[1]stages!$2:$2,0)-MATCH($D$1,[1]stages!$2:$2,0)+1,FALSE)</f>
        <v>ゴールドカジノ 【上級】</v>
      </c>
      <c r="G300" s="32">
        <v>4</v>
      </c>
      <c r="H300" s="20" t="str">
        <f t="shared" si="167"/>
        <v>11106_3-4</v>
      </c>
      <c r="I300" s="31">
        <v>118</v>
      </c>
      <c r="J300" s="26" t="str">
        <f ca="1">VLOOKUP($I300,OFFSET([2]enemies!$A$1,0,0,COUNTA([2]enemies!$A:$A),MATCH(J$1,[2]enemies!$2:$2,0)-MATCH($I$1,[2]enemies!$2:$2,0)+1),MATCH(J$1,[2]enemies!$2:$2,0)-MATCH($I$1,[2]enemies!$2:$2,0)+1,FALSE)</f>
        <v>ゴールドチック</v>
      </c>
      <c r="K300" s="29" t="str">
        <f ca="1">VLOOKUP($I300,OFFSET([2]enemies!$A$1,0,0,COUNTA([2]enemies!$A:$A),MATCH(K$1,[2]enemies!$2:$2,0)-MATCH($I$1,[2]enemies!$2:$2,0)+1),MATCH(K$1,[2]enemies!$2:$2,0)-MATCH($I$1,[2]enemies!$2:$2,0)+1,FALSE)</f>
        <v>yellow</v>
      </c>
      <c r="L300" s="29" t="str">
        <f ca="1">VLOOKUP($I300,OFFSET([3]characters!$A$1,0,0,COUNTA([3]characters!$A:$A),MATCH(L$1,[3]characters!$2:$2,0)-MATCH($I$1,[3]characters!$2:$2,0)+1),MATCH(L$1,[3]characters!$2:$2,0)-MATCH($I$1,[3]characters!$2:$2,0)+1,FALSE)</f>
        <v>Material</v>
      </c>
      <c r="M300" s="28" t="str">
        <f ca="1">VLOOKUP($I300,OFFSET([3]characters!$A$1,0,0,COUNTA([3]characters!$A:$A),MATCH(M$1,[3]characters!$2:$2,0)-MATCH($I$1,[3]characters!$2:$2,0)+2),MATCH(M$1,[3]characters!$2:$2,0)-MATCH($I$1,[3]characters!$2:$2,0)+2,FALSE)</f>
        <v>Unknown</v>
      </c>
      <c r="N300" s="5">
        <f ca="1">VLOOKUP($I300,OFFSET([2]enemies!$A$1,0,0,COUNTA([2]enemies!$A:$A),MATCH(N$1,[2]enemies!$2:$2,0)-MATCH($I$1,[2]enemies!$2:$2,0)+1),MATCH(N$1,[2]enemies!$2:$2,0)-MATCH($I$1,[2]enemies!$2:$2,0)+1,FALSE)</f>
        <v>15</v>
      </c>
      <c r="O300" s="6">
        <v>1</v>
      </c>
      <c r="P300" s="46">
        <v>40.5</v>
      </c>
      <c r="Q300" s="46">
        <v>38.5</v>
      </c>
      <c r="R300" s="6">
        <v>0</v>
      </c>
      <c r="S300" s="5" t="str">
        <f ca="1">VLOOKUP($T300,OFFSET([4]enemy_skill_sets!$B$1,0,0,COUNTA([4]enemy_skill_sets!$B:$B),MATCH(J$1,[4]enemy_skill_sets!$1:$1,0)-MATCH($T$1,[4]enemy_skill_sets!$1:$1,0)+2),MATCH(J$1,[4]enemy_skill_sets!$1:$1,0)-MATCH($T$1,[4]enemy_skill_sets!$1:$1,0)+2,FALSE)</f>
        <v>攻撃力20倍の自爆攻撃！</v>
      </c>
      <c r="T300" s="43">
        <v>11803</v>
      </c>
      <c r="U300" s="7">
        <v>0</v>
      </c>
      <c r="V300" s="7">
        <v>100</v>
      </c>
      <c r="W300" s="7">
        <v>0</v>
      </c>
      <c r="X300" s="26">
        <f ca="1">VLOOKUP($I300,OFFSET([2]enemies!$A$1,0,0,COUNTA([2]enemies!$A:$A),MATCH(X$1,[2]enemies!$2:$2,0)-MATCH($I$1,[2]enemies!$2:$2,0)+1),MATCH(X$1,[2]enemies!$2:$2,0)-MATCH($I$1,[2]enemies!$2:$2,0)+1,FALSE)</f>
        <v>2</v>
      </c>
      <c r="Y300" s="31">
        <v>118</v>
      </c>
      <c r="Z300" s="5" t="str">
        <f ca="1">IFERROR(VLOOKUP($Y300,OFFSET([3]characters!$A$1,0,0,COUNTA([3]characters!$A:$A),MATCH(Z$1,[3]characters!$2:$2,0)-MATCH("character_id",[3]characters!$2:$2,0)+1),MATCH(Z$1,[3]characters!$2:$2,0)-MATCH("character_id",[3]characters!$2:$2,0)+1,FALSE),"")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300" s="5">
        <f ca="1">IFERROR(VLOOKUP($Y300,OFFSET([3]characters!$A$1,0,0,COUNTA([3]characters!$A:$A),MATCH(AA$1,[3]characters!$2:$2,0)-MATCH("character_id",[3]characters!$2:$2,0)+1),MATCH(AA$1,[3]characters!$2:$2,0)-MATCH("character_id",[3]characters!$2:$2,0)+1,FALSE),"")</f>
        <v>4</v>
      </c>
      <c r="AB300" s="5" t="str">
        <f ca="1">IFERROR(VLOOKUP($Y300,OFFSET([3]characters!$A$1,0,0,COUNTA([3]characters!$A:$A),MATCH(AB$1,[3]characters!$2:$2,0)-MATCH("character_id",[3]characters!$2:$2,0)+1),MATCH(AB$1,[3]characters!$2:$2,0)-MATCH("character_id",[3]characters!$2:$2,0)+1,FALSE),"")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00" s="8">
        <v>1</v>
      </c>
      <c r="AD300" s="34">
        <f t="shared" ca="1" si="168"/>
        <v>4</v>
      </c>
      <c r="AE300" s="9">
        <v>80</v>
      </c>
      <c r="AF300" s="8">
        <v>0</v>
      </c>
      <c r="AG300" s="8">
        <v>0</v>
      </c>
      <c r="AH300" s="8">
        <v>0</v>
      </c>
      <c r="AI300" s="8">
        <v>0</v>
      </c>
      <c r="AJ300" s="8">
        <v>1</v>
      </c>
    </row>
    <row r="301" spans="1:36" ht="21" customHeight="1">
      <c r="A301" s="21" t="str">
        <f t="shared" ref="A301:A305" si="217">B301&amp;"_"&amp;C301&amp;"-"&amp;G301&amp;"/"&amp;I301&amp;"&lt;lv"&amp;O301&amp;"&gt;s"&amp;X301</f>
        <v>11106_3-4/119&lt;lv2&gt;s4</v>
      </c>
      <c r="B301" s="8">
        <v>11106</v>
      </c>
      <c r="C301" s="32">
        <v>3</v>
      </c>
      <c r="D301" s="2" t="str">
        <f t="shared" ref="D301:D305" si="218">B301&amp;"_"&amp;C301</f>
        <v>11106_3</v>
      </c>
      <c r="E301" s="5" t="str">
        <f ca="1">VLOOKUP($B301,OFFSET([1]quests!$A$1,0,0,COUNTA([1]quests!$A:$A),MATCH(E$1,[1]quests!$1:$1,0)-MATCH($B$1,[1]quests!$1:$1,0)+1),MATCH(E$1,[1]quests!$1:$1,0)-MATCH($B$1,[1]quests!$1:$1,0)+1,FALSE)</f>
        <v>【キャンペーン限定】 ゴールドカジノ</v>
      </c>
      <c r="F301" s="5" t="str">
        <f ca="1">VLOOKUP($D301,OFFSET([1]stages!$A$1,0,0,COUNTA([1]stages!$A:$A),MATCH(F$1,[1]stages!$2:$2,0)-MATCH($D$1,[1]stages!$2:$2,0)+1),MATCH(F$1,[1]stages!$2:$2,0)-MATCH($D$1,[1]stages!$2:$2,0)+1,FALSE)</f>
        <v>ゴールドカジノ 【上級】</v>
      </c>
      <c r="G301" s="32">
        <v>4</v>
      </c>
      <c r="H301" s="20" t="str">
        <f t="shared" ref="H301:H305" si="219">B301&amp;"_"&amp;C301&amp;"-"&amp;G301</f>
        <v>11106_3-4</v>
      </c>
      <c r="I301" s="31">
        <v>119</v>
      </c>
      <c r="J301" s="26" t="str">
        <f ca="1">VLOOKUP($I301,OFFSET([2]enemies!$A$1,0,0,COUNTA([2]enemies!$A:$A),MATCH(J$1,[2]enemies!$2:$2,0)-MATCH($I$1,[2]enemies!$2:$2,0)+1),MATCH(J$1,[2]enemies!$2:$2,0)-MATCH($I$1,[2]enemies!$2:$2,0)+1,FALSE)</f>
        <v>ゴールドダック</v>
      </c>
      <c r="K301" s="29" t="str">
        <f ca="1">VLOOKUP($I301,OFFSET([2]enemies!$A$1,0,0,COUNTA([2]enemies!$A:$A),MATCH(K$1,[2]enemies!$2:$2,0)-MATCH($I$1,[2]enemies!$2:$2,0)+1),MATCH(K$1,[2]enemies!$2:$2,0)-MATCH($I$1,[2]enemies!$2:$2,0)+1,FALSE)</f>
        <v>yellow</v>
      </c>
      <c r="L301" s="29" t="str">
        <f ca="1">VLOOKUP($I301,OFFSET([3]characters!$A$1,0,0,COUNTA([3]characters!$A:$A),MATCH(L$1,[3]characters!$2:$2,0)-MATCH($I$1,[3]characters!$2:$2,0)+1),MATCH(L$1,[3]characters!$2:$2,0)-MATCH($I$1,[3]characters!$2:$2,0)+1,FALSE)</f>
        <v>Material</v>
      </c>
      <c r="M301" s="28" t="str">
        <f ca="1">VLOOKUP($I301,OFFSET([3]characters!$A$1,0,0,COUNTA([3]characters!$A:$A),MATCH(M$1,[3]characters!$2:$2,0)-MATCH($I$1,[3]characters!$2:$2,0)+2),MATCH(M$1,[3]characters!$2:$2,0)-MATCH($I$1,[3]characters!$2:$2,0)+2,FALSE)</f>
        <v>Unknown</v>
      </c>
      <c r="N301" s="5">
        <f ca="1">VLOOKUP($I301,OFFSET([2]enemies!$A$1,0,0,COUNTA([2]enemies!$A:$A),MATCH(N$1,[2]enemies!$2:$2,0)-MATCH($I$1,[2]enemies!$2:$2,0)+1),MATCH(N$1,[2]enemies!$2:$2,0)-MATCH($I$1,[2]enemies!$2:$2,0)+1,FALSE)</f>
        <v>20</v>
      </c>
      <c r="O301" s="6">
        <v>2</v>
      </c>
      <c r="P301" s="46">
        <v>93.3</v>
      </c>
      <c r="Q301" s="46">
        <v>41</v>
      </c>
      <c r="R301" s="6">
        <v>0</v>
      </c>
      <c r="S301" s="5" t="str">
        <f ca="1">VLOOKUP($T301,OFFSET([4]enemy_skill_sets!$B$1,0,0,COUNTA([4]enemy_skill_sets!$B:$B),MATCH(J$1,[4]enemy_skill_sets!$1:$1,0)-MATCH($T$1,[4]enemy_skill_sets!$1:$1,0)+2),MATCH(J$1,[4]enemy_skill_sets!$1:$1,0)-MATCH($T$1,[4]enemy_skill_sets!$1:$1,0)+2,FALSE)</f>
        <v>攻撃力30倍の自爆攻撃！</v>
      </c>
      <c r="T301" s="43">
        <v>11903</v>
      </c>
      <c r="U301" s="7">
        <v>1</v>
      </c>
      <c r="V301" s="7">
        <v>100</v>
      </c>
      <c r="W301" s="7">
        <v>0</v>
      </c>
      <c r="X301" s="44">
        <v>4</v>
      </c>
      <c r="Y301" s="31">
        <v>119</v>
      </c>
      <c r="Z301" s="5" t="str">
        <f ca="1">IFERROR(VLOOKUP($Y301,OFFSET([3]characters!$A$1,0,0,COUNTA([3]characters!$A:$A),MATCH(Z$1,[3]characters!$2:$2,0)-MATCH("character_id",[3]characters!$2:$2,0)+1),MATCH(Z$1,[3]characters!$2:$2,0)-MATCH("character_id",[3]characters!$2:$2,0)+1,FALSE),"")</f>
        <v>ゴールドダック</v>
      </c>
      <c r="AA301" s="5">
        <f ca="1">IFERROR(VLOOKUP($Y301,OFFSET([3]characters!$A$1,0,0,COUNTA([3]characters!$A:$A),MATCH(AA$1,[3]characters!$2:$2,0)-MATCH("character_id",[3]characters!$2:$2,0)+1),MATCH(AA$1,[3]characters!$2:$2,0)-MATCH("character_id",[3]characters!$2:$2,0)+1,FALSE),"")</f>
        <v>5</v>
      </c>
      <c r="AB301" s="5" t="str">
        <f ca="1">IFERROR(VLOOKUP($Y301,OFFSET([3]characters!$A$1,0,0,COUNTA([3]characters!$A:$A),MATCH(AB$1,[3]characters!$2:$2,0)-MATCH("character_id",[3]characters!$2:$2,0)+1),MATCH(AB$1,[3]characters!$2:$2,0)-MATCH("character_id",[3]characters!$2:$2,0)+1,FALSE),"")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01" s="8">
        <v>1</v>
      </c>
      <c r="AD301" s="34">
        <f t="shared" ref="AD301:AD305" ca="1" si="220">AA301</f>
        <v>5</v>
      </c>
      <c r="AE301" s="9">
        <v>30</v>
      </c>
      <c r="AF301" s="8">
        <v>0</v>
      </c>
      <c r="AG301" s="8">
        <v>0</v>
      </c>
      <c r="AH301" s="8">
        <v>0</v>
      </c>
      <c r="AI301" s="8">
        <v>0</v>
      </c>
      <c r="AJ301" s="8">
        <v>1</v>
      </c>
    </row>
    <row r="302" spans="1:36" ht="21" customHeight="1">
      <c r="A302" s="21" t="str">
        <f t="shared" ca="1" si="217"/>
        <v>11106_3-4/63&lt;lv32&gt;s2</v>
      </c>
      <c r="B302" s="8">
        <v>11106</v>
      </c>
      <c r="C302" s="32">
        <v>3</v>
      </c>
      <c r="D302" s="20" t="str">
        <f t="shared" si="218"/>
        <v>11106_3</v>
      </c>
      <c r="E302" s="5" t="str">
        <f ca="1">VLOOKUP($B302,OFFSET([1]quests!$A$1,0,0,COUNTA([1]quests!$A:$A),MATCH(E$1,[1]quests!$1:$1,0)-MATCH($B$1,[1]quests!$1:$1,0)+1),MATCH(E$1,[1]quests!$1:$1,0)-MATCH($B$1,[1]quests!$1:$1,0)+1,FALSE)</f>
        <v>【キャンペーン限定】 ゴールドカジノ</v>
      </c>
      <c r="F302" s="5" t="str">
        <f ca="1">VLOOKUP($D302,OFFSET([1]stages!$A$1,0,0,COUNTA([1]stages!$A:$A),MATCH(F$1,[1]stages!$2:$2,0)-MATCH($D$1,[1]stages!$2:$2,0)+1),MATCH(F$1,[1]stages!$2:$2,0)-MATCH($D$1,[1]stages!$2:$2,0)+1,FALSE)</f>
        <v>ゴールドカジノ 【上級】</v>
      </c>
      <c r="G302" s="32">
        <v>4</v>
      </c>
      <c r="H302" s="20" t="str">
        <f t="shared" si="219"/>
        <v>11106_3-4</v>
      </c>
      <c r="I302" s="41">
        <v>63</v>
      </c>
      <c r="J302" s="26" t="str">
        <f ca="1">VLOOKUP($I302,OFFSET([2]enemies!$A$1,0,0,COUNTA([2]enemies!$A:$A),MATCH(J$1,[2]enemies!$2:$2,0)-MATCH($I$1,[2]enemies!$2:$2,0)+1),MATCH(J$1,[2]enemies!$2:$2,0)-MATCH($I$1,[2]enemies!$2:$2,0)+1,FALSE)</f>
        <v>トニー</v>
      </c>
      <c r="K302" s="29" t="str">
        <f ca="1">VLOOKUP($I302,OFFSET([2]enemies!$A$1,0,0,COUNTA([2]enemies!$A:$A),MATCH(K$1,[2]enemies!$2:$2,0)-MATCH($I$1,[2]enemies!$2:$2,0)+1),MATCH(K$1,[2]enemies!$2:$2,0)-MATCH($I$1,[2]enemies!$2:$2,0)+1,FALSE)</f>
        <v>yellow</v>
      </c>
      <c r="L302" s="29" t="str">
        <f ca="1">VLOOKUP($I302,OFFSET([3]characters!$A$1,0,0,COUNTA([3]characters!$A:$A),MATCH(L$1,[3]characters!$2:$2,0)-MATCH($I$1,[3]characters!$2:$2,0)+1),MATCH(L$1,[3]characters!$2:$2,0)-MATCH($I$1,[3]characters!$2:$2,0)+1,FALSE)</f>
        <v>Drop1N</v>
      </c>
      <c r="M302" s="28" t="str">
        <f ca="1">VLOOKUP($I302,OFFSET([3]characters!$A$1,0,0,COUNTA([3]characters!$A:$A),MATCH(M$1,[3]characters!$2:$2,0)-MATCH($I$1,[3]characters!$2:$2,0)+2),MATCH(M$1,[3]characters!$2:$2,0)-MATCH($I$1,[3]characters!$2:$2,0)+2,FALSE)</f>
        <v>アニマル</v>
      </c>
      <c r="N302" s="5">
        <f ca="1">VLOOKUP($I302,OFFSET([2]enemies!$A$1,0,0,COUNTA([2]enemies!$A:$A),MATCH(N$1,[2]enemies!$2:$2,0)-MATCH($I$1,[2]enemies!$2:$2,0)+1),MATCH(N$1,[2]enemies!$2:$2,0)-MATCH($I$1,[2]enemies!$2:$2,0)+1,FALSE)</f>
        <v>15</v>
      </c>
      <c r="O302" s="6">
        <v>32</v>
      </c>
      <c r="P302" s="46">
        <v>1</v>
      </c>
      <c r="Q302" s="46">
        <v>1</v>
      </c>
      <c r="R302" s="6">
        <v>0</v>
      </c>
      <c r="S302" s="5" t="str">
        <f ca="1">VLOOKUP($T302,OFFSET([4]enemy_skill_sets!$B$1,0,0,COUNTA([4]enemy_skill_sets!$B:$B),MATCH(J$1,[4]enemy_skill_sets!$1:$1,0)-MATCH($T$1,[4]enemy_skill_sets!$1:$1,0)+2),MATCH(J$1,[4]enemy_skill_sets!$1:$1,0)-MATCH($T$1,[4]enemy_skill_sets!$1:$1,0)+2,FALSE)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302" s="5">
        <f ca="1">VLOOKUP($I302,OFFSET([2]enemies!$A$1,0,0,COUNTA([2]enemies!$A:$A),MATCH(T$1,[2]enemies!$2:$2,0)-MATCH($I$1,[2]enemies!$2:$2,0)+1),MATCH(T$1,[2]enemies!$2:$2,0)-MATCH($I$1,[2]enemies!$2:$2,0)+1,FALSE)</f>
        <v>63</v>
      </c>
      <c r="U302" s="40">
        <v>0</v>
      </c>
      <c r="V302" s="7">
        <v>100</v>
      </c>
      <c r="W302" s="40">
        <v>0</v>
      </c>
      <c r="X302" s="26">
        <f ca="1">VLOOKUP($I302,OFFSET([2]enemies!$A$1,0,0,COUNTA([2]enemies!$A:$A),MATCH(X$1,[2]enemies!$2:$2,0)-MATCH($I$1,[2]enemies!$2:$2,0)+1),MATCH(X$1,[2]enemies!$2:$2,0)-MATCH($I$1,[2]enemies!$2:$2,0)+1,FALSE)</f>
        <v>2</v>
      </c>
      <c r="Y302" s="41">
        <v>63</v>
      </c>
      <c r="Z302" s="5" t="str">
        <f ca="1">IFERROR(VLOOKUP($Y302,OFFSET([3]characters!$A$1,0,0,COUNTA([3]characters!$A:$A),MATCH(Z$1,[3]characters!$2:$2,0)-MATCH("character_id",[3]characters!$2:$2,0)+1),MATCH(Z$1,[3]characters!$2:$2,0)-MATCH("character_id",[3]characters!$2:$2,0)+1,FALSE),"")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302" s="5">
        <f ca="1">IFERROR(VLOOKUP($Y302,OFFSET([3]characters!$A$1,0,0,COUNTA([3]characters!$A:$A),MATCH(AA$1,[3]characters!$2:$2,0)-MATCH("character_id",[3]characters!$2:$2,0)+1),MATCH(AA$1,[3]characters!$2:$2,0)-MATCH("character_id",[3]characters!$2:$2,0)+1,FALSE),"")</f>
        <v>2</v>
      </c>
      <c r="AB302" s="5" t="str">
        <f ca="1">IFERROR(VLOOKUP($Y302,OFFSET([3]characters!$A$1,0,0,COUNTA([3]characters!$A:$A),MATCH(AB$1,[3]characters!$2:$2,0)-MATCH("character_id",[3]characters!$2:$2,0)+1),MATCH(AB$1,[3]characters!$2:$2,0)-MATCH("character_id",[3]characters!$2:$2,0)+1,FALSE),"")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02" s="35">
        <v>1</v>
      </c>
      <c r="AD302" s="35">
        <f t="shared" ca="1" si="220"/>
        <v>2</v>
      </c>
      <c r="AE302" s="9">
        <v>0</v>
      </c>
      <c r="AF302" s="35">
        <v>0</v>
      </c>
      <c r="AG302" s="35">
        <v>0</v>
      </c>
      <c r="AH302" s="35">
        <v>0</v>
      </c>
      <c r="AI302" s="35">
        <v>0</v>
      </c>
      <c r="AJ302" s="35">
        <v>1</v>
      </c>
    </row>
    <row r="303" spans="1:36" ht="21" customHeight="1">
      <c r="A303" s="21" t="str">
        <f t="shared" ca="1" si="217"/>
        <v>11106_3-4/61&lt;lv32&gt;s2</v>
      </c>
      <c r="B303" s="8">
        <v>11106</v>
      </c>
      <c r="C303" s="32">
        <v>3</v>
      </c>
      <c r="D303" s="20" t="str">
        <f t="shared" si="218"/>
        <v>11106_3</v>
      </c>
      <c r="E303" s="5" t="str">
        <f ca="1">VLOOKUP($B303,OFFSET([1]quests!$A$1,0,0,COUNTA([1]quests!$A:$A),MATCH(E$1,[1]quests!$1:$1,0)-MATCH($B$1,[1]quests!$1:$1,0)+1),MATCH(E$1,[1]quests!$1:$1,0)-MATCH($B$1,[1]quests!$1:$1,0)+1,FALSE)</f>
        <v>【キャンペーン限定】 ゴールドカジノ</v>
      </c>
      <c r="F303" s="5" t="str">
        <f ca="1">VLOOKUP($D303,OFFSET([1]stages!$A$1,0,0,COUNTA([1]stages!$A:$A),MATCH(F$1,[1]stages!$2:$2,0)-MATCH($D$1,[1]stages!$2:$2,0)+1),MATCH(F$1,[1]stages!$2:$2,0)-MATCH($D$1,[1]stages!$2:$2,0)+1,FALSE)</f>
        <v>ゴールドカジノ 【上級】</v>
      </c>
      <c r="G303" s="32">
        <v>4</v>
      </c>
      <c r="H303" s="20" t="str">
        <f t="shared" si="219"/>
        <v>11106_3-4</v>
      </c>
      <c r="I303" s="41">
        <v>61</v>
      </c>
      <c r="J303" s="26" t="str">
        <f ca="1">VLOOKUP($I303,OFFSET([2]enemies!$A$1,0,0,COUNTA([2]enemies!$A:$A),MATCH(J$1,[2]enemies!$2:$2,0)-MATCH($I$1,[2]enemies!$2:$2,0)+1),MATCH(J$1,[2]enemies!$2:$2,0)-MATCH($I$1,[2]enemies!$2:$2,0)+1,FALSE)</f>
        <v>クロウ</v>
      </c>
      <c r="K303" s="29" t="str">
        <f ca="1">VLOOKUP($I303,OFFSET([2]enemies!$A$1,0,0,COUNTA([2]enemies!$A:$A),MATCH(K$1,[2]enemies!$2:$2,0)-MATCH($I$1,[2]enemies!$2:$2,0)+1),MATCH(K$1,[2]enemies!$2:$2,0)-MATCH($I$1,[2]enemies!$2:$2,0)+1,FALSE)</f>
        <v>blue</v>
      </c>
      <c r="L303" s="29" t="str">
        <f ca="1">VLOOKUP($I303,OFFSET([3]characters!$A$1,0,0,COUNTA([3]characters!$A:$A),MATCH(L$1,[3]characters!$2:$2,0)-MATCH($I$1,[3]characters!$2:$2,0)+1),MATCH(L$1,[3]characters!$2:$2,0)-MATCH($I$1,[3]characters!$2:$2,0)+1,FALSE)</f>
        <v>Drop1N</v>
      </c>
      <c r="M303" s="28" t="str">
        <f ca="1">VLOOKUP($I303,OFFSET([3]characters!$A$1,0,0,COUNTA([3]characters!$A:$A),MATCH(M$1,[3]characters!$2:$2,0)-MATCH($I$1,[3]characters!$2:$2,0)+2),MATCH(M$1,[3]characters!$2:$2,0)-MATCH($I$1,[3]characters!$2:$2,0)+2,FALSE)</f>
        <v>アニマル</v>
      </c>
      <c r="N303" s="5">
        <f ca="1">VLOOKUP($I303,OFFSET([2]enemies!$A$1,0,0,COUNTA([2]enemies!$A:$A),MATCH(N$1,[2]enemies!$2:$2,0)-MATCH($I$1,[2]enemies!$2:$2,0)+1),MATCH(N$1,[2]enemies!$2:$2,0)-MATCH($I$1,[2]enemies!$2:$2,0)+1,FALSE)</f>
        <v>15</v>
      </c>
      <c r="O303" s="6">
        <v>32</v>
      </c>
      <c r="P303" s="46">
        <v>1</v>
      </c>
      <c r="Q303" s="46">
        <v>1</v>
      </c>
      <c r="R303" s="6">
        <v>0</v>
      </c>
      <c r="S303" s="5" t="str">
        <f ca="1">VLOOKUP($T303,OFFSET([4]enemy_skill_sets!$B$1,0,0,COUNTA([4]enemy_skill_sets!$B:$B),MATCH(J$1,[4]enemy_skill_sets!$1:$1,0)-MATCH($T$1,[4]enemy_skill_sets!$1:$1,0)+2),MATCH(J$1,[4]enemy_skill_sets!$1:$1,0)-MATCH($T$1,[4]enemy_skill_sets!$1:$1,0)+2,FALSE)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03" s="5">
        <f ca="1">VLOOKUP($I303,OFFSET([2]enemies!$A$1,0,0,COUNTA([2]enemies!$A:$A),MATCH(T$1,[2]enemies!$2:$2,0)-MATCH($I$1,[2]enemies!$2:$2,0)+1),MATCH(T$1,[2]enemies!$2:$2,0)-MATCH($I$1,[2]enemies!$2:$2,0)+1,FALSE)</f>
        <v>61</v>
      </c>
      <c r="U303" s="40">
        <v>0</v>
      </c>
      <c r="V303" s="7">
        <v>100</v>
      </c>
      <c r="W303" s="40">
        <v>0</v>
      </c>
      <c r="X303" s="26">
        <f ca="1">VLOOKUP($I303,OFFSET([2]enemies!$A$1,0,0,COUNTA([2]enemies!$A:$A),MATCH(X$1,[2]enemies!$2:$2,0)-MATCH($I$1,[2]enemies!$2:$2,0)+1),MATCH(X$1,[2]enemies!$2:$2,0)-MATCH($I$1,[2]enemies!$2:$2,0)+1,FALSE)</f>
        <v>2</v>
      </c>
      <c r="Y303" s="41">
        <v>61</v>
      </c>
      <c r="Z303" s="5" t="str">
        <f ca="1">IFERROR(VLOOKUP($Y303,OFFSET([3]characters!$A$1,0,0,COUNTA([3]characters!$A:$A),MATCH(Z$1,[3]characters!$2:$2,0)-MATCH("character_id",[3]characters!$2:$2,0)+1),MATCH(Z$1,[3]characters!$2:$2,0)-MATCH("character_id",[3]characters!$2:$2,0)+1,FALSE),"")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303" s="5">
        <f ca="1">IFERROR(VLOOKUP($Y303,OFFSET([3]characters!$A$1,0,0,COUNTA([3]characters!$A:$A),MATCH(AA$1,[3]characters!$2:$2,0)-MATCH("character_id",[3]characters!$2:$2,0)+1),MATCH(AA$1,[3]characters!$2:$2,0)-MATCH("character_id",[3]characters!$2:$2,0)+1,FALSE),"")</f>
        <v>2</v>
      </c>
      <c r="AB303" s="5" t="str">
        <f ca="1">IFERROR(VLOOKUP($Y303,OFFSET([3]characters!$A$1,0,0,COUNTA([3]characters!$A:$A),MATCH(AB$1,[3]characters!$2:$2,0)-MATCH("character_id",[3]characters!$2:$2,0)+1),MATCH(AB$1,[3]characters!$2:$2,0)-MATCH("character_id",[3]characters!$2:$2,0)+1,FALSE),"")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03" s="35">
        <v>1</v>
      </c>
      <c r="AD303" s="35">
        <f t="shared" ca="1" si="220"/>
        <v>2</v>
      </c>
      <c r="AE303" s="9">
        <v>0</v>
      </c>
      <c r="AF303" s="35">
        <v>0</v>
      </c>
      <c r="AG303" s="35">
        <v>0</v>
      </c>
      <c r="AH303" s="35">
        <v>0</v>
      </c>
      <c r="AI303" s="35">
        <v>0</v>
      </c>
      <c r="AJ303" s="35">
        <v>1</v>
      </c>
    </row>
    <row r="304" spans="1:36" ht="21" customHeight="1">
      <c r="A304" s="21" t="str">
        <f t="shared" ca="1" si="217"/>
        <v>11106_3-4/57&lt;lv32&gt;s2</v>
      </c>
      <c r="B304" s="8">
        <v>11106</v>
      </c>
      <c r="C304" s="32">
        <v>3</v>
      </c>
      <c r="D304" s="20" t="str">
        <f t="shared" si="218"/>
        <v>11106_3</v>
      </c>
      <c r="E304" s="5" t="str">
        <f ca="1">VLOOKUP($B304,OFFSET([1]quests!$A$1,0,0,COUNTA([1]quests!$A:$A),MATCH(E$1,[1]quests!$1:$1,0)-MATCH($B$1,[1]quests!$1:$1,0)+1),MATCH(E$1,[1]quests!$1:$1,0)-MATCH($B$1,[1]quests!$1:$1,0)+1,FALSE)</f>
        <v>【キャンペーン限定】 ゴールドカジノ</v>
      </c>
      <c r="F304" s="5" t="str">
        <f ca="1">VLOOKUP($D304,OFFSET([1]stages!$A$1,0,0,COUNTA([1]stages!$A:$A),MATCH(F$1,[1]stages!$2:$2,0)-MATCH($D$1,[1]stages!$2:$2,0)+1),MATCH(F$1,[1]stages!$2:$2,0)-MATCH($D$1,[1]stages!$2:$2,0)+1,FALSE)</f>
        <v>ゴールドカジノ 【上級】</v>
      </c>
      <c r="G304" s="32">
        <v>4</v>
      </c>
      <c r="H304" s="20" t="str">
        <f t="shared" si="219"/>
        <v>11106_3-4</v>
      </c>
      <c r="I304" s="41">
        <v>57</v>
      </c>
      <c r="J304" s="26" t="str">
        <f ca="1">VLOOKUP($I304,OFFSET([2]enemies!$A$1,0,0,COUNTA([2]enemies!$A:$A),MATCH(J$1,[2]enemies!$2:$2,0)-MATCH($I$1,[2]enemies!$2:$2,0)+1),MATCH(J$1,[2]enemies!$2:$2,0)-MATCH($I$1,[2]enemies!$2:$2,0)+1,FALSE)</f>
        <v>チェン・リー</v>
      </c>
      <c r="K304" s="29" t="str">
        <f ca="1">VLOOKUP($I304,OFFSET([2]enemies!$A$1,0,0,COUNTA([2]enemies!$A:$A),MATCH(K$1,[2]enemies!$2:$2,0)-MATCH($I$1,[2]enemies!$2:$2,0)+1),MATCH(K$1,[2]enemies!$2:$2,0)-MATCH($I$1,[2]enemies!$2:$2,0)+1,FALSE)</f>
        <v>red</v>
      </c>
      <c r="L304" s="29" t="str">
        <f ca="1">VLOOKUP($I304,OFFSET([3]characters!$A$1,0,0,COUNTA([3]characters!$A:$A),MATCH(L$1,[3]characters!$2:$2,0)-MATCH($I$1,[3]characters!$2:$2,0)+1),MATCH(L$1,[3]characters!$2:$2,0)-MATCH($I$1,[3]characters!$2:$2,0)+1,FALSE)</f>
        <v>Drop1N</v>
      </c>
      <c r="M304" s="28" t="str">
        <f ca="1">VLOOKUP($I304,OFFSET([3]characters!$A$1,0,0,COUNTA([3]characters!$A:$A),MATCH(M$1,[3]characters!$2:$2,0)-MATCH($I$1,[3]characters!$2:$2,0)+2),MATCH(M$1,[3]characters!$2:$2,0)-MATCH($I$1,[3]characters!$2:$2,0)+2,FALSE)</f>
        <v>アニマル</v>
      </c>
      <c r="N304" s="5">
        <f ca="1">VLOOKUP($I304,OFFSET([2]enemies!$A$1,0,0,COUNTA([2]enemies!$A:$A),MATCH(N$1,[2]enemies!$2:$2,0)-MATCH($I$1,[2]enemies!$2:$2,0)+1),MATCH(N$1,[2]enemies!$2:$2,0)-MATCH($I$1,[2]enemies!$2:$2,0)+1,FALSE)</f>
        <v>15</v>
      </c>
      <c r="O304" s="6">
        <v>32</v>
      </c>
      <c r="P304" s="46">
        <v>1</v>
      </c>
      <c r="Q304" s="46">
        <v>1</v>
      </c>
      <c r="R304" s="6">
        <v>0</v>
      </c>
      <c r="S304" s="5" t="str">
        <f ca="1">VLOOKUP($T304,OFFSET([4]enemy_skill_sets!$B$1,0,0,COUNTA([4]enemy_skill_sets!$B:$B),MATCH(J$1,[4]enemy_skill_sets!$1:$1,0)-MATCH($T$1,[4]enemy_skill_sets!$1:$1,0)+2),MATCH(J$1,[4]enemy_skill_sets!$1:$1,0)-MATCH($T$1,[4]enemy_skill_sets!$1:$1,0)+2,FALSE)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304" s="5">
        <f ca="1">VLOOKUP($I304,OFFSET([2]enemies!$A$1,0,0,COUNTA([2]enemies!$A:$A),MATCH(T$1,[2]enemies!$2:$2,0)-MATCH($I$1,[2]enemies!$2:$2,0)+1),MATCH(T$1,[2]enemies!$2:$2,0)-MATCH($I$1,[2]enemies!$2:$2,0)+1,FALSE)</f>
        <v>57</v>
      </c>
      <c r="U304" s="40">
        <v>0</v>
      </c>
      <c r="V304" s="7">
        <v>100</v>
      </c>
      <c r="W304" s="40">
        <v>0</v>
      </c>
      <c r="X304" s="26">
        <f ca="1">VLOOKUP($I304,OFFSET([2]enemies!$A$1,0,0,COUNTA([2]enemies!$A:$A),MATCH(X$1,[2]enemies!$2:$2,0)-MATCH($I$1,[2]enemies!$2:$2,0)+1),MATCH(X$1,[2]enemies!$2:$2,0)-MATCH($I$1,[2]enemies!$2:$2,0)+1,FALSE)</f>
        <v>2</v>
      </c>
      <c r="Y304" s="41">
        <v>57</v>
      </c>
      <c r="Z304" s="5" t="str">
        <f ca="1">IFERROR(VLOOKUP($Y304,OFFSET([3]characters!$A$1,0,0,COUNTA([3]characters!$A:$A),MATCH(Z$1,[3]characters!$2:$2,0)-MATCH("character_id",[3]characters!$2:$2,0)+1),MATCH(Z$1,[3]characters!$2:$2,0)-MATCH("character_id",[3]characters!$2:$2,0)+1,FALSE),"")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304" s="5">
        <f ca="1">IFERROR(VLOOKUP($Y304,OFFSET([3]characters!$A$1,0,0,COUNTA([3]characters!$A:$A),MATCH(AA$1,[3]characters!$2:$2,0)-MATCH("character_id",[3]characters!$2:$2,0)+1),MATCH(AA$1,[3]characters!$2:$2,0)-MATCH("character_id",[3]characters!$2:$2,0)+1,FALSE),"")</f>
        <v>2</v>
      </c>
      <c r="AB304" s="5" t="str">
        <f ca="1">IFERROR(VLOOKUP($Y304,OFFSET([3]characters!$A$1,0,0,COUNTA([3]characters!$A:$A),MATCH(AB$1,[3]characters!$2:$2,0)-MATCH("character_id",[3]characters!$2:$2,0)+1),MATCH(AB$1,[3]characters!$2:$2,0)-MATCH("character_id",[3]characters!$2:$2,0)+1,FALSE),"")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04" s="35">
        <v>1</v>
      </c>
      <c r="AD304" s="35">
        <f t="shared" ca="1" si="220"/>
        <v>2</v>
      </c>
      <c r="AE304" s="9">
        <v>0</v>
      </c>
      <c r="AF304" s="35">
        <v>0</v>
      </c>
      <c r="AG304" s="35">
        <v>0</v>
      </c>
      <c r="AH304" s="35">
        <v>0</v>
      </c>
      <c r="AI304" s="35">
        <v>0</v>
      </c>
      <c r="AJ304" s="35">
        <v>1</v>
      </c>
    </row>
    <row r="305" spans="1:36" ht="21" customHeight="1">
      <c r="A305" s="21" t="str">
        <f t="shared" ca="1" si="217"/>
        <v>11106_3-4/59&lt;lv32&gt;s2</v>
      </c>
      <c r="B305" s="54">
        <v>11106</v>
      </c>
      <c r="C305" s="55">
        <v>3</v>
      </c>
      <c r="D305" s="56" t="str">
        <f t="shared" si="218"/>
        <v>11106_3</v>
      </c>
      <c r="E305" s="57" t="str">
        <f ca="1">VLOOKUP($B305,OFFSET([1]quests!$A$1,0,0,COUNTA([1]quests!$A:$A),MATCH(E$1,[1]quests!$1:$1,0)-MATCH($B$1,[1]quests!$1:$1,0)+1),MATCH(E$1,[1]quests!$1:$1,0)-MATCH($B$1,[1]quests!$1:$1,0)+1,FALSE)</f>
        <v>【キャンペーン限定】 ゴールドカジノ</v>
      </c>
      <c r="F305" s="57" t="str">
        <f ca="1">VLOOKUP($D305,OFFSET([1]stages!$A$1,0,0,COUNTA([1]stages!$A:$A),MATCH(F$1,[1]stages!$2:$2,0)-MATCH($D$1,[1]stages!$2:$2,0)+1),MATCH(F$1,[1]stages!$2:$2,0)-MATCH($D$1,[1]stages!$2:$2,0)+1,FALSE)</f>
        <v>ゴールドカジノ 【上級】</v>
      </c>
      <c r="G305" s="55">
        <v>4</v>
      </c>
      <c r="H305" s="56" t="str">
        <f t="shared" si="219"/>
        <v>11106_3-4</v>
      </c>
      <c r="I305" s="58">
        <v>59</v>
      </c>
      <c r="J305" s="59" t="str">
        <f ca="1">VLOOKUP($I305,OFFSET([2]enemies!$A$1,0,0,COUNTA([2]enemies!$A:$A),MATCH(J$1,[2]enemies!$2:$2,0)-MATCH($I$1,[2]enemies!$2:$2,0)+1),MATCH(J$1,[2]enemies!$2:$2,0)-MATCH($I$1,[2]enemies!$2:$2,0)+1,FALSE)</f>
        <v>マーチ</v>
      </c>
      <c r="K305" s="60" t="str">
        <f ca="1">VLOOKUP($I305,OFFSET([2]enemies!$A$1,0,0,COUNTA([2]enemies!$A:$A),MATCH(K$1,[2]enemies!$2:$2,0)-MATCH($I$1,[2]enemies!$2:$2,0)+1),MATCH(K$1,[2]enemies!$2:$2,0)-MATCH($I$1,[2]enemies!$2:$2,0)+1,FALSE)</f>
        <v>green</v>
      </c>
      <c r="L305" s="60" t="str">
        <f ca="1">VLOOKUP($I305,OFFSET([3]characters!$A$1,0,0,COUNTA([3]characters!$A:$A),MATCH(L$1,[3]characters!$2:$2,0)-MATCH($I$1,[3]characters!$2:$2,0)+1),MATCH(L$1,[3]characters!$2:$2,0)-MATCH($I$1,[3]characters!$2:$2,0)+1,FALSE)</f>
        <v>Drop1N</v>
      </c>
      <c r="M305" s="61" t="str">
        <f ca="1">VLOOKUP($I305,OFFSET([3]characters!$A$1,0,0,COUNTA([3]characters!$A:$A),MATCH(M$1,[3]characters!$2:$2,0)-MATCH($I$1,[3]characters!$2:$2,0)+2),MATCH(M$1,[3]characters!$2:$2,0)-MATCH($I$1,[3]characters!$2:$2,0)+2,FALSE)</f>
        <v>アニマル</v>
      </c>
      <c r="N305" s="57">
        <f ca="1">VLOOKUP($I305,OFFSET([2]enemies!$A$1,0,0,COUNTA([2]enemies!$A:$A),MATCH(N$1,[2]enemies!$2:$2,0)-MATCH($I$1,[2]enemies!$2:$2,0)+1),MATCH(N$1,[2]enemies!$2:$2,0)-MATCH($I$1,[2]enemies!$2:$2,0)+1,FALSE)</f>
        <v>15</v>
      </c>
      <c r="O305" s="62">
        <v>32</v>
      </c>
      <c r="P305" s="63">
        <v>1</v>
      </c>
      <c r="Q305" s="63">
        <v>1</v>
      </c>
      <c r="R305" s="62">
        <v>0</v>
      </c>
      <c r="S305" s="57" t="str">
        <f ca="1">VLOOKUP($T305,OFFSET([4]enemy_skill_sets!$B$1,0,0,COUNTA([4]enemy_skill_sets!$B:$B),MATCH(J$1,[4]enemy_skill_sets!$1:$1,0)-MATCH($T$1,[4]enemy_skill_sets!$1:$1,0)+2),MATCH(J$1,[4]enemy_skill_sets!$1:$1,0)-MATCH($T$1,[4]enemy_skill_sets!$1:$1,0)+2,FALSE)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05" s="57">
        <f ca="1">VLOOKUP($I305,OFFSET([2]enemies!$A$1,0,0,COUNTA([2]enemies!$A:$A),MATCH(T$1,[2]enemies!$2:$2,0)-MATCH($I$1,[2]enemies!$2:$2,0)+1),MATCH(T$1,[2]enemies!$2:$2,0)-MATCH($I$1,[2]enemies!$2:$2,0)+1,FALSE)</f>
        <v>59</v>
      </c>
      <c r="U305" s="64">
        <v>0</v>
      </c>
      <c r="V305" s="65">
        <v>100</v>
      </c>
      <c r="W305" s="64">
        <v>0</v>
      </c>
      <c r="X305" s="59">
        <f ca="1">VLOOKUP($I305,OFFSET([2]enemies!$A$1,0,0,COUNTA([2]enemies!$A:$A),MATCH(X$1,[2]enemies!$2:$2,0)-MATCH($I$1,[2]enemies!$2:$2,0)+1),MATCH(X$1,[2]enemies!$2:$2,0)-MATCH($I$1,[2]enemies!$2:$2,0)+1,FALSE)</f>
        <v>2</v>
      </c>
      <c r="Y305" s="58">
        <v>59</v>
      </c>
      <c r="Z305" s="57" t="str">
        <f ca="1">IFERROR(VLOOKUP($Y305,OFFSET([3]characters!$A$1,0,0,COUNTA([3]characters!$A:$A),MATCH(Z$1,[3]characters!$2:$2,0)-MATCH("character_id",[3]characters!$2:$2,0)+1),MATCH(Z$1,[3]characters!$2:$2,0)-MATCH("character_id",[3]characters!$2:$2,0)+1,FALSE),"")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305" s="57">
        <f ca="1">IFERROR(VLOOKUP($Y305,OFFSET([3]characters!$A$1,0,0,COUNTA([3]characters!$A:$A),MATCH(AA$1,[3]characters!$2:$2,0)-MATCH("character_id",[3]characters!$2:$2,0)+1),MATCH(AA$1,[3]characters!$2:$2,0)-MATCH("character_id",[3]characters!$2:$2,0)+1,FALSE),"")</f>
        <v>2</v>
      </c>
      <c r="AB305" s="57" t="str">
        <f ca="1">IFERROR(VLOOKUP($Y305,OFFSET([3]characters!$A$1,0,0,COUNTA([3]characters!$A:$A),MATCH(AB$1,[3]characters!$2:$2,0)-MATCH("character_id",[3]characters!$2:$2,0)+1),MATCH(AB$1,[3]characters!$2:$2,0)-MATCH("character_id",[3]characters!$2:$2,0)+1,FALSE),"")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05" s="54">
        <v>1</v>
      </c>
      <c r="AD305" s="54">
        <f t="shared" ca="1" si="220"/>
        <v>2</v>
      </c>
      <c r="AE305" s="66">
        <v>0</v>
      </c>
      <c r="AF305" s="54">
        <v>0</v>
      </c>
      <c r="AG305" s="54">
        <v>0</v>
      </c>
      <c r="AH305" s="54">
        <v>0</v>
      </c>
      <c r="AI305" s="54">
        <v>0</v>
      </c>
      <c r="AJ305" s="54">
        <v>1</v>
      </c>
    </row>
    <row r="306" spans="1:36" s="94" customFormat="1" ht="21" customHeight="1" thickBot="1">
      <c r="A306" s="78" t="str">
        <f t="shared" si="165"/>
        <v>11106_3-5/119&lt;lv2&gt;s4</v>
      </c>
      <c r="B306" s="79">
        <v>11106</v>
      </c>
      <c r="C306" s="80">
        <v>3</v>
      </c>
      <c r="D306" s="81" t="str">
        <f t="shared" si="166"/>
        <v>11106_3</v>
      </c>
      <c r="E306" s="82" t="str">
        <f ca="1">VLOOKUP($B306,OFFSET([1]quests!$A$1,0,0,COUNTA([1]quests!$A:$A),MATCH(E$1,[1]quests!$1:$1,0)-MATCH($B$1,[1]quests!$1:$1,0)+1),MATCH(E$1,[1]quests!$1:$1,0)-MATCH($B$1,[1]quests!$1:$1,0)+1,FALSE)</f>
        <v>【キャンペーン限定】 ゴールドカジノ</v>
      </c>
      <c r="F306" s="82" t="str">
        <f ca="1">VLOOKUP($D306,OFFSET([1]stages!$A$1,0,0,COUNTA([1]stages!$A:$A),MATCH(F$1,[1]stages!$2:$2,0)-MATCH($D$1,[1]stages!$2:$2,0)+1),MATCH(F$1,[1]stages!$2:$2,0)-MATCH($D$1,[1]stages!$2:$2,0)+1,FALSE)</f>
        <v>ゴールドカジノ 【上級】</v>
      </c>
      <c r="G306" s="80">
        <v>5</v>
      </c>
      <c r="H306" s="81" t="str">
        <f t="shared" si="167"/>
        <v>11106_3-5</v>
      </c>
      <c r="I306" s="83">
        <v>119</v>
      </c>
      <c r="J306" s="84" t="str">
        <f ca="1">VLOOKUP($I306,OFFSET([2]enemies!$A$1,0,0,COUNTA([2]enemies!$A:$A),MATCH(J$1,[2]enemies!$2:$2,0)-MATCH($I$1,[2]enemies!$2:$2,0)+1),MATCH(J$1,[2]enemies!$2:$2,0)-MATCH($I$1,[2]enemies!$2:$2,0)+1,FALSE)</f>
        <v>ゴールドダック</v>
      </c>
      <c r="K306" s="85" t="str">
        <f ca="1">VLOOKUP($I306,OFFSET([2]enemies!$A$1,0,0,COUNTA([2]enemies!$A:$A),MATCH(K$1,[2]enemies!$2:$2,0)-MATCH($I$1,[2]enemies!$2:$2,0)+1),MATCH(K$1,[2]enemies!$2:$2,0)-MATCH($I$1,[2]enemies!$2:$2,0)+1,FALSE)</f>
        <v>yellow</v>
      </c>
      <c r="L306" s="85" t="str">
        <f ca="1">VLOOKUP($I306,OFFSET([3]characters!$A$1,0,0,COUNTA([3]characters!$A:$A),MATCH(L$1,[3]characters!$2:$2,0)-MATCH($I$1,[3]characters!$2:$2,0)+1),MATCH(L$1,[3]characters!$2:$2,0)-MATCH($I$1,[3]characters!$2:$2,0)+1,FALSE)</f>
        <v>Material</v>
      </c>
      <c r="M306" s="86" t="str">
        <f ca="1">VLOOKUP($I306,OFFSET([3]characters!$A$1,0,0,COUNTA([3]characters!$A:$A),MATCH(M$1,[3]characters!$2:$2,0)-MATCH($I$1,[3]characters!$2:$2,0)+2),MATCH(M$1,[3]characters!$2:$2,0)-MATCH($I$1,[3]characters!$2:$2,0)+2,FALSE)</f>
        <v>Unknown</v>
      </c>
      <c r="N306" s="82">
        <f ca="1">VLOOKUP($I306,OFFSET([2]enemies!$A$1,0,0,COUNTA([2]enemies!$A:$A),MATCH(N$1,[2]enemies!$2:$2,0)-MATCH($I$1,[2]enemies!$2:$2,0)+1),MATCH(N$1,[2]enemies!$2:$2,0)-MATCH($I$1,[2]enemies!$2:$2,0)+1,FALSE)</f>
        <v>20</v>
      </c>
      <c r="O306" s="87">
        <v>2</v>
      </c>
      <c r="P306" s="88">
        <v>93.3</v>
      </c>
      <c r="Q306" s="88">
        <v>41</v>
      </c>
      <c r="R306" s="87">
        <v>0</v>
      </c>
      <c r="S306" s="82" t="str">
        <f ca="1">VLOOKUP($T306,OFFSET([4]enemy_skill_sets!$B$1,0,0,COUNTA([4]enemy_skill_sets!$B:$B),MATCH(J$1,[4]enemy_skill_sets!$1:$1,0)-MATCH($T$1,[4]enemy_skill_sets!$1:$1,0)+2),MATCH(J$1,[4]enemy_skill_sets!$1:$1,0)-MATCH($T$1,[4]enemy_skill_sets!$1:$1,0)+2,FALSE)</f>
        <v>攻撃力30倍の自爆攻撃！</v>
      </c>
      <c r="T306" s="89">
        <v>11903</v>
      </c>
      <c r="U306" s="90">
        <v>1</v>
      </c>
      <c r="V306" s="90">
        <v>100</v>
      </c>
      <c r="W306" s="90">
        <v>1</v>
      </c>
      <c r="X306" s="91">
        <v>4</v>
      </c>
      <c r="Y306" s="83">
        <v>119</v>
      </c>
      <c r="Z306" s="82" t="str">
        <f ca="1">IFERROR(VLOOKUP($Y306,OFFSET([3]characters!$A$1,0,0,COUNTA([3]characters!$A:$A),MATCH(Z$1,[3]characters!$2:$2,0)-MATCH("character_id",[3]characters!$2:$2,0)+1),MATCH(Z$1,[3]characters!$2:$2,0)-MATCH("character_id",[3]characters!$2:$2,0)+1,FALSE),"")</f>
        <v>ゴールドダック</v>
      </c>
      <c r="AA306" s="82">
        <f ca="1">IFERROR(VLOOKUP($Y306,OFFSET([3]characters!$A$1,0,0,COUNTA([3]characters!$A:$A),MATCH(AA$1,[3]characters!$2:$2,0)-MATCH("character_id",[3]characters!$2:$2,0)+1),MATCH(AA$1,[3]characters!$2:$2,0)-MATCH("character_id",[3]characters!$2:$2,0)+1,FALSE),"")</f>
        <v>5</v>
      </c>
      <c r="AB306" s="82" t="str">
        <f ca="1">IFERROR(VLOOKUP($Y306,OFFSET([3]characters!$A$1,0,0,COUNTA([3]characters!$A:$A),MATCH(AB$1,[3]characters!$2:$2,0)-MATCH("character_id",[3]characters!$2:$2,0)+1),MATCH(AB$1,[3]characters!$2:$2,0)-MATCH("character_id",[3]characters!$2:$2,0)+1,FALSE),"")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06" s="79">
        <v>1</v>
      </c>
      <c r="AD306" s="92">
        <f t="shared" ca="1" si="168"/>
        <v>5</v>
      </c>
      <c r="AE306" s="93">
        <v>100</v>
      </c>
      <c r="AF306" s="79">
        <v>0</v>
      </c>
      <c r="AG306" s="79">
        <v>0</v>
      </c>
      <c r="AH306" s="79">
        <v>0</v>
      </c>
      <c r="AI306" s="79">
        <v>0</v>
      </c>
      <c r="AJ306" s="79">
        <v>1</v>
      </c>
    </row>
    <row r="307" spans="1:36" ht="21" customHeight="1">
      <c r="A307" s="21" t="str">
        <f t="shared" ref="A307:A336" ca="1" si="221">B307&amp;"_"&amp;C307&amp;"-"&amp;G307&amp;"/"&amp;I307&amp;"&lt;lv"&amp;O307&amp;"&gt;s"&amp;X307</f>
        <v>11206_1-1/117&lt;lv1&gt;s1</v>
      </c>
      <c r="B307" s="67">
        <v>11206</v>
      </c>
      <c r="C307" s="68">
        <v>1</v>
      </c>
      <c r="D307" s="69" t="str">
        <f t="shared" ref="D307:D336" si="222">B307&amp;"_"&amp;C307</f>
        <v>11206_1</v>
      </c>
      <c r="E307" s="5" t="str">
        <f ca="1">VLOOKUP($B307,OFFSET([1]quests!$A$1,0,0,COUNTA([1]quests!$A:$A),MATCH(E$1,[1]quests!$1:$1,0)-MATCH($B$1,[1]quests!$1:$1,0)+1),MATCH(E$1,[1]quests!$1:$1,0)-MATCH($B$1,[1]quests!$1:$1,0)+1,FALSE)</f>
        <v>【キャンペーン限定】 ゴールドカジノ</v>
      </c>
      <c r="F307" s="5" t="str">
        <f ca="1">VLOOKUP($D307,OFFSET([1]stages!$A$1,0,0,COUNTA([1]stages!$A:$A),MATCH(F$1,[1]stages!$2:$2,0)-MATCH($D$1,[1]stages!$2:$2,0)+1),MATCH(F$1,[1]stages!$2:$2,0)-MATCH($D$1,[1]stages!$2:$2,0)+1,FALSE)</f>
        <v>ゴールドカジノ 【初級】</v>
      </c>
      <c r="G307" s="68">
        <v>1</v>
      </c>
      <c r="H307" s="69" t="str">
        <f t="shared" ref="H307:H336" si="223">B307&amp;"_"&amp;C307&amp;"-"&amp;G307</f>
        <v>11206_1-1</v>
      </c>
      <c r="I307" s="70">
        <v>117</v>
      </c>
      <c r="J307" s="26" t="str">
        <f ca="1">VLOOKUP($I307,OFFSET([2]enemies!$A$1,0,0,COUNTA([2]enemies!$A:$A),MATCH(J$1,[2]enemies!$2:$2,0)-MATCH($I$1,[2]enemies!$2:$2,0)+1),MATCH(J$1,[2]enemies!$2:$2,0)-MATCH($I$1,[2]enemies!$2:$2,0)+1,FALSE)</f>
        <v>ゴールドピヨピヨ</v>
      </c>
      <c r="K307" s="71" t="str">
        <f ca="1">VLOOKUP($I307,OFFSET([2]enemies!$A$1,0,0,COUNTA([2]enemies!$A:$A),MATCH(K$1,[2]enemies!$2:$2,0)-MATCH($I$1,[2]enemies!$2:$2,0)+1),MATCH(K$1,[2]enemies!$2:$2,0)-MATCH($I$1,[2]enemies!$2:$2,0)+1,FALSE)</f>
        <v>yellow</v>
      </c>
      <c r="L307" s="71" t="str">
        <f ca="1">VLOOKUP($I307,OFFSET([3]characters!$A$1,0,0,COUNTA([3]characters!$A:$A),MATCH(L$1,[3]characters!$2:$2,0)-MATCH($I$1,[3]characters!$2:$2,0)+1),MATCH(L$1,[3]characters!$2:$2,0)-MATCH($I$1,[3]characters!$2:$2,0)+1,FALSE)</f>
        <v>Material</v>
      </c>
      <c r="M307" s="28" t="str">
        <f ca="1">VLOOKUP($I307,OFFSET([3]characters!$A$1,0,0,COUNTA([3]characters!$A:$A),MATCH(M$1,[3]characters!$2:$2,0)-MATCH($I$1,[3]characters!$2:$2,0)+2),MATCH(M$1,[3]characters!$2:$2,0)-MATCH($I$1,[3]characters!$2:$2,0)+2,FALSE)</f>
        <v>Unknown</v>
      </c>
      <c r="N307" s="5">
        <f ca="1">VLOOKUP($I307,OFFSET([2]enemies!$A$1,0,0,COUNTA([2]enemies!$A:$A),MATCH(N$1,[2]enemies!$2:$2,0)-MATCH($I$1,[2]enemies!$2:$2,0)+1),MATCH(N$1,[2]enemies!$2:$2,0)-MATCH($I$1,[2]enemies!$2:$2,0)+1,FALSE)</f>
        <v>15</v>
      </c>
      <c r="O307" s="72">
        <v>1</v>
      </c>
      <c r="P307" s="73">
        <v>10.5</v>
      </c>
      <c r="Q307" s="74">
        <v>11</v>
      </c>
      <c r="R307" s="72">
        <v>0</v>
      </c>
      <c r="S307" s="5" t="str">
        <f ca="1">VLOOKUP($T307,OFFSET([4]enemy_skill_sets!$B$1,0,0,COUNTA([4]enemy_skill_sets!$B:$B),MATCH(J$1,[4]enemy_skill_sets!$1:$1,0)-MATCH($T$1,[4]enemy_skill_sets!$1:$1,0)+2),MATCH(J$1,[4]enemy_skill_sets!$1:$1,0)-MATCH($T$1,[4]enemy_skill_sets!$1:$1,0)+2,FALSE)</f>
        <v>ゴールドカジノのピヨピヨはターン０になると自爆する！</v>
      </c>
      <c r="T307" s="42">
        <v>11701</v>
      </c>
      <c r="U307" s="75">
        <v>1</v>
      </c>
      <c r="V307" s="75">
        <v>100</v>
      </c>
      <c r="W307" s="75">
        <v>0</v>
      </c>
      <c r="X307" s="26">
        <f ca="1">VLOOKUP($I307,OFFSET([2]enemies!$A$1,0,0,COUNTA([2]enemies!$A:$A),MATCH(X$1,[2]enemies!$2:$2,0)-MATCH($I$1,[2]enemies!$2:$2,0)+1),MATCH(X$1,[2]enemies!$2:$2,0)-MATCH($I$1,[2]enemies!$2:$2,0)+1,FALSE)</f>
        <v>1</v>
      </c>
      <c r="Y307" s="70">
        <v>117</v>
      </c>
      <c r="Z307" s="5" t="str">
        <f ca="1">IFERROR(VLOOKUP($Y307,OFFSET([3]characters!$A$1,0,0,COUNTA([3]characters!$A:$A),MATCH(Z$1,[3]characters!$2:$2,0)-MATCH("character_id",[3]characters!$2:$2,0)+1),MATCH(Z$1,[3]characters!$2:$2,0)-MATCH("character_id",[3]characters!$2:$2,0)+1,FALSE),"")</f>
        <v>ゴールドピヨピヨ</v>
      </c>
      <c r="AA307" s="5">
        <f ca="1">IFERROR(VLOOKUP($Y307,OFFSET([3]characters!$A$1,0,0,COUNTA([3]characters!$A:$A),MATCH(AA$1,[3]characters!$2:$2,0)-MATCH("character_id",[3]characters!$2:$2,0)+1),MATCH(AA$1,[3]characters!$2:$2,0)-MATCH("character_id",[3]characters!$2:$2,0)+1,FALSE),"")</f>
        <v>3</v>
      </c>
      <c r="AB307" s="5" t="str">
        <f ca="1">IFERROR(VLOOKUP($Y307,OFFSET([3]characters!$A$1,0,0,COUNTA([3]characters!$A:$A),MATCH(AB$1,[3]characters!$2:$2,0)-MATCH("character_id",[3]characters!$2:$2,0)+1),MATCH(AB$1,[3]characters!$2:$2,0)-MATCH("character_id",[3]characters!$2:$2,0)+1,FALSE),"")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07" s="67">
        <v>1</v>
      </c>
      <c r="AD307" s="76">
        <f t="shared" ref="AD307:AD336" ca="1" si="224">AA307</f>
        <v>3</v>
      </c>
      <c r="AE307" s="77">
        <v>50</v>
      </c>
      <c r="AF307" s="67">
        <v>0</v>
      </c>
      <c r="AG307" s="67">
        <v>0</v>
      </c>
      <c r="AH307" s="67">
        <v>0</v>
      </c>
      <c r="AI307" s="67">
        <v>0</v>
      </c>
      <c r="AJ307" s="67">
        <v>1</v>
      </c>
    </row>
    <row r="308" spans="1:36" ht="21" customHeight="1">
      <c r="A308" s="21" t="str">
        <f t="shared" ca="1" si="221"/>
        <v>11206_1-1/1&lt;lv5&gt;s1</v>
      </c>
      <c r="B308" s="8">
        <v>11206</v>
      </c>
      <c r="C308" s="32">
        <v>1</v>
      </c>
      <c r="D308" s="2" t="str">
        <f t="shared" si="222"/>
        <v>11206_1</v>
      </c>
      <c r="E308" s="5" t="str">
        <f ca="1">VLOOKUP($B308,OFFSET([1]quests!$A$1,0,0,COUNTA([1]quests!$A:$A),MATCH(E$1,[1]quests!$1:$1,0)-MATCH($B$1,[1]quests!$1:$1,0)+1),MATCH(E$1,[1]quests!$1:$1,0)-MATCH($B$1,[1]quests!$1:$1,0)+1,FALSE)</f>
        <v>【キャンペーン限定】 ゴールドカジノ</v>
      </c>
      <c r="F308" s="5" t="str">
        <f ca="1">VLOOKUP($D308,OFFSET([1]stages!$A$1,0,0,COUNTA([1]stages!$A:$A),MATCH(F$1,[1]stages!$2:$2,0)-MATCH($D$1,[1]stages!$2:$2,0)+1),MATCH(F$1,[1]stages!$2:$2,0)-MATCH($D$1,[1]stages!$2:$2,0)+1,FALSE)</f>
        <v>ゴールドカジノ 【初級】</v>
      </c>
      <c r="G308" s="32">
        <v>1</v>
      </c>
      <c r="H308" s="20" t="str">
        <f t="shared" si="223"/>
        <v>11206_1-1</v>
      </c>
      <c r="I308" s="31">
        <v>1</v>
      </c>
      <c r="J308" s="26" t="str">
        <f ca="1">VLOOKUP($I308,OFFSET([2]enemies!$A$1,0,0,COUNTA([2]enemies!$A:$A),MATCH(J$1,[2]enemies!$2:$2,0)-MATCH($I$1,[2]enemies!$2:$2,0)+1),MATCH(J$1,[2]enemies!$2:$2,0)-MATCH($I$1,[2]enemies!$2:$2,0)+1,FALSE)</f>
        <v>ジェリー</v>
      </c>
      <c r="K308" s="29" t="str">
        <f ca="1">VLOOKUP($I308,OFFSET([2]enemies!$A$1,0,0,COUNTA([2]enemies!$A:$A),MATCH(K$1,[2]enemies!$2:$2,0)-MATCH($I$1,[2]enemies!$2:$2,0)+1),MATCH(K$1,[2]enemies!$2:$2,0)-MATCH($I$1,[2]enemies!$2:$2,0)+1,FALSE)</f>
        <v>red</v>
      </c>
      <c r="L308" s="29" t="str">
        <f ca="1">VLOOKUP($I308,OFFSET([3]characters!$A$1,0,0,COUNTA([3]characters!$A:$A),MATCH(L$1,[3]characters!$2:$2,0)-MATCH($I$1,[3]characters!$2:$2,0)+1),MATCH(L$1,[3]characters!$2:$2,0)-MATCH($I$1,[3]characters!$2:$2,0)+1,FALSE)</f>
        <v>Drop1T</v>
      </c>
      <c r="M308" s="28" t="str">
        <f ca="1">VLOOKUP($I308,OFFSET([3]characters!$A$1,0,0,COUNTA([3]characters!$A:$A),MATCH(M$1,[3]characters!$2:$2,0)-MATCH($I$1,[3]characters!$2:$2,0)+2),MATCH(M$1,[3]characters!$2:$2,0)-MATCH($I$1,[3]characters!$2:$2,0)+2,FALSE)</f>
        <v>Unknown</v>
      </c>
      <c r="N308" s="5">
        <f ca="1">VLOOKUP($I308,OFFSET([2]enemies!$A$1,0,0,COUNTA([2]enemies!$A:$A),MATCH(N$1,[2]enemies!$2:$2,0)-MATCH($I$1,[2]enemies!$2:$2,0)+1),MATCH(N$1,[2]enemies!$2:$2,0)-MATCH($I$1,[2]enemies!$2:$2,0)+1,FALSE)</f>
        <v>15</v>
      </c>
      <c r="O308" s="6">
        <v>5</v>
      </c>
      <c r="P308" s="46">
        <v>1</v>
      </c>
      <c r="Q308" s="46">
        <v>1</v>
      </c>
      <c r="R308" s="6">
        <v>0</v>
      </c>
      <c r="S308" s="5" t="str">
        <f ca="1">VLOOKUP($T308,OFFSET([4]enemy_skill_sets!$B$1,0,0,COUNTA([4]enemy_skill_sets!$B:$B),MATCH(J$1,[4]enemy_skill_sets!$1:$1,0)-MATCH($T$1,[4]enemy_skill_sets!$1:$1,0)+2),MATCH(J$1,[4]enemy_skill_sets!$1:$1,0)-MATCH($T$1,[4]enemy_skill_sets!$1:$1,0)+2,FALSE)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8" s="5">
        <f ca="1">VLOOKUP($I308,OFFSET([2]enemies!$A$1,0,0,COUNTA([2]enemies!$A:$A),MATCH(T$1,[2]enemies!$2:$2,0)-MATCH($I$1,[2]enemies!$2:$2,0)+1),MATCH(T$1,[2]enemies!$2:$2,0)-MATCH($I$1,[2]enemies!$2:$2,0)+1,FALSE)</f>
        <v>0</v>
      </c>
      <c r="U308" s="7">
        <v>0</v>
      </c>
      <c r="V308" s="7">
        <v>100</v>
      </c>
      <c r="W308" s="7">
        <v>0</v>
      </c>
      <c r="X308" s="26">
        <f ca="1">VLOOKUP($I308,OFFSET([2]enemies!$A$1,0,0,COUNTA([2]enemies!$A:$A),MATCH(X$1,[2]enemies!$2:$2,0)-MATCH($I$1,[2]enemies!$2:$2,0)+1),MATCH(X$1,[2]enemies!$2:$2,0)-MATCH($I$1,[2]enemies!$2:$2,0)+1,FALSE)</f>
        <v>1</v>
      </c>
      <c r="Y308" s="31">
        <v>1</v>
      </c>
      <c r="Z308" s="5" t="str">
        <f ca="1">IFERROR(VLOOKUP($Y308,OFFSET([3]characters!$A$1,0,0,COUNTA([3]characters!$A:$A),MATCH(Z$1,[3]characters!$2:$2,0)-MATCH("character_id",[3]characters!$2:$2,0)+1),MATCH(Z$1,[3]characters!$2:$2,0)-MATCH("character_id",[3]characters!$2:$2,0)+1,FALSE),"")</f>
        <v>ジェリー</v>
      </c>
      <c r="AA308" s="5">
        <f ca="1">IFERROR(VLOOKUP($Y308,OFFSET([3]characters!$A$1,0,0,COUNTA([3]characters!$A:$A),MATCH(AA$1,[3]characters!$2:$2,0)-MATCH("character_id",[3]characters!$2:$2,0)+1),MATCH(AA$1,[3]characters!$2:$2,0)-MATCH("character_id",[3]characters!$2:$2,0)+1,FALSE),"")</f>
        <v>1</v>
      </c>
      <c r="AB308" s="5" t="str">
        <f ca="1">IFERROR(VLOOKUP($Y308,OFFSET([3]characters!$A$1,0,0,COUNTA([3]characters!$A:$A),MATCH(AB$1,[3]characters!$2:$2,0)-MATCH("character_id",[3]characters!$2:$2,0)+1),MATCH(AB$1,[3]characters!$2:$2,0)-MATCH("character_id",[3]characters!$2:$2,0)+1,FALSE),"")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308" s="8">
        <v>1</v>
      </c>
      <c r="AD308" s="34">
        <f t="shared" ca="1" si="224"/>
        <v>1</v>
      </c>
      <c r="AE308" s="9">
        <v>0</v>
      </c>
      <c r="AF308" s="8">
        <v>0</v>
      </c>
      <c r="AG308" s="8">
        <v>0</v>
      </c>
      <c r="AH308" s="8">
        <v>0</v>
      </c>
      <c r="AI308" s="8">
        <v>0</v>
      </c>
      <c r="AJ308" s="8">
        <v>1</v>
      </c>
    </row>
    <row r="309" spans="1:36" ht="21" customHeight="1">
      <c r="A309" s="21" t="str">
        <f t="shared" ca="1" si="221"/>
        <v>11206_1-2/117&lt;lv2&gt;s1</v>
      </c>
      <c r="B309" s="8">
        <v>11206</v>
      </c>
      <c r="C309" s="32">
        <v>1</v>
      </c>
      <c r="D309" s="2" t="str">
        <f t="shared" si="222"/>
        <v>11206_1</v>
      </c>
      <c r="E309" s="5" t="str">
        <f ca="1">VLOOKUP($B309,OFFSET([1]quests!$A$1,0,0,COUNTA([1]quests!$A:$A),MATCH(E$1,[1]quests!$1:$1,0)-MATCH($B$1,[1]quests!$1:$1,0)+1),MATCH(E$1,[1]quests!$1:$1,0)-MATCH($B$1,[1]quests!$1:$1,0)+1,FALSE)</f>
        <v>【キャンペーン限定】 ゴールドカジノ</v>
      </c>
      <c r="F309" s="5" t="str">
        <f ca="1">VLOOKUP($D309,OFFSET([1]stages!$A$1,0,0,COUNTA([1]stages!$A:$A),MATCH(F$1,[1]stages!$2:$2,0)-MATCH($D$1,[1]stages!$2:$2,0)+1),MATCH(F$1,[1]stages!$2:$2,0)-MATCH($D$1,[1]stages!$2:$2,0)+1,FALSE)</f>
        <v>ゴールドカジノ 【初級】</v>
      </c>
      <c r="G309" s="32">
        <v>2</v>
      </c>
      <c r="H309" s="20" t="str">
        <f t="shared" si="223"/>
        <v>11206_1-2</v>
      </c>
      <c r="I309" s="31">
        <v>117</v>
      </c>
      <c r="J309" s="26" t="str">
        <f ca="1">VLOOKUP($I309,OFFSET([2]enemies!$A$1,0,0,COUNTA([2]enemies!$A:$A),MATCH(J$1,[2]enemies!$2:$2,0)-MATCH($I$1,[2]enemies!$2:$2,0)+1),MATCH(J$1,[2]enemies!$2:$2,0)-MATCH($I$1,[2]enemies!$2:$2,0)+1,FALSE)</f>
        <v>ゴールドピヨピヨ</v>
      </c>
      <c r="K309" s="29" t="str">
        <f ca="1">VLOOKUP($I309,OFFSET([2]enemies!$A$1,0,0,COUNTA([2]enemies!$A:$A),MATCH(K$1,[2]enemies!$2:$2,0)-MATCH($I$1,[2]enemies!$2:$2,0)+1),MATCH(K$1,[2]enemies!$2:$2,0)-MATCH($I$1,[2]enemies!$2:$2,0)+1,FALSE)</f>
        <v>yellow</v>
      </c>
      <c r="L309" s="29" t="str">
        <f ca="1">VLOOKUP($I309,OFFSET([3]characters!$A$1,0,0,COUNTA([3]characters!$A:$A),MATCH(L$1,[3]characters!$2:$2,0)-MATCH($I$1,[3]characters!$2:$2,0)+1),MATCH(L$1,[3]characters!$2:$2,0)-MATCH($I$1,[3]characters!$2:$2,0)+1,FALSE)</f>
        <v>Material</v>
      </c>
      <c r="M309" s="28" t="str">
        <f ca="1">VLOOKUP($I309,OFFSET([3]characters!$A$1,0,0,COUNTA([3]characters!$A:$A),MATCH(M$1,[3]characters!$2:$2,0)-MATCH($I$1,[3]characters!$2:$2,0)+2),MATCH(M$1,[3]characters!$2:$2,0)-MATCH($I$1,[3]characters!$2:$2,0)+2,FALSE)</f>
        <v>Unknown</v>
      </c>
      <c r="N309" s="5">
        <f ca="1">VLOOKUP($I309,OFFSET([2]enemies!$A$1,0,0,COUNTA([2]enemies!$A:$A),MATCH(N$1,[2]enemies!$2:$2,0)-MATCH($I$1,[2]enemies!$2:$2,0)+1),MATCH(N$1,[2]enemies!$2:$2,0)-MATCH($I$1,[2]enemies!$2:$2,0)+1,FALSE)</f>
        <v>15</v>
      </c>
      <c r="O309" s="6">
        <v>2</v>
      </c>
      <c r="P309" s="48">
        <v>7.5</v>
      </c>
      <c r="Q309" s="46">
        <v>11</v>
      </c>
      <c r="R309" s="6">
        <v>0</v>
      </c>
      <c r="S309" s="5" t="str">
        <f ca="1">VLOOKUP($T309,OFFSET([4]enemy_skill_sets!$B$1,0,0,COUNTA([4]enemy_skill_sets!$B:$B),MATCH(J$1,[4]enemy_skill_sets!$1:$1,0)-MATCH($T$1,[4]enemy_skill_sets!$1:$1,0)+2),MATCH(J$1,[4]enemy_skill_sets!$1:$1,0)-MATCH($T$1,[4]enemy_skill_sets!$1:$1,0)+2,FALSE)</f>
        <v>攻撃力10倍の自爆攻撃！</v>
      </c>
      <c r="T309" s="42">
        <v>11702</v>
      </c>
      <c r="U309" s="7">
        <v>1</v>
      </c>
      <c r="V309" s="7">
        <v>100</v>
      </c>
      <c r="W309" s="7">
        <v>0</v>
      </c>
      <c r="X309" s="26">
        <f ca="1">VLOOKUP($I309,OFFSET([2]enemies!$A$1,0,0,COUNTA([2]enemies!$A:$A),MATCH(X$1,[2]enemies!$2:$2,0)-MATCH($I$1,[2]enemies!$2:$2,0)+1),MATCH(X$1,[2]enemies!$2:$2,0)-MATCH($I$1,[2]enemies!$2:$2,0)+1,FALSE)</f>
        <v>1</v>
      </c>
      <c r="Y309" s="31">
        <v>117</v>
      </c>
      <c r="Z309" s="5" t="str">
        <f ca="1">IFERROR(VLOOKUP($Y309,OFFSET([3]characters!$A$1,0,0,COUNTA([3]characters!$A:$A),MATCH(Z$1,[3]characters!$2:$2,0)-MATCH("character_id",[3]characters!$2:$2,0)+1),MATCH(Z$1,[3]characters!$2:$2,0)-MATCH("character_id",[3]characters!$2:$2,0)+1,FALSE),"")</f>
        <v>ゴールドピヨピヨ</v>
      </c>
      <c r="AA309" s="5">
        <f ca="1">IFERROR(VLOOKUP($Y309,OFFSET([3]characters!$A$1,0,0,COUNTA([3]characters!$A:$A),MATCH(AA$1,[3]characters!$2:$2,0)-MATCH("character_id",[3]characters!$2:$2,0)+1),MATCH(AA$1,[3]characters!$2:$2,0)-MATCH("character_id",[3]characters!$2:$2,0)+1,FALSE),"")</f>
        <v>3</v>
      </c>
      <c r="AB309" s="5" t="str">
        <f ca="1">IFERROR(VLOOKUP($Y309,OFFSET([3]characters!$A$1,0,0,COUNTA([3]characters!$A:$A),MATCH(AB$1,[3]characters!$2:$2,0)-MATCH("character_id",[3]characters!$2:$2,0)+1),MATCH(AB$1,[3]characters!$2:$2,0)-MATCH("character_id",[3]characters!$2:$2,0)+1,FALSE),"")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09" s="8">
        <v>1</v>
      </c>
      <c r="AD309" s="34">
        <f t="shared" ca="1" si="224"/>
        <v>3</v>
      </c>
      <c r="AE309" s="9">
        <v>50</v>
      </c>
      <c r="AF309" s="8">
        <v>0</v>
      </c>
      <c r="AG309" s="8">
        <v>0</v>
      </c>
      <c r="AH309" s="8">
        <v>0</v>
      </c>
      <c r="AI309" s="8">
        <v>0</v>
      </c>
      <c r="AJ309" s="8">
        <v>1</v>
      </c>
    </row>
    <row r="310" spans="1:36" ht="21" customHeight="1">
      <c r="A310" s="21" t="str">
        <f t="shared" ca="1" si="221"/>
        <v>11206_1-2/117&lt;lv1&gt;s1</v>
      </c>
      <c r="B310" s="8">
        <v>11206</v>
      </c>
      <c r="C310" s="32">
        <v>1</v>
      </c>
      <c r="D310" s="2" t="str">
        <f t="shared" si="222"/>
        <v>11206_1</v>
      </c>
      <c r="E310" s="5" t="str">
        <f ca="1">VLOOKUP($B310,OFFSET([1]quests!$A$1,0,0,COUNTA([1]quests!$A:$A),MATCH(E$1,[1]quests!$1:$1,0)-MATCH($B$1,[1]quests!$1:$1,0)+1),MATCH(E$1,[1]quests!$1:$1,0)-MATCH($B$1,[1]quests!$1:$1,0)+1,FALSE)</f>
        <v>【キャンペーン限定】 ゴールドカジノ</v>
      </c>
      <c r="F310" s="5" t="str">
        <f ca="1">VLOOKUP($D310,OFFSET([1]stages!$A$1,0,0,COUNTA([1]stages!$A:$A),MATCH(F$1,[1]stages!$2:$2,0)-MATCH($D$1,[1]stages!$2:$2,0)+1),MATCH(F$1,[1]stages!$2:$2,0)-MATCH($D$1,[1]stages!$2:$2,0)+1,FALSE)</f>
        <v>ゴールドカジノ 【初級】</v>
      </c>
      <c r="G310" s="32">
        <v>2</v>
      </c>
      <c r="H310" s="20" t="str">
        <f t="shared" si="223"/>
        <v>11206_1-2</v>
      </c>
      <c r="I310" s="31">
        <v>117</v>
      </c>
      <c r="J310" s="26" t="str">
        <f ca="1">VLOOKUP($I310,OFFSET([2]enemies!$A$1,0,0,COUNTA([2]enemies!$A:$A),MATCH(J$1,[2]enemies!$2:$2,0)-MATCH($I$1,[2]enemies!$2:$2,0)+1),MATCH(J$1,[2]enemies!$2:$2,0)-MATCH($I$1,[2]enemies!$2:$2,0)+1,FALSE)</f>
        <v>ゴールドピヨピヨ</v>
      </c>
      <c r="K310" s="29" t="str">
        <f ca="1">VLOOKUP($I310,OFFSET([2]enemies!$A$1,0,0,COUNTA([2]enemies!$A:$A),MATCH(K$1,[2]enemies!$2:$2,0)-MATCH($I$1,[2]enemies!$2:$2,0)+1),MATCH(K$1,[2]enemies!$2:$2,0)-MATCH($I$1,[2]enemies!$2:$2,0)+1,FALSE)</f>
        <v>yellow</v>
      </c>
      <c r="L310" s="29" t="str">
        <f ca="1">VLOOKUP($I310,OFFSET([3]characters!$A$1,0,0,COUNTA([3]characters!$A:$A),MATCH(L$1,[3]characters!$2:$2,0)-MATCH($I$1,[3]characters!$2:$2,0)+1),MATCH(L$1,[3]characters!$2:$2,0)-MATCH($I$1,[3]characters!$2:$2,0)+1,FALSE)</f>
        <v>Material</v>
      </c>
      <c r="M310" s="28" t="str">
        <f ca="1">VLOOKUP($I310,OFFSET([3]characters!$A$1,0,0,COUNTA([3]characters!$A:$A),MATCH(M$1,[3]characters!$2:$2,0)-MATCH($I$1,[3]characters!$2:$2,0)+2),MATCH(M$1,[3]characters!$2:$2,0)-MATCH($I$1,[3]characters!$2:$2,0)+2,FALSE)</f>
        <v>Unknown</v>
      </c>
      <c r="N310" s="5">
        <f ca="1">VLOOKUP($I310,OFFSET([2]enemies!$A$1,0,0,COUNTA([2]enemies!$A:$A),MATCH(N$1,[2]enemies!$2:$2,0)-MATCH($I$1,[2]enemies!$2:$2,0)+1),MATCH(N$1,[2]enemies!$2:$2,0)-MATCH($I$1,[2]enemies!$2:$2,0)+1,FALSE)</f>
        <v>15</v>
      </c>
      <c r="O310" s="6">
        <v>1</v>
      </c>
      <c r="P310" s="48">
        <v>10.5</v>
      </c>
      <c r="Q310" s="46">
        <v>11</v>
      </c>
      <c r="R310" s="6">
        <v>0</v>
      </c>
      <c r="S310" s="5" t="str">
        <f ca="1">VLOOKUP($T310,OFFSET([4]enemy_skill_sets!$B$1,0,0,COUNTA([4]enemy_skill_sets!$B:$B),MATCH(J$1,[4]enemy_skill_sets!$1:$1,0)-MATCH($T$1,[4]enemy_skill_sets!$1:$1,0)+2),MATCH(J$1,[4]enemy_skill_sets!$1:$1,0)-MATCH($T$1,[4]enemy_skill_sets!$1:$1,0)+2,FALSE)</f>
        <v>攻撃力10倍の自爆攻撃！</v>
      </c>
      <c r="T310" s="42">
        <v>11702</v>
      </c>
      <c r="U310" s="7">
        <v>0</v>
      </c>
      <c r="V310" s="7">
        <v>100</v>
      </c>
      <c r="W310" s="7">
        <v>0</v>
      </c>
      <c r="X310" s="26">
        <f ca="1">VLOOKUP($I310,OFFSET([2]enemies!$A$1,0,0,COUNTA([2]enemies!$A:$A),MATCH(X$1,[2]enemies!$2:$2,0)-MATCH($I$1,[2]enemies!$2:$2,0)+1),MATCH(X$1,[2]enemies!$2:$2,0)-MATCH($I$1,[2]enemies!$2:$2,0)+1,FALSE)</f>
        <v>1</v>
      </c>
      <c r="Y310" s="31">
        <v>117</v>
      </c>
      <c r="Z310" s="5" t="str">
        <f ca="1">IFERROR(VLOOKUP($Y310,OFFSET([3]characters!$A$1,0,0,COUNTA([3]characters!$A:$A),MATCH(Z$1,[3]characters!$2:$2,0)-MATCH("character_id",[3]characters!$2:$2,0)+1),MATCH(Z$1,[3]characters!$2:$2,0)-MATCH("character_id",[3]characters!$2:$2,0)+1,FALSE),"")</f>
        <v>ゴールドピヨピヨ</v>
      </c>
      <c r="AA310" s="5">
        <f ca="1">IFERROR(VLOOKUP($Y310,OFFSET([3]characters!$A$1,0,0,COUNTA([3]characters!$A:$A),MATCH(AA$1,[3]characters!$2:$2,0)-MATCH("character_id",[3]characters!$2:$2,0)+1),MATCH(AA$1,[3]characters!$2:$2,0)-MATCH("character_id",[3]characters!$2:$2,0)+1,FALSE),"")</f>
        <v>3</v>
      </c>
      <c r="AB310" s="5" t="str">
        <f ca="1">IFERROR(VLOOKUP($Y310,OFFSET([3]characters!$A$1,0,0,COUNTA([3]characters!$A:$A),MATCH(AB$1,[3]characters!$2:$2,0)-MATCH("character_id",[3]characters!$2:$2,0)+1),MATCH(AB$1,[3]characters!$2:$2,0)-MATCH("character_id",[3]characters!$2:$2,0)+1,FALSE),"")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10" s="8">
        <v>1</v>
      </c>
      <c r="AD310" s="34">
        <f t="shared" ca="1" si="224"/>
        <v>3</v>
      </c>
      <c r="AE310" s="9">
        <v>50</v>
      </c>
      <c r="AF310" s="8">
        <v>0</v>
      </c>
      <c r="AG310" s="8">
        <v>0</v>
      </c>
      <c r="AH310" s="8">
        <v>0</v>
      </c>
      <c r="AI310" s="8">
        <v>0</v>
      </c>
      <c r="AJ310" s="8">
        <v>1</v>
      </c>
    </row>
    <row r="311" spans="1:36" ht="21" customHeight="1">
      <c r="A311" s="21" t="str">
        <f t="shared" ca="1" si="221"/>
        <v>11206_1-2/1&lt;lv5&gt;s1</v>
      </c>
      <c r="B311" s="8">
        <v>11206</v>
      </c>
      <c r="C311" s="32">
        <v>1</v>
      </c>
      <c r="D311" s="2" t="str">
        <f t="shared" si="222"/>
        <v>11206_1</v>
      </c>
      <c r="E311" s="5" t="str">
        <f ca="1">VLOOKUP($B311,OFFSET([1]quests!$A$1,0,0,COUNTA([1]quests!$A:$A),MATCH(E$1,[1]quests!$1:$1,0)-MATCH($B$1,[1]quests!$1:$1,0)+1),MATCH(E$1,[1]quests!$1:$1,0)-MATCH($B$1,[1]quests!$1:$1,0)+1,FALSE)</f>
        <v>【キャンペーン限定】 ゴールドカジノ</v>
      </c>
      <c r="F311" s="5" t="str">
        <f ca="1">VLOOKUP($D311,OFFSET([1]stages!$A$1,0,0,COUNTA([1]stages!$A:$A),MATCH(F$1,[1]stages!$2:$2,0)-MATCH($D$1,[1]stages!$2:$2,0)+1),MATCH(F$1,[1]stages!$2:$2,0)-MATCH($D$1,[1]stages!$2:$2,0)+1,FALSE)</f>
        <v>ゴールドカジノ 【初級】</v>
      </c>
      <c r="G311" s="32">
        <v>2</v>
      </c>
      <c r="H311" s="20" t="str">
        <f t="shared" si="223"/>
        <v>11206_1-2</v>
      </c>
      <c r="I311" s="31">
        <v>1</v>
      </c>
      <c r="J311" s="26" t="str">
        <f ca="1">VLOOKUP($I311,OFFSET([2]enemies!$A$1,0,0,COUNTA([2]enemies!$A:$A),MATCH(J$1,[2]enemies!$2:$2,0)-MATCH($I$1,[2]enemies!$2:$2,0)+1),MATCH(J$1,[2]enemies!$2:$2,0)-MATCH($I$1,[2]enemies!$2:$2,0)+1,FALSE)</f>
        <v>ジェリー</v>
      </c>
      <c r="K311" s="29" t="str">
        <f ca="1">VLOOKUP($I311,OFFSET([2]enemies!$A$1,0,0,COUNTA([2]enemies!$A:$A),MATCH(K$1,[2]enemies!$2:$2,0)-MATCH($I$1,[2]enemies!$2:$2,0)+1),MATCH(K$1,[2]enemies!$2:$2,0)-MATCH($I$1,[2]enemies!$2:$2,0)+1,FALSE)</f>
        <v>red</v>
      </c>
      <c r="L311" s="29" t="str">
        <f ca="1">VLOOKUP($I311,OFFSET([3]characters!$A$1,0,0,COUNTA([3]characters!$A:$A),MATCH(L$1,[3]characters!$2:$2,0)-MATCH($I$1,[3]characters!$2:$2,0)+1),MATCH(L$1,[3]characters!$2:$2,0)-MATCH($I$1,[3]characters!$2:$2,0)+1,FALSE)</f>
        <v>Drop1T</v>
      </c>
      <c r="M311" s="28" t="str">
        <f ca="1">VLOOKUP($I311,OFFSET([3]characters!$A$1,0,0,COUNTA([3]characters!$A:$A),MATCH(M$1,[3]characters!$2:$2,0)-MATCH($I$1,[3]characters!$2:$2,0)+2),MATCH(M$1,[3]characters!$2:$2,0)-MATCH($I$1,[3]characters!$2:$2,0)+2,FALSE)</f>
        <v>Unknown</v>
      </c>
      <c r="N311" s="5">
        <f ca="1">VLOOKUP($I311,OFFSET([2]enemies!$A$1,0,0,COUNTA([2]enemies!$A:$A),MATCH(N$1,[2]enemies!$2:$2,0)-MATCH($I$1,[2]enemies!$2:$2,0)+1),MATCH(N$1,[2]enemies!$2:$2,0)-MATCH($I$1,[2]enemies!$2:$2,0)+1,FALSE)</f>
        <v>15</v>
      </c>
      <c r="O311" s="6">
        <v>5</v>
      </c>
      <c r="P311" s="46">
        <v>1</v>
      </c>
      <c r="Q311" s="46">
        <v>1</v>
      </c>
      <c r="R311" s="6">
        <v>0</v>
      </c>
      <c r="S311" s="5" t="str">
        <f ca="1">VLOOKUP($T311,OFFSET([4]enemy_skill_sets!$B$1,0,0,COUNTA([4]enemy_skill_sets!$B:$B),MATCH(J$1,[4]enemy_skill_sets!$1:$1,0)-MATCH($T$1,[4]enemy_skill_sets!$1:$1,0)+2),MATCH(J$1,[4]enemy_skill_sets!$1:$1,0)-MATCH($T$1,[4]enemy_skill_sets!$1:$1,0)+2,FALSE)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1" s="5">
        <f ca="1">VLOOKUP($I311,OFFSET([2]enemies!$A$1,0,0,COUNTA([2]enemies!$A:$A),MATCH(T$1,[2]enemies!$2:$2,0)-MATCH($I$1,[2]enemies!$2:$2,0)+1),MATCH(T$1,[2]enemies!$2:$2,0)-MATCH($I$1,[2]enemies!$2:$2,0)+1,FALSE)</f>
        <v>0</v>
      </c>
      <c r="U311" s="7">
        <v>0</v>
      </c>
      <c r="V311" s="7">
        <v>100</v>
      </c>
      <c r="W311" s="7">
        <v>0</v>
      </c>
      <c r="X311" s="26">
        <f ca="1">VLOOKUP($I311,OFFSET([2]enemies!$A$1,0,0,COUNTA([2]enemies!$A:$A),MATCH(X$1,[2]enemies!$2:$2,0)-MATCH($I$1,[2]enemies!$2:$2,0)+1),MATCH(X$1,[2]enemies!$2:$2,0)-MATCH($I$1,[2]enemies!$2:$2,0)+1,FALSE)</f>
        <v>1</v>
      </c>
      <c r="Y311" s="31">
        <v>1</v>
      </c>
      <c r="Z311" s="5" t="str">
        <f ca="1">IFERROR(VLOOKUP($Y311,OFFSET([3]characters!$A$1,0,0,COUNTA([3]characters!$A:$A),MATCH(Z$1,[3]characters!$2:$2,0)-MATCH("character_id",[3]characters!$2:$2,0)+1),MATCH(Z$1,[3]characters!$2:$2,0)-MATCH("character_id",[3]characters!$2:$2,0)+1,FALSE),"")</f>
        <v>ジェリー</v>
      </c>
      <c r="AA311" s="5">
        <f ca="1">IFERROR(VLOOKUP($Y311,OFFSET([3]characters!$A$1,0,0,COUNTA([3]characters!$A:$A),MATCH(AA$1,[3]characters!$2:$2,0)-MATCH("character_id",[3]characters!$2:$2,0)+1),MATCH(AA$1,[3]characters!$2:$2,0)-MATCH("character_id",[3]characters!$2:$2,0)+1,FALSE),"")</f>
        <v>1</v>
      </c>
      <c r="AB311" s="5" t="str">
        <f ca="1">IFERROR(VLOOKUP($Y311,OFFSET([3]characters!$A$1,0,0,COUNTA([3]characters!$A:$A),MATCH(AB$1,[3]characters!$2:$2,0)-MATCH("character_id",[3]characters!$2:$2,0)+1),MATCH(AB$1,[3]characters!$2:$2,0)-MATCH("character_id",[3]characters!$2:$2,0)+1,FALSE),"")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311" s="8">
        <v>1</v>
      </c>
      <c r="AD311" s="34">
        <f t="shared" ca="1" si="224"/>
        <v>1</v>
      </c>
      <c r="AE311" s="9">
        <v>0</v>
      </c>
      <c r="AF311" s="8">
        <v>0</v>
      </c>
      <c r="AG311" s="8">
        <v>0</v>
      </c>
      <c r="AH311" s="8">
        <v>0</v>
      </c>
      <c r="AI311" s="8">
        <v>0</v>
      </c>
      <c r="AJ311" s="8">
        <v>1</v>
      </c>
    </row>
    <row r="312" spans="1:36" ht="21" customHeight="1">
      <c r="A312" s="21" t="str">
        <f t="shared" ca="1" si="221"/>
        <v>11206_1-2/3&lt;lv5&gt;s2</v>
      </c>
      <c r="B312" s="8">
        <v>11206</v>
      </c>
      <c r="C312" s="32">
        <v>1</v>
      </c>
      <c r="D312" s="2" t="str">
        <f t="shared" si="222"/>
        <v>11206_1</v>
      </c>
      <c r="E312" s="5" t="str">
        <f ca="1">VLOOKUP($B312,OFFSET([1]quests!$A$1,0,0,COUNTA([1]quests!$A:$A),MATCH(E$1,[1]quests!$1:$1,0)-MATCH($B$1,[1]quests!$1:$1,0)+1),MATCH(E$1,[1]quests!$1:$1,0)-MATCH($B$1,[1]quests!$1:$1,0)+1,FALSE)</f>
        <v>【キャンペーン限定】 ゴールドカジノ</v>
      </c>
      <c r="F312" s="5" t="str">
        <f ca="1">VLOOKUP($D312,OFFSET([1]stages!$A$1,0,0,COUNTA([1]stages!$A:$A),MATCH(F$1,[1]stages!$2:$2,0)-MATCH($D$1,[1]stages!$2:$2,0)+1),MATCH(F$1,[1]stages!$2:$2,0)-MATCH($D$1,[1]stages!$2:$2,0)+1,FALSE)</f>
        <v>ゴールドカジノ 【初級】</v>
      </c>
      <c r="G312" s="32">
        <v>2</v>
      </c>
      <c r="H312" s="20" t="str">
        <f t="shared" si="223"/>
        <v>11206_1-2</v>
      </c>
      <c r="I312" s="31">
        <v>3</v>
      </c>
      <c r="J312" s="26" t="str">
        <f ca="1">VLOOKUP($I312,OFFSET([2]enemies!$A$1,0,0,COUNTA([2]enemies!$A:$A),MATCH(J$1,[2]enemies!$2:$2,0)-MATCH($I$1,[2]enemies!$2:$2,0)+1),MATCH(J$1,[2]enemies!$2:$2,0)-MATCH($I$1,[2]enemies!$2:$2,0)+1,FALSE)</f>
        <v>エージェント ジョー</v>
      </c>
      <c r="K312" s="29" t="str">
        <f ca="1">VLOOKUP($I312,OFFSET([2]enemies!$A$1,0,0,COUNTA([2]enemies!$A:$A),MATCH(K$1,[2]enemies!$2:$2,0)-MATCH($I$1,[2]enemies!$2:$2,0)+1),MATCH(K$1,[2]enemies!$2:$2,0)-MATCH($I$1,[2]enemies!$2:$2,0)+1,FALSE)</f>
        <v>green</v>
      </c>
      <c r="L312" s="29" t="str">
        <f ca="1">VLOOKUP($I312,OFFSET([3]characters!$A$1,0,0,COUNTA([3]characters!$A:$A),MATCH(L$1,[3]characters!$2:$2,0)-MATCH($I$1,[3]characters!$2:$2,0)+1),MATCH(L$1,[3]characters!$2:$2,0)-MATCH($I$1,[3]characters!$2:$2,0)+1,FALSE)</f>
        <v>Drop1T</v>
      </c>
      <c r="M312" s="28" t="str">
        <f ca="1">VLOOKUP($I312,OFFSET([3]characters!$A$1,0,0,COUNTA([3]characters!$A:$A),MATCH(M$1,[3]characters!$2:$2,0)-MATCH($I$1,[3]characters!$2:$2,0)+2),MATCH(M$1,[3]characters!$2:$2,0)-MATCH($I$1,[3]characters!$2:$2,0)+2,FALSE)</f>
        <v>Unknown</v>
      </c>
      <c r="N312" s="5">
        <f ca="1">VLOOKUP($I312,OFFSET([2]enemies!$A$1,0,0,COUNTA([2]enemies!$A:$A),MATCH(N$1,[2]enemies!$2:$2,0)-MATCH($I$1,[2]enemies!$2:$2,0)+1),MATCH(N$1,[2]enemies!$2:$2,0)-MATCH($I$1,[2]enemies!$2:$2,0)+1,FALSE)</f>
        <v>15</v>
      </c>
      <c r="O312" s="6">
        <v>5</v>
      </c>
      <c r="P312" s="46">
        <v>1</v>
      </c>
      <c r="Q312" s="46">
        <v>1</v>
      </c>
      <c r="R312" s="6">
        <v>0</v>
      </c>
      <c r="S312" s="5" t="str">
        <f ca="1">VLOOKUP($T312,OFFSET([4]enemy_skill_sets!$B$1,0,0,COUNTA([4]enemy_skill_sets!$B:$B),MATCH(J$1,[4]enemy_skill_sets!$1:$1,0)-MATCH($T$1,[4]enemy_skill_sets!$1:$1,0)+2),MATCH(J$1,[4]enemy_skill_sets!$1:$1,0)-MATCH($T$1,[4]enemy_skill_sets!$1:$1,0)+2,FALSE)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2" s="5">
        <f ca="1">VLOOKUP($I312,OFFSET([2]enemies!$A$1,0,0,COUNTA([2]enemies!$A:$A),MATCH(T$1,[2]enemies!$2:$2,0)-MATCH($I$1,[2]enemies!$2:$2,0)+1),MATCH(T$1,[2]enemies!$2:$2,0)-MATCH($I$1,[2]enemies!$2:$2,0)+1,FALSE)</f>
        <v>0</v>
      </c>
      <c r="U312" s="7">
        <v>0</v>
      </c>
      <c r="V312" s="7">
        <v>100</v>
      </c>
      <c r="W312" s="7">
        <v>0</v>
      </c>
      <c r="X312" s="26">
        <f ca="1">VLOOKUP($I312,OFFSET([2]enemies!$A$1,0,0,COUNTA([2]enemies!$A:$A),MATCH(X$1,[2]enemies!$2:$2,0)-MATCH($I$1,[2]enemies!$2:$2,0)+1),MATCH(X$1,[2]enemies!$2:$2,0)-MATCH($I$1,[2]enemies!$2:$2,0)+1,FALSE)</f>
        <v>2</v>
      </c>
      <c r="Y312" s="31">
        <v>3</v>
      </c>
      <c r="Z312" s="5" t="str">
        <f ca="1">IFERROR(VLOOKUP($Y312,OFFSET([3]characters!$A$1,0,0,COUNTA([3]characters!$A:$A),MATCH(Z$1,[3]characters!$2:$2,0)-MATCH("character_id",[3]characters!$2:$2,0)+1),MATCH(Z$1,[3]characters!$2:$2,0)-MATCH("character_id",[3]characters!$2:$2,0)+1,FALSE),"")</f>
        <v>エージェント ジョー</v>
      </c>
      <c r="AA312" s="5">
        <f ca="1">IFERROR(VLOOKUP($Y312,OFFSET([3]characters!$A$1,0,0,COUNTA([3]characters!$A:$A),MATCH(AA$1,[3]characters!$2:$2,0)-MATCH("character_id",[3]characters!$2:$2,0)+1),MATCH(AA$1,[3]characters!$2:$2,0)-MATCH("character_id",[3]characters!$2:$2,0)+1,FALSE),"")</f>
        <v>1</v>
      </c>
      <c r="AB312" s="5" t="str">
        <f ca="1">IFERROR(VLOOKUP($Y312,OFFSET([3]characters!$A$1,0,0,COUNTA([3]characters!$A:$A),MATCH(AB$1,[3]characters!$2:$2,0)-MATCH("character_id",[3]characters!$2:$2,0)+1),MATCH(AB$1,[3]characters!$2:$2,0)-MATCH("character_id",[3]characters!$2:$2,0)+1,FALSE),"")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312" s="8">
        <v>1</v>
      </c>
      <c r="AD312" s="34">
        <f t="shared" ca="1" si="224"/>
        <v>1</v>
      </c>
      <c r="AE312" s="9">
        <v>0</v>
      </c>
      <c r="AF312" s="8">
        <v>0</v>
      </c>
      <c r="AG312" s="8">
        <v>0</v>
      </c>
      <c r="AH312" s="8">
        <v>0</v>
      </c>
      <c r="AI312" s="8">
        <v>0</v>
      </c>
      <c r="AJ312" s="8">
        <v>1</v>
      </c>
    </row>
    <row r="313" spans="1:36" ht="21" customHeight="1">
      <c r="A313" s="21" t="str">
        <f t="shared" ca="1" si="221"/>
        <v>11206_1-2/5&lt;lv5&gt;s3</v>
      </c>
      <c r="B313" s="8">
        <v>11206</v>
      </c>
      <c r="C313" s="32">
        <v>1</v>
      </c>
      <c r="D313" s="2" t="str">
        <f t="shared" si="222"/>
        <v>11206_1</v>
      </c>
      <c r="E313" s="5" t="str">
        <f ca="1">VLOOKUP($B313,OFFSET([1]quests!$A$1,0,0,COUNTA([1]quests!$A:$A),MATCH(E$1,[1]quests!$1:$1,0)-MATCH($B$1,[1]quests!$1:$1,0)+1),MATCH(E$1,[1]quests!$1:$1,0)-MATCH($B$1,[1]quests!$1:$1,0)+1,FALSE)</f>
        <v>【キャンペーン限定】 ゴールドカジノ</v>
      </c>
      <c r="F313" s="5" t="str">
        <f ca="1">VLOOKUP($D313,OFFSET([1]stages!$A$1,0,0,COUNTA([1]stages!$A:$A),MATCH(F$1,[1]stages!$2:$2,0)-MATCH($D$1,[1]stages!$2:$2,0)+1),MATCH(F$1,[1]stages!$2:$2,0)-MATCH($D$1,[1]stages!$2:$2,0)+1,FALSE)</f>
        <v>ゴールドカジノ 【初級】</v>
      </c>
      <c r="G313" s="32">
        <v>2</v>
      </c>
      <c r="H313" s="20" t="str">
        <f t="shared" si="223"/>
        <v>11206_1-2</v>
      </c>
      <c r="I313" s="31">
        <v>5</v>
      </c>
      <c r="J313" s="26" t="str">
        <f ca="1">VLOOKUP($I313,OFFSET([2]enemies!$A$1,0,0,COUNTA([2]enemies!$A:$A),MATCH(J$1,[2]enemies!$2:$2,0)-MATCH($I$1,[2]enemies!$2:$2,0)+1),MATCH(J$1,[2]enemies!$2:$2,0)-MATCH($I$1,[2]enemies!$2:$2,0)+1,FALSE)</f>
        <v>パトドッグ ポチ</v>
      </c>
      <c r="K313" s="29" t="str">
        <f ca="1">VLOOKUP($I313,OFFSET([2]enemies!$A$1,0,0,COUNTA([2]enemies!$A:$A),MATCH(K$1,[2]enemies!$2:$2,0)-MATCH($I$1,[2]enemies!$2:$2,0)+1),MATCH(K$1,[2]enemies!$2:$2,0)-MATCH($I$1,[2]enemies!$2:$2,0)+1,FALSE)</f>
        <v>blue</v>
      </c>
      <c r="L313" s="29" t="str">
        <f ca="1">VLOOKUP($I313,OFFSET([3]characters!$A$1,0,0,COUNTA([3]characters!$A:$A),MATCH(L$1,[3]characters!$2:$2,0)-MATCH($I$1,[3]characters!$2:$2,0)+1),MATCH(L$1,[3]characters!$2:$2,0)-MATCH($I$1,[3]characters!$2:$2,0)+1,FALSE)</f>
        <v>Drop1T</v>
      </c>
      <c r="M313" s="28" t="str">
        <f ca="1">VLOOKUP($I313,OFFSET([3]characters!$A$1,0,0,COUNTA([3]characters!$A:$A),MATCH(M$1,[3]characters!$2:$2,0)-MATCH($I$1,[3]characters!$2:$2,0)+2),MATCH(M$1,[3]characters!$2:$2,0)-MATCH($I$1,[3]characters!$2:$2,0)+2,FALSE)</f>
        <v>Unknown</v>
      </c>
      <c r="N313" s="5">
        <f ca="1">VLOOKUP($I313,OFFSET([2]enemies!$A$1,0,0,COUNTA([2]enemies!$A:$A),MATCH(N$1,[2]enemies!$2:$2,0)-MATCH($I$1,[2]enemies!$2:$2,0)+1),MATCH(N$1,[2]enemies!$2:$2,0)-MATCH($I$1,[2]enemies!$2:$2,0)+1,FALSE)</f>
        <v>15</v>
      </c>
      <c r="O313" s="6">
        <v>5</v>
      </c>
      <c r="P313" s="46">
        <v>1</v>
      </c>
      <c r="Q313" s="46">
        <v>1</v>
      </c>
      <c r="R313" s="6">
        <v>0</v>
      </c>
      <c r="S313" s="5" t="str">
        <f ca="1">VLOOKUP($T313,OFFSET([4]enemy_skill_sets!$B$1,0,0,COUNTA([4]enemy_skill_sets!$B:$B),MATCH(J$1,[4]enemy_skill_sets!$1:$1,0)-MATCH($T$1,[4]enemy_skill_sets!$1:$1,0)+2),MATCH(J$1,[4]enemy_skill_sets!$1:$1,0)-MATCH($T$1,[4]enemy_skill_sets!$1:$1,0)+2,FALSE)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3" s="5">
        <f ca="1">VLOOKUP($I313,OFFSET([2]enemies!$A$1,0,0,COUNTA([2]enemies!$A:$A),MATCH(T$1,[2]enemies!$2:$2,0)-MATCH($I$1,[2]enemies!$2:$2,0)+1),MATCH(T$1,[2]enemies!$2:$2,0)-MATCH($I$1,[2]enemies!$2:$2,0)+1,FALSE)</f>
        <v>0</v>
      </c>
      <c r="U313" s="7">
        <v>0</v>
      </c>
      <c r="V313" s="7">
        <v>100</v>
      </c>
      <c r="W313" s="7">
        <v>0</v>
      </c>
      <c r="X313" s="26">
        <f ca="1">VLOOKUP($I313,OFFSET([2]enemies!$A$1,0,0,COUNTA([2]enemies!$A:$A),MATCH(X$1,[2]enemies!$2:$2,0)-MATCH($I$1,[2]enemies!$2:$2,0)+1),MATCH(X$1,[2]enemies!$2:$2,0)-MATCH($I$1,[2]enemies!$2:$2,0)+1,FALSE)</f>
        <v>3</v>
      </c>
      <c r="Y313" s="31">
        <v>5</v>
      </c>
      <c r="Z313" s="5" t="str">
        <f ca="1">IFERROR(VLOOKUP($Y313,OFFSET([3]characters!$A$1,0,0,COUNTA([3]characters!$A:$A),MATCH(Z$1,[3]characters!$2:$2,0)-MATCH("character_id",[3]characters!$2:$2,0)+1),MATCH(Z$1,[3]characters!$2:$2,0)-MATCH("character_id",[3]characters!$2:$2,0)+1,FALSE),"")</f>
        <v>パトドッグ ポチ</v>
      </c>
      <c r="AA313" s="5">
        <f ca="1">IFERROR(VLOOKUP($Y313,OFFSET([3]characters!$A$1,0,0,COUNTA([3]characters!$A:$A),MATCH(AA$1,[3]characters!$2:$2,0)-MATCH("character_id",[3]characters!$2:$2,0)+1),MATCH(AA$1,[3]characters!$2:$2,0)-MATCH("character_id",[3]characters!$2:$2,0)+1,FALSE),"")</f>
        <v>1</v>
      </c>
      <c r="AB313" s="5" t="str">
        <f ca="1">IFERROR(VLOOKUP($Y313,OFFSET([3]characters!$A$1,0,0,COUNTA([3]characters!$A:$A),MATCH(AB$1,[3]characters!$2:$2,0)-MATCH("character_id",[3]characters!$2:$2,0)+1),MATCH(AB$1,[3]characters!$2:$2,0)-MATCH("character_id",[3]characters!$2:$2,0)+1,FALSE),"")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313" s="8">
        <v>1</v>
      </c>
      <c r="AD313" s="34">
        <f t="shared" ca="1" si="224"/>
        <v>1</v>
      </c>
      <c r="AE313" s="9">
        <v>0</v>
      </c>
      <c r="AF313" s="8">
        <v>0</v>
      </c>
      <c r="AG313" s="8">
        <v>0</v>
      </c>
      <c r="AH313" s="8">
        <v>0</v>
      </c>
      <c r="AI313" s="8">
        <v>0</v>
      </c>
      <c r="AJ313" s="8">
        <v>1</v>
      </c>
    </row>
    <row r="314" spans="1:36" ht="21" customHeight="1">
      <c r="A314" s="21" t="str">
        <f t="shared" ca="1" si="221"/>
        <v>11206_1-2/7&lt;lv5&gt;s2</v>
      </c>
      <c r="B314" s="8">
        <v>11206</v>
      </c>
      <c r="C314" s="32">
        <v>1</v>
      </c>
      <c r="D314" s="2" t="str">
        <f t="shared" si="222"/>
        <v>11206_1</v>
      </c>
      <c r="E314" s="5" t="str">
        <f ca="1">VLOOKUP($B314,OFFSET([1]quests!$A$1,0,0,COUNTA([1]quests!$A:$A),MATCH(E$1,[1]quests!$1:$1,0)-MATCH($B$1,[1]quests!$1:$1,0)+1),MATCH(E$1,[1]quests!$1:$1,0)-MATCH($B$1,[1]quests!$1:$1,0)+1,FALSE)</f>
        <v>【キャンペーン限定】 ゴールドカジノ</v>
      </c>
      <c r="F314" s="5" t="str">
        <f ca="1">VLOOKUP($D314,OFFSET([1]stages!$A$1,0,0,COUNTA([1]stages!$A:$A),MATCH(F$1,[1]stages!$2:$2,0)-MATCH($D$1,[1]stages!$2:$2,0)+1),MATCH(F$1,[1]stages!$2:$2,0)-MATCH($D$1,[1]stages!$2:$2,0)+1,FALSE)</f>
        <v>ゴールドカジノ 【初級】</v>
      </c>
      <c r="G314" s="32">
        <v>2</v>
      </c>
      <c r="H314" s="20" t="str">
        <f t="shared" si="223"/>
        <v>11206_1-2</v>
      </c>
      <c r="I314" s="31">
        <v>7</v>
      </c>
      <c r="J314" s="26" t="str">
        <f ca="1">VLOOKUP($I314,OFFSET([2]enemies!$A$1,0,0,COUNTA([2]enemies!$A:$A),MATCH(J$1,[2]enemies!$2:$2,0)-MATCH($I$1,[2]enemies!$2:$2,0)+1),MATCH(J$1,[2]enemies!$2:$2,0)-MATCH($I$1,[2]enemies!$2:$2,0)+1,FALSE)</f>
        <v>エレキポット</v>
      </c>
      <c r="K314" s="29" t="str">
        <f ca="1">VLOOKUP($I314,OFFSET([2]enemies!$A$1,0,0,COUNTA([2]enemies!$A:$A),MATCH(K$1,[2]enemies!$2:$2,0)-MATCH($I$1,[2]enemies!$2:$2,0)+1),MATCH(K$1,[2]enemies!$2:$2,0)-MATCH($I$1,[2]enemies!$2:$2,0)+1,FALSE)</f>
        <v>yellow</v>
      </c>
      <c r="L314" s="29" t="str">
        <f ca="1">VLOOKUP($I314,OFFSET([3]characters!$A$1,0,0,COUNTA([3]characters!$A:$A),MATCH(L$1,[3]characters!$2:$2,0)-MATCH($I$1,[3]characters!$2:$2,0)+1),MATCH(L$1,[3]characters!$2:$2,0)-MATCH($I$1,[3]characters!$2:$2,0)+1,FALSE)</f>
        <v>Drop1T</v>
      </c>
      <c r="M314" s="28" t="str">
        <f ca="1">VLOOKUP($I314,OFFSET([3]characters!$A$1,0,0,COUNTA([3]characters!$A:$A),MATCH(M$1,[3]characters!$2:$2,0)-MATCH($I$1,[3]characters!$2:$2,0)+2),MATCH(M$1,[3]characters!$2:$2,0)-MATCH($I$1,[3]characters!$2:$2,0)+2,FALSE)</f>
        <v>Unknown</v>
      </c>
      <c r="N314" s="5">
        <f ca="1">VLOOKUP($I314,OFFSET([2]enemies!$A$1,0,0,COUNTA([2]enemies!$A:$A),MATCH(N$1,[2]enemies!$2:$2,0)-MATCH($I$1,[2]enemies!$2:$2,0)+1),MATCH(N$1,[2]enemies!$2:$2,0)-MATCH($I$1,[2]enemies!$2:$2,0)+1,FALSE)</f>
        <v>15</v>
      </c>
      <c r="O314" s="6">
        <v>5</v>
      </c>
      <c r="P314" s="46">
        <v>1</v>
      </c>
      <c r="Q314" s="46">
        <v>1</v>
      </c>
      <c r="R314" s="6">
        <v>0</v>
      </c>
      <c r="S314" s="5" t="str">
        <f ca="1">VLOOKUP($T314,OFFSET([4]enemy_skill_sets!$B$1,0,0,COUNTA([4]enemy_skill_sets!$B:$B),MATCH(J$1,[4]enemy_skill_sets!$1:$1,0)-MATCH($T$1,[4]enemy_skill_sets!$1:$1,0)+2),MATCH(J$1,[4]enemy_skill_sets!$1:$1,0)-MATCH($T$1,[4]enemy_skill_sets!$1:$1,0)+2,FALSE)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4" s="5">
        <f ca="1">VLOOKUP($I314,OFFSET([2]enemies!$A$1,0,0,COUNTA([2]enemies!$A:$A),MATCH(T$1,[2]enemies!$2:$2,0)-MATCH($I$1,[2]enemies!$2:$2,0)+1),MATCH(T$1,[2]enemies!$2:$2,0)-MATCH($I$1,[2]enemies!$2:$2,0)+1,FALSE)</f>
        <v>0</v>
      </c>
      <c r="U314" s="7">
        <v>0</v>
      </c>
      <c r="V314" s="7">
        <v>100</v>
      </c>
      <c r="W314" s="7">
        <v>0</v>
      </c>
      <c r="X314" s="26">
        <f ca="1">VLOOKUP($I314,OFFSET([2]enemies!$A$1,0,0,COUNTA([2]enemies!$A:$A),MATCH(X$1,[2]enemies!$2:$2,0)-MATCH($I$1,[2]enemies!$2:$2,0)+1),MATCH(X$1,[2]enemies!$2:$2,0)-MATCH($I$1,[2]enemies!$2:$2,0)+1,FALSE)</f>
        <v>2</v>
      </c>
      <c r="Y314" s="31">
        <v>7</v>
      </c>
      <c r="Z314" s="5" t="str">
        <f ca="1">IFERROR(VLOOKUP($Y314,OFFSET([3]characters!$A$1,0,0,COUNTA([3]characters!$A:$A),MATCH(Z$1,[3]characters!$2:$2,0)-MATCH("character_id",[3]characters!$2:$2,0)+1),MATCH(Z$1,[3]characters!$2:$2,0)-MATCH("character_id",[3]characters!$2:$2,0)+1,FALSE),"")</f>
        <v>エレキポット</v>
      </c>
      <c r="AA314" s="5">
        <f ca="1">IFERROR(VLOOKUP($Y314,OFFSET([3]characters!$A$1,0,0,COUNTA([3]characters!$A:$A),MATCH(AA$1,[3]characters!$2:$2,0)-MATCH("character_id",[3]characters!$2:$2,0)+1),MATCH(AA$1,[3]characters!$2:$2,0)-MATCH("character_id",[3]characters!$2:$2,0)+1,FALSE),"")</f>
        <v>1</v>
      </c>
      <c r="AB314" s="5" t="str">
        <f ca="1">IFERROR(VLOOKUP($Y314,OFFSET([3]characters!$A$1,0,0,COUNTA([3]characters!$A:$A),MATCH(AB$1,[3]characters!$2:$2,0)-MATCH("character_id",[3]characters!$2:$2,0)+1),MATCH(AB$1,[3]characters!$2:$2,0)-MATCH("character_id",[3]characters!$2:$2,0)+1,FALSE),"")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314" s="8">
        <v>1</v>
      </c>
      <c r="AD314" s="34">
        <f t="shared" ca="1" si="224"/>
        <v>1</v>
      </c>
      <c r="AE314" s="9">
        <v>0</v>
      </c>
      <c r="AF314" s="8">
        <v>0</v>
      </c>
      <c r="AG314" s="8">
        <v>0</v>
      </c>
      <c r="AH314" s="8">
        <v>0</v>
      </c>
      <c r="AI314" s="8">
        <v>0</v>
      </c>
      <c r="AJ314" s="8">
        <v>1</v>
      </c>
    </row>
    <row r="315" spans="1:36" ht="21" customHeight="1">
      <c r="A315" s="21" t="str">
        <f t="shared" ca="1" si="221"/>
        <v>11206_1-3/117&lt;lv2&gt;s1</v>
      </c>
      <c r="B315" s="8">
        <v>11206</v>
      </c>
      <c r="C315" s="32">
        <v>1</v>
      </c>
      <c r="D315" s="2" t="str">
        <f t="shared" si="222"/>
        <v>11206_1</v>
      </c>
      <c r="E315" s="5" t="str">
        <f ca="1">VLOOKUP($B315,OFFSET([1]quests!$A$1,0,0,COUNTA([1]quests!$A:$A),MATCH(E$1,[1]quests!$1:$1,0)-MATCH($B$1,[1]quests!$1:$1,0)+1),MATCH(E$1,[1]quests!$1:$1,0)-MATCH($B$1,[1]quests!$1:$1,0)+1,FALSE)</f>
        <v>【キャンペーン限定】 ゴールドカジノ</v>
      </c>
      <c r="F315" s="5" t="str">
        <f ca="1">VLOOKUP($D315,OFFSET([1]stages!$A$1,0,0,COUNTA([1]stages!$A:$A),MATCH(F$1,[1]stages!$2:$2,0)-MATCH($D$1,[1]stages!$2:$2,0)+1),MATCH(F$1,[1]stages!$2:$2,0)-MATCH($D$1,[1]stages!$2:$2,0)+1,FALSE)</f>
        <v>ゴールドカジノ 【初級】</v>
      </c>
      <c r="G315" s="32">
        <v>3</v>
      </c>
      <c r="H315" s="20" t="str">
        <f t="shared" si="223"/>
        <v>11206_1-3</v>
      </c>
      <c r="I315" s="31">
        <v>117</v>
      </c>
      <c r="J315" s="26" t="str">
        <f ca="1">VLOOKUP($I315,OFFSET([2]enemies!$A$1,0,0,COUNTA([2]enemies!$A:$A),MATCH(J$1,[2]enemies!$2:$2,0)-MATCH($I$1,[2]enemies!$2:$2,0)+1),MATCH(J$1,[2]enemies!$2:$2,0)-MATCH($I$1,[2]enemies!$2:$2,0)+1,FALSE)</f>
        <v>ゴールドピヨピヨ</v>
      </c>
      <c r="K315" s="29" t="str">
        <f ca="1">VLOOKUP($I315,OFFSET([2]enemies!$A$1,0,0,COUNTA([2]enemies!$A:$A),MATCH(K$1,[2]enemies!$2:$2,0)-MATCH($I$1,[2]enemies!$2:$2,0)+1),MATCH(K$1,[2]enemies!$2:$2,0)-MATCH($I$1,[2]enemies!$2:$2,0)+1,FALSE)</f>
        <v>yellow</v>
      </c>
      <c r="L315" s="29" t="str">
        <f ca="1">VLOOKUP($I315,OFFSET([3]characters!$A$1,0,0,COUNTA([3]characters!$A:$A),MATCH(L$1,[3]characters!$2:$2,0)-MATCH($I$1,[3]characters!$2:$2,0)+1),MATCH(L$1,[3]characters!$2:$2,0)-MATCH($I$1,[3]characters!$2:$2,0)+1,FALSE)</f>
        <v>Material</v>
      </c>
      <c r="M315" s="28" t="str">
        <f ca="1">VLOOKUP($I315,OFFSET([3]characters!$A$1,0,0,COUNTA([3]characters!$A:$A),MATCH(M$1,[3]characters!$2:$2,0)-MATCH($I$1,[3]characters!$2:$2,0)+2),MATCH(M$1,[3]characters!$2:$2,0)-MATCH($I$1,[3]characters!$2:$2,0)+2,FALSE)</f>
        <v>Unknown</v>
      </c>
      <c r="N315" s="5">
        <f ca="1">VLOOKUP($I315,OFFSET([2]enemies!$A$1,0,0,COUNTA([2]enemies!$A:$A),MATCH(N$1,[2]enemies!$2:$2,0)-MATCH($I$1,[2]enemies!$2:$2,0)+1),MATCH(N$1,[2]enemies!$2:$2,0)-MATCH($I$1,[2]enemies!$2:$2,0)+1,FALSE)</f>
        <v>15</v>
      </c>
      <c r="O315" s="6">
        <v>2</v>
      </c>
      <c r="P315" s="48">
        <v>7.5</v>
      </c>
      <c r="Q315" s="46">
        <v>11</v>
      </c>
      <c r="R315" s="6">
        <v>0</v>
      </c>
      <c r="S315" s="5" t="str">
        <f ca="1">VLOOKUP($T315,OFFSET([4]enemy_skill_sets!$B$1,0,0,COUNTA([4]enemy_skill_sets!$B:$B),MATCH(J$1,[4]enemy_skill_sets!$1:$1,0)-MATCH($T$1,[4]enemy_skill_sets!$1:$1,0)+2),MATCH(J$1,[4]enemy_skill_sets!$1:$1,0)-MATCH($T$1,[4]enemy_skill_sets!$1:$1,0)+2,FALSE)</f>
        <v>攻撃力10倍の自爆攻撃！</v>
      </c>
      <c r="T315" s="42">
        <v>11702</v>
      </c>
      <c r="U315" s="7">
        <v>1</v>
      </c>
      <c r="V315" s="7">
        <v>100</v>
      </c>
      <c r="W315" s="7">
        <v>0</v>
      </c>
      <c r="X315" s="26">
        <f ca="1">VLOOKUP($I315,OFFSET([2]enemies!$A$1,0,0,COUNTA([2]enemies!$A:$A),MATCH(X$1,[2]enemies!$2:$2,0)-MATCH($I$1,[2]enemies!$2:$2,0)+1),MATCH(X$1,[2]enemies!$2:$2,0)-MATCH($I$1,[2]enemies!$2:$2,0)+1,FALSE)</f>
        <v>1</v>
      </c>
      <c r="Y315" s="31">
        <v>117</v>
      </c>
      <c r="Z315" s="5" t="str">
        <f ca="1">IFERROR(VLOOKUP($Y315,OFFSET([3]characters!$A$1,0,0,COUNTA([3]characters!$A:$A),MATCH(Z$1,[3]characters!$2:$2,0)-MATCH("character_id",[3]characters!$2:$2,0)+1),MATCH(Z$1,[3]characters!$2:$2,0)-MATCH("character_id",[3]characters!$2:$2,0)+1,FALSE),"")</f>
        <v>ゴールドピヨピヨ</v>
      </c>
      <c r="AA315" s="5">
        <f ca="1">IFERROR(VLOOKUP($Y315,OFFSET([3]characters!$A$1,0,0,COUNTA([3]characters!$A:$A),MATCH(AA$1,[3]characters!$2:$2,0)-MATCH("character_id",[3]characters!$2:$2,0)+1),MATCH(AA$1,[3]characters!$2:$2,0)-MATCH("character_id",[3]characters!$2:$2,0)+1,FALSE),"")</f>
        <v>3</v>
      </c>
      <c r="AB315" s="5" t="str">
        <f ca="1">IFERROR(VLOOKUP($Y315,OFFSET([3]characters!$A$1,0,0,COUNTA([3]characters!$A:$A),MATCH(AB$1,[3]characters!$2:$2,0)-MATCH("character_id",[3]characters!$2:$2,0)+1),MATCH(AB$1,[3]characters!$2:$2,0)-MATCH("character_id",[3]characters!$2:$2,0)+1,FALSE),"")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15" s="8">
        <v>1</v>
      </c>
      <c r="AD315" s="34">
        <f t="shared" ca="1" si="224"/>
        <v>3</v>
      </c>
      <c r="AE315" s="9">
        <v>30</v>
      </c>
      <c r="AF315" s="8">
        <v>0</v>
      </c>
      <c r="AG315" s="8">
        <v>0</v>
      </c>
      <c r="AH315" s="8">
        <v>0</v>
      </c>
      <c r="AI315" s="8">
        <v>0</v>
      </c>
      <c r="AJ315" s="8">
        <v>1</v>
      </c>
    </row>
    <row r="316" spans="1:36" ht="21" customHeight="1">
      <c r="A316" s="21" t="str">
        <f t="shared" ca="1" si="221"/>
        <v>11206_1-3/118&lt;lv2&gt;s2</v>
      </c>
      <c r="B316" s="8">
        <v>11206</v>
      </c>
      <c r="C316" s="32">
        <v>1</v>
      </c>
      <c r="D316" s="2" t="str">
        <f t="shared" si="222"/>
        <v>11206_1</v>
      </c>
      <c r="E316" s="5" t="str">
        <f ca="1">VLOOKUP($B316,OFFSET([1]quests!$A$1,0,0,COUNTA([1]quests!$A:$A),MATCH(E$1,[1]quests!$1:$1,0)-MATCH($B$1,[1]quests!$1:$1,0)+1),MATCH(E$1,[1]quests!$1:$1,0)-MATCH($B$1,[1]quests!$1:$1,0)+1,FALSE)</f>
        <v>【キャンペーン限定】 ゴールドカジノ</v>
      </c>
      <c r="F316" s="5" t="str">
        <f ca="1">VLOOKUP($D316,OFFSET([1]stages!$A$1,0,0,COUNTA([1]stages!$A:$A),MATCH(F$1,[1]stages!$2:$2,0)-MATCH($D$1,[1]stages!$2:$2,0)+1),MATCH(F$1,[1]stages!$2:$2,0)-MATCH($D$1,[1]stages!$2:$2,0)+1,FALSE)</f>
        <v>ゴールドカジノ 【初級】</v>
      </c>
      <c r="G316" s="32">
        <v>3</v>
      </c>
      <c r="H316" s="20" t="str">
        <f t="shared" si="223"/>
        <v>11206_1-3</v>
      </c>
      <c r="I316" s="31">
        <v>118</v>
      </c>
      <c r="J316" s="26" t="str">
        <f ca="1">VLOOKUP($I316,OFFSET([2]enemies!$A$1,0,0,COUNTA([2]enemies!$A:$A),MATCH(J$1,[2]enemies!$2:$2,0)-MATCH($I$1,[2]enemies!$2:$2,0)+1),MATCH(J$1,[2]enemies!$2:$2,0)-MATCH($I$1,[2]enemies!$2:$2,0)+1,FALSE)</f>
        <v>ゴールドチック</v>
      </c>
      <c r="K316" s="29" t="str">
        <f ca="1">VLOOKUP($I316,OFFSET([2]enemies!$A$1,0,0,COUNTA([2]enemies!$A:$A),MATCH(K$1,[2]enemies!$2:$2,0)-MATCH($I$1,[2]enemies!$2:$2,0)+1),MATCH(K$1,[2]enemies!$2:$2,0)-MATCH($I$1,[2]enemies!$2:$2,0)+1,FALSE)</f>
        <v>yellow</v>
      </c>
      <c r="L316" s="29" t="str">
        <f ca="1">VLOOKUP($I316,OFFSET([3]characters!$A$1,0,0,COUNTA([3]characters!$A:$A),MATCH(L$1,[3]characters!$2:$2,0)-MATCH($I$1,[3]characters!$2:$2,0)+1),MATCH(L$1,[3]characters!$2:$2,0)-MATCH($I$1,[3]characters!$2:$2,0)+1,FALSE)</f>
        <v>Material</v>
      </c>
      <c r="M316" s="28" t="str">
        <f ca="1">VLOOKUP($I316,OFFSET([3]characters!$A$1,0,0,COUNTA([3]characters!$A:$A),MATCH(M$1,[3]characters!$2:$2,0)-MATCH($I$1,[3]characters!$2:$2,0)+2),MATCH(M$1,[3]characters!$2:$2,0)-MATCH($I$1,[3]characters!$2:$2,0)+2,FALSE)</f>
        <v>Unknown</v>
      </c>
      <c r="N316" s="5">
        <f ca="1">VLOOKUP($I316,OFFSET([2]enemies!$A$1,0,0,COUNTA([2]enemies!$A:$A),MATCH(N$1,[2]enemies!$2:$2,0)-MATCH($I$1,[2]enemies!$2:$2,0)+1),MATCH(N$1,[2]enemies!$2:$2,0)-MATCH($I$1,[2]enemies!$2:$2,0)+1,FALSE)</f>
        <v>15</v>
      </c>
      <c r="O316" s="6">
        <v>2</v>
      </c>
      <c r="P316" s="48">
        <v>7.5</v>
      </c>
      <c r="Q316" s="46">
        <v>10</v>
      </c>
      <c r="R316" s="6">
        <v>0</v>
      </c>
      <c r="S316" s="5" t="str">
        <f ca="1">VLOOKUP($T316,OFFSET([4]enemy_skill_sets!$B$1,0,0,COUNTA([4]enemy_skill_sets!$B:$B),MATCH(J$1,[4]enemy_skill_sets!$1:$1,0)-MATCH($T$1,[4]enemy_skill_sets!$1:$1,0)+2),MATCH(J$1,[4]enemy_skill_sets!$1:$1,0)-MATCH($T$1,[4]enemy_skill_sets!$1:$1,0)+2,FALSE)</f>
        <v>攻撃力10倍の自爆攻撃！</v>
      </c>
      <c r="T316" s="42">
        <v>11702</v>
      </c>
      <c r="U316" s="7">
        <v>1</v>
      </c>
      <c r="V316" s="7">
        <v>100</v>
      </c>
      <c r="W316" s="7">
        <v>0</v>
      </c>
      <c r="X316" s="26">
        <f ca="1">VLOOKUP($I316,OFFSET([2]enemies!$A$1,0,0,COUNTA([2]enemies!$A:$A),MATCH(X$1,[2]enemies!$2:$2,0)-MATCH($I$1,[2]enemies!$2:$2,0)+1),MATCH(X$1,[2]enemies!$2:$2,0)-MATCH($I$1,[2]enemies!$2:$2,0)+1,FALSE)</f>
        <v>2</v>
      </c>
      <c r="Y316" s="31">
        <v>118</v>
      </c>
      <c r="Z316" s="5" t="str">
        <f ca="1">IFERROR(VLOOKUP($Y316,OFFSET([3]characters!$A$1,0,0,COUNTA([3]characters!$A:$A),MATCH(Z$1,[3]characters!$2:$2,0)-MATCH("character_id",[3]characters!$2:$2,0)+1),MATCH(Z$1,[3]characters!$2:$2,0)-MATCH("character_id",[3]characters!$2:$2,0)+1,FALSE),"")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316" s="5">
        <f ca="1">IFERROR(VLOOKUP($Y316,OFFSET([3]characters!$A$1,0,0,COUNTA([3]characters!$A:$A),MATCH(AA$1,[3]characters!$2:$2,0)-MATCH("character_id",[3]characters!$2:$2,0)+1),MATCH(AA$1,[3]characters!$2:$2,0)-MATCH("character_id",[3]characters!$2:$2,0)+1,FALSE),"")</f>
        <v>4</v>
      </c>
      <c r="AB316" s="5" t="str">
        <f ca="1">IFERROR(VLOOKUP($Y316,OFFSET([3]characters!$A$1,0,0,COUNTA([3]characters!$A:$A),MATCH(AB$1,[3]characters!$2:$2,0)-MATCH("character_id",[3]characters!$2:$2,0)+1),MATCH(AB$1,[3]characters!$2:$2,0)-MATCH("character_id",[3]characters!$2:$2,0)+1,FALSE),"")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16" s="8">
        <v>1</v>
      </c>
      <c r="AD316" s="34">
        <f t="shared" ca="1" si="224"/>
        <v>4</v>
      </c>
      <c r="AE316" s="9">
        <v>10</v>
      </c>
      <c r="AF316" s="8">
        <v>0</v>
      </c>
      <c r="AG316" s="8">
        <v>0</v>
      </c>
      <c r="AH316" s="8">
        <v>0</v>
      </c>
      <c r="AI316" s="8">
        <v>0</v>
      </c>
      <c r="AJ316" s="8">
        <v>1</v>
      </c>
    </row>
    <row r="317" spans="1:36" ht="21" customHeight="1">
      <c r="A317" s="21" t="str">
        <f t="shared" ca="1" si="221"/>
        <v>11206_1-3/117&lt;lv1&gt;s1</v>
      </c>
      <c r="B317" s="8">
        <v>11206</v>
      </c>
      <c r="C317" s="32">
        <v>1</v>
      </c>
      <c r="D317" s="2" t="str">
        <f t="shared" si="222"/>
        <v>11206_1</v>
      </c>
      <c r="E317" s="5" t="str">
        <f ca="1">VLOOKUP($B317,OFFSET([1]quests!$A$1,0,0,COUNTA([1]quests!$A:$A),MATCH(E$1,[1]quests!$1:$1,0)-MATCH($B$1,[1]quests!$1:$1,0)+1),MATCH(E$1,[1]quests!$1:$1,0)-MATCH($B$1,[1]quests!$1:$1,0)+1,FALSE)</f>
        <v>【キャンペーン限定】 ゴールドカジノ</v>
      </c>
      <c r="F317" s="5" t="str">
        <f ca="1">VLOOKUP($D317,OFFSET([1]stages!$A$1,0,0,COUNTA([1]stages!$A:$A),MATCH(F$1,[1]stages!$2:$2,0)-MATCH($D$1,[1]stages!$2:$2,0)+1),MATCH(F$1,[1]stages!$2:$2,0)-MATCH($D$1,[1]stages!$2:$2,0)+1,FALSE)</f>
        <v>ゴールドカジノ 【初級】</v>
      </c>
      <c r="G317" s="32">
        <v>3</v>
      </c>
      <c r="H317" s="20" t="str">
        <f t="shared" si="223"/>
        <v>11206_1-3</v>
      </c>
      <c r="I317" s="31">
        <v>117</v>
      </c>
      <c r="J317" s="26" t="str">
        <f ca="1">VLOOKUP($I317,OFFSET([2]enemies!$A$1,0,0,COUNTA([2]enemies!$A:$A),MATCH(J$1,[2]enemies!$2:$2,0)-MATCH($I$1,[2]enemies!$2:$2,0)+1),MATCH(J$1,[2]enemies!$2:$2,0)-MATCH($I$1,[2]enemies!$2:$2,0)+1,FALSE)</f>
        <v>ゴールドピヨピヨ</v>
      </c>
      <c r="K317" s="29" t="str">
        <f ca="1">VLOOKUP($I317,OFFSET([2]enemies!$A$1,0,0,COUNTA([2]enemies!$A:$A),MATCH(K$1,[2]enemies!$2:$2,0)-MATCH($I$1,[2]enemies!$2:$2,0)+1),MATCH(K$1,[2]enemies!$2:$2,0)-MATCH($I$1,[2]enemies!$2:$2,0)+1,FALSE)</f>
        <v>yellow</v>
      </c>
      <c r="L317" s="29" t="str">
        <f ca="1">VLOOKUP($I317,OFFSET([3]characters!$A$1,0,0,COUNTA([3]characters!$A:$A),MATCH(L$1,[3]characters!$2:$2,0)-MATCH($I$1,[3]characters!$2:$2,0)+1),MATCH(L$1,[3]characters!$2:$2,0)-MATCH($I$1,[3]characters!$2:$2,0)+1,FALSE)</f>
        <v>Material</v>
      </c>
      <c r="M317" s="28" t="str">
        <f ca="1">VLOOKUP($I317,OFFSET([3]characters!$A$1,0,0,COUNTA([3]characters!$A:$A),MATCH(M$1,[3]characters!$2:$2,0)-MATCH($I$1,[3]characters!$2:$2,0)+2),MATCH(M$1,[3]characters!$2:$2,0)-MATCH($I$1,[3]characters!$2:$2,0)+2,FALSE)</f>
        <v>Unknown</v>
      </c>
      <c r="N317" s="5">
        <f ca="1">VLOOKUP($I317,OFFSET([2]enemies!$A$1,0,0,COUNTA([2]enemies!$A:$A),MATCH(N$1,[2]enemies!$2:$2,0)-MATCH($I$1,[2]enemies!$2:$2,0)+1),MATCH(N$1,[2]enemies!$2:$2,0)-MATCH($I$1,[2]enemies!$2:$2,0)+1,FALSE)</f>
        <v>15</v>
      </c>
      <c r="O317" s="6">
        <v>1</v>
      </c>
      <c r="P317" s="48">
        <v>10.5</v>
      </c>
      <c r="Q317" s="46">
        <v>11</v>
      </c>
      <c r="R317" s="6">
        <v>0</v>
      </c>
      <c r="S317" s="5" t="str">
        <f ca="1">VLOOKUP($T317,OFFSET([4]enemy_skill_sets!$B$1,0,0,COUNTA([4]enemy_skill_sets!$B:$B),MATCH(J$1,[4]enemy_skill_sets!$1:$1,0)-MATCH($T$1,[4]enemy_skill_sets!$1:$1,0)+2),MATCH(J$1,[4]enemy_skill_sets!$1:$1,0)-MATCH($T$1,[4]enemy_skill_sets!$1:$1,0)+2,FALSE)</f>
        <v>攻撃力10倍の自爆攻撃！</v>
      </c>
      <c r="T317" s="42">
        <v>11702</v>
      </c>
      <c r="U317" s="7">
        <v>0</v>
      </c>
      <c r="V317" s="7">
        <v>100</v>
      </c>
      <c r="W317" s="7">
        <v>0</v>
      </c>
      <c r="X317" s="26">
        <f ca="1">VLOOKUP($I317,OFFSET([2]enemies!$A$1,0,0,COUNTA([2]enemies!$A:$A),MATCH(X$1,[2]enemies!$2:$2,0)-MATCH($I$1,[2]enemies!$2:$2,0)+1),MATCH(X$1,[2]enemies!$2:$2,0)-MATCH($I$1,[2]enemies!$2:$2,0)+1,FALSE)</f>
        <v>1</v>
      </c>
      <c r="Y317" s="31">
        <v>117</v>
      </c>
      <c r="Z317" s="5" t="str">
        <f ca="1">IFERROR(VLOOKUP($Y317,OFFSET([3]characters!$A$1,0,0,COUNTA([3]characters!$A:$A),MATCH(Z$1,[3]characters!$2:$2,0)-MATCH("character_id",[3]characters!$2:$2,0)+1),MATCH(Z$1,[3]characters!$2:$2,0)-MATCH("character_id",[3]characters!$2:$2,0)+1,FALSE),"")</f>
        <v>ゴールドピヨピヨ</v>
      </c>
      <c r="AA317" s="5">
        <f ca="1">IFERROR(VLOOKUP($Y317,OFFSET([3]characters!$A$1,0,0,COUNTA([3]characters!$A:$A),MATCH(AA$1,[3]characters!$2:$2,0)-MATCH("character_id",[3]characters!$2:$2,0)+1),MATCH(AA$1,[3]characters!$2:$2,0)-MATCH("character_id",[3]characters!$2:$2,0)+1,FALSE),"")</f>
        <v>3</v>
      </c>
      <c r="AB317" s="5" t="str">
        <f ca="1">IFERROR(VLOOKUP($Y317,OFFSET([3]characters!$A$1,0,0,COUNTA([3]characters!$A:$A),MATCH(AB$1,[3]characters!$2:$2,0)-MATCH("character_id",[3]characters!$2:$2,0)+1),MATCH(AB$1,[3]characters!$2:$2,0)-MATCH("character_id",[3]characters!$2:$2,0)+1,FALSE),"")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17" s="8">
        <v>1</v>
      </c>
      <c r="AD317" s="34">
        <f t="shared" ca="1" si="224"/>
        <v>3</v>
      </c>
      <c r="AE317" s="9">
        <v>30</v>
      </c>
      <c r="AF317" s="8">
        <v>0</v>
      </c>
      <c r="AG317" s="8">
        <v>0</v>
      </c>
      <c r="AH317" s="8">
        <v>0</v>
      </c>
      <c r="AI317" s="8">
        <v>0</v>
      </c>
      <c r="AJ317" s="8">
        <v>1</v>
      </c>
    </row>
    <row r="318" spans="1:36" ht="21" customHeight="1">
      <c r="A318" s="21" t="str">
        <f t="shared" ca="1" si="221"/>
        <v>11206_1-3/118&lt;lv1&gt;s2</v>
      </c>
      <c r="B318" s="8">
        <v>11206</v>
      </c>
      <c r="C318" s="32">
        <v>1</v>
      </c>
      <c r="D318" s="2" t="str">
        <f t="shared" si="222"/>
        <v>11206_1</v>
      </c>
      <c r="E318" s="5" t="str">
        <f ca="1">VLOOKUP($B318,OFFSET([1]quests!$A$1,0,0,COUNTA([1]quests!$A:$A),MATCH(E$1,[1]quests!$1:$1,0)-MATCH($B$1,[1]quests!$1:$1,0)+1),MATCH(E$1,[1]quests!$1:$1,0)-MATCH($B$1,[1]quests!$1:$1,0)+1,FALSE)</f>
        <v>【キャンペーン限定】 ゴールドカジノ</v>
      </c>
      <c r="F318" s="5" t="str">
        <f ca="1">VLOOKUP($D318,OFFSET([1]stages!$A$1,0,0,COUNTA([1]stages!$A:$A),MATCH(F$1,[1]stages!$2:$2,0)-MATCH($D$1,[1]stages!$2:$2,0)+1),MATCH(F$1,[1]stages!$2:$2,0)-MATCH($D$1,[1]stages!$2:$2,0)+1,FALSE)</f>
        <v>ゴールドカジノ 【初級】</v>
      </c>
      <c r="G318" s="32">
        <v>3</v>
      </c>
      <c r="H318" s="20" t="str">
        <f t="shared" si="223"/>
        <v>11206_1-3</v>
      </c>
      <c r="I318" s="31">
        <v>118</v>
      </c>
      <c r="J318" s="26" t="str">
        <f ca="1">VLOOKUP($I318,OFFSET([2]enemies!$A$1,0,0,COUNTA([2]enemies!$A:$A),MATCH(J$1,[2]enemies!$2:$2,0)-MATCH($I$1,[2]enemies!$2:$2,0)+1),MATCH(J$1,[2]enemies!$2:$2,0)-MATCH($I$1,[2]enemies!$2:$2,0)+1,FALSE)</f>
        <v>ゴールドチック</v>
      </c>
      <c r="K318" s="29" t="str">
        <f ca="1">VLOOKUP($I318,OFFSET([2]enemies!$A$1,0,0,COUNTA([2]enemies!$A:$A),MATCH(K$1,[2]enemies!$2:$2,0)-MATCH($I$1,[2]enemies!$2:$2,0)+1),MATCH(K$1,[2]enemies!$2:$2,0)-MATCH($I$1,[2]enemies!$2:$2,0)+1,FALSE)</f>
        <v>yellow</v>
      </c>
      <c r="L318" s="29" t="str">
        <f ca="1">VLOOKUP($I318,OFFSET([3]characters!$A$1,0,0,COUNTA([3]characters!$A:$A),MATCH(L$1,[3]characters!$2:$2,0)-MATCH($I$1,[3]characters!$2:$2,0)+1),MATCH(L$1,[3]characters!$2:$2,0)-MATCH($I$1,[3]characters!$2:$2,0)+1,FALSE)</f>
        <v>Material</v>
      </c>
      <c r="M318" s="28" t="str">
        <f ca="1">VLOOKUP($I318,OFFSET([3]characters!$A$1,0,0,COUNTA([3]characters!$A:$A),MATCH(M$1,[3]characters!$2:$2,0)-MATCH($I$1,[3]characters!$2:$2,0)+2),MATCH(M$1,[3]characters!$2:$2,0)-MATCH($I$1,[3]characters!$2:$2,0)+2,FALSE)</f>
        <v>Unknown</v>
      </c>
      <c r="N318" s="5">
        <f ca="1">VLOOKUP($I318,OFFSET([2]enemies!$A$1,0,0,COUNTA([2]enemies!$A:$A),MATCH(N$1,[2]enemies!$2:$2,0)-MATCH($I$1,[2]enemies!$2:$2,0)+1),MATCH(N$1,[2]enemies!$2:$2,0)-MATCH($I$1,[2]enemies!$2:$2,0)+1,FALSE)</f>
        <v>15</v>
      </c>
      <c r="O318" s="6">
        <v>1</v>
      </c>
      <c r="P318" s="48">
        <v>10.5</v>
      </c>
      <c r="Q318" s="46">
        <v>10</v>
      </c>
      <c r="R318" s="6">
        <v>0</v>
      </c>
      <c r="S318" s="5" t="str">
        <f ca="1">VLOOKUP($T318,OFFSET([4]enemy_skill_sets!$B$1,0,0,COUNTA([4]enemy_skill_sets!$B:$B),MATCH(J$1,[4]enemy_skill_sets!$1:$1,0)-MATCH($T$1,[4]enemy_skill_sets!$1:$1,0)+2),MATCH(J$1,[4]enemy_skill_sets!$1:$1,0)-MATCH($T$1,[4]enemy_skill_sets!$1:$1,0)+2,FALSE)</f>
        <v>攻撃力10倍の自爆攻撃！</v>
      </c>
      <c r="T318" s="42">
        <v>11702</v>
      </c>
      <c r="U318" s="7">
        <v>0</v>
      </c>
      <c r="V318" s="7">
        <v>100</v>
      </c>
      <c r="W318" s="7">
        <v>0</v>
      </c>
      <c r="X318" s="26">
        <f ca="1">VLOOKUP($I318,OFFSET([2]enemies!$A$1,0,0,COUNTA([2]enemies!$A:$A),MATCH(X$1,[2]enemies!$2:$2,0)-MATCH($I$1,[2]enemies!$2:$2,0)+1),MATCH(X$1,[2]enemies!$2:$2,0)-MATCH($I$1,[2]enemies!$2:$2,0)+1,FALSE)</f>
        <v>2</v>
      </c>
      <c r="Y318" s="31">
        <v>118</v>
      </c>
      <c r="Z318" s="5" t="str">
        <f ca="1">IFERROR(VLOOKUP($Y318,OFFSET([3]characters!$A$1,0,0,COUNTA([3]characters!$A:$A),MATCH(Z$1,[3]characters!$2:$2,0)-MATCH("character_id",[3]characters!$2:$2,0)+1),MATCH(Z$1,[3]characters!$2:$2,0)-MATCH("character_id",[3]characters!$2:$2,0)+1,FALSE),"")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318" s="5">
        <f ca="1">IFERROR(VLOOKUP($Y318,OFFSET([3]characters!$A$1,0,0,COUNTA([3]characters!$A:$A),MATCH(AA$1,[3]characters!$2:$2,0)-MATCH("character_id",[3]characters!$2:$2,0)+1),MATCH(AA$1,[3]characters!$2:$2,0)-MATCH("character_id",[3]characters!$2:$2,0)+1,FALSE),"")</f>
        <v>4</v>
      </c>
      <c r="AB318" s="5" t="str">
        <f ca="1">IFERROR(VLOOKUP($Y318,OFFSET([3]characters!$A$1,0,0,COUNTA([3]characters!$A:$A),MATCH(AB$1,[3]characters!$2:$2,0)-MATCH("character_id",[3]characters!$2:$2,0)+1),MATCH(AB$1,[3]characters!$2:$2,0)-MATCH("character_id",[3]characters!$2:$2,0)+1,FALSE),"")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18" s="8">
        <v>1</v>
      </c>
      <c r="AD318" s="34">
        <f t="shared" ca="1" si="224"/>
        <v>4</v>
      </c>
      <c r="AE318" s="9">
        <v>10</v>
      </c>
      <c r="AF318" s="8">
        <v>0</v>
      </c>
      <c r="AG318" s="8">
        <v>0</v>
      </c>
      <c r="AH318" s="8">
        <v>0</v>
      </c>
      <c r="AI318" s="8">
        <v>0</v>
      </c>
      <c r="AJ318" s="8">
        <v>1</v>
      </c>
    </row>
    <row r="319" spans="1:36" ht="21" customHeight="1">
      <c r="A319" s="21" t="str">
        <f t="shared" ca="1" si="221"/>
        <v>11206_1-3/1&lt;lv5&gt;s1</v>
      </c>
      <c r="B319" s="8">
        <v>11206</v>
      </c>
      <c r="C319" s="32">
        <v>1</v>
      </c>
      <c r="D319" s="2" t="str">
        <f t="shared" si="222"/>
        <v>11206_1</v>
      </c>
      <c r="E319" s="5" t="str">
        <f ca="1">VLOOKUP($B319,OFFSET([1]quests!$A$1,0,0,COUNTA([1]quests!$A:$A),MATCH(E$1,[1]quests!$1:$1,0)-MATCH($B$1,[1]quests!$1:$1,0)+1),MATCH(E$1,[1]quests!$1:$1,0)-MATCH($B$1,[1]quests!$1:$1,0)+1,FALSE)</f>
        <v>【キャンペーン限定】 ゴールドカジノ</v>
      </c>
      <c r="F319" s="5" t="str">
        <f ca="1">VLOOKUP($D319,OFFSET([1]stages!$A$1,0,0,COUNTA([1]stages!$A:$A),MATCH(F$1,[1]stages!$2:$2,0)-MATCH($D$1,[1]stages!$2:$2,0)+1),MATCH(F$1,[1]stages!$2:$2,0)-MATCH($D$1,[1]stages!$2:$2,0)+1,FALSE)</f>
        <v>ゴールドカジノ 【初級】</v>
      </c>
      <c r="G319" s="32">
        <v>3</v>
      </c>
      <c r="H319" s="20" t="str">
        <f t="shared" si="223"/>
        <v>11206_1-3</v>
      </c>
      <c r="I319" s="31">
        <v>1</v>
      </c>
      <c r="J319" s="26" t="str">
        <f ca="1">VLOOKUP($I319,OFFSET([2]enemies!$A$1,0,0,COUNTA([2]enemies!$A:$A),MATCH(J$1,[2]enemies!$2:$2,0)-MATCH($I$1,[2]enemies!$2:$2,0)+1),MATCH(J$1,[2]enemies!$2:$2,0)-MATCH($I$1,[2]enemies!$2:$2,0)+1,FALSE)</f>
        <v>ジェリー</v>
      </c>
      <c r="K319" s="29" t="str">
        <f ca="1">VLOOKUP($I319,OFFSET([2]enemies!$A$1,0,0,COUNTA([2]enemies!$A:$A),MATCH(K$1,[2]enemies!$2:$2,0)-MATCH($I$1,[2]enemies!$2:$2,0)+1),MATCH(K$1,[2]enemies!$2:$2,0)-MATCH($I$1,[2]enemies!$2:$2,0)+1,FALSE)</f>
        <v>red</v>
      </c>
      <c r="L319" s="29" t="str">
        <f ca="1">VLOOKUP($I319,OFFSET([3]characters!$A$1,0,0,COUNTA([3]characters!$A:$A),MATCH(L$1,[3]characters!$2:$2,0)-MATCH($I$1,[3]characters!$2:$2,0)+1),MATCH(L$1,[3]characters!$2:$2,0)-MATCH($I$1,[3]characters!$2:$2,0)+1,FALSE)</f>
        <v>Drop1T</v>
      </c>
      <c r="M319" s="28" t="str">
        <f ca="1">VLOOKUP($I319,OFFSET([3]characters!$A$1,0,0,COUNTA([3]characters!$A:$A),MATCH(M$1,[3]characters!$2:$2,0)-MATCH($I$1,[3]characters!$2:$2,0)+2),MATCH(M$1,[3]characters!$2:$2,0)-MATCH($I$1,[3]characters!$2:$2,0)+2,FALSE)</f>
        <v>Unknown</v>
      </c>
      <c r="N319" s="5">
        <f ca="1">VLOOKUP($I319,OFFSET([2]enemies!$A$1,0,0,COUNTA([2]enemies!$A:$A),MATCH(N$1,[2]enemies!$2:$2,0)-MATCH($I$1,[2]enemies!$2:$2,0)+1),MATCH(N$1,[2]enemies!$2:$2,0)-MATCH($I$1,[2]enemies!$2:$2,0)+1,FALSE)</f>
        <v>15</v>
      </c>
      <c r="O319" s="6">
        <v>5</v>
      </c>
      <c r="P319" s="46">
        <v>1</v>
      </c>
      <c r="Q319" s="46">
        <v>1</v>
      </c>
      <c r="R319" s="6">
        <v>0</v>
      </c>
      <c r="S319" s="5" t="str">
        <f ca="1">VLOOKUP($T319,OFFSET([4]enemy_skill_sets!$B$1,0,0,COUNTA([4]enemy_skill_sets!$B:$B),MATCH(J$1,[4]enemy_skill_sets!$1:$1,0)-MATCH($T$1,[4]enemy_skill_sets!$1:$1,0)+2),MATCH(J$1,[4]enemy_skill_sets!$1:$1,0)-MATCH($T$1,[4]enemy_skill_sets!$1:$1,0)+2,FALSE)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9" s="5">
        <f ca="1">VLOOKUP($I319,OFFSET([2]enemies!$A$1,0,0,COUNTA([2]enemies!$A:$A),MATCH(T$1,[2]enemies!$2:$2,0)-MATCH($I$1,[2]enemies!$2:$2,0)+1),MATCH(T$1,[2]enemies!$2:$2,0)-MATCH($I$1,[2]enemies!$2:$2,0)+1,FALSE)</f>
        <v>0</v>
      </c>
      <c r="U319" s="7">
        <v>0</v>
      </c>
      <c r="V319" s="7">
        <v>100</v>
      </c>
      <c r="W319" s="7">
        <v>0</v>
      </c>
      <c r="X319" s="26">
        <f ca="1">VLOOKUP($I319,OFFSET([2]enemies!$A$1,0,0,COUNTA([2]enemies!$A:$A),MATCH(X$1,[2]enemies!$2:$2,0)-MATCH($I$1,[2]enemies!$2:$2,0)+1),MATCH(X$1,[2]enemies!$2:$2,0)-MATCH($I$1,[2]enemies!$2:$2,0)+1,FALSE)</f>
        <v>1</v>
      </c>
      <c r="Y319" s="31">
        <v>1</v>
      </c>
      <c r="Z319" s="5" t="str">
        <f ca="1">IFERROR(VLOOKUP($Y319,OFFSET([3]characters!$A$1,0,0,COUNTA([3]characters!$A:$A),MATCH(Z$1,[3]characters!$2:$2,0)-MATCH("character_id",[3]characters!$2:$2,0)+1),MATCH(Z$1,[3]characters!$2:$2,0)-MATCH("character_id",[3]characters!$2:$2,0)+1,FALSE),"")</f>
        <v>ジェリー</v>
      </c>
      <c r="AA319" s="5">
        <f ca="1">IFERROR(VLOOKUP($Y319,OFFSET([3]characters!$A$1,0,0,COUNTA([3]characters!$A:$A),MATCH(AA$1,[3]characters!$2:$2,0)-MATCH("character_id",[3]characters!$2:$2,0)+1),MATCH(AA$1,[3]characters!$2:$2,0)-MATCH("character_id",[3]characters!$2:$2,0)+1,FALSE),"")</f>
        <v>1</v>
      </c>
      <c r="AB319" s="5" t="str">
        <f ca="1">IFERROR(VLOOKUP($Y319,OFFSET([3]characters!$A$1,0,0,COUNTA([3]characters!$A:$A),MATCH(AB$1,[3]characters!$2:$2,0)-MATCH("character_id",[3]characters!$2:$2,0)+1),MATCH(AB$1,[3]characters!$2:$2,0)-MATCH("character_id",[3]characters!$2:$2,0)+1,FALSE),"")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319" s="8">
        <v>1</v>
      </c>
      <c r="AD319" s="34">
        <f t="shared" ca="1" si="224"/>
        <v>1</v>
      </c>
      <c r="AE319" s="9">
        <v>0</v>
      </c>
      <c r="AF319" s="8">
        <v>0</v>
      </c>
      <c r="AG319" s="8">
        <v>0</v>
      </c>
      <c r="AH319" s="8">
        <v>0</v>
      </c>
      <c r="AI319" s="8">
        <v>0</v>
      </c>
      <c r="AJ319" s="8">
        <v>1</v>
      </c>
    </row>
    <row r="320" spans="1:36" ht="21" customHeight="1">
      <c r="A320" s="21" t="str">
        <f t="shared" ca="1" si="221"/>
        <v>11206_1-3/3&lt;lv5&gt;s2</v>
      </c>
      <c r="B320" s="8">
        <v>11206</v>
      </c>
      <c r="C320" s="32">
        <v>1</v>
      </c>
      <c r="D320" s="2" t="str">
        <f t="shared" si="222"/>
        <v>11206_1</v>
      </c>
      <c r="E320" s="5" t="str">
        <f ca="1">VLOOKUP($B320,OFFSET([1]quests!$A$1,0,0,COUNTA([1]quests!$A:$A),MATCH(E$1,[1]quests!$1:$1,0)-MATCH($B$1,[1]quests!$1:$1,0)+1),MATCH(E$1,[1]quests!$1:$1,0)-MATCH($B$1,[1]quests!$1:$1,0)+1,FALSE)</f>
        <v>【キャンペーン限定】 ゴールドカジノ</v>
      </c>
      <c r="F320" s="5" t="str">
        <f ca="1">VLOOKUP($D320,OFFSET([1]stages!$A$1,0,0,COUNTA([1]stages!$A:$A),MATCH(F$1,[1]stages!$2:$2,0)-MATCH($D$1,[1]stages!$2:$2,0)+1),MATCH(F$1,[1]stages!$2:$2,0)-MATCH($D$1,[1]stages!$2:$2,0)+1,FALSE)</f>
        <v>ゴールドカジノ 【初級】</v>
      </c>
      <c r="G320" s="32">
        <v>3</v>
      </c>
      <c r="H320" s="20" t="str">
        <f t="shared" si="223"/>
        <v>11206_1-3</v>
      </c>
      <c r="I320" s="31">
        <v>3</v>
      </c>
      <c r="J320" s="26" t="str">
        <f ca="1">VLOOKUP($I320,OFFSET([2]enemies!$A$1,0,0,COUNTA([2]enemies!$A:$A),MATCH(J$1,[2]enemies!$2:$2,0)-MATCH($I$1,[2]enemies!$2:$2,0)+1),MATCH(J$1,[2]enemies!$2:$2,0)-MATCH($I$1,[2]enemies!$2:$2,0)+1,FALSE)</f>
        <v>エージェント ジョー</v>
      </c>
      <c r="K320" s="29" t="str">
        <f ca="1">VLOOKUP($I320,OFFSET([2]enemies!$A$1,0,0,COUNTA([2]enemies!$A:$A),MATCH(K$1,[2]enemies!$2:$2,0)-MATCH($I$1,[2]enemies!$2:$2,0)+1),MATCH(K$1,[2]enemies!$2:$2,0)-MATCH($I$1,[2]enemies!$2:$2,0)+1,FALSE)</f>
        <v>green</v>
      </c>
      <c r="L320" s="29" t="str">
        <f ca="1">VLOOKUP($I320,OFFSET([3]characters!$A$1,0,0,COUNTA([3]characters!$A:$A),MATCH(L$1,[3]characters!$2:$2,0)-MATCH($I$1,[3]characters!$2:$2,0)+1),MATCH(L$1,[3]characters!$2:$2,0)-MATCH($I$1,[3]characters!$2:$2,0)+1,FALSE)</f>
        <v>Drop1T</v>
      </c>
      <c r="M320" s="28" t="str">
        <f ca="1">VLOOKUP($I320,OFFSET([3]characters!$A$1,0,0,COUNTA([3]characters!$A:$A),MATCH(M$1,[3]characters!$2:$2,0)-MATCH($I$1,[3]characters!$2:$2,0)+2),MATCH(M$1,[3]characters!$2:$2,0)-MATCH($I$1,[3]characters!$2:$2,0)+2,FALSE)</f>
        <v>Unknown</v>
      </c>
      <c r="N320" s="5">
        <f ca="1">VLOOKUP($I320,OFFSET([2]enemies!$A$1,0,0,COUNTA([2]enemies!$A:$A),MATCH(N$1,[2]enemies!$2:$2,0)-MATCH($I$1,[2]enemies!$2:$2,0)+1),MATCH(N$1,[2]enemies!$2:$2,0)-MATCH($I$1,[2]enemies!$2:$2,0)+1,FALSE)</f>
        <v>15</v>
      </c>
      <c r="O320" s="6">
        <v>5</v>
      </c>
      <c r="P320" s="46">
        <v>1</v>
      </c>
      <c r="Q320" s="46">
        <v>1</v>
      </c>
      <c r="R320" s="6">
        <v>0</v>
      </c>
      <c r="S320" s="5" t="str">
        <f ca="1">VLOOKUP($T320,OFFSET([4]enemy_skill_sets!$B$1,0,0,COUNTA([4]enemy_skill_sets!$B:$B),MATCH(J$1,[4]enemy_skill_sets!$1:$1,0)-MATCH($T$1,[4]enemy_skill_sets!$1:$1,0)+2),MATCH(J$1,[4]enemy_skill_sets!$1:$1,0)-MATCH($T$1,[4]enemy_skill_sets!$1:$1,0)+2,FALSE)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0" s="5">
        <f ca="1">VLOOKUP($I320,OFFSET([2]enemies!$A$1,0,0,COUNTA([2]enemies!$A:$A),MATCH(T$1,[2]enemies!$2:$2,0)-MATCH($I$1,[2]enemies!$2:$2,0)+1),MATCH(T$1,[2]enemies!$2:$2,0)-MATCH($I$1,[2]enemies!$2:$2,0)+1,FALSE)</f>
        <v>0</v>
      </c>
      <c r="U320" s="7">
        <v>0</v>
      </c>
      <c r="V320" s="7">
        <v>100</v>
      </c>
      <c r="W320" s="7">
        <v>0</v>
      </c>
      <c r="X320" s="26">
        <f ca="1">VLOOKUP($I320,OFFSET([2]enemies!$A$1,0,0,COUNTA([2]enemies!$A:$A),MATCH(X$1,[2]enemies!$2:$2,0)-MATCH($I$1,[2]enemies!$2:$2,0)+1),MATCH(X$1,[2]enemies!$2:$2,0)-MATCH($I$1,[2]enemies!$2:$2,0)+1,FALSE)</f>
        <v>2</v>
      </c>
      <c r="Y320" s="31">
        <v>3</v>
      </c>
      <c r="Z320" s="5" t="str">
        <f ca="1">IFERROR(VLOOKUP($Y320,OFFSET([3]characters!$A$1,0,0,COUNTA([3]characters!$A:$A),MATCH(Z$1,[3]characters!$2:$2,0)-MATCH("character_id",[3]characters!$2:$2,0)+1),MATCH(Z$1,[3]characters!$2:$2,0)-MATCH("character_id",[3]characters!$2:$2,0)+1,FALSE),"")</f>
        <v>エージェント ジョー</v>
      </c>
      <c r="AA320" s="5">
        <f ca="1">IFERROR(VLOOKUP($Y320,OFFSET([3]characters!$A$1,0,0,COUNTA([3]characters!$A:$A),MATCH(AA$1,[3]characters!$2:$2,0)-MATCH("character_id",[3]characters!$2:$2,0)+1),MATCH(AA$1,[3]characters!$2:$2,0)-MATCH("character_id",[3]characters!$2:$2,0)+1,FALSE),"")</f>
        <v>1</v>
      </c>
      <c r="AB320" s="5" t="str">
        <f ca="1">IFERROR(VLOOKUP($Y320,OFFSET([3]characters!$A$1,0,0,COUNTA([3]characters!$A:$A),MATCH(AB$1,[3]characters!$2:$2,0)-MATCH("character_id",[3]characters!$2:$2,0)+1),MATCH(AB$1,[3]characters!$2:$2,0)-MATCH("character_id",[3]characters!$2:$2,0)+1,FALSE),"")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320" s="8">
        <v>1</v>
      </c>
      <c r="AD320" s="34">
        <f t="shared" ca="1" si="224"/>
        <v>1</v>
      </c>
      <c r="AE320" s="9">
        <v>0</v>
      </c>
      <c r="AF320" s="8">
        <v>0</v>
      </c>
      <c r="AG320" s="8">
        <v>0</v>
      </c>
      <c r="AH320" s="8">
        <v>0</v>
      </c>
      <c r="AI320" s="8">
        <v>0</v>
      </c>
      <c r="AJ320" s="8">
        <v>1</v>
      </c>
    </row>
    <row r="321" spans="1:36" ht="21" customHeight="1">
      <c r="A321" s="21" t="str">
        <f t="shared" ca="1" si="221"/>
        <v>11206_1-3/5&lt;lv5&gt;s3</v>
      </c>
      <c r="B321" s="8">
        <v>11206</v>
      </c>
      <c r="C321" s="32">
        <v>1</v>
      </c>
      <c r="D321" s="2" t="str">
        <f t="shared" si="222"/>
        <v>11206_1</v>
      </c>
      <c r="E321" s="5" t="str">
        <f ca="1">VLOOKUP($B321,OFFSET([1]quests!$A$1,0,0,COUNTA([1]quests!$A:$A),MATCH(E$1,[1]quests!$1:$1,0)-MATCH($B$1,[1]quests!$1:$1,0)+1),MATCH(E$1,[1]quests!$1:$1,0)-MATCH($B$1,[1]quests!$1:$1,0)+1,FALSE)</f>
        <v>【キャンペーン限定】 ゴールドカジノ</v>
      </c>
      <c r="F321" s="5" t="str">
        <f ca="1">VLOOKUP($D321,OFFSET([1]stages!$A$1,0,0,COUNTA([1]stages!$A:$A),MATCH(F$1,[1]stages!$2:$2,0)-MATCH($D$1,[1]stages!$2:$2,0)+1),MATCH(F$1,[1]stages!$2:$2,0)-MATCH($D$1,[1]stages!$2:$2,0)+1,FALSE)</f>
        <v>ゴールドカジノ 【初級】</v>
      </c>
      <c r="G321" s="32">
        <v>3</v>
      </c>
      <c r="H321" s="20" t="str">
        <f t="shared" si="223"/>
        <v>11206_1-3</v>
      </c>
      <c r="I321" s="31">
        <v>5</v>
      </c>
      <c r="J321" s="26" t="str">
        <f ca="1">VLOOKUP($I321,OFFSET([2]enemies!$A$1,0,0,COUNTA([2]enemies!$A:$A),MATCH(J$1,[2]enemies!$2:$2,0)-MATCH($I$1,[2]enemies!$2:$2,0)+1),MATCH(J$1,[2]enemies!$2:$2,0)-MATCH($I$1,[2]enemies!$2:$2,0)+1,FALSE)</f>
        <v>パトドッグ ポチ</v>
      </c>
      <c r="K321" s="29" t="str">
        <f ca="1">VLOOKUP($I321,OFFSET([2]enemies!$A$1,0,0,COUNTA([2]enemies!$A:$A),MATCH(K$1,[2]enemies!$2:$2,0)-MATCH($I$1,[2]enemies!$2:$2,0)+1),MATCH(K$1,[2]enemies!$2:$2,0)-MATCH($I$1,[2]enemies!$2:$2,0)+1,FALSE)</f>
        <v>blue</v>
      </c>
      <c r="L321" s="29" t="str">
        <f ca="1">VLOOKUP($I321,OFFSET([3]characters!$A$1,0,0,COUNTA([3]characters!$A:$A),MATCH(L$1,[3]characters!$2:$2,0)-MATCH($I$1,[3]characters!$2:$2,0)+1),MATCH(L$1,[3]characters!$2:$2,0)-MATCH($I$1,[3]characters!$2:$2,0)+1,FALSE)</f>
        <v>Drop1T</v>
      </c>
      <c r="M321" s="28" t="str">
        <f ca="1">VLOOKUP($I321,OFFSET([3]characters!$A$1,0,0,COUNTA([3]characters!$A:$A),MATCH(M$1,[3]characters!$2:$2,0)-MATCH($I$1,[3]characters!$2:$2,0)+2),MATCH(M$1,[3]characters!$2:$2,0)-MATCH($I$1,[3]characters!$2:$2,0)+2,FALSE)</f>
        <v>Unknown</v>
      </c>
      <c r="N321" s="5">
        <f ca="1">VLOOKUP($I321,OFFSET([2]enemies!$A$1,0,0,COUNTA([2]enemies!$A:$A),MATCH(N$1,[2]enemies!$2:$2,0)-MATCH($I$1,[2]enemies!$2:$2,0)+1),MATCH(N$1,[2]enemies!$2:$2,0)-MATCH($I$1,[2]enemies!$2:$2,0)+1,FALSE)</f>
        <v>15</v>
      </c>
      <c r="O321" s="6">
        <v>5</v>
      </c>
      <c r="P321" s="46">
        <v>1</v>
      </c>
      <c r="Q321" s="46">
        <v>1</v>
      </c>
      <c r="R321" s="6">
        <v>0</v>
      </c>
      <c r="S321" s="5" t="str">
        <f ca="1">VLOOKUP($T321,OFFSET([4]enemy_skill_sets!$B$1,0,0,COUNTA([4]enemy_skill_sets!$B:$B),MATCH(J$1,[4]enemy_skill_sets!$1:$1,0)-MATCH($T$1,[4]enemy_skill_sets!$1:$1,0)+2),MATCH(J$1,[4]enemy_skill_sets!$1:$1,0)-MATCH($T$1,[4]enemy_skill_sets!$1:$1,0)+2,FALSE)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1" s="5">
        <f ca="1">VLOOKUP($I321,OFFSET([2]enemies!$A$1,0,0,COUNTA([2]enemies!$A:$A),MATCH(T$1,[2]enemies!$2:$2,0)-MATCH($I$1,[2]enemies!$2:$2,0)+1),MATCH(T$1,[2]enemies!$2:$2,0)-MATCH($I$1,[2]enemies!$2:$2,0)+1,FALSE)</f>
        <v>0</v>
      </c>
      <c r="U321" s="7">
        <v>0</v>
      </c>
      <c r="V321" s="7">
        <v>100</v>
      </c>
      <c r="W321" s="7">
        <v>0</v>
      </c>
      <c r="X321" s="26">
        <f ca="1">VLOOKUP($I321,OFFSET([2]enemies!$A$1,0,0,COUNTA([2]enemies!$A:$A),MATCH(X$1,[2]enemies!$2:$2,0)-MATCH($I$1,[2]enemies!$2:$2,0)+1),MATCH(X$1,[2]enemies!$2:$2,0)-MATCH($I$1,[2]enemies!$2:$2,0)+1,FALSE)</f>
        <v>3</v>
      </c>
      <c r="Y321" s="31">
        <v>5</v>
      </c>
      <c r="Z321" s="5" t="str">
        <f ca="1">IFERROR(VLOOKUP($Y321,OFFSET([3]characters!$A$1,0,0,COUNTA([3]characters!$A:$A),MATCH(Z$1,[3]characters!$2:$2,0)-MATCH("character_id",[3]characters!$2:$2,0)+1),MATCH(Z$1,[3]characters!$2:$2,0)-MATCH("character_id",[3]characters!$2:$2,0)+1,FALSE),"")</f>
        <v>パトドッグ ポチ</v>
      </c>
      <c r="AA321" s="5">
        <f ca="1">IFERROR(VLOOKUP($Y321,OFFSET([3]characters!$A$1,0,0,COUNTA([3]characters!$A:$A),MATCH(AA$1,[3]characters!$2:$2,0)-MATCH("character_id",[3]characters!$2:$2,0)+1),MATCH(AA$1,[3]characters!$2:$2,0)-MATCH("character_id",[3]characters!$2:$2,0)+1,FALSE),"")</f>
        <v>1</v>
      </c>
      <c r="AB321" s="5" t="str">
        <f ca="1">IFERROR(VLOOKUP($Y321,OFFSET([3]characters!$A$1,0,0,COUNTA([3]characters!$A:$A),MATCH(AB$1,[3]characters!$2:$2,0)-MATCH("character_id",[3]characters!$2:$2,0)+1),MATCH(AB$1,[3]characters!$2:$2,0)-MATCH("character_id",[3]characters!$2:$2,0)+1,FALSE),"")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321" s="8">
        <v>1</v>
      </c>
      <c r="AD321" s="34">
        <f t="shared" ca="1" si="224"/>
        <v>1</v>
      </c>
      <c r="AE321" s="9">
        <v>0</v>
      </c>
      <c r="AF321" s="8">
        <v>0</v>
      </c>
      <c r="AG321" s="8">
        <v>0</v>
      </c>
      <c r="AH321" s="8">
        <v>0</v>
      </c>
      <c r="AI321" s="8">
        <v>0</v>
      </c>
      <c r="AJ321" s="8">
        <v>1</v>
      </c>
    </row>
    <row r="322" spans="1:36" ht="21" customHeight="1">
      <c r="A322" s="21" t="str">
        <f t="shared" ca="1" si="221"/>
        <v>11206_1-3/7&lt;lv5&gt;s2</v>
      </c>
      <c r="B322" s="8">
        <v>11206</v>
      </c>
      <c r="C322" s="32">
        <v>1</v>
      </c>
      <c r="D322" s="2" t="str">
        <f t="shared" si="222"/>
        <v>11206_1</v>
      </c>
      <c r="E322" s="5" t="str">
        <f ca="1">VLOOKUP($B322,OFFSET([1]quests!$A$1,0,0,COUNTA([1]quests!$A:$A),MATCH(E$1,[1]quests!$1:$1,0)-MATCH($B$1,[1]quests!$1:$1,0)+1),MATCH(E$1,[1]quests!$1:$1,0)-MATCH($B$1,[1]quests!$1:$1,0)+1,FALSE)</f>
        <v>【キャンペーン限定】 ゴールドカジノ</v>
      </c>
      <c r="F322" s="5" t="str">
        <f ca="1">VLOOKUP($D322,OFFSET([1]stages!$A$1,0,0,COUNTA([1]stages!$A:$A),MATCH(F$1,[1]stages!$2:$2,0)-MATCH($D$1,[1]stages!$2:$2,0)+1),MATCH(F$1,[1]stages!$2:$2,0)-MATCH($D$1,[1]stages!$2:$2,0)+1,FALSE)</f>
        <v>ゴールドカジノ 【初級】</v>
      </c>
      <c r="G322" s="32">
        <v>3</v>
      </c>
      <c r="H322" s="20" t="str">
        <f t="shared" si="223"/>
        <v>11206_1-3</v>
      </c>
      <c r="I322" s="31">
        <v>7</v>
      </c>
      <c r="J322" s="26" t="str">
        <f ca="1">VLOOKUP($I322,OFFSET([2]enemies!$A$1,0,0,COUNTA([2]enemies!$A:$A),MATCH(J$1,[2]enemies!$2:$2,0)-MATCH($I$1,[2]enemies!$2:$2,0)+1),MATCH(J$1,[2]enemies!$2:$2,0)-MATCH($I$1,[2]enemies!$2:$2,0)+1,FALSE)</f>
        <v>エレキポット</v>
      </c>
      <c r="K322" s="29" t="str">
        <f ca="1">VLOOKUP($I322,OFFSET([2]enemies!$A$1,0,0,COUNTA([2]enemies!$A:$A),MATCH(K$1,[2]enemies!$2:$2,0)-MATCH($I$1,[2]enemies!$2:$2,0)+1),MATCH(K$1,[2]enemies!$2:$2,0)-MATCH($I$1,[2]enemies!$2:$2,0)+1,FALSE)</f>
        <v>yellow</v>
      </c>
      <c r="L322" s="29" t="str">
        <f ca="1">VLOOKUP($I322,OFFSET([3]characters!$A$1,0,0,COUNTA([3]characters!$A:$A),MATCH(L$1,[3]characters!$2:$2,0)-MATCH($I$1,[3]characters!$2:$2,0)+1),MATCH(L$1,[3]characters!$2:$2,0)-MATCH($I$1,[3]characters!$2:$2,0)+1,FALSE)</f>
        <v>Drop1T</v>
      </c>
      <c r="M322" s="28" t="str">
        <f ca="1">VLOOKUP($I322,OFFSET([3]characters!$A$1,0,0,COUNTA([3]characters!$A:$A),MATCH(M$1,[3]characters!$2:$2,0)-MATCH($I$1,[3]characters!$2:$2,0)+2),MATCH(M$1,[3]characters!$2:$2,0)-MATCH($I$1,[3]characters!$2:$2,0)+2,FALSE)</f>
        <v>Unknown</v>
      </c>
      <c r="N322" s="5">
        <f ca="1">VLOOKUP($I322,OFFSET([2]enemies!$A$1,0,0,COUNTA([2]enemies!$A:$A),MATCH(N$1,[2]enemies!$2:$2,0)-MATCH($I$1,[2]enemies!$2:$2,0)+1),MATCH(N$1,[2]enemies!$2:$2,0)-MATCH($I$1,[2]enemies!$2:$2,0)+1,FALSE)</f>
        <v>15</v>
      </c>
      <c r="O322" s="6">
        <v>5</v>
      </c>
      <c r="P322" s="46">
        <v>1</v>
      </c>
      <c r="Q322" s="46">
        <v>1</v>
      </c>
      <c r="R322" s="6">
        <v>0</v>
      </c>
      <c r="S322" s="5" t="str">
        <f ca="1">VLOOKUP($T322,OFFSET([4]enemy_skill_sets!$B$1,0,0,COUNTA([4]enemy_skill_sets!$B:$B),MATCH(J$1,[4]enemy_skill_sets!$1:$1,0)-MATCH($T$1,[4]enemy_skill_sets!$1:$1,0)+2),MATCH(J$1,[4]enemy_skill_sets!$1:$1,0)-MATCH($T$1,[4]enemy_skill_sets!$1:$1,0)+2,FALSE)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2" s="5">
        <f ca="1">VLOOKUP($I322,OFFSET([2]enemies!$A$1,0,0,COUNTA([2]enemies!$A:$A),MATCH(T$1,[2]enemies!$2:$2,0)-MATCH($I$1,[2]enemies!$2:$2,0)+1),MATCH(T$1,[2]enemies!$2:$2,0)-MATCH($I$1,[2]enemies!$2:$2,0)+1,FALSE)</f>
        <v>0</v>
      </c>
      <c r="U322" s="7">
        <v>0</v>
      </c>
      <c r="V322" s="7">
        <v>100</v>
      </c>
      <c r="W322" s="7">
        <v>0</v>
      </c>
      <c r="X322" s="26">
        <f ca="1">VLOOKUP($I322,OFFSET([2]enemies!$A$1,0,0,COUNTA([2]enemies!$A:$A),MATCH(X$1,[2]enemies!$2:$2,0)-MATCH($I$1,[2]enemies!$2:$2,0)+1),MATCH(X$1,[2]enemies!$2:$2,0)-MATCH($I$1,[2]enemies!$2:$2,0)+1,FALSE)</f>
        <v>2</v>
      </c>
      <c r="Y322" s="31">
        <v>7</v>
      </c>
      <c r="Z322" s="5" t="str">
        <f ca="1">IFERROR(VLOOKUP($Y322,OFFSET([3]characters!$A$1,0,0,COUNTA([3]characters!$A:$A),MATCH(Z$1,[3]characters!$2:$2,0)-MATCH("character_id",[3]characters!$2:$2,0)+1),MATCH(Z$1,[3]characters!$2:$2,0)-MATCH("character_id",[3]characters!$2:$2,0)+1,FALSE),"")</f>
        <v>エレキポット</v>
      </c>
      <c r="AA322" s="5">
        <f ca="1">IFERROR(VLOOKUP($Y322,OFFSET([3]characters!$A$1,0,0,COUNTA([3]characters!$A:$A),MATCH(AA$1,[3]characters!$2:$2,0)-MATCH("character_id",[3]characters!$2:$2,0)+1),MATCH(AA$1,[3]characters!$2:$2,0)-MATCH("character_id",[3]characters!$2:$2,0)+1,FALSE),"")</f>
        <v>1</v>
      </c>
      <c r="AB322" s="5" t="str">
        <f ca="1">IFERROR(VLOOKUP($Y322,OFFSET([3]characters!$A$1,0,0,COUNTA([3]characters!$A:$A),MATCH(AB$1,[3]characters!$2:$2,0)-MATCH("character_id",[3]characters!$2:$2,0)+1),MATCH(AB$1,[3]characters!$2:$2,0)-MATCH("character_id",[3]characters!$2:$2,0)+1,FALSE),"")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322" s="8">
        <v>1</v>
      </c>
      <c r="AD322" s="34">
        <f t="shared" ca="1" si="224"/>
        <v>1</v>
      </c>
      <c r="AE322" s="9">
        <v>0</v>
      </c>
      <c r="AF322" s="8">
        <v>0</v>
      </c>
      <c r="AG322" s="8">
        <v>0</v>
      </c>
      <c r="AH322" s="8">
        <v>0</v>
      </c>
      <c r="AI322" s="8">
        <v>0</v>
      </c>
      <c r="AJ322" s="8">
        <v>1</v>
      </c>
    </row>
    <row r="323" spans="1:36" ht="21" customHeight="1">
      <c r="A323" s="21" t="str">
        <f t="shared" ca="1" si="221"/>
        <v>11206_1-4/117&lt;lv2&gt;s1</v>
      </c>
      <c r="B323" s="8">
        <v>11206</v>
      </c>
      <c r="C323" s="32">
        <v>1</v>
      </c>
      <c r="D323" s="2" t="str">
        <f t="shared" si="222"/>
        <v>11206_1</v>
      </c>
      <c r="E323" s="5" t="str">
        <f ca="1">VLOOKUP($B323,OFFSET([1]quests!$A$1,0,0,COUNTA([1]quests!$A:$A),MATCH(E$1,[1]quests!$1:$1,0)-MATCH($B$1,[1]quests!$1:$1,0)+1),MATCH(E$1,[1]quests!$1:$1,0)-MATCH($B$1,[1]quests!$1:$1,0)+1,FALSE)</f>
        <v>【キャンペーン限定】 ゴールドカジノ</v>
      </c>
      <c r="F323" s="5" t="str">
        <f ca="1">VLOOKUP($D323,OFFSET([1]stages!$A$1,0,0,COUNTA([1]stages!$A:$A),MATCH(F$1,[1]stages!$2:$2,0)-MATCH($D$1,[1]stages!$2:$2,0)+1),MATCH(F$1,[1]stages!$2:$2,0)-MATCH($D$1,[1]stages!$2:$2,0)+1,FALSE)</f>
        <v>ゴールドカジノ 【初級】</v>
      </c>
      <c r="G323" s="32">
        <v>4</v>
      </c>
      <c r="H323" s="20" t="str">
        <f t="shared" si="223"/>
        <v>11206_1-4</v>
      </c>
      <c r="I323" s="31">
        <v>117</v>
      </c>
      <c r="J323" s="26" t="str">
        <f ca="1">VLOOKUP($I323,OFFSET([2]enemies!$A$1,0,0,COUNTA([2]enemies!$A:$A),MATCH(J$1,[2]enemies!$2:$2,0)-MATCH($I$1,[2]enemies!$2:$2,0)+1),MATCH(J$1,[2]enemies!$2:$2,0)-MATCH($I$1,[2]enemies!$2:$2,0)+1,FALSE)</f>
        <v>ゴールドピヨピヨ</v>
      </c>
      <c r="K323" s="29" t="str">
        <f ca="1">VLOOKUP($I323,OFFSET([2]enemies!$A$1,0,0,COUNTA([2]enemies!$A:$A),MATCH(K$1,[2]enemies!$2:$2,0)-MATCH($I$1,[2]enemies!$2:$2,0)+1),MATCH(K$1,[2]enemies!$2:$2,0)-MATCH($I$1,[2]enemies!$2:$2,0)+1,FALSE)</f>
        <v>yellow</v>
      </c>
      <c r="L323" s="29" t="str">
        <f ca="1">VLOOKUP($I323,OFFSET([3]characters!$A$1,0,0,COUNTA([3]characters!$A:$A),MATCH(L$1,[3]characters!$2:$2,0)-MATCH($I$1,[3]characters!$2:$2,0)+1),MATCH(L$1,[3]characters!$2:$2,0)-MATCH($I$1,[3]characters!$2:$2,0)+1,FALSE)</f>
        <v>Material</v>
      </c>
      <c r="M323" s="28" t="str">
        <f ca="1">VLOOKUP($I323,OFFSET([3]characters!$A$1,0,0,COUNTA([3]characters!$A:$A),MATCH(M$1,[3]characters!$2:$2,0)-MATCH($I$1,[3]characters!$2:$2,0)+2),MATCH(M$1,[3]characters!$2:$2,0)-MATCH($I$1,[3]characters!$2:$2,0)+2,FALSE)</f>
        <v>Unknown</v>
      </c>
      <c r="N323" s="5">
        <f ca="1">VLOOKUP($I323,OFFSET([2]enemies!$A$1,0,0,COUNTA([2]enemies!$A:$A),MATCH(N$1,[2]enemies!$2:$2,0)-MATCH($I$1,[2]enemies!$2:$2,0)+1),MATCH(N$1,[2]enemies!$2:$2,0)-MATCH($I$1,[2]enemies!$2:$2,0)+1,FALSE)</f>
        <v>15</v>
      </c>
      <c r="O323" s="6">
        <v>2</v>
      </c>
      <c r="P323" s="48">
        <v>7.5</v>
      </c>
      <c r="Q323" s="46">
        <v>11</v>
      </c>
      <c r="R323" s="6">
        <v>0</v>
      </c>
      <c r="S323" s="5" t="str">
        <f ca="1">VLOOKUP($T323,OFFSET([4]enemy_skill_sets!$B$1,0,0,COUNTA([4]enemy_skill_sets!$B:$B),MATCH(J$1,[4]enemy_skill_sets!$1:$1,0)-MATCH($T$1,[4]enemy_skill_sets!$1:$1,0)+2),MATCH(J$1,[4]enemy_skill_sets!$1:$1,0)-MATCH($T$1,[4]enemy_skill_sets!$1:$1,0)+2,FALSE)</f>
        <v>攻撃力10倍の自爆攻撃！</v>
      </c>
      <c r="T323" s="42">
        <v>11702</v>
      </c>
      <c r="U323" s="7">
        <v>1</v>
      </c>
      <c r="V323" s="7">
        <v>100</v>
      </c>
      <c r="W323" s="7">
        <v>0</v>
      </c>
      <c r="X323" s="26">
        <f ca="1">VLOOKUP($I323,OFFSET([2]enemies!$A$1,0,0,COUNTA([2]enemies!$A:$A),MATCH(X$1,[2]enemies!$2:$2,0)-MATCH($I$1,[2]enemies!$2:$2,0)+1),MATCH(X$1,[2]enemies!$2:$2,0)-MATCH($I$1,[2]enemies!$2:$2,0)+1,FALSE)</f>
        <v>1</v>
      </c>
      <c r="Y323" s="31">
        <v>117</v>
      </c>
      <c r="Z323" s="5" t="str">
        <f ca="1">IFERROR(VLOOKUP($Y323,OFFSET([3]characters!$A$1,0,0,COUNTA([3]characters!$A:$A),MATCH(Z$1,[3]characters!$2:$2,0)-MATCH("character_id",[3]characters!$2:$2,0)+1),MATCH(Z$1,[3]characters!$2:$2,0)-MATCH("character_id",[3]characters!$2:$2,0)+1,FALSE),"")</f>
        <v>ゴールドピヨピヨ</v>
      </c>
      <c r="AA323" s="5">
        <f ca="1">IFERROR(VLOOKUP($Y323,OFFSET([3]characters!$A$1,0,0,COUNTA([3]characters!$A:$A),MATCH(AA$1,[3]characters!$2:$2,0)-MATCH("character_id",[3]characters!$2:$2,0)+1),MATCH(AA$1,[3]characters!$2:$2,0)-MATCH("character_id",[3]characters!$2:$2,0)+1,FALSE),"")</f>
        <v>3</v>
      </c>
      <c r="AB323" s="5" t="str">
        <f ca="1">IFERROR(VLOOKUP($Y323,OFFSET([3]characters!$A$1,0,0,COUNTA([3]characters!$A:$A),MATCH(AB$1,[3]characters!$2:$2,0)-MATCH("character_id",[3]characters!$2:$2,0)+1),MATCH(AB$1,[3]characters!$2:$2,0)-MATCH("character_id",[3]characters!$2:$2,0)+1,FALSE),"")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23" s="8">
        <v>1</v>
      </c>
      <c r="AD323" s="34">
        <f t="shared" ca="1" si="224"/>
        <v>3</v>
      </c>
      <c r="AE323" s="9">
        <v>30</v>
      </c>
      <c r="AF323" s="8">
        <v>0</v>
      </c>
      <c r="AG323" s="8">
        <v>0</v>
      </c>
      <c r="AH323" s="8">
        <v>0</v>
      </c>
      <c r="AI323" s="8">
        <v>0</v>
      </c>
      <c r="AJ323" s="8">
        <v>1</v>
      </c>
    </row>
    <row r="324" spans="1:36" ht="21" customHeight="1">
      <c r="A324" s="21" t="str">
        <f t="shared" ca="1" si="221"/>
        <v>11206_1-4/118&lt;lv2&gt;s2</v>
      </c>
      <c r="B324" s="8">
        <v>11206</v>
      </c>
      <c r="C324" s="32">
        <v>1</v>
      </c>
      <c r="D324" s="2" t="str">
        <f t="shared" si="222"/>
        <v>11206_1</v>
      </c>
      <c r="E324" s="5" t="str">
        <f ca="1">VLOOKUP($B324,OFFSET([1]quests!$A$1,0,0,COUNTA([1]quests!$A:$A),MATCH(E$1,[1]quests!$1:$1,0)-MATCH($B$1,[1]quests!$1:$1,0)+1),MATCH(E$1,[1]quests!$1:$1,0)-MATCH($B$1,[1]quests!$1:$1,0)+1,FALSE)</f>
        <v>【キャンペーン限定】 ゴールドカジノ</v>
      </c>
      <c r="F324" s="5" t="str">
        <f ca="1">VLOOKUP($D324,OFFSET([1]stages!$A$1,0,0,COUNTA([1]stages!$A:$A),MATCH(F$1,[1]stages!$2:$2,0)-MATCH($D$1,[1]stages!$2:$2,0)+1),MATCH(F$1,[1]stages!$2:$2,0)-MATCH($D$1,[1]stages!$2:$2,0)+1,FALSE)</f>
        <v>ゴールドカジノ 【初級】</v>
      </c>
      <c r="G324" s="32">
        <v>4</v>
      </c>
      <c r="H324" s="20" t="str">
        <f t="shared" si="223"/>
        <v>11206_1-4</v>
      </c>
      <c r="I324" s="31">
        <v>118</v>
      </c>
      <c r="J324" s="26" t="str">
        <f ca="1">VLOOKUP($I324,OFFSET([2]enemies!$A$1,0,0,COUNTA([2]enemies!$A:$A),MATCH(J$1,[2]enemies!$2:$2,0)-MATCH($I$1,[2]enemies!$2:$2,0)+1),MATCH(J$1,[2]enemies!$2:$2,0)-MATCH($I$1,[2]enemies!$2:$2,0)+1,FALSE)</f>
        <v>ゴールドチック</v>
      </c>
      <c r="K324" s="29" t="str">
        <f ca="1">VLOOKUP($I324,OFFSET([2]enemies!$A$1,0,0,COUNTA([2]enemies!$A:$A),MATCH(K$1,[2]enemies!$2:$2,0)-MATCH($I$1,[2]enemies!$2:$2,0)+1),MATCH(K$1,[2]enemies!$2:$2,0)-MATCH($I$1,[2]enemies!$2:$2,0)+1,FALSE)</f>
        <v>yellow</v>
      </c>
      <c r="L324" s="29" t="str">
        <f ca="1">VLOOKUP($I324,OFFSET([3]characters!$A$1,0,0,COUNTA([3]characters!$A:$A),MATCH(L$1,[3]characters!$2:$2,0)-MATCH($I$1,[3]characters!$2:$2,0)+1),MATCH(L$1,[3]characters!$2:$2,0)-MATCH($I$1,[3]characters!$2:$2,0)+1,FALSE)</f>
        <v>Material</v>
      </c>
      <c r="M324" s="28" t="str">
        <f ca="1">VLOOKUP($I324,OFFSET([3]characters!$A$1,0,0,COUNTA([3]characters!$A:$A),MATCH(M$1,[3]characters!$2:$2,0)-MATCH($I$1,[3]characters!$2:$2,0)+2),MATCH(M$1,[3]characters!$2:$2,0)-MATCH($I$1,[3]characters!$2:$2,0)+2,FALSE)</f>
        <v>Unknown</v>
      </c>
      <c r="N324" s="5">
        <f ca="1">VLOOKUP($I324,OFFSET([2]enemies!$A$1,0,0,COUNTA([2]enemies!$A:$A),MATCH(N$1,[2]enemies!$2:$2,0)-MATCH($I$1,[2]enemies!$2:$2,0)+1),MATCH(N$1,[2]enemies!$2:$2,0)-MATCH($I$1,[2]enemies!$2:$2,0)+1,FALSE)</f>
        <v>15</v>
      </c>
      <c r="O324" s="6">
        <v>2</v>
      </c>
      <c r="P324" s="48">
        <v>7.5</v>
      </c>
      <c r="Q324" s="46">
        <v>10</v>
      </c>
      <c r="R324" s="6">
        <v>0</v>
      </c>
      <c r="S324" s="5" t="str">
        <f ca="1">VLOOKUP($T324,OFFSET([4]enemy_skill_sets!$B$1,0,0,COUNTA([4]enemy_skill_sets!$B:$B),MATCH(J$1,[4]enemy_skill_sets!$1:$1,0)-MATCH($T$1,[4]enemy_skill_sets!$1:$1,0)+2),MATCH(J$1,[4]enemy_skill_sets!$1:$1,0)-MATCH($T$1,[4]enemy_skill_sets!$1:$1,0)+2,FALSE)</f>
        <v>攻撃力10倍の自爆攻撃！</v>
      </c>
      <c r="T324" s="42">
        <v>11702</v>
      </c>
      <c r="U324" s="7">
        <v>1</v>
      </c>
      <c r="V324" s="7">
        <v>100</v>
      </c>
      <c r="W324" s="7">
        <v>0</v>
      </c>
      <c r="X324" s="26">
        <f ca="1">VLOOKUP($I324,OFFSET([2]enemies!$A$1,0,0,COUNTA([2]enemies!$A:$A),MATCH(X$1,[2]enemies!$2:$2,0)-MATCH($I$1,[2]enemies!$2:$2,0)+1),MATCH(X$1,[2]enemies!$2:$2,0)-MATCH($I$1,[2]enemies!$2:$2,0)+1,FALSE)</f>
        <v>2</v>
      </c>
      <c r="Y324" s="31">
        <v>118</v>
      </c>
      <c r="Z324" s="5" t="str">
        <f ca="1">IFERROR(VLOOKUP($Y324,OFFSET([3]characters!$A$1,0,0,COUNTA([3]characters!$A:$A),MATCH(Z$1,[3]characters!$2:$2,0)-MATCH("character_id",[3]characters!$2:$2,0)+1),MATCH(Z$1,[3]characters!$2:$2,0)-MATCH("character_id",[3]characters!$2:$2,0)+1,FALSE),"")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324" s="5">
        <f ca="1">IFERROR(VLOOKUP($Y324,OFFSET([3]characters!$A$1,0,0,COUNTA([3]characters!$A:$A),MATCH(AA$1,[3]characters!$2:$2,0)-MATCH("character_id",[3]characters!$2:$2,0)+1),MATCH(AA$1,[3]characters!$2:$2,0)-MATCH("character_id",[3]characters!$2:$2,0)+1,FALSE),"")</f>
        <v>4</v>
      </c>
      <c r="AB324" s="5" t="str">
        <f ca="1">IFERROR(VLOOKUP($Y324,OFFSET([3]characters!$A$1,0,0,COUNTA([3]characters!$A:$A),MATCH(AB$1,[3]characters!$2:$2,0)-MATCH("character_id",[3]characters!$2:$2,0)+1),MATCH(AB$1,[3]characters!$2:$2,0)-MATCH("character_id",[3]characters!$2:$2,0)+1,FALSE),"")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24" s="8">
        <v>1</v>
      </c>
      <c r="AD324" s="34">
        <f t="shared" ca="1" si="224"/>
        <v>4</v>
      </c>
      <c r="AE324" s="9">
        <v>30</v>
      </c>
      <c r="AF324" s="8">
        <v>0</v>
      </c>
      <c r="AG324" s="8">
        <v>0</v>
      </c>
      <c r="AH324" s="8">
        <v>0</v>
      </c>
      <c r="AI324" s="8">
        <v>0</v>
      </c>
      <c r="AJ324" s="8">
        <v>1</v>
      </c>
    </row>
    <row r="325" spans="1:36" ht="21" customHeight="1">
      <c r="A325" s="21" t="str">
        <f t="shared" ca="1" si="221"/>
        <v>11206_1-4/117&lt;lv1&gt;s1</v>
      </c>
      <c r="B325" s="8">
        <v>11206</v>
      </c>
      <c r="C325" s="32">
        <v>1</v>
      </c>
      <c r="D325" s="2" t="str">
        <f t="shared" si="222"/>
        <v>11206_1</v>
      </c>
      <c r="E325" s="5" t="str">
        <f ca="1">VLOOKUP($B325,OFFSET([1]quests!$A$1,0,0,COUNTA([1]quests!$A:$A),MATCH(E$1,[1]quests!$1:$1,0)-MATCH($B$1,[1]quests!$1:$1,0)+1),MATCH(E$1,[1]quests!$1:$1,0)-MATCH($B$1,[1]quests!$1:$1,0)+1,FALSE)</f>
        <v>【キャンペーン限定】 ゴールドカジノ</v>
      </c>
      <c r="F325" s="5" t="str">
        <f ca="1">VLOOKUP($D325,OFFSET([1]stages!$A$1,0,0,COUNTA([1]stages!$A:$A),MATCH(F$1,[1]stages!$2:$2,0)-MATCH($D$1,[1]stages!$2:$2,0)+1),MATCH(F$1,[1]stages!$2:$2,0)-MATCH($D$1,[1]stages!$2:$2,0)+1,FALSE)</f>
        <v>ゴールドカジノ 【初級】</v>
      </c>
      <c r="G325" s="32">
        <v>4</v>
      </c>
      <c r="H325" s="20" t="str">
        <f t="shared" si="223"/>
        <v>11206_1-4</v>
      </c>
      <c r="I325" s="31">
        <v>117</v>
      </c>
      <c r="J325" s="26" t="str">
        <f ca="1">VLOOKUP($I325,OFFSET([2]enemies!$A$1,0,0,COUNTA([2]enemies!$A:$A),MATCH(J$1,[2]enemies!$2:$2,0)-MATCH($I$1,[2]enemies!$2:$2,0)+1),MATCH(J$1,[2]enemies!$2:$2,0)-MATCH($I$1,[2]enemies!$2:$2,0)+1,FALSE)</f>
        <v>ゴールドピヨピヨ</v>
      </c>
      <c r="K325" s="29" t="str">
        <f ca="1">VLOOKUP($I325,OFFSET([2]enemies!$A$1,0,0,COUNTA([2]enemies!$A:$A),MATCH(K$1,[2]enemies!$2:$2,0)-MATCH($I$1,[2]enemies!$2:$2,0)+1),MATCH(K$1,[2]enemies!$2:$2,0)-MATCH($I$1,[2]enemies!$2:$2,0)+1,FALSE)</f>
        <v>yellow</v>
      </c>
      <c r="L325" s="29" t="str">
        <f ca="1">VLOOKUP($I325,OFFSET([3]characters!$A$1,0,0,COUNTA([3]characters!$A:$A),MATCH(L$1,[3]characters!$2:$2,0)-MATCH($I$1,[3]characters!$2:$2,0)+1),MATCH(L$1,[3]characters!$2:$2,0)-MATCH($I$1,[3]characters!$2:$2,0)+1,FALSE)</f>
        <v>Material</v>
      </c>
      <c r="M325" s="28" t="str">
        <f ca="1">VLOOKUP($I325,OFFSET([3]characters!$A$1,0,0,COUNTA([3]characters!$A:$A),MATCH(M$1,[3]characters!$2:$2,0)-MATCH($I$1,[3]characters!$2:$2,0)+2),MATCH(M$1,[3]characters!$2:$2,0)-MATCH($I$1,[3]characters!$2:$2,0)+2,FALSE)</f>
        <v>Unknown</v>
      </c>
      <c r="N325" s="5">
        <f ca="1">VLOOKUP($I325,OFFSET([2]enemies!$A$1,0,0,COUNTA([2]enemies!$A:$A),MATCH(N$1,[2]enemies!$2:$2,0)-MATCH($I$1,[2]enemies!$2:$2,0)+1),MATCH(N$1,[2]enemies!$2:$2,0)-MATCH($I$1,[2]enemies!$2:$2,0)+1,FALSE)</f>
        <v>15</v>
      </c>
      <c r="O325" s="6">
        <v>1</v>
      </c>
      <c r="P325" s="48">
        <v>10.5</v>
      </c>
      <c r="Q325" s="46">
        <v>11</v>
      </c>
      <c r="R325" s="6">
        <v>0</v>
      </c>
      <c r="S325" s="5" t="str">
        <f ca="1">VLOOKUP($T325,OFFSET([4]enemy_skill_sets!$B$1,0,0,COUNTA([4]enemy_skill_sets!$B:$B),MATCH(J$1,[4]enemy_skill_sets!$1:$1,0)-MATCH($T$1,[4]enemy_skill_sets!$1:$1,0)+2),MATCH(J$1,[4]enemy_skill_sets!$1:$1,0)-MATCH($T$1,[4]enemy_skill_sets!$1:$1,0)+2,FALSE)</f>
        <v>攻撃力10倍の自爆攻撃！</v>
      </c>
      <c r="T325" s="42">
        <v>11702</v>
      </c>
      <c r="U325" s="7">
        <v>0</v>
      </c>
      <c r="V325" s="7">
        <v>100</v>
      </c>
      <c r="W325" s="7">
        <v>0</v>
      </c>
      <c r="X325" s="26">
        <f ca="1">VLOOKUP($I325,OFFSET([2]enemies!$A$1,0,0,COUNTA([2]enemies!$A:$A),MATCH(X$1,[2]enemies!$2:$2,0)-MATCH($I$1,[2]enemies!$2:$2,0)+1),MATCH(X$1,[2]enemies!$2:$2,0)-MATCH($I$1,[2]enemies!$2:$2,0)+1,FALSE)</f>
        <v>1</v>
      </c>
      <c r="Y325" s="31">
        <v>117</v>
      </c>
      <c r="Z325" s="5" t="str">
        <f ca="1">IFERROR(VLOOKUP($Y325,OFFSET([3]characters!$A$1,0,0,COUNTA([3]characters!$A:$A),MATCH(Z$1,[3]characters!$2:$2,0)-MATCH("character_id",[3]characters!$2:$2,0)+1),MATCH(Z$1,[3]characters!$2:$2,0)-MATCH("character_id",[3]characters!$2:$2,0)+1,FALSE),"")</f>
        <v>ゴールドピヨピヨ</v>
      </c>
      <c r="AA325" s="5">
        <f ca="1">IFERROR(VLOOKUP($Y325,OFFSET([3]characters!$A$1,0,0,COUNTA([3]characters!$A:$A),MATCH(AA$1,[3]characters!$2:$2,0)-MATCH("character_id",[3]characters!$2:$2,0)+1),MATCH(AA$1,[3]characters!$2:$2,0)-MATCH("character_id",[3]characters!$2:$2,0)+1,FALSE),"")</f>
        <v>3</v>
      </c>
      <c r="AB325" s="5" t="str">
        <f ca="1">IFERROR(VLOOKUP($Y325,OFFSET([3]characters!$A$1,0,0,COUNTA([3]characters!$A:$A),MATCH(AB$1,[3]characters!$2:$2,0)-MATCH("character_id",[3]characters!$2:$2,0)+1),MATCH(AB$1,[3]characters!$2:$2,0)-MATCH("character_id",[3]characters!$2:$2,0)+1,FALSE),"")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25" s="8">
        <v>1</v>
      </c>
      <c r="AD325" s="34">
        <f t="shared" ca="1" si="224"/>
        <v>3</v>
      </c>
      <c r="AE325" s="9">
        <v>30</v>
      </c>
      <c r="AF325" s="8">
        <v>0</v>
      </c>
      <c r="AG325" s="8">
        <v>0</v>
      </c>
      <c r="AH325" s="8">
        <v>0</v>
      </c>
      <c r="AI325" s="8">
        <v>0</v>
      </c>
      <c r="AJ325" s="8">
        <v>1</v>
      </c>
    </row>
    <row r="326" spans="1:36" ht="21" customHeight="1">
      <c r="A326" s="21" t="str">
        <f t="shared" ca="1" si="221"/>
        <v>11206_1-4/118&lt;lv1&gt;s2</v>
      </c>
      <c r="B326" s="8">
        <v>11206</v>
      </c>
      <c r="C326" s="32">
        <v>1</v>
      </c>
      <c r="D326" s="2" t="str">
        <f t="shared" si="222"/>
        <v>11206_1</v>
      </c>
      <c r="E326" s="5" t="str">
        <f ca="1">VLOOKUP($B326,OFFSET([1]quests!$A$1,0,0,COUNTA([1]quests!$A:$A),MATCH(E$1,[1]quests!$1:$1,0)-MATCH($B$1,[1]quests!$1:$1,0)+1),MATCH(E$1,[1]quests!$1:$1,0)-MATCH($B$1,[1]quests!$1:$1,0)+1,FALSE)</f>
        <v>【キャンペーン限定】 ゴールドカジノ</v>
      </c>
      <c r="F326" s="5" t="str">
        <f ca="1">VLOOKUP($D326,OFFSET([1]stages!$A$1,0,0,COUNTA([1]stages!$A:$A),MATCH(F$1,[1]stages!$2:$2,0)-MATCH($D$1,[1]stages!$2:$2,0)+1),MATCH(F$1,[1]stages!$2:$2,0)-MATCH($D$1,[1]stages!$2:$2,0)+1,FALSE)</f>
        <v>ゴールドカジノ 【初級】</v>
      </c>
      <c r="G326" s="32">
        <v>4</v>
      </c>
      <c r="H326" s="20" t="str">
        <f t="shared" si="223"/>
        <v>11206_1-4</v>
      </c>
      <c r="I326" s="31">
        <v>118</v>
      </c>
      <c r="J326" s="26" t="str">
        <f ca="1">VLOOKUP($I326,OFFSET([2]enemies!$A$1,0,0,COUNTA([2]enemies!$A:$A),MATCH(J$1,[2]enemies!$2:$2,0)-MATCH($I$1,[2]enemies!$2:$2,0)+1),MATCH(J$1,[2]enemies!$2:$2,0)-MATCH($I$1,[2]enemies!$2:$2,0)+1,FALSE)</f>
        <v>ゴールドチック</v>
      </c>
      <c r="K326" s="29" t="str">
        <f ca="1">VLOOKUP($I326,OFFSET([2]enemies!$A$1,0,0,COUNTA([2]enemies!$A:$A),MATCH(K$1,[2]enemies!$2:$2,0)-MATCH($I$1,[2]enemies!$2:$2,0)+1),MATCH(K$1,[2]enemies!$2:$2,0)-MATCH($I$1,[2]enemies!$2:$2,0)+1,FALSE)</f>
        <v>yellow</v>
      </c>
      <c r="L326" s="29" t="str">
        <f ca="1">VLOOKUP($I326,OFFSET([3]characters!$A$1,0,0,COUNTA([3]characters!$A:$A),MATCH(L$1,[3]characters!$2:$2,0)-MATCH($I$1,[3]characters!$2:$2,0)+1),MATCH(L$1,[3]characters!$2:$2,0)-MATCH($I$1,[3]characters!$2:$2,0)+1,FALSE)</f>
        <v>Material</v>
      </c>
      <c r="M326" s="28" t="str">
        <f ca="1">VLOOKUP($I326,OFFSET([3]characters!$A$1,0,0,COUNTA([3]characters!$A:$A),MATCH(M$1,[3]characters!$2:$2,0)-MATCH($I$1,[3]characters!$2:$2,0)+2),MATCH(M$1,[3]characters!$2:$2,0)-MATCH($I$1,[3]characters!$2:$2,0)+2,FALSE)</f>
        <v>Unknown</v>
      </c>
      <c r="N326" s="5">
        <f ca="1">VLOOKUP($I326,OFFSET([2]enemies!$A$1,0,0,COUNTA([2]enemies!$A:$A),MATCH(N$1,[2]enemies!$2:$2,0)-MATCH($I$1,[2]enemies!$2:$2,0)+1),MATCH(N$1,[2]enemies!$2:$2,0)-MATCH($I$1,[2]enemies!$2:$2,0)+1,FALSE)</f>
        <v>15</v>
      </c>
      <c r="O326" s="6">
        <v>1</v>
      </c>
      <c r="P326" s="48">
        <v>10.5</v>
      </c>
      <c r="Q326" s="46">
        <v>10</v>
      </c>
      <c r="R326" s="6">
        <v>0</v>
      </c>
      <c r="S326" s="5" t="str">
        <f ca="1">VLOOKUP($T326,OFFSET([4]enemy_skill_sets!$B$1,0,0,COUNTA([4]enemy_skill_sets!$B:$B),MATCH(J$1,[4]enemy_skill_sets!$1:$1,0)-MATCH($T$1,[4]enemy_skill_sets!$1:$1,0)+2),MATCH(J$1,[4]enemy_skill_sets!$1:$1,0)-MATCH($T$1,[4]enemy_skill_sets!$1:$1,0)+2,FALSE)</f>
        <v>攻撃力10倍の自爆攻撃！</v>
      </c>
      <c r="T326" s="42">
        <v>11702</v>
      </c>
      <c r="U326" s="7">
        <v>0</v>
      </c>
      <c r="V326" s="7">
        <v>100</v>
      </c>
      <c r="W326" s="7">
        <v>0</v>
      </c>
      <c r="X326" s="26">
        <f ca="1">VLOOKUP($I326,OFFSET([2]enemies!$A$1,0,0,COUNTA([2]enemies!$A:$A),MATCH(X$1,[2]enemies!$2:$2,0)-MATCH($I$1,[2]enemies!$2:$2,0)+1),MATCH(X$1,[2]enemies!$2:$2,0)-MATCH($I$1,[2]enemies!$2:$2,0)+1,FALSE)</f>
        <v>2</v>
      </c>
      <c r="Y326" s="31">
        <v>118</v>
      </c>
      <c r="Z326" s="5" t="str">
        <f ca="1">IFERROR(VLOOKUP($Y326,OFFSET([3]characters!$A$1,0,0,COUNTA([3]characters!$A:$A),MATCH(Z$1,[3]characters!$2:$2,0)-MATCH("character_id",[3]characters!$2:$2,0)+1),MATCH(Z$1,[3]characters!$2:$2,0)-MATCH("character_id",[3]characters!$2:$2,0)+1,FALSE),"")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326" s="5">
        <f ca="1">IFERROR(VLOOKUP($Y326,OFFSET([3]characters!$A$1,0,0,COUNTA([3]characters!$A:$A),MATCH(AA$1,[3]characters!$2:$2,0)-MATCH("character_id",[3]characters!$2:$2,0)+1),MATCH(AA$1,[3]characters!$2:$2,0)-MATCH("character_id",[3]characters!$2:$2,0)+1,FALSE),"")</f>
        <v>4</v>
      </c>
      <c r="AB326" s="5" t="str">
        <f ca="1">IFERROR(VLOOKUP($Y326,OFFSET([3]characters!$A$1,0,0,COUNTA([3]characters!$A:$A),MATCH(AB$1,[3]characters!$2:$2,0)-MATCH("character_id",[3]characters!$2:$2,0)+1),MATCH(AB$1,[3]characters!$2:$2,0)-MATCH("character_id",[3]characters!$2:$2,0)+1,FALSE),"")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26" s="8">
        <v>1</v>
      </c>
      <c r="AD326" s="34">
        <f t="shared" ca="1" si="224"/>
        <v>4</v>
      </c>
      <c r="AE326" s="9">
        <v>30</v>
      </c>
      <c r="AF326" s="8">
        <v>0</v>
      </c>
      <c r="AG326" s="8">
        <v>0</v>
      </c>
      <c r="AH326" s="8">
        <v>0</v>
      </c>
      <c r="AI326" s="8">
        <v>0</v>
      </c>
      <c r="AJ326" s="8">
        <v>1</v>
      </c>
    </row>
    <row r="327" spans="1:36" ht="21" customHeight="1">
      <c r="A327" s="21" t="str">
        <f t="shared" ca="1" si="221"/>
        <v>11206_1-4/1&lt;lv5&gt;s1</v>
      </c>
      <c r="B327" s="8">
        <v>11206</v>
      </c>
      <c r="C327" s="32">
        <v>1</v>
      </c>
      <c r="D327" s="2" t="str">
        <f t="shared" si="222"/>
        <v>11206_1</v>
      </c>
      <c r="E327" s="5" t="str">
        <f ca="1">VLOOKUP($B327,OFFSET([1]quests!$A$1,0,0,COUNTA([1]quests!$A:$A),MATCH(E$1,[1]quests!$1:$1,0)-MATCH($B$1,[1]quests!$1:$1,0)+1),MATCH(E$1,[1]quests!$1:$1,0)-MATCH($B$1,[1]quests!$1:$1,0)+1,FALSE)</f>
        <v>【キャンペーン限定】 ゴールドカジノ</v>
      </c>
      <c r="F327" s="5" t="str">
        <f ca="1">VLOOKUP($D327,OFFSET([1]stages!$A$1,0,0,COUNTA([1]stages!$A:$A),MATCH(F$1,[1]stages!$2:$2,0)-MATCH($D$1,[1]stages!$2:$2,0)+1),MATCH(F$1,[1]stages!$2:$2,0)-MATCH($D$1,[1]stages!$2:$2,0)+1,FALSE)</f>
        <v>ゴールドカジノ 【初級】</v>
      </c>
      <c r="G327" s="32">
        <v>4</v>
      </c>
      <c r="H327" s="20" t="str">
        <f t="shared" si="223"/>
        <v>11206_1-4</v>
      </c>
      <c r="I327" s="31">
        <v>1</v>
      </c>
      <c r="J327" s="26" t="str">
        <f ca="1">VLOOKUP($I327,OFFSET([2]enemies!$A$1,0,0,COUNTA([2]enemies!$A:$A),MATCH(J$1,[2]enemies!$2:$2,0)-MATCH($I$1,[2]enemies!$2:$2,0)+1),MATCH(J$1,[2]enemies!$2:$2,0)-MATCH($I$1,[2]enemies!$2:$2,0)+1,FALSE)</f>
        <v>ジェリー</v>
      </c>
      <c r="K327" s="29" t="str">
        <f ca="1">VLOOKUP($I327,OFFSET([2]enemies!$A$1,0,0,COUNTA([2]enemies!$A:$A),MATCH(K$1,[2]enemies!$2:$2,0)-MATCH($I$1,[2]enemies!$2:$2,0)+1),MATCH(K$1,[2]enemies!$2:$2,0)-MATCH($I$1,[2]enemies!$2:$2,0)+1,FALSE)</f>
        <v>red</v>
      </c>
      <c r="L327" s="29" t="str">
        <f ca="1">VLOOKUP($I327,OFFSET([3]characters!$A$1,0,0,COUNTA([3]characters!$A:$A),MATCH(L$1,[3]characters!$2:$2,0)-MATCH($I$1,[3]characters!$2:$2,0)+1),MATCH(L$1,[3]characters!$2:$2,0)-MATCH($I$1,[3]characters!$2:$2,0)+1,FALSE)</f>
        <v>Drop1T</v>
      </c>
      <c r="M327" s="28" t="str">
        <f ca="1">VLOOKUP($I327,OFFSET([3]characters!$A$1,0,0,COUNTA([3]characters!$A:$A),MATCH(M$1,[3]characters!$2:$2,0)-MATCH($I$1,[3]characters!$2:$2,0)+2),MATCH(M$1,[3]characters!$2:$2,0)-MATCH($I$1,[3]characters!$2:$2,0)+2,FALSE)</f>
        <v>Unknown</v>
      </c>
      <c r="N327" s="5">
        <f ca="1">VLOOKUP($I327,OFFSET([2]enemies!$A$1,0,0,COUNTA([2]enemies!$A:$A),MATCH(N$1,[2]enemies!$2:$2,0)-MATCH($I$1,[2]enemies!$2:$2,0)+1),MATCH(N$1,[2]enemies!$2:$2,0)-MATCH($I$1,[2]enemies!$2:$2,0)+1,FALSE)</f>
        <v>15</v>
      </c>
      <c r="O327" s="6">
        <v>5</v>
      </c>
      <c r="P327" s="46">
        <v>1</v>
      </c>
      <c r="Q327" s="46">
        <v>1</v>
      </c>
      <c r="R327" s="6">
        <v>0</v>
      </c>
      <c r="S327" s="5" t="str">
        <f ca="1">VLOOKUP($T327,OFFSET([4]enemy_skill_sets!$B$1,0,0,COUNTA([4]enemy_skill_sets!$B:$B),MATCH(J$1,[4]enemy_skill_sets!$1:$1,0)-MATCH($T$1,[4]enemy_skill_sets!$1:$1,0)+2),MATCH(J$1,[4]enemy_skill_sets!$1:$1,0)-MATCH($T$1,[4]enemy_skill_sets!$1:$1,0)+2,FALSE)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7" s="5">
        <f ca="1">VLOOKUP($I327,OFFSET([2]enemies!$A$1,0,0,COUNTA([2]enemies!$A:$A),MATCH(T$1,[2]enemies!$2:$2,0)-MATCH($I$1,[2]enemies!$2:$2,0)+1),MATCH(T$1,[2]enemies!$2:$2,0)-MATCH($I$1,[2]enemies!$2:$2,0)+1,FALSE)</f>
        <v>0</v>
      </c>
      <c r="U327" s="7">
        <v>0</v>
      </c>
      <c r="V327" s="7">
        <v>100</v>
      </c>
      <c r="W327" s="7">
        <v>0</v>
      </c>
      <c r="X327" s="26">
        <f ca="1">VLOOKUP($I327,OFFSET([2]enemies!$A$1,0,0,COUNTA([2]enemies!$A:$A),MATCH(X$1,[2]enemies!$2:$2,0)-MATCH($I$1,[2]enemies!$2:$2,0)+1),MATCH(X$1,[2]enemies!$2:$2,0)-MATCH($I$1,[2]enemies!$2:$2,0)+1,FALSE)</f>
        <v>1</v>
      </c>
      <c r="Y327" s="31">
        <v>1</v>
      </c>
      <c r="Z327" s="5" t="str">
        <f ca="1">IFERROR(VLOOKUP($Y327,OFFSET([3]characters!$A$1,0,0,COUNTA([3]characters!$A:$A),MATCH(Z$1,[3]characters!$2:$2,0)-MATCH("character_id",[3]characters!$2:$2,0)+1),MATCH(Z$1,[3]characters!$2:$2,0)-MATCH("character_id",[3]characters!$2:$2,0)+1,FALSE),"")</f>
        <v>ジェリー</v>
      </c>
      <c r="AA327" s="5">
        <f ca="1">IFERROR(VLOOKUP($Y327,OFFSET([3]characters!$A$1,0,0,COUNTA([3]characters!$A:$A),MATCH(AA$1,[3]characters!$2:$2,0)-MATCH("character_id",[3]characters!$2:$2,0)+1),MATCH(AA$1,[3]characters!$2:$2,0)-MATCH("character_id",[3]characters!$2:$2,0)+1,FALSE),"")</f>
        <v>1</v>
      </c>
      <c r="AB327" s="5" t="str">
        <f ca="1">IFERROR(VLOOKUP($Y327,OFFSET([3]characters!$A$1,0,0,COUNTA([3]characters!$A:$A),MATCH(AB$1,[3]characters!$2:$2,0)-MATCH("character_id",[3]characters!$2:$2,0)+1),MATCH(AB$1,[3]characters!$2:$2,0)-MATCH("character_id",[3]characters!$2:$2,0)+1,FALSE),"")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327" s="8">
        <v>1</v>
      </c>
      <c r="AD327" s="34">
        <f t="shared" ca="1" si="224"/>
        <v>1</v>
      </c>
      <c r="AE327" s="9">
        <v>0</v>
      </c>
      <c r="AF327" s="8">
        <v>0</v>
      </c>
      <c r="AG327" s="8">
        <v>0</v>
      </c>
      <c r="AH327" s="8">
        <v>0</v>
      </c>
      <c r="AI327" s="8">
        <v>0</v>
      </c>
      <c r="AJ327" s="8">
        <v>1</v>
      </c>
    </row>
    <row r="328" spans="1:36" ht="21" customHeight="1">
      <c r="A328" s="21" t="str">
        <f t="shared" ca="1" si="221"/>
        <v>11206_1-4/3&lt;lv5&gt;s2</v>
      </c>
      <c r="B328" s="8">
        <v>11206</v>
      </c>
      <c r="C328" s="32">
        <v>1</v>
      </c>
      <c r="D328" s="2" t="str">
        <f t="shared" si="222"/>
        <v>11206_1</v>
      </c>
      <c r="E328" s="5" t="str">
        <f ca="1">VLOOKUP($B328,OFFSET([1]quests!$A$1,0,0,COUNTA([1]quests!$A:$A),MATCH(E$1,[1]quests!$1:$1,0)-MATCH($B$1,[1]quests!$1:$1,0)+1),MATCH(E$1,[1]quests!$1:$1,0)-MATCH($B$1,[1]quests!$1:$1,0)+1,FALSE)</f>
        <v>【キャンペーン限定】 ゴールドカジノ</v>
      </c>
      <c r="F328" s="5" t="str">
        <f ca="1">VLOOKUP($D328,OFFSET([1]stages!$A$1,0,0,COUNTA([1]stages!$A:$A),MATCH(F$1,[1]stages!$2:$2,0)-MATCH($D$1,[1]stages!$2:$2,0)+1),MATCH(F$1,[1]stages!$2:$2,0)-MATCH($D$1,[1]stages!$2:$2,0)+1,FALSE)</f>
        <v>ゴールドカジノ 【初級】</v>
      </c>
      <c r="G328" s="32">
        <v>4</v>
      </c>
      <c r="H328" s="20" t="str">
        <f t="shared" si="223"/>
        <v>11206_1-4</v>
      </c>
      <c r="I328" s="31">
        <v>3</v>
      </c>
      <c r="J328" s="26" t="str">
        <f ca="1">VLOOKUP($I328,OFFSET([2]enemies!$A$1,0,0,COUNTA([2]enemies!$A:$A),MATCH(J$1,[2]enemies!$2:$2,0)-MATCH($I$1,[2]enemies!$2:$2,0)+1),MATCH(J$1,[2]enemies!$2:$2,0)-MATCH($I$1,[2]enemies!$2:$2,0)+1,FALSE)</f>
        <v>エージェント ジョー</v>
      </c>
      <c r="K328" s="29" t="str">
        <f ca="1">VLOOKUP($I328,OFFSET([2]enemies!$A$1,0,0,COUNTA([2]enemies!$A:$A),MATCH(K$1,[2]enemies!$2:$2,0)-MATCH($I$1,[2]enemies!$2:$2,0)+1),MATCH(K$1,[2]enemies!$2:$2,0)-MATCH($I$1,[2]enemies!$2:$2,0)+1,FALSE)</f>
        <v>green</v>
      </c>
      <c r="L328" s="29" t="str">
        <f ca="1">VLOOKUP($I328,OFFSET([3]characters!$A$1,0,0,COUNTA([3]characters!$A:$A),MATCH(L$1,[3]characters!$2:$2,0)-MATCH($I$1,[3]characters!$2:$2,0)+1),MATCH(L$1,[3]characters!$2:$2,0)-MATCH($I$1,[3]characters!$2:$2,0)+1,FALSE)</f>
        <v>Drop1T</v>
      </c>
      <c r="M328" s="28" t="str">
        <f ca="1">VLOOKUP($I328,OFFSET([3]characters!$A$1,0,0,COUNTA([3]characters!$A:$A),MATCH(M$1,[3]characters!$2:$2,0)-MATCH($I$1,[3]characters!$2:$2,0)+2),MATCH(M$1,[3]characters!$2:$2,0)-MATCH($I$1,[3]characters!$2:$2,0)+2,FALSE)</f>
        <v>Unknown</v>
      </c>
      <c r="N328" s="5">
        <f ca="1">VLOOKUP($I328,OFFSET([2]enemies!$A$1,0,0,COUNTA([2]enemies!$A:$A),MATCH(N$1,[2]enemies!$2:$2,0)-MATCH($I$1,[2]enemies!$2:$2,0)+1),MATCH(N$1,[2]enemies!$2:$2,0)-MATCH($I$1,[2]enemies!$2:$2,0)+1,FALSE)</f>
        <v>15</v>
      </c>
      <c r="O328" s="6">
        <v>5</v>
      </c>
      <c r="P328" s="46">
        <v>1</v>
      </c>
      <c r="Q328" s="46">
        <v>1</v>
      </c>
      <c r="R328" s="6">
        <v>0</v>
      </c>
      <c r="S328" s="5" t="str">
        <f ca="1">VLOOKUP($T328,OFFSET([4]enemy_skill_sets!$B$1,0,0,COUNTA([4]enemy_skill_sets!$B:$B),MATCH(J$1,[4]enemy_skill_sets!$1:$1,0)-MATCH($T$1,[4]enemy_skill_sets!$1:$1,0)+2),MATCH(J$1,[4]enemy_skill_sets!$1:$1,0)-MATCH($T$1,[4]enemy_skill_sets!$1:$1,0)+2,FALSE)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8" s="5">
        <f ca="1">VLOOKUP($I328,OFFSET([2]enemies!$A$1,0,0,COUNTA([2]enemies!$A:$A),MATCH(T$1,[2]enemies!$2:$2,0)-MATCH($I$1,[2]enemies!$2:$2,0)+1),MATCH(T$1,[2]enemies!$2:$2,0)-MATCH($I$1,[2]enemies!$2:$2,0)+1,FALSE)</f>
        <v>0</v>
      </c>
      <c r="U328" s="7">
        <v>0</v>
      </c>
      <c r="V328" s="7">
        <v>100</v>
      </c>
      <c r="W328" s="7">
        <v>0</v>
      </c>
      <c r="X328" s="26">
        <f ca="1">VLOOKUP($I328,OFFSET([2]enemies!$A$1,0,0,COUNTA([2]enemies!$A:$A),MATCH(X$1,[2]enemies!$2:$2,0)-MATCH($I$1,[2]enemies!$2:$2,0)+1),MATCH(X$1,[2]enemies!$2:$2,0)-MATCH($I$1,[2]enemies!$2:$2,0)+1,FALSE)</f>
        <v>2</v>
      </c>
      <c r="Y328" s="31">
        <v>3</v>
      </c>
      <c r="Z328" s="5" t="str">
        <f ca="1">IFERROR(VLOOKUP($Y328,OFFSET([3]characters!$A$1,0,0,COUNTA([3]characters!$A:$A),MATCH(Z$1,[3]characters!$2:$2,0)-MATCH("character_id",[3]characters!$2:$2,0)+1),MATCH(Z$1,[3]characters!$2:$2,0)-MATCH("character_id",[3]characters!$2:$2,0)+1,FALSE),"")</f>
        <v>エージェント ジョー</v>
      </c>
      <c r="AA328" s="5">
        <f ca="1">IFERROR(VLOOKUP($Y328,OFFSET([3]characters!$A$1,0,0,COUNTA([3]characters!$A:$A),MATCH(AA$1,[3]characters!$2:$2,0)-MATCH("character_id",[3]characters!$2:$2,0)+1),MATCH(AA$1,[3]characters!$2:$2,0)-MATCH("character_id",[3]characters!$2:$2,0)+1,FALSE),"")</f>
        <v>1</v>
      </c>
      <c r="AB328" s="5" t="str">
        <f ca="1">IFERROR(VLOOKUP($Y328,OFFSET([3]characters!$A$1,0,0,COUNTA([3]characters!$A:$A),MATCH(AB$1,[3]characters!$2:$2,0)-MATCH("character_id",[3]characters!$2:$2,0)+1),MATCH(AB$1,[3]characters!$2:$2,0)-MATCH("character_id",[3]characters!$2:$2,0)+1,FALSE),"")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328" s="8">
        <v>1</v>
      </c>
      <c r="AD328" s="34">
        <f t="shared" ca="1" si="224"/>
        <v>1</v>
      </c>
      <c r="AE328" s="9">
        <v>0</v>
      </c>
      <c r="AF328" s="8">
        <v>0</v>
      </c>
      <c r="AG328" s="8">
        <v>0</v>
      </c>
      <c r="AH328" s="8">
        <v>0</v>
      </c>
      <c r="AI328" s="8">
        <v>0</v>
      </c>
      <c r="AJ328" s="8">
        <v>1</v>
      </c>
    </row>
    <row r="329" spans="1:36" ht="21" customHeight="1">
      <c r="A329" s="21" t="str">
        <f t="shared" ca="1" si="221"/>
        <v>11206_1-4/5&lt;lv5&gt;s3</v>
      </c>
      <c r="B329" s="8">
        <v>11206</v>
      </c>
      <c r="C329" s="32">
        <v>1</v>
      </c>
      <c r="D329" s="2" t="str">
        <f t="shared" si="222"/>
        <v>11206_1</v>
      </c>
      <c r="E329" s="5" t="str">
        <f ca="1">VLOOKUP($B329,OFFSET([1]quests!$A$1,0,0,COUNTA([1]quests!$A:$A),MATCH(E$1,[1]quests!$1:$1,0)-MATCH($B$1,[1]quests!$1:$1,0)+1),MATCH(E$1,[1]quests!$1:$1,0)-MATCH($B$1,[1]quests!$1:$1,0)+1,FALSE)</f>
        <v>【キャンペーン限定】 ゴールドカジノ</v>
      </c>
      <c r="F329" s="5" t="str">
        <f ca="1">VLOOKUP($D329,OFFSET([1]stages!$A$1,0,0,COUNTA([1]stages!$A:$A),MATCH(F$1,[1]stages!$2:$2,0)-MATCH($D$1,[1]stages!$2:$2,0)+1),MATCH(F$1,[1]stages!$2:$2,0)-MATCH($D$1,[1]stages!$2:$2,0)+1,FALSE)</f>
        <v>ゴールドカジノ 【初級】</v>
      </c>
      <c r="G329" s="32">
        <v>4</v>
      </c>
      <c r="H329" s="20" t="str">
        <f t="shared" si="223"/>
        <v>11206_1-4</v>
      </c>
      <c r="I329" s="31">
        <v>5</v>
      </c>
      <c r="J329" s="26" t="str">
        <f ca="1">VLOOKUP($I329,OFFSET([2]enemies!$A$1,0,0,COUNTA([2]enemies!$A:$A),MATCH(J$1,[2]enemies!$2:$2,0)-MATCH($I$1,[2]enemies!$2:$2,0)+1),MATCH(J$1,[2]enemies!$2:$2,0)-MATCH($I$1,[2]enemies!$2:$2,0)+1,FALSE)</f>
        <v>パトドッグ ポチ</v>
      </c>
      <c r="K329" s="29" t="str">
        <f ca="1">VLOOKUP($I329,OFFSET([2]enemies!$A$1,0,0,COUNTA([2]enemies!$A:$A),MATCH(K$1,[2]enemies!$2:$2,0)-MATCH($I$1,[2]enemies!$2:$2,0)+1),MATCH(K$1,[2]enemies!$2:$2,0)-MATCH($I$1,[2]enemies!$2:$2,0)+1,FALSE)</f>
        <v>blue</v>
      </c>
      <c r="L329" s="29" t="str">
        <f ca="1">VLOOKUP($I329,OFFSET([3]characters!$A$1,0,0,COUNTA([3]characters!$A:$A),MATCH(L$1,[3]characters!$2:$2,0)-MATCH($I$1,[3]characters!$2:$2,0)+1),MATCH(L$1,[3]characters!$2:$2,0)-MATCH($I$1,[3]characters!$2:$2,0)+1,FALSE)</f>
        <v>Drop1T</v>
      </c>
      <c r="M329" s="28" t="str">
        <f ca="1">VLOOKUP($I329,OFFSET([3]characters!$A$1,0,0,COUNTA([3]characters!$A:$A),MATCH(M$1,[3]characters!$2:$2,0)-MATCH($I$1,[3]characters!$2:$2,0)+2),MATCH(M$1,[3]characters!$2:$2,0)-MATCH($I$1,[3]characters!$2:$2,0)+2,FALSE)</f>
        <v>Unknown</v>
      </c>
      <c r="N329" s="5">
        <f ca="1">VLOOKUP($I329,OFFSET([2]enemies!$A$1,0,0,COUNTA([2]enemies!$A:$A),MATCH(N$1,[2]enemies!$2:$2,0)-MATCH($I$1,[2]enemies!$2:$2,0)+1),MATCH(N$1,[2]enemies!$2:$2,0)-MATCH($I$1,[2]enemies!$2:$2,0)+1,FALSE)</f>
        <v>15</v>
      </c>
      <c r="O329" s="6">
        <v>5</v>
      </c>
      <c r="P329" s="46">
        <v>1</v>
      </c>
      <c r="Q329" s="46">
        <v>1</v>
      </c>
      <c r="R329" s="6">
        <v>0</v>
      </c>
      <c r="S329" s="5" t="str">
        <f ca="1">VLOOKUP($T329,OFFSET([4]enemy_skill_sets!$B$1,0,0,COUNTA([4]enemy_skill_sets!$B:$B),MATCH(J$1,[4]enemy_skill_sets!$1:$1,0)-MATCH($T$1,[4]enemy_skill_sets!$1:$1,0)+2),MATCH(J$1,[4]enemy_skill_sets!$1:$1,0)-MATCH($T$1,[4]enemy_skill_sets!$1:$1,0)+2,FALSE)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9" s="5">
        <f ca="1">VLOOKUP($I329,OFFSET([2]enemies!$A$1,0,0,COUNTA([2]enemies!$A:$A),MATCH(T$1,[2]enemies!$2:$2,0)-MATCH($I$1,[2]enemies!$2:$2,0)+1),MATCH(T$1,[2]enemies!$2:$2,0)-MATCH($I$1,[2]enemies!$2:$2,0)+1,FALSE)</f>
        <v>0</v>
      </c>
      <c r="U329" s="7">
        <v>0</v>
      </c>
      <c r="V329" s="7">
        <v>100</v>
      </c>
      <c r="W329" s="7">
        <v>0</v>
      </c>
      <c r="X329" s="26">
        <f ca="1">VLOOKUP($I329,OFFSET([2]enemies!$A$1,0,0,COUNTA([2]enemies!$A:$A),MATCH(X$1,[2]enemies!$2:$2,0)-MATCH($I$1,[2]enemies!$2:$2,0)+1),MATCH(X$1,[2]enemies!$2:$2,0)-MATCH($I$1,[2]enemies!$2:$2,0)+1,FALSE)</f>
        <v>3</v>
      </c>
      <c r="Y329" s="31">
        <v>5</v>
      </c>
      <c r="Z329" s="5" t="str">
        <f ca="1">IFERROR(VLOOKUP($Y329,OFFSET([3]characters!$A$1,0,0,COUNTA([3]characters!$A:$A),MATCH(Z$1,[3]characters!$2:$2,0)-MATCH("character_id",[3]characters!$2:$2,0)+1),MATCH(Z$1,[3]characters!$2:$2,0)-MATCH("character_id",[3]characters!$2:$2,0)+1,FALSE),"")</f>
        <v>パトドッグ ポチ</v>
      </c>
      <c r="AA329" s="5">
        <f ca="1">IFERROR(VLOOKUP($Y329,OFFSET([3]characters!$A$1,0,0,COUNTA([3]characters!$A:$A),MATCH(AA$1,[3]characters!$2:$2,0)-MATCH("character_id",[3]characters!$2:$2,0)+1),MATCH(AA$1,[3]characters!$2:$2,0)-MATCH("character_id",[3]characters!$2:$2,0)+1,FALSE),"")</f>
        <v>1</v>
      </c>
      <c r="AB329" s="5" t="str">
        <f ca="1">IFERROR(VLOOKUP($Y329,OFFSET([3]characters!$A$1,0,0,COUNTA([3]characters!$A:$A),MATCH(AB$1,[3]characters!$2:$2,0)-MATCH("character_id",[3]characters!$2:$2,0)+1),MATCH(AB$1,[3]characters!$2:$2,0)-MATCH("character_id",[3]characters!$2:$2,0)+1,FALSE),"")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329" s="8">
        <v>1</v>
      </c>
      <c r="AD329" s="34">
        <f t="shared" ca="1" si="224"/>
        <v>1</v>
      </c>
      <c r="AE329" s="9">
        <v>0</v>
      </c>
      <c r="AF329" s="8">
        <v>0</v>
      </c>
      <c r="AG329" s="8">
        <v>0</v>
      </c>
      <c r="AH329" s="8">
        <v>0</v>
      </c>
      <c r="AI329" s="8">
        <v>0</v>
      </c>
      <c r="AJ329" s="8">
        <v>1</v>
      </c>
    </row>
    <row r="330" spans="1:36" ht="21" customHeight="1">
      <c r="A330" s="21" t="str">
        <f t="shared" ca="1" si="221"/>
        <v>11206_1-4/7&lt;lv5&gt;s2</v>
      </c>
      <c r="B330" s="8">
        <v>11206</v>
      </c>
      <c r="C330" s="32">
        <v>1</v>
      </c>
      <c r="D330" s="2" t="str">
        <f t="shared" si="222"/>
        <v>11206_1</v>
      </c>
      <c r="E330" s="5" t="str">
        <f ca="1">VLOOKUP($B330,OFFSET([1]quests!$A$1,0,0,COUNTA([1]quests!$A:$A),MATCH(E$1,[1]quests!$1:$1,0)-MATCH($B$1,[1]quests!$1:$1,0)+1),MATCH(E$1,[1]quests!$1:$1,0)-MATCH($B$1,[1]quests!$1:$1,0)+1,FALSE)</f>
        <v>【キャンペーン限定】 ゴールドカジノ</v>
      </c>
      <c r="F330" s="5" t="str">
        <f ca="1">VLOOKUP($D330,OFFSET([1]stages!$A$1,0,0,COUNTA([1]stages!$A:$A),MATCH(F$1,[1]stages!$2:$2,0)-MATCH($D$1,[1]stages!$2:$2,0)+1),MATCH(F$1,[1]stages!$2:$2,0)-MATCH($D$1,[1]stages!$2:$2,0)+1,FALSE)</f>
        <v>ゴールドカジノ 【初級】</v>
      </c>
      <c r="G330" s="32">
        <v>4</v>
      </c>
      <c r="H330" s="20" t="str">
        <f t="shared" si="223"/>
        <v>11206_1-4</v>
      </c>
      <c r="I330" s="31">
        <v>7</v>
      </c>
      <c r="J330" s="26" t="str">
        <f ca="1">VLOOKUP($I330,OFFSET([2]enemies!$A$1,0,0,COUNTA([2]enemies!$A:$A),MATCH(J$1,[2]enemies!$2:$2,0)-MATCH($I$1,[2]enemies!$2:$2,0)+1),MATCH(J$1,[2]enemies!$2:$2,0)-MATCH($I$1,[2]enemies!$2:$2,0)+1,FALSE)</f>
        <v>エレキポット</v>
      </c>
      <c r="K330" s="29" t="str">
        <f ca="1">VLOOKUP($I330,OFFSET([2]enemies!$A$1,0,0,COUNTA([2]enemies!$A:$A),MATCH(K$1,[2]enemies!$2:$2,0)-MATCH($I$1,[2]enemies!$2:$2,0)+1),MATCH(K$1,[2]enemies!$2:$2,0)-MATCH($I$1,[2]enemies!$2:$2,0)+1,FALSE)</f>
        <v>yellow</v>
      </c>
      <c r="L330" s="29" t="str">
        <f ca="1">VLOOKUP($I330,OFFSET([3]characters!$A$1,0,0,COUNTA([3]characters!$A:$A),MATCH(L$1,[3]characters!$2:$2,0)-MATCH($I$1,[3]characters!$2:$2,0)+1),MATCH(L$1,[3]characters!$2:$2,0)-MATCH($I$1,[3]characters!$2:$2,0)+1,FALSE)</f>
        <v>Drop1T</v>
      </c>
      <c r="M330" s="28" t="str">
        <f ca="1">VLOOKUP($I330,OFFSET([3]characters!$A$1,0,0,COUNTA([3]characters!$A:$A),MATCH(M$1,[3]characters!$2:$2,0)-MATCH($I$1,[3]characters!$2:$2,0)+2),MATCH(M$1,[3]characters!$2:$2,0)-MATCH($I$1,[3]characters!$2:$2,0)+2,FALSE)</f>
        <v>Unknown</v>
      </c>
      <c r="N330" s="5">
        <f ca="1">VLOOKUP($I330,OFFSET([2]enemies!$A$1,0,0,COUNTA([2]enemies!$A:$A),MATCH(N$1,[2]enemies!$2:$2,0)-MATCH($I$1,[2]enemies!$2:$2,0)+1),MATCH(N$1,[2]enemies!$2:$2,0)-MATCH($I$1,[2]enemies!$2:$2,0)+1,FALSE)</f>
        <v>15</v>
      </c>
      <c r="O330" s="6">
        <v>5</v>
      </c>
      <c r="P330" s="46">
        <v>1</v>
      </c>
      <c r="Q330" s="46">
        <v>1</v>
      </c>
      <c r="R330" s="6">
        <v>0</v>
      </c>
      <c r="S330" s="5" t="str">
        <f ca="1">VLOOKUP($T330,OFFSET([4]enemy_skill_sets!$B$1,0,0,COUNTA([4]enemy_skill_sets!$B:$B),MATCH(J$1,[4]enemy_skill_sets!$1:$1,0)-MATCH($T$1,[4]enemy_skill_sets!$1:$1,0)+2),MATCH(J$1,[4]enemy_skill_sets!$1:$1,0)-MATCH($T$1,[4]enemy_skill_sets!$1:$1,0)+2,FALSE)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0" s="5">
        <f ca="1">VLOOKUP($I330,OFFSET([2]enemies!$A$1,0,0,COUNTA([2]enemies!$A:$A),MATCH(T$1,[2]enemies!$2:$2,0)-MATCH($I$1,[2]enemies!$2:$2,0)+1),MATCH(T$1,[2]enemies!$2:$2,0)-MATCH($I$1,[2]enemies!$2:$2,0)+1,FALSE)</f>
        <v>0</v>
      </c>
      <c r="U330" s="7">
        <v>0</v>
      </c>
      <c r="V330" s="7">
        <v>100</v>
      </c>
      <c r="W330" s="7">
        <v>0</v>
      </c>
      <c r="X330" s="26">
        <f ca="1">VLOOKUP($I330,OFFSET([2]enemies!$A$1,0,0,COUNTA([2]enemies!$A:$A),MATCH(X$1,[2]enemies!$2:$2,0)-MATCH($I$1,[2]enemies!$2:$2,0)+1),MATCH(X$1,[2]enemies!$2:$2,0)-MATCH($I$1,[2]enemies!$2:$2,0)+1,FALSE)</f>
        <v>2</v>
      </c>
      <c r="Y330" s="31">
        <v>7</v>
      </c>
      <c r="Z330" s="5" t="str">
        <f ca="1">IFERROR(VLOOKUP($Y330,OFFSET([3]characters!$A$1,0,0,COUNTA([3]characters!$A:$A),MATCH(Z$1,[3]characters!$2:$2,0)-MATCH("character_id",[3]characters!$2:$2,0)+1),MATCH(Z$1,[3]characters!$2:$2,0)-MATCH("character_id",[3]characters!$2:$2,0)+1,FALSE),"")</f>
        <v>エレキポット</v>
      </c>
      <c r="AA330" s="5">
        <f ca="1">IFERROR(VLOOKUP($Y330,OFFSET([3]characters!$A$1,0,0,COUNTA([3]characters!$A:$A),MATCH(AA$1,[3]characters!$2:$2,0)-MATCH("character_id",[3]characters!$2:$2,0)+1),MATCH(AA$1,[3]characters!$2:$2,0)-MATCH("character_id",[3]characters!$2:$2,0)+1,FALSE),"")</f>
        <v>1</v>
      </c>
      <c r="AB330" s="5" t="str">
        <f ca="1">IFERROR(VLOOKUP($Y330,OFFSET([3]characters!$A$1,0,0,COUNTA([3]characters!$A:$A),MATCH(AB$1,[3]characters!$2:$2,0)-MATCH("character_id",[3]characters!$2:$2,0)+1),MATCH(AB$1,[3]characters!$2:$2,0)-MATCH("character_id",[3]characters!$2:$2,0)+1,FALSE),"")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330" s="8">
        <v>1</v>
      </c>
      <c r="AD330" s="34">
        <f t="shared" ca="1" si="224"/>
        <v>1</v>
      </c>
      <c r="AE330" s="9">
        <v>0</v>
      </c>
      <c r="AF330" s="8">
        <v>0</v>
      </c>
      <c r="AG330" s="8">
        <v>0</v>
      </c>
      <c r="AH330" s="8">
        <v>0</v>
      </c>
      <c r="AI330" s="8">
        <v>0</v>
      </c>
      <c r="AJ330" s="8">
        <v>1</v>
      </c>
    </row>
    <row r="331" spans="1:36" ht="21" customHeight="1">
      <c r="A331" s="21" t="str">
        <f t="shared" ca="1" si="221"/>
        <v>11206_1-5/117&lt;lv1&gt;s1</v>
      </c>
      <c r="B331" s="8">
        <v>11206</v>
      </c>
      <c r="C331" s="32">
        <v>1</v>
      </c>
      <c r="D331" s="2" t="str">
        <f t="shared" si="222"/>
        <v>11206_1</v>
      </c>
      <c r="E331" s="5" t="str">
        <f ca="1">VLOOKUP($B331,OFFSET([1]quests!$A$1,0,0,COUNTA([1]quests!$A:$A),MATCH(E$1,[1]quests!$1:$1,0)-MATCH($B$1,[1]quests!$1:$1,0)+1),MATCH(E$1,[1]quests!$1:$1,0)-MATCH($B$1,[1]quests!$1:$1,0)+1,FALSE)</f>
        <v>【キャンペーン限定】 ゴールドカジノ</v>
      </c>
      <c r="F331" s="5" t="str">
        <f ca="1">VLOOKUP($D331,OFFSET([1]stages!$A$1,0,0,COUNTA([1]stages!$A:$A),MATCH(F$1,[1]stages!$2:$2,0)-MATCH($D$1,[1]stages!$2:$2,0)+1),MATCH(F$1,[1]stages!$2:$2,0)-MATCH($D$1,[1]stages!$2:$2,0)+1,FALSE)</f>
        <v>ゴールドカジノ 【初級】</v>
      </c>
      <c r="G331" s="32">
        <v>5</v>
      </c>
      <c r="H331" s="20" t="str">
        <f t="shared" si="223"/>
        <v>11206_1-5</v>
      </c>
      <c r="I331" s="31">
        <v>117</v>
      </c>
      <c r="J331" s="26" t="str">
        <f ca="1">VLOOKUP($I331,OFFSET([2]enemies!$A$1,0,0,COUNTA([2]enemies!$A:$A),MATCH(J$1,[2]enemies!$2:$2,0)-MATCH($I$1,[2]enemies!$2:$2,0)+1),MATCH(J$1,[2]enemies!$2:$2,0)-MATCH($I$1,[2]enemies!$2:$2,0)+1,FALSE)</f>
        <v>ゴールドピヨピヨ</v>
      </c>
      <c r="K331" s="29" t="str">
        <f ca="1">VLOOKUP($I331,OFFSET([2]enemies!$A$1,0,0,COUNTA([2]enemies!$A:$A),MATCH(K$1,[2]enemies!$2:$2,0)-MATCH($I$1,[2]enemies!$2:$2,0)+1),MATCH(K$1,[2]enemies!$2:$2,0)-MATCH($I$1,[2]enemies!$2:$2,0)+1,FALSE)</f>
        <v>yellow</v>
      </c>
      <c r="L331" s="29" t="str">
        <f ca="1">VLOOKUP($I331,OFFSET([3]characters!$A$1,0,0,COUNTA([3]characters!$A:$A),MATCH(L$1,[3]characters!$2:$2,0)-MATCH($I$1,[3]characters!$2:$2,0)+1),MATCH(L$1,[3]characters!$2:$2,0)-MATCH($I$1,[3]characters!$2:$2,0)+1,FALSE)</f>
        <v>Material</v>
      </c>
      <c r="M331" s="28" t="str">
        <f ca="1">VLOOKUP($I331,OFFSET([3]characters!$A$1,0,0,COUNTA([3]characters!$A:$A),MATCH(M$1,[3]characters!$2:$2,0)-MATCH($I$1,[3]characters!$2:$2,0)+2),MATCH(M$1,[3]characters!$2:$2,0)-MATCH($I$1,[3]characters!$2:$2,0)+2,FALSE)</f>
        <v>Unknown</v>
      </c>
      <c r="N331" s="5">
        <f ca="1">VLOOKUP($I331,OFFSET([2]enemies!$A$1,0,0,COUNTA([2]enemies!$A:$A),MATCH(N$1,[2]enemies!$2:$2,0)-MATCH($I$1,[2]enemies!$2:$2,0)+1),MATCH(N$1,[2]enemies!$2:$2,0)-MATCH($I$1,[2]enemies!$2:$2,0)+1,FALSE)</f>
        <v>15</v>
      </c>
      <c r="O331" s="6">
        <v>1</v>
      </c>
      <c r="P331" s="48">
        <v>10.5</v>
      </c>
      <c r="Q331" s="46">
        <v>11</v>
      </c>
      <c r="R331" s="6">
        <v>0</v>
      </c>
      <c r="S331" s="5" t="str">
        <f ca="1">VLOOKUP($T331,OFFSET([4]enemy_skill_sets!$B$1,0,0,COUNTA([4]enemy_skill_sets!$B:$B),MATCH(J$1,[4]enemy_skill_sets!$1:$1,0)-MATCH($T$1,[4]enemy_skill_sets!$1:$1,0)+2),MATCH(J$1,[4]enemy_skill_sets!$1:$1,0)-MATCH($T$1,[4]enemy_skill_sets!$1:$1,0)+2,FALSE)</f>
        <v>攻撃力10倍の自爆攻撃！</v>
      </c>
      <c r="T331" s="42">
        <v>11702</v>
      </c>
      <c r="U331" s="7">
        <v>1</v>
      </c>
      <c r="V331" s="7">
        <v>100</v>
      </c>
      <c r="W331" s="7">
        <v>1</v>
      </c>
      <c r="X331" s="26">
        <f ca="1">VLOOKUP($I331,OFFSET([2]enemies!$A$1,0,0,COUNTA([2]enemies!$A:$A),MATCH(X$1,[2]enemies!$2:$2,0)-MATCH($I$1,[2]enemies!$2:$2,0)+1),MATCH(X$1,[2]enemies!$2:$2,0)-MATCH($I$1,[2]enemies!$2:$2,0)+1,FALSE)</f>
        <v>1</v>
      </c>
      <c r="Y331" s="31">
        <v>117</v>
      </c>
      <c r="Z331" s="5" t="str">
        <f ca="1">IFERROR(VLOOKUP($Y331,OFFSET([3]characters!$A$1,0,0,COUNTA([3]characters!$A:$A),MATCH(Z$1,[3]characters!$2:$2,0)-MATCH("character_id",[3]characters!$2:$2,0)+1),MATCH(Z$1,[3]characters!$2:$2,0)-MATCH("character_id",[3]characters!$2:$2,0)+1,FALSE),"")</f>
        <v>ゴールドピヨピヨ</v>
      </c>
      <c r="AA331" s="5">
        <f ca="1">IFERROR(VLOOKUP($Y331,OFFSET([3]characters!$A$1,0,0,COUNTA([3]characters!$A:$A),MATCH(AA$1,[3]characters!$2:$2,0)-MATCH("character_id",[3]characters!$2:$2,0)+1),MATCH(AA$1,[3]characters!$2:$2,0)-MATCH("character_id",[3]characters!$2:$2,0)+1,FALSE),"")</f>
        <v>3</v>
      </c>
      <c r="AB331" s="5" t="str">
        <f ca="1">IFERROR(VLOOKUP($Y331,OFFSET([3]characters!$A$1,0,0,COUNTA([3]characters!$A:$A),MATCH(AB$1,[3]characters!$2:$2,0)-MATCH("character_id",[3]characters!$2:$2,0)+1),MATCH(AB$1,[3]characters!$2:$2,0)-MATCH("character_id",[3]characters!$2:$2,0)+1,FALSE),"")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31" s="8">
        <v>1</v>
      </c>
      <c r="AD331" s="34">
        <f t="shared" ca="1" si="224"/>
        <v>3</v>
      </c>
      <c r="AE331" s="9">
        <v>100</v>
      </c>
      <c r="AF331" s="8">
        <v>0</v>
      </c>
      <c r="AG331" s="8">
        <v>0</v>
      </c>
      <c r="AH331" s="8">
        <v>0</v>
      </c>
      <c r="AI331" s="8">
        <v>0</v>
      </c>
      <c r="AJ331" s="8">
        <v>1</v>
      </c>
    </row>
    <row r="332" spans="1:36" ht="21" customHeight="1">
      <c r="A332" s="21" t="str">
        <f t="shared" ca="1" si="221"/>
        <v>11206_1-5/118&lt;lv1&gt;s2</v>
      </c>
      <c r="B332" s="8">
        <v>11206</v>
      </c>
      <c r="C332" s="32">
        <v>1</v>
      </c>
      <c r="D332" s="2" t="str">
        <f t="shared" si="222"/>
        <v>11206_1</v>
      </c>
      <c r="E332" s="5" t="str">
        <f ca="1">VLOOKUP($B332,OFFSET([1]quests!$A$1,0,0,COUNTA([1]quests!$A:$A),MATCH(E$1,[1]quests!$1:$1,0)-MATCH($B$1,[1]quests!$1:$1,0)+1),MATCH(E$1,[1]quests!$1:$1,0)-MATCH($B$1,[1]quests!$1:$1,0)+1,FALSE)</f>
        <v>【キャンペーン限定】 ゴールドカジノ</v>
      </c>
      <c r="F332" s="5" t="str">
        <f ca="1">VLOOKUP($D332,OFFSET([1]stages!$A$1,0,0,COUNTA([1]stages!$A:$A),MATCH(F$1,[1]stages!$2:$2,0)-MATCH($D$1,[1]stages!$2:$2,0)+1),MATCH(F$1,[1]stages!$2:$2,0)-MATCH($D$1,[1]stages!$2:$2,0)+1,FALSE)</f>
        <v>ゴールドカジノ 【初級】</v>
      </c>
      <c r="G332" s="32">
        <v>5</v>
      </c>
      <c r="H332" s="20" t="str">
        <f t="shared" si="223"/>
        <v>11206_1-5</v>
      </c>
      <c r="I332" s="31">
        <v>118</v>
      </c>
      <c r="J332" s="26" t="str">
        <f ca="1">VLOOKUP($I332,OFFSET([2]enemies!$A$1,0,0,COUNTA([2]enemies!$A:$A),MATCH(J$1,[2]enemies!$2:$2,0)-MATCH($I$1,[2]enemies!$2:$2,0)+1),MATCH(J$1,[2]enemies!$2:$2,0)-MATCH($I$1,[2]enemies!$2:$2,0)+1,FALSE)</f>
        <v>ゴールドチック</v>
      </c>
      <c r="K332" s="29" t="str">
        <f ca="1">VLOOKUP($I332,OFFSET([2]enemies!$A$1,0,0,COUNTA([2]enemies!$A:$A),MATCH(K$1,[2]enemies!$2:$2,0)-MATCH($I$1,[2]enemies!$2:$2,0)+1),MATCH(K$1,[2]enemies!$2:$2,0)-MATCH($I$1,[2]enemies!$2:$2,0)+1,FALSE)</f>
        <v>yellow</v>
      </c>
      <c r="L332" s="29" t="str">
        <f ca="1">VLOOKUP($I332,OFFSET([3]characters!$A$1,0,0,COUNTA([3]characters!$A:$A),MATCH(L$1,[3]characters!$2:$2,0)-MATCH($I$1,[3]characters!$2:$2,0)+1),MATCH(L$1,[3]characters!$2:$2,0)-MATCH($I$1,[3]characters!$2:$2,0)+1,FALSE)</f>
        <v>Material</v>
      </c>
      <c r="M332" s="28" t="str">
        <f ca="1">VLOOKUP($I332,OFFSET([3]characters!$A$1,0,0,COUNTA([3]characters!$A:$A),MATCH(M$1,[3]characters!$2:$2,0)-MATCH($I$1,[3]characters!$2:$2,0)+2),MATCH(M$1,[3]characters!$2:$2,0)-MATCH($I$1,[3]characters!$2:$2,0)+2,FALSE)</f>
        <v>Unknown</v>
      </c>
      <c r="N332" s="5">
        <f ca="1">VLOOKUP($I332,OFFSET([2]enemies!$A$1,0,0,COUNTA([2]enemies!$A:$A),MATCH(N$1,[2]enemies!$2:$2,0)-MATCH($I$1,[2]enemies!$2:$2,0)+1),MATCH(N$1,[2]enemies!$2:$2,0)-MATCH($I$1,[2]enemies!$2:$2,0)+1,FALSE)</f>
        <v>15</v>
      </c>
      <c r="O332" s="6">
        <v>1</v>
      </c>
      <c r="P332" s="48">
        <v>10.5</v>
      </c>
      <c r="Q332" s="46">
        <v>10</v>
      </c>
      <c r="R332" s="6">
        <v>0</v>
      </c>
      <c r="S332" s="5" t="str">
        <f ca="1">VLOOKUP($T332,OFFSET([4]enemy_skill_sets!$B$1,0,0,COUNTA([4]enemy_skill_sets!$B:$B),MATCH(J$1,[4]enemy_skill_sets!$1:$1,0)-MATCH($T$1,[4]enemy_skill_sets!$1:$1,0)+2),MATCH(J$1,[4]enemy_skill_sets!$1:$1,0)-MATCH($T$1,[4]enemy_skill_sets!$1:$1,0)+2,FALSE)</f>
        <v>攻撃力10倍の自爆攻撃！</v>
      </c>
      <c r="T332" s="42">
        <v>11702</v>
      </c>
      <c r="U332" s="7">
        <v>1</v>
      </c>
      <c r="V332" s="7">
        <v>100</v>
      </c>
      <c r="W332" s="7">
        <v>1</v>
      </c>
      <c r="X332" s="26">
        <f ca="1">VLOOKUP($I332,OFFSET([2]enemies!$A$1,0,0,COUNTA([2]enemies!$A:$A),MATCH(X$1,[2]enemies!$2:$2,0)-MATCH($I$1,[2]enemies!$2:$2,0)+1),MATCH(X$1,[2]enemies!$2:$2,0)-MATCH($I$1,[2]enemies!$2:$2,0)+1,FALSE)</f>
        <v>2</v>
      </c>
      <c r="Y332" s="31">
        <v>118</v>
      </c>
      <c r="Z332" s="5" t="str">
        <f ca="1">IFERROR(VLOOKUP($Y332,OFFSET([3]characters!$A$1,0,0,COUNTA([3]characters!$A:$A),MATCH(Z$1,[3]characters!$2:$2,0)-MATCH("character_id",[3]characters!$2:$2,0)+1),MATCH(Z$1,[3]characters!$2:$2,0)-MATCH("character_id",[3]characters!$2:$2,0)+1,FALSE),"")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332" s="5">
        <f ca="1">IFERROR(VLOOKUP($Y332,OFFSET([3]characters!$A$1,0,0,COUNTA([3]characters!$A:$A),MATCH(AA$1,[3]characters!$2:$2,0)-MATCH("character_id",[3]characters!$2:$2,0)+1),MATCH(AA$1,[3]characters!$2:$2,0)-MATCH("character_id",[3]characters!$2:$2,0)+1,FALSE),"")</f>
        <v>4</v>
      </c>
      <c r="AB332" s="5" t="str">
        <f ca="1">IFERROR(VLOOKUP($Y332,OFFSET([3]characters!$A$1,0,0,COUNTA([3]characters!$A:$A),MATCH(AB$1,[3]characters!$2:$2,0)-MATCH("character_id",[3]characters!$2:$2,0)+1),MATCH(AB$1,[3]characters!$2:$2,0)-MATCH("character_id",[3]characters!$2:$2,0)+1,FALSE),"")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32" s="8">
        <v>1</v>
      </c>
      <c r="AD332" s="34">
        <f t="shared" ca="1" si="224"/>
        <v>4</v>
      </c>
      <c r="AE332" s="9">
        <v>100</v>
      </c>
      <c r="AF332" s="8">
        <v>0</v>
      </c>
      <c r="AG332" s="8">
        <v>0</v>
      </c>
      <c r="AH332" s="8">
        <v>0</v>
      </c>
      <c r="AI332" s="8">
        <v>0</v>
      </c>
      <c r="AJ332" s="8">
        <v>1</v>
      </c>
    </row>
    <row r="333" spans="1:36" ht="21" customHeight="1">
      <c r="A333" s="21" t="str">
        <f t="shared" ca="1" si="221"/>
        <v>11206_2-1/117&lt;lv2&gt;s1</v>
      </c>
      <c r="B333" s="8">
        <v>11206</v>
      </c>
      <c r="C333" s="32">
        <v>2</v>
      </c>
      <c r="D333" s="2" t="str">
        <f t="shared" si="222"/>
        <v>11206_2</v>
      </c>
      <c r="E333" s="5" t="str">
        <f ca="1">VLOOKUP($B333,OFFSET([1]quests!$A$1,0,0,COUNTA([1]quests!$A:$A),MATCH(E$1,[1]quests!$1:$1,0)-MATCH($B$1,[1]quests!$1:$1,0)+1),MATCH(E$1,[1]quests!$1:$1,0)-MATCH($B$1,[1]quests!$1:$1,0)+1,FALSE)</f>
        <v>【キャンペーン限定】 ゴールドカジノ</v>
      </c>
      <c r="F333" s="5" t="str">
        <f ca="1">VLOOKUP($D333,OFFSET([1]stages!$A$1,0,0,COUNTA([1]stages!$A:$A),MATCH(F$1,[1]stages!$2:$2,0)-MATCH($D$1,[1]stages!$2:$2,0)+1),MATCH(F$1,[1]stages!$2:$2,0)-MATCH($D$1,[1]stages!$2:$2,0)+1,FALSE)</f>
        <v>ゴールドカジノ 【中級】</v>
      </c>
      <c r="G333" s="32">
        <v>1</v>
      </c>
      <c r="H333" s="20" t="str">
        <f t="shared" si="223"/>
        <v>11206_2-1</v>
      </c>
      <c r="I333" s="31">
        <v>117</v>
      </c>
      <c r="J333" s="26" t="str">
        <f ca="1">VLOOKUP($I333,OFFSET([2]enemies!$A$1,0,0,COUNTA([2]enemies!$A:$A),MATCH(J$1,[2]enemies!$2:$2,0)-MATCH($I$1,[2]enemies!$2:$2,0)+1),MATCH(J$1,[2]enemies!$2:$2,0)-MATCH($I$1,[2]enemies!$2:$2,0)+1,FALSE)</f>
        <v>ゴールドピヨピヨ</v>
      </c>
      <c r="K333" s="29" t="str">
        <f ca="1">VLOOKUP($I333,OFFSET([2]enemies!$A$1,0,0,COUNTA([2]enemies!$A:$A),MATCH(K$1,[2]enemies!$2:$2,0)-MATCH($I$1,[2]enemies!$2:$2,0)+1),MATCH(K$1,[2]enemies!$2:$2,0)-MATCH($I$1,[2]enemies!$2:$2,0)+1,FALSE)</f>
        <v>yellow</v>
      </c>
      <c r="L333" s="29" t="str">
        <f ca="1">VLOOKUP($I333,OFFSET([3]characters!$A$1,0,0,COUNTA([3]characters!$A:$A),MATCH(L$1,[3]characters!$2:$2,0)-MATCH($I$1,[3]characters!$2:$2,0)+1),MATCH(L$1,[3]characters!$2:$2,0)-MATCH($I$1,[3]characters!$2:$2,0)+1,FALSE)</f>
        <v>Material</v>
      </c>
      <c r="M333" s="28" t="str">
        <f ca="1">VLOOKUP($I333,OFFSET([3]characters!$A$1,0,0,COUNTA([3]characters!$A:$A),MATCH(M$1,[3]characters!$2:$2,0)-MATCH($I$1,[3]characters!$2:$2,0)+2),MATCH(M$1,[3]characters!$2:$2,0)-MATCH($I$1,[3]characters!$2:$2,0)+2,FALSE)</f>
        <v>Unknown</v>
      </c>
      <c r="N333" s="5">
        <f ca="1">VLOOKUP($I333,OFFSET([2]enemies!$A$1,0,0,COUNTA([2]enemies!$A:$A),MATCH(N$1,[2]enemies!$2:$2,0)-MATCH($I$1,[2]enemies!$2:$2,0)+1),MATCH(N$1,[2]enemies!$2:$2,0)-MATCH($I$1,[2]enemies!$2:$2,0)+1,FALSE)</f>
        <v>15</v>
      </c>
      <c r="O333" s="6">
        <v>2</v>
      </c>
      <c r="P333" s="46">
        <v>11.8</v>
      </c>
      <c r="Q333" s="46">
        <v>17</v>
      </c>
      <c r="R333" s="6">
        <v>0</v>
      </c>
      <c r="S333" s="5" t="str">
        <f ca="1">VLOOKUP($T333,OFFSET([4]enemy_skill_sets!$B$1,0,0,COUNTA([4]enemy_skill_sets!$B:$B),MATCH(J$1,[4]enemy_skill_sets!$1:$1,0)-MATCH($T$1,[4]enemy_skill_sets!$1:$1,0)+2),MATCH(J$1,[4]enemy_skill_sets!$1:$1,0)-MATCH($T$1,[4]enemy_skill_sets!$1:$1,0)+2,FALSE)</f>
        <v>ゴールドカジノのピヨピヨはターン０になると自爆する！</v>
      </c>
      <c r="T333" s="42">
        <v>11701</v>
      </c>
      <c r="U333" s="7">
        <v>1</v>
      </c>
      <c r="V333" s="7">
        <v>100</v>
      </c>
      <c r="W333" s="7">
        <v>0</v>
      </c>
      <c r="X333" s="26">
        <f ca="1">VLOOKUP($I333,OFFSET([2]enemies!$A$1,0,0,COUNTA([2]enemies!$A:$A),MATCH(X$1,[2]enemies!$2:$2,0)-MATCH($I$1,[2]enemies!$2:$2,0)+1),MATCH(X$1,[2]enemies!$2:$2,0)-MATCH($I$1,[2]enemies!$2:$2,0)+1,FALSE)</f>
        <v>1</v>
      </c>
      <c r="Y333" s="31">
        <v>117</v>
      </c>
      <c r="Z333" s="5" t="str">
        <f ca="1">IFERROR(VLOOKUP($Y333,OFFSET([3]characters!$A$1,0,0,COUNTA([3]characters!$A:$A),MATCH(Z$1,[3]characters!$2:$2,0)-MATCH("character_id",[3]characters!$2:$2,0)+1),MATCH(Z$1,[3]characters!$2:$2,0)-MATCH("character_id",[3]characters!$2:$2,0)+1,FALSE),"")</f>
        <v>ゴールドピヨピヨ</v>
      </c>
      <c r="AA333" s="5">
        <f ca="1">IFERROR(VLOOKUP($Y333,OFFSET([3]characters!$A$1,0,0,COUNTA([3]characters!$A:$A),MATCH(AA$1,[3]characters!$2:$2,0)-MATCH("character_id",[3]characters!$2:$2,0)+1),MATCH(AA$1,[3]characters!$2:$2,0)-MATCH("character_id",[3]characters!$2:$2,0)+1,FALSE),"")</f>
        <v>3</v>
      </c>
      <c r="AB333" s="5" t="str">
        <f ca="1">IFERROR(VLOOKUP($Y333,OFFSET([3]characters!$A$1,0,0,COUNTA([3]characters!$A:$A),MATCH(AB$1,[3]characters!$2:$2,0)-MATCH("character_id",[3]characters!$2:$2,0)+1),MATCH(AB$1,[3]characters!$2:$2,0)-MATCH("character_id",[3]characters!$2:$2,0)+1,FALSE),"")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33" s="8">
        <v>1</v>
      </c>
      <c r="AD333" s="34">
        <f t="shared" ca="1" si="224"/>
        <v>3</v>
      </c>
      <c r="AE333" s="9">
        <v>50</v>
      </c>
      <c r="AF333" s="8">
        <v>0</v>
      </c>
      <c r="AG333" s="8">
        <v>0</v>
      </c>
      <c r="AH333" s="8">
        <v>0</v>
      </c>
      <c r="AI333" s="8">
        <v>0</v>
      </c>
      <c r="AJ333" s="8">
        <v>1</v>
      </c>
    </row>
    <row r="334" spans="1:36" ht="21" customHeight="1">
      <c r="A334" s="21" t="str">
        <f t="shared" ca="1" si="221"/>
        <v>11206_2-1/118&lt;lv2&gt;s2</v>
      </c>
      <c r="B334" s="8">
        <v>11206</v>
      </c>
      <c r="C334" s="32">
        <v>2</v>
      </c>
      <c r="D334" s="2" t="str">
        <f t="shared" si="222"/>
        <v>11206_2</v>
      </c>
      <c r="E334" s="5" t="str">
        <f ca="1">VLOOKUP($B334,OFFSET([1]quests!$A$1,0,0,COUNTA([1]quests!$A:$A),MATCH(E$1,[1]quests!$1:$1,0)-MATCH($B$1,[1]quests!$1:$1,0)+1),MATCH(E$1,[1]quests!$1:$1,0)-MATCH($B$1,[1]quests!$1:$1,0)+1,FALSE)</f>
        <v>【キャンペーン限定】 ゴールドカジノ</v>
      </c>
      <c r="F334" s="5" t="str">
        <f ca="1">VLOOKUP($D334,OFFSET([1]stages!$A$1,0,0,COUNTA([1]stages!$A:$A),MATCH(F$1,[1]stages!$2:$2,0)-MATCH($D$1,[1]stages!$2:$2,0)+1),MATCH(F$1,[1]stages!$2:$2,0)-MATCH($D$1,[1]stages!$2:$2,0)+1,FALSE)</f>
        <v>ゴールドカジノ 【中級】</v>
      </c>
      <c r="G334" s="32">
        <v>1</v>
      </c>
      <c r="H334" s="20" t="str">
        <f t="shared" si="223"/>
        <v>11206_2-1</v>
      </c>
      <c r="I334" s="31">
        <v>118</v>
      </c>
      <c r="J334" s="26" t="str">
        <f ca="1">VLOOKUP($I334,OFFSET([2]enemies!$A$1,0,0,COUNTA([2]enemies!$A:$A),MATCH(J$1,[2]enemies!$2:$2,0)-MATCH($I$1,[2]enemies!$2:$2,0)+1),MATCH(J$1,[2]enemies!$2:$2,0)-MATCH($I$1,[2]enemies!$2:$2,0)+1,FALSE)</f>
        <v>ゴールドチック</v>
      </c>
      <c r="K334" s="29" t="str">
        <f ca="1">VLOOKUP($I334,OFFSET([2]enemies!$A$1,0,0,COUNTA([2]enemies!$A:$A),MATCH(K$1,[2]enemies!$2:$2,0)-MATCH($I$1,[2]enemies!$2:$2,0)+1),MATCH(K$1,[2]enemies!$2:$2,0)-MATCH($I$1,[2]enemies!$2:$2,0)+1,FALSE)</f>
        <v>yellow</v>
      </c>
      <c r="L334" s="29" t="str">
        <f ca="1">VLOOKUP($I334,OFFSET([3]characters!$A$1,0,0,COUNTA([3]characters!$A:$A),MATCH(L$1,[3]characters!$2:$2,0)-MATCH($I$1,[3]characters!$2:$2,0)+1),MATCH(L$1,[3]characters!$2:$2,0)-MATCH($I$1,[3]characters!$2:$2,0)+1,FALSE)</f>
        <v>Material</v>
      </c>
      <c r="M334" s="28" t="str">
        <f ca="1">VLOOKUP($I334,OFFSET([3]characters!$A$1,0,0,COUNTA([3]characters!$A:$A),MATCH(M$1,[3]characters!$2:$2,0)-MATCH($I$1,[3]characters!$2:$2,0)+2),MATCH(M$1,[3]characters!$2:$2,0)-MATCH($I$1,[3]characters!$2:$2,0)+2,FALSE)</f>
        <v>Unknown</v>
      </c>
      <c r="N334" s="5">
        <f ca="1">VLOOKUP($I334,OFFSET([2]enemies!$A$1,0,0,COUNTA([2]enemies!$A:$A),MATCH(N$1,[2]enemies!$2:$2,0)-MATCH($I$1,[2]enemies!$2:$2,0)+1),MATCH(N$1,[2]enemies!$2:$2,0)-MATCH($I$1,[2]enemies!$2:$2,0)+1,FALSE)</f>
        <v>15</v>
      </c>
      <c r="O334" s="6">
        <v>2</v>
      </c>
      <c r="P334" s="46">
        <v>11.8</v>
      </c>
      <c r="Q334" s="46">
        <v>15.75</v>
      </c>
      <c r="R334" s="6">
        <v>0</v>
      </c>
      <c r="S334" s="5" t="str">
        <f ca="1">VLOOKUP($T334,OFFSET([4]enemy_skill_sets!$B$1,0,0,COUNTA([4]enemy_skill_sets!$B:$B),MATCH(J$1,[4]enemy_skill_sets!$1:$1,0)-MATCH($T$1,[4]enemy_skill_sets!$1:$1,0)+2),MATCH(J$1,[4]enemy_skill_sets!$1:$1,0)-MATCH($T$1,[4]enemy_skill_sets!$1:$1,0)+2,FALSE)</f>
        <v>攻撃力20倍の自爆攻撃！</v>
      </c>
      <c r="T334" s="42">
        <v>11801</v>
      </c>
      <c r="U334" s="7">
        <v>1</v>
      </c>
      <c r="V334" s="7">
        <v>100</v>
      </c>
      <c r="W334" s="7">
        <v>0</v>
      </c>
      <c r="X334" s="26">
        <f ca="1">VLOOKUP($I334,OFFSET([2]enemies!$A$1,0,0,COUNTA([2]enemies!$A:$A),MATCH(X$1,[2]enemies!$2:$2,0)-MATCH($I$1,[2]enemies!$2:$2,0)+1),MATCH(X$1,[2]enemies!$2:$2,0)-MATCH($I$1,[2]enemies!$2:$2,0)+1,FALSE)</f>
        <v>2</v>
      </c>
      <c r="Y334" s="31">
        <v>118</v>
      </c>
      <c r="Z334" s="5" t="str">
        <f ca="1">IFERROR(VLOOKUP($Y334,OFFSET([3]characters!$A$1,0,0,COUNTA([3]characters!$A:$A),MATCH(Z$1,[3]characters!$2:$2,0)-MATCH("character_id",[3]characters!$2:$2,0)+1),MATCH(Z$1,[3]characters!$2:$2,0)-MATCH("character_id",[3]characters!$2:$2,0)+1,FALSE),"")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334" s="5">
        <f ca="1">IFERROR(VLOOKUP($Y334,OFFSET([3]characters!$A$1,0,0,COUNTA([3]characters!$A:$A),MATCH(AA$1,[3]characters!$2:$2,0)-MATCH("character_id",[3]characters!$2:$2,0)+1),MATCH(AA$1,[3]characters!$2:$2,0)-MATCH("character_id",[3]characters!$2:$2,0)+1,FALSE),"")</f>
        <v>4</v>
      </c>
      <c r="AB334" s="5" t="str">
        <f ca="1">IFERROR(VLOOKUP($Y334,OFFSET([3]characters!$A$1,0,0,COUNTA([3]characters!$A:$A),MATCH(AB$1,[3]characters!$2:$2,0)-MATCH("character_id",[3]characters!$2:$2,0)+1),MATCH(AB$1,[3]characters!$2:$2,0)-MATCH("character_id",[3]characters!$2:$2,0)+1,FALSE),"")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34" s="8">
        <v>1</v>
      </c>
      <c r="AD334" s="34">
        <f t="shared" ca="1" si="224"/>
        <v>4</v>
      </c>
      <c r="AE334" s="9">
        <v>50</v>
      </c>
      <c r="AF334" s="8">
        <v>0</v>
      </c>
      <c r="AG334" s="8">
        <v>0</v>
      </c>
      <c r="AH334" s="8">
        <v>0</v>
      </c>
      <c r="AI334" s="8">
        <v>0</v>
      </c>
      <c r="AJ334" s="8">
        <v>1</v>
      </c>
    </row>
    <row r="335" spans="1:36" ht="21" customHeight="1">
      <c r="A335" s="21" t="str">
        <f t="shared" ca="1" si="221"/>
        <v>11206_2-1/117&lt;lv1&gt;s1</v>
      </c>
      <c r="B335" s="8">
        <v>11206</v>
      </c>
      <c r="C335" s="32">
        <v>2</v>
      </c>
      <c r="D335" s="2" t="str">
        <f t="shared" si="222"/>
        <v>11206_2</v>
      </c>
      <c r="E335" s="5" t="str">
        <f ca="1">VLOOKUP($B335,OFFSET([1]quests!$A$1,0,0,COUNTA([1]quests!$A:$A),MATCH(E$1,[1]quests!$1:$1,0)-MATCH($B$1,[1]quests!$1:$1,0)+1),MATCH(E$1,[1]quests!$1:$1,0)-MATCH($B$1,[1]quests!$1:$1,0)+1,FALSE)</f>
        <v>【キャンペーン限定】 ゴールドカジノ</v>
      </c>
      <c r="F335" s="5" t="str">
        <f ca="1">VLOOKUP($D335,OFFSET([1]stages!$A$1,0,0,COUNTA([1]stages!$A:$A),MATCH(F$1,[1]stages!$2:$2,0)-MATCH($D$1,[1]stages!$2:$2,0)+1),MATCH(F$1,[1]stages!$2:$2,0)-MATCH($D$1,[1]stages!$2:$2,0)+1,FALSE)</f>
        <v>ゴールドカジノ 【中級】</v>
      </c>
      <c r="G335" s="32">
        <v>1</v>
      </c>
      <c r="H335" s="20" t="str">
        <f t="shared" si="223"/>
        <v>11206_2-1</v>
      </c>
      <c r="I335" s="31">
        <v>117</v>
      </c>
      <c r="J335" s="26" t="str">
        <f ca="1">VLOOKUP($I335,OFFSET([2]enemies!$A$1,0,0,COUNTA([2]enemies!$A:$A),MATCH(J$1,[2]enemies!$2:$2,0)-MATCH($I$1,[2]enemies!$2:$2,0)+1),MATCH(J$1,[2]enemies!$2:$2,0)-MATCH($I$1,[2]enemies!$2:$2,0)+1,FALSE)</f>
        <v>ゴールドピヨピヨ</v>
      </c>
      <c r="K335" s="29" t="str">
        <f ca="1">VLOOKUP($I335,OFFSET([2]enemies!$A$1,0,0,COUNTA([2]enemies!$A:$A),MATCH(K$1,[2]enemies!$2:$2,0)-MATCH($I$1,[2]enemies!$2:$2,0)+1),MATCH(K$1,[2]enemies!$2:$2,0)-MATCH($I$1,[2]enemies!$2:$2,0)+1,FALSE)</f>
        <v>yellow</v>
      </c>
      <c r="L335" s="29" t="str">
        <f ca="1">VLOOKUP($I335,OFFSET([3]characters!$A$1,0,0,COUNTA([3]characters!$A:$A),MATCH(L$1,[3]characters!$2:$2,0)-MATCH($I$1,[3]characters!$2:$2,0)+1),MATCH(L$1,[3]characters!$2:$2,0)-MATCH($I$1,[3]characters!$2:$2,0)+1,FALSE)</f>
        <v>Material</v>
      </c>
      <c r="M335" s="28" t="str">
        <f ca="1">VLOOKUP($I335,OFFSET([3]characters!$A$1,0,0,COUNTA([3]characters!$A:$A),MATCH(M$1,[3]characters!$2:$2,0)-MATCH($I$1,[3]characters!$2:$2,0)+2),MATCH(M$1,[3]characters!$2:$2,0)-MATCH($I$1,[3]characters!$2:$2,0)+2,FALSE)</f>
        <v>Unknown</v>
      </c>
      <c r="N335" s="5">
        <f ca="1">VLOOKUP($I335,OFFSET([2]enemies!$A$1,0,0,COUNTA([2]enemies!$A:$A),MATCH(N$1,[2]enemies!$2:$2,0)-MATCH($I$1,[2]enemies!$2:$2,0)+1),MATCH(N$1,[2]enemies!$2:$2,0)-MATCH($I$1,[2]enemies!$2:$2,0)+1,FALSE)</f>
        <v>15</v>
      </c>
      <c r="O335" s="6">
        <v>1</v>
      </c>
      <c r="P335" s="46">
        <v>16.5</v>
      </c>
      <c r="Q335" s="46">
        <v>17.75</v>
      </c>
      <c r="R335" s="6">
        <v>0</v>
      </c>
      <c r="S335" s="5" t="str">
        <f ca="1">VLOOKUP($T335,OFFSET([4]enemy_skill_sets!$B$1,0,0,COUNTA([4]enemy_skill_sets!$B:$B),MATCH(J$1,[4]enemy_skill_sets!$1:$1,0)-MATCH($T$1,[4]enemy_skill_sets!$1:$1,0)+2),MATCH(J$1,[4]enemy_skill_sets!$1:$1,0)-MATCH($T$1,[4]enemy_skill_sets!$1:$1,0)+2,FALSE)</f>
        <v>攻撃力20倍の自爆攻撃！</v>
      </c>
      <c r="T335" s="42">
        <v>11801</v>
      </c>
      <c r="U335" s="36">
        <v>0</v>
      </c>
      <c r="V335" s="7">
        <v>100</v>
      </c>
      <c r="W335" s="7">
        <v>0</v>
      </c>
      <c r="X335" s="26">
        <f ca="1">VLOOKUP($I335,OFFSET([2]enemies!$A$1,0,0,COUNTA([2]enemies!$A:$A),MATCH(X$1,[2]enemies!$2:$2,0)-MATCH($I$1,[2]enemies!$2:$2,0)+1),MATCH(X$1,[2]enemies!$2:$2,0)-MATCH($I$1,[2]enemies!$2:$2,0)+1,FALSE)</f>
        <v>1</v>
      </c>
      <c r="Y335" s="31">
        <v>117</v>
      </c>
      <c r="Z335" s="5" t="str">
        <f ca="1">IFERROR(VLOOKUP($Y335,OFFSET([3]characters!$A$1,0,0,COUNTA([3]characters!$A:$A),MATCH(Z$1,[3]characters!$2:$2,0)-MATCH("character_id",[3]characters!$2:$2,0)+1),MATCH(Z$1,[3]characters!$2:$2,0)-MATCH("character_id",[3]characters!$2:$2,0)+1,FALSE),"")</f>
        <v>ゴールドピヨピヨ</v>
      </c>
      <c r="AA335" s="5">
        <f ca="1">IFERROR(VLOOKUP($Y335,OFFSET([3]characters!$A$1,0,0,COUNTA([3]characters!$A:$A),MATCH(AA$1,[3]characters!$2:$2,0)-MATCH("character_id",[3]characters!$2:$2,0)+1),MATCH(AA$1,[3]characters!$2:$2,0)-MATCH("character_id",[3]characters!$2:$2,0)+1,FALSE),"")</f>
        <v>3</v>
      </c>
      <c r="AB335" s="5" t="str">
        <f ca="1">IFERROR(VLOOKUP($Y335,OFFSET([3]characters!$A$1,0,0,COUNTA([3]characters!$A:$A),MATCH(AB$1,[3]characters!$2:$2,0)-MATCH("character_id",[3]characters!$2:$2,0)+1),MATCH(AB$1,[3]characters!$2:$2,0)-MATCH("character_id",[3]characters!$2:$2,0)+1,FALSE),"")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35" s="8">
        <v>1</v>
      </c>
      <c r="AD335" s="34">
        <f t="shared" ca="1" si="224"/>
        <v>3</v>
      </c>
      <c r="AE335" s="9">
        <v>50</v>
      </c>
      <c r="AF335" s="8">
        <v>0</v>
      </c>
      <c r="AG335" s="8">
        <v>0</v>
      </c>
      <c r="AH335" s="8">
        <v>0</v>
      </c>
      <c r="AI335" s="8">
        <v>0</v>
      </c>
      <c r="AJ335" s="8">
        <v>1</v>
      </c>
    </row>
    <row r="336" spans="1:36" ht="21" customHeight="1">
      <c r="A336" s="21" t="str">
        <f t="shared" ca="1" si="221"/>
        <v>11206_2-1/118&lt;lv1&gt;s2</v>
      </c>
      <c r="B336" s="8">
        <v>11206</v>
      </c>
      <c r="C336" s="32">
        <v>2</v>
      </c>
      <c r="D336" s="2" t="str">
        <f t="shared" si="222"/>
        <v>11206_2</v>
      </c>
      <c r="E336" s="5" t="str">
        <f ca="1">VLOOKUP($B336,OFFSET([1]quests!$A$1,0,0,COUNTA([1]quests!$A:$A),MATCH(E$1,[1]quests!$1:$1,0)-MATCH($B$1,[1]quests!$1:$1,0)+1),MATCH(E$1,[1]quests!$1:$1,0)-MATCH($B$1,[1]quests!$1:$1,0)+1,FALSE)</f>
        <v>【キャンペーン限定】 ゴールドカジノ</v>
      </c>
      <c r="F336" s="5" t="str">
        <f ca="1">VLOOKUP($D336,OFFSET([1]stages!$A$1,0,0,COUNTA([1]stages!$A:$A),MATCH(F$1,[1]stages!$2:$2,0)-MATCH($D$1,[1]stages!$2:$2,0)+1),MATCH(F$1,[1]stages!$2:$2,0)-MATCH($D$1,[1]stages!$2:$2,0)+1,FALSE)</f>
        <v>ゴールドカジノ 【中級】</v>
      </c>
      <c r="G336" s="32">
        <v>1</v>
      </c>
      <c r="H336" s="20" t="str">
        <f t="shared" si="223"/>
        <v>11206_2-1</v>
      </c>
      <c r="I336" s="31">
        <v>118</v>
      </c>
      <c r="J336" s="26" t="str">
        <f ca="1">VLOOKUP($I336,OFFSET([2]enemies!$A$1,0,0,COUNTA([2]enemies!$A:$A),MATCH(J$1,[2]enemies!$2:$2,0)-MATCH($I$1,[2]enemies!$2:$2,0)+1),MATCH(J$1,[2]enemies!$2:$2,0)-MATCH($I$1,[2]enemies!$2:$2,0)+1,FALSE)</f>
        <v>ゴールドチック</v>
      </c>
      <c r="K336" s="29" t="str">
        <f ca="1">VLOOKUP($I336,OFFSET([2]enemies!$A$1,0,0,COUNTA([2]enemies!$A:$A),MATCH(K$1,[2]enemies!$2:$2,0)-MATCH($I$1,[2]enemies!$2:$2,0)+1),MATCH(K$1,[2]enemies!$2:$2,0)-MATCH($I$1,[2]enemies!$2:$2,0)+1,FALSE)</f>
        <v>yellow</v>
      </c>
      <c r="L336" s="29" t="str">
        <f ca="1">VLOOKUP($I336,OFFSET([3]characters!$A$1,0,0,COUNTA([3]characters!$A:$A),MATCH(L$1,[3]characters!$2:$2,0)-MATCH($I$1,[3]characters!$2:$2,0)+1),MATCH(L$1,[3]characters!$2:$2,0)-MATCH($I$1,[3]characters!$2:$2,0)+1,FALSE)</f>
        <v>Material</v>
      </c>
      <c r="M336" s="28" t="str">
        <f ca="1">VLOOKUP($I336,OFFSET([3]characters!$A$1,0,0,COUNTA([3]characters!$A:$A),MATCH(M$1,[3]characters!$2:$2,0)-MATCH($I$1,[3]characters!$2:$2,0)+2),MATCH(M$1,[3]characters!$2:$2,0)-MATCH($I$1,[3]characters!$2:$2,0)+2,FALSE)</f>
        <v>Unknown</v>
      </c>
      <c r="N336" s="5">
        <f ca="1">VLOOKUP($I336,OFFSET([2]enemies!$A$1,0,0,COUNTA([2]enemies!$A:$A),MATCH(N$1,[2]enemies!$2:$2,0)-MATCH($I$1,[2]enemies!$2:$2,0)+1),MATCH(N$1,[2]enemies!$2:$2,0)-MATCH($I$1,[2]enemies!$2:$2,0)+1,FALSE)</f>
        <v>15</v>
      </c>
      <c r="O336" s="6">
        <v>1</v>
      </c>
      <c r="P336" s="46">
        <v>16.5</v>
      </c>
      <c r="Q336" s="46">
        <v>15.75</v>
      </c>
      <c r="R336" s="6">
        <v>0</v>
      </c>
      <c r="S336" s="5" t="str">
        <f ca="1">VLOOKUP($T336,OFFSET([4]enemy_skill_sets!$B$1,0,0,COUNTA([4]enemy_skill_sets!$B:$B),MATCH(J$1,[4]enemy_skill_sets!$1:$1,0)-MATCH($T$1,[4]enemy_skill_sets!$1:$1,0)+2),MATCH(J$1,[4]enemy_skill_sets!$1:$1,0)-MATCH($T$1,[4]enemy_skill_sets!$1:$1,0)+2,FALSE)</f>
        <v>攻撃力20倍の自爆攻撃！</v>
      </c>
      <c r="T336" s="42">
        <v>11801</v>
      </c>
      <c r="U336" s="36">
        <v>0</v>
      </c>
      <c r="V336" s="7">
        <v>100</v>
      </c>
      <c r="W336" s="7">
        <v>0</v>
      </c>
      <c r="X336" s="26">
        <f ca="1">VLOOKUP($I336,OFFSET([2]enemies!$A$1,0,0,COUNTA([2]enemies!$A:$A),MATCH(X$1,[2]enemies!$2:$2,0)-MATCH($I$1,[2]enemies!$2:$2,0)+1),MATCH(X$1,[2]enemies!$2:$2,0)-MATCH($I$1,[2]enemies!$2:$2,0)+1,FALSE)</f>
        <v>2</v>
      </c>
      <c r="Y336" s="31">
        <v>118</v>
      </c>
      <c r="Z336" s="5" t="str">
        <f ca="1">IFERROR(VLOOKUP($Y336,OFFSET([3]characters!$A$1,0,0,COUNTA([3]characters!$A:$A),MATCH(Z$1,[3]characters!$2:$2,0)-MATCH("character_id",[3]characters!$2:$2,0)+1),MATCH(Z$1,[3]characters!$2:$2,0)-MATCH("character_id",[3]characters!$2:$2,0)+1,FALSE),"")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336" s="5">
        <f ca="1">IFERROR(VLOOKUP($Y336,OFFSET([3]characters!$A$1,0,0,COUNTA([3]characters!$A:$A),MATCH(AA$1,[3]characters!$2:$2,0)-MATCH("character_id",[3]characters!$2:$2,0)+1),MATCH(AA$1,[3]characters!$2:$2,0)-MATCH("character_id",[3]characters!$2:$2,0)+1,FALSE),"")</f>
        <v>4</v>
      </c>
      <c r="AB336" s="5" t="str">
        <f ca="1">IFERROR(VLOOKUP($Y336,OFFSET([3]characters!$A$1,0,0,COUNTA([3]characters!$A:$A),MATCH(AB$1,[3]characters!$2:$2,0)-MATCH("character_id",[3]characters!$2:$2,0)+1),MATCH(AB$1,[3]characters!$2:$2,0)-MATCH("character_id",[3]characters!$2:$2,0)+1,FALSE),"")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36" s="8">
        <v>1</v>
      </c>
      <c r="AD336" s="34">
        <f t="shared" ca="1" si="224"/>
        <v>4</v>
      </c>
      <c r="AE336" s="9">
        <v>50</v>
      </c>
      <c r="AF336" s="8">
        <v>0</v>
      </c>
      <c r="AG336" s="8">
        <v>0</v>
      </c>
      <c r="AH336" s="8">
        <v>0</v>
      </c>
      <c r="AI336" s="8">
        <v>0</v>
      </c>
      <c r="AJ336" s="8">
        <v>1</v>
      </c>
    </row>
    <row r="337" spans="1:36" ht="21" customHeight="1">
      <c r="A337" s="21" t="str">
        <f>B337&amp;"_"&amp;C337&amp;"-"&amp;G337&amp;"/"&amp;I337&amp;"&lt;lv"&amp;O337&amp;"&gt;s"&amp;X337</f>
        <v>11206_2-1/41&lt;lv16&gt;s1</v>
      </c>
      <c r="B337" s="8">
        <v>11206</v>
      </c>
      <c r="C337" s="32">
        <v>2</v>
      </c>
      <c r="D337" s="20" t="str">
        <f>B337&amp;"_"&amp;C337</f>
        <v>11206_2</v>
      </c>
      <c r="E337" s="5" t="str">
        <f ca="1">VLOOKUP($B337,OFFSET([1]quests!$A$1,0,0,COUNTA([1]quests!$A:$A),MATCH(E$1,[1]quests!$1:$1,0)-MATCH($B$1,[1]quests!$1:$1,0)+1),MATCH(E$1,[1]quests!$1:$1,0)-MATCH($B$1,[1]quests!$1:$1,0)+1,FALSE)</f>
        <v>【キャンペーン限定】 ゴールドカジノ</v>
      </c>
      <c r="F337" s="5" t="str">
        <f ca="1">VLOOKUP($D337,OFFSET([1]stages!$A$1,0,0,COUNTA([1]stages!$A:$A),MATCH(F$1,[1]stages!$2:$2,0)-MATCH($D$1,[1]stages!$2:$2,0)+1),MATCH(F$1,[1]stages!$2:$2,0)-MATCH($D$1,[1]stages!$2:$2,0)+1,FALSE)</f>
        <v>ゴールドカジノ 【中級】</v>
      </c>
      <c r="G337" s="32">
        <v>1</v>
      </c>
      <c r="H337" s="20" t="str">
        <f>B337&amp;"_"&amp;C337&amp;"-"&amp;G337</f>
        <v>11206_2-1</v>
      </c>
      <c r="I337" s="38">
        <v>41</v>
      </c>
      <c r="J337" s="26" t="s">
        <v>50</v>
      </c>
      <c r="K337" s="29" t="s">
        <v>51</v>
      </c>
      <c r="L337" s="29" t="s">
        <v>52</v>
      </c>
      <c r="M337" s="28" t="s">
        <v>53</v>
      </c>
      <c r="N337" s="5">
        <v>15</v>
      </c>
      <c r="O337" s="6">
        <v>16</v>
      </c>
      <c r="P337" s="46">
        <v>1</v>
      </c>
      <c r="Q337" s="46">
        <v>1</v>
      </c>
      <c r="R337" s="6">
        <v>0</v>
      </c>
      <c r="S337" s="5" t="str">
        <f ca="1">VLOOKUP($T337,OFFSET([4]enemy_skill_sets!$B$1,0,0,COUNTA([4]enemy_skill_sets!$B:$B),MATCH(J$1,[4]enemy_skill_sets!$1:$1,0)-MATCH($T$1,[4]enemy_skill_sets!$1:$1,0)+2),MATCH(J$1,[4]enemy_skill_sets!$1:$1,0)-MATCH($T$1,[4]enemy_skill_sets!$1:$1,0)+2,FALSE)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7" s="5">
        <v>0</v>
      </c>
      <c r="U337" s="36">
        <v>0</v>
      </c>
      <c r="V337" s="36">
        <v>100</v>
      </c>
      <c r="W337" s="36">
        <v>0</v>
      </c>
      <c r="X337" s="26">
        <v>1</v>
      </c>
      <c r="Y337" s="38">
        <v>41</v>
      </c>
      <c r="Z337" s="5" t="s">
        <v>50</v>
      </c>
      <c r="AA337" s="5">
        <v>2</v>
      </c>
      <c r="AB337" s="5" t="s">
        <v>52</v>
      </c>
      <c r="AC337" s="37">
        <v>1</v>
      </c>
      <c r="AD337" s="35">
        <f>AA337</f>
        <v>2</v>
      </c>
      <c r="AE337" s="9">
        <v>0</v>
      </c>
      <c r="AF337" s="35">
        <v>0</v>
      </c>
      <c r="AG337" s="35">
        <v>0</v>
      </c>
      <c r="AH337" s="35">
        <v>0</v>
      </c>
      <c r="AI337" s="35">
        <v>0</v>
      </c>
      <c r="AJ337" s="35">
        <v>1</v>
      </c>
    </row>
    <row r="338" spans="1:36" ht="21" customHeight="1">
      <c r="A338" s="21" t="str">
        <f>B338&amp;"_"&amp;C338&amp;"-"&amp;G338&amp;"/"&amp;I338&amp;"&lt;lv"&amp;O338&amp;"&gt;s"&amp;X338</f>
        <v>11206_2-1/43&lt;lv16&gt;s2</v>
      </c>
      <c r="B338" s="8">
        <v>11206</v>
      </c>
      <c r="C338" s="32">
        <v>2</v>
      </c>
      <c r="D338" s="20" t="str">
        <f>B338&amp;"_"&amp;C338</f>
        <v>11206_2</v>
      </c>
      <c r="E338" s="5" t="str">
        <f ca="1">VLOOKUP($B338,OFFSET([1]quests!$A$1,0,0,COUNTA([1]quests!$A:$A),MATCH(E$1,[1]quests!$1:$1,0)-MATCH($B$1,[1]quests!$1:$1,0)+1),MATCH(E$1,[1]quests!$1:$1,0)-MATCH($B$1,[1]quests!$1:$1,0)+1,FALSE)</f>
        <v>【キャンペーン限定】 ゴールドカジノ</v>
      </c>
      <c r="F338" s="5" t="str">
        <f ca="1">VLOOKUP($D338,OFFSET([1]stages!$A$1,0,0,COUNTA([1]stages!$A:$A),MATCH(F$1,[1]stages!$2:$2,0)-MATCH($D$1,[1]stages!$2:$2,0)+1),MATCH(F$1,[1]stages!$2:$2,0)-MATCH($D$1,[1]stages!$2:$2,0)+1,FALSE)</f>
        <v>ゴールドカジノ 【中級】</v>
      </c>
      <c r="G338" s="32">
        <v>1</v>
      </c>
      <c r="H338" s="20" t="str">
        <f>B338&amp;"_"&amp;C338&amp;"-"&amp;G338</f>
        <v>11206_2-1</v>
      </c>
      <c r="I338" s="38">
        <v>43</v>
      </c>
      <c r="J338" s="26" t="s">
        <v>54</v>
      </c>
      <c r="K338" s="29" t="s">
        <v>55</v>
      </c>
      <c r="L338" s="29" t="s">
        <v>52</v>
      </c>
      <c r="M338" s="28" t="s">
        <v>53</v>
      </c>
      <c r="N338" s="5">
        <v>15</v>
      </c>
      <c r="O338" s="6">
        <v>16</v>
      </c>
      <c r="P338" s="46">
        <v>1</v>
      </c>
      <c r="Q338" s="46">
        <v>1</v>
      </c>
      <c r="R338" s="6">
        <v>0</v>
      </c>
      <c r="S338" s="5" t="str">
        <f ca="1">VLOOKUP($T338,OFFSET([4]enemy_skill_sets!$B$1,0,0,COUNTA([4]enemy_skill_sets!$B:$B),MATCH(J$1,[4]enemy_skill_sets!$1:$1,0)-MATCH($T$1,[4]enemy_skill_sets!$1:$1,0)+2),MATCH(J$1,[4]enemy_skill_sets!$1:$1,0)-MATCH($T$1,[4]enemy_skill_sets!$1:$1,0)+2,FALSE)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8" s="5">
        <v>0</v>
      </c>
      <c r="U338" s="36">
        <v>0</v>
      </c>
      <c r="V338" s="36">
        <v>100</v>
      </c>
      <c r="W338" s="36">
        <v>0</v>
      </c>
      <c r="X338" s="26">
        <v>2</v>
      </c>
      <c r="Y338" s="38">
        <v>43</v>
      </c>
      <c r="Z338" s="5" t="s">
        <v>54</v>
      </c>
      <c r="AA338" s="5">
        <v>2</v>
      </c>
      <c r="AB338" s="5" t="s">
        <v>52</v>
      </c>
      <c r="AC338" s="37">
        <v>1</v>
      </c>
      <c r="AD338" s="35">
        <f>AA338</f>
        <v>2</v>
      </c>
      <c r="AE338" s="9">
        <v>0</v>
      </c>
      <c r="AF338" s="35">
        <v>0</v>
      </c>
      <c r="AG338" s="35">
        <v>0</v>
      </c>
      <c r="AH338" s="35">
        <v>0</v>
      </c>
      <c r="AI338" s="35">
        <v>0</v>
      </c>
      <c r="AJ338" s="35">
        <v>1</v>
      </c>
    </row>
    <row r="339" spans="1:36" ht="21" customHeight="1">
      <c r="A339" s="21" t="str">
        <f>B339&amp;"_"&amp;C339&amp;"-"&amp;G339&amp;"/"&amp;I339&amp;"&lt;lv"&amp;O339&amp;"&gt;s"&amp;X339</f>
        <v>11206_2-1/47&lt;lv16&gt;s1</v>
      </c>
      <c r="B339" s="8">
        <v>11206</v>
      </c>
      <c r="C339" s="32">
        <v>2</v>
      </c>
      <c r="D339" s="20" t="str">
        <f>B339&amp;"_"&amp;C339</f>
        <v>11206_2</v>
      </c>
      <c r="E339" s="5" t="str">
        <f ca="1">VLOOKUP($B339,OFFSET([1]quests!$A$1,0,0,COUNTA([1]quests!$A:$A),MATCH(E$1,[1]quests!$1:$1,0)-MATCH($B$1,[1]quests!$1:$1,0)+1),MATCH(E$1,[1]quests!$1:$1,0)-MATCH($B$1,[1]quests!$1:$1,0)+1,FALSE)</f>
        <v>【キャンペーン限定】 ゴールドカジノ</v>
      </c>
      <c r="F339" s="5" t="str">
        <f ca="1">VLOOKUP($D339,OFFSET([1]stages!$A$1,0,0,COUNTA([1]stages!$A:$A),MATCH(F$1,[1]stages!$2:$2,0)-MATCH($D$1,[1]stages!$2:$2,0)+1),MATCH(F$1,[1]stages!$2:$2,0)-MATCH($D$1,[1]stages!$2:$2,0)+1,FALSE)</f>
        <v>ゴールドカジノ 【中級】</v>
      </c>
      <c r="G339" s="32">
        <v>1</v>
      </c>
      <c r="H339" s="20" t="str">
        <f>B339&amp;"_"&amp;C339&amp;"-"&amp;G339</f>
        <v>11206_2-1</v>
      </c>
      <c r="I339" s="38">
        <v>47</v>
      </c>
      <c r="J339" s="26" t="s">
        <v>56</v>
      </c>
      <c r="K339" s="29" t="s">
        <v>57</v>
      </c>
      <c r="L339" s="29" t="s">
        <v>52</v>
      </c>
      <c r="M339" s="28" t="s">
        <v>58</v>
      </c>
      <c r="N339" s="5">
        <v>15</v>
      </c>
      <c r="O339" s="6">
        <v>16</v>
      </c>
      <c r="P339" s="46">
        <v>1</v>
      </c>
      <c r="Q339" s="46">
        <v>1</v>
      </c>
      <c r="R339" s="6">
        <v>0</v>
      </c>
      <c r="S339" s="5" t="str">
        <f ca="1">VLOOKUP($T339,OFFSET([4]enemy_skill_sets!$B$1,0,0,COUNTA([4]enemy_skill_sets!$B:$B),MATCH(J$1,[4]enemy_skill_sets!$1:$1,0)-MATCH($T$1,[4]enemy_skill_sets!$1:$1,0)+2),MATCH(J$1,[4]enemy_skill_sets!$1:$1,0)-MATCH($T$1,[4]enemy_skill_sets!$1:$1,0)+2,FALSE)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9" s="5">
        <v>0</v>
      </c>
      <c r="U339" s="36">
        <v>0</v>
      </c>
      <c r="V339" s="36">
        <v>100</v>
      </c>
      <c r="W339" s="36">
        <v>0</v>
      </c>
      <c r="X339" s="26">
        <v>1</v>
      </c>
      <c r="Y339" s="38">
        <v>47</v>
      </c>
      <c r="Z339" s="5" t="s">
        <v>56</v>
      </c>
      <c r="AA339" s="5">
        <v>2</v>
      </c>
      <c r="AB339" s="5" t="s">
        <v>52</v>
      </c>
      <c r="AC339" s="37">
        <v>1</v>
      </c>
      <c r="AD339" s="35">
        <f>AA339</f>
        <v>2</v>
      </c>
      <c r="AE339" s="9">
        <v>0</v>
      </c>
      <c r="AF339" s="35">
        <v>0</v>
      </c>
      <c r="AG339" s="35">
        <v>0</v>
      </c>
      <c r="AH339" s="35">
        <v>0</v>
      </c>
      <c r="AI339" s="35">
        <v>0</v>
      </c>
      <c r="AJ339" s="35">
        <v>1</v>
      </c>
    </row>
    <row r="340" spans="1:36" ht="21" customHeight="1">
      <c r="A340" s="21" t="str">
        <f>B340&amp;"_"&amp;C340&amp;"-"&amp;G340&amp;"/"&amp;I340&amp;"&lt;lv"&amp;O340&amp;"&gt;s"&amp;X340</f>
        <v>11206_2-1/45&lt;lv16&gt;s3</v>
      </c>
      <c r="B340" s="8">
        <v>11206</v>
      </c>
      <c r="C340" s="32">
        <v>2</v>
      </c>
      <c r="D340" s="20" t="str">
        <f>B340&amp;"_"&amp;C340</f>
        <v>11206_2</v>
      </c>
      <c r="E340" s="5" t="str">
        <f ca="1">VLOOKUP($B340,OFFSET([1]quests!$A$1,0,0,COUNTA([1]quests!$A:$A),MATCH(E$1,[1]quests!$1:$1,0)-MATCH($B$1,[1]quests!$1:$1,0)+1),MATCH(E$1,[1]quests!$1:$1,0)-MATCH($B$1,[1]quests!$1:$1,0)+1,FALSE)</f>
        <v>【キャンペーン限定】 ゴールドカジノ</v>
      </c>
      <c r="F340" s="5" t="str">
        <f ca="1">VLOOKUP($D340,OFFSET([1]stages!$A$1,0,0,COUNTA([1]stages!$A:$A),MATCH(F$1,[1]stages!$2:$2,0)-MATCH($D$1,[1]stages!$2:$2,0)+1),MATCH(F$1,[1]stages!$2:$2,0)-MATCH($D$1,[1]stages!$2:$2,0)+1,FALSE)</f>
        <v>ゴールドカジノ 【中級】</v>
      </c>
      <c r="G340" s="32">
        <v>1</v>
      </c>
      <c r="H340" s="20" t="str">
        <f>B340&amp;"_"&amp;C340&amp;"-"&amp;G340</f>
        <v>11206_2-1</v>
      </c>
      <c r="I340" s="38">
        <v>45</v>
      </c>
      <c r="J340" s="26" t="s">
        <v>59</v>
      </c>
      <c r="K340" s="29" t="s">
        <v>60</v>
      </c>
      <c r="L340" s="29" t="s">
        <v>52</v>
      </c>
      <c r="M340" s="28" t="s">
        <v>58</v>
      </c>
      <c r="N340" s="5">
        <v>15</v>
      </c>
      <c r="O340" s="6">
        <v>16</v>
      </c>
      <c r="P340" s="46">
        <v>1</v>
      </c>
      <c r="Q340" s="46">
        <v>1</v>
      </c>
      <c r="R340" s="6">
        <v>0</v>
      </c>
      <c r="S340" s="5" t="str">
        <f ca="1">VLOOKUP($T340,OFFSET([4]enemy_skill_sets!$B$1,0,0,COUNTA([4]enemy_skill_sets!$B:$B),MATCH(J$1,[4]enemy_skill_sets!$1:$1,0)-MATCH($T$1,[4]enemy_skill_sets!$1:$1,0)+2),MATCH(J$1,[4]enemy_skill_sets!$1:$1,0)-MATCH($T$1,[4]enemy_skill_sets!$1:$1,0)+2,FALSE)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0" s="5">
        <v>0</v>
      </c>
      <c r="U340" s="36">
        <v>0</v>
      </c>
      <c r="V340" s="36">
        <v>100</v>
      </c>
      <c r="W340" s="36">
        <v>0</v>
      </c>
      <c r="X340" s="26">
        <v>3</v>
      </c>
      <c r="Y340" s="38">
        <v>45</v>
      </c>
      <c r="Z340" s="5" t="s">
        <v>59</v>
      </c>
      <c r="AA340" s="5">
        <v>2</v>
      </c>
      <c r="AB340" s="5" t="s">
        <v>52</v>
      </c>
      <c r="AC340" s="37">
        <v>1</v>
      </c>
      <c r="AD340" s="35">
        <f>AA340</f>
        <v>2</v>
      </c>
      <c r="AE340" s="9">
        <v>0</v>
      </c>
      <c r="AF340" s="35">
        <v>0</v>
      </c>
      <c r="AG340" s="35">
        <v>0</v>
      </c>
      <c r="AH340" s="35">
        <v>0</v>
      </c>
      <c r="AI340" s="35">
        <v>0</v>
      </c>
      <c r="AJ340" s="35">
        <v>1</v>
      </c>
    </row>
    <row r="341" spans="1:36" ht="21" customHeight="1">
      <c r="A341" s="21" t="str">
        <f t="shared" ref="A341:A342" ca="1" si="225">B341&amp;"_"&amp;C341&amp;"-"&amp;G341&amp;"/"&amp;I341&amp;"&lt;lv"&amp;O341&amp;"&gt;s"&amp;X341</f>
        <v>11206_2-2/118&lt;lv2&gt;s2</v>
      </c>
      <c r="B341" s="8">
        <v>11206</v>
      </c>
      <c r="C341" s="32">
        <v>2</v>
      </c>
      <c r="D341" s="2" t="str">
        <f t="shared" ref="D341:D342" si="226">B341&amp;"_"&amp;C341</f>
        <v>11206_2</v>
      </c>
      <c r="E341" s="5" t="str">
        <f ca="1">VLOOKUP($B341,OFFSET([1]quests!$A$1,0,0,COUNTA([1]quests!$A:$A),MATCH(E$1,[1]quests!$1:$1,0)-MATCH($B$1,[1]quests!$1:$1,0)+1),MATCH(E$1,[1]quests!$1:$1,0)-MATCH($B$1,[1]quests!$1:$1,0)+1,FALSE)</f>
        <v>【キャンペーン限定】 ゴールドカジノ</v>
      </c>
      <c r="F341" s="5" t="str">
        <f ca="1">VLOOKUP($D341,OFFSET([1]stages!$A$1,0,0,COUNTA([1]stages!$A:$A),MATCH(F$1,[1]stages!$2:$2,0)-MATCH($D$1,[1]stages!$2:$2,0)+1),MATCH(F$1,[1]stages!$2:$2,0)-MATCH($D$1,[1]stages!$2:$2,0)+1,FALSE)</f>
        <v>ゴールドカジノ 【中級】</v>
      </c>
      <c r="G341" s="32">
        <v>2</v>
      </c>
      <c r="H341" s="20" t="str">
        <f t="shared" ref="H341:H342" si="227">B341&amp;"_"&amp;C341&amp;"-"&amp;G341</f>
        <v>11206_2-2</v>
      </c>
      <c r="I341" s="31">
        <v>118</v>
      </c>
      <c r="J341" s="26" t="str">
        <f ca="1">VLOOKUP($I341,OFFSET([2]enemies!$A$1,0,0,COUNTA([2]enemies!$A:$A),MATCH(J$1,[2]enemies!$2:$2,0)-MATCH($I$1,[2]enemies!$2:$2,0)+1),MATCH(J$1,[2]enemies!$2:$2,0)-MATCH($I$1,[2]enemies!$2:$2,0)+1,FALSE)</f>
        <v>ゴールドチック</v>
      </c>
      <c r="K341" s="29" t="str">
        <f ca="1">VLOOKUP($I341,OFFSET([2]enemies!$A$1,0,0,COUNTA([2]enemies!$A:$A),MATCH(K$1,[2]enemies!$2:$2,0)-MATCH($I$1,[2]enemies!$2:$2,0)+1),MATCH(K$1,[2]enemies!$2:$2,0)-MATCH($I$1,[2]enemies!$2:$2,0)+1,FALSE)</f>
        <v>yellow</v>
      </c>
      <c r="L341" s="29" t="str">
        <f ca="1">VLOOKUP($I341,OFFSET([3]characters!$A$1,0,0,COUNTA([3]characters!$A:$A),MATCH(L$1,[3]characters!$2:$2,0)-MATCH($I$1,[3]characters!$2:$2,0)+1),MATCH(L$1,[3]characters!$2:$2,0)-MATCH($I$1,[3]characters!$2:$2,0)+1,FALSE)</f>
        <v>Material</v>
      </c>
      <c r="M341" s="28" t="str">
        <f ca="1">VLOOKUP($I341,OFFSET([3]characters!$A$1,0,0,COUNTA([3]characters!$A:$A),MATCH(M$1,[3]characters!$2:$2,0)-MATCH($I$1,[3]characters!$2:$2,0)+2),MATCH(M$1,[3]characters!$2:$2,0)-MATCH($I$1,[3]characters!$2:$2,0)+2,FALSE)</f>
        <v>Unknown</v>
      </c>
      <c r="N341" s="5">
        <f ca="1">VLOOKUP($I341,OFFSET([2]enemies!$A$1,0,0,COUNTA([2]enemies!$A:$A),MATCH(N$1,[2]enemies!$2:$2,0)-MATCH($I$1,[2]enemies!$2:$2,0)+1),MATCH(N$1,[2]enemies!$2:$2,0)-MATCH($I$1,[2]enemies!$2:$2,0)+1,FALSE)</f>
        <v>15</v>
      </c>
      <c r="O341" s="6">
        <v>2</v>
      </c>
      <c r="P341" s="46">
        <v>11.8</v>
      </c>
      <c r="Q341" s="46">
        <v>15.75</v>
      </c>
      <c r="R341" s="6">
        <v>0</v>
      </c>
      <c r="S341" s="5" t="str">
        <f ca="1">VLOOKUP($T341,OFFSET([4]enemy_skill_sets!$B$1,0,0,COUNTA([4]enemy_skill_sets!$B:$B),MATCH(J$1,[4]enemy_skill_sets!$1:$1,0)-MATCH($T$1,[4]enemy_skill_sets!$1:$1,0)+2),MATCH(J$1,[4]enemy_skill_sets!$1:$1,0)-MATCH($T$1,[4]enemy_skill_sets!$1:$1,0)+2,FALSE)</f>
        <v>攻撃力20倍の自爆攻撃！</v>
      </c>
      <c r="T341" s="42">
        <v>11801</v>
      </c>
      <c r="U341" s="7">
        <v>1</v>
      </c>
      <c r="V341" s="7">
        <v>100</v>
      </c>
      <c r="W341" s="7">
        <v>0</v>
      </c>
      <c r="X341" s="26">
        <f ca="1">VLOOKUP($I341,OFFSET([2]enemies!$A$1,0,0,COUNTA([2]enemies!$A:$A),MATCH(X$1,[2]enemies!$2:$2,0)-MATCH($I$1,[2]enemies!$2:$2,0)+1),MATCH(X$1,[2]enemies!$2:$2,0)-MATCH($I$1,[2]enemies!$2:$2,0)+1,FALSE)</f>
        <v>2</v>
      </c>
      <c r="Y341" s="31">
        <v>118</v>
      </c>
      <c r="Z341" s="5" t="str">
        <f ca="1">IFERROR(VLOOKUP($Y341,OFFSET([3]characters!$A$1,0,0,COUNTA([3]characters!$A:$A),MATCH(Z$1,[3]characters!$2:$2,0)-MATCH("character_id",[3]characters!$2:$2,0)+1),MATCH(Z$1,[3]characters!$2:$2,0)-MATCH("character_id",[3]characters!$2:$2,0)+1,FALSE),"")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341" s="5">
        <f ca="1">IFERROR(VLOOKUP($Y341,OFFSET([3]characters!$A$1,0,0,COUNTA([3]characters!$A:$A),MATCH(AA$1,[3]characters!$2:$2,0)-MATCH("character_id",[3]characters!$2:$2,0)+1),MATCH(AA$1,[3]characters!$2:$2,0)-MATCH("character_id",[3]characters!$2:$2,0)+1,FALSE),"")</f>
        <v>4</v>
      </c>
      <c r="AB341" s="5" t="str">
        <f ca="1">IFERROR(VLOOKUP($Y341,OFFSET([3]characters!$A$1,0,0,COUNTA([3]characters!$A:$A),MATCH(AB$1,[3]characters!$2:$2,0)-MATCH("character_id",[3]characters!$2:$2,0)+1),MATCH(AB$1,[3]characters!$2:$2,0)-MATCH("character_id",[3]characters!$2:$2,0)+1,FALSE),"")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41" s="8">
        <v>1</v>
      </c>
      <c r="AD341" s="34">
        <f t="shared" ref="AD341:AD342" ca="1" si="228">AA341</f>
        <v>4</v>
      </c>
      <c r="AE341" s="9">
        <v>30</v>
      </c>
      <c r="AF341" s="8">
        <v>0</v>
      </c>
      <c r="AG341" s="8">
        <v>0</v>
      </c>
      <c r="AH341" s="8">
        <v>0</v>
      </c>
      <c r="AI341" s="8">
        <v>0</v>
      </c>
      <c r="AJ341" s="8">
        <v>1</v>
      </c>
    </row>
    <row r="342" spans="1:36" ht="21" customHeight="1">
      <c r="A342" s="21" t="str">
        <f t="shared" ca="1" si="225"/>
        <v>11206_2-2/118&lt;lv1&gt;s2</v>
      </c>
      <c r="B342" s="8">
        <v>11206</v>
      </c>
      <c r="C342" s="32">
        <v>2</v>
      </c>
      <c r="D342" s="2" t="str">
        <f t="shared" si="226"/>
        <v>11206_2</v>
      </c>
      <c r="E342" s="5" t="str">
        <f ca="1">VLOOKUP($B342,OFFSET([1]quests!$A$1,0,0,COUNTA([1]quests!$A:$A),MATCH(E$1,[1]quests!$1:$1,0)-MATCH($B$1,[1]quests!$1:$1,0)+1),MATCH(E$1,[1]quests!$1:$1,0)-MATCH($B$1,[1]quests!$1:$1,0)+1,FALSE)</f>
        <v>【キャンペーン限定】 ゴールドカジノ</v>
      </c>
      <c r="F342" s="5" t="str">
        <f ca="1">VLOOKUP($D342,OFFSET([1]stages!$A$1,0,0,COUNTA([1]stages!$A:$A),MATCH(F$1,[1]stages!$2:$2,0)-MATCH($D$1,[1]stages!$2:$2,0)+1),MATCH(F$1,[1]stages!$2:$2,0)-MATCH($D$1,[1]stages!$2:$2,0)+1,FALSE)</f>
        <v>ゴールドカジノ 【中級】</v>
      </c>
      <c r="G342" s="32">
        <v>2</v>
      </c>
      <c r="H342" s="20" t="str">
        <f t="shared" si="227"/>
        <v>11206_2-2</v>
      </c>
      <c r="I342" s="31">
        <v>118</v>
      </c>
      <c r="J342" s="26" t="str">
        <f ca="1">VLOOKUP($I342,OFFSET([2]enemies!$A$1,0,0,COUNTA([2]enemies!$A:$A),MATCH(J$1,[2]enemies!$2:$2,0)-MATCH($I$1,[2]enemies!$2:$2,0)+1),MATCH(J$1,[2]enemies!$2:$2,0)-MATCH($I$1,[2]enemies!$2:$2,0)+1,FALSE)</f>
        <v>ゴールドチック</v>
      </c>
      <c r="K342" s="29" t="str">
        <f ca="1">VLOOKUP($I342,OFFSET([2]enemies!$A$1,0,0,COUNTA([2]enemies!$A:$A),MATCH(K$1,[2]enemies!$2:$2,0)-MATCH($I$1,[2]enemies!$2:$2,0)+1),MATCH(K$1,[2]enemies!$2:$2,0)-MATCH($I$1,[2]enemies!$2:$2,0)+1,FALSE)</f>
        <v>yellow</v>
      </c>
      <c r="L342" s="29" t="str">
        <f ca="1">VLOOKUP($I342,OFFSET([3]characters!$A$1,0,0,COUNTA([3]characters!$A:$A),MATCH(L$1,[3]characters!$2:$2,0)-MATCH($I$1,[3]characters!$2:$2,0)+1),MATCH(L$1,[3]characters!$2:$2,0)-MATCH($I$1,[3]characters!$2:$2,0)+1,FALSE)</f>
        <v>Material</v>
      </c>
      <c r="M342" s="28" t="str">
        <f ca="1">VLOOKUP($I342,OFFSET([3]characters!$A$1,0,0,COUNTA([3]characters!$A:$A),MATCH(M$1,[3]characters!$2:$2,0)-MATCH($I$1,[3]characters!$2:$2,0)+2),MATCH(M$1,[3]characters!$2:$2,0)-MATCH($I$1,[3]characters!$2:$2,0)+2,FALSE)</f>
        <v>Unknown</v>
      </c>
      <c r="N342" s="5">
        <f ca="1">VLOOKUP($I342,OFFSET([2]enemies!$A$1,0,0,COUNTA([2]enemies!$A:$A),MATCH(N$1,[2]enemies!$2:$2,0)-MATCH($I$1,[2]enemies!$2:$2,0)+1),MATCH(N$1,[2]enemies!$2:$2,0)-MATCH($I$1,[2]enemies!$2:$2,0)+1,FALSE)</f>
        <v>15</v>
      </c>
      <c r="O342" s="6">
        <v>1</v>
      </c>
      <c r="P342" s="46">
        <v>16.5</v>
      </c>
      <c r="Q342" s="46">
        <v>15.75</v>
      </c>
      <c r="R342" s="6">
        <v>0</v>
      </c>
      <c r="S342" s="5" t="str">
        <f ca="1">VLOOKUP($T342,OFFSET([4]enemy_skill_sets!$B$1,0,0,COUNTA([4]enemy_skill_sets!$B:$B),MATCH(J$1,[4]enemy_skill_sets!$1:$1,0)-MATCH($T$1,[4]enemy_skill_sets!$1:$1,0)+2),MATCH(J$1,[4]enemy_skill_sets!$1:$1,0)-MATCH($T$1,[4]enemy_skill_sets!$1:$1,0)+2,FALSE)</f>
        <v>攻撃力20倍の自爆攻撃！</v>
      </c>
      <c r="T342" s="42">
        <v>11801</v>
      </c>
      <c r="U342" s="7">
        <v>0</v>
      </c>
      <c r="V342" s="7">
        <v>100</v>
      </c>
      <c r="W342" s="7">
        <v>0</v>
      </c>
      <c r="X342" s="26">
        <f ca="1">VLOOKUP($I342,OFFSET([2]enemies!$A$1,0,0,COUNTA([2]enemies!$A:$A),MATCH(X$1,[2]enemies!$2:$2,0)-MATCH($I$1,[2]enemies!$2:$2,0)+1),MATCH(X$1,[2]enemies!$2:$2,0)-MATCH($I$1,[2]enemies!$2:$2,0)+1,FALSE)</f>
        <v>2</v>
      </c>
      <c r="Y342" s="31">
        <v>118</v>
      </c>
      <c r="Z342" s="5" t="str">
        <f ca="1">IFERROR(VLOOKUP($Y342,OFFSET([3]characters!$A$1,0,0,COUNTA([3]characters!$A:$A),MATCH(Z$1,[3]characters!$2:$2,0)-MATCH("character_id",[3]characters!$2:$2,0)+1),MATCH(Z$1,[3]characters!$2:$2,0)-MATCH("character_id",[3]characters!$2:$2,0)+1,FALSE),"")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342" s="5">
        <f ca="1">IFERROR(VLOOKUP($Y342,OFFSET([3]characters!$A$1,0,0,COUNTA([3]characters!$A:$A),MATCH(AA$1,[3]characters!$2:$2,0)-MATCH("character_id",[3]characters!$2:$2,0)+1),MATCH(AA$1,[3]characters!$2:$2,0)-MATCH("character_id",[3]characters!$2:$2,0)+1,FALSE),"")</f>
        <v>4</v>
      </c>
      <c r="AB342" s="5" t="str">
        <f ca="1">IFERROR(VLOOKUP($Y342,OFFSET([3]characters!$A$1,0,0,COUNTA([3]characters!$A:$A),MATCH(AB$1,[3]characters!$2:$2,0)-MATCH("character_id",[3]characters!$2:$2,0)+1),MATCH(AB$1,[3]characters!$2:$2,0)-MATCH("character_id",[3]characters!$2:$2,0)+1,FALSE),"")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42" s="8">
        <v>1</v>
      </c>
      <c r="AD342" s="34">
        <f t="shared" ca="1" si="228"/>
        <v>4</v>
      </c>
      <c r="AE342" s="9">
        <v>30</v>
      </c>
      <c r="AF342" s="8">
        <v>0</v>
      </c>
      <c r="AG342" s="8">
        <v>0</v>
      </c>
      <c r="AH342" s="8">
        <v>0</v>
      </c>
      <c r="AI342" s="8">
        <v>0</v>
      </c>
      <c r="AJ342" s="8">
        <v>1</v>
      </c>
    </row>
    <row r="343" spans="1:36" ht="21" customHeight="1">
      <c r="A343" s="21" t="str">
        <f>B343&amp;"_"&amp;C343&amp;"-"&amp;G343&amp;"/"&amp;I343&amp;"&lt;lv"&amp;O343&amp;"&gt;s"&amp;X343</f>
        <v>11206_2-2/41&lt;lv16&gt;s1</v>
      </c>
      <c r="B343" s="8">
        <v>11206</v>
      </c>
      <c r="C343" s="32">
        <v>2</v>
      </c>
      <c r="D343" s="20" t="str">
        <f>B343&amp;"_"&amp;C343</f>
        <v>11206_2</v>
      </c>
      <c r="E343" s="5" t="str">
        <f ca="1">VLOOKUP($B343,OFFSET([1]quests!$A$1,0,0,COUNTA([1]quests!$A:$A),MATCH(E$1,[1]quests!$1:$1,0)-MATCH($B$1,[1]quests!$1:$1,0)+1),MATCH(E$1,[1]quests!$1:$1,0)-MATCH($B$1,[1]quests!$1:$1,0)+1,FALSE)</f>
        <v>【キャンペーン限定】 ゴールドカジノ</v>
      </c>
      <c r="F343" s="5" t="str">
        <f ca="1">VLOOKUP($D343,OFFSET([1]stages!$A$1,0,0,COUNTA([1]stages!$A:$A),MATCH(F$1,[1]stages!$2:$2,0)-MATCH($D$1,[1]stages!$2:$2,0)+1),MATCH(F$1,[1]stages!$2:$2,0)-MATCH($D$1,[1]stages!$2:$2,0)+1,FALSE)</f>
        <v>ゴールドカジノ 【中級】</v>
      </c>
      <c r="G343" s="32">
        <v>2</v>
      </c>
      <c r="H343" s="20" t="str">
        <f>B343&amp;"_"&amp;C343&amp;"-"&amp;G343</f>
        <v>11206_2-2</v>
      </c>
      <c r="I343" s="38">
        <v>41</v>
      </c>
      <c r="J343" s="26" t="s">
        <v>50</v>
      </c>
      <c r="K343" s="29" t="s">
        <v>51</v>
      </c>
      <c r="L343" s="29" t="s">
        <v>52</v>
      </c>
      <c r="M343" s="28" t="s">
        <v>53</v>
      </c>
      <c r="N343" s="5">
        <v>15</v>
      </c>
      <c r="O343" s="6">
        <v>16</v>
      </c>
      <c r="P343" s="46">
        <v>1</v>
      </c>
      <c r="Q343" s="46">
        <v>1</v>
      </c>
      <c r="R343" s="6">
        <v>0</v>
      </c>
      <c r="S343" s="5" t="str">
        <f ca="1">VLOOKUP($T343,OFFSET([4]enemy_skill_sets!$B$1,0,0,COUNTA([4]enemy_skill_sets!$B:$B),MATCH(J$1,[4]enemy_skill_sets!$1:$1,0)-MATCH($T$1,[4]enemy_skill_sets!$1:$1,0)+2),MATCH(J$1,[4]enemy_skill_sets!$1:$1,0)-MATCH($T$1,[4]enemy_skill_sets!$1:$1,0)+2,FALSE)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3" s="5">
        <v>0</v>
      </c>
      <c r="U343" s="36">
        <v>0</v>
      </c>
      <c r="V343" s="36">
        <v>100</v>
      </c>
      <c r="W343" s="36">
        <v>0</v>
      </c>
      <c r="X343" s="26">
        <v>1</v>
      </c>
      <c r="Y343" s="38">
        <v>41</v>
      </c>
      <c r="Z343" s="5" t="s">
        <v>50</v>
      </c>
      <c r="AA343" s="5">
        <v>2</v>
      </c>
      <c r="AB343" s="5" t="s">
        <v>52</v>
      </c>
      <c r="AC343" s="37">
        <v>1</v>
      </c>
      <c r="AD343" s="35">
        <f>AA343</f>
        <v>2</v>
      </c>
      <c r="AE343" s="9">
        <v>0</v>
      </c>
      <c r="AF343" s="35">
        <v>0</v>
      </c>
      <c r="AG343" s="35">
        <v>0</v>
      </c>
      <c r="AH343" s="35">
        <v>0</v>
      </c>
      <c r="AI343" s="35">
        <v>0</v>
      </c>
      <c r="AJ343" s="35">
        <v>1</v>
      </c>
    </row>
    <row r="344" spans="1:36" ht="21" customHeight="1">
      <c r="A344" s="21" t="str">
        <f>B344&amp;"_"&amp;C344&amp;"-"&amp;G344&amp;"/"&amp;I344&amp;"&lt;lv"&amp;O344&amp;"&gt;s"&amp;X344</f>
        <v>11206_2-2/43&lt;lv16&gt;s2</v>
      </c>
      <c r="B344" s="8">
        <v>11206</v>
      </c>
      <c r="C344" s="32">
        <v>2</v>
      </c>
      <c r="D344" s="20" t="str">
        <f>B344&amp;"_"&amp;C344</f>
        <v>11206_2</v>
      </c>
      <c r="E344" s="5" t="str">
        <f ca="1">VLOOKUP($B344,OFFSET([1]quests!$A$1,0,0,COUNTA([1]quests!$A:$A),MATCH(E$1,[1]quests!$1:$1,0)-MATCH($B$1,[1]quests!$1:$1,0)+1),MATCH(E$1,[1]quests!$1:$1,0)-MATCH($B$1,[1]quests!$1:$1,0)+1,FALSE)</f>
        <v>【キャンペーン限定】 ゴールドカジノ</v>
      </c>
      <c r="F344" s="5" t="str">
        <f ca="1">VLOOKUP($D344,OFFSET([1]stages!$A$1,0,0,COUNTA([1]stages!$A:$A),MATCH(F$1,[1]stages!$2:$2,0)-MATCH($D$1,[1]stages!$2:$2,0)+1),MATCH(F$1,[1]stages!$2:$2,0)-MATCH($D$1,[1]stages!$2:$2,0)+1,FALSE)</f>
        <v>ゴールドカジノ 【中級】</v>
      </c>
      <c r="G344" s="32">
        <v>2</v>
      </c>
      <c r="H344" s="20" t="str">
        <f>B344&amp;"_"&amp;C344&amp;"-"&amp;G344</f>
        <v>11206_2-2</v>
      </c>
      <c r="I344" s="38">
        <v>43</v>
      </c>
      <c r="J344" s="26" t="s">
        <v>54</v>
      </c>
      <c r="K344" s="29" t="s">
        <v>55</v>
      </c>
      <c r="L344" s="29" t="s">
        <v>52</v>
      </c>
      <c r="M344" s="28" t="s">
        <v>53</v>
      </c>
      <c r="N344" s="5">
        <v>15</v>
      </c>
      <c r="O344" s="6">
        <v>16</v>
      </c>
      <c r="P344" s="46">
        <v>1</v>
      </c>
      <c r="Q344" s="46">
        <v>1</v>
      </c>
      <c r="R344" s="6">
        <v>0</v>
      </c>
      <c r="S344" s="5" t="str">
        <f ca="1">VLOOKUP($T344,OFFSET([4]enemy_skill_sets!$B$1,0,0,COUNTA([4]enemy_skill_sets!$B:$B),MATCH(J$1,[4]enemy_skill_sets!$1:$1,0)-MATCH($T$1,[4]enemy_skill_sets!$1:$1,0)+2),MATCH(J$1,[4]enemy_skill_sets!$1:$1,0)-MATCH($T$1,[4]enemy_skill_sets!$1:$1,0)+2,FALSE)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4" s="5">
        <v>0</v>
      </c>
      <c r="U344" s="36">
        <v>0</v>
      </c>
      <c r="V344" s="36">
        <v>100</v>
      </c>
      <c r="W344" s="36">
        <v>0</v>
      </c>
      <c r="X344" s="26">
        <v>2</v>
      </c>
      <c r="Y344" s="38">
        <v>43</v>
      </c>
      <c r="Z344" s="5" t="s">
        <v>54</v>
      </c>
      <c r="AA344" s="5">
        <v>2</v>
      </c>
      <c r="AB344" s="5" t="s">
        <v>52</v>
      </c>
      <c r="AC344" s="37">
        <v>1</v>
      </c>
      <c r="AD344" s="35">
        <f>AA344</f>
        <v>2</v>
      </c>
      <c r="AE344" s="9">
        <v>0</v>
      </c>
      <c r="AF344" s="35">
        <v>0</v>
      </c>
      <c r="AG344" s="35">
        <v>0</v>
      </c>
      <c r="AH344" s="35">
        <v>0</v>
      </c>
      <c r="AI344" s="35">
        <v>0</v>
      </c>
      <c r="AJ344" s="35">
        <v>1</v>
      </c>
    </row>
    <row r="345" spans="1:36" ht="21" customHeight="1">
      <c r="A345" s="21" t="str">
        <f>B345&amp;"_"&amp;C345&amp;"-"&amp;G345&amp;"/"&amp;I345&amp;"&lt;lv"&amp;O345&amp;"&gt;s"&amp;X345</f>
        <v>11206_2-2/47&lt;lv16&gt;s1</v>
      </c>
      <c r="B345" s="8">
        <v>11206</v>
      </c>
      <c r="C345" s="32">
        <v>2</v>
      </c>
      <c r="D345" s="20" t="str">
        <f>B345&amp;"_"&amp;C345</f>
        <v>11206_2</v>
      </c>
      <c r="E345" s="5" t="str">
        <f ca="1">VLOOKUP($B345,OFFSET([1]quests!$A$1,0,0,COUNTA([1]quests!$A:$A),MATCH(E$1,[1]quests!$1:$1,0)-MATCH($B$1,[1]quests!$1:$1,0)+1),MATCH(E$1,[1]quests!$1:$1,0)-MATCH($B$1,[1]quests!$1:$1,0)+1,FALSE)</f>
        <v>【キャンペーン限定】 ゴールドカジノ</v>
      </c>
      <c r="F345" s="5" t="str">
        <f ca="1">VLOOKUP($D345,OFFSET([1]stages!$A$1,0,0,COUNTA([1]stages!$A:$A),MATCH(F$1,[1]stages!$2:$2,0)-MATCH($D$1,[1]stages!$2:$2,0)+1),MATCH(F$1,[1]stages!$2:$2,0)-MATCH($D$1,[1]stages!$2:$2,0)+1,FALSE)</f>
        <v>ゴールドカジノ 【中級】</v>
      </c>
      <c r="G345" s="32">
        <v>2</v>
      </c>
      <c r="H345" s="20" t="str">
        <f>B345&amp;"_"&amp;C345&amp;"-"&amp;G345</f>
        <v>11206_2-2</v>
      </c>
      <c r="I345" s="38">
        <v>47</v>
      </c>
      <c r="J345" s="26" t="s">
        <v>56</v>
      </c>
      <c r="K345" s="29" t="s">
        <v>57</v>
      </c>
      <c r="L345" s="29" t="s">
        <v>52</v>
      </c>
      <c r="M345" s="28" t="s">
        <v>58</v>
      </c>
      <c r="N345" s="5">
        <v>15</v>
      </c>
      <c r="O345" s="6">
        <v>16</v>
      </c>
      <c r="P345" s="46">
        <v>1</v>
      </c>
      <c r="Q345" s="46">
        <v>1</v>
      </c>
      <c r="R345" s="6">
        <v>0</v>
      </c>
      <c r="S345" s="5" t="str">
        <f ca="1">VLOOKUP($T345,OFFSET([4]enemy_skill_sets!$B$1,0,0,COUNTA([4]enemy_skill_sets!$B:$B),MATCH(J$1,[4]enemy_skill_sets!$1:$1,0)-MATCH($T$1,[4]enemy_skill_sets!$1:$1,0)+2),MATCH(J$1,[4]enemy_skill_sets!$1:$1,0)-MATCH($T$1,[4]enemy_skill_sets!$1:$1,0)+2,FALSE)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5" s="5">
        <v>0</v>
      </c>
      <c r="U345" s="36">
        <v>0</v>
      </c>
      <c r="V345" s="36">
        <v>100</v>
      </c>
      <c r="W345" s="36">
        <v>0</v>
      </c>
      <c r="X345" s="26">
        <v>1</v>
      </c>
      <c r="Y345" s="38">
        <v>47</v>
      </c>
      <c r="Z345" s="5" t="s">
        <v>56</v>
      </c>
      <c r="AA345" s="5">
        <v>2</v>
      </c>
      <c r="AB345" s="5" t="s">
        <v>52</v>
      </c>
      <c r="AC345" s="37">
        <v>1</v>
      </c>
      <c r="AD345" s="35">
        <f>AA345</f>
        <v>2</v>
      </c>
      <c r="AE345" s="9">
        <v>0</v>
      </c>
      <c r="AF345" s="35">
        <v>0</v>
      </c>
      <c r="AG345" s="35">
        <v>0</v>
      </c>
      <c r="AH345" s="35">
        <v>0</v>
      </c>
      <c r="AI345" s="35">
        <v>0</v>
      </c>
      <c r="AJ345" s="35">
        <v>1</v>
      </c>
    </row>
    <row r="346" spans="1:36" ht="21" customHeight="1">
      <c r="A346" s="21" t="str">
        <f>B346&amp;"_"&amp;C346&amp;"-"&amp;G346&amp;"/"&amp;I346&amp;"&lt;lv"&amp;O346&amp;"&gt;s"&amp;X346</f>
        <v>11206_2-2/45&lt;lv16&gt;s3</v>
      </c>
      <c r="B346" s="8">
        <v>11206</v>
      </c>
      <c r="C346" s="32">
        <v>2</v>
      </c>
      <c r="D346" s="20" t="str">
        <f>B346&amp;"_"&amp;C346</f>
        <v>11206_2</v>
      </c>
      <c r="E346" s="5" t="str">
        <f ca="1">VLOOKUP($B346,OFFSET([1]quests!$A$1,0,0,COUNTA([1]quests!$A:$A),MATCH(E$1,[1]quests!$1:$1,0)-MATCH($B$1,[1]quests!$1:$1,0)+1),MATCH(E$1,[1]quests!$1:$1,0)-MATCH($B$1,[1]quests!$1:$1,0)+1,FALSE)</f>
        <v>【キャンペーン限定】 ゴールドカジノ</v>
      </c>
      <c r="F346" s="5" t="str">
        <f ca="1">VLOOKUP($D346,OFFSET([1]stages!$A$1,0,0,COUNTA([1]stages!$A:$A),MATCH(F$1,[1]stages!$2:$2,0)-MATCH($D$1,[1]stages!$2:$2,0)+1),MATCH(F$1,[1]stages!$2:$2,0)-MATCH($D$1,[1]stages!$2:$2,0)+1,FALSE)</f>
        <v>ゴールドカジノ 【中級】</v>
      </c>
      <c r="G346" s="32">
        <v>2</v>
      </c>
      <c r="H346" s="20" t="str">
        <f>B346&amp;"_"&amp;C346&amp;"-"&amp;G346</f>
        <v>11206_2-2</v>
      </c>
      <c r="I346" s="38">
        <v>45</v>
      </c>
      <c r="J346" s="26" t="s">
        <v>59</v>
      </c>
      <c r="K346" s="29" t="s">
        <v>60</v>
      </c>
      <c r="L346" s="29" t="s">
        <v>52</v>
      </c>
      <c r="M346" s="28" t="s">
        <v>58</v>
      </c>
      <c r="N346" s="5">
        <v>15</v>
      </c>
      <c r="O346" s="6">
        <v>16</v>
      </c>
      <c r="P346" s="46">
        <v>1</v>
      </c>
      <c r="Q346" s="46">
        <v>1</v>
      </c>
      <c r="R346" s="6">
        <v>0</v>
      </c>
      <c r="S346" s="5" t="str">
        <f ca="1">VLOOKUP($T346,OFFSET([4]enemy_skill_sets!$B$1,0,0,COUNTA([4]enemy_skill_sets!$B:$B),MATCH(J$1,[4]enemy_skill_sets!$1:$1,0)-MATCH($T$1,[4]enemy_skill_sets!$1:$1,0)+2),MATCH(J$1,[4]enemy_skill_sets!$1:$1,0)-MATCH($T$1,[4]enemy_skill_sets!$1:$1,0)+2,FALSE)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6" s="5">
        <v>0</v>
      </c>
      <c r="U346" s="36">
        <v>0</v>
      </c>
      <c r="V346" s="36">
        <v>100</v>
      </c>
      <c r="W346" s="36">
        <v>0</v>
      </c>
      <c r="X346" s="26">
        <v>3</v>
      </c>
      <c r="Y346" s="38">
        <v>45</v>
      </c>
      <c r="Z346" s="5" t="s">
        <v>59</v>
      </c>
      <c r="AA346" s="5">
        <v>2</v>
      </c>
      <c r="AB346" s="5" t="s">
        <v>52</v>
      </c>
      <c r="AC346" s="37">
        <v>1</v>
      </c>
      <c r="AD346" s="35">
        <f>AA346</f>
        <v>2</v>
      </c>
      <c r="AE346" s="9">
        <v>0</v>
      </c>
      <c r="AF346" s="35">
        <v>0</v>
      </c>
      <c r="AG346" s="35">
        <v>0</v>
      </c>
      <c r="AH346" s="35">
        <v>0</v>
      </c>
      <c r="AI346" s="35">
        <v>0</v>
      </c>
      <c r="AJ346" s="35">
        <v>1</v>
      </c>
    </row>
    <row r="347" spans="1:36" ht="21" customHeight="1">
      <c r="A347" s="21" t="str">
        <f t="shared" ref="A347" ca="1" si="229">B347&amp;"_"&amp;C347&amp;"-"&amp;G347&amp;"/"&amp;I347&amp;"&lt;lv"&amp;O347&amp;"&gt;s"&amp;X347</f>
        <v>11206_2-3/118&lt;lv1&gt;s2</v>
      </c>
      <c r="B347" s="8">
        <v>11206</v>
      </c>
      <c r="C347" s="32">
        <v>2</v>
      </c>
      <c r="D347" s="2" t="str">
        <f t="shared" ref="D347:D351" si="230">B347&amp;"_"&amp;C347</f>
        <v>11206_2</v>
      </c>
      <c r="E347" s="5" t="str">
        <f ca="1">VLOOKUP($B347,OFFSET([1]quests!$A$1,0,0,COUNTA([1]quests!$A:$A),MATCH(E$1,[1]quests!$1:$1,0)-MATCH($B$1,[1]quests!$1:$1,0)+1),MATCH(E$1,[1]quests!$1:$1,0)-MATCH($B$1,[1]quests!$1:$1,0)+1,FALSE)</f>
        <v>【キャンペーン限定】 ゴールドカジノ</v>
      </c>
      <c r="F347" s="5" t="str">
        <f ca="1">VLOOKUP($D347,OFFSET([1]stages!$A$1,0,0,COUNTA([1]stages!$A:$A),MATCH(F$1,[1]stages!$2:$2,0)-MATCH($D$1,[1]stages!$2:$2,0)+1),MATCH(F$1,[1]stages!$2:$2,0)-MATCH($D$1,[1]stages!$2:$2,0)+1,FALSE)</f>
        <v>ゴールドカジノ 【中級】</v>
      </c>
      <c r="G347" s="32">
        <v>3</v>
      </c>
      <c r="H347" s="20" t="str">
        <f t="shared" ref="H347:H351" si="231">B347&amp;"_"&amp;C347&amp;"-"&amp;G347</f>
        <v>11206_2-3</v>
      </c>
      <c r="I347" s="31">
        <v>118</v>
      </c>
      <c r="J347" s="26" t="str">
        <f ca="1">VLOOKUP($I347,OFFSET([2]enemies!$A$1,0,0,COUNTA([2]enemies!$A:$A),MATCH(J$1,[2]enemies!$2:$2,0)-MATCH($I$1,[2]enemies!$2:$2,0)+1),MATCH(J$1,[2]enemies!$2:$2,0)-MATCH($I$1,[2]enemies!$2:$2,0)+1,FALSE)</f>
        <v>ゴールドチック</v>
      </c>
      <c r="K347" s="29" t="str">
        <f ca="1">VLOOKUP($I347,OFFSET([2]enemies!$A$1,0,0,COUNTA([2]enemies!$A:$A),MATCH(K$1,[2]enemies!$2:$2,0)-MATCH($I$1,[2]enemies!$2:$2,0)+1),MATCH(K$1,[2]enemies!$2:$2,0)-MATCH($I$1,[2]enemies!$2:$2,0)+1,FALSE)</f>
        <v>yellow</v>
      </c>
      <c r="L347" s="29" t="str">
        <f ca="1">VLOOKUP($I347,OFFSET([3]characters!$A$1,0,0,COUNTA([3]characters!$A:$A),MATCH(L$1,[3]characters!$2:$2,0)-MATCH($I$1,[3]characters!$2:$2,0)+1),MATCH(L$1,[3]characters!$2:$2,0)-MATCH($I$1,[3]characters!$2:$2,0)+1,FALSE)</f>
        <v>Material</v>
      </c>
      <c r="M347" s="28" t="str">
        <f ca="1">VLOOKUP($I347,OFFSET([3]characters!$A$1,0,0,COUNTA([3]characters!$A:$A),MATCH(M$1,[3]characters!$2:$2,0)-MATCH($I$1,[3]characters!$2:$2,0)+2),MATCH(M$1,[3]characters!$2:$2,0)-MATCH($I$1,[3]characters!$2:$2,0)+2,FALSE)</f>
        <v>Unknown</v>
      </c>
      <c r="N347" s="5">
        <f ca="1">VLOOKUP($I347,OFFSET([2]enemies!$A$1,0,0,COUNTA([2]enemies!$A:$A),MATCH(N$1,[2]enemies!$2:$2,0)-MATCH($I$1,[2]enemies!$2:$2,0)+1),MATCH(N$1,[2]enemies!$2:$2,0)-MATCH($I$1,[2]enemies!$2:$2,0)+1,FALSE)</f>
        <v>15</v>
      </c>
      <c r="O347" s="6">
        <v>1</v>
      </c>
      <c r="P347" s="46">
        <v>16.5</v>
      </c>
      <c r="Q347" s="46">
        <v>15.75</v>
      </c>
      <c r="R347" s="6">
        <v>0</v>
      </c>
      <c r="S347" s="5" t="str">
        <f ca="1">VLOOKUP($T347,OFFSET([4]enemy_skill_sets!$B$1,0,0,COUNTA([4]enemy_skill_sets!$B:$B),MATCH(J$1,[4]enemy_skill_sets!$1:$1,0)-MATCH($T$1,[4]enemy_skill_sets!$1:$1,0)+2),MATCH(J$1,[4]enemy_skill_sets!$1:$1,0)-MATCH($T$1,[4]enemy_skill_sets!$1:$1,0)+2,FALSE)</f>
        <v>攻撃力20倍の自爆攻撃！</v>
      </c>
      <c r="T347" s="43">
        <v>11802</v>
      </c>
      <c r="U347" s="7">
        <v>1</v>
      </c>
      <c r="V347" s="7">
        <v>100</v>
      </c>
      <c r="W347" s="7">
        <v>0</v>
      </c>
      <c r="X347" s="26">
        <f ca="1">VLOOKUP($I347,OFFSET([2]enemies!$A$1,0,0,COUNTA([2]enemies!$A:$A),MATCH(X$1,[2]enemies!$2:$2,0)-MATCH($I$1,[2]enemies!$2:$2,0)+1),MATCH(X$1,[2]enemies!$2:$2,0)-MATCH($I$1,[2]enemies!$2:$2,0)+1,FALSE)</f>
        <v>2</v>
      </c>
      <c r="Y347" s="31">
        <v>118</v>
      </c>
      <c r="Z347" s="5" t="str">
        <f ca="1">IFERROR(VLOOKUP($Y347,OFFSET([3]characters!$A$1,0,0,COUNTA([3]characters!$A:$A),MATCH(Z$1,[3]characters!$2:$2,0)-MATCH("character_id",[3]characters!$2:$2,0)+1),MATCH(Z$1,[3]characters!$2:$2,0)-MATCH("character_id",[3]characters!$2:$2,0)+1,FALSE),"")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347" s="5">
        <f ca="1">IFERROR(VLOOKUP($Y347,OFFSET([3]characters!$A$1,0,0,COUNTA([3]characters!$A:$A),MATCH(AA$1,[3]characters!$2:$2,0)-MATCH("character_id",[3]characters!$2:$2,0)+1),MATCH(AA$1,[3]characters!$2:$2,0)-MATCH("character_id",[3]characters!$2:$2,0)+1,FALSE),"")</f>
        <v>4</v>
      </c>
      <c r="AB347" s="5" t="str">
        <f ca="1">IFERROR(VLOOKUP($Y347,OFFSET([3]characters!$A$1,0,0,COUNTA([3]characters!$A:$A),MATCH(AB$1,[3]characters!$2:$2,0)-MATCH("character_id",[3]characters!$2:$2,0)+1),MATCH(AB$1,[3]characters!$2:$2,0)-MATCH("character_id",[3]characters!$2:$2,0)+1,FALSE),"")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47" s="8">
        <v>1</v>
      </c>
      <c r="AD347" s="34">
        <f t="shared" ref="AD347:AD351" ca="1" si="232">AA347</f>
        <v>4</v>
      </c>
      <c r="AE347" s="9">
        <v>30</v>
      </c>
      <c r="AF347" s="8">
        <v>0</v>
      </c>
      <c r="AG347" s="8">
        <v>0</v>
      </c>
      <c r="AH347" s="8">
        <v>0</v>
      </c>
      <c r="AI347" s="8">
        <v>0</v>
      </c>
      <c r="AJ347" s="8">
        <v>1</v>
      </c>
    </row>
    <row r="348" spans="1:36" ht="21" customHeight="1">
      <c r="A348" s="21" t="str">
        <f>B348&amp;"_"&amp;C348&amp;"-"&amp;G348&amp;"/"&amp;I348&amp;"&lt;lv"&amp;O348&amp;"&gt;s"&amp;X348</f>
        <v>11206_2-3/119&lt;lv1&gt;s4</v>
      </c>
      <c r="B348" s="8">
        <v>11206</v>
      </c>
      <c r="C348" s="32">
        <v>2</v>
      </c>
      <c r="D348" s="2" t="str">
        <f t="shared" si="230"/>
        <v>11206_2</v>
      </c>
      <c r="E348" s="5" t="str">
        <f ca="1">VLOOKUP($B348,OFFSET([1]quests!$A$1,0,0,COUNTA([1]quests!$A:$A),MATCH(E$1,[1]quests!$1:$1,0)-MATCH($B$1,[1]quests!$1:$1,0)+1),MATCH(E$1,[1]quests!$1:$1,0)-MATCH($B$1,[1]quests!$1:$1,0)+1,FALSE)</f>
        <v>【キャンペーン限定】 ゴールドカジノ</v>
      </c>
      <c r="F348" s="5" t="str">
        <f ca="1">VLOOKUP($D348,OFFSET([1]stages!$A$1,0,0,COUNTA([1]stages!$A:$A),MATCH(F$1,[1]stages!$2:$2,0)-MATCH($D$1,[1]stages!$2:$2,0)+1),MATCH(F$1,[1]stages!$2:$2,0)-MATCH($D$1,[1]stages!$2:$2,0)+1,FALSE)</f>
        <v>ゴールドカジノ 【中級】</v>
      </c>
      <c r="G348" s="32">
        <v>3</v>
      </c>
      <c r="H348" s="20" t="str">
        <f t="shared" si="231"/>
        <v>11206_2-3</v>
      </c>
      <c r="I348" s="31">
        <v>119</v>
      </c>
      <c r="J348" s="26" t="str">
        <f ca="1">VLOOKUP($I348,OFFSET([2]enemies!$A$1,0,0,COUNTA([2]enemies!$A:$A),MATCH(J$1,[2]enemies!$2:$2,0)-MATCH($I$1,[2]enemies!$2:$2,0)+1),MATCH(J$1,[2]enemies!$2:$2,0)-MATCH($I$1,[2]enemies!$2:$2,0)+1,FALSE)</f>
        <v>ゴールドダック</v>
      </c>
      <c r="K348" s="29" t="str">
        <f ca="1">VLOOKUP($I348,OFFSET([2]enemies!$A$1,0,0,COUNTA([2]enemies!$A:$A),MATCH(K$1,[2]enemies!$2:$2,0)-MATCH($I$1,[2]enemies!$2:$2,0)+1),MATCH(K$1,[2]enemies!$2:$2,0)-MATCH($I$1,[2]enemies!$2:$2,0)+1,FALSE)</f>
        <v>yellow</v>
      </c>
      <c r="L348" s="29" t="str">
        <f ca="1">VLOOKUP($I348,OFFSET([3]characters!$A$1,0,0,COUNTA([3]characters!$A:$A),MATCH(L$1,[3]characters!$2:$2,0)-MATCH($I$1,[3]characters!$2:$2,0)+1),MATCH(L$1,[3]characters!$2:$2,0)-MATCH($I$1,[3]characters!$2:$2,0)+1,FALSE)</f>
        <v>Material</v>
      </c>
      <c r="M348" s="28" t="str">
        <f ca="1">VLOOKUP($I348,OFFSET([3]characters!$A$1,0,0,COUNTA([3]characters!$A:$A),MATCH(M$1,[3]characters!$2:$2,0)-MATCH($I$1,[3]characters!$2:$2,0)+2),MATCH(M$1,[3]characters!$2:$2,0)-MATCH($I$1,[3]characters!$2:$2,0)+2,FALSE)</f>
        <v>Unknown</v>
      </c>
      <c r="N348" s="5">
        <f ca="1">VLOOKUP($I348,OFFSET([2]enemies!$A$1,0,0,COUNTA([2]enemies!$A:$A),MATCH(N$1,[2]enemies!$2:$2,0)-MATCH($I$1,[2]enemies!$2:$2,0)+1),MATCH(N$1,[2]enemies!$2:$2,0)-MATCH($I$1,[2]enemies!$2:$2,0)+1,FALSE)</f>
        <v>20</v>
      </c>
      <c r="O348" s="6">
        <v>1</v>
      </c>
      <c r="P348" s="46">
        <v>16.5</v>
      </c>
      <c r="Q348" s="46">
        <v>16.7</v>
      </c>
      <c r="R348" s="6">
        <v>0</v>
      </c>
      <c r="S348" s="5" t="str">
        <f ca="1">VLOOKUP($T348,OFFSET([4]enemy_skill_sets!$B$1,0,0,COUNTA([4]enemy_skill_sets!$B:$B),MATCH(J$1,[4]enemy_skill_sets!$1:$1,0)-MATCH($T$1,[4]enemy_skill_sets!$1:$1,0)+2),MATCH(J$1,[4]enemy_skill_sets!$1:$1,0)-MATCH($T$1,[4]enemy_skill_sets!$1:$1,0)+2,FALSE)</f>
        <v>攻撃力30倍の自爆攻撃！</v>
      </c>
      <c r="T348" s="43">
        <v>11902</v>
      </c>
      <c r="U348" s="7">
        <v>1</v>
      </c>
      <c r="V348" s="7">
        <v>100</v>
      </c>
      <c r="W348" s="7">
        <v>0</v>
      </c>
      <c r="X348" s="44">
        <v>4</v>
      </c>
      <c r="Y348" s="31">
        <v>119</v>
      </c>
      <c r="Z348" s="5" t="str">
        <f ca="1">IFERROR(VLOOKUP($Y348,OFFSET([3]characters!$A$1,0,0,COUNTA([3]characters!$A:$A),MATCH(Z$1,[3]characters!$2:$2,0)-MATCH("character_id",[3]characters!$2:$2,0)+1),MATCH(Z$1,[3]characters!$2:$2,0)-MATCH("character_id",[3]characters!$2:$2,0)+1,FALSE),"")</f>
        <v>ゴールドダック</v>
      </c>
      <c r="AA348" s="5">
        <f ca="1">IFERROR(VLOOKUP($Y348,OFFSET([3]characters!$A$1,0,0,COUNTA([3]characters!$A:$A),MATCH(AA$1,[3]characters!$2:$2,0)-MATCH("character_id",[3]characters!$2:$2,0)+1),MATCH(AA$1,[3]characters!$2:$2,0)-MATCH("character_id",[3]characters!$2:$2,0)+1,FALSE),"")</f>
        <v>5</v>
      </c>
      <c r="AB348" s="5" t="str">
        <f ca="1">IFERROR(VLOOKUP($Y348,OFFSET([3]characters!$A$1,0,0,COUNTA([3]characters!$A:$A),MATCH(AB$1,[3]characters!$2:$2,0)-MATCH("character_id",[3]characters!$2:$2,0)+1),MATCH(AB$1,[3]characters!$2:$2,0)-MATCH("character_id",[3]characters!$2:$2,0)+1,FALSE),"")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48" s="8">
        <v>1</v>
      </c>
      <c r="AD348" s="34">
        <f t="shared" ca="1" si="232"/>
        <v>5</v>
      </c>
      <c r="AE348" s="9">
        <v>5</v>
      </c>
      <c r="AF348" s="8">
        <v>0</v>
      </c>
      <c r="AG348" s="8">
        <v>0</v>
      </c>
      <c r="AH348" s="8">
        <v>0</v>
      </c>
      <c r="AI348" s="8">
        <v>0</v>
      </c>
      <c r="AJ348" s="8">
        <v>1</v>
      </c>
    </row>
    <row r="349" spans="1:36" ht="21" customHeight="1">
      <c r="A349" s="21" t="str">
        <f t="shared" ref="A349:A351" ca="1" si="233">B349&amp;"_"&amp;C349&amp;"-"&amp;G349&amp;"/"&amp;I349&amp;"&lt;lv"&amp;O349&amp;"&gt;s"&amp;X349</f>
        <v>11206_2-4/117&lt;lv1&gt;s1</v>
      </c>
      <c r="B349" s="8">
        <v>11206</v>
      </c>
      <c r="C349" s="32">
        <v>2</v>
      </c>
      <c r="D349" s="2" t="str">
        <f t="shared" si="230"/>
        <v>11206_2</v>
      </c>
      <c r="E349" s="5" t="str">
        <f ca="1">VLOOKUP($B349,OFFSET([1]quests!$A$1,0,0,COUNTA([1]quests!$A:$A),MATCH(E$1,[1]quests!$1:$1,0)-MATCH($B$1,[1]quests!$1:$1,0)+1),MATCH(E$1,[1]quests!$1:$1,0)-MATCH($B$1,[1]quests!$1:$1,0)+1,FALSE)</f>
        <v>【キャンペーン限定】 ゴールドカジノ</v>
      </c>
      <c r="F349" s="5" t="str">
        <f ca="1">VLOOKUP($D349,OFFSET([1]stages!$A$1,0,0,COUNTA([1]stages!$A:$A),MATCH(F$1,[1]stages!$2:$2,0)-MATCH($D$1,[1]stages!$2:$2,0)+1),MATCH(F$1,[1]stages!$2:$2,0)-MATCH($D$1,[1]stages!$2:$2,0)+1,FALSE)</f>
        <v>ゴールドカジノ 【中級】</v>
      </c>
      <c r="G349" s="32">
        <v>4</v>
      </c>
      <c r="H349" s="20" t="str">
        <f t="shared" si="231"/>
        <v>11206_2-4</v>
      </c>
      <c r="I349" s="31">
        <v>117</v>
      </c>
      <c r="J349" s="26" t="str">
        <f ca="1">VLOOKUP($I349,OFFSET([2]enemies!$A$1,0,0,COUNTA([2]enemies!$A:$A),MATCH(J$1,[2]enemies!$2:$2,0)-MATCH($I$1,[2]enemies!$2:$2,0)+1),MATCH(J$1,[2]enemies!$2:$2,0)-MATCH($I$1,[2]enemies!$2:$2,0)+1,FALSE)</f>
        <v>ゴールドピヨピヨ</v>
      </c>
      <c r="K349" s="29" t="str">
        <f ca="1">VLOOKUP($I349,OFFSET([2]enemies!$A$1,0,0,COUNTA([2]enemies!$A:$A),MATCH(K$1,[2]enemies!$2:$2,0)-MATCH($I$1,[2]enemies!$2:$2,0)+1),MATCH(K$1,[2]enemies!$2:$2,0)-MATCH($I$1,[2]enemies!$2:$2,0)+1,FALSE)</f>
        <v>yellow</v>
      </c>
      <c r="L349" s="29" t="str">
        <f ca="1">VLOOKUP($I349,OFFSET([3]characters!$A$1,0,0,COUNTA([3]characters!$A:$A),MATCH(L$1,[3]characters!$2:$2,0)-MATCH($I$1,[3]characters!$2:$2,0)+1),MATCH(L$1,[3]characters!$2:$2,0)-MATCH($I$1,[3]characters!$2:$2,0)+1,FALSE)</f>
        <v>Material</v>
      </c>
      <c r="M349" s="28" t="str">
        <f ca="1">VLOOKUP($I349,OFFSET([3]characters!$A$1,0,0,COUNTA([3]characters!$A:$A),MATCH(M$1,[3]characters!$2:$2,0)-MATCH($I$1,[3]characters!$2:$2,0)+2),MATCH(M$1,[3]characters!$2:$2,0)-MATCH($I$1,[3]characters!$2:$2,0)+2,FALSE)</f>
        <v>Unknown</v>
      </c>
      <c r="N349" s="5">
        <f ca="1">VLOOKUP($I349,OFFSET([2]enemies!$A$1,0,0,COUNTA([2]enemies!$A:$A),MATCH(N$1,[2]enemies!$2:$2,0)-MATCH($I$1,[2]enemies!$2:$2,0)+1),MATCH(N$1,[2]enemies!$2:$2,0)-MATCH($I$1,[2]enemies!$2:$2,0)+1,FALSE)</f>
        <v>15</v>
      </c>
      <c r="O349" s="6">
        <v>1</v>
      </c>
      <c r="P349" s="46">
        <v>16.5</v>
      </c>
      <c r="Q349" s="46">
        <v>17.75</v>
      </c>
      <c r="R349" s="6">
        <v>0</v>
      </c>
      <c r="S349" s="5" t="str">
        <f ca="1">VLOOKUP($T349,OFFSET([4]enemy_skill_sets!$B$1,0,0,COUNTA([4]enemy_skill_sets!$B:$B),MATCH(J$1,[4]enemy_skill_sets!$1:$1,0)-MATCH($T$1,[4]enemy_skill_sets!$1:$1,0)+2),MATCH(J$1,[4]enemy_skill_sets!$1:$1,0)-MATCH($T$1,[4]enemy_skill_sets!$1:$1,0)+2,FALSE)</f>
        <v>攻撃力10倍の自爆攻撃！</v>
      </c>
      <c r="T349" s="43">
        <v>11703</v>
      </c>
      <c r="U349" s="7">
        <v>1</v>
      </c>
      <c r="V349" s="7">
        <v>100</v>
      </c>
      <c r="W349" s="7">
        <v>0</v>
      </c>
      <c r="X349" s="26">
        <f ca="1">VLOOKUP($I349,OFFSET([2]enemies!$A$1,0,0,COUNTA([2]enemies!$A:$A),MATCH(X$1,[2]enemies!$2:$2,0)-MATCH($I$1,[2]enemies!$2:$2,0)+1),MATCH(X$1,[2]enemies!$2:$2,0)-MATCH($I$1,[2]enemies!$2:$2,0)+1,FALSE)</f>
        <v>1</v>
      </c>
      <c r="Y349" s="31">
        <v>117</v>
      </c>
      <c r="Z349" s="5" t="str">
        <f ca="1">IFERROR(VLOOKUP($Y349,OFFSET([3]characters!$A$1,0,0,COUNTA([3]characters!$A:$A),MATCH(Z$1,[3]characters!$2:$2,0)-MATCH("character_id",[3]characters!$2:$2,0)+1),MATCH(Z$1,[3]characters!$2:$2,0)-MATCH("character_id",[3]characters!$2:$2,0)+1,FALSE),"")</f>
        <v>ゴールドピヨピヨ</v>
      </c>
      <c r="AA349" s="5">
        <f ca="1">IFERROR(VLOOKUP($Y349,OFFSET([3]characters!$A$1,0,0,COUNTA([3]characters!$A:$A),MATCH(AA$1,[3]characters!$2:$2,0)-MATCH("character_id",[3]characters!$2:$2,0)+1),MATCH(AA$1,[3]characters!$2:$2,0)-MATCH("character_id",[3]characters!$2:$2,0)+1,FALSE),"")</f>
        <v>3</v>
      </c>
      <c r="AB349" s="5" t="str">
        <f ca="1">IFERROR(VLOOKUP($Y349,OFFSET([3]characters!$A$1,0,0,COUNTA([3]characters!$A:$A),MATCH(AB$1,[3]characters!$2:$2,0)-MATCH("character_id",[3]characters!$2:$2,0)+1),MATCH(AB$1,[3]characters!$2:$2,0)-MATCH("character_id",[3]characters!$2:$2,0)+1,FALSE),"")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49" s="8">
        <v>1</v>
      </c>
      <c r="AD349" s="34">
        <f t="shared" ca="1" si="232"/>
        <v>3</v>
      </c>
      <c r="AE349" s="9">
        <v>20</v>
      </c>
      <c r="AF349" s="8">
        <v>0</v>
      </c>
      <c r="AG349" s="8">
        <v>0</v>
      </c>
      <c r="AH349" s="8">
        <v>0</v>
      </c>
      <c r="AI349" s="8">
        <v>0</v>
      </c>
      <c r="AJ349" s="8">
        <v>1</v>
      </c>
    </row>
    <row r="350" spans="1:36" ht="21" customHeight="1">
      <c r="A350" s="21" t="str">
        <f t="shared" ca="1" si="233"/>
        <v>11206_2-4/118&lt;lv2&gt;s2</v>
      </c>
      <c r="B350" s="8">
        <v>11206</v>
      </c>
      <c r="C350" s="32">
        <v>2</v>
      </c>
      <c r="D350" s="2" t="str">
        <f t="shared" si="230"/>
        <v>11206_2</v>
      </c>
      <c r="E350" s="5" t="str">
        <f ca="1">VLOOKUP($B350,OFFSET([1]quests!$A$1,0,0,COUNTA([1]quests!$A:$A),MATCH(E$1,[1]quests!$1:$1,0)-MATCH($B$1,[1]quests!$1:$1,0)+1),MATCH(E$1,[1]quests!$1:$1,0)-MATCH($B$1,[1]quests!$1:$1,0)+1,FALSE)</f>
        <v>【キャンペーン限定】 ゴールドカジノ</v>
      </c>
      <c r="F350" s="5" t="str">
        <f ca="1">VLOOKUP($D350,OFFSET([1]stages!$A$1,0,0,COUNTA([1]stages!$A:$A),MATCH(F$1,[1]stages!$2:$2,0)-MATCH($D$1,[1]stages!$2:$2,0)+1),MATCH(F$1,[1]stages!$2:$2,0)-MATCH($D$1,[1]stages!$2:$2,0)+1,FALSE)</f>
        <v>ゴールドカジノ 【中級】</v>
      </c>
      <c r="G350" s="32">
        <v>4</v>
      </c>
      <c r="H350" s="20" t="str">
        <f t="shared" si="231"/>
        <v>11206_2-4</v>
      </c>
      <c r="I350" s="31">
        <v>118</v>
      </c>
      <c r="J350" s="26" t="str">
        <f ca="1">VLOOKUP($I350,OFFSET([2]enemies!$A$1,0,0,COUNTA([2]enemies!$A:$A),MATCH(J$1,[2]enemies!$2:$2,0)-MATCH($I$1,[2]enemies!$2:$2,0)+1),MATCH(J$1,[2]enemies!$2:$2,0)-MATCH($I$1,[2]enemies!$2:$2,0)+1,FALSE)</f>
        <v>ゴールドチック</v>
      </c>
      <c r="K350" s="29" t="str">
        <f ca="1">VLOOKUP($I350,OFFSET([2]enemies!$A$1,0,0,COUNTA([2]enemies!$A:$A),MATCH(K$1,[2]enemies!$2:$2,0)-MATCH($I$1,[2]enemies!$2:$2,0)+1),MATCH(K$1,[2]enemies!$2:$2,0)-MATCH($I$1,[2]enemies!$2:$2,0)+1,FALSE)</f>
        <v>yellow</v>
      </c>
      <c r="L350" s="29" t="str">
        <f ca="1">VLOOKUP($I350,OFFSET([3]characters!$A$1,0,0,COUNTA([3]characters!$A:$A),MATCH(L$1,[3]characters!$2:$2,0)-MATCH($I$1,[3]characters!$2:$2,0)+1),MATCH(L$1,[3]characters!$2:$2,0)-MATCH($I$1,[3]characters!$2:$2,0)+1,FALSE)</f>
        <v>Material</v>
      </c>
      <c r="M350" s="28" t="str">
        <f ca="1">VLOOKUP($I350,OFFSET([3]characters!$A$1,0,0,COUNTA([3]characters!$A:$A),MATCH(M$1,[3]characters!$2:$2,0)-MATCH($I$1,[3]characters!$2:$2,0)+2),MATCH(M$1,[3]characters!$2:$2,0)-MATCH($I$1,[3]characters!$2:$2,0)+2,FALSE)</f>
        <v>Unknown</v>
      </c>
      <c r="N350" s="5">
        <f ca="1">VLOOKUP($I350,OFFSET([2]enemies!$A$1,0,0,COUNTA([2]enemies!$A:$A),MATCH(N$1,[2]enemies!$2:$2,0)-MATCH($I$1,[2]enemies!$2:$2,0)+1),MATCH(N$1,[2]enemies!$2:$2,0)-MATCH($I$1,[2]enemies!$2:$2,0)+1,FALSE)</f>
        <v>15</v>
      </c>
      <c r="O350" s="6">
        <v>2</v>
      </c>
      <c r="P350" s="46">
        <v>11.8</v>
      </c>
      <c r="Q350" s="46">
        <v>15.75</v>
      </c>
      <c r="R350" s="6">
        <v>0</v>
      </c>
      <c r="S350" s="5" t="str">
        <f ca="1">VLOOKUP($T350,OFFSET([4]enemy_skill_sets!$B$1,0,0,COUNTA([4]enemy_skill_sets!$B:$B),MATCH(J$1,[4]enemy_skill_sets!$1:$1,0)-MATCH($T$1,[4]enemy_skill_sets!$1:$1,0)+2),MATCH(J$1,[4]enemy_skill_sets!$1:$1,0)-MATCH($T$1,[4]enemy_skill_sets!$1:$1,0)+2,FALSE)</f>
        <v>攻撃力20倍の自爆攻撃！</v>
      </c>
      <c r="T350" s="43">
        <v>11802</v>
      </c>
      <c r="U350" s="7">
        <v>0</v>
      </c>
      <c r="V350" s="7">
        <v>100</v>
      </c>
      <c r="W350" s="7">
        <v>0</v>
      </c>
      <c r="X350" s="26">
        <f ca="1">VLOOKUP($I350,OFFSET([2]enemies!$A$1,0,0,COUNTA([2]enemies!$A:$A),MATCH(X$1,[2]enemies!$2:$2,0)-MATCH($I$1,[2]enemies!$2:$2,0)+1),MATCH(X$1,[2]enemies!$2:$2,0)-MATCH($I$1,[2]enemies!$2:$2,0)+1,FALSE)</f>
        <v>2</v>
      </c>
      <c r="Y350" s="31">
        <v>118</v>
      </c>
      <c r="Z350" s="5" t="str">
        <f ca="1">IFERROR(VLOOKUP($Y350,OFFSET([3]characters!$A$1,0,0,COUNTA([3]characters!$A:$A),MATCH(Z$1,[3]characters!$2:$2,0)-MATCH("character_id",[3]characters!$2:$2,0)+1),MATCH(Z$1,[3]characters!$2:$2,0)-MATCH("character_id",[3]characters!$2:$2,0)+1,FALSE),"")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350" s="5">
        <f ca="1">IFERROR(VLOOKUP($Y350,OFFSET([3]characters!$A$1,0,0,COUNTA([3]characters!$A:$A),MATCH(AA$1,[3]characters!$2:$2,0)-MATCH("character_id",[3]characters!$2:$2,0)+1),MATCH(AA$1,[3]characters!$2:$2,0)-MATCH("character_id",[3]characters!$2:$2,0)+1,FALSE),"")</f>
        <v>4</v>
      </c>
      <c r="AB350" s="5" t="str">
        <f ca="1">IFERROR(VLOOKUP($Y350,OFFSET([3]characters!$A$1,0,0,COUNTA([3]characters!$A:$A),MATCH(AB$1,[3]characters!$2:$2,0)-MATCH("character_id",[3]characters!$2:$2,0)+1),MATCH(AB$1,[3]characters!$2:$2,0)-MATCH("character_id",[3]characters!$2:$2,0)+1,FALSE),"")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50" s="8">
        <v>1</v>
      </c>
      <c r="AD350" s="34">
        <f t="shared" ca="1" si="232"/>
        <v>4</v>
      </c>
      <c r="AE350" s="9">
        <v>50</v>
      </c>
      <c r="AF350" s="8">
        <v>0</v>
      </c>
      <c r="AG350" s="8">
        <v>0</v>
      </c>
      <c r="AH350" s="8">
        <v>0</v>
      </c>
      <c r="AI350" s="8">
        <v>0</v>
      </c>
      <c r="AJ350" s="8">
        <v>1</v>
      </c>
    </row>
    <row r="351" spans="1:36" ht="21" customHeight="1">
      <c r="A351" s="21" t="str">
        <f t="shared" ca="1" si="233"/>
        <v>11206_2-4/118&lt;lv1&gt;s2</v>
      </c>
      <c r="B351" s="8">
        <v>11206</v>
      </c>
      <c r="C351" s="32">
        <v>2</v>
      </c>
      <c r="D351" s="2" t="str">
        <f t="shared" si="230"/>
        <v>11206_2</v>
      </c>
      <c r="E351" s="5" t="str">
        <f ca="1">VLOOKUP($B351,OFFSET([1]quests!$A$1,0,0,COUNTA([1]quests!$A:$A),MATCH(E$1,[1]quests!$1:$1,0)-MATCH($B$1,[1]quests!$1:$1,0)+1),MATCH(E$1,[1]quests!$1:$1,0)-MATCH($B$1,[1]quests!$1:$1,0)+1,FALSE)</f>
        <v>【キャンペーン限定】 ゴールドカジノ</v>
      </c>
      <c r="F351" s="5" t="str">
        <f ca="1">VLOOKUP($D351,OFFSET([1]stages!$A$1,0,0,COUNTA([1]stages!$A:$A),MATCH(F$1,[1]stages!$2:$2,0)-MATCH($D$1,[1]stages!$2:$2,0)+1),MATCH(F$1,[1]stages!$2:$2,0)-MATCH($D$1,[1]stages!$2:$2,0)+1,FALSE)</f>
        <v>ゴールドカジノ 【中級】</v>
      </c>
      <c r="G351" s="32">
        <v>4</v>
      </c>
      <c r="H351" s="20" t="str">
        <f t="shared" si="231"/>
        <v>11206_2-4</v>
      </c>
      <c r="I351" s="31">
        <v>118</v>
      </c>
      <c r="J351" s="26" t="str">
        <f ca="1">VLOOKUP($I351,OFFSET([2]enemies!$A$1,0,0,COUNTA([2]enemies!$A:$A),MATCH(J$1,[2]enemies!$2:$2,0)-MATCH($I$1,[2]enemies!$2:$2,0)+1),MATCH(J$1,[2]enemies!$2:$2,0)-MATCH($I$1,[2]enemies!$2:$2,0)+1,FALSE)</f>
        <v>ゴールドチック</v>
      </c>
      <c r="K351" s="29" t="str">
        <f ca="1">VLOOKUP($I351,OFFSET([2]enemies!$A$1,0,0,COUNTA([2]enemies!$A:$A),MATCH(K$1,[2]enemies!$2:$2,0)-MATCH($I$1,[2]enemies!$2:$2,0)+1),MATCH(K$1,[2]enemies!$2:$2,0)-MATCH($I$1,[2]enemies!$2:$2,0)+1,FALSE)</f>
        <v>yellow</v>
      </c>
      <c r="L351" s="29" t="str">
        <f ca="1">VLOOKUP($I351,OFFSET([3]characters!$A$1,0,0,COUNTA([3]characters!$A:$A),MATCH(L$1,[3]characters!$2:$2,0)-MATCH($I$1,[3]characters!$2:$2,0)+1),MATCH(L$1,[3]characters!$2:$2,0)-MATCH($I$1,[3]characters!$2:$2,0)+1,FALSE)</f>
        <v>Material</v>
      </c>
      <c r="M351" s="28" t="str">
        <f ca="1">VLOOKUP($I351,OFFSET([3]characters!$A$1,0,0,COUNTA([3]characters!$A:$A),MATCH(M$1,[3]characters!$2:$2,0)-MATCH($I$1,[3]characters!$2:$2,0)+2),MATCH(M$1,[3]characters!$2:$2,0)-MATCH($I$1,[3]characters!$2:$2,0)+2,FALSE)</f>
        <v>Unknown</v>
      </c>
      <c r="N351" s="5">
        <f ca="1">VLOOKUP($I351,OFFSET([2]enemies!$A$1,0,0,COUNTA([2]enemies!$A:$A),MATCH(N$1,[2]enemies!$2:$2,0)-MATCH($I$1,[2]enemies!$2:$2,0)+1),MATCH(N$1,[2]enemies!$2:$2,0)-MATCH($I$1,[2]enemies!$2:$2,0)+1,FALSE)</f>
        <v>15</v>
      </c>
      <c r="O351" s="6">
        <v>1</v>
      </c>
      <c r="P351" s="46">
        <v>16.5</v>
      </c>
      <c r="Q351" s="46">
        <v>15.75</v>
      </c>
      <c r="R351" s="6">
        <v>0</v>
      </c>
      <c r="S351" s="5" t="str">
        <f ca="1">VLOOKUP($T351,OFFSET([4]enemy_skill_sets!$B$1,0,0,COUNTA([4]enemy_skill_sets!$B:$B),MATCH(J$1,[4]enemy_skill_sets!$1:$1,0)-MATCH($T$1,[4]enemy_skill_sets!$1:$1,0)+2),MATCH(J$1,[4]enemy_skill_sets!$1:$1,0)-MATCH($T$1,[4]enemy_skill_sets!$1:$1,0)+2,FALSE)</f>
        <v>攻撃力20倍の自爆攻撃！</v>
      </c>
      <c r="T351" s="43">
        <v>11802</v>
      </c>
      <c r="U351" s="7">
        <v>0</v>
      </c>
      <c r="V351" s="7">
        <v>100</v>
      </c>
      <c r="W351" s="7">
        <v>0</v>
      </c>
      <c r="X351" s="26">
        <f ca="1">VLOOKUP($I351,OFFSET([2]enemies!$A$1,0,0,COUNTA([2]enemies!$A:$A),MATCH(X$1,[2]enemies!$2:$2,0)-MATCH($I$1,[2]enemies!$2:$2,0)+1),MATCH(X$1,[2]enemies!$2:$2,0)-MATCH($I$1,[2]enemies!$2:$2,0)+1,FALSE)</f>
        <v>2</v>
      </c>
      <c r="Y351" s="31">
        <v>118</v>
      </c>
      <c r="Z351" s="5" t="str">
        <f ca="1">IFERROR(VLOOKUP($Y351,OFFSET([3]characters!$A$1,0,0,COUNTA([3]characters!$A:$A),MATCH(Z$1,[3]characters!$2:$2,0)-MATCH("character_id",[3]characters!$2:$2,0)+1),MATCH(Z$1,[3]characters!$2:$2,0)-MATCH("character_id",[3]characters!$2:$2,0)+1,FALSE),"")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351" s="5">
        <f ca="1">IFERROR(VLOOKUP($Y351,OFFSET([3]characters!$A$1,0,0,COUNTA([3]characters!$A:$A),MATCH(AA$1,[3]characters!$2:$2,0)-MATCH("character_id",[3]characters!$2:$2,0)+1),MATCH(AA$1,[3]characters!$2:$2,0)-MATCH("character_id",[3]characters!$2:$2,0)+1,FALSE),"")</f>
        <v>4</v>
      </c>
      <c r="AB351" s="5" t="str">
        <f ca="1">IFERROR(VLOOKUP($Y351,OFFSET([3]characters!$A$1,0,0,COUNTA([3]characters!$A:$A),MATCH(AB$1,[3]characters!$2:$2,0)-MATCH("character_id",[3]characters!$2:$2,0)+1),MATCH(AB$1,[3]characters!$2:$2,0)-MATCH("character_id",[3]characters!$2:$2,0)+1,FALSE),"")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51" s="8">
        <v>1</v>
      </c>
      <c r="AD351" s="34">
        <f t="shared" ca="1" si="232"/>
        <v>4</v>
      </c>
      <c r="AE351" s="9">
        <v>50</v>
      </c>
      <c r="AF351" s="8">
        <v>0</v>
      </c>
      <c r="AG351" s="8">
        <v>0</v>
      </c>
      <c r="AH351" s="8">
        <v>0</v>
      </c>
      <c r="AI351" s="8">
        <v>0</v>
      </c>
      <c r="AJ351" s="8">
        <v>1</v>
      </c>
    </row>
    <row r="352" spans="1:36" ht="21" customHeight="1">
      <c r="A352" s="21" t="str">
        <f>B352&amp;"_"&amp;C352&amp;"-"&amp;G352&amp;"/"&amp;I352&amp;"&lt;lv"&amp;O352&amp;"&gt;s"&amp;X352</f>
        <v>11206_2-4/41&lt;lv16&gt;s1</v>
      </c>
      <c r="B352" s="8">
        <v>11206</v>
      </c>
      <c r="C352" s="32">
        <v>2</v>
      </c>
      <c r="D352" s="20" t="str">
        <f>B352&amp;"_"&amp;C352</f>
        <v>11206_2</v>
      </c>
      <c r="E352" s="5" t="str">
        <f ca="1">VLOOKUP($B352,OFFSET([1]quests!$A$1,0,0,COUNTA([1]quests!$A:$A),MATCH(E$1,[1]quests!$1:$1,0)-MATCH($B$1,[1]quests!$1:$1,0)+1),MATCH(E$1,[1]quests!$1:$1,0)-MATCH($B$1,[1]quests!$1:$1,0)+1,FALSE)</f>
        <v>【キャンペーン限定】 ゴールドカジノ</v>
      </c>
      <c r="F352" s="5" t="str">
        <f ca="1">VLOOKUP($D352,OFFSET([1]stages!$A$1,0,0,COUNTA([1]stages!$A:$A),MATCH(F$1,[1]stages!$2:$2,0)-MATCH($D$1,[1]stages!$2:$2,0)+1),MATCH(F$1,[1]stages!$2:$2,0)-MATCH($D$1,[1]stages!$2:$2,0)+1,FALSE)</f>
        <v>ゴールドカジノ 【中級】</v>
      </c>
      <c r="G352" s="32">
        <v>4</v>
      </c>
      <c r="H352" s="20" t="str">
        <f>B352&amp;"_"&amp;C352&amp;"-"&amp;G352</f>
        <v>11206_2-4</v>
      </c>
      <c r="I352" s="38">
        <v>41</v>
      </c>
      <c r="J352" s="26" t="s">
        <v>50</v>
      </c>
      <c r="K352" s="29" t="s">
        <v>51</v>
      </c>
      <c r="L352" s="29" t="s">
        <v>52</v>
      </c>
      <c r="M352" s="28" t="s">
        <v>53</v>
      </c>
      <c r="N352" s="5">
        <v>15</v>
      </c>
      <c r="O352" s="6">
        <v>16</v>
      </c>
      <c r="P352" s="46">
        <v>1</v>
      </c>
      <c r="Q352" s="46">
        <v>1</v>
      </c>
      <c r="R352" s="6">
        <v>0</v>
      </c>
      <c r="S352" s="5" t="str">
        <f ca="1">VLOOKUP($T352,OFFSET([4]enemy_skill_sets!$B$1,0,0,COUNTA([4]enemy_skill_sets!$B:$B),MATCH(J$1,[4]enemy_skill_sets!$1:$1,0)-MATCH($T$1,[4]enemy_skill_sets!$1:$1,0)+2),MATCH(J$1,[4]enemy_skill_sets!$1:$1,0)-MATCH($T$1,[4]enemy_skill_sets!$1:$1,0)+2,FALSE)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2" s="5">
        <v>0</v>
      </c>
      <c r="U352" s="36">
        <v>0</v>
      </c>
      <c r="V352" s="36">
        <v>100</v>
      </c>
      <c r="W352" s="36">
        <v>0</v>
      </c>
      <c r="X352" s="26">
        <v>1</v>
      </c>
      <c r="Y352" s="38">
        <v>41</v>
      </c>
      <c r="Z352" s="5" t="s">
        <v>50</v>
      </c>
      <c r="AA352" s="5">
        <v>2</v>
      </c>
      <c r="AB352" s="5" t="s">
        <v>52</v>
      </c>
      <c r="AC352" s="37">
        <v>1</v>
      </c>
      <c r="AD352" s="35">
        <f>AA352</f>
        <v>2</v>
      </c>
      <c r="AE352" s="9">
        <v>0</v>
      </c>
      <c r="AF352" s="35">
        <v>0</v>
      </c>
      <c r="AG352" s="35">
        <v>0</v>
      </c>
      <c r="AH352" s="35">
        <v>0</v>
      </c>
      <c r="AI352" s="35">
        <v>0</v>
      </c>
      <c r="AJ352" s="35">
        <v>1</v>
      </c>
    </row>
    <row r="353" spans="1:36" ht="21" customHeight="1">
      <c r="A353" s="21" t="str">
        <f>B353&amp;"_"&amp;C353&amp;"-"&amp;G353&amp;"/"&amp;I353&amp;"&lt;lv"&amp;O353&amp;"&gt;s"&amp;X353</f>
        <v>11206_2-4/43&lt;lv16&gt;s2</v>
      </c>
      <c r="B353" s="8">
        <v>11206</v>
      </c>
      <c r="C353" s="32">
        <v>2</v>
      </c>
      <c r="D353" s="20" t="str">
        <f>B353&amp;"_"&amp;C353</f>
        <v>11206_2</v>
      </c>
      <c r="E353" s="5" t="str">
        <f ca="1">VLOOKUP($B353,OFFSET([1]quests!$A$1,0,0,COUNTA([1]quests!$A:$A),MATCH(E$1,[1]quests!$1:$1,0)-MATCH($B$1,[1]quests!$1:$1,0)+1),MATCH(E$1,[1]quests!$1:$1,0)-MATCH($B$1,[1]quests!$1:$1,0)+1,FALSE)</f>
        <v>【キャンペーン限定】 ゴールドカジノ</v>
      </c>
      <c r="F353" s="5" t="str">
        <f ca="1">VLOOKUP($D353,OFFSET([1]stages!$A$1,0,0,COUNTA([1]stages!$A:$A),MATCH(F$1,[1]stages!$2:$2,0)-MATCH($D$1,[1]stages!$2:$2,0)+1),MATCH(F$1,[1]stages!$2:$2,0)-MATCH($D$1,[1]stages!$2:$2,0)+1,FALSE)</f>
        <v>ゴールドカジノ 【中級】</v>
      </c>
      <c r="G353" s="32">
        <v>4</v>
      </c>
      <c r="H353" s="20" t="str">
        <f>B353&amp;"_"&amp;C353&amp;"-"&amp;G353</f>
        <v>11206_2-4</v>
      </c>
      <c r="I353" s="38">
        <v>43</v>
      </c>
      <c r="J353" s="26" t="s">
        <v>54</v>
      </c>
      <c r="K353" s="29" t="s">
        <v>55</v>
      </c>
      <c r="L353" s="29" t="s">
        <v>52</v>
      </c>
      <c r="M353" s="28" t="s">
        <v>53</v>
      </c>
      <c r="N353" s="5">
        <v>15</v>
      </c>
      <c r="O353" s="6">
        <v>16</v>
      </c>
      <c r="P353" s="46">
        <v>1</v>
      </c>
      <c r="Q353" s="46">
        <v>1</v>
      </c>
      <c r="R353" s="6">
        <v>0</v>
      </c>
      <c r="S353" s="5" t="str">
        <f ca="1">VLOOKUP($T353,OFFSET([4]enemy_skill_sets!$B$1,0,0,COUNTA([4]enemy_skill_sets!$B:$B),MATCH(J$1,[4]enemy_skill_sets!$1:$1,0)-MATCH($T$1,[4]enemy_skill_sets!$1:$1,0)+2),MATCH(J$1,[4]enemy_skill_sets!$1:$1,0)-MATCH($T$1,[4]enemy_skill_sets!$1:$1,0)+2,FALSE)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3" s="5">
        <v>0</v>
      </c>
      <c r="U353" s="36">
        <v>0</v>
      </c>
      <c r="V353" s="36">
        <v>100</v>
      </c>
      <c r="W353" s="36">
        <v>0</v>
      </c>
      <c r="X353" s="26">
        <v>2</v>
      </c>
      <c r="Y353" s="38">
        <v>43</v>
      </c>
      <c r="Z353" s="5" t="s">
        <v>54</v>
      </c>
      <c r="AA353" s="5">
        <v>2</v>
      </c>
      <c r="AB353" s="5" t="s">
        <v>52</v>
      </c>
      <c r="AC353" s="37">
        <v>1</v>
      </c>
      <c r="AD353" s="35">
        <f>AA353</f>
        <v>2</v>
      </c>
      <c r="AE353" s="9">
        <v>0</v>
      </c>
      <c r="AF353" s="35">
        <v>0</v>
      </c>
      <c r="AG353" s="35">
        <v>0</v>
      </c>
      <c r="AH353" s="35">
        <v>0</v>
      </c>
      <c r="AI353" s="35">
        <v>0</v>
      </c>
      <c r="AJ353" s="35">
        <v>1</v>
      </c>
    </row>
    <row r="354" spans="1:36" ht="21" customHeight="1">
      <c r="A354" s="21" t="str">
        <f>B354&amp;"_"&amp;C354&amp;"-"&amp;G354&amp;"/"&amp;I354&amp;"&lt;lv"&amp;O354&amp;"&gt;s"&amp;X354</f>
        <v>11206_2-4/47&lt;lv16&gt;s1</v>
      </c>
      <c r="B354" s="8">
        <v>11206</v>
      </c>
      <c r="C354" s="32">
        <v>2</v>
      </c>
      <c r="D354" s="20" t="str">
        <f>B354&amp;"_"&amp;C354</f>
        <v>11206_2</v>
      </c>
      <c r="E354" s="5" t="str">
        <f ca="1">VLOOKUP($B354,OFFSET([1]quests!$A$1,0,0,COUNTA([1]quests!$A:$A),MATCH(E$1,[1]quests!$1:$1,0)-MATCH($B$1,[1]quests!$1:$1,0)+1),MATCH(E$1,[1]quests!$1:$1,0)-MATCH($B$1,[1]quests!$1:$1,0)+1,FALSE)</f>
        <v>【キャンペーン限定】 ゴールドカジノ</v>
      </c>
      <c r="F354" s="5" t="str">
        <f ca="1">VLOOKUP($D354,OFFSET([1]stages!$A$1,0,0,COUNTA([1]stages!$A:$A),MATCH(F$1,[1]stages!$2:$2,0)-MATCH($D$1,[1]stages!$2:$2,0)+1),MATCH(F$1,[1]stages!$2:$2,0)-MATCH($D$1,[1]stages!$2:$2,0)+1,FALSE)</f>
        <v>ゴールドカジノ 【中級】</v>
      </c>
      <c r="G354" s="32">
        <v>4</v>
      </c>
      <c r="H354" s="20" t="str">
        <f>B354&amp;"_"&amp;C354&amp;"-"&amp;G354</f>
        <v>11206_2-4</v>
      </c>
      <c r="I354" s="38">
        <v>47</v>
      </c>
      <c r="J354" s="26" t="s">
        <v>56</v>
      </c>
      <c r="K354" s="29" t="s">
        <v>57</v>
      </c>
      <c r="L354" s="29" t="s">
        <v>52</v>
      </c>
      <c r="M354" s="28" t="s">
        <v>58</v>
      </c>
      <c r="N354" s="5">
        <v>15</v>
      </c>
      <c r="O354" s="6">
        <v>16</v>
      </c>
      <c r="P354" s="46">
        <v>1</v>
      </c>
      <c r="Q354" s="46">
        <v>1</v>
      </c>
      <c r="R354" s="6">
        <v>0</v>
      </c>
      <c r="S354" s="5" t="str">
        <f ca="1">VLOOKUP($T354,OFFSET([4]enemy_skill_sets!$B$1,0,0,COUNTA([4]enemy_skill_sets!$B:$B),MATCH(J$1,[4]enemy_skill_sets!$1:$1,0)-MATCH($T$1,[4]enemy_skill_sets!$1:$1,0)+2),MATCH(J$1,[4]enemy_skill_sets!$1:$1,0)-MATCH($T$1,[4]enemy_skill_sets!$1:$1,0)+2,FALSE)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4" s="5">
        <v>0</v>
      </c>
      <c r="U354" s="36">
        <v>0</v>
      </c>
      <c r="V354" s="36">
        <v>100</v>
      </c>
      <c r="W354" s="36">
        <v>0</v>
      </c>
      <c r="X354" s="26">
        <v>1</v>
      </c>
      <c r="Y354" s="38">
        <v>47</v>
      </c>
      <c r="Z354" s="5" t="s">
        <v>56</v>
      </c>
      <c r="AA354" s="5">
        <v>2</v>
      </c>
      <c r="AB354" s="5" t="s">
        <v>52</v>
      </c>
      <c r="AC354" s="37">
        <v>1</v>
      </c>
      <c r="AD354" s="35">
        <f>AA354</f>
        <v>2</v>
      </c>
      <c r="AE354" s="9">
        <v>0</v>
      </c>
      <c r="AF354" s="35">
        <v>0</v>
      </c>
      <c r="AG354" s="35">
        <v>0</v>
      </c>
      <c r="AH354" s="35">
        <v>0</v>
      </c>
      <c r="AI354" s="35">
        <v>0</v>
      </c>
      <c r="AJ354" s="35">
        <v>1</v>
      </c>
    </row>
    <row r="355" spans="1:36" ht="21" customHeight="1">
      <c r="A355" s="21" t="str">
        <f>B355&amp;"_"&amp;C355&amp;"-"&amp;G355&amp;"/"&amp;I355&amp;"&lt;lv"&amp;O355&amp;"&gt;s"&amp;X355</f>
        <v>11206_2-4/45&lt;lv1&gt;s3</v>
      </c>
      <c r="B355" s="8">
        <v>11206</v>
      </c>
      <c r="C355" s="32">
        <v>2</v>
      </c>
      <c r="D355" s="20" t="str">
        <f>B355&amp;"_"&amp;C355</f>
        <v>11206_2</v>
      </c>
      <c r="E355" s="5" t="str">
        <f ca="1">VLOOKUP($B355,OFFSET([1]quests!$A$1,0,0,COUNTA([1]quests!$A:$A),MATCH(E$1,[1]quests!$1:$1,0)-MATCH($B$1,[1]quests!$1:$1,0)+1),MATCH(E$1,[1]quests!$1:$1,0)-MATCH($B$1,[1]quests!$1:$1,0)+1,FALSE)</f>
        <v>【キャンペーン限定】 ゴールドカジノ</v>
      </c>
      <c r="F355" s="5" t="str">
        <f ca="1">VLOOKUP($D355,OFFSET([1]stages!$A$1,0,0,COUNTA([1]stages!$A:$A),MATCH(F$1,[1]stages!$2:$2,0)-MATCH($D$1,[1]stages!$2:$2,0)+1),MATCH(F$1,[1]stages!$2:$2,0)-MATCH($D$1,[1]stages!$2:$2,0)+1,FALSE)</f>
        <v>ゴールドカジノ 【中級】</v>
      </c>
      <c r="G355" s="32">
        <v>4</v>
      </c>
      <c r="H355" s="20" t="str">
        <f>B355&amp;"_"&amp;C355&amp;"-"&amp;G355</f>
        <v>11206_2-4</v>
      </c>
      <c r="I355" s="38">
        <v>45</v>
      </c>
      <c r="J355" s="26" t="s">
        <v>59</v>
      </c>
      <c r="K355" s="29" t="s">
        <v>60</v>
      </c>
      <c r="L355" s="29" t="s">
        <v>52</v>
      </c>
      <c r="M355" s="28" t="s">
        <v>58</v>
      </c>
      <c r="N355" s="5">
        <v>15</v>
      </c>
      <c r="O355" s="6">
        <v>1</v>
      </c>
      <c r="P355" s="46">
        <v>1</v>
      </c>
      <c r="Q355" s="46">
        <v>1</v>
      </c>
      <c r="R355" s="6">
        <v>0</v>
      </c>
      <c r="S355" s="5" t="str">
        <f ca="1">VLOOKUP($T355,OFFSET([4]enemy_skill_sets!$B$1,0,0,COUNTA([4]enemy_skill_sets!$B:$B),MATCH(J$1,[4]enemy_skill_sets!$1:$1,0)-MATCH($T$1,[4]enemy_skill_sets!$1:$1,0)+2),MATCH(J$1,[4]enemy_skill_sets!$1:$1,0)-MATCH($T$1,[4]enemy_skill_sets!$1:$1,0)+2,FALSE)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5" s="5">
        <v>0</v>
      </c>
      <c r="U355" s="36">
        <v>0</v>
      </c>
      <c r="V355" s="36">
        <v>100</v>
      </c>
      <c r="W355" s="36">
        <v>0</v>
      </c>
      <c r="X355" s="26">
        <v>3</v>
      </c>
      <c r="Y355" s="38">
        <v>45</v>
      </c>
      <c r="Z355" s="5" t="s">
        <v>59</v>
      </c>
      <c r="AA355" s="5">
        <v>2</v>
      </c>
      <c r="AB355" s="5" t="s">
        <v>52</v>
      </c>
      <c r="AC355" s="37">
        <v>1</v>
      </c>
      <c r="AD355" s="35">
        <f>AA355</f>
        <v>2</v>
      </c>
      <c r="AE355" s="9">
        <v>0</v>
      </c>
      <c r="AF355" s="35">
        <v>0</v>
      </c>
      <c r="AG355" s="35">
        <v>0</v>
      </c>
      <c r="AH355" s="35">
        <v>0</v>
      </c>
      <c r="AI355" s="35">
        <v>0</v>
      </c>
      <c r="AJ355" s="35">
        <v>1</v>
      </c>
    </row>
    <row r="356" spans="1:36" ht="21" customHeight="1">
      <c r="A356" s="21" t="str">
        <f t="shared" ref="A356:A381" ca="1" si="234">B356&amp;"_"&amp;C356&amp;"-"&amp;G356&amp;"/"&amp;I356&amp;"&lt;lv"&amp;O356&amp;"&gt;s"&amp;X356</f>
        <v>11206_2-5/118&lt;lv1&gt;s2</v>
      </c>
      <c r="B356" s="8">
        <v>11206</v>
      </c>
      <c r="C356" s="32">
        <v>2</v>
      </c>
      <c r="D356" s="2" t="str">
        <f t="shared" ref="D356:D381" si="235">B356&amp;"_"&amp;C356</f>
        <v>11206_2</v>
      </c>
      <c r="E356" s="5" t="str">
        <f ca="1">VLOOKUP($B356,OFFSET([1]quests!$A$1,0,0,COUNTA([1]quests!$A:$A),MATCH(E$1,[1]quests!$1:$1,0)-MATCH($B$1,[1]quests!$1:$1,0)+1),MATCH(E$1,[1]quests!$1:$1,0)-MATCH($B$1,[1]quests!$1:$1,0)+1,FALSE)</f>
        <v>【キャンペーン限定】 ゴールドカジノ</v>
      </c>
      <c r="F356" s="5" t="str">
        <f ca="1">VLOOKUP($D356,OFFSET([1]stages!$A$1,0,0,COUNTA([1]stages!$A:$A),MATCH(F$1,[1]stages!$2:$2,0)-MATCH($D$1,[1]stages!$2:$2,0)+1),MATCH(F$1,[1]stages!$2:$2,0)-MATCH($D$1,[1]stages!$2:$2,0)+1,FALSE)</f>
        <v>ゴールドカジノ 【中級】</v>
      </c>
      <c r="G356" s="32">
        <v>5</v>
      </c>
      <c r="H356" s="20" t="str">
        <f t="shared" ref="H356:H381" si="236">B356&amp;"_"&amp;C356&amp;"-"&amp;G356</f>
        <v>11206_2-5</v>
      </c>
      <c r="I356" s="31">
        <v>118</v>
      </c>
      <c r="J356" s="26" t="str">
        <f ca="1">VLOOKUP($I356,OFFSET([2]enemies!$A$1,0,0,COUNTA([2]enemies!$A:$A),MATCH(J$1,[2]enemies!$2:$2,0)-MATCH($I$1,[2]enemies!$2:$2,0)+1),MATCH(J$1,[2]enemies!$2:$2,0)-MATCH($I$1,[2]enemies!$2:$2,0)+1,FALSE)</f>
        <v>ゴールドチック</v>
      </c>
      <c r="K356" s="29" t="str">
        <f ca="1">VLOOKUP($I356,OFFSET([2]enemies!$A$1,0,0,COUNTA([2]enemies!$A:$A),MATCH(K$1,[2]enemies!$2:$2,0)-MATCH($I$1,[2]enemies!$2:$2,0)+1),MATCH(K$1,[2]enemies!$2:$2,0)-MATCH($I$1,[2]enemies!$2:$2,0)+1,FALSE)</f>
        <v>yellow</v>
      </c>
      <c r="L356" s="29" t="str">
        <f ca="1">VLOOKUP($I356,OFFSET([3]characters!$A$1,0,0,COUNTA([3]characters!$A:$A),MATCH(L$1,[3]characters!$2:$2,0)-MATCH($I$1,[3]characters!$2:$2,0)+1),MATCH(L$1,[3]characters!$2:$2,0)-MATCH($I$1,[3]characters!$2:$2,0)+1,FALSE)</f>
        <v>Material</v>
      </c>
      <c r="M356" s="28" t="str">
        <f ca="1">VLOOKUP($I356,OFFSET([3]characters!$A$1,0,0,COUNTA([3]characters!$A:$A),MATCH(M$1,[3]characters!$2:$2,0)-MATCH($I$1,[3]characters!$2:$2,0)+2),MATCH(M$1,[3]characters!$2:$2,0)-MATCH($I$1,[3]characters!$2:$2,0)+2,FALSE)</f>
        <v>Unknown</v>
      </c>
      <c r="N356" s="5">
        <f ca="1">VLOOKUP($I356,OFFSET([2]enemies!$A$1,0,0,COUNTA([2]enemies!$A:$A),MATCH(N$1,[2]enemies!$2:$2,0)-MATCH($I$1,[2]enemies!$2:$2,0)+1),MATCH(N$1,[2]enemies!$2:$2,0)-MATCH($I$1,[2]enemies!$2:$2,0)+1,FALSE)</f>
        <v>15</v>
      </c>
      <c r="O356" s="6">
        <v>1</v>
      </c>
      <c r="P356" s="46">
        <v>16.5</v>
      </c>
      <c r="Q356" s="46">
        <v>15.75</v>
      </c>
      <c r="R356" s="6">
        <v>0</v>
      </c>
      <c r="S356" s="5" t="str">
        <f ca="1">VLOOKUP($T356,OFFSET([4]enemy_skill_sets!$B$1,0,0,COUNTA([4]enemy_skill_sets!$B:$B),MATCH(J$1,[4]enemy_skill_sets!$1:$1,0)-MATCH($T$1,[4]enemy_skill_sets!$1:$1,0)+2),MATCH(J$1,[4]enemy_skill_sets!$1:$1,0)-MATCH($T$1,[4]enemy_skill_sets!$1:$1,0)+2,FALSE)</f>
        <v>攻撃力20倍の自爆攻撃！</v>
      </c>
      <c r="T356" s="43">
        <v>11802</v>
      </c>
      <c r="U356" s="7">
        <v>2</v>
      </c>
      <c r="V356" s="7">
        <v>100</v>
      </c>
      <c r="W356" s="7">
        <v>1</v>
      </c>
      <c r="X356" s="26">
        <f ca="1">VLOOKUP($I356,OFFSET([2]enemies!$A$1,0,0,COUNTA([2]enemies!$A:$A),MATCH(X$1,[2]enemies!$2:$2,0)-MATCH($I$1,[2]enemies!$2:$2,0)+1),MATCH(X$1,[2]enemies!$2:$2,0)-MATCH($I$1,[2]enemies!$2:$2,0)+1,FALSE)</f>
        <v>2</v>
      </c>
      <c r="Y356" s="31">
        <v>118</v>
      </c>
      <c r="Z356" s="5" t="str">
        <f ca="1">IFERROR(VLOOKUP($Y356,OFFSET([3]characters!$A$1,0,0,COUNTA([3]characters!$A:$A),MATCH(Z$1,[3]characters!$2:$2,0)-MATCH("character_id",[3]characters!$2:$2,0)+1),MATCH(Z$1,[3]characters!$2:$2,0)-MATCH("character_id",[3]characters!$2:$2,0)+1,FALSE),"")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356" s="5">
        <f ca="1">IFERROR(VLOOKUP($Y356,OFFSET([3]characters!$A$1,0,0,COUNTA([3]characters!$A:$A),MATCH(AA$1,[3]characters!$2:$2,0)-MATCH("character_id",[3]characters!$2:$2,0)+1),MATCH(AA$1,[3]characters!$2:$2,0)-MATCH("character_id",[3]characters!$2:$2,0)+1,FALSE),"")</f>
        <v>4</v>
      </c>
      <c r="AB356" s="5" t="str">
        <f ca="1">IFERROR(VLOOKUP($Y356,OFFSET([3]characters!$A$1,0,0,COUNTA([3]characters!$A:$A),MATCH(AB$1,[3]characters!$2:$2,0)-MATCH("character_id",[3]characters!$2:$2,0)+1),MATCH(AB$1,[3]characters!$2:$2,0)-MATCH("character_id",[3]characters!$2:$2,0)+1,FALSE),"")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56" s="8">
        <v>1</v>
      </c>
      <c r="AD356" s="34">
        <f t="shared" ref="AD356:AD381" ca="1" si="237">AA356</f>
        <v>4</v>
      </c>
      <c r="AE356" s="9">
        <v>100</v>
      </c>
      <c r="AF356" s="8">
        <v>0</v>
      </c>
      <c r="AG356" s="8">
        <v>0</v>
      </c>
      <c r="AH356" s="8">
        <v>0</v>
      </c>
      <c r="AI356" s="8">
        <v>0</v>
      </c>
      <c r="AJ356" s="8">
        <v>1</v>
      </c>
    </row>
    <row r="357" spans="1:36" ht="21" customHeight="1">
      <c r="A357" s="21" t="str">
        <f t="shared" ca="1" si="234"/>
        <v>11206_3-1/117&lt;lv2&gt;s1</v>
      </c>
      <c r="B357" s="8">
        <v>11206</v>
      </c>
      <c r="C357" s="32">
        <v>3</v>
      </c>
      <c r="D357" s="2" t="str">
        <f t="shared" si="235"/>
        <v>11206_3</v>
      </c>
      <c r="E357" s="5" t="str">
        <f ca="1">VLOOKUP($B357,OFFSET([1]quests!$A$1,0,0,COUNTA([1]quests!$A:$A),MATCH(E$1,[1]quests!$1:$1,0)-MATCH($B$1,[1]quests!$1:$1,0)+1),MATCH(E$1,[1]quests!$1:$1,0)-MATCH($B$1,[1]quests!$1:$1,0)+1,FALSE)</f>
        <v>【キャンペーン限定】 ゴールドカジノ</v>
      </c>
      <c r="F357" s="5" t="str">
        <f ca="1">VLOOKUP($D357,OFFSET([1]stages!$A$1,0,0,COUNTA([1]stages!$A:$A),MATCH(F$1,[1]stages!$2:$2,0)-MATCH($D$1,[1]stages!$2:$2,0)+1),MATCH(F$1,[1]stages!$2:$2,0)-MATCH($D$1,[1]stages!$2:$2,0)+1,FALSE)</f>
        <v>ゴールドカジノ 【上級】</v>
      </c>
      <c r="G357" s="32">
        <v>1</v>
      </c>
      <c r="H357" s="20" t="str">
        <f t="shared" si="236"/>
        <v>11206_3-1</v>
      </c>
      <c r="I357" s="31">
        <v>117</v>
      </c>
      <c r="J357" s="26" t="str">
        <f ca="1">VLOOKUP($I357,OFFSET([2]enemies!$A$1,0,0,COUNTA([2]enemies!$A:$A),MATCH(J$1,[2]enemies!$2:$2,0)-MATCH($I$1,[2]enemies!$2:$2,0)+1),MATCH(J$1,[2]enemies!$2:$2,0)-MATCH($I$1,[2]enemies!$2:$2,0)+1,FALSE)</f>
        <v>ゴールドピヨピヨ</v>
      </c>
      <c r="K357" s="29" t="str">
        <f ca="1">VLOOKUP($I357,OFFSET([2]enemies!$A$1,0,0,COUNTA([2]enemies!$A:$A),MATCH(K$1,[2]enemies!$2:$2,0)-MATCH($I$1,[2]enemies!$2:$2,0)+1),MATCH(K$1,[2]enemies!$2:$2,0)-MATCH($I$1,[2]enemies!$2:$2,0)+1,FALSE)</f>
        <v>yellow</v>
      </c>
      <c r="L357" s="29" t="str">
        <f ca="1">VLOOKUP($I357,OFFSET([3]characters!$A$1,0,0,COUNTA([3]characters!$A:$A),MATCH(L$1,[3]characters!$2:$2,0)-MATCH($I$1,[3]characters!$2:$2,0)+1),MATCH(L$1,[3]characters!$2:$2,0)-MATCH($I$1,[3]characters!$2:$2,0)+1,FALSE)</f>
        <v>Material</v>
      </c>
      <c r="M357" s="28" t="str">
        <f ca="1">VLOOKUP($I357,OFFSET([3]characters!$A$1,0,0,COUNTA([3]characters!$A:$A),MATCH(M$1,[3]characters!$2:$2,0)-MATCH($I$1,[3]characters!$2:$2,0)+2),MATCH(M$1,[3]characters!$2:$2,0)-MATCH($I$1,[3]characters!$2:$2,0)+2,FALSE)</f>
        <v>Unknown</v>
      </c>
      <c r="N357" s="5">
        <f ca="1">VLOOKUP($I357,OFFSET([2]enemies!$A$1,0,0,COUNTA([2]enemies!$A:$A),MATCH(N$1,[2]enemies!$2:$2,0)-MATCH($I$1,[2]enemies!$2:$2,0)+1),MATCH(N$1,[2]enemies!$2:$2,0)-MATCH($I$1,[2]enemies!$2:$2,0)+1,FALSE)</f>
        <v>15</v>
      </c>
      <c r="O357" s="6">
        <v>2</v>
      </c>
      <c r="P357" s="46">
        <v>28.8</v>
      </c>
      <c r="Q357" s="46">
        <v>42.25</v>
      </c>
      <c r="R357" s="6">
        <v>0</v>
      </c>
      <c r="S357" s="5" t="str">
        <f ca="1">VLOOKUP($T357,OFFSET([4]enemy_skill_sets!$B$1,0,0,COUNTA([4]enemy_skill_sets!$B:$B),MATCH(J$1,[4]enemy_skill_sets!$1:$1,0)-MATCH($T$1,[4]enemy_skill_sets!$1:$1,0)+2),MATCH(J$1,[4]enemy_skill_sets!$1:$1,0)-MATCH($T$1,[4]enemy_skill_sets!$1:$1,0)+2,FALSE)</f>
        <v>ゴールドカジノのピヨピヨはターン０になると自爆する！</v>
      </c>
      <c r="T357" s="43">
        <v>11701</v>
      </c>
      <c r="U357" s="7">
        <v>1</v>
      </c>
      <c r="V357" s="7">
        <v>100</v>
      </c>
      <c r="W357" s="7">
        <v>0</v>
      </c>
      <c r="X357" s="26">
        <f ca="1">VLOOKUP($I357,OFFSET([2]enemies!$A$1,0,0,COUNTA([2]enemies!$A:$A),MATCH(X$1,[2]enemies!$2:$2,0)-MATCH($I$1,[2]enemies!$2:$2,0)+1),MATCH(X$1,[2]enemies!$2:$2,0)-MATCH($I$1,[2]enemies!$2:$2,0)+1,FALSE)</f>
        <v>1</v>
      </c>
      <c r="Y357" s="31">
        <v>117</v>
      </c>
      <c r="Z357" s="5" t="str">
        <f ca="1">IFERROR(VLOOKUP($Y357,OFFSET([3]characters!$A$1,0,0,COUNTA([3]characters!$A:$A),MATCH(Z$1,[3]characters!$2:$2,0)-MATCH("character_id",[3]characters!$2:$2,0)+1),MATCH(Z$1,[3]characters!$2:$2,0)-MATCH("character_id",[3]characters!$2:$2,0)+1,FALSE),"")</f>
        <v>ゴールドピヨピヨ</v>
      </c>
      <c r="AA357" s="5">
        <f ca="1">IFERROR(VLOOKUP($Y357,OFFSET([3]characters!$A$1,0,0,COUNTA([3]characters!$A:$A),MATCH(AA$1,[3]characters!$2:$2,0)-MATCH("character_id",[3]characters!$2:$2,0)+1),MATCH(AA$1,[3]characters!$2:$2,0)-MATCH("character_id",[3]characters!$2:$2,0)+1,FALSE),"")</f>
        <v>3</v>
      </c>
      <c r="AB357" s="5" t="str">
        <f ca="1">IFERROR(VLOOKUP($Y357,OFFSET([3]characters!$A$1,0,0,COUNTA([3]characters!$A:$A),MATCH(AB$1,[3]characters!$2:$2,0)-MATCH("character_id",[3]characters!$2:$2,0)+1),MATCH(AB$1,[3]characters!$2:$2,0)-MATCH("character_id",[3]characters!$2:$2,0)+1,FALSE),"")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57" s="8">
        <v>1</v>
      </c>
      <c r="AD357" s="34">
        <f t="shared" ca="1" si="237"/>
        <v>3</v>
      </c>
      <c r="AE357" s="9">
        <v>50</v>
      </c>
      <c r="AF357" s="8">
        <v>0</v>
      </c>
      <c r="AG357" s="8">
        <v>0</v>
      </c>
      <c r="AH357" s="8">
        <v>0</v>
      </c>
      <c r="AI357" s="8">
        <v>0</v>
      </c>
      <c r="AJ357" s="8">
        <v>1</v>
      </c>
    </row>
    <row r="358" spans="1:36" ht="21" customHeight="1">
      <c r="A358" s="21" t="str">
        <f t="shared" ca="1" si="234"/>
        <v>11206_3-1/117&lt;lv1&gt;s1</v>
      </c>
      <c r="B358" s="8">
        <v>11206</v>
      </c>
      <c r="C358" s="32">
        <v>3</v>
      </c>
      <c r="D358" s="2" t="str">
        <f t="shared" si="235"/>
        <v>11206_3</v>
      </c>
      <c r="E358" s="5" t="str">
        <f ca="1">VLOOKUP($B358,OFFSET([1]quests!$A$1,0,0,COUNTA([1]quests!$A:$A),MATCH(E$1,[1]quests!$1:$1,0)-MATCH($B$1,[1]quests!$1:$1,0)+1),MATCH(E$1,[1]quests!$1:$1,0)-MATCH($B$1,[1]quests!$1:$1,0)+1,FALSE)</f>
        <v>【キャンペーン限定】 ゴールドカジノ</v>
      </c>
      <c r="F358" s="5" t="str">
        <f ca="1">VLOOKUP($D358,OFFSET([1]stages!$A$1,0,0,COUNTA([1]stages!$A:$A),MATCH(F$1,[1]stages!$2:$2,0)-MATCH($D$1,[1]stages!$2:$2,0)+1),MATCH(F$1,[1]stages!$2:$2,0)-MATCH($D$1,[1]stages!$2:$2,0)+1,FALSE)</f>
        <v>ゴールドカジノ 【上級】</v>
      </c>
      <c r="G358" s="32">
        <v>1</v>
      </c>
      <c r="H358" s="20" t="str">
        <f t="shared" si="236"/>
        <v>11206_3-1</v>
      </c>
      <c r="I358" s="31">
        <v>117</v>
      </c>
      <c r="J358" s="26" t="str">
        <f ca="1">VLOOKUP($I358,OFFSET([2]enemies!$A$1,0,0,COUNTA([2]enemies!$A:$A),MATCH(J$1,[2]enemies!$2:$2,0)-MATCH($I$1,[2]enemies!$2:$2,0)+1),MATCH(J$1,[2]enemies!$2:$2,0)-MATCH($I$1,[2]enemies!$2:$2,0)+1,FALSE)</f>
        <v>ゴールドピヨピヨ</v>
      </c>
      <c r="K358" s="29" t="str">
        <f ca="1">VLOOKUP($I358,OFFSET([2]enemies!$A$1,0,0,COUNTA([2]enemies!$A:$A),MATCH(K$1,[2]enemies!$2:$2,0)-MATCH($I$1,[2]enemies!$2:$2,0)+1),MATCH(K$1,[2]enemies!$2:$2,0)-MATCH($I$1,[2]enemies!$2:$2,0)+1,FALSE)</f>
        <v>yellow</v>
      </c>
      <c r="L358" s="29" t="str">
        <f ca="1">VLOOKUP($I358,OFFSET([3]characters!$A$1,0,0,COUNTA([3]characters!$A:$A),MATCH(L$1,[3]characters!$2:$2,0)-MATCH($I$1,[3]characters!$2:$2,0)+1),MATCH(L$1,[3]characters!$2:$2,0)-MATCH($I$1,[3]characters!$2:$2,0)+1,FALSE)</f>
        <v>Material</v>
      </c>
      <c r="M358" s="28" t="str">
        <f ca="1">VLOOKUP($I358,OFFSET([3]characters!$A$1,0,0,COUNTA([3]characters!$A:$A),MATCH(M$1,[3]characters!$2:$2,0)-MATCH($I$1,[3]characters!$2:$2,0)+2),MATCH(M$1,[3]characters!$2:$2,0)-MATCH($I$1,[3]characters!$2:$2,0)+2,FALSE)</f>
        <v>Unknown</v>
      </c>
      <c r="N358" s="5">
        <f ca="1">VLOOKUP($I358,OFFSET([2]enemies!$A$1,0,0,COUNTA([2]enemies!$A:$A),MATCH(N$1,[2]enemies!$2:$2,0)-MATCH($I$1,[2]enemies!$2:$2,0)+1),MATCH(N$1,[2]enemies!$2:$2,0)-MATCH($I$1,[2]enemies!$2:$2,0)+1,FALSE)</f>
        <v>15</v>
      </c>
      <c r="O358" s="6">
        <v>1</v>
      </c>
      <c r="P358" s="46">
        <v>40.5</v>
      </c>
      <c r="Q358" s="46">
        <v>42.25</v>
      </c>
      <c r="R358" s="6">
        <v>0</v>
      </c>
      <c r="S358" s="5" t="str">
        <f ca="1">VLOOKUP($T358,OFFSET([4]enemy_skill_sets!$B$1,0,0,COUNTA([4]enemy_skill_sets!$B:$B),MATCH(J$1,[4]enemy_skill_sets!$1:$1,0)-MATCH($T$1,[4]enemy_skill_sets!$1:$1,0)+2),MATCH(J$1,[4]enemy_skill_sets!$1:$1,0)-MATCH($T$1,[4]enemy_skill_sets!$1:$1,0)+2,FALSE)</f>
        <v>攻撃力10倍の自爆攻撃！</v>
      </c>
      <c r="T358" s="43">
        <v>11704</v>
      </c>
      <c r="U358" s="7">
        <v>0</v>
      </c>
      <c r="V358" s="7">
        <v>100</v>
      </c>
      <c r="W358" s="7">
        <v>0</v>
      </c>
      <c r="X358" s="26">
        <f ca="1">VLOOKUP($I358,OFFSET([2]enemies!$A$1,0,0,COUNTA([2]enemies!$A:$A),MATCH(X$1,[2]enemies!$2:$2,0)-MATCH($I$1,[2]enemies!$2:$2,0)+1),MATCH(X$1,[2]enemies!$2:$2,0)-MATCH($I$1,[2]enemies!$2:$2,0)+1,FALSE)</f>
        <v>1</v>
      </c>
      <c r="Y358" s="31">
        <v>117</v>
      </c>
      <c r="Z358" s="5" t="str">
        <f ca="1">IFERROR(VLOOKUP($Y358,OFFSET([3]characters!$A$1,0,0,COUNTA([3]characters!$A:$A),MATCH(Z$1,[3]characters!$2:$2,0)-MATCH("character_id",[3]characters!$2:$2,0)+1),MATCH(Z$1,[3]characters!$2:$2,0)-MATCH("character_id",[3]characters!$2:$2,0)+1,FALSE),"")</f>
        <v>ゴールドピヨピヨ</v>
      </c>
      <c r="AA358" s="5">
        <f ca="1">IFERROR(VLOOKUP($Y358,OFFSET([3]characters!$A$1,0,0,COUNTA([3]characters!$A:$A),MATCH(AA$1,[3]characters!$2:$2,0)-MATCH("character_id",[3]characters!$2:$2,0)+1),MATCH(AA$1,[3]characters!$2:$2,0)-MATCH("character_id",[3]characters!$2:$2,0)+1,FALSE),"")</f>
        <v>3</v>
      </c>
      <c r="AB358" s="5" t="str">
        <f ca="1">IFERROR(VLOOKUP($Y358,OFFSET([3]characters!$A$1,0,0,COUNTA([3]characters!$A:$A),MATCH(AB$1,[3]characters!$2:$2,0)-MATCH("character_id",[3]characters!$2:$2,0)+1),MATCH(AB$1,[3]characters!$2:$2,0)-MATCH("character_id",[3]characters!$2:$2,0)+1,FALSE),"")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58" s="8">
        <v>1</v>
      </c>
      <c r="AD358" s="34">
        <f t="shared" ca="1" si="237"/>
        <v>3</v>
      </c>
      <c r="AE358" s="9">
        <v>50</v>
      </c>
      <c r="AF358" s="8">
        <v>0</v>
      </c>
      <c r="AG358" s="8">
        <v>0</v>
      </c>
      <c r="AH358" s="8">
        <v>0</v>
      </c>
      <c r="AI358" s="8">
        <v>0</v>
      </c>
      <c r="AJ358" s="8">
        <v>1</v>
      </c>
    </row>
    <row r="359" spans="1:36" ht="21" customHeight="1">
      <c r="A359" s="21" t="str">
        <f t="shared" ca="1" si="234"/>
        <v>11206_3-1/63&lt;lv32&gt;s2</v>
      </c>
      <c r="B359" s="8">
        <v>11206</v>
      </c>
      <c r="C359" s="32">
        <v>3</v>
      </c>
      <c r="D359" s="20" t="str">
        <f t="shared" si="235"/>
        <v>11206_3</v>
      </c>
      <c r="E359" s="5" t="str">
        <f ca="1">VLOOKUP($B359,OFFSET([1]quests!$A$1,0,0,COUNTA([1]quests!$A:$A),MATCH(E$1,[1]quests!$1:$1,0)-MATCH($B$1,[1]quests!$1:$1,0)+1),MATCH(E$1,[1]quests!$1:$1,0)-MATCH($B$1,[1]quests!$1:$1,0)+1,FALSE)</f>
        <v>【キャンペーン限定】 ゴールドカジノ</v>
      </c>
      <c r="F359" s="5" t="str">
        <f ca="1">VLOOKUP($D359,OFFSET([1]stages!$A$1,0,0,COUNTA([1]stages!$A:$A),MATCH(F$1,[1]stages!$2:$2,0)-MATCH($D$1,[1]stages!$2:$2,0)+1),MATCH(F$1,[1]stages!$2:$2,0)-MATCH($D$1,[1]stages!$2:$2,0)+1,FALSE)</f>
        <v>ゴールドカジノ 【上級】</v>
      </c>
      <c r="G359" s="39">
        <v>1</v>
      </c>
      <c r="H359" s="20" t="str">
        <f t="shared" si="236"/>
        <v>11206_3-1</v>
      </c>
      <c r="I359" s="41">
        <v>63</v>
      </c>
      <c r="J359" s="26" t="str">
        <f ca="1">VLOOKUP($I359,OFFSET([2]enemies!$A$1,0,0,COUNTA([2]enemies!$A:$A),MATCH(J$1,[2]enemies!$2:$2,0)-MATCH($I$1,[2]enemies!$2:$2,0)+1),MATCH(J$1,[2]enemies!$2:$2,0)-MATCH($I$1,[2]enemies!$2:$2,0)+1,FALSE)</f>
        <v>トニー</v>
      </c>
      <c r="K359" s="29" t="str">
        <f ca="1">VLOOKUP($I359,OFFSET([2]enemies!$A$1,0,0,COUNTA([2]enemies!$A:$A),MATCH(K$1,[2]enemies!$2:$2,0)-MATCH($I$1,[2]enemies!$2:$2,0)+1),MATCH(K$1,[2]enemies!$2:$2,0)-MATCH($I$1,[2]enemies!$2:$2,0)+1,FALSE)</f>
        <v>yellow</v>
      </c>
      <c r="L359" s="29" t="str">
        <f ca="1">VLOOKUP($I359,OFFSET([3]characters!$A$1,0,0,COUNTA([3]characters!$A:$A),MATCH(L$1,[3]characters!$2:$2,0)-MATCH($I$1,[3]characters!$2:$2,0)+1),MATCH(L$1,[3]characters!$2:$2,0)-MATCH($I$1,[3]characters!$2:$2,0)+1,FALSE)</f>
        <v>Drop1N</v>
      </c>
      <c r="M359" s="28" t="str">
        <f ca="1">VLOOKUP($I359,OFFSET([3]characters!$A$1,0,0,COUNTA([3]characters!$A:$A),MATCH(M$1,[3]characters!$2:$2,0)-MATCH($I$1,[3]characters!$2:$2,0)+2),MATCH(M$1,[3]characters!$2:$2,0)-MATCH($I$1,[3]characters!$2:$2,0)+2,FALSE)</f>
        <v>アニマル</v>
      </c>
      <c r="N359" s="5">
        <f ca="1">VLOOKUP($I359,OFFSET([2]enemies!$A$1,0,0,COUNTA([2]enemies!$A:$A),MATCH(N$1,[2]enemies!$2:$2,0)-MATCH($I$1,[2]enemies!$2:$2,0)+1),MATCH(N$1,[2]enemies!$2:$2,0)-MATCH($I$1,[2]enemies!$2:$2,0)+1,FALSE)</f>
        <v>15</v>
      </c>
      <c r="O359" s="6">
        <v>32</v>
      </c>
      <c r="P359" s="46">
        <v>1</v>
      </c>
      <c r="Q359" s="46">
        <v>1</v>
      </c>
      <c r="R359" s="6">
        <v>0</v>
      </c>
      <c r="S359" s="5" t="str">
        <f ca="1">VLOOKUP($T359,OFFSET([4]enemy_skill_sets!$B$1,0,0,COUNTA([4]enemy_skill_sets!$B:$B),MATCH(J$1,[4]enemy_skill_sets!$1:$1,0)-MATCH($T$1,[4]enemy_skill_sets!$1:$1,0)+2),MATCH(J$1,[4]enemy_skill_sets!$1:$1,0)-MATCH($T$1,[4]enemy_skill_sets!$1:$1,0)+2,FALSE)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359" s="5">
        <f ca="1">VLOOKUP($I359,OFFSET([2]enemies!$A$1,0,0,COUNTA([2]enemies!$A:$A),MATCH(T$1,[2]enemies!$2:$2,0)-MATCH($I$1,[2]enemies!$2:$2,0)+1),MATCH(T$1,[2]enemies!$2:$2,0)-MATCH($I$1,[2]enemies!$2:$2,0)+1,FALSE)</f>
        <v>63</v>
      </c>
      <c r="U359" s="40">
        <v>0</v>
      </c>
      <c r="V359" s="7">
        <v>100</v>
      </c>
      <c r="W359" s="40">
        <v>0</v>
      </c>
      <c r="X359" s="26">
        <f ca="1">VLOOKUP($I359,OFFSET([2]enemies!$A$1,0,0,COUNTA([2]enemies!$A:$A),MATCH(X$1,[2]enemies!$2:$2,0)-MATCH($I$1,[2]enemies!$2:$2,0)+1),MATCH(X$1,[2]enemies!$2:$2,0)-MATCH($I$1,[2]enemies!$2:$2,0)+1,FALSE)</f>
        <v>2</v>
      </c>
      <c r="Y359" s="41">
        <v>63</v>
      </c>
      <c r="Z359" s="5" t="str">
        <f ca="1">IFERROR(VLOOKUP($Y359,OFFSET([3]characters!$A$1,0,0,COUNTA([3]characters!$A:$A),MATCH(Z$1,[3]characters!$2:$2,0)-MATCH("character_id",[3]characters!$2:$2,0)+1),MATCH(Z$1,[3]characters!$2:$2,0)-MATCH("character_id",[3]characters!$2:$2,0)+1,FALSE),"")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359" s="5">
        <f ca="1">IFERROR(VLOOKUP($Y359,OFFSET([3]characters!$A$1,0,0,COUNTA([3]characters!$A:$A),MATCH(AA$1,[3]characters!$2:$2,0)-MATCH("character_id",[3]characters!$2:$2,0)+1),MATCH(AA$1,[3]characters!$2:$2,0)-MATCH("character_id",[3]characters!$2:$2,0)+1,FALSE),"")</f>
        <v>2</v>
      </c>
      <c r="AB359" s="5" t="str">
        <f ca="1">IFERROR(VLOOKUP($Y359,OFFSET([3]characters!$A$1,0,0,COUNTA([3]characters!$A:$A),MATCH(AB$1,[3]characters!$2:$2,0)-MATCH("character_id",[3]characters!$2:$2,0)+1),MATCH(AB$1,[3]characters!$2:$2,0)-MATCH("character_id",[3]characters!$2:$2,0)+1,FALSE),"")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59" s="35">
        <v>1</v>
      </c>
      <c r="AD359" s="35">
        <f t="shared" ca="1" si="237"/>
        <v>2</v>
      </c>
      <c r="AE359" s="9">
        <v>0</v>
      </c>
      <c r="AF359" s="35">
        <v>0</v>
      </c>
      <c r="AG359" s="35">
        <v>0</v>
      </c>
      <c r="AH359" s="35">
        <v>0</v>
      </c>
      <c r="AI359" s="35">
        <v>0</v>
      </c>
      <c r="AJ359" s="35">
        <v>1</v>
      </c>
    </row>
    <row r="360" spans="1:36" ht="21" customHeight="1">
      <c r="A360" s="21" t="str">
        <f t="shared" ca="1" si="234"/>
        <v>11206_3-1/61&lt;lv32&gt;s2</v>
      </c>
      <c r="B360" s="8">
        <v>11206</v>
      </c>
      <c r="C360" s="32">
        <v>3</v>
      </c>
      <c r="D360" s="20" t="str">
        <f t="shared" si="235"/>
        <v>11206_3</v>
      </c>
      <c r="E360" s="5" t="str">
        <f ca="1">VLOOKUP($B360,OFFSET([1]quests!$A$1,0,0,COUNTA([1]quests!$A:$A),MATCH(E$1,[1]quests!$1:$1,0)-MATCH($B$1,[1]quests!$1:$1,0)+1),MATCH(E$1,[1]quests!$1:$1,0)-MATCH($B$1,[1]quests!$1:$1,0)+1,FALSE)</f>
        <v>【キャンペーン限定】 ゴールドカジノ</v>
      </c>
      <c r="F360" s="5" t="str">
        <f ca="1">VLOOKUP($D360,OFFSET([1]stages!$A$1,0,0,COUNTA([1]stages!$A:$A),MATCH(F$1,[1]stages!$2:$2,0)-MATCH($D$1,[1]stages!$2:$2,0)+1),MATCH(F$1,[1]stages!$2:$2,0)-MATCH($D$1,[1]stages!$2:$2,0)+1,FALSE)</f>
        <v>ゴールドカジノ 【上級】</v>
      </c>
      <c r="G360" s="39">
        <v>1</v>
      </c>
      <c r="H360" s="20" t="str">
        <f t="shared" si="236"/>
        <v>11206_3-1</v>
      </c>
      <c r="I360" s="41">
        <v>61</v>
      </c>
      <c r="J360" s="26" t="str">
        <f ca="1">VLOOKUP($I360,OFFSET([2]enemies!$A$1,0,0,COUNTA([2]enemies!$A:$A),MATCH(J$1,[2]enemies!$2:$2,0)-MATCH($I$1,[2]enemies!$2:$2,0)+1),MATCH(J$1,[2]enemies!$2:$2,0)-MATCH($I$1,[2]enemies!$2:$2,0)+1,FALSE)</f>
        <v>クロウ</v>
      </c>
      <c r="K360" s="29" t="str">
        <f ca="1">VLOOKUP($I360,OFFSET([2]enemies!$A$1,0,0,COUNTA([2]enemies!$A:$A),MATCH(K$1,[2]enemies!$2:$2,0)-MATCH($I$1,[2]enemies!$2:$2,0)+1),MATCH(K$1,[2]enemies!$2:$2,0)-MATCH($I$1,[2]enemies!$2:$2,0)+1,FALSE)</f>
        <v>blue</v>
      </c>
      <c r="L360" s="29" t="str">
        <f ca="1">VLOOKUP($I360,OFFSET([3]characters!$A$1,0,0,COUNTA([3]characters!$A:$A),MATCH(L$1,[3]characters!$2:$2,0)-MATCH($I$1,[3]characters!$2:$2,0)+1),MATCH(L$1,[3]characters!$2:$2,0)-MATCH($I$1,[3]characters!$2:$2,0)+1,FALSE)</f>
        <v>Drop1N</v>
      </c>
      <c r="M360" s="28" t="str">
        <f ca="1">VLOOKUP($I360,OFFSET([3]characters!$A$1,0,0,COUNTA([3]characters!$A:$A),MATCH(M$1,[3]characters!$2:$2,0)-MATCH($I$1,[3]characters!$2:$2,0)+2),MATCH(M$1,[3]characters!$2:$2,0)-MATCH($I$1,[3]characters!$2:$2,0)+2,FALSE)</f>
        <v>アニマル</v>
      </c>
      <c r="N360" s="5">
        <f ca="1">VLOOKUP($I360,OFFSET([2]enemies!$A$1,0,0,COUNTA([2]enemies!$A:$A),MATCH(N$1,[2]enemies!$2:$2,0)-MATCH($I$1,[2]enemies!$2:$2,0)+1),MATCH(N$1,[2]enemies!$2:$2,0)-MATCH($I$1,[2]enemies!$2:$2,0)+1,FALSE)</f>
        <v>15</v>
      </c>
      <c r="O360" s="6">
        <v>32</v>
      </c>
      <c r="P360" s="46">
        <v>1</v>
      </c>
      <c r="Q360" s="46">
        <v>1</v>
      </c>
      <c r="R360" s="6">
        <v>0</v>
      </c>
      <c r="S360" s="5" t="str">
        <f ca="1">VLOOKUP($T360,OFFSET([4]enemy_skill_sets!$B$1,0,0,COUNTA([4]enemy_skill_sets!$B:$B),MATCH(J$1,[4]enemy_skill_sets!$1:$1,0)-MATCH($T$1,[4]enemy_skill_sets!$1:$1,0)+2),MATCH(J$1,[4]enemy_skill_sets!$1:$1,0)-MATCH($T$1,[4]enemy_skill_sets!$1:$1,0)+2,FALSE)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60" s="5">
        <f ca="1">VLOOKUP($I360,OFFSET([2]enemies!$A$1,0,0,COUNTA([2]enemies!$A:$A),MATCH(T$1,[2]enemies!$2:$2,0)-MATCH($I$1,[2]enemies!$2:$2,0)+1),MATCH(T$1,[2]enemies!$2:$2,0)-MATCH($I$1,[2]enemies!$2:$2,0)+1,FALSE)</f>
        <v>61</v>
      </c>
      <c r="U360" s="40">
        <v>0</v>
      </c>
      <c r="V360" s="7">
        <v>100</v>
      </c>
      <c r="W360" s="40">
        <v>0</v>
      </c>
      <c r="X360" s="26">
        <f ca="1">VLOOKUP($I360,OFFSET([2]enemies!$A$1,0,0,COUNTA([2]enemies!$A:$A),MATCH(X$1,[2]enemies!$2:$2,0)-MATCH($I$1,[2]enemies!$2:$2,0)+1),MATCH(X$1,[2]enemies!$2:$2,0)-MATCH($I$1,[2]enemies!$2:$2,0)+1,FALSE)</f>
        <v>2</v>
      </c>
      <c r="Y360" s="41">
        <v>61</v>
      </c>
      <c r="Z360" s="5" t="str">
        <f ca="1">IFERROR(VLOOKUP($Y360,OFFSET([3]characters!$A$1,0,0,COUNTA([3]characters!$A:$A),MATCH(Z$1,[3]characters!$2:$2,0)-MATCH("character_id",[3]characters!$2:$2,0)+1),MATCH(Z$1,[3]characters!$2:$2,0)-MATCH("character_id",[3]characters!$2:$2,0)+1,FALSE),"")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360" s="5">
        <f ca="1">IFERROR(VLOOKUP($Y360,OFFSET([3]characters!$A$1,0,0,COUNTA([3]characters!$A:$A),MATCH(AA$1,[3]characters!$2:$2,0)-MATCH("character_id",[3]characters!$2:$2,0)+1),MATCH(AA$1,[3]characters!$2:$2,0)-MATCH("character_id",[3]characters!$2:$2,0)+1,FALSE),"")</f>
        <v>2</v>
      </c>
      <c r="AB360" s="5" t="str">
        <f ca="1">IFERROR(VLOOKUP($Y360,OFFSET([3]characters!$A$1,0,0,COUNTA([3]characters!$A:$A),MATCH(AB$1,[3]characters!$2:$2,0)-MATCH("character_id",[3]characters!$2:$2,0)+1),MATCH(AB$1,[3]characters!$2:$2,0)-MATCH("character_id",[3]characters!$2:$2,0)+1,FALSE),"")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60" s="35">
        <v>1</v>
      </c>
      <c r="AD360" s="35">
        <f t="shared" ca="1" si="237"/>
        <v>2</v>
      </c>
      <c r="AE360" s="9">
        <v>0</v>
      </c>
      <c r="AF360" s="35">
        <v>0</v>
      </c>
      <c r="AG360" s="35">
        <v>0</v>
      </c>
      <c r="AH360" s="35">
        <v>0</v>
      </c>
      <c r="AI360" s="35">
        <v>0</v>
      </c>
      <c r="AJ360" s="35">
        <v>1</v>
      </c>
    </row>
    <row r="361" spans="1:36" ht="21" customHeight="1">
      <c r="A361" s="21" t="str">
        <f t="shared" ca="1" si="234"/>
        <v>11206_3-1/57&lt;lv32&gt;s2</v>
      </c>
      <c r="B361" s="8">
        <v>11206</v>
      </c>
      <c r="C361" s="32">
        <v>3</v>
      </c>
      <c r="D361" s="20" t="str">
        <f t="shared" si="235"/>
        <v>11206_3</v>
      </c>
      <c r="E361" s="5" t="str">
        <f ca="1">VLOOKUP($B361,OFFSET([1]quests!$A$1,0,0,COUNTA([1]quests!$A:$A),MATCH(E$1,[1]quests!$1:$1,0)-MATCH($B$1,[1]quests!$1:$1,0)+1),MATCH(E$1,[1]quests!$1:$1,0)-MATCH($B$1,[1]quests!$1:$1,0)+1,FALSE)</f>
        <v>【キャンペーン限定】 ゴールドカジノ</v>
      </c>
      <c r="F361" s="5" t="str">
        <f ca="1">VLOOKUP($D361,OFFSET([1]stages!$A$1,0,0,COUNTA([1]stages!$A:$A),MATCH(F$1,[1]stages!$2:$2,0)-MATCH($D$1,[1]stages!$2:$2,0)+1),MATCH(F$1,[1]stages!$2:$2,0)-MATCH($D$1,[1]stages!$2:$2,0)+1,FALSE)</f>
        <v>ゴールドカジノ 【上級】</v>
      </c>
      <c r="G361" s="39">
        <v>1</v>
      </c>
      <c r="H361" s="20" t="str">
        <f t="shared" si="236"/>
        <v>11206_3-1</v>
      </c>
      <c r="I361" s="41">
        <v>57</v>
      </c>
      <c r="J361" s="26" t="str">
        <f ca="1">VLOOKUP($I361,OFFSET([2]enemies!$A$1,0,0,COUNTA([2]enemies!$A:$A),MATCH(J$1,[2]enemies!$2:$2,0)-MATCH($I$1,[2]enemies!$2:$2,0)+1),MATCH(J$1,[2]enemies!$2:$2,0)-MATCH($I$1,[2]enemies!$2:$2,0)+1,FALSE)</f>
        <v>チェン・リー</v>
      </c>
      <c r="K361" s="29" t="str">
        <f ca="1">VLOOKUP($I361,OFFSET([2]enemies!$A$1,0,0,COUNTA([2]enemies!$A:$A),MATCH(K$1,[2]enemies!$2:$2,0)-MATCH($I$1,[2]enemies!$2:$2,0)+1),MATCH(K$1,[2]enemies!$2:$2,0)-MATCH($I$1,[2]enemies!$2:$2,0)+1,FALSE)</f>
        <v>red</v>
      </c>
      <c r="L361" s="29" t="str">
        <f ca="1">VLOOKUP($I361,OFFSET([3]characters!$A$1,0,0,COUNTA([3]characters!$A:$A),MATCH(L$1,[3]characters!$2:$2,0)-MATCH($I$1,[3]characters!$2:$2,0)+1),MATCH(L$1,[3]characters!$2:$2,0)-MATCH($I$1,[3]characters!$2:$2,0)+1,FALSE)</f>
        <v>Drop1N</v>
      </c>
      <c r="M361" s="28" t="str">
        <f ca="1">VLOOKUP($I361,OFFSET([3]characters!$A$1,0,0,COUNTA([3]characters!$A:$A),MATCH(M$1,[3]characters!$2:$2,0)-MATCH($I$1,[3]characters!$2:$2,0)+2),MATCH(M$1,[3]characters!$2:$2,0)-MATCH($I$1,[3]characters!$2:$2,0)+2,FALSE)</f>
        <v>アニマル</v>
      </c>
      <c r="N361" s="5">
        <f ca="1">VLOOKUP($I361,OFFSET([2]enemies!$A$1,0,0,COUNTA([2]enemies!$A:$A),MATCH(N$1,[2]enemies!$2:$2,0)-MATCH($I$1,[2]enemies!$2:$2,0)+1),MATCH(N$1,[2]enemies!$2:$2,0)-MATCH($I$1,[2]enemies!$2:$2,0)+1,FALSE)</f>
        <v>15</v>
      </c>
      <c r="O361" s="6">
        <v>32</v>
      </c>
      <c r="P361" s="46">
        <v>1</v>
      </c>
      <c r="Q361" s="46">
        <v>1</v>
      </c>
      <c r="R361" s="6">
        <v>0</v>
      </c>
      <c r="S361" s="5" t="str">
        <f ca="1">VLOOKUP($T361,OFFSET([4]enemy_skill_sets!$B$1,0,0,COUNTA([4]enemy_skill_sets!$B:$B),MATCH(J$1,[4]enemy_skill_sets!$1:$1,0)-MATCH($T$1,[4]enemy_skill_sets!$1:$1,0)+2),MATCH(J$1,[4]enemy_skill_sets!$1:$1,0)-MATCH($T$1,[4]enemy_skill_sets!$1:$1,0)+2,FALSE)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361" s="5">
        <f ca="1">VLOOKUP($I361,OFFSET([2]enemies!$A$1,0,0,COUNTA([2]enemies!$A:$A),MATCH(T$1,[2]enemies!$2:$2,0)-MATCH($I$1,[2]enemies!$2:$2,0)+1),MATCH(T$1,[2]enemies!$2:$2,0)-MATCH($I$1,[2]enemies!$2:$2,0)+1,FALSE)</f>
        <v>57</v>
      </c>
      <c r="U361" s="40">
        <v>0</v>
      </c>
      <c r="V361" s="7">
        <v>100</v>
      </c>
      <c r="W361" s="40">
        <v>0</v>
      </c>
      <c r="X361" s="26">
        <f ca="1">VLOOKUP($I361,OFFSET([2]enemies!$A$1,0,0,COUNTA([2]enemies!$A:$A),MATCH(X$1,[2]enemies!$2:$2,0)-MATCH($I$1,[2]enemies!$2:$2,0)+1),MATCH(X$1,[2]enemies!$2:$2,0)-MATCH($I$1,[2]enemies!$2:$2,0)+1,FALSE)</f>
        <v>2</v>
      </c>
      <c r="Y361" s="41">
        <v>57</v>
      </c>
      <c r="Z361" s="5" t="str">
        <f ca="1">IFERROR(VLOOKUP($Y361,OFFSET([3]characters!$A$1,0,0,COUNTA([3]characters!$A:$A),MATCH(Z$1,[3]characters!$2:$2,0)-MATCH("character_id",[3]characters!$2:$2,0)+1),MATCH(Z$1,[3]characters!$2:$2,0)-MATCH("character_id",[3]characters!$2:$2,0)+1,FALSE),"")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361" s="5">
        <f ca="1">IFERROR(VLOOKUP($Y361,OFFSET([3]characters!$A$1,0,0,COUNTA([3]characters!$A:$A),MATCH(AA$1,[3]characters!$2:$2,0)-MATCH("character_id",[3]characters!$2:$2,0)+1),MATCH(AA$1,[3]characters!$2:$2,0)-MATCH("character_id",[3]characters!$2:$2,0)+1,FALSE),"")</f>
        <v>2</v>
      </c>
      <c r="AB361" s="5" t="str">
        <f ca="1">IFERROR(VLOOKUP($Y361,OFFSET([3]characters!$A$1,0,0,COUNTA([3]characters!$A:$A),MATCH(AB$1,[3]characters!$2:$2,0)-MATCH("character_id",[3]characters!$2:$2,0)+1),MATCH(AB$1,[3]characters!$2:$2,0)-MATCH("character_id",[3]characters!$2:$2,0)+1,FALSE),"")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61" s="35">
        <v>1</v>
      </c>
      <c r="AD361" s="35">
        <f t="shared" ca="1" si="237"/>
        <v>2</v>
      </c>
      <c r="AE361" s="9">
        <v>0</v>
      </c>
      <c r="AF361" s="35">
        <v>0</v>
      </c>
      <c r="AG361" s="35">
        <v>0</v>
      </c>
      <c r="AH361" s="35">
        <v>0</v>
      </c>
      <c r="AI361" s="35">
        <v>0</v>
      </c>
      <c r="AJ361" s="35">
        <v>1</v>
      </c>
    </row>
    <row r="362" spans="1:36" ht="21" customHeight="1">
      <c r="A362" s="21" t="str">
        <f t="shared" ca="1" si="234"/>
        <v>11206_3-1/59&lt;lv32&gt;s2</v>
      </c>
      <c r="B362" s="8">
        <v>11206</v>
      </c>
      <c r="C362" s="32">
        <v>3</v>
      </c>
      <c r="D362" s="20" t="str">
        <f t="shared" si="235"/>
        <v>11206_3</v>
      </c>
      <c r="E362" s="5" t="str">
        <f ca="1">VLOOKUP($B362,OFFSET([1]quests!$A$1,0,0,COUNTA([1]quests!$A:$A),MATCH(E$1,[1]quests!$1:$1,0)-MATCH($B$1,[1]quests!$1:$1,0)+1),MATCH(E$1,[1]quests!$1:$1,0)-MATCH($B$1,[1]quests!$1:$1,0)+1,FALSE)</f>
        <v>【キャンペーン限定】 ゴールドカジノ</v>
      </c>
      <c r="F362" s="5" t="str">
        <f ca="1">VLOOKUP($D362,OFFSET([1]stages!$A$1,0,0,COUNTA([1]stages!$A:$A),MATCH(F$1,[1]stages!$2:$2,0)-MATCH($D$1,[1]stages!$2:$2,0)+1),MATCH(F$1,[1]stages!$2:$2,0)-MATCH($D$1,[1]stages!$2:$2,0)+1,FALSE)</f>
        <v>ゴールドカジノ 【上級】</v>
      </c>
      <c r="G362" s="39">
        <v>1</v>
      </c>
      <c r="H362" s="20" t="str">
        <f t="shared" si="236"/>
        <v>11206_3-1</v>
      </c>
      <c r="I362" s="41">
        <v>59</v>
      </c>
      <c r="J362" s="26" t="str">
        <f ca="1">VLOOKUP($I362,OFFSET([2]enemies!$A$1,0,0,COUNTA([2]enemies!$A:$A),MATCH(J$1,[2]enemies!$2:$2,0)-MATCH($I$1,[2]enemies!$2:$2,0)+1),MATCH(J$1,[2]enemies!$2:$2,0)-MATCH($I$1,[2]enemies!$2:$2,0)+1,FALSE)</f>
        <v>マーチ</v>
      </c>
      <c r="K362" s="29" t="str">
        <f ca="1">VLOOKUP($I362,OFFSET([2]enemies!$A$1,0,0,COUNTA([2]enemies!$A:$A),MATCH(K$1,[2]enemies!$2:$2,0)-MATCH($I$1,[2]enemies!$2:$2,0)+1),MATCH(K$1,[2]enemies!$2:$2,0)-MATCH($I$1,[2]enemies!$2:$2,0)+1,FALSE)</f>
        <v>green</v>
      </c>
      <c r="L362" s="29" t="str">
        <f ca="1">VLOOKUP($I362,OFFSET([3]characters!$A$1,0,0,COUNTA([3]characters!$A:$A),MATCH(L$1,[3]characters!$2:$2,0)-MATCH($I$1,[3]characters!$2:$2,0)+1),MATCH(L$1,[3]characters!$2:$2,0)-MATCH($I$1,[3]characters!$2:$2,0)+1,FALSE)</f>
        <v>Drop1N</v>
      </c>
      <c r="M362" s="28" t="str">
        <f ca="1">VLOOKUP($I362,OFFSET([3]characters!$A$1,0,0,COUNTA([3]characters!$A:$A),MATCH(M$1,[3]characters!$2:$2,0)-MATCH($I$1,[3]characters!$2:$2,0)+2),MATCH(M$1,[3]characters!$2:$2,0)-MATCH($I$1,[3]characters!$2:$2,0)+2,FALSE)</f>
        <v>アニマル</v>
      </c>
      <c r="N362" s="5">
        <f ca="1">VLOOKUP($I362,OFFSET([2]enemies!$A$1,0,0,COUNTA([2]enemies!$A:$A),MATCH(N$1,[2]enemies!$2:$2,0)-MATCH($I$1,[2]enemies!$2:$2,0)+1),MATCH(N$1,[2]enemies!$2:$2,0)-MATCH($I$1,[2]enemies!$2:$2,0)+1,FALSE)</f>
        <v>15</v>
      </c>
      <c r="O362" s="6">
        <v>32</v>
      </c>
      <c r="P362" s="46">
        <v>1</v>
      </c>
      <c r="Q362" s="46">
        <v>1</v>
      </c>
      <c r="R362" s="6">
        <v>0</v>
      </c>
      <c r="S362" s="5" t="str">
        <f ca="1">VLOOKUP($T362,OFFSET([4]enemy_skill_sets!$B$1,0,0,COUNTA([4]enemy_skill_sets!$B:$B),MATCH(J$1,[4]enemy_skill_sets!$1:$1,0)-MATCH($T$1,[4]enemy_skill_sets!$1:$1,0)+2),MATCH(J$1,[4]enemy_skill_sets!$1:$1,0)-MATCH($T$1,[4]enemy_skill_sets!$1:$1,0)+2,FALSE)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62" s="5">
        <f ca="1">VLOOKUP($I362,OFFSET([2]enemies!$A$1,0,0,COUNTA([2]enemies!$A:$A),MATCH(T$1,[2]enemies!$2:$2,0)-MATCH($I$1,[2]enemies!$2:$2,0)+1),MATCH(T$1,[2]enemies!$2:$2,0)-MATCH($I$1,[2]enemies!$2:$2,0)+1,FALSE)</f>
        <v>59</v>
      </c>
      <c r="U362" s="40">
        <v>0</v>
      </c>
      <c r="V362" s="7">
        <v>100</v>
      </c>
      <c r="W362" s="40">
        <v>0</v>
      </c>
      <c r="X362" s="26">
        <f ca="1">VLOOKUP($I362,OFFSET([2]enemies!$A$1,0,0,COUNTA([2]enemies!$A:$A),MATCH(X$1,[2]enemies!$2:$2,0)-MATCH($I$1,[2]enemies!$2:$2,0)+1),MATCH(X$1,[2]enemies!$2:$2,0)-MATCH($I$1,[2]enemies!$2:$2,0)+1,FALSE)</f>
        <v>2</v>
      </c>
      <c r="Y362" s="41">
        <v>59</v>
      </c>
      <c r="Z362" s="5" t="str">
        <f ca="1">IFERROR(VLOOKUP($Y362,OFFSET([3]characters!$A$1,0,0,COUNTA([3]characters!$A:$A),MATCH(Z$1,[3]characters!$2:$2,0)-MATCH("character_id",[3]characters!$2:$2,0)+1),MATCH(Z$1,[3]characters!$2:$2,0)-MATCH("character_id",[3]characters!$2:$2,0)+1,FALSE),"")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362" s="5">
        <f ca="1">IFERROR(VLOOKUP($Y362,OFFSET([3]characters!$A$1,0,0,COUNTA([3]characters!$A:$A),MATCH(AA$1,[3]characters!$2:$2,0)-MATCH("character_id",[3]characters!$2:$2,0)+1),MATCH(AA$1,[3]characters!$2:$2,0)-MATCH("character_id",[3]characters!$2:$2,0)+1,FALSE),"")</f>
        <v>2</v>
      </c>
      <c r="AB362" s="5" t="str">
        <f ca="1">IFERROR(VLOOKUP($Y362,OFFSET([3]characters!$A$1,0,0,COUNTA([3]characters!$A:$A),MATCH(AB$1,[3]characters!$2:$2,0)-MATCH("character_id",[3]characters!$2:$2,0)+1),MATCH(AB$1,[3]characters!$2:$2,0)-MATCH("character_id",[3]characters!$2:$2,0)+1,FALSE),"")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62" s="35">
        <v>1</v>
      </c>
      <c r="AD362" s="35">
        <f t="shared" ca="1" si="237"/>
        <v>2</v>
      </c>
      <c r="AE362" s="9">
        <v>0</v>
      </c>
      <c r="AF362" s="35">
        <v>0</v>
      </c>
      <c r="AG362" s="35">
        <v>0</v>
      </c>
      <c r="AH362" s="35">
        <v>0</v>
      </c>
      <c r="AI362" s="35">
        <v>0</v>
      </c>
      <c r="AJ362" s="35">
        <v>1</v>
      </c>
    </row>
    <row r="363" spans="1:36" ht="21" customHeight="1">
      <c r="A363" s="21" t="str">
        <f t="shared" ca="1" si="234"/>
        <v>11206_3-2/117&lt;lv1&gt;s1</v>
      </c>
      <c r="B363" s="8">
        <v>11206</v>
      </c>
      <c r="C363" s="32">
        <v>3</v>
      </c>
      <c r="D363" s="2" t="str">
        <f t="shared" si="235"/>
        <v>11206_3</v>
      </c>
      <c r="E363" s="5" t="str">
        <f ca="1">VLOOKUP($B363,OFFSET([1]quests!$A$1,0,0,COUNTA([1]quests!$A:$A),MATCH(E$1,[1]quests!$1:$1,0)-MATCH($B$1,[1]quests!$1:$1,0)+1),MATCH(E$1,[1]quests!$1:$1,0)-MATCH($B$1,[1]quests!$1:$1,0)+1,FALSE)</f>
        <v>【キャンペーン限定】 ゴールドカジノ</v>
      </c>
      <c r="F363" s="5" t="str">
        <f ca="1">VLOOKUP($D363,OFFSET([1]stages!$A$1,0,0,COUNTA([1]stages!$A:$A),MATCH(F$1,[1]stages!$2:$2,0)-MATCH($D$1,[1]stages!$2:$2,0)+1),MATCH(F$1,[1]stages!$2:$2,0)-MATCH($D$1,[1]stages!$2:$2,0)+1,FALSE)</f>
        <v>ゴールドカジノ 【上級】</v>
      </c>
      <c r="G363" s="32">
        <v>2</v>
      </c>
      <c r="H363" s="20" t="str">
        <f t="shared" si="236"/>
        <v>11206_3-2</v>
      </c>
      <c r="I363" s="31">
        <v>117</v>
      </c>
      <c r="J363" s="26" t="str">
        <f ca="1">VLOOKUP($I363,OFFSET([2]enemies!$A$1,0,0,COUNTA([2]enemies!$A:$A),MATCH(J$1,[2]enemies!$2:$2,0)-MATCH($I$1,[2]enemies!$2:$2,0)+1),MATCH(J$1,[2]enemies!$2:$2,0)-MATCH($I$1,[2]enemies!$2:$2,0)+1,FALSE)</f>
        <v>ゴールドピヨピヨ</v>
      </c>
      <c r="K363" s="29" t="str">
        <f ca="1">VLOOKUP($I363,OFFSET([2]enemies!$A$1,0,0,COUNTA([2]enemies!$A:$A),MATCH(K$1,[2]enemies!$2:$2,0)-MATCH($I$1,[2]enemies!$2:$2,0)+1),MATCH(K$1,[2]enemies!$2:$2,0)-MATCH($I$1,[2]enemies!$2:$2,0)+1,FALSE)</f>
        <v>yellow</v>
      </c>
      <c r="L363" s="29" t="str">
        <f ca="1">VLOOKUP($I363,OFFSET([3]characters!$A$1,0,0,COUNTA([3]characters!$A:$A),MATCH(L$1,[3]characters!$2:$2,0)-MATCH($I$1,[3]characters!$2:$2,0)+1),MATCH(L$1,[3]characters!$2:$2,0)-MATCH($I$1,[3]characters!$2:$2,0)+1,FALSE)</f>
        <v>Material</v>
      </c>
      <c r="M363" s="28" t="str">
        <f ca="1">VLOOKUP($I363,OFFSET([3]characters!$A$1,0,0,COUNTA([3]characters!$A:$A),MATCH(M$1,[3]characters!$2:$2,0)-MATCH($I$1,[3]characters!$2:$2,0)+2),MATCH(M$1,[3]characters!$2:$2,0)-MATCH($I$1,[3]characters!$2:$2,0)+2,FALSE)</f>
        <v>Unknown</v>
      </c>
      <c r="N363" s="5">
        <f ca="1">VLOOKUP($I363,OFFSET([2]enemies!$A$1,0,0,COUNTA([2]enemies!$A:$A),MATCH(N$1,[2]enemies!$2:$2,0)-MATCH($I$1,[2]enemies!$2:$2,0)+1),MATCH(N$1,[2]enemies!$2:$2,0)-MATCH($I$1,[2]enemies!$2:$2,0)+1,FALSE)</f>
        <v>15</v>
      </c>
      <c r="O363" s="6">
        <v>1</v>
      </c>
      <c r="P363" s="46">
        <v>40.5</v>
      </c>
      <c r="Q363" s="46">
        <v>42.25</v>
      </c>
      <c r="R363" s="6">
        <v>0</v>
      </c>
      <c r="S363" s="5" t="str">
        <f ca="1">VLOOKUP($T363,OFFSET([4]enemy_skill_sets!$B$1,0,0,COUNTA([4]enemy_skill_sets!$B:$B),MATCH(J$1,[4]enemy_skill_sets!$1:$1,0)-MATCH($T$1,[4]enemy_skill_sets!$1:$1,0)+2),MATCH(J$1,[4]enemy_skill_sets!$1:$1,0)-MATCH($T$1,[4]enemy_skill_sets!$1:$1,0)+2,FALSE)</f>
        <v>攻撃力10倍の自爆攻撃！</v>
      </c>
      <c r="T363" s="43">
        <v>11704</v>
      </c>
      <c r="U363" s="7">
        <v>1</v>
      </c>
      <c r="V363" s="7">
        <v>100</v>
      </c>
      <c r="W363" s="7">
        <v>0</v>
      </c>
      <c r="X363" s="26">
        <f ca="1">VLOOKUP($I363,OFFSET([2]enemies!$A$1,0,0,COUNTA([2]enemies!$A:$A),MATCH(X$1,[2]enemies!$2:$2,0)-MATCH($I$1,[2]enemies!$2:$2,0)+1),MATCH(X$1,[2]enemies!$2:$2,0)-MATCH($I$1,[2]enemies!$2:$2,0)+1,FALSE)</f>
        <v>1</v>
      </c>
      <c r="Y363" s="31">
        <v>117</v>
      </c>
      <c r="Z363" s="5" t="str">
        <f ca="1">IFERROR(VLOOKUP($Y363,OFFSET([3]characters!$A$1,0,0,COUNTA([3]characters!$A:$A),MATCH(Z$1,[3]characters!$2:$2,0)-MATCH("character_id",[3]characters!$2:$2,0)+1),MATCH(Z$1,[3]characters!$2:$2,0)-MATCH("character_id",[3]characters!$2:$2,0)+1,FALSE),"")</f>
        <v>ゴールドピヨピヨ</v>
      </c>
      <c r="AA363" s="5">
        <f ca="1">IFERROR(VLOOKUP($Y363,OFFSET([3]characters!$A$1,0,0,COUNTA([3]characters!$A:$A),MATCH(AA$1,[3]characters!$2:$2,0)-MATCH("character_id",[3]characters!$2:$2,0)+1),MATCH(AA$1,[3]characters!$2:$2,0)-MATCH("character_id",[3]characters!$2:$2,0)+1,FALSE),"")</f>
        <v>3</v>
      </c>
      <c r="AB363" s="5" t="str">
        <f ca="1">IFERROR(VLOOKUP($Y363,OFFSET([3]characters!$A$1,0,0,COUNTA([3]characters!$A:$A),MATCH(AB$1,[3]characters!$2:$2,0)-MATCH("character_id",[3]characters!$2:$2,0)+1),MATCH(AB$1,[3]characters!$2:$2,0)-MATCH("character_id",[3]characters!$2:$2,0)+1,FALSE),"")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63" s="8">
        <v>1</v>
      </c>
      <c r="AD363" s="34">
        <f t="shared" ca="1" si="237"/>
        <v>3</v>
      </c>
      <c r="AE363" s="9">
        <v>50</v>
      </c>
      <c r="AF363" s="8">
        <v>0</v>
      </c>
      <c r="AG363" s="8">
        <v>0</v>
      </c>
      <c r="AH363" s="8">
        <v>0</v>
      </c>
      <c r="AI363" s="8">
        <v>0</v>
      </c>
      <c r="AJ363" s="8">
        <v>1</v>
      </c>
    </row>
    <row r="364" spans="1:36" ht="21" customHeight="1">
      <c r="A364" s="21" t="str">
        <f t="shared" ca="1" si="234"/>
        <v>11206_3-2/118&lt;lv1&gt;s2</v>
      </c>
      <c r="B364" s="8">
        <v>11206</v>
      </c>
      <c r="C364" s="32">
        <v>3</v>
      </c>
      <c r="D364" s="2" t="str">
        <f t="shared" si="235"/>
        <v>11206_3</v>
      </c>
      <c r="E364" s="5" t="str">
        <f ca="1">VLOOKUP($B364,OFFSET([1]quests!$A$1,0,0,COUNTA([1]quests!$A:$A),MATCH(E$1,[1]quests!$1:$1,0)-MATCH($B$1,[1]quests!$1:$1,0)+1),MATCH(E$1,[1]quests!$1:$1,0)-MATCH($B$1,[1]quests!$1:$1,0)+1,FALSE)</f>
        <v>【キャンペーン限定】 ゴールドカジノ</v>
      </c>
      <c r="F364" s="5" t="str">
        <f ca="1">VLOOKUP($D364,OFFSET([1]stages!$A$1,0,0,COUNTA([1]stages!$A:$A),MATCH(F$1,[1]stages!$2:$2,0)-MATCH($D$1,[1]stages!$2:$2,0)+1),MATCH(F$1,[1]stages!$2:$2,0)-MATCH($D$1,[1]stages!$2:$2,0)+1,FALSE)</f>
        <v>ゴールドカジノ 【上級】</v>
      </c>
      <c r="G364" s="32">
        <v>2</v>
      </c>
      <c r="H364" s="20" t="str">
        <f t="shared" si="236"/>
        <v>11206_3-2</v>
      </c>
      <c r="I364" s="31">
        <v>118</v>
      </c>
      <c r="J364" s="26" t="str">
        <f ca="1">VLOOKUP($I364,OFFSET([2]enemies!$A$1,0,0,COUNTA([2]enemies!$A:$A),MATCH(J$1,[2]enemies!$2:$2,0)-MATCH($I$1,[2]enemies!$2:$2,0)+1),MATCH(J$1,[2]enemies!$2:$2,0)-MATCH($I$1,[2]enemies!$2:$2,0)+1,FALSE)</f>
        <v>ゴールドチック</v>
      </c>
      <c r="K364" s="29" t="str">
        <f ca="1">VLOOKUP($I364,OFFSET([2]enemies!$A$1,0,0,COUNTA([2]enemies!$A:$A),MATCH(K$1,[2]enemies!$2:$2,0)-MATCH($I$1,[2]enemies!$2:$2,0)+1),MATCH(K$1,[2]enemies!$2:$2,0)-MATCH($I$1,[2]enemies!$2:$2,0)+1,FALSE)</f>
        <v>yellow</v>
      </c>
      <c r="L364" s="29" t="str">
        <f ca="1">VLOOKUP($I364,OFFSET([3]characters!$A$1,0,0,COUNTA([3]characters!$A:$A),MATCH(L$1,[3]characters!$2:$2,0)-MATCH($I$1,[3]characters!$2:$2,0)+1),MATCH(L$1,[3]characters!$2:$2,0)-MATCH($I$1,[3]characters!$2:$2,0)+1,FALSE)</f>
        <v>Material</v>
      </c>
      <c r="M364" s="28" t="str">
        <f ca="1">VLOOKUP($I364,OFFSET([3]characters!$A$1,0,0,COUNTA([3]characters!$A:$A),MATCH(M$1,[3]characters!$2:$2,0)-MATCH($I$1,[3]characters!$2:$2,0)+2),MATCH(M$1,[3]characters!$2:$2,0)-MATCH($I$1,[3]characters!$2:$2,0)+2,FALSE)</f>
        <v>Unknown</v>
      </c>
      <c r="N364" s="5">
        <f ca="1">VLOOKUP($I364,OFFSET([2]enemies!$A$1,0,0,COUNTA([2]enemies!$A:$A),MATCH(N$1,[2]enemies!$2:$2,0)-MATCH($I$1,[2]enemies!$2:$2,0)+1),MATCH(N$1,[2]enemies!$2:$2,0)-MATCH($I$1,[2]enemies!$2:$2,0)+1,FALSE)</f>
        <v>15</v>
      </c>
      <c r="O364" s="6">
        <v>1</v>
      </c>
      <c r="P364" s="46">
        <v>40.5</v>
      </c>
      <c r="Q364" s="46">
        <v>38.5</v>
      </c>
      <c r="R364" s="6">
        <v>0</v>
      </c>
      <c r="S364" s="5" t="str">
        <f ca="1">VLOOKUP($T364,OFFSET([4]enemy_skill_sets!$B$1,0,0,COUNTA([4]enemy_skill_sets!$B:$B),MATCH(J$1,[4]enemy_skill_sets!$1:$1,0)-MATCH($T$1,[4]enemy_skill_sets!$1:$1,0)+2),MATCH(J$1,[4]enemy_skill_sets!$1:$1,0)-MATCH($T$1,[4]enemy_skill_sets!$1:$1,0)+2,FALSE)</f>
        <v>攻撃力20倍の自爆攻撃！</v>
      </c>
      <c r="T364" s="43">
        <v>11803</v>
      </c>
      <c r="U364" s="7">
        <v>1</v>
      </c>
      <c r="V364" s="7">
        <v>100</v>
      </c>
      <c r="W364" s="7">
        <v>0</v>
      </c>
      <c r="X364" s="26">
        <f ca="1">VLOOKUP($I364,OFFSET([2]enemies!$A$1,0,0,COUNTA([2]enemies!$A:$A),MATCH(X$1,[2]enemies!$2:$2,0)-MATCH($I$1,[2]enemies!$2:$2,0)+1),MATCH(X$1,[2]enemies!$2:$2,0)-MATCH($I$1,[2]enemies!$2:$2,0)+1,FALSE)</f>
        <v>2</v>
      </c>
      <c r="Y364" s="31">
        <v>118</v>
      </c>
      <c r="Z364" s="5" t="str">
        <f ca="1">IFERROR(VLOOKUP($Y364,OFFSET([3]characters!$A$1,0,0,COUNTA([3]characters!$A:$A),MATCH(Z$1,[3]characters!$2:$2,0)-MATCH("character_id",[3]characters!$2:$2,0)+1),MATCH(Z$1,[3]characters!$2:$2,0)-MATCH("character_id",[3]characters!$2:$2,0)+1,FALSE),"")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364" s="5">
        <f ca="1">IFERROR(VLOOKUP($Y364,OFFSET([3]characters!$A$1,0,0,COUNTA([3]characters!$A:$A),MATCH(AA$1,[3]characters!$2:$2,0)-MATCH("character_id",[3]characters!$2:$2,0)+1),MATCH(AA$1,[3]characters!$2:$2,0)-MATCH("character_id",[3]characters!$2:$2,0)+1,FALSE),"")</f>
        <v>4</v>
      </c>
      <c r="AB364" s="5" t="str">
        <f ca="1">IFERROR(VLOOKUP($Y364,OFFSET([3]characters!$A$1,0,0,COUNTA([3]characters!$A:$A),MATCH(AB$1,[3]characters!$2:$2,0)-MATCH("character_id",[3]characters!$2:$2,0)+1),MATCH(AB$1,[3]characters!$2:$2,0)-MATCH("character_id",[3]characters!$2:$2,0)+1,FALSE),"")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64" s="8">
        <v>1</v>
      </c>
      <c r="AD364" s="34">
        <f t="shared" ca="1" si="237"/>
        <v>4</v>
      </c>
      <c r="AE364" s="9">
        <v>10</v>
      </c>
      <c r="AF364" s="8">
        <v>0</v>
      </c>
      <c r="AG364" s="8">
        <v>0</v>
      </c>
      <c r="AH364" s="8">
        <v>0</v>
      </c>
      <c r="AI364" s="8">
        <v>0</v>
      </c>
      <c r="AJ364" s="8">
        <v>1</v>
      </c>
    </row>
    <row r="365" spans="1:36" ht="21" customHeight="1">
      <c r="A365" s="21" t="str">
        <f t="shared" ca="1" si="234"/>
        <v>11206_3-2/63&lt;lv32&gt;s2</v>
      </c>
      <c r="B365" s="8">
        <v>11206</v>
      </c>
      <c r="C365" s="32">
        <v>3</v>
      </c>
      <c r="D365" s="20" t="str">
        <f t="shared" si="235"/>
        <v>11206_3</v>
      </c>
      <c r="E365" s="5" t="str">
        <f ca="1">VLOOKUP($B365,OFFSET([1]quests!$A$1,0,0,COUNTA([1]quests!$A:$A),MATCH(E$1,[1]quests!$1:$1,0)-MATCH($B$1,[1]quests!$1:$1,0)+1),MATCH(E$1,[1]quests!$1:$1,0)-MATCH($B$1,[1]quests!$1:$1,0)+1,FALSE)</f>
        <v>【キャンペーン限定】 ゴールドカジノ</v>
      </c>
      <c r="F365" s="5" t="str">
        <f ca="1">VLOOKUP($D365,OFFSET([1]stages!$A$1,0,0,COUNTA([1]stages!$A:$A),MATCH(F$1,[1]stages!$2:$2,0)-MATCH($D$1,[1]stages!$2:$2,0)+1),MATCH(F$1,[1]stages!$2:$2,0)-MATCH($D$1,[1]stages!$2:$2,0)+1,FALSE)</f>
        <v>ゴールドカジノ 【上級】</v>
      </c>
      <c r="G365" s="32">
        <v>2</v>
      </c>
      <c r="H365" s="20" t="str">
        <f t="shared" si="236"/>
        <v>11206_3-2</v>
      </c>
      <c r="I365" s="41">
        <v>63</v>
      </c>
      <c r="J365" s="26" t="str">
        <f ca="1">VLOOKUP($I365,OFFSET([2]enemies!$A$1,0,0,COUNTA([2]enemies!$A:$A),MATCH(J$1,[2]enemies!$2:$2,0)-MATCH($I$1,[2]enemies!$2:$2,0)+1),MATCH(J$1,[2]enemies!$2:$2,0)-MATCH($I$1,[2]enemies!$2:$2,0)+1,FALSE)</f>
        <v>トニー</v>
      </c>
      <c r="K365" s="29" t="str">
        <f ca="1">VLOOKUP($I365,OFFSET([2]enemies!$A$1,0,0,COUNTA([2]enemies!$A:$A),MATCH(K$1,[2]enemies!$2:$2,0)-MATCH($I$1,[2]enemies!$2:$2,0)+1),MATCH(K$1,[2]enemies!$2:$2,0)-MATCH($I$1,[2]enemies!$2:$2,0)+1,FALSE)</f>
        <v>yellow</v>
      </c>
      <c r="L365" s="29" t="str">
        <f ca="1">VLOOKUP($I365,OFFSET([3]characters!$A$1,0,0,COUNTA([3]characters!$A:$A),MATCH(L$1,[3]characters!$2:$2,0)-MATCH($I$1,[3]characters!$2:$2,0)+1),MATCH(L$1,[3]characters!$2:$2,0)-MATCH($I$1,[3]characters!$2:$2,0)+1,FALSE)</f>
        <v>Drop1N</v>
      </c>
      <c r="M365" s="28" t="str">
        <f ca="1">VLOOKUP($I365,OFFSET([3]characters!$A$1,0,0,COUNTA([3]characters!$A:$A),MATCH(M$1,[3]characters!$2:$2,0)-MATCH($I$1,[3]characters!$2:$2,0)+2),MATCH(M$1,[3]characters!$2:$2,0)-MATCH($I$1,[3]characters!$2:$2,0)+2,FALSE)</f>
        <v>アニマル</v>
      </c>
      <c r="N365" s="5">
        <f ca="1">VLOOKUP($I365,OFFSET([2]enemies!$A$1,0,0,COUNTA([2]enemies!$A:$A),MATCH(N$1,[2]enemies!$2:$2,0)-MATCH($I$1,[2]enemies!$2:$2,0)+1),MATCH(N$1,[2]enemies!$2:$2,0)-MATCH($I$1,[2]enemies!$2:$2,0)+1,FALSE)</f>
        <v>15</v>
      </c>
      <c r="O365" s="6">
        <v>32</v>
      </c>
      <c r="P365" s="46">
        <v>1</v>
      </c>
      <c r="Q365" s="46">
        <v>1</v>
      </c>
      <c r="R365" s="6">
        <v>0</v>
      </c>
      <c r="S365" s="5" t="str">
        <f ca="1">VLOOKUP($T365,OFFSET([4]enemy_skill_sets!$B$1,0,0,COUNTA([4]enemy_skill_sets!$B:$B),MATCH(J$1,[4]enemy_skill_sets!$1:$1,0)-MATCH($T$1,[4]enemy_skill_sets!$1:$1,0)+2),MATCH(J$1,[4]enemy_skill_sets!$1:$1,0)-MATCH($T$1,[4]enemy_skill_sets!$1:$1,0)+2,FALSE)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365" s="5">
        <f ca="1">VLOOKUP($I365,OFFSET([2]enemies!$A$1,0,0,COUNTA([2]enemies!$A:$A),MATCH(T$1,[2]enemies!$2:$2,0)-MATCH($I$1,[2]enemies!$2:$2,0)+1),MATCH(T$1,[2]enemies!$2:$2,0)-MATCH($I$1,[2]enemies!$2:$2,0)+1,FALSE)</f>
        <v>63</v>
      </c>
      <c r="U365" s="40">
        <v>0</v>
      </c>
      <c r="V365" s="7">
        <v>100</v>
      </c>
      <c r="W365" s="40">
        <v>0</v>
      </c>
      <c r="X365" s="26">
        <f ca="1">VLOOKUP($I365,OFFSET([2]enemies!$A$1,0,0,COUNTA([2]enemies!$A:$A),MATCH(X$1,[2]enemies!$2:$2,0)-MATCH($I$1,[2]enemies!$2:$2,0)+1),MATCH(X$1,[2]enemies!$2:$2,0)-MATCH($I$1,[2]enemies!$2:$2,0)+1,FALSE)</f>
        <v>2</v>
      </c>
      <c r="Y365" s="41">
        <v>63</v>
      </c>
      <c r="Z365" s="5" t="str">
        <f ca="1">IFERROR(VLOOKUP($Y365,OFFSET([3]characters!$A$1,0,0,COUNTA([3]characters!$A:$A),MATCH(Z$1,[3]characters!$2:$2,0)-MATCH("character_id",[3]characters!$2:$2,0)+1),MATCH(Z$1,[3]characters!$2:$2,0)-MATCH("character_id",[3]characters!$2:$2,0)+1,FALSE),"")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365" s="5">
        <f ca="1">IFERROR(VLOOKUP($Y365,OFFSET([3]characters!$A$1,0,0,COUNTA([3]characters!$A:$A),MATCH(AA$1,[3]characters!$2:$2,0)-MATCH("character_id",[3]characters!$2:$2,0)+1),MATCH(AA$1,[3]characters!$2:$2,0)-MATCH("character_id",[3]characters!$2:$2,0)+1,FALSE),"")</f>
        <v>2</v>
      </c>
      <c r="AB365" s="5" t="str">
        <f ca="1">IFERROR(VLOOKUP($Y365,OFFSET([3]characters!$A$1,0,0,COUNTA([3]characters!$A:$A),MATCH(AB$1,[3]characters!$2:$2,0)-MATCH("character_id",[3]characters!$2:$2,0)+1),MATCH(AB$1,[3]characters!$2:$2,0)-MATCH("character_id",[3]characters!$2:$2,0)+1,FALSE),"")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65" s="35">
        <v>1</v>
      </c>
      <c r="AD365" s="35">
        <f t="shared" ca="1" si="237"/>
        <v>2</v>
      </c>
      <c r="AE365" s="9">
        <v>0</v>
      </c>
      <c r="AF365" s="35">
        <v>0</v>
      </c>
      <c r="AG365" s="35">
        <v>0</v>
      </c>
      <c r="AH365" s="35">
        <v>0</v>
      </c>
      <c r="AI365" s="35">
        <v>0</v>
      </c>
      <c r="AJ365" s="35">
        <v>1</v>
      </c>
    </row>
    <row r="366" spans="1:36" ht="21" customHeight="1">
      <c r="A366" s="21" t="str">
        <f t="shared" ca="1" si="234"/>
        <v>11206_3-2/61&lt;lv32&gt;s2</v>
      </c>
      <c r="B366" s="8">
        <v>11206</v>
      </c>
      <c r="C366" s="32">
        <v>3</v>
      </c>
      <c r="D366" s="20" t="str">
        <f t="shared" si="235"/>
        <v>11206_3</v>
      </c>
      <c r="E366" s="5" t="str">
        <f ca="1">VLOOKUP($B366,OFFSET([1]quests!$A$1,0,0,COUNTA([1]quests!$A:$A),MATCH(E$1,[1]quests!$1:$1,0)-MATCH($B$1,[1]quests!$1:$1,0)+1),MATCH(E$1,[1]quests!$1:$1,0)-MATCH($B$1,[1]quests!$1:$1,0)+1,FALSE)</f>
        <v>【キャンペーン限定】 ゴールドカジノ</v>
      </c>
      <c r="F366" s="5" t="str">
        <f ca="1">VLOOKUP($D366,OFFSET([1]stages!$A$1,0,0,COUNTA([1]stages!$A:$A),MATCH(F$1,[1]stages!$2:$2,0)-MATCH($D$1,[1]stages!$2:$2,0)+1),MATCH(F$1,[1]stages!$2:$2,0)-MATCH($D$1,[1]stages!$2:$2,0)+1,FALSE)</f>
        <v>ゴールドカジノ 【上級】</v>
      </c>
      <c r="G366" s="32">
        <v>2</v>
      </c>
      <c r="H366" s="20" t="str">
        <f t="shared" si="236"/>
        <v>11206_3-2</v>
      </c>
      <c r="I366" s="41">
        <v>61</v>
      </c>
      <c r="J366" s="26" t="str">
        <f ca="1">VLOOKUP($I366,OFFSET([2]enemies!$A$1,0,0,COUNTA([2]enemies!$A:$A),MATCH(J$1,[2]enemies!$2:$2,0)-MATCH($I$1,[2]enemies!$2:$2,0)+1),MATCH(J$1,[2]enemies!$2:$2,0)-MATCH($I$1,[2]enemies!$2:$2,0)+1,FALSE)</f>
        <v>クロウ</v>
      </c>
      <c r="K366" s="29" t="str">
        <f ca="1">VLOOKUP($I366,OFFSET([2]enemies!$A$1,0,0,COUNTA([2]enemies!$A:$A),MATCH(K$1,[2]enemies!$2:$2,0)-MATCH($I$1,[2]enemies!$2:$2,0)+1),MATCH(K$1,[2]enemies!$2:$2,0)-MATCH($I$1,[2]enemies!$2:$2,0)+1,FALSE)</f>
        <v>blue</v>
      </c>
      <c r="L366" s="29" t="str">
        <f ca="1">VLOOKUP($I366,OFFSET([3]characters!$A$1,0,0,COUNTA([3]characters!$A:$A),MATCH(L$1,[3]characters!$2:$2,0)-MATCH($I$1,[3]characters!$2:$2,0)+1),MATCH(L$1,[3]characters!$2:$2,0)-MATCH($I$1,[3]characters!$2:$2,0)+1,FALSE)</f>
        <v>Drop1N</v>
      </c>
      <c r="M366" s="28" t="str">
        <f ca="1">VLOOKUP($I366,OFFSET([3]characters!$A$1,0,0,COUNTA([3]characters!$A:$A),MATCH(M$1,[3]characters!$2:$2,0)-MATCH($I$1,[3]characters!$2:$2,0)+2),MATCH(M$1,[3]characters!$2:$2,0)-MATCH($I$1,[3]characters!$2:$2,0)+2,FALSE)</f>
        <v>アニマル</v>
      </c>
      <c r="N366" s="5">
        <f ca="1">VLOOKUP($I366,OFFSET([2]enemies!$A$1,0,0,COUNTA([2]enemies!$A:$A),MATCH(N$1,[2]enemies!$2:$2,0)-MATCH($I$1,[2]enemies!$2:$2,0)+1),MATCH(N$1,[2]enemies!$2:$2,0)-MATCH($I$1,[2]enemies!$2:$2,0)+1,FALSE)</f>
        <v>15</v>
      </c>
      <c r="O366" s="6">
        <v>32</v>
      </c>
      <c r="P366" s="46">
        <v>1</v>
      </c>
      <c r="Q366" s="46">
        <v>1</v>
      </c>
      <c r="R366" s="6">
        <v>0</v>
      </c>
      <c r="S366" s="5" t="str">
        <f ca="1">VLOOKUP($T366,OFFSET([4]enemy_skill_sets!$B$1,0,0,COUNTA([4]enemy_skill_sets!$B:$B),MATCH(J$1,[4]enemy_skill_sets!$1:$1,0)-MATCH($T$1,[4]enemy_skill_sets!$1:$1,0)+2),MATCH(J$1,[4]enemy_skill_sets!$1:$1,0)-MATCH($T$1,[4]enemy_skill_sets!$1:$1,0)+2,FALSE)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66" s="5">
        <f ca="1">VLOOKUP($I366,OFFSET([2]enemies!$A$1,0,0,COUNTA([2]enemies!$A:$A),MATCH(T$1,[2]enemies!$2:$2,0)-MATCH($I$1,[2]enemies!$2:$2,0)+1),MATCH(T$1,[2]enemies!$2:$2,0)-MATCH($I$1,[2]enemies!$2:$2,0)+1,FALSE)</f>
        <v>61</v>
      </c>
      <c r="U366" s="40">
        <v>0</v>
      </c>
      <c r="V366" s="7">
        <v>100</v>
      </c>
      <c r="W366" s="40">
        <v>0</v>
      </c>
      <c r="X366" s="26">
        <f ca="1">VLOOKUP($I366,OFFSET([2]enemies!$A$1,0,0,COUNTA([2]enemies!$A:$A),MATCH(X$1,[2]enemies!$2:$2,0)-MATCH($I$1,[2]enemies!$2:$2,0)+1),MATCH(X$1,[2]enemies!$2:$2,0)-MATCH($I$1,[2]enemies!$2:$2,0)+1,FALSE)</f>
        <v>2</v>
      </c>
      <c r="Y366" s="41">
        <v>61</v>
      </c>
      <c r="Z366" s="5" t="str">
        <f ca="1">IFERROR(VLOOKUP($Y366,OFFSET([3]characters!$A$1,0,0,COUNTA([3]characters!$A:$A),MATCH(Z$1,[3]characters!$2:$2,0)-MATCH("character_id",[3]characters!$2:$2,0)+1),MATCH(Z$1,[3]characters!$2:$2,0)-MATCH("character_id",[3]characters!$2:$2,0)+1,FALSE),"")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366" s="5">
        <f ca="1">IFERROR(VLOOKUP($Y366,OFFSET([3]characters!$A$1,0,0,COUNTA([3]characters!$A:$A),MATCH(AA$1,[3]characters!$2:$2,0)-MATCH("character_id",[3]characters!$2:$2,0)+1),MATCH(AA$1,[3]characters!$2:$2,0)-MATCH("character_id",[3]characters!$2:$2,0)+1,FALSE),"")</f>
        <v>2</v>
      </c>
      <c r="AB366" s="5" t="str">
        <f ca="1">IFERROR(VLOOKUP($Y366,OFFSET([3]characters!$A$1,0,0,COUNTA([3]characters!$A:$A),MATCH(AB$1,[3]characters!$2:$2,0)-MATCH("character_id",[3]characters!$2:$2,0)+1),MATCH(AB$1,[3]characters!$2:$2,0)-MATCH("character_id",[3]characters!$2:$2,0)+1,FALSE),"")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66" s="35">
        <v>1</v>
      </c>
      <c r="AD366" s="35">
        <f t="shared" ca="1" si="237"/>
        <v>2</v>
      </c>
      <c r="AE366" s="9">
        <v>0</v>
      </c>
      <c r="AF366" s="35">
        <v>0</v>
      </c>
      <c r="AG366" s="35">
        <v>0</v>
      </c>
      <c r="AH366" s="35">
        <v>0</v>
      </c>
      <c r="AI366" s="35">
        <v>0</v>
      </c>
      <c r="AJ366" s="35">
        <v>1</v>
      </c>
    </row>
    <row r="367" spans="1:36" ht="21" customHeight="1">
      <c r="A367" s="21" t="str">
        <f t="shared" ca="1" si="234"/>
        <v>11206_3-2/57&lt;lv32&gt;s2</v>
      </c>
      <c r="B367" s="8">
        <v>11206</v>
      </c>
      <c r="C367" s="32">
        <v>3</v>
      </c>
      <c r="D367" s="20" t="str">
        <f t="shared" si="235"/>
        <v>11206_3</v>
      </c>
      <c r="E367" s="5" t="str">
        <f ca="1">VLOOKUP($B367,OFFSET([1]quests!$A$1,0,0,COUNTA([1]quests!$A:$A),MATCH(E$1,[1]quests!$1:$1,0)-MATCH($B$1,[1]quests!$1:$1,0)+1),MATCH(E$1,[1]quests!$1:$1,0)-MATCH($B$1,[1]quests!$1:$1,0)+1,FALSE)</f>
        <v>【キャンペーン限定】 ゴールドカジノ</v>
      </c>
      <c r="F367" s="5" t="str">
        <f ca="1">VLOOKUP($D367,OFFSET([1]stages!$A$1,0,0,COUNTA([1]stages!$A:$A),MATCH(F$1,[1]stages!$2:$2,0)-MATCH($D$1,[1]stages!$2:$2,0)+1),MATCH(F$1,[1]stages!$2:$2,0)-MATCH($D$1,[1]stages!$2:$2,0)+1,FALSE)</f>
        <v>ゴールドカジノ 【上級】</v>
      </c>
      <c r="G367" s="32">
        <v>2</v>
      </c>
      <c r="H367" s="20" t="str">
        <f t="shared" si="236"/>
        <v>11206_3-2</v>
      </c>
      <c r="I367" s="41">
        <v>57</v>
      </c>
      <c r="J367" s="26" t="str">
        <f ca="1">VLOOKUP($I367,OFFSET([2]enemies!$A$1,0,0,COUNTA([2]enemies!$A:$A),MATCH(J$1,[2]enemies!$2:$2,0)-MATCH($I$1,[2]enemies!$2:$2,0)+1),MATCH(J$1,[2]enemies!$2:$2,0)-MATCH($I$1,[2]enemies!$2:$2,0)+1,FALSE)</f>
        <v>チェン・リー</v>
      </c>
      <c r="K367" s="29" t="str">
        <f ca="1">VLOOKUP($I367,OFFSET([2]enemies!$A$1,0,0,COUNTA([2]enemies!$A:$A),MATCH(K$1,[2]enemies!$2:$2,0)-MATCH($I$1,[2]enemies!$2:$2,0)+1),MATCH(K$1,[2]enemies!$2:$2,0)-MATCH($I$1,[2]enemies!$2:$2,0)+1,FALSE)</f>
        <v>red</v>
      </c>
      <c r="L367" s="29" t="str">
        <f ca="1">VLOOKUP($I367,OFFSET([3]characters!$A$1,0,0,COUNTA([3]characters!$A:$A),MATCH(L$1,[3]characters!$2:$2,0)-MATCH($I$1,[3]characters!$2:$2,0)+1),MATCH(L$1,[3]characters!$2:$2,0)-MATCH($I$1,[3]characters!$2:$2,0)+1,FALSE)</f>
        <v>Drop1N</v>
      </c>
      <c r="M367" s="28" t="str">
        <f ca="1">VLOOKUP($I367,OFFSET([3]characters!$A$1,0,0,COUNTA([3]characters!$A:$A),MATCH(M$1,[3]characters!$2:$2,0)-MATCH($I$1,[3]characters!$2:$2,0)+2),MATCH(M$1,[3]characters!$2:$2,0)-MATCH($I$1,[3]characters!$2:$2,0)+2,FALSE)</f>
        <v>アニマル</v>
      </c>
      <c r="N367" s="5">
        <f ca="1">VLOOKUP($I367,OFFSET([2]enemies!$A$1,0,0,COUNTA([2]enemies!$A:$A),MATCH(N$1,[2]enemies!$2:$2,0)-MATCH($I$1,[2]enemies!$2:$2,0)+1),MATCH(N$1,[2]enemies!$2:$2,0)-MATCH($I$1,[2]enemies!$2:$2,0)+1,FALSE)</f>
        <v>15</v>
      </c>
      <c r="O367" s="6">
        <v>32</v>
      </c>
      <c r="P367" s="46">
        <v>1</v>
      </c>
      <c r="Q367" s="46">
        <v>1</v>
      </c>
      <c r="R367" s="6">
        <v>0</v>
      </c>
      <c r="S367" s="5" t="str">
        <f ca="1">VLOOKUP($T367,OFFSET([4]enemy_skill_sets!$B$1,0,0,COUNTA([4]enemy_skill_sets!$B:$B),MATCH(J$1,[4]enemy_skill_sets!$1:$1,0)-MATCH($T$1,[4]enemy_skill_sets!$1:$1,0)+2),MATCH(J$1,[4]enemy_skill_sets!$1:$1,0)-MATCH($T$1,[4]enemy_skill_sets!$1:$1,0)+2,FALSE)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367" s="5">
        <f ca="1">VLOOKUP($I367,OFFSET([2]enemies!$A$1,0,0,COUNTA([2]enemies!$A:$A),MATCH(T$1,[2]enemies!$2:$2,0)-MATCH($I$1,[2]enemies!$2:$2,0)+1),MATCH(T$1,[2]enemies!$2:$2,0)-MATCH($I$1,[2]enemies!$2:$2,0)+1,FALSE)</f>
        <v>57</v>
      </c>
      <c r="U367" s="40">
        <v>0</v>
      </c>
      <c r="V367" s="7">
        <v>100</v>
      </c>
      <c r="W367" s="40">
        <v>0</v>
      </c>
      <c r="X367" s="26">
        <f ca="1">VLOOKUP($I367,OFFSET([2]enemies!$A$1,0,0,COUNTA([2]enemies!$A:$A),MATCH(X$1,[2]enemies!$2:$2,0)-MATCH($I$1,[2]enemies!$2:$2,0)+1),MATCH(X$1,[2]enemies!$2:$2,0)-MATCH($I$1,[2]enemies!$2:$2,0)+1,FALSE)</f>
        <v>2</v>
      </c>
      <c r="Y367" s="41">
        <v>57</v>
      </c>
      <c r="Z367" s="5" t="str">
        <f ca="1">IFERROR(VLOOKUP($Y367,OFFSET([3]characters!$A$1,0,0,COUNTA([3]characters!$A:$A),MATCH(Z$1,[3]characters!$2:$2,0)-MATCH("character_id",[3]characters!$2:$2,0)+1),MATCH(Z$1,[3]characters!$2:$2,0)-MATCH("character_id",[3]characters!$2:$2,0)+1,FALSE),"")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367" s="5">
        <f ca="1">IFERROR(VLOOKUP($Y367,OFFSET([3]characters!$A$1,0,0,COUNTA([3]characters!$A:$A),MATCH(AA$1,[3]characters!$2:$2,0)-MATCH("character_id",[3]characters!$2:$2,0)+1),MATCH(AA$1,[3]characters!$2:$2,0)-MATCH("character_id",[3]characters!$2:$2,0)+1,FALSE),"")</f>
        <v>2</v>
      </c>
      <c r="AB367" s="5" t="str">
        <f ca="1">IFERROR(VLOOKUP($Y367,OFFSET([3]characters!$A$1,0,0,COUNTA([3]characters!$A:$A),MATCH(AB$1,[3]characters!$2:$2,0)-MATCH("character_id",[3]characters!$2:$2,0)+1),MATCH(AB$1,[3]characters!$2:$2,0)-MATCH("character_id",[3]characters!$2:$2,0)+1,FALSE),"")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67" s="35">
        <v>1</v>
      </c>
      <c r="AD367" s="35">
        <f t="shared" ca="1" si="237"/>
        <v>2</v>
      </c>
      <c r="AE367" s="9">
        <v>0</v>
      </c>
      <c r="AF367" s="35">
        <v>0</v>
      </c>
      <c r="AG367" s="35">
        <v>0</v>
      </c>
      <c r="AH367" s="35">
        <v>0</v>
      </c>
      <c r="AI367" s="35">
        <v>0</v>
      </c>
      <c r="AJ367" s="35">
        <v>1</v>
      </c>
    </row>
    <row r="368" spans="1:36" ht="21" customHeight="1">
      <c r="A368" s="21" t="str">
        <f t="shared" ca="1" si="234"/>
        <v>11206_3-2/59&lt;lv32&gt;s2</v>
      </c>
      <c r="B368" s="8">
        <v>11206</v>
      </c>
      <c r="C368" s="32">
        <v>3</v>
      </c>
      <c r="D368" s="20" t="str">
        <f t="shared" si="235"/>
        <v>11206_3</v>
      </c>
      <c r="E368" s="5" t="str">
        <f ca="1">VLOOKUP($B368,OFFSET([1]quests!$A$1,0,0,COUNTA([1]quests!$A:$A),MATCH(E$1,[1]quests!$1:$1,0)-MATCH($B$1,[1]quests!$1:$1,0)+1),MATCH(E$1,[1]quests!$1:$1,0)-MATCH($B$1,[1]quests!$1:$1,0)+1,FALSE)</f>
        <v>【キャンペーン限定】 ゴールドカジノ</v>
      </c>
      <c r="F368" s="5" t="str">
        <f ca="1">VLOOKUP($D368,OFFSET([1]stages!$A$1,0,0,COUNTA([1]stages!$A:$A),MATCH(F$1,[1]stages!$2:$2,0)-MATCH($D$1,[1]stages!$2:$2,0)+1),MATCH(F$1,[1]stages!$2:$2,0)-MATCH($D$1,[1]stages!$2:$2,0)+1,FALSE)</f>
        <v>ゴールドカジノ 【上級】</v>
      </c>
      <c r="G368" s="32">
        <v>2</v>
      </c>
      <c r="H368" s="20" t="str">
        <f t="shared" si="236"/>
        <v>11206_3-2</v>
      </c>
      <c r="I368" s="41">
        <v>59</v>
      </c>
      <c r="J368" s="26" t="str">
        <f ca="1">VLOOKUP($I368,OFFSET([2]enemies!$A$1,0,0,COUNTA([2]enemies!$A:$A),MATCH(J$1,[2]enemies!$2:$2,0)-MATCH($I$1,[2]enemies!$2:$2,0)+1),MATCH(J$1,[2]enemies!$2:$2,0)-MATCH($I$1,[2]enemies!$2:$2,0)+1,FALSE)</f>
        <v>マーチ</v>
      </c>
      <c r="K368" s="29" t="str">
        <f ca="1">VLOOKUP($I368,OFFSET([2]enemies!$A$1,0,0,COUNTA([2]enemies!$A:$A),MATCH(K$1,[2]enemies!$2:$2,0)-MATCH($I$1,[2]enemies!$2:$2,0)+1),MATCH(K$1,[2]enemies!$2:$2,0)-MATCH($I$1,[2]enemies!$2:$2,0)+1,FALSE)</f>
        <v>green</v>
      </c>
      <c r="L368" s="29" t="str">
        <f ca="1">VLOOKUP($I368,OFFSET([3]characters!$A$1,0,0,COUNTA([3]characters!$A:$A),MATCH(L$1,[3]characters!$2:$2,0)-MATCH($I$1,[3]characters!$2:$2,0)+1),MATCH(L$1,[3]characters!$2:$2,0)-MATCH($I$1,[3]characters!$2:$2,0)+1,FALSE)</f>
        <v>Drop1N</v>
      </c>
      <c r="M368" s="28" t="str">
        <f ca="1">VLOOKUP($I368,OFFSET([3]characters!$A$1,0,0,COUNTA([3]characters!$A:$A),MATCH(M$1,[3]characters!$2:$2,0)-MATCH($I$1,[3]characters!$2:$2,0)+2),MATCH(M$1,[3]characters!$2:$2,0)-MATCH($I$1,[3]characters!$2:$2,0)+2,FALSE)</f>
        <v>アニマル</v>
      </c>
      <c r="N368" s="5">
        <f ca="1">VLOOKUP($I368,OFFSET([2]enemies!$A$1,0,0,COUNTA([2]enemies!$A:$A),MATCH(N$1,[2]enemies!$2:$2,0)-MATCH($I$1,[2]enemies!$2:$2,0)+1),MATCH(N$1,[2]enemies!$2:$2,0)-MATCH($I$1,[2]enemies!$2:$2,0)+1,FALSE)</f>
        <v>15</v>
      </c>
      <c r="O368" s="6">
        <v>32</v>
      </c>
      <c r="P368" s="46">
        <v>1</v>
      </c>
      <c r="Q368" s="46">
        <v>1</v>
      </c>
      <c r="R368" s="6">
        <v>0</v>
      </c>
      <c r="S368" s="5" t="str">
        <f ca="1">VLOOKUP($T368,OFFSET([4]enemy_skill_sets!$B$1,0,0,COUNTA([4]enemy_skill_sets!$B:$B),MATCH(J$1,[4]enemy_skill_sets!$1:$1,0)-MATCH($T$1,[4]enemy_skill_sets!$1:$1,0)+2),MATCH(J$1,[4]enemy_skill_sets!$1:$1,0)-MATCH($T$1,[4]enemy_skill_sets!$1:$1,0)+2,FALSE)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68" s="5">
        <f ca="1">VLOOKUP($I368,OFFSET([2]enemies!$A$1,0,0,COUNTA([2]enemies!$A:$A),MATCH(T$1,[2]enemies!$2:$2,0)-MATCH($I$1,[2]enemies!$2:$2,0)+1),MATCH(T$1,[2]enemies!$2:$2,0)-MATCH($I$1,[2]enemies!$2:$2,0)+1,FALSE)</f>
        <v>59</v>
      </c>
      <c r="U368" s="40">
        <v>0</v>
      </c>
      <c r="V368" s="7">
        <v>100</v>
      </c>
      <c r="W368" s="40">
        <v>0</v>
      </c>
      <c r="X368" s="26">
        <f ca="1">VLOOKUP($I368,OFFSET([2]enemies!$A$1,0,0,COUNTA([2]enemies!$A:$A),MATCH(X$1,[2]enemies!$2:$2,0)-MATCH($I$1,[2]enemies!$2:$2,0)+1),MATCH(X$1,[2]enemies!$2:$2,0)-MATCH($I$1,[2]enemies!$2:$2,0)+1,FALSE)</f>
        <v>2</v>
      </c>
      <c r="Y368" s="41">
        <v>59</v>
      </c>
      <c r="Z368" s="5" t="str">
        <f ca="1">IFERROR(VLOOKUP($Y368,OFFSET([3]characters!$A$1,0,0,COUNTA([3]characters!$A:$A),MATCH(Z$1,[3]characters!$2:$2,0)-MATCH("character_id",[3]characters!$2:$2,0)+1),MATCH(Z$1,[3]characters!$2:$2,0)-MATCH("character_id",[3]characters!$2:$2,0)+1,FALSE),"")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368" s="5">
        <f ca="1">IFERROR(VLOOKUP($Y368,OFFSET([3]characters!$A$1,0,0,COUNTA([3]characters!$A:$A),MATCH(AA$1,[3]characters!$2:$2,0)-MATCH("character_id",[3]characters!$2:$2,0)+1),MATCH(AA$1,[3]characters!$2:$2,0)-MATCH("character_id",[3]characters!$2:$2,0)+1,FALSE),"")</f>
        <v>2</v>
      </c>
      <c r="AB368" s="5" t="str">
        <f ca="1">IFERROR(VLOOKUP($Y368,OFFSET([3]characters!$A$1,0,0,COUNTA([3]characters!$A:$A),MATCH(AB$1,[3]characters!$2:$2,0)-MATCH("character_id",[3]characters!$2:$2,0)+1),MATCH(AB$1,[3]characters!$2:$2,0)-MATCH("character_id",[3]characters!$2:$2,0)+1,FALSE),"")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68" s="35">
        <v>1</v>
      </c>
      <c r="AD368" s="35">
        <f t="shared" ca="1" si="237"/>
        <v>2</v>
      </c>
      <c r="AE368" s="9">
        <v>0</v>
      </c>
      <c r="AF368" s="35">
        <v>0</v>
      </c>
      <c r="AG368" s="35">
        <v>0</v>
      </c>
      <c r="AH368" s="35">
        <v>0</v>
      </c>
      <c r="AI368" s="35">
        <v>0</v>
      </c>
      <c r="AJ368" s="35">
        <v>1</v>
      </c>
    </row>
    <row r="369" spans="1:36" ht="21" customHeight="1">
      <c r="A369" s="21" t="str">
        <f t="shared" ca="1" si="234"/>
        <v>11206_3-3/118&lt;lv2&gt;s2</v>
      </c>
      <c r="B369" s="8">
        <v>11206</v>
      </c>
      <c r="C369" s="32">
        <v>3</v>
      </c>
      <c r="D369" s="2" t="str">
        <f t="shared" si="235"/>
        <v>11206_3</v>
      </c>
      <c r="E369" s="5" t="str">
        <f ca="1">VLOOKUP($B369,OFFSET([1]quests!$A$1,0,0,COUNTA([1]quests!$A:$A),MATCH(E$1,[1]quests!$1:$1,0)-MATCH($B$1,[1]quests!$1:$1,0)+1),MATCH(E$1,[1]quests!$1:$1,0)-MATCH($B$1,[1]quests!$1:$1,0)+1,FALSE)</f>
        <v>【キャンペーン限定】 ゴールドカジノ</v>
      </c>
      <c r="F369" s="5" t="str">
        <f ca="1">VLOOKUP($D369,OFFSET([1]stages!$A$1,0,0,COUNTA([1]stages!$A:$A),MATCH(F$1,[1]stages!$2:$2,0)-MATCH($D$1,[1]stages!$2:$2,0)+1),MATCH(F$1,[1]stages!$2:$2,0)-MATCH($D$1,[1]stages!$2:$2,0)+1,FALSE)</f>
        <v>ゴールドカジノ 【上級】</v>
      </c>
      <c r="G369" s="32">
        <v>3</v>
      </c>
      <c r="H369" s="20" t="str">
        <f t="shared" si="236"/>
        <v>11206_3-3</v>
      </c>
      <c r="I369" s="31">
        <v>118</v>
      </c>
      <c r="J369" s="26" t="str">
        <f ca="1">VLOOKUP($I369,OFFSET([2]enemies!$A$1,0,0,COUNTA([2]enemies!$A:$A),MATCH(J$1,[2]enemies!$2:$2,0)-MATCH($I$1,[2]enemies!$2:$2,0)+1),MATCH(J$1,[2]enemies!$2:$2,0)-MATCH($I$1,[2]enemies!$2:$2,0)+1,FALSE)</f>
        <v>ゴールドチック</v>
      </c>
      <c r="K369" s="29" t="str">
        <f ca="1">VLOOKUP($I369,OFFSET([2]enemies!$A$1,0,0,COUNTA([2]enemies!$A:$A),MATCH(K$1,[2]enemies!$2:$2,0)-MATCH($I$1,[2]enemies!$2:$2,0)+1),MATCH(K$1,[2]enemies!$2:$2,0)-MATCH($I$1,[2]enemies!$2:$2,0)+1,FALSE)</f>
        <v>yellow</v>
      </c>
      <c r="L369" s="29" t="str">
        <f ca="1">VLOOKUP($I369,OFFSET([3]characters!$A$1,0,0,COUNTA([3]characters!$A:$A),MATCH(L$1,[3]characters!$2:$2,0)-MATCH($I$1,[3]characters!$2:$2,0)+1),MATCH(L$1,[3]characters!$2:$2,0)-MATCH($I$1,[3]characters!$2:$2,0)+1,FALSE)</f>
        <v>Material</v>
      </c>
      <c r="M369" s="28" t="str">
        <f ca="1">VLOOKUP($I369,OFFSET([3]characters!$A$1,0,0,COUNTA([3]characters!$A:$A),MATCH(M$1,[3]characters!$2:$2,0)-MATCH($I$1,[3]characters!$2:$2,0)+2),MATCH(M$1,[3]characters!$2:$2,0)-MATCH($I$1,[3]characters!$2:$2,0)+2,FALSE)</f>
        <v>Unknown</v>
      </c>
      <c r="N369" s="5">
        <f ca="1">VLOOKUP($I369,OFFSET([2]enemies!$A$1,0,0,COUNTA([2]enemies!$A:$A),MATCH(N$1,[2]enemies!$2:$2,0)-MATCH($I$1,[2]enemies!$2:$2,0)+1),MATCH(N$1,[2]enemies!$2:$2,0)-MATCH($I$1,[2]enemies!$2:$2,0)+1,FALSE)</f>
        <v>15</v>
      </c>
      <c r="O369" s="6">
        <v>2</v>
      </c>
      <c r="P369" s="46">
        <v>28.8</v>
      </c>
      <c r="Q369" s="46">
        <v>38.5</v>
      </c>
      <c r="R369" s="6">
        <v>0</v>
      </c>
      <c r="S369" s="5" t="str">
        <f ca="1">VLOOKUP($T369,OFFSET([4]enemy_skill_sets!$B$1,0,0,COUNTA([4]enemy_skill_sets!$B:$B),MATCH(J$1,[4]enemy_skill_sets!$1:$1,0)-MATCH($T$1,[4]enemy_skill_sets!$1:$1,0)+2),MATCH(J$1,[4]enemy_skill_sets!$1:$1,0)-MATCH($T$1,[4]enemy_skill_sets!$1:$1,0)+2,FALSE)</f>
        <v>攻撃力20倍の自爆攻撃！</v>
      </c>
      <c r="T369" s="43">
        <v>11803</v>
      </c>
      <c r="U369" s="7">
        <v>2</v>
      </c>
      <c r="V369" s="7">
        <v>100</v>
      </c>
      <c r="W369" s="7">
        <v>0</v>
      </c>
      <c r="X369" s="26">
        <f ca="1">VLOOKUP($I369,OFFSET([2]enemies!$A$1,0,0,COUNTA([2]enemies!$A:$A),MATCH(X$1,[2]enemies!$2:$2,0)-MATCH($I$1,[2]enemies!$2:$2,0)+1),MATCH(X$1,[2]enemies!$2:$2,0)-MATCH($I$1,[2]enemies!$2:$2,0)+1,FALSE)</f>
        <v>2</v>
      </c>
      <c r="Y369" s="31">
        <v>118</v>
      </c>
      <c r="Z369" s="5" t="str">
        <f ca="1">IFERROR(VLOOKUP($Y369,OFFSET([3]characters!$A$1,0,0,COUNTA([3]characters!$A:$A),MATCH(Z$1,[3]characters!$2:$2,0)-MATCH("character_id",[3]characters!$2:$2,0)+1),MATCH(Z$1,[3]characters!$2:$2,0)-MATCH("character_id",[3]characters!$2:$2,0)+1,FALSE),"")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369" s="5">
        <f ca="1">IFERROR(VLOOKUP($Y369,OFFSET([3]characters!$A$1,0,0,COUNTA([3]characters!$A:$A),MATCH(AA$1,[3]characters!$2:$2,0)-MATCH("character_id",[3]characters!$2:$2,0)+1),MATCH(AA$1,[3]characters!$2:$2,0)-MATCH("character_id",[3]characters!$2:$2,0)+1,FALSE),"")</f>
        <v>4</v>
      </c>
      <c r="AB369" s="5" t="str">
        <f ca="1">IFERROR(VLOOKUP($Y369,OFFSET([3]characters!$A$1,0,0,COUNTA([3]characters!$A:$A),MATCH(AB$1,[3]characters!$2:$2,0)-MATCH("character_id",[3]characters!$2:$2,0)+1),MATCH(AB$1,[3]characters!$2:$2,0)-MATCH("character_id",[3]characters!$2:$2,0)+1,FALSE),"")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69" s="8">
        <v>1</v>
      </c>
      <c r="AD369" s="34">
        <f t="shared" ca="1" si="237"/>
        <v>4</v>
      </c>
      <c r="AE369" s="9">
        <v>10</v>
      </c>
      <c r="AF369" s="8">
        <v>0</v>
      </c>
      <c r="AG369" s="8">
        <v>0</v>
      </c>
      <c r="AH369" s="8">
        <v>0</v>
      </c>
      <c r="AI369" s="8">
        <v>0</v>
      </c>
      <c r="AJ369" s="8">
        <v>1</v>
      </c>
    </row>
    <row r="370" spans="1:36" ht="21" customHeight="1">
      <c r="A370" s="21" t="str">
        <f t="shared" ca="1" si="234"/>
        <v>11206_3-3/118&lt;lv1&gt;s2</v>
      </c>
      <c r="B370" s="8">
        <v>11206</v>
      </c>
      <c r="C370" s="32">
        <v>3</v>
      </c>
      <c r="D370" s="2" t="str">
        <f t="shared" si="235"/>
        <v>11206_3</v>
      </c>
      <c r="E370" s="5" t="str">
        <f ca="1">VLOOKUP($B370,OFFSET([1]quests!$A$1,0,0,COUNTA([1]quests!$A:$A),MATCH(E$1,[1]quests!$1:$1,0)-MATCH($B$1,[1]quests!$1:$1,0)+1),MATCH(E$1,[1]quests!$1:$1,0)-MATCH($B$1,[1]quests!$1:$1,0)+1,FALSE)</f>
        <v>【キャンペーン限定】 ゴールドカジノ</v>
      </c>
      <c r="F370" s="5" t="str">
        <f ca="1">VLOOKUP($D370,OFFSET([1]stages!$A$1,0,0,COUNTA([1]stages!$A:$A),MATCH(F$1,[1]stages!$2:$2,0)-MATCH($D$1,[1]stages!$2:$2,0)+1),MATCH(F$1,[1]stages!$2:$2,0)-MATCH($D$1,[1]stages!$2:$2,0)+1,FALSE)</f>
        <v>ゴールドカジノ 【上級】</v>
      </c>
      <c r="G370" s="32">
        <v>3</v>
      </c>
      <c r="H370" s="20" t="str">
        <f t="shared" si="236"/>
        <v>11206_3-3</v>
      </c>
      <c r="I370" s="31">
        <v>118</v>
      </c>
      <c r="J370" s="26" t="str">
        <f ca="1">VLOOKUP($I370,OFFSET([2]enemies!$A$1,0,0,COUNTA([2]enemies!$A:$A),MATCH(J$1,[2]enemies!$2:$2,0)-MATCH($I$1,[2]enemies!$2:$2,0)+1),MATCH(J$1,[2]enemies!$2:$2,0)-MATCH($I$1,[2]enemies!$2:$2,0)+1,FALSE)</f>
        <v>ゴールドチック</v>
      </c>
      <c r="K370" s="29" t="str">
        <f ca="1">VLOOKUP($I370,OFFSET([2]enemies!$A$1,0,0,COUNTA([2]enemies!$A:$A),MATCH(K$1,[2]enemies!$2:$2,0)-MATCH($I$1,[2]enemies!$2:$2,0)+1),MATCH(K$1,[2]enemies!$2:$2,0)-MATCH($I$1,[2]enemies!$2:$2,0)+1,FALSE)</f>
        <v>yellow</v>
      </c>
      <c r="L370" s="29" t="str">
        <f ca="1">VLOOKUP($I370,OFFSET([3]characters!$A$1,0,0,COUNTA([3]characters!$A:$A),MATCH(L$1,[3]characters!$2:$2,0)-MATCH($I$1,[3]characters!$2:$2,0)+1),MATCH(L$1,[3]characters!$2:$2,0)-MATCH($I$1,[3]characters!$2:$2,0)+1,FALSE)</f>
        <v>Material</v>
      </c>
      <c r="M370" s="28" t="str">
        <f ca="1">VLOOKUP($I370,OFFSET([3]characters!$A$1,0,0,COUNTA([3]characters!$A:$A),MATCH(M$1,[3]characters!$2:$2,0)-MATCH($I$1,[3]characters!$2:$2,0)+2),MATCH(M$1,[3]characters!$2:$2,0)-MATCH($I$1,[3]characters!$2:$2,0)+2,FALSE)</f>
        <v>Unknown</v>
      </c>
      <c r="N370" s="5">
        <f ca="1">VLOOKUP($I370,OFFSET([2]enemies!$A$1,0,0,COUNTA([2]enemies!$A:$A),MATCH(N$1,[2]enemies!$2:$2,0)-MATCH($I$1,[2]enemies!$2:$2,0)+1),MATCH(N$1,[2]enemies!$2:$2,0)-MATCH($I$1,[2]enemies!$2:$2,0)+1,FALSE)</f>
        <v>15</v>
      </c>
      <c r="O370" s="6">
        <v>1</v>
      </c>
      <c r="P370" s="46">
        <v>40.5</v>
      </c>
      <c r="Q370" s="46">
        <v>38.5</v>
      </c>
      <c r="R370" s="6">
        <v>0</v>
      </c>
      <c r="S370" s="5" t="str">
        <f ca="1">VLOOKUP($T370,OFFSET([4]enemy_skill_sets!$B$1,0,0,COUNTA([4]enemy_skill_sets!$B:$B),MATCH(J$1,[4]enemy_skill_sets!$1:$1,0)-MATCH($T$1,[4]enemy_skill_sets!$1:$1,0)+2),MATCH(J$1,[4]enemy_skill_sets!$1:$1,0)-MATCH($T$1,[4]enemy_skill_sets!$1:$1,0)+2,FALSE)</f>
        <v>攻撃力20倍の自爆攻撃！</v>
      </c>
      <c r="T370" s="43">
        <v>11803</v>
      </c>
      <c r="U370" s="7">
        <v>0</v>
      </c>
      <c r="V370" s="7">
        <v>100</v>
      </c>
      <c r="W370" s="7">
        <v>0</v>
      </c>
      <c r="X370" s="26">
        <f ca="1">VLOOKUP($I370,OFFSET([2]enemies!$A$1,0,0,COUNTA([2]enemies!$A:$A),MATCH(X$1,[2]enemies!$2:$2,0)-MATCH($I$1,[2]enemies!$2:$2,0)+1),MATCH(X$1,[2]enemies!$2:$2,0)-MATCH($I$1,[2]enemies!$2:$2,0)+1,FALSE)</f>
        <v>2</v>
      </c>
      <c r="Y370" s="31">
        <v>118</v>
      </c>
      <c r="Z370" s="5" t="str">
        <f ca="1">IFERROR(VLOOKUP($Y370,OFFSET([3]characters!$A$1,0,0,COUNTA([3]characters!$A:$A),MATCH(Z$1,[3]characters!$2:$2,0)-MATCH("character_id",[3]characters!$2:$2,0)+1),MATCH(Z$1,[3]characters!$2:$2,0)-MATCH("character_id",[3]characters!$2:$2,0)+1,FALSE),"")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370" s="5">
        <f ca="1">IFERROR(VLOOKUP($Y370,OFFSET([3]characters!$A$1,0,0,COUNTA([3]characters!$A:$A),MATCH(AA$1,[3]characters!$2:$2,0)-MATCH("character_id",[3]characters!$2:$2,0)+1),MATCH(AA$1,[3]characters!$2:$2,0)-MATCH("character_id",[3]characters!$2:$2,0)+1,FALSE),"")</f>
        <v>4</v>
      </c>
      <c r="AB370" s="5" t="str">
        <f ca="1">IFERROR(VLOOKUP($Y370,OFFSET([3]characters!$A$1,0,0,COUNTA([3]characters!$A:$A),MATCH(AB$1,[3]characters!$2:$2,0)-MATCH("character_id",[3]characters!$2:$2,0)+1),MATCH(AB$1,[3]characters!$2:$2,0)-MATCH("character_id",[3]characters!$2:$2,0)+1,FALSE),"")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70" s="8">
        <v>1</v>
      </c>
      <c r="AD370" s="34">
        <f t="shared" ca="1" si="237"/>
        <v>4</v>
      </c>
      <c r="AE370" s="9">
        <v>10</v>
      </c>
      <c r="AF370" s="8">
        <v>0</v>
      </c>
      <c r="AG370" s="8">
        <v>0</v>
      </c>
      <c r="AH370" s="8">
        <v>0</v>
      </c>
      <c r="AI370" s="8">
        <v>0</v>
      </c>
      <c r="AJ370" s="8">
        <v>1</v>
      </c>
    </row>
    <row r="371" spans="1:36" ht="21" customHeight="1">
      <c r="A371" s="21" t="str">
        <f t="shared" ca="1" si="234"/>
        <v>11206_3-3/63&lt;lv32&gt;s2</v>
      </c>
      <c r="B371" s="8">
        <v>11206</v>
      </c>
      <c r="C371" s="32">
        <v>3</v>
      </c>
      <c r="D371" s="20" t="str">
        <f t="shared" si="235"/>
        <v>11206_3</v>
      </c>
      <c r="E371" s="5" t="str">
        <f ca="1">VLOOKUP($B371,OFFSET([1]quests!$A$1,0,0,COUNTA([1]quests!$A:$A),MATCH(E$1,[1]quests!$1:$1,0)-MATCH($B$1,[1]quests!$1:$1,0)+1),MATCH(E$1,[1]quests!$1:$1,0)-MATCH($B$1,[1]quests!$1:$1,0)+1,FALSE)</f>
        <v>【キャンペーン限定】 ゴールドカジノ</v>
      </c>
      <c r="F371" s="5" t="str">
        <f ca="1">VLOOKUP($D371,OFFSET([1]stages!$A$1,0,0,COUNTA([1]stages!$A:$A),MATCH(F$1,[1]stages!$2:$2,0)-MATCH($D$1,[1]stages!$2:$2,0)+1),MATCH(F$1,[1]stages!$2:$2,0)-MATCH($D$1,[1]stages!$2:$2,0)+1,FALSE)</f>
        <v>ゴールドカジノ 【上級】</v>
      </c>
      <c r="G371" s="32">
        <v>3</v>
      </c>
      <c r="H371" s="20" t="str">
        <f t="shared" si="236"/>
        <v>11206_3-3</v>
      </c>
      <c r="I371" s="41">
        <v>63</v>
      </c>
      <c r="J371" s="26" t="str">
        <f ca="1">VLOOKUP($I371,OFFSET([2]enemies!$A$1,0,0,COUNTA([2]enemies!$A:$A),MATCH(J$1,[2]enemies!$2:$2,0)-MATCH($I$1,[2]enemies!$2:$2,0)+1),MATCH(J$1,[2]enemies!$2:$2,0)-MATCH($I$1,[2]enemies!$2:$2,0)+1,FALSE)</f>
        <v>トニー</v>
      </c>
      <c r="K371" s="29" t="str">
        <f ca="1">VLOOKUP($I371,OFFSET([2]enemies!$A$1,0,0,COUNTA([2]enemies!$A:$A),MATCH(K$1,[2]enemies!$2:$2,0)-MATCH($I$1,[2]enemies!$2:$2,0)+1),MATCH(K$1,[2]enemies!$2:$2,0)-MATCH($I$1,[2]enemies!$2:$2,0)+1,FALSE)</f>
        <v>yellow</v>
      </c>
      <c r="L371" s="29" t="str">
        <f ca="1">VLOOKUP($I371,OFFSET([3]characters!$A$1,0,0,COUNTA([3]characters!$A:$A),MATCH(L$1,[3]characters!$2:$2,0)-MATCH($I$1,[3]characters!$2:$2,0)+1),MATCH(L$1,[3]characters!$2:$2,0)-MATCH($I$1,[3]characters!$2:$2,0)+1,FALSE)</f>
        <v>Drop1N</v>
      </c>
      <c r="M371" s="28" t="str">
        <f ca="1">VLOOKUP($I371,OFFSET([3]characters!$A$1,0,0,COUNTA([3]characters!$A:$A),MATCH(M$1,[3]characters!$2:$2,0)-MATCH($I$1,[3]characters!$2:$2,0)+2),MATCH(M$1,[3]characters!$2:$2,0)-MATCH($I$1,[3]characters!$2:$2,0)+2,FALSE)</f>
        <v>アニマル</v>
      </c>
      <c r="N371" s="5">
        <f ca="1">VLOOKUP($I371,OFFSET([2]enemies!$A$1,0,0,COUNTA([2]enemies!$A:$A),MATCH(N$1,[2]enemies!$2:$2,0)-MATCH($I$1,[2]enemies!$2:$2,0)+1),MATCH(N$1,[2]enemies!$2:$2,0)-MATCH($I$1,[2]enemies!$2:$2,0)+1,FALSE)</f>
        <v>15</v>
      </c>
      <c r="O371" s="6">
        <v>32</v>
      </c>
      <c r="P371" s="46">
        <v>1</v>
      </c>
      <c r="Q371" s="46">
        <v>1</v>
      </c>
      <c r="R371" s="6">
        <v>0</v>
      </c>
      <c r="S371" s="5" t="str">
        <f ca="1">VLOOKUP($T371,OFFSET([4]enemy_skill_sets!$B$1,0,0,COUNTA([4]enemy_skill_sets!$B:$B),MATCH(J$1,[4]enemy_skill_sets!$1:$1,0)-MATCH($T$1,[4]enemy_skill_sets!$1:$1,0)+2),MATCH(J$1,[4]enemy_skill_sets!$1:$1,0)-MATCH($T$1,[4]enemy_skill_sets!$1:$1,0)+2,FALSE)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371" s="5">
        <f ca="1">VLOOKUP($I371,OFFSET([2]enemies!$A$1,0,0,COUNTA([2]enemies!$A:$A),MATCH(T$1,[2]enemies!$2:$2,0)-MATCH($I$1,[2]enemies!$2:$2,0)+1),MATCH(T$1,[2]enemies!$2:$2,0)-MATCH($I$1,[2]enemies!$2:$2,0)+1,FALSE)</f>
        <v>63</v>
      </c>
      <c r="U371" s="40">
        <v>0</v>
      </c>
      <c r="V371" s="7">
        <v>100</v>
      </c>
      <c r="W371" s="40">
        <v>0</v>
      </c>
      <c r="X371" s="26">
        <f ca="1">VLOOKUP($I371,OFFSET([2]enemies!$A$1,0,0,COUNTA([2]enemies!$A:$A),MATCH(X$1,[2]enemies!$2:$2,0)-MATCH($I$1,[2]enemies!$2:$2,0)+1),MATCH(X$1,[2]enemies!$2:$2,0)-MATCH($I$1,[2]enemies!$2:$2,0)+1,FALSE)</f>
        <v>2</v>
      </c>
      <c r="Y371" s="41">
        <v>63</v>
      </c>
      <c r="Z371" s="5" t="str">
        <f ca="1">IFERROR(VLOOKUP($Y371,OFFSET([3]characters!$A$1,0,0,COUNTA([3]characters!$A:$A),MATCH(Z$1,[3]characters!$2:$2,0)-MATCH("character_id",[3]characters!$2:$2,0)+1),MATCH(Z$1,[3]characters!$2:$2,0)-MATCH("character_id",[3]characters!$2:$2,0)+1,FALSE),"")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371" s="5">
        <f ca="1">IFERROR(VLOOKUP($Y371,OFFSET([3]characters!$A$1,0,0,COUNTA([3]characters!$A:$A),MATCH(AA$1,[3]characters!$2:$2,0)-MATCH("character_id",[3]characters!$2:$2,0)+1),MATCH(AA$1,[3]characters!$2:$2,0)-MATCH("character_id",[3]characters!$2:$2,0)+1,FALSE),"")</f>
        <v>2</v>
      </c>
      <c r="AB371" s="5" t="str">
        <f ca="1">IFERROR(VLOOKUP($Y371,OFFSET([3]characters!$A$1,0,0,COUNTA([3]characters!$A:$A),MATCH(AB$1,[3]characters!$2:$2,0)-MATCH("character_id",[3]characters!$2:$2,0)+1),MATCH(AB$1,[3]characters!$2:$2,0)-MATCH("character_id",[3]characters!$2:$2,0)+1,FALSE),"")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71" s="35">
        <v>1</v>
      </c>
      <c r="AD371" s="35">
        <f t="shared" ca="1" si="237"/>
        <v>2</v>
      </c>
      <c r="AE371" s="9">
        <v>0</v>
      </c>
      <c r="AF371" s="35">
        <v>0</v>
      </c>
      <c r="AG371" s="35">
        <v>0</v>
      </c>
      <c r="AH371" s="35">
        <v>0</v>
      </c>
      <c r="AI371" s="35">
        <v>0</v>
      </c>
      <c r="AJ371" s="35">
        <v>1</v>
      </c>
    </row>
    <row r="372" spans="1:36" ht="21" customHeight="1">
      <c r="A372" s="21" t="str">
        <f t="shared" ca="1" si="234"/>
        <v>11206_3-3/61&lt;lv32&gt;s2</v>
      </c>
      <c r="B372" s="8">
        <v>11206</v>
      </c>
      <c r="C372" s="32">
        <v>3</v>
      </c>
      <c r="D372" s="20" t="str">
        <f t="shared" si="235"/>
        <v>11206_3</v>
      </c>
      <c r="E372" s="5" t="str">
        <f ca="1">VLOOKUP($B372,OFFSET([1]quests!$A$1,0,0,COUNTA([1]quests!$A:$A),MATCH(E$1,[1]quests!$1:$1,0)-MATCH($B$1,[1]quests!$1:$1,0)+1),MATCH(E$1,[1]quests!$1:$1,0)-MATCH($B$1,[1]quests!$1:$1,0)+1,FALSE)</f>
        <v>【キャンペーン限定】 ゴールドカジノ</v>
      </c>
      <c r="F372" s="5" t="str">
        <f ca="1">VLOOKUP($D372,OFFSET([1]stages!$A$1,0,0,COUNTA([1]stages!$A:$A),MATCH(F$1,[1]stages!$2:$2,0)-MATCH($D$1,[1]stages!$2:$2,0)+1),MATCH(F$1,[1]stages!$2:$2,0)-MATCH($D$1,[1]stages!$2:$2,0)+1,FALSE)</f>
        <v>ゴールドカジノ 【上級】</v>
      </c>
      <c r="G372" s="32">
        <v>3</v>
      </c>
      <c r="H372" s="20" t="str">
        <f t="shared" si="236"/>
        <v>11206_3-3</v>
      </c>
      <c r="I372" s="41">
        <v>61</v>
      </c>
      <c r="J372" s="26" t="str">
        <f ca="1">VLOOKUP($I372,OFFSET([2]enemies!$A$1,0,0,COUNTA([2]enemies!$A:$A),MATCH(J$1,[2]enemies!$2:$2,0)-MATCH($I$1,[2]enemies!$2:$2,0)+1),MATCH(J$1,[2]enemies!$2:$2,0)-MATCH($I$1,[2]enemies!$2:$2,0)+1,FALSE)</f>
        <v>クロウ</v>
      </c>
      <c r="K372" s="29" t="str">
        <f ca="1">VLOOKUP($I372,OFFSET([2]enemies!$A$1,0,0,COUNTA([2]enemies!$A:$A),MATCH(K$1,[2]enemies!$2:$2,0)-MATCH($I$1,[2]enemies!$2:$2,0)+1),MATCH(K$1,[2]enemies!$2:$2,0)-MATCH($I$1,[2]enemies!$2:$2,0)+1,FALSE)</f>
        <v>blue</v>
      </c>
      <c r="L372" s="29" t="str">
        <f ca="1">VLOOKUP($I372,OFFSET([3]characters!$A$1,0,0,COUNTA([3]characters!$A:$A),MATCH(L$1,[3]characters!$2:$2,0)-MATCH($I$1,[3]characters!$2:$2,0)+1),MATCH(L$1,[3]characters!$2:$2,0)-MATCH($I$1,[3]characters!$2:$2,0)+1,FALSE)</f>
        <v>Drop1N</v>
      </c>
      <c r="M372" s="28" t="str">
        <f ca="1">VLOOKUP($I372,OFFSET([3]characters!$A$1,0,0,COUNTA([3]characters!$A:$A),MATCH(M$1,[3]characters!$2:$2,0)-MATCH($I$1,[3]characters!$2:$2,0)+2),MATCH(M$1,[3]characters!$2:$2,0)-MATCH($I$1,[3]characters!$2:$2,0)+2,FALSE)</f>
        <v>アニマル</v>
      </c>
      <c r="N372" s="5">
        <f ca="1">VLOOKUP($I372,OFFSET([2]enemies!$A$1,0,0,COUNTA([2]enemies!$A:$A),MATCH(N$1,[2]enemies!$2:$2,0)-MATCH($I$1,[2]enemies!$2:$2,0)+1),MATCH(N$1,[2]enemies!$2:$2,0)-MATCH($I$1,[2]enemies!$2:$2,0)+1,FALSE)</f>
        <v>15</v>
      </c>
      <c r="O372" s="6">
        <v>32</v>
      </c>
      <c r="P372" s="46">
        <v>1</v>
      </c>
      <c r="Q372" s="46">
        <v>1</v>
      </c>
      <c r="R372" s="6">
        <v>0</v>
      </c>
      <c r="S372" s="5" t="str">
        <f ca="1">VLOOKUP($T372,OFFSET([4]enemy_skill_sets!$B$1,0,0,COUNTA([4]enemy_skill_sets!$B:$B),MATCH(J$1,[4]enemy_skill_sets!$1:$1,0)-MATCH($T$1,[4]enemy_skill_sets!$1:$1,0)+2),MATCH(J$1,[4]enemy_skill_sets!$1:$1,0)-MATCH($T$1,[4]enemy_skill_sets!$1:$1,0)+2,FALSE)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72" s="5">
        <f ca="1">VLOOKUP($I372,OFFSET([2]enemies!$A$1,0,0,COUNTA([2]enemies!$A:$A),MATCH(T$1,[2]enemies!$2:$2,0)-MATCH($I$1,[2]enemies!$2:$2,0)+1),MATCH(T$1,[2]enemies!$2:$2,0)-MATCH($I$1,[2]enemies!$2:$2,0)+1,FALSE)</f>
        <v>61</v>
      </c>
      <c r="U372" s="40">
        <v>0</v>
      </c>
      <c r="V372" s="7">
        <v>100</v>
      </c>
      <c r="W372" s="40">
        <v>0</v>
      </c>
      <c r="X372" s="26">
        <f ca="1">VLOOKUP($I372,OFFSET([2]enemies!$A$1,0,0,COUNTA([2]enemies!$A:$A),MATCH(X$1,[2]enemies!$2:$2,0)-MATCH($I$1,[2]enemies!$2:$2,0)+1),MATCH(X$1,[2]enemies!$2:$2,0)-MATCH($I$1,[2]enemies!$2:$2,0)+1,FALSE)</f>
        <v>2</v>
      </c>
      <c r="Y372" s="41">
        <v>61</v>
      </c>
      <c r="Z372" s="5" t="str">
        <f ca="1">IFERROR(VLOOKUP($Y372,OFFSET([3]characters!$A$1,0,0,COUNTA([3]characters!$A:$A),MATCH(Z$1,[3]characters!$2:$2,0)-MATCH("character_id",[3]characters!$2:$2,0)+1),MATCH(Z$1,[3]characters!$2:$2,0)-MATCH("character_id",[3]characters!$2:$2,0)+1,FALSE),"")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372" s="5">
        <f ca="1">IFERROR(VLOOKUP($Y372,OFFSET([3]characters!$A$1,0,0,COUNTA([3]characters!$A:$A),MATCH(AA$1,[3]characters!$2:$2,0)-MATCH("character_id",[3]characters!$2:$2,0)+1),MATCH(AA$1,[3]characters!$2:$2,0)-MATCH("character_id",[3]characters!$2:$2,0)+1,FALSE),"")</f>
        <v>2</v>
      </c>
      <c r="AB372" s="5" t="str">
        <f ca="1">IFERROR(VLOOKUP($Y372,OFFSET([3]characters!$A$1,0,0,COUNTA([3]characters!$A:$A),MATCH(AB$1,[3]characters!$2:$2,0)-MATCH("character_id",[3]characters!$2:$2,0)+1),MATCH(AB$1,[3]characters!$2:$2,0)-MATCH("character_id",[3]characters!$2:$2,0)+1,FALSE),"")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72" s="35">
        <v>1</v>
      </c>
      <c r="AD372" s="35">
        <f t="shared" ca="1" si="237"/>
        <v>2</v>
      </c>
      <c r="AE372" s="9">
        <v>0</v>
      </c>
      <c r="AF372" s="35">
        <v>0</v>
      </c>
      <c r="AG372" s="35">
        <v>0</v>
      </c>
      <c r="AH372" s="35">
        <v>0</v>
      </c>
      <c r="AI372" s="35">
        <v>0</v>
      </c>
      <c r="AJ372" s="35">
        <v>1</v>
      </c>
    </row>
    <row r="373" spans="1:36" ht="21" customHeight="1">
      <c r="A373" s="21" t="str">
        <f t="shared" ca="1" si="234"/>
        <v>11206_3-3/57&lt;lv32&gt;s2</v>
      </c>
      <c r="B373" s="8">
        <v>11206</v>
      </c>
      <c r="C373" s="32">
        <v>3</v>
      </c>
      <c r="D373" s="20" t="str">
        <f t="shared" si="235"/>
        <v>11206_3</v>
      </c>
      <c r="E373" s="5" t="str">
        <f ca="1">VLOOKUP($B373,OFFSET([1]quests!$A$1,0,0,COUNTA([1]quests!$A:$A),MATCH(E$1,[1]quests!$1:$1,0)-MATCH($B$1,[1]quests!$1:$1,0)+1),MATCH(E$1,[1]quests!$1:$1,0)-MATCH($B$1,[1]quests!$1:$1,0)+1,FALSE)</f>
        <v>【キャンペーン限定】 ゴールドカジノ</v>
      </c>
      <c r="F373" s="5" t="str">
        <f ca="1">VLOOKUP($D373,OFFSET([1]stages!$A$1,0,0,COUNTA([1]stages!$A:$A),MATCH(F$1,[1]stages!$2:$2,0)-MATCH($D$1,[1]stages!$2:$2,0)+1),MATCH(F$1,[1]stages!$2:$2,0)-MATCH($D$1,[1]stages!$2:$2,0)+1,FALSE)</f>
        <v>ゴールドカジノ 【上級】</v>
      </c>
      <c r="G373" s="32">
        <v>3</v>
      </c>
      <c r="H373" s="20" t="str">
        <f t="shared" si="236"/>
        <v>11206_3-3</v>
      </c>
      <c r="I373" s="41">
        <v>57</v>
      </c>
      <c r="J373" s="26" t="str">
        <f ca="1">VLOOKUP($I373,OFFSET([2]enemies!$A$1,0,0,COUNTA([2]enemies!$A:$A),MATCH(J$1,[2]enemies!$2:$2,0)-MATCH($I$1,[2]enemies!$2:$2,0)+1),MATCH(J$1,[2]enemies!$2:$2,0)-MATCH($I$1,[2]enemies!$2:$2,0)+1,FALSE)</f>
        <v>チェン・リー</v>
      </c>
      <c r="K373" s="29" t="str">
        <f ca="1">VLOOKUP($I373,OFFSET([2]enemies!$A$1,0,0,COUNTA([2]enemies!$A:$A),MATCH(K$1,[2]enemies!$2:$2,0)-MATCH($I$1,[2]enemies!$2:$2,0)+1),MATCH(K$1,[2]enemies!$2:$2,0)-MATCH($I$1,[2]enemies!$2:$2,0)+1,FALSE)</f>
        <v>red</v>
      </c>
      <c r="L373" s="29" t="str">
        <f ca="1">VLOOKUP($I373,OFFSET([3]characters!$A$1,0,0,COUNTA([3]characters!$A:$A),MATCH(L$1,[3]characters!$2:$2,0)-MATCH($I$1,[3]characters!$2:$2,0)+1),MATCH(L$1,[3]characters!$2:$2,0)-MATCH($I$1,[3]characters!$2:$2,0)+1,FALSE)</f>
        <v>Drop1N</v>
      </c>
      <c r="M373" s="28" t="str">
        <f ca="1">VLOOKUP($I373,OFFSET([3]characters!$A$1,0,0,COUNTA([3]characters!$A:$A),MATCH(M$1,[3]characters!$2:$2,0)-MATCH($I$1,[3]characters!$2:$2,0)+2),MATCH(M$1,[3]characters!$2:$2,0)-MATCH($I$1,[3]characters!$2:$2,0)+2,FALSE)</f>
        <v>アニマル</v>
      </c>
      <c r="N373" s="5">
        <f ca="1">VLOOKUP($I373,OFFSET([2]enemies!$A$1,0,0,COUNTA([2]enemies!$A:$A),MATCH(N$1,[2]enemies!$2:$2,0)-MATCH($I$1,[2]enemies!$2:$2,0)+1),MATCH(N$1,[2]enemies!$2:$2,0)-MATCH($I$1,[2]enemies!$2:$2,0)+1,FALSE)</f>
        <v>15</v>
      </c>
      <c r="O373" s="6">
        <v>32</v>
      </c>
      <c r="P373" s="46">
        <v>1</v>
      </c>
      <c r="Q373" s="46">
        <v>1</v>
      </c>
      <c r="R373" s="6">
        <v>0</v>
      </c>
      <c r="S373" s="5" t="str">
        <f ca="1">VLOOKUP($T373,OFFSET([4]enemy_skill_sets!$B$1,0,0,COUNTA([4]enemy_skill_sets!$B:$B),MATCH(J$1,[4]enemy_skill_sets!$1:$1,0)-MATCH($T$1,[4]enemy_skill_sets!$1:$1,0)+2),MATCH(J$1,[4]enemy_skill_sets!$1:$1,0)-MATCH($T$1,[4]enemy_skill_sets!$1:$1,0)+2,FALSE)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373" s="5">
        <f ca="1">VLOOKUP($I373,OFFSET([2]enemies!$A$1,0,0,COUNTA([2]enemies!$A:$A),MATCH(T$1,[2]enemies!$2:$2,0)-MATCH($I$1,[2]enemies!$2:$2,0)+1),MATCH(T$1,[2]enemies!$2:$2,0)-MATCH($I$1,[2]enemies!$2:$2,0)+1,FALSE)</f>
        <v>57</v>
      </c>
      <c r="U373" s="40">
        <v>0</v>
      </c>
      <c r="V373" s="7">
        <v>100</v>
      </c>
      <c r="W373" s="40">
        <v>0</v>
      </c>
      <c r="X373" s="26">
        <f ca="1">VLOOKUP($I373,OFFSET([2]enemies!$A$1,0,0,COUNTA([2]enemies!$A:$A),MATCH(X$1,[2]enemies!$2:$2,0)-MATCH($I$1,[2]enemies!$2:$2,0)+1),MATCH(X$1,[2]enemies!$2:$2,0)-MATCH($I$1,[2]enemies!$2:$2,0)+1,FALSE)</f>
        <v>2</v>
      </c>
      <c r="Y373" s="41">
        <v>57</v>
      </c>
      <c r="Z373" s="5" t="str">
        <f ca="1">IFERROR(VLOOKUP($Y373,OFFSET([3]characters!$A$1,0,0,COUNTA([3]characters!$A:$A),MATCH(Z$1,[3]characters!$2:$2,0)-MATCH("character_id",[3]characters!$2:$2,0)+1),MATCH(Z$1,[3]characters!$2:$2,0)-MATCH("character_id",[3]characters!$2:$2,0)+1,FALSE),"")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373" s="5">
        <f ca="1">IFERROR(VLOOKUP($Y373,OFFSET([3]characters!$A$1,0,0,COUNTA([3]characters!$A:$A),MATCH(AA$1,[3]characters!$2:$2,0)-MATCH("character_id",[3]characters!$2:$2,0)+1),MATCH(AA$1,[3]characters!$2:$2,0)-MATCH("character_id",[3]characters!$2:$2,0)+1,FALSE),"")</f>
        <v>2</v>
      </c>
      <c r="AB373" s="5" t="str">
        <f ca="1">IFERROR(VLOOKUP($Y373,OFFSET([3]characters!$A$1,0,0,COUNTA([3]characters!$A:$A),MATCH(AB$1,[3]characters!$2:$2,0)-MATCH("character_id",[3]characters!$2:$2,0)+1),MATCH(AB$1,[3]characters!$2:$2,0)-MATCH("character_id",[3]characters!$2:$2,0)+1,FALSE),"")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73" s="35">
        <v>1</v>
      </c>
      <c r="AD373" s="35">
        <f t="shared" ca="1" si="237"/>
        <v>2</v>
      </c>
      <c r="AE373" s="9">
        <v>0</v>
      </c>
      <c r="AF373" s="35">
        <v>0</v>
      </c>
      <c r="AG373" s="35">
        <v>0</v>
      </c>
      <c r="AH373" s="35">
        <v>0</v>
      </c>
      <c r="AI373" s="35">
        <v>0</v>
      </c>
      <c r="AJ373" s="35">
        <v>1</v>
      </c>
    </row>
    <row r="374" spans="1:36" ht="21" customHeight="1">
      <c r="A374" s="21" t="str">
        <f t="shared" ca="1" si="234"/>
        <v>11206_3-3/59&lt;lv32&gt;s2</v>
      </c>
      <c r="B374" s="8">
        <v>11206</v>
      </c>
      <c r="C374" s="32">
        <v>3</v>
      </c>
      <c r="D374" s="20" t="str">
        <f t="shared" si="235"/>
        <v>11206_3</v>
      </c>
      <c r="E374" s="5" t="str">
        <f ca="1">VLOOKUP($B374,OFFSET([1]quests!$A$1,0,0,COUNTA([1]quests!$A:$A),MATCH(E$1,[1]quests!$1:$1,0)-MATCH($B$1,[1]quests!$1:$1,0)+1),MATCH(E$1,[1]quests!$1:$1,0)-MATCH($B$1,[1]quests!$1:$1,0)+1,FALSE)</f>
        <v>【キャンペーン限定】 ゴールドカジノ</v>
      </c>
      <c r="F374" s="5" t="str">
        <f ca="1">VLOOKUP($D374,OFFSET([1]stages!$A$1,0,0,COUNTA([1]stages!$A:$A),MATCH(F$1,[1]stages!$2:$2,0)-MATCH($D$1,[1]stages!$2:$2,0)+1),MATCH(F$1,[1]stages!$2:$2,0)-MATCH($D$1,[1]stages!$2:$2,0)+1,FALSE)</f>
        <v>ゴールドカジノ 【上級】</v>
      </c>
      <c r="G374" s="32">
        <v>3</v>
      </c>
      <c r="H374" s="20" t="str">
        <f t="shared" si="236"/>
        <v>11206_3-3</v>
      </c>
      <c r="I374" s="41">
        <v>59</v>
      </c>
      <c r="J374" s="26" t="str">
        <f ca="1">VLOOKUP($I374,OFFSET([2]enemies!$A$1,0,0,COUNTA([2]enemies!$A:$A),MATCH(J$1,[2]enemies!$2:$2,0)-MATCH($I$1,[2]enemies!$2:$2,0)+1),MATCH(J$1,[2]enemies!$2:$2,0)-MATCH($I$1,[2]enemies!$2:$2,0)+1,FALSE)</f>
        <v>マーチ</v>
      </c>
      <c r="K374" s="29" t="str">
        <f ca="1">VLOOKUP($I374,OFFSET([2]enemies!$A$1,0,0,COUNTA([2]enemies!$A:$A),MATCH(K$1,[2]enemies!$2:$2,0)-MATCH($I$1,[2]enemies!$2:$2,0)+1),MATCH(K$1,[2]enemies!$2:$2,0)-MATCH($I$1,[2]enemies!$2:$2,0)+1,FALSE)</f>
        <v>green</v>
      </c>
      <c r="L374" s="29" t="str">
        <f ca="1">VLOOKUP($I374,OFFSET([3]characters!$A$1,0,0,COUNTA([3]characters!$A:$A),MATCH(L$1,[3]characters!$2:$2,0)-MATCH($I$1,[3]characters!$2:$2,0)+1),MATCH(L$1,[3]characters!$2:$2,0)-MATCH($I$1,[3]characters!$2:$2,0)+1,FALSE)</f>
        <v>Drop1N</v>
      </c>
      <c r="M374" s="28" t="str">
        <f ca="1">VLOOKUP($I374,OFFSET([3]characters!$A$1,0,0,COUNTA([3]characters!$A:$A),MATCH(M$1,[3]characters!$2:$2,0)-MATCH($I$1,[3]characters!$2:$2,0)+2),MATCH(M$1,[3]characters!$2:$2,0)-MATCH($I$1,[3]characters!$2:$2,0)+2,FALSE)</f>
        <v>アニマル</v>
      </c>
      <c r="N374" s="5">
        <f ca="1">VLOOKUP($I374,OFFSET([2]enemies!$A$1,0,0,COUNTA([2]enemies!$A:$A),MATCH(N$1,[2]enemies!$2:$2,0)-MATCH($I$1,[2]enemies!$2:$2,0)+1),MATCH(N$1,[2]enemies!$2:$2,0)-MATCH($I$1,[2]enemies!$2:$2,0)+1,FALSE)</f>
        <v>15</v>
      </c>
      <c r="O374" s="6">
        <v>32</v>
      </c>
      <c r="P374" s="46">
        <v>1</v>
      </c>
      <c r="Q374" s="46">
        <v>1</v>
      </c>
      <c r="R374" s="6">
        <v>0</v>
      </c>
      <c r="S374" s="5" t="str">
        <f ca="1">VLOOKUP($T374,OFFSET([4]enemy_skill_sets!$B$1,0,0,COUNTA([4]enemy_skill_sets!$B:$B),MATCH(J$1,[4]enemy_skill_sets!$1:$1,0)-MATCH($T$1,[4]enemy_skill_sets!$1:$1,0)+2),MATCH(J$1,[4]enemy_skill_sets!$1:$1,0)-MATCH($T$1,[4]enemy_skill_sets!$1:$1,0)+2,FALSE)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74" s="5">
        <f ca="1">VLOOKUP($I374,OFFSET([2]enemies!$A$1,0,0,COUNTA([2]enemies!$A:$A),MATCH(T$1,[2]enemies!$2:$2,0)-MATCH($I$1,[2]enemies!$2:$2,0)+1),MATCH(T$1,[2]enemies!$2:$2,0)-MATCH($I$1,[2]enemies!$2:$2,0)+1,FALSE)</f>
        <v>59</v>
      </c>
      <c r="U374" s="40">
        <v>0</v>
      </c>
      <c r="V374" s="7">
        <v>100</v>
      </c>
      <c r="W374" s="40">
        <v>0</v>
      </c>
      <c r="X374" s="26">
        <f ca="1">VLOOKUP($I374,OFFSET([2]enemies!$A$1,0,0,COUNTA([2]enemies!$A:$A),MATCH(X$1,[2]enemies!$2:$2,0)-MATCH($I$1,[2]enemies!$2:$2,0)+1),MATCH(X$1,[2]enemies!$2:$2,0)-MATCH($I$1,[2]enemies!$2:$2,0)+1,FALSE)</f>
        <v>2</v>
      </c>
      <c r="Y374" s="41">
        <v>59</v>
      </c>
      <c r="Z374" s="5" t="str">
        <f ca="1">IFERROR(VLOOKUP($Y374,OFFSET([3]characters!$A$1,0,0,COUNTA([3]characters!$A:$A),MATCH(Z$1,[3]characters!$2:$2,0)-MATCH("character_id",[3]characters!$2:$2,0)+1),MATCH(Z$1,[3]characters!$2:$2,0)-MATCH("character_id",[3]characters!$2:$2,0)+1,FALSE),"")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374" s="5">
        <f ca="1">IFERROR(VLOOKUP($Y374,OFFSET([3]characters!$A$1,0,0,COUNTA([3]characters!$A:$A),MATCH(AA$1,[3]characters!$2:$2,0)-MATCH("character_id",[3]characters!$2:$2,0)+1),MATCH(AA$1,[3]characters!$2:$2,0)-MATCH("character_id",[3]characters!$2:$2,0)+1,FALSE),"")</f>
        <v>2</v>
      </c>
      <c r="AB374" s="5" t="str">
        <f ca="1">IFERROR(VLOOKUP($Y374,OFFSET([3]characters!$A$1,0,0,COUNTA([3]characters!$A:$A),MATCH(AB$1,[3]characters!$2:$2,0)-MATCH("character_id",[3]characters!$2:$2,0)+1),MATCH(AB$1,[3]characters!$2:$2,0)-MATCH("character_id",[3]characters!$2:$2,0)+1,FALSE),"")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74" s="35">
        <v>1</v>
      </c>
      <c r="AD374" s="35">
        <f t="shared" ca="1" si="237"/>
        <v>2</v>
      </c>
      <c r="AE374" s="9">
        <v>0</v>
      </c>
      <c r="AF374" s="35">
        <v>0</v>
      </c>
      <c r="AG374" s="35">
        <v>0</v>
      </c>
      <c r="AH374" s="35">
        <v>0</v>
      </c>
      <c r="AI374" s="35">
        <v>0</v>
      </c>
      <c r="AJ374" s="35">
        <v>1</v>
      </c>
    </row>
    <row r="375" spans="1:36" ht="21" customHeight="1">
      <c r="A375" s="21" t="str">
        <f t="shared" ca="1" si="234"/>
        <v>11206_3-4/118&lt;lv1&gt;s2</v>
      </c>
      <c r="B375" s="8">
        <v>11206</v>
      </c>
      <c r="C375" s="32">
        <v>3</v>
      </c>
      <c r="D375" s="2" t="str">
        <f t="shared" si="235"/>
        <v>11206_3</v>
      </c>
      <c r="E375" s="5" t="str">
        <f ca="1">VLOOKUP($B375,OFFSET([1]quests!$A$1,0,0,COUNTA([1]quests!$A:$A),MATCH(E$1,[1]quests!$1:$1,0)-MATCH($B$1,[1]quests!$1:$1,0)+1),MATCH(E$1,[1]quests!$1:$1,0)-MATCH($B$1,[1]quests!$1:$1,0)+1,FALSE)</f>
        <v>【キャンペーン限定】 ゴールドカジノ</v>
      </c>
      <c r="F375" s="5" t="str">
        <f ca="1">VLOOKUP($D375,OFFSET([1]stages!$A$1,0,0,COUNTA([1]stages!$A:$A),MATCH(F$1,[1]stages!$2:$2,0)-MATCH($D$1,[1]stages!$2:$2,0)+1),MATCH(F$1,[1]stages!$2:$2,0)-MATCH($D$1,[1]stages!$2:$2,0)+1,FALSE)</f>
        <v>ゴールドカジノ 【上級】</v>
      </c>
      <c r="G375" s="32">
        <v>4</v>
      </c>
      <c r="H375" s="20" t="str">
        <f t="shared" si="236"/>
        <v>11206_3-4</v>
      </c>
      <c r="I375" s="31">
        <v>118</v>
      </c>
      <c r="J375" s="26" t="str">
        <f ca="1">VLOOKUP($I375,OFFSET([2]enemies!$A$1,0,0,COUNTA([2]enemies!$A:$A),MATCH(J$1,[2]enemies!$2:$2,0)-MATCH($I$1,[2]enemies!$2:$2,0)+1),MATCH(J$1,[2]enemies!$2:$2,0)-MATCH($I$1,[2]enemies!$2:$2,0)+1,FALSE)</f>
        <v>ゴールドチック</v>
      </c>
      <c r="K375" s="29" t="str">
        <f ca="1">VLOOKUP($I375,OFFSET([2]enemies!$A$1,0,0,COUNTA([2]enemies!$A:$A),MATCH(K$1,[2]enemies!$2:$2,0)-MATCH($I$1,[2]enemies!$2:$2,0)+1),MATCH(K$1,[2]enemies!$2:$2,0)-MATCH($I$1,[2]enemies!$2:$2,0)+1,FALSE)</f>
        <v>yellow</v>
      </c>
      <c r="L375" s="29" t="str">
        <f ca="1">VLOOKUP($I375,OFFSET([3]characters!$A$1,0,0,COUNTA([3]characters!$A:$A),MATCH(L$1,[3]characters!$2:$2,0)-MATCH($I$1,[3]characters!$2:$2,0)+1),MATCH(L$1,[3]characters!$2:$2,0)-MATCH($I$1,[3]characters!$2:$2,0)+1,FALSE)</f>
        <v>Material</v>
      </c>
      <c r="M375" s="28" t="str">
        <f ca="1">VLOOKUP($I375,OFFSET([3]characters!$A$1,0,0,COUNTA([3]characters!$A:$A),MATCH(M$1,[3]characters!$2:$2,0)-MATCH($I$1,[3]characters!$2:$2,0)+2),MATCH(M$1,[3]characters!$2:$2,0)-MATCH($I$1,[3]characters!$2:$2,0)+2,FALSE)</f>
        <v>Unknown</v>
      </c>
      <c r="N375" s="5">
        <f ca="1">VLOOKUP($I375,OFFSET([2]enemies!$A$1,0,0,COUNTA([2]enemies!$A:$A),MATCH(N$1,[2]enemies!$2:$2,0)-MATCH($I$1,[2]enemies!$2:$2,0)+1),MATCH(N$1,[2]enemies!$2:$2,0)-MATCH($I$1,[2]enemies!$2:$2,0)+1,FALSE)</f>
        <v>15</v>
      </c>
      <c r="O375" s="6">
        <v>1</v>
      </c>
      <c r="P375" s="46">
        <v>40.5</v>
      </c>
      <c r="Q375" s="46">
        <v>38.5</v>
      </c>
      <c r="R375" s="6">
        <v>0</v>
      </c>
      <c r="S375" s="5" t="str">
        <f ca="1">VLOOKUP($T375,OFFSET([4]enemy_skill_sets!$B$1,0,0,COUNTA([4]enemy_skill_sets!$B:$B),MATCH(J$1,[4]enemy_skill_sets!$1:$1,0)-MATCH($T$1,[4]enemy_skill_sets!$1:$1,0)+2),MATCH(J$1,[4]enemy_skill_sets!$1:$1,0)-MATCH($T$1,[4]enemy_skill_sets!$1:$1,0)+2,FALSE)</f>
        <v>攻撃力20倍の自爆攻撃！</v>
      </c>
      <c r="T375" s="43">
        <v>11803</v>
      </c>
      <c r="U375" s="7">
        <v>0</v>
      </c>
      <c r="V375" s="7">
        <v>100</v>
      </c>
      <c r="W375" s="7">
        <v>0</v>
      </c>
      <c r="X375" s="26">
        <f ca="1">VLOOKUP($I375,OFFSET([2]enemies!$A$1,0,0,COUNTA([2]enemies!$A:$A),MATCH(X$1,[2]enemies!$2:$2,0)-MATCH($I$1,[2]enemies!$2:$2,0)+1),MATCH(X$1,[2]enemies!$2:$2,0)-MATCH($I$1,[2]enemies!$2:$2,0)+1,FALSE)</f>
        <v>2</v>
      </c>
      <c r="Y375" s="31">
        <v>118</v>
      </c>
      <c r="Z375" s="5" t="str">
        <f ca="1">IFERROR(VLOOKUP($Y375,OFFSET([3]characters!$A$1,0,0,COUNTA([3]characters!$A:$A),MATCH(Z$1,[3]characters!$2:$2,0)-MATCH("character_id",[3]characters!$2:$2,0)+1),MATCH(Z$1,[3]characters!$2:$2,0)-MATCH("character_id",[3]characters!$2:$2,0)+1,FALSE),"")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375" s="5">
        <f ca="1">IFERROR(VLOOKUP($Y375,OFFSET([3]characters!$A$1,0,0,COUNTA([3]characters!$A:$A),MATCH(AA$1,[3]characters!$2:$2,0)-MATCH("character_id",[3]characters!$2:$2,0)+1),MATCH(AA$1,[3]characters!$2:$2,0)-MATCH("character_id",[3]characters!$2:$2,0)+1,FALSE),"")</f>
        <v>4</v>
      </c>
      <c r="AB375" s="5" t="str">
        <f ca="1">IFERROR(VLOOKUP($Y375,OFFSET([3]characters!$A$1,0,0,COUNTA([3]characters!$A:$A),MATCH(AB$1,[3]characters!$2:$2,0)-MATCH("character_id",[3]characters!$2:$2,0)+1),MATCH(AB$1,[3]characters!$2:$2,0)-MATCH("character_id",[3]characters!$2:$2,0)+1,FALSE),"")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75" s="8">
        <v>1</v>
      </c>
      <c r="AD375" s="34">
        <f t="shared" ca="1" si="237"/>
        <v>4</v>
      </c>
      <c r="AE375" s="9">
        <v>80</v>
      </c>
      <c r="AF375" s="8">
        <v>0</v>
      </c>
      <c r="AG375" s="8">
        <v>0</v>
      </c>
      <c r="AH375" s="8">
        <v>0</v>
      </c>
      <c r="AI375" s="8">
        <v>0</v>
      </c>
      <c r="AJ375" s="8">
        <v>1</v>
      </c>
    </row>
    <row r="376" spans="1:36" ht="21" customHeight="1">
      <c r="A376" s="21" t="str">
        <f t="shared" si="234"/>
        <v>11206_3-4/119&lt;lv2&gt;s4</v>
      </c>
      <c r="B376" s="8">
        <v>11206</v>
      </c>
      <c r="C376" s="32">
        <v>3</v>
      </c>
      <c r="D376" s="2" t="str">
        <f t="shared" si="235"/>
        <v>11206_3</v>
      </c>
      <c r="E376" s="5" t="str">
        <f ca="1">VLOOKUP($B376,OFFSET([1]quests!$A$1,0,0,COUNTA([1]quests!$A:$A),MATCH(E$1,[1]quests!$1:$1,0)-MATCH($B$1,[1]quests!$1:$1,0)+1),MATCH(E$1,[1]quests!$1:$1,0)-MATCH($B$1,[1]quests!$1:$1,0)+1,FALSE)</f>
        <v>【キャンペーン限定】 ゴールドカジノ</v>
      </c>
      <c r="F376" s="5" t="str">
        <f ca="1">VLOOKUP($D376,OFFSET([1]stages!$A$1,0,0,COUNTA([1]stages!$A:$A),MATCH(F$1,[1]stages!$2:$2,0)-MATCH($D$1,[1]stages!$2:$2,0)+1),MATCH(F$1,[1]stages!$2:$2,0)-MATCH($D$1,[1]stages!$2:$2,0)+1,FALSE)</f>
        <v>ゴールドカジノ 【上級】</v>
      </c>
      <c r="G376" s="32">
        <v>4</v>
      </c>
      <c r="H376" s="20" t="str">
        <f t="shared" si="236"/>
        <v>11206_3-4</v>
      </c>
      <c r="I376" s="31">
        <v>119</v>
      </c>
      <c r="J376" s="26" t="str">
        <f ca="1">VLOOKUP($I376,OFFSET([2]enemies!$A$1,0,0,COUNTA([2]enemies!$A:$A),MATCH(J$1,[2]enemies!$2:$2,0)-MATCH($I$1,[2]enemies!$2:$2,0)+1),MATCH(J$1,[2]enemies!$2:$2,0)-MATCH($I$1,[2]enemies!$2:$2,0)+1,FALSE)</f>
        <v>ゴールドダック</v>
      </c>
      <c r="K376" s="29" t="str">
        <f ca="1">VLOOKUP($I376,OFFSET([2]enemies!$A$1,0,0,COUNTA([2]enemies!$A:$A),MATCH(K$1,[2]enemies!$2:$2,0)-MATCH($I$1,[2]enemies!$2:$2,0)+1),MATCH(K$1,[2]enemies!$2:$2,0)-MATCH($I$1,[2]enemies!$2:$2,0)+1,FALSE)</f>
        <v>yellow</v>
      </c>
      <c r="L376" s="29" t="str">
        <f ca="1">VLOOKUP($I376,OFFSET([3]characters!$A$1,0,0,COUNTA([3]characters!$A:$A),MATCH(L$1,[3]characters!$2:$2,0)-MATCH($I$1,[3]characters!$2:$2,0)+1),MATCH(L$1,[3]characters!$2:$2,0)-MATCH($I$1,[3]characters!$2:$2,0)+1,FALSE)</f>
        <v>Material</v>
      </c>
      <c r="M376" s="28" t="str">
        <f ca="1">VLOOKUP($I376,OFFSET([3]characters!$A$1,0,0,COUNTA([3]characters!$A:$A),MATCH(M$1,[3]characters!$2:$2,0)-MATCH($I$1,[3]characters!$2:$2,0)+2),MATCH(M$1,[3]characters!$2:$2,0)-MATCH($I$1,[3]characters!$2:$2,0)+2,FALSE)</f>
        <v>Unknown</v>
      </c>
      <c r="N376" s="5">
        <f ca="1">VLOOKUP($I376,OFFSET([2]enemies!$A$1,0,0,COUNTA([2]enemies!$A:$A),MATCH(N$1,[2]enemies!$2:$2,0)-MATCH($I$1,[2]enemies!$2:$2,0)+1),MATCH(N$1,[2]enemies!$2:$2,0)-MATCH($I$1,[2]enemies!$2:$2,0)+1,FALSE)</f>
        <v>20</v>
      </c>
      <c r="O376" s="6">
        <v>2</v>
      </c>
      <c r="P376" s="46">
        <v>93.3</v>
      </c>
      <c r="Q376" s="46">
        <v>41</v>
      </c>
      <c r="R376" s="6">
        <v>0</v>
      </c>
      <c r="S376" s="5" t="str">
        <f ca="1">VLOOKUP($T376,OFFSET([4]enemy_skill_sets!$B$1,0,0,COUNTA([4]enemy_skill_sets!$B:$B),MATCH(J$1,[4]enemy_skill_sets!$1:$1,0)-MATCH($T$1,[4]enemy_skill_sets!$1:$1,0)+2),MATCH(J$1,[4]enemy_skill_sets!$1:$1,0)-MATCH($T$1,[4]enemy_skill_sets!$1:$1,0)+2,FALSE)</f>
        <v>攻撃力30倍の自爆攻撃！</v>
      </c>
      <c r="T376" s="43">
        <v>11903</v>
      </c>
      <c r="U376" s="7">
        <v>1</v>
      </c>
      <c r="V376" s="7">
        <v>100</v>
      </c>
      <c r="W376" s="7">
        <v>0</v>
      </c>
      <c r="X376" s="44">
        <v>4</v>
      </c>
      <c r="Y376" s="31">
        <v>119</v>
      </c>
      <c r="Z376" s="5" t="str">
        <f ca="1">IFERROR(VLOOKUP($Y376,OFFSET([3]characters!$A$1,0,0,COUNTA([3]characters!$A:$A),MATCH(Z$1,[3]characters!$2:$2,0)-MATCH("character_id",[3]characters!$2:$2,0)+1),MATCH(Z$1,[3]characters!$2:$2,0)-MATCH("character_id",[3]characters!$2:$2,0)+1,FALSE),"")</f>
        <v>ゴールドダック</v>
      </c>
      <c r="AA376" s="5">
        <f ca="1">IFERROR(VLOOKUP($Y376,OFFSET([3]characters!$A$1,0,0,COUNTA([3]characters!$A:$A),MATCH(AA$1,[3]characters!$2:$2,0)-MATCH("character_id",[3]characters!$2:$2,0)+1),MATCH(AA$1,[3]characters!$2:$2,0)-MATCH("character_id",[3]characters!$2:$2,0)+1,FALSE),"")</f>
        <v>5</v>
      </c>
      <c r="AB376" s="5" t="str">
        <f ca="1">IFERROR(VLOOKUP($Y376,OFFSET([3]characters!$A$1,0,0,COUNTA([3]characters!$A:$A),MATCH(AB$1,[3]characters!$2:$2,0)-MATCH("character_id",[3]characters!$2:$2,0)+1),MATCH(AB$1,[3]characters!$2:$2,0)-MATCH("character_id",[3]characters!$2:$2,0)+1,FALSE),"")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76" s="8">
        <v>1</v>
      </c>
      <c r="AD376" s="34">
        <f t="shared" ca="1" si="237"/>
        <v>5</v>
      </c>
      <c r="AE376" s="9">
        <v>30</v>
      </c>
      <c r="AF376" s="8">
        <v>0</v>
      </c>
      <c r="AG376" s="8">
        <v>0</v>
      </c>
      <c r="AH376" s="8">
        <v>0</v>
      </c>
      <c r="AI376" s="8">
        <v>0</v>
      </c>
      <c r="AJ376" s="8">
        <v>1</v>
      </c>
    </row>
    <row r="377" spans="1:36" ht="21" customHeight="1">
      <c r="A377" s="21" t="str">
        <f t="shared" ca="1" si="234"/>
        <v>11206_3-4/63&lt;lv32&gt;s2</v>
      </c>
      <c r="B377" s="8">
        <v>11206</v>
      </c>
      <c r="C377" s="32">
        <v>3</v>
      </c>
      <c r="D377" s="20" t="str">
        <f t="shared" si="235"/>
        <v>11206_3</v>
      </c>
      <c r="E377" s="5" t="str">
        <f ca="1">VLOOKUP($B377,OFFSET([1]quests!$A$1,0,0,COUNTA([1]quests!$A:$A),MATCH(E$1,[1]quests!$1:$1,0)-MATCH($B$1,[1]quests!$1:$1,0)+1),MATCH(E$1,[1]quests!$1:$1,0)-MATCH($B$1,[1]quests!$1:$1,0)+1,FALSE)</f>
        <v>【キャンペーン限定】 ゴールドカジノ</v>
      </c>
      <c r="F377" s="5" t="str">
        <f ca="1">VLOOKUP($D377,OFFSET([1]stages!$A$1,0,0,COUNTA([1]stages!$A:$A),MATCH(F$1,[1]stages!$2:$2,0)-MATCH($D$1,[1]stages!$2:$2,0)+1),MATCH(F$1,[1]stages!$2:$2,0)-MATCH($D$1,[1]stages!$2:$2,0)+1,FALSE)</f>
        <v>ゴールドカジノ 【上級】</v>
      </c>
      <c r="G377" s="32">
        <v>4</v>
      </c>
      <c r="H377" s="20" t="str">
        <f t="shared" si="236"/>
        <v>11206_3-4</v>
      </c>
      <c r="I377" s="41">
        <v>63</v>
      </c>
      <c r="J377" s="26" t="str">
        <f ca="1">VLOOKUP($I377,OFFSET([2]enemies!$A$1,0,0,COUNTA([2]enemies!$A:$A),MATCH(J$1,[2]enemies!$2:$2,0)-MATCH($I$1,[2]enemies!$2:$2,0)+1),MATCH(J$1,[2]enemies!$2:$2,0)-MATCH($I$1,[2]enemies!$2:$2,0)+1,FALSE)</f>
        <v>トニー</v>
      </c>
      <c r="K377" s="29" t="str">
        <f ca="1">VLOOKUP($I377,OFFSET([2]enemies!$A$1,0,0,COUNTA([2]enemies!$A:$A),MATCH(K$1,[2]enemies!$2:$2,0)-MATCH($I$1,[2]enemies!$2:$2,0)+1),MATCH(K$1,[2]enemies!$2:$2,0)-MATCH($I$1,[2]enemies!$2:$2,0)+1,FALSE)</f>
        <v>yellow</v>
      </c>
      <c r="L377" s="29" t="str">
        <f ca="1">VLOOKUP($I377,OFFSET([3]characters!$A$1,0,0,COUNTA([3]characters!$A:$A),MATCH(L$1,[3]characters!$2:$2,0)-MATCH($I$1,[3]characters!$2:$2,0)+1),MATCH(L$1,[3]characters!$2:$2,0)-MATCH($I$1,[3]characters!$2:$2,0)+1,FALSE)</f>
        <v>Drop1N</v>
      </c>
      <c r="M377" s="28" t="str">
        <f ca="1">VLOOKUP($I377,OFFSET([3]characters!$A$1,0,0,COUNTA([3]characters!$A:$A),MATCH(M$1,[3]characters!$2:$2,0)-MATCH($I$1,[3]characters!$2:$2,0)+2),MATCH(M$1,[3]characters!$2:$2,0)-MATCH($I$1,[3]characters!$2:$2,0)+2,FALSE)</f>
        <v>アニマル</v>
      </c>
      <c r="N377" s="5">
        <f ca="1">VLOOKUP($I377,OFFSET([2]enemies!$A$1,0,0,COUNTA([2]enemies!$A:$A),MATCH(N$1,[2]enemies!$2:$2,0)-MATCH($I$1,[2]enemies!$2:$2,0)+1),MATCH(N$1,[2]enemies!$2:$2,0)-MATCH($I$1,[2]enemies!$2:$2,0)+1,FALSE)</f>
        <v>15</v>
      </c>
      <c r="O377" s="6">
        <v>32</v>
      </c>
      <c r="P377" s="46">
        <v>1</v>
      </c>
      <c r="Q377" s="46">
        <v>1</v>
      </c>
      <c r="R377" s="6">
        <v>0</v>
      </c>
      <c r="S377" s="5" t="str">
        <f ca="1">VLOOKUP($T377,OFFSET([4]enemy_skill_sets!$B$1,0,0,COUNTA([4]enemy_skill_sets!$B:$B),MATCH(J$1,[4]enemy_skill_sets!$1:$1,0)-MATCH($T$1,[4]enemy_skill_sets!$1:$1,0)+2),MATCH(J$1,[4]enemy_skill_sets!$1:$1,0)-MATCH($T$1,[4]enemy_skill_sets!$1:$1,0)+2,FALSE)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377" s="5">
        <f ca="1">VLOOKUP($I377,OFFSET([2]enemies!$A$1,0,0,COUNTA([2]enemies!$A:$A),MATCH(T$1,[2]enemies!$2:$2,0)-MATCH($I$1,[2]enemies!$2:$2,0)+1),MATCH(T$1,[2]enemies!$2:$2,0)-MATCH($I$1,[2]enemies!$2:$2,0)+1,FALSE)</f>
        <v>63</v>
      </c>
      <c r="U377" s="40">
        <v>0</v>
      </c>
      <c r="V377" s="7">
        <v>100</v>
      </c>
      <c r="W377" s="40">
        <v>0</v>
      </c>
      <c r="X377" s="26">
        <f ca="1">VLOOKUP($I377,OFFSET([2]enemies!$A$1,0,0,COUNTA([2]enemies!$A:$A),MATCH(X$1,[2]enemies!$2:$2,0)-MATCH($I$1,[2]enemies!$2:$2,0)+1),MATCH(X$1,[2]enemies!$2:$2,0)-MATCH($I$1,[2]enemies!$2:$2,0)+1,FALSE)</f>
        <v>2</v>
      </c>
      <c r="Y377" s="41">
        <v>63</v>
      </c>
      <c r="Z377" s="5" t="str">
        <f ca="1">IFERROR(VLOOKUP($Y377,OFFSET([3]characters!$A$1,0,0,COUNTA([3]characters!$A:$A),MATCH(Z$1,[3]characters!$2:$2,0)-MATCH("character_id",[3]characters!$2:$2,0)+1),MATCH(Z$1,[3]characters!$2:$2,0)-MATCH("character_id",[3]characters!$2:$2,0)+1,FALSE),"")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377" s="5">
        <f ca="1">IFERROR(VLOOKUP($Y377,OFFSET([3]characters!$A$1,0,0,COUNTA([3]characters!$A:$A),MATCH(AA$1,[3]characters!$2:$2,0)-MATCH("character_id",[3]characters!$2:$2,0)+1),MATCH(AA$1,[3]characters!$2:$2,0)-MATCH("character_id",[3]characters!$2:$2,0)+1,FALSE),"")</f>
        <v>2</v>
      </c>
      <c r="AB377" s="5" t="str">
        <f ca="1">IFERROR(VLOOKUP($Y377,OFFSET([3]characters!$A$1,0,0,COUNTA([3]characters!$A:$A),MATCH(AB$1,[3]characters!$2:$2,0)-MATCH("character_id",[3]characters!$2:$2,0)+1),MATCH(AB$1,[3]characters!$2:$2,0)-MATCH("character_id",[3]characters!$2:$2,0)+1,FALSE),"")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77" s="35">
        <v>1</v>
      </c>
      <c r="AD377" s="35">
        <f t="shared" ca="1" si="237"/>
        <v>2</v>
      </c>
      <c r="AE377" s="9">
        <v>0</v>
      </c>
      <c r="AF377" s="35">
        <v>0</v>
      </c>
      <c r="AG377" s="35">
        <v>0</v>
      </c>
      <c r="AH377" s="35">
        <v>0</v>
      </c>
      <c r="AI377" s="35">
        <v>0</v>
      </c>
      <c r="AJ377" s="35">
        <v>1</v>
      </c>
    </row>
    <row r="378" spans="1:36" ht="21" customHeight="1">
      <c r="A378" s="21" t="str">
        <f t="shared" ca="1" si="234"/>
        <v>11206_3-4/61&lt;lv32&gt;s2</v>
      </c>
      <c r="B378" s="8">
        <v>11206</v>
      </c>
      <c r="C378" s="32">
        <v>3</v>
      </c>
      <c r="D378" s="20" t="str">
        <f t="shared" si="235"/>
        <v>11206_3</v>
      </c>
      <c r="E378" s="5" t="str">
        <f ca="1">VLOOKUP($B378,OFFSET([1]quests!$A$1,0,0,COUNTA([1]quests!$A:$A),MATCH(E$1,[1]quests!$1:$1,0)-MATCH($B$1,[1]quests!$1:$1,0)+1),MATCH(E$1,[1]quests!$1:$1,0)-MATCH($B$1,[1]quests!$1:$1,0)+1,FALSE)</f>
        <v>【キャンペーン限定】 ゴールドカジノ</v>
      </c>
      <c r="F378" s="5" t="str">
        <f ca="1">VLOOKUP($D378,OFFSET([1]stages!$A$1,0,0,COUNTA([1]stages!$A:$A),MATCH(F$1,[1]stages!$2:$2,0)-MATCH($D$1,[1]stages!$2:$2,0)+1),MATCH(F$1,[1]stages!$2:$2,0)-MATCH($D$1,[1]stages!$2:$2,0)+1,FALSE)</f>
        <v>ゴールドカジノ 【上級】</v>
      </c>
      <c r="G378" s="32">
        <v>4</v>
      </c>
      <c r="H378" s="20" t="str">
        <f t="shared" si="236"/>
        <v>11206_3-4</v>
      </c>
      <c r="I378" s="41">
        <v>61</v>
      </c>
      <c r="J378" s="26" t="str">
        <f ca="1">VLOOKUP($I378,OFFSET([2]enemies!$A$1,0,0,COUNTA([2]enemies!$A:$A),MATCH(J$1,[2]enemies!$2:$2,0)-MATCH($I$1,[2]enemies!$2:$2,0)+1),MATCH(J$1,[2]enemies!$2:$2,0)-MATCH($I$1,[2]enemies!$2:$2,0)+1,FALSE)</f>
        <v>クロウ</v>
      </c>
      <c r="K378" s="29" t="str">
        <f ca="1">VLOOKUP($I378,OFFSET([2]enemies!$A$1,0,0,COUNTA([2]enemies!$A:$A),MATCH(K$1,[2]enemies!$2:$2,0)-MATCH($I$1,[2]enemies!$2:$2,0)+1),MATCH(K$1,[2]enemies!$2:$2,0)-MATCH($I$1,[2]enemies!$2:$2,0)+1,FALSE)</f>
        <v>blue</v>
      </c>
      <c r="L378" s="29" t="str">
        <f ca="1">VLOOKUP($I378,OFFSET([3]characters!$A$1,0,0,COUNTA([3]characters!$A:$A),MATCH(L$1,[3]characters!$2:$2,0)-MATCH($I$1,[3]characters!$2:$2,0)+1),MATCH(L$1,[3]characters!$2:$2,0)-MATCH($I$1,[3]characters!$2:$2,0)+1,FALSE)</f>
        <v>Drop1N</v>
      </c>
      <c r="M378" s="28" t="str">
        <f ca="1">VLOOKUP($I378,OFFSET([3]characters!$A$1,0,0,COUNTA([3]characters!$A:$A),MATCH(M$1,[3]characters!$2:$2,0)-MATCH($I$1,[3]characters!$2:$2,0)+2),MATCH(M$1,[3]characters!$2:$2,0)-MATCH($I$1,[3]characters!$2:$2,0)+2,FALSE)</f>
        <v>アニマル</v>
      </c>
      <c r="N378" s="5">
        <f ca="1">VLOOKUP($I378,OFFSET([2]enemies!$A$1,0,0,COUNTA([2]enemies!$A:$A),MATCH(N$1,[2]enemies!$2:$2,0)-MATCH($I$1,[2]enemies!$2:$2,0)+1),MATCH(N$1,[2]enemies!$2:$2,0)-MATCH($I$1,[2]enemies!$2:$2,0)+1,FALSE)</f>
        <v>15</v>
      </c>
      <c r="O378" s="6">
        <v>32</v>
      </c>
      <c r="P378" s="46">
        <v>1</v>
      </c>
      <c r="Q378" s="46">
        <v>1</v>
      </c>
      <c r="R378" s="6">
        <v>0</v>
      </c>
      <c r="S378" s="5" t="str">
        <f ca="1">VLOOKUP($T378,OFFSET([4]enemy_skill_sets!$B$1,0,0,COUNTA([4]enemy_skill_sets!$B:$B),MATCH(J$1,[4]enemy_skill_sets!$1:$1,0)-MATCH($T$1,[4]enemy_skill_sets!$1:$1,0)+2),MATCH(J$1,[4]enemy_skill_sets!$1:$1,0)-MATCH($T$1,[4]enemy_skill_sets!$1:$1,0)+2,FALSE)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78" s="5">
        <f ca="1">VLOOKUP($I378,OFFSET([2]enemies!$A$1,0,0,COUNTA([2]enemies!$A:$A),MATCH(T$1,[2]enemies!$2:$2,0)-MATCH($I$1,[2]enemies!$2:$2,0)+1),MATCH(T$1,[2]enemies!$2:$2,0)-MATCH($I$1,[2]enemies!$2:$2,0)+1,FALSE)</f>
        <v>61</v>
      </c>
      <c r="U378" s="40">
        <v>0</v>
      </c>
      <c r="V378" s="7">
        <v>100</v>
      </c>
      <c r="W378" s="40">
        <v>0</v>
      </c>
      <c r="X378" s="26">
        <f ca="1">VLOOKUP($I378,OFFSET([2]enemies!$A$1,0,0,COUNTA([2]enemies!$A:$A),MATCH(X$1,[2]enemies!$2:$2,0)-MATCH($I$1,[2]enemies!$2:$2,0)+1),MATCH(X$1,[2]enemies!$2:$2,0)-MATCH($I$1,[2]enemies!$2:$2,0)+1,FALSE)</f>
        <v>2</v>
      </c>
      <c r="Y378" s="41">
        <v>61</v>
      </c>
      <c r="Z378" s="5" t="str">
        <f ca="1">IFERROR(VLOOKUP($Y378,OFFSET([3]characters!$A$1,0,0,COUNTA([3]characters!$A:$A),MATCH(Z$1,[3]characters!$2:$2,0)-MATCH("character_id",[3]characters!$2:$2,0)+1),MATCH(Z$1,[3]characters!$2:$2,0)-MATCH("character_id",[3]characters!$2:$2,0)+1,FALSE),"")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378" s="5">
        <f ca="1">IFERROR(VLOOKUP($Y378,OFFSET([3]characters!$A$1,0,0,COUNTA([3]characters!$A:$A),MATCH(AA$1,[3]characters!$2:$2,0)-MATCH("character_id",[3]characters!$2:$2,0)+1),MATCH(AA$1,[3]characters!$2:$2,0)-MATCH("character_id",[3]characters!$2:$2,0)+1,FALSE),"")</f>
        <v>2</v>
      </c>
      <c r="AB378" s="5" t="str">
        <f ca="1">IFERROR(VLOOKUP($Y378,OFFSET([3]characters!$A$1,0,0,COUNTA([3]characters!$A:$A),MATCH(AB$1,[3]characters!$2:$2,0)-MATCH("character_id",[3]characters!$2:$2,0)+1),MATCH(AB$1,[3]characters!$2:$2,0)-MATCH("character_id",[3]characters!$2:$2,0)+1,FALSE),"")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78" s="35">
        <v>1</v>
      </c>
      <c r="AD378" s="35">
        <f t="shared" ca="1" si="237"/>
        <v>2</v>
      </c>
      <c r="AE378" s="9">
        <v>0</v>
      </c>
      <c r="AF378" s="35">
        <v>0</v>
      </c>
      <c r="AG378" s="35">
        <v>0</v>
      </c>
      <c r="AH378" s="35">
        <v>0</v>
      </c>
      <c r="AI378" s="35">
        <v>0</v>
      </c>
      <c r="AJ378" s="35">
        <v>1</v>
      </c>
    </row>
    <row r="379" spans="1:36" ht="21" customHeight="1">
      <c r="A379" s="21" t="str">
        <f t="shared" ca="1" si="234"/>
        <v>11206_3-4/57&lt;lv32&gt;s2</v>
      </c>
      <c r="B379" s="8">
        <v>11206</v>
      </c>
      <c r="C379" s="32">
        <v>3</v>
      </c>
      <c r="D379" s="20" t="str">
        <f t="shared" si="235"/>
        <v>11206_3</v>
      </c>
      <c r="E379" s="5" t="str">
        <f ca="1">VLOOKUP($B379,OFFSET([1]quests!$A$1,0,0,COUNTA([1]quests!$A:$A),MATCH(E$1,[1]quests!$1:$1,0)-MATCH($B$1,[1]quests!$1:$1,0)+1),MATCH(E$1,[1]quests!$1:$1,0)-MATCH($B$1,[1]quests!$1:$1,0)+1,FALSE)</f>
        <v>【キャンペーン限定】 ゴールドカジノ</v>
      </c>
      <c r="F379" s="5" t="str">
        <f ca="1">VLOOKUP($D379,OFFSET([1]stages!$A$1,0,0,COUNTA([1]stages!$A:$A),MATCH(F$1,[1]stages!$2:$2,0)-MATCH($D$1,[1]stages!$2:$2,0)+1),MATCH(F$1,[1]stages!$2:$2,0)-MATCH($D$1,[1]stages!$2:$2,0)+1,FALSE)</f>
        <v>ゴールドカジノ 【上級】</v>
      </c>
      <c r="G379" s="32">
        <v>4</v>
      </c>
      <c r="H379" s="20" t="str">
        <f t="shared" si="236"/>
        <v>11206_3-4</v>
      </c>
      <c r="I379" s="41">
        <v>57</v>
      </c>
      <c r="J379" s="26" t="str">
        <f ca="1">VLOOKUP($I379,OFFSET([2]enemies!$A$1,0,0,COUNTA([2]enemies!$A:$A),MATCH(J$1,[2]enemies!$2:$2,0)-MATCH($I$1,[2]enemies!$2:$2,0)+1),MATCH(J$1,[2]enemies!$2:$2,0)-MATCH($I$1,[2]enemies!$2:$2,0)+1,FALSE)</f>
        <v>チェン・リー</v>
      </c>
      <c r="K379" s="29" t="str">
        <f ca="1">VLOOKUP($I379,OFFSET([2]enemies!$A$1,0,0,COUNTA([2]enemies!$A:$A),MATCH(K$1,[2]enemies!$2:$2,0)-MATCH($I$1,[2]enemies!$2:$2,0)+1),MATCH(K$1,[2]enemies!$2:$2,0)-MATCH($I$1,[2]enemies!$2:$2,0)+1,FALSE)</f>
        <v>red</v>
      </c>
      <c r="L379" s="29" t="str">
        <f ca="1">VLOOKUP($I379,OFFSET([3]characters!$A$1,0,0,COUNTA([3]characters!$A:$A),MATCH(L$1,[3]characters!$2:$2,0)-MATCH($I$1,[3]characters!$2:$2,0)+1),MATCH(L$1,[3]characters!$2:$2,0)-MATCH($I$1,[3]characters!$2:$2,0)+1,FALSE)</f>
        <v>Drop1N</v>
      </c>
      <c r="M379" s="28" t="str">
        <f ca="1">VLOOKUP($I379,OFFSET([3]characters!$A$1,0,0,COUNTA([3]characters!$A:$A),MATCH(M$1,[3]characters!$2:$2,0)-MATCH($I$1,[3]characters!$2:$2,0)+2),MATCH(M$1,[3]characters!$2:$2,0)-MATCH($I$1,[3]characters!$2:$2,0)+2,FALSE)</f>
        <v>アニマル</v>
      </c>
      <c r="N379" s="5">
        <f ca="1">VLOOKUP($I379,OFFSET([2]enemies!$A$1,0,0,COUNTA([2]enemies!$A:$A),MATCH(N$1,[2]enemies!$2:$2,0)-MATCH($I$1,[2]enemies!$2:$2,0)+1),MATCH(N$1,[2]enemies!$2:$2,0)-MATCH($I$1,[2]enemies!$2:$2,0)+1,FALSE)</f>
        <v>15</v>
      </c>
      <c r="O379" s="6">
        <v>32</v>
      </c>
      <c r="P379" s="46">
        <v>1</v>
      </c>
      <c r="Q379" s="46">
        <v>1</v>
      </c>
      <c r="R379" s="6">
        <v>0</v>
      </c>
      <c r="S379" s="5" t="str">
        <f ca="1">VLOOKUP($T379,OFFSET([4]enemy_skill_sets!$B$1,0,0,COUNTA([4]enemy_skill_sets!$B:$B),MATCH(J$1,[4]enemy_skill_sets!$1:$1,0)-MATCH($T$1,[4]enemy_skill_sets!$1:$1,0)+2),MATCH(J$1,[4]enemy_skill_sets!$1:$1,0)-MATCH($T$1,[4]enemy_skill_sets!$1:$1,0)+2,FALSE)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379" s="5">
        <f ca="1">VLOOKUP($I379,OFFSET([2]enemies!$A$1,0,0,COUNTA([2]enemies!$A:$A),MATCH(T$1,[2]enemies!$2:$2,0)-MATCH($I$1,[2]enemies!$2:$2,0)+1),MATCH(T$1,[2]enemies!$2:$2,0)-MATCH($I$1,[2]enemies!$2:$2,0)+1,FALSE)</f>
        <v>57</v>
      </c>
      <c r="U379" s="40">
        <v>0</v>
      </c>
      <c r="V379" s="7">
        <v>100</v>
      </c>
      <c r="W379" s="40">
        <v>0</v>
      </c>
      <c r="X379" s="26">
        <f ca="1">VLOOKUP($I379,OFFSET([2]enemies!$A$1,0,0,COUNTA([2]enemies!$A:$A),MATCH(X$1,[2]enemies!$2:$2,0)-MATCH($I$1,[2]enemies!$2:$2,0)+1),MATCH(X$1,[2]enemies!$2:$2,0)-MATCH($I$1,[2]enemies!$2:$2,0)+1,FALSE)</f>
        <v>2</v>
      </c>
      <c r="Y379" s="41">
        <v>57</v>
      </c>
      <c r="Z379" s="5" t="str">
        <f ca="1">IFERROR(VLOOKUP($Y379,OFFSET([3]characters!$A$1,0,0,COUNTA([3]characters!$A:$A),MATCH(Z$1,[3]characters!$2:$2,0)-MATCH("character_id",[3]characters!$2:$2,0)+1),MATCH(Z$1,[3]characters!$2:$2,0)-MATCH("character_id",[3]characters!$2:$2,0)+1,FALSE),"")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379" s="5">
        <f ca="1">IFERROR(VLOOKUP($Y379,OFFSET([3]characters!$A$1,0,0,COUNTA([3]characters!$A:$A),MATCH(AA$1,[3]characters!$2:$2,0)-MATCH("character_id",[3]characters!$2:$2,0)+1),MATCH(AA$1,[3]characters!$2:$2,0)-MATCH("character_id",[3]characters!$2:$2,0)+1,FALSE),"")</f>
        <v>2</v>
      </c>
      <c r="AB379" s="5" t="str">
        <f ca="1">IFERROR(VLOOKUP($Y379,OFFSET([3]characters!$A$1,0,0,COUNTA([3]characters!$A:$A),MATCH(AB$1,[3]characters!$2:$2,0)-MATCH("character_id",[3]characters!$2:$2,0)+1),MATCH(AB$1,[3]characters!$2:$2,0)-MATCH("character_id",[3]characters!$2:$2,0)+1,FALSE),"")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79" s="35">
        <v>1</v>
      </c>
      <c r="AD379" s="35">
        <f t="shared" ca="1" si="237"/>
        <v>2</v>
      </c>
      <c r="AE379" s="9">
        <v>0</v>
      </c>
      <c r="AF379" s="35">
        <v>0</v>
      </c>
      <c r="AG379" s="35">
        <v>0</v>
      </c>
      <c r="AH379" s="35">
        <v>0</v>
      </c>
      <c r="AI379" s="35">
        <v>0</v>
      </c>
      <c r="AJ379" s="35">
        <v>1</v>
      </c>
    </row>
    <row r="380" spans="1:36" ht="21" customHeight="1">
      <c r="A380" s="21" t="str">
        <f t="shared" ca="1" si="234"/>
        <v>11206_3-4/59&lt;lv32&gt;s2</v>
      </c>
      <c r="B380" s="8">
        <v>11206</v>
      </c>
      <c r="C380" s="32">
        <v>3</v>
      </c>
      <c r="D380" s="20" t="str">
        <f t="shared" si="235"/>
        <v>11206_3</v>
      </c>
      <c r="E380" s="5" t="str">
        <f ca="1">VLOOKUP($B380,OFFSET([1]quests!$A$1,0,0,COUNTA([1]quests!$A:$A),MATCH(E$1,[1]quests!$1:$1,0)-MATCH($B$1,[1]quests!$1:$1,0)+1),MATCH(E$1,[1]quests!$1:$1,0)-MATCH($B$1,[1]quests!$1:$1,0)+1,FALSE)</f>
        <v>【キャンペーン限定】 ゴールドカジノ</v>
      </c>
      <c r="F380" s="5" t="str">
        <f ca="1">VLOOKUP($D380,OFFSET([1]stages!$A$1,0,0,COUNTA([1]stages!$A:$A),MATCH(F$1,[1]stages!$2:$2,0)-MATCH($D$1,[1]stages!$2:$2,0)+1),MATCH(F$1,[1]stages!$2:$2,0)-MATCH($D$1,[1]stages!$2:$2,0)+1,FALSE)</f>
        <v>ゴールドカジノ 【上級】</v>
      </c>
      <c r="G380" s="32">
        <v>4</v>
      </c>
      <c r="H380" s="20" t="str">
        <f t="shared" si="236"/>
        <v>11206_3-4</v>
      </c>
      <c r="I380" s="41">
        <v>59</v>
      </c>
      <c r="J380" s="26" t="str">
        <f ca="1">VLOOKUP($I380,OFFSET([2]enemies!$A$1,0,0,COUNTA([2]enemies!$A:$A),MATCH(J$1,[2]enemies!$2:$2,0)-MATCH($I$1,[2]enemies!$2:$2,0)+1),MATCH(J$1,[2]enemies!$2:$2,0)-MATCH($I$1,[2]enemies!$2:$2,0)+1,FALSE)</f>
        <v>マーチ</v>
      </c>
      <c r="K380" s="29" t="str">
        <f ca="1">VLOOKUP($I380,OFFSET([2]enemies!$A$1,0,0,COUNTA([2]enemies!$A:$A),MATCH(K$1,[2]enemies!$2:$2,0)-MATCH($I$1,[2]enemies!$2:$2,0)+1),MATCH(K$1,[2]enemies!$2:$2,0)-MATCH($I$1,[2]enemies!$2:$2,0)+1,FALSE)</f>
        <v>green</v>
      </c>
      <c r="L380" s="29" t="str">
        <f ca="1">VLOOKUP($I380,OFFSET([3]characters!$A$1,0,0,COUNTA([3]characters!$A:$A),MATCH(L$1,[3]characters!$2:$2,0)-MATCH($I$1,[3]characters!$2:$2,0)+1),MATCH(L$1,[3]characters!$2:$2,0)-MATCH($I$1,[3]characters!$2:$2,0)+1,FALSE)</f>
        <v>Drop1N</v>
      </c>
      <c r="M380" s="28" t="str">
        <f ca="1">VLOOKUP($I380,OFFSET([3]characters!$A$1,0,0,COUNTA([3]characters!$A:$A),MATCH(M$1,[3]characters!$2:$2,0)-MATCH($I$1,[3]characters!$2:$2,0)+2),MATCH(M$1,[3]characters!$2:$2,0)-MATCH($I$1,[3]characters!$2:$2,0)+2,FALSE)</f>
        <v>アニマル</v>
      </c>
      <c r="N380" s="5">
        <f ca="1">VLOOKUP($I380,OFFSET([2]enemies!$A$1,0,0,COUNTA([2]enemies!$A:$A),MATCH(N$1,[2]enemies!$2:$2,0)-MATCH($I$1,[2]enemies!$2:$2,0)+1),MATCH(N$1,[2]enemies!$2:$2,0)-MATCH($I$1,[2]enemies!$2:$2,0)+1,FALSE)</f>
        <v>15</v>
      </c>
      <c r="O380" s="6">
        <v>32</v>
      </c>
      <c r="P380" s="46">
        <v>1</v>
      </c>
      <c r="Q380" s="46">
        <v>1</v>
      </c>
      <c r="R380" s="6">
        <v>0</v>
      </c>
      <c r="S380" s="5" t="str">
        <f ca="1">VLOOKUP($T380,OFFSET([4]enemy_skill_sets!$B$1,0,0,COUNTA([4]enemy_skill_sets!$B:$B),MATCH(J$1,[4]enemy_skill_sets!$1:$1,0)-MATCH($T$1,[4]enemy_skill_sets!$1:$1,0)+2),MATCH(J$1,[4]enemy_skill_sets!$1:$1,0)-MATCH($T$1,[4]enemy_skill_sets!$1:$1,0)+2,FALSE)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80" s="5">
        <f ca="1">VLOOKUP($I380,OFFSET([2]enemies!$A$1,0,0,COUNTA([2]enemies!$A:$A),MATCH(T$1,[2]enemies!$2:$2,0)-MATCH($I$1,[2]enemies!$2:$2,0)+1),MATCH(T$1,[2]enemies!$2:$2,0)-MATCH($I$1,[2]enemies!$2:$2,0)+1,FALSE)</f>
        <v>59</v>
      </c>
      <c r="U380" s="40">
        <v>0</v>
      </c>
      <c r="V380" s="7">
        <v>100</v>
      </c>
      <c r="W380" s="40">
        <v>0</v>
      </c>
      <c r="X380" s="26">
        <f ca="1">VLOOKUP($I380,OFFSET([2]enemies!$A$1,0,0,COUNTA([2]enemies!$A:$A),MATCH(X$1,[2]enemies!$2:$2,0)-MATCH($I$1,[2]enemies!$2:$2,0)+1),MATCH(X$1,[2]enemies!$2:$2,0)-MATCH($I$1,[2]enemies!$2:$2,0)+1,FALSE)</f>
        <v>2</v>
      </c>
      <c r="Y380" s="41">
        <v>59</v>
      </c>
      <c r="Z380" s="5" t="str">
        <f ca="1">IFERROR(VLOOKUP($Y380,OFFSET([3]characters!$A$1,0,0,COUNTA([3]characters!$A:$A),MATCH(Z$1,[3]characters!$2:$2,0)-MATCH("character_id",[3]characters!$2:$2,0)+1),MATCH(Z$1,[3]characters!$2:$2,0)-MATCH("character_id",[3]characters!$2:$2,0)+1,FALSE),"")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380" s="5">
        <f ca="1">IFERROR(VLOOKUP($Y380,OFFSET([3]characters!$A$1,0,0,COUNTA([3]characters!$A:$A),MATCH(AA$1,[3]characters!$2:$2,0)-MATCH("character_id",[3]characters!$2:$2,0)+1),MATCH(AA$1,[3]characters!$2:$2,0)-MATCH("character_id",[3]characters!$2:$2,0)+1,FALSE),"")</f>
        <v>2</v>
      </c>
      <c r="AB380" s="5" t="str">
        <f ca="1">IFERROR(VLOOKUP($Y380,OFFSET([3]characters!$A$1,0,0,COUNTA([3]characters!$A:$A),MATCH(AB$1,[3]characters!$2:$2,0)-MATCH("character_id",[3]characters!$2:$2,0)+1),MATCH(AB$1,[3]characters!$2:$2,0)-MATCH("character_id",[3]characters!$2:$2,0)+1,FALSE),"")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80" s="35">
        <v>1</v>
      </c>
      <c r="AD380" s="35">
        <f t="shared" ca="1" si="237"/>
        <v>2</v>
      </c>
      <c r="AE380" s="9">
        <v>0</v>
      </c>
      <c r="AF380" s="35">
        <v>0</v>
      </c>
      <c r="AG380" s="35">
        <v>0</v>
      </c>
      <c r="AH380" s="35">
        <v>0</v>
      </c>
      <c r="AI380" s="35">
        <v>0</v>
      </c>
      <c r="AJ380" s="35">
        <v>1</v>
      </c>
    </row>
    <row r="381" spans="1:36" ht="21" customHeight="1">
      <c r="A381" s="21" t="str">
        <f t="shared" si="234"/>
        <v>11206_3-5/119&lt;lv2&gt;s4</v>
      </c>
      <c r="B381" s="8">
        <v>11206</v>
      </c>
      <c r="C381" s="32">
        <v>3</v>
      </c>
      <c r="D381" s="2" t="str">
        <f t="shared" si="235"/>
        <v>11206_3</v>
      </c>
      <c r="E381" s="5" t="str">
        <f ca="1">VLOOKUP($B381,OFFSET([1]quests!$A$1,0,0,COUNTA([1]quests!$A:$A),MATCH(E$1,[1]quests!$1:$1,0)-MATCH($B$1,[1]quests!$1:$1,0)+1),MATCH(E$1,[1]quests!$1:$1,0)-MATCH($B$1,[1]quests!$1:$1,0)+1,FALSE)</f>
        <v>【キャンペーン限定】 ゴールドカジノ</v>
      </c>
      <c r="F381" s="5" t="str">
        <f ca="1">VLOOKUP($D381,OFFSET([1]stages!$A$1,0,0,COUNTA([1]stages!$A:$A),MATCH(F$1,[1]stages!$2:$2,0)-MATCH($D$1,[1]stages!$2:$2,0)+1),MATCH(F$1,[1]stages!$2:$2,0)-MATCH($D$1,[1]stages!$2:$2,0)+1,FALSE)</f>
        <v>ゴールドカジノ 【上級】</v>
      </c>
      <c r="G381" s="32">
        <v>5</v>
      </c>
      <c r="H381" s="20" t="str">
        <f t="shared" si="236"/>
        <v>11206_3-5</v>
      </c>
      <c r="I381" s="31">
        <v>119</v>
      </c>
      <c r="J381" s="26" t="str">
        <f ca="1">VLOOKUP($I381,OFFSET([2]enemies!$A$1,0,0,COUNTA([2]enemies!$A:$A),MATCH(J$1,[2]enemies!$2:$2,0)-MATCH($I$1,[2]enemies!$2:$2,0)+1),MATCH(J$1,[2]enemies!$2:$2,0)-MATCH($I$1,[2]enemies!$2:$2,0)+1,FALSE)</f>
        <v>ゴールドダック</v>
      </c>
      <c r="K381" s="29" t="str">
        <f ca="1">VLOOKUP($I381,OFFSET([2]enemies!$A$1,0,0,COUNTA([2]enemies!$A:$A),MATCH(K$1,[2]enemies!$2:$2,0)-MATCH($I$1,[2]enemies!$2:$2,0)+1),MATCH(K$1,[2]enemies!$2:$2,0)-MATCH($I$1,[2]enemies!$2:$2,0)+1,FALSE)</f>
        <v>yellow</v>
      </c>
      <c r="L381" s="29" t="str">
        <f ca="1">VLOOKUP($I381,OFFSET([3]characters!$A$1,0,0,COUNTA([3]characters!$A:$A),MATCH(L$1,[3]characters!$2:$2,0)-MATCH($I$1,[3]characters!$2:$2,0)+1),MATCH(L$1,[3]characters!$2:$2,0)-MATCH($I$1,[3]characters!$2:$2,0)+1,FALSE)</f>
        <v>Material</v>
      </c>
      <c r="M381" s="28" t="str">
        <f ca="1">VLOOKUP($I381,OFFSET([3]characters!$A$1,0,0,COUNTA([3]characters!$A:$A),MATCH(M$1,[3]characters!$2:$2,0)-MATCH($I$1,[3]characters!$2:$2,0)+2),MATCH(M$1,[3]characters!$2:$2,0)-MATCH($I$1,[3]characters!$2:$2,0)+2,FALSE)</f>
        <v>Unknown</v>
      </c>
      <c r="N381" s="5">
        <f ca="1">VLOOKUP($I381,OFFSET([2]enemies!$A$1,0,0,COUNTA([2]enemies!$A:$A),MATCH(N$1,[2]enemies!$2:$2,0)-MATCH($I$1,[2]enemies!$2:$2,0)+1),MATCH(N$1,[2]enemies!$2:$2,0)-MATCH($I$1,[2]enemies!$2:$2,0)+1,FALSE)</f>
        <v>20</v>
      </c>
      <c r="O381" s="6">
        <v>2</v>
      </c>
      <c r="P381" s="46">
        <v>93.3</v>
      </c>
      <c r="Q381" s="46">
        <v>41</v>
      </c>
      <c r="R381" s="6">
        <v>0</v>
      </c>
      <c r="S381" s="5" t="str">
        <f ca="1">VLOOKUP($T381,OFFSET([4]enemy_skill_sets!$B$1,0,0,COUNTA([4]enemy_skill_sets!$B:$B),MATCH(J$1,[4]enemy_skill_sets!$1:$1,0)-MATCH($T$1,[4]enemy_skill_sets!$1:$1,0)+2),MATCH(J$1,[4]enemy_skill_sets!$1:$1,0)-MATCH($T$1,[4]enemy_skill_sets!$1:$1,0)+2,FALSE)</f>
        <v>攻撃力30倍の自爆攻撃！</v>
      </c>
      <c r="T381" s="43">
        <v>11903</v>
      </c>
      <c r="U381" s="7">
        <v>1</v>
      </c>
      <c r="V381" s="7">
        <v>100</v>
      </c>
      <c r="W381" s="7">
        <v>1</v>
      </c>
      <c r="X381" s="44">
        <v>4</v>
      </c>
      <c r="Y381" s="31">
        <v>119</v>
      </c>
      <c r="Z381" s="5" t="str">
        <f ca="1">IFERROR(VLOOKUP($Y381,OFFSET([3]characters!$A$1,0,0,COUNTA([3]characters!$A:$A),MATCH(Z$1,[3]characters!$2:$2,0)-MATCH("character_id",[3]characters!$2:$2,0)+1),MATCH(Z$1,[3]characters!$2:$2,0)-MATCH("character_id",[3]characters!$2:$2,0)+1,FALSE),"")</f>
        <v>ゴールドダック</v>
      </c>
      <c r="AA381" s="5">
        <f ca="1">IFERROR(VLOOKUP($Y381,OFFSET([3]characters!$A$1,0,0,COUNTA([3]characters!$A:$A),MATCH(AA$1,[3]characters!$2:$2,0)-MATCH("character_id",[3]characters!$2:$2,0)+1),MATCH(AA$1,[3]characters!$2:$2,0)-MATCH("character_id",[3]characters!$2:$2,0)+1,FALSE),"")</f>
        <v>5</v>
      </c>
      <c r="AB381" s="5" t="str">
        <f ca="1">IFERROR(VLOOKUP($Y381,OFFSET([3]characters!$A$1,0,0,COUNTA([3]characters!$A:$A),MATCH(AB$1,[3]characters!$2:$2,0)-MATCH("character_id",[3]characters!$2:$2,0)+1),MATCH(AB$1,[3]characters!$2:$2,0)-MATCH("character_id",[3]characters!$2:$2,0)+1,FALSE),"")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81" s="8">
        <v>1</v>
      </c>
      <c r="AD381" s="34">
        <f t="shared" ca="1" si="237"/>
        <v>5</v>
      </c>
      <c r="AE381" s="9">
        <v>100</v>
      </c>
      <c r="AF381" s="8">
        <v>0</v>
      </c>
      <c r="AG381" s="8">
        <v>0</v>
      </c>
      <c r="AH381" s="8">
        <v>0</v>
      </c>
      <c r="AI381" s="8">
        <v>0</v>
      </c>
      <c r="AJ381" s="8">
        <v>1</v>
      </c>
    </row>
  </sheetData>
  <sheetProtection selectLockedCells="1" selectUnlockedCells="1"/>
  <autoFilter ref="B1:AE306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1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17" sqref="E17"/>
    </sheetView>
  </sheetViews>
  <sheetFormatPr baseColWidth="12" defaultColWidth="13" defaultRowHeight="18" x14ac:dyDescent="0"/>
  <cols>
    <col min="1" max="1" width="10.125" style="23" bestFit="1" customWidth="1"/>
    <col min="2" max="2" width="8.125" bestFit="1" customWidth="1"/>
    <col min="3" max="3" width="10.375" bestFit="1" customWidth="1"/>
    <col min="4" max="4" width="7.375" bestFit="1" customWidth="1"/>
    <col min="5" max="5" width="12.625" bestFit="1" customWidth="1"/>
    <col min="6" max="6" width="13.125" bestFit="1" customWidth="1"/>
  </cols>
  <sheetData>
    <row r="1" spans="1:6" s="16" customFormat="1">
      <c r="A1" s="16">
        <f>MATCH(A2,INDIRECT(C1&amp;"!A:A"),0)-2</f>
        <v>-1</v>
      </c>
      <c r="B1" s="17" t="str">
        <f>"$"&amp;2+$A$1&amp;":$"&amp;2+$A$1</f>
        <v>$1:$1</v>
      </c>
      <c r="C1" s="16" t="str">
        <f>SUBSTITUTE(RIGHT(CELL("filename",$C$1),LEN(CELL("filename",$C$1))-FIND("]",CELL("filename",$C$1))),".tmp","")</f>
        <v>floors_cp_quests</v>
      </c>
    </row>
    <row r="2" spans="1:6" s="18" customFormat="1">
      <c r="A2" s="23" t="s">
        <v>32</v>
      </c>
      <c r="B2" s="18" t="s">
        <v>0</v>
      </c>
      <c r="C2" s="18" t="s">
        <v>1</v>
      </c>
      <c r="D2" s="18" t="s">
        <v>13</v>
      </c>
      <c r="E2" s="18" t="s">
        <v>14</v>
      </c>
      <c r="F2" s="18" t="s">
        <v>15</v>
      </c>
    </row>
    <row r="3" spans="1:6">
      <c r="A3" s="24" t="str">
        <f t="shared" ref="A3:A66" si="0">INDIRECT(ADDRESS(ROW()+$A$1,COLUMN(),1,TRUE,$C$1))</f>
        <v>11101_1-1</v>
      </c>
      <c r="B3" s="19">
        <f t="shared" ref="B3:F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11101</v>
      </c>
      <c r="C3" s="19">
        <f t="shared" si="1"/>
        <v>1</v>
      </c>
      <c r="D3" s="19">
        <f t="shared" si="1"/>
        <v>1</v>
      </c>
      <c r="E3" s="19">
        <f t="shared" si="1"/>
        <v>30</v>
      </c>
      <c r="F3" s="19">
        <f t="shared" si="1"/>
        <v>45</v>
      </c>
    </row>
    <row r="4" spans="1:6">
      <c r="A4" s="24" t="str">
        <f t="shared" si="0"/>
        <v>11101_1-2</v>
      </c>
      <c r="B4" s="19">
        <f t="shared" si="1"/>
        <v>11101</v>
      </c>
      <c r="C4" s="19">
        <f t="shared" si="1"/>
        <v>1</v>
      </c>
      <c r="D4" s="19">
        <f t="shared" si="1"/>
        <v>2</v>
      </c>
      <c r="E4" s="19">
        <f t="shared" si="1"/>
        <v>30</v>
      </c>
      <c r="F4" s="19">
        <f t="shared" si="1"/>
        <v>45</v>
      </c>
    </row>
    <row r="5" spans="1:6">
      <c r="A5" s="24" t="str">
        <f t="shared" si="0"/>
        <v>11101_1-3</v>
      </c>
      <c r="B5" s="19">
        <f t="shared" si="1"/>
        <v>11101</v>
      </c>
      <c r="C5" s="19">
        <f t="shared" si="1"/>
        <v>1</v>
      </c>
      <c r="D5" s="19">
        <f t="shared" si="1"/>
        <v>3</v>
      </c>
      <c r="E5" s="19">
        <f t="shared" si="1"/>
        <v>45</v>
      </c>
      <c r="F5" s="19">
        <f t="shared" si="1"/>
        <v>45</v>
      </c>
    </row>
    <row r="6" spans="1:6">
      <c r="A6" s="24" t="str">
        <f t="shared" si="0"/>
        <v>11101_1-4</v>
      </c>
      <c r="B6" s="19">
        <f t="shared" si="1"/>
        <v>11101</v>
      </c>
      <c r="C6" s="19">
        <f t="shared" si="1"/>
        <v>1</v>
      </c>
      <c r="D6" s="19">
        <f t="shared" si="1"/>
        <v>4</v>
      </c>
      <c r="E6" s="19">
        <f t="shared" si="1"/>
        <v>45</v>
      </c>
      <c r="F6" s="19">
        <f t="shared" si="1"/>
        <v>60</v>
      </c>
    </row>
    <row r="7" spans="1:6">
      <c r="A7" s="24" t="str">
        <f t="shared" si="0"/>
        <v>11101_1-5</v>
      </c>
      <c r="B7" s="19">
        <f t="shared" si="1"/>
        <v>11101</v>
      </c>
      <c r="C7" s="19">
        <f t="shared" si="1"/>
        <v>1</v>
      </c>
      <c r="D7" s="19">
        <f t="shared" si="1"/>
        <v>5</v>
      </c>
      <c r="E7" s="19">
        <f t="shared" si="1"/>
        <v>45</v>
      </c>
      <c r="F7" s="19">
        <f t="shared" si="1"/>
        <v>45</v>
      </c>
    </row>
    <row r="8" spans="1:6">
      <c r="A8" s="24" t="str">
        <f t="shared" si="0"/>
        <v>11101_2-1</v>
      </c>
      <c r="B8" s="19">
        <f t="shared" si="1"/>
        <v>11101</v>
      </c>
      <c r="C8" s="19">
        <f t="shared" si="1"/>
        <v>2</v>
      </c>
      <c r="D8" s="19">
        <f t="shared" si="1"/>
        <v>1</v>
      </c>
      <c r="E8" s="19">
        <f t="shared" si="1"/>
        <v>30</v>
      </c>
      <c r="F8" s="19">
        <f t="shared" si="1"/>
        <v>30</v>
      </c>
    </row>
    <row r="9" spans="1:6">
      <c r="A9" s="24" t="str">
        <f t="shared" si="0"/>
        <v>11101_2-2</v>
      </c>
      <c r="B9" s="19">
        <f t="shared" si="1"/>
        <v>11101</v>
      </c>
      <c r="C9" s="19">
        <f t="shared" si="1"/>
        <v>2</v>
      </c>
      <c r="D9" s="19">
        <f t="shared" si="1"/>
        <v>2</v>
      </c>
      <c r="E9" s="19">
        <f t="shared" si="1"/>
        <v>30</v>
      </c>
      <c r="F9" s="19">
        <f t="shared" si="1"/>
        <v>30</v>
      </c>
    </row>
    <row r="10" spans="1:6">
      <c r="A10" s="24" t="str">
        <f t="shared" si="0"/>
        <v>11101_2-3</v>
      </c>
      <c r="B10" s="19">
        <f t="shared" si="1"/>
        <v>11101</v>
      </c>
      <c r="C10" s="19">
        <f t="shared" si="1"/>
        <v>2</v>
      </c>
      <c r="D10" s="19">
        <f t="shared" si="1"/>
        <v>3</v>
      </c>
      <c r="E10" s="19">
        <f t="shared" si="1"/>
        <v>45</v>
      </c>
      <c r="F10" s="19">
        <f t="shared" si="1"/>
        <v>45</v>
      </c>
    </row>
    <row r="11" spans="1:6">
      <c r="A11" s="24" t="str">
        <f t="shared" si="0"/>
        <v>11101_2-4</v>
      </c>
      <c r="B11" s="19">
        <f t="shared" si="1"/>
        <v>11101</v>
      </c>
      <c r="C11" s="19">
        <f t="shared" si="1"/>
        <v>2</v>
      </c>
      <c r="D11" s="19">
        <f t="shared" si="1"/>
        <v>4</v>
      </c>
      <c r="E11" s="19">
        <f t="shared" si="1"/>
        <v>45</v>
      </c>
      <c r="F11" s="19">
        <f t="shared" si="1"/>
        <v>45</v>
      </c>
    </row>
    <row r="12" spans="1:6">
      <c r="A12" s="24" t="str">
        <f t="shared" si="0"/>
        <v>11101_2-5</v>
      </c>
      <c r="B12" s="19">
        <f t="shared" si="1"/>
        <v>11101</v>
      </c>
      <c r="C12" s="19">
        <f t="shared" si="1"/>
        <v>2</v>
      </c>
      <c r="D12" s="19">
        <f t="shared" si="1"/>
        <v>5</v>
      </c>
      <c r="E12" s="19">
        <f t="shared" si="1"/>
        <v>50</v>
      </c>
      <c r="F12" s="19">
        <f t="shared" si="1"/>
        <v>50</v>
      </c>
    </row>
    <row r="13" spans="1:6">
      <c r="A13" s="24" t="str">
        <f t="shared" si="0"/>
        <v>11101_3-1</v>
      </c>
      <c r="B13" s="19">
        <f t="shared" si="1"/>
        <v>11101</v>
      </c>
      <c r="C13" s="19">
        <f t="shared" si="1"/>
        <v>3</v>
      </c>
      <c r="D13" s="19">
        <f t="shared" si="1"/>
        <v>1</v>
      </c>
      <c r="E13" s="19">
        <f t="shared" si="1"/>
        <v>30</v>
      </c>
      <c r="F13" s="19">
        <f t="shared" si="1"/>
        <v>45</v>
      </c>
    </row>
    <row r="14" spans="1:6">
      <c r="A14" s="24" t="str">
        <f t="shared" si="0"/>
        <v>11101_3-2</v>
      </c>
      <c r="B14" s="19">
        <f t="shared" si="1"/>
        <v>11101</v>
      </c>
      <c r="C14" s="19">
        <f t="shared" si="1"/>
        <v>3</v>
      </c>
      <c r="D14" s="19">
        <f t="shared" si="1"/>
        <v>2</v>
      </c>
      <c r="E14" s="19">
        <f t="shared" si="1"/>
        <v>30</v>
      </c>
      <c r="F14" s="19">
        <f t="shared" si="1"/>
        <v>45</v>
      </c>
    </row>
    <row r="15" spans="1:6">
      <c r="A15" s="24" t="str">
        <f t="shared" si="0"/>
        <v>11101_3-3</v>
      </c>
      <c r="B15" s="19">
        <f t="shared" si="1"/>
        <v>11101</v>
      </c>
      <c r="C15" s="19">
        <f t="shared" si="1"/>
        <v>3</v>
      </c>
      <c r="D15" s="19">
        <f t="shared" si="1"/>
        <v>3</v>
      </c>
      <c r="E15" s="19">
        <f t="shared" si="1"/>
        <v>45</v>
      </c>
      <c r="F15" s="19">
        <f t="shared" si="1"/>
        <v>45</v>
      </c>
    </row>
    <row r="16" spans="1:6">
      <c r="A16" s="24" t="str">
        <f t="shared" si="0"/>
        <v>11101_3-4</v>
      </c>
      <c r="B16" s="19">
        <f t="shared" si="1"/>
        <v>11101</v>
      </c>
      <c r="C16" s="19">
        <f t="shared" si="1"/>
        <v>3</v>
      </c>
      <c r="D16" s="19">
        <f t="shared" si="1"/>
        <v>4</v>
      </c>
      <c r="E16" s="19">
        <f t="shared" si="1"/>
        <v>45</v>
      </c>
      <c r="F16" s="19">
        <f t="shared" si="1"/>
        <v>60</v>
      </c>
    </row>
    <row r="17" spans="1:6">
      <c r="A17" s="24" t="str">
        <f t="shared" si="0"/>
        <v>11101_3-5</v>
      </c>
      <c r="B17" s="19">
        <f t="shared" si="1"/>
        <v>11101</v>
      </c>
      <c r="C17" s="19">
        <f t="shared" si="1"/>
        <v>3</v>
      </c>
      <c r="D17" s="19">
        <f t="shared" si="1"/>
        <v>5</v>
      </c>
      <c r="E17" s="19">
        <f t="shared" si="1"/>
        <v>60</v>
      </c>
      <c r="F17" s="19">
        <f t="shared" si="1"/>
        <v>60</v>
      </c>
    </row>
    <row r="18" spans="1:6">
      <c r="A18" s="24" t="str">
        <f t="shared" si="0"/>
        <v>11102_1-1</v>
      </c>
      <c r="B18" s="19">
        <f t="shared" si="1"/>
        <v>11102</v>
      </c>
      <c r="C18" s="19">
        <f t="shared" si="1"/>
        <v>1</v>
      </c>
      <c r="D18" s="19">
        <f t="shared" si="1"/>
        <v>1</v>
      </c>
      <c r="E18" s="19">
        <f t="shared" si="1"/>
        <v>30</v>
      </c>
      <c r="F18" s="19">
        <f t="shared" si="1"/>
        <v>45</v>
      </c>
    </row>
    <row r="19" spans="1:6">
      <c r="A19" s="24" t="str">
        <f t="shared" si="0"/>
        <v>11102_1-2</v>
      </c>
      <c r="B19" s="19">
        <f t="shared" ref="B19:F82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11102</v>
      </c>
      <c r="C19" s="19">
        <f t="shared" si="2"/>
        <v>1</v>
      </c>
      <c r="D19" s="19">
        <f t="shared" si="2"/>
        <v>2</v>
      </c>
      <c r="E19" s="19">
        <f t="shared" si="2"/>
        <v>30</v>
      </c>
      <c r="F19" s="19">
        <f t="shared" si="2"/>
        <v>45</v>
      </c>
    </row>
    <row r="20" spans="1:6">
      <c r="A20" s="24" t="str">
        <f t="shared" si="0"/>
        <v>11102_1-3</v>
      </c>
      <c r="B20" s="19">
        <f t="shared" si="2"/>
        <v>11102</v>
      </c>
      <c r="C20" s="19">
        <f t="shared" si="2"/>
        <v>1</v>
      </c>
      <c r="D20" s="19">
        <f t="shared" si="2"/>
        <v>3</v>
      </c>
      <c r="E20" s="19">
        <f t="shared" si="2"/>
        <v>45</v>
      </c>
      <c r="F20" s="19">
        <f t="shared" si="2"/>
        <v>45</v>
      </c>
    </row>
    <row r="21" spans="1:6">
      <c r="A21" s="24" t="str">
        <f t="shared" si="0"/>
        <v>11102_1-4</v>
      </c>
      <c r="B21" s="19">
        <f t="shared" si="2"/>
        <v>11102</v>
      </c>
      <c r="C21" s="19">
        <f t="shared" si="2"/>
        <v>1</v>
      </c>
      <c r="D21" s="19">
        <f t="shared" si="2"/>
        <v>4</v>
      </c>
      <c r="E21" s="19">
        <f t="shared" si="2"/>
        <v>45</v>
      </c>
      <c r="F21" s="19">
        <f t="shared" si="2"/>
        <v>60</v>
      </c>
    </row>
    <row r="22" spans="1:6">
      <c r="A22" s="24" t="str">
        <f t="shared" si="0"/>
        <v>11102_1-5</v>
      </c>
      <c r="B22" s="19">
        <f t="shared" si="2"/>
        <v>11102</v>
      </c>
      <c r="C22" s="19">
        <f t="shared" si="2"/>
        <v>1</v>
      </c>
      <c r="D22" s="19">
        <f t="shared" si="2"/>
        <v>5</v>
      </c>
      <c r="E22" s="19">
        <f t="shared" si="2"/>
        <v>45</v>
      </c>
      <c r="F22" s="19">
        <f t="shared" si="2"/>
        <v>45</v>
      </c>
    </row>
    <row r="23" spans="1:6">
      <c r="A23" s="24" t="str">
        <f t="shared" si="0"/>
        <v>11102_2-1</v>
      </c>
      <c r="B23" s="19">
        <f t="shared" si="2"/>
        <v>11102</v>
      </c>
      <c r="C23" s="19">
        <f t="shared" si="2"/>
        <v>2</v>
      </c>
      <c r="D23" s="19">
        <f t="shared" si="2"/>
        <v>1</v>
      </c>
      <c r="E23" s="19">
        <f t="shared" si="2"/>
        <v>30</v>
      </c>
      <c r="F23" s="19">
        <f t="shared" si="2"/>
        <v>30</v>
      </c>
    </row>
    <row r="24" spans="1:6">
      <c r="A24" s="24" t="str">
        <f t="shared" si="0"/>
        <v>11102_2-2</v>
      </c>
      <c r="B24" s="19">
        <f t="shared" si="2"/>
        <v>11102</v>
      </c>
      <c r="C24" s="19">
        <f t="shared" si="2"/>
        <v>2</v>
      </c>
      <c r="D24" s="19">
        <f t="shared" si="2"/>
        <v>2</v>
      </c>
      <c r="E24" s="19">
        <f t="shared" si="2"/>
        <v>30</v>
      </c>
      <c r="F24" s="19">
        <f t="shared" si="2"/>
        <v>30</v>
      </c>
    </row>
    <row r="25" spans="1:6">
      <c r="A25" s="24" t="str">
        <f t="shared" si="0"/>
        <v>11102_2-3</v>
      </c>
      <c r="B25" s="19">
        <f t="shared" si="2"/>
        <v>11102</v>
      </c>
      <c r="C25" s="19">
        <f t="shared" si="2"/>
        <v>2</v>
      </c>
      <c r="D25" s="19">
        <f t="shared" si="2"/>
        <v>3</v>
      </c>
      <c r="E25" s="19">
        <f t="shared" si="2"/>
        <v>45</v>
      </c>
      <c r="F25" s="19">
        <f t="shared" si="2"/>
        <v>45</v>
      </c>
    </row>
    <row r="26" spans="1:6">
      <c r="A26" s="24" t="str">
        <f t="shared" si="0"/>
        <v>11102_2-4</v>
      </c>
      <c r="B26" s="19">
        <f t="shared" si="2"/>
        <v>11102</v>
      </c>
      <c r="C26" s="19">
        <f t="shared" si="2"/>
        <v>2</v>
      </c>
      <c r="D26" s="19">
        <f t="shared" si="2"/>
        <v>4</v>
      </c>
      <c r="E26" s="19">
        <f t="shared" si="2"/>
        <v>45</v>
      </c>
      <c r="F26" s="19">
        <f t="shared" si="2"/>
        <v>45</v>
      </c>
    </row>
    <row r="27" spans="1:6">
      <c r="A27" s="24" t="str">
        <f t="shared" si="0"/>
        <v>11102_2-5</v>
      </c>
      <c r="B27" s="19">
        <f t="shared" si="2"/>
        <v>11102</v>
      </c>
      <c r="C27" s="19">
        <f t="shared" si="2"/>
        <v>2</v>
      </c>
      <c r="D27" s="19">
        <f t="shared" si="2"/>
        <v>5</v>
      </c>
      <c r="E27" s="19">
        <f t="shared" si="2"/>
        <v>50</v>
      </c>
      <c r="F27" s="19">
        <f t="shared" si="2"/>
        <v>50</v>
      </c>
    </row>
    <row r="28" spans="1:6">
      <c r="A28" s="24" t="str">
        <f t="shared" si="0"/>
        <v>11102_3-1</v>
      </c>
      <c r="B28" s="19">
        <f t="shared" si="2"/>
        <v>11102</v>
      </c>
      <c r="C28" s="19">
        <f t="shared" si="2"/>
        <v>3</v>
      </c>
      <c r="D28" s="19">
        <f t="shared" si="2"/>
        <v>1</v>
      </c>
      <c r="E28" s="19">
        <f t="shared" si="2"/>
        <v>30</v>
      </c>
      <c r="F28" s="19">
        <f t="shared" si="2"/>
        <v>45</v>
      </c>
    </row>
    <row r="29" spans="1:6">
      <c r="A29" s="24" t="str">
        <f t="shared" si="0"/>
        <v>11102_3-2</v>
      </c>
      <c r="B29" s="19">
        <f t="shared" si="2"/>
        <v>11102</v>
      </c>
      <c r="C29" s="19">
        <f t="shared" si="2"/>
        <v>3</v>
      </c>
      <c r="D29" s="19">
        <f t="shared" si="2"/>
        <v>2</v>
      </c>
      <c r="E29" s="19">
        <f t="shared" si="2"/>
        <v>30</v>
      </c>
      <c r="F29" s="19">
        <f t="shared" si="2"/>
        <v>45</v>
      </c>
    </row>
    <row r="30" spans="1:6">
      <c r="A30" s="24" t="str">
        <f t="shared" si="0"/>
        <v>11102_3-3</v>
      </c>
      <c r="B30" s="19">
        <f t="shared" si="2"/>
        <v>11102</v>
      </c>
      <c r="C30" s="19">
        <f t="shared" si="2"/>
        <v>3</v>
      </c>
      <c r="D30" s="19">
        <f t="shared" si="2"/>
        <v>3</v>
      </c>
      <c r="E30" s="19">
        <f t="shared" si="2"/>
        <v>45</v>
      </c>
      <c r="F30" s="19">
        <f t="shared" si="2"/>
        <v>45</v>
      </c>
    </row>
    <row r="31" spans="1:6">
      <c r="A31" s="24" t="str">
        <f t="shared" si="0"/>
        <v>11102_3-4</v>
      </c>
      <c r="B31" s="19">
        <f t="shared" si="2"/>
        <v>11102</v>
      </c>
      <c r="C31" s="19">
        <f t="shared" si="2"/>
        <v>3</v>
      </c>
      <c r="D31" s="19">
        <f t="shared" si="2"/>
        <v>4</v>
      </c>
      <c r="E31" s="19">
        <f t="shared" si="2"/>
        <v>45</v>
      </c>
      <c r="F31" s="19">
        <f t="shared" si="2"/>
        <v>60</v>
      </c>
    </row>
    <row r="32" spans="1:6">
      <c r="A32" s="24" t="str">
        <f t="shared" si="0"/>
        <v>11102_3-5</v>
      </c>
      <c r="B32" s="19">
        <f t="shared" si="2"/>
        <v>11102</v>
      </c>
      <c r="C32" s="19">
        <f t="shared" si="2"/>
        <v>3</v>
      </c>
      <c r="D32" s="19">
        <f t="shared" si="2"/>
        <v>5</v>
      </c>
      <c r="E32" s="19">
        <f t="shared" si="2"/>
        <v>60</v>
      </c>
      <c r="F32" s="19">
        <f t="shared" si="2"/>
        <v>60</v>
      </c>
    </row>
    <row r="33" spans="1:6">
      <c r="A33" s="24" t="str">
        <f t="shared" si="0"/>
        <v>11103_1-1</v>
      </c>
      <c r="B33" s="19">
        <f t="shared" si="2"/>
        <v>11103</v>
      </c>
      <c r="C33" s="19">
        <f t="shared" si="2"/>
        <v>1</v>
      </c>
      <c r="D33" s="19">
        <f t="shared" si="2"/>
        <v>1</v>
      </c>
      <c r="E33" s="19">
        <f t="shared" si="2"/>
        <v>30</v>
      </c>
      <c r="F33" s="19">
        <f t="shared" si="2"/>
        <v>45</v>
      </c>
    </row>
    <row r="34" spans="1:6">
      <c r="A34" s="24" t="str">
        <f t="shared" si="0"/>
        <v>11103_1-2</v>
      </c>
      <c r="B34" s="19">
        <f t="shared" si="2"/>
        <v>11103</v>
      </c>
      <c r="C34" s="19">
        <f t="shared" si="2"/>
        <v>1</v>
      </c>
      <c r="D34" s="19">
        <f t="shared" si="2"/>
        <v>2</v>
      </c>
      <c r="E34" s="19">
        <f t="shared" si="2"/>
        <v>30</v>
      </c>
      <c r="F34" s="19">
        <f t="shared" si="2"/>
        <v>45</v>
      </c>
    </row>
    <row r="35" spans="1:6">
      <c r="A35" s="24" t="str">
        <f t="shared" si="0"/>
        <v>11103_1-3</v>
      </c>
      <c r="B35" s="19">
        <f t="shared" si="2"/>
        <v>11103</v>
      </c>
      <c r="C35" s="19">
        <f t="shared" si="2"/>
        <v>1</v>
      </c>
      <c r="D35" s="19">
        <f t="shared" si="2"/>
        <v>3</v>
      </c>
      <c r="E35" s="19">
        <f t="shared" si="2"/>
        <v>45</v>
      </c>
      <c r="F35" s="19">
        <f t="shared" si="2"/>
        <v>45</v>
      </c>
    </row>
    <row r="36" spans="1:6">
      <c r="A36" s="24" t="str">
        <f t="shared" si="0"/>
        <v>11103_1-4</v>
      </c>
      <c r="B36" s="19">
        <f t="shared" si="2"/>
        <v>11103</v>
      </c>
      <c r="C36" s="19">
        <f t="shared" si="2"/>
        <v>1</v>
      </c>
      <c r="D36" s="19">
        <f t="shared" si="2"/>
        <v>4</v>
      </c>
      <c r="E36" s="19">
        <f t="shared" si="2"/>
        <v>45</v>
      </c>
      <c r="F36" s="19">
        <f t="shared" si="2"/>
        <v>60</v>
      </c>
    </row>
    <row r="37" spans="1:6">
      <c r="A37" s="24" t="str">
        <f t="shared" si="0"/>
        <v>11103_1-5</v>
      </c>
      <c r="B37" s="19">
        <f t="shared" si="2"/>
        <v>11103</v>
      </c>
      <c r="C37" s="19">
        <f t="shared" si="2"/>
        <v>1</v>
      </c>
      <c r="D37" s="19">
        <f t="shared" si="2"/>
        <v>5</v>
      </c>
      <c r="E37" s="19">
        <f t="shared" si="2"/>
        <v>45</v>
      </c>
      <c r="F37" s="19">
        <f t="shared" si="2"/>
        <v>45</v>
      </c>
    </row>
    <row r="38" spans="1:6">
      <c r="A38" s="24" t="str">
        <f t="shared" si="0"/>
        <v>11103_2-1</v>
      </c>
      <c r="B38" s="19">
        <f t="shared" si="2"/>
        <v>11103</v>
      </c>
      <c r="C38" s="19">
        <f t="shared" si="2"/>
        <v>2</v>
      </c>
      <c r="D38" s="19">
        <f t="shared" si="2"/>
        <v>1</v>
      </c>
      <c r="E38" s="19">
        <f t="shared" si="2"/>
        <v>30</v>
      </c>
      <c r="F38" s="19">
        <f t="shared" si="2"/>
        <v>30</v>
      </c>
    </row>
    <row r="39" spans="1:6">
      <c r="A39" s="24" t="str">
        <f t="shared" si="0"/>
        <v>11103_2-2</v>
      </c>
      <c r="B39" s="19">
        <f t="shared" si="2"/>
        <v>11103</v>
      </c>
      <c r="C39" s="19">
        <f t="shared" si="2"/>
        <v>2</v>
      </c>
      <c r="D39" s="19">
        <f t="shared" si="2"/>
        <v>2</v>
      </c>
      <c r="E39" s="19">
        <f t="shared" si="2"/>
        <v>30</v>
      </c>
      <c r="F39" s="19">
        <f t="shared" si="2"/>
        <v>30</v>
      </c>
    </row>
    <row r="40" spans="1:6">
      <c r="A40" s="24" t="str">
        <f t="shared" si="0"/>
        <v>11103_2-3</v>
      </c>
      <c r="B40" s="19">
        <f t="shared" si="2"/>
        <v>11103</v>
      </c>
      <c r="C40" s="19">
        <f t="shared" si="2"/>
        <v>2</v>
      </c>
      <c r="D40" s="19">
        <f t="shared" si="2"/>
        <v>3</v>
      </c>
      <c r="E40" s="19">
        <f t="shared" si="2"/>
        <v>45</v>
      </c>
      <c r="F40" s="19">
        <f t="shared" si="2"/>
        <v>45</v>
      </c>
    </row>
    <row r="41" spans="1:6">
      <c r="A41" s="24" t="str">
        <f t="shared" si="0"/>
        <v>11103_2-4</v>
      </c>
      <c r="B41" s="19">
        <f t="shared" si="2"/>
        <v>11103</v>
      </c>
      <c r="C41" s="19">
        <f t="shared" si="2"/>
        <v>2</v>
      </c>
      <c r="D41" s="19">
        <f t="shared" si="2"/>
        <v>4</v>
      </c>
      <c r="E41" s="19">
        <f t="shared" si="2"/>
        <v>45</v>
      </c>
      <c r="F41" s="19">
        <f t="shared" si="2"/>
        <v>45</v>
      </c>
    </row>
    <row r="42" spans="1:6">
      <c r="A42" s="24" t="str">
        <f t="shared" si="0"/>
        <v>11103_2-5</v>
      </c>
      <c r="B42" s="19">
        <f t="shared" si="2"/>
        <v>11103</v>
      </c>
      <c r="C42" s="19">
        <f t="shared" si="2"/>
        <v>2</v>
      </c>
      <c r="D42" s="19">
        <f t="shared" si="2"/>
        <v>5</v>
      </c>
      <c r="E42" s="19">
        <f t="shared" si="2"/>
        <v>50</v>
      </c>
      <c r="F42" s="19">
        <f t="shared" si="2"/>
        <v>50</v>
      </c>
    </row>
    <row r="43" spans="1:6">
      <c r="A43" s="24" t="str">
        <f t="shared" si="0"/>
        <v>11103_3-1</v>
      </c>
      <c r="B43" s="19">
        <f t="shared" si="2"/>
        <v>11103</v>
      </c>
      <c r="C43" s="19">
        <f t="shared" si="2"/>
        <v>3</v>
      </c>
      <c r="D43" s="19">
        <f t="shared" si="2"/>
        <v>1</v>
      </c>
      <c r="E43" s="19">
        <f t="shared" si="2"/>
        <v>30</v>
      </c>
      <c r="F43" s="19">
        <f t="shared" si="2"/>
        <v>45</v>
      </c>
    </row>
    <row r="44" spans="1:6">
      <c r="A44" s="24" t="str">
        <f t="shared" si="0"/>
        <v>11103_3-2</v>
      </c>
      <c r="B44" s="19">
        <f t="shared" si="2"/>
        <v>11103</v>
      </c>
      <c r="C44" s="19">
        <f t="shared" si="2"/>
        <v>3</v>
      </c>
      <c r="D44" s="19">
        <f t="shared" si="2"/>
        <v>2</v>
      </c>
      <c r="E44" s="19">
        <f t="shared" si="2"/>
        <v>30</v>
      </c>
      <c r="F44" s="19">
        <f t="shared" si="2"/>
        <v>45</v>
      </c>
    </row>
    <row r="45" spans="1:6">
      <c r="A45" s="24" t="str">
        <f t="shared" si="0"/>
        <v>11103_3-3</v>
      </c>
      <c r="B45" s="19">
        <f t="shared" si="2"/>
        <v>11103</v>
      </c>
      <c r="C45" s="19">
        <f t="shared" si="2"/>
        <v>3</v>
      </c>
      <c r="D45" s="19">
        <f t="shared" si="2"/>
        <v>3</v>
      </c>
      <c r="E45" s="19">
        <f t="shared" si="2"/>
        <v>45</v>
      </c>
      <c r="F45" s="19">
        <f t="shared" si="2"/>
        <v>45</v>
      </c>
    </row>
    <row r="46" spans="1:6">
      <c r="A46" s="24" t="str">
        <f t="shared" si="0"/>
        <v>11103_3-4</v>
      </c>
      <c r="B46" s="19">
        <f t="shared" si="2"/>
        <v>11103</v>
      </c>
      <c r="C46" s="19">
        <f t="shared" si="2"/>
        <v>3</v>
      </c>
      <c r="D46" s="19">
        <f t="shared" si="2"/>
        <v>4</v>
      </c>
      <c r="E46" s="19">
        <f t="shared" si="2"/>
        <v>45</v>
      </c>
      <c r="F46" s="19">
        <f t="shared" si="2"/>
        <v>60</v>
      </c>
    </row>
    <row r="47" spans="1:6">
      <c r="A47" s="24" t="str">
        <f t="shared" si="0"/>
        <v>11103_3-5</v>
      </c>
      <c r="B47" s="19">
        <f t="shared" si="2"/>
        <v>11103</v>
      </c>
      <c r="C47" s="19">
        <f t="shared" si="2"/>
        <v>3</v>
      </c>
      <c r="D47" s="19">
        <f t="shared" si="2"/>
        <v>5</v>
      </c>
      <c r="E47" s="19">
        <f t="shared" si="2"/>
        <v>60</v>
      </c>
      <c r="F47" s="19">
        <f t="shared" si="2"/>
        <v>60</v>
      </c>
    </row>
    <row r="48" spans="1:6">
      <c r="A48" s="24" t="str">
        <f t="shared" si="0"/>
        <v>11104_1-1</v>
      </c>
      <c r="B48" s="19">
        <f t="shared" si="2"/>
        <v>11104</v>
      </c>
      <c r="C48" s="19">
        <f t="shared" si="2"/>
        <v>1</v>
      </c>
      <c r="D48" s="19">
        <f t="shared" si="2"/>
        <v>1</v>
      </c>
      <c r="E48" s="19">
        <f t="shared" si="2"/>
        <v>30</v>
      </c>
      <c r="F48" s="19">
        <f t="shared" si="2"/>
        <v>45</v>
      </c>
    </row>
    <row r="49" spans="1:6">
      <c r="A49" s="24" t="str">
        <f t="shared" si="0"/>
        <v>11104_1-2</v>
      </c>
      <c r="B49" s="19">
        <f t="shared" si="2"/>
        <v>11104</v>
      </c>
      <c r="C49" s="19">
        <f t="shared" si="2"/>
        <v>1</v>
      </c>
      <c r="D49" s="19">
        <f t="shared" si="2"/>
        <v>2</v>
      </c>
      <c r="E49" s="19">
        <f t="shared" si="2"/>
        <v>30</v>
      </c>
      <c r="F49" s="19">
        <f t="shared" si="2"/>
        <v>45</v>
      </c>
    </row>
    <row r="50" spans="1:6">
      <c r="A50" s="24" t="str">
        <f t="shared" si="0"/>
        <v>11104_1-3</v>
      </c>
      <c r="B50" s="19">
        <f t="shared" si="2"/>
        <v>11104</v>
      </c>
      <c r="C50" s="19">
        <f t="shared" si="2"/>
        <v>1</v>
      </c>
      <c r="D50" s="19">
        <f t="shared" si="2"/>
        <v>3</v>
      </c>
      <c r="E50" s="19">
        <f t="shared" si="2"/>
        <v>45</v>
      </c>
      <c r="F50" s="19">
        <f t="shared" si="2"/>
        <v>45</v>
      </c>
    </row>
    <row r="51" spans="1:6">
      <c r="A51" s="24" t="str">
        <f t="shared" si="0"/>
        <v>11104_1-4</v>
      </c>
      <c r="B51" s="19">
        <f t="shared" si="2"/>
        <v>11104</v>
      </c>
      <c r="C51" s="19">
        <f t="shared" si="2"/>
        <v>1</v>
      </c>
      <c r="D51" s="19">
        <f t="shared" si="2"/>
        <v>4</v>
      </c>
      <c r="E51" s="19">
        <f t="shared" si="2"/>
        <v>45</v>
      </c>
      <c r="F51" s="19">
        <f t="shared" si="2"/>
        <v>60</v>
      </c>
    </row>
    <row r="52" spans="1:6">
      <c r="A52" s="24" t="str">
        <f t="shared" si="0"/>
        <v>11104_1-5</v>
      </c>
      <c r="B52" s="19">
        <f t="shared" si="2"/>
        <v>11104</v>
      </c>
      <c r="C52" s="19">
        <f t="shared" si="2"/>
        <v>1</v>
      </c>
      <c r="D52" s="19">
        <f t="shared" si="2"/>
        <v>5</v>
      </c>
      <c r="E52" s="19">
        <f t="shared" si="2"/>
        <v>45</v>
      </c>
      <c r="F52" s="19">
        <f t="shared" si="2"/>
        <v>45</v>
      </c>
    </row>
    <row r="53" spans="1:6">
      <c r="A53" s="24" t="str">
        <f t="shared" si="0"/>
        <v>11104_2-1</v>
      </c>
      <c r="B53" s="19">
        <f t="shared" si="2"/>
        <v>11104</v>
      </c>
      <c r="C53" s="19">
        <f t="shared" si="2"/>
        <v>2</v>
      </c>
      <c r="D53" s="19">
        <f t="shared" si="2"/>
        <v>1</v>
      </c>
      <c r="E53" s="19">
        <f t="shared" si="2"/>
        <v>30</v>
      </c>
      <c r="F53" s="19">
        <f t="shared" si="2"/>
        <v>30</v>
      </c>
    </row>
    <row r="54" spans="1:6">
      <c r="A54" s="24" t="str">
        <f t="shared" si="0"/>
        <v>11104_2-2</v>
      </c>
      <c r="B54" s="19">
        <f t="shared" si="2"/>
        <v>11104</v>
      </c>
      <c r="C54" s="19">
        <f t="shared" si="2"/>
        <v>2</v>
      </c>
      <c r="D54" s="19">
        <f t="shared" si="2"/>
        <v>2</v>
      </c>
      <c r="E54" s="19">
        <f t="shared" si="2"/>
        <v>30</v>
      </c>
      <c r="F54" s="19">
        <f t="shared" si="2"/>
        <v>30</v>
      </c>
    </row>
    <row r="55" spans="1:6">
      <c r="A55" s="24" t="str">
        <f t="shared" si="0"/>
        <v>11104_2-3</v>
      </c>
      <c r="B55" s="19">
        <f t="shared" si="2"/>
        <v>11104</v>
      </c>
      <c r="C55" s="19">
        <f t="shared" si="2"/>
        <v>2</v>
      </c>
      <c r="D55" s="19">
        <f t="shared" si="2"/>
        <v>3</v>
      </c>
      <c r="E55" s="19">
        <f t="shared" si="2"/>
        <v>45</v>
      </c>
      <c r="F55" s="19">
        <f t="shared" si="2"/>
        <v>45</v>
      </c>
    </row>
    <row r="56" spans="1:6">
      <c r="A56" s="24" t="str">
        <f t="shared" si="0"/>
        <v>11104_2-4</v>
      </c>
      <c r="B56" s="19">
        <f t="shared" si="2"/>
        <v>11104</v>
      </c>
      <c r="C56" s="19">
        <f t="shared" si="2"/>
        <v>2</v>
      </c>
      <c r="D56" s="19">
        <f t="shared" si="2"/>
        <v>4</v>
      </c>
      <c r="E56" s="19">
        <f t="shared" si="2"/>
        <v>45</v>
      </c>
      <c r="F56" s="19">
        <f t="shared" si="2"/>
        <v>45</v>
      </c>
    </row>
    <row r="57" spans="1:6">
      <c r="A57" s="24" t="str">
        <f t="shared" si="0"/>
        <v>11104_2-5</v>
      </c>
      <c r="B57" s="19">
        <f t="shared" si="2"/>
        <v>11104</v>
      </c>
      <c r="C57" s="19">
        <f t="shared" si="2"/>
        <v>2</v>
      </c>
      <c r="D57" s="19">
        <f t="shared" si="2"/>
        <v>5</v>
      </c>
      <c r="E57" s="19">
        <f t="shared" si="2"/>
        <v>50</v>
      </c>
      <c r="F57" s="19">
        <f t="shared" si="2"/>
        <v>50</v>
      </c>
    </row>
    <row r="58" spans="1:6">
      <c r="A58" s="24" t="str">
        <f t="shared" si="0"/>
        <v>11104_3-1</v>
      </c>
      <c r="B58" s="19">
        <f t="shared" si="2"/>
        <v>11104</v>
      </c>
      <c r="C58" s="19">
        <f t="shared" si="2"/>
        <v>3</v>
      </c>
      <c r="D58" s="19">
        <f t="shared" si="2"/>
        <v>1</v>
      </c>
      <c r="E58" s="19">
        <f t="shared" si="2"/>
        <v>30</v>
      </c>
      <c r="F58" s="19">
        <f t="shared" si="2"/>
        <v>45</v>
      </c>
    </row>
    <row r="59" spans="1:6">
      <c r="A59" s="24" t="str">
        <f t="shared" si="0"/>
        <v>11104_3-2</v>
      </c>
      <c r="B59" s="19">
        <f t="shared" si="2"/>
        <v>11104</v>
      </c>
      <c r="C59" s="19">
        <f t="shared" si="2"/>
        <v>3</v>
      </c>
      <c r="D59" s="19">
        <f t="shared" si="2"/>
        <v>2</v>
      </c>
      <c r="E59" s="19">
        <f t="shared" si="2"/>
        <v>30</v>
      </c>
      <c r="F59" s="19">
        <f t="shared" si="2"/>
        <v>45</v>
      </c>
    </row>
    <row r="60" spans="1:6">
      <c r="A60" s="24" t="str">
        <f t="shared" si="0"/>
        <v>11104_3-3</v>
      </c>
      <c r="B60" s="19">
        <f t="shared" si="2"/>
        <v>11104</v>
      </c>
      <c r="C60" s="19">
        <f t="shared" si="2"/>
        <v>3</v>
      </c>
      <c r="D60" s="19">
        <f t="shared" si="2"/>
        <v>3</v>
      </c>
      <c r="E60" s="19">
        <f t="shared" si="2"/>
        <v>45</v>
      </c>
      <c r="F60" s="19">
        <f t="shared" si="2"/>
        <v>45</v>
      </c>
    </row>
    <row r="61" spans="1:6">
      <c r="A61" s="24" t="str">
        <f t="shared" si="0"/>
        <v>11104_3-4</v>
      </c>
      <c r="B61" s="19">
        <f t="shared" si="2"/>
        <v>11104</v>
      </c>
      <c r="C61" s="19">
        <f t="shared" si="2"/>
        <v>3</v>
      </c>
      <c r="D61" s="19">
        <f t="shared" si="2"/>
        <v>4</v>
      </c>
      <c r="E61" s="19">
        <f t="shared" si="2"/>
        <v>45</v>
      </c>
      <c r="F61" s="19">
        <f t="shared" si="2"/>
        <v>60</v>
      </c>
    </row>
    <row r="62" spans="1:6">
      <c r="A62" s="24" t="str">
        <f t="shared" si="0"/>
        <v>11104_3-5</v>
      </c>
      <c r="B62" s="19">
        <f t="shared" si="2"/>
        <v>11104</v>
      </c>
      <c r="C62" s="19">
        <f t="shared" si="2"/>
        <v>3</v>
      </c>
      <c r="D62" s="19">
        <f t="shared" si="2"/>
        <v>5</v>
      </c>
      <c r="E62" s="19">
        <f t="shared" si="2"/>
        <v>60</v>
      </c>
      <c r="F62" s="19">
        <f t="shared" si="2"/>
        <v>60</v>
      </c>
    </row>
    <row r="63" spans="1:6">
      <c r="A63" s="24" t="str">
        <f t="shared" si="0"/>
        <v>11105_1-1</v>
      </c>
      <c r="B63" s="19">
        <f t="shared" si="2"/>
        <v>11105</v>
      </c>
      <c r="C63" s="19">
        <f t="shared" si="2"/>
        <v>1</v>
      </c>
      <c r="D63" s="19">
        <f t="shared" si="2"/>
        <v>1</v>
      </c>
      <c r="E63" s="19">
        <f t="shared" si="2"/>
        <v>30</v>
      </c>
      <c r="F63" s="19">
        <f t="shared" si="2"/>
        <v>45</v>
      </c>
    </row>
    <row r="64" spans="1:6">
      <c r="A64" s="24" t="str">
        <f t="shared" si="0"/>
        <v>11105_1-2</v>
      </c>
      <c r="B64" s="19">
        <f t="shared" si="2"/>
        <v>11105</v>
      </c>
      <c r="C64" s="19">
        <f t="shared" si="2"/>
        <v>1</v>
      </c>
      <c r="D64" s="19">
        <f t="shared" si="2"/>
        <v>2</v>
      </c>
      <c r="E64" s="19">
        <f t="shared" si="2"/>
        <v>45</v>
      </c>
      <c r="F64" s="19">
        <f t="shared" si="2"/>
        <v>60</v>
      </c>
    </row>
    <row r="65" spans="1:6">
      <c r="A65" s="24" t="str">
        <f t="shared" si="0"/>
        <v>11105_1-3</v>
      </c>
      <c r="B65" s="19">
        <f t="shared" si="2"/>
        <v>11105</v>
      </c>
      <c r="C65" s="19">
        <f t="shared" si="2"/>
        <v>1</v>
      </c>
      <c r="D65" s="19">
        <f t="shared" si="2"/>
        <v>3</v>
      </c>
      <c r="E65" s="19">
        <f t="shared" si="2"/>
        <v>50</v>
      </c>
      <c r="F65" s="19">
        <f t="shared" si="2"/>
        <v>60</v>
      </c>
    </row>
    <row r="66" spans="1:6">
      <c r="A66" s="24" t="str">
        <f t="shared" si="0"/>
        <v>11105_1-4</v>
      </c>
      <c r="B66" s="19">
        <f t="shared" si="2"/>
        <v>11105</v>
      </c>
      <c r="C66" s="19">
        <f t="shared" si="2"/>
        <v>1</v>
      </c>
      <c r="D66" s="19">
        <f t="shared" si="2"/>
        <v>4</v>
      </c>
      <c r="E66" s="19">
        <f t="shared" si="2"/>
        <v>45</v>
      </c>
      <c r="F66" s="19">
        <f t="shared" si="2"/>
        <v>60</v>
      </c>
    </row>
    <row r="67" spans="1:6">
      <c r="A67" s="24" t="str">
        <f t="shared" ref="A67:A116" si="3">INDIRECT(ADDRESS(ROW()+$A$1,COLUMN(),1,TRUE,$C$1))</f>
        <v>11105_1-5</v>
      </c>
      <c r="B67" s="19">
        <f t="shared" si="2"/>
        <v>11105</v>
      </c>
      <c r="C67" s="19">
        <f t="shared" si="2"/>
        <v>1</v>
      </c>
      <c r="D67" s="19">
        <f t="shared" si="2"/>
        <v>5</v>
      </c>
      <c r="E67" s="19">
        <f t="shared" si="2"/>
        <v>60</v>
      </c>
      <c r="F67" s="19">
        <f t="shared" si="2"/>
        <v>60</v>
      </c>
    </row>
    <row r="68" spans="1:6">
      <c r="A68" s="24" t="str">
        <f t="shared" si="3"/>
        <v>11105_1-6</v>
      </c>
      <c r="B68" s="19">
        <f t="shared" si="2"/>
        <v>11105</v>
      </c>
      <c r="C68" s="19">
        <f t="shared" si="2"/>
        <v>1</v>
      </c>
      <c r="D68" s="19">
        <f t="shared" si="2"/>
        <v>6</v>
      </c>
      <c r="E68" s="19">
        <f t="shared" si="2"/>
        <v>60</v>
      </c>
      <c r="F68" s="19">
        <f t="shared" si="2"/>
        <v>60</v>
      </c>
    </row>
    <row r="69" spans="1:6">
      <c r="A69" s="24" t="str">
        <f t="shared" si="3"/>
        <v>11105_2-1</v>
      </c>
      <c r="B69" s="19">
        <f t="shared" si="2"/>
        <v>11105</v>
      </c>
      <c r="C69" s="19">
        <f t="shared" si="2"/>
        <v>2</v>
      </c>
      <c r="D69" s="19">
        <f t="shared" si="2"/>
        <v>1</v>
      </c>
      <c r="E69" s="19">
        <f t="shared" si="2"/>
        <v>30</v>
      </c>
      <c r="F69" s="19">
        <f t="shared" si="2"/>
        <v>45</v>
      </c>
    </row>
    <row r="70" spans="1:6">
      <c r="A70" s="24" t="str">
        <f t="shared" si="3"/>
        <v>11105_2-2</v>
      </c>
      <c r="B70" s="19">
        <f t="shared" ref="B70:F116" si="4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11105</v>
      </c>
      <c r="C70" s="19">
        <f t="shared" si="4"/>
        <v>2</v>
      </c>
      <c r="D70" s="19">
        <f t="shared" si="4"/>
        <v>2</v>
      </c>
      <c r="E70" s="19">
        <f t="shared" si="4"/>
        <v>45</v>
      </c>
      <c r="F70" s="19">
        <f t="shared" si="4"/>
        <v>60</v>
      </c>
    </row>
    <row r="71" spans="1:6">
      <c r="A71" s="24" t="str">
        <f t="shared" si="3"/>
        <v>11105_2-3</v>
      </c>
      <c r="B71" s="19">
        <f t="shared" si="4"/>
        <v>11105</v>
      </c>
      <c r="C71" s="19">
        <f t="shared" si="4"/>
        <v>2</v>
      </c>
      <c r="D71" s="19">
        <f t="shared" si="4"/>
        <v>3</v>
      </c>
      <c r="E71" s="19">
        <f t="shared" si="4"/>
        <v>50</v>
      </c>
      <c r="F71" s="19">
        <f t="shared" si="4"/>
        <v>60</v>
      </c>
    </row>
    <row r="72" spans="1:6">
      <c r="A72" s="24" t="str">
        <f t="shared" si="3"/>
        <v>11105_2-4</v>
      </c>
      <c r="B72" s="19">
        <f t="shared" si="4"/>
        <v>11105</v>
      </c>
      <c r="C72" s="19">
        <f t="shared" si="4"/>
        <v>2</v>
      </c>
      <c r="D72" s="19">
        <f t="shared" si="4"/>
        <v>4</v>
      </c>
      <c r="E72" s="19">
        <f t="shared" si="4"/>
        <v>45</v>
      </c>
      <c r="F72" s="19">
        <f t="shared" si="4"/>
        <v>60</v>
      </c>
    </row>
    <row r="73" spans="1:6">
      <c r="A73" s="24" t="str">
        <f t="shared" si="3"/>
        <v>11105_2-5</v>
      </c>
      <c r="B73" s="19">
        <f t="shared" si="4"/>
        <v>11105</v>
      </c>
      <c r="C73" s="19">
        <f t="shared" si="4"/>
        <v>2</v>
      </c>
      <c r="D73" s="19">
        <f t="shared" si="4"/>
        <v>5</v>
      </c>
      <c r="E73" s="19">
        <f t="shared" si="4"/>
        <v>60</v>
      </c>
      <c r="F73" s="19">
        <f t="shared" si="4"/>
        <v>60</v>
      </c>
    </row>
    <row r="74" spans="1:6">
      <c r="A74" s="24" t="str">
        <f t="shared" si="3"/>
        <v>11105_2-6</v>
      </c>
      <c r="B74" s="19">
        <f t="shared" si="4"/>
        <v>11105</v>
      </c>
      <c r="C74" s="19">
        <f t="shared" si="4"/>
        <v>2</v>
      </c>
      <c r="D74" s="19">
        <f t="shared" si="4"/>
        <v>6</v>
      </c>
      <c r="E74" s="19">
        <f t="shared" si="4"/>
        <v>60</v>
      </c>
      <c r="F74" s="19">
        <f t="shared" si="4"/>
        <v>60</v>
      </c>
    </row>
    <row r="75" spans="1:6">
      <c r="A75" s="24" t="str">
        <f t="shared" si="3"/>
        <v>11105_3-1</v>
      </c>
      <c r="B75" s="19">
        <f t="shared" si="4"/>
        <v>11105</v>
      </c>
      <c r="C75" s="19">
        <f t="shared" si="4"/>
        <v>3</v>
      </c>
      <c r="D75" s="19">
        <f t="shared" si="4"/>
        <v>1</v>
      </c>
      <c r="E75" s="19">
        <f t="shared" si="4"/>
        <v>30</v>
      </c>
      <c r="F75" s="19">
        <f t="shared" si="4"/>
        <v>45</v>
      </c>
    </row>
    <row r="76" spans="1:6">
      <c r="A76" s="24" t="str">
        <f t="shared" si="3"/>
        <v>11105_3-2</v>
      </c>
      <c r="B76" s="19">
        <f t="shared" si="4"/>
        <v>11105</v>
      </c>
      <c r="C76" s="19">
        <f t="shared" si="4"/>
        <v>3</v>
      </c>
      <c r="D76" s="19">
        <f t="shared" si="4"/>
        <v>2</v>
      </c>
      <c r="E76" s="19">
        <f t="shared" si="4"/>
        <v>45</v>
      </c>
      <c r="F76" s="19">
        <f t="shared" si="4"/>
        <v>60</v>
      </c>
    </row>
    <row r="77" spans="1:6">
      <c r="A77" s="24" t="str">
        <f t="shared" si="3"/>
        <v>11105_3-3</v>
      </c>
      <c r="B77" s="19">
        <f t="shared" si="4"/>
        <v>11105</v>
      </c>
      <c r="C77" s="19">
        <f t="shared" si="4"/>
        <v>3</v>
      </c>
      <c r="D77" s="19">
        <f t="shared" si="4"/>
        <v>3</v>
      </c>
      <c r="E77" s="19">
        <f t="shared" si="4"/>
        <v>50</v>
      </c>
      <c r="F77" s="19">
        <f t="shared" si="4"/>
        <v>60</v>
      </c>
    </row>
    <row r="78" spans="1:6">
      <c r="A78" s="24" t="str">
        <f t="shared" si="3"/>
        <v>11105_3-4</v>
      </c>
      <c r="B78" s="19">
        <f t="shared" si="4"/>
        <v>11105</v>
      </c>
      <c r="C78" s="19">
        <f t="shared" si="4"/>
        <v>3</v>
      </c>
      <c r="D78" s="19">
        <f t="shared" si="4"/>
        <v>4</v>
      </c>
      <c r="E78" s="19">
        <f t="shared" si="4"/>
        <v>45</v>
      </c>
      <c r="F78" s="19">
        <f t="shared" si="4"/>
        <v>60</v>
      </c>
    </row>
    <row r="79" spans="1:6">
      <c r="A79" s="24" t="str">
        <f t="shared" si="3"/>
        <v>11105_3-5</v>
      </c>
      <c r="B79" s="19">
        <f t="shared" si="4"/>
        <v>11105</v>
      </c>
      <c r="C79" s="19">
        <f t="shared" si="4"/>
        <v>3</v>
      </c>
      <c r="D79" s="19">
        <f t="shared" si="4"/>
        <v>5</v>
      </c>
      <c r="E79" s="19">
        <f t="shared" si="4"/>
        <v>60</v>
      </c>
      <c r="F79" s="19">
        <f t="shared" si="4"/>
        <v>60</v>
      </c>
    </row>
    <row r="80" spans="1:6">
      <c r="A80" s="24" t="str">
        <f t="shared" si="3"/>
        <v>11105_3-6</v>
      </c>
      <c r="B80" s="19">
        <f t="shared" si="4"/>
        <v>11105</v>
      </c>
      <c r="C80" s="19">
        <f t="shared" si="4"/>
        <v>3</v>
      </c>
      <c r="D80" s="19">
        <f t="shared" si="4"/>
        <v>6</v>
      </c>
      <c r="E80" s="19">
        <f t="shared" si="4"/>
        <v>60</v>
      </c>
      <c r="F80" s="19">
        <f t="shared" si="4"/>
        <v>60</v>
      </c>
    </row>
    <row r="81" spans="1:6">
      <c r="A81" s="24" t="str">
        <f t="shared" si="3"/>
        <v>11105_4-1</v>
      </c>
      <c r="B81" s="19">
        <f t="shared" si="4"/>
        <v>11105</v>
      </c>
      <c r="C81" s="19">
        <f t="shared" si="4"/>
        <v>4</v>
      </c>
      <c r="D81" s="19">
        <f t="shared" si="4"/>
        <v>1</v>
      </c>
      <c r="E81" s="19">
        <f t="shared" si="4"/>
        <v>30</v>
      </c>
      <c r="F81" s="19">
        <f t="shared" si="4"/>
        <v>45</v>
      </c>
    </row>
    <row r="82" spans="1:6">
      <c r="A82" s="24" t="str">
        <f t="shared" si="3"/>
        <v>11105_4-2</v>
      </c>
      <c r="B82" s="19">
        <f t="shared" si="4"/>
        <v>11105</v>
      </c>
      <c r="C82" s="19">
        <f t="shared" si="4"/>
        <v>4</v>
      </c>
      <c r="D82" s="19">
        <f t="shared" si="4"/>
        <v>2</v>
      </c>
      <c r="E82" s="19">
        <f t="shared" si="4"/>
        <v>45</v>
      </c>
      <c r="F82" s="19">
        <f t="shared" si="4"/>
        <v>60</v>
      </c>
    </row>
    <row r="83" spans="1:6">
      <c r="A83" s="24" t="str">
        <f t="shared" si="3"/>
        <v>11105_4-3</v>
      </c>
      <c r="B83" s="19">
        <f t="shared" si="4"/>
        <v>11105</v>
      </c>
      <c r="C83" s="19">
        <f t="shared" si="4"/>
        <v>4</v>
      </c>
      <c r="D83" s="19">
        <f t="shared" si="4"/>
        <v>3</v>
      </c>
      <c r="E83" s="19">
        <f t="shared" si="4"/>
        <v>50</v>
      </c>
      <c r="F83" s="19">
        <f t="shared" si="4"/>
        <v>60</v>
      </c>
    </row>
    <row r="84" spans="1:6">
      <c r="A84" s="24" t="str">
        <f t="shared" si="3"/>
        <v>11105_4-4</v>
      </c>
      <c r="B84" s="19">
        <f t="shared" si="4"/>
        <v>11105</v>
      </c>
      <c r="C84" s="19">
        <f t="shared" si="4"/>
        <v>4</v>
      </c>
      <c r="D84" s="19">
        <f t="shared" si="4"/>
        <v>4</v>
      </c>
      <c r="E84" s="19">
        <f t="shared" si="4"/>
        <v>45</v>
      </c>
      <c r="F84" s="19">
        <f t="shared" si="4"/>
        <v>60</v>
      </c>
    </row>
    <row r="85" spans="1:6">
      <c r="A85" s="24" t="str">
        <f t="shared" si="3"/>
        <v>11105_4-5</v>
      </c>
      <c r="B85" s="19">
        <f t="shared" si="4"/>
        <v>11105</v>
      </c>
      <c r="C85" s="19">
        <f t="shared" si="4"/>
        <v>4</v>
      </c>
      <c r="D85" s="19">
        <f t="shared" si="4"/>
        <v>5</v>
      </c>
      <c r="E85" s="19">
        <f t="shared" si="4"/>
        <v>60</v>
      </c>
      <c r="F85" s="19">
        <f t="shared" si="4"/>
        <v>60</v>
      </c>
    </row>
    <row r="86" spans="1:6">
      <c r="A86" s="24" t="str">
        <f t="shared" si="3"/>
        <v>11105_4-6</v>
      </c>
      <c r="B86" s="19">
        <f t="shared" si="4"/>
        <v>11105</v>
      </c>
      <c r="C86" s="19">
        <f t="shared" si="4"/>
        <v>4</v>
      </c>
      <c r="D86" s="19">
        <f t="shared" si="4"/>
        <v>6</v>
      </c>
      <c r="E86" s="19">
        <f t="shared" si="4"/>
        <v>60</v>
      </c>
      <c r="F86" s="19">
        <f t="shared" si="4"/>
        <v>60</v>
      </c>
    </row>
    <row r="87" spans="1:6">
      <c r="A87" s="24" t="str">
        <f t="shared" si="3"/>
        <v>11106_1-1</v>
      </c>
      <c r="B87" s="19">
        <f t="shared" si="4"/>
        <v>11106</v>
      </c>
      <c r="C87" s="19">
        <f t="shared" si="4"/>
        <v>1</v>
      </c>
      <c r="D87" s="19">
        <f t="shared" si="4"/>
        <v>1</v>
      </c>
      <c r="E87" s="19">
        <f t="shared" si="4"/>
        <v>30</v>
      </c>
      <c r="F87" s="19">
        <f t="shared" si="4"/>
        <v>45</v>
      </c>
    </row>
    <row r="88" spans="1:6">
      <c r="A88" s="24" t="str">
        <f t="shared" si="3"/>
        <v>11106_1-2</v>
      </c>
      <c r="B88" s="19">
        <f t="shared" si="4"/>
        <v>11106</v>
      </c>
      <c r="C88" s="19">
        <f t="shared" si="4"/>
        <v>1</v>
      </c>
      <c r="D88" s="19">
        <f t="shared" si="4"/>
        <v>2</v>
      </c>
      <c r="E88" s="19">
        <f t="shared" si="4"/>
        <v>30</v>
      </c>
      <c r="F88" s="19">
        <f t="shared" si="4"/>
        <v>45</v>
      </c>
    </row>
    <row r="89" spans="1:6">
      <c r="A89" s="24" t="str">
        <f t="shared" si="3"/>
        <v>11106_1-3</v>
      </c>
      <c r="B89" s="19">
        <f t="shared" si="4"/>
        <v>11106</v>
      </c>
      <c r="C89" s="19">
        <f t="shared" si="4"/>
        <v>1</v>
      </c>
      <c r="D89" s="19">
        <f t="shared" si="4"/>
        <v>3</v>
      </c>
      <c r="E89" s="19">
        <f t="shared" si="4"/>
        <v>30</v>
      </c>
      <c r="F89" s="19">
        <f t="shared" si="4"/>
        <v>45</v>
      </c>
    </row>
    <row r="90" spans="1:6">
      <c r="A90" s="24" t="str">
        <f t="shared" si="3"/>
        <v>11106_1-4</v>
      </c>
      <c r="B90" s="19">
        <f t="shared" si="4"/>
        <v>11106</v>
      </c>
      <c r="C90" s="19">
        <f t="shared" si="4"/>
        <v>1</v>
      </c>
      <c r="D90" s="19">
        <f t="shared" si="4"/>
        <v>4</v>
      </c>
      <c r="E90" s="19">
        <f t="shared" si="4"/>
        <v>30</v>
      </c>
      <c r="F90" s="19">
        <f t="shared" si="4"/>
        <v>45</v>
      </c>
    </row>
    <row r="91" spans="1:6">
      <c r="A91" s="24" t="str">
        <f t="shared" si="3"/>
        <v>11106_1-5</v>
      </c>
      <c r="B91" s="19">
        <f t="shared" si="4"/>
        <v>11106</v>
      </c>
      <c r="C91" s="19">
        <f t="shared" si="4"/>
        <v>1</v>
      </c>
      <c r="D91" s="19">
        <f t="shared" si="4"/>
        <v>5</v>
      </c>
      <c r="E91" s="19">
        <f t="shared" si="4"/>
        <v>30</v>
      </c>
      <c r="F91" s="19">
        <f t="shared" si="4"/>
        <v>45</v>
      </c>
    </row>
    <row r="92" spans="1:6">
      <c r="A92" s="24" t="str">
        <f t="shared" si="3"/>
        <v>11106_2-1</v>
      </c>
      <c r="B92" s="19">
        <f t="shared" si="4"/>
        <v>11106</v>
      </c>
      <c r="C92" s="19">
        <f t="shared" si="4"/>
        <v>2</v>
      </c>
      <c r="D92" s="19">
        <f t="shared" si="4"/>
        <v>1</v>
      </c>
      <c r="E92" s="19">
        <f t="shared" si="4"/>
        <v>30</v>
      </c>
      <c r="F92" s="19">
        <f t="shared" si="4"/>
        <v>45</v>
      </c>
    </row>
    <row r="93" spans="1:6">
      <c r="A93" s="24" t="str">
        <f t="shared" si="3"/>
        <v>11106_2-2</v>
      </c>
      <c r="B93" s="19">
        <f t="shared" si="4"/>
        <v>11106</v>
      </c>
      <c r="C93" s="19">
        <f t="shared" si="4"/>
        <v>2</v>
      </c>
      <c r="D93" s="19">
        <f t="shared" si="4"/>
        <v>2</v>
      </c>
      <c r="E93" s="19">
        <f t="shared" si="4"/>
        <v>30</v>
      </c>
      <c r="F93" s="19">
        <f t="shared" si="4"/>
        <v>45</v>
      </c>
    </row>
    <row r="94" spans="1:6">
      <c r="A94" s="24" t="str">
        <f t="shared" si="3"/>
        <v>11106_2-3</v>
      </c>
      <c r="B94" s="19">
        <f t="shared" si="4"/>
        <v>11106</v>
      </c>
      <c r="C94" s="19">
        <f t="shared" si="4"/>
        <v>2</v>
      </c>
      <c r="D94" s="19">
        <f t="shared" si="4"/>
        <v>3</v>
      </c>
      <c r="E94" s="19">
        <f t="shared" si="4"/>
        <v>30</v>
      </c>
      <c r="F94" s="19">
        <f t="shared" si="4"/>
        <v>45</v>
      </c>
    </row>
    <row r="95" spans="1:6">
      <c r="A95" s="24" t="str">
        <f t="shared" si="3"/>
        <v>11106_2-4</v>
      </c>
      <c r="B95" s="19">
        <f t="shared" si="4"/>
        <v>11106</v>
      </c>
      <c r="C95" s="19">
        <f t="shared" si="4"/>
        <v>2</v>
      </c>
      <c r="D95" s="19">
        <f t="shared" si="4"/>
        <v>4</v>
      </c>
      <c r="E95" s="19">
        <f t="shared" si="4"/>
        <v>30</v>
      </c>
      <c r="F95" s="19">
        <f t="shared" si="4"/>
        <v>45</v>
      </c>
    </row>
    <row r="96" spans="1:6">
      <c r="A96" s="24" t="str">
        <f t="shared" si="3"/>
        <v>11106_2-5</v>
      </c>
      <c r="B96" s="19">
        <f t="shared" si="4"/>
        <v>11106</v>
      </c>
      <c r="C96" s="19">
        <f t="shared" si="4"/>
        <v>2</v>
      </c>
      <c r="D96" s="19">
        <f t="shared" si="4"/>
        <v>5</v>
      </c>
      <c r="E96" s="19">
        <f t="shared" si="4"/>
        <v>30</v>
      </c>
      <c r="F96" s="19">
        <f t="shared" si="4"/>
        <v>45</v>
      </c>
    </row>
    <row r="97" spans="1:6">
      <c r="A97" s="24" t="str">
        <f t="shared" si="3"/>
        <v>11106_3-1</v>
      </c>
      <c r="B97" s="19">
        <f t="shared" si="4"/>
        <v>11106</v>
      </c>
      <c r="C97" s="19">
        <f t="shared" si="4"/>
        <v>3</v>
      </c>
      <c r="D97" s="19">
        <f t="shared" si="4"/>
        <v>1</v>
      </c>
      <c r="E97" s="19">
        <f t="shared" si="4"/>
        <v>30</v>
      </c>
      <c r="F97" s="19">
        <f t="shared" si="4"/>
        <v>45</v>
      </c>
    </row>
    <row r="98" spans="1:6">
      <c r="A98" s="24" t="str">
        <f t="shared" si="3"/>
        <v>11106_3-2</v>
      </c>
      <c r="B98" s="19">
        <f t="shared" si="4"/>
        <v>11106</v>
      </c>
      <c r="C98" s="19">
        <f t="shared" si="4"/>
        <v>3</v>
      </c>
      <c r="D98" s="19">
        <f t="shared" si="4"/>
        <v>2</v>
      </c>
      <c r="E98" s="19">
        <f t="shared" si="4"/>
        <v>45</v>
      </c>
      <c r="F98" s="19">
        <f t="shared" si="4"/>
        <v>45</v>
      </c>
    </row>
    <row r="99" spans="1:6">
      <c r="A99" s="24" t="str">
        <f t="shared" si="3"/>
        <v>11106_3-3</v>
      </c>
      <c r="B99" s="19">
        <f t="shared" si="4"/>
        <v>11106</v>
      </c>
      <c r="C99" s="19">
        <f t="shared" si="4"/>
        <v>3</v>
      </c>
      <c r="D99" s="19">
        <f t="shared" si="4"/>
        <v>3</v>
      </c>
      <c r="E99" s="19">
        <f t="shared" si="4"/>
        <v>30</v>
      </c>
      <c r="F99" s="19">
        <f t="shared" si="4"/>
        <v>45</v>
      </c>
    </row>
    <row r="100" spans="1:6">
      <c r="A100" s="24" t="str">
        <f t="shared" si="3"/>
        <v>11106_3-4</v>
      </c>
      <c r="B100" s="19">
        <f t="shared" si="4"/>
        <v>11106</v>
      </c>
      <c r="C100" s="19">
        <f t="shared" si="4"/>
        <v>3</v>
      </c>
      <c r="D100" s="19">
        <f t="shared" si="4"/>
        <v>4</v>
      </c>
      <c r="E100" s="19">
        <f t="shared" si="4"/>
        <v>30</v>
      </c>
      <c r="F100" s="19">
        <f t="shared" si="4"/>
        <v>45</v>
      </c>
    </row>
    <row r="101" spans="1:6">
      <c r="A101" s="24" t="str">
        <f t="shared" si="3"/>
        <v>11106_3-5</v>
      </c>
      <c r="B101" s="19">
        <f t="shared" si="4"/>
        <v>11106</v>
      </c>
      <c r="C101" s="19">
        <f t="shared" si="4"/>
        <v>3</v>
      </c>
      <c r="D101" s="19">
        <f t="shared" si="4"/>
        <v>5</v>
      </c>
      <c r="E101" s="19">
        <f t="shared" si="4"/>
        <v>20</v>
      </c>
      <c r="F101" s="19">
        <f t="shared" si="4"/>
        <v>20</v>
      </c>
    </row>
    <row r="102" spans="1:6">
      <c r="A102" s="24" t="str">
        <f t="shared" si="3"/>
        <v>11206_1-1</v>
      </c>
      <c r="B102" s="19">
        <f t="shared" si="4"/>
        <v>11206</v>
      </c>
      <c r="C102" s="19">
        <f t="shared" si="4"/>
        <v>1</v>
      </c>
      <c r="D102" s="19">
        <f t="shared" si="4"/>
        <v>1</v>
      </c>
      <c r="E102" s="19">
        <f t="shared" si="4"/>
        <v>30</v>
      </c>
      <c r="F102" s="19">
        <f t="shared" si="4"/>
        <v>45</v>
      </c>
    </row>
    <row r="103" spans="1:6">
      <c r="A103" s="24" t="str">
        <f t="shared" si="3"/>
        <v>11206_1-2</v>
      </c>
      <c r="B103" s="19">
        <f t="shared" si="4"/>
        <v>11206</v>
      </c>
      <c r="C103" s="19">
        <f t="shared" si="4"/>
        <v>1</v>
      </c>
      <c r="D103" s="19">
        <f t="shared" si="4"/>
        <v>2</v>
      </c>
      <c r="E103" s="19">
        <f t="shared" si="4"/>
        <v>30</v>
      </c>
      <c r="F103" s="19">
        <f t="shared" si="4"/>
        <v>45</v>
      </c>
    </row>
    <row r="104" spans="1:6">
      <c r="A104" s="24" t="str">
        <f t="shared" si="3"/>
        <v>11206_1-3</v>
      </c>
      <c r="B104" s="19">
        <f t="shared" si="4"/>
        <v>11206</v>
      </c>
      <c r="C104" s="19">
        <f t="shared" si="4"/>
        <v>1</v>
      </c>
      <c r="D104" s="19">
        <f t="shared" si="4"/>
        <v>3</v>
      </c>
      <c r="E104" s="19">
        <f t="shared" si="4"/>
        <v>30</v>
      </c>
      <c r="F104" s="19">
        <f t="shared" si="4"/>
        <v>45</v>
      </c>
    </row>
    <row r="105" spans="1:6">
      <c r="A105" s="24" t="str">
        <f t="shared" si="3"/>
        <v>11206_1-4</v>
      </c>
      <c r="B105" s="19">
        <f t="shared" si="4"/>
        <v>11206</v>
      </c>
      <c r="C105" s="19">
        <f t="shared" si="4"/>
        <v>1</v>
      </c>
      <c r="D105" s="19">
        <f t="shared" si="4"/>
        <v>4</v>
      </c>
      <c r="E105" s="19">
        <f t="shared" si="4"/>
        <v>30</v>
      </c>
      <c r="F105" s="19">
        <f t="shared" si="4"/>
        <v>45</v>
      </c>
    </row>
    <row r="106" spans="1:6">
      <c r="A106" s="24" t="str">
        <f t="shared" si="3"/>
        <v>11206_1-5</v>
      </c>
      <c r="B106" s="19">
        <f t="shared" si="4"/>
        <v>11206</v>
      </c>
      <c r="C106" s="19">
        <f t="shared" si="4"/>
        <v>1</v>
      </c>
      <c r="D106" s="19">
        <f t="shared" si="4"/>
        <v>5</v>
      </c>
      <c r="E106" s="19">
        <f t="shared" si="4"/>
        <v>30</v>
      </c>
      <c r="F106" s="19">
        <f t="shared" si="4"/>
        <v>45</v>
      </c>
    </row>
    <row r="107" spans="1:6">
      <c r="A107" s="24" t="str">
        <f t="shared" si="3"/>
        <v>11206_2-1</v>
      </c>
      <c r="B107" s="19">
        <f t="shared" si="4"/>
        <v>11206</v>
      </c>
      <c r="C107" s="19">
        <f t="shared" si="4"/>
        <v>2</v>
      </c>
      <c r="D107" s="19">
        <f t="shared" si="4"/>
        <v>1</v>
      </c>
      <c r="E107" s="19">
        <f t="shared" si="4"/>
        <v>30</v>
      </c>
      <c r="F107" s="19">
        <f t="shared" si="4"/>
        <v>45</v>
      </c>
    </row>
    <row r="108" spans="1:6">
      <c r="A108" s="24" t="str">
        <f t="shared" si="3"/>
        <v>11206_2-2</v>
      </c>
      <c r="B108" s="19">
        <f t="shared" si="4"/>
        <v>11206</v>
      </c>
      <c r="C108" s="19">
        <f t="shared" si="4"/>
        <v>2</v>
      </c>
      <c r="D108" s="19">
        <f t="shared" si="4"/>
        <v>2</v>
      </c>
      <c r="E108" s="19">
        <f t="shared" si="4"/>
        <v>30</v>
      </c>
      <c r="F108" s="19">
        <f t="shared" si="4"/>
        <v>45</v>
      </c>
    </row>
    <row r="109" spans="1:6">
      <c r="A109" s="24" t="str">
        <f t="shared" si="3"/>
        <v>11206_2-3</v>
      </c>
      <c r="B109" s="19">
        <f t="shared" si="4"/>
        <v>11206</v>
      </c>
      <c r="C109" s="19">
        <f t="shared" si="4"/>
        <v>2</v>
      </c>
      <c r="D109" s="19">
        <f t="shared" si="4"/>
        <v>3</v>
      </c>
      <c r="E109" s="19">
        <f t="shared" si="4"/>
        <v>30</v>
      </c>
      <c r="F109" s="19">
        <f t="shared" si="4"/>
        <v>45</v>
      </c>
    </row>
    <row r="110" spans="1:6">
      <c r="A110" s="24" t="str">
        <f t="shared" si="3"/>
        <v>11206_2-4</v>
      </c>
      <c r="B110" s="19">
        <f t="shared" si="4"/>
        <v>11206</v>
      </c>
      <c r="C110" s="19">
        <f t="shared" si="4"/>
        <v>2</v>
      </c>
      <c r="D110" s="19">
        <f t="shared" si="4"/>
        <v>4</v>
      </c>
      <c r="E110" s="19">
        <f t="shared" si="4"/>
        <v>30</v>
      </c>
      <c r="F110" s="19">
        <f t="shared" si="4"/>
        <v>45</v>
      </c>
    </row>
    <row r="111" spans="1:6">
      <c r="A111" s="24" t="str">
        <f t="shared" si="3"/>
        <v>11206_2-5</v>
      </c>
      <c r="B111" s="19">
        <f t="shared" si="4"/>
        <v>11206</v>
      </c>
      <c r="C111" s="19">
        <f t="shared" si="4"/>
        <v>2</v>
      </c>
      <c r="D111" s="19">
        <f t="shared" si="4"/>
        <v>5</v>
      </c>
      <c r="E111" s="19">
        <f t="shared" si="4"/>
        <v>30</v>
      </c>
      <c r="F111" s="19">
        <f t="shared" si="4"/>
        <v>45</v>
      </c>
    </row>
    <row r="112" spans="1:6">
      <c r="A112" s="24" t="str">
        <f t="shared" si="3"/>
        <v>11206_3-1</v>
      </c>
      <c r="B112" s="19">
        <f t="shared" si="4"/>
        <v>11206</v>
      </c>
      <c r="C112" s="19">
        <f t="shared" si="4"/>
        <v>3</v>
      </c>
      <c r="D112" s="19">
        <f t="shared" si="4"/>
        <v>1</v>
      </c>
      <c r="E112" s="19">
        <f t="shared" si="4"/>
        <v>30</v>
      </c>
      <c r="F112" s="19">
        <f t="shared" si="4"/>
        <v>45</v>
      </c>
    </row>
    <row r="113" spans="1:6">
      <c r="A113" s="24" t="str">
        <f t="shared" si="3"/>
        <v>11206_3-2</v>
      </c>
      <c r="B113" s="19">
        <f t="shared" si="4"/>
        <v>11206</v>
      </c>
      <c r="C113" s="19">
        <f t="shared" si="4"/>
        <v>3</v>
      </c>
      <c r="D113" s="19">
        <f t="shared" si="4"/>
        <v>2</v>
      </c>
      <c r="E113" s="19">
        <f t="shared" si="4"/>
        <v>45</v>
      </c>
      <c r="F113" s="19">
        <f t="shared" si="4"/>
        <v>45</v>
      </c>
    </row>
    <row r="114" spans="1:6">
      <c r="A114" s="24" t="str">
        <f t="shared" si="3"/>
        <v>11206_3-3</v>
      </c>
      <c r="B114" s="19">
        <f t="shared" si="4"/>
        <v>11206</v>
      </c>
      <c r="C114" s="19">
        <f t="shared" si="4"/>
        <v>3</v>
      </c>
      <c r="D114" s="19">
        <f t="shared" si="4"/>
        <v>3</v>
      </c>
      <c r="E114" s="19">
        <f t="shared" si="4"/>
        <v>30</v>
      </c>
      <c r="F114" s="19">
        <f t="shared" si="4"/>
        <v>45</v>
      </c>
    </row>
    <row r="115" spans="1:6">
      <c r="A115" s="24" t="str">
        <f t="shared" si="3"/>
        <v>11206_3-4</v>
      </c>
      <c r="B115" s="19">
        <f t="shared" si="4"/>
        <v>11206</v>
      </c>
      <c r="C115" s="19">
        <f t="shared" si="4"/>
        <v>3</v>
      </c>
      <c r="D115" s="19">
        <f t="shared" si="4"/>
        <v>4</v>
      </c>
      <c r="E115" s="19">
        <f t="shared" si="4"/>
        <v>30</v>
      </c>
      <c r="F115" s="19">
        <f t="shared" si="4"/>
        <v>45</v>
      </c>
    </row>
    <row r="116" spans="1:6">
      <c r="A116" s="24" t="str">
        <f t="shared" si="3"/>
        <v>11206_3-5</v>
      </c>
      <c r="B116" s="19">
        <f t="shared" si="4"/>
        <v>11206</v>
      </c>
      <c r="C116" s="19">
        <f t="shared" si="4"/>
        <v>3</v>
      </c>
      <c r="D116" s="19">
        <f t="shared" si="4"/>
        <v>5</v>
      </c>
      <c r="E116" s="19">
        <f t="shared" si="4"/>
        <v>20</v>
      </c>
      <c r="F116" s="19">
        <f t="shared" si="4"/>
        <v>20</v>
      </c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382"/>
  <sheetViews>
    <sheetView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7" sqref="D17"/>
    </sheetView>
  </sheetViews>
  <sheetFormatPr baseColWidth="12" defaultColWidth="13" defaultRowHeight="18" x14ac:dyDescent="0"/>
  <cols>
    <col min="1" max="1" width="13" style="23" bestFit="1" customWidth="1"/>
    <col min="2" max="2" width="8.125" bestFit="1" customWidth="1"/>
    <col min="3" max="3" width="18.375" bestFit="1" customWidth="1"/>
    <col min="4" max="4" width="7.375" bestFit="1" customWidth="1"/>
    <col min="5" max="5" width="11.625" bestFit="1" customWidth="1"/>
    <col min="6" max="6" width="5.375" bestFit="1" customWidth="1"/>
    <col min="7" max="7" width="13.5" bestFit="1" customWidth="1"/>
    <col min="8" max="8" width="16.625" bestFit="1" customWidth="1"/>
    <col min="9" max="9" width="17.625" bestFit="1" customWidth="1"/>
    <col min="10" max="10" width="10" bestFit="1" customWidth="1"/>
    <col min="11" max="11" width="8.875" bestFit="1" customWidth="1"/>
    <col min="12" max="12" width="9.5" bestFit="1" customWidth="1"/>
    <col min="13" max="13" width="8" bestFit="1" customWidth="1"/>
    <col min="14" max="14" width="6.5" bestFit="1" customWidth="1"/>
    <col min="15" max="15" width="11" bestFit="1" customWidth="1"/>
    <col min="16" max="16" width="13.5" bestFit="1" customWidth="1"/>
    <col min="17" max="18" width="13" bestFit="1" customWidth="1"/>
  </cols>
  <sheetData>
    <row r="1" spans="1:23" s="16" customFormat="1">
      <c r="A1" s="16">
        <f>MATCH(A2,INDIRECT(C1&amp;"!A:A"),0)-2</f>
        <v>-1</v>
      </c>
      <c r="B1" s="17" t="str">
        <f>"$"&amp;2+$A$1&amp;":$"&amp;2+$A$1</f>
        <v>$1:$1</v>
      </c>
      <c r="C1" s="16" t="str">
        <f>SUBSTITUTE(RIGHT(CELL("filename",$C$1),LEN(CELL("filename",$C$1))-FIND("]",CELL("filename",$C$1))),".tmp","")</f>
        <v>enemy_habitats_cp_quests</v>
      </c>
      <c r="G1" s="47"/>
      <c r="H1" s="47"/>
      <c r="I1" s="47"/>
    </row>
    <row r="2" spans="1:23" s="18" customFormat="1">
      <c r="A2" s="23" t="s">
        <v>30</v>
      </c>
      <c r="B2" s="18" t="s">
        <v>0</v>
      </c>
      <c r="C2" s="18" t="s">
        <v>1</v>
      </c>
      <c r="D2" s="18" t="s">
        <v>13</v>
      </c>
      <c r="E2" s="18" t="s">
        <v>2</v>
      </c>
      <c r="F2" s="18" t="s">
        <v>3</v>
      </c>
      <c r="G2" s="18" t="s">
        <v>64</v>
      </c>
      <c r="H2" s="18" t="s">
        <v>65</v>
      </c>
      <c r="I2" s="18" t="s">
        <v>66</v>
      </c>
      <c r="J2" s="18" t="s">
        <v>22</v>
      </c>
      <c r="K2" s="18" t="s">
        <v>5</v>
      </c>
      <c r="L2" s="18" t="s">
        <v>6</v>
      </c>
      <c r="M2" s="18" t="s">
        <v>7</v>
      </c>
      <c r="N2" s="18" t="s">
        <v>8</v>
      </c>
      <c r="O2" s="18" t="s">
        <v>9</v>
      </c>
      <c r="P2" s="18" t="s">
        <v>10</v>
      </c>
      <c r="Q2" s="18" t="s">
        <v>11</v>
      </c>
      <c r="R2" s="18" t="s">
        <v>12</v>
      </c>
      <c r="S2" s="18" t="s">
        <v>39</v>
      </c>
      <c r="T2" s="18" t="s">
        <v>41</v>
      </c>
      <c r="U2" s="18" t="s">
        <v>43</v>
      </c>
      <c r="V2" s="18" t="s">
        <v>45</v>
      </c>
      <c r="W2" s="18" t="s">
        <v>47</v>
      </c>
    </row>
    <row r="3" spans="1:23">
      <c r="A3" s="24" t="str">
        <f>INDIRECT(ADDRESS(ROW()+$A$1,COLUMN(),1,TRUE,$C$1))</f>
        <v>11101_1-1/113&lt;lv3&gt;s1</v>
      </c>
      <c r="B3" s="19">
        <f t="shared" ref="B3:W16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11101</v>
      </c>
      <c r="C3" s="19">
        <f t="shared" si="0"/>
        <v>1</v>
      </c>
      <c r="D3" s="19">
        <f t="shared" si="0"/>
        <v>1</v>
      </c>
      <c r="E3" s="19">
        <f t="shared" si="0"/>
        <v>113</v>
      </c>
      <c r="F3" s="19">
        <f t="shared" si="0"/>
        <v>3</v>
      </c>
      <c r="G3" s="19">
        <f t="shared" ref="G3:I18" si="1">VLOOKUP($A3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3" s="19">
        <f t="shared" si="1"/>
        <v>1</v>
      </c>
      <c r="I3" s="19">
        <f t="shared" si="1"/>
        <v>0</v>
      </c>
      <c r="J3" s="19">
        <f t="shared" si="0"/>
        <v>0</v>
      </c>
      <c r="K3" s="19">
        <f t="shared" si="0"/>
        <v>0</v>
      </c>
      <c r="L3" s="19">
        <f t="shared" si="0"/>
        <v>100</v>
      </c>
      <c r="M3" s="19">
        <f t="shared" si="0"/>
        <v>0</v>
      </c>
      <c r="N3" s="19">
        <f t="shared" si="0"/>
        <v>1</v>
      </c>
      <c r="O3" s="19">
        <f t="shared" si="0"/>
        <v>113</v>
      </c>
      <c r="P3" s="19">
        <f t="shared" si="0"/>
        <v>1</v>
      </c>
      <c r="Q3" s="19">
        <f t="shared" si="0"/>
        <v>2</v>
      </c>
      <c r="R3" s="19">
        <f t="shared" si="0"/>
        <v>50</v>
      </c>
      <c r="S3" s="19">
        <f t="shared" si="0"/>
        <v>0</v>
      </c>
      <c r="T3" s="19">
        <f t="shared" si="0"/>
        <v>0</v>
      </c>
      <c r="U3" s="19">
        <f t="shared" si="0"/>
        <v>0</v>
      </c>
      <c r="V3" s="19">
        <f t="shared" si="0"/>
        <v>0</v>
      </c>
      <c r="W3" s="19">
        <f t="shared" si="0"/>
        <v>1</v>
      </c>
    </row>
    <row r="4" spans="1:23">
      <c r="A4" s="24" t="str">
        <f t="shared" ref="A4:A67" si="2">INDIRECT(ADDRESS(ROW()+$A$1,COLUMN(),1,TRUE,$C$1))</f>
        <v>11101_1-2/113&lt;lv3&gt;s1</v>
      </c>
      <c r="B4" s="19">
        <f t="shared" si="0"/>
        <v>11101</v>
      </c>
      <c r="C4" s="19">
        <f t="shared" si="0"/>
        <v>1</v>
      </c>
      <c r="D4" s="19">
        <f t="shared" si="0"/>
        <v>2</v>
      </c>
      <c r="E4" s="19">
        <f t="shared" si="0"/>
        <v>113</v>
      </c>
      <c r="F4" s="19">
        <f t="shared" si="0"/>
        <v>3</v>
      </c>
      <c r="G4" s="19">
        <f t="shared" si="1"/>
        <v>1</v>
      </c>
      <c r="H4" s="19">
        <f t="shared" si="1"/>
        <v>1</v>
      </c>
      <c r="I4" s="19">
        <f t="shared" si="1"/>
        <v>0</v>
      </c>
      <c r="J4" s="19">
        <f t="shared" si="0"/>
        <v>0</v>
      </c>
      <c r="K4" s="19">
        <f t="shared" si="0"/>
        <v>0</v>
      </c>
      <c r="L4" s="19">
        <f t="shared" si="0"/>
        <v>100</v>
      </c>
      <c r="M4" s="19">
        <f t="shared" si="0"/>
        <v>0</v>
      </c>
      <c r="N4" s="19">
        <f t="shared" si="0"/>
        <v>1</v>
      </c>
      <c r="O4" s="19">
        <f t="shared" si="0"/>
        <v>113</v>
      </c>
      <c r="P4" s="19">
        <f t="shared" si="0"/>
        <v>1</v>
      </c>
      <c r="Q4" s="19">
        <f t="shared" si="0"/>
        <v>2</v>
      </c>
      <c r="R4" s="19">
        <f t="shared" si="0"/>
        <v>50</v>
      </c>
      <c r="S4" s="19">
        <f t="shared" si="0"/>
        <v>0</v>
      </c>
      <c r="T4" s="19">
        <f t="shared" si="0"/>
        <v>0</v>
      </c>
      <c r="U4" s="19">
        <f t="shared" si="0"/>
        <v>0</v>
      </c>
      <c r="V4" s="19">
        <f t="shared" si="0"/>
        <v>0</v>
      </c>
      <c r="W4" s="19">
        <f t="shared" si="0"/>
        <v>1</v>
      </c>
    </row>
    <row r="5" spans="1:23">
      <c r="A5" s="24" t="str">
        <f t="shared" si="2"/>
        <v>11101_1-3/113&lt;lv3&gt;s1</v>
      </c>
      <c r="B5" s="19">
        <f t="shared" si="0"/>
        <v>11101</v>
      </c>
      <c r="C5" s="19">
        <f t="shared" si="0"/>
        <v>1</v>
      </c>
      <c r="D5" s="19">
        <f t="shared" si="0"/>
        <v>3</v>
      </c>
      <c r="E5" s="19">
        <f t="shared" si="0"/>
        <v>113</v>
      </c>
      <c r="F5" s="19">
        <f t="shared" si="0"/>
        <v>3</v>
      </c>
      <c r="G5" s="19">
        <f t="shared" si="1"/>
        <v>1</v>
      </c>
      <c r="H5" s="19">
        <f t="shared" si="1"/>
        <v>1</v>
      </c>
      <c r="I5" s="19">
        <f t="shared" si="1"/>
        <v>0</v>
      </c>
      <c r="J5" s="19">
        <f t="shared" si="0"/>
        <v>0</v>
      </c>
      <c r="K5" s="19">
        <f t="shared" si="0"/>
        <v>0</v>
      </c>
      <c r="L5" s="19">
        <f t="shared" si="0"/>
        <v>100</v>
      </c>
      <c r="M5" s="19">
        <f t="shared" si="0"/>
        <v>0</v>
      </c>
      <c r="N5" s="19">
        <f t="shared" si="0"/>
        <v>1</v>
      </c>
      <c r="O5" s="19">
        <f t="shared" si="0"/>
        <v>113</v>
      </c>
      <c r="P5" s="19">
        <f t="shared" si="0"/>
        <v>1</v>
      </c>
      <c r="Q5" s="19">
        <f t="shared" si="0"/>
        <v>2</v>
      </c>
      <c r="R5" s="19">
        <f t="shared" si="0"/>
        <v>50</v>
      </c>
      <c r="S5" s="19">
        <f t="shared" si="0"/>
        <v>0</v>
      </c>
      <c r="T5" s="19">
        <f t="shared" si="0"/>
        <v>0</v>
      </c>
      <c r="U5" s="19">
        <f t="shared" si="0"/>
        <v>0</v>
      </c>
      <c r="V5" s="19">
        <f t="shared" si="0"/>
        <v>0</v>
      </c>
      <c r="W5" s="19">
        <f t="shared" si="0"/>
        <v>1</v>
      </c>
    </row>
    <row r="6" spans="1:23">
      <c r="A6" s="24" t="str">
        <f t="shared" si="2"/>
        <v>11101_1-3/114&lt;lv3&gt;s2</v>
      </c>
      <c r="B6" s="19">
        <f t="shared" si="0"/>
        <v>11101</v>
      </c>
      <c r="C6" s="19">
        <f t="shared" si="0"/>
        <v>1</v>
      </c>
      <c r="D6" s="19">
        <f t="shared" si="0"/>
        <v>3</v>
      </c>
      <c r="E6" s="19">
        <f t="shared" si="0"/>
        <v>114</v>
      </c>
      <c r="F6" s="19">
        <f t="shared" si="0"/>
        <v>3</v>
      </c>
      <c r="G6" s="19">
        <f t="shared" si="1"/>
        <v>1.8</v>
      </c>
      <c r="H6" s="19">
        <f t="shared" si="1"/>
        <v>1</v>
      </c>
      <c r="I6" s="19">
        <f t="shared" si="1"/>
        <v>0</v>
      </c>
      <c r="J6" s="19">
        <f t="shared" si="0"/>
        <v>0</v>
      </c>
      <c r="K6" s="19">
        <f t="shared" si="0"/>
        <v>0</v>
      </c>
      <c r="L6" s="19">
        <f t="shared" si="0"/>
        <v>40</v>
      </c>
      <c r="M6" s="19">
        <f t="shared" si="0"/>
        <v>0</v>
      </c>
      <c r="N6" s="19">
        <f t="shared" si="0"/>
        <v>2</v>
      </c>
      <c r="O6" s="19">
        <f t="shared" si="0"/>
        <v>114</v>
      </c>
      <c r="P6" s="19">
        <f t="shared" si="0"/>
        <v>1</v>
      </c>
      <c r="Q6" s="19">
        <f t="shared" si="0"/>
        <v>3</v>
      </c>
      <c r="R6" s="19">
        <f t="shared" si="0"/>
        <v>10</v>
      </c>
      <c r="S6" s="19">
        <f t="shared" si="0"/>
        <v>0</v>
      </c>
      <c r="T6" s="19">
        <f t="shared" si="0"/>
        <v>0</v>
      </c>
      <c r="U6" s="19">
        <f t="shared" si="0"/>
        <v>0</v>
      </c>
      <c r="V6" s="19">
        <f t="shared" si="0"/>
        <v>0</v>
      </c>
      <c r="W6" s="19">
        <f t="shared" si="0"/>
        <v>1</v>
      </c>
    </row>
    <row r="7" spans="1:23">
      <c r="A7" s="24" t="str">
        <f t="shared" si="2"/>
        <v>11101_1-4/113&lt;lv3&gt;s1</v>
      </c>
      <c r="B7" s="19">
        <f t="shared" si="0"/>
        <v>11101</v>
      </c>
      <c r="C7" s="19">
        <f t="shared" si="0"/>
        <v>1</v>
      </c>
      <c r="D7" s="19">
        <f t="shared" si="0"/>
        <v>4</v>
      </c>
      <c r="E7" s="19">
        <f t="shared" si="0"/>
        <v>113</v>
      </c>
      <c r="F7" s="19">
        <f t="shared" si="0"/>
        <v>3</v>
      </c>
      <c r="G7" s="19">
        <f t="shared" si="1"/>
        <v>1</v>
      </c>
      <c r="H7" s="19">
        <f t="shared" si="1"/>
        <v>1</v>
      </c>
      <c r="I7" s="19">
        <f t="shared" si="1"/>
        <v>0</v>
      </c>
      <c r="J7" s="19">
        <f t="shared" si="0"/>
        <v>0</v>
      </c>
      <c r="K7" s="19">
        <f t="shared" si="0"/>
        <v>0</v>
      </c>
      <c r="L7" s="19">
        <f t="shared" si="0"/>
        <v>100</v>
      </c>
      <c r="M7" s="19">
        <f t="shared" si="0"/>
        <v>0</v>
      </c>
      <c r="N7" s="19">
        <f t="shared" si="0"/>
        <v>1</v>
      </c>
      <c r="O7" s="19">
        <f t="shared" si="0"/>
        <v>113</v>
      </c>
      <c r="P7" s="19">
        <f t="shared" si="0"/>
        <v>1</v>
      </c>
      <c r="Q7" s="19">
        <f t="shared" si="0"/>
        <v>2</v>
      </c>
      <c r="R7" s="19">
        <f t="shared" si="0"/>
        <v>50</v>
      </c>
      <c r="S7" s="19">
        <f t="shared" si="0"/>
        <v>0</v>
      </c>
      <c r="T7" s="19">
        <f t="shared" si="0"/>
        <v>0</v>
      </c>
      <c r="U7" s="19">
        <f t="shared" si="0"/>
        <v>0</v>
      </c>
      <c r="V7" s="19">
        <f t="shared" si="0"/>
        <v>0</v>
      </c>
      <c r="W7" s="19">
        <f t="shared" si="0"/>
        <v>1</v>
      </c>
    </row>
    <row r="8" spans="1:23">
      <c r="A8" s="24" t="str">
        <f t="shared" si="2"/>
        <v>11101_1-4/114&lt;lv3&gt;s2</v>
      </c>
      <c r="B8" s="19">
        <f t="shared" si="0"/>
        <v>11101</v>
      </c>
      <c r="C8" s="19">
        <f t="shared" si="0"/>
        <v>1</v>
      </c>
      <c r="D8" s="19">
        <f t="shared" si="0"/>
        <v>4</v>
      </c>
      <c r="E8" s="19">
        <f t="shared" si="0"/>
        <v>114</v>
      </c>
      <c r="F8" s="19">
        <f t="shared" si="0"/>
        <v>3</v>
      </c>
      <c r="G8" s="19">
        <f t="shared" si="1"/>
        <v>1.8</v>
      </c>
      <c r="H8" s="19">
        <f t="shared" si="1"/>
        <v>1</v>
      </c>
      <c r="I8" s="19">
        <f t="shared" si="1"/>
        <v>0</v>
      </c>
      <c r="J8" s="19">
        <f t="shared" si="0"/>
        <v>0</v>
      </c>
      <c r="K8" s="19">
        <f t="shared" si="0"/>
        <v>0</v>
      </c>
      <c r="L8" s="19">
        <f t="shared" si="0"/>
        <v>40</v>
      </c>
      <c r="M8" s="19">
        <f t="shared" si="0"/>
        <v>0</v>
      </c>
      <c r="N8" s="19">
        <f t="shared" si="0"/>
        <v>2</v>
      </c>
      <c r="O8" s="19">
        <f t="shared" si="0"/>
        <v>114</v>
      </c>
      <c r="P8" s="19">
        <f t="shared" si="0"/>
        <v>1</v>
      </c>
      <c r="Q8" s="19">
        <f t="shared" si="0"/>
        <v>3</v>
      </c>
      <c r="R8" s="19">
        <f t="shared" si="0"/>
        <v>20</v>
      </c>
      <c r="S8" s="19">
        <f t="shared" si="0"/>
        <v>0</v>
      </c>
      <c r="T8" s="19">
        <f t="shared" si="0"/>
        <v>0</v>
      </c>
      <c r="U8" s="19">
        <f t="shared" si="0"/>
        <v>0</v>
      </c>
      <c r="V8" s="19">
        <f t="shared" si="0"/>
        <v>0</v>
      </c>
      <c r="W8" s="19">
        <f t="shared" si="0"/>
        <v>1</v>
      </c>
    </row>
    <row r="9" spans="1:23">
      <c r="A9" s="24" t="str">
        <f t="shared" si="2"/>
        <v>11101_1-5/113&lt;lv3&gt;s1</v>
      </c>
      <c r="B9" s="19">
        <f t="shared" si="0"/>
        <v>11101</v>
      </c>
      <c r="C9" s="19">
        <f t="shared" si="0"/>
        <v>1</v>
      </c>
      <c r="D9" s="19">
        <f t="shared" si="0"/>
        <v>5</v>
      </c>
      <c r="E9" s="19">
        <f t="shared" si="0"/>
        <v>113</v>
      </c>
      <c r="F9" s="19">
        <f t="shared" si="0"/>
        <v>3</v>
      </c>
      <c r="G9" s="19">
        <f t="shared" si="1"/>
        <v>1</v>
      </c>
      <c r="H9" s="19">
        <f t="shared" si="1"/>
        <v>1</v>
      </c>
      <c r="I9" s="19">
        <f t="shared" si="1"/>
        <v>0</v>
      </c>
      <c r="J9" s="19">
        <f t="shared" si="0"/>
        <v>0</v>
      </c>
      <c r="K9" s="19">
        <f t="shared" si="0"/>
        <v>2</v>
      </c>
      <c r="L9" s="19">
        <f t="shared" si="0"/>
        <v>100</v>
      </c>
      <c r="M9" s="19">
        <f t="shared" si="0"/>
        <v>0</v>
      </c>
      <c r="N9" s="19">
        <f t="shared" si="0"/>
        <v>1</v>
      </c>
      <c r="O9" s="19">
        <f t="shared" si="0"/>
        <v>113</v>
      </c>
      <c r="P9" s="19">
        <f t="shared" si="0"/>
        <v>1</v>
      </c>
      <c r="Q9" s="19">
        <f t="shared" si="0"/>
        <v>2</v>
      </c>
      <c r="R9" s="19">
        <f t="shared" si="0"/>
        <v>50</v>
      </c>
      <c r="S9" s="19">
        <f t="shared" si="0"/>
        <v>0</v>
      </c>
      <c r="T9" s="19">
        <f t="shared" si="0"/>
        <v>0</v>
      </c>
      <c r="U9" s="19">
        <f t="shared" si="0"/>
        <v>0</v>
      </c>
      <c r="V9" s="19">
        <f t="shared" si="0"/>
        <v>0</v>
      </c>
      <c r="W9" s="19">
        <f t="shared" si="0"/>
        <v>1</v>
      </c>
    </row>
    <row r="10" spans="1:23">
      <c r="A10" s="24" t="str">
        <f t="shared" si="2"/>
        <v>11101_1-5/114&lt;lv5&gt;s2</v>
      </c>
      <c r="B10" s="19">
        <f t="shared" si="0"/>
        <v>11101</v>
      </c>
      <c r="C10" s="19">
        <f t="shared" si="0"/>
        <v>1</v>
      </c>
      <c r="D10" s="19">
        <f t="shared" si="0"/>
        <v>5</v>
      </c>
      <c r="E10" s="19">
        <f t="shared" si="0"/>
        <v>114</v>
      </c>
      <c r="F10" s="19">
        <f t="shared" si="0"/>
        <v>5</v>
      </c>
      <c r="G10" s="19">
        <f t="shared" si="1"/>
        <v>1.8</v>
      </c>
      <c r="H10" s="19">
        <f t="shared" si="1"/>
        <v>1</v>
      </c>
      <c r="I10" s="19">
        <f t="shared" si="1"/>
        <v>0</v>
      </c>
      <c r="J10" s="19">
        <f t="shared" si="0"/>
        <v>0</v>
      </c>
      <c r="K10" s="19">
        <f t="shared" si="0"/>
        <v>1</v>
      </c>
      <c r="L10" s="19">
        <f t="shared" si="0"/>
        <v>100</v>
      </c>
      <c r="M10" s="19">
        <f t="shared" si="0"/>
        <v>1</v>
      </c>
      <c r="N10" s="19">
        <f t="shared" si="0"/>
        <v>2</v>
      </c>
      <c r="O10" s="19">
        <f t="shared" si="0"/>
        <v>114</v>
      </c>
      <c r="P10" s="19">
        <f t="shared" si="0"/>
        <v>1</v>
      </c>
      <c r="Q10" s="19">
        <f t="shared" si="0"/>
        <v>3</v>
      </c>
      <c r="R10" s="19">
        <f t="shared" si="0"/>
        <v>10</v>
      </c>
      <c r="S10" s="19">
        <f t="shared" si="0"/>
        <v>0</v>
      </c>
      <c r="T10" s="19">
        <f t="shared" si="0"/>
        <v>0</v>
      </c>
      <c r="U10" s="19">
        <f t="shared" si="0"/>
        <v>0</v>
      </c>
      <c r="V10" s="19">
        <f t="shared" si="0"/>
        <v>0</v>
      </c>
      <c r="W10" s="19">
        <f t="shared" si="0"/>
        <v>1</v>
      </c>
    </row>
    <row r="11" spans="1:23">
      <c r="A11" s="24" t="str">
        <f t="shared" si="2"/>
        <v>11101_2-1/114&lt;lv15&gt;s2</v>
      </c>
      <c r="B11" s="19">
        <f t="shared" si="0"/>
        <v>11101</v>
      </c>
      <c r="C11" s="19">
        <f t="shared" si="0"/>
        <v>2</v>
      </c>
      <c r="D11" s="19">
        <f t="shared" si="0"/>
        <v>1</v>
      </c>
      <c r="E11" s="19">
        <f t="shared" si="0"/>
        <v>114</v>
      </c>
      <c r="F11" s="19">
        <f t="shared" si="0"/>
        <v>15</v>
      </c>
      <c r="G11" s="19">
        <f t="shared" si="1"/>
        <v>1.8</v>
      </c>
      <c r="H11" s="19">
        <f t="shared" si="1"/>
        <v>1</v>
      </c>
      <c r="I11" s="19">
        <f t="shared" si="1"/>
        <v>0</v>
      </c>
      <c r="J11" s="19">
        <f t="shared" si="0"/>
        <v>0</v>
      </c>
      <c r="K11" s="19">
        <f t="shared" si="0"/>
        <v>0</v>
      </c>
      <c r="L11" s="19">
        <f t="shared" si="0"/>
        <v>100</v>
      </c>
      <c r="M11" s="19">
        <f t="shared" si="0"/>
        <v>0</v>
      </c>
      <c r="N11" s="19">
        <f t="shared" si="0"/>
        <v>2</v>
      </c>
      <c r="O11" s="19">
        <f t="shared" si="0"/>
        <v>114</v>
      </c>
      <c r="P11" s="19">
        <f t="shared" si="0"/>
        <v>1</v>
      </c>
      <c r="Q11" s="19">
        <f t="shared" si="0"/>
        <v>3</v>
      </c>
      <c r="R11" s="19">
        <f t="shared" si="0"/>
        <v>30</v>
      </c>
      <c r="S11" s="19">
        <f t="shared" si="0"/>
        <v>0</v>
      </c>
      <c r="T11" s="19">
        <f t="shared" si="0"/>
        <v>0</v>
      </c>
      <c r="U11" s="19">
        <f t="shared" si="0"/>
        <v>0</v>
      </c>
      <c r="V11" s="19">
        <f t="shared" si="0"/>
        <v>0</v>
      </c>
      <c r="W11" s="19">
        <f t="shared" si="0"/>
        <v>1</v>
      </c>
    </row>
    <row r="12" spans="1:23">
      <c r="A12" s="24" t="str">
        <f t="shared" si="2"/>
        <v>11101_2-2/114&lt;lv15&gt;s2</v>
      </c>
      <c r="B12" s="19">
        <f t="shared" si="0"/>
        <v>11101</v>
      </c>
      <c r="C12" s="19">
        <f t="shared" si="0"/>
        <v>2</v>
      </c>
      <c r="D12" s="19">
        <f t="shared" si="0"/>
        <v>2</v>
      </c>
      <c r="E12" s="19">
        <f t="shared" si="0"/>
        <v>114</v>
      </c>
      <c r="F12" s="19">
        <f t="shared" si="0"/>
        <v>15</v>
      </c>
      <c r="G12" s="19">
        <f t="shared" si="1"/>
        <v>1.8</v>
      </c>
      <c r="H12" s="19">
        <f t="shared" si="1"/>
        <v>1</v>
      </c>
      <c r="I12" s="19">
        <f t="shared" si="1"/>
        <v>0</v>
      </c>
      <c r="J12" s="19">
        <f t="shared" si="0"/>
        <v>0</v>
      </c>
      <c r="K12" s="19">
        <f t="shared" si="0"/>
        <v>0</v>
      </c>
      <c r="L12" s="19">
        <f t="shared" si="0"/>
        <v>100</v>
      </c>
      <c r="M12" s="19">
        <f t="shared" si="0"/>
        <v>0</v>
      </c>
      <c r="N12" s="19">
        <f t="shared" si="0"/>
        <v>2</v>
      </c>
      <c r="O12" s="19">
        <f t="shared" si="0"/>
        <v>114</v>
      </c>
      <c r="P12" s="19">
        <f t="shared" si="0"/>
        <v>1</v>
      </c>
      <c r="Q12" s="19">
        <f t="shared" si="0"/>
        <v>3</v>
      </c>
      <c r="R12" s="19">
        <f t="shared" si="0"/>
        <v>30</v>
      </c>
      <c r="S12" s="19">
        <f t="shared" si="0"/>
        <v>0</v>
      </c>
      <c r="T12" s="19">
        <f t="shared" si="0"/>
        <v>0</v>
      </c>
      <c r="U12" s="19">
        <f t="shared" si="0"/>
        <v>0</v>
      </c>
      <c r="V12" s="19">
        <f t="shared" si="0"/>
        <v>0</v>
      </c>
      <c r="W12" s="19">
        <f t="shared" si="0"/>
        <v>1</v>
      </c>
    </row>
    <row r="13" spans="1:23">
      <c r="A13" s="24" t="str">
        <f t="shared" si="2"/>
        <v>11101_2-3/114&lt;lv15&gt;s2</v>
      </c>
      <c r="B13" s="19">
        <f t="shared" si="0"/>
        <v>11101</v>
      </c>
      <c r="C13" s="19">
        <f t="shared" si="0"/>
        <v>2</v>
      </c>
      <c r="D13" s="19">
        <f t="shared" si="0"/>
        <v>3</v>
      </c>
      <c r="E13" s="19">
        <f t="shared" si="0"/>
        <v>114</v>
      </c>
      <c r="F13" s="19">
        <f t="shared" si="0"/>
        <v>15</v>
      </c>
      <c r="G13" s="19">
        <f t="shared" si="1"/>
        <v>1.8</v>
      </c>
      <c r="H13" s="19">
        <f t="shared" si="1"/>
        <v>1</v>
      </c>
      <c r="I13" s="19">
        <f t="shared" si="1"/>
        <v>0</v>
      </c>
      <c r="J13" s="19">
        <f t="shared" si="0"/>
        <v>0</v>
      </c>
      <c r="K13" s="19">
        <f t="shared" si="0"/>
        <v>0</v>
      </c>
      <c r="L13" s="19">
        <f t="shared" si="0"/>
        <v>100</v>
      </c>
      <c r="M13" s="19">
        <f t="shared" si="0"/>
        <v>0</v>
      </c>
      <c r="N13" s="19">
        <f t="shared" si="0"/>
        <v>2</v>
      </c>
      <c r="O13" s="19">
        <f t="shared" si="0"/>
        <v>114</v>
      </c>
      <c r="P13" s="19">
        <f t="shared" si="0"/>
        <v>1</v>
      </c>
      <c r="Q13" s="19">
        <f t="shared" si="0"/>
        <v>3</v>
      </c>
      <c r="R13" s="19">
        <f t="shared" si="0"/>
        <v>30</v>
      </c>
      <c r="S13" s="19">
        <f t="shared" si="0"/>
        <v>0</v>
      </c>
      <c r="T13" s="19">
        <f t="shared" si="0"/>
        <v>0</v>
      </c>
      <c r="U13" s="19">
        <f t="shared" si="0"/>
        <v>0</v>
      </c>
      <c r="V13" s="19">
        <f t="shared" si="0"/>
        <v>0</v>
      </c>
      <c r="W13" s="19">
        <f t="shared" si="0"/>
        <v>1</v>
      </c>
    </row>
    <row r="14" spans="1:23">
      <c r="A14" s="24" t="str">
        <f t="shared" si="2"/>
        <v>11101_2-3/115&lt;lv15&gt;s2</v>
      </c>
      <c r="B14" s="19">
        <f t="shared" si="0"/>
        <v>11101</v>
      </c>
      <c r="C14" s="19">
        <f t="shared" si="0"/>
        <v>2</v>
      </c>
      <c r="D14" s="19">
        <f t="shared" si="0"/>
        <v>3</v>
      </c>
      <c r="E14" s="19">
        <f t="shared" si="0"/>
        <v>115</v>
      </c>
      <c r="F14" s="19">
        <f t="shared" si="0"/>
        <v>15</v>
      </c>
      <c r="G14" s="19">
        <f t="shared" si="1"/>
        <v>2</v>
      </c>
      <c r="H14" s="19">
        <f t="shared" si="1"/>
        <v>1</v>
      </c>
      <c r="I14" s="19">
        <f t="shared" si="1"/>
        <v>0</v>
      </c>
      <c r="J14" s="19">
        <f t="shared" si="0"/>
        <v>0</v>
      </c>
      <c r="K14" s="19">
        <f t="shared" si="0"/>
        <v>0</v>
      </c>
      <c r="L14" s="19">
        <f t="shared" si="0"/>
        <v>25</v>
      </c>
      <c r="M14" s="19">
        <f t="shared" si="0"/>
        <v>0</v>
      </c>
      <c r="N14" s="19">
        <f t="shared" si="0"/>
        <v>2</v>
      </c>
      <c r="O14" s="19">
        <f t="shared" si="0"/>
        <v>115</v>
      </c>
      <c r="P14" s="19">
        <f t="shared" si="0"/>
        <v>1</v>
      </c>
      <c r="Q14" s="19">
        <f t="shared" si="0"/>
        <v>4</v>
      </c>
      <c r="R14" s="19">
        <f t="shared" si="0"/>
        <v>5</v>
      </c>
      <c r="S14" s="19">
        <f t="shared" si="0"/>
        <v>0</v>
      </c>
      <c r="T14" s="19">
        <f t="shared" si="0"/>
        <v>0</v>
      </c>
      <c r="U14" s="19">
        <f t="shared" si="0"/>
        <v>0</v>
      </c>
      <c r="V14" s="19">
        <f t="shared" si="0"/>
        <v>0</v>
      </c>
      <c r="W14" s="19">
        <f t="shared" si="0"/>
        <v>1</v>
      </c>
    </row>
    <row r="15" spans="1:23">
      <c r="A15" s="24" t="str">
        <f t="shared" si="2"/>
        <v>11101_2-4/114&lt;lv15&gt;s2</v>
      </c>
      <c r="B15" s="19">
        <f t="shared" si="0"/>
        <v>11101</v>
      </c>
      <c r="C15" s="19">
        <f t="shared" si="0"/>
        <v>2</v>
      </c>
      <c r="D15" s="19">
        <f t="shared" si="0"/>
        <v>4</v>
      </c>
      <c r="E15" s="19">
        <f t="shared" si="0"/>
        <v>114</v>
      </c>
      <c r="F15" s="19">
        <f t="shared" si="0"/>
        <v>15</v>
      </c>
      <c r="G15" s="19">
        <f t="shared" si="1"/>
        <v>1.8</v>
      </c>
      <c r="H15" s="19">
        <f t="shared" si="1"/>
        <v>1</v>
      </c>
      <c r="I15" s="19">
        <f t="shared" si="1"/>
        <v>0</v>
      </c>
      <c r="J15" s="19">
        <f t="shared" si="0"/>
        <v>0</v>
      </c>
      <c r="K15" s="19">
        <f t="shared" si="0"/>
        <v>0</v>
      </c>
      <c r="L15" s="19">
        <f t="shared" si="0"/>
        <v>100</v>
      </c>
      <c r="M15" s="19">
        <f t="shared" si="0"/>
        <v>0</v>
      </c>
      <c r="N15" s="19">
        <f t="shared" si="0"/>
        <v>2</v>
      </c>
      <c r="O15" s="19">
        <f t="shared" si="0"/>
        <v>114</v>
      </c>
      <c r="P15" s="19">
        <f t="shared" si="0"/>
        <v>1</v>
      </c>
      <c r="Q15" s="19">
        <f t="shared" si="0"/>
        <v>3</v>
      </c>
      <c r="R15" s="19">
        <f t="shared" si="0"/>
        <v>30</v>
      </c>
      <c r="S15" s="19">
        <f t="shared" si="0"/>
        <v>0</v>
      </c>
      <c r="T15" s="19">
        <f t="shared" si="0"/>
        <v>0</v>
      </c>
      <c r="U15" s="19">
        <f t="shared" si="0"/>
        <v>0</v>
      </c>
      <c r="V15" s="19">
        <f t="shared" si="0"/>
        <v>0</v>
      </c>
      <c r="W15" s="19">
        <f t="shared" si="0"/>
        <v>1</v>
      </c>
    </row>
    <row r="16" spans="1:23">
      <c r="A16" s="24" t="str">
        <f t="shared" si="2"/>
        <v>11101_2-4/115&lt;lv15&gt;s2</v>
      </c>
      <c r="B16" s="19">
        <f t="shared" si="0"/>
        <v>11101</v>
      </c>
      <c r="C16" s="19">
        <f t="shared" si="0"/>
        <v>2</v>
      </c>
      <c r="D16" s="19">
        <f t="shared" si="0"/>
        <v>4</v>
      </c>
      <c r="E16" s="19">
        <f t="shared" si="0"/>
        <v>115</v>
      </c>
      <c r="F16" s="19">
        <f t="shared" si="0"/>
        <v>15</v>
      </c>
      <c r="G16" s="19">
        <f t="shared" si="1"/>
        <v>2</v>
      </c>
      <c r="H16" s="19">
        <f t="shared" si="1"/>
        <v>1</v>
      </c>
      <c r="I16" s="19">
        <f t="shared" si="1"/>
        <v>0</v>
      </c>
      <c r="J16" s="19">
        <f t="shared" si="0"/>
        <v>0</v>
      </c>
      <c r="K16" s="19">
        <f t="shared" si="0"/>
        <v>0</v>
      </c>
      <c r="L16" s="19">
        <f t="shared" si="0"/>
        <v>25</v>
      </c>
      <c r="M16" s="19">
        <f t="shared" ref="M16:W52" si="3">VLOOKUP($A16,OFFSET(INDIRECT($C$1&amp;"!$A1"),0,0,COUNTA(INDIRECT($C$1&amp;"!$A:$A"))+1,MATCH(M$2,INDIRECT($C$1&amp;"!"&amp;$B$1),0)-MATCH($A$2,INDIRECT($C$1&amp;"!"&amp;$B$1),0)+1),MATCH(M$2,INDIRECT($C$1&amp;"!"&amp;$B$1),0)-MATCH($A$2,INDIRECT($C$1&amp;"!"&amp;$B$1),0)+1,FALSE)</f>
        <v>0</v>
      </c>
      <c r="N16" s="19">
        <f t="shared" si="3"/>
        <v>2</v>
      </c>
      <c r="O16" s="19">
        <f t="shared" si="3"/>
        <v>115</v>
      </c>
      <c r="P16" s="19">
        <f t="shared" si="3"/>
        <v>1</v>
      </c>
      <c r="Q16" s="19">
        <f t="shared" si="3"/>
        <v>4</v>
      </c>
      <c r="R16" s="19">
        <f t="shared" si="3"/>
        <v>5</v>
      </c>
      <c r="S16" s="19">
        <f t="shared" si="3"/>
        <v>0</v>
      </c>
      <c r="T16" s="19">
        <f t="shared" si="3"/>
        <v>0</v>
      </c>
      <c r="U16" s="19">
        <f t="shared" si="3"/>
        <v>0</v>
      </c>
      <c r="V16" s="19">
        <f t="shared" si="3"/>
        <v>0</v>
      </c>
      <c r="W16" s="19">
        <f t="shared" si="3"/>
        <v>1</v>
      </c>
    </row>
    <row r="17" spans="1:23">
      <c r="A17" s="24" t="str">
        <f t="shared" si="2"/>
        <v>11101_2-5/114&lt;lv15&gt;s2</v>
      </c>
      <c r="B17" s="19">
        <f t="shared" ref="B17:Q33" si="4">VLOOKUP($A17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11101</v>
      </c>
      <c r="C17" s="19">
        <f t="shared" si="4"/>
        <v>2</v>
      </c>
      <c r="D17" s="19">
        <f t="shared" si="4"/>
        <v>5</v>
      </c>
      <c r="E17" s="19">
        <f t="shared" si="4"/>
        <v>114</v>
      </c>
      <c r="F17" s="19">
        <f t="shared" si="4"/>
        <v>15</v>
      </c>
      <c r="G17" s="19">
        <f t="shared" si="1"/>
        <v>1.8</v>
      </c>
      <c r="H17" s="19">
        <f t="shared" si="1"/>
        <v>1</v>
      </c>
      <c r="I17" s="19">
        <f t="shared" si="1"/>
        <v>0</v>
      </c>
      <c r="J17" s="19">
        <f t="shared" si="4"/>
        <v>0</v>
      </c>
      <c r="K17" s="19">
        <f t="shared" si="4"/>
        <v>2</v>
      </c>
      <c r="L17" s="19">
        <f t="shared" si="4"/>
        <v>100</v>
      </c>
      <c r="M17" s="19">
        <f t="shared" si="4"/>
        <v>0</v>
      </c>
      <c r="N17" s="19">
        <f t="shared" si="4"/>
        <v>2</v>
      </c>
      <c r="O17" s="19">
        <f t="shared" si="4"/>
        <v>114</v>
      </c>
      <c r="P17" s="19">
        <f t="shared" si="4"/>
        <v>1</v>
      </c>
      <c r="Q17" s="19">
        <f t="shared" si="4"/>
        <v>3</v>
      </c>
      <c r="R17" s="19">
        <f t="shared" si="3"/>
        <v>30</v>
      </c>
      <c r="S17" s="19">
        <f t="shared" si="3"/>
        <v>0</v>
      </c>
      <c r="T17" s="19">
        <f t="shared" si="3"/>
        <v>0</v>
      </c>
      <c r="U17" s="19">
        <f t="shared" si="3"/>
        <v>0</v>
      </c>
      <c r="V17" s="19">
        <f t="shared" si="3"/>
        <v>0</v>
      </c>
      <c r="W17" s="19">
        <f t="shared" si="3"/>
        <v>1</v>
      </c>
    </row>
    <row r="18" spans="1:23">
      <c r="A18" s="24" t="str">
        <f t="shared" si="2"/>
        <v>11101_2-5/56&lt;lv18&gt;s4</v>
      </c>
      <c r="B18" s="19">
        <f t="shared" si="4"/>
        <v>11101</v>
      </c>
      <c r="C18" s="19">
        <f t="shared" si="4"/>
        <v>2</v>
      </c>
      <c r="D18" s="19">
        <f t="shared" si="4"/>
        <v>5</v>
      </c>
      <c r="E18" s="19">
        <f t="shared" si="4"/>
        <v>56</v>
      </c>
      <c r="F18" s="19">
        <f t="shared" si="4"/>
        <v>18</v>
      </c>
      <c r="G18" s="19">
        <f t="shared" si="1"/>
        <v>1</v>
      </c>
      <c r="H18" s="19">
        <f t="shared" si="1"/>
        <v>1</v>
      </c>
      <c r="I18" s="19">
        <f t="shared" si="1"/>
        <v>0</v>
      </c>
      <c r="J18" s="19">
        <f t="shared" si="4"/>
        <v>56</v>
      </c>
      <c r="K18" s="19">
        <f t="shared" si="4"/>
        <v>0</v>
      </c>
      <c r="L18" s="19">
        <f t="shared" si="4"/>
        <v>100</v>
      </c>
      <c r="M18" s="19">
        <f t="shared" si="4"/>
        <v>1</v>
      </c>
      <c r="N18" s="19">
        <f t="shared" si="4"/>
        <v>4</v>
      </c>
      <c r="O18" s="19">
        <f t="shared" si="4"/>
        <v>55</v>
      </c>
      <c r="P18" s="19">
        <f t="shared" si="4"/>
        <v>1</v>
      </c>
      <c r="Q18" s="19">
        <f t="shared" si="4"/>
        <v>2</v>
      </c>
      <c r="R18" s="19">
        <f t="shared" si="3"/>
        <v>0</v>
      </c>
      <c r="S18" s="19">
        <f t="shared" si="3"/>
        <v>0</v>
      </c>
      <c r="T18" s="19">
        <f t="shared" si="3"/>
        <v>0</v>
      </c>
      <c r="U18" s="19">
        <f t="shared" si="3"/>
        <v>0</v>
      </c>
      <c r="V18" s="19">
        <f t="shared" si="3"/>
        <v>0</v>
      </c>
      <c r="W18" s="19">
        <f t="shared" si="3"/>
        <v>1</v>
      </c>
    </row>
    <row r="19" spans="1:23">
      <c r="A19" s="24" t="str">
        <f t="shared" si="2"/>
        <v>11101_2-5/48&lt;lv18&gt;s1</v>
      </c>
      <c r="B19" s="19">
        <f t="shared" si="4"/>
        <v>11101</v>
      </c>
      <c r="C19" s="19">
        <f t="shared" si="4"/>
        <v>2</v>
      </c>
      <c r="D19" s="19">
        <f t="shared" si="4"/>
        <v>5</v>
      </c>
      <c r="E19" s="19">
        <f t="shared" si="4"/>
        <v>48</v>
      </c>
      <c r="F19" s="19">
        <f t="shared" si="4"/>
        <v>18</v>
      </c>
      <c r="G19" s="19">
        <f t="shared" si="4"/>
        <v>1</v>
      </c>
      <c r="H19" s="19">
        <f t="shared" si="4"/>
        <v>1</v>
      </c>
      <c r="I19" s="19">
        <f t="shared" si="4"/>
        <v>0</v>
      </c>
      <c r="J19" s="19">
        <f t="shared" si="4"/>
        <v>0</v>
      </c>
      <c r="K19" s="19">
        <f t="shared" si="4"/>
        <v>0</v>
      </c>
      <c r="L19" s="19">
        <f t="shared" si="4"/>
        <v>100</v>
      </c>
      <c r="M19" s="19">
        <f t="shared" si="4"/>
        <v>1</v>
      </c>
      <c r="N19" s="19">
        <f t="shared" si="4"/>
        <v>1</v>
      </c>
      <c r="O19" s="19">
        <f t="shared" si="4"/>
        <v>47</v>
      </c>
      <c r="P19" s="19">
        <f t="shared" si="4"/>
        <v>1</v>
      </c>
      <c r="Q19" s="19">
        <f t="shared" si="4"/>
        <v>2</v>
      </c>
      <c r="R19" s="19">
        <f t="shared" si="3"/>
        <v>0</v>
      </c>
      <c r="S19" s="19">
        <f t="shared" si="3"/>
        <v>0</v>
      </c>
      <c r="T19" s="19">
        <f t="shared" si="3"/>
        <v>0</v>
      </c>
      <c r="U19" s="19">
        <f t="shared" si="3"/>
        <v>0</v>
      </c>
      <c r="V19" s="19">
        <f t="shared" si="3"/>
        <v>0</v>
      </c>
      <c r="W19" s="19">
        <f t="shared" si="3"/>
        <v>1</v>
      </c>
    </row>
    <row r="20" spans="1:23">
      <c r="A20" s="24" t="str">
        <f t="shared" si="2"/>
        <v>11101_2-5/64&lt;lv18&gt;s1</v>
      </c>
      <c r="B20" s="19">
        <f t="shared" si="4"/>
        <v>11101</v>
      </c>
      <c r="C20" s="19">
        <f t="shared" si="4"/>
        <v>2</v>
      </c>
      <c r="D20" s="19">
        <f t="shared" si="4"/>
        <v>5</v>
      </c>
      <c r="E20" s="19">
        <f t="shared" si="4"/>
        <v>64</v>
      </c>
      <c r="F20" s="19">
        <f t="shared" si="4"/>
        <v>18</v>
      </c>
      <c r="G20" s="19">
        <f t="shared" si="4"/>
        <v>1</v>
      </c>
      <c r="H20" s="19">
        <f t="shared" si="4"/>
        <v>1</v>
      </c>
      <c r="I20" s="19">
        <f t="shared" si="4"/>
        <v>0</v>
      </c>
      <c r="J20" s="19">
        <f t="shared" si="4"/>
        <v>64</v>
      </c>
      <c r="K20" s="19">
        <f t="shared" si="4"/>
        <v>0</v>
      </c>
      <c r="L20" s="19">
        <f t="shared" si="4"/>
        <v>100</v>
      </c>
      <c r="M20" s="19">
        <f t="shared" si="4"/>
        <v>1</v>
      </c>
      <c r="N20" s="19">
        <f t="shared" si="4"/>
        <v>1</v>
      </c>
      <c r="O20" s="19">
        <f t="shared" si="4"/>
        <v>63</v>
      </c>
      <c r="P20" s="19">
        <f t="shared" si="4"/>
        <v>1</v>
      </c>
      <c r="Q20" s="19">
        <f t="shared" si="4"/>
        <v>2</v>
      </c>
      <c r="R20" s="19">
        <f t="shared" si="3"/>
        <v>0</v>
      </c>
      <c r="S20" s="19">
        <f t="shared" si="3"/>
        <v>0</v>
      </c>
      <c r="T20" s="19">
        <f t="shared" si="3"/>
        <v>0</v>
      </c>
      <c r="U20" s="19">
        <f t="shared" si="3"/>
        <v>0</v>
      </c>
      <c r="V20" s="19">
        <f t="shared" si="3"/>
        <v>0</v>
      </c>
      <c r="W20" s="19">
        <f t="shared" si="3"/>
        <v>1</v>
      </c>
    </row>
    <row r="21" spans="1:23">
      <c r="A21" s="24" t="str">
        <f t="shared" si="2"/>
        <v>11101_3-1/115&lt;lv30&gt;s2</v>
      </c>
      <c r="B21" s="19">
        <f t="shared" si="4"/>
        <v>11101</v>
      </c>
      <c r="C21" s="19">
        <f t="shared" si="4"/>
        <v>3</v>
      </c>
      <c r="D21" s="19">
        <f t="shared" si="4"/>
        <v>1</v>
      </c>
      <c r="E21" s="19">
        <f t="shared" si="4"/>
        <v>115</v>
      </c>
      <c r="F21" s="19">
        <f t="shared" si="4"/>
        <v>30</v>
      </c>
      <c r="G21" s="19">
        <f t="shared" si="4"/>
        <v>2</v>
      </c>
      <c r="H21" s="19">
        <f t="shared" si="4"/>
        <v>1</v>
      </c>
      <c r="I21" s="19">
        <f t="shared" si="4"/>
        <v>0</v>
      </c>
      <c r="J21" s="19">
        <f t="shared" si="4"/>
        <v>0</v>
      </c>
      <c r="K21" s="19">
        <f t="shared" si="4"/>
        <v>1</v>
      </c>
      <c r="L21" s="19">
        <f t="shared" si="4"/>
        <v>100</v>
      </c>
      <c r="M21" s="19">
        <f t="shared" si="4"/>
        <v>1</v>
      </c>
      <c r="N21" s="19">
        <f t="shared" si="4"/>
        <v>2</v>
      </c>
      <c r="O21" s="19">
        <f t="shared" si="4"/>
        <v>115</v>
      </c>
      <c r="P21" s="19">
        <f t="shared" si="4"/>
        <v>1</v>
      </c>
      <c r="Q21" s="19">
        <f t="shared" si="4"/>
        <v>4</v>
      </c>
      <c r="R21" s="19">
        <f t="shared" si="3"/>
        <v>10</v>
      </c>
      <c r="S21" s="19">
        <f t="shared" si="3"/>
        <v>0</v>
      </c>
      <c r="T21" s="19">
        <f t="shared" si="3"/>
        <v>0</v>
      </c>
      <c r="U21" s="19">
        <f t="shared" si="3"/>
        <v>0</v>
      </c>
      <c r="V21" s="19">
        <f t="shared" si="3"/>
        <v>0</v>
      </c>
      <c r="W21" s="19">
        <f t="shared" si="3"/>
        <v>1</v>
      </c>
    </row>
    <row r="22" spans="1:23">
      <c r="A22" s="24" t="str">
        <f t="shared" si="2"/>
        <v>11101_3-1/39&lt;lv35&gt;s3</v>
      </c>
      <c r="B22" s="19">
        <f t="shared" si="4"/>
        <v>11101</v>
      </c>
      <c r="C22" s="19">
        <f t="shared" si="4"/>
        <v>3</v>
      </c>
      <c r="D22" s="19">
        <f t="shared" si="4"/>
        <v>1</v>
      </c>
      <c r="E22" s="19">
        <f t="shared" si="4"/>
        <v>39</v>
      </c>
      <c r="F22" s="19">
        <f t="shared" si="4"/>
        <v>35</v>
      </c>
      <c r="G22" s="19">
        <f t="shared" si="4"/>
        <v>1</v>
      </c>
      <c r="H22" s="19">
        <f t="shared" si="4"/>
        <v>1</v>
      </c>
      <c r="I22" s="19">
        <f t="shared" si="4"/>
        <v>0</v>
      </c>
      <c r="J22" s="19">
        <f t="shared" si="4"/>
        <v>39</v>
      </c>
      <c r="K22" s="19">
        <f t="shared" si="4"/>
        <v>0</v>
      </c>
      <c r="L22" s="19">
        <f t="shared" si="4"/>
        <v>100</v>
      </c>
      <c r="M22" s="19">
        <f t="shared" si="4"/>
        <v>0</v>
      </c>
      <c r="N22" s="19">
        <f t="shared" si="4"/>
        <v>3</v>
      </c>
      <c r="O22" s="19">
        <f t="shared" si="4"/>
        <v>39</v>
      </c>
      <c r="P22" s="19">
        <f t="shared" si="4"/>
        <v>1</v>
      </c>
      <c r="Q22" s="19">
        <f t="shared" si="4"/>
        <v>2</v>
      </c>
      <c r="R22" s="19">
        <f t="shared" si="3"/>
        <v>0</v>
      </c>
      <c r="S22" s="19">
        <f t="shared" si="3"/>
        <v>0</v>
      </c>
      <c r="T22" s="19">
        <f t="shared" si="3"/>
        <v>0</v>
      </c>
      <c r="U22" s="19">
        <f t="shared" si="3"/>
        <v>0</v>
      </c>
      <c r="V22" s="19">
        <f t="shared" si="3"/>
        <v>0</v>
      </c>
      <c r="W22" s="19">
        <f t="shared" si="3"/>
        <v>1</v>
      </c>
    </row>
    <row r="23" spans="1:23">
      <c r="A23" s="24" t="str">
        <f t="shared" si="2"/>
        <v>11101_3-1/31&lt;lv35&gt;s2</v>
      </c>
      <c r="B23" s="19">
        <f t="shared" si="4"/>
        <v>11101</v>
      </c>
      <c r="C23" s="19">
        <f t="shared" si="4"/>
        <v>3</v>
      </c>
      <c r="D23" s="19">
        <f t="shared" si="4"/>
        <v>1</v>
      </c>
      <c r="E23" s="19">
        <f t="shared" si="4"/>
        <v>31</v>
      </c>
      <c r="F23" s="19">
        <f t="shared" si="4"/>
        <v>35</v>
      </c>
      <c r="G23" s="19">
        <f t="shared" si="4"/>
        <v>1</v>
      </c>
      <c r="H23" s="19">
        <f t="shared" si="4"/>
        <v>1</v>
      </c>
      <c r="I23" s="19">
        <f t="shared" si="4"/>
        <v>0</v>
      </c>
      <c r="J23" s="19">
        <f t="shared" si="4"/>
        <v>0</v>
      </c>
      <c r="K23" s="19">
        <f t="shared" si="4"/>
        <v>0</v>
      </c>
      <c r="L23" s="19">
        <f t="shared" si="4"/>
        <v>100</v>
      </c>
      <c r="M23" s="19">
        <f t="shared" si="4"/>
        <v>0</v>
      </c>
      <c r="N23" s="19">
        <f t="shared" si="4"/>
        <v>2</v>
      </c>
      <c r="O23" s="19">
        <f t="shared" si="4"/>
        <v>31</v>
      </c>
      <c r="P23" s="19">
        <f t="shared" si="4"/>
        <v>1</v>
      </c>
      <c r="Q23" s="19">
        <f t="shared" si="4"/>
        <v>1</v>
      </c>
      <c r="R23" s="19">
        <f t="shared" si="3"/>
        <v>0</v>
      </c>
      <c r="S23" s="19">
        <f t="shared" si="3"/>
        <v>0</v>
      </c>
      <c r="T23" s="19">
        <f t="shared" si="3"/>
        <v>0</v>
      </c>
      <c r="U23" s="19">
        <f t="shared" si="3"/>
        <v>0</v>
      </c>
      <c r="V23" s="19">
        <f t="shared" si="3"/>
        <v>0</v>
      </c>
      <c r="W23" s="19">
        <f t="shared" si="3"/>
        <v>1</v>
      </c>
    </row>
    <row r="24" spans="1:23">
      <c r="A24" s="24" t="str">
        <f t="shared" si="2"/>
        <v>11101_3-1/344&lt;lv1&gt;s1</v>
      </c>
      <c r="B24" s="19">
        <f t="shared" si="4"/>
        <v>11101</v>
      </c>
      <c r="C24" s="19">
        <f t="shared" si="4"/>
        <v>3</v>
      </c>
      <c r="D24" s="19">
        <f t="shared" si="4"/>
        <v>1</v>
      </c>
      <c r="E24" s="19">
        <f t="shared" si="4"/>
        <v>344</v>
      </c>
      <c r="F24" s="19">
        <f t="shared" si="4"/>
        <v>1</v>
      </c>
      <c r="G24" s="19">
        <f t="shared" si="4"/>
        <v>1</v>
      </c>
      <c r="H24" s="19">
        <f t="shared" si="4"/>
        <v>1</v>
      </c>
      <c r="I24" s="19">
        <f t="shared" si="4"/>
        <v>0</v>
      </c>
      <c r="J24" s="19">
        <f t="shared" si="4"/>
        <v>0</v>
      </c>
      <c r="K24" s="19">
        <f t="shared" si="4"/>
        <v>0</v>
      </c>
      <c r="L24" s="19">
        <f t="shared" si="4"/>
        <v>30</v>
      </c>
      <c r="M24" s="19">
        <f t="shared" si="4"/>
        <v>0</v>
      </c>
      <c r="N24" s="19">
        <f t="shared" si="4"/>
        <v>1</v>
      </c>
      <c r="O24" s="19">
        <f t="shared" si="4"/>
        <v>344</v>
      </c>
      <c r="P24" s="19">
        <f t="shared" si="4"/>
        <v>1</v>
      </c>
      <c r="Q24" s="19">
        <f t="shared" si="4"/>
        <v>3</v>
      </c>
      <c r="R24" s="19">
        <f t="shared" si="3"/>
        <v>10</v>
      </c>
      <c r="S24" s="19">
        <f t="shared" si="3"/>
        <v>0</v>
      </c>
      <c r="T24" s="19">
        <f t="shared" si="3"/>
        <v>0</v>
      </c>
      <c r="U24" s="19">
        <f t="shared" si="3"/>
        <v>0</v>
      </c>
      <c r="V24" s="19">
        <f t="shared" si="3"/>
        <v>0</v>
      </c>
      <c r="W24" s="19">
        <f t="shared" si="3"/>
        <v>1</v>
      </c>
    </row>
    <row r="25" spans="1:23">
      <c r="A25" s="24" t="str">
        <f t="shared" si="2"/>
        <v>11101_3-1/345&lt;lv1&gt;s2</v>
      </c>
      <c r="B25" s="19">
        <f t="shared" si="4"/>
        <v>11101</v>
      </c>
      <c r="C25" s="19">
        <f t="shared" si="4"/>
        <v>3</v>
      </c>
      <c r="D25" s="19">
        <f t="shared" si="4"/>
        <v>1</v>
      </c>
      <c r="E25" s="19">
        <f t="shared" si="4"/>
        <v>345</v>
      </c>
      <c r="F25" s="19">
        <f t="shared" si="4"/>
        <v>1</v>
      </c>
      <c r="G25" s="19">
        <f t="shared" si="4"/>
        <v>1</v>
      </c>
      <c r="H25" s="19">
        <f t="shared" si="4"/>
        <v>1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30</v>
      </c>
      <c r="M25" s="19">
        <f t="shared" si="4"/>
        <v>0</v>
      </c>
      <c r="N25" s="19">
        <f t="shared" si="4"/>
        <v>2</v>
      </c>
      <c r="O25" s="19">
        <f t="shared" si="4"/>
        <v>345</v>
      </c>
      <c r="P25" s="19">
        <f t="shared" si="4"/>
        <v>1</v>
      </c>
      <c r="Q25" s="19">
        <f t="shared" si="4"/>
        <v>4</v>
      </c>
      <c r="R25" s="19">
        <f t="shared" si="3"/>
        <v>5</v>
      </c>
      <c r="S25" s="19">
        <f t="shared" si="3"/>
        <v>0</v>
      </c>
      <c r="T25" s="19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1</v>
      </c>
    </row>
    <row r="26" spans="1:23">
      <c r="A26" s="24" t="str">
        <f t="shared" si="2"/>
        <v>11101_3-2/115&lt;lv30&gt;s2</v>
      </c>
      <c r="B26" s="19">
        <f t="shared" si="4"/>
        <v>11101</v>
      </c>
      <c r="C26" s="19">
        <f t="shared" si="4"/>
        <v>3</v>
      </c>
      <c r="D26" s="19">
        <f t="shared" si="4"/>
        <v>2</v>
      </c>
      <c r="E26" s="19">
        <f t="shared" si="4"/>
        <v>115</v>
      </c>
      <c r="F26" s="19">
        <f t="shared" si="4"/>
        <v>30</v>
      </c>
      <c r="G26" s="19">
        <f t="shared" si="4"/>
        <v>2</v>
      </c>
      <c r="H26" s="19">
        <f t="shared" si="4"/>
        <v>1</v>
      </c>
      <c r="I26" s="19">
        <f t="shared" si="4"/>
        <v>0</v>
      </c>
      <c r="J26" s="19">
        <f t="shared" si="4"/>
        <v>0</v>
      </c>
      <c r="K26" s="19">
        <f t="shared" si="4"/>
        <v>1</v>
      </c>
      <c r="L26" s="19">
        <f t="shared" si="4"/>
        <v>100</v>
      </c>
      <c r="M26" s="19">
        <f t="shared" si="4"/>
        <v>1</v>
      </c>
      <c r="N26" s="19">
        <f t="shared" si="4"/>
        <v>2</v>
      </c>
      <c r="O26" s="19">
        <f t="shared" si="4"/>
        <v>115</v>
      </c>
      <c r="P26" s="19">
        <f t="shared" si="4"/>
        <v>1</v>
      </c>
      <c r="Q26" s="19">
        <f t="shared" si="4"/>
        <v>4</v>
      </c>
      <c r="R26" s="19">
        <f t="shared" si="3"/>
        <v>10</v>
      </c>
      <c r="S26" s="19">
        <f t="shared" si="3"/>
        <v>0</v>
      </c>
      <c r="T26" s="19">
        <f t="shared" si="3"/>
        <v>0</v>
      </c>
      <c r="U26" s="19">
        <f t="shared" si="3"/>
        <v>0</v>
      </c>
      <c r="V26" s="19">
        <f t="shared" si="3"/>
        <v>0</v>
      </c>
      <c r="W26" s="19">
        <f t="shared" si="3"/>
        <v>1</v>
      </c>
    </row>
    <row r="27" spans="1:23">
      <c r="A27" s="24" t="str">
        <f t="shared" si="2"/>
        <v>11101_3-2/39&lt;lv35&gt;s3</v>
      </c>
      <c r="B27" s="19">
        <f t="shared" si="4"/>
        <v>11101</v>
      </c>
      <c r="C27" s="19">
        <f t="shared" si="4"/>
        <v>3</v>
      </c>
      <c r="D27" s="19">
        <f t="shared" si="4"/>
        <v>2</v>
      </c>
      <c r="E27" s="19">
        <f t="shared" si="4"/>
        <v>39</v>
      </c>
      <c r="F27" s="19">
        <f t="shared" si="4"/>
        <v>35</v>
      </c>
      <c r="G27" s="19">
        <f t="shared" si="4"/>
        <v>1</v>
      </c>
      <c r="H27" s="19">
        <f t="shared" si="4"/>
        <v>1</v>
      </c>
      <c r="I27" s="19">
        <f t="shared" si="4"/>
        <v>0</v>
      </c>
      <c r="J27" s="19">
        <f t="shared" si="4"/>
        <v>39</v>
      </c>
      <c r="K27" s="19">
        <f t="shared" si="4"/>
        <v>0</v>
      </c>
      <c r="L27" s="19">
        <f t="shared" si="4"/>
        <v>100</v>
      </c>
      <c r="M27" s="19">
        <f t="shared" si="4"/>
        <v>0</v>
      </c>
      <c r="N27" s="19">
        <f t="shared" si="4"/>
        <v>3</v>
      </c>
      <c r="O27" s="19">
        <f t="shared" si="4"/>
        <v>39</v>
      </c>
      <c r="P27" s="19">
        <f t="shared" si="4"/>
        <v>1</v>
      </c>
      <c r="Q27" s="19">
        <f t="shared" si="4"/>
        <v>2</v>
      </c>
      <c r="R27" s="19">
        <f t="shared" si="3"/>
        <v>0</v>
      </c>
      <c r="S27" s="19">
        <f t="shared" si="3"/>
        <v>0</v>
      </c>
      <c r="T27" s="19">
        <f t="shared" si="3"/>
        <v>0</v>
      </c>
      <c r="U27" s="19">
        <f t="shared" si="3"/>
        <v>0</v>
      </c>
      <c r="V27" s="19">
        <f t="shared" si="3"/>
        <v>0</v>
      </c>
      <c r="W27" s="19">
        <f t="shared" si="3"/>
        <v>1</v>
      </c>
    </row>
    <row r="28" spans="1:23">
      <c r="A28" s="24" t="str">
        <f t="shared" si="2"/>
        <v>11101_3-2/31&lt;lv35&gt;s2</v>
      </c>
      <c r="B28" s="19">
        <f t="shared" si="4"/>
        <v>11101</v>
      </c>
      <c r="C28" s="19">
        <f t="shared" si="4"/>
        <v>3</v>
      </c>
      <c r="D28" s="19">
        <f t="shared" si="4"/>
        <v>2</v>
      </c>
      <c r="E28" s="19">
        <f t="shared" si="4"/>
        <v>31</v>
      </c>
      <c r="F28" s="19">
        <f t="shared" si="4"/>
        <v>35</v>
      </c>
      <c r="G28" s="19">
        <f t="shared" si="4"/>
        <v>1</v>
      </c>
      <c r="H28" s="19">
        <f t="shared" si="4"/>
        <v>1</v>
      </c>
      <c r="I28" s="19">
        <f t="shared" si="4"/>
        <v>0</v>
      </c>
      <c r="J28" s="19">
        <f t="shared" si="4"/>
        <v>0</v>
      </c>
      <c r="K28" s="19">
        <f t="shared" si="4"/>
        <v>0</v>
      </c>
      <c r="L28" s="19">
        <f t="shared" si="4"/>
        <v>100</v>
      </c>
      <c r="M28" s="19">
        <f t="shared" si="4"/>
        <v>0</v>
      </c>
      <c r="N28" s="19">
        <f t="shared" si="4"/>
        <v>2</v>
      </c>
      <c r="O28" s="19">
        <f t="shared" si="4"/>
        <v>31</v>
      </c>
      <c r="P28" s="19">
        <f t="shared" si="4"/>
        <v>1</v>
      </c>
      <c r="Q28" s="19">
        <f t="shared" si="4"/>
        <v>1</v>
      </c>
      <c r="R28" s="19">
        <f t="shared" si="3"/>
        <v>0</v>
      </c>
      <c r="S28" s="19">
        <f t="shared" si="3"/>
        <v>0</v>
      </c>
      <c r="T28" s="19">
        <f t="shared" si="3"/>
        <v>0</v>
      </c>
      <c r="U28" s="19">
        <f t="shared" si="3"/>
        <v>0</v>
      </c>
      <c r="V28" s="19">
        <f t="shared" si="3"/>
        <v>0</v>
      </c>
      <c r="W28" s="19">
        <f t="shared" si="3"/>
        <v>1</v>
      </c>
    </row>
    <row r="29" spans="1:23">
      <c r="A29" s="24" t="str">
        <f t="shared" si="2"/>
        <v>11101_3-2/344&lt;lv1&gt;s1</v>
      </c>
      <c r="B29" s="19">
        <f t="shared" si="4"/>
        <v>11101</v>
      </c>
      <c r="C29" s="19">
        <f t="shared" si="4"/>
        <v>3</v>
      </c>
      <c r="D29" s="19">
        <f t="shared" si="4"/>
        <v>2</v>
      </c>
      <c r="E29" s="19">
        <f t="shared" si="4"/>
        <v>344</v>
      </c>
      <c r="F29" s="19">
        <f t="shared" si="4"/>
        <v>1</v>
      </c>
      <c r="G29" s="19">
        <f t="shared" si="4"/>
        <v>1</v>
      </c>
      <c r="H29" s="19">
        <f t="shared" si="4"/>
        <v>1</v>
      </c>
      <c r="I29" s="19">
        <f t="shared" si="4"/>
        <v>0</v>
      </c>
      <c r="J29" s="19">
        <f t="shared" si="4"/>
        <v>0</v>
      </c>
      <c r="K29" s="19">
        <f t="shared" si="4"/>
        <v>0</v>
      </c>
      <c r="L29" s="19">
        <f t="shared" si="4"/>
        <v>30</v>
      </c>
      <c r="M29" s="19">
        <f t="shared" si="4"/>
        <v>0</v>
      </c>
      <c r="N29" s="19">
        <f t="shared" si="4"/>
        <v>1</v>
      </c>
      <c r="O29" s="19">
        <f t="shared" si="4"/>
        <v>344</v>
      </c>
      <c r="P29" s="19">
        <f t="shared" si="4"/>
        <v>1</v>
      </c>
      <c r="Q29" s="19">
        <f t="shared" si="4"/>
        <v>3</v>
      </c>
      <c r="R29" s="19">
        <f t="shared" si="3"/>
        <v>10</v>
      </c>
      <c r="S29" s="19">
        <f t="shared" si="3"/>
        <v>0</v>
      </c>
      <c r="T29" s="19">
        <f t="shared" si="3"/>
        <v>0</v>
      </c>
      <c r="U29" s="19">
        <f t="shared" si="3"/>
        <v>0</v>
      </c>
      <c r="V29" s="19">
        <f t="shared" si="3"/>
        <v>0</v>
      </c>
      <c r="W29" s="19">
        <f t="shared" si="3"/>
        <v>1</v>
      </c>
    </row>
    <row r="30" spans="1:23">
      <c r="A30" s="24" t="str">
        <f t="shared" si="2"/>
        <v>11101_3-2/345&lt;lv1&gt;s2</v>
      </c>
      <c r="B30" s="19">
        <f t="shared" si="4"/>
        <v>11101</v>
      </c>
      <c r="C30" s="19">
        <f t="shared" si="4"/>
        <v>3</v>
      </c>
      <c r="D30" s="19">
        <f t="shared" si="4"/>
        <v>2</v>
      </c>
      <c r="E30" s="19">
        <f t="shared" si="4"/>
        <v>345</v>
      </c>
      <c r="F30" s="19">
        <f t="shared" si="4"/>
        <v>1</v>
      </c>
      <c r="G30" s="19">
        <f t="shared" si="4"/>
        <v>1</v>
      </c>
      <c r="H30" s="19">
        <f t="shared" si="4"/>
        <v>1</v>
      </c>
      <c r="I30" s="19">
        <f t="shared" si="4"/>
        <v>0</v>
      </c>
      <c r="J30" s="19">
        <f t="shared" si="4"/>
        <v>0</v>
      </c>
      <c r="K30" s="19">
        <f t="shared" si="4"/>
        <v>0</v>
      </c>
      <c r="L30" s="19">
        <f t="shared" si="4"/>
        <v>30</v>
      </c>
      <c r="M30" s="19">
        <f t="shared" si="4"/>
        <v>0</v>
      </c>
      <c r="N30" s="19">
        <f t="shared" si="4"/>
        <v>2</v>
      </c>
      <c r="O30" s="19">
        <f t="shared" si="4"/>
        <v>345</v>
      </c>
      <c r="P30" s="19">
        <f t="shared" si="4"/>
        <v>1</v>
      </c>
      <c r="Q30" s="19">
        <f t="shared" si="4"/>
        <v>4</v>
      </c>
      <c r="R30" s="19">
        <f t="shared" si="3"/>
        <v>5</v>
      </c>
      <c r="S30" s="19">
        <f t="shared" si="3"/>
        <v>0</v>
      </c>
      <c r="T30" s="19">
        <f t="shared" si="3"/>
        <v>0</v>
      </c>
      <c r="U30" s="19">
        <f t="shared" si="3"/>
        <v>0</v>
      </c>
      <c r="V30" s="19">
        <f t="shared" si="3"/>
        <v>0</v>
      </c>
      <c r="W30" s="19">
        <f t="shared" si="3"/>
        <v>1</v>
      </c>
    </row>
    <row r="31" spans="1:23">
      <c r="A31" s="24" t="str">
        <f t="shared" si="2"/>
        <v>11101_3-3/115&lt;lv30&gt;s2</v>
      </c>
      <c r="B31" s="19">
        <f t="shared" si="4"/>
        <v>11101</v>
      </c>
      <c r="C31" s="19">
        <f t="shared" si="4"/>
        <v>3</v>
      </c>
      <c r="D31" s="19">
        <f t="shared" si="4"/>
        <v>3</v>
      </c>
      <c r="E31" s="19">
        <f t="shared" si="4"/>
        <v>115</v>
      </c>
      <c r="F31" s="19">
        <f t="shared" si="4"/>
        <v>30</v>
      </c>
      <c r="G31" s="19">
        <f t="shared" si="4"/>
        <v>2</v>
      </c>
      <c r="H31" s="19">
        <f t="shared" si="4"/>
        <v>1</v>
      </c>
      <c r="I31" s="19">
        <f t="shared" si="4"/>
        <v>0</v>
      </c>
      <c r="J31" s="19">
        <f t="shared" si="4"/>
        <v>0</v>
      </c>
      <c r="K31" s="19">
        <f t="shared" si="4"/>
        <v>1</v>
      </c>
      <c r="L31" s="19">
        <f t="shared" si="4"/>
        <v>100</v>
      </c>
      <c r="M31" s="19">
        <f t="shared" si="4"/>
        <v>1</v>
      </c>
      <c r="N31" s="19">
        <f t="shared" si="4"/>
        <v>2</v>
      </c>
      <c r="O31" s="19">
        <f t="shared" si="4"/>
        <v>115</v>
      </c>
      <c r="P31" s="19">
        <f t="shared" si="4"/>
        <v>1</v>
      </c>
      <c r="Q31" s="19">
        <f t="shared" si="4"/>
        <v>4</v>
      </c>
      <c r="R31" s="19">
        <f t="shared" si="3"/>
        <v>50</v>
      </c>
      <c r="S31" s="19">
        <f t="shared" si="3"/>
        <v>0</v>
      </c>
      <c r="T31" s="19">
        <f t="shared" si="3"/>
        <v>0</v>
      </c>
      <c r="U31" s="19">
        <f t="shared" si="3"/>
        <v>0</v>
      </c>
      <c r="V31" s="19">
        <f t="shared" si="3"/>
        <v>0</v>
      </c>
      <c r="W31" s="19">
        <f t="shared" si="3"/>
        <v>1</v>
      </c>
    </row>
    <row r="32" spans="1:23">
      <c r="A32" s="24" t="str">
        <f t="shared" si="2"/>
        <v>11101_3-3/39&lt;lv35&gt;s3</v>
      </c>
      <c r="B32" s="19">
        <f t="shared" si="4"/>
        <v>11101</v>
      </c>
      <c r="C32" s="19">
        <f t="shared" si="4"/>
        <v>3</v>
      </c>
      <c r="D32" s="19">
        <f t="shared" si="4"/>
        <v>3</v>
      </c>
      <c r="E32" s="19">
        <f t="shared" si="4"/>
        <v>39</v>
      </c>
      <c r="F32" s="19">
        <f t="shared" si="4"/>
        <v>35</v>
      </c>
      <c r="G32" s="19">
        <f t="shared" si="4"/>
        <v>1</v>
      </c>
      <c r="H32" s="19">
        <f t="shared" si="4"/>
        <v>1</v>
      </c>
      <c r="I32" s="19">
        <f t="shared" si="4"/>
        <v>0</v>
      </c>
      <c r="J32" s="19">
        <f t="shared" si="4"/>
        <v>39</v>
      </c>
      <c r="K32" s="19">
        <f t="shared" si="4"/>
        <v>0</v>
      </c>
      <c r="L32" s="19">
        <f t="shared" si="4"/>
        <v>100</v>
      </c>
      <c r="M32" s="19">
        <f t="shared" si="4"/>
        <v>0</v>
      </c>
      <c r="N32" s="19">
        <f t="shared" si="4"/>
        <v>3</v>
      </c>
      <c r="O32" s="19">
        <f t="shared" si="4"/>
        <v>39</v>
      </c>
      <c r="P32" s="19">
        <f t="shared" si="4"/>
        <v>1</v>
      </c>
      <c r="Q32" s="19">
        <f t="shared" si="4"/>
        <v>2</v>
      </c>
      <c r="R32" s="19">
        <f t="shared" si="3"/>
        <v>0</v>
      </c>
      <c r="S32" s="19">
        <f t="shared" si="3"/>
        <v>0</v>
      </c>
      <c r="T32" s="19">
        <f t="shared" si="3"/>
        <v>0</v>
      </c>
      <c r="U32" s="19">
        <f t="shared" si="3"/>
        <v>0</v>
      </c>
      <c r="V32" s="19">
        <f t="shared" si="3"/>
        <v>0</v>
      </c>
      <c r="W32" s="19">
        <f t="shared" si="3"/>
        <v>1</v>
      </c>
    </row>
    <row r="33" spans="1:23">
      <c r="A33" s="24" t="str">
        <f t="shared" si="2"/>
        <v>11101_3-3/31&lt;lv35&gt;s2</v>
      </c>
      <c r="B33" s="19">
        <f t="shared" si="4"/>
        <v>11101</v>
      </c>
      <c r="C33" s="19">
        <f t="shared" si="4"/>
        <v>3</v>
      </c>
      <c r="D33" s="19">
        <f t="shared" si="4"/>
        <v>3</v>
      </c>
      <c r="E33" s="19">
        <f t="shared" si="4"/>
        <v>31</v>
      </c>
      <c r="F33" s="19">
        <f t="shared" si="4"/>
        <v>35</v>
      </c>
      <c r="G33" s="19">
        <f t="shared" ref="G33:V81" si="5">VLOOKUP($A33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33" s="19">
        <f t="shared" si="5"/>
        <v>1</v>
      </c>
      <c r="I33" s="19">
        <f t="shared" si="5"/>
        <v>0</v>
      </c>
      <c r="J33" s="19">
        <f t="shared" si="5"/>
        <v>0</v>
      </c>
      <c r="K33" s="19">
        <f t="shared" si="5"/>
        <v>0</v>
      </c>
      <c r="L33" s="19">
        <f t="shared" si="5"/>
        <v>100</v>
      </c>
      <c r="M33" s="19">
        <f t="shared" si="5"/>
        <v>0</v>
      </c>
      <c r="N33" s="19">
        <f t="shared" si="5"/>
        <v>2</v>
      </c>
      <c r="O33" s="19">
        <f t="shared" si="5"/>
        <v>31</v>
      </c>
      <c r="P33" s="19">
        <f t="shared" si="5"/>
        <v>1</v>
      </c>
      <c r="Q33" s="19">
        <f t="shared" si="5"/>
        <v>1</v>
      </c>
      <c r="R33" s="19">
        <f t="shared" si="5"/>
        <v>0</v>
      </c>
      <c r="S33" s="19">
        <f t="shared" si="5"/>
        <v>0</v>
      </c>
      <c r="T33" s="19">
        <f t="shared" si="5"/>
        <v>0</v>
      </c>
      <c r="U33" s="19">
        <f t="shared" si="5"/>
        <v>0</v>
      </c>
      <c r="V33" s="19">
        <f t="shared" si="5"/>
        <v>0</v>
      </c>
      <c r="W33" s="19">
        <f t="shared" si="3"/>
        <v>1</v>
      </c>
    </row>
    <row r="34" spans="1:23">
      <c r="A34" s="24" t="str">
        <f t="shared" si="2"/>
        <v>11101_3-3/344&lt;lv1&gt;s1</v>
      </c>
      <c r="B34" s="19">
        <f t="shared" ref="B34:Q53" si="6">VLOOKUP($A34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11101</v>
      </c>
      <c r="C34" s="19">
        <f t="shared" si="6"/>
        <v>3</v>
      </c>
      <c r="D34" s="19">
        <f t="shared" si="6"/>
        <v>3</v>
      </c>
      <c r="E34" s="19">
        <f t="shared" si="6"/>
        <v>344</v>
      </c>
      <c r="F34" s="19">
        <f t="shared" si="6"/>
        <v>1</v>
      </c>
      <c r="G34" s="19">
        <f t="shared" si="5"/>
        <v>1</v>
      </c>
      <c r="H34" s="19">
        <f t="shared" si="5"/>
        <v>1</v>
      </c>
      <c r="I34" s="19">
        <f t="shared" si="5"/>
        <v>0</v>
      </c>
      <c r="J34" s="19">
        <f t="shared" si="6"/>
        <v>0</v>
      </c>
      <c r="K34" s="19">
        <f t="shared" si="6"/>
        <v>0</v>
      </c>
      <c r="L34" s="19">
        <f t="shared" si="6"/>
        <v>30</v>
      </c>
      <c r="M34" s="19">
        <f t="shared" si="6"/>
        <v>0</v>
      </c>
      <c r="N34" s="19">
        <f t="shared" si="6"/>
        <v>1</v>
      </c>
      <c r="O34" s="19">
        <f t="shared" si="6"/>
        <v>344</v>
      </c>
      <c r="P34" s="19">
        <f t="shared" si="6"/>
        <v>1</v>
      </c>
      <c r="Q34" s="19">
        <f t="shared" si="6"/>
        <v>3</v>
      </c>
      <c r="R34" s="19">
        <f t="shared" si="5"/>
        <v>10</v>
      </c>
      <c r="S34" s="19">
        <f t="shared" si="5"/>
        <v>0</v>
      </c>
      <c r="T34" s="19">
        <f t="shared" si="5"/>
        <v>0</v>
      </c>
      <c r="U34" s="19">
        <f t="shared" si="5"/>
        <v>0</v>
      </c>
      <c r="V34" s="19">
        <f t="shared" si="5"/>
        <v>0</v>
      </c>
      <c r="W34" s="19">
        <f t="shared" si="3"/>
        <v>1</v>
      </c>
    </row>
    <row r="35" spans="1:23">
      <c r="A35" s="24" t="str">
        <f t="shared" si="2"/>
        <v>11101_3-3/345&lt;lv1&gt;s2</v>
      </c>
      <c r="B35" s="19">
        <f t="shared" si="6"/>
        <v>11101</v>
      </c>
      <c r="C35" s="19">
        <f t="shared" si="6"/>
        <v>3</v>
      </c>
      <c r="D35" s="19">
        <f t="shared" si="6"/>
        <v>3</v>
      </c>
      <c r="E35" s="19">
        <f t="shared" si="6"/>
        <v>345</v>
      </c>
      <c r="F35" s="19">
        <f t="shared" si="6"/>
        <v>1</v>
      </c>
      <c r="G35" s="19">
        <f t="shared" si="5"/>
        <v>1</v>
      </c>
      <c r="H35" s="19">
        <f t="shared" si="5"/>
        <v>1</v>
      </c>
      <c r="I35" s="19">
        <f t="shared" si="5"/>
        <v>0</v>
      </c>
      <c r="J35" s="19">
        <f t="shared" si="6"/>
        <v>0</v>
      </c>
      <c r="K35" s="19">
        <f t="shared" si="6"/>
        <v>0</v>
      </c>
      <c r="L35" s="19">
        <f t="shared" si="6"/>
        <v>30</v>
      </c>
      <c r="M35" s="19">
        <f t="shared" si="6"/>
        <v>0</v>
      </c>
      <c r="N35" s="19">
        <f t="shared" si="6"/>
        <v>2</v>
      </c>
      <c r="O35" s="19">
        <f t="shared" si="6"/>
        <v>345</v>
      </c>
      <c r="P35" s="19">
        <f t="shared" si="6"/>
        <v>1</v>
      </c>
      <c r="Q35" s="19">
        <f t="shared" si="6"/>
        <v>4</v>
      </c>
      <c r="R35" s="19">
        <f t="shared" si="5"/>
        <v>5</v>
      </c>
      <c r="S35" s="19">
        <f t="shared" si="5"/>
        <v>0</v>
      </c>
      <c r="T35" s="19">
        <f t="shared" si="5"/>
        <v>0</v>
      </c>
      <c r="U35" s="19">
        <f t="shared" si="5"/>
        <v>0</v>
      </c>
      <c r="V35" s="19">
        <f t="shared" si="5"/>
        <v>0</v>
      </c>
      <c r="W35" s="19">
        <f t="shared" si="3"/>
        <v>1</v>
      </c>
    </row>
    <row r="36" spans="1:23">
      <c r="A36" s="24" t="str">
        <f t="shared" si="2"/>
        <v>11101_3-4/115&lt;lv30&gt;s2</v>
      </c>
      <c r="B36" s="19">
        <f t="shared" si="6"/>
        <v>11101</v>
      </c>
      <c r="C36" s="19">
        <f t="shared" si="6"/>
        <v>3</v>
      </c>
      <c r="D36" s="19">
        <f t="shared" si="6"/>
        <v>4</v>
      </c>
      <c r="E36" s="19">
        <f t="shared" si="6"/>
        <v>115</v>
      </c>
      <c r="F36" s="19">
        <f t="shared" si="6"/>
        <v>30</v>
      </c>
      <c r="G36" s="19">
        <f t="shared" si="5"/>
        <v>2</v>
      </c>
      <c r="H36" s="19">
        <f t="shared" si="5"/>
        <v>1</v>
      </c>
      <c r="I36" s="19">
        <f t="shared" si="5"/>
        <v>0</v>
      </c>
      <c r="J36" s="19">
        <f t="shared" si="6"/>
        <v>0</v>
      </c>
      <c r="K36" s="19">
        <f t="shared" si="6"/>
        <v>1</v>
      </c>
      <c r="L36" s="19">
        <f t="shared" si="6"/>
        <v>100</v>
      </c>
      <c r="M36" s="19">
        <f t="shared" si="6"/>
        <v>1</v>
      </c>
      <c r="N36" s="19">
        <f t="shared" si="6"/>
        <v>2</v>
      </c>
      <c r="O36" s="19">
        <f t="shared" si="6"/>
        <v>115</v>
      </c>
      <c r="P36" s="19">
        <f t="shared" si="6"/>
        <v>1</v>
      </c>
      <c r="Q36" s="19">
        <f t="shared" si="6"/>
        <v>4</v>
      </c>
      <c r="R36" s="19">
        <f t="shared" si="5"/>
        <v>30</v>
      </c>
      <c r="S36" s="19">
        <f t="shared" si="5"/>
        <v>0</v>
      </c>
      <c r="T36" s="19">
        <f t="shared" si="5"/>
        <v>0</v>
      </c>
      <c r="U36" s="19">
        <f t="shared" si="5"/>
        <v>0</v>
      </c>
      <c r="V36" s="19">
        <f t="shared" si="5"/>
        <v>0</v>
      </c>
      <c r="W36" s="19">
        <f t="shared" si="3"/>
        <v>1</v>
      </c>
    </row>
    <row r="37" spans="1:23">
      <c r="A37" s="24" t="str">
        <f t="shared" si="2"/>
        <v>11101_3-4/39&lt;lv35&gt;s3</v>
      </c>
      <c r="B37" s="19">
        <f t="shared" si="6"/>
        <v>11101</v>
      </c>
      <c r="C37" s="19">
        <f t="shared" si="6"/>
        <v>3</v>
      </c>
      <c r="D37" s="19">
        <f t="shared" si="6"/>
        <v>4</v>
      </c>
      <c r="E37" s="19">
        <f t="shared" si="6"/>
        <v>39</v>
      </c>
      <c r="F37" s="19">
        <f t="shared" si="6"/>
        <v>35</v>
      </c>
      <c r="G37" s="19">
        <f t="shared" si="5"/>
        <v>1</v>
      </c>
      <c r="H37" s="19">
        <f t="shared" si="5"/>
        <v>1</v>
      </c>
      <c r="I37" s="19">
        <f t="shared" si="5"/>
        <v>0</v>
      </c>
      <c r="J37" s="19">
        <f t="shared" si="6"/>
        <v>39</v>
      </c>
      <c r="K37" s="19">
        <f t="shared" si="6"/>
        <v>0</v>
      </c>
      <c r="L37" s="19">
        <f t="shared" si="6"/>
        <v>100</v>
      </c>
      <c r="M37" s="19">
        <f t="shared" si="6"/>
        <v>0</v>
      </c>
      <c r="N37" s="19">
        <f t="shared" si="6"/>
        <v>3</v>
      </c>
      <c r="O37" s="19">
        <f t="shared" si="6"/>
        <v>39</v>
      </c>
      <c r="P37" s="19">
        <f t="shared" si="6"/>
        <v>1</v>
      </c>
      <c r="Q37" s="19">
        <f t="shared" si="6"/>
        <v>2</v>
      </c>
      <c r="R37" s="19">
        <f t="shared" si="5"/>
        <v>0</v>
      </c>
      <c r="S37" s="19">
        <f t="shared" si="5"/>
        <v>0</v>
      </c>
      <c r="T37" s="19">
        <f t="shared" si="5"/>
        <v>0</v>
      </c>
      <c r="U37" s="19">
        <f t="shared" si="5"/>
        <v>0</v>
      </c>
      <c r="V37" s="19">
        <f t="shared" si="5"/>
        <v>0</v>
      </c>
      <c r="W37" s="19">
        <f t="shared" si="3"/>
        <v>1</v>
      </c>
    </row>
    <row r="38" spans="1:23">
      <c r="A38" s="24" t="str">
        <f t="shared" si="2"/>
        <v>11101_3-4/31&lt;lv35&gt;s2</v>
      </c>
      <c r="B38" s="19">
        <f t="shared" si="6"/>
        <v>11101</v>
      </c>
      <c r="C38" s="19">
        <f t="shared" si="6"/>
        <v>3</v>
      </c>
      <c r="D38" s="19">
        <f t="shared" si="6"/>
        <v>4</v>
      </c>
      <c r="E38" s="19">
        <f t="shared" si="6"/>
        <v>31</v>
      </c>
      <c r="F38" s="19">
        <f t="shared" si="6"/>
        <v>35</v>
      </c>
      <c r="G38" s="19">
        <f t="shared" si="5"/>
        <v>1</v>
      </c>
      <c r="H38" s="19">
        <f t="shared" si="5"/>
        <v>1</v>
      </c>
      <c r="I38" s="19">
        <f t="shared" si="5"/>
        <v>0</v>
      </c>
      <c r="J38" s="19">
        <f t="shared" si="6"/>
        <v>0</v>
      </c>
      <c r="K38" s="19">
        <f t="shared" si="6"/>
        <v>0</v>
      </c>
      <c r="L38" s="19">
        <f t="shared" si="6"/>
        <v>100</v>
      </c>
      <c r="M38" s="19">
        <f t="shared" si="6"/>
        <v>0</v>
      </c>
      <c r="N38" s="19">
        <f t="shared" si="6"/>
        <v>2</v>
      </c>
      <c r="O38" s="19">
        <f t="shared" si="6"/>
        <v>31</v>
      </c>
      <c r="P38" s="19">
        <f t="shared" si="6"/>
        <v>1</v>
      </c>
      <c r="Q38" s="19">
        <f t="shared" si="6"/>
        <v>1</v>
      </c>
      <c r="R38" s="19">
        <f t="shared" si="5"/>
        <v>0</v>
      </c>
      <c r="S38" s="19">
        <f t="shared" si="5"/>
        <v>0</v>
      </c>
      <c r="T38" s="19">
        <f t="shared" si="5"/>
        <v>0</v>
      </c>
      <c r="U38" s="19">
        <f t="shared" si="5"/>
        <v>0</v>
      </c>
      <c r="V38" s="19">
        <f t="shared" si="5"/>
        <v>0</v>
      </c>
      <c r="W38" s="19">
        <f t="shared" si="3"/>
        <v>1</v>
      </c>
    </row>
    <row r="39" spans="1:23">
      <c r="A39" s="24" t="str">
        <f t="shared" si="2"/>
        <v>11101_3-4/344&lt;lv1&gt;s1</v>
      </c>
      <c r="B39" s="19">
        <f t="shared" si="6"/>
        <v>11101</v>
      </c>
      <c r="C39" s="19">
        <f t="shared" si="6"/>
        <v>3</v>
      </c>
      <c r="D39" s="19">
        <f t="shared" si="6"/>
        <v>4</v>
      </c>
      <c r="E39" s="19">
        <f t="shared" si="6"/>
        <v>344</v>
      </c>
      <c r="F39" s="19">
        <f t="shared" si="6"/>
        <v>1</v>
      </c>
      <c r="G39" s="19">
        <f t="shared" si="5"/>
        <v>1</v>
      </c>
      <c r="H39" s="19">
        <f t="shared" si="5"/>
        <v>1</v>
      </c>
      <c r="I39" s="19">
        <f t="shared" si="5"/>
        <v>0</v>
      </c>
      <c r="J39" s="19">
        <f t="shared" si="6"/>
        <v>0</v>
      </c>
      <c r="K39" s="19">
        <f t="shared" si="6"/>
        <v>0</v>
      </c>
      <c r="L39" s="19">
        <f t="shared" si="6"/>
        <v>30</v>
      </c>
      <c r="M39" s="19">
        <f t="shared" si="6"/>
        <v>0</v>
      </c>
      <c r="N39" s="19">
        <f t="shared" si="6"/>
        <v>1</v>
      </c>
      <c r="O39" s="19">
        <f t="shared" si="6"/>
        <v>344</v>
      </c>
      <c r="P39" s="19">
        <f t="shared" si="6"/>
        <v>1</v>
      </c>
      <c r="Q39" s="19">
        <f t="shared" si="6"/>
        <v>3</v>
      </c>
      <c r="R39" s="19">
        <f t="shared" si="5"/>
        <v>10</v>
      </c>
      <c r="S39" s="19">
        <f t="shared" si="5"/>
        <v>0</v>
      </c>
      <c r="T39" s="19">
        <f t="shared" si="5"/>
        <v>0</v>
      </c>
      <c r="U39" s="19">
        <f t="shared" si="5"/>
        <v>0</v>
      </c>
      <c r="V39" s="19">
        <f t="shared" si="5"/>
        <v>0</v>
      </c>
      <c r="W39" s="19">
        <f t="shared" si="3"/>
        <v>1</v>
      </c>
    </row>
    <row r="40" spans="1:23">
      <c r="A40" s="24" t="str">
        <f t="shared" si="2"/>
        <v>11101_3-4/345&lt;lv1&gt;s2</v>
      </c>
      <c r="B40" s="19">
        <f t="shared" si="6"/>
        <v>11101</v>
      </c>
      <c r="C40" s="19">
        <f t="shared" si="6"/>
        <v>3</v>
      </c>
      <c r="D40" s="19">
        <f t="shared" si="6"/>
        <v>4</v>
      </c>
      <c r="E40" s="19">
        <f t="shared" si="6"/>
        <v>345</v>
      </c>
      <c r="F40" s="19">
        <f t="shared" si="6"/>
        <v>1</v>
      </c>
      <c r="G40" s="19">
        <f t="shared" si="5"/>
        <v>1</v>
      </c>
      <c r="H40" s="19">
        <f t="shared" si="5"/>
        <v>1</v>
      </c>
      <c r="I40" s="19">
        <f t="shared" si="5"/>
        <v>0</v>
      </c>
      <c r="J40" s="19">
        <f t="shared" si="6"/>
        <v>0</v>
      </c>
      <c r="K40" s="19">
        <f t="shared" si="6"/>
        <v>0</v>
      </c>
      <c r="L40" s="19">
        <f t="shared" si="6"/>
        <v>30</v>
      </c>
      <c r="M40" s="19">
        <f t="shared" si="6"/>
        <v>0</v>
      </c>
      <c r="N40" s="19">
        <f t="shared" si="6"/>
        <v>2</v>
      </c>
      <c r="O40" s="19">
        <f t="shared" si="6"/>
        <v>345</v>
      </c>
      <c r="P40" s="19">
        <f t="shared" si="6"/>
        <v>1</v>
      </c>
      <c r="Q40" s="19">
        <f t="shared" si="6"/>
        <v>4</v>
      </c>
      <c r="R40" s="19">
        <f t="shared" si="5"/>
        <v>5</v>
      </c>
      <c r="S40" s="19">
        <f t="shared" si="5"/>
        <v>0</v>
      </c>
      <c r="T40" s="19">
        <f t="shared" si="5"/>
        <v>0</v>
      </c>
      <c r="U40" s="19">
        <f t="shared" si="5"/>
        <v>0</v>
      </c>
      <c r="V40" s="19">
        <f t="shared" si="5"/>
        <v>0</v>
      </c>
      <c r="W40" s="19">
        <f t="shared" si="3"/>
        <v>1</v>
      </c>
    </row>
    <row r="41" spans="1:23">
      <c r="A41" s="24" t="str">
        <f t="shared" si="2"/>
        <v>11101_3-5/115&lt;lv30&gt;s2</v>
      </c>
      <c r="B41" s="19">
        <f t="shared" si="6"/>
        <v>11101</v>
      </c>
      <c r="C41" s="19">
        <f t="shared" si="6"/>
        <v>3</v>
      </c>
      <c r="D41" s="19">
        <f t="shared" si="6"/>
        <v>5</v>
      </c>
      <c r="E41" s="19">
        <f t="shared" si="6"/>
        <v>115</v>
      </c>
      <c r="F41" s="19">
        <f t="shared" si="6"/>
        <v>30</v>
      </c>
      <c r="G41" s="19">
        <f t="shared" si="5"/>
        <v>2</v>
      </c>
      <c r="H41" s="19">
        <f t="shared" si="5"/>
        <v>1</v>
      </c>
      <c r="I41" s="19">
        <f t="shared" si="5"/>
        <v>0</v>
      </c>
      <c r="J41" s="19">
        <f t="shared" si="6"/>
        <v>0</v>
      </c>
      <c r="K41" s="19">
        <f t="shared" si="6"/>
        <v>1</v>
      </c>
      <c r="L41" s="19">
        <f t="shared" si="6"/>
        <v>100</v>
      </c>
      <c r="M41" s="19">
        <f t="shared" si="6"/>
        <v>1</v>
      </c>
      <c r="N41" s="19">
        <f t="shared" si="6"/>
        <v>2</v>
      </c>
      <c r="O41" s="19">
        <f t="shared" si="6"/>
        <v>115</v>
      </c>
      <c r="P41" s="19">
        <f t="shared" si="6"/>
        <v>1</v>
      </c>
      <c r="Q41" s="19">
        <f t="shared" si="6"/>
        <v>4</v>
      </c>
      <c r="R41" s="19">
        <f t="shared" si="5"/>
        <v>100</v>
      </c>
      <c r="S41" s="19">
        <f t="shared" si="5"/>
        <v>0</v>
      </c>
      <c r="T41" s="19">
        <f t="shared" si="5"/>
        <v>0</v>
      </c>
      <c r="U41" s="19">
        <f t="shared" si="5"/>
        <v>0</v>
      </c>
      <c r="V41" s="19">
        <f t="shared" si="5"/>
        <v>0</v>
      </c>
      <c r="W41" s="19">
        <f t="shared" si="3"/>
        <v>1</v>
      </c>
    </row>
    <row r="42" spans="1:23">
      <c r="A42" s="24" t="str">
        <f t="shared" si="2"/>
        <v>11101_3-5/132&lt;lv30&gt;s3</v>
      </c>
      <c r="B42" s="19">
        <f t="shared" si="6"/>
        <v>11101</v>
      </c>
      <c r="C42" s="19">
        <f t="shared" si="6"/>
        <v>3</v>
      </c>
      <c r="D42" s="19">
        <f t="shared" si="6"/>
        <v>5</v>
      </c>
      <c r="E42" s="19">
        <f t="shared" si="6"/>
        <v>132</v>
      </c>
      <c r="F42" s="19">
        <f t="shared" si="6"/>
        <v>30</v>
      </c>
      <c r="G42" s="19">
        <f t="shared" si="5"/>
        <v>1</v>
      </c>
      <c r="H42" s="19">
        <f t="shared" si="5"/>
        <v>1</v>
      </c>
      <c r="I42" s="19">
        <f t="shared" si="5"/>
        <v>0</v>
      </c>
      <c r="J42" s="19">
        <f t="shared" si="6"/>
        <v>0</v>
      </c>
      <c r="K42" s="19">
        <f t="shared" si="6"/>
        <v>0</v>
      </c>
      <c r="L42" s="19">
        <f t="shared" si="6"/>
        <v>100</v>
      </c>
      <c r="M42" s="19">
        <f t="shared" si="6"/>
        <v>1</v>
      </c>
      <c r="N42" s="19">
        <f t="shared" si="6"/>
        <v>3</v>
      </c>
      <c r="O42" s="19">
        <f t="shared" si="6"/>
        <v>132</v>
      </c>
      <c r="P42" s="19">
        <f t="shared" si="6"/>
        <v>1</v>
      </c>
      <c r="Q42" s="19">
        <f t="shared" si="6"/>
        <v>3</v>
      </c>
      <c r="R42" s="19">
        <f t="shared" si="5"/>
        <v>0</v>
      </c>
      <c r="S42" s="19">
        <f t="shared" si="5"/>
        <v>0</v>
      </c>
      <c r="T42" s="19">
        <f t="shared" si="5"/>
        <v>0</v>
      </c>
      <c r="U42" s="19">
        <f t="shared" si="5"/>
        <v>0</v>
      </c>
      <c r="V42" s="19">
        <f t="shared" si="5"/>
        <v>0</v>
      </c>
      <c r="W42" s="19">
        <f t="shared" si="3"/>
        <v>1</v>
      </c>
    </row>
    <row r="43" spans="1:23">
      <c r="A43" s="24" t="str">
        <f t="shared" si="2"/>
        <v>11101_3-5/140&lt;lv30&gt;s2</v>
      </c>
      <c r="B43" s="19">
        <f t="shared" si="6"/>
        <v>11101</v>
      </c>
      <c r="C43" s="19">
        <f t="shared" si="6"/>
        <v>3</v>
      </c>
      <c r="D43" s="19">
        <f t="shared" si="6"/>
        <v>5</v>
      </c>
      <c r="E43" s="19">
        <f t="shared" si="6"/>
        <v>140</v>
      </c>
      <c r="F43" s="19">
        <f t="shared" si="6"/>
        <v>30</v>
      </c>
      <c r="G43" s="19">
        <f t="shared" si="5"/>
        <v>1</v>
      </c>
      <c r="H43" s="19">
        <f t="shared" si="5"/>
        <v>1</v>
      </c>
      <c r="I43" s="19">
        <f t="shared" si="5"/>
        <v>0</v>
      </c>
      <c r="J43" s="19">
        <f t="shared" si="6"/>
        <v>0</v>
      </c>
      <c r="K43" s="19">
        <f t="shared" si="6"/>
        <v>0</v>
      </c>
      <c r="L43" s="19">
        <f t="shared" si="6"/>
        <v>100</v>
      </c>
      <c r="M43" s="19">
        <f t="shared" si="6"/>
        <v>1</v>
      </c>
      <c r="N43" s="19">
        <f t="shared" si="6"/>
        <v>2</v>
      </c>
      <c r="O43" s="19">
        <f t="shared" si="6"/>
        <v>140</v>
      </c>
      <c r="P43" s="19">
        <f t="shared" si="6"/>
        <v>1</v>
      </c>
      <c r="Q43" s="19">
        <f t="shared" si="6"/>
        <v>3</v>
      </c>
      <c r="R43" s="19">
        <f t="shared" si="5"/>
        <v>0</v>
      </c>
      <c r="S43" s="19">
        <f t="shared" si="5"/>
        <v>0</v>
      </c>
      <c r="T43" s="19">
        <f t="shared" si="5"/>
        <v>0</v>
      </c>
      <c r="U43" s="19">
        <f t="shared" si="5"/>
        <v>0</v>
      </c>
      <c r="V43" s="19">
        <f t="shared" si="5"/>
        <v>0</v>
      </c>
      <c r="W43" s="19">
        <f t="shared" si="3"/>
        <v>1</v>
      </c>
    </row>
    <row r="44" spans="1:23">
      <c r="A44" s="24" t="str">
        <f t="shared" si="2"/>
        <v>11101_3-5/148&lt;lv30&gt;s2</v>
      </c>
      <c r="B44" s="19">
        <f t="shared" si="6"/>
        <v>11101</v>
      </c>
      <c r="C44" s="19">
        <f t="shared" si="6"/>
        <v>3</v>
      </c>
      <c r="D44" s="19">
        <f t="shared" si="6"/>
        <v>5</v>
      </c>
      <c r="E44" s="19">
        <f t="shared" si="6"/>
        <v>148</v>
      </c>
      <c r="F44" s="19">
        <f t="shared" si="6"/>
        <v>30</v>
      </c>
      <c r="G44" s="19">
        <f t="shared" si="5"/>
        <v>1</v>
      </c>
      <c r="H44" s="19">
        <f t="shared" si="5"/>
        <v>1</v>
      </c>
      <c r="I44" s="19">
        <f t="shared" si="5"/>
        <v>0</v>
      </c>
      <c r="J44" s="19">
        <f t="shared" si="6"/>
        <v>148</v>
      </c>
      <c r="K44" s="19">
        <f t="shared" si="6"/>
        <v>0</v>
      </c>
      <c r="L44" s="19">
        <f t="shared" si="6"/>
        <v>100</v>
      </c>
      <c r="M44" s="19">
        <f t="shared" si="6"/>
        <v>1</v>
      </c>
      <c r="N44" s="19">
        <f t="shared" si="6"/>
        <v>2</v>
      </c>
      <c r="O44" s="19">
        <f t="shared" si="6"/>
        <v>148</v>
      </c>
      <c r="P44" s="19">
        <f t="shared" si="6"/>
        <v>1</v>
      </c>
      <c r="Q44" s="19">
        <f t="shared" si="6"/>
        <v>3</v>
      </c>
      <c r="R44" s="19">
        <f t="shared" si="5"/>
        <v>0</v>
      </c>
      <c r="S44" s="19">
        <f t="shared" si="5"/>
        <v>0</v>
      </c>
      <c r="T44" s="19">
        <f t="shared" si="5"/>
        <v>0</v>
      </c>
      <c r="U44" s="19">
        <f t="shared" si="5"/>
        <v>0</v>
      </c>
      <c r="V44" s="19">
        <f t="shared" si="5"/>
        <v>0</v>
      </c>
      <c r="W44" s="19">
        <f t="shared" si="3"/>
        <v>1</v>
      </c>
    </row>
    <row r="45" spans="1:23">
      <c r="A45" s="24" t="str">
        <f t="shared" si="2"/>
        <v>11101_3-5/156&lt;lv30&gt;s2</v>
      </c>
      <c r="B45" s="19">
        <f t="shared" si="6"/>
        <v>11101</v>
      </c>
      <c r="C45" s="19">
        <f t="shared" si="6"/>
        <v>3</v>
      </c>
      <c r="D45" s="19">
        <f t="shared" si="6"/>
        <v>5</v>
      </c>
      <c r="E45" s="19">
        <f t="shared" si="6"/>
        <v>156</v>
      </c>
      <c r="F45" s="19">
        <f t="shared" si="6"/>
        <v>30</v>
      </c>
      <c r="G45" s="19">
        <f t="shared" si="5"/>
        <v>1</v>
      </c>
      <c r="H45" s="19">
        <f t="shared" si="5"/>
        <v>1</v>
      </c>
      <c r="I45" s="19">
        <f t="shared" si="5"/>
        <v>0</v>
      </c>
      <c r="J45" s="19">
        <f t="shared" si="6"/>
        <v>156</v>
      </c>
      <c r="K45" s="19">
        <f t="shared" si="6"/>
        <v>0</v>
      </c>
      <c r="L45" s="19">
        <f t="shared" si="6"/>
        <v>100</v>
      </c>
      <c r="M45" s="19">
        <f t="shared" si="6"/>
        <v>1</v>
      </c>
      <c r="N45" s="19">
        <f t="shared" si="6"/>
        <v>2</v>
      </c>
      <c r="O45" s="19">
        <f t="shared" si="6"/>
        <v>156</v>
      </c>
      <c r="P45" s="19">
        <f t="shared" si="6"/>
        <v>1</v>
      </c>
      <c r="Q45" s="19">
        <f t="shared" si="6"/>
        <v>3</v>
      </c>
      <c r="R45" s="19">
        <f t="shared" si="5"/>
        <v>0</v>
      </c>
      <c r="S45" s="19">
        <f t="shared" si="5"/>
        <v>0</v>
      </c>
      <c r="T45" s="19">
        <f t="shared" si="5"/>
        <v>0</v>
      </c>
      <c r="U45" s="19">
        <f t="shared" si="5"/>
        <v>0</v>
      </c>
      <c r="V45" s="19">
        <f t="shared" si="5"/>
        <v>0</v>
      </c>
      <c r="W45" s="19">
        <f t="shared" si="3"/>
        <v>1</v>
      </c>
    </row>
    <row r="46" spans="1:23">
      <c r="A46" s="24" t="str">
        <f t="shared" si="2"/>
        <v>11102_1-1/101&lt;lv3&gt;s1</v>
      </c>
      <c r="B46" s="19">
        <f t="shared" si="6"/>
        <v>11102</v>
      </c>
      <c r="C46" s="19">
        <f t="shared" si="6"/>
        <v>1</v>
      </c>
      <c r="D46" s="19">
        <f t="shared" si="6"/>
        <v>1</v>
      </c>
      <c r="E46" s="19">
        <f t="shared" si="6"/>
        <v>101</v>
      </c>
      <c r="F46" s="19">
        <f t="shared" si="6"/>
        <v>3</v>
      </c>
      <c r="G46" s="19">
        <f t="shared" si="5"/>
        <v>1</v>
      </c>
      <c r="H46" s="19">
        <f t="shared" si="5"/>
        <v>1</v>
      </c>
      <c r="I46" s="19">
        <f t="shared" si="5"/>
        <v>0</v>
      </c>
      <c r="J46" s="19">
        <f t="shared" si="6"/>
        <v>0</v>
      </c>
      <c r="K46" s="19">
        <f t="shared" si="6"/>
        <v>0</v>
      </c>
      <c r="L46" s="19">
        <f t="shared" si="6"/>
        <v>100</v>
      </c>
      <c r="M46" s="19">
        <f t="shared" si="6"/>
        <v>0</v>
      </c>
      <c r="N46" s="19">
        <f t="shared" si="6"/>
        <v>1</v>
      </c>
      <c r="O46" s="19">
        <f t="shared" si="6"/>
        <v>101</v>
      </c>
      <c r="P46" s="19">
        <f t="shared" si="6"/>
        <v>1</v>
      </c>
      <c r="Q46" s="19">
        <f t="shared" si="6"/>
        <v>2</v>
      </c>
      <c r="R46" s="19">
        <f t="shared" si="5"/>
        <v>50</v>
      </c>
      <c r="S46" s="19">
        <f t="shared" si="5"/>
        <v>0</v>
      </c>
      <c r="T46" s="19">
        <f t="shared" si="5"/>
        <v>0</v>
      </c>
      <c r="U46" s="19">
        <f t="shared" si="5"/>
        <v>0</v>
      </c>
      <c r="V46" s="19">
        <f t="shared" si="5"/>
        <v>0</v>
      </c>
      <c r="W46" s="19">
        <f t="shared" si="3"/>
        <v>1</v>
      </c>
    </row>
    <row r="47" spans="1:23">
      <c r="A47" s="24" t="str">
        <f t="shared" si="2"/>
        <v>11102_1-2/101&lt;lv3&gt;s1</v>
      </c>
      <c r="B47" s="19">
        <f t="shared" si="6"/>
        <v>11102</v>
      </c>
      <c r="C47" s="19">
        <f t="shared" si="6"/>
        <v>1</v>
      </c>
      <c r="D47" s="19">
        <f t="shared" si="6"/>
        <v>2</v>
      </c>
      <c r="E47" s="19">
        <f t="shared" si="6"/>
        <v>101</v>
      </c>
      <c r="F47" s="19">
        <f t="shared" si="6"/>
        <v>3</v>
      </c>
      <c r="G47" s="19">
        <f t="shared" si="5"/>
        <v>1</v>
      </c>
      <c r="H47" s="19">
        <f t="shared" si="5"/>
        <v>1</v>
      </c>
      <c r="I47" s="19">
        <f t="shared" si="5"/>
        <v>0</v>
      </c>
      <c r="J47" s="19">
        <f t="shared" si="6"/>
        <v>0</v>
      </c>
      <c r="K47" s="19">
        <f t="shared" si="6"/>
        <v>0</v>
      </c>
      <c r="L47" s="19">
        <f t="shared" si="6"/>
        <v>100</v>
      </c>
      <c r="M47" s="19">
        <f t="shared" si="6"/>
        <v>0</v>
      </c>
      <c r="N47" s="19">
        <f t="shared" si="6"/>
        <v>1</v>
      </c>
      <c r="O47" s="19">
        <f t="shared" si="6"/>
        <v>101</v>
      </c>
      <c r="P47" s="19">
        <f t="shared" si="6"/>
        <v>1</v>
      </c>
      <c r="Q47" s="19">
        <f t="shared" si="6"/>
        <v>2</v>
      </c>
      <c r="R47" s="19">
        <f t="shared" si="5"/>
        <v>50</v>
      </c>
      <c r="S47" s="19">
        <f t="shared" si="5"/>
        <v>0</v>
      </c>
      <c r="T47" s="19">
        <f t="shared" si="5"/>
        <v>0</v>
      </c>
      <c r="U47" s="19">
        <f t="shared" si="5"/>
        <v>0</v>
      </c>
      <c r="V47" s="19">
        <f t="shared" si="5"/>
        <v>0</v>
      </c>
      <c r="W47" s="19">
        <f t="shared" si="3"/>
        <v>1</v>
      </c>
    </row>
    <row r="48" spans="1:23">
      <c r="A48" s="24" t="str">
        <f t="shared" si="2"/>
        <v>11102_1-3/101&lt;lv3&gt;s1</v>
      </c>
      <c r="B48" s="19">
        <f t="shared" si="6"/>
        <v>11102</v>
      </c>
      <c r="C48" s="19">
        <f t="shared" si="6"/>
        <v>1</v>
      </c>
      <c r="D48" s="19">
        <f t="shared" si="6"/>
        <v>3</v>
      </c>
      <c r="E48" s="19">
        <f t="shared" si="6"/>
        <v>101</v>
      </c>
      <c r="F48" s="19">
        <f t="shared" si="6"/>
        <v>3</v>
      </c>
      <c r="G48" s="19">
        <f t="shared" si="5"/>
        <v>1</v>
      </c>
      <c r="H48" s="19">
        <f t="shared" si="5"/>
        <v>1</v>
      </c>
      <c r="I48" s="19">
        <f t="shared" si="5"/>
        <v>0</v>
      </c>
      <c r="J48" s="19">
        <f t="shared" si="6"/>
        <v>0</v>
      </c>
      <c r="K48" s="19">
        <f t="shared" si="6"/>
        <v>0</v>
      </c>
      <c r="L48" s="19">
        <f t="shared" si="6"/>
        <v>100</v>
      </c>
      <c r="M48" s="19">
        <f t="shared" si="6"/>
        <v>0</v>
      </c>
      <c r="N48" s="19">
        <f t="shared" si="6"/>
        <v>1</v>
      </c>
      <c r="O48" s="19">
        <f t="shared" si="6"/>
        <v>101</v>
      </c>
      <c r="P48" s="19">
        <f t="shared" si="6"/>
        <v>1</v>
      </c>
      <c r="Q48" s="19">
        <f t="shared" si="6"/>
        <v>2</v>
      </c>
      <c r="R48" s="19">
        <f t="shared" si="5"/>
        <v>50</v>
      </c>
      <c r="S48" s="19">
        <f t="shared" si="5"/>
        <v>0</v>
      </c>
      <c r="T48" s="19">
        <f t="shared" si="5"/>
        <v>0</v>
      </c>
      <c r="U48" s="19">
        <f t="shared" si="5"/>
        <v>0</v>
      </c>
      <c r="V48" s="19">
        <f t="shared" si="5"/>
        <v>0</v>
      </c>
      <c r="W48" s="19">
        <f t="shared" si="3"/>
        <v>1</v>
      </c>
    </row>
    <row r="49" spans="1:23">
      <c r="A49" s="24" t="str">
        <f t="shared" si="2"/>
        <v>11102_1-3/102&lt;lv3&gt;s2</v>
      </c>
      <c r="B49" s="19">
        <f t="shared" si="6"/>
        <v>11102</v>
      </c>
      <c r="C49" s="19">
        <f t="shared" si="6"/>
        <v>1</v>
      </c>
      <c r="D49" s="19">
        <f t="shared" si="6"/>
        <v>3</v>
      </c>
      <c r="E49" s="19">
        <f t="shared" si="6"/>
        <v>102</v>
      </c>
      <c r="F49" s="19">
        <f t="shared" si="6"/>
        <v>3</v>
      </c>
      <c r="G49" s="19">
        <f t="shared" si="5"/>
        <v>1.8</v>
      </c>
      <c r="H49" s="19">
        <f t="shared" si="5"/>
        <v>1</v>
      </c>
      <c r="I49" s="19">
        <f t="shared" si="5"/>
        <v>0</v>
      </c>
      <c r="J49" s="19">
        <f t="shared" si="6"/>
        <v>0</v>
      </c>
      <c r="K49" s="19">
        <f t="shared" si="6"/>
        <v>0</v>
      </c>
      <c r="L49" s="19">
        <f t="shared" si="6"/>
        <v>40</v>
      </c>
      <c r="M49" s="19">
        <f t="shared" si="6"/>
        <v>0</v>
      </c>
      <c r="N49" s="19">
        <f t="shared" si="6"/>
        <v>2</v>
      </c>
      <c r="O49" s="19">
        <f t="shared" si="6"/>
        <v>102</v>
      </c>
      <c r="P49" s="19">
        <f t="shared" si="6"/>
        <v>1</v>
      </c>
      <c r="Q49" s="19">
        <f t="shared" si="6"/>
        <v>3</v>
      </c>
      <c r="R49" s="19">
        <f t="shared" si="5"/>
        <v>10</v>
      </c>
      <c r="S49" s="19">
        <f t="shared" si="5"/>
        <v>0</v>
      </c>
      <c r="T49" s="19">
        <f t="shared" si="5"/>
        <v>0</v>
      </c>
      <c r="U49" s="19">
        <f t="shared" si="5"/>
        <v>0</v>
      </c>
      <c r="V49" s="19">
        <f t="shared" si="5"/>
        <v>0</v>
      </c>
      <c r="W49" s="19">
        <f t="shared" si="3"/>
        <v>1</v>
      </c>
    </row>
    <row r="50" spans="1:23">
      <c r="A50" s="24" t="str">
        <f t="shared" si="2"/>
        <v>11102_1-4/101&lt;lv3&gt;s1</v>
      </c>
      <c r="B50" s="19">
        <f t="shared" si="6"/>
        <v>11102</v>
      </c>
      <c r="C50" s="19">
        <f t="shared" si="6"/>
        <v>1</v>
      </c>
      <c r="D50" s="19">
        <f t="shared" si="6"/>
        <v>4</v>
      </c>
      <c r="E50" s="19">
        <f t="shared" si="6"/>
        <v>101</v>
      </c>
      <c r="F50" s="19">
        <f t="shared" si="6"/>
        <v>3</v>
      </c>
      <c r="G50" s="19">
        <f t="shared" si="5"/>
        <v>1</v>
      </c>
      <c r="H50" s="19">
        <f t="shared" si="5"/>
        <v>1</v>
      </c>
      <c r="I50" s="19">
        <f t="shared" si="5"/>
        <v>0</v>
      </c>
      <c r="J50" s="19">
        <f t="shared" si="6"/>
        <v>0</v>
      </c>
      <c r="K50" s="19">
        <f t="shared" si="6"/>
        <v>0</v>
      </c>
      <c r="L50" s="19">
        <f t="shared" si="6"/>
        <v>100</v>
      </c>
      <c r="M50" s="19">
        <f t="shared" si="6"/>
        <v>0</v>
      </c>
      <c r="N50" s="19">
        <f t="shared" si="6"/>
        <v>1</v>
      </c>
      <c r="O50" s="19">
        <f t="shared" si="6"/>
        <v>101</v>
      </c>
      <c r="P50" s="19">
        <f t="shared" si="6"/>
        <v>1</v>
      </c>
      <c r="Q50" s="19">
        <f t="shared" si="6"/>
        <v>2</v>
      </c>
      <c r="R50" s="19">
        <f t="shared" si="5"/>
        <v>50</v>
      </c>
      <c r="S50" s="19">
        <f t="shared" si="5"/>
        <v>0</v>
      </c>
      <c r="T50" s="19">
        <f t="shared" si="5"/>
        <v>0</v>
      </c>
      <c r="U50" s="19">
        <f t="shared" si="5"/>
        <v>0</v>
      </c>
      <c r="V50" s="19">
        <f t="shared" si="5"/>
        <v>0</v>
      </c>
      <c r="W50" s="19">
        <f t="shared" si="3"/>
        <v>1</v>
      </c>
    </row>
    <row r="51" spans="1:23">
      <c r="A51" s="24" t="str">
        <f t="shared" si="2"/>
        <v>11102_1-4/102&lt;lv3&gt;s2</v>
      </c>
      <c r="B51" s="19">
        <f t="shared" si="6"/>
        <v>11102</v>
      </c>
      <c r="C51" s="19">
        <f t="shared" si="6"/>
        <v>1</v>
      </c>
      <c r="D51" s="19">
        <f t="shared" si="6"/>
        <v>4</v>
      </c>
      <c r="E51" s="19">
        <f t="shared" si="6"/>
        <v>102</v>
      </c>
      <c r="F51" s="19">
        <f t="shared" si="6"/>
        <v>3</v>
      </c>
      <c r="G51" s="19">
        <f t="shared" si="5"/>
        <v>1.8</v>
      </c>
      <c r="H51" s="19">
        <f t="shared" si="5"/>
        <v>1</v>
      </c>
      <c r="I51" s="19">
        <f t="shared" si="5"/>
        <v>0</v>
      </c>
      <c r="J51" s="19">
        <f t="shared" si="6"/>
        <v>0</v>
      </c>
      <c r="K51" s="19">
        <f t="shared" si="6"/>
        <v>0</v>
      </c>
      <c r="L51" s="19">
        <f t="shared" si="6"/>
        <v>40</v>
      </c>
      <c r="M51" s="19">
        <f t="shared" si="6"/>
        <v>0</v>
      </c>
      <c r="N51" s="19">
        <f t="shared" si="6"/>
        <v>2</v>
      </c>
      <c r="O51" s="19">
        <f t="shared" si="6"/>
        <v>102</v>
      </c>
      <c r="P51" s="19">
        <f t="shared" si="6"/>
        <v>1</v>
      </c>
      <c r="Q51" s="19">
        <f t="shared" si="6"/>
        <v>3</v>
      </c>
      <c r="R51" s="19">
        <f t="shared" si="5"/>
        <v>20</v>
      </c>
      <c r="S51" s="19">
        <f t="shared" si="5"/>
        <v>0</v>
      </c>
      <c r="T51" s="19">
        <f t="shared" si="5"/>
        <v>0</v>
      </c>
      <c r="U51" s="19">
        <f t="shared" si="5"/>
        <v>0</v>
      </c>
      <c r="V51" s="19">
        <f t="shared" si="5"/>
        <v>0</v>
      </c>
      <c r="W51" s="19">
        <f t="shared" si="3"/>
        <v>1</v>
      </c>
    </row>
    <row r="52" spans="1:23">
      <c r="A52" s="24" t="str">
        <f t="shared" si="2"/>
        <v>11102_1-5/101&lt;lv3&gt;s1</v>
      </c>
      <c r="B52" s="19">
        <f t="shared" si="6"/>
        <v>11102</v>
      </c>
      <c r="C52" s="19">
        <f t="shared" si="6"/>
        <v>1</v>
      </c>
      <c r="D52" s="19">
        <f t="shared" si="6"/>
        <v>5</v>
      </c>
      <c r="E52" s="19">
        <f t="shared" si="6"/>
        <v>101</v>
      </c>
      <c r="F52" s="19">
        <f t="shared" si="6"/>
        <v>3</v>
      </c>
      <c r="G52" s="19">
        <f t="shared" si="5"/>
        <v>1</v>
      </c>
      <c r="H52" s="19">
        <f t="shared" si="5"/>
        <v>1</v>
      </c>
      <c r="I52" s="19">
        <f t="shared" si="5"/>
        <v>0</v>
      </c>
      <c r="J52" s="19">
        <f t="shared" si="6"/>
        <v>0</v>
      </c>
      <c r="K52" s="19">
        <f t="shared" si="6"/>
        <v>2</v>
      </c>
      <c r="L52" s="19">
        <f t="shared" si="6"/>
        <v>100</v>
      </c>
      <c r="M52" s="19">
        <f t="shared" si="6"/>
        <v>0</v>
      </c>
      <c r="N52" s="19">
        <f t="shared" si="6"/>
        <v>1</v>
      </c>
      <c r="O52" s="19">
        <f t="shared" si="6"/>
        <v>101</v>
      </c>
      <c r="P52" s="19">
        <f t="shared" si="6"/>
        <v>1</v>
      </c>
      <c r="Q52" s="19">
        <f t="shared" si="6"/>
        <v>2</v>
      </c>
      <c r="R52" s="19">
        <f t="shared" si="5"/>
        <v>50</v>
      </c>
      <c r="S52" s="19">
        <f t="shared" si="5"/>
        <v>0</v>
      </c>
      <c r="T52" s="19">
        <f t="shared" si="5"/>
        <v>0</v>
      </c>
      <c r="U52" s="19">
        <f t="shared" si="5"/>
        <v>0</v>
      </c>
      <c r="V52" s="19">
        <f t="shared" si="5"/>
        <v>0</v>
      </c>
      <c r="W52" s="19">
        <f t="shared" si="3"/>
        <v>1</v>
      </c>
    </row>
    <row r="53" spans="1:23">
      <c r="A53" s="24" t="str">
        <f t="shared" si="2"/>
        <v>11102_1-5/102&lt;lv5&gt;s2</v>
      </c>
      <c r="B53" s="19">
        <f t="shared" si="6"/>
        <v>11102</v>
      </c>
      <c r="C53" s="19">
        <f t="shared" si="6"/>
        <v>1</v>
      </c>
      <c r="D53" s="19">
        <f t="shared" si="6"/>
        <v>5</v>
      </c>
      <c r="E53" s="19">
        <f t="shared" si="6"/>
        <v>102</v>
      </c>
      <c r="F53" s="19">
        <f t="shared" si="6"/>
        <v>5</v>
      </c>
      <c r="G53" s="19">
        <f t="shared" si="5"/>
        <v>1.8</v>
      </c>
      <c r="H53" s="19">
        <f t="shared" si="5"/>
        <v>1</v>
      </c>
      <c r="I53" s="19">
        <f t="shared" si="5"/>
        <v>0</v>
      </c>
      <c r="J53" s="19">
        <f t="shared" si="6"/>
        <v>0</v>
      </c>
      <c r="K53" s="19">
        <f t="shared" si="6"/>
        <v>1</v>
      </c>
      <c r="L53" s="19">
        <f t="shared" si="6"/>
        <v>100</v>
      </c>
      <c r="M53" s="19">
        <f t="shared" ref="M53:W72" si="7">VLOOKUP($A53,OFFSET(INDIRECT($C$1&amp;"!$A1"),0,0,COUNTA(INDIRECT($C$1&amp;"!$A:$A"))+1,MATCH(M$2,INDIRECT($C$1&amp;"!"&amp;$B$1),0)-MATCH($A$2,INDIRECT($C$1&amp;"!"&amp;$B$1),0)+1),MATCH(M$2,INDIRECT($C$1&amp;"!"&amp;$B$1),0)-MATCH($A$2,INDIRECT($C$1&amp;"!"&amp;$B$1),0)+1,FALSE)</f>
        <v>1</v>
      </c>
      <c r="N53" s="19">
        <f t="shared" si="7"/>
        <v>2</v>
      </c>
      <c r="O53" s="19">
        <f t="shared" si="7"/>
        <v>102</v>
      </c>
      <c r="P53" s="19">
        <f t="shared" si="7"/>
        <v>1</v>
      </c>
      <c r="Q53" s="19">
        <f t="shared" si="7"/>
        <v>3</v>
      </c>
      <c r="R53" s="19">
        <f t="shared" si="7"/>
        <v>10</v>
      </c>
      <c r="S53" s="19">
        <f t="shared" si="7"/>
        <v>0</v>
      </c>
      <c r="T53" s="19">
        <f t="shared" si="7"/>
        <v>0</v>
      </c>
      <c r="U53" s="19">
        <f t="shared" si="7"/>
        <v>0</v>
      </c>
      <c r="V53" s="19">
        <f t="shared" si="7"/>
        <v>0</v>
      </c>
      <c r="W53" s="19">
        <f t="shared" si="7"/>
        <v>1</v>
      </c>
    </row>
    <row r="54" spans="1:23">
      <c r="A54" s="24" t="str">
        <f t="shared" si="2"/>
        <v>11102_2-1/102&lt;lv15&gt;s2</v>
      </c>
      <c r="B54" s="19">
        <f t="shared" ref="B54:Q73" si="8">VLOOKUP($A54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11102</v>
      </c>
      <c r="C54" s="19">
        <f t="shared" si="8"/>
        <v>2</v>
      </c>
      <c r="D54" s="19">
        <f t="shared" si="8"/>
        <v>1</v>
      </c>
      <c r="E54" s="19">
        <f t="shared" si="8"/>
        <v>102</v>
      </c>
      <c r="F54" s="19">
        <f t="shared" si="8"/>
        <v>15</v>
      </c>
      <c r="G54" s="19">
        <f t="shared" si="5"/>
        <v>1.8</v>
      </c>
      <c r="H54" s="19">
        <f t="shared" si="5"/>
        <v>1</v>
      </c>
      <c r="I54" s="19">
        <f t="shared" si="5"/>
        <v>0</v>
      </c>
      <c r="J54" s="19">
        <f t="shared" si="8"/>
        <v>0</v>
      </c>
      <c r="K54" s="19">
        <f t="shared" si="8"/>
        <v>0</v>
      </c>
      <c r="L54" s="19">
        <f t="shared" si="8"/>
        <v>100</v>
      </c>
      <c r="M54" s="19">
        <f t="shared" si="8"/>
        <v>0</v>
      </c>
      <c r="N54" s="19">
        <f t="shared" si="8"/>
        <v>2</v>
      </c>
      <c r="O54" s="19">
        <f t="shared" si="8"/>
        <v>102</v>
      </c>
      <c r="P54" s="19">
        <f t="shared" si="8"/>
        <v>1</v>
      </c>
      <c r="Q54" s="19">
        <f t="shared" si="8"/>
        <v>3</v>
      </c>
      <c r="R54" s="19">
        <f t="shared" si="7"/>
        <v>30</v>
      </c>
      <c r="S54" s="19">
        <f t="shared" si="7"/>
        <v>0</v>
      </c>
      <c r="T54" s="19">
        <f t="shared" si="7"/>
        <v>0</v>
      </c>
      <c r="U54" s="19">
        <f t="shared" si="7"/>
        <v>0</v>
      </c>
      <c r="V54" s="19">
        <f t="shared" si="7"/>
        <v>0</v>
      </c>
      <c r="W54" s="19">
        <f t="shared" si="7"/>
        <v>1</v>
      </c>
    </row>
    <row r="55" spans="1:23">
      <c r="A55" s="24" t="str">
        <f t="shared" si="2"/>
        <v>11102_2-2/102&lt;lv15&gt;s2</v>
      </c>
      <c r="B55" s="19">
        <f t="shared" si="8"/>
        <v>11102</v>
      </c>
      <c r="C55" s="19">
        <f t="shared" si="8"/>
        <v>2</v>
      </c>
      <c r="D55" s="19">
        <f t="shared" si="8"/>
        <v>2</v>
      </c>
      <c r="E55" s="19">
        <f t="shared" si="8"/>
        <v>102</v>
      </c>
      <c r="F55" s="19">
        <f t="shared" si="8"/>
        <v>15</v>
      </c>
      <c r="G55" s="19">
        <f t="shared" si="5"/>
        <v>1.8</v>
      </c>
      <c r="H55" s="19">
        <f t="shared" si="5"/>
        <v>1</v>
      </c>
      <c r="I55" s="19">
        <f t="shared" si="5"/>
        <v>0</v>
      </c>
      <c r="J55" s="19">
        <f t="shared" si="8"/>
        <v>0</v>
      </c>
      <c r="K55" s="19">
        <f t="shared" si="8"/>
        <v>0</v>
      </c>
      <c r="L55" s="19">
        <f t="shared" si="8"/>
        <v>100</v>
      </c>
      <c r="M55" s="19">
        <f t="shared" si="8"/>
        <v>0</v>
      </c>
      <c r="N55" s="19">
        <f t="shared" si="8"/>
        <v>2</v>
      </c>
      <c r="O55" s="19">
        <f t="shared" si="8"/>
        <v>102</v>
      </c>
      <c r="P55" s="19">
        <f t="shared" si="8"/>
        <v>1</v>
      </c>
      <c r="Q55" s="19">
        <f t="shared" si="8"/>
        <v>3</v>
      </c>
      <c r="R55" s="19">
        <f t="shared" si="7"/>
        <v>30</v>
      </c>
      <c r="S55" s="19">
        <f t="shared" si="7"/>
        <v>0</v>
      </c>
      <c r="T55" s="19">
        <f t="shared" si="7"/>
        <v>0</v>
      </c>
      <c r="U55" s="19">
        <f t="shared" si="7"/>
        <v>0</v>
      </c>
      <c r="V55" s="19">
        <f t="shared" si="7"/>
        <v>0</v>
      </c>
      <c r="W55" s="19">
        <f t="shared" si="7"/>
        <v>1</v>
      </c>
    </row>
    <row r="56" spans="1:23">
      <c r="A56" s="24" t="str">
        <f t="shared" si="2"/>
        <v>11102_2-3/102&lt;lv15&gt;s2</v>
      </c>
      <c r="B56" s="19">
        <f t="shared" si="8"/>
        <v>11102</v>
      </c>
      <c r="C56" s="19">
        <f t="shared" si="8"/>
        <v>2</v>
      </c>
      <c r="D56" s="19">
        <f t="shared" si="8"/>
        <v>3</v>
      </c>
      <c r="E56" s="19">
        <f t="shared" si="8"/>
        <v>102</v>
      </c>
      <c r="F56" s="19">
        <f t="shared" si="8"/>
        <v>15</v>
      </c>
      <c r="G56" s="19">
        <f t="shared" si="5"/>
        <v>1.8</v>
      </c>
      <c r="H56" s="19">
        <f t="shared" si="5"/>
        <v>1</v>
      </c>
      <c r="I56" s="19">
        <f t="shared" si="5"/>
        <v>0</v>
      </c>
      <c r="J56" s="19">
        <f t="shared" si="8"/>
        <v>0</v>
      </c>
      <c r="K56" s="19">
        <f t="shared" si="8"/>
        <v>0</v>
      </c>
      <c r="L56" s="19">
        <f t="shared" si="8"/>
        <v>100</v>
      </c>
      <c r="M56" s="19">
        <f t="shared" si="8"/>
        <v>0</v>
      </c>
      <c r="N56" s="19">
        <f t="shared" si="8"/>
        <v>2</v>
      </c>
      <c r="O56" s="19">
        <f t="shared" si="8"/>
        <v>102</v>
      </c>
      <c r="P56" s="19">
        <f t="shared" si="8"/>
        <v>1</v>
      </c>
      <c r="Q56" s="19">
        <f t="shared" si="8"/>
        <v>3</v>
      </c>
      <c r="R56" s="19">
        <f t="shared" si="7"/>
        <v>30</v>
      </c>
      <c r="S56" s="19">
        <f t="shared" si="7"/>
        <v>0</v>
      </c>
      <c r="T56" s="19">
        <f t="shared" si="7"/>
        <v>0</v>
      </c>
      <c r="U56" s="19">
        <f t="shared" si="7"/>
        <v>0</v>
      </c>
      <c r="V56" s="19">
        <f t="shared" si="7"/>
        <v>0</v>
      </c>
      <c r="W56" s="19">
        <f t="shared" si="7"/>
        <v>1</v>
      </c>
    </row>
    <row r="57" spans="1:23">
      <c r="A57" s="24" t="str">
        <f t="shared" si="2"/>
        <v>11102_2-3/103&lt;lv15&gt;s3</v>
      </c>
      <c r="B57" s="19">
        <f t="shared" si="8"/>
        <v>11102</v>
      </c>
      <c r="C57" s="19">
        <f t="shared" si="8"/>
        <v>2</v>
      </c>
      <c r="D57" s="19">
        <f t="shared" si="8"/>
        <v>3</v>
      </c>
      <c r="E57" s="19">
        <f t="shared" si="8"/>
        <v>103</v>
      </c>
      <c r="F57" s="19">
        <f t="shared" si="8"/>
        <v>15</v>
      </c>
      <c r="G57" s="19">
        <f t="shared" si="5"/>
        <v>2</v>
      </c>
      <c r="H57" s="19">
        <f t="shared" si="5"/>
        <v>1</v>
      </c>
      <c r="I57" s="19">
        <f t="shared" si="5"/>
        <v>0</v>
      </c>
      <c r="J57" s="19">
        <f t="shared" si="8"/>
        <v>0</v>
      </c>
      <c r="K57" s="19">
        <f t="shared" si="8"/>
        <v>0</v>
      </c>
      <c r="L57" s="19">
        <f t="shared" si="8"/>
        <v>25</v>
      </c>
      <c r="M57" s="19">
        <f t="shared" si="8"/>
        <v>0</v>
      </c>
      <c r="N57" s="19">
        <f t="shared" si="8"/>
        <v>3</v>
      </c>
      <c r="O57" s="19">
        <f t="shared" si="8"/>
        <v>103</v>
      </c>
      <c r="P57" s="19">
        <f t="shared" si="8"/>
        <v>1</v>
      </c>
      <c r="Q57" s="19">
        <f t="shared" si="8"/>
        <v>4</v>
      </c>
      <c r="R57" s="19">
        <f t="shared" si="7"/>
        <v>5</v>
      </c>
      <c r="S57" s="19">
        <f t="shared" si="7"/>
        <v>0</v>
      </c>
      <c r="T57" s="19">
        <f t="shared" si="7"/>
        <v>0</v>
      </c>
      <c r="U57" s="19">
        <f t="shared" si="7"/>
        <v>0</v>
      </c>
      <c r="V57" s="19">
        <f t="shared" si="7"/>
        <v>0</v>
      </c>
      <c r="W57" s="19">
        <f t="shared" si="7"/>
        <v>1</v>
      </c>
    </row>
    <row r="58" spans="1:23">
      <c r="A58" s="24" t="str">
        <f t="shared" si="2"/>
        <v>11102_2-4/102&lt;lv15&gt;s2</v>
      </c>
      <c r="B58" s="19">
        <f t="shared" si="8"/>
        <v>11102</v>
      </c>
      <c r="C58" s="19">
        <f t="shared" si="8"/>
        <v>2</v>
      </c>
      <c r="D58" s="19">
        <f t="shared" si="8"/>
        <v>4</v>
      </c>
      <c r="E58" s="19">
        <f t="shared" si="8"/>
        <v>102</v>
      </c>
      <c r="F58" s="19">
        <f t="shared" si="8"/>
        <v>15</v>
      </c>
      <c r="G58" s="19">
        <f t="shared" si="5"/>
        <v>1.8</v>
      </c>
      <c r="H58" s="19">
        <f t="shared" si="5"/>
        <v>1</v>
      </c>
      <c r="I58" s="19">
        <f t="shared" si="5"/>
        <v>0</v>
      </c>
      <c r="J58" s="19">
        <f t="shared" si="8"/>
        <v>0</v>
      </c>
      <c r="K58" s="19">
        <f t="shared" si="8"/>
        <v>0</v>
      </c>
      <c r="L58" s="19">
        <f t="shared" si="8"/>
        <v>100</v>
      </c>
      <c r="M58" s="19">
        <f t="shared" si="8"/>
        <v>0</v>
      </c>
      <c r="N58" s="19">
        <f t="shared" si="8"/>
        <v>2</v>
      </c>
      <c r="O58" s="19">
        <f t="shared" si="8"/>
        <v>102</v>
      </c>
      <c r="P58" s="19">
        <f t="shared" si="8"/>
        <v>1</v>
      </c>
      <c r="Q58" s="19">
        <f t="shared" si="8"/>
        <v>3</v>
      </c>
      <c r="R58" s="19">
        <f t="shared" si="7"/>
        <v>30</v>
      </c>
      <c r="S58" s="19">
        <f t="shared" si="7"/>
        <v>0</v>
      </c>
      <c r="T58" s="19">
        <f t="shared" si="7"/>
        <v>0</v>
      </c>
      <c r="U58" s="19">
        <f t="shared" si="7"/>
        <v>0</v>
      </c>
      <c r="V58" s="19">
        <f t="shared" si="7"/>
        <v>0</v>
      </c>
      <c r="W58" s="19">
        <f t="shared" si="7"/>
        <v>1</v>
      </c>
    </row>
    <row r="59" spans="1:23">
      <c r="A59" s="24" t="str">
        <f t="shared" si="2"/>
        <v>11102_2-4/103&lt;lv15&gt;s3</v>
      </c>
      <c r="B59" s="19">
        <f t="shared" si="8"/>
        <v>11102</v>
      </c>
      <c r="C59" s="19">
        <f t="shared" si="8"/>
        <v>2</v>
      </c>
      <c r="D59" s="19">
        <f t="shared" si="8"/>
        <v>4</v>
      </c>
      <c r="E59" s="19">
        <f t="shared" si="8"/>
        <v>103</v>
      </c>
      <c r="F59" s="19">
        <f t="shared" si="8"/>
        <v>15</v>
      </c>
      <c r="G59" s="19">
        <f t="shared" si="5"/>
        <v>2</v>
      </c>
      <c r="H59" s="19">
        <f t="shared" si="5"/>
        <v>1</v>
      </c>
      <c r="I59" s="19">
        <f t="shared" si="5"/>
        <v>0</v>
      </c>
      <c r="J59" s="19">
        <f t="shared" si="8"/>
        <v>0</v>
      </c>
      <c r="K59" s="19">
        <f t="shared" si="8"/>
        <v>0</v>
      </c>
      <c r="L59" s="19">
        <f t="shared" si="8"/>
        <v>25</v>
      </c>
      <c r="M59" s="19">
        <f t="shared" si="8"/>
        <v>0</v>
      </c>
      <c r="N59" s="19">
        <f t="shared" si="8"/>
        <v>3</v>
      </c>
      <c r="O59" s="19">
        <f t="shared" si="8"/>
        <v>103</v>
      </c>
      <c r="P59" s="19">
        <f t="shared" si="8"/>
        <v>1</v>
      </c>
      <c r="Q59" s="19">
        <f t="shared" si="8"/>
        <v>4</v>
      </c>
      <c r="R59" s="19">
        <f t="shared" si="7"/>
        <v>5</v>
      </c>
      <c r="S59" s="19">
        <f t="shared" si="7"/>
        <v>0</v>
      </c>
      <c r="T59" s="19">
        <f t="shared" si="7"/>
        <v>0</v>
      </c>
      <c r="U59" s="19">
        <f t="shared" si="7"/>
        <v>0</v>
      </c>
      <c r="V59" s="19">
        <f t="shared" si="7"/>
        <v>0</v>
      </c>
      <c r="W59" s="19">
        <f t="shared" si="7"/>
        <v>1</v>
      </c>
    </row>
    <row r="60" spans="1:23">
      <c r="A60" s="24" t="str">
        <f t="shared" si="2"/>
        <v>11102_2-5/102&lt;lv15&gt;s2</v>
      </c>
      <c r="B60" s="19">
        <f t="shared" si="8"/>
        <v>11102</v>
      </c>
      <c r="C60" s="19">
        <f t="shared" si="8"/>
        <v>2</v>
      </c>
      <c r="D60" s="19">
        <f t="shared" si="8"/>
        <v>5</v>
      </c>
      <c r="E60" s="19">
        <f t="shared" si="8"/>
        <v>102</v>
      </c>
      <c r="F60" s="19">
        <f t="shared" si="8"/>
        <v>15</v>
      </c>
      <c r="G60" s="19">
        <f t="shared" si="5"/>
        <v>1.8</v>
      </c>
      <c r="H60" s="19">
        <f t="shared" si="5"/>
        <v>1</v>
      </c>
      <c r="I60" s="19">
        <f t="shared" si="5"/>
        <v>0</v>
      </c>
      <c r="J60" s="19">
        <f t="shared" si="8"/>
        <v>0</v>
      </c>
      <c r="K60" s="19">
        <f t="shared" si="8"/>
        <v>2</v>
      </c>
      <c r="L60" s="19">
        <f t="shared" si="8"/>
        <v>100</v>
      </c>
      <c r="M60" s="19">
        <f t="shared" si="8"/>
        <v>0</v>
      </c>
      <c r="N60" s="19">
        <f t="shared" si="8"/>
        <v>2</v>
      </c>
      <c r="O60" s="19">
        <f t="shared" si="8"/>
        <v>102</v>
      </c>
      <c r="P60" s="19">
        <f t="shared" si="8"/>
        <v>1</v>
      </c>
      <c r="Q60" s="19">
        <f t="shared" si="8"/>
        <v>3</v>
      </c>
      <c r="R60" s="19">
        <f t="shared" si="7"/>
        <v>30</v>
      </c>
      <c r="S60" s="19">
        <f t="shared" si="7"/>
        <v>0</v>
      </c>
      <c r="T60" s="19">
        <f t="shared" si="7"/>
        <v>0</v>
      </c>
      <c r="U60" s="19">
        <f t="shared" si="7"/>
        <v>0</v>
      </c>
      <c r="V60" s="19">
        <f t="shared" si="7"/>
        <v>0</v>
      </c>
      <c r="W60" s="19">
        <f t="shared" si="7"/>
        <v>1</v>
      </c>
    </row>
    <row r="61" spans="1:23">
      <c r="A61" s="24" t="str">
        <f t="shared" si="2"/>
        <v>11102_2-5/50&lt;lv18&gt;s2</v>
      </c>
      <c r="B61" s="19">
        <f t="shared" si="8"/>
        <v>11102</v>
      </c>
      <c r="C61" s="19">
        <f t="shared" si="8"/>
        <v>2</v>
      </c>
      <c r="D61" s="19">
        <f t="shared" si="8"/>
        <v>5</v>
      </c>
      <c r="E61" s="19">
        <f t="shared" si="8"/>
        <v>50</v>
      </c>
      <c r="F61" s="19">
        <f t="shared" si="8"/>
        <v>18</v>
      </c>
      <c r="G61" s="19">
        <f t="shared" si="5"/>
        <v>1</v>
      </c>
      <c r="H61" s="19">
        <f t="shared" si="5"/>
        <v>1</v>
      </c>
      <c r="I61" s="19">
        <f t="shared" si="5"/>
        <v>0</v>
      </c>
      <c r="J61" s="19">
        <f t="shared" si="8"/>
        <v>50</v>
      </c>
      <c r="K61" s="19">
        <f t="shared" si="8"/>
        <v>0</v>
      </c>
      <c r="L61" s="19">
        <f t="shared" si="8"/>
        <v>100</v>
      </c>
      <c r="M61" s="19">
        <f t="shared" si="8"/>
        <v>1</v>
      </c>
      <c r="N61" s="19">
        <f t="shared" si="8"/>
        <v>2</v>
      </c>
      <c r="O61" s="19">
        <f t="shared" si="8"/>
        <v>49</v>
      </c>
      <c r="P61" s="19">
        <f t="shared" si="8"/>
        <v>1</v>
      </c>
      <c r="Q61" s="19">
        <f t="shared" si="8"/>
        <v>2</v>
      </c>
      <c r="R61" s="19">
        <f t="shared" si="7"/>
        <v>0</v>
      </c>
      <c r="S61" s="19">
        <f t="shared" si="7"/>
        <v>0</v>
      </c>
      <c r="T61" s="19">
        <f t="shared" si="7"/>
        <v>0</v>
      </c>
      <c r="U61" s="19">
        <f t="shared" si="7"/>
        <v>0</v>
      </c>
      <c r="V61" s="19">
        <f t="shared" si="7"/>
        <v>0</v>
      </c>
      <c r="W61" s="19">
        <f t="shared" si="7"/>
        <v>1</v>
      </c>
    </row>
    <row r="62" spans="1:23">
      <c r="A62" s="24" t="str">
        <f t="shared" si="2"/>
        <v>11102_2-5/42&lt;lv18&gt;s1</v>
      </c>
      <c r="B62" s="19">
        <f t="shared" si="8"/>
        <v>11102</v>
      </c>
      <c r="C62" s="19">
        <f t="shared" si="8"/>
        <v>2</v>
      </c>
      <c r="D62" s="19">
        <f t="shared" si="8"/>
        <v>5</v>
      </c>
      <c r="E62" s="19">
        <f t="shared" si="8"/>
        <v>42</v>
      </c>
      <c r="F62" s="19">
        <f t="shared" si="8"/>
        <v>18</v>
      </c>
      <c r="G62" s="19">
        <f t="shared" si="5"/>
        <v>1</v>
      </c>
      <c r="H62" s="19">
        <f t="shared" si="5"/>
        <v>1</v>
      </c>
      <c r="I62" s="19">
        <f t="shared" si="5"/>
        <v>0</v>
      </c>
      <c r="J62" s="19">
        <f t="shared" si="8"/>
        <v>0</v>
      </c>
      <c r="K62" s="19">
        <f t="shared" si="8"/>
        <v>0</v>
      </c>
      <c r="L62" s="19">
        <f t="shared" si="8"/>
        <v>100</v>
      </c>
      <c r="M62" s="19">
        <f t="shared" si="8"/>
        <v>1</v>
      </c>
      <c r="N62" s="19">
        <f t="shared" si="8"/>
        <v>1</v>
      </c>
      <c r="O62" s="19">
        <f t="shared" si="8"/>
        <v>41</v>
      </c>
      <c r="P62" s="19">
        <f t="shared" si="8"/>
        <v>1</v>
      </c>
      <c r="Q62" s="19">
        <f t="shared" si="8"/>
        <v>2</v>
      </c>
      <c r="R62" s="19">
        <f t="shared" si="7"/>
        <v>0</v>
      </c>
      <c r="S62" s="19">
        <f t="shared" si="7"/>
        <v>0</v>
      </c>
      <c r="T62" s="19">
        <f t="shared" si="7"/>
        <v>0</v>
      </c>
      <c r="U62" s="19">
        <f t="shared" si="7"/>
        <v>0</v>
      </c>
      <c r="V62" s="19">
        <f t="shared" si="7"/>
        <v>0</v>
      </c>
      <c r="W62" s="19">
        <f t="shared" si="7"/>
        <v>1</v>
      </c>
    </row>
    <row r="63" spans="1:23">
      <c r="A63" s="24" t="str">
        <f t="shared" si="2"/>
        <v>11102_2-5/58&lt;lv18&gt;s2</v>
      </c>
      <c r="B63" s="19">
        <f t="shared" si="8"/>
        <v>11102</v>
      </c>
      <c r="C63" s="19">
        <f t="shared" si="8"/>
        <v>2</v>
      </c>
      <c r="D63" s="19">
        <f t="shared" si="8"/>
        <v>5</v>
      </c>
      <c r="E63" s="19">
        <f t="shared" si="8"/>
        <v>58</v>
      </c>
      <c r="F63" s="19">
        <f t="shared" si="8"/>
        <v>18</v>
      </c>
      <c r="G63" s="19">
        <f t="shared" si="5"/>
        <v>1</v>
      </c>
      <c r="H63" s="19">
        <f t="shared" si="5"/>
        <v>1</v>
      </c>
      <c r="I63" s="19">
        <f t="shared" si="5"/>
        <v>0</v>
      </c>
      <c r="J63" s="19">
        <f t="shared" si="8"/>
        <v>0</v>
      </c>
      <c r="K63" s="19">
        <f t="shared" si="8"/>
        <v>0</v>
      </c>
      <c r="L63" s="19">
        <f t="shared" si="8"/>
        <v>100</v>
      </c>
      <c r="M63" s="19">
        <f t="shared" si="8"/>
        <v>1</v>
      </c>
      <c r="N63" s="19">
        <f t="shared" si="8"/>
        <v>2</v>
      </c>
      <c r="O63" s="19">
        <f t="shared" si="8"/>
        <v>57</v>
      </c>
      <c r="P63" s="19">
        <f t="shared" si="8"/>
        <v>1</v>
      </c>
      <c r="Q63" s="19">
        <f t="shared" si="8"/>
        <v>2</v>
      </c>
      <c r="R63" s="19">
        <f t="shared" si="7"/>
        <v>0</v>
      </c>
      <c r="S63" s="19">
        <f t="shared" si="7"/>
        <v>0</v>
      </c>
      <c r="T63" s="19">
        <f t="shared" si="7"/>
        <v>0</v>
      </c>
      <c r="U63" s="19">
        <f t="shared" si="7"/>
        <v>0</v>
      </c>
      <c r="V63" s="19">
        <f t="shared" si="7"/>
        <v>0</v>
      </c>
      <c r="W63" s="19">
        <f t="shared" si="7"/>
        <v>1</v>
      </c>
    </row>
    <row r="64" spans="1:23">
      <c r="A64" s="24" t="str">
        <f t="shared" si="2"/>
        <v>11102_3-1/103&lt;lv30&gt;s3</v>
      </c>
      <c r="B64" s="19">
        <f t="shared" si="8"/>
        <v>11102</v>
      </c>
      <c r="C64" s="19">
        <f t="shared" si="8"/>
        <v>3</v>
      </c>
      <c r="D64" s="19">
        <f t="shared" si="8"/>
        <v>1</v>
      </c>
      <c r="E64" s="19">
        <f t="shared" si="8"/>
        <v>103</v>
      </c>
      <c r="F64" s="19">
        <f t="shared" si="8"/>
        <v>30</v>
      </c>
      <c r="G64" s="19">
        <f t="shared" si="5"/>
        <v>2</v>
      </c>
      <c r="H64" s="19">
        <f t="shared" si="5"/>
        <v>1</v>
      </c>
      <c r="I64" s="19">
        <f t="shared" si="5"/>
        <v>0</v>
      </c>
      <c r="J64" s="19">
        <f t="shared" si="8"/>
        <v>0</v>
      </c>
      <c r="K64" s="19">
        <f t="shared" si="8"/>
        <v>1</v>
      </c>
      <c r="L64" s="19">
        <f t="shared" si="8"/>
        <v>100</v>
      </c>
      <c r="M64" s="19">
        <f t="shared" si="8"/>
        <v>1</v>
      </c>
      <c r="N64" s="19">
        <f t="shared" si="8"/>
        <v>3</v>
      </c>
      <c r="O64" s="19">
        <f t="shared" si="8"/>
        <v>103</v>
      </c>
      <c r="P64" s="19">
        <f t="shared" si="8"/>
        <v>1</v>
      </c>
      <c r="Q64" s="19">
        <f t="shared" si="8"/>
        <v>4</v>
      </c>
      <c r="R64" s="19">
        <f t="shared" si="7"/>
        <v>10</v>
      </c>
      <c r="S64" s="19">
        <f t="shared" si="7"/>
        <v>0</v>
      </c>
      <c r="T64" s="19">
        <f t="shared" si="7"/>
        <v>0</v>
      </c>
      <c r="U64" s="19">
        <f t="shared" si="7"/>
        <v>0</v>
      </c>
      <c r="V64" s="19">
        <f t="shared" si="7"/>
        <v>0</v>
      </c>
      <c r="W64" s="19">
        <f t="shared" si="7"/>
        <v>1</v>
      </c>
    </row>
    <row r="65" spans="1:23">
      <c r="A65" s="24" t="str">
        <f t="shared" si="2"/>
        <v>11102_3-1/33&lt;lv35&gt;s2</v>
      </c>
      <c r="B65" s="19">
        <f t="shared" si="8"/>
        <v>11102</v>
      </c>
      <c r="C65" s="19">
        <f t="shared" si="8"/>
        <v>3</v>
      </c>
      <c r="D65" s="19">
        <f t="shared" si="8"/>
        <v>1</v>
      </c>
      <c r="E65" s="19">
        <f t="shared" si="8"/>
        <v>33</v>
      </c>
      <c r="F65" s="19">
        <f t="shared" si="8"/>
        <v>35</v>
      </c>
      <c r="G65" s="19">
        <f t="shared" si="5"/>
        <v>1</v>
      </c>
      <c r="H65" s="19">
        <f t="shared" si="5"/>
        <v>1</v>
      </c>
      <c r="I65" s="19">
        <f t="shared" si="5"/>
        <v>0</v>
      </c>
      <c r="J65" s="19">
        <f t="shared" si="8"/>
        <v>33</v>
      </c>
      <c r="K65" s="19">
        <f t="shared" si="8"/>
        <v>0</v>
      </c>
      <c r="L65" s="19">
        <f t="shared" si="8"/>
        <v>100</v>
      </c>
      <c r="M65" s="19">
        <f t="shared" si="8"/>
        <v>0</v>
      </c>
      <c r="N65" s="19">
        <f t="shared" si="8"/>
        <v>2</v>
      </c>
      <c r="O65" s="19">
        <f t="shared" si="8"/>
        <v>33</v>
      </c>
      <c r="P65" s="19">
        <f t="shared" si="8"/>
        <v>1</v>
      </c>
      <c r="Q65" s="19">
        <f t="shared" si="8"/>
        <v>2</v>
      </c>
      <c r="R65" s="19">
        <f t="shared" si="7"/>
        <v>0</v>
      </c>
      <c r="S65" s="19">
        <f t="shared" si="7"/>
        <v>0</v>
      </c>
      <c r="T65" s="19">
        <f t="shared" si="7"/>
        <v>0</v>
      </c>
      <c r="U65" s="19">
        <f t="shared" si="7"/>
        <v>0</v>
      </c>
      <c r="V65" s="19">
        <f t="shared" si="7"/>
        <v>0</v>
      </c>
      <c r="W65" s="19">
        <f t="shared" si="7"/>
        <v>1</v>
      </c>
    </row>
    <row r="66" spans="1:23">
      <c r="A66" s="24" t="str">
        <f t="shared" si="2"/>
        <v>11102_3-1/21&lt;lv35&gt;s2</v>
      </c>
      <c r="B66" s="19">
        <f t="shared" si="8"/>
        <v>11102</v>
      </c>
      <c r="C66" s="19">
        <f t="shared" si="8"/>
        <v>3</v>
      </c>
      <c r="D66" s="19">
        <f t="shared" si="8"/>
        <v>1</v>
      </c>
      <c r="E66" s="19">
        <f t="shared" si="8"/>
        <v>21</v>
      </c>
      <c r="F66" s="19">
        <f t="shared" si="8"/>
        <v>35</v>
      </c>
      <c r="G66" s="19">
        <f t="shared" si="5"/>
        <v>1</v>
      </c>
      <c r="H66" s="19">
        <f t="shared" si="5"/>
        <v>1</v>
      </c>
      <c r="I66" s="19">
        <f t="shared" si="5"/>
        <v>0</v>
      </c>
      <c r="J66" s="19">
        <f t="shared" si="8"/>
        <v>0</v>
      </c>
      <c r="K66" s="19">
        <f t="shared" si="8"/>
        <v>0</v>
      </c>
      <c r="L66" s="19">
        <f t="shared" si="8"/>
        <v>100</v>
      </c>
      <c r="M66" s="19">
        <f t="shared" si="8"/>
        <v>0</v>
      </c>
      <c r="N66" s="19">
        <f t="shared" si="8"/>
        <v>2</v>
      </c>
      <c r="O66" s="19">
        <f t="shared" si="8"/>
        <v>21</v>
      </c>
      <c r="P66" s="19">
        <f t="shared" si="8"/>
        <v>1</v>
      </c>
      <c r="Q66" s="19">
        <f t="shared" si="8"/>
        <v>1</v>
      </c>
      <c r="R66" s="19">
        <f t="shared" si="7"/>
        <v>0</v>
      </c>
      <c r="S66" s="19">
        <f t="shared" si="7"/>
        <v>0</v>
      </c>
      <c r="T66" s="19">
        <f t="shared" si="7"/>
        <v>0</v>
      </c>
      <c r="U66" s="19">
        <f t="shared" si="7"/>
        <v>0</v>
      </c>
      <c r="V66" s="19">
        <f t="shared" si="7"/>
        <v>0</v>
      </c>
      <c r="W66" s="19">
        <f t="shared" si="7"/>
        <v>1</v>
      </c>
    </row>
    <row r="67" spans="1:23">
      <c r="A67" s="24" t="str">
        <f t="shared" si="2"/>
        <v>11102_3-1/332&lt;lv1&gt;s1</v>
      </c>
      <c r="B67" s="19">
        <f t="shared" si="8"/>
        <v>11102</v>
      </c>
      <c r="C67" s="19">
        <f t="shared" si="8"/>
        <v>3</v>
      </c>
      <c r="D67" s="19">
        <f t="shared" si="8"/>
        <v>1</v>
      </c>
      <c r="E67" s="19">
        <f t="shared" si="8"/>
        <v>332</v>
      </c>
      <c r="F67" s="19">
        <f t="shared" si="8"/>
        <v>1</v>
      </c>
      <c r="G67" s="19">
        <f t="shared" si="5"/>
        <v>1</v>
      </c>
      <c r="H67" s="19">
        <f t="shared" si="5"/>
        <v>1</v>
      </c>
      <c r="I67" s="19">
        <f t="shared" si="5"/>
        <v>0</v>
      </c>
      <c r="J67" s="19">
        <f t="shared" si="8"/>
        <v>0</v>
      </c>
      <c r="K67" s="19">
        <f t="shared" si="8"/>
        <v>0</v>
      </c>
      <c r="L67" s="19">
        <f t="shared" si="8"/>
        <v>30</v>
      </c>
      <c r="M67" s="19">
        <f t="shared" si="8"/>
        <v>0</v>
      </c>
      <c r="N67" s="19">
        <f t="shared" si="8"/>
        <v>1</v>
      </c>
      <c r="O67" s="19">
        <f t="shared" si="8"/>
        <v>332</v>
      </c>
      <c r="P67" s="19">
        <f t="shared" si="8"/>
        <v>1</v>
      </c>
      <c r="Q67" s="19">
        <f t="shared" si="8"/>
        <v>3</v>
      </c>
      <c r="R67" s="19">
        <f t="shared" si="7"/>
        <v>10</v>
      </c>
      <c r="S67" s="19">
        <f t="shared" si="7"/>
        <v>0</v>
      </c>
      <c r="T67" s="19">
        <f t="shared" si="7"/>
        <v>0</v>
      </c>
      <c r="U67" s="19">
        <f t="shared" si="7"/>
        <v>0</v>
      </c>
      <c r="V67" s="19">
        <f t="shared" si="7"/>
        <v>0</v>
      </c>
      <c r="W67" s="19">
        <f t="shared" si="7"/>
        <v>1</v>
      </c>
    </row>
    <row r="68" spans="1:23">
      <c r="A68" s="24" t="str">
        <f t="shared" ref="A68:A131" si="9">INDIRECT(ADDRESS(ROW()+$A$1,COLUMN(),1,TRUE,$C$1))</f>
        <v>11102_3-1/333&lt;lv1&gt;s2</v>
      </c>
      <c r="B68" s="19">
        <f t="shared" si="8"/>
        <v>11102</v>
      </c>
      <c r="C68" s="19">
        <f t="shared" si="8"/>
        <v>3</v>
      </c>
      <c r="D68" s="19">
        <f t="shared" si="8"/>
        <v>1</v>
      </c>
      <c r="E68" s="19">
        <f t="shared" si="8"/>
        <v>333</v>
      </c>
      <c r="F68" s="19">
        <f t="shared" si="8"/>
        <v>1</v>
      </c>
      <c r="G68" s="19">
        <f t="shared" si="5"/>
        <v>1</v>
      </c>
      <c r="H68" s="19">
        <f t="shared" si="5"/>
        <v>1</v>
      </c>
      <c r="I68" s="19">
        <f t="shared" si="5"/>
        <v>0</v>
      </c>
      <c r="J68" s="19">
        <f t="shared" si="8"/>
        <v>0</v>
      </c>
      <c r="K68" s="19">
        <f t="shared" si="8"/>
        <v>0</v>
      </c>
      <c r="L68" s="19">
        <f t="shared" si="8"/>
        <v>30</v>
      </c>
      <c r="M68" s="19">
        <f t="shared" si="8"/>
        <v>0</v>
      </c>
      <c r="N68" s="19">
        <f t="shared" si="8"/>
        <v>2</v>
      </c>
      <c r="O68" s="19">
        <f t="shared" si="8"/>
        <v>333</v>
      </c>
      <c r="P68" s="19">
        <f t="shared" si="8"/>
        <v>1</v>
      </c>
      <c r="Q68" s="19">
        <f t="shared" si="8"/>
        <v>4</v>
      </c>
      <c r="R68" s="19">
        <f t="shared" si="7"/>
        <v>5</v>
      </c>
      <c r="S68" s="19">
        <f t="shared" si="7"/>
        <v>0</v>
      </c>
      <c r="T68" s="19">
        <f t="shared" si="7"/>
        <v>0</v>
      </c>
      <c r="U68" s="19">
        <f t="shared" si="7"/>
        <v>0</v>
      </c>
      <c r="V68" s="19">
        <f t="shared" si="7"/>
        <v>0</v>
      </c>
      <c r="W68" s="19">
        <f t="shared" si="7"/>
        <v>1</v>
      </c>
    </row>
    <row r="69" spans="1:23">
      <c r="A69" s="24" t="str">
        <f t="shared" si="9"/>
        <v>11102_3-2/103&lt;lv30&gt;s3</v>
      </c>
      <c r="B69" s="19">
        <f t="shared" si="8"/>
        <v>11102</v>
      </c>
      <c r="C69" s="19">
        <f t="shared" si="8"/>
        <v>3</v>
      </c>
      <c r="D69" s="19">
        <f t="shared" si="8"/>
        <v>2</v>
      </c>
      <c r="E69" s="19">
        <f t="shared" si="8"/>
        <v>103</v>
      </c>
      <c r="F69" s="19">
        <f t="shared" si="8"/>
        <v>30</v>
      </c>
      <c r="G69" s="19">
        <f t="shared" si="5"/>
        <v>2</v>
      </c>
      <c r="H69" s="19">
        <f t="shared" si="5"/>
        <v>1</v>
      </c>
      <c r="I69" s="19">
        <f t="shared" si="5"/>
        <v>0</v>
      </c>
      <c r="J69" s="19">
        <f t="shared" si="8"/>
        <v>0</v>
      </c>
      <c r="K69" s="19">
        <f t="shared" si="8"/>
        <v>1</v>
      </c>
      <c r="L69" s="19">
        <f t="shared" si="8"/>
        <v>100</v>
      </c>
      <c r="M69" s="19">
        <f t="shared" si="8"/>
        <v>1</v>
      </c>
      <c r="N69" s="19">
        <f t="shared" si="8"/>
        <v>3</v>
      </c>
      <c r="O69" s="19">
        <f t="shared" si="8"/>
        <v>103</v>
      </c>
      <c r="P69" s="19">
        <f t="shared" si="8"/>
        <v>1</v>
      </c>
      <c r="Q69" s="19">
        <f t="shared" si="8"/>
        <v>4</v>
      </c>
      <c r="R69" s="19">
        <f t="shared" si="7"/>
        <v>10</v>
      </c>
      <c r="S69" s="19">
        <f t="shared" si="7"/>
        <v>0</v>
      </c>
      <c r="T69" s="19">
        <f t="shared" si="7"/>
        <v>0</v>
      </c>
      <c r="U69" s="19">
        <f t="shared" si="7"/>
        <v>0</v>
      </c>
      <c r="V69" s="19">
        <f t="shared" si="7"/>
        <v>0</v>
      </c>
      <c r="W69" s="19">
        <f t="shared" si="7"/>
        <v>1</v>
      </c>
    </row>
    <row r="70" spans="1:23">
      <c r="A70" s="24" t="str">
        <f t="shared" si="9"/>
        <v>11102_3-2/33&lt;lv35&gt;s2</v>
      </c>
      <c r="B70" s="19">
        <f t="shared" si="8"/>
        <v>11102</v>
      </c>
      <c r="C70" s="19">
        <f t="shared" si="8"/>
        <v>3</v>
      </c>
      <c r="D70" s="19">
        <f t="shared" si="8"/>
        <v>2</v>
      </c>
      <c r="E70" s="19">
        <f t="shared" si="8"/>
        <v>33</v>
      </c>
      <c r="F70" s="19">
        <f t="shared" si="8"/>
        <v>35</v>
      </c>
      <c r="G70" s="19">
        <f t="shared" si="5"/>
        <v>1</v>
      </c>
      <c r="H70" s="19">
        <f t="shared" si="5"/>
        <v>1</v>
      </c>
      <c r="I70" s="19">
        <f t="shared" si="5"/>
        <v>0</v>
      </c>
      <c r="J70" s="19">
        <f t="shared" si="8"/>
        <v>33</v>
      </c>
      <c r="K70" s="19">
        <f t="shared" si="8"/>
        <v>0</v>
      </c>
      <c r="L70" s="19">
        <f t="shared" si="8"/>
        <v>100</v>
      </c>
      <c r="M70" s="19">
        <f t="shared" si="8"/>
        <v>0</v>
      </c>
      <c r="N70" s="19">
        <f t="shared" si="8"/>
        <v>2</v>
      </c>
      <c r="O70" s="19">
        <f t="shared" si="8"/>
        <v>33</v>
      </c>
      <c r="P70" s="19">
        <f t="shared" si="8"/>
        <v>1</v>
      </c>
      <c r="Q70" s="19">
        <f t="shared" si="8"/>
        <v>2</v>
      </c>
      <c r="R70" s="19">
        <f t="shared" si="7"/>
        <v>0</v>
      </c>
      <c r="S70" s="19">
        <f t="shared" si="7"/>
        <v>0</v>
      </c>
      <c r="T70" s="19">
        <f t="shared" si="7"/>
        <v>0</v>
      </c>
      <c r="U70" s="19">
        <f t="shared" si="7"/>
        <v>0</v>
      </c>
      <c r="V70" s="19">
        <f t="shared" si="7"/>
        <v>0</v>
      </c>
      <c r="W70" s="19">
        <f t="shared" si="7"/>
        <v>1</v>
      </c>
    </row>
    <row r="71" spans="1:23">
      <c r="A71" s="24" t="str">
        <f t="shared" si="9"/>
        <v>11102_3-2/21&lt;lv35&gt;s2</v>
      </c>
      <c r="B71" s="19">
        <f t="shared" si="8"/>
        <v>11102</v>
      </c>
      <c r="C71" s="19">
        <f t="shared" si="8"/>
        <v>3</v>
      </c>
      <c r="D71" s="19">
        <f t="shared" si="8"/>
        <v>2</v>
      </c>
      <c r="E71" s="19">
        <f t="shared" si="8"/>
        <v>21</v>
      </c>
      <c r="F71" s="19">
        <f t="shared" si="8"/>
        <v>35</v>
      </c>
      <c r="G71" s="19">
        <f t="shared" si="5"/>
        <v>1</v>
      </c>
      <c r="H71" s="19">
        <f t="shared" si="5"/>
        <v>1</v>
      </c>
      <c r="I71" s="19">
        <f t="shared" si="5"/>
        <v>0</v>
      </c>
      <c r="J71" s="19">
        <f t="shared" si="8"/>
        <v>0</v>
      </c>
      <c r="K71" s="19">
        <f t="shared" si="8"/>
        <v>0</v>
      </c>
      <c r="L71" s="19">
        <f t="shared" si="8"/>
        <v>100</v>
      </c>
      <c r="M71" s="19">
        <f t="shared" si="8"/>
        <v>0</v>
      </c>
      <c r="N71" s="19">
        <f t="shared" si="8"/>
        <v>2</v>
      </c>
      <c r="O71" s="19">
        <f t="shared" si="8"/>
        <v>21</v>
      </c>
      <c r="P71" s="19">
        <f t="shared" si="8"/>
        <v>1</v>
      </c>
      <c r="Q71" s="19">
        <f t="shared" si="8"/>
        <v>1</v>
      </c>
      <c r="R71" s="19">
        <f t="shared" si="7"/>
        <v>0</v>
      </c>
      <c r="S71" s="19">
        <f t="shared" si="7"/>
        <v>0</v>
      </c>
      <c r="T71" s="19">
        <f t="shared" si="7"/>
        <v>0</v>
      </c>
      <c r="U71" s="19">
        <f t="shared" si="7"/>
        <v>0</v>
      </c>
      <c r="V71" s="19">
        <f t="shared" si="7"/>
        <v>0</v>
      </c>
      <c r="W71" s="19">
        <f t="shared" si="7"/>
        <v>1</v>
      </c>
    </row>
    <row r="72" spans="1:23">
      <c r="A72" s="24" t="str">
        <f t="shared" si="9"/>
        <v>11102_3-2/332&lt;lv1&gt;s1</v>
      </c>
      <c r="B72" s="19">
        <f t="shared" si="8"/>
        <v>11102</v>
      </c>
      <c r="C72" s="19">
        <f t="shared" si="8"/>
        <v>3</v>
      </c>
      <c r="D72" s="19">
        <f t="shared" si="8"/>
        <v>2</v>
      </c>
      <c r="E72" s="19">
        <f t="shared" si="8"/>
        <v>332</v>
      </c>
      <c r="F72" s="19">
        <f t="shared" si="8"/>
        <v>1</v>
      </c>
      <c r="G72" s="19">
        <f t="shared" si="5"/>
        <v>1</v>
      </c>
      <c r="H72" s="19">
        <f t="shared" si="5"/>
        <v>1</v>
      </c>
      <c r="I72" s="19">
        <f t="shared" si="5"/>
        <v>0</v>
      </c>
      <c r="J72" s="19">
        <f t="shared" si="8"/>
        <v>0</v>
      </c>
      <c r="K72" s="19">
        <f t="shared" si="8"/>
        <v>0</v>
      </c>
      <c r="L72" s="19">
        <f t="shared" si="8"/>
        <v>30</v>
      </c>
      <c r="M72" s="19">
        <f t="shared" si="8"/>
        <v>0</v>
      </c>
      <c r="N72" s="19">
        <f t="shared" si="8"/>
        <v>1</v>
      </c>
      <c r="O72" s="19">
        <f t="shared" si="8"/>
        <v>332</v>
      </c>
      <c r="P72" s="19">
        <f t="shared" si="8"/>
        <v>1</v>
      </c>
      <c r="Q72" s="19">
        <f t="shared" si="8"/>
        <v>3</v>
      </c>
      <c r="R72" s="19">
        <f t="shared" si="7"/>
        <v>10</v>
      </c>
      <c r="S72" s="19">
        <f t="shared" si="7"/>
        <v>0</v>
      </c>
      <c r="T72" s="19">
        <f t="shared" si="7"/>
        <v>0</v>
      </c>
      <c r="U72" s="19">
        <f t="shared" si="7"/>
        <v>0</v>
      </c>
      <c r="V72" s="19">
        <f t="shared" si="7"/>
        <v>0</v>
      </c>
      <c r="W72" s="19">
        <f t="shared" si="7"/>
        <v>1</v>
      </c>
    </row>
    <row r="73" spans="1:23">
      <c r="A73" s="24" t="str">
        <f t="shared" si="9"/>
        <v>11102_3-2/333&lt;lv1&gt;s2</v>
      </c>
      <c r="B73" s="19">
        <f t="shared" si="8"/>
        <v>11102</v>
      </c>
      <c r="C73" s="19">
        <f t="shared" si="8"/>
        <v>3</v>
      </c>
      <c r="D73" s="19">
        <f t="shared" si="8"/>
        <v>2</v>
      </c>
      <c r="E73" s="19">
        <f t="shared" si="8"/>
        <v>333</v>
      </c>
      <c r="F73" s="19">
        <f t="shared" si="8"/>
        <v>1</v>
      </c>
      <c r="G73" s="19">
        <f t="shared" si="5"/>
        <v>1</v>
      </c>
      <c r="H73" s="19">
        <f t="shared" si="5"/>
        <v>1</v>
      </c>
      <c r="I73" s="19">
        <f t="shared" si="5"/>
        <v>0</v>
      </c>
      <c r="J73" s="19">
        <f t="shared" si="8"/>
        <v>0</v>
      </c>
      <c r="K73" s="19">
        <f t="shared" si="8"/>
        <v>0</v>
      </c>
      <c r="L73" s="19">
        <f t="shared" si="8"/>
        <v>30</v>
      </c>
      <c r="M73" s="19">
        <f t="shared" ref="M73:W90" si="10">VLOOKUP($A73,OFFSET(INDIRECT($C$1&amp;"!$A1"),0,0,COUNTA(INDIRECT($C$1&amp;"!$A:$A"))+1,MATCH(M$2,INDIRECT($C$1&amp;"!"&amp;$B$1),0)-MATCH($A$2,INDIRECT($C$1&amp;"!"&amp;$B$1),0)+1),MATCH(M$2,INDIRECT($C$1&amp;"!"&amp;$B$1),0)-MATCH($A$2,INDIRECT($C$1&amp;"!"&amp;$B$1),0)+1,FALSE)</f>
        <v>0</v>
      </c>
      <c r="N73" s="19">
        <f t="shared" si="10"/>
        <v>2</v>
      </c>
      <c r="O73" s="19">
        <f t="shared" si="10"/>
        <v>333</v>
      </c>
      <c r="P73" s="19">
        <f t="shared" si="10"/>
        <v>1</v>
      </c>
      <c r="Q73" s="19">
        <f t="shared" si="10"/>
        <v>4</v>
      </c>
      <c r="R73" s="19">
        <f t="shared" si="10"/>
        <v>5</v>
      </c>
      <c r="S73" s="19">
        <f t="shared" si="10"/>
        <v>0</v>
      </c>
      <c r="T73" s="19">
        <f t="shared" si="10"/>
        <v>0</v>
      </c>
      <c r="U73" s="19">
        <f t="shared" si="10"/>
        <v>0</v>
      </c>
      <c r="V73" s="19">
        <f t="shared" si="10"/>
        <v>0</v>
      </c>
      <c r="W73" s="19">
        <f t="shared" si="10"/>
        <v>1</v>
      </c>
    </row>
    <row r="74" spans="1:23">
      <c r="A74" s="24" t="str">
        <f t="shared" si="9"/>
        <v>11102_3-3/103&lt;lv30&gt;s3</v>
      </c>
      <c r="B74" s="19">
        <f t="shared" ref="B74:Q91" si="11">VLOOKUP($A74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11102</v>
      </c>
      <c r="C74" s="19">
        <f t="shared" si="11"/>
        <v>3</v>
      </c>
      <c r="D74" s="19">
        <f t="shared" si="11"/>
        <v>3</v>
      </c>
      <c r="E74" s="19">
        <f t="shared" si="11"/>
        <v>103</v>
      </c>
      <c r="F74" s="19">
        <f t="shared" si="11"/>
        <v>30</v>
      </c>
      <c r="G74" s="19">
        <f t="shared" si="5"/>
        <v>2</v>
      </c>
      <c r="H74" s="19">
        <f t="shared" si="5"/>
        <v>1</v>
      </c>
      <c r="I74" s="19">
        <f t="shared" si="5"/>
        <v>0</v>
      </c>
      <c r="J74" s="19">
        <f t="shared" si="11"/>
        <v>0</v>
      </c>
      <c r="K74" s="19">
        <f t="shared" si="11"/>
        <v>1</v>
      </c>
      <c r="L74" s="19">
        <f t="shared" si="11"/>
        <v>100</v>
      </c>
      <c r="M74" s="19">
        <f t="shared" si="11"/>
        <v>1</v>
      </c>
      <c r="N74" s="19">
        <f t="shared" si="11"/>
        <v>3</v>
      </c>
      <c r="O74" s="19">
        <f t="shared" si="11"/>
        <v>103</v>
      </c>
      <c r="P74" s="19">
        <f t="shared" si="11"/>
        <v>1</v>
      </c>
      <c r="Q74" s="19">
        <f t="shared" si="11"/>
        <v>4</v>
      </c>
      <c r="R74" s="19">
        <f t="shared" si="10"/>
        <v>50</v>
      </c>
      <c r="S74" s="19">
        <f t="shared" si="10"/>
        <v>0</v>
      </c>
      <c r="T74" s="19">
        <f t="shared" si="10"/>
        <v>0</v>
      </c>
      <c r="U74" s="19">
        <f t="shared" si="10"/>
        <v>0</v>
      </c>
      <c r="V74" s="19">
        <f t="shared" si="10"/>
        <v>0</v>
      </c>
      <c r="W74" s="19">
        <f t="shared" si="10"/>
        <v>1</v>
      </c>
    </row>
    <row r="75" spans="1:23">
      <c r="A75" s="24" t="str">
        <f t="shared" si="9"/>
        <v>11102_3-3/33&lt;lv35&gt;s2</v>
      </c>
      <c r="B75" s="19">
        <f t="shared" si="11"/>
        <v>11102</v>
      </c>
      <c r="C75" s="19">
        <f t="shared" si="11"/>
        <v>3</v>
      </c>
      <c r="D75" s="19">
        <f t="shared" si="11"/>
        <v>3</v>
      </c>
      <c r="E75" s="19">
        <f t="shared" si="11"/>
        <v>33</v>
      </c>
      <c r="F75" s="19">
        <f t="shared" si="11"/>
        <v>35</v>
      </c>
      <c r="G75" s="19">
        <f t="shared" si="5"/>
        <v>1</v>
      </c>
      <c r="H75" s="19">
        <f t="shared" si="5"/>
        <v>1</v>
      </c>
      <c r="I75" s="19">
        <f t="shared" si="5"/>
        <v>0</v>
      </c>
      <c r="J75" s="19">
        <f t="shared" si="11"/>
        <v>33</v>
      </c>
      <c r="K75" s="19">
        <f t="shared" si="11"/>
        <v>0</v>
      </c>
      <c r="L75" s="19">
        <f t="shared" si="11"/>
        <v>100</v>
      </c>
      <c r="M75" s="19">
        <f t="shared" si="11"/>
        <v>0</v>
      </c>
      <c r="N75" s="19">
        <f t="shared" si="11"/>
        <v>2</v>
      </c>
      <c r="O75" s="19">
        <f t="shared" si="11"/>
        <v>33</v>
      </c>
      <c r="P75" s="19">
        <f t="shared" si="11"/>
        <v>1</v>
      </c>
      <c r="Q75" s="19">
        <f t="shared" si="11"/>
        <v>2</v>
      </c>
      <c r="R75" s="19">
        <f t="shared" si="10"/>
        <v>0</v>
      </c>
      <c r="S75" s="19">
        <f t="shared" si="10"/>
        <v>0</v>
      </c>
      <c r="T75" s="19">
        <f t="shared" si="10"/>
        <v>0</v>
      </c>
      <c r="U75" s="19">
        <f t="shared" si="10"/>
        <v>0</v>
      </c>
      <c r="V75" s="19">
        <f t="shared" si="10"/>
        <v>0</v>
      </c>
      <c r="W75" s="19">
        <f t="shared" si="10"/>
        <v>1</v>
      </c>
    </row>
    <row r="76" spans="1:23">
      <c r="A76" s="24" t="str">
        <f t="shared" si="9"/>
        <v>11102_3-3/21&lt;lv35&gt;s2</v>
      </c>
      <c r="B76" s="19">
        <f t="shared" si="11"/>
        <v>11102</v>
      </c>
      <c r="C76" s="19">
        <f t="shared" si="11"/>
        <v>3</v>
      </c>
      <c r="D76" s="19">
        <f t="shared" si="11"/>
        <v>3</v>
      </c>
      <c r="E76" s="19">
        <f t="shared" si="11"/>
        <v>21</v>
      </c>
      <c r="F76" s="19">
        <f t="shared" si="11"/>
        <v>35</v>
      </c>
      <c r="G76" s="19">
        <f t="shared" si="5"/>
        <v>1</v>
      </c>
      <c r="H76" s="19">
        <f t="shared" si="5"/>
        <v>1</v>
      </c>
      <c r="I76" s="19">
        <f t="shared" si="5"/>
        <v>0</v>
      </c>
      <c r="J76" s="19">
        <f t="shared" si="11"/>
        <v>0</v>
      </c>
      <c r="K76" s="19">
        <f t="shared" si="11"/>
        <v>0</v>
      </c>
      <c r="L76" s="19">
        <f t="shared" si="11"/>
        <v>100</v>
      </c>
      <c r="M76" s="19">
        <f t="shared" si="11"/>
        <v>0</v>
      </c>
      <c r="N76" s="19">
        <f t="shared" si="11"/>
        <v>2</v>
      </c>
      <c r="O76" s="19">
        <f t="shared" si="11"/>
        <v>21</v>
      </c>
      <c r="P76" s="19">
        <f t="shared" si="11"/>
        <v>1</v>
      </c>
      <c r="Q76" s="19">
        <f t="shared" si="11"/>
        <v>1</v>
      </c>
      <c r="R76" s="19">
        <f t="shared" si="10"/>
        <v>0</v>
      </c>
      <c r="S76" s="19">
        <f t="shared" si="10"/>
        <v>0</v>
      </c>
      <c r="T76" s="19">
        <f t="shared" si="10"/>
        <v>0</v>
      </c>
      <c r="U76" s="19">
        <f t="shared" si="10"/>
        <v>0</v>
      </c>
      <c r="V76" s="19">
        <f t="shared" si="10"/>
        <v>0</v>
      </c>
      <c r="W76" s="19">
        <f t="shared" si="10"/>
        <v>1</v>
      </c>
    </row>
    <row r="77" spans="1:23">
      <c r="A77" s="24" t="str">
        <f t="shared" si="9"/>
        <v>11102_3-3/332&lt;lv1&gt;s1</v>
      </c>
      <c r="B77" s="19">
        <f t="shared" si="11"/>
        <v>11102</v>
      </c>
      <c r="C77" s="19">
        <f t="shared" si="11"/>
        <v>3</v>
      </c>
      <c r="D77" s="19">
        <f t="shared" si="11"/>
        <v>3</v>
      </c>
      <c r="E77" s="19">
        <f t="shared" si="11"/>
        <v>332</v>
      </c>
      <c r="F77" s="19">
        <f t="shared" si="11"/>
        <v>1</v>
      </c>
      <c r="G77" s="19">
        <f t="shared" si="5"/>
        <v>1</v>
      </c>
      <c r="H77" s="19">
        <f t="shared" si="5"/>
        <v>1</v>
      </c>
      <c r="I77" s="19">
        <f t="shared" si="5"/>
        <v>0</v>
      </c>
      <c r="J77" s="19">
        <f t="shared" si="11"/>
        <v>0</v>
      </c>
      <c r="K77" s="19">
        <f t="shared" si="11"/>
        <v>0</v>
      </c>
      <c r="L77" s="19">
        <f t="shared" si="11"/>
        <v>30</v>
      </c>
      <c r="M77" s="19">
        <f t="shared" si="11"/>
        <v>0</v>
      </c>
      <c r="N77" s="19">
        <f t="shared" si="11"/>
        <v>1</v>
      </c>
      <c r="O77" s="19">
        <f t="shared" si="11"/>
        <v>332</v>
      </c>
      <c r="P77" s="19">
        <f t="shared" si="11"/>
        <v>1</v>
      </c>
      <c r="Q77" s="19">
        <f t="shared" si="11"/>
        <v>3</v>
      </c>
      <c r="R77" s="19">
        <f t="shared" si="10"/>
        <v>10</v>
      </c>
      <c r="S77" s="19">
        <f t="shared" si="10"/>
        <v>0</v>
      </c>
      <c r="T77" s="19">
        <f t="shared" si="10"/>
        <v>0</v>
      </c>
      <c r="U77" s="19">
        <f t="shared" si="10"/>
        <v>0</v>
      </c>
      <c r="V77" s="19">
        <f t="shared" si="10"/>
        <v>0</v>
      </c>
      <c r="W77" s="19">
        <f t="shared" si="10"/>
        <v>1</v>
      </c>
    </row>
    <row r="78" spans="1:23">
      <c r="A78" s="24" t="str">
        <f t="shared" si="9"/>
        <v>11102_3-3/333&lt;lv1&gt;s2</v>
      </c>
      <c r="B78" s="19">
        <f t="shared" si="11"/>
        <v>11102</v>
      </c>
      <c r="C78" s="19">
        <f t="shared" si="11"/>
        <v>3</v>
      </c>
      <c r="D78" s="19">
        <f t="shared" si="11"/>
        <v>3</v>
      </c>
      <c r="E78" s="19">
        <f t="shared" si="11"/>
        <v>333</v>
      </c>
      <c r="F78" s="19">
        <f t="shared" si="11"/>
        <v>1</v>
      </c>
      <c r="G78" s="19">
        <f t="shared" si="5"/>
        <v>1</v>
      </c>
      <c r="H78" s="19">
        <f t="shared" si="5"/>
        <v>1</v>
      </c>
      <c r="I78" s="19">
        <f t="shared" si="5"/>
        <v>0</v>
      </c>
      <c r="J78" s="19">
        <f t="shared" si="11"/>
        <v>0</v>
      </c>
      <c r="K78" s="19">
        <f t="shared" si="11"/>
        <v>0</v>
      </c>
      <c r="L78" s="19">
        <f t="shared" si="11"/>
        <v>30</v>
      </c>
      <c r="M78" s="19">
        <f t="shared" si="11"/>
        <v>0</v>
      </c>
      <c r="N78" s="19">
        <f t="shared" si="11"/>
        <v>2</v>
      </c>
      <c r="O78" s="19">
        <f t="shared" si="11"/>
        <v>333</v>
      </c>
      <c r="P78" s="19">
        <f t="shared" si="11"/>
        <v>1</v>
      </c>
      <c r="Q78" s="19">
        <f t="shared" si="11"/>
        <v>4</v>
      </c>
      <c r="R78" s="19">
        <f t="shared" si="10"/>
        <v>5</v>
      </c>
      <c r="S78" s="19">
        <f t="shared" si="10"/>
        <v>0</v>
      </c>
      <c r="T78" s="19">
        <f t="shared" si="10"/>
        <v>0</v>
      </c>
      <c r="U78" s="19">
        <f t="shared" si="10"/>
        <v>0</v>
      </c>
      <c r="V78" s="19">
        <f t="shared" si="10"/>
        <v>0</v>
      </c>
      <c r="W78" s="19">
        <f t="shared" si="10"/>
        <v>1</v>
      </c>
    </row>
    <row r="79" spans="1:23">
      <c r="A79" s="24" t="str">
        <f t="shared" si="9"/>
        <v>11102_3-4/103&lt;lv30&gt;s3</v>
      </c>
      <c r="B79" s="19">
        <f t="shared" si="11"/>
        <v>11102</v>
      </c>
      <c r="C79" s="19">
        <f t="shared" si="11"/>
        <v>3</v>
      </c>
      <c r="D79" s="19">
        <f t="shared" si="11"/>
        <v>4</v>
      </c>
      <c r="E79" s="19">
        <f t="shared" si="11"/>
        <v>103</v>
      </c>
      <c r="F79" s="19">
        <f t="shared" si="11"/>
        <v>30</v>
      </c>
      <c r="G79" s="19">
        <f t="shared" si="5"/>
        <v>2</v>
      </c>
      <c r="H79" s="19">
        <f t="shared" si="5"/>
        <v>1</v>
      </c>
      <c r="I79" s="19">
        <f t="shared" si="5"/>
        <v>0</v>
      </c>
      <c r="J79" s="19">
        <f t="shared" si="11"/>
        <v>0</v>
      </c>
      <c r="K79" s="19">
        <f t="shared" si="11"/>
        <v>1</v>
      </c>
      <c r="L79" s="19">
        <f t="shared" si="11"/>
        <v>100</v>
      </c>
      <c r="M79" s="19">
        <f t="shared" si="11"/>
        <v>1</v>
      </c>
      <c r="N79" s="19">
        <f t="shared" si="11"/>
        <v>3</v>
      </c>
      <c r="O79" s="19">
        <f t="shared" si="11"/>
        <v>103</v>
      </c>
      <c r="P79" s="19">
        <f t="shared" si="11"/>
        <v>1</v>
      </c>
      <c r="Q79" s="19">
        <f t="shared" si="11"/>
        <v>4</v>
      </c>
      <c r="R79" s="19">
        <f t="shared" si="10"/>
        <v>30</v>
      </c>
      <c r="S79" s="19">
        <f t="shared" si="10"/>
        <v>0</v>
      </c>
      <c r="T79" s="19">
        <f t="shared" si="10"/>
        <v>0</v>
      </c>
      <c r="U79" s="19">
        <f t="shared" si="10"/>
        <v>0</v>
      </c>
      <c r="V79" s="19">
        <f t="shared" si="10"/>
        <v>0</v>
      </c>
      <c r="W79" s="19">
        <f t="shared" si="10"/>
        <v>1</v>
      </c>
    </row>
    <row r="80" spans="1:23">
      <c r="A80" s="24" t="str">
        <f t="shared" si="9"/>
        <v>11102_3-4/33&lt;lv35&gt;s2</v>
      </c>
      <c r="B80" s="19">
        <f t="shared" si="11"/>
        <v>11102</v>
      </c>
      <c r="C80" s="19">
        <f t="shared" si="11"/>
        <v>3</v>
      </c>
      <c r="D80" s="19">
        <f t="shared" si="11"/>
        <v>4</v>
      </c>
      <c r="E80" s="19">
        <f t="shared" si="11"/>
        <v>33</v>
      </c>
      <c r="F80" s="19">
        <f t="shared" si="11"/>
        <v>35</v>
      </c>
      <c r="G80" s="19">
        <f t="shared" si="5"/>
        <v>1</v>
      </c>
      <c r="H80" s="19">
        <f t="shared" si="5"/>
        <v>1</v>
      </c>
      <c r="I80" s="19">
        <f t="shared" si="5"/>
        <v>0</v>
      </c>
      <c r="J80" s="19">
        <f t="shared" si="11"/>
        <v>33</v>
      </c>
      <c r="K80" s="19">
        <f t="shared" si="11"/>
        <v>0</v>
      </c>
      <c r="L80" s="19">
        <f t="shared" si="11"/>
        <v>100</v>
      </c>
      <c r="M80" s="19">
        <f t="shared" si="11"/>
        <v>0</v>
      </c>
      <c r="N80" s="19">
        <f t="shared" si="11"/>
        <v>2</v>
      </c>
      <c r="O80" s="19">
        <f t="shared" si="11"/>
        <v>33</v>
      </c>
      <c r="P80" s="19">
        <f t="shared" si="11"/>
        <v>1</v>
      </c>
      <c r="Q80" s="19">
        <f t="shared" si="11"/>
        <v>2</v>
      </c>
      <c r="R80" s="19">
        <f t="shared" si="10"/>
        <v>0</v>
      </c>
      <c r="S80" s="19">
        <f t="shared" si="10"/>
        <v>0</v>
      </c>
      <c r="T80" s="19">
        <f t="shared" si="10"/>
        <v>0</v>
      </c>
      <c r="U80" s="19">
        <f t="shared" si="10"/>
        <v>0</v>
      </c>
      <c r="V80" s="19">
        <f t="shared" si="10"/>
        <v>0</v>
      </c>
      <c r="W80" s="19">
        <f t="shared" si="10"/>
        <v>1</v>
      </c>
    </row>
    <row r="81" spans="1:23">
      <c r="A81" s="24" t="str">
        <f t="shared" si="9"/>
        <v>11102_3-4/21&lt;lv35&gt;s2</v>
      </c>
      <c r="B81" s="19">
        <f t="shared" si="11"/>
        <v>11102</v>
      </c>
      <c r="C81" s="19">
        <f t="shared" si="11"/>
        <v>3</v>
      </c>
      <c r="D81" s="19">
        <f t="shared" si="11"/>
        <v>4</v>
      </c>
      <c r="E81" s="19">
        <f t="shared" si="11"/>
        <v>21</v>
      </c>
      <c r="F81" s="19">
        <f t="shared" si="11"/>
        <v>35</v>
      </c>
      <c r="G81" s="19">
        <f t="shared" si="5"/>
        <v>1</v>
      </c>
      <c r="H81" s="19">
        <f t="shared" si="5"/>
        <v>1</v>
      </c>
      <c r="I81" s="19">
        <f t="shared" si="5"/>
        <v>0</v>
      </c>
      <c r="J81" s="19">
        <f t="shared" si="11"/>
        <v>0</v>
      </c>
      <c r="K81" s="19">
        <f t="shared" si="11"/>
        <v>0</v>
      </c>
      <c r="L81" s="19">
        <f t="shared" si="11"/>
        <v>100</v>
      </c>
      <c r="M81" s="19">
        <f t="shared" si="11"/>
        <v>0</v>
      </c>
      <c r="N81" s="19">
        <f t="shared" si="11"/>
        <v>2</v>
      </c>
      <c r="O81" s="19">
        <f t="shared" si="11"/>
        <v>21</v>
      </c>
      <c r="P81" s="19">
        <f t="shared" si="11"/>
        <v>1</v>
      </c>
      <c r="Q81" s="19">
        <f t="shared" si="11"/>
        <v>1</v>
      </c>
      <c r="R81" s="19">
        <f t="shared" si="10"/>
        <v>0</v>
      </c>
      <c r="S81" s="19">
        <f t="shared" si="10"/>
        <v>0</v>
      </c>
      <c r="T81" s="19">
        <f t="shared" si="10"/>
        <v>0</v>
      </c>
      <c r="U81" s="19">
        <f t="shared" si="10"/>
        <v>0</v>
      </c>
      <c r="V81" s="19">
        <f t="shared" si="10"/>
        <v>0</v>
      </c>
      <c r="W81" s="19">
        <f t="shared" si="10"/>
        <v>1</v>
      </c>
    </row>
    <row r="82" spans="1:23">
      <c r="A82" s="24" t="str">
        <f t="shared" si="9"/>
        <v>11102_3-4/332&lt;lv1&gt;s1</v>
      </c>
      <c r="B82" s="19">
        <f t="shared" si="11"/>
        <v>11102</v>
      </c>
      <c r="C82" s="19">
        <f t="shared" si="11"/>
        <v>3</v>
      </c>
      <c r="D82" s="19">
        <f t="shared" si="11"/>
        <v>4</v>
      </c>
      <c r="E82" s="19">
        <f t="shared" si="11"/>
        <v>332</v>
      </c>
      <c r="F82" s="19">
        <f t="shared" si="11"/>
        <v>1</v>
      </c>
      <c r="G82" s="19">
        <f t="shared" si="11"/>
        <v>1</v>
      </c>
      <c r="H82" s="19">
        <f t="shared" si="11"/>
        <v>1</v>
      </c>
      <c r="I82" s="19">
        <f t="shared" si="11"/>
        <v>0</v>
      </c>
      <c r="J82" s="19">
        <f t="shared" si="11"/>
        <v>0</v>
      </c>
      <c r="K82" s="19">
        <f t="shared" si="11"/>
        <v>0</v>
      </c>
      <c r="L82" s="19">
        <f t="shared" si="11"/>
        <v>30</v>
      </c>
      <c r="M82" s="19">
        <f t="shared" si="11"/>
        <v>0</v>
      </c>
      <c r="N82" s="19">
        <f t="shared" si="11"/>
        <v>1</v>
      </c>
      <c r="O82" s="19">
        <f t="shared" si="11"/>
        <v>332</v>
      </c>
      <c r="P82" s="19">
        <f t="shared" si="11"/>
        <v>1</v>
      </c>
      <c r="Q82" s="19">
        <f t="shared" si="11"/>
        <v>3</v>
      </c>
      <c r="R82" s="19">
        <f t="shared" si="10"/>
        <v>10</v>
      </c>
      <c r="S82" s="19">
        <f t="shared" si="10"/>
        <v>0</v>
      </c>
      <c r="T82" s="19">
        <f t="shared" si="10"/>
        <v>0</v>
      </c>
      <c r="U82" s="19">
        <f t="shared" si="10"/>
        <v>0</v>
      </c>
      <c r="V82" s="19">
        <f t="shared" si="10"/>
        <v>0</v>
      </c>
      <c r="W82" s="19">
        <f t="shared" si="10"/>
        <v>1</v>
      </c>
    </row>
    <row r="83" spans="1:23">
      <c r="A83" s="24" t="str">
        <f t="shared" si="9"/>
        <v>11102_3-4/333&lt;lv1&gt;s2</v>
      </c>
      <c r="B83" s="19">
        <f t="shared" si="11"/>
        <v>11102</v>
      </c>
      <c r="C83" s="19">
        <f t="shared" si="11"/>
        <v>3</v>
      </c>
      <c r="D83" s="19">
        <f t="shared" si="11"/>
        <v>4</v>
      </c>
      <c r="E83" s="19">
        <f t="shared" si="11"/>
        <v>333</v>
      </c>
      <c r="F83" s="19">
        <f t="shared" si="11"/>
        <v>1</v>
      </c>
      <c r="G83" s="19">
        <f t="shared" si="11"/>
        <v>1</v>
      </c>
      <c r="H83" s="19">
        <f t="shared" si="11"/>
        <v>1</v>
      </c>
      <c r="I83" s="19">
        <f t="shared" si="11"/>
        <v>0</v>
      </c>
      <c r="J83" s="19">
        <f t="shared" si="11"/>
        <v>0</v>
      </c>
      <c r="K83" s="19">
        <f t="shared" si="11"/>
        <v>0</v>
      </c>
      <c r="L83" s="19">
        <f t="shared" si="11"/>
        <v>30</v>
      </c>
      <c r="M83" s="19">
        <f t="shared" si="11"/>
        <v>0</v>
      </c>
      <c r="N83" s="19">
        <f t="shared" si="11"/>
        <v>2</v>
      </c>
      <c r="O83" s="19">
        <f t="shared" si="11"/>
        <v>333</v>
      </c>
      <c r="P83" s="19">
        <f t="shared" si="11"/>
        <v>1</v>
      </c>
      <c r="Q83" s="19">
        <f t="shared" si="11"/>
        <v>4</v>
      </c>
      <c r="R83" s="19">
        <f t="shared" si="10"/>
        <v>5</v>
      </c>
      <c r="S83" s="19">
        <f t="shared" si="10"/>
        <v>0</v>
      </c>
      <c r="T83" s="19">
        <f t="shared" si="10"/>
        <v>0</v>
      </c>
      <c r="U83" s="19">
        <f t="shared" si="10"/>
        <v>0</v>
      </c>
      <c r="V83" s="19">
        <f t="shared" si="10"/>
        <v>0</v>
      </c>
      <c r="W83" s="19">
        <f t="shared" si="10"/>
        <v>1</v>
      </c>
    </row>
    <row r="84" spans="1:23">
      <c r="A84" s="24" t="str">
        <f t="shared" si="9"/>
        <v>11102_3-5/103&lt;lv30&gt;s3</v>
      </c>
      <c r="B84" s="19">
        <f t="shared" si="11"/>
        <v>11102</v>
      </c>
      <c r="C84" s="19">
        <f t="shared" si="11"/>
        <v>3</v>
      </c>
      <c r="D84" s="19">
        <f t="shared" si="11"/>
        <v>5</v>
      </c>
      <c r="E84" s="19">
        <f t="shared" si="11"/>
        <v>103</v>
      </c>
      <c r="F84" s="19">
        <f t="shared" si="11"/>
        <v>30</v>
      </c>
      <c r="G84" s="19">
        <f t="shared" si="11"/>
        <v>2</v>
      </c>
      <c r="H84" s="19">
        <f t="shared" si="11"/>
        <v>1</v>
      </c>
      <c r="I84" s="19">
        <f t="shared" si="11"/>
        <v>0</v>
      </c>
      <c r="J84" s="19">
        <f t="shared" si="11"/>
        <v>0</v>
      </c>
      <c r="K84" s="19">
        <f t="shared" si="11"/>
        <v>1</v>
      </c>
      <c r="L84" s="19">
        <f t="shared" si="11"/>
        <v>100</v>
      </c>
      <c r="M84" s="19">
        <f t="shared" si="11"/>
        <v>1</v>
      </c>
      <c r="N84" s="19">
        <f t="shared" si="11"/>
        <v>3</v>
      </c>
      <c r="O84" s="19">
        <f t="shared" si="11"/>
        <v>103</v>
      </c>
      <c r="P84" s="19">
        <f t="shared" si="11"/>
        <v>1</v>
      </c>
      <c r="Q84" s="19">
        <f t="shared" si="11"/>
        <v>4</v>
      </c>
      <c r="R84" s="19">
        <f t="shared" si="10"/>
        <v>100</v>
      </c>
      <c r="S84" s="19">
        <f t="shared" si="10"/>
        <v>0</v>
      </c>
      <c r="T84" s="19">
        <f t="shared" si="10"/>
        <v>0</v>
      </c>
      <c r="U84" s="19">
        <f t="shared" si="10"/>
        <v>0</v>
      </c>
      <c r="V84" s="19">
        <f t="shared" si="10"/>
        <v>0</v>
      </c>
      <c r="W84" s="19">
        <f t="shared" si="10"/>
        <v>1</v>
      </c>
    </row>
    <row r="85" spans="1:23">
      <c r="A85" s="24" t="str">
        <f t="shared" si="9"/>
        <v>11102_3-5/126&lt;lv30&gt;s1</v>
      </c>
      <c r="B85" s="19">
        <f t="shared" si="11"/>
        <v>11102</v>
      </c>
      <c r="C85" s="19">
        <f t="shared" si="11"/>
        <v>3</v>
      </c>
      <c r="D85" s="19">
        <f t="shared" si="11"/>
        <v>5</v>
      </c>
      <c r="E85" s="19">
        <f t="shared" si="11"/>
        <v>126</v>
      </c>
      <c r="F85" s="19">
        <f t="shared" si="11"/>
        <v>30</v>
      </c>
      <c r="G85" s="19">
        <f t="shared" si="11"/>
        <v>1</v>
      </c>
      <c r="H85" s="19">
        <f t="shared" si="11"/>
        <v>1</v>
      </c>
      <c r="I85" s="19">
        <f t="shared" si="11"/>
        <v>0</v>
      </c>
      <c r="J85" s="19">
        <f t="shared" si="11"/>
        <v>126</v>
      </c>
      <c r="K85" s="19">
        <f t="shared" si="11"/>
        <v>0</v>
      </c>
      <c r="L85" s="19">
        <f t="shared" si="11"/>
        <v>100</v>
      </c>
      <c r="M85" s="19">
        <f t="shared" si="11"/>
        <v>1</v>
      </c>
      <c r="N85" s="19">
        <f t="shared" si="11"/>
        <v>1</v>
      </c>
      <c r="O85" s="19">
        <f t="shared" si="11"/>
        <v>126</v>
      </c>
      <c r="P85" s="19">
        <f t="shared" si="11"/>
        <v>1</v>
      </c>
      <c r="Q85" s="19">
        <f t="shared" si="11"/>
        <v>3</v>
      </c>
      <c r="R85" s="19">
        <f t="shared" si="10"/>
        <v>0</v>
      </c>
      <c r="S85" s="19">
        <f t="shared" si="10"/>
        <v>0</v>
      </c>
      <c r="T85" s="19">
        <f t="shared" si="10"/>
        <v>0</v>
      </c>
      <c r="U85" s="19">
        <f t="shared" si="10"/>
        <v>0</v>
      </c>
      <c r="V85" s="19">
        <f t="shared" si="10"/>
        <v>0</v>
      </c>
      <c r="W85" s="19">
        <f t="shared" si="10"/>
        <v>1</v>
      </c>
    </row>
    <row r="86" spans="1:23">
      <c r="A86" s="24" t="str">
        <f t="shared" si="9"/>
        <v>11102_3-5/134&lt;lv30&gt;s3</v>
      </c>
      <c r="B86" s="19">
        <f t="shared" si="11"/>
        <v>11102</v>
      </c>
      <c r="C86" s="19">
        <f t="shared" si="11"/>
        <v>3</v>
      </c>
      <c r="D86" s="19">
        <f t="shared" si="11"/>
        <v>5</v>
      </c>
      <c r="E86" s="19">
        <f t="shared" si="11"/>
        <v>134</v>
      </c>
      <c r="F86" s="19">
        <f t="shared" si="11"/>
        <v>30</v>
      </c>
      <c r="G86" s="19">
        <f t="shared" si="11"/>
        <v>1</v>
      </c>
      <c r="H86" s="19">
        <f t="shared" si="11"/>
        <v>1</v>
      </c>
      <c r="I86" s="19">
        <f t="shared" si="11"/>
        <v>0</v>
      </c>
      <c r="J86" s="19">
        <f t="shared" si="11"/>
        <v>134</v>
      </c>
      <c r="K86" s="19">
        <f t="shared" si="11"/>
        <v>0</v>
      </c>
      <c r="L86" s="19">
        <f t="shared" si="11"/>
        <v>100</v>
      </c>
      <c r="M86" s="19">
        <f t="shared" si="11"/>
        <v>1</v>
      </c>
      <c r="N86" s="19">
        <f t="shared" si="11"/>
        <v>3</v>
      </c>
      <c r="O86" s="19">
        <f t="shared" si="11"/>
        <v>134</v>
      </c>
      <c r="P86" s="19">
        <f t="shared" si="11"/>
        <v>1</v>
      </c>
      <c r="Q86" s="19">
        <f t="shared" si="11"/>
        <v>3</v>
      </c>
      <c r="R86" s="19">
        <f t="shared" si="10"/>
        <v>0</v>
      </c>
      <c r="S86" s="19">
        <f t="shared" si="10"/>
        <v>0</v>
      </c>
      <c r="T86" s="19">
        <f t="shared" si="10"/>
        <v>0</v>
      </c>
      <c r="U86" s="19">
        <f t="shared" si="10"/>
        <v>0</v>
      </c>
      <c r="V86" s="19">
        <f t="shared" si="10"/>
        <v>0</v>
      </c>
      <c r="W86" s="19">
        <f t="shared" si="10"/>
        <v>1</v>
      </c>
    </row>
    <row r="87" spans="1:23">
      <c r="A87" s="24" t="str">
        <f t="shared" si="9"/>
        <v>11102_3-5/142&lt;lv30&gt;s2</v>
      </c>
      <c r="B87" s="19">
        <f t="shared" si="11"/>
        <v>11102</v>
      </c>
      <c r="C87" s="19">
        <f t="shared" si="11"/>
        <v>3</v>
      </c>
      <c r="D87" s="19">
        <f t="shared" si="11"/>
        <v>5</v>
      </c>
      <c r="E87" s="19">
        <f t="shared" si="11"/>
        <v>142</v>
      </c>
      <c r="F87" s="19">
        <f t="shared" si="11"/>
        <v>30</v>
      </c>
      <c r="G87" s="19">
        <f t="shared" si="11"/>
        <v>1</v>
      </c>
      <c r="H87" s="19">
        <f t="shared" si="11"/>
        <v>1</v>
      </c>
      <c r="I87" s="19">
        <f t="shared" si="11"/>
        <v>0</v>
      </c>
      <c r="J87" s="19">
        <f t="shared" si="11"/>
        <v>0</v>
      </c>
      <c r="K87" s="19">
        <f t="shared" si="11"/>
        <v>0</v>
      </c>
      <c r="L87" s="19">
        <f t="shared" si="11"/>
        <v>100</v>
      </c>
      <c r="M87" s="19">
        <f t="shared" si="11"/>
        <v>1</v>
      </c>
      <c r="N87" s="19">
        <f t="shared" si="11"/>
        <v>2</v>
      </c>
      <c r="O87" s="19">
        <f t="shared" si="11"/>
        <v>142</v>
      </c>
      <c r="P87" s="19">
        <f t="shared" si="11"/>
        <v>1</v>
      </c>
      <c r="Q87" s="19">
        <f t="shared" si="11"/>
        <v>3</v>
      </c>
      <c r="R87" s="19">
        <f t="shared" si="10"/>
        <v>0</v>
      </c>
      <c r="S87" s="19">
        <f t="shared" si="10"/>
        <v>0</v>
      </c>
      <c r="T87" s="19">
        <f t="shared" si="10"/>
        <v>0</v>
      </c>
      <c r="U87" s="19">
        <f t="shared" si="10"/>
        <v>0</v>
      </c>
      <c r="V87" s="19">
        <f t="shared" si="10"/>
        <v>0</v>
      </c>
      <c r="W87" s="19">
        <f t="shared" si="10"/>
        <v>1</v>
      </c>
    </row>
    <row r="88" spans="1:23">
      <c r="A88" s="24" t="str">
        <f t="shared" si="9"/>
        <v>11102_3-5/150&lt;lv30&gt;s2</v>
      </c>
      <c r="B88" s="19">
        <f t="shared" si="11"/>
        <v>11102</v>
      </c>
      <c r="C88" s="19">
        <f t="shared" si="11"/>
        <v>3</v>
      </c>
      <c r="D88" s="19">
        <f t="shared" si="11"/>
        <v>5</v>
      </c>
      <c r="E88" s="19">
        <f t="shared" si="11"/>
        <v>150</v>
      </c>
      <c r="F88" s="19">
        <f t="shared" si="11"/>
        <v>30</v>
      </c>
      <c r="G88" s="19">
        <f t="shared" si="11"/>
        <v>1</v>
      </c>
      <c r="H88" s="19">
        <f t="shared" si="11"/>
        <v>1</v>
      </c>
      <c r="I88" s="19">
        <f t="shared" si="11"/>
        <v>0</v>
      </c>
      <c r="J88" s="19">
        <f t="shared" si="11"/>
        <v>0</v>
      </c>
      <c r="K88" s="19">
        <f t="shared" si="11"/>
        <v>0</v>
      </c>
      <c r="L88" s="19">
        <f t="shared" si="11"/>
        <v>100</v>
      </c>
      <c r="M88" s="19">
        <f t="shared" si="11"/>
        <v>1</v>
      </c>
      <c r="N88" s="19">
        <f t="shared" si="11"/>
        <v>2</v>
      </c>
      <c r="O88" s="19">
        <f t="shared" si="11"/>
        <v>150</v>
      </c>
      <c r="P88" s="19">
        <f t="shared" si="11"/>
        <v>1</v>
      </c>
      <c r="Q88" s="19">
        <f t="shared" si="11"/>
        <v>3</v>
      </c>
      <c r="R88" s="19">
        <f t="shared" si="10"/>
        <v>0</v>
      </c>
      <c r="S88" s="19">
        <f t="shared" si="10"/>
        <v>0</v>
      </c>
      <c r="T88" s="19">
        <f t="shared" si="10"/>
        <v>0</v>
      </c>
      <c r="U88" s="19">
        <f t="shared" si="10"/>
        <v>0</v>
      </c>
      <c r="V88" s="19">
        <f t="shared" si="10"/>
        <v>0</v>
      </c>
      <c r="W88" s="19">
        <f t="shared" si="10"/>
        <v>1</v>
      </c>
    </row>
    <row r="89" spans="1:23">
      <c r="A89" s="24" t="str">
        <f t="shared" si="9"/>
        <v>11103_1-1/109&lt;lv3&gt;s2</v>
      </c>
      <c r="B89" s="19">
        <f t="shared" si="11"/>
        <v>11103</v>
      </c>
      <c r="C89" s="19">
        <f t="shared" si="11"/>
        <v>1</v>
      </c>
      <c r="D89" s="19">
        <f t="shared" si="11"/>
        <v>1</v>
      </c>
      <c r="E89" s="19">
        <f t="shared" si="11"/>
        <v>109</v>
      </c>
      <c r="F89" s="19">
        <f t="shared" si="11"/>
        <v>3</v>
      </c>
      <c r="G89" s="19">
        <f t="shared" si="11"/>
        <v>1</v>
      </c>
      <c r="H89" s="19">
        <f t="shared" si="11"/>
        <v>1</v>
      </c>
      <c r="I89" s="19">
        <f t="shared" si="11"/>
        <v>0</v>
      </c>
      <c r="J89" s="19">
        <f t="shared" si="11"/>
        <v>0</v>
      </c>
      <c r="K89" s="19">
        <f t="shared" si="11"/>
        <v>0</v>
      </c>
      <c r="L89" s="19">
        <f t="shared" si="11"/>
        <v>100</v>
      </c>
      <c r="M89" s="19">
        <f t="shared" si="11"/>
        <v>0</v>
      </c>
      <c r="N89" s="19">
        <f t="shared" si="11"/>
        <v>2</v>
      </c>
      <c r="O89" s="19">
        <f t="shared" si="11"/>
        <v>109</v>
      </c>
      <c r="P89" s="19">
        <f t="shared" si="11"/>
        <v>1</v>
      </c>
      <c r="Q89" s="19">
        <f t="shared" si="11"/>
        <v>2</v>
      </c>
      <c r="R89" s="19">
        <f t="shared" si="10"/>
        <v>50</v>
      </c>
      <c r="S89" s="19">
        <f t="shared" si="10"/>
        <v>0</v>
      </c>
      <c r="T89" s="19">
        <f t="shared" si="10"/>
        <v>0</v>
      </c>
      <c r="U89" s="19">
        <f t="shared" si="10"/>
        <v>0</v>
      </c>
      <c r="V89" s="19">
        <f t="shared" si="10"/>
        <v>0</v>
      </c>
      <c r="W89" s="19">
        <f t="shared" si="10"/>
        <v>1</v>
      </c>
    </row>
    <row r="90" spans="1:23">
      <c r="A90" s="24" t="str">
        <f t="shared" si="9"/>
        <v>11103_1-2/109&lt;lv3&gt;s2</v>
      </c>
      <c r="B90" s="19">
        <f t="shared" si="11"/>
        <v>11103</v>
      </c>
      <c r="C90" s="19">
        <f t="shared" si="11"/>
        <v>1</v>
      </c>
      <c r="D90" s="19">
        <f t="shared" si="11"/>
        <v>2</v>
      </c>
      <c r="E90" s="19">
        <f t="shared" si="11"/>
        <v>109</v>
      </c>
      <c r="F90" s="19">
        <f t="shared" si="11"/>
        <v>3</v>
      </c>
      <c r="G90" s="19">
        <f t="shared" si="11"/>
        <v>1</v>
      </c>
      <c r="H90" s="19">
        <f t="shared" si="11"/>
        <v>1</v>
      </c>
      <c r="I90" s="19">
        <f t="shared" si="11"/>
        <v>0</v>
      </c>
      <c r="J90" s="19">
        <f t="shared" si="11"/>
        <v>0</v>
      </c>
      <c r="K90" s="19">
        <f t="shared" si="11"/>
        <v>0</v>
      </c>
      <c r="L90" s="19">
        <f t="shared" si="11"/>
        <v>100</v>
      </c>
      <c r="M90" s="19">
        <f t="shared" si="11"/>
        <v>0</v>
      </c>
      <c r="N90" s="19">
        <f t="shared" si="11"/>
        <v>2</v>
      </c>
      <c r="O90" s="19">
        <f t="shared" si="11"/>
        <v>109</v>
      </c>
      <c r="P90" s="19">
        <f t="shared" si="11"/>
        <v>1</v>
      </c>
      <c r="Q90" s="19">
        <f t="shared" si="11"/>
        <v>2</v>
      </c>
      <c r="R90" s="19">
        <f t="shared" si="10"/>
        <v>50</v>
      </c>
      <c r="S90" s="19">
        <f t="shared" si="10"/>
        <v>0</v>
      </c>
      <c r="T90" s="19">
        <f t="shared" si="10"/>
        <v>0</v>
      </c>
      <c r="U90" s="19">
        <f t="shared" si="10"/>
        <v>0</v>
      </c>
      <c r="V90" s="19">
        <f t="shared" si="10"/>
        <v>0</v>
      </c>
      <c r="W90" s="19">
        <f t="shared" si="10"/>
        <v>1</v>
      </c>
    </row>
    <row r="91" spans="1:23">
      <c r="A91" s="24" t="str">
        <f t="shared" si="9"/>
        <v>11103_1-3/109&lt;lv3&gt;s2</v>
      </c>
      <c r="B91" s="19">
        <f t="shared" si="11"/>
        <v>11103</v>
      </c>
      <c r="C91" s="19">
        <f t="shared" si="11"/>
        <v>1</v>
      </c>
      <c r="D91" s="19">
        <f t="shared" si="11"/>
        <v>3</v>
      </c>
      <c r="E91" s="19">
        <f t="shared" si="11"/>
        <v>109</v>
      </c>
      <c r="F91" s="19">
        <f t="shared" si="11"/>
        <v>3</v>
      </c>
      <c r="G91" s="19">
        <f t="shared" si="11"/>
        <v>1</v>
      </c>
      <c r="H91" s="19">
        <f t="shared" si="11"/>
        <v>1</v>
      </c>
      <c r="I91" s="19">
        <f t="shared" ref="I91:W106" si="12">VLOOKUP($A91,OFFSET(INDIRECT($C$1&amp;"!$A1"),0,0,COUNTA(INDIRECT($C$1&amp;"!$A:$A"))+1,MATCH(I$2,INDIRECT($C$1&amp;"!"&amp;$B$1),0)-MATCH($A$2,INDIRECT($C$1&amp;"!"&amp;$B$1),0)+1),MATCH(I$2,INDIRECT($C$1&amp;"!"&amp;$B$1),0)-MATCH($A$2,INDIRECT($C$1&amp;"!"&amp;$B$1),0)+1,FALSE)</f>
        <v>0</v>
      </c>
      <c r="J91" s="19">
        <f t="shared" si="12"/>
        <v>0</v>
      </c>
      <c r="K91" s="19">
        <f t="shared" si="12"/>
        <v>0</v>
      </c>
      <c r="L91" s="19">
        <f t="shared" si="12"/>
        <v>100</v>
      </c>
      <c r="M91" s="19">
        <f t="shared" si="12"/>
        <v>0</v>
      </c>
      <c r="N91" s="19">
        <f t="shared" si="12"/>
        <v>2</v>
      </c>
      <c r="O91" s="19">
        <f t="shared" si="12"/>
        <v>109</v>
      </c>
      <c r="P91" s="19">
        <f t="shared" si="12"/>
        <v>1</v>
      </c>
      <c r="Q91" s="19">
        <f t="shared" si="12"/>
        <v>2</v>
      </c>
      <c r="R91" s="19">
        <f t="shared" si="12"/>
        <v>50</v>
      </c>
      <c r="S91" s="19">
        <f t="shared" si="12"/>
        <v>0</v>
      </c>
      <c r="T91" s="19">
        <f t="shared" si="12"/>
        <v>0</v>
      </c>
      <c r="U91" s="19">
        <f t="shared" si="12"/>
        <v>0</v>
      </c>
      <c r="V91" s="19">
        <f t="shared" si="12"/>
        <v>0</v>
      </c>
      <c r="W91" s="19">
        <f t="shared" si="12"/>
        <v>1</v>
      </c>
    </row>
    <row r="92" spans="1:23">
      <c r="A92" s="24" t="str">
        <f t="shared" si="9"/>
        <v>11103_1-3/110&lt;lv3&gt;s4</v>
      </c>
      <c r="B92" s="19">
        <f t="shared" ref="B92:Q107" si="13">VLOOKUP($A92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11103</v>
      </c>
      <c r="C92" s="19">
        <f t="shared" si="13"/>
        <v>1</v>
      </c>
      <c r="D92" s="19">
        <f t="shared" si="13"/>
        <v>3</v>
      </c>
      <c r="E92" s="19">
        <f t="shared" si="13"/>
        <v>110</v>
      </c>
      <c r="F92" s="19">
        <f t="shared" si="13"/>
        <v>3</v>
      </c>
      <c r="G92" s="19">
        <f t="shared" si="13"/>
        <v>1.8</v>
      </c>
      <c r="H92" s="19">
        <f t="shared" si="13"/>
        <v>1</v>
      </c>
      <c r="I92" s="19">
        <f t="shared" si="13"/>
        <v>0</v>
      </c>
      <c r="J92" s="19">
        <f t="shared" si="13"/>
        <v>0</v>
      </c>
      <c r="K92" s="19">
        <f t="shared" si="13"/>
        <v>0</v>
      </c>
      <c r="L92" s="19">
        <f t="shared" si="13"/>
        <v>40</v>
      </c>
      <c r="M92" s="19">
        <f t="shared" si="13"/>
        <v>0</v>
      </c>
      <c r="N92" s="19">
        <f t="shared" si="13"/>
        <v>4</v>
      </c>
      <c r="O92" s="19">
        <f t="shared" si="13"/>
        <v>110</v>
      </c>
      <c r="P92" s="19">
        <f t="shared" si="13"/>
        <v>1</v>
      </c>
      <c r="Q92" s="19">
        <f t="shared" si="13"/>
        <v>3</v>
      </c>
      <c r="R92" s="19">
        <f t="shared" si="12"/>
        <v>10</v>
      </c>
      <c r="S92" s="19">
        <f t="shared" si="12"/>
        <v>0</v>
      </c>
      <c r="T92" s="19">
        <f t="shared" si="12"/>
        <v>0</v>
      </c>
      <c r="U92" s="19">
        <f t="shared" si="12"/>
        <v>0</v>
      </c>
      <c r="V92" s="19">
        <f t="shared" si="12"/>
        <v>0</v>
      </c>
      <c r="W92" s="19">
        <f t="shared" si="12"/>
        <v>1</v>
      </c>
    </row>
    <row r="93" spans="1:23">
      <c r="A93" s="24" t="str">
        <f t="shared" si="9"/>
        <v>11103_1-4/109&lt;lv3&gt;s2</v>
      </c>
      <c r="B93" s="19">
        <f t="shared" si="13"/>
        <v>11103</v>
      </c>
      <c r="C93" s="19">
        <f t="shared" si="13"/>
        <v>1</v>
      </c>
      <c r="D93" s="19">
        <f t="shared" si="13"/>
        <v>4</v>
      </c>
      <c r="E93" s="19">
        <f t="shared" si="13"/>
        <v>109</v>
      </c>
      <c r="F93" s="19">
        <f t="shared" si="13"/>
        <v>3</v>
      </c>
      <c r="G93" s="19">
        <f t="shared" si="13"/>
        <v>1</v>
      </c>
      <c r="H93" s="19">
        <f t="shared" si="13"/>
        <v>1</v>
      </c>
      <c r="I93" s="19">
        <f t="shared" si="13"/>
        <v>0</v>
      </c>
      <c r="J93" s="19">
        <f t="shared" si="13"/>
        <v>0</v>
      </c>
      <c r="K93" s="19">
        <f t="shared" si="13"/>
        <v>0</v>
      </c>
      <c r="L93" s="19">
        <f t="shared" si="13"/>
        <v>100</v>
      </c>
      <c r="M93" s="19">
        <f t="shared" si="13"/>
        <v>0</v>
      </c>
      <c r="N93" s="19">
        <f t="shared" si="13"/>
        <v>2</v>
      </c>
      <c r="O93" s="19">
        <f t="shared" si="13"/>
        <v>109</v>
      </c>
      <c r="P93" s="19">
        <f t="shared" si="13"/>
        <v>1</v>
      </c>
      <c r="Q93" s="19">
        <f t="shared" si="13"/>
        <v>2</v>
      </c>
      <c r="R93" s="19">
        <f t="shared" si="12"/>
        <v>50</v>
      </c>
      <c r="S93" s="19">
        <f t="shared" si="12"/>
        <v>0</v>
      </c>
      <c r="T93" s="19">
        <f t="shared" si="12"/>
        <v>0</v>
      </c>
      <c r="U93" s="19">
        <f t="shared" si="12"/>
        <v>0</v>
      </c>
      <c r="V93" s="19">
        <f t="shared" si="12"/>
        <v>0</v>
      </c>
      <c r="W93" s="19">
        <f t="shared" si="12"/>
        <v>1</v>
      </c>
    </row>
    <row r="94" spans="1:23">
      <c r="A94" s="24" t="str">
        <f t="shared" si="9"/>
        <v>11103_1-4/110&lt;lv3&gt;s4</v>
      </c>
      <c r="B94" s="19">
        <f t="shared" si="13"/>
        <v>11103</v>
      </c>
      <c r="C94" s="19">
        <f t="shared" si="13"/>
        <v>1</v>
      </c>
      <c r="D94" s="19">
        <f t="shared" si="13"/>
        <v>4</v>
      </c>
      <c r="E94" s="19">
        <f t="shared" si="13"/>
        <v>110</v>
      </c>
      <c r="F94" s="19">
        <f t="shared" si="13"/>
        <v>3</v>
      </c>
      <c r="G94" s="19">
        <f t="shared" si="13"/>
        <v>1.8</v>
      </c>
      <c r="H94" s="19">
        <f t="shared" si="13"/>
        <v>1</v>
      </c>
      <c r="I94" s="19">
        <f t="shared" si="13"/>
        <v>0</v>
      </c>
      <c r="J94" s="19">
        <f t="shared" si="13"/>
        <v>0</v>
      </c>
      <c r="K94" s="19">
        <f t="shared" si="13"/>
        <v>0</v>
      </c>
      <c r="L94" s="19">
        <f t="shared" si="13"/>
        <v>40</v>
      </c>
      <c r="M94" s="19">
        <f t="shared" si="13"/>
        <v>0</v>
      </c>
      <c r="N94" s="19">
        <f t="shared" si="13"/>
        <v>4</v>
      </c>
      <c r="O94" s="19">
        <f t="shared" si="13"/>
        <v>110</v>
      </c>
      <c r="P94" s="19">
        <f t="shared" si="13"/>
        <v>1</v>
      </c>
      <c r="Q94" s="19">
        <f t="shared" si="13"/>
        <v>3</v>
      </c>
      <c r="R94" s="19">
        <f t="shared" si="12"/>
        <v>20</v>
      </c>
      <c r="S94" s="19">
        <f t="shared" si="12"/>
        <v>0</v>
      </c>
      <c r="T94" s="19">
        <f t="shared" si="12"/>
        <v>0</v>
      </c>
      <c r="U94" s="19">
        <f t="shared" si="12"/>
        <v>0</v>
      </c>
      <c r="V94" s="19">
        <f t="shared" si="12"/>
        <v>0</v>
      </c>
      <c r="W94" s="19">
        <f t="shared" si="12"/>
        <v>1</v>
      </c>
    </row>
    <row r="95" spans="1:23">
      <c r="A95" s="24" t="str">
        <f t="shared" si="9"/>
        <v>11103_1-5/109&lt;lv3&gt;s2</v>
      </c>
      <c r="B95" s="19">
        <f t="shared" si="13"/>
        <v>11103</v>
      </c>
      <c r="C95" s="19">
        <f t="shared" si="13"/>
        <v>1</v>
      </c>
      <c r="D95" s="19">
        <f t="shared" si="13"/>
        <v>5</v>
      </c>
      <c r="E95" s="19">
        <f t="shared" si="13"/>
        <v>109</v>
      </c>
      <c r="F95" s="19">
        <f t="shared" si="13"/>
        <v>3</v>
      </c>
      <c r="G95" s="19">
        <f t="shared" si="13"/>
        <v>1</v>
      </c>
      <c r="H95" s="19">
        <f t="shared" si="13"/>
        <v>1</v>
      </c>
      <c r="I95" s="19">
        <f t="shared" si="13"/>
        <v>0</v>
      </c>
      <c r="J95" s="19">
        <f t="shared" si="13"/>
        <v>0</v>
      </c>
      <c r="K95" s="19">
        <f t="shared" si="13"/>
        <v>2</v>
      </c>
      <c r="L95" s="19">
        <f t="shared" si="13"/>
        <v>100</v>
      </c>
      <c r="M95" s="19">
        <f t="shared" si="13"/>
        <v>0</v>
      </c>
      <c r="N95" s="19">
        <f t="shared" si="13"/>
        <v>2</v>
      </c>
      <c r="O95" s="19">
        <f t="shared" si="13"/>
        <v>109</v>
      </c>
      <c r="P95" s="19">
        <f t="shared" si="13"/>
        <v>1</v>
      </c>
      <c r="Q95" s="19">
        <f t="shared" si="13"/>
        <v>2</v>
      </c>
      <c r="R95" s="19">
        <f t="shared" si="12"/>
        <v>50</v>
      </c>
      <c r="S95" s="19">
        <f t="shared" si="12"/>
        <v>0</v>
      </c>
      <c r="T95" s="19">
        <f t="shared" si="12"/>
        <v>0</v>
      </c>
      <c r="U95" s="19">
        <f t="shared" si="12"/>
        <v>0</v>
      </c>
      <c r="V95" s="19">
        <f t="shared" si="12"/>
        <v>0</v>
      </c>
      <c r="W95" s="19">
        <f t="shared" si="12"/>
        <v>1</v>
      </c>
    </row>
    <row r="96" spans="1:23">
      <c r="A96" s="24" t="str">
        <f t="shared" si="9"/>
        <v>11103_1-5/110&lt;lv5&gt;s4</v>
      </c>
      <c r="B96" s="19">
        <f t="shared" si="13"/>
        <v>11103</v>
      </c>
      <c r="C96" s="19">
        <f t="shared" si="13"/>
        <v>1</v>
      </c>
      <c r="D96" s="19">
        <f t="shared" si="13"/>
        <v>5</v>
      </c>
      <c r="E96" s="19">
        <f t="shared" si="13"/>
        <v>110</v>
      </c>
      <c r="F96" s="19">
        <f t="shared" si="13"/>
        <v>5</v>
      </c>
      <c r="G96" s="19">
        <f t="shared" si="13"/>
        <v>1.8</v>
      </c>
      <c r="H96" s="19">
        <f t="shared" si="13"/>
        <v>1</v>
      </c>
      <c r="I96" s="19">
        <f t="shared" si="13"/>
        <v>0</v>
      </c>
      <c r="J96" s="19">
        <f t="shared" si="13"/>
        <v>0</v>
      </c>
      <c r="K96" s="19">
        <f t="shared" si="13"/>
        <v>1</v>
      </c>
      <c r="L96" s="19">
        <f t="shared" si="13"/>
        <v>100</v>
      </c>
      <c r="M96" s="19">
        <f t="shared" si="13"/>
        <v>1</v>
      </c>
      <c r="N96" s="19">
        <f t="shared" si="13"/>
        <v>4</v>
      </c>
      <c r="O96" s="19">
        <f t="shared" si="13"/>
        <v>110</v>
      </c>
      <c r="P96" s="19">
        <f t="shared" si="13"/>
        <v>1</v>
      </c>
      <c r="Q96" s="19">
        <f t="shared" si="13"/>
        <v>3</v>
      </c>
      <c r="R96" s="19">
        <f t="shared" si="12"/>
        <v>10</v>
      </c>
      <c r="S96" s="19">
        <f t="shared" si="12"/>
        <v>0</v>
      </c>
      <c r="T96" s="19">
        <f t="shared" si="12"/>
        <v>0</v>
      </c>
      <c r="U96" s="19">
        <f t="shared" si="12"/>
        <v>0</v>
      </c>
      <c r="V96" s="19">
        <f t="shared" si="12"/>
        <v>0</v>
      </c>
      <c r="W96" s="19">
        <f t="shared" si="12"/>
        <v>1</v>
      </c>
    </row>
    <row r="97" spans="1:23">
      <c r="A97" s="24" t="str">
        <f t="shared" si="9"/>
        <v>11103_2-1/110&lt;lv15&gt;s4</v>
      </c>
      <c r="B97" s="19">
        <f t="shared" si="13"/>
        <v>11103</v>
      </c>
      <c r="C97" s="19">
        <f t="shared" si="13"/>
        <v>2</v>
      </c>
      <c r="D97" s="19">
        <f t="shared" si="13"/>
        <v>1</v>
      </c>
      <c r="E97" s="19">
        <f t="shared" si="13"/>
        <v>110</v>
      </c>
      <c r="F97" s="19">
        <f t="shared" si="13"/>
        <v>15</v>
      </c>
      <c r="G97" s="19">
        <f t="shared" si="13"/>
        <v>1.8</v>
      </c>
      <c r="H97" s="19">
        <f t="shared" si="13"/>
        <v>1</v>
      </c>
      <c r="I97" s="19">
        <f t="shared" si="13"/>
        <v>0</v>
      </c>
      <c r="J97" s="19">
        <f t="shared" si="13"/>
        <v>0</v>
      </c>
      <c r="K97" s="19">
        <f t="shared" si="13"/>
        <v>0</v>
      </c>
      <c r="L97" s="19">
        <f t="shared" si="13"/>
        <v>100</v>
      </c>
      <c r="M97" s="19">
        <f t="shared" si="13"/>
        <v>0</v>
      </c>
      <c r="N97" s="19">
        <f t="shared" si="13"/>
        <v>4</v>
      </c>
      <c r="O97" s="19">
        <f t="shared" si="13"/>
        <v>110</v>
      </c>
      <c r="P97" s="19">
        <f t="shared" si="13"/>
        <v>1</v>
      </c>
      <c r="Q97" s="19">
        <f t="shared" si="13"/>
        <v>3</v>
      </c>
      <c r="R97" s="19">
        <f t="shared" si="12"/>
        <v>30</v>
      </c>
      <c r="S97" s="19">
        <f t="shared" si="12"/>
        <v>0</v>
      </c>
      <c r="T97" s="19">
        <f t="shared" si="12"/>
        <v>0</v>
      </c>
      <c r="U97" s="19">
        <f t="shared" si="12"/>
        <v>0</v>
      </c>
      <c r="V97" s="19">
        <f t="shared" si="12"/>
        <v>0</v>
      </c>
      <c r="W97" s="19">
        <f t="shared" si="12"/>
        <v>1</v>
      </c>
    </row>
    <row r="98" spans="1:23">
      <c r="A98" s="24" t="str">
        <f t="shared" si="9"/>
        <v>11103_2-2/110&lt;lv15&gt;s4</v>
      </c>
      <c r="B98" s="19">
        <f t="shared" si="13"/>
        <v>11103</v>
      </c>
      <c r="C98" s="19">
        <f t="shared" si="13"/>
        <v>2</v>
      </c>
      <c r="D98" s="19">
        <f t="shared" si="13"/>
        <v>2</v>
      </c>
      <c r="E98" s="19">
        <f t="shared" si="13"/>
        <v>110</v>
      </c>
      <c r="F98" s="19">
        <f t="shared" si="13"/>
        <v>15</v>
      </c>
      <c r="G98" s="19">
        <f t="shared" si="13"/>
        <v>1.8</v>
      </c>
      <c r="H98" s="19">
        <f t="shared" si="13"/>
        <v>1</v>
      </c>
      <c r="I98" s="19">
        <f t="shared" si="13"/>
        <v>0</v>
      </c>
      <c r="J98" s="19">
        <f t="shared" si="13"/>
        <v>0</v>
      </c>
      <c r="K98" s="19">
        <f t="shared" si="13"/>
        <v>0</v>
      </c>
      <c r="L98" s="19">
        <f t="shared" si="13"/>
        <v>100</v>
      </c>
      <c r="M98" s="19">
        <f t="shared" si="13"/>
        <v>0</v>
      </c>
      <c r="N98" s="19">
        <f t="shared" si="13"/>
        <v>4</v>
      </c>
      <c r="O98" s="19">
        <f t="shared" si="13"/>
        <v>110</v>
      </c>
      <c r="P98" s="19">
        <f t="shared" si="13"/>
        <v>1</v>
      </c>
      <c r="Q98" s="19">
        <f t="shared" si="13"/>
        <v>3</v>
      </c>
      <c r="R98" s="19">
        <f t="shared" si="12"/>
        <v>30</v>
      </c>
      <c r="S98" s="19">
        <f t="shared" si="12"/>
        <v>0</v>
      </c>
      <c r="T98" s="19">
        <f t="shared" si="12"/>
        <v>0</v>
      </c>
      <c r="U98" s="19">
        <f t="shared" si="12"/>
        <v>0</v>
      </c>
      <c r="V98" s="19">
        <f t="shared" si="12"/>
        <v>0</v>
      </c>
      <c r="W98" s="19">
        <f t="shared" si="12"/>
        <v>1</v>
      </c>
    </row>
    <row r="99" spans="1:23">
      <c r="A99" s="24" t="str">
        <f t="shared" si="9"/>
        <v>11103_2-3/110&lt;lv15&gt;s4</v>
      </c>
      <c r="B99" s="19">
        <f t="shared" si="13"/>
        <v>11103</v>
      </c>
      <c r="C99" s="19">
        <f t="shared" si="13"/>
        <v>2</v>
      </c>
      <c r="D99" s="19">
        <f t="shared" si="13"/>
        <v>3</v>
      </c>
      <c r="E99" s="19">
        <f t="shared" si="13"/>
        <v>110</v>
      </c>
      <c r="F99" s="19">
        <f t="shared" si="13"/>
        <v>15</v>
      </c>
      <c r="G99" s="19">
        <f t="shared" si="13"/>
        <v>1.8</v>
      </c>
      <c r="H99" s="19">
        <f t="shared" si="13"/>
        <v>1</v>
      </c>
      <c r="I99" s="19">
        <f t="shared" si="13"/>
        <v>0</v>
      </c>
      <c r="J99" s="19">
        <f t="shared" si="13"/>
        <v>0</v>
      </c>
      <c r="K99" s="19">
        <f t="shared" si="13"/>
        <v>0</v>
      </c>
      <c r="L99" s="19">
        <f t="shared" si="13"/>
        <v>100</v>
      </c>
      <c r="M99" s="19">
        <f t="shared" si="13"/>
        <v>0</v>
      </c>
      <c r="N99" s="19">
        <f t="shared" si="13"/>
        <v>4</v>
      </c>
      <c r="O99" s="19">
        <f t="shared" si="13"/>
        <v>110</v>
      </c>
      <c r="P99" s="19">
        <f t="shared" si="13"/>
        <v>1</v>
      </c>
      <c r="Q99" s="19">
        <f t="shared" si="13"/>
        <v>3</v>
      </c>
      <c r="R99" s="19">
        <f t="shared" si="12"/>
        <v>30</v>
      </c>
      <c r="S99" s="19">
        <f t="shared" si="12"/>
        <v>0</v>
      </c>
      <c r="T99" s="19">
        <f t="shared" si="12"/>
        <v>0</v>
      </c>
      <c r="U99" s="19">
        <f t="shared" si="12"/>
        <v>0</v>
      </c>
      <c r="V99" s="19">
        <f t="shared" si="12"/>
        <v>0</v>
      </c>
      <c r="W99" s="19">
        <f t="shared" si="12"/>
        <v>1</v>
      </c>
    </row>
    <row r="100" spans="1:23">
      <c r="A100" s="24" t="str">
        <f t="shared" si="9"/>
        <v>11103_2-3/111&lt;lv15&gt;s1</v>
      </c>
      <c r="B100" s="19">
        <f t="shared" si="13"/>
        <v>11103</v>
      </c>
      <c r="C100" s="19">
        <f t="shared" si="13"/>
        <v>2</v>
      </c>
      <c r="D100" s="19">
        <f t="shared" si="13"/>
        <v>3</v>
      </c>
      <c r="E100" s="19">
        <f t="shared" si="13"/>
        <v>111</v>
      </c>
      <c r="F100" s="19">
        <f t="shared" si="13"/>
        <v>15</v>
      </c>
      <c r="G100" s="19">
        <f t="shared" si="13"/>
        <v>2</v>
      </c>
      <c r="H100" s="19">
        <f t="shared" si="13"/>
        <v>1</v>
      </c>
      <c r="I100" s="19">
        <f t="shared" si="13"/>
        <v>0</v>
      </c>
      <c r="J100" s="19">
        <f t="shared" si="13"/>
        <v>0</v>
      </c>
      <c r="K100" s="19">
        <f t="shared" si="13"/>
        <v>0</v>
      </c>
      <c r="L100" s="19">
        <f t="shared" si="13"/>
        <v>25</v>
      </c>
      <c r="M100" s="19">
        <f t="shared" si="13"/>
        <v>0</v>
      </c>
      <c r="N100" s="19">
        <f t="shared" si="13"/>
        <v>1</v>
      </c>
      <c r="O100" s="19">
        <f t="shared" si="13"/>
        <v>111</v>
      </c>
      <c r="P100" s="19">
        <f t="shared" si="13"/>
        <v>1</v>
      </c>
      <c r="Q100" s="19">
        <f t="shared" si="13"/>
        <v>4</v>
      </c>
      <c r="R100" s="19">
        <f t="shared" si="12"/>
        <v>5</v>
      </c>
      <c r="S100" s="19">
        <f t="shared" si="12"/>
        <v>0</v>
      </c>
      <c r="T100" s="19">
        <f t="shared" si="12"/>
        <v>0</v>
      </c>
      <c r="U100" s="19">
        <f t="shared" si="12"/>
        <v>0</v>
      </c>
      <c r="V100" s="19">
        <f t="shared" si="12"/>
        <v>0</v>
      </c>
      <c r="W100" s="19">
        <f t="shared" si="12"/>
        <v>1</v>
      </c>
    </row>
    <row r="101" spans="1:23">
      <c r="A101" s="24" t="str">
        <f t="shared" si="9"/>
        <v>11103_2-4/110&lt;lv15&gt;s4</v>
      </c>
      <c r="B101" s="19">
        <f t="shared" si="13"/>
        <v>11103</v>
      </c>
      <c r="C101" s="19">
        <f t="shared" si="13"/>
        <v>2</v>
      </c>
      <c r="D101" s="19">
        <f t="shared" si="13"/>
        <v>4</v>
      </c>
      <c r="E101" s="19">
        <f t="shared" si="13"/>
        <v>110</v>
      </c>
      <c r="F101" s="19">
        <f t="shared" si="13"/>
        <v>15</v>
      </c>
      <c r="G101" s="19">
        <f t="shared" si="13"/>
        <v>1.8</v>
      </c>
      <c r="H101" s="19">
        <f t="shared" si="13"/>
        <v>1</v>
      </c>
      <c r="I101" s="19">
        <f t="shared" si="13"/>
        <v>0</v>
      </c>
      <c r="J101" s="19">
        <f t="shared" si="13"/>
        <v>0</v>
      </c>
      <c r="K101" s="19">
        <f t="shared" si="13"/>
        <v>0</v>
      </c>
      <c r="L101" s="19">
        <f t="shared" si="13"/>
        <v>100</v>
      </c>
      <c r="M101" s="19">
        <f t="shared" si="13"/>
        <v>0</v>
      </c>
      <c r="N101" s="19">
        <f t="shared" si="13"/>
        <v>4</v>
      </c>
      <c r="O101" s="19">
        <f t="shared" si="13"/>
        <v>110</v>
      </c>
      <c r="P101" s="19">
        <f t="shared" si="13"/>
        <v>1</v>
      </c>
      <c r="Q101" s="19">
        <f t="shared" si="13"/>
        <v>3</v>
      </c>
      <c r="R101" s="19">
        <f t="shared" si="12"/>
        <v>30</v>
      </c>
      <c r="S101" s="19">
        <f t="shared" si="12"/>
        <v>0</v>
      </c>
      <c r="T101" s="19">
        <f t="shared" si="12"/>
        <v>0</v>
      </c>
      <c r="U101" s="19">
        <f t="shared" si="12"/>
        <v>0</v>
      </c>
      <c r="V101" s="19">
        <f t="shared" si="12"/>
        <v>0</v>
      </c>
      <c r="W101" s="19">
        <f t="shared" si="12"/>
        <v>1</v>
      </c>
    </row>
    <row r="102" spans="1:23">
      <c r="A102" s="24" t="str">
        <f t="shared" si="9"/>
        <v>11103_2-4/111&lt;lv15&gt;s1</v>
      </c>
      <c r="B102" s="19">
        <f t="shared" si="13"/>
        <v>11103</v>
      </c>
      <c r="C102" s="19">
        <f t="shared" si="13"/>
        <v>2</v>
      </c>
      <c r="D102" s="19">
        <f t="shared" si="13"/>
        <v>4</v>
      </c>
      <c r="E102" s="19">
        <f t="shared" si="13"/>
        <v>111</v>
      </c>
      <c r="F102" s="19">
        <f t="shared" si="13"/>
        <v>15</v>
      </c>
      <c r="G102" s="19">
        <f t="shared" si="13"/>
        <v>2</v>
      </c>
      <c r="H102" s="19">
        <f t="shared" si="13"/>
        <v>1</v>
      </c>
      <c r="I102" s="19">
        <f t="shared" si="13"/>
        <v>0</v>
      </c>
      <c r="J102" s="19">
        <f t="shared" si="13"/>
        <v>0</v>
      </c>
      <c r="K102" s="19">
        <f t="shared" si="13"/>
        <v>0</v>
      </c>
      <c r="L102" s="19">
        <f t="shared" si="13"/>
        <v>25</v>
      </c>
      <c r="M102" s="19">
        <f t="shared" si="13"/>
        <v>0</v>
      </c>
      <c r="N102" s="19">
        <f t="shared" si="13"/>
        <v>1</v>
      </c>
      <c r="O102" s="19">
        <f t="shared" si="13"/>
        <v>111</v>
      </c>
      <c r="P102" s="19">
        <f t="shared" si="13"/>
        <v>1</v>
      </c>
      <c r="Q102" s="19">
        <f t="shared" si="13"/>
        <v>4</v>
      </c>
      <c r="R102" s="19">
        <f t="shared" si="12"/>
        <v>5</v>
      </c>
      <c r="S102" s="19">
        <f t="shared" si="12"/>
        <v>0</v>
      </c>
      <c r="T102" s="19">
        <f t="shared" si="12"/>
        <v>0</v>
      </c>
      <c r="U102" s="19">
        <f t="shared" si="12"/>
        <v>0</v>
      </c>
      <c r="V102" s="19">
        <f t="shared" si="12"/>
        <v>0</v>
      </c>
      <c r="W102" s="19">
        <f t="shared" si="12"/>
        <v>1</v>
      </c>
    </row>
    <row r="103" spans="1:23">
      <c r="A103" s="24" t="str">
        <f t="shared" si="9"/>
        <v>11103_2-5/110&lt;lv15&gt;s4</v>
      </c>
      <c r="B103" s="19">
        <f t="shared" si="13"/>
        <v>11103</v>
      </c>
      <c r="C103" s="19">
        <f t="shared" si="13"/>
        <v>2</v>
      </c>
      <c r="D103" s="19">
        <f t="shared" si="13"/>
        <v>5</v>
      </c>
      <c r="E103" s="19">
        <f t="shared" si="13"/>
        <v>110</v>
      </c>
      <c r="F103" s="19">
        <f t="shared" si="13"/>
        <v>15</v>
      </c>
      <c r="G103" s="19">
        <f t="shared" si="13"/>
        <v>1.8</v>
      </c>
      <c r="H103" s="19">
        <f t="shared" si="13"/>
        <v>1</v>
      </c>
      <c r="I103" s="19">
        <f t="shared" si="13"/>
        <v>0</v>
      </c>
      <c r="J103" s="19">
        <f t="shared" si="13"/>
        <v>0</v>
      </c>
      <c r="K103" s="19">
        <f t="shared" si="13"/>
        <v>2</v>
      </c>
      <c r="L103" s="19">
        <f t="shared" si="13"/>
        <v>100</v>
      </c>
      <c r="M103" s="19">
        <f t="shared" si="13"/>
        <v>0</v>
      </c>
      <c r="N103" s="19">
        <f t="shared" si="13"/>
        <v>4</v>
      </c>
      <c r="O103" s="19">
        <f t="shared" si="13"/>
        <v>110</v>
      </c>
      <c r="P103" s="19">
        <f t="shared" si="13"/>
        <v>1</v>
      </c>
      <c r="Q103" s="19">
        <f t="shared" si="13"/>
        <v>3</v>
      </c>
      <c r="R103" s="19">
        <f t="shared" si="12"/>
        <v>30</v>
      </c>
      <c r="S103" s="19">
        <f t="shared" si="12"/>
        <v>0</v>
      </c>
      <c r="T103" s="19">
        <f t="shared" si="12"/>
        <v>0</v>
      </c>
      <c r="U103" s="19">
        <f t="shared" si="12"/>
        <v>0</v>
      </c>
      <c r="V103" s="19">
        <f t="shared" si="12"/>
        <v>0</v>
      </c>
      <c r="W103" s="19">
        <f t="shared" si="12"/>
        <v>1</v>
      </c>
    </row>
    <row r="104" spans="1:23">
      <c r="A104" s="24" t="str">
        <f t="shared" si="9"/>
        <v>11103_2-5/54&lt;lv18&gt;s2</v>
      </c>
      <c r="B104" s="19">
        <f t="shared" si="13"/>
        <v>11103</v>
      </c>
      <c r="C104" s="19">
        <f t="shared" si="13"/>
        <v>2</v>
      </c>
      <c r="D104" s="19">
        <f t="shared" si="13"/>
        <v>5</v>
      </c>
      <c r="E104" s="19">
        <f t="shared" si="13"/>
        <v>54</v>
      </c>
      <c r="F104" s="19">
        <f t="shared" si="13"/>
        <v>18</v>
      </c>
      <c r="G104" s="19">
        <f t="shared" si="13"/>
        <v>1</v>
      </c>
      <c r="H104" s="19">
        <f t="shared" si="13"/>
        <v>1</v>
      </c>
      <c r="I104" s="19">
        <f t="shared" si="13"/>
        <v>0</v>
      </c>
      <c r="J104" s="19">
        <f t="shared" si="13"/>
        <v>53</v>
      </c>
      <c r="K104" s="19">
        <f t="shared" si="13"/>
        <v>0</v>
      </c>
      <c r="L104" s="19">
        <f t="shared" si="13"/>
        <v>100</v>
      </c>
      <c r="M104" s="19">
        <f t="shared" si="13"/>
        <v>1</v>
      </c>
      <c r="N104" s="19">
        <f t="shared" si="13"/>
        <v>2</v>
      </c>
      <c r="O104" s="19">
        <f t="shared" si="13"/>
        <v>53</v>
      </c>
      <c r="P104" s="19">
        <f t="shared" si="13"/>
        <v>1</v>
      </c>
      <c r="Q104" s="19">
        <f t="shared" si="13"/>
        <v>2</v>
      </c>
      <c r="R104" s="19">
        <f t="shared" si="12"/>
        <v>0</v>
      </c>
      <c r="S104" s="19">
        <f t="shared" si="12"/>
        <v>0</v>
      </c>
      <c r="T104" s="19">
        <f t="shared" si="12"/>
        <v>0</v>
      </c>
      <c r="U104" s="19">
        <f t="shared" si="12"/>
        <v>0</v>
      </c>
      <c r="V104" s="19">
        <f t="shared" si="12"/>
        <v>0</v>
      </c>
      <c r="W104" s="19">
        <f t="shared" si="12"/>
        <v>1</v>
      </c>
    </row>
    <row r="105" spans="1:23">
      <c r="A105" s="24" t="str">
        <f t="shared" si="9"/>
        <v>11103_2-5/46&lt;lv18&gt;s3</v>
      </c>
      <c r="B105" s="19">
        <f t="shared" si="13"/>
        <v>11103</v>
      </c>
      <c r="C105" s="19">
        <f t="shared" si="13"/>
        <v>2</v>
      </c>
      <c r="D105" s="19">
        <f t="shared" si="13"/>
        <v>5</v>
      </c>
      <c r="E105" s="19">
        <f t="shared" si="13"/>
        <v>46</v>
      </c>
      <c r="F105" s="19">
        <f t="shared" si="13"/>
        <v>18</v>
      </c>
      <c r="G105" s="19">
        <f t="shared" si="13"/>
        <v>1</v>
      </c>
      <c r="H105" s="19">
        <f t="shared" si="13"/>
        <v>1</v>
      </c>
      <c r="I105" s="19">
        <f t="shared" si="13"/>
        <v>0</v>
      </c>
      <c r="J105" s="19">
        <f t="shared" si="13"/>
        <v>0</v>
      </c>
      <c r="K105" s="19">
        <f t="shared" si="13"/>
        <v>0</v>
      </c>
      <c r="L105" s="19">
        <f t="shared" si="13"/>
        <v>100</v>
      </c>
      <c r="M105" s="19">
        <f t="shared" si="13"/>
        <v>1</v>
      </c>
      <c r="N105" s="19">
        <f t="shared" si="13"/>
        <v>3</v>
      </c>
      <c r="O105" s="19">
        <f t="shared" si="13"/>
        <v>45</v>
      </c>
      <c r="P105" s="19">
        <f t="shared" si="13"/>
        <v>1</v>
      </c>
      <c r="Q105" s="19">
        <f t="shared" si="13"/>
        <v>2</v>
      </c>
      <c r="R105" s="19">
        <f t="shared" si="12"/>
        <v>0</v>
      </c>
      <c r="S105" s="19">
        <f t="shared" si="12"/>
        <v>0</v>
      </c>
      <c r="T105" s="19">
        <f t="shared" si="12"/>
        <v>0</v>
      </c>
      <c r="U105" s="19">
        <f t="shared" si="12"/>
        <v>0</v>
      </c>
      <c r="V105" s="19">
        <f t="shared" si="12"/>
        <v>0</v>
      </c>
      <c r="W105" s="19">
        <f t="shared" si="12"/>
        <v>1</v>
      </c>
    </row>
    <row r="106" spans="1:23">
      <c r="A106" s="24" t="str">
        <f t="shared" si="9"/>
        <v>11103_2-5/62&lt;lv18&gt;s2</v>
      </c>
      <c r="B106" s="19">
        <f t="shared" si="13"/>
        <v>11103</v>
      </c>
      <c r="C106" s="19">
        <f t="shared" si="13"/>
        <v>2</v>
      </c>
      <c r="D106" s="19">
        <f t="shared" si="13"/>
        <v>5</v>
      </c>
      <c r="E106" s="19">
        <f t="shared" si="13"/>
        <v>62</v>
      </c>
      <c r="F106" s="19">
        <f t="shared" si="13"/>
        <v>18</v>
      </c>
      <c r="G106" s="19">
        <f t="shared" si="13"/>
        <v>1</v>
      </c>
      <c r="H106" s="19">
        <f t="shared" si="13"/>
        <v>1</v>
      </c>
      <c r="I106" s="19">
        <f t="shared" si="13"/>
        <v>0</v>
      </c>
      <c r="J106" s="19">
        <f t="shared" si="13"/>
        <v>0</v>
      </c>
      <c r="K106" s="19">
        <f t="shared" si="13"/>
        <v>0</v>
      </c>
      <c r="L106" s="19">
        <f t="shared" si="13"/>
        <v>100</v>
      </c>
      <c r="M106" s="19">
        <f t="shared" si="13"/>
        <v>1</v>
      </c>
      <c r="N106" s="19">
        <f t="shared" si="13"/>
        <v>2</v>
      </c>
      <c r="O106" s="19">
        <f t="shared" si="13"/>
        <v>61</v>
      </c>
      <c r="P106" s="19">
        <f t="shared" si="13"/>
        <v>1</v>
      </c>
      <c r="Q106" s="19">
        <f t="shared" si="13"/>
        <v>2</v>
      </c>
      <c r="R106" s="19">
        <f t="shared" si="12"/>
        <v>0</v>
      </c>
      <c r="S106" s="19">
        <f t="shared" si="12"/>
        <v>0</v>
      </c>
      <c r="T106" s="19">
        <f t="shared" si="12"/>
        <v>0</v>
      </c>
      <c r="U106" s="19">
        <f t="shared" si="12"/>
        <v>0</v>
      </c>
      <c r="V106" s="19">
        <f t="shared" si="12"/>
        <v>0</v>
      </c>
      <c r="W106" s="19">
        <f t="shared" si="12"/>
        <v>1</v>
      </c>
    </row>
    <row r="107" spans="1:23">
      <c r="A107" s="24" t="str">
        <f t="shared" si="9"/>
        <v>11103_3-1/111&lt;lv30&gt;s1</v>
      </c>
      <c r="B107" s="19">
        <f t="shared" si="13"/>
        <v>11103</v>
      </c>
      <c r="C107" s="19">
        <f t="shared" si="13"/>
        <v>3</v>
      </c>
      <c r="D107" s="19">
        <f t="shared" si="13"/>
        <v>1</v>
      </c>
      <c r="E107" s="19">
        <f t="shared" si="13"/>
        <v>111</v>
      </c>
      <c r="F107" s="19">
        <f t="shared" si="13"/>
        <v>30</v>
      </c>
      <c r="G107" s="19">
        <f t="shared" si="13"/>
        <v>2</v>
      </c>
      <c r="H107" s="19">
        <f t="shared" si="13"/>
        <v>1</v>
      </c>
      <c r="I107" s="19">
        <f t="shared" si="13"/>
        <v>0</v>
      </c>
      <c r="J107" s="19">
        <f t="shared" si="13"/>
        <v>0</v>
      </c>
      <c r="K107" s="19">
        <f t="shared" si="13"/>
        <v>1</v>
      </c>
      <c r="L107" s="19">
        <f t="shared" si="13"/>
        <v>100</v>
      </c>
      <c r="M107" s="19">
        <f t="shared" si="13"/>
        <v>1</v>
      </c>
      <c r="N107" s="19">
        <f t="shared" si="13"/>
        <v>1</v>
      </c>
      <c r="O107" s="19">
        <f t="shared" si="13"/>
        <v>111</v>
      </c>
      <c r="P107" s="19">
        <f t="shared" si="13"/>
        <v>1</v>
      </c>
      <c r="Q107" s="19">
        <f t="shared" ref="Q107:W122" si="14">VLOOKUP($A107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4</v>
      </c>
      <c r="R107" s="19">
        <f t="shared" si="14"/>
        <v>10</v>
      </c>
      <c r="S107" s="19">
        <f t="shared" si="14"/>
        <v>0</v>
      </c>
      <c r="T107" s="19">
        <f t="shared" si="14"/>
        <v>0</v>
      </c>
      <c r="U107" s="19">
        <f t="shared" si="14"/>
        <v>0</v>
      </c>
      <c r="V107" s="19">
        <f t="shared" si="14"/>
        <v>0</v>
      </c>
      <c r="W107" s="19">
        <f t="shared" si="14"/>
        <v>1</v>
      </c>
    </row>
    <row r="108" spans="1:23">
      <c r="A108" s="24" t="str">
        <f t="shared" si="9"/>
        <v>11103_3-1/37&lt;lv35&gt;s3</v>
      </c>
      <c r="B108" s="19">
        <f t="shared" ref="B108:Q123" si="15">VLOOKUP($A108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11103</v>
      </c>
      <c r="C108" s="19">
        <f t="shared" si="15"/>
        <v>3</v>
      </c>
      <c r="D108" s="19">
        <f t="shared" si="15"/>
        <v>1</v>
      </c>
      <c r="E108" s="19">
        <f t="shared" si="15"/>
        <v>37</v>
      </c>
      <c r="F108" s="19">
        <f t="shared" si="15"/>
        <v>35</v>
      </c>
      <c r="G108" s="19">
        <f t="shared" si="15"/>
        <v>1</v>
      </c>
      <c r="H108" s="19">
        <f t="shared" si="15"/>
        <v>1</v>
      </c>
      <c r="I108" s="19">
        <f t="shared" si="15"/>
        <v>0</v>
      </c>
      <c r="J108" s="19">
        <f t="shared" si="15"/>
        <v>37</v>
      </c>
      <c r="K108" s="19">
        <f t="shared" si="15"/>
        <v>0</v>
      </c>
      <c r="L108" s="19">
        <f t="shared" si="15"/>
        <v>100</v>
      </c>
      <c r="M108" s="19">
        <f t="shared" si="15"/>
        <v>0</v>
      </c>
      <c r="N108" s="19">
        <f t="shared" si="15"/>
        <v>3</v>
      </c>
      <c r="O108" s="19">
        <f t="shared" si="15"/>
        <v>37</v>
      </c>
      <c r="P108" s="19">
        <f t="shared" si="15"/>
        <v>1</v>
      </c>
      <c r="Q108" s="19">
        <f t="shared" si="15"/>
        <v>2</v>
      </c>
      <c r="R108" s="19">
        <f t="shared" si="14"/>
        <v>0</v>
      </c>
      <c r="S108" s="19">
        <f t="shared" si="14"/>
        <v>0</v>
      </c>
      <c r="T108" s="19">
        <f t="shared" si="14"/>
        <v>0</v>
      </c>
      <c r="U108" s="19">
        <f t="shared" si="14"/>
        <v>0</v>
      </c>
      <c r="V108" s="19">
        <f t="shared" si="14"/>
        <v>0</v>
      </c>
      <c r="W108" s="19">
        <f t="shared" si="14"/>
        <v>1</v>
      </c>
    </row>
    <row r="109" spans="1:23">
      <c r="A109" s="24" t="str">
        <f t="shared" si="9"/>
        <v>11103_3-1/29&lt;lv35&gt;s2</v>
      </c>
      <c r="B109" s="19">
        <f t="shared" si="15"/>
        <v>11103</v>
      </c>
      <c r="C109" s="19">
        <f t="shared" si="15"/>
        <v>3</v>
      </c>
      <c r="D109" s="19">
        <f t="shared" si="15"/>
        <v>1</v>
      </c>
      <c r="E109" s="19">
        <f t="shared" si="15"/>
        <v>29</v>
      </c>
      <c r="F109" s="19">
        <f t="shared" si="15"/>
        <v>35</v>
      </c>
      <c r="G109" s="19">
        <f t="shared" si="15"/>
        <v>1</v>
      </c>
      <c r="H109" s="19">
        <f t="shared" si="15"/>
        <v>1</v>
      </c>
      <c r="I109" s="19">
        <f t="shared" si="15"/>
        <v>0</v>
      </c>
      <c r="J109" s="19">
        <f t="shared" si="15"/>
        <v>0</v>
      </c>
      <c r="K109" s="19">
        <f t="shared" si="15"/>
        <v>0</v>
      </c>
      <c r="L109" s="19">
        <f t="shared" si="15"/>
        <v>100</v>
      </c>
      <c r="M109" s="19">
        <f t="shared" si="15"/>
        <v>0</v>
      </c>
      <c r="N109" s="19">
        <f t="shared" si="15"/>
        <v>2</v>
      </c>
      <c r="O109" s="19">
        <f t="shared" si="15"/>
        <v>29</v>
      </c>
      <c r="P109" s="19">
        <f t="shared" si="15"/>
        <v>1</v>
      </c>
      <c r="Q109" s="19">
        <f t="shared" si="15"/>
        <v>1</v>
      </c>
      <c r="R109" s="19">
        <f t="shared" si="14"/>
        <v>0</v>
      </c>
      <c r="S109" s="19">
        <f t="shared" si="14"/>
        <v>0</v>
      </c>
      <c r="T109" s="19">
        <f t="shared" si="14"/>
        <v>0</v>
      </c>
      <c r="U109" s="19">
        <f t="shared" si="14"/>
        <v>0</v>
      </c>
      <c r="V109" s="19">
        <f t="shared" si="14"/>
        <v>0</v>
      </c>
      <c r="W109" s="19">
        <f t="shared" si="14"/>
        <v>1</v>
      </c>
    </row>
    <row r="110" spans="1:23">
      <c r="A110" s="24" t="str">
        <f t="shared" si="9"/>
        <v>11103_3-1/340&lt;lv1&gt;s1</v>
      </c>
      <c r="B110" s="19">
        <f t="shared" si="15"/>
        <v>11103</v>
      </c>
      <c r="C110" s="19">
        <f t="shared" si="15"/>
        <v>3</v>
      </c>
      <c r="D110" s="19">
        <f t="shared" si="15"/>
        <v>1</v>
      </c>
      <c r="E110" s="19">
        <f t="shared" si="15"/>
        <v>340</v>
      </c>
      <c r="F110" s="19">
        <f t="shared" si="15"/>
        <v>1</v>
      </c>
      <c r="G110" s="19">
        <f t="shared" si="15"/>
        <v>1</v>
      </c>
      <c r="H110" s="19">
        <f t="shared" si="15"/>
        <v>1</v>
      </c>
      <c r="I110" s="19">
        <f t="shared" si="15"/>
        <v>0</v>
      </c>
      <c r="J110" s="19">
        <f t="shared" si="15"/>
        <v>0</v>
      </c>
      <c r="K110" s="19">
        <f t="shared" si="15"/>
        <v>0</v>
      </c>
      <c r="L110" s="19">
        <f t="shared" si="15"/>
        <v>30</v>
      </c>
      <c r="M110" s="19">
        <f t="shared" si="15"/>
        <v>0</v>
      </c>
      <c r="N110" s="19">
        <f t="shared" si="15"/>
        <v>1</v>
      </c>
      <c r="O110" s="19">
        <f t="shared" si="15"/>
        <v>340</v>
      </c>
      <c r="P110" s="19">
        <f t="shared" si="15"/>
        <v>1</v>
      </c>
      <c r="Q110" s="19">
        <f t="shared" si="15"/>
        <v>3</v>
      </c>
      <c r="R110" s="19">
        <f t="shared" si="14"/>
        <v>10</v>
      </c>
      <c r="S110" s="19">
        <f t="shared" si="14"/>
        <v>0</v>
      </c>
      <c r="T110" s="19">
        <f t="shared" si="14"/>
        <v>0</v>
      </c>
      <c r="U110" s="19">
        <f t="shared" si="14"/>
        <v>0</v>
      </c>
      <c r="V110" s="19">
        <f t="shared" si="14"/>
        <v>0</v>
      </c>
      <c r="W110" s="19">
        <f t="shared" si="14"/>
        <v>1</v>
      </c>
    </row>
    <row r="111" spans="1:23">
      <c r="A111" s="24" t="str">
        <f t="shared" si="9"/>
        <v>11103_3-1/341&lt;lv1&gt;s2</v>
      </c>
      <c r="B111" s="19">
        <f t="shared" si="15"/>
        <v>11103</v>
      </c>
      <c r="C111" s="19">
        <f t="shared" si="15"/>
        <v>3</v>
      </c>
      <c r="D111" s="19">
        <f t="shared" si="15"/>
        <v>1</v>
      </c>
      <c r="E111" s="19">
        <f t="shared" si="15"/>
        <v>341</v>
      </c>
      <c r="F111" s="19">
        <f t="shared" si="15"/>
        <v>1</v>
      </c>
      <c r="G111" s="19">
        <f t="shared" si="15"/>
        <v>1</v>
      </c>
      <c r="H111" s="19">
        <f t="shared" si="15"/>
        <v>1</v>
      </c>
      <c r="I111" s="19">
        <f t="shared" si="15"/>
        <v>0</v>
      </c>
      <c r="J111" s="19">
        <f t="shared" si="15"/>
        <v>0</v>
      </c>
      <c r="K111" s="19">
        <f t="shared" si="15"/>
        <v>0</v>
      </c>
      <c r="L111" s="19">
        <f t="shared" si="15"/>
        <v>30</v>
      </c>
      <c r="M111" s="19">
        <f t="shared" si="15"/>
        <v>0</v>
      </c>
      <c r="N111" s="19">
        <f t="shared" si="15"/>
        <v>2</v>
      </c>
      <c r="O111" s="19">
        <f t="shared" si="15"/>
        <v>341</v>
      </c>
      <c r="P111" s="19">
        <f t="shared" si="15"/>
        <v>1</v>
      </c>
      <c r="Q111" s="19">
        <f t="shared" si="15"/>
        <v>4</v>
      </c>
      <c r="R111" s="19">
        <f t="shared" si="14"/>
        <v>5</v>
      </c>
      <c r="S111" s="19">
        <f t="shared" si="14"/>
        <v>0</v>
      </c>
      <c r="T111" s="19">
        <f t="shared" si="14"/>
        <v>0</v>
      </c>
      <c r="U111" s="19">
        <f t="shared" si="14"/>
        <v>0</v>
      </c>
      <c r="V111" s="19">
        <f t="shared" si="14"/>
        <v>0</v>
      </c>
      <c r="W111" s="19">
        <f t="shared" si="14"/>
        <v>1</v>
      </c>
    </row>
    <row r="112" spans="1:23">
      <c r="A112" s="24" t="str">
        <f t="shared" si="9"/>
        <v>11103_3-2/111&lt;lv30&gt;s1</v>
      </c>
      <c r="B112" s="19">
        <f t="shared" si="15"/>
        <v>11103</v>
      </c>
      <c r="C112" s="19">
        <f t="shared" si="15"/>
        <v>3</v>
      </c>
      <c r="D112" s="19">
        <f t="shared" si="15"/>
        <v>2</v>
      </c>
      <c r="E112" s="19">
        <f t="shared" si="15"/>
        <v>111</v>
      </c>
      <c r="F112" s="19">
        <f t="shared" si="15"/>
        <v>30</v>
      </c>
      <c r="G112" s="19">
        <f t="shared" si="15"/>
        <v>2</v>
      </c>
      <c r="H112" s="19">
        <f t="shared" si="15"/>
        <v>1</v>
      </c>
      <c r="I112" s="19">
        <f t="shared" si="15"/>
        <v>0</v>
      </c>
      <c r="J112" s="19">
        <f t="shared" si="15"/>
        <v>0</v>
      </c>
      <c r="K112" s="19">
        <f t="shared" si="15"/>
        <v>1</v>
      </c>
      <c r="L112" s="19">
        <f t="shared" si="15"/>
        <v>100</v>
      </c>
      <c r="M112" s="19">
        <f t="shared" si="15"/>
        <v>1</v>
      </c>
      <c r="N112" s="19">
        <f t="shared" si="15"/>
        <v>1</v>
      </c>
      <c r="O112" s="19">
        <f t="shared" si="15"/>
        <v>111</v>
      </c>
      <c r="P112" s="19">
        <f t="shared" si="15"/>
        <v>1</v>
      </c>
      <c r="Q112" s="19">
        <f t="shared" si="15"/>
        <v>4</v>
      </c>
      <c r="R112" s="19">
        <f t="shared" si="14"/>
        <v>10</v>
      </c>
      <c r="S112" s="19">
        <f t="shared" si="14"/>
        <v>0</v>
      </c>
      <c r="T112" s="19">
        <f t="shared" si="14"/>
        <v>0</v>
      </c>
      <c r="U112" s="19">
        <f t="shared" si="14"/>
        <v>0</v>
      </c>
      <c r="V112" s="19">
        <f t="shared" si="14"/>
        <v>0</v>
      </c>
      <c r="W112" s="19">
        <f t="shared" si="14"/>
        <v>1</v>
      </c>
    </row>
    <row r="113" spans="1:23">
      <c r="A113" s="24" t="str">
        <f t="shared" si="9"/>
        <v>11103_3-2/37&lt;lv35&gt;s3</v>
      </c>
      <c r="B113" s="19">
        <f t="shared" si="15"/>
        <v>11103</v>
      </c>
      <c r="C113" s="19">
        <f t="shared" si="15"/>
        <v>3</v>
      </c>
      <c r="D113" s="19">
        <f t="shared" si="15"/>
        <v>2</v>
      </c>
      <c r="E113" s="19">
        <f t="shared" si="15"/>
        <v>37</v>
      </c>
      <c r="F113" s="19">
        <f t="shared" si="15"/>
        <v>35</v>
      </c>
      <c r="G113" s="19">
        <f t="shared" si="15"/>
        <v>1</v>
      </c>
      <c r="H113" s="19">
        <f t="shared" si="15"/>
        <v>1</v>
      </c>
      <c r="I113" s="19">
        <f t="shared" si="15"/>
        <v>0</v>
      </c>
      <c r="J113" s="19">
        <f t="shared" si="15"/>
        <v>37</v>
      </c>
      <c r="K113" s="19">
        <f t="shared" si="15"/>
        <v>0</v>
      </c>
      <c r="L113" s="19">
        <f t="shared" si="15"/>
        <v>100</v>
      </c>
      <c r="M113" s="19">
        <f t="shared" si="15"/>
        <v>0</v>
      </c>
      <c r="N113" s="19">
        <f t="shared" si="15"/>
        <v>3</v>
      </c>
      <c r="O113" s="19">
        <f t="shared" si="15"/>
        <v>37</v>
      </c>
      <c r="P113" s="19">
        <f t="shared" si="15"/>
        <v>1</v>
      </c>
      <c r="Q113" s="19">
        <f t="shared" si="15"/>
        <v>2</v>
      </c>
      <c r="R113" s="19">
        <f t="shared" si="14"/>
        <v>0</v>
      </c>
      <c r="S113" s="19">
        <f t="shared" si="14"/>
        <v>0</v>
      </c>
      <c r="T113" s="19">
        <f t="shared" si="14"/>
        <v>0</v>
      </c>
      <c r="U113" s="19">
        <f t="shared" si="14"/>
        <v>0</v>
      </c>
      <c r="V113" s="19">
        <f t="shared" si="14"/>
        <v>0</v>
      </c>
      <c r="W113" s="19">
        <f t="shared" si="14"/>
        <v>1</v>
      </c>
    </row>
    <row r="114" spans="1:23">
      <c r="A114" s="24" t="str">
        <f t="shared" si="9"/>
        <v>11103_3-2/29&lt;lv35&gt;s2</v>
      </c>
      <c r="B114" s="19">
        <f t="shared" si="15"/>
        <v>11103</v>
      </c>
      <c r="C114" s="19">
        <f t="shared" si="15"/>
        <v>3</v>
      </c>
      <c r="D114" s="19">
        <f t="shared" si="15"/>
        <v>2</v>
      </c>
      <c r="E114" s="19">
        <f t="shared" si="15"/>
        <v>29</v>
      </c>
      <c r="F114" s="19">
        <f t="shared" si="15"/>
        <v>35</v>
      </c>
      <c r="G114" s="19">
        <f t="shared" si="15"/>
        <v>1</v>
      </c>
      <c r="H114" s="19">
        <f t="shared" si="15"/>
        <v>1</v>
      </c>
      <c r="I114" s="19">
        <f t="shared" si="15"/>
        <v>0</v>
      </c>
      <c r="J114" s="19">
        <f t="shared" si="15"/>
        <v>0</v>
      </c>
      <c r="K114" s="19">
        <f t="shared" si="15"/>
        <v>0</v>
      </c>
      <c r="L114" s="19">
        <f t="shared" si="15"/>
        <v>100</v>
      </c>
      <c r="M114" s="19">
        <f t="shared" si="15"/>
        <v>0</v>
      </c>
      <c r="N114" s="19">
        <f t="shared" si="15"/>
        <v>2</v>
      </c>
      <c r="O114" s="19">
        <f t="shared" si="15"/>
        <v>29</v>
      </c>
      <c r="P114" s="19">
        <f t="shared" si="15"/>
        <v>1</v>
      </c>
      <c r="Q114" s="19">
        <f t="shared" si="15"/>
        <v>1</v>
      </c>
      <c r="R114" s="19">
        <f t="shared" si="14"/>
        <v>0</v>
      </c>
      <c r="S114" s="19">
        <f t="shared" si="14"/>
        <v>0</v>
      </c>
      <c r="T114" s="19">
        <f t="shared" si="14"/>
        <v>0</v>
      </c>
      <c r="U114" s="19">
        <f t="shared" si="14"/>
        <v>0</v>
      </c>
      <c r="V114" s="19">
        <f t="shared" si="14"/>
        <v>0</v>
      </c>
      <c r="W114" s="19">
        <f t="shared" si="14"/>
        <v>1</v>
      </c>
    </row>
    <row r="115" spans="1:23">
      <c r="A115" s="24" t="str">
        <f t="shared" si="9"/>
        <v>11103_3-2/340&lt;lv1&gt;s1</v>
      </c>
      <c r="B115" s="19">
        <f t="shared" si="15"/>
        <v>11103</v>
      </c>
      <c r="C115" s="19">
        <f t="shared" si="15"/>
        <v>3</v>
      </c>
      <c r="D115" s="19">
        <f t="shared" si="15"/>
        <v>2</v>
      </c>
      <c r="E115" s="19">
        <f t="shared" si="15"/>
        <v>340</v>
      </c>
      <c r="F115" s="19">
        <f t="shared" si="15"/>
        <v>1</v>
      </c>
      <c r="G115" s="19">
        <f t="shared" si="15"/>
        <v>1</v>
      </c>
      <c r="H115" s="19">
        <f t="shared" si="15"/>
        <v>1</v>
      </c>
      <c r="I115" s="19">
        <f t="shared" si="15"/>
        <v>0</v>
      </c>
      <c r="J115" s="19">
        <f t="shared" si="15"/>
        <v>0</v>
      </c>
      <c r="K115" s="19">
        <f t="shared" si="15"/>
        <v>0</v>
      </c>
      <c r="L115" s="19">
        <f t="shared" si="15"/>
        <v>30</v>
      </c>
      <c r="M115" s="19">
        <f t="shared" si="15"/>
        <v>0</v>
      </c>
      <c r="N115" s="19">
        <f t="shared" si="15"/>
        <v>1</v>
      </c>
      <c r="O115" s="19">
        <f t="shared" si="15"/>
        <v>340</v>
      </c>
      <c r="P115" s="19">
        <f t="shared" si="15"/>
        <v>1</v>
      </c>
      <c r="Q115" s="19">
        <f t="shared" si="15"/>
        <v>3</v>
      </c>
      <c r="R115" s="19">
        <f t="shared" si="14"/>
        <v>10</v>
      </c>
      <c r="S115" s="19">
        <f t="shared" si="14"/>
        <v>0</v>
      </c>
      <c r="T115" s="19">
        <f t="shared" si="14"/>
        <v>0</v>
      </c>
      <c r="U115" s="19">
        <f t="shared" si="14"/>
        <v>0</v>
      </c>
      <c r="V115" s="19">
        <f t="shared" si="14"/>
        <v>0</v>
      </c>
      <c r="W115" s="19">
        <f t="shared" si="14"/>
        <v>1</v>
      </c>
    </row>
    <row r="116" spans="1:23">
      <c r="A116" s="24" t="str">
        <f t="shared" si="9"/>
        <v>11103_3-2/341&lt;lv1&gt;s2</v>
      </c>
      <c r="B116" s="19">
        <f t="shared" si="15"/>
        <v>11103</v>
      </c>
      <c r="C116" s="19">
        <f t="shared" si="15"/>
        <v>3</v>
      </c>
      <c r="D116" s="19">
        <f t="shared" si="15"/>
        <v>2</v>
      </c>
      <c r="E116" s="19">
        <f t="shared" si="15"/>
        <v>341</v>
      </c>
      <c r="F116" s="19">
        <f t="shared" si="15"/>
        <v>1</v>
      </c>
      <c r="G116" s="19">
        <f t="shared" si="15"/>
        <v>1</v>
      </c>
      <c r="H116" s="19">
        <f t="shared" si="15"/>
        <v>1</v>
      </c>
      <c r="I116" s="19">
        <f t="shared" si="15"/>
        <v>0</v>
      </c>
      <c r="J116" s="19">
        <f t="shared" si="15"/>
        <v>0</v>
      </c>
      <c r="K116" s="19">
        <f t="shared" si="15"/>
        <v>0</v>
      </c>
      <c r="L116" s="19">
        <f t="shared" si="15"/>
        <v>30</v>
      </c>
      <c r="M116" s="19">
        <f t="shared" si="15"/>
        <v>0</v>
      </c>
      <c r="N116" s="19">
        <f t="shared" si="15"/>
        <v>2</v>
      </c>
      <c r="O116" s="19">
        <f t="shared" si="15"/>
        <v>341</v>
      </c>
      <c r="P116" s="19">
        <f t="shared" si="15"/>
        <v>1</v>
      </c>
      <c r="Q116" s="19">
        <f t="shared" si="15"/>
        <v>4</v>
      </c>
      <c r="R116" s="19">
        <f t="shared" si="14"/>
        <v>5</v>
      </c>
      <c r="S116" s="19">
        <f t="shared" si="14"/>
        <v>0</v>
      </c>
      <c r="T116" s="19">
        <f t="shared" si="14"/>
        <v>0</v>
      </c>
      <c r="U116" s="19">
        <f t="shared" si="14"/>
        <v>0</v>
      </c>
      <c r="V116" s="19">
        <f t="shared" si="14"/>
        <v>0</v>
      </c>
      <c r="W116" s="19">
        <f t="shared" si="14"/>
        <v>1</v>
      </c>
    </row>
    <row r="117" spans="1:23">
      <c r="A117" s="24" t="str">
        <f t="shared" si="9"/>
        <v>11103_3-3/111&lt;lv30&gt;s1</v>
      </c>
      <c r="B117" s="19">
        <f t="shared" si="15"/>
        <v>11103</v>
      </c>
      <c r="C117" s="19">
        <f t="shared" si="15"/>
        <v>3</v>
      </c>
      <c r="D117" s="19">
        <f t="shared" si="15"/>
        <v>3</v>
      </c>
      <c r="E117" s="19">
        <f t="shared" si="15"/>
        <v>111</v>
      </c>
      <c r="F117" s="19">
        <f t="shared" si="15"/>
        <v>30</v>
      </c>
      <c r="G117" s="19">
        <f t="shared" si="15"/>
        <v>2</v>
      </c>
      <c r="H117" s="19">
        <f t="shared" si="15"/>
        <v>1</v>
      </c>
      <c r="I117" s="19">
        <f t="shared" si="15"/>
        <v>0</v>
      </c>
      <c r="J117" s="19">
        <f t="shared" si="15"/>
        <v>0</v>
      </c>
      <c r="K117" s="19">
        <f t="shared" si="15"/>
        <v>1</v>
      </c>
      <c r="L117" s="19">
        <f t="shared" si="15"/>
        <v>100</v>
      </c>
      <c r="M117" s="19">
        <f t="shared" si="15"/>
        <v>1</v>
      </c>
      <c r="N117" s="19">
        <f t="shared" si="15"/>
        <v>1</v>
      </c>
      <c r="O117" s="19">
        <f t="shared" si="15"/>
        <v>111</v>
      </c>
      <c r="P117" s="19">
        <f t="shared" si="15"/>
        <v>1</v>
      </c>
      <c r="Q117" s="19">
        <f t="shared" si="15"/>
        <v>4</v>
      </c>
      <c r="R117" s="19">
        <f t="shared" si="14"/>
        <v>50</v>
      </c>
      <c r="S117" s="19">
        <f t="shared" si="14"/>
        <v>0</v>
      </c>
      <c r="T117" s="19">
        <f t="shared" si="14"/>
        <v>0</v>
      </c>
      <c r="U117" s="19">
        <f t="shared" si="14"/>
        <v>0</v>
      </c>
      <c r="V117" s="19">
        <f t="shared" si="14"/>
        <v>0</v>
      </c>
      <c r="W117" s="19">
        <f t="shared" si="14"/>
        <v>1</v>
      </c>
    </row>
    <row r="118" spans="1:23">
      <c r="A118" s="24" t="str">
        <f t="shared" si="9"/>
        <v>11103_3-3/37&lt;lv35&gt;s3</v>
      </c>
      <c r="B118" s="19">
        <f t="shared" si="15"/>
        <v>11103</v>
      </c>
      <c r="C118" s="19">
        <f t="shared" si="15"/>
        <v>3</v>
      </c>
      <c r="D118" s="19">
        <f t="shared" si="15"/>
        <v>3</v>
      </c>
      <c r="E118" s="19">
        <f t="shared" si="15"/>
        <v>37</v>
      </c>
      <c r="F118" s="19">
        <f t="shared" si="15"/>
        <v>35</v>
      </c>
      <c r="G118" s="19">
        <f t="shared" si="15"/>
        <v>1</v>
      </c>
      <c r="H118" s="19">
        <f t="shared" si="15"/>
        <v>1</v>
      </c>
      <c r="I118" s="19">
        <f t="shared" si="15"/>
        <v>0</v>
      </c>
      <c r="J118" s="19">
        <f t="shared" si="15"/>
        <v>37</v>
      </c>
      <c r="K118" s="19">
        <f t="shared" si="15"/>
        <v>0</v>
      </c>
      <c r="L118" s="19">
        <f t="shared" si="15"/>
        <v>100</v>
      </c>
      <c r="M118" s="19">
        <f t="shared" si="15"/>
        <v>0</v>
      </c>
      <c r="N118" s="19">
        <f t="shared" si="15"/>
        <v>3</v>
      </c>
      <c r="O118" s="19">
        <f t="shared" si="15"/>
        <v>37</v>
      </c>
      <c r="P118" s="19">
        <f t="shared" si="15"/>
        <v>1</v>
      </c>
      <c r="Q118" s="19">
        <f t="shared" si="15"/>
        <v>2</v>
      </c>
      <c r="R118" s="19">
        <f t="shared" si="14"/>
        <v>0</v>
      </c>
      <c r="S118" s="19">
        <f t="shared" si="14"/>
        <v>0</v>
      </c>
      <c r="T118" s="19">
        <f t="shared" si="14"/>
        <v>0</v>
      </c>
      <c r="U118" s="19">
        <f t="shared" si="14"/>
        <v>0</v>
      </c>
      <c r="V118" s="19">
        <f t="shared" si="14"/>
        <v>0</v>
      </c>
      <c r="W118" s="19">
        <f t="shared" si="14"/>
        <v>1</v>
      </c>
    </row>
    <row r="119" spans="1:23">
      <c r="A119" s="24" t="str">
        <f t="shared" si="9"/>
        <v>11103_3-3/29&lt;lv35&gt;s2</v>
      </c>
      <c r="B119" s="19">
        <f t="shared" si="15"/>
        <v>11103</v>
      </c>
      <c r="C119" s="19">
        <f t="shared" si="15"/>
        <v>3</v>
      </c>
      <c r="D119" s="19">
        <f t="shared" si="15"/>
        <v>3</v>
      </c>
      <c r="E119" s="19">
        <f t="shared" si="15"/>
        <v>29</v>
      </c>
      <c r="F119" s="19">
        <f t="shared" si="15"/>
        <v>35</v>
      </c>
      <c r="G119" s="19">
        <f t="shared" si="15"/>
        <v>1</v>
      </c>
      <c r="H119" s="19">
        <f t="shared" si="15"/>
        <v>1</v>
      </c>
      <c r="I119" s="19">
        <f t="shared" si="15"/>
        <v>0</v>
      </c>
      <c r="J119" s="19">
        <f t="shared" si="15"/>
        <v>0</v>
      </c>
      <c r="K119" s="19">
        <f t="shared" si="15"/>
        <v>0</v>
      </c>
      <c r="L119" s="19">
        <f t="shared" si="15"/>
        <v>100</v>
      </c>
      <c r="M119" s="19">
        <f t="shared" si="15"/>
        <v>0</v>
      </c>
      <c r="N119" s="19">
        <f t="shared" si="15"/>
        <v>2</v>
      </c>
      <c r="O119" s="19">
        <f t="shared" si="15"/>
        <v>29</v>
      </c>
      <c r="P119" s="19">
        <f t="shared" si="15"/>
        <v>1</v>
      </c>
      <c r="Q119" s="19">
        <f t="shared" si="15"/>
        <v>1</v>
      </c>
      <c r="R119" s="19">
        <f t="shared" si="14"/>
        <v>0</v>
      </c>
      <c r="S119" s="19">
        <f t="shared" si="14"/>
        <v>0</v>
      </c>
      <c r="T119" s="19">
        <f t="shared" si="14"/>
        <v>0</v>
      </c>
      <c r="U119" s="19">
        <f t="shared" si="14"/>
        <v>0</v>
      </c>
      <c r="V119" s="19">
        <f t="shared" si="14"/>
        <v>0</v>
      </c>
      <c r="W119" s="19">
        <f t="shared" si="14"/>
        <v>1</v>
      </c>
    </row>
    <row r="120" spans="1:23">
      <c r="A120" s="24" t="str">
        <f t="shared" si="9"/>
        <v>11103_3-3/340&lt;lv1&gt;s1</v>
      </c>
      <c r="B120" s="19">
        <f t="shared" si="15"/>
        <v>11103</v>
      </c>
      <c r="C120" s="19">
        <f t="shared" si="15"/>
        <v>3</v>
      </c>
      <c r="D120" s="19">
        <f t="shared" si="15"/>
        <v>3</v>
      </c>
      <c r="E120" s="19">
        <f t="shared" si="15"/>
        <v>340</v>
      </c>
      <c r="F120" s="19">
        <f t="shared" si="15"/>
        <v>1</v>
      </c>
      <c r="G120" s="19">
        <f t="shared" si="15"/>
        <v>1</v>
      </c>
      <c r="H120" s="19">
        <f t="shared" si="15"/>
        <v>1</v>
      </c>
      <c r="I120" s="19">
        <f t="shared" si="15"/>
        <v>0</v>
      </c>
      <c r="J120" s="19">
        <f t="shared" si="15"/>
        <v>0</v>
      </c>
      <c r="K120" s="19">
        <f t="shared" si="15"/>
        <v>0</v>
      </c>
      <c r="L120" s="19">
        <f t="shared" si="15"/>
        <v>30</v>
      </c>
      <c r="M120" s="19">
        <f t="shared" si="15"/>
        <v>0</v>
      </c>
      <c r="N120" s="19">
        <f t="shared" si="15"/>
        <v>1</v>
      </c>
      <c r="O120" s="19">
        <f t="shared" si="15"/>
        <v>340</v>
      </c>
      <c r="P120" s="19">
        <f t="shared" si="15"/>
        <v>1</v>
      </c>
      <c r="Q120" s="19">
        <f t="shared" si="15"/>
        <v>3</v>
      </c>
      <c r="R120" s="19">
        <f t="shared" si="14"/>
        <v>10</v>
      </c>
      <c r="S120" s="19">
        <f t="shared" si="14"/>
        <v>0</v>
      </c>
      <c r="T120" s="19">
        <f t="shared" si="14"/>
        <v>0</v>
      </c>
      <c r="U120" s="19">
        <f t="shared" si="14"/>
        <v>0</v>
      </c>
      <c r="V120" s="19">
        <f t="shared" si="14"/>
        <v>0</v>
      </c>
      <c r="W120" s="19">
        <f t="shared" si="14"/>
        <v>1</v>
      </c>
    </row>
    <row r="121" spans="1:23">
      <c r="A121" s="24" t="str">
        <f t="shared" si="9"/>
        <v>11103_3-3/341&lt;lv1&gt;s2</v>
      </c>
      <c r="B121" s="19">
        <f t="shared" si="15"/>
        <v>11103</v>
      </c>
      <c r="C121" s="19">
        <f t="shared" si="15"/>
        <v>3</v>
      </c>
      <c r="D121" s="19">
        <f t="shared" si="15"/>
        <v>3</v>
      </c>
      <c r="E121" s="19">
        <f t="shared" si="15"/>
        <v>341</v>
      </c>
      <c r="F121" s="19">
        <f t="shared" si="15"/>
        <v>1</v>
      </c>
      <c r="G121" s="19">
        <f t="shared" si="15"/>
        <v>1</v>
      </c>
      <c r="H121" s="19">
        <f t="shared" si="15"/>
        <v>1</v>
      </c>
      <c r="I121" s="19">
        <f t="shared" si="15"/>
        <v>0</v>
      </c>
      <c r="J121" s="19">
        <f t="shared" si="15"/>
        <v>0</v>
      </c>
      <c r="K121" s="19">
        <f t="shared" si="15"/>
        <v>0</v>
      </c>
      <c r="L121" s="19">
        <f t="shared" si="15"/>
        <v>30</v>
      </c>
      <c r="M121" s="19">
        <f t="shared" si="15"/>
        <v>0</v>
      </c>
      <c r="N121" s="19">
        <f t="shared" si="15"/>
        <v>2</v>
      </c>
      <c r="O121" s="19">
        <f t="shared" si="15"/>
        <v>341</v>
      </c>
      <c r="P121" s="19">
        <f t="shared" si="15"/>
        <v>1</v>
      </c>
      <c r="Q121" s="19">
        <f t="shared" si="15"/>
        <v>4</v>
      </c>
      <c r="R121" s="19">
        <f t="shared" si="14"/>
        <v>5</v>
      </c>
      <c r="S121" s="19">
        <f t="shared" si="14"/>
        <v>0</v>
      </c>
      <c r="T121" s="19">
        <f t="shared" si="14"/>
        <v>0</v>
      </c>
      <c r="U121" s="19">
        <f t="shared" si="14"/>
        <v>0</v>
      </c>
      <c r="V121" s="19">
        <f t="shared" si="14"/>
        <v>0</v>
      </c>
      <c r="W121" s="19">
        <f t="shared" si="14"/>
        <v>1</v>
      </c>
    </row>
    <row r="122" spans="1:23">
      <c r="A122" s="24" t="str">
        <f t="shared" si="9"/>
        <v>11103_3-4/111&lt;lv30&gt;s1</v>
      </c>
      <c r="B122" s="19">
        <f t="shared" si="15"/>
        <v>11103</v>
      </c>
      <c r="C122" s="19">
        <f t="shared" si="15"/>
        <v>3</v>
      </c>
      <c r="D122" s="19">
        <f t="shared" si="15"/>
        <v>4</v>
      </c>
      <c r="E122" s="19">
        <f t="shared" si="15"/>
        <v>111</v>
      </c>
      <c r="F122" s="19">
        <f t="shared" si="15"/>
        <v>30</v>
      </c>
      <c r="G122" s="19">
        <f t="shared" si="15"/>
        <v>2</v>
      </c>
      <c r="H122" s="19">
        <f t="shared" si="15"/>
        <v>1</v>
      </c>
      <c r="I122" s="19">
        <f t="shared" si="15"/>
        <v>0</v>
      </c>
      <c r="J122" s="19">
        <f t="shared" si="15"/>
        <v>0</v>
      </c>
      <c r="K122" s="19">
        <f t="shared" si="15"/>
        <v>1</v>
      </c>
      <c r="L122" s="19">
        <f t="shared" si="15"/>
        <v>100</v>
      </c>
      <c r="M122" s="19">
        <f t="shared" si="15"/>
        <v>1</v>
      </c>
      <c r="N122" s="19">
        <f t="shared" si="15"/>
        <v>1</v>
      </c>
      <c r="O122" s="19">
        <f t="shared" si="15"/>
        <v>111</v>
      </c>
      <c r="P122" s="19">
        <f t="shared" si="15"/>
        <v>1</v>
      </c>
      <c r="Q122" s="19">
        <f t="shared" si="15"/>
        <v>4</v>
      </c>
      <c r="R122" s="19">
        <f t="shared" si="14"/>
        <v>30</v>
      </c>
      <c r="S122" s="19">
        <f t="shared" si="14"/>
        <v>0</v>
      </c>
      <c r="T122" s="19">
        <f t="shared" si="14"/>
        <v>0</v>
      </c>
      <c r="U122" s="19">
        <f t="shared" si="14"/>
        <v>0</v>
      </c>
      <c r="V122" s="19">
        <f t="shared" si="14"/>
        <v>0</v>
      </c>
      <c r="W122" s="19">
        <f t="shared" si="14"/>
        <v>1</v>
      </c>
    </row>
    <row r="123" spans="1:23">
      <c r="A123" s="24" t="str">
        <f t="shared" si="9"/>
        <v>11103_3-4/37&lt;lv35&gt;s3</v>
      </c>
      <c r="B123" s="19">
        <f t="shared" si="15"/>
        <v>11103</v>
      </c>
      <c r="C123" s="19">
        <f t="shared" si="15"/>
        <v>3</v>
      </c>
      <c r="D123" s="19">
        <f t="shared" si="15"/>
        <v>4</v>
      </c>
      <c r="E123" s="19">
        <f t="shared" si="15"/>
        <v>37</v>
      </c>
      <c r="F123" s="19">
        <f t="shared" si="15"/>
        <v>35</v>
      </c>
      <c r="G123" s="19">
        <f t="shared" si="15"/>
        <v>1</v>
      </c>
      <c r="H123" s="19">
        <f t="shared" si="15"/>
        <v>1</v>
      </c>
      <c r="I123" s="19">
        <f t="shared" si="15"/>
        <v>0</v>
      </c>
      <c r="J123" s="19">
        <f t="shared" si="15"/>
        <v>37</v>
      </c>
      <c r="K123" s="19">
        <f t="shared" si="15"/>
        <v>0</v>
      </c>
      <c r="L123" s="19">
        <f t="shared" si="15"/>
        <v>100</v>
      </c>
      <c r="M123" s="19">
        <f t="shared" si="15"/>
        <v>0</v>
      </c>
      <c r="N123" s="19">
        <f t="shared" si="15"/>
        <v>3</v>
      </c>
      <c r="O123" s="19">
        <f t="shared" si="15"/>
        <v>37</v>
      </c>
      <c r="P123" s="19">
        <f t="shared" si="15"/>
        <v>1</v>
      </c>
      <c r="Q123" s="19">
        <f t="shared" ref="Q123:W138" si="16">VLOOKUP($A123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123" s="19">
        <f t="shared" si="16"/>
        <v>0</v>
      </c>
      <c r="S123" s="19">
        <f t="shared" si="16"/>
        <v>0</v>
      </c>
      <c r="T123" s="19">
        <f t="shared" si="16"/>
        <v>0</v>
      </c>
      <c r="U123" s="19">
        <f t="shared" si="16"/>
        <v>0</v>
      </c>
      <c r="V123" s="19">
        <f t="shared" si="16"/>
        <v>0</v>
      </c>
      <c r="W123" s="19">
        <f t="shared" si="16"/>
        <v>1</v>
      </c>
    </row>
    <row r="124" spans="1:23">
      <c r="A124" s="24" t="str">
        <f t="shared" si="9"/>
        <v>11103_3-4/29&lt;lv35&gt;s2</v>
      </c>
      <c r="B124" s="19">
        <f t="shared" ref="B124:Q139" si="17">VLOOKUP($A124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11103</v>
      </c>
      <c r="C124" s="19">
        <f t="shared" si="17"/>
        <v>3</v>
      </c>
      <c r="D124" s="19">
        <f t="shared" si="17"/>
        <v>4</v>
      </c>
      <c r="E124" s="19">
        <f t="shared" si="17"/>
        <v>29</v>
      </c>
      <c r="F124" s="19">
        <f t="shared" si="17"/>
        <v>35</v>
      </c>
      <c r="G124" s="19">
        <f t="shared" si="17"/>
        <v>1</v>
      </c>
      <c r="H124" s="19">
        <f t="shared" si="17"/>
        <v>1</v>
      </c>
      <c r="I124" s="19">
        <f t="shared" si="17"/>
        <v>0</v>
      </c>
      <c r="J124" s="19">
        <f t="shared" si="17"/>
        <v>0</v>
      </c>
      <c r="K124" s="19">
        <f t="shared" si="17"/>
        <v>0</v>
      </c>
      <c r="L124" s="19">
        <f t="shared" si="17"/>
        <v>100</v>
      </c>
      <c r="M124" s="19">
        <f t="shared" si="17"/>
        <v>0</v>
      </c>
      <c r="N124" s="19">
        <f t="shared" si="17"/>
        <v>2</v>
      </c>
      <c r="O124" s="19">
        <f t="shared" si="17"/>
        <v>29</v>
      </c>
      <c r="P124" s="19">
        <f t="shared" si="17"/>
        <v>1</v>
      </c>
      <c r="Q124" s="19">
        <f t="shared" si="17"/>
        <v>1</v>
      </c>
      <c r="R124" s="19">
        <f t="shared" si="16"/>
        <v>0</v>
      </c>
      <c r="S124" s="19">
        <f t="shared" si="16"/>
        <v>0</v>
      </c>
      <c r="T124" s="19">
        <f t="shared" si="16"/>
        <v>0</v>
      </c>
      <c r="U124" s="19">
        <f t="shared" si="16"/>
        <v>0</v>
      </c>
      <c r="V124" s="19">
        <f t="shared" si="16"/>
        <v>0</v>
      </c>
      <c r="W124" s="19">
        <f t="shared" si="16"/>
        <v>1</v>
      </c>
    </row>
    <row r="125" spans="1:23">
      <c r="A125" s="24" t="str">
        <f t="shared" si="9"/>
        <v>11103_3-4/340&lt;lv1&gt;s1</v>
      </c>
      <c r="B125" s="19">
        <f t="shared" si="17"/>
        <v>11103</v>
      </c>
      <c r="C125" s="19">
        <f t="shared" si="17"/>
        <v>3</v>
      </c>
      <c r="D125" s="19">
        <f t="shared" si="17"/>
        <v>4</v>
      </c>
      <c r="E125" s="19">
        <f t="shared" si="17"/>
        <v>340</v>
      </c>
      <c r="F125" s="19">
        <f t="shared" si="17"/>
        <v>1</v>
      </c>
      <c r="G125" s="19">
        <f t="shared" si="17"/>
        <v>1</v>
      </c>
      <c r="H125" s="19">
        <f t="shared" si="17"/>
        <v>1</v>
      </c>
      <c r="I125" s="19">
        <f t="shared" si="17"/>
        <v>0</v>
      </c>
      <c r="J125" s="19">
        <f t="shared" si="17"/>
        <v>0</v>
      </c>
      <c r="K125" s="19">
        <f t="shared" si="17"/>
        <v>0</v>
      </c>
      <c r="L125" s="19">
        <f t="shared" si="17"/>
        <v>30</v>
      </c>
      <c r="M125" s="19">
        <f t="shared" si="17"/>
        <v>0</v>
      </c>
      <c r="N125" s="19">
        <f t="shared" si="17"/>
        <v>1</v>
      </c>
      <c r="O125" s="19">
        <f t="shared" si="17"/>
        <v>340</v>
      </c>
      <c r="P125" s="19">
        <f t="shared" si="17"/>
        <v>1</v>
      </c>
      <c r="Q125" s="19">
        <f t="shared" si="17"/>
        <v>3</v>
      </c>
      <c r="R125" s="19">
        <f t="shared" si="16"/>
        <v>10</v>
      </c>
      <c r="S125" s="19">
        <f t="shared" si="16"/>
        <v>0</v>
      </c>
      <c r="T125" s="19">
        <f t="shared" si="16"/>
        <v>0</v>
      </c>
      <c r="U125" s="19">
        <f t="shared" si="16"/>
        <v>0</v>
      </c>
      <c r="V125" s="19">
        <f t="shared" si="16"/>
        <v>0</v>
      </c>
      <c r="W125" s="19">
        <f t="shared" si="16"/>
        <v>1</v>
      </c>
    </row>
    <row r="126" spans="1:23">
      <c r="A126" s="24" t="str">
        <f t="shared" si="9"/>
        <v>11103_3-4/341&lt;lv1&gt;s2</v>
      </c>
      <c r="B126" s="19">
        <f t="shared" si="17"/>
        <v>11103</v>
      </c>
      <c r="C126" s="19">
        <f t="shared" si="17"/>
        <v>3</v>
      </c>
      <c r="D126" s="19">
        <f t="shared" si="17"/>
        <v>4</v>
      </c>
      <c r="E126" s="19">
        <f t="shared" si="17"/>
        <v>341</v>
      </c>
      <c r="F126" s="19">
        <f t="shared" si="17"/>
        <v>1</v>
      </c>
      <c r="G126" s="19">
        <f t="shared" si="17"/>
        <v>1</v>
      </c>
      <c r="H126" s="19">
        <f t="shared" si="17"/>
        <v>1</v>
      </c>
      <c r="I126" s="19">
        <f t="shared" si="17"/>
        <v>0</v>
      </c>
      <c r="J126" s="19">
        <f t="shared" si="17"/>
        <v>0</v>
      </c>
      <c r="K126" s="19">
        <f t="shared" si="17"/>
        <v>0</v>
      </c>
      <c r="L126" s="19">
        <f t="shared" si="17"/>
        <v>30</v>
      </c>
      <c r="M126" s="19">
        <f t="shared" si="17"/>
        <v>0</v>
      </c>
      <c r="N126" s="19">
        <f t="shared" si="17"/>
        <v>2</v>
      </c>
      <c r="O126" s="19">
        <f t="shared" si="17"/>
        <v>341</v>
      </c>
      <c r="P126" s="19">
        <f t="shared" si="17"/>
        <v>1</v>
      </c>
      <c r="Q126" s="19">
        <f t="shared" si="17"/>
        <v>4</v>
      </c>
      <c r="R126" s="19">
        <f t="shared" si="16"/>
        <v>5</v>
      </c>
      <c r="S126" s="19">
        <f t="shared" si="16"/>
        <v>0</v>
      </c>
      <c r="T126" s="19">
        <f t="shared" si="16"/>
        <v>0</v>
      </c>
      <c r="U126" s="19">
        <f t="shared" si="16"/>
        <v>0</v>
      </c>
      <c r="V126" s="19">
        <f t="shared" si="16"/>
        <v>0</v>
      </c>
      <c r="W126" s="19">
        <f t="shared" si="16"/>
        <v>1</v>
      </c>
    </row>
    <row r="127" spans="1:23">
      <c r="A127" s="24" t="str">
        <f t="shared" si="9"/>
        <v>11103_3-5/111&lt;lv30&gt;s1</v>
      </c>
      <c r="B127" s="19">
        <f t="shared" si="17"/>
        <v>11103</v>
      </c>
      <c r="C127" s="19">
        <f t="shared" si="17"/>
        <v>3</v>
      </c>
      <c r="D127" s="19">
        <f t="shared" si="17"/>
        <v>5</v>
      </c>
      <c r="E127" s="19">
        <f t="shared" si="17"/>
        <v>111</v>
      </c>
      <c r="F127" s="19">
        <f t="shared" si="17"/>
        <v>30</v>
      </c>
      <c r="G127" s="19">
        <f t="shared" si="17"/>
        <v>2</v>
      </c>
      <c r="H127" s="19">
        <f t="shared" si="17"/>
        <v>1</v>
      </c>
      <c r="I127" s="19">
        <f t="shared" si="17"/>
        <v>0</v>
      </c>
      <c r="J127" s="19">
        <f t="shared" si="17"/>
        <v>0</v>
      </c>
      <c r="K127" s="19">
        <f t="shared" si="17"/>
        <v>1</v>
      </c>
      <c r="L127" s="19">
        <f t="shared" si="17"/>
        <v>100</v>
      </c>
      <c r="M127" s="19">
        <f t="shared" si="17"/>
        <v>1</v>
      </c>
      <c r="N127" s="19">
        <f t="shared" si="17"/>
        <v>1</v>
      </c>
      <c r="O127" s="19">
        <f t="shared" si="17"/>
        <v>111</v>
      </c>
      <c r="P127" s="19">
        <f t="shared" si="17"/>
        <v>1</v>
      </c>
      <c r="Q127" s="19">
        <f t="shared" si="17"/>
        <v>4</v>
      </c>
      <c r="R127" s="19">
        <f t="shared" si="16"/>
        <v>100</v>
      </c>
      <c r="S127" s="19">
        <f t="shared" si="16"/>
        <v>0</v>
      </c>
      <c r="T127" s="19">
        <f t="shared" si="16"/>
        <v>0</v>
      </c>
      <c r="U127" s="19">
        <f t="shared" si="16"/>
        <v>0</v>
      </c>
      <c r="V127" s="19">
        <f t="shared" si="16"/>
        <v>0</v>
      </c>
      <c r="W127" s="19">
        <f t="shared" si="16"/>
        <v>1</v>
      </c>
    </row>
    <row r="128" spans="1:23">
      <c r="A128" s="24" t="str">
        <f t="shared" si="9"/>
        <v>11103_3-5/130&lt;lv30&gt;s3</v>
      </c>
      <c r="B128" s="19">
        <f t="shared" si="17"/>
        <v>11103</v>
      </c>
      <c r="C128" s="19">
        <f t="shared" si="17"/>
        <v>3</v>
      </c>
      <c r="D128" s="19">
        <f t="shared" si="17"/>
        <v>5</v>
      </c>
      <c r="E128" s="19">
        <f t="shared" si="17"/>
        <v>130</v>
      </c>
      <c r="F128" s="19">
        <f t="shared" si="17"/>
        <v>30</v>
      </c>
      <c r="G128" s="19">
        <f t="shared" si="17"/>
        <v>1</v>
      </c>
      <c r="H128" s="19">
        <f t="shared" si="17"/>
        <v>1</v>
      </c>
      <c r="I128" s="19">
        <f t="shared" si="17"/>
        <v>0</v>
      </c>
      <c r="J128" s="19">
        <f t="shared" si="17"/>
        <v>130</v>
      </c>
      <c r="K128" s="19">
        <f t="shared" si="17"/>
        <v>0</v>
      </c>
      <c r="L128" s="19">
        <f t="shared" si="17"/>
        <v>100</v>
      </c>
      <c r="M128" s="19">
        <f t="shared" si="17"/>
        <v>1</v>
      </c>
      <c r="N128" s="19">
        <f t="shared" si="17"/>
        <v>3</v>
      </c>
      <c r="O128" s="19">
        <f t="shared" si="17"/>
        <v>130</v>
      </c>
      <c r="P128" s="19">
        <f t="shared" si="17"/>
        <v>1</v>
      </c>
      <c r="Q128" s="19">
        <f t="shared" si="17"/>
        <v>3</v>
      </c>
      <c r="R128" s="19">
        <f t="shared" si="16"/>
        <v>0</v>
      </c>
      <c r="S128" s="19">
        <f t="shared" si="16"/>
        <v>0</v>
      </c>
      <c r="T128" s="19">
        <f t="shared" si="16"/>
        <v>0</v>
      </c>
      <c r="U128" s="19">
        <f t="shared" si="16"/>
        <v>0</v>
      </c>
      <c r="V128" s="19">
        <f t="shared" si="16"/>
        <v>0</v>
      </c>
      <c r="W128" s="19">
        <f t="shared" si="16"/>
        <v>1</v>
      </c>
    </row>
    <row r="129" spans="1:23">
      <c r="A129" s="24" t="str">
        <f t="shared" si="9"/>
        <v>11103_3-5/138&lt;lv30&gt;s2</v>
      </c>
      <c r="B129" s="19">
        <f t="shared" si="17"/>
        <v>11103</v>
      </c>
      <c r="C129" s="19">
        <f t="shared" si="17"/>
        <v>3</v>
      </c>
      <c r="D129" s="19">
        <f t="shared" si="17"/>
        <v>5</v>
      </c>
      <c r="E129" s="19">
        <f t="shared" si="17"/>
        <v>138</v>
      </c>
      <c r="F129" s="19">
        <f t="shared" si="17"/>
        <v>30</v>
      </c>
      <c r="G129" s="19">
        <f t="shared" si="17"/>
        <v>1</v>
      </c>
      <c r="H129" s="19">
        <f t="shared" si="17"/>
        <v>1</v>
      </c>
      <c r="I129" s="19">
        <f t="shared" si="17"/>
        <v>0</v>
      </c>
      <c r="J129" s="19">
        <f t="shared" si="17"/>
        <v>0</v>
      </c>
      <c r="K129" s="19">
        <f t="shared" si="17"/>
        <v>0</v>
      </c>
      <c r="L129" s="19">
        <f t="shared" si="17"/>
        <v>100</v>
      </c>
      <c r="M129" s="19">
        <f t="shared" si="17"/>
        <v>1</v>
      </c>
      <c r="N129" s="19">
        <f t="shared" si="17"/>
        <v>2</v>
      </c>
      <c r="O129" s="19">
        <f t="shared" si="17"/>
        <v>138</v>
      </c>
      <c r="P129" s="19">
        <f t="shared" si="17"/>
        <v>1</v>
      </c>
      <c r="Q129" s="19">
        <f t="shared" si="17"/>
        <v>3</v>
      </c>
      <c r="R129" s="19">
        <f t="shared" si="16"/>
        <v>0</v>
      </c>
      <c r="S129" s="19">
        <f t="shared" si="16"/>
        <v>0</v>
      </c>
      <c r="T129" s="19">
        <f t="shared" si="16"/>
        <v>0</v>
      </c>
      <c r="U129" s="19">
        <f t="shared" si="16"/>
        <v>0</v>
      </c>
      <c r="V129" s="19">
        <f t="shared" si="16"/>
        <v>0</v>
      </c>
      <c r="W129" s="19">
        <f t="shared" si="16"/>
        <v>1</v>
      </c>
    </row>
    <row r="130" spans="1:23">
      <c r="A130" s="24" t="str">
        <f t="shared" si="9"/>
        <v>11103_3-5/146&lt;lv30&gt;s3</v>
      </c>
      <c r="B130" s="19">
        <f t="shared" si="17"/>
        <v>11103</v>
      </c>
      <c r="C130" s="19">
        <f t="shared" si="17"/>
        <v>3</v>
      </c>
      <c r="D130" s="19">
        <f t="shared" si="17"/>
        <v>5</v>
      </c>
      <c r="E130" s="19">
        <f t="shared" si="17"/>
        <v>146</v>
      </c>
      <c r="F130" s="19">
        <f t="shared" si="17"/>
        <v>30</v>
      </c>
      <c r="G130" s="19">
        <f t="shared" si="17"/>
        <v>1</v>
      </c>
      <c r="H130" s="19">
        <f t="shared" si="17"/>
        <v>1</v>
      </c>
      <c r="I130" s="19">
        <f t="shared" si="17"/>
        <v>0</v>
      </c>
      <c r="J130" s="19">
        <f t="shared" si="17"/>
        <v>146</v>
      </c>
      <c r="K130" s="19">
        <f t="shared" si="17"/>
        <v>0</v>
      </c>
      <c r="L130" s="19">
        <f t="shared" si="17"/>
        <v>100</v>
      </c>
      <c r="M130" s="19">
        <f t="shared" si="17"/>
        <v>1</v>
      </c>
      <c r="N130" s="19">
        <f t="shared" si="17"/>
        <v>3</v>
      </c>
      <c r="O130" s="19">
        <f t="shared" si="17"/>
        <v>146</v>
      </c>
      <c r="P130" s="19">
        <f t="shared" si="17"/>
        <v>1</v>
      </c>
      <c r="Q130" s="19">
        <f t="shared" si="17"/>
        <v>3</v>
      </c>
      <c r="R130" s="19">
        <f t="shared" si="16"/>
        <v>0</v>
      </c>
      <c r="S130" s="19">
        <f t="shared" si="16"/>
        <v>0</v>
      </c>
      <c r="T130" s="19">
        <f t="shared" si="16"/>
        <v>0</v>
      </c>
      <c r="U130" s="19">
        <f t="shared" si="16"/>
        <v>0</v>
      </c>
      <c r="V130" s="19">
        <f t="shared" si="16"/>
        <v>0</v>
      </c>
      <c r="W130" s="19">
        <f t="shared" si="16"/>
        <v>1</v>
      </c>
    </row>
    <row r="131" spans="1:23">
      <c r="A131" s="24" t="str">
        <f t="shared" si="9"/>
        <v>11103_3-5/154&lt;lv30&gt;s3</v>
      </c>
      <c r="B131" s="19">
        <f t="shared" si="17"/>
        <v>11103</v>
      </c>
      <c r="C131" s="19">
        <f t="shared" si="17"/>
        <v>3</v>
      </c>
      <c r="D131" s="19">
        <f t="shared" si="17"/>
        <v>5</v>
      </c>
      <c r="E131" s="19">
        <f t="shared" si="17"/>
        <v>154</v>
      </c>
      <c r="F131" s="19">
        <f t="shared" si="17"/>
        <v>30</v>
      </c>
      <c r="G131" s="19">
        <f t="shared" si="17"/>
        <v>1</v>
      </c>
      <c r="H131" s="19">
        <f t="shared" si="17"/>
        <v>1</v>
      </c>
      <c r="I131" s="19">
        <f t="shared" si="17"/>
        <v>0</v>
      </c>
      <c r="J131" s="19">
        <f t="shared" si="17"/>
        <v>154</v>
      </c>
      <c r="K131" s="19">
        <f t="shared" si="17"/>
        <v>0</v>
      </c>
      <c r="L131" s="19">
        <f t="shared" si="17"/>
        <v>100</v>
      </c>
      <c r="M131" s="19">
        <f t="shared" si="17"/>
        <v>1</v>
      </c>
      <c r="N131" s="19">
        <f t="shared" si="17"/>
        <v>3</v>
      </c>
      <c r="O131" s="19">
        <f t="shared" si="17"/>
        <v>154</v>
      </c>
      <c r="P131" s="19">
        <f t="shared" si="17"/>
        <v>1</v>
      </c>
      <c r="Q131" s="19">
        <f t="shared" si="17"/>
        <v>3</v>
      </c>
      <c r="R131" s="19">
        <f t="shared" si="16"/>
        <v>0</v>
      </c>
      <c r="S131" s="19">
        <f t="shared" si="16"/>
        <v>0</v>
      </c>
      <c r="T131" s="19">
        <f t="shared" si="16"/>
        <v>0</v>
      </c>
      <c r="U131" s="19">
        <f t="shared" si="16"/>
        <v>0</v>
      </c>
      <c r="V131" s="19">
        <f t="shared" si="16"/>
        <v>0</v>
      </c>
      <c r="W131" s="19">
        <f t="shared" si="16"/>
        <v>1</v>
      </c>
    </row>
    <row r="132" spans="1:23">
      <c r="A132" s="24" t="str">
        <f t="shared" ref="A132:A195" si="18">INDIRECT(ADDRESS(ROW()+$A$1,COLUMN(),1,TRUE,$C$1))</f>
        <v>11104_1-1/105&lt;lv3&gt;s1</v>
      </c>
      <c r="B132" s="19">
        <f t="shared" si="17"/>
        <v>11104</v>
      </c>
      <c r="C132" s="19">
        <f t="shared" si="17"/>
        <v>1</v>
      </c>
      <c r="D132" s="19">
        <f t="shared" si="17"/>
        <v>1</v>
      </c>
      <c r="E132" s="19">
        <f t="shared" si="17"/>
        <v>105</v>
      </c>
      <c r="F132" s="19">
        <f t="shared" si="17"/>
        <v>3</v>
      </c>
      <c r="G132" s="19">
        <f t="shared" si="17"/>
        <v>1</v>
      </c>
      <c r="H132" s="19">
        <f t="shared" si="17"/>
        <v>1</v>
      </c>
      <c r="I132" s="19">
        <f t="shared" si="17"/>
        <v>0</v>
      </c>
      <c r="J132" s="19">
        <f t="shared" si="17"/>
        <v>0</v>
      </c>
      <c r="K132" s="19">
        <f t="shared" si="17"/>
        <v>0</v>
      </c>
      <c r="L132" s="19">
        <f t="shared" si="17"/>
        <v>100</v>
      </c>
      <c r="M132" s="19">
        <f t="shared" si="17"/>
        <v>0</v>
      </c>
      <c r="N132" s="19">
        <f t="shared" si="17"/>
        <v>1</v>
      </c>
      <c r="O132" s="19">
        <f t="shared" si="17"/>
        <v>105</v>
      </c>
      <c r="P132" s="19">
        <f t="shared" si="17"/>
        <v>1</v>
      </c>
      <c r="Q132" s="19">
        <f t="shared" si="17"/>
        <v>2</v>
      </c>
      <c r="R132" s="19">
        <f t="shared" si="16"/>
        <v>50</v>
      </c>
      <c r="S132" s="19">
        <f t="shared" si="16"/>
        <v>0</v>
      </c>
      <c r="T132" s="19">
        <f t="shared" si="16"/>
        <v>0</v>
      </c>
      <c r="U132" s="19">
        <f t="shared" si="16"/>
        <v>0</v>
      </c>
      <c r="V132" s="19">
        <f t="shared" si="16"/>
        <v>0</v>
      </c>
      <c r="W132" s="19">
        <f t="shared" si="16"/>
        <v>1</v>
      </c>
    </row>
    <row r="133" spans="1:23">
      <c r="A133" s="24" t="str">
        <f t="shared" si="18"/>
        <v>11104_1-2/105&lt;lv3&gt;s1</v>
      </c>
      <c r="B133" s="19">
        <f t="shared" si="17"/>
        <v>11104</v>
      </c>
      <c r="C133" s="19">
        <f t="shared" si="17"/>
        <v>1</v>
      </c>
      <c r="D133" s="19">
        <f t="shared" si="17"/>
        <v>2</v>
      </c>
      <c r="E133" s="19">
        <f t="shared" si="17"/>
        <v>105</v>
      </c>
      <c r="F133" s="19">
        <f t="shared" si="17"/>
        <v>3</v>
      </c>
      <c r="G133" s="19">
        <f t="shared" si="17"/>
        <v>1</v>
      </c>
      <c r="H133" s="19">
        <f t="shared" si="17"/>
        <v>1</v>
      </c>
      <c r="I133" s="19">
        <f t="shared" si="17"/>
        <v>0</v>
      </c>
      <c r="J133" s="19">
        <f t="shared" si="17"/>
        <v>0</v>
      </c>
      <c r="K133" s="19">
        <f t="shared" si="17"/>
        <v>0</v>
      </c>
      <c r="L133" s="19">
        <f t="shared" si="17"/>
        <v>100</v>
      </c>
      <c r="M133" s="19">
        <f t="shared" si="17"/>
        <v>0</v>
      </c>
      <c r="N133" s="19">
        <f t="shared" si="17"/>
        <v>1</v>
      </c>
      <c r="O133" s="19">
        <f t="shared" si="17"/>
        <v>105</v>
      </c>
      <c r="P133" s="19">
        <f t="shared" si="17"/>
        <v>1</v>
      </c>
      <c r="Q133" s="19">
        <f t="shared" si="17"/>
        <v>2</v>
      </c>
      <c r="R133" s="19">
        <f t="shared" si="16"/>
        <v>50</v>
      </c>
      <c r="S133" s="19">
        <f t="shared" si="16"/>
        <v>0</v>
      </c>
      <c r="T133" s="19">
        <f t="shared" si="16"/>
        <v>0</v>
      </c>
      <c r="U133" s="19">
        <f t="shared" si="16"/>
        <v>0</v>
      </c>
      <c r="V133" s="19">
        <f t="shared" si="16"/>
        <v>0</v>
      </c>
      <c r="W133" s="19">
        <f t="shared" si="16"/>
        <v>1</v>
      </c>
    </row>
    <row r="134" spans="1:23">
      <c r="A134" s="24" t="str">
        <f t="shared" si="18"/>
        <v>11104_1-3/105&lt;lv3&gt;s1</v>
      </c>
      <c r="B134" s="19">
        <f t="shared" si="17"/>
        <v>11104</v>
      </c>
      <c r="C134" s="19">
        <f t="shared" si="17"/>
        <v>1</v>
      </c>
      <c r="D134" s="19">
        <f t="shared" si="17"/>
        <v>3</v>
      </c>
      <c r="E134" s="19">
        <f t="shared" si="17"/>
        <v>105</v>
      </c>
      <c r="F134" s="19">
        <f t="shared" si="17"/>
        <v>3</v>
      </c>
      <c r="G134" s="19">
        <f t="shared" si="17"/>
        <v>1</v>
      </c>
      <c r="H134" s="19">
        <f t="shared" si="17"/>
        <v>1</v>
      </c>
      <c r="I134" s="19">
        <f t="shared" si="17"/>
        <v>0</v>
      </c>
      <c r="J134" s="19">
        <f t="shared" si="17"/>
        <v>0</v>
      </c>
      <c r="K134" s="19">
        <f t="shared" si="17"/>
        <v>0</v>
      </c>
      <c r="L134" s="19">
        <f t="shared" si="17"/>
        <v>100</v>
      </c>
      <c r="M134" s="19">
        <f t="shared" si="17"/>
        <v>0</v>
      </c>
      <c r="N134" s="19">
        <f t="shared" si="17"/>
        <v>1</v>
      </c>
      <c r="O134" s="19">
        <f t="shared" si="17"/>
        <v>105</v>
      </c>
      <c r="P134" s="19">
        <f t="shared" si="17"/>
        <v>1</v>
      </c>
      <c r="Q134" s="19">
        <f t="shared" si="17"/>
        <v>2</v>
      </c>
      <c r="R134" s="19">
        <f t="shared" si="16"/>
        <v>50</v>
      </c>
      <c r="S134" s="19">
        <f t="shared" si="16"/>
        <v>0</v>
      </c>
      <c r="T134" s="19">
        <f t="shared" si="16"/>
        <v>0</v>
      </c>
      <c r="U134" s="19">
        <f t="shared" si="16"/>
        <v>0</v>
      </c>
      <c r="V134" s="19">
        <f t="shared" si="16"/>
        <v>0</v>
      </c>
      <c r="W134" s="19">
        <f t="shared" si="16"/>
        <v>1</v>
      </c>
    </row>
    <row r="135" spans="1:23">
      <c r="A135" s="24" t="str">
        <f t="shared" si="18"/>
        <v>11104_1-3/106&lt;lv3&gt;s2</v>
      </c>
      <c r="B135" s="19">
        <f t="shared" si="17"/>
        <v>11104</v>
      </c>
      <c r="C135" s="19">
        <f t="shared" si="17"/>
        <v>1</v>
      </c>
      <c r="D135" s="19">
        <f t="shared" si="17"/>
        <v>3</v>
      </c>
      <c r="E135" s="19">
        <f t="shared" si="17"/>
        <v>106</v>
      </c>
      <c r="F135" s="19">
        <f t="shared" si="17"/>
        <v>3</v>
      </c>
      <c r="G135" s="19">
        <f t="shared" si="17"/>
        <v>1.8</v>
      </c>
      <c r="H135" s="19">
        <f t="shared" si="17"/>
        <v>1</v>
      </c>
      <c r="I135" s="19">
        <f t="shared" si="17"/>
        <v>0</v>
      </c>
      <c r="J135" s="19">
        <f t="shared" si="17"/>
        <v>0</v>
      </c>
      <c r="K135" s="19">
        <f t="shared" si="17"/>
        <v>0</v>
      </c>
      <c r="L135" s="19">
        <f t="shared" si="17"/>
        <v>40</v>
      </c>
      <c r="M135" s="19">
        <f t="shared" si="17"/>
        <v>0</v>
      </c>
      <c r="N135" s="19">
        <f t="shared" si="17"/>
        <v>2</v>
      </c>
      <c r="O135" s="19">
        <f t="shared" si="17"/>
        <v>106</v>
      </c>
      <c r="P135" s="19">
        <f t="shared" si="17"/>
        <v>1</v>
      </c>
      <c r="Q135" s="19">
        <f t="shared" si="17"/>
        <v>3</v>
      </c>
      <c r="R135" s="19">
        <f t="shared" si="16"/>
        <v>10</v>
      </c>
      <c r="S135" s="19">
        <f t="shared" si="16"/>
        <v>0</v>
      </c>
      <c r="T135" s="19">
        <f t="shared" si="16"/>
        <v>0</v>
      </c>
      <c r="U135" s="19">
        <f t="shared" si="16"/>
        <v>0</v>
      </c>
      <c r="V135" s="19">
        <f t="shared" si="16"/>
        <v>0</v>
      </c>
      <c r="W135" s="19">
        <f t="shared" si="16"/>
        <v>1</v>
      </c>
    </row>
    <row r="136" spans="1:23">
      <c r="A136" s="24" t="str">
        <f t="shared" si="18"/>
        <v>11104_1-4/105&lt;lv3&gt;s1</v>
      </c>
      <c r="B136" s="19">
        <f t="shared" si="17"/>
        <v>11104</v>
      </c>
      <c r="C136" s="19">
        <f t="shared" si="17"/>
        <v>1</v>
      </c>
      <c r="D136" s="19">
        <f t="shared" si="17"/>
        <v>4</v>
      </c>
      <c r="E136" s="19">
        <f t="shared" si="17"/>
        <v>105</v>
      </c>
      <c r="F136" s="19">
        <f t="shared" si="17"/>
        <v>3</v>
      </c>
      <c r="G136" s="19">
        <f t="shared" si="17"/>
        <v>1</v>
      </c>
      <c r="H136" s="19">
        <f t="shared" si="17"/>
        <v>1</v>
      </c>
      <c r="I136" s="19">
        <f t="shared" si="17"/>
        <v>0</v>
      </c>
      <c r="J136" s="19">
        <f t="shared" si="17"/>
        <v>0</v>
      </c>
      <c r="K136" s="19">
        <f t="shared" si="17"/>
        <v>0</v>
      </c>
      <c r="L136" s="19">
        <f t="shared" si="17"/>
        <v>100</v>
      </c>
      <c r="M136" s="19">
        <f t="shared" si="17"/>
        <v>0</v>
      </c>
      <c r="N136" s="19">
        <f t="shared" si="17"/>
        <v>1</v>
      </c>
      <c r="O136" s="19">
        <f t="shared" si="17"/>
        <v>105</v>
      </c>
      <c r="P136" s="19">
        <f t="shared" si="17"/>
        <v>1</v>
      </c>
      <c r="Q136" s="19">
        <f t="shared" si="17"/>
        <v>2</v>
      </c>
      <c r="R136" s="19">
        <f t="shared" si="16"/>
        <v>50</v>
      </c>
      <c r="S136" s="19">
        <f t="shared" si="16"/>
        <v>0</v>
      </c>
      <c r="T136" s="19">
        <f t="shared" si="16"/>
        <v>0</v>
      </c>
      <c r="U136" s="19">
        <f t="shared" si="16"/>
        <v>0</v>
      </c>
      <c r="V136" s="19">
        <f t="shared" si="16"/>
        <v>0</v>
      </c>
      <c r="W136" s="19">
        <f t="shared" si="16"/>
        <v>1</v>
      </c>
    </row>
    <row r="137" spans="1:23">
      <c r="A137" s="24" t="str">
        <f t="shared" si="18"/>
        <v>11104_1-4/106&lt;lv3&gt;s2</v>
      </c>
      <c r="B137" s="19">
        <f t="shared" si="17"/>
        <v>11104</v>
      </c>
      <c r="C137" s="19">
        <f t="shared" si="17"/>
        <v>1</v>
      </c>
      <c r="D137" s="19">
        <f t="shared" si="17"/>
        <v>4</v>
      </c>
      <c r="E137" s="19">
        <f t="shared" si="17"/>
        <v>106</v>
      </c>
      <c r="F137" s="19">
        <f t="shared" si="17"/>
        <v>3</v>
      </c>
      <c r="G137" s="19">
        <f t="shared" si="17"/>
        <v>1.8</v>
      </c>
      <c r="H137" s="19">
        <f t="shared" si="17"/>
        <v>1</v>
      </c>
      <c r="I137" s="19">
        <f t="shared" si="17"/>
        <v>0</v>
      </c>
      <c r="J137" s="19">
        <f t="shared" si="17"/>
        <v>0</v>
      </c>
      <c r="K137" s="19">
        <f t="shared" si="17"/>
        <v>0</v>
      </c>
      <c r="L137" s="19">
        <f t="shared" si="17"/>
        <v>40</v>
      </c>
      <c r="M137" s="19">
        <f t="shared" si="17"/>
        <v>0</v>
      </c>
      <c r="N137" s="19">
        <f t="shared" si="17"/>
        <v>2</v>
      </c>
      <c r="O137" s="19">
        <f t="shared" si="17"/>
        <v>106</v>
      </c>
      <c r="P137" s="19">
        <f t="shared" si="17"/>
        <v>1</v>
      </c>
      <c r="Q137" s="19">
        <f t="shared" si="17"/>
        <v>3</v>
      </c>
      <c r="R137" s="19">
        <f t="shared" si="16"/>
        <v>20</v>
      </c>
      <c r="S137" s="19">
        <f t="shared" si="16"/>
        <v>0</v>
      </c>
      <c r="T137" s="19">
        <f t="shared" si="16"/>
        <v>0</v>
      </c>
      <c r="U137" s="19">
        <f t="shared" si="16"/>
        <v>0</v>
      </c>
      <c r="V137" s="19">
        <f t="shared" si="16"/>
        <v>0</v>
      </c>
      <c r="W137" s="19">
        <f t="shared" si="16"/>
        <v>1</v>
      </c>
    </row>
    <row r="138" spans="1:23">
      <c r="A138" s="24" t="str">
        <f t="shared" si="18"/>
        <v>11104_1-5/105&lt;lv3&gt;s1</v>
      </c>
      <c r="B138" s="19">
        <f t="shared" si="17"/>
        <v>11104</v>
      </c>
      <c r="C138" s="19">
        <f t="shared" si="17"/>
        <v>1</v>
      </c>
      <c r="D138" s="19">
        <f t="shared" si="17"/>
        <v>5</v>
      </c>
      <c r="E138" s="19">
        <f t="shared" si="17"/>
        <v>105</v>
      </c>
      <c r="F138" s="19">
        <f t="shared" si="17"/>
        <v>3</v>
      </c>
      <c r="G138" s="19">
        <f t="shared" si="17"/>
        <v>1</v>
      </c>
      <c r="H138" s="19">
        <f t="shared" si="17"/>
        <v>1</v>
      </c>
      <c r="I138" s="19">
        <f t="shared" si="17"/>
        <v>0</v>
      </c>
      <c r="J138" s="19">
        <f t="shared" si="17"/>
        <v>0</v>
      </c>
      <c r="K138" s="19">
        <f t="shared" si="17"/>
        <v>2</v>
      </c>
      <c r="L138" s="19">
        <f t="shared" si="17"/>
        <v>100</v>
      </c>
      <c r="M138" s="19">
        <f t="shared" si="17"/>
        <v>0</v>
      </c>
      <c r="N138" s="19">
        <f t="shared" si="17"/>
        <v>1</v>
      </c>
      <c r="O138" s="19">
        <f t="shared" si="17"/>
        <v>105</v>
      </c>
      <c r="P138" s="19">
        <f t="shared" si="17"/>
        <v>1</v>
      </c>
      <c r="Q138" s="19">
        <f t="shared" si="17"/>
        <v>2</v>
      </c>
      <c r="R138" s="19">
        <f t="shared" si="16"/>
        <v>50</v>
      </c>
      <c r="S138" s="19">
        <f t="shared" si="16"/>
        <v>0</v>
      </c>
      <c r="T138" s="19">
        <f t="shared" si="16"/>
        <v>0</v>
      </c>
      <c r="U138" s="19">
        <f t="shared" si="16"/>
        <v>0</v>
      </c>
      <c r="V138" s="19">
        <f t="shared" si="16"/>
        <v>0</v>
      </c>
      <c r="W138" s="19">
        <f t="shared" si="16"/>
        <v>1</v>
      </c>
    </row>
    <row r="139" spans="1:23">
      <c r="A139" s="24" t="str">
        <f t="shared" si="18"/>
        <v>11104_1-5/106&lt;lv5&gt;s2</v>
      </c>
      <c r="B139" s="19">
        <f t="shared" si="17"/>
        <v>11104</v>
      </c>
      <c r="C139" s="19">
        <f t="shared" si="17"/>
        <v>1</v>
      </c>
      <c r="D139" s="19">
        <f t="shared" si="17"/>
        <v>5</v>
      </c>
      <c r="E139" s="19">
        <f t="shared" si="17"/>
        <v>106</v>
      </c>
      <c r="F139" s="19">
        <f t="shared" si="17"/>
        <v>5</v>
      </c>
      <c r="G139" s="19">
        <f t="shared" si="17"/>
        <v>1.8</v>
      </c>
      <c r="H139" s="19">
        <f t="shared" si="17"/>
        <v>1</v>
      </c>
      <c r="I139" s="19">
        <f t="shared" si="17"/>
        <v>0</v>
      </c>
      <c r="J139" s="19">
        <f t="shared" si="17"/>
        <v>0</v>
      </c>
      <c r="K139" s="19">
        <f t="shared" si="17"/>
        <v>1</v>
      </c>
      <c r="L139" s="19">
        <f t="shared" si="17"/>
        <v>100</v>
      </c>
      <c r="M139" s="19">
        <f t="shared" si="17"/>
        <v>1</v>
      </c>
      <c r="N139" s="19">
        <f t="shared" si="17"/>
        <v>2</v>
      </c>
      <c r="O139" s="19">
        <f t="shared" si="17"/>
        <v>106</v>
      </c>
      <c r="P139" s="19">
        <f t="shared" si="17"/>
        <v>1</v>
      </c>
      <c r="Q139" s="19">
        <f t="shared" ref="Q139:W154" si="19">VLOOKUP($A139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3</v>
      </c>
      <c r="R139" s="19">
        <f t="shared" si="19"/>
        <v>10</v>
      </c>
      <c r="S139" s="19">
        <f t="shared" si="19"/>
        <v>0</v>
      </c>
      <c r="T139" s="19">
        <f t="shared" si="19"/>
        <v>0</v>
      </c>
      <c r="U139" s="19">
        <f t="shared" si="19"/>
        <v>0</v>
      </c>
      <c r="V139" s="19">
        <f t="shared" si="19"/>
        <v>0</v>
      </c>
      <c r="W139" s="19">
        <f t="shared" si="19"/>
        <v>1</v>
      </c>
    </row>
    <row r="140" spans="1:23">
      <c r="A140" s="24" t="str">
        <f t="shared" si="18"/>
        <v>11104_2-1/106&lt;lv15&gt;s2</v>
      </c>
      <c r="B140" s="19">
        <f t="shared" ref="B140:Q155" si="20">VLOOKUP($A140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11104</v>
      </c>
      <c r="C140" s="19">
        <f t="shared" si="20"/>
        <v>2</v>
      </c>
      <c r="D140" s="19">
        <f t="shared" si="20"/>
        <v>1</v>
      </c>
      <c r="E140" s="19">
        <f t="shared" si="20"/>
        <v>106</v>
      </c>
      <c r="F140" s="19">
        <f t="shared" si="20"/>
        <v>15</v>
      </c>
      <c r="G140" s="19">
        <f t="shared" si="20"/>
        <v>1.8</v>
      </c>
      <c r="H140" s="19">
        <f t="shared" si="20"/>
        <v>1</v>
      </c>
      <c r="I140" s="19">
        <f t="shared" si="20"/>
        <v>0</v>
      </c>
      <c r="J140" s="19">
        <f t="shared" si="20"/>
        <v>0</v>
      </c>
      <c r="K140" s="19">
        <f t="shared" si="20"/>
        <v>0</v>
      </c>
      <c r="L140" s="19">
        <f t="shared" si="20"/>
        <v>100</v>
      </c>
      <c r="M140" s="19">
        <f t="shared" si="20"/>
        <v>0</v>
      </c>
      <c r="N140" s="19">
        <f t="shared" si="20"/>
        <v>2</v>
      </c>
      <c r="O140" s="19">
        <f t="shared" si="20"/>
        <v>106</v>
      </c>
      <c r="P140" s="19">
        <f t="shared" si="20"/>
        <v>1</v>
      </c>
      <c r="Q140" s="19">
        <f t="shared" si="20"/>
        <v>3</v>
      </c>
      <c r="R140" s="19">
        <f t="shared" si="19"/>
        <v>30</v>
      </c>
      <c r="S140" s="19">
        <f t="shared" si="19"/>
        <v>0</v>
      </c>
      <c r="T140" s="19">
        <f t="shared" si="19"/>
        <v>0</v>
      </c>
      <c r="U140" s="19">
        <f t="shared" si="19"/>
        <v>0</v>
      </c>
      <c r="V140" s="19">
        <f t="shared" si="19"/>
        <v>0</v>
      </c>
      <c r="W140" s="19">
        <f t="shared" si="19"/>
        <v>1</v>
      </c>
    </row>
    <row r="141" spans="1:23">
      <c r="A141" s="24" t="str">
        <f t="shared" si="18"/>
        <v>11104_2-2/106&lt;lv15&gt;s2</v>
      </c>
      <c r="B141" s="19">
        <f t="shared" si="20"/>
        <v>11104</v>
      </c>
      <c r="C141" s="19">
        <f t="shared" si="20"/>
        <v>2</v>
      </c>
      <c r="D141" s="19">
        <f t="shared" si="20"/>
        <v>2</v>
      </c>
      <c r="E141" s="19">
        <f t="shared" si="20"/>
        <v>106</v>
      </c>
      <c r="F141" s="19">
        <f t="shared" si="20"/>
        <v>15</v>
      </c>
      <c r="G141" s="19">
        <f t="shared" si="20"/>
        <v>1.8</v>
      </c>
      <c r="H141" s="19">
        <f t="shared" si="20"/>
        <v>1</v>
      </c>
      <c r="I141" s="19">
        <f t="shared" si="20"/>
        <v>0</v>
      </c>
      <c r="J141" s="19">
        <f t="shared" si="20"/>
        <v>0</v>
      </c>
      <c r="K141" s="19">
        <f t="shared" si="20"/>
        <v>0</v>
      </c>
      <c r="L141" s="19">
        <f t="shared" si="20"/>
        <v>100</v>
      </c>
      <c r="M141" s="19">
        <f t="shared" si="20"/>
        <v>0</v>
      </c>
      <c r="N141" s="19">
        <f t="shared" si="20"/>
        <v>2</v>
      </c>
      <c r="O141" s="19">
        <f t="shared" si="20"/>
        <v>106</v>
      </c>
      <c r="P141" s="19">
        <f t="shared" si="20"/>
        <v>1</v>
      </c>
      <c r="Q141" s="19">
        <f t="shared" si="20"/>
        <v>3</v>
      </c>
      <c r="R141" s="19">
        <f t="shared" si="19"/>
        <v>30</v>
      </c>
      <c r="S141" s="19">
        <f t="shared" si="19"/>
        <v>0</v>
      </c>
      <c r="T141" s="19">
        <f t="shared" si="19"/>
        <v>0</v>
      </c>
      <c r="U141" s="19">
        <f t="shared" si="19"/>
        <v>0</v>
      </c>
      <c r="V141" s="19">
        <f t="shared" si="19"/>
        <v>0</v>
      </c>
      <c r="W141" s="19">
        <f t="shared" si="19"/>
        <v>1</v>
      </c>
    </row>
    <row r="142" spans="1:23">
      <c r="A142" s="24" t="str">
        <f t="shared" si="18"/>
        <v>11104_2-3/106&lt;lv15&gt;s2</v>
      </c>
      <c r="B142" s="19">
        <f t="shared" si="20"/>
        <v>11104</v>
      </c>
      <c r="C142" s="19">
        <f t="shared" si="20"/>
        <v>2</v>
      </c>
      <c r="D142" s="19">
        <f t="shared" si="20"/>
        <v>3</v>
      </c>
      <c r="E142" s="19">
        <f t="shared" si="20"/>
        <v>106</v>
      </c>
      <c r="F142" s="19">
        <f t="shared" si="20"/>
        <v>15</v>
      </c>
      <c r="G142" s="19">
        <f t="shared" si="20"/>
        <v>1.8</v>
      </c>
      <c r="H142" s="19">
        <f t="shared" si="20"/>
        <v>1</v>
      </c>
      <c r="I142" s="19">
        <f t="shared" si="20"/>
        <v>0</v>
      </c>
      <c r="J142" s="19">
        <f t="shared" si="20"/>
        <v>0</v>
      </c>
      <c r="K142" s="19">
        <f t="shared" si="20"/>
        <v>0</v>
      </c>
      <c r="L142" s="19">
        <f t="shared" si="20"/>
        <v>100</v>
      </c>
      <c r="M142" s="19">
        <f t="shared" si="20"/>
        <v>0</v>
      </c>
      <c r="N142" s="19">
        <f t="shared" si="20"/>
        <v>2</v>
      </c>
      <c r="O142" s="19">
        <f t="shared" si="20"/>
        <v>106</v>
      </c>
      <c r="P142" s="19">
        <f t="shared" si="20"/>
        <v>1</v>
      </c>
      <c r="Q142" s="19">
        <f t="shared" si="20"/>
        <v>3</v>
      </c>
      <c r="R142" s="19">
        <f t="shared" si="19"/>
        <v>30</v>
      </c>
      <c r="S142" s="19">
        <f t="shared" si="19"/>
        <v>0</v>
      </c>
      <c r="T142" s="19">
        <f t="shared" si="19"/>
        <v>0</v>
      </c>
      <c r="U142" s="19">
        <f t="shared" si="19"/>
        <v>0</v>
      </c>
      <c r="V142" s="19">
        <f t="shared" si="19"/>
        <v>0</v>
      </c>
      <c r="W142" s="19">
        <f t="shared" si="19"/>
        <v>1</v>
      </c>
    </row>
    <row r="143" spans="1:23">
      <c r="A143" s="24" t="str">
        <f t="shared" si="18"/>
        <v>11104_2-3/107&lt;lv15&gt;s1</v>
      </c>
      <c r="B143" s="19">
        <f t="shared" si="20"/>
        <v>11104</v>
      </c>
      <c r="C143" s="19">
        <f t="shared" si="20"/>
        <v>2</v>
      </c>
      <c r="D143" s="19">
        <f t="shared" si="20"/>
        <v>3</v>
      </c>
      <c r="E143" s="19">
        <f t="shared" si="20"/>
        <v>107</v>
      </c>
      <c r="F143" s="19">
        <f t="shared" si="20"/>
        <v>15</v>
      </c>
      <c r="G143" s="19">
        <f t="shared" si="20"/>
        <v>2</v>
      </c>
      <c r="H143" s="19">
        <f t="shared" si="20"/>
        <v>1</v>
      </c>
      <c r="I143" s="19">
        <f t="shared" si="20"/>
        <v>0</v>
      </c>
      <c r="J143" s="19">
        <f t="shared" si="20"/>
        <v>0</v>
      </c>
      <c r="K143" s="19">
        <f t="shared" si="20"/>
        <v>0</v>
      </c>
      <c r="L143" s="19">
        <f t="shared" si="20"/>
        <v>25</v>
      </c>
      <c r="M143" s="19">
        <f t="shared" si="20"/>
        <v>0</v>
      </c>
      <c r="N143" s="19">
        <f t="shared" si="20"/>
        <v>1</v>
      </c>
      <c r="O143" s="19">
        <f t="shared" si="20"/>
        <v>107</v>
      </c>
      <c r="P143" s="19">
        <f t="shared" si="20"/>
        <v>1</v>
      </c>
      <c r="Q143" s="19">
        <f t="shared" si="20"/>
        <v>4</v>
      </c>
      <c r="R143" s="19">
        <f t="shared" si="19"/>
        <v>5</v>
      </c>
      <c r="S143" s="19">
        <f t="shared" si="19"/>
        <v>0</v>
      </c>
      <c r="T143" s="19">
        <f t="shared" si="19"/>
        <v>0</v>
      </c>
      <c r="U143" s="19">
        <f t="shared" si="19"/>
        <v>0</v>
      </c>
      <c r="V143" s="19">
        <f t="shared" si="19"/>
        <v>0</v>
      </c>
      <c r="W143" s="19">
        <f t="shared" si="19"/>
        <v>1</v>
      </c>
    </row>
    <row r="144" spans="1:23">
      <c r="A144" s="24" t="str">
        <f t="shared" si="18"/>
        <v>11104_2-4/106&lt;lv15&gt;s2</v>
      </c>
      <c r="B144" s="19">
        <f t="shared" si="20"/>
        <v>11104</v>
      </c>
      <c r="C144" s="19">
        <f t="shared" si="20"/>
        <v>2</v>
      </c>
      <c r="D144" s="19">
        <f t="shared" si="20"/>
        <v>4</v>
      </c>
      <c r="E144" s="19">
        <f t="shared" si="20"/>
        <v>106</v>
      </c>
      <c r="F144" s="19">
        <f t="shared" si="20"/>
        <v>15</v>
      </c>
      <c r="G144" s="19">
        <f t="shared" si="20"/>
        <v>1.8</v>
      </c>
      <c r="H144" s="19">
        <f t="shared" si="20"/>
        <v>1</v>
      </c>
      <c r="I144" s="19">
        <f t="shared" si="20"/>
        <v>0</v>
      </c>
      <c r="J144" s="19">
        <f t="shared" si="20"/>
        <v>0</v>
      </c>
      <c r="K144" s="19">
        <f t="shared" si="20"/>
        <v>0</v>
      </c>
      <c r="L144" s="19">
        <f t="shared" si="20"/>
        <v>100</v>
      </c>
      <c r="M144" s="19">
        <f t="shared" si="20"/>
        <v>0</v>
      </c>
      <c r="N144" s="19">
        <f t="shared" si="20"/>
        <v>2</v>
      </c>
      <c r="O144" s="19">
        <f t="shared" si="20"/>
        <v>106</v>
      </c>
      <c r="P144" s="19">
        <f t="shared" si="20"/>
        <v>1</v>
      </c>
      <c r="Q144" s="19">
        <f t="shared" si="20"/>
        <v>3</v>
      </c>
      <c r="R144" s="19">
        <f t="shared" si="19"/>
        <v>30</v>
      </c>
      <c r="S144" s="19">
        <f t="shared" si="19"/>
        <v>0</v>
      </c>
      <c r="T144" s="19">
        <f t="shared" si="19"/>
        <v>0</v>
      </c>
      <c r="U144" s="19">
        <f t="shared" si="19"/>
        <v>0</v>
      </c>
      <c r="V144" s="19">
        <f t="shared" si="19"/>
        <v>0</v>
      </c>
      <c r="W144" s="19">
        <f t="shared" si="19"/>
        <v>1</v>
      </c>
    </row>
    <row r="145" spans="1:23">
      <c r="A145" s="24" t="str">
        <f t="shared" si="18"/>
        <v>11104_2-4/107&lt;lv15&gt;s1</v>
      </c>
      <c r="B145" s="19">
        <f t="shared" si="20"/>
        <v>11104</v>
      </c>
      <c r="C145" s="19">
        <f t="shared" si="20"/>
        <v>2</v>
      </c>
      <c r="D145" s="19">
        <f t="shared" si="20"/>
        <v>4</v>
      </c>
      <c r="E145" s="19">
        <f t="shared" si="20"/>
        <v>107</v>
      </c>
      <c r="F145" s="19">
        <f t="shared" si="20"/>
        <v>15</v>
      </c>
      <c r="G145" s="19">
        <f t="shared" si="20"/>
        <v>2</v>
      </c>
      <c r="H145" s="19">
        <f t="shared" si="20"/>
        <v>1</v>
      </c>
      <c r="I145" s="19">
        <f t="shared" si="20"/>
        <v>0</v>
      </c>
      <c r="J145" s="19">
        <f t="shared" si="20"/>
        <v>0</v>
      </c>
      <c r="K145" s="19">
        <f t="shared" si="20"/>
        <v>0</v>
      </c>
      <c r="L145" s="19">
        <f t="shared" si="20"/>
        <v>25</v>
      </c>
      <c r="M145" s="19">
        <f t="shared" si="20"/>
        <v>0</v>
      </c>
      <c r="N145" s="19">
        <f t="shared" si="20"/>
        <v>1</v>
      </c>
      <c r="O145" s="19">
        <f t="shared" si="20"/>
        <v>107</v>
      </c>
      <c r="P145" s="19">
        <f t="shared" si="20"/>
        <v>1</v>
      </c>
      <c r="Q145" s="19">
        <f t="shared" si="20"/>
        <v>4</v>
      </c>
      <c r="R145" s="19">
        <f t="shared" si="19"/>
        <v>5</v>
      </c>
      <c r="S145" s="19">
        <f t="shared" si="19"/>
        <v>0</v>
      </c>
      <c r="T145" s="19">
        <f t="shared" si="19"/>
        <v>0</v>
      </c>
      <c r="U145" s="19">
        <f t="shared" si="19"/>
        <v>0</v>
      </c>
      <c r="V145" s="19">
        <f t="shared" si="19"/>
        <v>0</v>
      </c>
      <c r="W145" s="19">
        <f t="shared" si="19"/>
        <v>1</v>
      </c>
    </row>
    <row r="146" spans="1:23">
      <c r="A146" s="24" t="str">
        <f t="shared" si="18"/>
        <v>11104_2-5/106&lt;lv15&gt;s2</v>
      </c>
      <c r="B146" s="19">
        <f t="shared" si="20"/>
        <v>11104</v>
      </c>
      <c r="C146" s="19">
        <f t="shared" si="20"/>
        <v>2</v>
      </c>
      <c r="D146" s="19">
        <f t="shared" si="20"/>
        <v>5</v>
      </c>
      <c r="E146" s="19">
        <f t="shared" si="20"/>
        <v>106</v>
      </c>
      <c r="F146" s="19">
        <f t="shared" si="20"/>
        <v>15</v>
      </c>
      <c r="G146" s="19">
        <f t="shared" si="20"/>
        <v>1.8</v>
      </c>
      <c r="H146" s="19">
        <f t="shared" si="20"/>
        <v>1</v>
      </c>
      <c r="I146" s="19">
        <f t="shared" si="20"/>
        <v>0</v>
      </c>
      <c r="J146" s="19">
        <f t="shared" si="20"/>
        <v>0</v>
      </c>
      <c r="K146" s="19">
        <f t="shared" si="20"/>
        <v>2</v>
      </c>
      <c r="L146" s="19">
        <f t="shared" si="20"/>
        <v>100</v>
      </c>
      <c r="M146" s="19">
        <f t="shared" si="20"/>
        <v>0</v>
      </c>
      <c r="N146" s="19">
        <f t="shared" si="20"/>
        <v>2</v>
      </c>
      <c r="O146" s="19">
        <f t="shared" si="20"/>
        <v>106</v>
      </c>
      <c r="P146" s="19">
        <f t="shared" si="20"/>
        <v>1</v>
      </c>
      <c r="Q146" s="19">
        <f t="shared" si="20"/>
        <v>3</v>
      </c>
      <c r="R146" s="19">
        <f t="shared" si="19"/>
        <v>30</v>
      </c>
      <c r="S146" s="19">
        <f t="shared" si="19"/>
        <v>0</v>
      </c>
      <c r="T146" s="19">
        <f t="shared" si="19"/>
        <v>0</v>
      </c>
      <c r="U146" s="19">
        <f t="shared" si="19"/>
        <v>0</v>
      </c>
      <c r="V146" s="19">
        <f t="shared" si="19"/>
        <v>0</v>
      </c>
      <c r="W146" s="19">
        <f t="shared" si="19"/>
        <v>1</v>
      </c>
    </row>
    <row r="147" spans="1:23">
      <c r="A147" s="24" t="str">
        <f t="shared" si="18"/>
        <v>11104_2-5/52&lt;lv18&gt;s2</v>
      </c>
      <c r="B147" s="19">
        <f t="shared" si="20"/>
        <v>11104</v>
      </c>
      <c r="C147" s="19">
        <f t="shared" si="20"/>
        <v>2</v>
      </c>
      <c r="D147" s="19">
        <f t="shared" si="20"/>
        <v>5</v>
      </c>
      <c r="E147" s="19">
        <f t="shared" si="20"/>
        <v>52</v>
      </c>
      <c r="F147" s="19">
        <f t="shared" si="20"/>
        <v>18</v>
      </c>
      <c r="G147" s="19">
        <f t="shared" si="20"/>
        <v>1</v>
      </c>
      <c r="H147" s="19">
        <f t="shared" si="20"/>
        <v>1</v>
      </c>
      <c r="I147" s="19">
        <f t="shared" si="20"/>
        <v>0</v>
      </c>
      <c r="J147" s="19">
        <f t="shared" si="20"/>
        <v>51</v>
      </c>
      <c r="K147" s="19">
        <f t="shared" si="20"/>
        <v>0</v>
      </c>
      <c r="L147" s="19">
        <f t="shared" si="20"/>
        <v>100</v>
      </c>
      <c r="M147" s="19">
        <f t="shared" si="20"/>
        <v>1</v>
      </c>
      <c r="N147" s="19">
        <f t="shared" si="20"/>
        <v>2</v>
      </c>
      <c r="O147" s="19">
        <f t="shared" si="20"/>
        <v>51</v>
      </c>
      <c r="P147" s="19">
        <f t="shared" si="20"/>
        <v>1</v>
      </c>
      <c r="Q147" s="19">
        <f t="shared" si="20"/>
        <v>2</v>
      </c>
      <c r="R147" s="19">
        <f t="shared" si="19"/>
        <v>0</v>
      </c>
      <c r="S147" s="19">
        <f t="shared" si="19"/>
        <v>0</v>
      </c>
      <c r="T147" s="19">
        <f t="shared" si="19"/>
        <v>0</v>
      </c>
      <c r="U147" s="19">
        <f t="shared" si="19"/>
        <v>0</v>
      </c>
      <c r="V147" s="19">
        <f t="shared" si="19"/>
        <v>0</v>
      </c>
      <c r="W147" s="19">
        <f t="shared" si="19"/>
        <v>1</v>
      </c>
    </row>
    <row r="148" spans="1:23">
      <c r="A148" s="24" t="str">
        <f t="shared" si="18"/>
        <v>11104_2-5/44&lt;lv18&gt;s2</v>
      </c>
      <c r="B148" s="19">
        <f t="shared" si="20"/>
        <v>11104</v>
      </c>
      <c r="C148" s="19">
        <f t="shared" si="20"/>
        <v>2</v>
      </c>
      <c r="D148" s="19">
        <f t="shared" si="20"/>
        <v>5</v>
      </c>
      <c r="E148" s="19">
        <f t="shared" si="20"/>
        <v>44</v>
      </c>
      <c r="F148" s="19">
        <f t="shared" si="20"/>
        <v>18</v>
      </c>
      <c r="G148" s="19">
        <f t="shared" si="20"/>
        <v>1</v>
      </c>
      <c r="H148" s="19">
        <f t="shared" si="20"/>
        <v>1</v>
      </c>
      <c r="I148" s="19">
        <f t="shared" si="20"/>
        <v>0</v>
      </c>
      <c r="J148" s="19">
        <f t="shared" si="20"/>
        <v>0</v>
      </c>
      <c r="K148" s="19">
        <f t="shared" si="20"/>
        <v>0</v>
      </c>
      <c r="L148" s="19">
        <f t="shared" si="20"/>
        <v>100</v>
      </c>
      <c r="M148" s="19">
        <f t="shared" si="20"/>
        <v>1</v>
      </c>
      <c r="N148" s="19">
        <f t="shared" si="20"/>
        <v>2</v>
      </c>
      <c r="O148" s="19">
        <f t="shared" si="20"/>
        <v>43</v>
      </c>
      <c r="P148" s="19">
        <f t="shared" si="20"/>
        <v>1</v>
      </c>
      <c r="Q148" s="19">
        <f t="shared" si="20"/>
        <v>2</v>
      </c>
      <c r="R148" s="19">
        <f t="shared" si="19"/>
        <v>0</v>
      </c>
      <c r="S148" s="19">
        <f t="shared" si="19"/>
        <v>0</v>
      </c>
      <c r="T148" s="19">
        <f t="shared" si="19"/>
        <v>0</v>
      </c>
      <c r="U148" s="19">
        <f t="shared" si="19"/>
        <v>0</v>
      </c>
      <c r="V148" s="19">
        <f t="shared" si="19"/>
        <v>0</v>
      </c>
      <c r="W148" s="19">
        <f t="shared" si="19"/>
        <v>1</v>
      </c>
    </row>
    <row r="149" spans="1:23">
      <c r="A149" s="24" t="str">
        <f t="shared" si="18"/>
        <v>11104_2-5/60&lt;lv18&gt;s2</v>
      </c>
      <c r="B149" s="19">
        <f t="shared" si="20"/>
        <v>11104</v>
      </c>
      <c r="C149" s="19">
        <f t="shared" si="20"/>
        <v>2</v>
      </c>
      <c r="D149" s="19">
        <f t="shared" si="20"/>
        <v>5</v>
      </c>
      <c r="E149" s="19">
        <f t="shared" si="20"/>
        <v>60</v>
      </c>
      <c r="F149" s="19">
        <f t="shared" si="20"/>
        <v>18</v>
      </c>
      <c r="G149" s="19">
        <f t="shared" si="20"/>
        <v>1</v>
      </c>
      <c r="H149" s="19">
        <f t="shared" si="20"/>
        <v>1</v>
      </c>
      <c r="I149" s="19">
        <f t="shared" si="20"/>
        <v>0</v>
      </c>
      <c r="J149" s="19">
        <f t="shared" si="20"/>
        <v>0</v>
      </c>
      <c r="K149" s="19">
        <f t="shared" si="20"/>
        <v>0</v>
      </c>
      <c r="L149" s="19">
        <f t="shared" si="20"/>
        <v>100</v>
      </c>
      <c r="M149" s="19">
        <f t="shared" si="20"/>
        <v>1</v>
      </c>
      <c r="N149" s="19">
        <f t="shared" si="20"/>
        <v>2</v>
      </c>
      <c r="O149" s="19">
        <f t="shared" si="20"/>
        <v>59</v>
      </c>
      <c r="P149" s="19">
        <f t="shared" si="20"/>
        <v>1</v>
      </c>
      <c r="Q149" s="19">
        <f t="shared" si="20"/>
        <v>2</v>
      </c>
      <c r="R149" s="19">
        <f t="shared" si="19"/>
        <v>0</v>
      </c>
      <c r="S149" s="19">
        <f t="shared" si="19"/>
        <v>0</v>
      </c>
      <c r="T149" s="19">
        <f t="shared" si="19"/>
        <v>0</v>
      </c>
      <c r="U149" s="19">
        <f t="shared" si="19"/>
        <v>0</v>
      </c>
      <c r="V149" s="19">
        <f t="shared" si="19"/>
        <v>0</v>
      </c>
      <c r="W149" s="19">
        <f t="shared" si="19"/>
        <v>1</v>
      </c>
    </row>
    <row r="150" spans="1:23">
      <c r="A150" s="24" t="str">
        <f t="shared" si="18"/>
        <v>11104_3-1/107&lt;lv30&gt;s1</v>
      </c>
      <c r="B150" s="19">
        <f t="shared" si="20"/>
        <v>11104</v>
      </c>
      <c r="C150" s="19">
        <f t="shared" si="20"/>
        <v>3</v>
      </c>
      <c r="D150" s="19">
        <f t="shared" si="20"/>
        <v>1</v>
      </c>
      <c r="E150" s="19">
        <f t="shared" si="20"/>
        <v>107</v>
      </c>
      <c r="F150" s="19">
        <f t="shared" si="20"/>
        <v>30</v>
      </c>
      <c r="G150" s="19">
        <f t="shared" si="20"/>
        <v>2</v>
      </c>
      <c r="H150" s="19">
        <f t="shared" si="20"/>
        <v>1</v>
      </c>
      <c r="I150" s="19">
        <f t="shared" si="20"/>
        <v>0</v>
      </c>
      <c r="J150" s="19">
        <f t="shared" si="20"/>
        <v>0</v>
      </c>
      <c r="K150" s="19">
        <f t="shared" si="20"/>
        <v>1</v>
      </c>
      <c r="L150" s="19">
        <f t="shared" si="20"/>
        <v>100</v>
      </c>
      <c r="M150" s="19">
        <f t="shared" si="20"/>
        <v>1</v>
      </c>
      <c r="N150" s="19">
        <f t="shared" si="20"/>
        <v>1</v>
      </c>
      <c r="O150" s="19">
        <f t="shared" si="20"/>
        <v>107</v>
      </c>
      <c r="P150" s="19">
        <f t="shared" si="20"/>
        <v>1</v>
      </c>
      <c r="Q150" s="19">
        <f t="shared" si="20"/>
        <v>4</v>
      </c>
      <c r="R150" s="19">
        <f t="shared" si="19"/>
        <v>10</v>
      </c>
      <c r="S150" s="19">
        <f t="shared" si="19"/>
        <v>0</v>
      </c>
      <c r="T150" s="19">
        <f t="shared" si="19"/>
        <v>0</v>
      </c>
      <c r="U150" s="19">
        <f t="shared" si="19"/>
        <v>0</v>
      </c>
      <c r="V150" s="19">
        <f t="shared" si="19"/>
        <v>0</v>
      </c>
      <c r="W150" s="19">
        <f t="shared" si="19"/>
        <v>1</v>
      </c>
    </row>
    <row r="151" spans="1:23">
      <c r="A151" s="24" t="str">
        <f t="shared" si="18"/>
        <v>11104_3-1/35&lt;lv35&gt;s4</v>
      </c>
      <c r="B151" s="19">
        <f t="shared" si="20"/>
        <v>11104</v>
      </c>
      <c r="C151" s="19">
        <f t="shared" si="20"/>
        <v>3</v>
      </c>
      <c r="D151" s="19">
        <f t="shared" si="20"/>
        <v>1</v>
      </c>
      <c r="E151" s="19">
        <f t="shared" si="20"/>
        <v>35</v>
      </c>
      <c r="F151" s="19">
        <f t="shared" si="20"/>
        <v>35</v>
      </c>
      <c r="G151" s="19">
        <f t="shared" si="20"/>
        <v>1</v>
      </c>
      <c r="H151" s="19">
        <f t="shared" si="20"/>
        <v>1</v>
      </c>
      <c r="I151" s="19">
        <f t="shared" si="20"/>
        <v>0</v>
      </c>
      <c r="J151" s="19">
        <f t="shared" si="20"/>
        <v>35</v>
      </c>
      <c r="K151" s="19">
        <f t="shared" si="20"/>
        <v>0</v>
      </c>
      <c r="L151" s="19">
        <f t="shared" si="20"/>
        <v>100</v>
      </c>
      <c r="M151" s="19">
        <f t="shared" si="20"/>
        <v>0</v>
      </c>
      <c r="N151" s="19">
        <f t="shared" si="20"/>
        <v>4</v>
      </c>
      <c r="O151" s="19">
        <f t="shared" si="20"/>
        <v>35</v>
      </c>
      <c r="P151" s="19">
        <f t="shared" si="20"/>
        <v>1</v>
      </c>
      <c r="Q151" s="19">
        <f t="shared" si="20"/>
        <v>2</v>
      </c>
      <c r="R151" s="19">
        <f t="shared" si="19"/>
        <v>0</v>
      </c>
      <c r="S151" s="19">
        <f t="shared" si="19"/>
        <v>0</v>
      </c>
      <c r="T151" s="19">
        <f t="shared" si="19"/>
        <v>0</v>
      </c>
      <c r="U151" s="19">
        <f t="shared" si="19"/>
        <v>0</v>
      </c>
      <c r="V151" s="19">
        <f t="shared" si="19"/>
        <v>0</v>
      </c>
      <c r="W151" s="19">
        <f t="shared" si="19"/>
        <v>1</v>
      </c>
    </row>
    <row r="152" spans="1:23">
      <c r="A152" s="24" t="str">
        <f t="shared" si="18"/>
        <v>11104_3-1/27&lt;lv35&gt;s1</v>
      </c>
      <c r="B152" s="19">
        <f t="shared" si="20"/>
        <v>11104</v>
      </c>
      <c r="C152" s="19">
        <f t="shared" si="20"/>
        <v>3</v>
      </c>
      <c r="D152" s="19">
        <f t="shared" si="20"/>
        <v>1</v>
      </c>
      <c r="E152" s="19">
        <f t="shared" si="20"/>
        <v>27</v>
      </c>
      <c r="F152" s="19">
        <f t="shared" si="20"/>
        <v>35</v>
      </c>
      <c r="G152" s="19">
        <f t="shared" si="20"/>
        <v>1</v>
      </c>
      <c r="H152" s="19">
        <f t="shared" si="20"/>
        <v>1</v>
      </c>
      <c r="I152" s="19">
        <f t="shared" si="20"/>
        <v>0</v>
      </c>
      <c r="J152" s="19">
        <f t="shared" si="20"/>
        <v>0</v>
      </c>
      <c r="K152" s="19">
        <f t="shared" si="20"/>
        <v>0</v>
      </c>
      <c r="L152" s="19">
        <f t="shared" si="20"/>
        <v>100</v>
      </c>
      <c r="M152" s="19">
        <f t="shared" si="20"/>
        <v>0</v>
      </c>
      <c r="N152" s="19">
        <f t="shared" si="20"/>
        <v>1</v>
      </c>
      <c r="O152" s="19">
        <f t="shared" si="20"/>
        <v>27</v>
      </c>
      <c r="P152" s="19">
        <f t="shared" si="20"/>
        <v>1</v>
      </c>
      <c r="Q152" s="19">
        <f t="shared" si="20"/>
        <v>1</v>
      </c>
      <c r="R152" s="19">
        <f t="shared" si="19"/>
        <v>0</v>
      </c>
      <c r="S152" s="19">
        <f t="shared" si="19"/>
        <v>0</v>
      </c>
      <c r="T152" s="19">
        <f t="shared" si="19"/>
        <v>0</v>
      </c>
      <c r="U152" s="19">
        <f t="shared" si="19"/>
        <v>0</v>
      </c>
      <c r="V152" s="19">
        <f t="shared" si="19"/>
        <v>0</v>
      </c>
      <c r="W152" s="19">
        <f t="shared" si="19"/>
        <v>1</v>
      </c>
    </row>
    <row r="153" spans="1:23">
      <c r="A153" s="24" t="str">
        <f t="shared" si="18"/>
        <v>11104_3-1/336&lt;lv1&gt;s1</v>
      </c>
      <c r="B153" s="19">
        <f t="shared" si="20"/>
        <v>11104</v>
      </c>
      <c r="C153" s="19">
        <f t="shared" si="20"/>
        <v>3</v>
      </c>
      <c r="D153" s="19">
        <f t="shared" si="20"/>
        <v>1</v>
      </c>
      <c r="E153" s="19">
        <f t="shared" si="20"/>
        <v>336</v>
      </c>
      <c r="F153" s="19">
        <f t="shared" si="20"/>
        <v>1</v>
      </c>
      <c r="G153" s="19">
        <f t="shared" si="20"/>
        <v>1</v>
      </c>
      <c r="H153" s="19">
        <f t="shared" si="20"/>
        <v>1</v>
      </c>
      <c r="I153" s="19">
        <f t="shared" si="20"/>
        <v>0</v>
      </c>
      <c r="J153" s="19">
        <f t="shared" si="20"/>
        <v>0</v>
      </c>
      <c r="K153" s="19">
        <f t="shared" si="20"/>
        <v>0</v>
      </c>
      <c r="L153" s="19">
        <f t="shared" si="20"/>
        <v>30</v>
      </c>
      <c r="M153" s="19">
        <f t="shared" si="20"/>
        <v>0</v>
      </c>
      <c r="N153" s="19">
        <f t="shared" si="20"/>
        <v>1</v>
      </c>
      <c r="O153" s="19">
        <f t="shared" si="20"/>
        <v>336</v>
      </c>
      <c r="P153" s="19">
        <f t="shared" si="20"/>
        <v>1</v>
      </c>
      <c r="Q153" s="19">
        <f t="shared" si="20"/>
        <v>3</v>
      </c>
      <c r="R153" s="19">
        <f t="shared" si="19"/>
        <v>10</v>
      </c>
      <c r="S153" s="19">
        <f t="shared" si="19"/>
        <v>0</v>
      </c>
      <c r="T153" s="19">
        <f t="shared" si="19"/>
        <v>0</v>
      </c>
      <c r="U153" s="19">
        <f t="shared" si="19"/>
        <v>0</v>
      </c>
      <c r="V153" s="19">
        <f t="shared" si="19"/>
        <v>0</v>
      </c>
      <c r="W153" s="19">
        <f t="shared" si="19"/>
        <v>1</v>
      </c>
    </row>
    <row r="154" spans="1:23">
      <c r="A154" s="24" t="str">
        <f t="shared" si="18"/>
        <v>11104_3-1/337&lt;lv1&gt;s2</v>
      </c>
      <c r="B154" s="19">
        <f t="shared" si="20"/>
        <v>11104</v>
      </c>
      <c r="C154" s="19">
        <f t="shared" si="20"/>
        <v>3</v>
      </c>
      <c r="D154" s="19">
        <f t="shared" si="20"/>
        <v>1</v>
      </c>
      <c r="E154" s="19">
        <f t="shared" si="20"/>
        <v>337</v>
      </c>
      <c r="F154" s="19">
        <f t="shared" si="20"/>
        <v>1</v>
      </c>
      <c r="G154" s="19">
        <f t="shared" si="20"/>
        <v>1</v>
      </c>
      <c r="H154" s="19">
        <f t="shared" si="20"/>
        <v>1</v>
      </c>
      <c r="I154" s="19">
        <f t="shared" si="20"/>
        <v>0</v>
      </c>
      <c r="J154" s="19">
        <f t="shared" si="20"/>
        <v>0</v>
      </c>
      <c r="K154" s="19">
        <f t="shared" si="20"/>
        <v>0</v>
      </c>
      <c r="L154" s="19">
        <f t="shared" si="20"/>
        <v>30</v>
      </c>
      <c r="M154" s="19">
        <f t="shared" si="20"/>
        <v>0</v>
      </c>
      <c r="N154" s="19">
        <f t="shared" si="20"/>
        <v>2</v>
      </c>
      <c r="O154" s="19">
        <f t="shared" si="20"/>
        <v>337</v>
      </c>
      <c r="P154" s="19">
        <f t="shared" si="20"/>
        <v>1</v>
      </c>
      <c r="Q154" s="19">
        <f t="shared" si="20"/>
        <v>4</v>
      </c>
      <c r="R154" s="19">
        <f t="shared" si="19"/>
        <v>5</v>
      </c>
      <c r="S154" s="19">
        <f t="shared" si="19"/>
        <v>0</v>
      </c>
      <c r="T154" s="19">
        <f t="shared" si="19"/>
        <v>0</v>
      </c>
      <c r="U154" s="19">
        <f t="shared" si="19"/>
        <v>0</v>
      </c>
      <c r="V154" s="19">
        <f t="shared" si="19"/>
        <v>0</v>
      </c>
      <c r="W154" s="19">
        <f t="shared" si="19"/>
        <v>1</v>
      </c>
    </row>
    <row r="155" spans="1:23">
      <c r="A155" s="24" t="str">
        <f t="shared" si="18"/>
        <v>11104_3-2/107&lt;lv30&gt;s1</v>
      </c>
      <c r="B155" s="19">
        <f t="shared" si="20"/>
        <v>11104</v>
      </c>
      <c r="C155" s="19">
        <f t="shared" si="20"/>
        <v>3</v>
      </c>
      <c r="D155" s="19">
        <f t="shared" si="20"/>
        <v>2</v>
      </c>
      <c r="E155" s="19">
        <f t="shared" si="20"/>
        <v>107</v>
      </c>
      <c r="F155" s="19">
        <f t="shared" si="20"/>
        <v>30</v>
      </c>
      <c r="G155" s="19">
        <f t="shared" si="20"/>
        <v>2</v>
      </c>
      <c r="H155" s="19">
        <f t="shared" si="20"/>
        <v>1</v>
      </c>
      <c r="I155" s="19">
        <f t="shared" si="20"/>
        <v>0</v>
      </c>
      <c r="J155" s="19">
        <f t="shared" si="20"/>
        <v>0</v>
      </c>
      <c r="K155" s="19">
        <f t="shared" si="20"/>
        <v>1</v>
      </c>
      <c r="L155" s="19">
        <f t="shared" si="20"/>
        <v>100</v>
      </c>
      <c r="M155" s="19">
        <f t="shared" si="20"/>
        <v>1</v>
      </c>
      <c r="N155" s="19">
        <f t="shared" si="20"/>
        <v>1</v>
      </c>
      <c r="O155" s="19">
        <f t="shared" si="20"/>
        <v>107</v>
      </c>
      <c r="P155" s="19">
        <f t="shared" si="20"/>
        <v>1</v>
      </c>
      <c r="Q155" s="19">
        <f t="shared" ref="Q155:W170" si="21">VLOOKUP($A155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4</v>
      </c>
      <c r="R155" s="19">
        <f t="shared" si="21"/>
        <v>10</v>
      </c>
      <c r="S155" s="19">
        <f t="shared" si="21"/>
        <v>0</v>
      </c>
      <c r="T155" s="19">
        <f t="shared" si="21"/>
        <v>0</v>
      </c>
      <c r="U155" s="19">
        <f t="shared" si="21"/>
        <v>0</v>
      </c>
      <c r="V155" s="19">
        <f t="shared" si="21"/>
        <v>0</v>
      </c>
      <c r="W155" s="19">
        <f t="shared" si="21"/>
        <v>1</v>
      </c>
    </row>
    <row r="156" spans="1:23">
      <c r="A156" s="24" t="str">
        <f t="shared" si="18"/>
        <v>11104_3-2/35&lt;lv35&gt;s4</v>
      </c>
      <c r="B156" s="19">
        <f t="shared" ref="B156:Q171" si="22">VLOOKUP($A156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11104</v>
      </c>
      <c r="C156" s="19">
        <f t="shared" si="22"/>
        <v>3</v>
      </c>
      <c r="D156" s="19">
        <f t="shared" si="22"/>
        <v>2</v>
      </c>
      <c r="E156" s="19">
        <f t="shared" si="22"/>
        <v>35</v>
      </c>
      <c r="F156" s="19">
        <f t="shared" si="22"/>
        <v>35</v>
      </c>
      <c r="G156" s="19">
        <f t="shared" si="22"/>
        <v>1</v>
      </c>
      <c r="H156" s="19">
        <f t="shared" si="22"/>
        <v>1</v>
      </c>
      <c r="I156" s="19">
        <f t="shared" si="22"/>
        <v>0</v>
      </c>
      <c r="J156" s="19">
        <f t="shared" si="22"/>
        <v>35</v>
      </c>
      <c r="K156" s="19">
        <f t="shared" si="22"/>
        <v>0</v>
      </c>
      <c r="L156" s="19">
        <f t="shared" si="22"/>
        <v>100</v>
      </c>
      <c r="M156" s="19">
        <f t="shared" si="22"/>
        <v>0</v>
      </c>
      <c r="N156" s="19">
        <f t="shared" si="22"/>
        <v>4</v>
      </c>
      <c r="O156" s="19">
        <f t="shared" si="22"/>
        <v>35</v>
      </c>
      <c r="P156" s="19">
        <f t="shared" si="22"/>
        <v>1</v>
      </c>
      <c r="Q156" s="19">
        <f t="shared" si="22"/>
        <v>2</v>
      </c>
      <c r="R156" s="19">
        <f t="shared" si="21"/>
        <v>0</v>
      </c>
      <c r="S156" s="19">
        <f t="shared" si="21"/>
        <v>0</v>
      </c>
      <c r="T156" s="19">
        <f t="shared" si="21"/>
        <v>0</v>
      </c>
      <c r="U156" s="19">
        <f t="shared" si="21"/>
        <v>0</v>
      </c>
      <c r="V156" s="19">
        <f t="shared" si="21"/>
        <v>0</v>
      </c>
      <c r="W156" s="19">
        <f t="shared" si="21"/>
        <v>1</v>
      </c>
    </row>
    <row r="157" spans="1:23">
      <c r="A157" s="24" t="str">
        <f t="shared" si="18"/>
        <v>11104_3-2/27&lt;lv35&gt;s1</v>
      </c>
      <c r="B157" s="19">
        <f t="shared" si="22"/>
        <v>11104</v>
      </c>
      <c r="C157" s="19">
        <f t="shared" si="22"/>
        <v>3</v>
      </c>
      <c r="D157" s="19">
        <f t="shared" si="22"/>
        <v>2</v>
      </c>
      <c r="E157" s="19">
        <f t="shared" si="22"/>
        <v>27</v>
      </c>
      <c r="F157" s="19">
        <f t="shared" si="22"/>
        <v>35</v>
      </c>
      <c r="G157" s="19">
        <f t="shared" si="22"/>
        <v>1</v>
      </c>
      <c r="H157" s="19">
        <f t="shared" si="22"/>
        <v>1</v>
      </c>
      <c r="I157" s="19">
        <f t="shared" si="22"/>
        <v>0</v>
      </c>
      <c r="J157" s="19">
        <f t="shared" si="22"/>
        <v>0</v>
      </c>
      <c r="K157" s="19">
        <f t="shared" si="22"/>
        <v>0</v>
      </c>
      <c r="L157" s="19">
        <f t="shared" si="22"/>
        <v>100</v>
      </c>
      <c r="M157" s="19">
        <f t="shared" si="22"/>
        <v>0</v>
      </c>
      <c r="N157" s="19">
        <f t="shared" si="22"/>
        <v>1</v>
      </c>
      <c r="O157" s="19">
        <f t="shared" si="22"/>
        <v>27</v>
      </c>
      <c r="P157" s="19">
        <f t="shared" si="22"/>
        <v>1</v>
      </c>
      <c r="Q157" s="19">
        <f t="shared" si="22"/>
        <v>1</v>
      </c>
      <c r="R157" s="19">
        <f t="shared" si="21"/>
        <v>0</v>
      </c>
      <c r="S157" s="19">
        <f t="shared" si="21"/>
        <v>0</v>
      </c>
      <c r="T157" s="19">
        <f t="shared" si="21"/>
        <v>0</v>
      </c>
      <c r="U157" s="19">
        <f t="shared" si="21"/>
        <v>0</v>
      </c>
      <c r="V157" s="19">
        <f t="shared" si="21"/>
        <v>0</v>
      </c>
      <c r="W157" s="19">
        <f t="shared" si="21"/>
        <v>1</v>
      </c>
    </row>
    <row r="158" spans="1:23">
      <c r="A158" s="24" t="str">
        <f t="shared" si="18"/>
        <v>11104_3-2/336&lt;lv1&gt;s1</v>
      </c>
      <c r="B158" s="19">
        <f t="shared" si="22"/>
        <v>11104</v>
      </c>
      <c r="C158" s="19">
        <f t="shared" si="22"/>
        <v>3</v>
      </c>
      <c r="D158" s="19">
        <f t="shared" si="22"/>
        <v>2</v>
      </c>
      <c r="E158" s="19">
        <f t="shared" si="22"/>
        <v>336</v>
      </c>
      <c r="F158" s="19">
        <f t="shared" si="22"/>
        <v>1</v>
      </c>
      <c r="G158" s="19">
        <f t="shared" si="22"/>
        <v>1</v>
      </c>
      <c r="H158" s="19">
        <f t="shared" si="22"/>
        <v>1</v>
      </c>
      <c r="I158" s="19">
        <f t="shared" si="22"/>
        <v>0</v>
      </c>
      <c r="J158" s="19">
        <f t="shared" si="22"/>
        <v>0</v>
      </c>
      <c r="K158" s="19">
        <f t="shared" si="22"/>
        <v>0</v>
      </c>
      <c r="L158" s="19">
        <f t="shared" si="22"/>
        <v>30</v>
      </c>
      <c r="M158" s="19">
        <f t="shared" si="22"/>
        <v>0</v>
      </c>
      <c r="N158" s="19">
        <f t="shared" si="22"/>
        <v>1</v>
      </c>
      <c r="O158" s="19">
        <f t="shared" si="22"/>
        <v>336</v>
      </c>
      <c r="P158" s="19">
        <f t="shared" si="22"/>
        <v>1</v>
      </c>
      <c r="Q158" s="19">
        <f t="shared" si="22"/>
        <v>3</v>
      </c>
      <c r="R158" s="19">
        <f t="shared" si="21"/>
        <v>10</v>
      </c>
      <c r="S158" s="19">
        <f t="shared" si="21"/>
        <v>0</v>
      </c>
      <c r="T158" s="19">
        <f t="shared" si="21"/>
        <v>0</v>
      </c>
      <c r="U158" s="19">
        <f t="shared" si="21"/>
        <v>0</v>
      </c>
      <c r="V158" s="19">
        <f t="shared" si="21"/>
        <v>0</v>
      </c>
      <c r="W158" s="19">
        <f t="shared" si="21"/>
        <v>1</v>
      </c>
    </row>
    <row r="159" spans="1:23">
      <c r="A159" s="24" t="str">
        <f t="shared" si="18"/>
        <v>11104_3-2/337&lt;lv1&gt;s2</v>
      </c>
      <c r="B159" s="19">
        <f t="shared" si="22"/>
        <v>11104</v>
      </c>
      <c r="C159" s="19">
        <f t="shared" si="22"/>
        <v>3</v>
      </c>
      <c r="D159" s="19">
        <f t="shared" si="22"/>
        <v>2</v>
      </c>
      <c r="E159" s="19">
        <f t="shared" si="22"/>
        <v>337</v>
      </c>
      <c r="F159" s="19">
        <f t="shared" si="22"/>
        <v>1</v>
      </c>
      <c r="G159" s="19">
        <f t="shared" si="22"/>
        <v>1</v>
      </c>
      <c r="H159" s="19">
        <f t="shared" si="22"/>
        <v>1</v>
      </c>
      <c r="I159" s="19">
        <f t="shared" si="22"/>
        <v>0</v>
      </c>
      <c r="J159" s="19">
        <f t="shared" si="22"/>
        <v>0</v>
      </c>
      <c r="K159" s="19">
        <f t="shared" si="22"/>
        <v>0</v>
      </c>
      <c r="L159" s="19">
        <f t="shared" si="22"/>
        <v>30</v>
      </c>
      <c r="M159" s="19">
        <f t="shared" si="22"/>
        <v>0</v>
      </c>
      <c r="N159" s="19">
        <f t="shared" si="22"/>
        <v>2</v>
      </c>
      <c r="O159" s="19">
        <f t="shared" si="22"/>
        <v>337</v>
      </c>
      <c r="P159" s="19">
        <f t="shared" si="22"/>
        <v>1</v>
      </c>
      <c r="Q159" s="19">
        <f t="shared" si="22"/>
        <v>4</v>
      </c>
      <c r="R159" s="19">
        <f t="shared" si="21"/>
        <v>5</v>
      </c>
      <c r="S159" s="19">
        <f t="shared" si="21"/>
        <v>0</v>
      </c>
      <c r="T159" s="19">
        <f t="shared" si="21"/>
        <v>0</v>
      </c>
      <c r="U159" s="19">
        <f t="shared" si="21"/>
        <v>0</v>
      </c>
      <c r="V159" s="19">
        <f t="shared" si="21"/>
        <v>0</v>
      </c>
      <c r="W159" s="19">
        <f t="shared" si="21"/>
        <v>1</v>
      </c>
    </row>
    <row r="160" spans="1:23">
      <c r="A160" s="24" t="str">
        <f t="shared" si="18"/>
        <v>11104_3-3/107&lt;lv30&gt;s1</v>
      </c>
      <c r="B160" s="19">
        <f t="shared" si="22"/>
        <v>11104</v>
      </c>
      <c r="C160" s="19">
        <f t="shared" si="22"/>
        <v>3</v>
      </c>
      <c r="D160" s="19">
        <f t="shared" si="22"/>
        <v>3</v>
      </c>
      <c r="E160" s="19">
        <f t="shared" si="22"/>
        <v>107</v>
      </c>
      <c r="F160" s="19">
        <f t="shared" si="22"/>
        <v>30</v>
      </c>
      <c r="G160" s="19">
        <f t="shared" si="22"/>
        <v>2</v>
      </c>
      <c r="H160" s="19">
        <f t="shared" si="22"/>
        <v>1</v>
      </c>
      <c r="I160" s="19">
        <f t="shared" si="22"/>
        <v>0</v>
      </c>
      <c r="J160" s="19">
        <f t="shared" si="22"/>
        <v>0</v>
      </c>
      <c r="K160" s="19">
        <f t="shared" si="22"/>
        <v>1</v>
      </c>
      <c r="L160" s="19">
        <f t="shared" si="22"/>
        <v>100</v>
      </c>
      <c r="M160" s="19">
        <f t="shared" si="22"/>
        <v>1</v>
      </c>
      <c r="N160" s="19">
        <f t="shared" si="22"/>
        <v>1</v>
      </c>
      <c r="O160" s="19">
        <f t="shared" si="22"/>
        <v>107</v>
      </c>
      <c r="P160" s="19">
        <f t="shared" si="22"/>
        <v>1</v>
      </c>
      <c r="Q160" s="19">
        <f t="shared" si="22"/>
        <v>4</v>
      </c>
      <c r="R160" s="19">
        <f t="shared" si="21"/>
        <v>50</v>
      </c>
      <c r="S160" s="19">
        <f t="shared" si="21"/>
        <v>0</v>
      </c>
      <c r="T160" s="19">
        <f t="shared" si="21"/>
        <v>0</v>
      </c>
      <c r="U160" s="19">
        <f t="shared" si="21"/>
        <v>0</v>
      </c>
      <c r="V160" s="19">
        <f t="shared" si="21"/>
        <v>0</v>
      </c>
      <c r="W160" s="19">
        <f t="shared" si="21"/>
        <v>1</v>
      </c>
    </row>
    <row r="161" spans="1:23">
      <c r="A161" s="24" t="str">
        <f t="shared" si="18"/>
        <v>11104_3-3/35&lt;lv35&gt;s4</v>
      </c>
      <c r="B161" s="19">
        <f t="shared" si="22"/>
        <v>11104</v>
      </c>
      <c r="C161" s="19">
        <f t="shared" si="22"/>
        <v>3</v>
      </c>
      <c r="D161" s="19">
        <f t="shared" si="22"/>
        <v>3</v>
      </c>
      <c r="E161" s="19">
        <f t="shared" si="22"/>
        <v>35</v>
      </c>
      <c r="F161" s="19">
        <f t="shared" si="22"/>
        <v>35</v>
      </c>
      <c r="G161" s="19">
        <f t="shared" si="22"/>
        <v>1</v>
      </c>
      <c r="H161" s="19">
        <f t="shared" si="22"/>
        <v>1</v>
      </c>
      <c r="I161" s="19">
        <f t="shared" si="22"/>
        <v>0</v>
      </c>
      <c r="J161" s="19">
        <f t="shared" si="22"/>
        <v>35</v>
      </c>
      <c r="K161" s="19">
        <f t="shared" si="22"/>
        <v>0</v>
      </c>
      <c r="L161" s="19">
        <f t="shared" si="22"/>
        <v>100</v>
      </c>
      <c r="M161" s="19">
        <f t="shared" si="22"/>
        <v>0</v>
      </c>
      <c r="N161" s="19">
        <f t="shared" si="22"/>
        <v>4</v>
      </c>
      <c r="O161" s="19">
        <f t="shared" si="22"/>
        <v>35</v>
      </c>
      <c r="P161" s="19">
        <f t="shared" si="22"/>
        <v>1</v>
      </c>
      <c r="Q161" s="19">
        <f t="shared" si="22"/>
        <v>2</v>
      </c>
      <c r="R161" s="19">
        <f t="shared" si="21"/>
        <v>0</v>
      </c>
      <c r="S161" s="19">
        <f t="shared" si="21"/>
        <v>0</v>
      </c>
      <c r="T161" s="19">
        <f t="shared" si="21"/>
        <v>0</v>
      </c>
      <c r="U161" s="19">
        <f t="shared" si="21"/>
        <v>0</v>
      </c>
      <c r="V161" s="19">
        <f t="shared" si="21"/>
        <v>0</v>
      </c>
      <c r="W161" s="19">
        <f t="shared" si="21"/>
        <v>1</v>
      </c>
    </row>
    <row r="162" spans="1:23">
      <c r="A162" s="24" t="str">
        <f t="shared" si="18"/>
        <v>11104_3-3/27&lt;lv35&gt;s1</v>
      </c>
      <c r="B162" s="19">
        <f t="shared" si="22"/>
        <v>11104</v>
      </c>
      <c r="C162" s="19">
        <f t="shared" si="22"/>
        <v>3</v>
      </c>
      <c r="D162" s="19">
        <f t="shared" si="22"/>
        <v>3</v>
      </c>
      <c r="E162" s="19">
        <f t="shared" si="22"/>
        <v>27</v>
      </c>
      <c r="F162" s="19">
        <f t="shared" si="22"/>
        <v>35</v>
      </c>
      <c r="G162" s="19">
        <f t="shared" si="22"/>
        <v>1</v>
      </c>
      <c r="H162" s="19">
        <f t="shared" si="22"/>
        <v>1</v>
      </c>
      <c r="I162" s="19">
        <f t="shared" si="22"/>
        <v>0</v>
      </c>
      <c r="J162" s="19">
        <f t="shared" si="22"/>
        <v>0</v>
      </c>
      <c r="K162" s="19">
        <f t="shared" si="22"/>
        <v>0</v>
      </c>
      <c r="L162" s="19">
        <f t="shared" si="22"/>
        <v>100</v>
      </c>
      <c r="M162" s="19">
        <f t="shared" si="22"/>
        <v>0</v>
      </c>
      <c r="N162" s="19">
        <f t="shared" si="22"/>
        <v>1</v>
      </c>
      <c r="O162" s="19">
        <f t="shared" si="22"/>
        <v>27</v>
      </c>
      <c r="P162" s="19">
        <f t="shared" si="22"/>
        <v>1</v>
      </c>
      <c r="Q162" s="19">
        <f t="shared" si="22"/>
        <v>1</v>
      </c>
      <c r="R162" s="19">
        <f t="shared" si="21"/>
        <v>0</v>
      </c>
      <c r="S162" s="19">
        <f t="shared" si="21"/>
        <v>0</v>
      </c>
      <c r="T162" s="19">
        <f t="shared" si="21"/>
        <v>0</v>
      </c>
      <c r="U162" s="19">
        <f t="shared" si="21"/>
        <v>0</v>
      </c>
      <c r="V162" s="19">
        <f t="shared" si="21"/>
        <v>0</v>
      </c>
      <c r="W162" s="19">
        <f t="shared" si="21"/>
        <v>1</v>
      </c>
    </row>
    <row r="163" spans="1:23">
      <c r="A163" s="24" t="str">
        <f t="shared" si="18"/>
        <v>11104_3-3/336&lt;lv1&gt;s1</v>
      </c>
      <c r="B163" s="19">
        <f t="shared" si="22"/>
        <v>11104</v>
      </c>
      <c r="C163" s="19">
        <f t="shared" si="22"/>
        <v>3</v>
      </c>
      <c r="D163" s="19">
        <f t="shared" si="22"/>
        <v>3</v>
      </c>
      <c r="E163" s="19">
        <f t="shared" si="22"/>
        <v>336</v>
      </c>
      <c r="F163" s="19">
        <f t="shared" si="22"/>
        <v>1</v>
      </c>
      <c r="G163" s="19">
        <f t="shared" si="22"/>
        <v>1</v>
      </c>
      <c r="H163" s="19">
        <f t="shared" si="22"/>
        <v>1</v>
      </c>
      <c r="I163" s="19">
        <f t="shared" si="22"/>
        <v>0</v>
      </c>
      <c r="J163" s="19">
        <f t="shared" si="22"/>
        <v>0</v>
      </c>
      <c r="K163" s="19">
        <f t="shared" si="22"/>
        <v>0</v>
      </c>
      <c r="L163" s="19">
        <f t="shared" si="22"/>
        <v>30</v>
      </c>
      <c r="M163" s="19">
        <f t="shared" si="22"/>
        <v>0</v>
      </c>
      <c r="N163" s="19">
        <f t="shared" si="22"/>
        <v>1</v>
      </c>
      <c r="O163" s="19">
        <f t="shared" si="22"/>
        <v>336</v>
      </c>
      <c r="P163" s="19">
        <f t="shared" si="22"/>
        <v>1</v>
      </c>
      <c r="Q163" s="19">
        <f t="shared" si="22"/>
        <v>3</v>
      </c>
      <c r="R163" s="19">
        <f t="shared" si="21"/>
        <v>10</v>
      </c>
      <c r="S163" s="19">
        <f t="shared" si="21"/>
        <v>0</v>
      </c>
      <c r="T163" s="19">
        <f t="shared" si="21"/>
        <v>0</v>
      </c>
      <c r="U163" s="19">
        <f t="shared" si="21"/>
        <v>0</v>
      </c>
      <c r="V163" s="19">
        <f t="shared" si="21"/>
        <v>0</v>
      </c>
      <c r="W163" s="19">
        <f t="shared" si="21"/>
        <v>1</v>
      </c>
    </row>
    <row r="164" spans="1:23">
      <c r="A164" s="24" t="str">
        <f t="shared" si="18"/>
        <v>11104_3-3/337&lt;lv1&gt;s2</v>
      </c>
      <c r="B164" s="19">
        <f t="shared" si="22"/>
        <v>11104</v>
      </c>
      <c r="C164" s="19">
        <f t="shared" si="22"/>
        <v>3</v>
      </c>
      <c r="D164" s="19">
        <f t="shared" si="22"/>
        <v>3</v>
      </c>
      <c r="E164" s="19">
        <f t="shared" si="22"/>
        <v>337</v>
      </c>
      <c r="F164" s="19">
        <f t="shared" si="22"/>
        <v>1</v>
      </c>
      <c r="G164" s="19">
        <f t="shared" si="22"/>
        <v>1</v>
      </c>
      <c r="H164" s="19">
        <f t="shared" si="22"/>
        <v>1</v>
      </c>
      <c r="I164" s="19">
        <f t="shared" si="22"/>
        <v>0</v>
      </c>
      <c r="J164" s="19">
        <f t="shared" si="22"/>
        <v>0</v>
      </c>
      <c r="K164" s="19">
        <f t="shared" si="22"/>
        <v>0</v>
      </c>
      <c r="L164" s="19">
        <f t="shared" si="22"/>
        <v>30</v>
      </c>
      <c r="M164" s="19">
        <f t="shared" si="22"/>
        <v>0</v>
      </c>
      <c r="N164" s="19">
        <f t="shared" si="22"/>
        <v>2</v>
      </c>
      <c r="O164" s="19">
        <f t="shared" si="22"/>
        <v>337</v>
      </c>
      <c r="P164" s="19">
        <f t="shared" si="22"/>
        <v>1</v>
      </c>
      <c r="Q164" s="19">
        <f t="shared" si="22"/>
        <v>4</v>
      </c>
      <c r="R164" s="19">
        <f t="shared" si="21"/>
        <v>5</v>
      </c>
      <c r="S164" s="19">
        <f t="shared" si="21"/>
        <v>0</v>
      </c>
      <c r="T164" s="19">
        <f t="shared" si="21"/>
        <v>0</v>
      </c>
      <c r="U164" s="19">
        <f t="shared" si="21"/>
        <v>0</v>
      </c>
      <c r="V164" s="19">
        <f t="shared" si="21"/>
        <v>0</v>
      </c>
      <c r="W164" s="19">
        <f t="shared" si="21"/>
        <v>1</v>
      </c>
    </row>
    <row r="165" spans="1:23">
      <c r="A165" s="24" t="str">
        <f t="shared" si="18"/>
        <v>11104_3-4/107&lt;lv30&gt;s1</v>
      </c>
      <c r="B165" s="19">
        <f t="shared" si="22"/>
        <v>11104</v>
      </c>
      <c r="C165" s="19">
        <f t="shared" si="22"/>
        <v>3</v>
      </c>
      <c r="D165" s="19">
        <f t="shared" si="22"/>
        <v>4</v>
      </c>
      <c r="E165" s="19">
        <f t="shared" si="22"/>
        <v>107</v>
      </c>
      <c r="F165" s="19">
        <f t="shared" si="22"/>
        <v>30</v>
      </c>
      <c r="G165" s="19">
        <f t="shared" si="22"/>
        <v>2</v>
      </c>
      <c r="H165" s="19">
        <f t="shared" si="22"/>
        <v>1</v>
      </c>
      <c r="I165" s="19">
        <f t="shared" si="22"/>
        <v>0</v>
      </c>
      <c r="J165" s="19">
        <f t="shared" si="22"/>
        <v>0</v>
      </c>
      <c r="K165" s="19">
        <f t="shared" si="22"/>
        <v>1</v>
      </c>
      <c r="L165" s="19">
        <f t="shared" si="22"/>
        <v>100</v>
      </c>
      <c r="M165" s="19">
        <f t="shared" si="22"/>
        <v>1</v>
      </c>
      <c r="N165" s="19">
        <f t="shared" si="22"/>
        <v>1</v>
      </c>
      <c r="O165" s="19">
        <f t="shared" si="22"/>
        <v>107</v>
      </c>
      <c r="P165" s="19">
        <f t="shared" si="22"/>
        <v>1</v>
      </c>
      <c r="Q165" s="19">
        <f t="shared" si="22"/>
        <v>4</v>
      </c>
      <c r="R165" s="19">
        <f t="shared" si="21"/>
        <v>30</v>
      </c>
      <c r="S165" s="19">
        <f t="shared" si="21"/>
        <v>0</v>
      </c>
      <c r="T165" s="19">
        <f t="shared" si="21"/>
        <v>0</v>
      </c>
      <c r="U165" s="19">
        <f t="shared" si="21"/>
        <v>0</v>
      </c>
      <c r="V165" s="19">
        <f t="shared" si="21"/>
        <v>0</v>
      </c>
      <c r="W165" s="19">
        <f t="shared" si="21"/>
        <v>1</v>
      </c>
    </row>
    <row r="166" spans="1:23">
      <c r="A166" s="24" t="str">
        <f t="shared" si="18"/>
        <v>11104_3-4/35&lt;lv35&gt;s4</v>
      </c>
      <c r="B166" s="19">
        <f t="shared" si="22"/>
        <v>11104</v>
      </c>
      <c r="C166" s="19">
        <f t="shared" si="22"/>
        <v>3</v>
      </c>
      <c r="D166" s="19">
        <f t="shared" si="22"/>
        <v>4</v>
      </c>
      <c r="E166" s="19">
        <f t="shared" si="22"/>
        <v>35</v>
      </c>
      <c r="F166" s="19">
        <f t="shared" si="22"/>
        <v>35</v>
      </c>
      <c r="G166" s="19">
        <f t="shared" si="22"/>
        <v>1</v>
      </c>
      <c r="H166" s="19">
        <f t="shared" si="22"/>
        <v>1</v>
      </c>
      <c r="I166" s="19">
        <f t="shared" si="22"/>
        <v>0</v>
      </c>
      <c r="J166" s="19">
        <f t="shared" si="22"/>
        <v>35</v>
      </c>
      <c r="K166" s="19">
        <f t="shared" si="22"/>
        <v>0</v>
      </c>
      <c r="L166" s="19">
        <f t="shared" si="22"/>
        <v>100</v>
      </c>
      <c r="M166" s="19">
        <f t="shared" si="22"/>
        <v>0</v>
      </c>
      <c r="N166" s="19">
        <f t="shared" si="22"/>
        <v>4</v>
      </c>
      <c r="O166" s="19">
        <f t="shared" si="22"/>
        <v>35</v>
      </c>
      <c r="P166" s="19">
        <f t="shared" si="22"/>
        <v>1</v>
      </c>
      <c r="Q166" s="19">
        <f t="shared" si="22"/>
        <v>2</v>
      </c>
      <c r="R166" s="19">
        <f t="shared" si="21"/>
        <v>0</v>
      </c>
      <c r="S166" s="19">
        <f t="shared" si="21"/>
        <v>0</v>
      </c>
      <c r="T166" s="19">
        <f t="shared" si="21"/>
        <v>0</v>
      </c>
      <c r="U166" s="19">
        <f t="shared" si="21"/>
        <v>0</v>
      </c>
      <c r="V166" s="19">
        <f t="shared" si="21"/>
        <v>0</v>
      </c>
      <c r="W166" s="19">
        <f t="shared" si="21"/>
        <v>1</v>
      </c>
    </row>
    <row r="167" spans="1:23">
      <c r="A167" s="24" t="str">
        <f t="shared" si="18"/>
        <v>11104_3-4/27&lt;lv35&gt;s1</v>
      </c>
      <c r="B167" s="19">
        <f t="shared" si="22"/>
        <v>11104</v>
      </c>
      <c r="C167" s="19">
        <f t="shared" si="22"/>
        <v>3</v>
      </c>
      <c r="D167" s="19">
        <f t="shared" si="22"/>
        <v>4</v>
      </c>
      <c r="E167" s="19">
        <f t="shared" si="22"/>
        <v>27</v>
      </c>
      <c r="F167" s="19">
        <f t="shared" si="22"/>
        <v>35</v>
      </c>
      <c r="G167" s="19">
        <f t="shared" si="22"/>
        <v>1</v>
      </c>
      <c r="H167" s="19">
        <f t="shared" si="22"/>
        <v>1</v>
      </c>
      <c r="I167" s="19">
        <f t="shared" si="22"/>
        <v>0</v>
      </c>
      <c r="J167" s="19">
        <f t="shared" si="22"/>
        <v>0</v>
      </c>
      <c r="K167" s="19">
        <f t="shared" si="22"/>
        <v>0</v>
      </c>
      <c r="L167" s="19">
        <f t="shared" si="22"/>
        <v>100</v>
      </c>
      <c r="M167" s="19">
        <f t="shared" si="22"/>
        <v>0</v>
      </c>
      <c r="N167" s="19">
        <f t="shared" si="22"/>
        <v>1</v>
      </c>
      <c r="O167" s="19">
        <f t="shared" si="22"/>
        <v>27</v>
      </c>
      <c r="P167" s="19">
        <f t="shared" si="22"/>
        <v>1</v>
      </c>
      <c r="Q167" s="19">
        <f t="shared" si="22"/>
        <v>1</v>
      </c>
      <c r="R167" s="19">
        <f t="shared" si="21"/>
        <v>0</v>
      </c>
      <c r="S167" s="19">
        <f t="shared" si="21"/>
        <v>0</v>
      </c>
      <c r="T167" s="19">
        <f t="shared" si="21"/>
        <v>0</v>
      </c>
      <c r="U167" s="19">
        <f t="shared" si="21"/>
        <v>0</v>
      </c>
      <c r="V167" s="19">
        <f t="shared" si="21"/>
        <v>0</v>
      </c>
      <c r="W167" s="19">
        <f t="shared" si="21"/>
        <v>1</v>
      </c>
    </row>
    <row r="168" spans="1:23">
      <c r="A168" s="24" t="str">
        <f t="shared" si="18"/>
        <v>11104_3-4/336&lt;lv1&gt;s1</v>
      </c>
      <c r="B168" s="19">
        <f t="shared" si="22"/>
        <v>11104</v>
      </c>
      <c r="C168" s="19">
        <f t="shared" si="22"/>
        <v>3</v>
      </c>
      <c r="D168" s="19">
        <f t="shared" si="22"/>
        <v>4</v>
      </c>
      <c r="E168" s="19">
        <f t="shared" si="22"/>
        <v>336</v>
      </c>
      <c r="F168" s="19">
        <f t="shared" si="22"/>
        <v>1</v>
      </c>
      <c r="G168" s="19">
        <f t="shared" si="22"/>
        <v>1</v>
      </c>
      <c r="H168" s="19">
        <f t="shared" si="22"/>
        <v>1</v>
      </c>
      <c r="I168" s="19">
        <f t="shared" si="22"/>
        <v>0</v>
      </c>
      <c r="J168" s="19">
        <f t="shared" si="22"/>
        <v>0</v>
      </c>
      <c r="K168" s="19">
        <f t="shared" si="22"/>
        <v>0</v>
      </c>
      <c r="L168" s="19">
        <f t="shared" si="22"/>
        <v>30</v>
      </c>
      <c r="M168" s="19">
        <f t="shared" si="22"/>
        <v>0</v>
      </c>
      <c r="N168" s="19">
        <f t="shared" si="22"/>
        <v>1</v>
      </c>
      <c r="O168" s="19">
        <f t="shared" si="22"/>
        <v>336</v>
      </c>
      <c r="P168" s="19">
        <f t="shared" si="22"/>
        <v>1</v>
      </c>
      <c r="Q168" s="19">
        <f t="shared" si="22"/>
        <v>3</v>
      </c>
      <c r="R168" s="19">
        <f t="shared" si="21"/>
        <v>10</v>
      </c>
      <c r="S168" s="19">
        <f t="shared" si="21"/>
        <v>0</v>
      </c>
      <c r="T168" s="19">
        <f t="shared" si="21"/>
        <v>0</v>
      </c>
      <c r="U168" s="19">
        <f t="shared" si="21"/>
        <v>0</v>
      </c>
      <c r="V168" s="19">
        <f t="shared" si="21"/>
        <v>0</v>
      </c>
      <c r="W168" s="19">
        <f t="shared" si="21"/>
        <v>1</v>
      </c>
    </row>
    <row r="169" spans="1:23">
      <c r="A169" s="24" t="str">
        <f t="shared" si="18"/>
        <v>11104_3-4/337&lt;lv1&gt;s2</v>
      </c>
      <c r="B169" s="19">
        <f t="shared" si="22"/>
        <v>11104</v>
      </c>
      <c r="C169" s="19">
        <f t="shared" si="22"/>
        <v>3</v>
      </c>
      <c r="D169" s="19">
        <f t="shared" si="22"/>
        <v>4</v>
      </c>
      <c r="E169" s="19">
        <f t="shared" si="22"/>
        <v>337</v>
      </c>
      <c r="F169" s="19">
        <f t="shared" si="22"/>
        <v>1</v>
      </c>
      <c r="G169" s="19">
        <f t="shared" si="22"/>
        <v>1</v>
      </c>
      <c r="H169" s="19">
        <f t="shared" si="22"/>
        <v>1</v>
      </c>
      <c r="I169" s="19">
        <f t="shared" si="22"/>
        <v>0</v>
      </c>
      <c r="J169" s="19">
        <f t="shared" si="22"/>
        <v>0</v>
      </c>
      <c r="K169" s="19">
        <f t="shared" si="22"/>
        <v>0</v>
      </c>
      <c r="L169" s="19">
        <f t="shared" si="22"/>
        <v>30</v>
      </c>
      <c r="M169" s="19">
        <f t="shared" si="22"/>
        <v>0</v>
      </c>
      <c r="N169" s="19">
        <f t="shared" si="22"/>
        <v>2</v>
      </c>
      <c r="O169" s="19">
        <f t="shared" si="22"/>
        <v>337</v>
      </c>
      <c r="P169" s="19">
        <f t="shared" si="22"/>
        <v>1</v>
      </c>
      <c r="Q169" s="19">
        <f t="shared" si="22"/>
        <v>4</v>
      </c>
      <c r="R169" s="19">
        <f t="shared" si="21"/>
        <v>5</v>
      </c>
      <c r="S169" s="19">
        <f t="shared" si="21"/>
        <v>0</v>
      </c>
      <c r="T169" s="19">
        <f t="shared" si="21"/>
        <v>0</v>
      </c>
      <c r="U169" s="19">
        <f t="shared" si="21"/>
        <v>0</v>
      </c>
      <c r="V169" s="19">
        <f t="shared" si="21"/>
        <v>0</v>
      </c>
      <c r="W169" s="19">
        <f t="shared" si="21"/>
        <v>1</v>
      </c>
    </row>
    <row r="170" spans="1:23">
      <c r="A170" s="24" t="str">
        <f t="shared" si="18"/>
        <v>11104_3-5/107&lt;lv30&gt;s1</v>
      </c>
      <c r="B170" s="19">
        <f t="shared" si="22"/>
        <v>11104</v>
      </c>
      <c r="C170" s="19">
        <f t="shared" si="22"/>
        <v>3</v>
      </c>
      <c r="D170" s="19">
        <f t="shared" si="22"/>
        <v>5</v>
      </c>
      <c r="E170" s="19">
        <f t="shared" si="22"/>
        <v>107</v>
      </c>
      <c r="F170" s="19">
        <f t="shared" si="22"/>
        <v>30</v>
      </c>
      <c r="G170" s="19">
        <f t="shared" si="22"/>
        <v>2</v>
      </c>
      <c r="H170" s="19">
        <f t="shared" si="22"/>
        <v>1</v>
      </c>
      <c r="I170" s="19">
        <f t="shared" si="22"/>
        <v>0</v>
      </c>
      <c r="J170" s="19">
        <f t="shared" si="22"/>
        <v>0</v>
      </c>
      <c r="K170" s="19">
        <f t="shared" si="22"/>
        <v>1</v>
      </c>
      <c r="L170" s="19">
        <f t="shared" si="22"/>
        <v>100</v>
      </c>
      <c r="M170" s="19">
        <f t="shared" si="22"/>
        <v>1</v>
      </c>
      <c r="N170" s="19">
        <f t="shared" si="22"/>
        <v>1</v>
      </c>
      <c r="O170" s="19">
        <f t="shared" si="22"/>
        <v>107</v>
      </c>
      <c r="P170" s="19">
        <f t="shared" si="22"/>
        <v>1</v>
      </c>
      <c r="Q170" s="19">
        <f t="shared" si="22"/>
        <v>4</v>
      </c>
      <c r="R170" s="19">
        <f t="shared" si="21"/>
        <v>100</v>
      </c>
      <c r="S170" s="19">
        <f t="shared" si="21"/>
        <v>0</v>
      </c>
      <c r="T170" s="19">
        <f t="shared" si="21"/>
        <v>0</v>
      </c>
      <c r="U170" s="19">
        <f t="shared" si="21"/>
        <v>0</v>
      </c>
      <c r="V170" s="19">
        <f t="shared" si="21"/>
        <v>0</v>
      </c>
      <c r="W170" s="19">
        <f t="shared" si="21"/>
        <v>1</v>
      </c>
    </row>
    <row r="171" spans="1:23">
      <c r="A171" s="24" t="str">
        <f t="shared" si="18"/>
        <v>11104_3-5/128&lt;lv30&gt;s2</v>
      </c>
      <c r="B171" s="19">
        <f t="shared" si="22"/>
        <v>11104</v>
      </c>
      <c r="C171" s="19">
        <f t="shared" si="22"/>
        <v>3</v>
      </c>
      <c r="D171" s="19">
        <f t="shared" si="22"/>
        <v>5</v>
      </c>
      <c r="E171" s="19">
        <f t="shared" si="22"/>
        <v>128</v>
      </c>
      <c r="F171" s="19">
        <f t="shared" si="22"/>
        <v>30</v>
      </c>
      <c r="G171" s="19">
        <f t="shared" si="22"/>
        <v>1</v>
      </c>
      <c r="H171" s="19">
        <f t="shared" si="22"/>
        <v>1</v>
      </c>
      <c r="I171" s="19">
        <f t="shared" si="22"/>
        <v>0</v>
      </c>
      <c r="J171" s="19">
        <f t="shared" si="22"/>
        <v>128</v>
      </c>
      <c r="K171" s="19">
        <f t="shared" si="22"/>
        <v>0</v>
      </c>
      <c r="L171" s="19">
        <f t="shared" si="22"/>
        <v>100</v>
      </c>
      <c r="M171" s="19">
        <f t="shared" si="22"/>
        <v>1</v>
      </c>
      <c r="N171" s="19">
        <f t="shared" si="22"/>
        <v>2</v>
      </c>
      <c r="O171" s="19">
        <f t="shared" si="22"/>
        <v>128</v>
      </c>
      <c r="P171" s="19">
        <f t="shared" si="22"/>
        <v>1</v>
      </c>
      <c r="Q171" s="19">
        <f t="shared" ref="Q171:W186" si="23">VLOOKUP($A171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3</v>
      </c>
      <c r="R171" s="19">
        <f t="shared" si="23"/>
        <v>0</v>
      </c>
      <c r="S171" s="19">
        <f t="shared" si="23"/>
        <v>0</v>
      </c>
      <c r="T171" s="19">
        <f t="shared" si="23"/>
        <v>0</v>
      </c>
      <c r="U171" s="19">
        <f t="shared" si="23"/>
        <v>0</v>
      </c>
      <c r="V171" s="19">
        <f t="shared" si="23"/>
        <v>0</v>
      </c>
      <c r="W171" s="19">
        <f t="shared" si="23"/>
        <v>1</v>
      </c>
    </row>
    <row r="172" spans="1:23">
      <c r="A172" s="24" t="str">
        <f t="shared" si="18"/>
        <v>11104_3-5/136&lt;lv30&gt;s4</v>
      </c>
      <c r="B172" s="19">
        <f t="shared" ref="B172:Q187" si="24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11104</v>
      </c>
      <c r="C172" s="19">
        <f t="shared" si="24"/>
        <v>3</v>
      </c>
      <c r="D172" s="19">
        <f t="shared" si="24"/>
        <v>5</v>
      </c>
      <c r="E172" s="19">
        <f t="shared" si="24"/>
        <v>136</v>
      </c>
      <c r="F172" s="19">
        <f t="shared" si="24"/>
        <v>30</v>
      </c>
      <c r="G172" s="19">
        <f t="shared" si="24"/>
        <v>1</v>
      </c>
      <c r="H172" s="19">
        <f t="shared" si="24"/>
        <v>1</v>
      </c>
      <c r="I172" s="19">
        <f t="shared" si="24"/>
        <v>0</v>
      </c>
      <c r="J172" s="19">
        <f t="shared" si="24"/>
        <v>136</v>
      </c>
      <c r="K172" s="19">
        <f t="shared" si="24"/>
        <v>0</v>
      </c>
      <c r="L172" s="19">
        <f t="shared" si="24"/>
        <v>100</v>
      </c>
      <c r="M172" s="19">
        <f t="shared" si="24"/>
        <v>1</v>
      </c>
      <c r="N172" s="19">
        <f t="shared" si="24"/>
        <v>4</v>
      </c>
      <c r="O172" s="19">
        <f t="shared" si="24"/>
        <v>136</v>
      </c>
      <c r="P172" s="19">
        <f t="shared" si="24"/>
        <v>1</v>
      </c>
      <c r="Q172" s="19">
        <f t="shared" si="24"/>
        <v>3</v>
      </c>
      <c r="R172" s="19">
        <f t="shared" si="23"/>
        <v>0</v>
      </c>
      <c r="S172" s="19">
        <f t="shared" si="23"/>
        <v>0</v>
      </c>
      <c r="T172" s="19">
        <f t="shared" si="23"/>
        <v>0</v>
      </c>
      <c r="U172" s="19">
        <f t="shared" si="23"/>
        <v>0</v>
      </c>
      <c r="V172" s="19">
        <f t="shared" si="23"/>
        <v>0</v>
      </c>
      <c r="W172" s="19">
        <f t="shared" si="23"/>
        <v>1</v>
      </c>
    </row>
    <row r="173" spans="1:23">
      <c r="A173" s="24" t="str">
        <f t="shared" si="18"/>
        <v>11104_3-5/144&lt;lv30&gt;s2</v>
      </c>
      <c r="B173" s="19">
        <f t="shared" si="24"/>
        <v>11104</v>
      </c>
      <c r="C173" s="19">
        <f t="shared" si="24"/>
        <v>3</v>
      </c>
      <c r="D173" s="19">
        <f t="shared" si="24"/>
        <v>5</v>
      </c>
      <c r="E173" s="19">
        <f t="shared" si="24"/>
        <v>144</v>
      </c>
      <c r="F173" s="19">
        <f t="shared" si="24"/>
        <v>30</v>
      </c>
      <c r="G173" s="19">
        <f t="shared" si="24"/>
        <v>1</v>
      </c>
      <c r="H173" s="19">
        <f t="shared" si="24"/>
        <v>1</v>
      </c>
      <c r="I173" s="19">
        <f t="shared" si="24"/>
        <v>0</v>
      </c>
      <c r="J173" s="19">
        <f t="shared" si="24"/>
        <v>0</v>
      </c>
      <c r="K173" s="19">
        <f t="shared" si="24"/>
        <v>0</v>
      </c>
      <c r="L173" s="19">
        <f t="shared" si="24"/>
        <v>100</v>
      </c>
      <c r="M173" s="19">
        <f t="shared" si="24"/>
        <v>1</v>
      </c>
      <c r="N173" s="19">
        <f t="shared" si="24"/>
        <v>2</v>
      </c>
      <c r="O173" s="19">
        <f t="shared" si="24"/>
        <v>144</v>
      </c>
      <c r="P173" s="19">
        <f t="shared" si="24"/>
        <v>1</v>
      </c>
      <c r="Q173" s="19">
        <f t="shared" si="24"/>
        <v>3</v>
      </c>
      <c r="R173" s="19">
        <f t="shared" si="23"/>
        <v>0</v>
      </c>
      <c r="S173" s="19">
        <f t="shared" si="23"/>
        <v>0</v>
      </c>
      <c r="T173" s="19">
        <f t="shared" si="23"/>
        <v>0</v>
      </c>
      <c r="U173" s="19">
        <f t="shared" si="23"/>
        <v>0</v>
      </c>
      <c r="V173" s="19">
        <f t="shared" si="23"/>
        <v>0</v>
      </c>
      <c r="W173" s="19">
        <f t="shared" si="23"/>
        <v>1</v>
      </c>
    </row>
    <row r="174" spans="1:23">
      <c r="A174" s="24" t="str">
        <f t="shared" si="18"/>
        <v>11104_3-5/152&lt;lv30&gt;s1</v>
      </c>
      <c r="B174" s="19">
        <f t="shared" si="24"/>
        <v>11104</v>
      </c>
      <c r="C174" s="19">
        <f t="shared" si="24"/>
        <v>3</v>
      </c>
      <c r="D174" s="19">
        <f t="shared" si="24"/>
        <v>5</v>
      </c>
      <c r="E174" s="19">
        <f t="shared" si="24"/>
        <v>152</v>
      </c>
      <c r="F174" s="19">
        <f t="shared" si="24"/>
        <v>30</v>
      </c>
      <c r="G174" s="19">
        <f t="shared" si="24"/>
        <v>1</v>
      </c>
      <c r="H174" s="19">
        <f t="shared" si="24"/>
        <v>1</v>
      </c>
      <c r="I174" s="19">
        <f t="shared" si="24"/>
        <v>0</v>
      </c>
      <c r="J174" s="19">
        <f t="shared" si="24"/>
        <v>152</v>
      </c>
      <c r="K174" s="19">
        <f t="shared" si="24"/>
        <v>0</v>
      </c>
      <c r="L174" s="19">
        <f t="shared" si="24"/>
        <v>100</v>
      </c>
      <c r="M174" s="19">
        <f t="shared" si="24"/>
        <v>1</v>
      </c>
      <c r="N174" s="19">
        <f t="shared" si="24"/>
        <v>1</v>
      </c>
      <c r="O174" s="19">
        <f t="shared" si="24"/>
        <v>152</v>
      </c>
      <c r="P174" s="19">
        <f t="shared" si="24"/>
        <v>1</v>
      </c>
      <c r="Q174" s="19">
        <f t="shared" si="24"/>
        <v>3</v>
      </c>
      <c r="R174" s="19">
        <f t="shared" si="23"/>
        <v>0</v>
      </c>
      <c r="S174" s="19">
        <f t="shared" si="23"/>
        <v>0</v>
      </c>
      <c r="T174" s="19">
        <f t="shared" si="23"/>
        <v>0</v>
      </c>
      <c r="U174" s="19">
        <f t="shared" si="23"/>
        <v>0</v>
      </c>
      <c r="V174" s="19">
        <f t="shared" si="23"/>
        <v>0</v>
      </c>
      <c r="W174" s="19">
        <f t="shared" si="23"/>
        <v>1</v>
      </c>
    </row>
    <row r="175" spans="1:23">
      <c r="A175" s="24" t="str">
        <f t="shared" si="18"/>
        <v>11105_1-1/33&lt;lv42&gt;s2</v>
      </c>
      <c r="B175" s="19">
        <f t="shared" si="24"/>
        <v>11105</v>
      </c>
      <c r="C175" s="19">
        <f t="shared" si="24"/>
        <v>1</v>
      </c>
      <c r="D175" s="19">
        <f t="shared" si="24"/>
        <v>1</v>
      </c>
      <c r="E175" s="19">
        <f t="shared" si="24"/>
        <v>33</v>
      </c>
      <c r="F175" s="19">
        <f t="shared" si="24"/>
        <v>42</v>
      </c>
      <c r="G175" s="19">
        <f t="shared" si="24"/>
        <v>1</v>
      </c>
      <c r="H175" s="19">
        <f t="shared" si="24"/>
        <v>1</v>
      </c>
      <c r="I175" s="19">
        <f t="shared" si="24"/>
        <v>0</v>
      </c>
      <c r="J175" s="19">
        <f t="shared" si="24"/>
        <v>33</v>
      </c>
      <c r="K175" s="19">
        <f t="shared" si="24"/>
        <v>0</v>
      </c>
      <c r="L175" s="19">
        <f t="shared" si="24"/>
        <v>100</v>
      </c>
      <c r="M175" s="19">
        <f t="shared" si="24"/>
        <v>0</v>
      </c>
      <c r="N175" s="19">
        <f t="shared" si="24"/>
        <v>2</v>
      </c>
      <c r="O175" s="19">
        <f t="shared" si="24"/>
        <v>33</v>
      </c>
      <c r="P175" s="19">
        <f t="shared" si="24"/>
        <v>1</v>
      </c>
      <c r="Q175" s="19">
        <f t="shared" si="24"/>
        <v>2</v>
      </c>
      <c r="R175" s="19">
        <f t="shared" si="23"/>
        <v>0</v>
      </c>
      <c r="S175" s="19">
        <f t="shared" si="23"/>
        <v>0</v>
      </c>
      <c r="T175" s="19">
        <f t="shared" si="23"/>
        <v>0</v>
      </c>
      <c r="U175" s="19">
        <f t="shared" si="23"/>
        <v>0</v>
      </c>
      <c r="V175" s="19">
        <f t="shared" si="23"/>
        <v>0</v>
      </c>
      <c r="W175" s="19">
        <f t="shared" si="23"/>
        <v>1</v>
      </c>
    </row>
    <row r="176" spans="1:23">
      <c r="A176" s="24" t="str">
        <f t="shared" si="18"/>
        <v>11105_1-1/21&lt;lv42&gt;s2</v>
      </c>
      <c r="B176" s="19">
        <f t="shared" si="24"/>
        <v>11105</v>
      </c>
      <c r="C176" s="19">
        <f t="shared" si="24"/>
        <v>1</v>
      </c>
      <c r="D176" s="19">
        <f t="shared" si="24"/>
        <v>1</v>
      </c>
      <c r="E176" s="19">
        <f t="shared" si="24"/>
        <v>21</v>
      </c>
      <c r="F176" s="19">
        <f t="shared" si="24"/>
        <v>42</v>
      </c>
      <c r="G176" s="19">
        <f t="shared" si="24"/>
        <v>1</v>
      </c>
      <c r="H176" s="19">
        <f t="shared" si="24"/>
        <v>1</v>
      </c>
      <c r="I176" s="19">
        <f t="shared" si="24"/>
        <v>0</v>
      </c>
      <c r="J176" s="19">
        <f t="shared" si="24"/>
        <v>0</v>
      </c>
      <c r="K176" s="19">
        <f t="shared" si="24"/>
        <v>0</v>
      </c>
      <c r="L176" s="19">
        <f t="shared" si="24"/>
        <v>100</v>
      </c>
      <c r="M176" s="19">
        <f t="shared" si="24"/>
        <v>0</v>
      </c>
      <c r="N176" s="19">
        <f t="shared" si="24"/>
        <v>2</v>
      </c>
      <c r="O176" s="19">
        <f t="shared" si="24"/>
        <v>21</v>
      </c>
      <c r="P176" s="19">
        <f t="shared" si="24"/>
        <v>1</v>
      </c>
      <c r="Q176" s="19">
        <f t="shared" si="24"/>
        <v>1</v>
      </c>
      <c r="R176" s="19">
        <f t="shared" si="23"/>
        <v>0</v>
      </c>
      <c r="S176" s="19">
        <f t="shared" si="23"/>
        <v>0</v>
      </c>
      <c r="T176" s="19">
        <f t="shared" si="23"/>
        <v>0</v>
      </c>
      <c r="U176" s="19">
        <f t="shared" si="23"/>
        <v>0</v>
      </c>
      <c r="V176" s="19">
        <f t="shared" si="23"/>
        <v>0</v>
      </c>
      <c r="W176" s="19">
        <f t="shared" si="23"/>
        <v>1</v>
      </c>
    </row>
    <row r="177" spans="1:23">
      <c r="A177" s="24" t="str">
        <f t="shared" si="18"/>
        <v>11105_1-2/33&lt;lv42&gt;s2</v>
      </c>
      <c r="B177" s="19">
        <f t="shared" si="24"/>
        <v>11105</v>
      </c>
      <c r="C177" s="19">
        <f t="shared" si="24"/>
        <v>1</v>
      </c>
      <c r="D177" s="19">
        <f t="shared" si="24"/>
        <v>2</v>
      </c>
      <c r="E177" s="19">
        <f t="shared" si="24"/>
        <v>33</v>
      </c>
      <c r="F177" s="19">
        <f t="shared" si="24"/>
        <v>42</v>
      </c>
      <c r="G177" s="19">
        <f t="shared" si="24"/>
        <v>1</v>
      </c>
      <c r="H177" s="19">
        <f t="shared" si="24"/>
        <v>1</v>
      </c>
      <c r="I177" s="19">
        <f t="shared" si="24"/>
        <v>0</v>
      </c>
      <c r="J177" s="19">
        <f t="shared" si="24"/>
        <v>33</v>
      </c>
      <c r="K177" s="19">
        <f t="shared" si="24"/>
        <v>0</v>
      </c>
      <c r="L177" s="19">
        <f t="shared" si="24"/>
        <v>100</v>
      </c>
      <c r="M177" s="19">
        <f t="shared" si="24"/>
        <v>0</v>
      </c>
      <c r="N177" s="19">
        <f t="shared" si="24"/>
        <v>2</v>
      </c>
      <c r="O177" s="19">
        <f t="shared" si="24"/>
        <v>33</v>
      </c>
      <c r="P177" s="19">
        <f t="shared" si="24"/>
        <v>1</v>
      </c>
      <c r="Q177" s="19">
        <f t="shared" si="24"/>
        <v>2</v>
      </c>
      <c r="R177" s="19">
        <f t="shared" si="23"/>
        <v>0</v>
      </c>
      <c r="S177" s="19">
        <f t="shared" si="23"/>
        <v>0</v>
      </c>
      <c r="T177" s="19">
        <f t="shared" si="23"/>
        <v>0</v>
      </c>
      <c r="U177" s="19">
        <f t="shared" si="23"/>
        <v>0</v>
      </c>
      <c r="V177" s="19">
        <f t="shared" si="23"/>
        <v>0</v>
      </c>
      <c r="W177" s="19">
        <f t="shared" si="23"/>
        <v>1</v>
      </c>
    </row>
    <row r="178" spans="1:23">
      <c r="A178" s="24" t="str">
        <f t="shared" si="18"/>
        <v>11105_1-2/21&lt;lv42&gt;s2</v>
      </c>
      <c r="B178" s="19">
        <f t="shared" si="24"/>
        <v>11105</v>
      </c>
      <c r="C178" s="19">
        <f t="shared" si="24"/>
        <v>1</v>
      </c>
      <c r="D178" s="19">
        <f t="shared" si="24"/>
        <v>2</v>
      </c>
      <c r="E178" s="19">
        <f t="shared" si="24"/>
        <v>21</v>
      </c>
      <c r="F178" s="19">
        <f t="shared" si="24"/>
        <v>42</v>
      </c>
      <c r="G178" s="19">
        <f t="shared" si="24"/>
        <v>1</v>
      </c>
      <c r="H178" s="19">
        <f t="shared" si="24"/>
        <v>1</v>
      </c>
      <c r="I178" s="19">
        <f t="shared" si="24"/>
        <v>0</v>
      </c>
      <c r="J178" s="19">
        <f t="shared" si="24"/>
        <v>0</v>
      </c>
      <c r="K178" s="19">
        <f t="shared" si="24"/>
        <v>0</v>
      </c>
      <c r="L178" s="19">
        <f t="shared" si="24"/>
        <v>100</v>
      </c>
      <c r="M178" s="19">
        <f t="shared" si="24"/>
        <v>0</v>
      </c>
      <c r="N178" s="19">
        <f t="shared" si="24"/>
        <v>2</v>
      </c>
      <c r="O178" s="19">
        <f t="shared" si="24"/>
        <v>21</v>
      </c>
      <c r="P178" s="19">
        <f t="shared" si="24"/>
        <v>1</v>
      </c>
      <c r="Q178" s="19">
        <f t="shared" si="24"/>
        <v>1</v>
      </c>
      <c r="R178" s="19">
        <f t="shared" si="23"/>
        <v>0</v>
      </c>
      <c r="S178" s="19">
        <f t="shared" si="23"/>
        <v>0</v>
      </c>
      <c r="T178" s="19">
        <f t="shared" si="23"/>
        <v>0</v>
      </c>
      <c r="U178" s="19">
        <f t="shared" si="23"/>
        <v>0</v>
      </c>
      <c r="V178" s="19">
        <f t="shared" si="23"/>
        <v>0</v>
      </c>
      <c r="W178" s="19">
        <f t="shared" si="23"/>
        <v>1</v>
      </c>
    </row>
    <row r="179" spans="1:23">
      <c r="A179" s="24" t="str">
        <f t="shared" si="18"/>
        <v>11105_1-2/332&lt;lv1&gt;s1</v>
      </c>
      <c r="B179" s="19">
        <f t="shared" si="24"/>
        <v>11105</v>
      </c>
      <c r="C179" s="19">
        <f t="shared" si="24"/>
        <v>1</v>
      </c>
      <c r="D179" s="19">
        <f t="shared" si="24"/>
        <v>2</v>
      </c>
      <c r="E179" s="19">
        <f t="shared" si="24"/>
        <v>332</v>
      </c>
      <c r="F179" s="19">
        <f t="shared" si="24"/>
        <v>1</v>
      </c>
      <c r="G179" s="19">
        <f t="shared" si="24"/>
        <v>1</v>
      </c>
      <c r="H179" s="19">
        <f t="shared" si="24"/>
        <v>1</v>
      </c>
      <c r="I179" s="19">
        <f t="shared" si="24"/>
        <v>0</v>
      </c>
      <c r="J179" s="19">
        <f t="shared" si="24"/>
        <v>0</v>
      </c>
      <c r="K179" s="19">
        <f t="shared" si="24"/>
        <v>0</v>
      </c>
      <c r="L179" s="19">
        <f t="shared" si="24"/>
        <v>20</v>
      </c>
      <c r="M179" s="19">
        <f t="shared" si="24"/>
        <v>0</v>
      </c>
      <c r="N179" s="19">
        <f t="shared" si="24"/>
        <v>1</v>
      </c>
      <c r="O179" s="19">
        <f t="shared" si="24"/>
        <v>332</v>
      </c>
      <c r="P179" s="19">
        <f t="shared" si="24"/>
        <v>1</v>
      </c>
      <c r="Q179" s="19">
        <f t="shared" si="24"/>
        <v>3</v>
      </c>
      <c r="R179" s="19">
        <f t="shared" si="23"/>
        <v>10</v>
      </c>
      <c r="S179" s="19">
        <f t="shared" si="23"/>
        <v>0</v>
      </c>
      <c r="T179" s="19">
        <f t="shared" si="23"/>
        <v>0</v>
      </c>
      <c r="U179" s="19">
        <f t="shared" si="23"/>
        <v>0</v>
      </c>
      <c r="V179" s="19">
        <f t="shared" si="23"/>
        <v>0</v>
      </c>
      <c r="W179" s="19">
        <f t="shared" si="23"/>
        <v>1</v>
      </c>
    </row>
    <row r="180" spans="1:23">
      <c r="A180" s="24" t="str">
        <f t="shared" si="18"/>
        <v>11105_1-2/333&lt;lv1&gt;s2</v>
      </c>
      <c r="B180" s="19">
        <f t="shared" si="24"/>
        <v>11105</v>
      </c>
      <c r="C180" s="19">
        <f t="shared" si="24"/>
        <v>1</v>
      </c>
      <c r="D180" s="19">
        <f t="shared" si="24"/>
        <v>2</v>
      </c>
      <c r="E180" s="19">
        <f t="shared" si="24"/>
        <v>333</v>
      </c>
      <c r="F180" s="19">
        <f t="shared" si="24"/>
        <v>1</v>
      </c>
      <c r="G180" s="19">
        <f t="shared" si="24"/>
        <v>1</v>
      </c>
      <c r="H180" s="19">
        <f t="shared" si="24"/>
        <v>1</v>
      </c>
      <c r="I180" s="19">
        <f t="shared" si="24"/>
        <v>0</v>
      </c>
      <c r="J180" s="19">
        <f t="shared" si="24"/>
        <v>0</v>
      </c>
      <c r="K180" s="19">
        <f t="shared" si="24"/>
        <v>0</v>
      </c>
      <c r="L180" s="19">
        <f t="shared" si="24"/>
        <v>10</v>
      </c>
      <c r="M180" s="19">
        <f t="shared" si="24"/>
        <v>0</v>
      </c>
      <c r="N180" s="19">
        <f t="shared" si="24"/>
        <v>2</v>
      </c>
      <c r="O180" s="19">
        <f t="shared" si="24"/>
        <v>333</v>
      </c>
      <c r="P180" s="19">
        <f t="shared" si="24"/>
        <v>1</v>
      </c>
      <c r="Q180" s="19">
        <f t="shared" si="24"/>
        <v>4</v>
      </c>
      <c r="R180" s="19">
        <f t="shared" si="23"/>
        <v>5</v>
      </c>
      <c r="S180" s="19">
        <f t="shared" si="23"/>
        <v>0</v>
      </c>
      <c r="T180" s="19">
        <f t="shared" si="23"/>
        <v>0</v>
      </c>
      <c r="U180" s="19">
        <f t="shared" si="23"/>
        <v>0</v>
      </c>
      <c r="V180" s="19">
        <f t="shared" si="23"/>
        <v>0</v>
      </c>
      <c r="W180" s="19">
        <f t="shared" si="23"/>
        <v>1</v>
      </c>
    </row>
    <row r="181" spans="1:23">
      <c r="A181" s="24" t="str">
        <f t="shared" si="18"/>
        <v>11105_1-3/135&lt;lv50&gt;s3</v>
      </c>
      <c r="B181" s="19">
        <f t="shared" si="24"/>
        <v>11105</v>
      </c>
      <c r="C181" s="19">
        <f t="shared" si="24"/>
        <v>1</v>
      </c>
      <c r="D181" s="19">
        <f t="shared" si="24"/>
        <v>3</v>
      </c>
      <c r="E181" s="19">
        <f t="shared" si="24"/>
        <v>135</v>
      </c>
      <c r="F181" s="19">
        <f t="shared" si="24"/>
        <v>50</v>
      </c>
      <c r="G181" s="19">
        <f t="shared" si="24"/>
        <v>1</v>
      </c>
      <c r="H181" s="19">
        <f t="shared" si="24"/>
        <v>1</v>
      </c>
      <c r="I181" s="19">
        <f t="shared" si="24"/>
        <v>0</v>
      </c>
      <c r="J181" s="19">
        <f t="shared" si="24"/>
        <v>134</v>
      </c>
      <c r="K181" s="19">
        <f t="shared" si="24"/>
        <v>0</v>
      </c>
      <c r="L181" s="19">
        <f t="shared" si="24"/>
        <v>80</v>
      </c>
      <c r="M181" s="19">
        <f t="shared" si="24"/>
        <v>1</v>
      </c>
      <c r="N181" s="19">
        <f t="shared" si="24"/>
        <v>3</v>
      </c>
      <c r="O181" s="19">
        <f t="shared" si="24"/>
        <v>134</v>
      </c>
      <c r="P181" s="19">
        <f t="shared" si="24"/>
        <v>1</v>
      </c>
      <c r="Q181" s="19">
        <f t="shared" si="24"/>
        <v>3</v>
      </c>
      <c r="R181" s="19">
        <f t="shared" si="23"/>
        <v>0</v>
      </c>
      <c r="S181" s="19">
        <f t="shared" si="23"/>
        <v>0</v>
      </c>
      <c r="T181" s="19">
        <f t="shared" si="23"/>
        <v>0</v>
      </c>
      <c r="U181" s="19">
        <f t="shared" si="23"/>
        <v>0</v>
      </c>
      <c r="V181" s="19">
        <f t="shared" si="23"/>
        <v>0</v>
      </c>
      <c r="W181" s="19">
        <f t="shared" si="23"/>
        <v>1</v>
      </c>
    </row>
    <row r="182" spans="1:23">
      <c r="A182" s="24" t="str">
        <f t="shared" si="18"/>
        <v>11105_1-3/334&lt;lv1&gt;s3</v>
      </c>
      <c r="B182" s="19">
        <f t="shared" si="24"/>
        <v>11105</v>
      </c>
      <c r="C182" s="19">
        <f t="shared" si="24"/>
        <v>1</v>
      </c>
      <c r="D182" s="19">
        <f t="shared" si="24"/>
        <v>3</v>
      </c>
      <c r="E182" s="19">
        <f t="shared" si="24"/>
        <v>334</v>
      </c>
      <c r="F182" s="19">
        <f t="shared" si="24"/>
        <v>1</v>
      </c>
      <c r="G182" s="19">
        <f t="shared" si="24"/>
        <v>1</v>
      </c>
      <c r="H182" s="19">
        <f t="shared" si="24"/>
        <v>1</v>
      </c>
      <c r="I182" s="19">
        <f t="shared" si="24"/>
        <v>0</v>
      </c>
      <c r="J182" s="19">
        <f t="shared" si="24"/>
        <v>0</v>
      </c>
      <c r="K182" s="19">
        <f t="shared" si="24"/>
        <v>0</v>
      </c>
      <c r="L182" s="19">
        <f t="shared" si="24"/>
        <v>20</v>
      </c>
      <c r="M182" s="19">
        <f t="shared" si="24"/>
        <v>1</v>
      </c>
      <c r="N182" s="19">
        <f t="shared" si="24"/>
        <v>3</v>
      </c>
      <c r="O182" s="19">
        <f t="shared" si="24"/>
        <v>334</v>
      </c>
      <c r="P182" s="19">
        <f t="shared" si="24"/>
        <v>1</v>
      </c>
      <c r="Q182" s="19">
        <f t="shared" si="24"/>
        <v>5</v>
      </c>
      <c r="R182" s="19">
        <f t="shared" si="23"/>
        <v>5</v>
      </c>
      <c r="S182" s="19">
        <f t="shared" si="23"/>
        <v>0</v>
      </c>
      <c r="T182" s="19">
        <f t="shared" si="23"/>
        <v>0</v>
      </c>
      <c r="U182" s="19">
        <f t="shared" si="23"/>
        <v>0</v>
      </c>
      <c r="V182" s="19">
        <f t="shared" si="23"/>
        <v>0</v>
      </c>
      <c r="W182" s="19">
        <f t="shared" si="23"/>
        <v>1</v>
      </c>
    </row>
    <row r="183" spans="1:23">
      <c r="A183" s="24" t="str">
        <f t="shared" si="18"/>
        <v>11105_1-3/332&lt;lv1&gt;s1</v>
      </c>
      <c r="B183" s="19">
        <f t="shared" si="24"/>
        <v>11105</v>
      </c>
      <c r="C183" s="19">
        <f t="shared" si="24"/>
        <v>1</v>
      </c>
      <c r="D183" s="19">
        <f t="shared" si="24"/>
        <v>3</v>
      </c>
      <c r="E183" s="19">
        <f t="shared" si="24"/>
        <v>332</v>
      </c>
      <c r="F183" s="19">
        <f t="shared" si="24"/>
        <v>1</v>
      </c>
      <c r="G183" s="19">
        <f t="shared" si="24"/>
        <v>1</v>
      </c>
      <c r="H183" s="19">
        <f t="shared" si="24"/>
        <v>1</v>
      </c>
      <c r="I183" s="19">
        <f t="shared" si="24"/>
        <v>0</v>
      </c>
      <c r="J183" s="19">
        <f t="shared" si="24"/>
        <v>0</v>
      </c>
      <c r="K183" s="19">
        <f t="shared" si="24"/>
        <v>1</v>
      </c>
      <c r="L183" s="19">
        <f t="shared" si="24"/>
        <v>100</v>
      </c>
      <c r="M183" s="19">
        <f t="shared" si="24"/>
        <v>0</v>
      </c>
      <c r="N183" s="19">
        <f t="shared" si="24"/>
        <v>1</v>
      </c>
      <c r="O183" s="19">
        <f t="shared" si="24"/>
        <v>332</v>
      </c>
      <c r="P183" s="19">
        <f t="shared" si="24"/>
        <v>1</v>
      </c>
      <c r="Q183" s="19">
        <f t="shared" si="24"/>
        <v>3</v>
      </c>
      <c r="R183" s="19">
        <f t="shared" si="23"/>
        <v>20</v>
      </c>
      <c r="S183" s="19">
        <f t="shared" si="23"/>
        <v>0</v>
      </c>
      <c r="T183" s="19">
        <f t="shared" si="23"/>
        <v>0</v>
      </c>
      <c r="U183" s="19">
        <f t="shared" si="23"/>
        <v>0</v>
      </c>
      <c r="V183" s="19">
        <f t="shared" si="23"/>
        <v>0</v>
      </c>
      <c r="W183" s="19">
        <f t="shared" si="23"/>
        <v>1</v>
      </c>
    </row>
    <row r="184" spans="1:23">
      <c r="A184" s="24" t="str">
        <f t="shared" si="18"/>
        <v>11105_1-3/333&lt;lv1&gt;s2</v>
      </c>
      <c r="B184" s="19">
        <f t="shared" si="24"/>
        <v>11105</v>
      </c>
      <c r="C184" s="19">
        <f t="shared" si="24"/>
        <v>1</v>
      </c>
      <c r="D184" s="19">
        <f t="shared" si="24"/>
        <v>3</v>
      </c>
      <c r="E184" s="19">
        <f t="shared" si="24"/>
        <v>333</v>
      </c>
      <c r="F184" s="19">
        <f t="shared" si="24"/>
        <v>1</v>
      </c>
      <c r="G184" s="19">
        <f t="shared" si="24"/>
        <v>1</v>
      </c>
      <c r="H184" s="19">
        <f t="shared" si="24"/>
        <v>1</v>
      </c>
      <c r="I184" s="19">
        <f t="shared" si="24"/>
        <v>0</v>
      </c>
      <c r="J184" s="19">
        <f t="shared" si="24"/>
        <v>0</v>
      </c>
      <c r="K184" s="19">
        <f t="shared" si="24"/>
        <v>1</v>
      </c>
      <c r="L184" s="19">
        <f t="shared" si="24"/>
        <v>100</v>
      </c>
      <c r="M184" s="19">
        <f t="shared" si="24"/>
        <v>0</v>
      </c>
      <c r="N184" s="19">
        <f t="shared" si="24"/>
        <v>2</v>
      </c>
      <c r="O184" s="19">
        <f t="shared" si="24"/>
        <v>333</v>
      </c>
      <c r="P184" s="19">
        <f t="shared" si="24"/>
        <v>1</v>
      </c>
      <c r="Q184" s="19">
        <f t="shared" si="24"/>
        <v>4</v>
      </c>
      <c r="R184" s="19">
        <f t="shared" si="23"/>
        <v>10</v>
      </c>
      <c r="S184" s="19">
        <f t="shared" si="23"/>
        <v>0</v>
      </c>
      <c r="T184" s="19">
        <f t="shared" si="23"/>
        <v>0</v>
      </c>
      <c r="U184" s="19">
        <f t="shared" si="23"/>
        <v>0</v>
      </c>
      <c r="V184" s="19">
        <f t="shared" si="23"/>
        <v>0</v>
      </c>
      <c r="W184" s="19">
        <f t="shared" si="23"/>
        <v>1</v>
      </c>
    </row>
    <row r="185" spans="1:23">
      <c r="A185" s="24" t="str">
        <f t="shared" si="18"/>
        <v>11105_1-4/33&lt;lv42&gt;s2</v>
      </c>
      <c r="B185" s="19">
        <f t="shared" si="24"/>
        <v>11105</v>
      </c>
      <c r="C185" s="19">
        <f t="shared" si="24"/>
        <v>1</v>
      </c>
      <c r="D185" s="19">
        <f t="shared" si="24"/>
        <v>4</v>
      </c>
      <c r="E185" s="19">
        <f t="shared" si="24"/>
        <v>33</v>
      </c>
      <c r="F185" s="19">
        <f t="shared" si="24"/>
        <v>42</v>
      </c>
      <c r="G185" s="19">
        <f t="shared" si="24"/>
        <v>1</v>
      </c>
      <c r="H185" s="19">
        <f t="shared" si="24"/>
        <v>1</v>
      </c>
      <c r="I185" s="19">
        <f t="shared" si="24"/>
        <v>0</v>
      </c>
      <c r="J185" s="19">
        <f t="shared" si="24"/>
        <v>33</v>
      </c>
      <c r="K185" s="19">
        <f t="shared" si="24"/>
        <v>0</v>
      </c>
      <c r="L185" s="19">
        <f t="shared" si="24"/>
        <v>100</v>
      </c>
      <c r="M185" s="19">
        <f t="shared" si="24"/>
        <v>0</v>
      </c>
      <c r="N185" s="19">
        <f t="shared" si="24"/>
        <v>2</v>
      </c>
      <c r="O185" s="19">
        <f t="shared" si="24"/>
        <v>33</v>
      </c>
      <c r="P185" s="19">
        <f t="shared" si="24"/>
        <v>1</v>
      </c>
      <c r="Q185" s="19">
        <f t="shared" si="24"/>
        <v>2</v>
      </c>
      <c r="R185" s="19">
        <f t="shared" si="23"/>
        <v>0</v>
      </c>
      <c r="S185" s="19">
        <f t="shared" si="23"/>
        <v>0</v>
      </c>
      <c r="T185" s="19">
        <f t="shared" si="23"/>
        <v>0</v>
      </c>
      <c r="U185" s="19">
        <f t="shared" si="23"/>
        <v>0</v>
      </c>
      <c r="V185" s="19">
        <f t="shared" si="23"/>
        <v>0</v>
      </c>
      <c r="W185" s="19">
        <f t="shared" si="23"/>
        <v>1</v>
      </c>
    </row>
    <row r="186" spans="1:23">
      <c r="A186" s="24" t="str">
        <f t="shared" si="18"/>
        <v>11105_1-4/21&lt;lv42&gt;s2</v>
      </c>
      <c r="B186" s="19">
        <f t="shared" si="24"/>
        <v>11105</v>
      </c>
      <c r="C186" s="19">
        <f t="shared" si="24"/>
        <v>1</v>
      </c>
      <c r="D186" s="19">
        <f t="shared" si="24"/>
        <v>4</v>
      </c>
      <c r="E186" s="19">
        <f t="shared" si="24"/>
        <v>21</v>
      </c>
      <c r="F186" s="19">
        <f t="shared" si="24"/>
        <v>42</v>
      </c>
      <c r="G186" s="19">
        <f t="shared" si="24"/>
        <v>1</v>
      </c>
      <c r="H186" s="19">
        <f t="shared" si="24"/>
        <v>1</v>
      </c>
      <c r="I186" s="19">
        <f t="shared" si="24"/>
        <v>0</v>
      </c>
      <c r="J186" s="19">
        <f t="shared" si="24"/>
        <v>0</v>
      </c>
      <c r="K186" s="19">
        <f t="shared" si="24"/>
        <v>0</v>
      </c>
      <c r="L186" s="19">
        <f t="shared" si="24"/>
        <v>100</v>
      </c>
      <c r="M186" s="19">
        <f t="shared" si="24"/>
        <v>0</v>
      </c>
      <c r="N186" s="19">
        <f t="shared" si="24"/>
        <v>2</v>
      </c>
      <c r="O186" s="19">
        <f t="shared" si="24"/>
        <v>21</v>
      </c>
      <c r="P186" s="19">
        <f t="shared" si="24"/>
        <v>1</v>
      </c>
      <c r="Q186" s="19">
        <f t="shared" si="24"/>
        <v>1</v>
      </c>
      <c r="R186" s="19">
        <f t="shared" si="23"/>
        <v>0</v>
      </c>
      <c r="S186" s="19">
        <f t="shared" si="23"/>
        <v>0</v>
      </c>
      <c r="T186" s="19">
        <f t="shared" si="23"/>
        <v>0</v>
      </c>
      <c r="U186" s="19">
        <f t="shared" si="23"/>
        <v>0</v>
      </c>
      <c r="V186" s="19">
        <f t="shared" si="23"/>
        <v>0</v>
      </c>
      <c r="W186" s="19">
        <f t="shared" si="23"/>
        <v>1</v>
      </c>
    </row>
    <row r="187" spans="1:23">
      <c r="A187" s="24" t="str">
        <f t="shared" si="18"/>
        <v>11105_1-5/33&lt;lv42&gt;s2</v>
      </c>
      <c r="B187" s="19">
        <f t="shared" si="24"/>
        <v>11105</v>
      </c>
      <c r="C187" s="19">
        <f t="shared" si="24"/>
        <v>1</v>
      </c>
      <c r="D187" s="19">
        <f t="shared" si="24"/>
        <v>5</v>
      </c>
      <c r="E187" s="19">
        <f t="shared" si="24"/>
        <v>33</v>
      </c>
      <c r="F187" s="19">
        <f t="shared" si="24"/>
        <v>42</v>
      </c>
      <c r="G187" s="19">
        <f t="shared" si="24"/>
        <v>1</v>
      </c>
      <c r="H187" s="19">
        <f t="shared" si="24"/>
        <v>1</v>
      </c>
      <c r="I187" s="19">
        <f t="shared" si="24"/>
        <v>0</v>
      </c>
      <c r="J187" s="19">
        <f t="shared" si="24"/>
        <v>33</v>
      </c>
      <c r="K187" s="19">
        <f t="shared" si="24"/>
        <v>0</v>
      </c>
      <c r="L187" s="19">
        <f t="shared" si="24"/>
        <v>100</v>
      </c>
      <c r="M187" s="19">
        <f t="shared" si="24"/>
        <v>0</v>
      </c>
      <c r="N187" s="19">
        <f t="shared" si="24"/>
        <v>2</v>
      </c>
      <c r="O187" s="19">
        <f t="shared" si="24"/>
        <v>33</v>
      </c>
      <c r="P187" s="19">
        <f t="shared" si="24"/>
        <v>1</v>
      </c>
      <c r="Q187" s="19">
        <f t="shared" ref="Q187:W202" si="25">VLOOKUP($A187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187" s="19">
        <f t="shared" si="25"/>
        <v>0</v>
      </c>
      <c r="S187" s="19">
        <f t="shared" si="25"/>
        <v>0</v>
      </c>
      <c r="T187" s="19">
        <f t="shared" si="25"/>
        <v>0</v>
      </c>
      <c r="U187" s="19">
        <f t="shared" si="25"/>
        <v>0</v>
      </c>
      <c r="V187" s="19">
        <f t="shared" si="25"/>
        <v>0</v>
      </c>
      <c r="W187" s="19">
        <f t="shared" si="25"/>
        <v>1</v>
      </c>
    </row>
    <row r="188" spans="1:23">
      <c r="A188" s="24" t="str">
        <f t="shared" si="18"/>
        <v>11105_1-5/21&lt;lv42&gt;s2</v>
      </c>
      <c r="B188" s="19">
        <f t="shared" ref="B188:Q203" si="26">VLOOKUP($A188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11105</v>
      </c>
      <c r="C188" s="19">
        <f t="shared" si="26"/>
        <v>1</v>
      </c>
      <c r="D188" s="19">
        <f t="shared" si="26"/>
        <v>5</v>
      </c>
      <c r="E188" s="19">
        <f t="shared" si="26"/>
        <v>21</v>
      </c>
      <c r="F188" s="19">
        <f t="shared" si="26"/>
        <v>42</v>
      </c>
      <c r="G188" s="19">
        <f t="shared" si="26"/>
        <v>1</v>
      </c>
      <c r="H188" s="19">
        <f t="shared" si="26"/>
        <v>1</v>
      </c>
      <c r="I188" s="19">
        <f t="shared" si="26"/>
        <v>0</v>
      </c>
      <c r="J188" s="19">
        <f t="shared" si="26"/>
        <v>0</v>
      </c>
      <c r="K188" s="19">
        <f t="shared" si="26"/>
        <v>0</v>
      </c>
      <c r="L188" s="19">
        <f t="shared" si="26"/>
        <v>100</v>
      </c>
      <c r="M188" s="19">
        <f t="shared" si="26"/>
        <v>0</v>
      </c>
      <c r="N188" s="19">
        <f t="shared" si="26"/>
        <v>2</v>
      </c>
      <c r="O188" s="19">
        <f t="shared" si="26"/>
        <v>21</v>
      </c>
      <c r="P188" s="19">
        <f t="shared" si="26"/>
        <v>1</v>
      </c>
      <c r="Q188" s="19">
        <f t="shared" si="26"/>
        <v>1</v>
      </c>
      <c r="R188" s="19">
        <f t="shared" si="25"/>
        <v>0</v>
      </c>
      <c r="S188" s="19">
        <f t="shared" si="25"/>
        <v>0</v>
      </c>
      <c r="T188" s="19">
        <f t="shared" si="25"/>
        <v>0</v>
      </c>
      <c r="U188" s="19">
        <f t="shared" si="25"/>
        <v>0</v>
      </c>
      <c r="V188" s="19">
        <f t="shared" si="25"/>
        <v>0</v>
      </c>
      <c r="W188" s="19">
        <f t="shared" si="25"/>
        <v>1</v>
      </c>
    </row>
    <row r="189" spans="1:23">
      <c r="A189" s="24" t="str">
        <f t="shared" si="18"/>
        <v>11105_1-6/104&lt;lv40&gt;s2</v>
      </c>
      <c r="B189" s="19">
        <f t="shared" si="26"/>
        <v>11105</v>
      </c>
      <c r="C189" s="19">
        <f t="shared" si="26"/>
        <v>1</v>
      </c>
      <c r="D189" s="19">
        <f t="shared" si="26"/>
        <v>6</v>
      </c>
      <c r="E189" s="19">
        <f t="shared" si="26"/>
        <v>104</v>
      </c>
      <c r="F189" s="19">
        <f t="shared" si="26"/>
        <v>40</v>
      </c>
      <c r="G189" s="19">
        <f t="shared" si="26"/>
        <v>1.7</v>
      </c>
      <c r="H189" s="19">
        <f t="shared" si="26"/>
        <v>1</v>
      </c>
      <c r="I189" s="19">
        <f t="shared" si="26"/>
        <v>0</v>
      </c>
      <c r="J189" s="19">
        <f t="shared" si="26"/>
        <v>0</v>
      </c>
      <c r="K189" s="19">
        <f t="shared" si="26"/>
        <v>1</v>
      </c>
      <c r="L189" s="19">
        <f t="shared" si="26"/>
        <v>100</v>
      </c>
      <c r="M189" s="19">
        <f t="shared" si="26"/>
        <v>1</v>
      </c>
      <c r="N189" s="19">
        <f t="shared" si="26"/>
        <v>2</v>
      </c>
      <c r="O189" s="19">
        <f t="shared" si="26"/>
        <v>104</v>
      </c>
      <c r="P189" s="19">
        <f t="shared" si="26"/>
        <v>1</v>
      </c>
      <c r="Q189" s="19">
        <f t="shared" si="26"/>
        <v>5</v>
      </c>
      <c r="R189" s="19">
        <f t="shared" si="25"/>
        <v>100</v>
      </c>
      <c r="S189" s="19">
        <f t="shared" si="25"/>
        <v>0</v>
      </c>
      <c r="T189" s="19">
        <f t="shared" si="25"/>
        <v>0</v>
      </c>
      <c r="U189" s="19">
        <f t="shared" si="25"/>
        <v>0</v>
      </c>
      <c r="V189" s="19">
        <f t="shared" si="25"/>
        <v>0</v>
      </c>
      <c r="W189" s="19">
        <f t="shared" si="25"/>
        <v>1</v>
      </c>
    </row>
    <row r="190" spans="1:23">
      <c r="A190" s="24" t="str">
        <f t="shared" si="18"/>
        <v>11105_1-6/22&lt;lv42&gt;s2</v>
      </c>
      <c r="B190" s="19">
        <f t="shared" si="26"/>
        <v>11105</v>
      </c>
      <c r="C190" s="19">
        <f t="shared" si="26"/>
        <v>1</v>
      </c>
      <c r="D190" s="19">
        <f t="shared" si="26"/>
        <v>6</v>
      </c>
      <c r="E190" s="19">
        <f t="shared" si="26"/>
        <v>22</v>
      </c>
      <c r="F190" s="19">
        <f t="shared" si="26"/>
        <v>42</v>
      </c>
      <c r="G190" s="19">
        <f t="shared" si="26"/>
        <v>1</v>
      </c>
      <c r="H190" s="19">
        <f t="shared" si="26"/>
        <v>1</v>
      </c>
      <c r="I190" s="19">
        <f t="shared" si="26"/>
        <v>0</v>
      </c>
      <c r="J190" s="19">
        <f t="shared" si="26"/>
        <v>0</v>
      </c>
      <c r="K190" s="19">
        <f t="shared" si="26"/>
        <v>2</v>
      </c>
      <c r="L190" s="19">
        <f t="shared" si="26"/>
        <v>100</v>
      </c>
      <c r="M190" s="19">
        <f t="shared" si="26"/>
        <v>0</v>
      </c>
      <c r="N190" s="19">
        <f t="shared" si="26"/>
        <v>2</v>
      </c>
      <c r="O190" s="19">
        <f t="shared" si="26"/>
        <v>21</v>
      </c>
      <c r="P190" s="19">
        <f t="shared" si="26"/>
        <v>1</v>
      </c>
      <c r="Q190" s="19">
        <f t="shared" si="26"/>
        <v>1</v>
      </c>
      <c r="R190" s="19">
        <f t="shared" si="25"/>
        <v>0</v>
      </c>
      <c r="S190" s="19">
        <f t="shared" si="25"/>
        <v>0</v>
      </c>
      <c r="T190" s="19">
        <f t="shared" si="25"/>
        <v>0</v>
      </c>
      <c r="U190" s="19">
        <f t="shared" si="25"/>
        <v>0</v>
      </c>
      <c r="V190" s="19">
        <f t="shared" si="25"/>
        <v>0</v>
      </c>
      <c r="W190" s="19">
        <f t="shared" si="25"/>
        <v>1</v>
      </c>
    </row>
    <row r="191" spans="1:23">
      <c r="A191" s="24" t="str">
        <f t="shared" si="18"/>
        <v>11105_2-1/35&lt;lv40&gt;s4</v>
      </c>
      <c r="B191" s="19">
        <f t="shared" si="26"/>
        <v>11105</v>
      </c>
      <c r="C191" s="19">
        <f t="shared" si="26"/>
        <v>2</v>
      </c>
      <c r="D191" s="19">
        <f t="shared" si="26"/>
        <v>1</v>
      </c>
      <c r="E191" s="19">
        <f t="shared" si="26"/>
        <v>35</v>
      </c>
      <c r="F191" s="19">
        <f t="shared" si="26"/>
        <v>40</v>
      </c>
      <c r="G191" s="19">
        <f t="shared" si="26"/>
        <v>1.3</v>
      </c>
      <c r="H191" s="19">
        <f t="shared" si="26"/>
        <v>0.8</v>
      </c>
      <c r="I191" s="19">
        <f t="shared" si="26"/>
        <v>0</v>
      </c>
      <c r="J191" s="19">
        <f t="shared" si="26"/>
        <v>35</v>
      </c>
      <c r="K191" s="19">
        <f t="shared" si="26"/>
        <v>0</v>
      </c>
      <c r="L191" s="19">
        <f t="shared" si="26"/>
        <v>100</v>
      </c>
      <c r="M191" s="19">
        <f t="shared" si="26"/>
        <v>0</v>
      </c>
      <c r="N191" s="19">
        <f t="shared" si="26"/>
        <v>4</v>
      </c>
      <c r="O191" s="19">
        <f t="shared" si="26"/>
        <v>35</v>
      </c>
      <c r="P191" s="19">
        <f t="shared" si="26"/>
        <v>1</v>
      </c>
      <c r="Q191" s="19">
        <f t="shared" si="26"/>
        <v>2</v>
      </c>
      <c r="R191" s="19">
        <f t="shared" si="25"/>
        <v>0</v>
      </c>
      <c r="S191" s="19">
        <f t="shared" si="25"/>
        <v>0</v>
      </c>
      <c r="T191" s="19">
        <f t="shared" si="25"/>
        <v>0</v>
      </c>
      <c r="U191" s="19">
        <f t="shared" si="25"/>
        <v>0</v>
      </c>
      <c r="V191" s="19">
        <f t="shared" si="25"/>
        <v>0</v>
      </c>
      <c r="W191" s="19">
        <f t="shared" si="25"/>
        <v>1</v>
      </c>
    </row>
    <row r="192" spans="1:23">
      <c r="A192" s="24" t="str">
        <f t="shared" si="18"/>
        <v>11105_2-1/27&lt;lv42&gt;s1</v>
      </c>
      <c r="B192" s="19">
        <f t="shared" si="26"/>
        <v>11105</v>
      </c>
      <c r="C192" s="19">
        <f t="shared" si="26"/>
        <v>2</v>
      </c>
      <c r="D192" s="19">
        <f t="shared" si="26"/>
        <v>1</v>
      </c>
      <c r="E192" s="19">
        <f t="shared" si="26"/>
        <v>27</v>
      </c>
      <c r="F192" s="19">
        <f t="shared" si="26"/>
        <v>42</v>
      </c>
      <c r="G192" s="19">
        <f t="shared" si="26"/>
        <v>1.2</v>
      </c>
      <c r="H192" s="19">
        <f t="shared" si="26"/>
        <v>1</v>
      </c>
      <c r="I192" s="19">
        <f t="shared" si="26"/>
        <v>0</v>
      </c>
      <c r="J192" s="19">
        <f t="shared" si="26"/>
        <v>0</v>
      </c>
      <c r="K192" s="19">
        <f t="shared" si="26"/>
        <v>0</v>
      </c>
      <c r="L192" s="19">
        <f t="shared" si="26"/>
        <v>100</v>
      </c>
      <c r="M192" s="19">
        <f t="shared" si="26"/>
        <v>0</v>
      </c>
      <c r="N192" s="19">
        <f t="shared" si="26"/>
        <v>1</v>
      </c>
      <c r="O192" s="19">
        <f t="shared" si="26"/>
        <v>27</v>
      </c>
      <c r="P192" s="19">
        <f t="shared" si="26"/>
        <v>1</v>
      </c>
      <c r="Q192" s="19">
        <f t="shared" si="26"/>
        <v>1</v>
      </c>
      <c r="R192" s="19">
        <f t="shared" si="25"/>
        <v>0</v>
      </c>
      <c r="S192" s="19">
        <f t="shared" si="25"/>
        <v>0</v>
      </c>
      <c r="T192" s="19">
        <f t="shared" si="25"/>
        <v>0</v>
      </c>
      <c r="U192" s="19">
        <f t="shared" si="25"/>
        <v>0</v>
      </c>
      <c r="V192" s="19">
        <f t="shared" si="25"/>
        <v>0</v>
      </c>
      <c r="W192" s="19">
        <f t="shared" si="25"/>
        <v>1</v>
      </c>
    </row>
    <row r="193" spans="1:23">
      <c r="A193" s="24" t="str">
        <f t="shared" si="18"/>
        <v>11105_2-2/35&lt;lv40&gt;s4</v>
      </c>
      <c r="B193" s="19">
        <f t="shared" si="26"/>
        <v>11105</v>
      </c>
      <c r="C193" s="19">
        <f t="shared" si="26"/>
        <v>2</v>
      </c>
      <c r="D193" s="19">
        <f t="shared" si="26"/>
        <v>2</v>
      </c>
      <c r="E193" s="19">
        <f t="shared" si="26"/>
        <v>35</v>
      </c>
      <c r="F193" s="19">
        <f t="shared" si="26"/>
        <v>40</v>
      </c>
      <c r="G193" s="19">
        <f t="shared" si="26"/>
        <v>1.3</v>
      </c>
      <c r="H193" s="19">
        <f t="shared" si="26"/>
        <v>0.8</v>
      </c>
      <c r="I193" s="19">
        <f t="shared" si="26"/>
        <v>0</v>
      </c>
      <c r="J193" s="19">
        <f t="shared" si="26"/>
        <v>35</v>
      </c>
      <c r="K193" s="19">
        <f t="shared" si="26"/>
        <v>0</v>
      </c>
      <c r="L193" s="19">
        <f t="shared" si="26"/>
        <v>100</v>
      </c>
      <c r="M193" s="19">
        <f t="shared" si="26"/>
        <v>0</v>
      </c>
      <c r="N193" s="19">
        <f t="shared" si="26"/>
        <v>4</v>
      </c>
      <c r="O193" s="19">
        <f t="shared" si="26"/>
        <v>35</v>
      </c>
      <c r="P193" s="19">
        <f t="shared" si="26"/>
        <v>1</v>
      </c>
      <c r="Q193" s="19">
        <f t="shared" si="26"/>
        <v>2</v>
      </c>
      <c r="R193" s="19">
        <f t="shared" si="25"/>
        <v>0</v>
      </c>
      <c r="S193" s="19">
        <f t="shared" si="25"/>
        <v>0</v>
      </c>
      <c r="T193" s="19">
        <f t="shared" si="25"/>
        <v>0</v>
      </c>
      <c r="U193" s="19">
        <f t="shared" si="25"/>
        <v>0</v>
      </c>
      <c r="V193" s="19">
        <f t="shared" si="25"/>
        <v>0</v>
      </c>
      <c r="W193" s="19">
        <f t="shared" si="25"/>
        <v>1</v>
      </c>
    </row>
    <row r="194" spans="1:23">
      <c r="A194" s="24" t="str">
        <f t="shared" si="18"/>
        <v>11105_2-2/27&lt;lv42&gt;s1</v>
      </c>
      <c r="B194" s="19">
        <f t="shared" si="26"/>
        <v>11105</v>
      </c>
      <c r="C194" s="19">
        <f t="shared" si="26"/>
        <v>2</v>
      </c>
      <c r="D194" s="19">
        <f t="shared" si="26"/>
        <v>2</v>
      </c>
      <c r="E194" s="19">
        <f t="shared" si="26"/>
        <v>27</v>
      </c>
      <c r="F194" s="19">
        <f t="shared" si="26"/>
        <v>42</v>
      </c>
      <c r="G194" s="19">
        <f t="shared" si="26"/>
        <v>1.2</v>
      </c>
      <c r="H194" s="19">
        <f t="shared" si="26"/>
        <v>1</v>
      </c>
      <c r="I194" s="19">
        <f t="shared" si="26"/>
        <v>0</v>
      </c>
      <c r="J194" s="19">
        <f t="shared" si="26"/>
        <v>0</v>
      </c>
      <c r="K194" s="19">
        <f t="shared" si="26"/>
        <v>0</v>
      </c>
      <c r="L194" s="19">
        <f t="shared" si="26"/>
        <v>100</v>
      </c>
      <c r="M194" s="19">
        <f t="shared" si="26"/>
        <v>0</v>
      </c>
      <c r="N194" s="19">
        <f t="shared" si="26"/>
        <v>1</v>
      </c>
      <c r="O194" s="19">
        <f t="shared" si="26"/>
        <v>27</v>
      </c>
      <c r="P194" s="19">
        <f t="shared" si="26"/>
        <v>1</v>
      </c>
      <c r="Q194" s="19">
        <f t="shared" si="26"/>
        <v>1</v>
      </c>
      <c r="R194" s="19">
        <f t="shared" si="25"/>
        <v>0</v>
      </c>
      <c r="S194" s="19">
        <f t="shared" si="25"/>
        <v>0</v>
      </c>
      <c r="T194" s="19">
        <f t="shared" si="25"/>
        <v>0</v>
      </c>
      <c r="U194" s="19">
        <f t="shared" si="25"/>
        <v>0</v>
      </c>
      <c r="V194" s="19">
        <f t="shared" si="25"/>
        <v>0</v>
      </c>
      <c r="W194" s="19">
        <f t="shared" si="25"/>
        <v>1</v>
      </c>
    </row>
    <row r="195" spans="1:23">
      <c r="A195" s="24" t="str">
        <f t="shared" si="18"/>
        <v>11105_2-3/137&lt;lv50&gt;s4</v>
      </c>
      <c r="B195" s="19">
        <f t="shared" si="26"/>
        <v>11105</v>
      </c>
      <c r="C195" s="19">
        <f t="shared" si="26"/>
        <v>2</v>
      </c>
      <c r="D195" s="19">
        <f t="shared" si="26"/>
        <v>3</v>
      </c>
      <c r="E195" s="19">
        <f t="shared" si="26"/>
        <v>137</v>
      </c>
      <c r="F195" s="19">
        <f t="shared" si="26"/>
        <v>50</v>
      </c>
      <c r="G195" s="19">
        <f t="shared" si="26"/>
        <v>1.2</v>
      </c>
      <c r="H195" s="19">
        <f t="shared" si="26"/>
        <v>1</v>
      </c>
      <c r="I195" s="19">
        <f t="shared" si="26"/>
        <v>0</v>
      </c>
      <c r="J195" s="19">
        <f t="shared" si="26"/>
        <v>136</v>
      </c>
      <c r="K195" s="19">
        <f t="shared" si="26"/>
        <v>0</v>
      </c>
      <c r="L195" s="19">
        <f t="shared" si="26"/>
        <v>80</v>
      </c>
      <c r="M195" s="19">
        <f t="shared" si="26"/>
        <v>1</v>
      </c>
      <c r="N195" s="19">
        <f t="shared" si="26"/>
        <v>4</v>
      </c>
      <c r="O195" s="19">
        <f t="shared" si="26"/>
        <v>136</v>
      </c>
      <c r="P195" s="19">
        <f t="shared" si="26"/>
        <v>1</v>
      </c>
      <c r="Q195" s="19">
        <f t="shared" si="26"/>
        <v>3</v>
      </c>
      <c r="R195" s="19">
        <f t="shared" si="25"/>
        <v>0</v>
      </c>
      <c r="S195" s="19">
        <f t="shared" si="25"/>
        <v>0</v>
      </c>
      <c r="T195" s="19">
        <f t="shared" si="25"/>
        <v>0</v>
      </c>
      <c r="U195" s="19">
        <f t="shared" si="25"/>
        <v>0</v>
      </c>
      <c r="V195" s="19">
        <f t="shared" si="25"/>
        <v>0</v>
      </c>
      <c r="W195" s="19">
        <f t="shared" si="25"/>
        <v>1</v>
      </c>
    </row>
    <row r="196" spans="1:23">
      <c r="A196" s="24" t="str">
        <f t="shared" ref="A196:A259" si="27">INDIRECT(ADDRESS(ROW()+$A$1,COLUMN(),1,TRUE,$C$1))</f>
        <v>11105_2-3/338&lt;lv1&gt;s3</v>
      </c>
      <c r="B196" s="19">
        <f t="shared" si="26"/>
        <v>11105</v>
      </c>
      <c r="C196" s="19">
        <f t="shared" si="26"/>
        <v>2</v>
      </c>
      <c r="D196" s="19">
        <f t="shared" si="26"/>
        <v>3</v>
      </c>
      <c r="E196" s="19">
        <f t="shared" si="26"/>
        <v>338</v>
      </c>
      <c r="F196" s="19">
        <f t="shared" si="26"/>
        <v>1</v>
      </c>
      <c r="G196" s="19">
        <f t="shared" si="26"/>
        <v>1</v>
      </c>
      <c r="H196" s="19">
        <f t="shared" si="26"/>
        <v>1</v>
      </c>
      <c r="I196" s="19">
        <f t="shared" si="26"/>
        <v>0</v>
      </c>
      <c r="J196" s="19">
        <f t="shared" si="26"/>
        <v>0</v>
      </c>
      <c r="K196" s="19">
        <f t="shared" si="26"/>
        <v>0</v>
      </c>
      <c r="L196" s="19">
        <f t="shared" si="26"/>
        <v>20</v>
      </c>
      <c r="M196" s="19">
        <f t="shared" si="26"/>
        <v>1</v>
      </c>
      <c r="N196" s="19">
        <f t="shared" si="26"/>
        <v>3</v>
      </c>
      <c r="O196" s="19">
        <f t="shared" si="26"/>
        <v>338</v>
      </c>
      <c r="P196" s="19">
        <f t="shared" si="26"/>
        <v>1</v>
      </c>
      <c r="Q196" s="19">
        <f t="shared" si="26"/>
        <v>5</v>
      </c>
      <c r="R196" s="19">
        <f t="shared" si="25"/>
        <v>5</v>
      </c>
      <c r="S196" s="19">
        <f t="shared" si="25"/>
        <v>0</v>
      </c>
      <c r="T196" s="19">
        <f t="shared" si="25"/>
        <v>0</v>
      </c>
      <c r="U196" s="19">
        <f t="shared" si="25"/>
        <v>0</v>
      </c>
      <c r="V196" s="19">
        <f t="shared" si="25"/>
        <v>0</v>
      </c>
      <c r="W196" s="19">
        <f t="shared" si="25"/>
        <v>1</v>
      </c>
    </row>
    <row r="197" spans="1:23">
      <c r="A197" s="24" t="str">
        <f t="shared" si="27"/>
        <v>11105_2-3/336&lt;lv1&gt;s1</v>
      </c>
      <c r="B197" s="19">
        <f t="shared" si="26"/>
        <v>11105</v>
      </c>
      <c r="C197" s="19">
        <f t="shared" si="26"/>
        <v>2</v>
      </c>
      <c r="D197" s="19">
        <f t="shared" si="26"/>
        <v>3</v>
      </c>
      <c r="E197" s="19">
        <f t="shared" si="26"/>
        <v>336</v>
      </c>
      <c r="F197" s="19">
        <f t="shared" si="26"/>
        <v>1</v>
      </c>
      <c r="G197" s="19">
        <f t="shared" si="26"/>
        <v>1</v>
      </c>
      <c r="H197" s="19">
        <f t="shared" si="26"/>
        <v>1</v>
      </c>
      <c r="I197" s="19">
        <f t="shared" si="26"/>
        <v>0</v>
      </c>
      <c r="J197" s="19">
        <f t="shared" si="26"/>
        <v>0</v>
      </c>
      <c r="K197" s="19">
        <f t="shared" si="26"/>
        <v>1</v>
      </c>
      <c r="L197" s="19">
        <f t="shared" si="26"/>
        <v>100</v>
      </c>
      <c r="M197" s="19">
        <f t="shared" si="26"/>
        <v>0</v>
      </c>
      <c r="N197" s="19">
        <f t="shared" si="26"/>
        <v>1</v>
      </c>
      <c r="O197" s="19">
        <f t="shared" si="26"/>
        <v>336</v>
      </c>
      <c r="P197" s="19">
        <f t="shared" si="26"/>
        <v>1</v>
      </c>
      <c r="Q197" s="19">
        <f t="shared" si="26"/>
        <v>3</v>
      </c>
      <c r="R197" s="19">
        <f t="shared" si="25"/>
        <v>20</v>
      </c>
      <c r="S197" s="19">
        <f t="shared" si="25"/>
        <v>0</v>
      </c>
      <c r="T197" s="19">
        <f t="shared" si="25"/>
        <v>0</v>
      </c>
      <c r="U197" s="19">
        <f t="shared" si="25"/>
        <v>0</v>
      </c>
      <c r="V197" s="19">
        <f t="shared" si="25"/>
        <v>0</v>
      </c>
      <c r="W197" s="19">
        <f t="shared" si="25"/>
        <v>1</v>
      </c>
    </row>
    <row r="198" spans="1:23">
      <c r="A198" s="24" t="str">
        <f t="shared" si="27"/>
        <v>11105_2-3/337&lt;lv1&gt;s2</v>
      </c>
      <c r="B198" s="19">
        <f t="shared" si="26"/>
        <v>11105</v>
      </c>
      <c r="C198" s="19">
        <f t="shared" si="26"/>
        <v>2</v>
      </c>
      <c r="D198" s="19">
        <f t="shared" si="26"/>
        <v>3</v>
      </c>
      <c r="E198" s="19">
        <f t="shared" si="26"/>
        <v>337</v>
      </c>
      <c r="F198" s="19">
        <f t="shared" si="26"/>
        <v>1</v>
      </c>
      <c r="G198" s="19">
        <f t="shared" si="26"/>
        <v>1</v>
      </c>
      <c r="H198" s="19">
        <f t="shared" si="26"/>
        <v>1</v>
      </c>
      <c r="I198" s="19">
        <f t="shared" si="26"/>
        <v>0</v>
      </c>
      <c r="J198" s="19">
        <f t="shared" si="26"/>
        <v>0</v>
      </c>
      <c r="K198" s="19">
        <f t="shared" si="26"/>
        <v>1</v>
      </c>
      <c r="L198" s="19">
        <f t="shared" si="26"/>
        <v>100</v>
      </c>
      <c r="M198" s="19">
        <f t="shared" si="26"/>
        <v>0</v>
      </c>
      <c r="N198" s="19">
        <f t="shared" si="26"/>
        <v>2</v>
      </c>
      <c r="O198" s="19">
        <f t="shared" si="26"/>
        <v>337</v>
      </c>
      <c r="P198" s="19">
        <f t="shared" si="26"/>
        <v>1</v>
      </c>
      <c r="Q198" s="19">
        <f t="shared" si="26"/>
        <v>4</v>
      </c>
      <c r="R198" s="19">
        <f t="shared" si="25"/>
        <v>10</v>
      </c>
      <c r="S198" s="19">
        <f t="shared" si="25"/>
        <v>0</v>
      </c>
      <c r="T198" s="19">
        <f t="shared" si="25"/>
        <v>0</v>
      </c>
      <c r="U198" s="19">
        <f t="shared" si="25"/>
        <v>0</v>
      </c>
      <c r="V198" s="19">
        <f t="shared" si="25"/>
        <v>0</v>
      </c>
      <c r="W198" s="19">
        <f t="shared" si="25"/>
        <v>1</v>
      </c>
    </row>
    <row r="199" spans="1:23">
      <c r="A199" s="24" t="str">
        <f t="shared" si="27"/>
        <v>11105_2-4/35&lt;lv40&gt;s4</v>
      </c>
      <c r="B199" s="19">
        <f t="shared" si="26"/>
        <v>11105</v>
      </c>
      <c r="C199" s="19">
        <f t="shared" si="26"/>
        <v>2</v>
      </c>
      <c r="D199" s="19">
        <f t="shared" si="26"/>
        <v>4</v>
      </c>
      <c r="E199" s="19">
        <f t="shared" si="26"/>
        <v>35</v>
      </c>
      <c r="F199" s="19">
        <f t="shared" si="26"/>
        <v>40</v>
      </c>
      <c r="G199" s="19">
        <f t="shared" si="26"/>
        <v>1.3</v>
      </c>
      <c r="H199" s="19">
        <f t="shared" si="26"/>
        <v>0.8</v>
      </c>
      <c r="I199" s="19">
        <f t="shared" si="26"/>
        <v>0</v>
      </c>
      <c r="J199" s="19">
        <f t="shared" si="26"/>
        <v>35</v>
      </c>
      <c r="K199" s="19">
        <f t="shared" si="26"/>
        <v>0</v>
      </c>
      <c r="L199" s="19">
        <f t="shared" si="26"/>
        <v>100</v>
      </c>
      <c r="M199" s="19">
        <f t="shared" si="26"/>
        <v>0</v>
      </c>
      <c r="N199" s="19">
        <f t="shared" si="26"/>
        <v>4</v>
      </c>
      <c r="O199" s="19">
        <f t="shared" si="26"/>
        <v>35</v>
      </c>
      <c r="P199" s="19">
        <f t="shared" si="26"/>
        <v>1</v>
      </c>
      <c r="Q199" s="19">
        <f t="shared" si="26"/>
        <v>2</v>
      </c>
      <c r="R199" s="19">
        <f t="shared" si="25"/>
        <v>0</v>
      </c>
      <c r="S199" s="19">
        <f t="shared" si="25"/>
        <v>0</v>
      </c>
      <c r="T199" s="19">
        <f t="shared" si="25"/>
        <v>0</v>
      </c>
      <c r="U199" s="19">
        <f t="shared" si="25"/>
        <v>0</v>
      </c>
      <c r="V199" s="19">
        <f t="shared" si="25"/>
        <v>0</v>
      </c>
      <c r="W199" s="19">
        <f t="shared" si="25"/>
        <v>1</v>
      </c>
    </row>
    <row r="200" spans="1:23">
      <c r="A200" s="24" t="str">
        <f t="shared" si="27"/>
        <v>11105_2-4/27&lt;lv42&gt;s1</v>
      </c>
      <c r="B200" s="19">
        <f t="shared" si="26"/>
        <v>11105</v>
      </c>
      <c r="C200" s="19">
        <f t="shared" si="26"/>
        <v>2</v>
      </c>
      <c r="D200" s="19">
        <f t="shared" si="26"/>
        <v>4</v>
      </c>
      <c r="E200" s="19">
        <f t="shared" si="26"/>
        <v>27</v>
      </c>
      <c r="F200" s="19">
        <f t="shared" si="26"/>
        <v>42</v>
      </c>
      <c r="G200" s="19">
        <f t="shared" si="26"/>
        <v>1.2</v>
      </c>
      <c r="H200" s="19">
        <f t="shared" si="26"/>
        <v>1</v>
      </c>
      <c r="I200" s="19">
        <f t="shared" si="26"/>
        <v>0</v>
      </c>
      <c r="J200" s="19">
        <f t="shared" si="26"/>
        <v>0</v>
      </c>
      <c r="K200" s="19">
        <f t="shared" si="26"/>
        <v>0</v>
      </c>
      <c r="L200" s="19">
        <f t="shared" si="26"/>
        <v>100</v>
      </c>
      <c r="M200" s="19">
        <f t="shared" si="26"/>
        <v>0</v>
      </c>
      <c r="N200" s="19">
        <f t="shared" si="26"/>
        <v>1</v>
      </c>
      <c r="O200" s="19">
        <f t="shared" si="26"/>
        <v>27</v>
      </c>
      <c r="P200" s="19">
        <f t="shared" si="26"/>
        <v>1</v>
      </c>
      <c r="Q200" s="19">
        <f t="shared" si="26"/>
        <v>1</v>
      </c>
      <c r="R200" s="19">
        <f t="shared" si="25"/>
        <v>0</v>
      </c>
      <c r="S200" s="19">
        <f t="shared" si="25"/>
        <v>0</v>
      </c>
      <c r="T200" s="19">
        <f t="shared" si="25"/>
        <v>0</v>
      </c>
      <c r="U200" s="19">
        <f t="shared" si="25"/>
        <v>0</v>
      </c>
      <c r="V200" s="19">
        <f t="shared" si="25"/>
        <v>0</v>
      </c>
      <c r="W200" s="19">
        <f t="shared" si="25"/>
        <v>1</v>
      </c>
    </row>
    <row r="201" spans="1:23">
      <c r="A201" s="24" t="str">
        <f t="shared" si="27"/>
        <v>11105_2-5/35&lt;lv40&gt;s4</v>
      </c>
      <c r="B201" s="19">
        <f t="shared" si="26"/>
        <v>11105</v>
      </c>
      <c r="C201" s="19">
        <f t="shared" si="26"/>
        <v>2</v>
      </c>
      <c r="D201" s="19">
        <f t="shared" si="26"/>
        <v>5</v>
      </c>
      <c r="E201" s="19">
        <f t="shared" si="26"/>
        <v>35</v>
      </c>
      <c r="F201" s="19">
        <f t="shared" si="26"/>
        <v>40</v>
      </c>
      <c r="G201" s="19">
        <f t="shared" si="26"/>
        <v>1.3</v>
      </c>
      <c r="H201" s="19">
        <f t="shared" si="26"/>
        <v>0.8</v>
      </c>
      <c r="I201" s="19">
        <f t="shared" si="26"/>
        <v>0</v>
      </c>
      <c r="J201" s="19">
        <f t="shared" si="26"/>
        <v>35</v>
      </c>
      <c r="K201" s="19">
        <f t="shared" si="26"/>
        <v>0</v>
      </c>
      <c r="L201" s="19">
        <f t="shared" si="26"/>
        <v>100</v>
      </c>
      <c r="M201" s="19">
        <f t="shared" si="26"/>
        <v>0</v>
      </c>
      <c r="N201" s="19">
        <f t="shared" si="26"/>
        <v>4</v>
      </c>
      <c r="O201" s="19">
        <f t="shared" si="26"/>
        <v>35</v>
      </c>
      <c r="P201" s="19">
        <f t="shared" si="26"/>
        <v>1</v>
      </c>
      <c r="Q201" s="19">
        <f t="shared" si="26"/>
        <v>2</v>
      </c>
      <c r="R201" s="19">
        <f t="shared" si="25"/>
        <v>0</v>
      </c>
      <c r="S201" s="19">
        <f t="shared" si="25"/>
        <v>0</v>
      </c>
      <c r="T201" s="19">
        <f t="shared" si="25"/>
        <v>0</v>
      </c>
      <c r="U201" s="19">
        <f t="shared" si="25"/>
        <v>0</v>
      </c>
      <c r="V201" s="19">
        <f t="shared" si="25"/>
        <v>0</v>
      </c>
      <c r="W201" s="19">
        <f t="shared" si="25"/>
        <v>1</v>
      </c>
    </row>
    <row r="202" spans="1:23">
      <c r="A202" s="24" t="str">
        <f t="shared" si="27"/>
        <v>11105_2-5/27&lt;lv42&gt;s1</v>
      </c>
      <c r="B202" s="19">
        <f t="shared" si="26"/>
        <v>11105</v>
      </c>
      <c r="C202" s="19">
        <f t="shared" si="26"/>
        <v>2</v>
      </c>
      <c r="D202" s="19">
        <f t="shared" si="26"/>
        <v>5</v>
      </c>
      <c r="E202" s="19">
        <f t="shared" si="26"/>
        <v>27</v>
      </c>
      <c r="F202" s="19">
        <f t="shared" si="26"/>
        <v>42</v>
      </c>
      <c r="G202" s="19">
        <f t="shared" si="26"/>
        <v>1.2</v>
      </c>
      <c r="H202" s="19">
        <f t="shared" si="26"/>
        <v>1</v>
      </c>
      <c r="I202" s="19">
        <f t="shared" si="26"/>
        <v>0</v>
      </c>
      <c r="J202" s="19">
        <f t="shared" si="26"/>
        <v>0</v>
      </c>
      <c r="K202" s="19">
        <f t="shared" si="26"/>
        <v>0</v>
      </c>
      <c r="L202" s="19">
        <f t="shared" si="26"/>
        <v>100</v>
      </c>
      <c r="M202" s="19">
        <f t="shared" si="26"/>
        <v>0</v>
      </c>
      <c r="N202" s="19">
        <f t="shared" si="26"/>
        <v>1</v>
      </c>
      <c r="O202" s="19">
        <f t="shared" si="26"/>
        <v>27</v>
      </c>
      <c r="P202" s="19">
        <f t="shared" si="26"/>
        <v>1</v>
      </c>
      <c r="Q202" s="19">
        <f t="shared" si="26"/>
        <v>1</v>
      </c>
      <c r="R202" s="19">
        <f t="shared" si="25"/>
        <v>0</v>
      </c>
      <c r="S202" s="19">
        <f t="shared" si="25"/>
        <v>0</v>
      </c>
      <c r="T202" s="19">
        <f t="shared" si="25"/>
        <v>0</v>
      </c>
      <c r="U202" s="19">
        <f t="shared" si="25"/>
        <v>0</v>
      </c>
      <c r="V202" s="19">
        <f t="shared" si="25"/>
        <v>0</v>
      </c>
      <c r="W202" s="19">
        <f t="shared" si="25"/>
        <v>1</v>
      </c>
    </row>
    <row r="203" spans="1:23">
      <c r="A203" s="24" t="str">
        <f t="shared" si="27"/>
        <v>11105_2-6/108&lt;lv40&gt;s2</v>
      </c>
      <c r="B203" s="19">
        <f t="shared" si="26"/>
        <v>11105</v>
      </c>
      <c r="C203" s="19">
        <f t="shared" si="26"/>
        <v>2</v>
      </c>
      <c r="D203" s="19">
        <f t="shared" si="26"/>
        <v>6</v>
      </c>
      <c r="E203" s="19">
        <f t="shared" si="26"/>
        <v>108</v>
      </c>
      <c r="F203" s="19">
        <f t="shared" si="26"/>
        <v>40</v>
      </c>
      <c r="G203" s="19">
        <f t="shared" si="26"/>
        <v>2</v>
      </c>
      <c r="H203" s="19">
        <f t="shared" si="26"/>
        <v>1</v>
      </c>
      <c r="I203" s="19">
        <f t="shared" si="26"/>
        <v>0</v>
      </c>
      <c r="J203" s="19">
        <f t="shared" si="26"/>
        <v>0</v>
      </c>
      <c r="K203" s="19">
        <f t="shared" si="26"/>
        <v>0</v>
      </c>
      <c r="L203" s="19">
        <f t="shared" si="26"/>
        <v>100</v>
      </c>
      <c r="M203" s="19">
        <f t="shared" si="26"/>
        <v>1</v>
      </c>
      <c r="N203" s="19">
        <f t="shared" si="26"/>
        <v>2</v>
      </c>
      <c r="O203" s="19">
        <f t="shared" si="26"/>
        <v>108</v>
      </c>
      <c r="P203" s="19">
        <f t="shared" si="26"/>
        <v>1</v>
      </c>
      <c r="Q203" s="19">
        <f t="shared" ref="Q203:W218" si="28">VLOOKUP($A203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5</v>
      </c>
      <c r="R203" s="19">
        <f t="shared" si="28"/>
        <v>100</v>
      </c>
      <c r="S203" s="19">
        <f t="shared" si="28"/>
        <v>0</v>
      </c>
      <c r="T203" s="19">
        <f t="shared" si="28"/>
        <v>0</v>
      </c>
      <c r="U203" s="19">
        <f t="shared" si="28"/>
        <v>0</v>
      </c>
      <c r="V203" s="19">
        <f t="shared" si="28"/>
        <v>0</v>
      </c>
      <c r="W203" s="19">
        <f t="shared" si="28"/>
        <v>1</v>
      </c>
    </row>
    <row r="204" spans="1:23">
      <c r="A204" s="24" t="str">
        <f t="shared" si="27"/>
        <v>11105_2-6/24&lt;lv45&gt;s4</v>
      </c>
      <c r="B204" s="19">
        <f t="shared" ref="B204:Q219" si="29">VLOOKUP($A204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11105</v>
      </c>
      <c r="C204" s="19">
        <f t="shared" si="29"/>
        <v>2</v>
      </c>
      <c r="D204" s="19">
        <f t="shared" si="29"/>
        <v>6</v>
      </c>
      <c r="E204" s="19">
        <f t="shared" si="29"/>
        <v>24</v>
      </c>
      <c r="F204" s="19">
        <f t="shared" si="29"/>
        <v>45</v>
      </c>
      <c r="G204" s="19">
        <f t="shared" si="29"/>
        <v>1.5</v>
      </c>
      <c r="H204" s="19">
        <f t="shared" si="29"/>
        <v>1</v>
      </c>
      <c r="I204" s="19">
        <f t="shared" si="29"/>
        <v>0</v>
      </c>
      <c r="J204" s="19">
        <f t="shared" si="29"/>
        <v>0</v>
      </c>
      <c r="K204" s="19">
        <f t="shared" si="29"/>
        <v>0</v>
      </c>
      <c r="L204" s="19">
        <f t="shared" si="29"/>
        <v>100</v>
      </c>
      <c r="M204" s="19">
        <f t="shared" si="29"/>
        <v>0</v>
      </c>
      <c r="N204" s="19">
        <f t="shared" si="29"/>
        <v>4</v>
      </c>
      <c r="O204" s="19">
        <f t="shared" si="29"/>
        <v>23</v>
      </c>
      <c r="P204" s="19">
        <f t="shared" si="29"/>
        <v>1</v>
      </c>
      <c r="Q204" s="19">
        <f t="shared" si="29"/>
        <v>1</v>
      </c>
      <c r="R204" s="19">
        <f t="shared" si="28"/>
        <v>0</v>
      </c>
      <c r="S204" s="19">
        <f t="shared" si="28"/>
        <v>0</v>
      </c>
      <c r="T204" s="19">
        <f t="shared" si="28"/>
        <v>0</v>
      </c>
      <c r="U204" s="19">
        <f t="shared" si="28"/>
        <v>0</v>
      </c>
      <c r="V204" s="19">
        <f t="shared" si="28"/>
        <v>0</v>
      </c>
      <c r="W204" s="19">
        <f t="shared" si="28"/>
        <v>1</v>
      </c>
    </row>
    <row r="205" spans="1:23">
      <c r="A205" s="24" t="str">
        <f t="shared" si="27"/>
        <v>11105_3-1/37&lt;lv42&gt;s3</v>
      </c>
      <c r="B205" s="19">
        <f t="shared" si="29"/>
        <v>11105</v>
      </c>
      <c r="C205" s="19">
        <f t="shared" si="29"/>
        <v>3</v>
      </c>
      <c r="D205" s="19">
        <f t="shared" si="29"/>
        <v>1</v>
      </c>
      <c r="E205" s="19">
        <f t="shared" si="29"/>
        <v>37</v>
      </c>
      <c r="F205" s="19">
        <f t="shared" si="29"/>
        <v>42</v>
      </c>
      <c r="G205" s="19">
        <f t="shared" si="29"/>
        <v>1</v>
      </c>
      <c r="H205" s="19">
        <f t="shared" si="29"/>
        <v>1</v>
      </c>
      <c r="I205" s="19">
        <f t="shared" si="29"/>
        <v>0</v>
      </c>
      <c r="J205" s="19">
        <f t="shared" si="29"/>
        <v>37</v>
      </c>
      <c r="K205" s="19">
        <f t="shared" si="29"/>
        <v>0</v>
      </c>
      <c r="L205" s="19">
        <f t="shared" si="29"/>
        <v>100</v>
      </c>
      <c r="M205" s="19">
        <f t="shared" si="29"/>
        <v>0</v>
      </c>
      <c r="N205" s="19">
        <f t="shared" si="29"/>
        <v>3</v>
      </c>
      <c r="O205" s="19">
        <f t="shared" si="29"/>
        <v>37</v>
      </c>
      <c r="P205" s="19">
        <f t="shared" si="29"/>
        <v>1</v>
      </c>
      <c r="Q205" s="19">
        <f t="shared" si="29"/>
        <v>2</v>
      </c>
      <c r="R205" s="19">
        <f t="shared" si="28"/>
        <v>0</v>
      </c>
      <c r="S205" s="19">
        <f t="shared" si="28"/>
        <v>0</v>
      </c>
      <c r="T205" s="19">
        <f t="shared" si="28"/>
        <v>0</v>
      </c>
      <c r="U205" s="19">
        <f t="shared" si="28"/>
        <v>0</v>
      </c>
      <c r="V205" s="19">
        <f t="shared" si="28"/>
        <v>0</v>
      </c>
      <c r="W205" s="19">
        <f t="shared" si="28"/>
        <v>1</v>
      </c>
    </row>
    <row r="206" spans="1:23">
      <c r="A206" s="24" t="str">
        <f t="shared" si="27"/>
        <v>11105_3-1/29&lt;lv42&gt;s2</v>
      </c>
      <c r="B206" s="19">
        <f t="shared" si="29"/>
        <v>11105</v>
      </c>
      <c r="C206" s="19">
        <f t="shared" si="29"/>
        <v>3</v>
      </c>
      <c r="D206" s="19">
        <f t="shared" si="29"/>
        <v>1</v>
      </c>
      <c r="E206" s="19">
        <f t="shared" si="29"/>
        <v>29</v>
      </c>
      <c r="F206" s="19">
        <f t="shared" si="29"/>
        <v>42</v>
      </c>
      <c r="G206" s="19">
        <f t="shared" si="29"/>
        <v>1</v>
      </c>
      <c r="H206" s="19">
        <f t="shared" si="29"/>
        <v>1</v>
      </c>
      <c r="I206" s="19">
        <f t="shared" si="29"/>
        <v>0</v>
      </c>
      <c r="J206" s="19">
        <f t="shared" si="29"/>
        <v>0</v>
      </c>
      <c r="K206" s="19">
        <f t="shared" si="29"/>
        <v>0</v>
      </c>
      <c r="L206" s="19">
        <f t="shared" si="29"/>
        <v>100</v>
      </c>
      <c r="M206" s="19">
        <f t="shared" si="29"/>
        <v>0</v>
      </c>
      <c r="N206" s="19">
        <f t="shared" si="29"/>
        <v>2</v>
      </c>
      <c r="O206" s="19">
        <f t="shared" si="29"/>
        <v>29</v>
      </c>
      <c r="P206" s="19">
        <f t="shared" si="29"/>
        <v>1</v>
      </c>
      <c r="Q206" s="19">
        <f t="shared" si="29"/>
        <v>1</v>
      </c>
      <c r="R206" s="19">
        <f t="shared" si="28"/>
        <v>0</v>
      </c>
      <c r="S206" s="19">
        <f t="shared" si="28"/>
        <v>0</v>
      </c>
      <c r="T206" s="19">
        <f t="shared" si="28"/>
        <v>0</v>
      </c>
      <c r="U206" s="19">
        <f t="shared" si="28"/>
        <v>0</v>
      </c>
      <c r="V206" s="19">
        <f t="shared" si="28"/>
        <v>0</v>
      </c>
      <c r="W206" s="19">
        <f t="shared" si="28"/>
        <v>1</v>
      </c>
    </row>
    <row r="207" spans="1:23">
      <c r="A207" s="24" t="str">
        <f t="shared" si="27"/>
        <v>11105_3-2/37&lt;lv42&gt;s3</v>
      </c>
      <c r="B207" s="19">
        <f t="shared" si="29"/>
        <v>11105</v>
      </c>
      <c r="C207" s="19">
        <f t="shared" si="29"/>
        <v>3</v>
      </c>
      <c r="D207" s="19">
        <f t="shared" si="29"/>
        <v>2</v>
      </c>
      <c r="E207" s="19">
        <f t="shared" si="29"/>
        <v>37</v>
      </c>
      <c r="F207" s="19">
        <f t="shared" si="29"/>
        <v>42</v>
      </c>
      <c r="G207" s="19">
        <f t="shared" si="29"/>
        <v>1</v>
      </c>
      <c r="H207" s="19">
        <f t="shared" si="29"/>
        <v>1</v>
      </c>
      <c r="I207" s="19">
        <f t="shared" si="29"/>
        <v>0</v>
      </c>
      <c r="J207" s="19">
        <f t="shared" si="29"/>
        <v>37</v>
      </c>
      <c r="K207" s="19">
        <f t="shared" si="29"/>
        <v>0</v>
      </c>
      <c r="L207" s="19">
        <f t="shared" si="29"/>
        <v>100</v>
      </c>
      <c r="M207" s="19">
        <f t="shared" si="29"/>
        <v>0</v>
      </c>
      <c r="N207" s="19">
        <f t="shared" si="29"/>
        <v>3</v>
      </c>
      <c r="O207" s="19">
        <f t="shared" si="29"/>
        <v>37</v>
      </c>
      <c r="P207" s="19">
        <f t="shared" si="29"/>
        <v>1</v>
      </c>
      <c r="Q207" s="19">
        <f t="shared" si="29"/>
        <v>2</v>
      </c>
      <c r="R207" s="19">
        <f t="shared" si="28"/>
        <v>0</v>
      </c>
      <c r="S207" s="19">
        <f t="shared" si="28"/>
        <v>0</v>
      </c>
      <c r="T207" s="19">
        <f t="shared" si="28"/>
        <v>0</v>
      </c>
      <c r="U207" s="19">
        <f t="shared" si="28"/>
        <v>0</v>
      </c>
      <c r="V207" s="19">
        <f t="shared" si="28"/>
        <v>0</v>
      </c>
      <c r="W207" s="19">
        <f t="shared" si="28"/>
        <v>1</v>
      </c>
    </row>
    <row r="208" spans="1:23">
      <c r="A208" s="24" t="str">
        <f t="shared" si="27"/>
        <v>11105_3-2/29&lt;lv42&gt;s2</v>
      </c>
      <c r="B208" s="19">
        <f t="shared" si="29"/>
        <v>11105</v>
      </c>
      <c r="C208" s="19">
        <f t="shared" si="29"/>
        <v>3</v>
      </c>
      <c r="D208" s="19">
        <f t="shared" si="29"/>
        <v>2</v>
      </c>
      <c r="E208" s="19">
        <f t="shared" si="29"/>
        <v>29</v>
      </c>
      <c r="F208" s="19">
        <f t="shared" si="29"/>
        <v>42</v>
      </c>
      <c r="G208" s="19">
        <f t="shared" si="29"/>
        <v>1</v>
      </c>
      <c r="H208" s="19">
        <f t="shared" si="29"/>
        <v>1</v>
      </c>
      <c r="I208" s="19">
        <f t="shared" si="29"/>
        <v>0</v>
      </c>
      <c r="J208" s="19">
        <f t="shared" si="29"/>
        <v>0</v>
      </c>
      <c r="K208" s="19">
        <f t="shared" si="29"/>
        <v>0</v>
      </c>
      <c r="L208" s="19">
        <f t="shared" si="29"/>
        <v>100</v>
      </c>
      <c r="M208" s="19">
        <f t="shared" si="29"/>
        <v>0</v>
      </c>
      <c r="N208" s="19">
        <f t="shared" si="29"/>
        <v>2</v>
      </c>
      <c r="O208" s="19">
        <f t="shared" si="29"/>
        <v>29</v>
      </c>
      <c r="P208" s="19">
        <f t="shared" si="29"/>
        <v>1</v>
      </c>
      <c r="Q208" s="19">
        <f t="shared" si="29"/>
        <v>1</v>
      </c>
      <c r="R208" s="19">
        <f t="shared" si="28"/>
        <v>0</v>
      </c>
      <c r="S208" s="19">
        <f t="shared" si="28"/>
        <v>0</v>
      </c>
      <c r="T208" s="19">
        <f t="shared" si="28"/>
        <v>0</v>
      </c>
      <c r="U208" s="19">
        <f t="shared" si="28"/>
        <v>0</v>
      </c>
      <c r="V208" s="19">
        <f t="shared" si="28"/>
        <v>0</v>
      </c>
      <c r="W208" s="19">
        <f t="shared" si="28"/>
        <v>1</v>
      </c>
    </row>
    <row r="209" spans="1:23">
      <c r="A209" s="24" t="str">
        <f t="shared" si="27"/>
        <v>11105_3-3/139&lt;lv50&gt;s2</v>
      </c>
      <c r="B209" s="19">
        <f t="shared" si="29"/>
        <v>11105</v>
      </c>
      <c r="C209" s="19">
        <f t="shared" si="29"/>
        <v>3</v>
      </c>
      <c r="D209" s="19">
        <f t="shared" si="29"/>
        <v>3</v>
      </c>
      <c r="E209" s="19">
        <f t="shared" si="29"/>
        <v>139</v>
      </c>
      <c r="F209" s="19">
        <f t="shared" si="29"/>
        <v>50</v>
      </c>
      <c r="G209" s="19">
        <f t="shared" si="29"/>
        <v>1</v>
      </c>
      <c r="H209" s="19">
        <f t="shared" si="29"/>
        <v>1</v>
      </c>
      <c r="I209" s="19">
        <f t="shared" si="29"/>
        <v>0</v>
      </c>
      <c r="J209" s="19">
        <f t="shared" si="29"/>
        <v>139</v>
      </c>
      <c r="K209" s="19">
        <f t="shared" si="29"/>
        <v>0</v>
      </c>
      <c r="L209" s="19">
        <f t="shared" si="29"/>
        <v>80</v>
      </c>
      <c r="M209" s="19">
        <f t="shared" si="29"/>
        <v>1</v>
      </c>
      <c r="N209" s="19">
        <f t="shared" si="29"/>
        <v>2</v>
      </c>
      <c r="O209" s="19">
        <f t="shared" si="29"/>
        <v>138</v>
      </c>
      <c r="P209" s="19">
        <f t="shared" si="29"/>
        <v>1</v>
      </c>
      <c r="Q209" s="19">
        <f t="shared" si="29"/>
        <v>3</v>
      </c>
      <c r="R209" s="19">
        <f t="shared" si="28"/>
        <v>0</v>
      </c>
      <c r="S209" s="19">
        <f t="shared" si="28"/>
        <v>0</v>
      </c>
      <c r="T209" s="19">
        <f t="shared" si="28"/>
        <v>0</v>
      </c>
      <c r="U209" s="19">
        <f t="shared" si="28"/>
        <v>0</v>
      </c>
      <c r="V209" s="19">
        <f t="shared" si="28"/>
        <v>0</v>
      </c>
      <c r="W209" s="19">
        <f t="shared" si="28"/>
        <v>1</v>
      </c>
    </row>
    <row r="210" spans="1:23">
      <c r="A210" s="24" t="str">
        <f t="shared" si="27"/>
        <v>11105_3-3/342&lt;lv1&gt;s3</v>
      </c>
      <c r="B210" s="19">
        <f t="shared" si="29"/>
        <v>11105</v>
      </c>
      <c r="C210" s="19">
        <f t="shared" si="29"/>
        <v>3</v>
      </c>
      <c r="D210" s="19">
        <f t="shared" si="29"/>
        <v>3</v>
      </c>
      <c r="E210" s="19">
        <f t="shared" si="29"/>
        <v>342</v>
      </c>
      <c r="F210" s="19">
        <f t="shared" si="29"/>
        <v>1</v>
      </c>
      <c r="G210" s="19">
        <f t="shared" si="29"/>
        <v>1</v>
      </c>
      <c r="H210" s="19">
        <f t="shared" si="29"/>
        <v>1</v>
      </c>
      <c r="I210" s="19">
        <f t="shared" si="29"/>
        <v>0</v>
      </c>
      <c r="J210" s="19">
        <f t="shared" si="29"/>
        <v>0</v>
      </c>
      <c r="K210" s="19">
        <f t="shared" si="29"/>
        <v>0</v>
      </c>
      <c r="L210" s="19">
        <f t="shared" si="29"/>
        <v>20</v>
      </c>
      <c r="M210" s="19">
        <f t="shared" si="29"/>
        <v>1</v>
      </c>
      <c r="N210" s="19">
        <f t="shared" si="29"/>
        <v>3</v>
      </c>
      <c r="O210" s="19">
        <f t="shared" si="29"/>
        <v>342</v>
      </c>
      <c r="P210" s="19">
        <f t="shared" si="29"/>
        <v>1</v>
      </c>
      <c r="Q210" s="19">
        <f t="shared" si="29"/>
        <v>5</v>
      </c>
      <c r="R210" s="19">
        <f t="shared" si="28"/>
        <v>5</v>
      </c>
      <c r="S210" s="19">
        <f t="shared" si="28"/>
        <v>0</v>
      </c>
      <c r="T210" s="19">
        <f t="shared" si="28"/>
        <v>0</v>
      </c>
      <c r="U210" s="19">
        <f t="shared" si="28"/>
        <v>0</v>
      </c>
      <c r="V210" s="19">
        <f t="shared" si="28"/>
        <v>0</v>
      </c>
      <c r="W210" s="19">
        <f t="shared" si="28"/>
        <v>1</v>
      </c>
    </row>
    <row r="211" spans="1:23">
      <c r="A211" s="24" t="str">
        <f t="shared" si="27"/>
        <v>11105_3-3/340&lt;lv1&gt;s1</v>
      </c>
      <c r="B211" s="19">
        <f t="shared" si="29"/>
        <v>11105</v>
      </c>
      <c r="C211" s="19">
        <f t="shared" si="29"/>
        <v>3</v>
      </c>
      <c r="D211" s="19">
        <f t="shared" si="29"/>
        <v>3</v>
      </c>
      <c r="E211" s="19">
        <f t="shared" si="29"/>
        <v>340</v>
      </c>
      <c r="F211" s="19">
        <f t="shared" si="29"/>
        <v>1</v>
      </c>
      <c r="G211" s="19">
        <f t="shared" si="29"/>
        <v>1</v>
      </c>
      <c r="H211" s="19">
        <f t="shared" si="29"/>
        <v>1</v>
      </c>
      <c r="I211" s="19">
        <f t="shared" si="29"/>
        <v>0</v>
      </c>
      <c r="J211" s="19">
        <f t="shared" si="29"/>
        <v>0</v>
      </c>
      <c r="K211" s="19">
        <f t="shared" si="29"/>
        <v>1</v>
      </c>
      <c r="L211" s="19">
        <f t="shared" si="29"/>
        <v>100</v>
      </c>
      <c r="M211" s="19">
        <f t="shared" si="29"/>
        <v>0</v>
      </c>
      <c r="N211" s="19">
        <f t="shared" si="29"/>
        <v>1</v>
      </c>
      <c r="O211" s="19">
        <f t="shared" si="29"/>
        <v>340</v>
      </c>
      <c r="P211" s="19">
        <f t="shared" si="29"/>
        <v>1</v>
      </c>
      <c r="Q211" s="19">
        <f t="shared" si="29"/>
        <v>3</v>
      </c>
      <c r="R211" s="19">
        <f t="shared" si="28"/>
        <v>20</v>
      </c>
      <c r="S211" s="19">
        <f t="shared" si="28"/>
        <v>0</v>
      </c>
      <c r="T211" s="19">
        <f t="shared" si="28"/>
        <v>0</v>
      </c>
      <c r="U211" s="19">
        <f t="shared" si="28"/>
        <v>0</v>
      </c>
      <c r="V211" s="19">
        <f t="shared" si="28"/>
        <v>0</v>
      </c>
      <c r="W211" s="19">
        <f t="shared" si="28"/>
        <v>1</v>
      </c>
    </row>
    <row r="212" spans="1:23">
      <c r="A212" s="24" t="str">
        <f t="shared" si="27"/>
        <v>11105_3-3/341&lt;lv1&gt;s2</v>
      </c>
      <c r="B212" s="19">
        <f t="shared" si="29"/>
        <v>11105</v>
      </c>
      <c r="C212" s="19">
        <f t="shared" si="29"/>
        <v>3</v>
      </c>
      <c r="D212" s="19">
        <f t="shared" si="29"/>
        <v>3</v>
      </c>
      <c r="E212" s="19">
        <f t="shared" si="29"/>
        <v>341</v>
      </c>
      <c r="F212" s="19">
        <f t="shared" si="29"/>
        <v>1</v>
      </c>
      <c r="G212" s="19">
        <f t="shared" si="29"/>
        <v>1</v>
      </c>
      <c r="H212" s="19">
        <f t="shared" si="29"/>
        <v>1</v>
      </c>
      <c r="I212" s="19">
        <f t="shared" si="29"/>
        <v>0</v>
      </c>
      <c r="J212" s="19">
        <f t="shared" si="29"/>
        <v>0</v>
      </c>
      <c r="K212" s="19">
        <f t="shared" si="29"/>
        <v>1</v>
      </c>
      <c r="L212" s="19">
        <f t="shared" si="29"/>
        <v>100</v>
      </c>
      <c r="M212" s="19">
        <f t="shared" si="29"/>
        <v>0</v>
      </c>
      <c r="N212" s="19">
        <f t="shared" si="29"/>
        <v>2</v>
      </c>
      <c r="O212" s="19">
        <f t="shared" si="29"/>
        <v>341</v>
      </c>
      <c r="P212" s="19">
        <f t="shared" si="29"/>
        <v>1</v>
      </c>
      <c r="Q212" s="19">
        <f t="shared" si="29"/>
        <v>4</v>
      </c>
      <c r="R212" s="19">
        <f t="shared" si="28"/>
        <v>10</v>
      </c>
      <c r="S212" s="19">
        <f t="shared" si="28"/>
        <v>0</v>
      </c>
      <c r="T212" s="19">
        <f t="shared" si="28"/>
        <v>0</v>
      </c>
      <c r="U212" s="19">
        <f t="shared" si="28"/>
        <v>0</v>
      </c>
      <c r="V212" s="19">
        <f t="shared" si="28"/>
        <v>0</v>
      </c>
      <c r="W212" s="19">
        <f t="shared" si="28"/>
        <v>1</v>
      </c>
    </row>
    <row r="213" spans="1:23">
      <c r="A213" s="24" t="str">
        <f t="shared" si="27"/>
        <v>11105_3-4/37&lt;lv42&gt;s3</v>
      </c>
      <c r="B213" s="19">
        <f t="shared" si="29"/>
        <v>11105</v>
      </c>
      <c r="C213" s="19">
        <f t="shared" si="29"/>
        <v>3</v>
      </c>
      <c r="D213" s="19">
        <f t="shared" si="29"/>
        <v>4</v>
      </c>
      <c r="E213" s="19">
        <f t="shared" si="29"/>
        <v>37</v>
      </c>
      <c r="F213" s="19">
        <f t="shared" si="29"/>
        <v>42</v>
      </c>
      <c r="G213" s="19">
        <f t="shared" si="29"/>
        <v>1</v>
      </c>
      <c r="H213" s="19">
        <f t="shared" si="29"/>
        <v>1</v>
      </c>
      <c r="I213" s="19">
        <f t="shared" si="29"/>
        <v>0</v>
      </c>
      <c r="J213" s="19">
        <f t="shared" si="29"/>
        <v>37</v>
      </c>
      <c r="K213" s="19">
        <f t="shared" si="29"/>
        <v>0</v>
      </c>
      <c r="L213" s="19">
        <f t="shared" si="29"/>
        <v>100</v>
      </c>
      <c r="M213" s="19">
        <f t="shared" si="29"/>
        <v>0</v>
      </c>
      <c r="N213" s="19">
        <f t="shared" si="29"/>
        <v>3</v>
      </c>
      <c r="O213" s="19">
        <f t="shared" si="29"/>
        <v>37</v>
      </c>
      <c r="P213" s="19">
        <f t="shared" si="29"/>
        <v>1</v>
      </c>
      <c r="Q213" s="19">
        <f t="shared" si="29"/>
        <v>2</v>
      </c>
      <c r="R213" s="19">
        <f t="shared" si="28"/>
        <v>0</v>
      </c>
      <c r="S213" s="19">
        <f t="shared" si="28"/>
        <v>0</v>
      </c>
      <c r="T213" s="19">
        <f t="shared" si="28"/>
        <v>0</v>
      </c>
      <c r="U213" s="19">
        <f t="shared" si="28"/>
        <v>0</v>
      </c>
      <c r="V213" s="19">
        <f t="shared" si="28"/>
        <v>0</v>
      </c>
      <c r="W213" s="19">
        <f t="shared" si="28"/>
        <v>1</v>
      </c>
    </row>
    <row r="214" spans="1:23">
      <c r="A214" s="24" t="str">
        <f t="shared" si="27"/>
        <v>11105_3-4/29&lt;lv42&gt;s2</v>
      </c>
      <c r="B214" s="19">
        <f t="shared" si="29"/>
        <v>11105</v>
      </c>
      <c r="C214" s="19">
        <f t="shared" si="29"/>
        <v>3</v>
      </c>
      <c r="D214" s="19">
        <f t="shared" si="29"/>
        <v>4</v>
      </c>
      <c r="E214" s="19">
        <f t="shared" si="29"/>
        <v>29</v>
      </c>
      <c r="F214" s="19">
        <f t="shared" si="29"/>
        <v>42</v>
      </c>
      <c r="G214" s="19">
        <f t="shared" si="29"/>
        <v>1</v>
      </c>
      <c r="H214" s="19">
        <f t="shared" si="29"/>
        <v>1</v>
      </c>
      <c r="I214" s="19">
        <f t="shared" si="29"/>
        <v>0</v>
      </c>
      <c r="J214" s="19">
        <f t="shared" si="29"/>
        <v>0</v>
      </c>
      <c r="K214" s="19">
        <f t="shared" si="29"/>
        <v>0</v>
      </c>
      <c r="L214" s="19">
        <f t="shared" si="29"/>
        <v>100</v>
      </c>
      <c r="M214" s="19">
        <f t="shared" si="29"/>
        <v>0</v>
      </c>
      <c r="N214" s="19">
        <f t="shared" si="29"/>
        <v>2</v>
      </c>
      <c r="O214" s="19">
        <f t="shared" si="29"/>
        <v>29</v>
      </c>
      <c r="P214" s="19">
        <f t="shared" si="29"/>
        <v>1</v>
      </c>
      <c r="Q214" s="19">
        <f t="shared" si="29"/>
        <v>1</v>
      </c>
      <c r="R214" s="19">
        <f t="shared" si="28"/>
        <v>0</v>
      </c>
      <c r="S214" s="19">
        <f t="shared" si="28"/>
        <v>0</v>
      </c>
      <c r="T214" s="19">
        <f t="shared" si="28"/>
        <v>0</v>
      </c>
      <c r="U214" s="19">
        <f t="shared" si="28"/>
        <v>0</v>
      </c>
      <c r="V214" s="19">
        <f t="shared" si="28"/>
        <v>0</v>
      </c>
      <c r="W214" s="19">
        <f t="shared" si="28"/>
        <v>1</v>
      </c>
    </row>
    <row r="215" spans="1:23">
      <c r="A215" s="24" t="str">
        <f t="shared" si="27"/>
        <v>11105_3-5/37&lt;lv42&gt;s3</v>
      </c>
      <c r="B215" s="19">
        <f t="shared" si="29"/>
        <v>11105</v>
      </c>
      <c r="C215" s="19">
        <f t="shared" si="29"/>
        <v>3</v>
      </c>
      <c r="D215" s="19">
        <f t="shared" si="29"/>
        <v>5</v>
      </c>
      <c r="E215" s="19">
        <f t="shared" si="29"/>
        <v>37</v>
      </c>
      <c r="F215" s="19">
        <f t="shared" si="29"/>
        <v>42</v>
      </c>
      <c r="G215" s="19">
        <f t="shared" si="29"/>
        <v>1</v>
      </c>
      <c r="H215" s="19">
        <f t="shared" si="29"/>
        <v>1</v>
      </c>
      <c r="I215" s="19">
        <f t="shared" si="29"/>
        <v>0</v>
      </c>
      <c r="J215" s="19">
        <f t="shared" si="29"/>
        <v>37</v>
      </c>
      <c r="K215" s="19">
        <f t="shared" si="29"/>
        <v>0</v>
      </c>
      <c r="L215" s="19">
        <f t="shared" si="29"/>
        <v>100</v>
      </c>
      <c r="M215" s="19">
        <f t="shared" si="29"/>
        <v>0</v>
      </c>
      <c r="N215" s="19">
        <f t="shared" si="29"/>
        <v>3</v>
      </c>
      <c r="O215" s="19">
        <f t="shared" si="29"/>
        <v>37</v>
      </c>
      <c r="P215" s="19">
        <f t="shared" si="29"/>
        <v>1</v>
      </c>
      <c r="Q215" s="19">
        <f t="shared" si="29"/>
        <v>2</v>
      </c>
      <c r="R215" s="19">
        <f t="shared" si="28"/>
        <v>0</v>
      </c>
      <c r="S215" s="19">
        <f t="shared" si="28"/>
        <v>0</v>
      </c>
      <c r="T215" s="19">
        <f t="shared" si="28"/>
        <v>0</v>
      </c>
      <c r="U215" s="19">
        <f t="shared" si="28"/>
        <v>0</v>
      </c>
      <c r="V215" s="19">
        <f t="shared" si="28"/>
        <v>0</v>
      </c>
      <c r="W215" s="19">
        <f t="shared" si="28"/>
        <v>1</v>
      </c>
    </row>
    <row r="216" spans="1:23">
      <c r="A216" s="24" t="str">
        <f t="shared" si="27"/>
        <v>11105_3-5/29&lt;lv42&gt;s2</v>
      </c>
      <c r="B216" s="19">
        <f t="shared" si="29"/>
        <v>11105</v>
      </c>
      <c r="C216" s="19">
        <f t="shared" si="29"/>
        <v>3</v>
      </c>
      <c r="D216" s="19">
        <f t="shared" si="29"/>
        <v>5</v>
      </c>
      <c r="E216" s="19">
        <f t="shared" si="29"/>
        <v>29</v>
      </c>
      <c r="F216" s="19">
        <f t="shared" si="29"/>
        <v>42</v>
      </c>
      <c r="G216" s="19">
        <f t="shared" si="29"/>
        <v>1</v>
      </c>
      <c r="H216" s="19">
        <f t="shared" si="29"/>
        <v>1</v>
      </c>
      <c r="I216" s="19">
        <f t="shared" si="29"/>
        <v>0</v>
      </c>
      <c r="J216" s="19">
        <f t="shared" si="29"/>
        <v>0</v>
      </c>
      <c r="K216" s="19">
        <f t="shared" si="29"/>
        <v>0</v>
      </c>
      <c r="L216" s="19">
        <f t="shared" si="29"/>
        <v>100</v>
      </c>
      <c r="M216" s="19">
        <f t="shared" si="29"/>
        <v>0</v>
      </c>
      <c r="N216" s="19">
        <f t="shared" si="29"/>
        <v>2</v>
      </c>
      <c r="O216" s="19">
        <f t="shared" si="29"/>
        <v>29</v>
      </c>
      <c r="P216" s="19">
        <f t="shared" si="29"/>
        <v>1</v>
      </c>
      <c r="Q216" s="19">
        <f t="shared" si="29"/>
        <v>1</v>
      </c>
      <c r="R216" s="19">
        <f t="shared" si="28"/>
        <v>0</v>
      </c>
      <c r="S216" s="19">
        <f t="shared" si="28"/>
        <v>0</v>
      </c>
      <c r="T216" s="19">
        <f t="shared" si="28"/>
        <v>0</v>
      </c>
      <c r="U216" s="19">
        <f t="shared" si="28"/>
        <v>0</v>
      </c>
      <c r="V216" s="19">
        <f t="shared" si="28"/>
        <v>0</v>
      </c>
      <c r="W216" s="19">
        <f t="shared" si="28"/>
        <v>1</v>
      </c>
    </row>
    <row r="217" spans="1:23">
      <c r="A217" s="24" t="str">
        <f t="shared" si="27"/>
        <v>11105_3-6/112&lt;lv40&gt;s2</v>
      </c>
      <c r="B217" s="19">
        <f t="shared" si="29"/>
        <v>11105</v>
      </c>
      <c r="C217" s="19">
        <f t="shared" si="29"/>
        <v>3</v>
      </c>
      <c r="D217" s="19">
        <f t="shared" si="29"/>
        <v>6</v>
      </c>
      <c r="E217" s="19">
        <f t="shared" si="29"/>
        <v>112</v>
      </c>
      <c r="F217" s="19">
        <f t="shared" si="29"/>
        <v>40</v>
      </c>
      <c r="G217" s="19">
        <f t="shared" si="29"/>
        <v>1.7</v>
      </c>
      <c r="H217" s="19">
        <f t="shared" si="29"/>
        <v>1</v>
      </c>
      <c r="I217" s="19">
        <f t="shared" si="29"/>
        <v>0</v>
      </c>
      <c r="J217" s="19">
        <f t="shared" si="29"/>
        <v>0</v>
      </c>
      <c r="K217" s="19">
        <f t="shared" si="29"/>
        <v>1</v>
      </c>
      <c r="L217" s="19">
        <f t="shared" si="29"/>
        <v>100</v>
      </c>
      <c r="M217" s="19">
        <f t="shared" si="29"/>
        <v>1</v>
      </c>
      <c r="N217" s="19">
        <f t="shared" si="29"/>
        <v>2</v>
      </c>
      <c r="O217" s="19">
        <f t="shared" si="29"/>
        <v>112</v>
      </c>
      <c r="P217" s="19">
        <f t="shared" si="29"/>
        <v>1</v>
      </c>
      <c r="Q217" s="19">
        <f t="shared" si="29"/>
        <v>5</v>
      </c>
      <c r="R217" s="19">
        <f t="shared" si="28"/>
        <v>100</v>
      </c>
      <c r="S217" s="19">
        <f t="shared" si="28"/>
        <v>0</v>
      </c>
      <c r="T217" s="19">
        <f t="shared" si="28"/>
        <v>0</v>
      </c>
      <c r="U217" s="19">
        <f t="shared" si="28"/>
        <v>0</v>
      </c>
      <c r="V217" s="19">
        <f t="shared" si="28"/>
        <v>0</v>
      </c>
      <c r="W217" s="19">
        <f t="shared" si="28"/>
        <v>1</v>
      </c>
    </row>
    <row r="218" spans="1:23">
      <c r="A218" s="24" t="str">
        <f t="shared" si="27"/>
        <v>11105_3-6/26&lt;lv45&gt;s3</v>
      </c>
      <c r="B218" s="19">
        <f t="shared" si="29"/>
        <v>11105</v>
      </c>
      <c r="C218" s="19">
        <f t="shared" si="29"/>
        <v>3</v>
      </c>
      <c r="D218" s="19">
        <f t="shared" si="29"/>
        <v>6</v>
      </c>
      <c r="E218" s="19">
        <f t="shared" si="29"/>
        <v>26</v>
      </c>
      <c r="F218" s="19">
        <f t="shared" si="29"/>
        <v>45</v>
      </c>
      <c r="G218" s="19">
        <f t="shared" si="29"/>
        <v>1</v>
      </c>
      <c r="H218" s="19">
        <f t="shared" si="29"/>
        <v>1</v>
      </c>
      <c r="I218" s="19">
        <f t="shared" si="29"/>
        <v>0</v>
      </c>
      <c r="J218" s="19">
        <f t="shared" si="29"/>
        <v>0</v>
      </c>
      <c r="K218" s="19">
        <f t="shared" si="29"/>
        <v>2</v>
      </c>
      <c r="L218" s="19">
        <f t="shared" si="29"/>
        <v>100</v>
      </c>
      <c r="M218" s="19">
        <f t="shared" si="29"/>
        <v>0</v>
      </c>
      <c r="N218" s="19">
        <f t="shared" si="29"/>
        <v>3</v>
      </c>
      <c r="O218" s="19">
        <f t="shared" si="29"/>
        <v>25</v>
      </c>
      <c r="P218" s="19">
        <f t="shared" si="29"/>
        <v>1</v>
      </c>
      <c r="Q218" s="19">
        <f t="shared" si="29"/>
        <v>1</v>
      </c>
      <c r="R218" s="19">
        <f t="shared" si="28"/>
        <v>0</v>
      </c>
      <c r="S218" s="19">
        <f t="shared" si="28"/>
        <v>0</v>
      </c>
      <c r="T218" s="19">
        <f t="shared" si="28"/>
        <v>0</v>
      </c>
      <c r="U218" s="19">
        <f t="shared" si="28"/>
        <v>0</v>
      </c>
      <c r="V218" s="19">
        <f t="shared" si="28"/>
        <v>0</v>
      </c>
      <c r="W218" s="19">
        <f t="shared" si="28"/>
        <v>1</v>
      </c>
    </row>
    <row r="219" spans="1:23">
      <c r="A219" s="24" t="str">
        <f t="shared" si="27"/>
        <v>11105_4-1/39&lt;lv42&gt;s3</v>
      </c>
      <c r="B219" s="19">
        <f t="shared" si="29"/>
        <v>11105</v>
      </c>
      <c r="C219" s="19">
        <f t="shared" si="29"/>
        <v>4</v>
      </c>
      <c r="D219" s="19">
        <f t="shared" si="29"/>
        <v>1</v>
      </c>
      <c r="E219" s="19">
        <f t="shared" si="29"/>
        <v>39</v>
      </c>
      <c r="F219" s="19">
        <f t="shared" si="29"/>
        <v>42</v>
      </c>
      <c r="G219" s="19">
        <f t="shared" si="29"/>
        <v>1</v>
      </c>
      <c r="H219" s="19">
        <f t="shared" si="29"/>
        <v>1</v>
      </c>
      <c r="I219" s="19">
        <f t="shared" si="29"/>
        <v>0</v>
      </c>
      <c r="J219" s="19">
        <f t="shared" si="29"/>
        <v>39</v>
      </c>
      <c r="K219" s="19">
        <f t="shared" si="29"/>
        <v>0</v>
      </c>
      <c r="L219" s="19">
        <f t="shared" si="29"/>
        <v>100</v>
      </c>
      <c r="M219" s="19">
        <f t="shared" si="29"/>
        <v>0</v>
      </c>
      <c r="N219" s="19">
        <f t="shared" si="29"/>
        <v>3</v>
      </c>
      <c r="O219" s="19">
        <f t="shared" si="29"/>
        <v>39</v>
      </c>
      <c r="P219" s="19">
        <f t="shared" si="29"/>
        <v>1</v>
      </c>
      <c r="Q219" s="19">
        <f t="shared" ref="Q219:W234" si="30">VLOOKUP($A219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219" s="19">
        <f t="shared" si="30"/>
        <v>0</v>
      </c>
      <c r="S219" s="19">
        <f t="shared" si="30"/>
        <v>0</v>
      </c>
      <c r="T219" s="19">
        <f t="shared" si="30"/>
        <v>0</v>
      </c>
      <c r="U219" s="19">
        <f t="shared" si="30"/>
        <v>0</v>
      </c>
      <c r="V219" s="19">
        <f t="shared" si="30"/>
        <v>0</v>
      </c>
      <c r="W219" s="19">
        <f t="shared" si="30"/>
        <v>1</v>
      </c>
    </row>
    <row r="220" spans="1:23">
      <c r="A220" s="24" t="str">
        <f t="shared" si="27"/>
        <v>11105_4-1/31&lt;lv42&gt;s2</v>
      </c>
      <c r="B220" s="19">
        <f t="shared" ref="B220:Q235" si="31">VLOOKUP($A220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11105</v>
      </c>
      <c r="C220" s="19">
        <f t="shared" si="31"/>
        <v>4</v>
      </c>
      <c r="D220" s="19">
        <f t="shared" si="31"/>
        <v>1</v>
      </c>
      <c r="E220" s="19">
        <f t="shared" si="31"/>
        <v>31</v>
      </c>
      <c r="F220" s="19">
        <f t="shared" si="31"/>
        <v>42</v>
      </c>
      <c r="G220" s="19">
        <f t="shared" si="31"/>
        <v>1</v>
      </c>
      <c r="H220" s="19">
        <f t="shared" si="31"/>
        <v>1</v>
      </c>
      <c r="I220" s="19">
        <f t="shared" si="31"/>
        <v>0</v>
      </c>
      <c r="J220" s="19">
        <f t="shared" si="31"/>
        <v>0</v>
      </c>
      <c r="K220" s="19">
        <f t="shared" si="31"/>
        <v>0</v>
      </c>
      <c r="L220" s="19">
        <f t="shared" si="31"/>
        <v>100</v>
      </c>
      <c r="M220" s="19">
        <f t="shared" si="31"/>
        <v>0</v>
      </c>
      <c r="N220" s="19">
        <f t="shared" si="31"/>
        <v>2</v>
      </c>
      <c r="O220" s="19">
        <f t="shared" si="31"/>
        <v>31</v>
      </c>
      <c r="P220" s="19">
        <f t="shared" si="31"/>
        <v>1</v>
      </c>
      <c r="Q220" s="19">
        <f t="shared" si="31"/>
        <v>1</v>
      </c>
      <c r="R220" s="19">
        <f t="shared" si="30"/>
        <v>0</v>
      </c>
      <c r="S220" s="19">
        <f t="shared" si="30"/>
        <v>0</v>
      </c>
      <c r="T220" s="19">
        <f t="shared" si="30"/>
        <v>0</v>
      </c>
      <c r="U220" s="19">
        <f t="shared" si="30"/>
        <v>0</v>
      </c>
      <c r="V220" s="19">
        <f t="shared" si="30"/>
        <v>0</v>
      </c>
      <c r="W220" s="19">
        <f t="shared" si="30"/>
        <v>1</v>
      </c>
    </row>
    <row r="221" spans="1:23">
      <c r="A221" s="24" t="str">
        <f t="shared" si="27"/>
        <v>11105_4-2/39&lt;lv42&gt;s3</v>
      </c>
      <c r="B221" s="19">
        <f t="shared" si="31"/>
        <v>11105</v>
      </c>
      <c r="C221" s="19">
        <f t="shared" si="31"/>
        <v>4</v>
      </c>
      <c r="D221" s="19">
        <f t="shared" si="31"/>
        <v>2</v>
      </c>
      <c r="E221" s="19">
        <f t="shared" si="31"/>
        <v>39</v>
      </c>
      <c r="F221" s="19">
        <f t="shared" si="31"/>
        <v>42</v>
      </c>
      <c r="G221" s="19">
        <f t="shared" si="31"/>
        <v>1</v>
      </c>
      <c r="H221" s="19">
        <f t="shared" si="31"/>
        <v>1</v>
      </c>
      <c r="I221" s="19">
        <f t="shared" si="31"/>
        <v>0</v>
      </c>
      <c r="J221" s="19">
        <f t="shared" si="31"/>
        <v>39</v>
      </c>
      <c r="K221" s="19">
        <f t="shared" si="31"/>
        <v>0</v>
      </c>
      <c r="L221" s="19">
        <f t="shared" si="31"/>
        <v>100</v>
      </c>
      <c r="M221" s="19">
        <f t="shared" si="31"/>
        <v>0</v>
      </c>
      <c r="N221" s="19">
        <f t="shared" si="31"/>
        <v>3</v>
      </c>
      <c r="O221" s="19">
        <f t="shared" si="31"/>
        <v>39</v>
      </c>
      <c r="P221" s="19">
        <f t="shared" si="31"/>
        <v>1</v>
      </c>
      <c r="Q221" s="19">
        <f t="shared" si="31"/>
        <v>2</v>
      </c>
      <c r="R221" s="19">
        <f t="shared" si="30"/>
        <v>0</v>
      </c>
      <c r="S221" s="19">
        <f t="shared" si="30"/>
        <v>0</v>
      </c>
      <c r="T221" s="19">
        <f t="shared" si="30"/>
        <v>0</v>
      </c>
      <c r="U221" s="19">
        <f t="shared" si="30"/>
        <v>0</v>
      </c>
      <c r="V221" s="19">
        <f t="shared" si="30"/>
        <v>0</v>
      </c>
      <c r="W221" s="19">
        <f t="shared" si="30"/>
        <v>1</v>
      </c>
    </row>
    <row r="222" spans="1:23">
      <c r="A222" s="24" t="str">
        <f t="shared" si="27"/>
        <v>11105_4-2/31&lt;lv42&gt;s2</v>
      </c>
      <c r="B222" s="19">
        <f t="shared" si="31"/>
        <v>11105</v>
      </c>
      <c r="C222" s="19">
        <f t="shared" si="31"/>
        <v>4</v>
      </c>
      <c r="D222" s="19">
        <f t="shared" si="31"/>
        <v>2</v>
      </c>
      <c r="E222" s="19">
        <f t="shared" si="31"/>
        <v>31</v>
      </c>
      <c r="F222" s="19">
        <f t="shared" si="31"/>
        <v>42</v>
      </c>
      <c r="G222" s="19">
        <f t="shared" si="31"/>
        <v>1</v>
      </c>
      <c r="H222" s="19">
        <f t="shared" si="31"/>
        <v>1</v>
      </c>
      <c r="I222" s="19">
        <f t="shared" si="31"/>
        <v>0</v>
      </c>
      <c r="J222" s="19">
        <f t="shared" si="31"/>
        <v>0</v>
      </c>
      <c r="K222" s="19">
        <f t="shared" si="31"/>
        <v>0</v>
      </c>
      <c r="L222" s="19">
        <f t="shared" si="31"/>
        <v>100</v>
      </c>
      <c r="M222" s="19">
        <f t="shared" si="31"/>
        <v>0</v>
      </c>
      <c r="N222" s="19">
        <f t="shared" si="31"/>
        <v>2</v>
      </c>
      <c r="O222" s="19">
        <f t="shared" si="31"/>
        <v>31</v>
      </c>
      <c r="P222" s="19">
        <f t="shared" si="31"/>
        <v>1</v>
      </c>
      <c r="Q222" s="19">
        <f t="shared" si="31"/>
        <v>1</v>
      </c>
      <c r="R222" s="19">
        <f t="shared" si="30"/>
        <v>0</v>
      </c>
      <c r="S222" s="19">
        <f t="shared" si="30"/>
        <v>0</v>
      </c>
      <c r="T222" s="19">
        <f t="shared" si="30"/>
        <v>0</v>
      </c>
      <c r="U222" s="19">
        <f t="shared" si="30"/>
        <v>0</v>
      </c>
      <c r="V222" s="19">
        <f t="shared" si="30"/>
        <v>0</v>
      </c>
      <c r="W222" s="19">
        <f t="shared" si="30"/>
        <v>1</v>
      </c>
    </row>
    <row r="223" spans="1:23">
      <c r="A223" s="24" t="str">
        <f t="shared" si="27"/>
        <v>11105_4-3/141&lt;lv50&gt;s2</v>
      </c>
      <c r="B223" s="19">
        <f t="shared" si="31"/>
        <v>11105</v>
      </c>
      <c r="C223" s="19">
        <f t="shared" si="31"/>
        <v>4</v>
      </c>
      <c r="D223" s="19">
        <f t="shared" si="31"/>
        <v>3</v>
      </c>
      <c r="E223" s="19">
        <f t="shared" si="31"/>
        <v>141</v>
      </c>
      <c r="F223" s="19">
        <f t="shared" si="31"/>
        <v>50</v>
      </c>
      <c r="G223" s="19">
        <f t="shared" si="31"/>
        <v>1</v>
      </c>
      <c r="H223" s="19">
        <f t="shared" si="31"/>
        <v>1</v>
      </c>
      <c r="I223" s="19">
        <f t="shared" si="31"/>
        <v>0</v>
      </c>
      <c r="J223" s="19">
        <f t="shared" si="31"/>
        <v>141</v>
      </c>
      <c r="K223" s="19">
        <f t="shared" si="31"/>
        <v>0</v>
      </c>
      <c r="L223" s="19">
        <f t="shared" si="31"/>
        <v>80</v>
      </c>
      <c r="M223" s="19">
        <f t="shared" si="31"/>
        <v>1</v>
      </c>
      <c r="N223" s="19">
        <f t="shared" si="31"/>
        <v>2</v>
      </c>
      <c r="O223" s="19">
        <f t="shared" si="31"/>
        <v>141</v>
      </c>
      <c r="P223" s="19">
        <f t="shared" si="31"/>
        <v>1</v>
      </c>
      <c r="Q223" s="19">
        <f t="shared" si="31"/>
        <v>4</v>
      </c>
      <c r="R223" s="19">
        <f t="shared" si="30"/>
        <v>0</v>
      </c>
      <c r="S223" s="19">
        <f t="shared" si="30"/>
        <v>0</v>
      </c>
      <c r="T223" s="19">
        <f t="shared" si="30"/>
        <v>0</v>
      </c>
      <c r="U223" s="19">
        <f t="shared" si="30"/>
        <v>0</v>
      </c>
      <c r="V223" s="19">
        <f t="shared" si="30"/>
        <v>0</v>
      </c>
      <c r="W223" s="19">
        <f t="shared" si="30"/>
        <v>1</v>
      </c>
    </row>
    <row r="224" spans="1:23">
      <c r="A224" s="24" t="str">
        <f t="shared" si="27"/>
        <v>11105_4-3/346&lt;lv1&gt;s3</v>
      </c>
      <c r="B224" s="19">
        <f t="shared" si="31"/>
        <v>11105</v>
      </c>
      <c r="C224" s="19">
        <f t="shared" si="31"/>
        <v>4</v>
      </c>
      <c r="D224" s="19">
        <f t="shared" si="31"/>
        <v>3</v>
      </c>
      <c r="E224" s="19">
        <f t="shared" si="31"/>
        <v>346</v>
      </c>
      <c r="F224" s="19">
        <f t="shared" si="31"/>
        <v>1</v>
      </c>
      <c r="G224" s="19">
        <f t="shared" si="31"/>
        <v>1</v>
      </c>
      <c r="H224" s="19">
        <f t="shared" si="31"/>
        <v>1</v>
      </c>
      <c r="I224" s="19">
        <f t="shared" si="31"/>
        <v>0</v>
      </c>
      <c r="J224" s="19">
        <f t="shared" si="31"/>
        <v>0</v>
      </c>
      <c r="K224" s="19">
        <f t="shared" si="31"/>
        <v>0</v>
      </c>
      <c r="L224" s="19">
        <f t="shared" si="31"/>
        <v>20</v>
      </c>
      <c r="M224" s="19">
        <f t="shared" si="31"/>
        <v>1</v>
      </c>
      <c r="N224" s="19">
        <f t="shared" si="31"/>
        <v>3</v>
      </c>
      <c r="O224" s="19">
        <f t="shared" si="31"/>
        <v>346</v>
      </c>
      <c r="P224" s="19">
        <f t="shared" si="31"/>
        <v>1</v>
      </c>
      <c r="Q224" s="19">
        <f t="shared" si="31"/>
        <v>5</v>
      </c>
      <c r="R224" s="19">
        <f t="shared" si="30"/>
        <v>5</v>
      </c>
      <c r="S224" s="19">
        <f t="shared" si="30"/>
        <v>0</v>
      </c>
      <c r="T224" s="19">
        <f t="shared" si="30"/>
        <v>0</v>
      </c>
      <c r="U224" s="19">
        <f t="shared" si="30"/>
        <v>0</v>
      </c>
      <c r="V224" s="19">
        <f t="shared" si="30"/>
        <v>0</v>
      </c>
      <c r="W224" s="19">
        <f t="shared" si="30"/>
        <v>1</v>
      </c>
    </row>
    <row r="225" spans="1:23">
      <c r="A225" s="24" t="str">
        <f t="shared" si="27"/>
        <v>11105_4-3/344&lt;lv1&gt;s1</v>
      </c>
      <c r="B225" s="19">
        <f t="shared" si="31"/>
        <v>11105</v>
      </c>
      <c r="C225" s="19">
        <f t="shared" si="31"/>
        <v>4</v>
      </c>
      <c r="D225" s="19">
        <f t="shared" si="31"/>
        <v>3</v>
      </c>
      <c r="E225" s="19">
        <f t="shared" si="31"/>
        <v>344</v>
      </c>
      <c r="F225" s="19">
        <f t="shared" si="31"/>
        <v>1</v>
      </c>
      <c r="G225" s="19">
        <f t="shared" si="31"/>
        <v>1</v>
      </c>
      <c r="H225" s="19">
        <f t="shared" si="31"/>
        <v>1</v>
      </c>
      <c r="I225" s="19">
        <f t="shared" si="31"/>
        <v>0</v>
      </c>
      <c r="J225" s="19">
        <f t="shared" si="31"/>
        <v>0</v>
      </c>
      <c r="K225" s="19">
        <f t="shared" si="31"/>
        <v>1</v>
      </c>
      <c r="L225" s="19">
        <f t="shared" si="31"/>
        <v>100</v>
      </c>
      <c r="M225" s="19">
        <f t="shared" si="31"/>
        <v>0</v>
      </c>
      <c r="N225" s="19">
        <f t="shared" si="31"/>
        <v>1</v>
      </c>
      <c r="O225" s="19">
        <f t="shared" si="31"/>
        <v>344</v>
      </c>
      <c r="P225" s="19">
        <f t="shared" si="31"/>
        <v>1</v>
      </c>
      <c r="Q225" s="19">
        <f t="shared" si="31"/>
        <v>3</v>
      </c>
      <c r="R225" s="19">
        <f t="shared" si="30"/>
        <v>20</v>
      </c>
      <c r="S225" s="19">
        <f t="shared" si="30"/>
        <v>0</v>
      </c>
      <c r="T225" s="19">
        <f t="shared" si="30"/>
        <v>0</v>
      </c>
      <c r="U225" s="19">
        <f t="shared" si="30"/>
        <v>0</v>
      </c>
      <c r="V225" s="19">
        <f t="shared" si="30"/>
        <v>0</v>
      </c>
      <c r="W225" s="19">
        <f t="shared" si="30"/>
        <v>1</v>
      </c>
    </row>
    <row r="226" spans="1:23">
      <c r="A226" s="24" t="str">
        <f t="shared" si="27"/>
        <v>11105_4-3/345&lt;lv1&gt;s2</v>
      </c>
      <c r="B226" s="19">
        <f t="shared" si="31"/>
        <v>11105</v>
      </c>
      <c r="C226" s="19">
        <f t="shared" si="31"/>
        <v>4</v>
      </c>
      <c r="D226" s="19">
        <f t="shared" si="31"/>
        <v>3</v>
      </c>
      <c r="E226" s="19">
        <f t="shared" si="31"/>
        <v>345</v>
      </c>
      <c r="F226" s="19">
        <f t="shared" si="31"/>
        <v>1</v>
      </c>
      <c r="G226" s="19">
        <f t="shared" si="31"/>
        <v>1</v>
      </c>
      <c r="H226" s="19">
        <f t="shared" si="31"/>
        <v>1</v>
      </c>
      <c r="I226" s="19">
        <f t="shared" si="31"/>
        <v>0</v>
      </c>
      <c r="J226" s="19">
        <f t="shared" si="31"/>
        <v>0</v>
      </c>
      <c r="K226" s="19">
        <f t="shared" si="31"/>
        <v>1</v>
      </c>
      <c r="L226" s="19">
        <f t="shared" si="31"/>
        <v>100</v>
      </c>
      <c r="M226" s="19">
        <f t="shared" si="31"/>
        <v>0</v>
      </c>
      <c r="N226" s="19">
        <f t="shared" si="31"/>
        <v>2</v>
      </c>
      <c r="O226" s="19">
        <f t="shared" si="31"/>
        <v>345</v>
      </c>
      <c r="P226" s="19">
        <f t="shared" si="31"/>
        <v>1</v>
      </c>
      <c r="Q226" s="19">
        <f t="shared" si="31"/>
        <v>4</v>
      </c>
      <c r="R226" s="19">
        <f t="shared" si="30"/>
        <v>10</v>
      </c>
      <c r="S226" s="19">
        <f t="shared" si="30"/>
        <v>0</v>
      </c>
      <c r="T226" s="19">
        <f t="shared" si="30"/>
        <v>0</v>
      </c>
      <c r="U226" s="19">
        <f t="shared" si="30"/>
        <v>0</v>
      </c>
      <c r="V226" s="19">
        <f t="shared" si="30"/>
        <v>0</v>
      </c>
      <c r="W226" s="19">
        <f t="shared" si="30"/>
        <v>1</v>
      </c>
    </row>
    <row r="227" spans="1:23">
      <c r="A227" s="24" t="str">
        <f t="shared" si="27"/>
        <v>11105_4-4/39&lt;lv42&gt;s3</v>
      </c>
      <c r="B227" s="19">
        <f t="shared" si="31"/>
        <v>11105</v>
      </c>
      <c r="C227" s="19">
        <f t="shared" si="31"/>
        <v>4</v>
      </c>
      <c r="D227" s="19">
        <f t="shared" si="31"/>
        <v>4</v>
      </c>
      <c r="E227" s="19">
        <f t="shared" si="31"/>
        <v>39</v>
      </c>
      <c r="F227" s="19">
        <f t="shared" si="31"/>
        <v>42</v>
      </c>
      <c r="G227" s="19">
        <f t="shared" si="31"/>
        <v>1</v>
      </c>
      <c r="H227" s="19">
        <f t="shared" si="31"/>
        <v>1</v>
      </c>
      <c r="I227" s="19">
        <f t="shared" si="31"/>
        <v>0</v>
      </c>
      <c r="J227" s="19">
        <f t="shared" si="31"/>
        <v>39</v>
      </c>
      <c r="K227" s="19">
        <f t="shared" si="31"/>
        <v>0</v>
      </c>
      <c r="L227" s="19">
        <f t="shared" si="31"/>
        <v>100</v>
      </c>
      <c r="M227" s="19">
        <f t="shared" si="31"/>
        <v>0</v>
      </c>
      <c r="N227" s="19">
        <f t="shared" si="31"/>
        <v>3</v>
      </c>
      <c r="O227" s="19">
        <f t="shared" si="31"/>
        <v>39</v>
      </c>
      <c r="P227" s="19">
        <f t="shared" si="31"/>
        <v>1</v>
      </c>
      <c r="Q227" s="19">
        <f t="shared" si="31"/>
        <v>2</v>
      </c>
      <c r="R227" s="19">
        <f t="shared" si="30"/>
        <v>0</v>
      </c>
      <c r="S227" s="19">
        <f t="shared" si="30"/>
        <v>0</v>
      </c>
      <c r="T227" s="19">
        <f t="shared" si="30"/>
        <v>0</v>
      </c>
      <c r="U227" s="19">
        <f t="shared" si="30"/>
        <v>0</v>
      </c>
      <c r="V227" s="19">
        <f t="shared" si="30"/>
        <v>0</v>
      </c>
      <c r="W227" s="19">
        <f t="shared" si="30"/>
        <v>1</v>
      </c>
    </row>
    <row r="228" spans="1:23">
      <c r="A228" s="24" t="str">
        <f t="shared" si="27"/>
        <v>11105_4-4/31&lt;lv42&gt;s2</v>
      </c>
      <c r="B228" s="19">
        <f t="shared" si="31"/>
        <v>11105</v>
      </c>
      <c r="C228" s="19">
        <f t="shared" si="31"/>
        <v>4</v>
      </c>
      <c r="D228" s="19">
        <f t="shared" si="31"/>
        <v>4</v>
      </c>
      <c r="E228" s="19">
        <f t="shared" si="31"/>
        <v>31</v>
      </c>
      <c r="F228" s="19">
        <f t="shared" si="31"/>
        <v>42</v>
      </c>
      <c r="G228" s="19">
        <f t="shared" si="31"/>
        <v>1</v>
      </c>
      <c r="H228" s="19">
        <f t="shared" si="31"/>
        <v>1</v>
      </c>
      <c r="I228" s="19">
        <f t="shared" si="31"/>
        <v>0</v>
      </c>
      <c r="J228" s="19">
        <f t="shared" si="31"/>
        <v>0</v>
      </c>
      <c r="K228" s="19">
        <f t="shared" si="31"/>
        <v>0</v>
      </c>
      <c r="L228" s="19">
        <f t="shared" si="31"/>
        <v>100</v>
      </c>
      <c r="M228" s="19">
        <f t="shared" si="31"/>
        <v>0</v>
      </c>
      <c r="N228" s="19">
        <f t="shared" si="31"/>
        <v>2</v>
      </c>
      <c r="O228" s="19">
        <f t="shared" si="31"/>
        <v>31</v>
      </c>
      <c r="P228" s="19">
        <f t="shared" si="31"/>
        <v>1</v>
      </c>
      <c r="Q228" s="19">
        <f t="shared" si="31"/>
        <v>1</v>
      </c>
      <c r="R228" s="19">
        <f t="shared" si="30"/>
        <v>0</v>
      </c>
      <c r="S228" s="19">
        <f t="shared" si="30"/>
        <v>0</v>
      </c>
      <c r="T228" s="19">
        <f t="shared" si="30"/>
        <v>0</v>
      </c>
      <c r="U228" s="19">
        <f t="shared" si="30"/>
        <v>0</v>
      </c>
      <c r="V228" s="19">
        <f t="shared" si="30"/>
        <v>0</v>
      </c>
      <c r="W228" s="19">
        <f t="shared" si="30"/>
        <v>1</v>
      </c>
    </row>
    <row r="229" spans="1:23">
      <c r="A229" s="24" t="str">
        <f t="shared" si="27"/>
        <v>11105_4-5/39&lt;lv42&gt;s3</v>
      </c>
      <c r="B229" s="19">
        <f t="shared" si="31"/>
        <v>11105</v>
      </c>
      <c r="C229" s="19">
        <f t="shared" si="31"/>
        <v>4</v>
      </c>
      <c r="D229" s="19">
        <f t="shared" si="31"/>
        <v>5</v>
      </c>
      <c r="E229" s="19">
        <f t="shared" si="31"/>
        <v>39</v>
      </c>
      <c r="F229" s="19">
        <f t="shared" si="31"/>
        <v>42</v>
      </c>
      <c r="G229" s="19">
        <f t="shared" si="31"/>
        <v>1</v>
      </c>
      <c r="H229" s="19">
        <f t="shared" si="31"/>
        <v>1</v>
      </c>
      <c r="I229" s="19">
        <f t="shared" si="31"/>
        <v>0</v>
      </c>
      <c r="J229" s="19">
        <f t="shared" si="31"/>
        <v>39</v>
      </c>
      <c r="K229" s="19">
        <f t="shared" si="31"/>
        <v>0</v>
      </c>
      <c r="L229" s="19">
        <f t="shared" si="31"/>
        <v>100</v>
      </c>
      <c r="M229" s="19">
        <f t="shared" si="31"/>
        <v>0</v>
      </c>
      <c r="N229" s="19">
        <f t="shared" si="31"/>
        <v>3</v>
      </c>
      <c r="O229" s="19">
        <f t="shared" si="31"/>
        <v>39</v>
      </c>
      <c r="P229" s="19">
        <f t="shared" si="31"/>
        <v>1</v>
      </c>
      <c r="Q229" s="19">
        <f t="shared" si="31"/>
        <v>2</v>
      </c>
      <c r="R229" s="19">
        <f t="shared" si="30"/>
        <v>0</v>
      </c>
      <c r="S229" s="19">
        <f t="shared" si="30"/>
        <v>0</v>
      </c>
      <c r="T229" s="19">
        <f t="shared" si="30"/>
        <v>0</v>
      </c>
      <c r="U229" s="19">
        <f t="shared" si="30"/>
        <v>0</v>
      </c>
      <c r="V229" s="19">
        <f t="shared" si="30"/>
        <v>0</v>
      </c>
      <c r="W229" s="19">
        <f t="shared" si="30"/>
        <v>1</v>
      </c>
    </row>
    <row r="230" spans="1:23">
      <c r="A230" s="24" t="str">
        <f t="shared" si="27"/>
        <v>11105_4-5/31&lt;lv42&gt;s2</v>
      </c>
      <c r="B230" s="19">
        <f t="shared" si="31"/>
        <v>11105</v>
      </c>
      <c r="C230" s="19">
        <f t="shared" si="31"/>
        <v>4</v>
      </c>
      <c r="D230" s="19">
        <f t="shared" si="31"/>
        <v>5</v>
      </c>
      <c r="E230" s="19">
        <f t="shared" si="31"/>
        <v>31</v>
      </c>
      <c r="F230" s="19">
        <f t="shared" si="31"/>
        <v>42</v>
      </c>
      <c r="G230" s="19">
        <f t="shared" si="31"/>
        <v>1</v>
      </c>
      <c r="H230" s="19">
        <f t="shared" si="31"/>
        <v>1</v>
      </c>
      <c r="I230" s="19">
        <f t="shared" si="31"/>
        <v>0</v>
      </c>
      <c r="J230" s="19">
        <f t="shared" si="31"/>
        <v>0</v>
      </c>
      <c r="K230" s="19">
        <f t="shared" si="31"/>
        <v>0</v>
      </c>
      <c r="L230" s="19">
        <f t="shared" si="31"/>
        <v>100</v>
      </c>
      <c r="M230" s="19">
        <f t="shared" si="31"/>
        <v>0</v>
      </c>
      <c r="N230" s="19">
        <f t="shared" si="31"/>
        <v>2</v>
      </c>
      <c r="O230" s="19">
        <f t="shared" si="31"/>
        <v>31</v>
      </c>
      <c r="P230" s="19">
        <f t="shared" si="31"/>
        <v>1</v>
      </c>
      <c r="Q230" s="19">
        <f t="shared" si="31"/>
        <v>1</v>
      </c>
      <c r="R230" s="19">
        <f t="shared" si="30"/>
        <v>0</v>
      </c>
      <c r="S230" s="19">
        <f t="shared" si="30"/>
        <v>0</v>
      </c>
      <c r="T230" s="19">
        <f t="shared" si="30"/>
        <v>0</v>
      </c>
      <c r="U230" s="19">
        <f t="shared" si="30"/>
        <v>0</v>
      </c>
      <c r="V230" s="19">
        <f t="shared" si="30"/>
        <v>0</v>
      </c>
      <c r="W230" s="19">
        <f t="shared" si="30"/>
        <v>1</v>
      </c>
    </row>
    <row r="231" spans="1:23">
      <c r="A231" s="24" t="str">
        <f t="shared" si="27"/>
        <v>11105_4-6/116&lt;lv40&gt;s2</v>
      </c>
      <c r="B231" s="19">
        <f t="shared" si="31"/>
        <v>11105</v>
      </c>
      <c r="C231" s="19">
        <f t="shared" si="31"/>
        <v>4</v>
      </c>
      <c r="D231" s="19">
        <f t="shared" si="31"/>
        <v>6</v>
      </c>
      <c r="E231" s="19">
        <f t="shared" si="31"/>
        <v>116</v>
      </c>
      <c r="F231" s="19">
        <f t="shared" si="31"/>
        <v>40</v>
      </c>
      <c r="G231" s="19">
        <f t="shared" si="31"/>
        <v>1.7</v>
      </c>
      <c r="H231" s="19">
        <f t="shared" si="31"/>
        <v>1</v>
      </c>
      <c r="I231" s="19">
        <f t="shared" si="31"/>
        <v>0</v>
      </c>
      <c r="J231" s="19">
        <f t="shared" si="31"/>
        <v>0</v>
      </c>
      <c r="K231" s="19">
        <f t="shared" si="31"/>
        <v>1</v>
      </c>
      <c r="L231" s="19">
        <f t="shared" si="31"/>
        <v>100</v>
      </c>
      <c r="M231" s="19">
        <f t="shared" si="31"/>
        <v>1</v>
      </c>
      <c r="N231" s="19">
        <f t="shared" si="31"/>
        <v>2</v>
      </c>
      <c r="O231" s="19">
        <f t="shared" si="31"/>
        <v>116</v>
      </c>
      <c r="P231" s="19">
        <f t="shared" si="31"/>
        <v>1</v>
      </c>
      <c r="Q231" s="19">
        <f t="shared" si="31"/>
        <v>5</v>
      </c>
      <c r="R231" s="19">
        <f t="shared" si="30"/>
        <v>100</v>
      </c>
      <c r="S231" s="19">
        <f t="shared" si="30"/>
        <v>0</v>
      </c>
      <c r="T231" s="19">
        <f t="shared" si="30"/>
        <v>0</v>
      </c>
      <c r="U231" s="19">
        <f t="shared" si="30"/>
        <v>0</v>
      </c>
      <c r="V231" s="19">
        <f t="shared" si="30"/>
        <v>0</v>
      </c>
      <c r="W231" s="19">
        <f t="shared" si="30"/>
        <v>1</v>
      </c>
    </row>
    <row r="232" spans="1:23">
      <c r="A232" s="24" t="str">
        <f t="shared" si="27"/>
        <v>11105_4-6/32&lt;lv45&gt;s2</v>
      </c>
      <c r="B232" s="19">
        <f t="shared" si="31"/>
        <v>11105</v>
      </c>
      <c r="C232" s="19">
        <f t="shared" si="31"/>
        <v>4</v>
      </c>
      <c r="D232" s="19">
        <f t="shared" si="31"/>
        <v>6</v>
      </c>
      <c r="E232" s="19">
        <f t="shared" si="31"/>
        <v>32</v>
      </c>
      <c r="F232" s="19">
        <f t="shared" si="31"/>
        <v>45</v>
      </c>
      <c r="G232" s="19">
        <f t="shared" si="31"/>
        <v>1</v>
      </c>
      <c r="H232" s="19">
        <f t="shared" si="31"/>
        <v>1</v>
      </c>
      <c r="I232" s="19">
        <f t="shared" si="31"/>
        <v>0</v>
      </c>
      <c r="J232" s="19">
        <f t="shared" si="31"/>
        <v>0</v>
      </c>
      <c r="K232" s="19">
        <f t="shared" si="31"/>
        <v>2</v>
      </c>
      <c r="L232" s="19">
        <f t="shared" si="31"/>
        <v>100</v>
      </c>
      <c r="M232" s="19">
        <f t="shared" si="31"/>
        <v>0</v>
      </c>
      <c r="N232" s="19">
        <f t="shared" si="31"/>
        <v>2</v>
      </c>
      <c r="O232" s="19">
        <f t="shared" si="31"/>
        <v>31</v>
      </c>
      <c r="P232" s="19">
        <f t="shared" si="31"/>
        <v>1</v>
      </c>
      <c r="Q232" s="19">
        <f t="shared" si="31"/>
        <v>1</v>
      </c>
      <c r="R232" s="19">
        <f t="shared" si="30"/>
        <v>0</v>
      </c>
      <c r="S232" s="19">
        <f t="shared" si="30"/>
        <v>0</v>
      </c>
      <c r="T232" s="19">
        <f t="shared" si="30"/>
        <v>0</v>
      </c>
      <c r="U232" s="19">
        <f t="shared" si="30"/>
        <v>0</v>
      </c>
      <c r="V232" s="19">
        <f t="shared" si="30"/>
        <v>0</v>
      </c>
      <c r="W232" s="19">
        <f t="shared" si="30"/>
        <v>1</v>
      </c>
    </row>
    <row r="233" spans="1:23">
      <c r="A233" s="24" t="str">
        <f t="shared" si="27"/>
        <v>11106_1-1/117&lt;lv1&gt;s1</v>
      </c>
      <c r="B233" s="19">
        <f t="shared" si="31"/>
        <v>11106</v>
      </c>
      <c r="C233" s="19">
        <f t="shared" si="31"/>
        <v>1</v>
      </c>
      <c r="D233" s="19">
        <f t="shared" si="31"/>
        <v>1</v>
      </c>
      <c r="E233" s="19">
        <f t="shared" si="31"/>
        <v>117</v>
      </c>
      <c r="F233" s="19">
        <f t="shared" si="31"/>
        <v>1</v>
      </c>
      <c r="G233" s="19">
        <f t="shared" si="31"/>
        <v>10.5</v>
      </c>
      <c r="H233" s="19">
        <f t="shared" si="31"/>
        <v>11</v>
      </c>
      <c r="I233" s="19">
        <f t="shared" si="31"/>
        <v>0</v>
      </c>
      <c r="J233" s="19">
        <f t="shared" si="31"/>
        <v>11701</v>
      </c>
      <c r="K233" s="19">
        <f t="shared" si="31"/>
        <v>1</v>
      </c>
      <c r="L233" s="19">
        <f t="shared" si="31"/>
        <v>100</v>
      </c>
      <c r="M233" s="19">
        <f t="shared" si="31"/>
        <v>0</v>
      </c>
      <c r="N233" s="19">
        <f t="shared" si="31"/>
        <v>1</v>
      </c>
      <c r="O233" s="19">
        <f t="shared" si="31"/>
        <v>117</v>
      </c>
      <c r="P233" s="19">
        <f t="shared" si="31"/>
        <v>1</v>
      </c>
      <c r="Q233" s="19">
        <f t="shared" si="31"/>
        <v>3</v>
      </c>
      <c r="R233" s="19">
        <f t="shared" si="30"/>
        <v>50</v>
      </c>
      <c r="S233" s="19">
        <f t="shared" si="30"/>
        <v>0</v>
      </c>
      <c r="T233" s="19">
        <f t="shared" si="30"/>
        <v>0</v>
      </c>
      <c r="U233" s="19">
        <f t="shared" si="30"/>
        <v>0</v>
      </c>
      <c r="V233" s="19">
        <f t="shared" si="30"/>
        <v>0</v>
      </c>
      <c r="W233" s="19">
        <f t="shared" si="30"/>
        <v>1</v>
      </c>
    </row>
    <row r="234" spans="1:23">
      <c r="A234" s="24" t="str">
        <f t="shared" si="27"/>
        <v>11106_1-1/1&lt;lv5&gt;s1</v>
      </c>
      <c r="B234" s="19">
        <f t="shared" si="31"/>
        <v>11106</v>
      </c>
      <c r="C234" s="19">
        <f t="shared" si="31"/>
        <v>1</v>
      </c>
      <c r="D234" s="19">
        <f t="shared" si="31"/>
        <v>1</v>
      </c>
      <c r="E234" s="19">
        <f t="shared" si="31"/>
        <v>1</v>
      </c>
      <c r="F234" s="19">
        <f t="shared" si="31"/>
        <v>5</v>
      </c>
      <c r="G234" s="19">
        <f t="shared" si="31"/>
        <v>1</v>
      </c>
      <c r="H234" s="19">
        <f t="shared" si="31"/>
        <v>1</v>
      </c>
      <c r="I234" s="19">
        <f t="shared" si="31"/>
        <v>0</v>
      </c>
      <c r="J234" s="19">
        <f t="shared" si="31"/>
        <v>0</v>
      </c>
      <c r="K234" s="19">
        <f t="shared" si="31"/>
        <v>0</v>
      </c>
      <c r="L234" s="19">
        <f t="shared" si="31"/>
        <v>100</v>
      </c>
      <c r="M234" s="19">
        <f t="shared" si="31"/>
        <v>0</v>
      </c>
      <c r="N234" s="19">
        <f t="shared" si="31"/>
        <v>1</v>
      </c>
      <c r="O234" s="19">
        <f t="shared" si="31"/>
        <v>1</v>
      </c>
      <c r="P234" s="19">
        <f t="shared" si="31"/>
        <v>1</v>
      </c>
      <c r="Q234" s="19">
        <f t="shared" si="31"/>
        <v>1</v>
      </c>
      <c r="R234" s="19">
        <f t="shared" si="30"/>
        <v>0</v>
      </c>
      <c r="S234" s="19">
        <f t="shared" si="30"/>
        <v>0</v>
      </c>
      <c r="T234" s="19">
        <f t="shared" si="30"/>
        <v>0</v>
      </c>
      <c r="U234" s="19">
        <f t="shared" si="30"/>
        <v>0</v>
      </c>
      <c r="V234" s="19">
        <f t="shared" si="30"/>
        <v>0</v>
      </c>
      <c r="W234" s="19">
        <f t="shared" si="30"/>
        <v>1</v>
      </c>
    </row>
    <row r="235" spans="1:23">
      <c r="A235" s="24" t="str">
        <f t="shared" si="27"/>
        <v>11106_1-2/117&lt;lv2&gt;s1</v>
      </c>
      <c r="B235" s="19">
        <f t="shared" si="31"/>
        <v>11106</v>
      </c>
      <c r="C235" s="19">
        <f t="shared" si="31"/>
        <v>1</v>
      </c>
      <c r="D235" s="19">
        <f t="shared" si="31"/>
        <v>2</v>
      </c>
      <c r="E235" s="19">
        <f t="shared" si="31"/>
        <v>117</v>
      </c>
      <c r="F235" s="19">
        <f t="shared" si="31"/>
        <v>2</v>
      </c>
      <c r="G235" s="19">
        <f t="shared" si="31"/>
        <v>7.5</v>
      </c>
      <c r="H235" s="19">
        <f t="shared" si="31"/>
        <v>11</v>
      </c>
      <c r="I235" s="19">
        <f t="shared" si="31"/>
        <v>0</v>
      </c>
      <c r="J235" s="19">
        <f t="shared" si="31"/>
        <v>11702</v>
      </c>
      <c r="K235" s="19">
        <f t="shared" si="31"/>
        <v>1</v>
      </c>
      <c r="L235" s="19">
        <f t="shared" si="31"/>
        <v>100</v>
      </c>
      <c r="M235" s="19">
        <f t="shared" si="31"/>
        <v>0</v>
      </c>
      <c r="N235" s="19">
        <f t="shared" si="31"/>
        <v>1</v>
      </c>
      <c r="O235" s="19">
        <f t="shared" si="31"/>
        <v>117</v>
      </c>
      <c r="P235" s="19">
        <f t="shared" si="31"/>
        <v>1</v>
      </c>
      <c r="Q235" s="19">
        <f t="shared" ref="Q235:W250" si="32">VLOOKUP($A235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3</v>
      </c>
      <c r="R235" s="19">
        <f t="shared" si="32"/>
        <v>50</v>
      </c>
      <c r="S235" s="19">
        <f t="shared" si="32"/>
        <v>0</v>
      </c>
      <c r="T235" s="19">
        <f t="shared" si="32"/>
        <v>0</v>
      </c>
      <c r="U235" s="19">
        <f t="shared" si="32"/>
        <v>0</v>
      </c>
      <c r="V235" s="19">
        <f t="shared" si="32"/>
        <v>0</v>
      </c>
      <c r="W235" s="19">
        <f t="shared" si="32"/>
        <v>1</v>
      </c>
    </row>
    <row r="236" spans="1:23">
      <c r="A236" s="24" t="str">
        <f t="shared" si="27"/>
        <v>11106_1-2/117&lt;lv1&gt;s1</v>
      </c>
      <c r="B236" s="19">
        <f t="shared" ref="B236:Q251" si="33">VLOOKUP($A236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11106</v>
      </c>
      <c r="C236" s="19">
        <f t="shared" si="33"/>
        <v>1</v>
      </c>
      <c r="D236" s="19">
        <f t="shared" si="33"/>
        <v>2</v>
      </c>
      <c r="E236" s="19">
        <f t="shared" si="33"/>
        <v>117</v>
      </c>
      <c r="F236" s="19">
        <f t="shared" si="33"/>
        <v>1</v>
      </c>
      <c r="G236" s="19">
        <f t="shared" si="33"/>
        <v>10.5</v>
      </c>
      <c r="H236" s="19">
        <f t="shared" si="33"/>
        <v>11</v>
      </c>
      <c r="I236" s="19">
        <f t="shared" si="33"/>
        <v>0</v>
      </c>
      <c r="J236" s="19">
        <f t="shared" si="33"/>
        <v>11702</v>
      </c>
      <c r="K236" s="19">
        <f t="shared" si="33"/>
        <v>0</v>
      </c>
      <c r="L236" s="19">
        <f t="shared" si="33"/>
        <v>100</v>
      </c>
      <c r="M236" s="19">
        <f t="shared" si="33"/>
        <v>0</v>
      </c>
      <c r="N236" s="19">
        <f t="shared" si="33"/>
        <v>1</v>
      </c>
      <c r="O236" s="19">
        <f t="shared" si="33"/>
        <v>117</v>
      </c>
      <c r="P236" s="19">
        <f t="shared" si="33"/>
        <v>1</v>
      </c>
      <c r="Q236" s="19">
        <f t="shared" si="33"/>
        <v>3</v>
      </c>
      <c r="R236" s="19">
        <f t="shared" si="32"/>
        <v>50</v>
      </c>
      <c r="S236" s="19">
        <f t="shared" si="32"/>
        <v>0</v>
      </c>
      <c r="T236" s="19">
        <f t="shared" si="32"/>
        <v>0</v>
      </c>
      <c r="U236" s="19">
        <f t="shared" si="32"/>
        <v>0</v>
      </c>
      <c r="V236" s="19">
        <f t="shared" si="32"/>
        <v>0</v>
      </c>
      <c r="W236" s="19">
        <f t="shared" si="32"/>
        <v>1</v>
      </c>
    </row>
    <row r="237" spans="1:23">
      <c r="A237" s="24" t="str">
        <f t="shared" si="27"/>
        <v>11106_1-2/1&lt;lv5&gt;s1</v>
      </c>
      <c r="B237" s="19">
        <f t="shared" si="33"/>
        <v>11106</v>
      </c>
      <c r="C237" s="19">
        <f t="shared" si="33"/>
        <v>1</v>
      </c>
      <c r="D237" s="19">
        <f t="shared" si="33"/>
        <v>2</v>
      </c>
      <c r="E237" s="19">
        <f t="shared" si="33"/>
        <v>1</v>
      </c>
      <c r="F237" s="19">
        <f t="shared" si="33"/>
        <v>5</v>
      </c>
      <c r="G237" s="19">
        <f t="shared" si="33"/>
        <v>1</v>
      </c>
      <c r="H237" s="19">
        <f t="shared" si="33"/>
        <v>1</v>
      </c>
      <c r="I237" s="19">
        <f t="shared" si="33"/>
        <v>0</v>
      </c>
      <c r="J237" s="19">
        <f t="shared" si="33"/>
        <v>0</v>
      </c>
      <c r="K237" s="19">
        <f t="shared" si="33"/>
        <v>0</v>
      </c>
      <c r="L237" s="19">
        <f t="shared" si="33"/>
        <v>100</v>
      </c>
      <c r="M237" s="19">
        <f t="shared" si="33"/>
        <v>0</v>
      </c>
      <c r="N237" s="19">
        <f t="shared" si="33"/>
        <v>1</v>
      </c>
      <c r="O237" s="19">
        <f t="shared" si="33"/>
        <v>1</v>
      </c>
      <c r="P237" s="19">
        <f t="shared" si="33"/>
        <v>1</v>
      </c>
      <c r="Q237" s="19">
        <f t="shared" si="33"/>
        <v>1</v>
      </c>
      <c r="R237" s="19">
        <f t="shared" si="32"/>
        <v>0</v>
      </c>
      <c r="S237" s="19">
        <f t="shared" si="32"/>
        <v>0</v>
      </c>
      <c r="T237" s="19">
        <f t="shared" si="32"/>
        <v>0</v>
      </c>
      <c r="U237" s="19">
        <f t="shared" si="32"/>
        <v>0</v>
      </c>
      <c r="V237" s="19">
        <f t="shared" si="32"/>
        <v>0</v>
      </c>
      <c r="W237" s="19">
        <f t="shared" si="32"/>
        <v>1</v>
      </c>
    </row>
    <row r="238" spans="1:23">
      <c r="A238" s="24" t="str">
        <f t="shared" si="27"/>
        <v>11106_1-2/3&lt;lv5&gt;s2</v>
      </c>
      <c r="B238" s="19">
        <f t="shared" si="33"/>
        <v>11106</v>
      </c>
      <c r="C238" s="19">
        <f t="shared" si="33"/>
        <v>1</v>
      </c>
      <c r="D238" s="19">
        <f t="shared" si="33"/>
        <v>2</v>
      </c>
      <c r="E238" s="19">
        <f t="shared" si="33"/>
        <v>3</v>
      </c>
      <c r="F238" s="19">
        <f t="shared" si="33"/>
        <v>5</v>
      </c>
      <c r="G238" s="19">
        <f t="shared" si="33"/>
        <v>1</v>
      </c>
      <c r="H238" s="19">
        <f t="shared" si="33"/>
        <v>1</v>
      </c>
      <c r="I238" s="19">
        <f t="shared" si="33"/>
        <v>0</v>
      </c>
      <c r="J238" s="19">
        <f t="shared" si="33"/>
        <v>0</v>
      </c>
      <c r="K238" s="19">
        <f t="shared" si="33"/>
        <v>0</v>
      </c>
      <c r="L238" s="19">
        <f t="shared" si="33"/>
        <v>100</v>
      </c>
      <c r="M238" s="19">
        <f t="shared" si="33"/>
        <v>0</v>
      </c>
      <c r="N238" s="19">
        <f t="shared" si="33"/>
        <v>2</v>
      </c>
      <c r="O238" s="19">
        <f t="shared" si="33"/>
        <v>3</v>
      </c>
      <c r="P238" s="19">
        <f t="shared" si="33"/>
        <v>1</v>
      </c>
      <c r="Q238" s="19">
        <f t="shared" si="33"/>
        <v>1</v>
      </c>
      <c r="R238" s="19">
        <f t="shared" si="32"/>
        <v>0</v>
      </c>
      <c r="S238" s="19">
        <f t="shared" si="32"/>
        <v>0</v>
      </c>
      <c r="T238" s="19">
        <f t="shared" si="32"/>
        <v>0</v>
      </c>
      <c r="U238" s="19">
        <f t="shared" si="32"/>
        <v>0</v>
      </c>
      <c r="V238" s="19">
        <f t="shared" si="32"/>
        <v>0</v>
      </c>
      <c r="W238" s="19">
        <f t="shared" si="32"/>
        <v>1</v>
      </c>
    </row>
    <row r="239" spans="1:23">
      <c r="A239" s="24" t="str">
        <f t="shared" si="27"/>
        <v>11106_1-2/5&lt;lv5&gt;s3</v>
      </c>
      <c r="B239" s="19">
        <f t="shared" si="33"/>
        <v>11106</v>
      </c>
      <c r="C239" s="19">
        <f t="shared" si="33"/>
        <v>1</v>
      </c>
      <c r="D239" s="19">
        <f t="shared" si="33"/>
        <v>2</v>
      </c>
      <c r="E239" s="19">
        <f t="shared" si="33"/>
        <v>5</v>
      </c>
      <c r="F239" s="19">
        <f t="shared" si="33"/>
        <v>5</v>
      </c>
      <c r="G239" s="19">
        <f t="shared" si="33"/>
        <v>1</v>
      </c>
      <c r="H239" s="19">
        <f t="shared" si="33"/>
        <v>1</v>
      </c>
      <c r="I239" s="19">
        <f t="shared" si="33"/>
        <v>0</v>
      </c>
      <c r="J239" s="19">
        <f t="shared" si="33"/>
        <v>0</v>
      </c>
      <c r="K239" s="19">
        <f t="shared" si="33"/>
        <v>0</v>
      </c>
      <c r="L239" s="19">
        <f t="shared" si="33"/>
        <v>100</v>
      </c>
      <c r="M239" s="19">
        <f t="shared" si="33"/>
        <v>0</v>
      </c>
      <c r="N239" s="19">
        <f t="shared" si="33"/>
        <v>3</v>
      </c>
      <c r="O239" s="19">
        <f t="shared" si="33"/>
        <v>5</v>
      </c>
      <c r="P239" s="19">
        <f t="shared" si="33"/>
        <v>1</v>
      </c>
      <c r="Q239" s="19">
        <f t="shared" si="33"/>
        <v>1</v>
      </c>
      <c r="R239" s="19">
        <f t="shared" si="32"/>
        <v>0</v>
      </c>
      <c r="S239" s="19">
        <f t="shared" si="32"/>
        <v>0</v>
      </c>
      <c r="T239" s="19">
        <f t="shared" si="32"/>
        <v>0</v>
      </c>
      <c r="U239" s="19">
        <f t="shared" si="32"/>
        <v>0</v>
      </c>
      <c r="V239" s="19">
        <f t="shared" si="32"/>
        <v>0</v>
      </c>
      <c r="W239" s="19">
        <f t="shared" si="32"/>
        <v>1</v>
      </c>
    </row>
    <row r="240" spans="1:23">
      <c r="A240" s="24" t="str">
        <f t="shared" si="27"/>
        <v>11106_1-2/7&lt;lv5&gt;s2</v>
      </c>
      <c r="B240" s="19">
        <f t="shared" si="33"/>
        <v>11106</v>
      </c>
      <c r="C240" s="19">
        <f t="shared" si="33"/>
        <v>1</v>
      </c>
      <c r="D240" s="19">
        <f t="shared" si="33"/>
        <v>2</v>
      </c>
      <c r="E240" s="19">
        <f t="shared" si="33"/>
        <v>7</v>
      </c>
      <c r="F240" s="19">
        <f t="shared" si="33"/>
        <v>5</v>
      </c>
      <c r="G240" s="19">
        <f t="shared" si="33"/>
        <v>1</v>
      </c>
      <c r="H240" s="19">
        <f t="shared" si="33"/>
        <v>1</v>
      </c>
      <c r="I240" s="19">
        <f t="shared" si="33"/>
        <v>0</v>
      </c>
      <c r="J240" s="19">
        <f t="shared" si="33"/>
        <v>0</v>
      </c>
      <c r="K240" s="19">
        <f t="shared" si="33"/>
        <v>0</v>
      </c>
      <c r="L240" s="19">
        <f t="shared" si="33"/>
        <v>100</v>
      </c>
      <c r="M240" s="19">
        <f t="shared" si="33"/>
        <v>0</v>
      </c>
      <c r="N240" s="19">
        <f t="shared" si="33"/>
        <v>2</v>
      </c>
      <c r="O240" s="19">
        <f t="shared" si="33"/>
        <v>7</v>
      </c>
      <c r="P240" s="19">
        <f t="shared" si="33"/>
        <v>1</v>
      </c>
      <c r="Q240" s="19">
        <f t="shared" si="33"/>
        <v>1</v>
      </c>
      <c r="R240" s="19">
        <f t="shared" si="32"/>
        <v>0</v>
      </c>
      <c r="S240" s="19">
        <f t="shared" si="32"/>
        <v>0</v>
      </c>
      <c r="T240" s="19">
        <f t="shared" si="32"/>
        <v>0</v>
      </c>
      <c r="U240" s="19">
        <f t="shared" si="32"/>
        <v>0</v>
      </c>
      <c r="V240" s="19">
        <f t="shared" si="32"/>
        <v>0</v>
      </c>
      <c r="W240" s="19">
        <f t="shared" si="32"/>
        <v>1</v>
      </c>
    </row>
    <row r="241" spans="1:23">
      <c r="A241" s="24" t="str">
        <f t="shared" si="27"/>
        <v>11106_1-3/117&lt;lv2&gt;s1</v>
      </c>
      <c r="B241" s="19">
        <f t="shared" si="33"/>
        <v>11106</v>
      </c>
      <c r="C241" s="19">
        <f t="shared" si="33"/>
        <v>1</v>
      </c>
      <c r="D241" s="19">
        <f t="shared" si="33"/>
        <v>3</v>
      </c>
      <c r="E241" s="19">
        <f t="shared" si="33"/>
        <v>117</v>
      </c>
      <c r="F241" s="19">
        <f t="shared" si="33"/>
        <v>2</v>
      </c>
      <c r="G241" s="19">
        <f t="shared" si="33"/>
        <v>7.5</v>
      </c>
      <c r="H241" s="19">
        <f t="shared" si="33"/>
        <v>11</v>
      </c>
      <c r="I241" s="19">
        <f t="shared" si="33"/>
        <v>0</v>
      </c>
      <c r="J241" s="19">
        <f t="shared" si="33"/>
        <v>11702</v>
      </c>
      <c r="K241" s="19">
        <f t="shared" si="33"/>
        <v>1</v>
      </c>
      <c r="L241" s="19">
        <f t="shared" si="33"/>
        <v>100</v>
      </c>
      <c r="M241" s="19">
        <f t="shared" si="33"/>
        <v>0</v>
      </c>
      <c r="N241" s="19">
        <f t="shared" si="33"/>
        <v>1</v>
      </c>
      <c r="O241" s="19">
        <f t="shared" si="33"/>
        <v>117</v>
      </c>
      <c r="P241" s="19">
        <f t="shared" si="33"/>
        <v>1</v>
      </c>
      <c r="Q241" s="19">
        <f t="shared" si="33"/>
        <v>3</v>
      </c>
      <c r="R241" s="19">
        <f t="shared" si="32"/>
        <v>30</v>
      </c>
      <c r="S241" s="19">
        <f t="shared" si="32"/>
        <v>0</v>
      </c>
      <c r="T241" s="19">
        <f t="shared" si="32"/>
        <v>0</v>
      </c>
      <c r="U241" s="19">
        <f t="shared" si="32"/>
        <v>0</v>
      </c>
      <c r="V241" s="19">
        <f t="shared" si="32"/>
        <v>0</v>
      </c>
      <c r="W241" s="19">
        <f t="shared" si="32"/>
        <v>1</v>
      </c>
    </row>
    <row r="242" spans="1:23">
      <c r="A242" s="24" t="str">
        <f t="shared" si="27"/>
        <v>11106_1-3/118&lt;lv2&gt;s2</v>
      </c>
      <c r="B242" s="19">
        <f t="shared" si="33"/>
        <v>11106</v>
      </c>
      <c r="C242" s="19">
        <f t="shared" si="33"/>
        <v>1</v>
      </c>
      <c r="D242" s="19">
        <f t="shared" si="33"/>
        <v>3</v>
      </c>
      <c r="E242" s="19">
        <f t="shared" si="33"/>
        <v>118</v>
      </c>
      <c r="F242" s="19">
        <f t="shared" si="33"/>
        <v>2</v>
      </c>
      <c r="G242" s="19">
        <f t="shared" si="33"/>
        <v>7.5</v>
      </c>
      <c r="H242" s="19">
        <f t="shared" si="33"/>
        <v>10</v>
      </c>
      <c r="I242" s="19">
        <f t="shared" si="33"/>
        <v>0</v>
      </c>
      <c r="J242" s="19">
        <f t="shared" si="33"/>
        <v>11702</v>
      </c>
      <c r="K242" s="19">
        <f t="shared" si="33"/>
        <v>1</v>
      </c>
      <c r="L242" s="19">
        <f t="shared" si="33"/>
        <v>100</v>
      </c>
      <c r="M242" s="19">
        <f t="shared" si="33"/>
        <v>0</v>
      </c>
      <c r="N242" s="19">
        <f t="shared" si="33"/>
        <v>2</v>
      </c>
      <c r="O242" s="19">
        <f t="shared" si="33"/>
        <v>118</v>
      </c>
      <c r="P242" s="19">
        <f t="shared" si="33"/>
        <v>1</v>
      </c>
      <c r="Q242" s="19">
        <f t="shared" si="33"/>
        <v>4</v>
      </c>
      <c r="R242" s="19">
        <f t="shared" si="32"/>
        <v>10</v>
      </c>
      <c r="S242" s="19">
        <f t="shared" si="32"/>
        <v>0</v>
      </c>
      <c r="T242" s="19">
        <f t="shared" si="32"/>
        <v>0</v>
      </c>
      <c r="U242" s="19">
        <f t="shared" si="32"/>
        <v>0</v>
      </c>
      <c r="V242" s="19">
        <f t="shared" si="32"/>
        <v>0</v>
      </c>
      <c r="W242" s="19">
        <f t="shared" si="32"/>
        <v>1</v>
      </c>
    </row>
    <row r="243" spans="1:23">
      <c r="A243" s="24" t="str">
        <f t="shared" si="27"/>
        <v>11106_1-3/117&lt;lv1&gt;s1</v>
      </c>
      <c r="B243" s="19">
        <f t="shared" si="33"/>
        <v>11106</v>
      </c>
      <c r="C243" s="19">
        <f t="shared" si="33"/>
        <v>1</v>
      </c>
      <c r="D243" s="19">
        <f t="shared" si="33"/>
        <v>3</v>
      </c>
      <c r="E243" s="19">
        <f t="shared" si="33"/>
        <v>117</v>
      </c>
      <c r="F243" s="19">
        <f t="shared" si="33"/>
        <v>1</v>
      </c>
      <c r="G243" s="19">
        <f t="shared" si="33"/>
        <v>10.5</v>
      </c>
      <c r="H243" s="19">
        <f t="shared" si="33"/>
        <v>11</v>
      </c>
      <c r="I243" s="19">
        <f t="shared" si="33"/>
        <v>0</v>
      </c>
      <c r="J243" s="19">
        <f t="shared" si="33"/>
        <v>11702</v>
      </c>
      <c r="K243" s="19">
        <f t="shared" si="33"/>
        <v>0</v>
      </c>
      <c r="L243" s="19">
        <f t="shared" si="33"/>
        <v>100</v>
      </c>
      <c r="M243" s="19">
        <f t="shared" si="33"/>
        <v>0</v>
      </c>
      <c r="N243" s="19">
        <f t="shared" si="33"/>
        <v>1</v>
      </c>
      <c r="O243" s="19">
        <f t="shared" si="33"/>
        <v>117</v>
      </c>
      <c r="P243" s="19">
        <f t="shared" si="33"/>
        <v>1</v>
      </c>
      <c r="Q243" s="19">
        <f t="shared" si="33"/>
        <v>3</v>
      </c>
      <c r="R243" s="19">
        <f t="shared" si="32"/>
        <v>30</v>
      </c>
      <c r="S243" s="19">
        <f t="shared" si="32"/>
        <v>0</v>
      </c>
      <c r="T243" s="19">
        <f t="shared" si="32"/>
        <v>0</v>
      </c>
      <c r="U243" s="19">
        <f t="shared" si="32"/>
        <v>0</v>
      </c>
      <c r="V243" s="19">
        <f t="shared" si="32"/>
        <v>0</v>
      </c>
      <c r="W243" s="19">
        <f t="shared" si="32"/>
        <v>1</v>
      </c>
    </row>
    <row r="244" spans="1:23">
      <c r="A244" s="24" t="str">
        <f t="shared" si="27"/>
        <v>11106_1-3/118&lt;lv1&gt;s2</v>
      </c>
      <c r="B244" s="19">
        <f t="shared" si="33"/>
        <v>11106</v>
      </c>
      <c r="C244" s="19">
        <f t="shared" si="33"/>
        <v>1</v>
      </c>
      <c r="D244" s="19">
        <f t="shared" si="33"/>
        <v>3</v>
      </c>
      <c r="E244" s="19">
        <f t="shared" si="33"/>
        <v>118</v>
      </c>
      <c r="F244" s="19">
        <f t="shared" si="33"/>
        <v>1</v>
      </c>
      <c r="G244" s="19">
        <f t="shared" si="33"/>
        <v>10.5</v>
      </c>
      <c r="H244" s="19">
        <f t="shared" si="33"/>
        <v>10</v>
      </c>
      <c r="I244" s="19">
        <f t="shared" si="33"/>
        <v>0</v>
      </c>
      <c r="J244" s="19">
        <f t="shared" si="33"/>
        <v>11702</v>
      </c>
      <c r="K244" s="19">
        <f t="shared" si="33"/>
        <v>0</v>
      </c>
      <c r="L244" s="19">
        <f t="shared" si="33"/>
        <v>100</v>
      </c>
      <c r="M244" s="19">
        <f t="shared" si="33"/>
        <v>0</v>
      </c>
      <c r="N244" s="19">
        <f t="shared" si="33"/>
        <v>2</v>
      </c>
      <c r="O244" s="19">
        <f t="shared" si="33"/>
        <v>118</v>
      </c>
      <c r="P244" s="19">
        <f t="shared" si="33"/>
        <v>1</v>
      </c>
      <c r="Q244" s="19">
        <f t="shared" si="33"/>
        <v>4</v>
      </c>
      <c r="R244" s="19">
        <f t="shared" si="32"/>
        <v>10</v>
      </c>
      <c r="S244" s="19">
        <f t="shared" si="32"/>
        <v>0</v>
      </c>
      <c r="T244" s="19">
        <f t="shared" si="32"/>
        <v>0</v>
      </c>
      <c r="U244" s="19">
        <f t="shared" si="32"/>
        <v>0</v>
      </c>
      <c r="V244" s="19">
        <f t="shared" si="32"/>
        <v>0</v>
      </c>
      <c r="W244" s="19">
        <f t="shared" si="32"/>
        <v>1</v>
      </c>
    </row>
    <row r="245" spans="1:23">
      <c r="A245" s="24" t="str">
        <f t="shared" si="27"/>
        <v>11106_1-3/1&lt;lv5&gt;s1</v>
      </c>
      <c r="B245" s="19">
        <f t="shared" si="33"/>
        <v>11106</v>
      </c>
      <c r="C245" s="19">
        <f t="shared" si="33"/>
        <v>1</v>
      </c>
      <c r="D245" s="19">
        <f t="shared" si="33"/>
        <v>3</v>
      </c>
      <c r="E245" s="19">
        <f t="shared" si="33"/>
        <v>1</v>
      </c>
      <c r="F245" s="19">
        <f t="shared" si="33"/>
        <v>5</v>
      </c>
      <c r="G245" s="19">
        <f t="shared" si="33"/>
        <v>1</v>
      </c>
      <c r="H245" s="19">
        <f t="shared" si="33"/>
        <v>1</v>
      </c>
      <c r="I245" s="19">
        <f t="shared" si="33"/>
        <v>0</v>
      </c>
      <c r="J245" s="19">
        <f t="shared" si="33"/>
        <v>0</v>
      </c>
      <c r="K245" s="19">
        <f t="shared" si="33"/>
        <v>0</v>
      </c>
      <c r="L245" s="19">
        <f t="shared" si="33"/>
        <v>100</v>
      </c>
      <c r="M245" s="19">
        <f t="shared" si="33"/>
        <v>0</v>
      </c>
      <c r="N245" s="19">
        <f t="shared" si="33"/>
        <v>1</v>
      </c>
      <c r="O245" s="19">
        <f t="shared" si="33"/>
        <v>1</v>
      </c>
      <c r="P245" s="19">
        <f t="shared" si="33"/>
        <v>1</v>
      </c>
      <c r="Q245" s="19">
        <f t="shared" si="33"/>
        <v>1</v>
      </c>
      <c r="R245" s="19">
        <f t="shared" si="32"/>
        <v>0</v>
      </c>
      <c r="S245" s="19">
        <f t="shared" si="32"/>
        <v>0</v>
      </c>
      <c r="T245" s="19">
        <f t="shared" si="32"/>
        <v>0</v>
      </c>
      <c r="U245" s="19">
        <f t="shared" si="32"/>
        <v>0</v>
      </c>
      <c r="V245" s="19">
        <f t="shared" si="32"/>
        <v>0</v>
      </c>
      <c r="W245" s="19">
        <f t="shared" si="32"/>
        <v>1</v>
      </c>
    </row>
    <row r="246" spans="1:23">
      <c r="A246" s="24" t="str">
        <f t="shared" si="27"/>
        <v>11106_1-3/3&lt;lv5&gt;s2</v>
      </c>
      <c r="B246" s="19">
        <f t="shared" si="33"/>
        <v>11106</v>
      </c>
      <c r="C246" s="19">
        <f t="shared" si="33"/>
        <v>1</v>
      </c>
      <c r="D246" s="19">
        <f t="shared" si="33"/>
        <v>3</v>
      </c>
      <c r="E246" s="19">
        <f t="shared" si="33"/>
        <v>3</v>
      </c>
      <c r="F246" s="19">
        <f t="shared" si="33"/>
        <v>5</v>
      </c>
      <c r="G246" s="19">
        <f t="shared" si="33"/>
        <v>1</v>
      </c>
      <c r="H246" s="19">
        <f t="shared" si="33"/>
        <v>1</v>
      </c>
      <c r="I246" s="19">
        <f t="shared" si="33"/>
        <v>0</v>
      </c>
      <c r="J246" s="19">
        <f t="shared" si="33"/>
        <v>0</v>
      </c>
      <c r="K246" s="19">
        <f t="shared" si="33"/>
        <v>0</v>
      </c>
      <c r="L246" s="19">
        <f t="shared" si="33"/>
        <v>100</v>
      </c>
      <c r="M246" s="19">
        <f t="shared" si="33"/>
        <v>0</v>
      </c>
      <c r="N246" s="19">
        <f t="shared" si="33"/>
        <v>2</v>
      </c>
      <c r="O246" s="19">
        <f t="shared" si="33"/>
        <v>3</v>
      </c>
      <c r="P246" s="19">
        <f t="shared" si="33"/>
        <v>1</v>
      </c>
      <c r="Q246" s="19">
        <f t="shared" si="33"/>
        <v>1</v>
      </c>
      <c r="R246" s="19">
        <f t="shared" si="32"/>
        <v>0</v>
      </c>
      <c r="S246" s="19">
        <f t="shared" si="32"/>
        <v>0</v>
      </c>
      <c r="T246" s="19">
        <f t="shared" si="32"/>
        <v>0</v>
      </c>
      <c r="U246" s="19">
        <f t="shared" si="32"/>
        <v>0</v>
      </c>
      <c r="V246" s="19">
        <f t="shared" si="32"/>
        <v>0</v>
      </c>
      <c r="W246" s="19">
        <f t="shared" si="32"/>
        <v>1</v>
      </c>
    </row>
    <row r="247" spans="1:23">
      <c r="A247" s="24" t="str">
        <f t="shared" si="27"/>
        <v>11106_1-3/5&lt;lv5&gt;s3</v>
      </c>
      <c r="B247" s="19">
        <f t="shared" si="33"/>
        <v>11106</v>
      </c>
      <c r="C247" s="19">
        <f t="shared" si="33"/>
        <v>1</v>
      </c>
      <c r="D247" s="19">
        <f t="shared" si="33"/>
        <v>3</v>
      </c>
      <c r="E247" s="19">
        <f t="shared" si="33"/>
        <v>5</v>
      </c>
      <c r="F247" s="19">
        <f t="shared" si="33"/>
        <v>5</v>
      </c>
      <c r="G247" s="19">
        <f t="shared" si="33"/>
        <v>1</v>
      </c>
      <c r="H247" s="19">
        <f t="shared" si="33"/>
        <v>1</v>
      </c>
      <c r="I247" s="19">
        <f t="shared" si="33"/>
        <v>0</v>
      </c>
      <c r="J247" s="19">
        <f t="shared" si="33"/>
        <v>0</v>
      </c>
      <c r="K247" s="19">
        <f t="shared" si="33"/>
        <v>0</v>
      </c>
      <c r="L247" s="19">
        <f t="shared" si="33"/>
        <v>100</v>
      </c>
      <c r="M247" s="19">
        <f t="shared" si="33"/>
        <v>0</v>
      </c>
      <c r="N247" s="19">
        <f t="shared" si="33"/>
        <v>3</v>
      </c>
      <c r="O247" s="19">
        <f t="shared" si="33"/>
        <v>5</v>
      </c>
      <c r="P247" s="19">
        <f t="shared" si="33"/>
        <v>1</v>
      </c>
      <c r="Q247" s="19">
        <f t="shared" si="33"/>
        <v>1</v>
      </c>
      <c r="R247" s="19">
        <f t="shared" si="32"/>
        <v>0</v>
      </c>
      <c r="S247" s="19">
        <f t="shared" si="32"/>
        <v>0</v>
      </c>
      <c r="T247" s="19">
        <f t="shared" si="32"/>
        <v>0</v>
      </c>
      <c r="U247" s="19">
        <f t="shared" si="32"/>
        <v>0</v>
      </c>
      <c r="V247" s="19">
        <f t="shared" si="32"/>
        <v>0</v>
      </c>
      <c r="W247" s="19">
        <f t="shared" si="32"/>
        <v>1</v>
      </c>
    </row>
    <row r="248" spans="1:23">
      <c r="A248" s="24" t="str">
        <f t="shared" si="27"/>
        <v>11106_1-3/7&lt;lv5&gt;s2</v>
      </c>
      <c r="B248" s="19">
        <f t="shared" si="33"/>
        <v>11106</v>
      </c>
      <c r="C248" s="19">
        <f t="shared" si="33"/>
        <v>1</v>
      </c>
      <c r="D248" s="19">
        <f t="shared" si="33"/>
        <v>3</v>
      </c>
      <c r="E248" s="19">
        <f t="shared" si="33"/>
        <v>7</v>
      </c>
      <c r="F248" s="19">
        <f t="shared" si="33"/>
        <v>5</v>
      </c>
      <c r="G248" s="19">
        <f t="shared" si="33"/>
        <v>1</v>
      </c>
      <c r="H248" s="19">
        <f t="shared" si="33"/>
        <v>1</v>
      </c>
      <c r="I248" s="19">
        <f t="shared" si="33"/>
        <v>0</v>
      </c>
      <c r="J248" s="19">
        <f t="shared" si="33"/>
        <v>0</v>
      </c>
      <c r="K248" s="19">
        <f t="shared" si="33"/>
        <v>0</v>
      </c>
      <c r="L248" s="19">
        <f t="shared" si="33"/>
        <v>100</v>
      </c>
      <c r="M248" s="19">
        <f t="shared" si="33"/>
        <v>0</v>
      </c>
      <c r="N248" s="19">
        <f t="shared" si="33"/>
        <v>2</v>
      </c>
      <c r="O248" s="19">
        <f t="shared" si="33"/>
        <v>7</v>
      </c>
      <c r="P248" s="19">
        <f t="shared" si="33"/>
        <v>1</v>
      </c>
      <c r="Q248" s="19">
        <f t="shared" si="33"/>
        <v>1</v>
      </c>
      <c r="R248" s="19">
        <f t="shared" si="32"/>
        <v>0</v>
      </c>
      <c r="S248" s="19">
        <f t="shared" si="32"/>
        <v>0</v>
      </c>
      <c r="T248" s="19">
        <f t="shared" si="32"/>
        <v>0</v>
      </c>
      <c r="U248" s="19">
        <f t="shared" si="32"/>
        <v>0</v>
      </c>
      <c r="V248" s="19">
        <f t="shared" si="32"/>
        <v>0</v>
      </c>
      <c r="W248" s="19">
        <f t="shared" si="32"/>
        <v>1</v>
      </c>
    </row>
    <row r="249" spans="1:23">
      <c r="A249" s="24" t="str">
        <f t="shared" si="27"/>
        <v>11106_1-4/117&lt;lv2&gt;s1</v>
      </c>
      <c r="B249" s="19">
        <f t="shared" si="33"/>
        <v>11106</v>
      </c>
      <c r="C249" s="19">
        <f t="shared" si="33"/>
        <v>1</v>
      </c>
      <c r="D249" s="19">
        <f t="shared" si="33"/>
        <v>4</v>
      </c>
      <c r="E249" s="19">
        <f t="shared" si="33"/>
        <v>117</v>
      </c>
      <c r="F249" s="19">
        <f t="shared" si="33"/>
        <v>2</v>
      </c>
      <c r="G249" s="19">
        <f t="shared" si="33"/>
        <v>7.5</v>
      </c>
      <c r="H249" s="19">
        <f t="shared" si="33"/>
        <v>11</v>
      </c>
      <c r="I249" s="19">
        <f t="shared" si="33"/>
        <v>0</v>
      </c>
      <c r="J249" s="19">
        <f t="shared" si="33"/>
        <v>11702</v>
      </c>
      <c r="K249" s="19">
        <f t="shared" si="33"/>
        <v>1</v>
      </c>
      <c r="L249" s="19">
        <f t="shared" si="33"/>
        <v>100</v>
      </c>
      <c r="M249" s="19">
        <f t="shared" si="33"/>
        <v>0</v>
      </c>
      <c r="N249" s="19">
        <f t="shared" si="33"/>
        <v>1</v>
      </c>
      <c r="O249" s="19">
        <f t="shared" si="33"/>
        <v>117</v>
      </c>
      <c r="P249" s="19">
        <f t="shared" si="33"/>
        <v>1</v>
      </c>
      <c r="Q249" s="19">
        <f t="shared" si="33"/>
        <v>3</v>
      </c>
      <c r="R249" s="19">
        <f t="shared" si="32"/>
        <v>30</v>
      </c>
      <c r="S249" s="19">
        <f t="shared" si="32"/>
        <v>0</v>
      </c>
      <c r="T249" s="19">
        <f t="shared" si="32"/>
        <v>0</v>
      </c>
      <c r="U249" s="19">
        <f t="shared" si="32"/>
        <v>0</v>
      </c>
      <c r="V249" s="19">
        <f t="shared" si="32"/>
        <v>0</v>
      </c>
      <c r="W249" s="19">
        <f t="shared" si="32"/>
        <v>1</v>
      </c>
    </row>
    <row r="250" spans="1:23">
      <c r="A250" s="24" t="str">
        <f t="shared" si="27"/>
        <v>11106_1-4/118&lt;lv2&gt;s2</v>
      </c>
      <c r="B250" s="19">
        <f t="shared" si="33"/>
        <v>11106</v>
      </c>
      <c r="C250" s="19">
        <f t="shared" si="33"/>
        <v>1</v>
      </c>
      <c r="D250" s="19">
        <f t="shared" si="33"/>
        <v>4</v>
      </c>
      <c r="E250" s="19">
        <f t="shared" si="33"/>
        <v>118</v>
      </c>
      <c r="F250" s="19">
        <f t="shared" si="33"/>
        <v>2</v>
      </c>
      <c r="G250" s="19">
        <f t="shared" si="33"/>
        <v>7.5</v>
      </c>
      <c r="H250" s="19">
        <f t="shared" si="33"/>
        <v>10</v>
      </c>
      <c r="I250" s="19">
        <f t="shared" si="33"/>
        <v>0</v>
      </c>
      <c r="J250" s="19">
        <f t="shared" si="33"/>
        <v>11702</v>
      </c>
      <c r="K250" s="19">
        <f t="shared" si="33"/>
        <v>1</v>
      </c>
      <c r="L250" s="19">
        <f t="shared" si="33"/>
        <v>100</v>
      </c>
      <c r="M250" s="19">
        <f t="shared" si="33"/>
        <v>0</v>
      </c>
      <c r="N250" s="19">
        <f t="shared" si="33"/>
        <v>2</v>
      </c>
      <c r="O250" s="19">
        <f t="shared" si="33"/>
        <v>118</v>
      </c>
      <c r="P250" s="19">
        <f t="shared" si="33"/>
        <v>1</v>
      </c>
      <c r="Q250" s="19">
        <f t="shared" si="33"/>
        <v>4</v>
      </c>
      <c r="R250" s="19">
        <f t="shared" si="32"/>
        <v>30</v>
      </c>
      <c r="S250" s="19">
        <f t="shared" si="32"/>
        <v>0</v>
      </c>
      <c r="T250" s="19">
        <f t="shared" si="32"/>
        <v>0</v>
      </c>
      <c r="U250" s="19">
        <f t="shared" si="32"/>
        <v>0</v>
      </c>
      <c r="V250" s="19">
        <f t="shared" si="32"/>
        <v>0</v>
      </c>
      <c r="W250" s="19">
        <f t="shared" si="32"/>
        <v>1</v>
      </c>
    </row>
    <row r="251" spans="1:23">
      <c r="A251" s="24" t="str">
        <f t="shared" si="27"/>
        <v>11106_1-4/117&lt;lv1&gt;s1</v>
      </c>
      <c r="B251" s="19">
        <f t="shared" si="33"/>
        <v>11106</v>
      </c>
      <c r="C251" s="19">
        <f t="shared" si="33"/>
        <v>1</v>
      </c>
      <c r="D251" s="19">
        <f t="shared" si="33"/>
        <v>4</v>
      </c>
      <c r="E251" s="19">
        <f t="shared" si="33"/>
        <v>117</v>
      </c>
      <c r="F251" s="19">
        <f t="shared" si="33"/>
        <v>1</v>
      </c>
      <c r="G251" s="19">
        <f t="shared" si="33"/>
        <v>10.5</v>
      </c>
      <c r="H251" s="19">
        <f t="shared" si="33"/>
        <v>11</v>
      </c>
      <c r="I251" s="19">
        <f t="shared" si="33"/>
        <v>0</v>
      </c>
      <c r="J251" s="19">
        <f t="shared" si="33"/>
        <v>11702</v>
      </c>
      <c r="K251" s="19">
        <f t="shared" si="33"/>
        <v>0</v>
      </c>
      <c r="L251" s="19">
        <f t="shared" si="33"/>
        <v>100</v>
      </c>
      <c r="M251" s="19">
        <f t="shared" si="33"/>
        <v>0</v>
      </c>
      <c r="N251" s="19">
        <f t="shared" si="33"/>
        <v>1</v>
      </c>
      <c r="O251" s="19">
        <f t="shared" si="33"/>
        <v>117</v>
      </c>
      <c r="P251" s="19">
        <f t="shared" si="33"/>
        <v>1</v>
      </c>
      <c r="Q251" s="19">
        <f t="shared" ref="Q251:W266" si="34">VLOOKUP($A251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3</v>
      </c>
      <c r="R251" s="19">
        <f t="shared" si="34"/>
        <v>30</v>
      </c>
      <c r="S251" s="19">
        <f t="shared" si="34"/>
        <v>0</v>
      </c>
      <c r="T251" s="19">
        <f t="shared" si="34"/>
        <v>0</v>
      </c>
      <c r="U251" s="19">
        <f t="shared" si="34"/>
        <v>0</v>
      </c>
      <c r="V251" s="19">
        <f t="shared" si="34"/>
        <v>0</v>
      </c>
      <c r="W251" s="19">
        <f t="shared" si="34"/>
        <v>1</v>
      </c>
    </row>
    <row r="252" spans="1:23">
      <c r="A252" s="24" t="str">
        <f t="shared" si="27"/>
        <v>11106_1-4/118&lt;lv1&gt;s2</v>
      </c>
      <c r="B252" s="19">
        <f t="shared" ref="B252:Q267" si="35">VLOOKUP($A252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11106</v>
      </c>
      <c r="C252" s="19">
        <f t="shared" si="35"/>
        <v>1</v>
      </c>
      <c r="D252" s="19">
        <f t="shared" si="35"/>
        <v>4</v>
      </c>
      <c r="E252" s="19">
        <f t="shared" si="35"/>
        <v>118</v>
      </c>
      <c r="F252" s="19">
        <f t="shared" si="35"/>
        <v>1</v>
      </c>
      <c r="G252" s="19">
        <f t="shared" si="35"/>
        <v>10.5</v>
      </c>
      <c r="H252" s="19">
        <f t="shared" si="35"/>
        <v>10</v>
      </c>
      <c r="I252" s="19">
        <f t="shared" si="35"/>
        <v>0</v>
      </c>
      <c r="J252" s="19">
        <f t="shared" si="35"/>
        <v>11702</v>
      </c>
      <c r="K252" s="19">
        <f t="shared" si="35"/>
        <v>0</v>
      </c>
      <c r="L252" s="19">
        <f t="shared" si="35"/>
        <v>100</v>
      </c>
      <c r="M252" s="19">
        <f t="shared" si="35"/>
        <v>0</v>
      </c>
      <c r="N252" s="19">
        <f t="shared" si="35"/>
        <v>2</v>
      </c>
      <c r="O252" s="19">
        <f t="shared" si="35"/>
        <v>118</v>
      </c>
      <c r="P252" s="19">
        <f t="shared" si="35"/>
        <v>1</v>
      </c>
      <c r="Q252" s="19">
        <f t="shared" si="35"/>
        <v>4</v>
      </c>
      <c r="R252" s="19">
        <f t="shared" si="34"/>
        <v>30</v>
      </c>
      <c r="S252" s="19">
        <f t="shared" si="34"/>
        <v>0</v>
      </c>
      <c r="T252" s="19">
        <f t="shared" si="34"/>
        <v>0</v>
      </c>
      <c r="U252" s="19">
        <f t="shared" si="34"/>
        <v>0</v>
      </c>
      <c r="V252" s="19">
        <f t="shared" si="34"/>
        <v>0</v>
      </c>
      <c r="W252" s="19">
        <f t="shared" si="34"/>
        <v>1</v>
      </c>
    </row>
    <row r="253" spans="1:23">
      <c r="A253" s="24" t="str">
        <f t="shared" si="27"/>
        <v>11106_1-4/1&lt;lv5&gt;s1</v>
      </c>
      <c r="B253" s="19">
        <f t="shared" si="35"/>
        <v>11106</v>
      </c>
      <c r="C253" s="19">
        <f t="shared" si="35"/>
        <v>1</v>
      </c>
      <c r="D253" s="19">
        <f t="shared" si="35"/>
        <v>4</v>
      </c>
      <c r="E253" s="19">
        <f t="shared" si="35"/>
        <v>1</v>
      </c>
      <c r="F253" s="19">
        <f t="shared" si="35"/>
        <v>5</v>
      </c>
      <c r="G253" s="19">
        <f t="shared" si="35"/>
        <v>1</v>
      </c>
      <c r="H253" s="19">
        <f t="shared" si="35"/>
        <v>1</v>
      </c>
      <c r="I253" s="19">
        <f t="shared" si="35"/>
        <v>0</v>
      </c>
      <c r="J253" s="19">
        <f t="shared" si="35"/>
        <v>0</v>
      </c>
      <c r="K253" s="19">
        <f t="shared" si="35"/>
        <v>0</v>
      </c>
      <c r="L253" s="19">
        <f t="shared" si="35"/>
        <v>100</v>
      </c>
      <c r="M253" s="19">
        <f t="shared" si="35"/>
        <v>0</v>
      </c>
      <c r="N253" s="19">
        <f t="shared" si="35"/>
        <v>1</v>
      </c>
      <c r="O253" s="19">
        <f t="shared" si="35"/>
        <v>1</v>
      </c>
      <c r="P253" s="19">
        <f t="shared" si="35"/>
        <v>1</v>
      </c>
      <c r="Q253" s="19">
        <f t="shared" si="35"/>
        <v>1</v>
      </c>
      <c r="R253" s="19">
        <f t="shared" si="34"/>
        <v>0</v>
      </c>
      <c r="S253" s="19">
        <f t="shared" si="34"/>
        <v>0</v>
      </c>
      <c r="T253" s="19">
        <f t="shared" si="34"/>
        <v>0</v>
      </c>
      <c r="U253" s="19">
        <f t="shared" si="34"/>
        <v>0</v>
      </c>
      <c r="V253" s="19">
        <f t="shared" si="34"/>
        <v>0</v>
      </c>
      <c r="W253" s="19">
        <f t="shared" si="34"/>
        <v>1</v>
      </c>
    </row>
    <row r="254" spans="1:23">
      <c r="A254" s="24" t="str">
        <f t="shared" si="27"/>
        <v>11106_1-4/3&lt;lv5&gt;s2</v>
      </c>
      <c r="B254" s="19">
        <f t="shared" si="35"/>
        <v>11106</v>
      </c>
      <c r="C254" s="19">
        <f t="shared" si="35"/>
        <v>1</v>
      </c>
      <c r="D254" s="19">
        <f t="shared" si="35"/>
        <v>4</v>
      </c>
      <c r="E254" s="19">
        <f t="shared" si="35"/>
        <v>3</v>
      </c>
      <c r="F254" s="19">
        <f t="shared" si="35"/>
        <v>5</v>
      </c>
      <c r="G254" s="19">
        <f t="shared" si="35"/>
        <v>1</v>
      </c>
      <c r="H254" s="19">
        <f t="shared" si="35"/>
        <v>1</v>
      </c>
      <c r="I254" s="19">
        <f t="shared" si="35"/>
        <v>0</v>
      </c>
      <c r="J254" s="19">
        <f t="shared" si="35"/>
        <v>0</v>
      </c>
      <c r="K254" s="19">
        <f t="shared" si="35"/>
        <v>0</v>
      </c>
      <c r="L254" s="19">
        <f t="shared" si="35"/>
        <v>100</v>
      </c>
      <c r="M254" s="19">
        <f t="shared" si="35"/>
        <v>0</v>
      </c>
      <c r="N254" s="19">
        <f t="shared" si="35"/>
        <v>2</v>
      </c>
      <c r="O254" s="19">
        <f t="shared" si="35"/>
        <v>3</v>
      </c>
      <c r="P254" s="19">
        <f t="shared" si="35"/>
        <v>1</v>
      </c>
      <c r="Q254" s="19">
        <f t="shared" si="35"/>
        <v>1</v>
      </c>
      <c r="R254" s="19">
        <f t="shared" si="34"/>
        <v>0</v>
      </c>
      <c r="S254" s="19">
        <f t="shared" si="34"/>
        <v>0</v>
      </c>
      <c r="T254" s="19">
        <f t="shared" si="34"/>
        <v>0</v>
      </c>
      <c r="U254" s="19">
        <f t="shared" si="34"/>
        <v>0</v>
      </c>
      <c r="V254" s="19">
        <f t="shared" si="34"/>
        <v>0</v>
      </c>
      <c r="W254" s="19">
        <f t="shared" si="34"/>
        <v>1</v>
      </c>
    </row>
    <row r="255" spans="1:23">
      <c r="A255" s="24" t="str">
        <f t="shared" si="27"/>
        <v>11106_1-4/5&lt;lv5&gt;s3</v>
      </c>
      <c r="B255" s="19">
        <f t="shared" si="35"/>
        <v>11106</v>
      </c>
      <c r="C255" s="19">
        <f t="shared" si="35"/>
        <v>1</v>
      </c>
      <c r="D255" s="19">
        <f t="shared" si="35"/>
        <v>4</v>
      </c>
      <c r="E255" s="19">
        <f t="shared" si="35"/>
        <v>5</v>
      </c>
      <c r="F255" s="19">
        <f t="shared" si="35"/>
        <v>5</v>
      </c>
      <c r="G255" s="19">
        <f t="shared" si="35"/>
        <v>1</v>
      </c>
      <c r="H255" s="19">
        <f t="shared" si="35"/>
        <v>1</v>
      </c>
      <c r="I255" s="19">
        <f t="shared" si="35"/>
        <v>0</v>
      </c>
      <c r="J255" s="19">
        <f t="shared" si="35"/>
        <v>0</v>
      </c>
      <c r="K255" s="19">
        <f t="shared" si="35"/>
        <v>0</v>
      </c>
      <c r="L255" s="19">
        <f t="shared" si="35"/>
        <v>100</v>
      </c>
      <c r="M255" s="19">
        <f t="shared" si="35"/>
        <v>0</v>
      </c>
      <c r="N255" s="19">
        <f t="shared" si="35"/>
        <v>3</v>
      </c>
      <c r="O255" s="19">
        <f t="shared" si="35"/>
        <v>5</v>
      </c>
      <c r="P255" s="19">
        <f t="shared" si="35"/>
        <v>1</v>
      </c>
      <c r="Q255" s="19">
        <f t="shared" si="35"/>
        <v>1</v>
      </c>
      <c r="R255" s="19">
        <f t="shared" si="34"/>
        <v>0</v>
      </c>
      <c r="S255" s="19">
        <f t="shared" si="34"/>
        <v>0</v>
      </c>
      <c r="T255" s="19">
        <f t="shared" si="34"/>
        <v>0</v>
      </c>
      <c r="U255" s="19">
        <f t="shared" si="34"/>
        <v>0</v>
      </c>
      <c r="V255" s="19">
        <f t="shared" si="34"/>
        <v>0</v>
      </c>
      <c r="W255" s="19">
        <f t="shared" si="34"/>
        <v>1</v>
      </c>
    </row>
    <row r="256" spans="1:23">
      <c r="A256" s="24" t="str">
        <f t="shared" si="27"/>
        <v>11106_1-4/7&lt;lv5&gt;s2</v>
      </c>
      <c r="B256" s="19">
        <f t="shared" si="35"/>
        <v>11106</v>
      </c>
      <c r="C256" s="19">
        <f t="shared" si="35"/>
        <v>1</v>
      </c>
      <c r="D256" s="19">
        <f t="shared" si="35"/>
        <v>4</v>
      </c>
      <c r="E256" s="19">
        <f t="shared" si="35"/>
        <v>7</v>
      </c>
      <c r="F256" s="19">
        <f t="shared" si="35"/>
        <v>5</v>
      </c>
      <c r="G256" s="19">
        <f t="shared" si="35"/>
        <v>1</v>
      </c>
      <c r="H256" s="19">
        <f t="shared" si="35"/>
        <v>1</v>
      </c>
      <c r="I256" s="19">
        <f t="shared" si="35"/>
        <v>0</v>
      </c>
      <c r="J256" s="19">
        <f t="shared" si="35"/>
        <v>0</v>
      </c>
      <c r="K256" s="19">
        <f t="shared" si="35"/>
        <v>0</v>
      </c>
      <c r="L256" s="19">
        <f t="shared" si="35"/>
        <v>100</v>
      </c>
      <c r="M256" s="19">
        <f t="shared" si="35"/>
        <v>0</v>
      </c>
      <c r="N256" s="19">
        <f t="shared" si="35"/>
        <v>2</v>
      </c>
      <c r="O256" s="19">
        <f t="shared" si="35"/>
        <v>7</v>
      </c>
      <c r="P256" s="19">
        <f t="shared" si="35"/>
        <v>1</v>
      </c>
      <c r="Q256" s="19">
        <f t="shared" si="35"/>
        <v>1</v>
      </c>
      <c r="R256" s="19">
        <f t="shared" si="34"/>
        <v>0</v>
      </c>
      <c r="S256" s="19">
        <f t="shared" si="34"/>
        <v>0</v>
      </c>
      <c r="T256" s="19">
        <f t="shared" si="34"/>
        <v>0</v>
      </c>
      <c r="U256" s="19">
        <f t="shared" si="34"/>
        <v>0</v>
      </c>
      <c r="V256" s="19">
        <f t="shared" si="34"/>
        <v>0</v>
      </c>
      <c r="W256" s="19">
        <f t="shared" si="34"/>
        <v>1</v>
      </c>
    </row>
    <row r="257" spans="1:23">
      <c r="A257" s="24" t="str">
        <f t="shared" si="27"/>
        <v>11106_1-5/117&lt;lv1&gt;s1</v>
      </c>
      <c r="B257" s="19">
        <f t="shared" si="35"/>
        <v>11106</v>
      </c>
      <c r="C257" s="19">
        <f t="shared" si="35"/>
        <v>1</v>
      </c>
      <c r="D257" s="19">
        <f t="shared" si="35"/>
        <v>5</v>
      </c>
      <c r="E257" s="19">
        <f t="shared" si="35"/>
        <v>117</v>
      </c>
      <c r="F257" s="19">
        <f t="shared" si="35"/>
        <v>1</v>
      </c>
      <c r="G257" s="19">
        <f t="shared" si="35"/>
        <v>10.5</v>
      </c>
      <c r="H257" s="19">
        <f t="shared" si="35"/>
        <v>11</v>
      </c>
      <c r="I257" s="19">
        <f t="shared" si="35"/>
        <v>0</v>
      </c>
      <c r="J257" s="19">
        <f t="shared" si="35"/>
        <v>11702</v>
      </c>
      <c r="K257" s="19">
        <f t="shared" si="35"/>
        <v>1</v>
      </c>
      <c r="L257" s="19">
        <f t="shared" si="35"/>
        <v>100</v>
      </c>
      <c r="M257" s="19">
        <f t="shared" si="35"/>
        <v>1</v>
      </c>
      <c r="N257" s="19">
        <f t="shared" si="35"/>
        <v>1</v>
      </c>
      <c r="O257" s="19">
        <f t="shared" si="35"/>
        <v>117</v>
      </c>
      <c r="P257" s="19">
        <f t="shared" si="35"/>
        <v>1</v>
      </c>
      <c r="Q257" s="19">
        <f t="shared" si="35"/>
        <v>3</v>
      </c>
      <c r="R257" s="19">
        <f t="shared" si="34"/>
        <v>100</v>
      </c>
      <c r="S257" s="19">
        <f t="shared" si="34"/>
        <v>0</v>
      </c>
      <c r="T257" s="19">
        <f t="shared" si="34"/>
        <v>0</v>
      </c>
      <c r="U257" s="19">
        <f t="shared" si="34"/>
        <v>0</v>
      </c>
      <c r="V257" s="19">
        <f t="shared" si="34"/>
        <v>0</v>
      </c>
      <c r="W257" s="19">
        <f t="shared" si="34"/>
        <v>1</v>
      </c>
    </row>
    <row r="258" spans="1:23">
      <c r="A258" s="24" t="str">
        <f t="shared" si="27"/>
        <v>11106_1-5/118&lt;lv1&gt;s2</v>
      </c>
      <c r="B258" s="19">
        <f t="shared" si="35"/>
        <v>11106</v>
      </c>
      <c r="C258" s="19">
        <f t="shared" si="35"/>
        <v>1</v>
      </c>
      <c r="D258" s="19">
        <f t="shared" si="35"/>
        <v>5</v>
      </c>
      <c r="E258" s="19">
        <f t="shared" si="35"/>
        <v>118</v>
      </c>
      <c r="F258" s="19">
        <f t="shared" si="35"/>
        <v>1</v>
      </c>
      <c r="G258" s="19">
        <f t="shared" si="35"/>
        <v>10.5</v>
      </c>
      <c r="H258" s="19">
        <f t="shared" si="35"/>
        <v>10</v>
      </c>
      <c r="I258" s="19">
        <f t="shared" si="35"/>
        <v>0</v>
      </c>
      <c r="J258" s="19">
        <f t="shared" si="35"/>
        <v>11702</v>
      </c>
      <c r="K258" s="19">
        <f t="shared" si="35"/>
        <v>1</v>
      </c>
      <c r="L258" s="19">
        <f t="shared" si="35"/>
        <v>100</v>
      </c>
      <c r="M258" s="19">
        <f t="shared" si="35"/>
        <v>1</v>
      </c>
      <c r="N258" s="19">
        <f t="shared" si="35"/>
        <v>2</v>
      </c>
      <c r="O258" s="19">
        <f t="shared" si="35"/>
        <v>118</v>
      </c>
      <c r="P258" s="19">
        <f t="shared" si="35"/>
        <v>1</v>
      </c>
      <c r="Q258" s="19">
        <f t="shared" si="35"/>
        <v>4</v>
      </c>
      <c r="R258" s="19">
        <f t="shared" si="34"/>
        <v>100</v>
      </c>
      <c r="S258" s="19">
        <f t="shared" si="34"/>
        <v>0</v>
      </c>
      <c r="T258" s="19">
        <f t="shared" si="34"/>
        <v>0</v>
      </c>
      <c r="U258" s="19">
        <f t="shared" si="34"/>
        <v>0</v>
      </c>
      <c r="V258" s="19">
        <f t="shared" si="34"/>
        <v>0</v>
      </c>
      <c r="W258" s="19">
        <f t="shared" si="34"/>
        <v>1</v>
      </c>
    </row>
    <row r="259" spans="1:23">
      <c r="A259" s="24" t="str">
        <f t="shared" si="27"/>
        <v>11106_2-1/117&lt;lv2&gt;s1</v>
      </c>
      <c r="B259" s="19">
        <f t="shared" si="35"/>
        <v>11106</v>
      </c>
      <c r="C259" s="19">
        <f t="shared" si="35"/>
        <v>2</v>
      </c>
      <c r="D259" s="19">
        <f t="shared" si="35"/>
        <v>1</v>
      </c>
      <c r="E259" s="19">
        <f t="shared" si="35"/>
        <v>117</v>
      </c>
      <c r="F259" s="19">
        <f t="shared" si="35"/>
        <v>2</v>
      </c>
      <c r="G259" s="19">
        <f t="shared" si="35"/>
        <v>11.8</v>
      </c>
      <c r="H259" s="19">
        <f t="shared" si="35"/>
        <v>17</v>
      </c>
      <c r="I259" s="19">
        <f t="shared" si="35"/>
        <v>0</v>
      </c>
      <c r="J259" s="19">
        <f t="shared" si="35"/>
        <v>11701</v>
      </c>
      <c r="K259" s="19">
        <f t="shared" si="35"/>
        <v>1</v>
      </c>
      <c r="L259" s="19">
        <f t="shared" si="35"/>
        <v>100</v>
      </c>
      <c r="M259" s="19">
        <f t="shared" si="35"/>
        <v>0</v>
      </c>
      <c r="N259" s="19">
        <f t="shared" si="35"/>
        <v>1</v>
      </c>
      <c r="O259" s="19">
        <f t="shared" si="35"/>
        <v>117</v>
      </c>
      <c r="P259" s="19">
        <f t="shared" si="35"/>
        <v>1</v>
      </c>
      <c r="Q259" s="19">
        <f t="shared" si="35"/>
        <v>3</v>
      </c>
      <c r="R259" s="19">
        <f t="shared" si="34"/>
        <v>50</v>
      </c>
      <c r="S259" s="19">
        <f t="shared" si="34"/>
        <v>0</v>
      </c>
      <c r="T259" s="19">
        <f t="shared" si="34"/>
        <v>0</v>
      </c>
      <c r="U259" s="19">
        <f t="shared" si="34"/>
        <v>0</v>
      </c>
      <c r="V259" s="19">
        <f t="shared" si="34"/>
        <v>0</v>
      </c>
      <c r="W259" s="19">
        <f t="shared" si="34"/>
        <v>1</v>
      </c>
    </row>
    <row r="260" spans="1:23">
      <c r="A260" s="24" t="str">
        <f t="shared" ref="A260:A323" si="36">INDIRECT(ADDRESS(ROW()+$A$1,COLUMN(),1,TRUE,$C$1))</f>
        <v>11106_2-1/118&lt;lv2&gt;s2</v>
      </c>
      <c r="B260" s="19">
        <f t="shared" si="35"/>
        <v>11106</v>
      </c>
      <c r="C260" s="19">
        <f t="shared" si="35"/>
        <v>2</v>
      </c>
      <c r="D260" s="19">
        <f t="shared" si="35"/>
        <v>1</v>
      </c>
      <c r="E260" s="19">
        <f t="shared" si="35"/>
        <v>118</v>
      </c>
      <c r="F260" s="19">
        <f t="shared" si="35"/>
        <v>2</v>
      </c>
      <c r="G260" s="19">
        <f t="shared" si="35"/>
        <v>11.8</v>
      </c>
      <c r="H260" s="19">
        <f t="shared" si="35"/>
        <v>15.75</v>
      </c>
      <c r="I260" s="19">
        <f t="shared" si="35"/>
        <v>0</v>
      </c>
      <c r="J260" s="19">
        <f t="shared" si="35"/>
        <v>11801</v>
      </c>
      <c r="K260" s="19">
        <f t="shared" si="35"/>
        <v>1</v>
      </c>
      <c r="L260" s="19">
        <f t="shared" si="35"/>
        <v>100</v>
      </c>
      <c r="M260" s="19">
        <f t="shared" si="35"/>
        <v>0</v>
      </c>
      <c r="N260" s="19">
        <f t="shared" si="35"/>
        <v>2</v>
      </c>
      <c r="O260" s="19">
        <f t="shared" si="35"/>
        <v>118</v>
      </c>
      <c r="P260" s="19">
        <f t="shared" si="35"/>
        <v>1</v>
      </c>
      <c r="Q260" s="19">
        <f t="shared" si="35"/>
        <v>4</v>
      </c>
      <c r="R260" s="19">
        <f t="shared" si="34"/>
        <v>50</v>
      </c>
      <c r="S260" s="19">
        <f t="shared" si="34"/>
        <v>0</v>
      </c>
      <c r="T260" s="19">
        <f t="shared" si="34"/>
        <v>0</v>
      </c>
      <c r="U260" s="19">
        <f t="shared" si="34"/>
        <v>0</v>
      </c>
      <c r="V260" s="19">
        <f t="shared" si="34"/>
        <v>0</v>
      </c>
      <c r="W260" s="19">
        <f t="shared" si="34"/>
        <v>1</v>
      </c>
    </row>
    <row r="261" spans="1:23">
      <c r="A261" s="24" t="str">
        <f t="shared" si="36"/>
        <v>11106_2-1/117&lt;lv1&gt;s1</v>
      </c>
      <c r="B261" s="19">
        <f t="shared" si="35"/>
        <v>11106</v>
      </c>
      <c r="C261" s="19">
        <f t="shared" si="35"/>
        <v>2</v>
      </c>
      <c r="D261" s="19">
        <f t="shared" si="35"/>
        <v>1</v>
      </c>
      <c r="E261" s="19">
        <f t="shared" si="35"/>
        <v>117</v>
      </c>
      <c r="F261" s="19">
        <f t="shared" si="35"/>
        <v>1</v>
      </c>
      <c r="G261" s="19">
        <f t="shared" si="35"/>
        <v>16.5</v>
      </c>
      <c r="H261" s="19">
        <f t="shared" si="35"/>
        <v>17.75</v>
      </c>
      <c r="I261" s="19">
        <f t="shared" si="35"/>
        <v>0</v>
      </c>
      <c r="J261" s="19">
        <f t="shared" si="35"/>
        <v>11801</v>
      </c>
      <c r="K261" s="19">
        <f t="shared" si="35"/>
        <v>0</v>
      </c>
      <c r="L261" s="19">
        <f t="shared" si="35"/>
        <v>100</v>
      </c>
      <c r="M261" s="19">
        <f t="shared" si="35"/>
        <v>0</v>
      </c>
      <c r="N261" s="19">
        <f t="shared" si="35"/>
        <v>1</v>
      </c>
      <c r="O261" s="19">
        <f t="shared" si="35"/>
        <v>117</v>
      </c>
      <c r="P261" s="19">
        <f t="shared" si="35"/>
        <v>1</v>
      </c>
      <c r="Q261" s="19">
        <f t="shared" si="35"/>
        <v>3</v>
      </c>
      <c r="R261" s="19">
        <f t="shared" si="34"/>
        <v>50</v>
      </c>
      <c r="S261" s="19">
        <f t="shared" si="34"/>
        <v>0</v>
      </c>
      <c r="T261" s="19">
        <f t="shared" si="34"/>
        <v>0</v>
      </c>
      <c r="U261" s="19">
        <f t="shared" si="34"/>
        <v>0</v>
      </c>
      <c r="V261" s="19">
        <f t="shared" si="34"/>
        <v>0</v>
      </c>
      <c r="W261" s="19">
        <f t="shared" si="34"/>
        <v>1</v>
      </c>
    </row>
    <row r="262" spans="1:23">
      <c r="A262" s="24" t="str">
        <f t="shared" si="36"/>
        <v>11106_2-1/118&lt;lv1&gt;s2</v>
      </c>
      <c r="B262" s="19">
        <f t="shared" si="35"/>
        <v>11106</v>
      </c>
      <c r="C262" s="19">
        <f t="shared" si="35"/>
        <v>2</v>
      </c>
      <c r="D262" s="19">
        <f t="shared" si="35"/>
        <v>1</v>
      </c>
      <c r="E262" s="19">
        <f t="shared" si="35"/>
        <v>118</v>
      </c>
      <c r="F262" s="19">
        <f t="shared" si="35"/>
        <v>1</v>
      </c>
      <c r="G262" s="19">
        <f t="shared" si="35"/>
        <v>16.5</v>
      </c>
      <c r="H262" s="19">
        <f t="shared" si="35"/>
        <v>15.75</v>
      </c>
      <c r="I262" s="19">
        <f t="shared" si="35"/>
        <v>0</v>
      </c>
      <c r="J262" s="19">
        <f t="shared" si="35"/>
        <v>11801</v>
      </c>
      <c r="K262" s="19">
        <f t="shared" si="35"/>
        <v>0</v>
      </c>
      <c r="L262" s="19">
        <f t="shared" si="35"/>
        <v>100</v>
      </c>
      <c r="M262" s="19">
        <f t="shared" si="35"/>
        <v>0</v>
      </c>
      <c r="N262" s="19">
        <f t="shared" si="35"/>
        <v>2</v>
      </c>
      <c r="O262" s="19">
        <f t="shared" si="35"/>
        <v>118</v>
      </c>
      <c r="P262" s="19">
        <f t="shared" si="35"/>
        <v>1</v>
      </c>
      <c r="Q262" s="19">
        <f t="shared" si="35"/>
        <v>4</v>
      </c>
      <c r="R262" s="19">
        <f t="shared" si="34"/>
        <v>50</v>
      </c>
      <c r="S262" s="19">
        <f t="shared" si="34"/>
        <v>0</v>
      </c>
      <c r="T262" s="19">
        <f t="shared" si="34"/>
        <v>0</v>
      </c>
      <c r="U262" s="19">
        <f t="shared" si="34"/>
        <v>0</v>
      </c>
      <c r="V262" s="19">
        <f t="shared" si="34"/>
        <v>0</v>
      </c>
      <c r="W262" s="19">
        <f t="shared" si="34"/>
        <v>1</v>
      </c>
    </row>
    <row r="263" spans="1:23">
      <c r="A263" s="24" t="str">
        <f t="shared" si="36"/>
        <v>11106_2-1/41&lt;lv16&gt;s1</v>
      </c>
      <c r="B263" s="19">
        <f t="shared" si="35"/>
        <v>11106</v>
      </c>
      <c r="C263" s="19">
        <f t="shared" si="35"/>
        <v>2</v>
      </c>
      <c r="D263" s="19">
        <f t="shared" si="35"/>
        <v>1</v>
      </c>
      <c r="E263" s="19">
        <f t="shared" si="35"/>
        <v>41</v>
      </c>
      <c r="F263" s="19">
        <f t="shared" si="35"/>
        <v>16</v>
      </c>
      <c r="G263" s="19">
        <f t="shared" si="35"/>
        <v>1</v>
      </c>
      <c r="H263" s="19">
        <f t="shared" si="35"/>
        <v>1</v>
      </c>
      <c r="I263" s="19">
        <f t="shared" si="35"/>
        <v>0</v>
      </c>
      <c r="J263" s="19">
        <f t="shared" si="35"/>
        <v>0</v>
      </c>
      <c r="K263" s="19">
        <f t="shared" si="35"/>
        <v>0</v>
      </c>
      <c r="L263" s="19">
        <f t="shared" si="35"/>
        <v>100</v>
      </c>
      <c r="M263" s="19">
        <f t="shared" si="35"/>
        <v>0</v>
      </c>
      <c r="N263" s="19">
        <f t="shared" si="35"/>
        <v>1</v>
      </c>
      <c r="O263" s="19">
        <f t="shared" si="35"/>
        <v>41</v>
      </c>
      <c r="P263" s="19">
        <f t="shared" si="35"/>
        <v>1</v>
      </c>
      <c r="Q263" s="19">
        <f t="shared" si="35"/>
        <v>2</v>
      </c>
      <c r="R263" s="19">
        <f t="shared" si="34"/>
        <v>0</v>
      </c>
      <c r="S263" s="19">
        <f t="shared" si="34"/>
        <v>0</v>
      </c>
      <c r="T263" s="19">
        <f t="shared" si="34"/>
        <v>0</v>
      </c>
      <c r="U263" s="19">
        <f t="shared" si="34"/>
        <v>0</v>
      </c>
      <c r="V263" s="19">
        <f t="shared" si="34"/>
        <v>0</v>
      </c>
      <c r="W263" s="19">
        <f t="shared" si="34"/>
        <v>1</v>
      </c>
    </row>
    <row r="264" spans="1:23">
      <c r="A264" s="24" t="str">
        <f t="shared" si="36"/>
        <v>11106_2-1/43&lt;lv16&gt;s2</v>
      </c>
      <c r="B264" s="19">
        <f t="shared" si="35"/>
        <v>11106</v>
      </c>
      <c r="C264" s="19">
        <f t="shared" si="35"/>
        <v>2</v>
      </c>
      <c r="D264" s="19">
        <f t="shared" si="35"/>
        <v>1</v>
      </c>
      <c r="E264" s="19">
        <f t="shared" si="35"/>
        <v>43</v>
      </c>
      <c r="F264" s="19">
        <f t="shared" si="35"/>
        <v>16</v>
      </c>
      <c r="G264" s="19">
        <f t="shared" si="35"/>
        <v>1</v>
      </c>
      <c r="H264" s="19">
        <f t="shared" si="35"/>
        <v>1</v>
      </c>
      <c r="I264" s="19">
        <f t="shared" si="35"/>
        <v>0</v>
      </c>
      <c r="J264" s="19">
        <f t="shared" si="35"/>
        <v>0</v>
      </c>
      <c r="K264" s="19">
        <f t="shared" si="35"/>
        <v>0</v>
      </c>
      <c r="L264" s="19">
        <f t="shared" si="35"/>
        <v>100</v>
      </c>
      <c r="M264" s="19">
        <f t="shared" si="35"/>
        <v>0</v>
      </c>
      <c r="N264" s="19">
        <f t="shared" si="35"/>
        <v>2</v>
      </c>
      <c r="O264" s="19">
        <f t="shared" si="35"/>
        <v>43</v>
      </c>
      <c r="P264" s="19">
        <f t="shared" si="35"/>
        <v>1</v>
      </c>
      <c r="Q264" s="19">
        <f t="shared" si="35"/>
        <v>2</v>
      </c>
      <c r="R264" s="19">
        <f t="shared" si="34"/>
        <v>0</v>
      </c>
      <c r="S264" s="19">
        <f t="shared" si="34"/>
        <v>0</v>
      </c>
      <c r="T264" s="19">
        <f t="shared" si="34"/>
        <v>0</v>
      </c>
      <c r="U264" s="19">
        <f t="shared" si="34"/>
        <v>0</v>
      </c>
      <c r="V264" s="19">
        <f t="shared" si="34"/>
        <v>0</v>
      </c>
      <c r="W264" s="19">
        <f t="shared" si="34"/>
        <v>1</v>
      </c>
    </row>
    <row r="265" spans="1:23">
      <c r="A265" s="24" t="str">
        <f t="shared" si="36"/>
        <v>11106_2-1/47&lt;lv16&gt;s1</v>
      </c>
      <c r="B265" s="19">
        <f t="shared" si="35"/>
        <v>11106</v>
      </c>
      <c r="C265" s="19">
        <f t="shared" si="35"/>
        <v>2</v>
      </c>
      <c r="D265" s="19">
        <f t="shared" si="35"/>
        <v>1</v>
      </c>
      <c r="E265" s="19">
        <f t="shared" si="35"/>
        <v>47</v>
      </c>
      <c r="F265" s="19">
        <f t="shared" si="35"/>
        <v>16</v>
      </c>
      <c r="G265" s="19">
        <f t="shared" si="35"/>
        <v>1</v>
      </c>
      <c r="H265" s="19">
        <f t="shared" si="35"/>
        <v>1</v>
      </c>
      <c r="I265" s="19">
        <f t="shared" si="35"/>
        <v>0</v>
      </c>
      <c r="J265" s="19">
        <f t="shared" si="35"/>
        <v>0</v>
      </c>
      <c r="K265" s="19">
        <f t="shared" si="35"/>
        <v>0</v>
      </c>
      <c r="L265" s="19">
        <f t="shared" si="35"/>
        <v>100</v>
      </c>
      <c r="M265" s="19">
        <f t="shared" si="35"/>
        <v>0</v>
      </c>
      <c r="N265" s="19">
        <f t="shared" si="35"/>
        <v>1</v>
      </c>
      <c r="O265" s="19">
        <f t="shared" si="35"/>
        <v>47</v>
      </c>
      <c r="P265" s="19">
        <f t="shared" si="35"/>
        <v>1</v>
      </c>
      <c r="Q265" s="19">
        <f t="shared" si="35"/>
        <v>2</v>
      </c>
      <c r="R265" s="19">
        <f t="shared" si="34"/>
        <v>0</v>
      </c>
      <c r="S265" s="19">
        <f t="shared" si="34"/>
        <v>0</v>
      </c>
      <c r="T265" s="19">
        <f t="shared" si="34"/>
        <v>0</v>
      </c>
      <c r="U265" s="19">
        <f t="shared" si="34"/>
        <v>0</v>
      </c>
      <c r="V265" s="19">
        <f t="shared" si="34"/>
        <v>0</v>
      </c>
      <c r="W265" s="19">
        <f t="shared" si="34"/>
        <v>1</v>
      </c>
    </row>
    <row r="266" spans="1:23">
      <c r="A266" s="24" t="str">
        <f t="shared" si="36"/>
        <v>11106_2-1/45&lt;lv16&gt;s3</v>
      </c>
      <c r="B266" s="19">
        <f t="shared" si="35"/>
        <v>11106</v>
      </c>
      <c r="C266" s="19">
        <f t="shared" si="35"/>
        <v>2</v>
      </c>
      <c r="D266" s="19">
        <f t="shared" si="35"/>
        <v>1</v>
      </c>
      <c r="E266" s="19">
        <f t="shared" si="35"/>
        <v>45</v>
      </c>
      <c r="F266" s="19">
        <f t="shared" si="35"/>
        <v>16</v>
      </c>
      <c r="G266" s="19">
        <f t="shared" si="35"/>
        <v>1</v>
      </c>
      <c r="H266" s="19">
        <f t="shared" si="35"/>
        <v>1</v>
      </c>
      <c r="I266" s="19">
        <f t="shared" si="35"/>
        <v>0</v>
      </c>
      <c r="J266" s="19">
        <f t="shared" si="35"/>
        <v>0</v>
      </c>
      <c r="K266" s="19">
        <f t="shared" si="35"/>
        <v>0</v>
      </c>
      <c r="L266" s="19">
        <f t="shared" si="35"/>
        <v>100</v>
      </c>
      <c r="M266" s="19">
        <f t="shared" si="35"/>
        <v>0</v>
      </c>
      <c r="N266" s="19">
        <f t="shared" si="35"/>
        <v>3</v>
      </c>
      <c r="O266" s="19">
        <f t="shared" si="35"/>
        <v>45</v>
      </c>
      <c r="P266" s="19">
        <f t="shared" si="35"/>
        <v>1</v>
      </c>
      <c r="Q266" s="19">
        <f t="shared" si="35"/>
        <v>2</v>
      </c>
      <c r="R266" s="19">
        <f t="shared" si="34"/>
        <v>0</v>
      </c>
      <c r="S266" s="19">
        <f t="shared" si="34"/>
        <v>0</v>
      </c>
      <c r="T266" s="19">
        <f t="shared" si="34"/>
        <v>0</v>
      </c>
      <c r="U266" s="19">
        <f t="shared" si="34"/>
        <v>0</v>
      </c>
      <c r="V266" s="19">
        <f t="shared" si="34"/>
        <v>0</v>
      </c>
      <c r="W266" s="19">
        <f t="shared" si="34"/>
        <v>1</v>
      </c>
    </row>
    <row r="267" spans="1:23">
      <c r="A267" s="24" t="str">
        <f t="shared" si="36"/>
        <v>11106_2-2/118&lt;lv2&gt;s2</v>
      </c>
      <c r="B267" s="19">
        <f t="shared" si="35"/>
        <v>11106</v>
      </c>
      <c r="C267" s="19">
        <f t="shared" si="35"/>
        <v>2</v>
      </c>
      <c r="D267" s="19">
        <f t="shared" si="35"/>
        <v>2</v>
      </c>
      <c r="E267" s="19">
        <f t="shared" si="35"/>
        <v>118</v>
      </c>
      <c r="F267" s="19">
        <f t="shared" si="35"/>
        <v>2</v>
      </c>
      <c r="G267" s="19">
        <f t="shared" si="35"/>
        <v>11.8</v>
      </c>
      <c r="H267" s="19">
        <f t="shared" si="35"/>
        <v>15.75</v>
      </c>
      <c r="I267" s="19">
        <f t="shared" si="35"/>
        <v>0</v>
      </c>
      <c r="J267" s="19">
        <f t="shared" si="35"/>
        <v>11801</v>
      </c>
      <c r="K267" s="19">
        <f t="shared" si="35"/>
        <v>1</v>
      </c>
      <c r="L267" s="19">
        <f t="shared" si="35"/>
        <v>100</v>
      </c>
      <c r="M267" s="19">
        <f t="shared" si="35"/>
        <v>0</v>
      </c>
      <c r="N267" s="19">
        <f t="shared" si="35"/>
        <v>2</v>
      </c>
      <c r="O267" s="19">
        <f t="shared" si="35"/>
        <v>118</v>
      </c>
      <c r="P267" s="19">
        <f t="shared" si="35"/>
        <v>1</v>
      </c>
      <c r="Q267" s="19">
        <f t="shared" ref="Q267:W282" si="37">VLOOKUP($A267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4</v>
      </c>
      <c r="R267" s="19">
        <f t="shared" si="37"/>
        <v>30</v>
      </c>
      <c r="S267" s="19">
        <f t="shared" si="37"/>
        <v>0</v>
      </c>
      <c r="T267" s="19">
        <f t="shared" si="37"/>
        <v>0</v>
      </c>
      <c r="U267" s="19">
        <f t="shared" si="37"/>
        <v>0</v>
      </c>
      <c r="V267" s="19">
        <f t="shared" si="37"/>
        <v>0</v>
      </c>
      <c r="W267" s="19">
        <f t="shared" si="37"/>
        <v>1</v>
      </c>
    </row>
    <row r="268" spans="1:23">
      <c r="A268" s="24" t="str">
        <f t="shared" si="36"/>
        <v>11106_2-2/118&lt;lv1&gt;s2</v>
      </c>
      <c r="B268" s="19">
        <f t="shared" ref="B268:Q283" si="38">VLOOKUP($A268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11106</v>
      </c>
      <c r="C268" s="19">
        <f t="shared" si="38"/>
        <v>2</v>
      </c>
      <c r="D268" s="19">
        <f t="shared" si="38"/>
        <v>2</v>
      </c>
      <c r="E268" s="19">
        <f t="shared" si="38"/>
        <v>118</v>
      </c>
      <c r="F268" s="19">
        <f t="shared" si="38"/>
        <v>1</v>
      </c>
      <c r="G268" s="19">
        <f t="shared" si="38"/>
        <v>16.5</v>
      </c>
      <c r="H268" s="19">
        <f t="shared" si="38"/>
        <v>15.75</v>
      </c>
      <c r="I268" s="19">
        <f t="shared" si="38"/>
        <v>0</v>
      </c>
      <c r="J268" s="19">
        <f t="shared" si="38"/>
        <v>11801</v>
      </c>
      <c r="K268" s="19">
        <f t="shared" si="38"/>
        <v>0</v>
      </c>
      <c r="L268" s="19">
        <f t="shared" si="38"/>
        <v>100</v>
      </c>
      <c r="M268" s="19">
        <f t="shared" si="38"/>
        <v>0</v>
      </c>
      <c r="N268" s="19">
        <f t="shared" si="38"/>
        <v>2</v>
      </c>
      <c r="O268" s="19">
        <f t="shared" si="38"/>
        <v>118</v>
      </c>
      <c r="P268" s="19">
        <f t="shared" si="38"/>
        <v>1</v>
      </c>
      <c r="Q268" s="19">
        <f t="shared" si="38"/>
        <v>4</v>
      </c>
      <c r="R268" s="19">
        <f t="shared" si="37"/>
        <v>30</v>
      </c>
      <c r="S268" s="19">
        <f t="shared" si="37"/>
        <v>0</v>
      </c>
      <c r="T268" s="19">
        <f t="shared" si="37"/>
        <v>0</v>
      </c>
      <c r="U268" s="19">
        <f t="shared" si="37"/>
        <v>0</v>
      </c>
      <c r="V268" s="19">
        <f t="shared" si="37"/>
        <v>0</v>
      </c>
      <c r="W268" s="19">
        <f t="shared" si="37"/>
        <v>1</v>
      </c>
    </row>
    <row r="269" spans="1:23">
      <c r="A269" s="24" t="str">
        <f t="shared" si="36"/>
        <v>11106_2-2/41&lt;lv16&gt;s1</v>
      </c>
      <c r="B269" s="19">
        <f t="shared" si="38"/>
        <v>11106</v>
      </c>
      <c r="C269" s="19">
        <f t="shared" si="38"/>
        <v>2</v>
      </c>
      <c r="D269" s="19">
        <f t="shared" si="38"/>
        <v>2</v>
      </c>
      <c r="E269" s="19">
        <f t="shared" si="38"/>
        <v>41</v>
      </c>
      <c r="F269" s="19">
        <f t="shared" si="38"/>
        <v>16</v>
      </c>
      <c r="G269" s="19">
        <f t="shared" si="38"/>
        <v>1</v>
      </c>
      <c r="H269" s="19">
        <f t="shared" si="38"/>
        <v>1</v>
      </c>
      <c r="I269" s="19">
        <f t="shared" si="38"/>
        <v>0</v>
      </c>
      <c r="J269" s="19">
        <f t="shared" si="38"/>
        <v>0</v>
      </c>
      <c r="K269" s="19">
        <f t="shared" si="38"/>
        <v>0</v>
      </c>
      <c r="L269" s="19">
        <f t="shared" si="38"/>
        <v>100</v>
      </c>
      <c r="M269" s="19">
        <f t="shared" si="38"/>
        <v>0</v>
      </c>
      <c r="N269" s="19">
        <f t="shared" si="38"/>
        <v>1</v>
      </c>
      <c r="O269" s="19">
        <f t="shared" si="38"/>
        <v>41</v>
      </c>
      <c r="P269" s="19">
        <f t="shared" si="38"/>
        <v>1</v>
      </c>
      <c r="Q269" s="19">
        <f t="shared" si="38"/>
        <v>2</v>
      </c>
      <c r="R269" s="19">
        <f t="shared" si="37"/>
        <v>0</v>
      </c>
      <c r="S269" s="19">
        <f t="shared" si="37"/>
        <v>0</v>
      </c>
      <c r="T269" s="19">
        <f t="shared" si="37"/>
        <v>0</v>
      </c>
      <c r="U269" s="19">
        <f t="shared" si="37"/>
        <v>0</v>
      </c>
      <c r="V269" s="19">
        <f t="shared" si="37"/>
        <v>0</v>
      </c>
      <c r="W269" s="19">
        <f t="shared" si="37"/>
        <v>1</v>
      </c>
    </row>
    <row r="270" spans="1:23">
      <c r="A270" s="24" t="str">
        <f t="shared" si="36"/>
        <v>11106_2-2/43&lt;lv16&gt;s2</v>
      </c>
      <c r="B270" s="19">
        <f t="shared" si="38"/>
        <v>11106</v>
      </c>
      <c r="C270" s="19">
        <f t="shared" si="38"/>
        <v>2</v>
      </c>
      <c r="D270" s="19">
        <f t="shared" si="38"/>
        <v>2</v>
      </c>
      <c r="E270" s="19">
        <f t="shared" si="38"/>
        <v>43</v>
      </c>
      <c r="F270" s="19">
        <f t="shared" si="38"/>
        <v>16</v>
      </c>
      <c r="G270" s="19">
        <f t="shared" si="38"/>
        <v>1</v>
      </c>
      <c r="H270" s="19">
        <f t="shared" si="38"/>
        <v>1</v>
      </c>
      <c r="I270" s="19">
        <f t="shared" si="38"/>
        <v>0</v>
      </c>
      <c r="J270" s="19">
        <f t="shared" si="38"/>
        <v>0</v>
      </c>
      <c r="K270" s="19">
        <f t="shared" si="38"/>
        <v>0</v>
      </c>
      <c r="L270" s="19">
        <f t="shared" si="38"/>
        <v>100</v>
      </c>
      <c r="M270" s="19">
        <f t="shared" si="38"/>
        <v>0</v>
      </c>
      <c r="N270" s="19">
        <f t="shared" si="38"/>
        <v>2</v>
      </c>
      <c r="O270" s="19">
        <f t="shared" si="38"/>
        <v>43</v>
      </c>
      <c r="P270" s="19">
        <f t="shared" si="38"/>
        <v>1</v>
      </c>
      <c r="Q270" s="19">
        <f t="shared" si="38"/>
        <v>2</v>
      </c>
      <c r="R270" s="19">
        <f t="shared" si="37"/>
        <v>0</v>
      </c>
      <c r="S270" s="19">
        <f t="shared" si="37"/>
        <v>0</v>
      </c>
      <c r="T270" s="19">
        <f t="shared" si="37"/>
        <v>0</v>
      </c>
      <c r="U270" s="19">
        <f t="shared" si="37"/>
        <v>0</v>
      </c>
      <c r="V270" s="19">
        <f t="shared" si="37"/>
        <v>0</v>
      </c>
      <c r="W270" s="19">
        <f t="shared" si="37"/>
        <v>1</v>
      </c>
    </row>
    <row r="271" spans="1:23">
      <c r="A271" s="24" t="str">
        <f t="shared" si="36"/>
        <v>11106_2-2/47&lt;lv16&gt;s1</v>
      </c>
      <c r="B271" s="19">
        <f t="shared" si="38"/>
        <v>11106</v>
      </c>
      <c r="C271" s="19">
        <f t="shared" si="38"/>
        <v>2</v>
      </c>
      <c r="D271" s="19">
        <f t="shared" si="38"/>
        <v>2</v>
      </c>
      <c r="E271" s="19">
        <f t="shared" si="38"/>
        <v>47</v>
      </c>
      <c r="F271" s="19">
        <f t="shared" si="38"/>
        <v>16</v>
      </c>
      <c r="G271" s="19">
        <f t="shared" si="38"/>
        <v>1</v>
      </c>
      <c r="H271" s="19">
        <f t="shared" si="38"/>
        <v>1</v>
      </c>
      <c r="I271" s="19">
        <f t="shared" si="38"/>
        <v>0</v>
      </c>
      <c r="J271" s="19">
        <f t="shared" si="38"/>
        <v>0</v>
      </c>
      <c r="K271" s="19">
        <f t="shared" si="38"/>
        <v>0</v>
      </c>
      <c r="L271" s="19">
        <f t="shared" si="38"/>
        <v>100</v>
      </c>
      <c r="M271" s="19">
        <f t="shared" si="38"/>
        <v>0</v>
      </c>
      <c r="N271" s="19">
        <f t="shared" si="38"/>
        <v>1</v>
      </c>
      <c r="O271" s="19">
        <f t="shared" si="38"/>
        <v>47</v>
      </c>
      <c r="P271" s="19">
        <f t="shared" si="38"/>
        <v>1</v>
      </c>
      <c r="Q271" s="19">
        <f t="shared" si="38"/>
        <v>2</v>
      </c>
      <c r="R271" s="19">
        <f t="shared" si="37"/>
        <v>0</v>
      </c>
      <c r="S271" s="19">
        <f t="shared" si="37"/>
        <v>0</v>
      </c>
      <c r="T271" s="19">
        <f t="shared" si="37"/>
        <v>0</v>
      </c>
      <c r="U271" s="19">
        <f t="shared" si="37"/>
        <v>0</v>
      </c>
      <c r="V271" s="19">
        <f t="shared" si="37"/>
        <v>0</v>
      </c>
      <c r="W271" s="19">
        <f t="shared" si="37"/>
        <v>1</v>
      </c>
    </row>
    <row r="272" spans="1:23">
      <c r="A272" s="24" t="str">
        <f t="shared" si="36"/>
        <v>11106_2-2/45&lt;lv16&gt;s3</v>
      </c>
      <c r="B272" s="19">
        <f t="shared" si="38"/>
        <v>11106</v>
      </c>
      <c r="C272" s="19">
        <f t="shared" si="38"/>
        <v>2</v>
      </c>
      <c r="D272" s="19">
        <f t="shared" si="38"/>
        <v>2</v>
      </c>
      <c r="E272" s="19">
        <f t="shared" si="38"/>
        <v>45</v>
      </c>
      <c r="F272" s="19">
        <f t="shared" si="38"/>
        <v>16</v>
      </c>
      <c r="G272" s="19">
        <f t="shared" si="38"/>
        <v>1</v>
      </c>
      <c r="H272" s="19">
        <f t="shared" si="38"/>
        <v>1</v>
      </c>
      <c r="I272" s="19">
        <f t="shared" si="38"/>
        <v>0</v>
      </c>
      <c r="J272" s="19">
        <f t="shared" si="38"/>
        <v>0</v>
      </c>
      <c r="K272" s="19">
        <f t="shared" si="38"/>
        <v>0</v>
      </c>
      <c r="L272" s="19">
        <f t="shared" si="38"/>
        <v>100</v>
      </c>
      <c r="M272" s="19">
        <f t="shared" si="38"/>
        <v>0</v>
      </c>
      <c r="N272" s="19">
        <f t="shared" si="38"/>
        <v>3</v>
      </c>
      <c r="O272" s="19">
        <f t="shared" si="38"/>
        <v>45</v>
      </c>
      <c r="P272" s="19">
        <f t="shared" si="38"/>
        <v>1</v>
      </c>
      <c r="Q272" s="19">
        <f t="shared" si="38"/>
        <v>2</v>
      </c>
      <c r="R272" s="19">
        <f t="shared" si="37"/>
        <v>0</v>
      </c>
      <c r="S272" s="19">
        <f t="shared" si="37"/>
        <v>0</v>
      </c>
      <c r="T272" s="19">
        <f t="shared" si="37"/>
        <v>0</v>
      </c>
      <c r="U272" s="19">
        <f t="shared" si="37"/>
        <v>0</v>
      </c>
      <c r="V272" s="19">
        <f t="shared" si="37"/>
        <v>0</v>
      </c>
      <c r="W272" s="19">
        <f t="shared" si="37"/>
        <v>1</v>
      </c>
    </row>
    <row r="273" spans="1:23">
      <c r="A273" s="24" t="str">
        <f t="shared" si="36"/>
        <v>11106_2-3/118&lt;lv1&gt;s2</v>
      </c>
      <c r="B273" s="19">
        <f t="shared" si="38"/>
        <v>11106</v>
      </c>
      <c r="C273" s="19">
        <f t="shared" si="38"/>
        <v>2</v>
      </c>
      <c r="D273" s="19">
        <f t="shared" si="38"/>
        <v>3</v>
      </c>
      <c r="E273" s="19">
        <f t="shared" si="38"/>
        <v>118</v>
      </c>
      <c r="F273" s="19">
        <f t="shared" si="38"/>
        <v>1</v>
      </c>
      <c r="G273" s="19">
        <f t="shared" si="38"/>
        <v>16.5</v>
      </c>
      <c r="H273" s="19">
        <f t="shared" si="38"/>
        <v>15.75</v>
      </c>
      <c r="I273" s="19">
        <f t="shared" si="38"/>
        <v>0</v>
      </c>
      <c r="J273" s="19">
        <f t="shared" si="38"/>
        <v>11802</v>
      </c>
      <c r="K273" s="19">
        <f t="shared" si="38"/>
        <v>1</v>
      </c>
      <c r="L273" s="19">
        <f t="shared" si="38"/>
        <v>100</v>
      </c>
      <c r="M273" s="19">
        <f t="shared" si="38"/>
        <v>0</v>
      </c>
      <c r="N273" s="19">
        <f t="shared" si="38"/>
        <v>2</v>
      </c>
      <c r="O273" s="19">
        <f t="shared" si="38"/>
        <v>118</v>
      </c>
      <c r="P273" s="19">
        <f t="shared" si="38"/>
        <v>1</v>
      </c>
      <c r="Q273" s="19">
        <f t="shared" si="38"/>
        <v>4</v>
      </c>
      <c r="R273" s="19">
        <f t="shared" si="37"/>
        <v>30</v>
      </c>
      <c r="S273" s="19">
        <f t="shared" si="37"/>
        <v>0</v>
      </c>
      <c r="T273" s="19">
        <f t="shared" si="37"/>
        <v>0</v>
      </c>
      <c r="U273" s="19">
        <f t="shared" si="37"/>
        <v>0</v>
      </c>
      <c r="V273" s="19">
        <f t="shared" si="37"/>
        <v>0</v>
      </c>
      <c r="W273" s="19">
        <f t="shared" si="37"/>
        <v>1</v>
      </c>
    </row>
    <row r="274" spans="1:23">
      <c r="A274" s="24" t="str">
        <f t="shared" si="36"/>
        <v>11106_2-3/119&lt;lv1&gt;s4</v>
      </c>
      <c r="B274" s="19">
        <f t="shared" si="38"/>
        <v>11106</v>
      </c>
      <c r="C274" s="19">
        <f t="shared" si="38"/>
        <v>2</v>
      </c>
      <c r="D274" s="19">
        <f t="shared" si="38"/>
        <v>3</v>
      </c>
      <c r="E274" s="19">
        <f t="shared" si="38"/>
        <v>119</v>
      </c>
      <c r="F274" s="19">
        <f t="shared" si="38"/>
        <v>1</v>
      </c>
      <c r="G274" s="19">
        <f t="shared" si="38"/>
        <v>16.5</v>
      </c>
      <c r="H274" s="19">
        <f t="shared" si="38"/>
        <v>16.7</v>
      </c>
      <c r="I274" s="19">
        <f t="shared" si="38"/>
        <v>0</v>
      </c>
      <c r="J274" s="19">
        <f t="shared" si="38"/>
        <v>11902</v>
      </c>
      <c r="K274" s="19">
        <f t="shared" si="38"/>
        <v>1</v>
      </c>
      <c r="L274" s="19">
        <f t="shared" si="38"/>
        <v>100</v>
      </c>
      <c r="M274" s="19">
        <f t="shared" si="38"/>
        <v>0</v>
      </c>
      <c r="N274" s="19">
        <f t="shared" si="38"/>
        <v>4</v>
      </c>
      <c r="O274" s="19">
        <f t="shared" si="38"/>
        <v>119</v>
      </c>
      <c r="P274" s="19">
        <f t="shared" si="38"/>
        <v>1</v>
      </c>
      <c r="Q274" s="19">
        <f t="shared" si="38"/>
        <v>5</v>
      </c>
      <c r="R274" s="19">
        <f t="shared" si="37"/>
        <v>5</v>
      </c>
      <c r="S274" s="19">
        <f t="shared" si="37"/>
        <v>0</v>
      </c>
      <c r="T274" s="19">
        <f t="shared" si="37"/>
        <v>0</v>
      </c>
      <c r="U274" s="19">
        <f t="shared" si="37"/>
        <v>0</v>
      </c>
      <c r="V274" s="19">
        <f t="shared" si="37"/>
        <v>0</v>
      </c>
      <c r="W274" s="19">
        <f t="shared" si="37"/>
        <v>1</v>
      </c>
    </row>
    <row r="275" spans="1:23">
      <c r="A275" s="24" t="str">
        <f t="shared" si="36"/>
        <v>11106_2-4/117&lt;lv1&gt;s1</v>
      </c>
      <c r="B275" s="19">
        <f t="shared" si="38"/>
        <v>11106</v>
      </c>
      <c r="C275" s="19">
        <f t="shared" si="38"/>
        <v>2</v>
      </c>
      <c r="D275" s="19">
        <f t="shared" si="38"/>
        <v>4</v>
      </c>
      <c r="E275" s="19">
        <f t="shared" si="38"/>
        <v>117</v>
      </c>
      <c r="F275" s="19">
        <f t="shared" si="38"/>
        <v>1</v>
      </c>
      <c r="G275" s="19">
        <f t="shared" si="38"/>
        <v>16.5</v>
      </c>
      <c r="H275" s="19">
        <f t="shared" si="38"/>
        <v>17.75</v>
      </c>
      <c r="I275" s="19">
        <f t="shared" si="38"/>
        <v>0</v>
      </c>
      <c r="J275" s="19">
        <f t="shared" si="38"/>
        <v>11703</v>
      </c>
      <c r="K275" s="19">
        <f t="shared" si="38"/>
        <v>1</v>
      </c>
      <c r="L275" s="19">
        <f t="shared" si="38"/>
        <v>100</v>
      </c>
      <c r="M275" s="19">
        <f t="shared" si="38"/>
        <v>0</v>
      </c>
      <c r="N275" s="19">
        <f t="shared" si="38"/>
        <v>1</v>
      </c>
      <c r="O275" s="19">
        <f t="shared" si="38"/>
        <v>117</v>
      </c>
      <c r="P275" s="19">
        <f t="shared" si="38"/>
        <v>1</v>
      </c>
      <c r="Q275" s="19">
        <f t="shared" si="38"/>
        <v>3</v>
      </c>
      <c r="R275" s="19">
        <f t="shared" si="37"/>
        <v>20</v>
      </c>
      <c r="S275" s="19">
        <f t="shared" si="37"/>
        <v>0</v>
      </c>
      <c r="T275" s="19">
        <f t="shared" si="37"/>
        <v>0</v>
      </c>
      <c r="U275" s="19">
        <f t="shared" si="37"/>
        <v>0</v>
      </c>
      <c r="V275" s="19">
        <f t="shared" si="37"/>
        <v>0</v>
      </c>
      <c r="W275" s="19">
        <f t="shared" si="37"/>
        <v>1</v>
      </c>
    </row>
    <row r="276" spans="1:23">
      <c r="A276" s="24" t="str">
        <f t="shared" si="36"/>
        <v>11106_2-4/118&lt;lv2&gt;s2</v>
      </c>
      <c r="B276" s="19">
        <f t="shared" si="38"/>
        <v>11106</v>
      </c>
      <c r="C276" s="19">
        <f t="shared" si="38"/>
        <v>2</v>
      </c>
      <c r="D276" s="19">
        <f t="shared" si="38"/>
        <v>4</v>
      </c>
      <c r="E276" s="19">
        <f t="shared" si="38"/>
        <v>118</v>
      </c>
      <c r="F276" s="19">
        <f t="shared" si="38"/>
        <v>2</v>
      </c>
      <c r="G276" s="19">
        <f t="shared" si="38"/>
        <v>11.8</v>
      </c>
      <c r="H276" s="19">
        <f t="shared" si="38"/>
        <v>15.75</v>
      </c>
      <c r="I276" s="19">
        <f t="shared" si="38"/>
        <v>0</v>
      </c>
      <c r="J276" s="19">
        <f t="shared" si="38"/>
        <v>11802</v>
      </c>
      <c r="K276" s="19">
        <f t="shared" si="38"/>
        <v>0</v>
      </c>
      <c r="L276" s="19">
        <f t="shared" si="38"/>
        <v>100</v>
      </c>
      <c r="M276" s="19">
        <f t="shared" si="38"/>
        <v>0</v>
      </c>
      <c r="N276" s="19">
        <f t="shared" si="38"/>
        <v>2</v>
      </c>
      <c r="O276" s="19">
        <f t="shared" si="38"/>
        <v>118</v>
      </c>
      <c r="P276" s="19">
        <f t="shared" si="38"/>
        <v>1</v>
      </c>
      <c r="Q276" s="19">
        <f t="shared" si="38"/>
        <v>4</v>
      </c>
      <c r="R276" s="19">
        <f t="shared" si="37"/>
        <v>50</v>
      </c>
      <c r="S276" s="19">
        <f t="shared" si="37"/>
        <v>0</v>
      </c>
      <c r="T276" s="19">
        <f t="shared" si="37"/>
        <v>0</v>
      </c>
      <c r="U276" s="19">
        <f t="shared" si="37"/>
        <v>0</v>
      </c>
      <c r="V276" s="19">
        <f t="shared" si="37"/>
        <v>0</v>
      </c>
      <c r="W276" s="19">
        <f t="shared" si="37"/>
        <v>1</v>
      </c>
    </row>
    <row r="277" spans="1:23">
      <c r="A277" s="24" t="str">
        <f t="shared" si="36"/>
        <v>11106_2-4/118&lt;lv1&gt;s2</v>
      </c>
      <c r="B277" s="19">
        <f t="shared" si="38"/>
        <v>11106</v>
      </c>
      <c r="C277" s="19">
        <f t="shared" si="38"/>
        <v>2</v>
      </c>
      <c r="D277" s="19">
        <f t="shared" si="38"/>
        <v>4</v>
      </c>
      <c r="E277" s="19">
        <f t="shared" si="38"/>
        <v>118</v>
      </c>
      <c r="F277" s="19">
        <f t="shared" si="38"/>
        <v>1</v>
      </c>
      <c r="G277" s="19">
        <f t="shared" si="38"/>
        <v>16.5</v>
      </c>
      <c r="H277" s="19">
        <f t="shared" si="38"/>
        <v>15.75</v>
      </c>
      <c r="I277" s="19">
        <f t="shared" si="38"/>
        <v>0</v>
      </c>
      <c r="J277" s="19">
        <f t="shared" si="38"/>
        <v>11802</v>
      </c>
      <c r="K277" s="19">
        <f t="shared" si="38"/>
        <v>0</v>
      </c>
      <c r="L277" s="19">
        <f t="shared" si="38"/>
        <v>100</v>
      </c>
      <c r="M277" s="19">
        <f t="shared" si="38"/>
        <v>0</v>
      </c>
      <c r="N277" s="19">
        <f t="shared" si="38"/>
        <v>2</v>
      </c>
      <c r="O277" s="19">
        <f t="shared" si="38"/>
        <v>118</v>
      </c>
      <c r="P277" s="19">
        <f t="shared" si="38"/>
        <v>1</v>
      </c>
      <c r="Q277" s="19">
        <f t="shared" si="38"/>
        <v>4</v>
      </c>
      <c r="R277" s="19">
        <f t="shared" si="37"/>
        <v>50</v>
      </c>
      <c r="S277" s="19">
        <f t="shared" si="37"/>
        <v>0</v>
      </c>
      <c r="T277" s="19">
        <f t="shared" si="37"/>
        <v>0</v>
      </c>
      <c r="U277" s="19">
        <f t="shared" si="37"/>
        <v>0</v>
      </c>
      <c r="V277" s="19">
        <f t="shared" si="37"/>
        <v>0</v>
      </c>
      <c r="W277" s="19">
        <f t="shared" si="37"/>
        <v>1</v>
      </c>
    </row>
    <row r="278" spans="1:23">
      <c r="A278" s="24" t="str">
        <f t="shared" si="36"/>
        <v>11106_2-4/41&lt;lv16&gt;s1</v>
      </c>
      <c r="B278" s="19">
        <f t="shared" si="38"/>
        <v>11106</v>
      </c>
      <c r="C278" s="19">
        <f t="shared" si="38"/>
        <v>2</v>
      </c>
      <c r="D278" s="19">
        <f t="shared" si="38"/>
        <v>4</v>
      </c>
      <c r="E278" s="19">
        <f t="shared" si="38"/>
        <v>41</v>
      </c>
      <c r="F278" s="19">
        <f t="shared" si="38"/>
        <v>16</v>
      </c>
      <c r="G278" s="19">
        <f t="shared" si="38"/>
        <v>1</v>
      </c>
      <c r="H278" s="19">
        <f t="shared" si="38"/>
        <v>1</v>
      </c>
      <c r="I278" s="19">
        <f t="shared" si="38"/>
        <v>0</v>
      </c>
      <c r="J278" s="19">
        <f t="shared" si="38"/>
        <v>0</v>
      </c>
      <c r="K278" s="19">
        <f t="shared" si="38"/>
        <v>0</v>
      </c>
      <c r="L278" s="19">
        <f t="shared" si="38"/>
        <v>100</v>
      </c>
      <c r="M278" s="19">
        <f t="shared" si="38"/>
        <v>0</v>
      </c>
      <c r="N278" s="19">
        <f t="shared" si="38"/>
        <v>1</v>
      </c>
      <c r="O278" s="19">
        <f t="shared" si="38"/>
        <v>41</v>
      </c>
      <c r="P278" s="19">
        <f t="shared" si="38"/>
        <v>1</v>
      </c>
      <c r="Q278" s="19">
        <f t="shared" si="38"/>
        <v>2</v>
      </c>
      <c r="R278" s="19">
        <f t="shared" si="37"/>
        <v>0</v>
      </c>
      <c r="S278" s="19">
        <f t="shared" si="37"/>
        <v>0</v>
      </c>
      <c r="T278" s="19">
        <f t="shared" si="37"/>
        <v>0</v>
      </c>
      <c r="U278" s="19">
        <f t="shared" si="37"/>
        <v>0</v>
      </c>
      <c r="V278" s="19">
        <f t="shared" si="37"/>
        <v>0</v>
      </c>
      <c r="W278" s="19">
        <f t="shared" si="37"/>
        <v>1</v>
      </c>
    </row>
    <row r="279" spans="1:23">
      <c r="A279" s="24" t="str">
        <f t="shared" si="36"/>
        <v>11106_2-4/43&lt;lv16&gt;s2</v>
      </c>
      <c r="B279" s="19">
        <f t="shared" si="38"/>
        <v>11106</v>
      </c>
      <c r="C279" s="19">
        <f t="shared" si="38"/>
        <v>2</v>
      </c>
      <c r="D279" s="19">
        <f t="shared" si="38"/>
        <v>4</v>
      </c>
      <c r="E279" s="19">
        <f t="shared" si="38"/>
        <v>43</v>
      </c>
      <c r="F279" s="19">
        <f t="shared" si="38"/>
        <v>16</v>
      </c>
      <c r="G279" s="19">
        <f t="shared" si="38"/>
        <v>1</v>
      </c>
      <c r="H279" s="19">
        <f t="shared" si="38"/>
        <v>1</v>
      </c>
      <c r="I279" s="19">
        <f t="shared" si="38"/>
        <v>0</v>
      </c>
      <c r="J279" s="19">
        <f t="shared" si="38"/>
        <v>0</v>
      </c>
      <c r="K279" s="19">
        <f t="shared" si="38"/>
        <v>0</v>
      </c>
      <c r="L279" s="19">
        <f t="shared" si="38"/>
        <v>100</v>
      </c>
      <c r="M279" s="19">
        <f t="shared" si="38"/>
        <v>0</v>
      </c>
      <c r="N279" s="19">
        <f t="shared" si="38"/>
        <v>2</v>
      </c>
      <c r="O279" s="19">
        <f t="shared" si="38"/>
        <v>43</v>
      </c>
      <c r="P279" s="19">
        <f t="shared" si="38"/>
        <v>1</v>
      </c>
      <c r="Q279" s="19">
        <f t="shared" si="38"/>
        <v>2</v>
      </c>
      <c r="R279" s="19">
        <f t="shared" si="37"/>
        <v>0</v>
      </c>
      <c r="S279" s="19">
        <f t="shared" si="37"/>
        <v>0</v>
      </c>
      <c r="T279" s="19">
        <f t="shared" si="37"/>
        <v>0</v>
      </c>
      <c r="U279" s="19">
        <f t="shared" si="37"/>
        <v>0</v>
      </c>
      <c r="V279" s="19">
        <f t="shared" si="37"/>
        <v>0</v>
      </c>
      <c r="W279" s="19">
        <f t="shared" si="37"/>
        <v>1</v>
      </c>
    </row>
    <row r="280" spans="1:23">
      <c r="A280" s="24" t="str">
        <f t="shared" si="36"/>
        <v>11106_2-4/47&lt;lv16&gt;s1</v>
      </c>
      <c r="B280" s="19">
        <f t="shared" si="38"/>
        <v>11106</v>
      </c>
      <c r="C280" s="19">
        <f t="shared" si="38"/>
        <v>2</v>
      </c>
      <c r="D280" s="19">
        <f t="shared" si="38"/>
        <v>4</v>
      </c>
      <c r="E280" s="19">
        <f t="shared" si="38"/>
        <v>47</v>
      </c>
      <c r="F280" s="19">
        <f t="shared" si="38"/>
        <v>16</v>
      </c>
      <c r="G280" s="19">
        <f t="shared" si="38"/>
        <v>1</v>
      </c>
      <c r="H280" s="19">
        <f t="shared" si="38"/>
        <v>1</v>
      </c>
      <c r="I280" s="19">
        <f t="shared" si="38"/>
        <v>0</v>
      </c>
      <c r="J280" s="19">
        <f t="shared" si="38"/>
        <v>0</v>
      </c>
      <c r="K280" s="19">
        <f t="shared" si="38"/>
        <v>0</v>
      </c>
      <c r="L280" s="19">
        <f t="shared" si="38"/>
        <v>100</v>
      </c>
      <c r="M280" s="19">
        <f t="shared" si="38"/>
        <v>0</v>
      </c>
      <c r="N280" s="19">
        <f t="shared" si="38"/>
        <v>1</v>
      </c>
      <c r="O280" s="19">
        <f t="shared" si="38"/>
        <v>47</v>
      </c>
      <c r="P280" s="19">
        <f t="shared" si="38"/>
        <v>1</v>
      </c>
      <c r="Q280" s="19">
        <f t="shared" si="38"/>
        <v>2</v>
      </c>
      <c r="R280" s="19">
        <f t="shared" si="37"/>
        <v>0</v>
      </c>
      <c r="S280" s="19">
        <f t="shared" si="37"/>
        <v>0</v>
      </c>
      <c r="T280" s="19">
        <f t="shared" si="37"/>
        <v>0</v>
      </c>
      <c r="U280" s="19">
        <f t="shared" si="37"/>
        <v>0</v>
      </c>
      <c r="V280" s="19">
        <f t="shared" si="37"/>
        <v>0</v>
      </c>
      <c r="W280" s="19">
        <f t="shared" si="37"/>
        <v>1</v>
      </c>
    </row>
    <row r="281" spans="1:23">
      <c r="A281" s="24" t="str">
        <f t="shared" si="36"/>
        <v>11106_2-4/45&lt;lv1&gt;s3</v>
      </c>
      <c r="B281" s="19">
        <f t="shared" si="38"/>
        <v>11106</v>
      </c>
      <c r="C281" s="19">
        <f t="shared" si="38"/>
        <v>2</v>
      </c>
      <c r="D281" s="19">
        <f t="shared" si="38"/>
        <v>4</v>
      </c>
      <c r="E281" s="19">
        <f t="shared" si="38"/>
        <v>45</v>
      </c>
      <c r="F281" s="19">
        <f t="shared" si="38"/>
        <v>1</v>
      </c>
      <c r="G281" s="19">
        <f t="shared" si="38"/>
        <v>1</v>
      </c>
      <c r="H281" s="19">
        <f t="shared" si="38"/>
        <v>1</v>
      </c>
      <c r="I281" s="19">
        <f t="shared" si="38"/>
        <v>0</v>
      </c>
      <c r="J281" s="19">
        <f t="shared" si="38"/>
        <v>0</v>
      </c>
      <c r="K281" s="19">
        <f t="shared" si="38"/>
        <v>0</v>
      </c>
      <c r="L281" s="19">
        <f t="shared" si="38"/>
        <v>100</v>
      </c>
      <c r="M281" s="19">
        <f t="shared" si="38"/>
        <v>0</v>
      </c>
      <c r="N281" s="19">
        <f t="shared" si="38"/>
        <v>3</v>
      </c>
      <c r="O281" s="19">
        <f t="shared" si="38"/>
        <v>45</v>
      </c>
      <c r="P281" s="19">
        <f t="shared" si="38"/>
        <v>1</v>
      </c>
      <c r="Q281" s="19">
        <f t="shared" si="38"/>
        <v>2</v>
      </c>
      <c r="R281" s="19">
        <f t="shared" si="37"/>
        <v>0</v>
      </c>
      <c r="S281" s="19">
        <f t="shared" si="37"/>
        <v>0</v>
      </c>
      <c r="T281" s="19">
        <f t="shared" si="37"/>
        <v>0</v>
      </c>
      <c r="U281" s="19">
        <f t="shared" si="37"/>
        <v>0</v>
      </c>
      <c r="V281" s="19">
        <f t="shared" si="37"/>
        <v>0</v>
      </c>
      <c r="W281" s="19">
        <f t="shared" si="37"/>
        <v>1</v>
      </c>
    </row>
    <row r="282" spans="1:23">
      <c r="A282" s="24" t="str">
        <f t="shared" si="36"/>
        <v>11106_2-5/118&lt;lv1&gt;s2</v>
      </c>
      <c r="B282" s="19">
        <f t="shared" si="38"/>
        <v>11106</v>
      </c>
      <c r="C282" s="19">
        <f t="shared" si="38"/>
        <v>2</v>
      </c>
      <c r="D282" s="19">
        <f t="shared" si="38"/>
        <v>5</v>
      </c>
      <c r="E282" s="19">
        <f t="shared" si="38"/>
        <v>118</v>
      </c>
      <c r="F282" s="19">
        <f t="shared" si="38"/>
        <v>1</v>
      </c>
      <c r="G282" s="19">
        <f t="shared" si="38"/>
        <v>16.5</v>
      </c>
      <c r="H282" s="19">
        <f t="shared" si="38"/>
        <v>15.75</v>
      </c>
      <c r="I282" s="19">
        <f t="shared" si="38"/>
        <v>0</v>
      </c>
      <c r="J282" s="19">
        <f t="shared" si="38"/>
        <v>11802</v>
      </c>
      <c r="K282" s="19">
        <f t="shared" si="38"/>
        <v>2</v>
      </c>
      <c r="L282" s="19">
        <f t="shared" si="38"/>
        <v>100</v>
      </c>
      <c r="M282" s="19">
        <f t="shared" si="38"/>
        <v>1</v>
      </c>
      <c r="N282" s="19">
        <f t="shared" si="38"/>
        <v>2</v>
      </c>
      <c r="O282" s="19">
        <f t="shared" si="38"/>
        <v>118</v>
      </c>
      <c r="P282" s="19">
        <f t="shared" si="38"/>
        <v>1</v>
      </c>
      <c r="Q282" s="19">
        <f t="shared" si="38"/>
        <v>4</v>
      </c>
      <c r="R282" s="19">
        <f t="shared" si="37"/>
        <v>100</v>
      </c>
      <c r="S282" s="19">
        <f t="shared" si="37"/>
        <v>0</v>
      </c>
      <c r="T282" s="19">
        <f t="shared" si="37"/>
        <v>0</v>
      </c>
      <c r="U282" s="19">
        <f t="shared" si="37"/>
        <v>0</v>
      </c>
      <c r="V282" s="19">
        <f t="shared" si="37"/>
        <v>0</v>
      </c>
      <c r="W282" s="19">
        <f t="shared" si="37"/>
        <v>1</v>
      </c>
    </row>
    <row r="283" spans="1:23">
      <c r="A283" s="24" t="str">
        <f t="shared" si="36"/>
        <v>11106_3-1/117&lt;lv2&gt;s1</v>
      </c>
      <c r="B283" s="19">
        <f t="shared" si="38"/>
        <v>11106</v>
      </c>
      <c r="C283" s="19">
        <f t="shared" si="38"/>
        <v>3</v>
      </c>
      <c r="D283" s="19">
        <f t="shared" si="38"/>
        <v>1</v>
      </c>
      <c r="E283" s="19">
        <f t="shared" si="38"/>
        <v>117</v>
      </c>
      <c r="F283" s="19">
        <f t="shared" si="38"/>
        <v>2</v>
      </c>
      <c r="G283" s="19">
        <f t="shared" si="38"/>
        <v>28.8</v>
      </c>
      <c r="H283" s="19">
        <f t="shared" si="38"/>
        <v>42.25</v>
      </c>
      <c r="I283" s="19">
        <f t="shared" si="38"/>
        <v>0</v>
      </c>
      <c r="J283" s="19">
        <f t="shared" si="38"/>
        <v>11701</v>
      </c>
      <c r="K283" s="19">
        <f t="shared" si="38"/>
        <v>1</v>
      </c>
      <c r="L283" s="19">
        <f t="shared" si="38"/>
        <v>100</v>
      </c>
      <c r="M283" s="19">
        <f t="shared" si="38"/>
        <v>0</v>
      </c>
      <c r="N283" s="19">
        <f t="shared" si="38"/>
        <v>1</v>
      </c>
      <c r="O283" s="19">
        <f t="shared" si="38"/>
        <v>117</v>
      </c>
      <c r="P283" s="19">
        <f t="shared" si="38"/>
        <v>1</v>
      </c>
      <c r="Q283" s="19">
        <f t="shared" ref="Q283:W298" si="39">VLOOKUP($A283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3</v>
      </c>
      <c r="R283" s="19">
        <f t="shared" si="39"/>
        <v>50</v>
      </c>
      <c r="S283" s="19">
        <f t="shared" si="39"/>
        <v>0</v>
      </c>
      <c r="T283" s="19">
        <f t="shared" si="39"/>
        <v>0</v>
      </c>
      <c r="U283" s="19">
        <f t="shared" si="39"/>
        <v>0</v>
      </c>
      <c r="V283" s="19">
        <f t="shared" si="39"/>
        <v>0</v>
      </c>
      <c r="W283" s="19">
        <f t="shared" si="39"/>
        <v>1</v>
      </c>
    </row>
    <row r="284" spans="1:23">
      <c r="A284" s="24" t="str">
        <f t="shared" si="36"/>
        <v>11106_3-1/117&lt;lv1&gt;s1</v>
      </c>
      <c r="B284" s="19">
        <f t="shared" ref="B284:Q299" si="40">VLOOKUP($A284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11106</v>
      </c>
      <c r="C284" s="19">
        <f t="shared" si="40"/>
        <v>3</v>
      </c>
      <c r="D284" s="19">
        <f t="shared" si="40"/>
        <v>1</v>
      </c>
      <c r="E284" s="19">
        <f t="shared" si="40"/>
        <v>117</v>
      </c>
      <c r="F284" s="19">
        <f t="shared" si="40"/>
        <v>1</v>
      </c>
      <c r="G284" s="19">
        <f t="shared" si="40"/>
        <v>40.5</v>
      </c>
      <c r="H284" s="19">
        <f t="shared" si="40"/>
        <v>42.25</v>
      </c>
      <c r="I284" s="19">
        <f t="shared" si="40"/>
        <v>0</v>
      </c>
      <c r="J284" s="19">
        <f t="shared" si="40"/>
        <v>11704</v>
      </c>
      <c r="K284" s="19">
        <f t="shared" si="40"/>
        <v>0</v>
      </c>
      <c r="L284" s="19">
        <f t="shared" si="40"/>
        <v>100</v>
      </c>
      <c r="M284" s="19">
        <f t="shared" si="40"/>
        <v>0</v>
      </c>
      <c r="N284" s="19">
        <f t="shared" si="40"/>
        <v>1</v>
      </c>
      <c r="O284" s="19">
        <f t="shared" si="40"/>
        <v>117</v>
      </c>
      <c r="P284" s="19">
        <f t="shared" si="40"/>
        <v>1</v>
      </c>
      <c r="Q284" s="19">
        <f t="shared" si="40"/>
        <v>3</v>
      </c>
      <c r="R284" s="19">
        <f t="shared" si="39"/>
        <v>50</v>
      </c>
      <c r="S284" s="19">
        <f t="shared" si="39"/>
        <v>0</v>
      </c>
      <c r="T284" s="19">
        <f t="shared" si="39"/>
        <v>0</v>
      </c>
      <c r="U284" s="19">
        <f t="shared" si="39"/>
        <v>0</v>
      </c>
      <c r="V284" s="19">
        <f t="shared" si="39"/>
        <v>0</v>
      </c>
      <c r="W284" s="19">
        <f t="shared" si="39"/>
        <v>1</v>
      </c>
    </row>
    <row r="285" spans="1:23">
      <c r="A285" s="24" t="str">
        <f t="shared" si="36"/>
        <v>11106_3-1/63&lt;lv32&gt;s2</v>
      </c>
      <c r="B285" s="19">
        <f t="shared" si="40"/>
        <v>11106</v>
      </c>
      <c r="C285" s="19">
        <f t="shared" si="40"/>
        <v>3</v>
      </c>
      <c r="D285" s="19">
        <f t="shared" si="40"/>
        <v>1</v>
      </c>
      <c r="E285" s="19">
        <f t="shared" si="40"/>
        <v>63</v>
      </c>
      <c r="F285" s="19">
        <f t="shared" si="40"/>
        <v>32</v>
      </c>
      <c r="G285" s="19">
        <f t="shared" si="40"/>
        <v>1</v>
      </c>
      <c r="H285" s="19">
        <f t="shared" si="40"/>
        <v>1</v>
      </c>
      <c r="I285" s="19">
        <f t="shared" si="40"/>
        <v>0</v>
      </c>
      <c r="J285" s="19">
        <f t="shared" si="40"/>
        <v>63</v>
      </c>
      <c r="K285" s="19">
        <f t="shared" si="40"/>
        <v>0</v>
      </c>
      <c r="L285" s="19">
        <f t="shared" si="40"/>
        <v>100</v>
      </c>
      <c r="M285" s="19">
        <f t="shared" si="40"/>
        <v>0</v>
      </c>
      <c r="N285" s="19">
        <f t="shared" si="40"/>
        <v>2</v>
      </c>
      <c r="O285" s="19">
        <f t="shared" si="40"/>
        <v>63</v>
      </c>
      <c r="P285" s="19">
        <f t="shared" si="40"/>
        <v>1</v>
      </c>
      <c r="Q285" s="19">
        <f t="shared" si="40"/>
        <v>2</v>
      </c>
      <c r="R285" s="19">
        <f t="shared" si="39"/>
        <v>0</v>
      </c>
      <c r="S285" s="19">
        <f t="shared" si="39"/>
        <v>0</v>
      </c>
      <c r="T285" s="19">
        <f t="shared" si="39"/>
        <v>0</v>
      </c>
      <c r="U285" s="19">
        <f t="shared" si="39"/>
        <v>0</v>
      </c>
      <c r="V285" s="19">
        <f t="shared" si="39"/>
        <v>0</v>
      </c>
      <c r="W285" s="19">
        <f t="shared" si="39"/>
        <v>1</v>
      </c>
    </row>
    <row r="286" spans="1:23">
      <c r="A286" s="24" t="str">
        <f t="shared" si="36"/>
        <v>11106_3-1/61&lt;lv32&gt;s2</v>
      </c>
      <c r="B286" s="19">
        <f t="shared" si="40"/>
        <v>11106</v>
      </c>
      <c r="C286" s="19">
        <f t="shared" si="40"/>
        <v>3</v>
      </c>
      <c r="D286" s="19">
        <f t="shared" si="40"/>
        <v>1</v>
      </c>
      <c r="E286" s="19">
        <f t="shared" si="40"/>
        <v>61</v>
      </c>
      <c r="F286" s="19">
        <f t="shared" si="40"/>
        <v>32</v>
      </c>
      <c r="G286" s="19">
        <f t="shared" si="40"/>
        <v>1</v>
      </c>
      <c r="H286" s="19">
        <f t="shared" si="40"/>
        <v>1</v>
      </c>
      <c r="I286" s="19">
        <f t="shared" si="40"/>
        <v>0</v>
      </c>
      <c r="J286" s="19">
        <f t="shared" si="40"/>
        <v>61</v>
      </c>
      <c r="K286" s="19">
        <f t="shared" si="40"/>
        <v>0</v>
      </c>
      <c r="L286" s="19">
        <f t="shared" si="40"/>
        <v>100</v>
      </c>
      <c r="M286" s="19">
        <f t="shared" si="40"/>
        <v>0</v>
      </c>
      <c r="N286" s="19">
        <f t="shared" si="40"/>
        <v>2</v>
      </c>
      <c r="O286" s="19">
        <f t="shared" si="40"/>
        <v>61</v>
      </c>
      <c r="P286" s="19">
        <f t="shared" si="40"/>
        <v>1</v>
      </c>
      <c r="Q286" s="19">
        <f t="shared" si="40"/>
        <v>2</v>
      </c>
      <c r="R286" s="19">
        <f t="shared" si="39"/>
        <v>0</v>
      </c>
      <c r="S286" s="19">
        <f t="shared" si="39"/>
        <v>0</v>
      </c>
      <c r="T286" s="19">
        <f t="shared" si="39"/>
        <v>0</v>
      </c>
      <c r="U286" s="19">
        <f t="shared" si="39"/>
        <v>0</v>
      </c>
      <c r="V286" s="19">
        <f t="shared" si="39"/>
        <v>0</v>
      </c>
      <c r="W286" s="19">
        <f t="shared" si="39"/>
        <v>1</v>
      </c>
    </row>
    <row r="287" spans="1:23">
      <c r="A287" s="24" t="str">
        <f t="shared" si="36"/>
        <v>11106_3-1/57&lt;lv32&gt;s2</v>
      </c>
      <c r="B287" s="19">
        <f t="shared" si="40"/>
        <v>11106</v>
      </c>
      <c r="C287" s="19">
        <f t="shared" si="40"/>
        <v>3</v>
      </c>
      <c r="D287" s="19">
        <f t="shared" si="40"/>
        <v>1</v>
      </c>
      <c r="E287" s="19">
        <f t="shared" si="40"/>
        <v>57</v>
      </c>
      <c r="F287" s="19">
        <f t="shared" si="40"/>
        <v>32</v>
      </c>
      <c r="G287" s="19">
        <f t="shared" si="40"/>
        <v>1</v>
      </c>
      <c r="H287" s="19">
        <f t="shared" si="40"/>
        <v>1</v>
      </c>
      <c r="I287" s="19">
        <f t="shared" si="40"/>
        <v>0</v>
      </c>
      <c r="J287" s="19">
        <f t="shared" si="40"/>
        <v>57</v>
      </c>
      <c r="K287" s="19">
        <f t="shared" si="40"/>
        <v>0</v>
      </c>
      <c r="L287" s="19">
        <f t="shared" si="40"/>
        <v>100</v>
      </c>
      <c r="M287" s="19">
        <f t="shared" si="40"/>
        <v>0</v>
      </c>
      <c r="N287" s="19">
        <f t="shared" si="40"/>
        <v>2</v>
      </c>
      <c r="O287" s="19">
        <f t="shared" si="40"/>
        <v>57</v>
      </c>
      <c r="P287" s="19">
        <f t="shared" si="40"/>
        <v>1</v>
      </c>
      <c r="Q287" s="19">
        <f t="shared" si="40"/>
        <v>2</v>
      </c>
      <c r="R287" s="19">
        <f t="shared" si="39"/>
        <v>0</v>
      </c>
      <c r="S287" s="19">
        <f t="shared" si="39"/>
        <v>0</v>
      </c>
      <c r="T287" s="19">
        <f t="shared" si="39"/>
        <v>0</v>
      </c>
      <c r="U287" s="19">
        <f t="shared" si="39"/>
        <v>0</v>
      </c>
      <c r="V287" s="19">
        <f t="shared" si="39"/>
        <v>0</v>
      </c>
      <c r="W287" s="19">
        <f t="shared" si="39"/>
        <v>1</v>
      </c>
    </row>
    <row r="288" spans="1:23">
      <c r="A288" s="24" t="str">
        <f t="shared" si="36"/>
        <v>11106_3-1/59&lt;lv32&gt;s2</v>
      </c>
      <c r="B288" s="19">
        <f t="shared" si="40"/>
        <v>11106</v>
      </c>
      <c r="C288" s="19">
        <f t="shared" si="40"/>
        <v>3</v>
      </c>
      <c r="D288" s="19">
        <f t="shared" si="40"/>
        <v>1</v>
      </c>
      <c r="E288" s="19">
        <f t="shared" si="40"/>
        <v>59</v>
      </c>
      <c r="F288" s="19">
        <f t="shared" si="40"/>
        <v>32</v>
      </c>
      <c r="G288" s="19">
        <f t="shared" si="40"/>
        <v>1</v>
      </c>
      <c r="H288" s="19">
        <f t="shared" si="40"/>
        <v>1</v>
      </c>
      <c r="I288" s="19">
        <f t="shared" si="40"/>
        <v>0</v>
      </c>
      <c r="J288" s="19">
        <f t="shared" si="40"/>
        <v>59</v>
      </c>
      <c r="K288" s="19">
        <f t="shared" si="40"/>
        <v>0</v>
      </c>
      <c r="L288" s="19">
        <f t="shared" si="40"/>
        <v>100</v>
      </c>
      <c r="M288" s="19">
        <f t="shared" si="40"/>
        <v>0</v>
      </c>
      <c r="N288" s="19">
        <f t="shared" si="40"/>
        <v>2</v>
      </c>
      <c r="O288" s="19">
        <f t="shared" si="40"/>
        <v>59</v>
      </c>
      <c r="P288" s="19">
        <f t="shared" si="40"/>
        <v>1</v>
      </c>
      <c r="Q288" s="19">
        <f t="shared" si="40"/>
        <v>2</v>
      </c>
      <c r="R288" s="19">
        <f t="shared" si="39"/>
        <v>0</v>
      </c>
      <c r="S288" s="19">
        <f t="shared" si="39"/>
        <v>0</v>
      </c>
      <c r="T288" s="19">
        <f t="shared" si="39"/>
        <v>0</v>
      </c>
      <c r="U288" s="19">
        <f t="shared" si="39"/>
        <v>0</v>
      </c>
      <c r="V288" s="19">
        <f t="shared" si="39"/>
        <v>0</v>
      </c>
      <c r="W288" s="19">
        <f t="shared" si="39"/>
        <v>1</v>
      </c>
    </row>
    <row r="289" spans="1:23">
      <c r="A289" s="24" t="str">
        <f t="shared" si="36"/>
        <v>11106_3-2/117&lt;lv1&gt;s1</v>
      </c>
      <c r="B289" s="19">
        <f t="shared" si="40"/>
        <v>11106</v>
      </c>
      <c r="C289" s="19">
        <f t="shared" si="40"/>
        <v>3</v>
      </c>
      <c r="D289" s="19">
        <f t="shared" si="40"/>
        <v>2</v>
      </c>
      <c r="E289" s="19">
        <f t="shared" si="40"/>
        <v>117</v>
      </c>
      <c r="F289" s="19">
        <f t="shared" si="40"/>
        <v>1</v>
      </c>
      <c r="G289" s="19">
        <f t="shared" si="40"/>
        <v>40.5</v>
      </c>
      <c r="H289" s="19">
        <f t="shared" si="40"/>
        <v>42.25</v>
      </c>
      <c r="I289" s="19">
        <f t="shared" si="40"/>
        <v>0</v>
      </c>
      <c r="J289" s="19">
        <f t="shared" si="40"/>
        <v>11704</v>
      </c>
      <c r="K289" s="19">
        <f t="shared" si="40"/>
        <v>1</v>
      </c>
      <c r="L289" s="19">
        <f t="shared" si="40"/>
        <v>100</v>
      </c>
      <c r="M289" s="19">
        <f t="shared" si="40"/>
        <v>0</v>
      </c>
      <c r="N289" s="19">
        <f t="shared" si="40"/>
        <v>1</v>
      </c>
      <c r="O289" s="19">
        <f t="shared" si="40"/>
        <v>117</v>
      </c>
      <c r="P289" s="19">
        <f t="shared" si="40"/>
        <v>1</v>
      </c>
      <c r="Q289" s="19">
        <f t="shared" si="40"/>
        <v>3</v>
      </c>
      <c r="R289" s="19">
        <f t="shared" si="39"/>
        <v>50</v>
      </c>
      <c r="S289" s="19">
        <f t="shared" si="39"/>
        <v>0</v>
      </c>
      <c r="T289" s="19">
        <f t="shared" si="39"/>
        <v>0</v>
      </c>
      <c r="U289" s="19">
        <f t="shared" si="39"/>
        <v>0</v>
      </c>
      <c r="V289" s="19">
        <f t="shared" si="39"/>
        <v>0</v>
      </c>
      <c r="W289" s="19">
        <f t="shared" si="39"/>
        <v>1</v>
      </c>
    </row>
    <row r="290" spans="1:23">
      <c r="A290" s="24" t="str">
        <f t="shared" si="36"/>
        <v>11106_3-2/118&lt;lv1&gt;s2</v>
      </c>
      <c r="B290" s="19">
        <f t="shared" si="40"/>
        <v>11106</v>
      </c>
      <c r="C290" s="19">
        <f t="shared" si="40"/>
        <v>3</v>
      </c>
      <c r="D290" s="19">
        <f t="shared" si="40"/>
        <v>2</v>
      </c>
      <c r="E290" s="19">
        <f t="shared" si="40"/>
        <v>118</v>
      </c>
      <c r="F290" s="19">
        <f t="shared" si="40"/>
        <v>1</v>
      </c>
      <c r="G290" s="19">
        <f t="shared" si="40"/>
        <v>40.5</v>
      </c>
      <c r="H290" s="19">
        <f t="shared" si="40"/>
        <v>38.5</v>
      </c>
      <c r="I290" s="19">
        <f t="shared" si="40"/>
        <v>0</v>
      </c>
      <c r="J290" s="19">
        <f t="shared" si="40"/>
        <v>11803</v>
      </c>
      <c r="K290" s="19">
        <f t="shared" si="40"/>
        <v>1</v>
      </c>
      <c r="L290" s="19">
        <f t="shared" si="40"/>
        <v>100</v>
      </c>
      <c r="M290" s="19">
        <f t="shared" si="40"/>
        <v>0</v>
      </c>
      <c r="N290" s="19">
        <f t="shared" si="40"/>
        <v>2</v>
      </c>
      <c r="O290" s="19">
        <f t="shared" si="40"/>
        <v>118</v>
      </c>
      <c r="P290" s="19">
        <f t="shared" si="40"/>
        <v>1</v>
      </c>
      <c r="Q290" s="19">
        <f t="shared" si="40"/>
        <v>4</v>
      </c>
      <c r="R290" s="19">
        <f t="shared" si="39"/>
        <v>10</v>
      </c>
      <c r="S290" s="19">
        <f t="shared" si="39"/>
        <v>0</v>
      </c>
      <c r="T290" s="19">
        <f t="shared" si="39"/>
        <v>0</v>
      </c>
      <c r="U290" s="19">
        <f t="shared" si="39"/>
        <v>0</v>
      </c>
      <c r="V290" s="19">
        <f t="shared" si="39"/>
        <v>0</v>
      </c>
      <c r="W290" s="19">
        <f t="shared" si="39"/>
        <v>1</v>
      </c>
    </row>
    <row r="291" spans="1:23">
      <c r="A291" s="24" t="str">
        <f t="shared" si="36"/>
        <v>11106_3-2/63&lt;lv32&gt;s2</v>
      </c>
      <c r="B291" s="19">
        <f t="shared" si="40"/>
        <v>11106</v>
      </c>
      <c r="C291" s="19">
        <f t="shared" si="40"/>
        <v>3</v>
      </c>
      <c r="D291" s="19">
        <f t="shared" si="40"/>
        <v>2</v>
      </c>
      <c r="E291" s="19">
        <f t="shared" si="40"/>
        <v>63</v>
      </c>
      <c r="F291" s="19">
        <f t="shared" si="40"/>
        <v>32</v>
      </c>
      <c r="G291" s="19">
        <f t="shared" si="40"/>
        <v>1</v>
      </c>
      <c r="H291" s="19">
        <f t="shared" si="40"/>
        <v>1</v>
      </c>
      <c r="I291" s="19">
        <f t="shared" si="40"/>
        <v>0</v>
      </c>
      <c r="J291" s="19">
        <f t="shared" si="40"/>
        <v>63</v>
      </c>
      <c r="K291" s="19">
        <f t="shared" si="40"/>
        <v>0</v>
      </c>
      <c r="L291" s="19">
        <f t="shared" si="40"/>
        <v>100</v>
      </c>
      <c r="M291" s="19">
        <f t="shared" si="40"/>
        <v>0</v>
      </c>
      <c r="N291" s="19">
        <f t="shared" si="40"/>
        <v>2</v>
      </c>
      <c r="O291" s="19">
        <f t="shared" si="40"/>
        <v>63</v>
      </c>
      <c r="P291" s="19">
        <f t="shared" si="40"/>
        <v>1</v>
      </c>
      <c r="Q291" s="19">
        <f t="shared" si="40"/>
        <v>2</v>
      </c>
      <c r="R291" s="19">
        <f t="shared" si="39"/>
        <v>0</v>
      </c>
      <c r="S291" s="19">
        <f t="shared" si="39"/>
        <v>0</v>
      </c>
      <c r="T291" s="19">
        <f t="shared" si="39"/>
        <v>0</v>
      </c>
      <c r="U291" s="19">
        <f t="shared" si="39"/>
        <v>0</v>
      </c>
      <c r="V291" s="19">
        <f t="shared" si="39"/>
        <v>0</v>
      </c>
      <c r="W291" s="19">
        <f t="shared" si="39"/>
        <v>1</v>
      </c>
    </row>
    <row r="292" spans="1:23">
      <c r="A292" s="24" t="str">
        <f t="shared" si="36"/>
        <v>11106_3-2/61&lt;lv32&gt;s2</v>
      </c>
      <c r="B292" s="19">
        <f t="shared" si="40"/>
        <v>11106</v>
      </c>
      <c r="C292" s="19">
        <f t="shared" si="40"/>
        <v>3</v>
      </c>
      <c r="D292" s="19">
        <f t="shared" si="40"/>
        <v>2</v>
      </c>
      <c r="E292" s="19">
        <f t="shared" si="40"/>
        <v>61</v>
      </c>
      <c r="F292" s="19">
        <f t="shared" si="40"/>
        <v>32</v>
      </c>
      <c r="G292" s="19">
        <f t="shared" si="40"/>
        <v>1</v>
      </c>
      <c r="H292" s="19">
        <f t="shared" si="40"/>
        <v>1</v>
      </c>
      <c r="I292" s="19">
        <f t="shared" si="40"/>
        <v>0</v>
      </c>
      <c r="J292" s="19">
        <f t="shared" si="40"/>
        <v>61</v>
      </c>
      <c r="K292" s="19">
        <f t="shared" si="40"/>
        <v>0</v>
      </c>
      <c r="L292" s="19">
        <f t="shared" si="40"/>
        <v>100</v>
      </c>
      <c r="M292" s="19">
        <f t="shared" si="40"/>
        <v>0</v>
      </c>
      <c r="N292" s="19">
        <f t="shared" si="40"/>
        <v>2</v>
      </c>
      <c r="O292" s="19">
        <f t="shared" si="40"/>
        <v>61</v>
      </c>
      <c r="P292" s="19">
        <f t="shared" si="40"/>
        <v>1</v>
      </c>
      <c r="Q292" s="19">
        <f t="shared" si="40"/>
        <v>2</v>
      </c>
      <c r="R292" s="19">
        <f t="shared" si="39"/>
        <v>0</v>
      </c>
      <c r="S292" s="19">
        <f t="shared" si="39"/>
        <v>0</v>
      </c>
      <c r="T292" s="19">
        <f t="shared" si="39"/>
        <v>0</v>
      </c>
      <c r="U292" s="19">
        <f t="shared" si="39"/>
        <v>0</v>
      </c>
      <c r="V292" s="19">
        <f t="shared" si="39"/>
        <v>0</v>
      </c>
      <c r="W292" s="19">
        <f t="shared" si="39"/>
        <v>1</v>
      </c>
    </row>
    <row r="293" spans="1:23">
      <c r="A293" s="24" t="str">
        <f t="shared" si="36"/>
        <v>11106_3-2/57&lt;lv32&gt;s2</v>
      </c>
      <c r="B293" s="19">
        <f t="shared" si="40"/>
        <v>11106</v>
      </c>
      <c r="C293" s="19">
        <f t="shared" si="40"/>
        <v>3</v>
      </c>
      <c r="D293" s="19">
        <f t="shared" si="40"/>
        <v>2</v>
      </c>
      <c r="E293" s="19">
        <f t="shared" si="40"/>
        <v>57</v>
      </c>
      <c r="F293" s="19">
        <f t="shared" si="40"/>
        <v>32</v>
      </c>
      <c r="G293" s="19">
        <f t="shared" si="40"/>
        <v>1</v>
      </c>
      <c r="H293" s="19">
        <f t="shared" si="40"/>
        <v>1</v>
      </c>
      <c r="I293" s="19">
        <f t="shared" si="40"/>
        <v>0</v>
      </c>
      <c r="J293" s="19">
        <f t="shared" si="40"/>
        <v>57</v>
      </c>
      <c r="K293" s="19">
        <f t="shared" si="40"/>
        <v>0</v>
      </c>
      <c r="L293" s="19">
        <f t="shared" si="40"/>
        <v>100</v>
      </c>
      <c r="M293" s="19">
        <f t="shared" si="40"/>
        <v>0</v>
      </c>
      <c r="N293" s="19">
        <f t="shared" si="40"/>
        <v>2</v>
      </c>
      <c r="O293" s="19">
        <f t="shared" si="40"/>
        <v>57</v>
      </c>
      <c r="P293" s="19">
        <f t="shared" si="40"/>
        <v>1</v>
      </c>
      <c r="Q293" s="19">
        <f t="shared" si="40"/>
        <v>2</v>
      </c>
      <c r="R293" s="19">
        <f t="shared" si="39"/>
        <v>0</v>
      </c>
      <c r="S293" s="19">
        <f t="shared" si="39"/>
        <v>0</v>
      </c>
      <c r="T293" s="19">
        <f t="shared" si="39"/>
        <v>0</v>
      </c>
      <c r="U293" s="19">
        <f t="shared" si="39"/>
        <v>0</v>
      </c>
      <c r="V293" s="19">
        <f t="shared" si="39"/>
        <v>0</v>
      </c>
      <c r="W293" s="19">
        <f t="shared" si="39"/>
        <v>1</v>
      </c>
    </row>
    <row r="294" spans="1:23">
      <c r="A294" s="24" t="str">
        <f t="shared" si="36"/>
        <v>11106_3-2/59&lt;lv32&gt;s2</v>
      </c>
      <c r="B294" s="19">
        <f t="shared" si="40"/>
        <v>11106</v>
      </c>
      <c r="C294" s="19">
        <f t="shared" si="40"/>
        <v>3</v>
      </c>
      <c r="D294" s="19">
        <f t="shared" si="40"/>
        <v>2</v>
      </c>
      <c r="E294" s="19">
        <f t="shared" si="40"/>
        <v>59</v>
      </c>
      <c r="F294" s="19">
        <f t="shared" si="40"/>
        <v>32</v>
      </c>
      <c r="G294" s="19">
        <f t="shared" si="40"/>
        <v>1</v>
      </c>
      <c r="H294" s="19">
        <f t="shared" si="40"/>
        <v>1</v>
      </c>
      <c r="I294" s="19">
        <f t="shared" si="40"/>
        <v>0</v>
      </c>
      <c r="J294" s="19">
        <f t="shared" si="40"/>
        <v>59</v>
      </c>
      <c r="K294" s="19">
        <f t="shared" si="40"/>
        <v>0</v>
      </c>
      <c r="L294" s="19">
        <f t="shared" si="40"/>
        <v>100</v>
      </c>
      <c r="M294" s="19">
        <f t="shared" si="40"/>
        <v>0</v>
      </c>
      <c r="N294" s="19">
        <f t="shared" si="40"/>
        <v>2</v>
      </c>
      <c r="O294" s="19">
        <f t="shared" si="40"/>
        <v>59</v>
      </c>
      <c r="P294" s="19">
        <f t="shared" si="40"/>
        <v>1</v>
      </c>
      <c r="Q294" s="19">
        <f t="shared" si="40"/>
        <v>2</v>
      </c>
      <c r="R294" s="19">
        <f t="shared" si="39"/>
        <v>0</v>
      </c>
      <c r="S294" s="19">
        <f t="shared" si="39"/>
        <v>0</v>
      </c>
      <c r="T294" s="19">
        <f t="shared" si="39"/>
        <v>0</v>
      </c>
      <c r="U294" s="19">
        <f t="shared" si="39"/>
        <v>0</v>
      </c>
      <c r="V294" s="19">
        <f t="shared" si="39"/>
        <v>0</v>
      </c>
      <c r="W294" s="19">
        <f t="shared" si="39"/>
        <v>1</v>
      </c>
    </row>
    <row r="295" spans="1:23">
      <c r="A295" s="24" t="str">
        <f t="shared" si="36"/>
        <v>11106_3-3/118&lt;lv2&gt;s2</v>
      </c>
      <c r="B295" s="19">
        <f t="shared" si="40"/>
        <v>11106</v>
      </c>
      <c r="C295" s="19">
        <f t="shared" si="40"/>
        <v>3</v>
      </c>
      <c r="D295" s="19">
        <f t="shared" si="40"/>
        <v>3</v>
      </c>
      <c r="E295" s="19">
        <f t="shared" si="40"/>
        <v>118</v>
      </c>
      <c r="F295" s="19">
        <f t="shared" si="40"/>
        <v>2</v>
      </c>
      <c r="G295" s="19">
        <f t="shared" si="40"/>
        <v>28.8</v>
      </c>
      <c r="H295" s="19">
        <f t="shared" si="40"/>
        <v>38.5</v>
      </c>
      <c r="I295" s="19">
        <f t="shared" si="40"/>
        <v>0</v>
      </c>
      <c r="J295" s="19">
        <f t="shared" si="40"/>
        <v>11803</v>
      </c>
      <c r="K295" s="19">
        <f t="shared" si="40"/>
        <v>2</v>
      </c>
      <c r="L295" s="19">
        <f t="shared" si="40"/>
        <v>100</v>
      </c>
      <c r="M295" s="19">
        <f t="shared" si="40"/>
        <v>0</v>
      </c>
      <c r="N295" s="19">
        <f t="shared" si="40"/>
        <v>2</v>
      </c>
      <c r="O295" s="19">
        <f t="shared" si="40"/>
        <v>118</v>
      </c>
      <c r="P295" s="19">
        <f t="shared" si="40"/>
        <v>1</v>
      </c>
      <c r="Q295" s="19">
        <f t="shared" si="40"/>
        <v>4</v>
      </c>
      <c r="R295" s="19">
        <f t="shared" si="39"/>
        <v>10</v>
      </c>
      <c r="S295" s="19">
        <f t="shared" si="39"/>
        <v>0</v>
      </c>
      <c r="T295" s="19">
        <f t="shared" si="39"/>
        <v>0</v>
      </c>
      <c r="U295" s="19">
        <f t="shared" si="39"/>
        <v>0</v>
      </c>
      <c r="V295" s="19">
        <f t="shared" si="39"/>
        <v>0</v>
      </c>
      <c r="W295" s="19">
        <f t="shared" si="39"/>
        <v>1</v>
      </c>
    </row>
    <row r="296" spans="1:23">
      <c r="A296" s="24" t="str">
        <f t="shared" si="36"/>
        <v>11106_3-3/118&lt;lv1&gt;s2</v>
      </c>
      <c r="B296" s="19">
        <f t="shared" si="40"/>
        <v>11106</v>
      </c>
      <c r="C296" s="19">
        <f t="shared" si="40"/>
        <v>3</v>
      </c>
      <c r="D296" s="19">
        <f t="shared" si="40"/>
        <v>3</v>
      </c>
      <c r="E296" s="19">
        <f t="shared" si="40"/>
        <v>118</v>
      </c>
      <c r="F296" s="19">
        <f t="shared" si="40"/>
        <v>1</v>
      </c>
      <c r="G296" s="19">
        <f t="shared" si="40"/>
        <v>40.5</v>
      </c>
      <c r="H296" s="19">
        <f t="shared" si="40"/>
        <v>38.5</v>
      </c>
      <c r="I296" s="19">
        <f t="shared" si="40"/>
        <v>0</v>
      </c>
      <c r="J296" s="19">
        <f t="shared" si="40"/>
        <v>11803</v>
      </c>
      <c r="K296" s="19">
        <f t="shared" si="40"/>
        <v>0</v>
      </c>
      <c r="L296" s="19">
        <f t="shared" si="40"/>
        <v>100</v>
      </c>
      <c r="M296" s="19">
        <f t="shared" si="40"/>
        <v>0</v>
      </c>
      <c r="N296" s="19">
        <f t="shared" si="40"/>
        <v>2</v>
      </c>
      <c r="O296" s="19">
        <f t="shared" si="40"/>
        <v>118</v>
      </c>
      <c r="P296" s="19">
        <f t="shared" si="40"/>
        <v>1</v>
      </c>
      <c r="Q296" s="19">
        <f t="shared" si="40"/>
        <v>4</v>
      </c>
      <c r="R296" s="19">
        <f t="shared" si="39"/>
        <v>10</v>
      </c>
      <c r="S296" s="19">
        <f t="shared" si="39"/>
        <v>0</v>
      </c>
      <c r="T296" s="19">
        <f t="shared" si="39"/>
        <v>0</v>
      </c>
      <c r="U296" s="19">
        <f t="shared" si="39"/>
        <v>0</v>
      </c>
      <c r="V296" s="19">
        <f t="shared" si="39"/>
        <v>0</v>
      </c>
      <c r="W296" s="19">
        <f t="shared" si="39"/>
        <v>1</v>
      </c>
    </row>
    <row r="297" spans="1:23">
      <c r="A297" s="24" t="str">
        <f t="shared" si="36"/>
        <v>11106_3-3/63&lt;lv32&gt;s2</v>
      </c>
      <c r="B297" s="19">
        <f t="shared" si="40"/>
        <v>11106</v>
      </c>
      <c r="C297" s="19">
        <f t="shared" si="40"/>
        <v>3</v>
      </c>
      <c r="D297" s="19">
        <f t="shared" si="40"/>
        <v>3</v>
      </c>
      <c r="E297" s="19">
        <f t="shared" si="40"/>
        <v>63</v>
      </c>
      <c r="F297" s="19">
        <f t="shared" si="40"/>
        <v>32</v>
      </c>
      <c r="G297" s="19">
        <f t="shared" si="40"/>
        <v>1</v>
      </c>
      <c r="H297" s="19">
        <f t="shared" si="40"/>
        <v>1</v>
      </c>
      <c r="I297" s="19">
        <f t="shared" si="40"/>
        <v>0</v>
      </c>
      <c r="J297" s="19">
        <f t="shared" si="40"/>
        <v>63</v>
      </c>
      <c r="K297" s="19">
        <f t="shared" si="40"/>
        <v>0</v>
      </c>
      <c r="L297" s="19">
        <f t="shared" si="40"/>
        <v>100</v>
      </c>
      <c r="M297" s="19">
        <f t="shared" si="40"/>
        <v>0</v>
      </c>
      <c r="N297" s="19">
        <f t="shared" si="40"/>
        <v>2</v>
      </c>
      <c r="O297" s="19">
        <f t="shared" si="40"/>
        <v>63</v>
      </c>
      <c r="P297" s="19">
        <f t="shared" si="40"/>
        <v>1</v>
      </c>
      <c r="Q297" s="19">
        <f t="shared" si="40"/>
        <v>2</v>
      </c>
      <c r="R297" s="19">
        <f t="shared" si="39"/>
        <v>0</v>
      </c>
      <c r="S297" s="19">
        <f t="shared" si="39"/>
        <v>0</v>
      </c>
      <c r="T297" s="19">
        <f t="shared" si="39"/>
        <v>0</v>
      </c>
      <c r="U297" s="19">
        <f t="shared" si="39"/>
        <v>0</v>
      </c>
      <c r="V297" s="19">
        <f t="shared" si="39"/>
        <v>0</v>
      </c>
      <c r="W297" s="19">
        <f t="shared" si="39"/>
        <v>1</v>
      </c>
    </row>
    <row r="298" spans="1:23">
      <c r="A298" s="24" t="str">
        <f t="shared" si="36"/>
        <v>11106_3-3/61&lt;lv32&gt;s2</v>
      </c>
      <c r="B298" s="19">
        <f t="shared" si="40"/>
        <v>11106</v>
      </c>
      <c r="C298" s="19">
        <f t="shared" si="40"/>
        <v>3</v>
      </c>
      <c r="D298" s="19">
        <f t="shared" si="40"/>
        <v>3</v>
      </c>
      <c r="E298" s="19">
        <f t="shared" si="40"/>
        <v>61</v>
      </c>
      <c r="F298" s="19">
        <f t="shared" si="40"/>
        <v>32</v>
      </c>
      <c r="G298" s="19">
        <f t="shared" si="40"/>
        <v>1</v>
      </c>
      <c r="H298" s="19">
        <f t="shared" si="40"/>
        <v>1</v>
      </c>
      <c r="I298" s="19">
        <f t="shared" si="40"/>
        <v>0</v>
      </c>
      <c r="J298" s="19">
        <f t="shared" si="40"/>
        <v>61</v>
      </c>
      <c r="K298" s="19">
        <f t="shared" si="40"/>
        <v>0</v>
      </c>
      <c r="L298" s="19">
        <f t="shared" si="40"/>
        <v>100</v>
      </c>
      <c r="M298" s="19">
        <f t="shared" si="40"/>
        <v>0</v>
      </c>
      <c r="N298" s="19">
        <f t="shared" si="40"/>
        <v>2</v>
      </c>
      <c r="O298" s="19">
        <f t="shared" si="40"/>
        <v>61</v>
      </c>
      <c r="P298" s="19">
        <f t="shared" si="40"/>
        <v>1</v>
      </c>
      <c r="Q298" s="19">
        <f t="shared" si="40"/>
        <v>2</v>
      </c>
      <c r="R298" s="19">
        <f t="shared" si="39"/>
        <v>0</v>
      </c>
      <c r="S298" s="19">
        <f t="shared" si="39"/>
        <v>0</v>
      </c>
      <c r="T298" s="19">
        <f t="shared" si="39"/>
        <v>0</v>
      </c>
      <c r="U298" s="19">
        <f t="shared" si="39"/>
        <v>0</v>
      </c>
      <c r="V298" s="19">
        <f t="shared" si="39"/>
        <v>0</v>
      </c>
      <c r="W298" s="19">
        <f t="shared" si="39"/>
        <v>1</v>
      </c>
    </row>
    <row r="299" spans="1:23">
      <c r="A299" s="24" t="str">
        <f t="shared" si="36"/>
        <v>11106_3-3/57&lt;lv32&gt;s2</v>
      </c>
      <c r="B299" s="19">
        <f t="shared" si="40"/>
        <v>11106</v>
      </c>
      <c r="C299" s="19">
        <f t="shared" si="40"/>
        <v>3</v>
      </c>
      <c r="D299" s="19">
        <f t="shared" si="40"/>
        <v>3</v>
      </c>
      <c r="E299" s="19">
        <f t="shared" si="40"/>
        <v>57</v>
      </c>
      <c r="F299" s="19">
        <f t="shared" si="40"/>
        <v>32</v>
      </c>
      <c r="G299" s="19">
        <f t="shared" si="40"/>
        <v>1</v>
      </c>
      <c r="H299" s="19">
        <f t="shared" si="40"/>
        <v>1</v>
      </c>
      <c r="I299" s="19">
        <f t="shared" si="40"/>
        <v>0</v>
      </c>
      <c r="J299" s="19">
        <f t="shared" si="40"/>
        <v>57</v>
      </c>
      <c r="K299" s="19">
        <f t="shared" si="40"/>
        <v>0</v>
      </c>
      <c r="L299" s="19">
        <f t="shared" si="40"/>
        <v>100</v>
      </c>
      <c r="M299" s="19">
        <f t="shared" si="40"/>
        <v>0</v>
      </c>
      <c r="N299" s="19">
        <f t="shared" si="40"/>
        <v>2</v>
      </c>
      <c r="O299" s="19">
        <f t="shared" si="40"/>
        <v>57</v>
      </c>
      <c r="P299" s="19">
        <f t="shared" si="40"/>
        <v>1</v>
      </c>
      <c r="Q299" s="19">
        <f t="shared" ref="Q299:W314" si="41">VLOOKUP($A299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299" s="19">
        <f t="shared" si="41"/>
        <v>0</v>
      </c>
      <c r="S299" s="19">
        <f t="shared" si="41"/>
        <v>0</v>
      </c>
      <c r="T299" s="19">
        <f t="shared" si="41"/>
        <v>0</v>
      </c>
      <c r="U299" s="19">
        <f t="shared" si="41"/>
        <v>0</v>
      </c>
      <c r="V299" s="19">
        <f t="shared" si="41"/>
        <v>0</v>
      </c>
      <c r="W299" s="19">
        <f t="shared" si="41"/>
        <v>1</v>
      </c>
    </row>
    <row r="300" spans="1:23">
      <c r="A300" s="24" t="str">
        <f t="shared" si="36"/>
        <v>11106_3-3/59&lt;lv32&gt;s2</v>
      </c>
      <c r="B300" s="19">
        <f t="shared" ref="B300:Q315" si="42">VLOOKUP($A300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11106</v>
      </c>
      <c r="C300" s="19">
        <f t="shared" si="42"/>
        <v>3</v>
      </c>
      <c r="D300" s="19">
        <f t="shared" si="42"/>
        <v>3</v>
      </c>
      <c r="E300" s="19">
        <f t="shared" si="42"/>
        <v>59</v>
      </c>
      <c r="F300" s="19">
        <f t="shared" si="42"/>
        <v>32</v>
      </c>
      <c r="G300" s="19">
        <f t="shared" si="42"/>
        <v>1</v>
      </c>
      <c r="H300" s="19">
        <f t="shared" si="42"/>
        <v>1</v>
      </c>
      <c r="I300" s="19">
        <f t="shared" si="42"/>
        <v>0</v>
      </c>
      <c r="J300" s="19">
        <f t="shared" si="42"/>
        <v>59</v>
      </c>
      <c r="K300" s="19">
        <f t="shared" si="42"/>
        <v>0</v>
      </c>
      <c r="L300" s="19">
        <f t="shared" si="42"/>
        <v>100</v>
      </c>
      <c r="M300" s="19">
        <f t="shared" si="42"/>
        <v>0</v>
      </c>
      <c r="N300" s="19">
        <f t="shared" si="42"/>
        <v>2</v>
      </c>
      <c r="O300" s="19">
        <f t="shared" si="42"/>
        <v>59</v>
      </c>
      <c r="P300" s="19">
        <f t="shared" si="42"/>
        <v>1</v>
      </c>
      <c r="Q300" s="19">
        <f t="shared" si="42"/>
        <v>2</v>
      </c>
      <c r="R300" s="19">
        <f t="shared" si="41"/>
        <v>0</v>
      </c>
      <c r="S300" s="19">
        <f t="shared" si="41"/>
        <v>0</v>
      </c>
      <c r="T300" s="19">
        <f t="shared" si="41"/>
        <v>0</v>
      </c>
      <c r="U300" s="19">
        <f t="shared" si="41"/>
        <v>0</v>
      </c>
      <c r="V300" s="19">
        <f t="shared" si="41"/>
        <v>0</v>
      </c>
      <c r="W300" s="19">
        <f t="shared" si="41"/>
        <v>1</v>
      </c>
    </row>
    <row r="301" spans="1:23">
      <c r="A301" s="24" t="str">
        <f t="shared" si="36"/>
        <v>11106_3-4/118&lt;lv1&gt;s2</v>
      </c>
      <c r="B301" s="19">
        <f t="shared" si="42"/>
        <v>11106</v>
      </c>
      <c r="C301" s="19">
        <f t="shared" si="42"/>
        <v>3</v>
      </c>
      <c r="D301" s="19">
        <f t="shared" si="42"/>
        <v>4</v>
      </c>
      <c r="E301" s="19">
        <f t="shared" si="42"/>
        <v>118</v>
      </c>
      <c r="F301" s="19">
        <f t="shared" si="42"/>
        <v>1</v>
      </c>
      <c r="G301" s="19">
        <f t="shared" si="42"/>
        <v>40.5</v>
      </c>
      <c r="H301" s="19">
        <f t="shared" si="42"/>
        <v>38.5</v>
      </c>
      <c r="I301" s="19">
        <f t="shared" si="42"/>
        <v>0</v>
      </c>
      <c r="J301" s="19">
        <f t="shared" si="42"/>
        <v>11803</v>
      </c>
      <c r="K301" s="19">
        <f t="shared" si="42"/>
        <v>0</v>
      </c>
      <c r="L301" s="19">
        <f t="shared" si="42"/>
        <v>100</v>
      </c>
      <c r="M301" s="19">
        <f t="shared" si="42"/>
        <v>0</v>
      </c>
      <c r="N301" s="19">
        <f t="shared" si="42"/>
        <v>2</v>
      </c>
      <c r="O301" s="19">
        <f t="shared" si="42"/>
        <v>118</v>
      </c>
      <c r="P301" s="19">
        <f t="shared" si="42"/>
        <v>1</v>
      </c>
      <c r="Q301" s="19">
        <f t="shared" si="42"/>
        <v>4</v>
      </c>
      <c r="R301" s="19">
        <f t="shared" si="41"/>
        <v>80</v>
      </c>
      <c r="S301" s="19">
        <f t="shared" si="41"/>
        <v>0</v>
      </c>
      <c r="T301" s="19">
        <f t="shared" si="41"/>
        <v>0</v>
      </c>
      <c r="U301" s="19">
        <f t="shared" si="41"/>
        <v>0</v>
      </c>
      <c r="V301" s="19">
        <f t="shared" si="41"/>
        <v>0</v>
      </c>
      <c r="W301" s="19">
        <f t="shared" si="41"/>
        <v>1</v>
      </c>
    </row>
    <row r="302" spans="1:23">
      <c r="A302" s="24" t="str">
        <f t="shared" si="36"/>
        <v>11106_3-4/119&lt;lv2&gt;s4</v>
      </c>
      <c r="B302" s="19">
        <f t="shared" si="42"/>
        <v>11106</v>
      </c>
      <c r="C302" s="19">
        <f t="shared" si="42"/>
        <v>3</v>
      </c>
      <c r="D302" s="19">
        <f t="shared" si="42"/>
        <v>4</v>
      </c>
      <c r="E302" s="19">
        <f t="shared" si="42"/>
        <v>119</v>
      </c>
      <c r="F302" s="19">
        <f t="shared" si="42"/>
        <v>2</v>
      </c>
      <c r="G302" s="19">
        <f t="shared" si="42"/>
        <v>93.3</v>
      </c>
      <c r="H302" s="19">
        <f t="shared" si="42"/>
        <v>41</v>
      </c>
      <c r="I302" s="19">
        <f t="shared" si="42"/>
        <v>0</v>
      </c>
      <c r="J302" s="19">
        <f t="shared" si="42"/>
        <v>11903</v>
      </c>
      <c r="K302" s="19">
        <f t="shared" si="42"/>
        <v>1</v>
      </c>
      <c r="L302" s="19">
        <f t="shared" si="42"/>
        <v>100</v>
      </c>
      <c r="M302" s="19">
        <f t="shared" si="42"/>
        <v>0</v>
      </c>
      <c r="N302" s="19">
        <f t="shared" si="42"/>
        <v>4</v>
      </c>
      <c r="O302" s="19">
        <f t="shared" si="42"/>
        <v>119</v>
      </c>
      <c r="P302" s="19">
        <f t="shared" si="42"/>
        <v>1</v>
      </c>
      <c r="Q302" s="19">
        <f t="shared" si="42"/>
        <v>5</v>
      </c>
      <c r="R302" s="19">
        <f t="shared" si="41"/>
        <v>30</v>
      </c>
      <c r="S302" s="19">
        <f t="shared" si="41"/>
        <v>0</v>
      </c>
      <c r="T302" s="19">
        <f t="shared" si="41"/>
        <v>0</v>
      </c>
      <c r="U302" s="19">
        <f t="shared" si="41"/>
        <v>0</v>
      </c>
      <c r="V302" s="19">
        <f t="shared" si="41"/>
        <v>0</v>
      </c>
      <c r="W302" s="19">
        <f t="shared" si="41"/>
        <v>1</v>
      </c>
    </row>
    <row r="303" spans="1:23">
      <c r="A303" s="24" t="str">
        <f t="shared" si="36"/>
        <v>11106_3-4/63&lt;lv32&gt;s2</v>
      </c>
      <c r="B303" s="19">
        <f t="shared" si="42"/>
        <v>11106</v>
      </c>
      <c r="C303" s="19">
        <f t="shared" si="42"/>
        <v>3</v>
      </c>
      <c r="D303" s="19">
        <f t="shared" si="42"/>
        <v>4</v>
      </c>
      <c r="E303" s="19">
        <f t="shared" si="42"/>
        <v>63</v>
      </c>
      <c r="F303" s="19">
        <f t="shared" si="42"/>
        <v>32</v>
      </c>
      <c r="G303" s="19">
        <f t="shared" si="42"/>
        <v>1</v>
      </c>
      <c r="H303" s="19">
        <f t="shared" si="42"/>
        <v>1</v>
      </c>
      <c r="I303" s="19">
        <f t="shared" si="42"/>
        <v>0</v>
      </c>
      <c r="J303" s="19">
        <f t="shared" si="42"/>
        <v>63</v>
      </c>
      <c r="K303" s="19">
        <f t="shared" si="42"/>
        <v>0</v>
      </c>
      <c r="L303" s="19">
        <f t="shared" si="42"/>
        <v>100</v>
      </c>
      <c r="M303" s="19">
        <f t="shared" si="42"/>
        <v>0</v>
      </c>
      <c r="N303" s="19">
        <f t="shared" si="42"/>
        <v>2</v>
      </c>
      <c r="O303" s="19">
        <f t="shared" si="42"/>
        <v>63</v>
      </c>
      <c r="P303" s="19">
        <f t="shared" si="42"/>
        <v>1</v>
      </c>
      <c r="Q303" s="19">
        <f t="shared" si="42"/>
        <v>2</v>
      </c>
      <c r="R303" s="19">
        <f t="shared" si="41"/>
        <v>0</v>
      </c>
      <c r="S303" s="19">
        <f t="shared" si="41"/>
        <v>0</v>
      </c>
      <c r="T303" s="19">
        <f t="shared" si="41"/>
        <v>0</v>
      </c>
      <c r="U303" s="19">
        <f t="shared" si="41"/>
        <v>0</v>
      </c>
      <c r="V303" s="19">
        <f t="shared" si="41"/>
        <v>0</v>
      </c>
      <c r="W303" s="19">
        <f t="shared" si="41"/>
        <v>1</v>
      </c>
    </row>
    <row r="304" spans="1:23">
      <c r="A304" s="24" t="str">
        <f t="shared" si="36"/>
        <v>11106_3-4/61&lt;lv32&gt;s2</v>
      </c>
      <c r="B304" s="19">
        <f t="shared" si="42"/>
        <v>11106</v>
      </c>
      <c r="C304" s="19">
        <f t="shared" si="42"/>
        <v>3</v>
      </c>
      <c r="D304" s="19">
        <f t="shared" si="42"/>
        <v>4</v>
      </c>
      <c r="E304" s="19">
        <f t="shared" si="42"/>
        <v>61</v>
      </c>
      <c r="F304" s="19">
        <f t="shared" si="42"/>
        <v>32</v>
      </c>
      <c r="G304" s="19">
        <f t="shared" si="42"/>
        <v>1</v>
      </c>
      <c r="H304" s="19">
        <f t="shared" si="42"/>
        <v>1</v>
      </c>
      <c r="I304" s="19">
        <f t="shared" si="42"/>
        <v>0</v>
      </c>
      <c r="J304" s="19">
        <f t="shared" si="42"/>
        <v>61</v>
      </c>
      <c r="K304" s="19">
        <f t="shared" si="42"/>
        <v>0</v>
      </c>
      <c r="L304" s="19">
        <f t="shared" si="42"/>
        <v>100</v>
      </c>
      <c r="M304" s="19">
        <f t="shared" si="42"/>
        <v>0</v>
      </c>
      <c r="N304" s="19">
        <f t="shared" si="42"/>
        <v>2</v>
      </c>
      <c r="O304" s="19">
        <f t="shared" si="42"/>
        <v>61</v>
      </c>
      <c r="P304" s="19">
        <f t="shared" si="42"/>
        <v>1</v>
      </c>
      <c r="Q304" s="19">
        <f t="shared" si="42"/>
        <v>2</v>
      </c>
      <c r="R304" s="19">
        <f t="shared" si="41"/>
        <v>0</v>
      </c>
      <c r="S304" s="19">
        <f t="shared" si="41"/>
        <v>0</v>
      </c>
      <c r="T304" s="19">
        <f t="shared" si="41"/>
        <v>0</v>
      </c>
      <c r="U304" s="19">
        <f t="shared" si="41"/>
        <v>0</v>
      </c>
      <c r="V304" s="19">
        <f t="shared" si="41"/>
        <v>0</v>
      </c>
      <c r="W304" s="19">
        <f t="shared" si="41"/>
        <v>1</v>
      </c>
    </row>
    <row r="305" spans="1:23">
      <c r="A305" s="24" t="str">
        <f t="shared" si="36"/>
        <v>11106_3-4/57&lt;lv32&gt;s2</v>
      </c>
      <c r="B305" s="19">
        <f t="shared" si="42"/>
        <v>11106</v>
      </c>
      <c r="C305" s="19">
        <f t="shared" si="42"/>
        <v>3</v>
      </c>
      <c r="D305" s="19">
        <f t="shared" si="42"/>
        <v>4</v>
      </c>
      <c r="E305" s="19">
        <f t="shared" si="42"/>
        <v>57</v>
      </c>
      <c r="F305" s="19">
        <f t="shared" si="42"/>
        <v>32</v>
      </c>
      <c r="G305" s="19">
        <f t="shared" si="42"/>
        <v>1</v>
      </c>
      <c r="H305" s="19">
        <f t="shared" si="42"/>
        <v>1</v>
      </c>
      <c r="I305" s="19">
        <f t="shared" si="42"/>
        <v>0</v>
      </c>
      <c r="J305" s="19">
        <f t="shared" si="42"/>
        <v>57</v>
      </c>
      <c r="K305" s="19">
        <f t="shared" si="42"/>
        <v>0</v>
      </c>
      <c r="L305" s="19">
        <f t="shared" si="42"/>
        <v>100</v>
      </c>
      <c r="M305" s="19">
        <f t="shared" si="42"/>
        <v>0</v>
      </c>
      <c r="N305" s="19">
        <f t="shared" si="42"/>
        <v>2</v>
      </c>
      <c r="O305" s="19">
        <f t="shared" si="42"/>
        <v>57</v>
      </c>
      <c r="P305" s="19">
        <f t="shared" si="42"/>
        <v>1</v>
      </c>
      <c r="Q305" s="19">
        <f t="shared" si="42"/>
        <v>2</v>
      </c>
      <c r="R305" s="19">
        <f t="shared" si="41"/>
        <v>0</v>
      </c>
      <c r="S305" s="19">
        <f t="shared" si="41"/>
        <v>0</v>
      </c>
      <c r="T305" s="19">
        <f t="shared" si="41"/>
        <v>0</v>
      </c>
      <c r="U305" s="19">
        <f t="shared" si="41"/>
        <v>0</v>
      </c>
      <c r="V305" s="19">
        <f t="shared" si="41"/>
        <v>0</v>
      </c>
      <c r="W305" s="19">
        <f t="shared" si="41"/>
        <v>1</v>
      </c>
    </row>
    <row r="306" spans="1:23">
      <c r="A306" s="24" t="str">
        <f t="shared" si="36"/>
        <v>11106_3-4/59&lt;lv32&gt;s2</v>
      </c>
      <c r="B306" s="19">
        <f t="shared" si="42"/>
        <v>11106</v>
      </c>
      <c r="C306" s="19">
        <f t="shared" si="42"/>
        <v>3</v>
      </c>
      <c r="D306" s="19">
        <f t="shared" si="42"/>
        <v>4</v>
      </c>
      <c r="E306" s="19">
        <f t="shared" si="42"/>
        <v>59</v>
      </c>
      <c r="F306" s="19">
        <f t="shared" si="42"/>
        <v>32</v>
      </c>
      <c r="G306" s="19">
        <f t="shared" si="42"/>
        <v>1</v>
      </c>
      <c r="H306" s="19">
        <f t="shared" si="42"/>
        <v>1</v>
      </c>
      <c r="I306" s="19">
        <f t="shared" si="42"/>
        <v>0</v>
      </c>
      <c r="J306" s="19">
        <f t="shared" si="42"/>
        <v>59</v>
      </c>
      <c r="K306" s="19">
        <f t="shared" si="42"/>
        <v>0</v>
      </c>
      <c r="L306" s="19">
        <f t="shared" si="42"/>
        <v>100</v>
      </c>
      <c r="M306" s="19">
        <f t="shared" si="42"/>
        <v>0</v>
      </c>
      <c r="N306" s="19">
        <f t="shared" si="42"/>
        <v>2</v>
      </c>
      <c r="O306" s="19">
        <f t="shared" si="42"/>
        <v>59</v>
      </c>
      <c r="P306" s="19">
        <f t="shared" si="42"/>
        <v>1</v>
      </c>
      <c r="Q306" s="19">
        <f t="shared" si="42"/>
        <v>2</v>
      </c>
      <c r="R306" s="19">
        <f t="shared" si="41"/>
        <v>0</v>
      </c>
      <c r="S306" s="19">
        <f t="shared" si="41"/>
        <v>0</v>
      </c>
      <c r="T306" s="19">
        <f t="shared" si="41"/>
        <v>0</v>
      </c>
      <c r="U306" s="19">
        <f t="shared" si="41"/>
        <v>0</v>
      </c>
      <c r="V306" s="19">
        <f t="shared" si="41"/>
        <v>0</v>
      </c>
      <c r="W306" s="19">
        <f t="shared" si="41"/>
        <v>1</v>
      </c>
    </row>
    <row r="307" spans="1:23">
      <c r="A307" s="24" t="str">
        <f t="shared" si="36"/>
        <v>11106_3-5/119&lt;lv2&gt;s4</v>
      </c>
      <c r="B307" s="19">
        <f t="shared" si="42"/>
        <v>11106</v>
      </c>
      <c r="C307" s="19">
        <f t="shared" si="42"/>
        <v>3</v>
      </c>
      <c r="D307" s="19">
        <f t="shared" si="42"/>
        <v>5</v>
      </c>
      <c r="E307" s="19">
        <f t="shared" si="42"/>
        <v>119</v>
      </c>
      <c r="F307" s="19">
        <f t="shared" si="42"/>
        <v>2</v>
      </c>
      <c r="G307" s="19">
        <f t="shared" si="42"/>
        <v>93.3</v>
      </c>
      <c r="H307" s="19">
        <f t="shared" si="42"/>
        <v>41</v>
      </c>
      <c r="I307" s="19">
        <f t="shared" si="42"/>
        <v>0</v>
      </c>
      <c r="J307" s="19">
        <f t="shared" si="42"/>
        <v>11903</v>
      </c>
      <c r="K307" s="19">
        <f t="shared" si="42"/>
        <v>1</v>
      </c>
      <c r="L307" s="19">
        <f t="shared" si="42"/>
        <v>100</v>
      </c>
      <c r="M307" s="19">
        <f t="shared" si="42"/>
        <v>1</v>
      </c>
      <c r="N307" s="19">
        <f t="shared" si="42"/>
        <v>4</v>
      </c>
      <c r="O307" s="19">
        <f t="shared" si="42"/>
        <v>119</v>
      </c>
      <c r="P307" s="19">
        <f t="shared" si="42"/>
        <v>1</v>
      </c>
      <c r="Q307" s="19">
        <f t="shared" si="42"/>
        <v>5</v>
      </c>
      <c r="R307" s="19">
        <f t="shared" si="41"/>
        <v>100</v>
      </c>
      <c r="S307" s="19">
        <f t="shared" si="41"/>
        <v>0</v>
      </c>
      <c r="T307" s="19">
        <f t="shared" si="41"/>
        <v>0</v>
      </c>
      <c r="U307" s="19">
        <f t="shared" si="41"/>
        <v>0</v>
      </c>
      <c r="V307" s="19">
        <f t="shared" si="41"/>
        <v>0</v>
      </c>
      <c r="W307" s="19">
        <f t="shared" si="41"/>
        <v>1</v>
      </c>
    </row>
    <row r="308" spans="1:23">
      <c r="A308" s="24" t="str">
        <f t="shared" si="36"/>
        <v>11206_1-1/117&lt;lv1&gt;s1</v>
      </c>
      <c r="B308" s="19">
        <f t="shared" si="42"/>
        <v>11206</v>
      </c>
      <c r="C308" s="19">
        <f t="shared" si="42"/>
        <v>1</v>
      </c>
      <c r="D308" s="19">
        <f t="shared" si="42"/>
        <v>1</v>
      </c>
      <c r="E308" s="19">
        <f t="shared" si="42"/>
        <v>117</v>
      </c>
      <c r="F308" s="19">
        <f t="shared" si="42"/>
        <v>1</v>
      </c>
      <c r="G308" s="19">
        <f t="shared" si="42"/>
        <v>10.5</v>
      </c>
      <c r="H308" s="19">
        <f t="shared" si="42"/>
        <v>11</v>
      </c>
      <c r="I308" s="19">
        <f t="shared" si="42"/>
        <v>0</v>
      </c>
      <c r="J308" s="19">
        <f t="shared" si="42"/>
        <v>11701</v>
      </c>
      <c r="K308" s="19">
        <f t="shared" si="42"/>
        <v>1</v>
      </c>
      <c r="L308" s="19">
        <f t="shared" si="42"/>
        <v>100</v>
      </c>
      <c r="M308" s="19">
        <f t="shared" si="42"/>
        <v>0</v>
      </c>
      <c r="N308" s="19">
        <f t="shared" si="42"/>
        <v>1</v>
      </c>
      <c r="O308" s="19">
        <f t="shared" si="42"/>
        <v>117</v>
      </c>
      <c r="P308" s="19">
        <f t="shared" si="42"/>
        <v>1</v>
      </c>
      <c r="Q308" s="19">
        <f t="shared" si="42"/>
        <v>3</v>
      </c>
      <c r="R308" s="19">
        <f t="shared" si="41"/>
        <v>50</v>
      </c>
      <c r="S308" s="19">
        <f t="shared" si="41"/>
        <v>0</v>
      </c>
      <c r="T308" s="19">
        <f t="shared" si="41"/>
        <v>0</v>
      </c>
      <c r="U308" s="19">
        <f t="shared" si="41"/>
        <v>0</v>
      </c>
      <c r="V308" s="19">
        <f t="shared" si="41"/>
        <v>0</v>
      </c>
      <c r="W308" s="19">
        <f t="shared" si="41"/>
        <v>1</v>
      </c>
    </row>
    <row r="309" spans="1:23">
      <c r="A309" s="24" t="str">
        <f t="shared" si="36"/>
        <v>11206_1-1/1&lt;lv5&gt;s1</v>
      </c>
      <c r="B309" s="19">
        <f t="shared" si="42"/>
        <v>11206</v>
      </c>
      <c r="C309" s="19">
        <f t="shared" si="42"/>
        <v>1</v>
      </c>
      <c r="D309" s="19">
        <f t="shared" si="42"/>
        <v>1</v>
      </c>
      <c r="E309" s="19">
        <f t="shared" si="42"/>
        <v>1</v>
      </c>
      <c r="F309" s="19">
        <f t="shared" si="42"/>
        <v>5</v>
      </c>
      <c r="G309" s="19">
        <f t="shared" si="42"/>
        <v>1</v>
      </c>
      <c r="H309" s="19">
        <f t="shared" si="42"/>
        <v>1</v>
      </c>
      <c r="I309" s="19">
        <f t="shared" si="42"/>
        <v>0</v>
      </c>
      <c r="J309" s="19">
        <f t="shared" si="42"/>
        <v>0</v>
      </c>
      <c r="K309" s="19">
        <f t="shared" si="42"/>
        <v>0</v>
      </c>
      <c r="L309" s="19">
        <f t="shared" si="42"/>
        <v>100</v>
      </c>
      <c r="M309" s="19">
        <f t="shared" si="42"/>
        <v>0</v>
      </c>
      <c r="N309" s="19">
        <f t="shared" si="42"/>
        <v>1</v>
      </c>
      <c r="O309" s="19">
        <f t="shared" si="42"/>
        <v>1</v>
      </c>
      <c r="P309" s="19">
        <f t="shared" si="42"/>
        <v>1</v>
      </c>
      <c r="Q309" s="19">
        <f t="shared" si="42"/>
        <v>1</v>
      </c>
      <c r="R309" s="19">
        <f t="shared" si="41"/>
        <v>0</v>
      </c>
      <c r="S309" s="19">
        <f t="shared" si="41"/>
        <v>0</v>
      </c>
      <c r="T309" s="19">
        <f t="shared" si="41"/>
        <v>0</v>
      </c>
      <c r="U309" s="19">
        <f t="shared" si="41"/>
        <v>0</v>
      </c>
      <c r="V309" s="19">
        <f t="shared" si="41"/>
        <v>0</v>
      </c>
      <c r="W309" s="19">
        <f t="shared" si="41"/>
        <v>1</v>
      </c>
    </row>
    <row r="310" spans="1:23">
      <c r="A310" s="24" t="str">
        <f t="shared" si="36"/>
        <v>11206_1-2/117&lt;lv2&gt;s1</v>
      </c>
      <c r="B310" s="19">
        <f t="shared" si="42"/>
        <v>11206</v>
      </c>
      <c r="C310" s="19">
        <f t="shared" si="42"/>
        <v>1</v>
      </c>
      <c r="D310" s="19">
        <f t="shared" si="42"/>
        <v>2</v>
      </c>
      <c r="E310" s="19">
        <f t="shared" si="42"/>
        <v>117</v>
      </c>
      <c r="F310" s="19">
        <f t="shared" si="42"/>
        <v>2</v>
      </c>
      <c r="G310" s="19">
        <f t="shared" si="42"/>
        <v>7.5</v>
      </c>
      <c r="H310" s="19">
        <f t="shared" si="42"/>
        <v>11</v>
      </c>
      <c r="I310" s="19">
        <f t="shared" si="42"/>
        <v>0</v>
      </c>
      <c r="J310" s="19">
        <f t="shared" si="42"/>
        <v>11702</v>
      </c>
      <c r="K310" s="19">
        <f t="shared" si="42"/>
        <v>1</v>
      </c>
      <c r="L310" s="19">
        <f t="shared" si="42"/>
        <v>100</v>
      </c>
      <c r="M310" s="19">
        <f t="shared" si="42"/>
        <v>0</v>
      </c>
      <c r="N310" s="19">
        <f t="shared" si="42"/>
        <v>1</v>
      </c>
      <c r="O310" s="19">
        <f t="shared" si="42"/>
        <v>117</v>
      </c>
      <c r="P310" s="19">
        <f t="shared" si="42"/>
        <v>1</v>
      </c>
      <c r="Q310" s="19">
        <f t="shared" si="42"/>
        <v>3</v>
      </c>
      <c r="R310" s="19">
        <f t="shared" si="41"/>
        <v>50</v>
      </c>
      <c r="S310" s="19">
        <f t="shared" si="41"/>
        <v>0</v>
      </c>
      <c r="T310" s="19">
        <f t="shared" si="41"/>
        <v>0</v>
      </c>
      <c r="U310" s="19">
        <f t="shared" si="41"/>
        <v>0</v>
      </c>
      <c r="V310" s="19">
        <f t="shared" si="41"/>
        <v>0</v>
      </c>
      <c r="W310" s="19">
        <f t="shared" si="41"/>
        <v>1</v>
      </c>
    </row>
    <row r="311" spans="1:23">
      <c r="A311" s="24" t="str">
        <f t="shared" si="36"/>
        <v>11206_1-2/117&lt;lv1&gt;s1</v>
      </c>
      <c r="B311" s="19">
        <f t="shared" si="42"/>
        <v>11206</v>
      </c>
      <c r="C311" s="19">
        <f t="shared" si="42"/>
        <v>1</v>
      </c>
      <c r="D311" s="19">
        <f t="shared" si="42"/>
        <v>2</v>
      </c>
      <c r="E311" s="19">
        <f t="shared" si="42"/>
        <v>117</v>
      </c>
      <c r="F311" s="19">
        <f t="shared" si="42"/>
        <v>1</v>
      </c>
      <c r="G311" s="19">
        <f t="shared" si="42"/>
        <v>10.5</v>
      </c>
      <c r="H311" s="19">
        <f t="shared" si="42"/>
        <v>11</v>
      </c>
      <c r="I311" s="19">
        <f t="shared" si="42"/>
        <v>0</v>
      </c>
      <c r="J311" s="19">
        <f t="shared" si="42"/>
        <v>11702</v>
      </c>
      <c r="K311" s="19">
        <f t="shared" si="42"/>
        <v>0</v>
      </c>
      <c r="L311" s="19">
        <f t="shared" si="42"/>
        <v>100</v>
      </c>
      <c r="M311" s="19">
        <f t="shared" si="42"/>
        <v>0</v>
      </c>
      <c r="N311" s="19">
        <f t="shared" si="42"/>
        <v>1</v>
      </c>
      <c r="O311" s="19">
        <f t="shared" si="42"/>
        <v>117</v>
      </c>
      <c r="P311" s="19">
        <f t="shared" si="42"/>
        <v>1</v>
      </c>
      <c r="Q311" s="19">
        <f t="shared" si="42"/>
        <v>3</v>
      </c>
      <c r="R311" s="19">
        <f t="shared" si="41"/>
        <v>50</v>
      </c>
      <c r="S311" s="19">
        <f t="shared" si="41"/>
        <v>0</v>
      </c>
      <c r="T311" s="19">
        <f t="shared" si="41"/>
        <v>0</v>
      </c>
      <c r="U311" s="19">
        <f t="shared" si="41"/>
        <v>0</v>
      </c>
      <c r="V311" s="19">
        <f t="shared" si="41"/>
        <v>0</v>
      </c>
      <c r="W311" s="19">
        <f t="shared" si="41"/>
        <v>1</v>
      </c>
    </row>
    <row r="312" spans="1:23">
      <c r="A312" s="24" t="str">
        <f t="shared" si="36"/>
        <v>11206_1-2/1&lt;lv5&gt;s1</v>
      </c>
      <c r="B312" s="19">
        <f t="shared" si="42"/>
        <v>11206</v>
      </c>
      <c r="C312" s="19">
        <f t="shared" si="42"/>
        <v>1</v>
      </c>
      <c r="D312" s="19">
        <f t="shared" si="42"/>
        <v>2</v>
      </c>
      <c r="E312" s="19">
        <f t="shared" si="42"/>
        <v>1</v>
      </c>
      <c r="F312" s="19">
        <f t="shared" si="42"/>
        <v>5</v>
      </c>
      <c r="G312" s="19">
        <f t="shared" si="42"/>
        <v>1</v>
      </c>
      <c r="H312" s="19">
        <f t="shared" si="42"/>
        <v>1</v>
      </c>
      <c r="I312" s="19">
        <f t="shared" si="42"/>
        <v>0</v>
      </c>
      <c r="J312" s="19">
        <f t="shared" si="42"/>
        <v>0</v>
      </c>
      <c r="K312" s="19">
        <f t="shared" si="42"/>
        <v>0</v>
      </c>
      <c r="L312" s="19">
        <f t="shared" si="42"/>
        <v>100</v>
      </c>
      <c r="M312" s="19">
        <f t="shared" si="42"/>
        <v>0</v>
      </c>
      <c r="N312" s="19">
        <f t="shared" si="42"/>
        <v>1</v>
      </c>
      <c r="O312" s="19">
        <f t="shared" si="42"/>
        <v>1</v>
      </c>
      <c r="P312" s="19">
        <f t="shared" si="42"/>
        <v>1</v>
      </c>
      <c r="Q312" s="19">
        <f t="shared" si="42"/>
        <v>1</v>
      </c>
      <c r="R312" s="19">
        <f t="shared" si="41"/>
        <v>0</v>
      </c>
      <c r="S312" s="19">
        <f t="shared" si="41"/>
        <v>0</v>
      </c>
      <c r="T312" s="19">
        <f t="shared" si="41"/>
        <v>0</v>
      </c>
      <c r="U312" s="19">
        <f t="shared" si="41"/>
        <v>0</v>
      </c>
      <c r="V312" s="19">
        <f t="shared" si="41"/>
        <v>0</v>
      </c>
      <c r="W312" s="19">
        <f t="shared" si="41"/>
        <v>1</v>
      </c>
    </row>
    <row r="313" spans="1:23">
      <c r="A313" s="24" t="str">
        <f t="shared" si="36"/>
        <v>11206_1-2/3&lt;lv5&gt;s2</v>
      </c>
      <c r="B313" s="19">
        <f t="shared" si="42"/>
        <v>11206</v>
      </c>
      <c r="C313" s="19">
        <f t="shared" si="42"/>
        <v>1</v>
      </c>
      <c r="D313" s="19">
        <f t="shared" si="42"/>
        <v>2</v>
      </c>
      <c r="E313" s="19">
        <f t="shared" si="42"/>
        <v>3</v>
      </c>
      <c r="F313" s="19">
        <f t="shared" si="42"/>
        <v>5</v>
      </c>
      <c r="G313" s="19">
        <f t="shared" si="42"/>
        <v>1</v>
      </c>
      <c r="H313" s="19">
        <f t="shared" si="42"/>
        <v>1</v>
      </c>
      <c r="I313" s="19">
        <f t="shared" si="42"/>
        <v>0</v>
      </c>
      <c r="J313" s="19">
        <f t="shared" si="42"/>
        <v>0</v>
      </c>
      <c r="K313" s="19">
        <f t="shared" si="42"/>
        <v>0</v>
      </c>
      <c r="L313" s="19">
        <f t="shared" si="42"/>
        <v>100</v>
      </c>
      <c r="M313" s="19">
        <f t="shared" si="42"/>
        <v>0</v>
      </c>
      <c r="N313" s="19">
        <f t="shared" si="42"/>
        <v>2</v>
      </c>
      <c r="O313" s="19">
        <f t="shared" si="42"/>
        <v>3</v>
      </c>
      <c r="P313" s="19">
        <f t="shared" si="42"/>
        <v>1</v>
      </c>
      <c r="Q313" s="19">
        <f t="shared" si="42"/>
        <v>1</v>
      </c>
      <c r="R313" s="19">
        <f t="shared" si="41"/>
        <v>0</v>
      </c>
      <c r="S313" s="19">
        <f t="shared" si="41"/>
        <v>0</v>
      </c>
      <c r="T313" s="19">
        <f t="shared" si="41"/>
        <v>0</v>
      </c>
      <c r="U313" s="19">
        <f t="shared" si="41"/>
        <v>0</v>
      </c>
      <c r="V313" s="19">
        <f t="shared" si="41"/>
        <v>0</v>
      </c>
      <c r="W313" s="19">
        <f t="shared" si="41"/>
        <v>1</v>
      </c>
    </row>
    <row r="314" spans="1:23">
      <c r="A314" s="24" t="str">
        <f t="shared" si="36"/>
        <v>11206_1-2/5&lt;lv5&gt;s3</v>
      </c>
      <c r="B314" s="19">
        <f t="shared" si="42"/>
        <v>11206</v>
      </c>
      <c r="C314" s="19">
        <f t="shared" si="42"/>
        <v>1</v>
      </c>
      <c r="D314" s="19">
        <f t="shared" si="42"/>
        <v>2</v>
      </c>
      <c r="E314" s="19">
        <f t="shared" si="42"/>
        <v>5</v>
      </c>
      <c r="F314" s="19">
        <f t="shared" si="42"/>
        <v>5</v>
      </c>
      <c r="G314" s="19">
        <f t="shared" si="42"/>
        <v>1</v>
      </c>
      <c r="H314" s="19">
        <f t="shared" si="42"/>
        <v>1</v>
      </c>
      <c r="I314" s="19">
        <f t="shared" si="42"/>
        <v>0</v>
      </c>
      <c r="J314" s="19">
        <f t="shared" si="42"/>
        <v>0</v>
      </c>
      <c r="K314" s="19">
        <f t="shared" si="42"/>
        <v>0</v>
      </c>
      <c r="L314" s="19">
        <f t="shared" si="42"/>
        <v>100</v>
      </c>
      <c r="M314" s="19">
        <f t="shared" si="42"/>
        <v>0</v>
      </c>
      <c r="N314" s="19">
        <f t="shared" si="42"/>
        <v>3</v>
      </c>
      <c r="O314" s="19">
        <f t="shared" si="42"/>
        <v>5</v>
      </c>
      <c r="P314" s="19">
        <f t="shared" si="42"/>
        <v>1</v>
      </c>
      <c r="Q314" s="19">
        <f t="shared" si="42"/>
        <v>1</v>
      </c>
      <c r="R314" s="19">
        <f t="shared" si="41"/>
        <v>0</v>
      </c>
      <c r="S314" s="19">
        <f t="shared" si="41"/>
        <v>0</v>
      </c>
      <c r="T314" s="19">
        <f t="shared" si="41"/>
        <v>0</v>
      </c>
      <c r="U314" s="19">
        <f t="shared" si="41"/>
        <v>0</v>
      </c>
      <c r="V314" s="19">
        <f t="shared" si="41"/>
        <v>0</v>
      </c>
      <c r="W314" s="19">
        <f t="shared" si="41"/>
        <v>1</v>
      </c>
    </row>
    <row r="315" spans="1:23">
      <c r="A315" s="24" t="str">
        <f t="shared" si="36"/>
        <v>11206_1-2/7&lt;lv5&gt;s2</v>
      </c>
      <c r="B315" s="19">
        <f t="shared" si="42"/>
        <v>11206</v>
      </c>
      <c r="C315" s="19">
        <f t="shared" si="42"/>
        <v>1</v>
      </c>
      <c r="D315" s="19">
        <f t="shared" si="42"/>
        <v>2</v>
      </c>
      <c r="E315" s="19">
        <f t="shared" si="42"/>
        <v>7</v>
      </c>
      <c r="F315" s="19">
        <f t="shared" si="42"/>
        <v>5</v>
      </c>
      <c r="G315" s="19">
        <f t="shared" si="42"/>
        <v>1</v>
      </c>
      <c r="H315" s="19">
        <f t="shared" si="42"/>
        <v>1</v>
      </c>
      <c r="I315" s="19">
        <f t="shared" si="42"/>
        <v>0</v>
      </c>
      <c r="J315" s="19">
        <f t="shared" si="42"/>
        <v>0</v>
      </c>
      <c r="K315" s="19">
        <f t="shared" si="42"/>
        <v>0</v>
      </c>
      <c r="L315" s="19">
        <f t="shared" si="42"/>
        <v>100</v>
      </c>
      <c r="M315" s="19">
        <f t="shared" si="42"/>
        <v>0</v>
      </c>
      <c r="N315" s="19">
        <f t="shared" si="42"/>
        <v>2</v>
      </c>
      <c r="O315" s="19">
        <f t="shared" si="42"/>
        <v>7</v>
      </c>
      <c r="P315" s="19">
        <f t="shared" si="42"/>
        <v>1</v>
      </c>
      <c r="Q315" s="19">
        <f t="shared" ref="Q315:W330" si="43">VLOOKUP($A315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315" s="19">
        <f t="shared" si="43"/>
        <v>0</v>
      </c>
      <c r="S315" s="19">
        <f t="shared" si="43"/>
        <v>0</v>
      </c>
      <c r="T315" s="19">
        <f t="shared" si="43"/>
        <v>0</v>
      </c>
      <c r="U315" s="19">
        <f t="shared" si="43"/>
        <v>0</v>
      </c>
      <c r="V315" s="19">
        <f t="shared" si="43"/>
        <v>0</v>
      </c>
      <c r="W315" s="19">
        <f t="shared" si="43"/>
        <v>1</v>
      </c>
    </row>
    <row r="316" spans="1:23">
      <c r="A316" s="24" t="str">
        <f t="shared" si="36"/>
        <v>11206_1-3/117&lt;lv2&gt;s1</v>
      </c>
      <c r="B316" s="19">
        <f t="shared" ref="B316:Q331" si="44">VLOOKUP($A316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11206</v>
      </c>
      <c r="C316" s="19">
        <f t="shared" si="44"/>
        <v>1</v>
      </c>
      <c r="D316" s="19">
        <f t="shared" si="44"/>
        <v>3</v>
      </c>
      <c r="E316" s="19">
        <f t="shared" si="44"/>
        <v>117</v>
      </c>
      <c r="F316" s="19">
        <f t="shared" si="44"/>
        <v>2</v>
      </c>
      <c r="G316" s="19">
        <f t="shared" si="44"/>
        <v>7.5</v>
      </c>
      <c r="H316" s="19">
        <f t="shared" si="44"/>
        <v>11</v>
      </c>
      <c r="I316" s="19">
        <f t="shared" si="44"/>
        <v>0</v>
      </c>
      <c r="J316" s="19">
        <f t="shared" si="44"/>
        <v>11702</v>
      </c>
      <c r="K316" s="19">
        <f t="shared" si="44"/>
        <v>1</v>
      </c>
      <c r="L316" s="19">
        <f t="shared" si="44"/>
        <v>100</v>
      </c>
      <c r="M316" s="19">
        <f t="shared" si="44"/>
        <v>0</v>
      </c>
      <c r="N316" s="19">
        <f t="shared" si="44"/>
        <v>1</v>
      </c>
      <c r="O316" s="19">
        <f t="shared" si="44"/>
        <v>117</v>
      </c>
      <c r="P316" s="19">
        <f t="shared" si="44"/>
        <v>1</v>
      </c>
      <c r="Q316" s="19">
        <f t="shared" si="44"/>
        <v>3</v>
      </c>
      <c r="R316" s="19">
        <f t="shared" si="43"/>
        <v>30</v>
      </c>
      <c r="S316" s="19">
        <f t="shared" si="43"/>
        <v>0</v>
      </c>
      <c r="T316" s="19">
        <f t="shared" si="43"/>
        <v>0</v>
      </c>
      <c r="U316" s="19">
        <f t="shared" si="43"/>
        <v>0</v>
      </c>
      <c r="V316" s="19">
        <f t="shared" si="43"/>
        <v>0</v>
      </c>
      <c r="W316" s="19">
        <f t="shared" si="43"/>
        <v>1</v>
      </c>
    </row>
    <row r="317" spans="1:23">
      <c r="A317" s="24" t="str">
        <f t="shared" si="36"/>
        <v>11206_1-3/118&lt;lv2&gt;s2</v>
      </c>
      <c r="B317" s="19">
        <f t="shared" si="44"/>
        <v>11206</v>
      </c>
      <c r="C317" s="19">
        <f t="shared" si="44"/>
        <v>1</v>
      </c>
      <c r="D317" s="19">
        <f t="shared" si="44"/>
        <v>3</v>
      </c>
      <c r="E317" s="19">
        <f t="shared" si="44"/>
        <v>118</v>
      </c>
      <c r="F317" s="19">
        <f t="shared" si="44"/>
        <v>2</v>
      </c>
      <c r="G317" s="19">
        <f t="shared" si="44"/>
        <v>7.5</v>
      </c>
      <c r="H317" s="19">
        <f t="shared" si="44"/>
        <v>10</v>
      </c>
      <c r="I317" s="19">
        <f t="shared" si="44"/>
        <v>0</v>
      </c>
      <c r="J317" s="19">
        <f t="shared" si="44"/>
        <v>11702</v>
      </c>
      <c r="K317" s="19">
        <f t="shared" si="44"/>
        <v>1</v>
      </c>
      <c r="L317" s="19">
        <f t="shared" si="44"/>
        <v>100</v>
      </c>
      <c r="M317" s="19">
        <f t="shared" si="44"/>
        <v>0</v>
      </c>
      <c r="N317" s="19">
        <f t="shared" si="44"/>
        <v>2</v>
      </c>
      <c r="O317" s="19">
        <f t="shared" si="44"/>
        <v>118</v>
      </c>
      <c r="P317" s="19">
        <f t="shared" si="44"/>
        <v>1</v>
      </c>
      <c r="Q317" s="19">
        <f t="shared" si="44"/>
        <v>4</v>
      </c>
      <c r="R317" s="19">
        <f t="shared" si="43"/>
        <v>10</v>
      </c>
      <c r="S317" s="19">
        <f t="shared" si="43"/>
        <v>0</v>
      </c>
      <c r="T317" s="19">
        <f t="shared" si="43"/>
        <v>0</v>
      </c>
      <c r="U317" s="19">
        <f t="shared" si="43"/>
        <v>0</v>
      </c>
      <c r="V317" s="19">
        <f t="shared" si="43"/>
        <v>0</v>
      </c>
      <c r="W317" s="19">
        <f t="shared" si="43"/>
        <v>1</v>
      </c>
    </row>
    <row r="318" spans="1:23">
      <c r="A318" s="24" t="str">
        <f t="shared" si="36"/>
        <v>11206_1-3/117&lt;lv1&gt;s1</v>
      </c>
      <c r="B318" s="19">
        <f t="shared" si="44"/>
        <v>11206</v>
      </c>
      <c r="C318" s="19">
        <f t="shared" si="44"/>
        <v>1</v>
      </c>
      <c r="D318" s="19">
        <f t="shared" si="44"/>
        <v>3</v>
      </c>
      <c r="E318" s="19">
        <f t="shared" si="44"/>
        <v>117</v>
      </c>
      <c r="F318" s="19">
        <f t="shared" si="44"/>
        <v>1</v>
      </c>
      <c r="G318" s="19">
        <f t="shared" si="44"/>
        <v>10.5</v>
      </c>
      <c r="H318" s="19">
        <f t="shared" si="44"/>
        <v>11</v>
      </c>
      <c r="I318" s="19">
        <f t="shared" si="44"/>
        <v>0</v>
      </c>
      <c r="J318" s="19">
        <f t="shared" si="44"/>
        <v>11702</v>
      </c>
      <c r="K318" s="19">
        <f t="shared" si="44"/>
        <v>0</v>
      </c>
      <c r="L318" s="19">
        <f t="shared" si="44"/>
        <v>100</v>
      </c>
      <c r="M318" s="19">
        <f t="shared" si="44"/>
        <v>0</v>
      </c>
      <c r="N318" s="19">
        <f t="shared" si="44"/>
        <v>1</v>
      </c>
      <c r="O318" s="19">
        <f t="shared" si="44"/>
        <v>117</v>
      </c>
      <c r="P318" s="19">
        <f t="shared" si="44"/>
        <v>1</v>
      </c>
      <c r="Q318" s="19">
        <f t="shared" si="44"/>
        <v>3</v>
      </c>
      <c r="R318" s="19">
        <f t="shared" si="43"/>
        <v>30</v>
      </c>
      <c r="S318" s="19">
        <f t="shared" si="43"/>
        <v>0</v>
      </c>
      <c r="T318" s="19">
        <f t="shared" si="43"/>
        <v>0</v>
      </c>
      <c r="U318" s="19">
        <f t="shared" si="43"/>
        <v>0</v>
      </c>
      <c r="V318" s="19">
        <f t="shared" si="43"/>
        <v>0</v>
      </c>
      <c r="W318" s="19">
        <f t="shared" si="43"/>
        <v>1</v>
      </c>
    </row>
    <row r="319" spans="1:23">
      <c r="A319" s="24" t="str">
        <f t="shared" si="36"/>
        <v>11206_1-3/118&lt;lv1&gt;s2</v>
      </c>
      <c r="B319" s="19">
        <f t="shared" si="44"/>
        <v>11206</v>
      </c>
      <c r="C319" s="19">
        <f t="shared" si="44"/>
        <v>1</v>
      </c>
      <c r="D319" s="19">
        <f t="shared" si="44"/>
        <v>3</v>
      </c>
      <c r="E319" s="19">
        <f t="shared" si="44"/>
        <v>118</v>
      </c>
      <c r="F319" s="19">
        <f t="shared" si="44"/>
        <v>1</v>
      </c>
      <c r="G319" s="19">
        <f t="shared" si="44"/>
        <v>10.5</v>
      </c>
      <c r="H319" s="19">
        <f t="shared" si="44"/>
        <v>10</v>
      </c>
      <c r="I319" s="19">
        <f t="shared" si="44"/>
        <v>0</v>
      </c>
      <c r="J319" s="19">
        <f t="shared" si="44"/>
        <v>11702</v>
      </c>
      <c r="K319" s="19">
        <f t="shared" si="44"/>
        <v>0</v>
      </c>
      <c r="L319" s="19">
        <f t="shared" si="44"/>
        <v>100</v>
      </c>
      <c r="M319" s="19">
        <f t="shared" si="44"/>
        <v>0</v>
      </c>
      <c r="N319" s="19">
        <f t="shared" si="44"/>
        <v>2</v>
      </c>
      <c r="O319" s="19">
        <f t="shared" si="44"/>
        <v>118</v>
      </c>
      <c r="P319" s="19">
        <f t="shared" si="44"/>
        <v>1</v>
      </c>
      <c r="Q319" s="19">
        <f t="shared" si="44"/>
        <v>4</v>
      </c>
      <c r="R319" s="19">
        <f t="shared" si="43"/>
        <v>10</v>
      </c>
      <c r="S319" s="19">
        <f t="shared" si="43"/>
        <v>0</v>
      </c>
      <c r="T319" s="19">
        <f t="shared" si="43"/>
        <v>0</v>
      </c>
      <c r="U319" s="19">
        <f t="shared" si="43"/>
        <v>0</v>
      </c>
      <c r="V319" s="19">
        <f t="shared" si="43"/>
        <v>0</v>
      </c>
      <c r="W319" s="19">
        <f t="shared" si="43"/>
        <v>1</v>
      </c>
    </row>
    <row r="320" spans="1:23">
      <c r="A320" s="24" t="str">
        <f t="shared" si="36"/>
        <v>11206_1-3/1&lt;lv5&gt;s1</v>
      </c>
      <c r="B320" s="19">
        <f t="shared" si="44"/>
        <v>11206</v>
      </c>
      <c r="C320" s="19">
        <f t="shared" si="44"/>
        <v>1</v>
      </c>
      <c r="D320" s="19">
        <f t="shared" si="44"/>
        <v>3</v>
      </c>
      <c r="E320" s="19">
        <f t="shared" si="44"/>
        <v>1</v>
      </c>
      <c r="F320" s="19">
        <f t="shared" si="44"/>
        <v>5</v>
      </c>
      <c r="G320" s="19">
        <f t="shared" si="44"/>
        <v>1</v>
      </c>
      <c r="H320" s="19">
        <f t="shared" si="44"/>
        <v>1</v>
      </c>
      <c r="I320" s="19">
        <f t="shared" si="44"/>
        <v>0</v>
      </c>
      <c r="J320" s="19">
        <f t="shared" si="44"/>
        <v>0</v>
      </c>
      <c r="K320" s="19">
        <f t="shared" si="44"/>
        <v>0</v>
      </c>
      <c r="L320" s="19">
        <f t="shared" si="44"/>
        <v>100</v>
      </c>
      <c r="M320" s="19">
        <f t="shared" si="44"/>
        <v>0</v>
      </c>
      <c r="N320" s="19">
        <f t="shared" si="44"/>
        <v>1</v>
      </c>
      <c r="O320" s="19">
        <f t="shared" si="44"/>
        <v>1</v>
      </c>
      <c r="P320" s="19">
        <f t="shared" si="44"/>
        <v>1</v>
      </c>
      <c r="Q320" s="19">
        <f t="shared" si="44"/>
        <v>1</v>
      </c>
      <c r="R320" s="19">
        <f t="shared" si="43"/>
        <v>0</v>
      </c>
      <c r="S320" s="19">
        <f t="shared" si="43"/>
        <v>0</v>
      </c>
      <c r="T320" s="19">
        <f t="shared" si="43"/>
        <v>0</v>
      </c>
      <c r="U320" s="19">
        <f t="shared" si="43"/>
        <v>0</v>
      </c>
      <c r="V320" s="19">
        <f t="shared" si="43"/>
        <v>0</v>
      </c>
      <c r="W320" s="19">
        <f t="shared" si="43"/>
        <v>1</v>
      </c>
    </row>
    <row r="321" spans="1:23">
      <c r="A321" s="24" t="str">
        <f t="shared" si="36"/>
        <v>11206_1-3/3&lt;lv5&gt;s2</v>
      </c>
      <c r="B321" s="19">
        <f t="shared" si="44"/>
        <v>11206</v>
      </c>
      <c r="C321" s="19">
        <f t="shared" si="44"/>
        <v>1</v>
      </c>
      <c r="D321" s="19">
        <f t="shared" si="44"/>
        <v>3</v>
      </c>
      <c r="E321" s="19">
        <f t="shared" si="44"/>
        <v>3</v>
      </c>
      <c r="F321" s="19">
        <f t="shared" si="44"/>
        <v>5</v>
      </c>
      <c r="G321" s="19">
        <f t="shared" si="44"/>
        <v>1</v>
      </c>
      <c r="H321" s="19">
        <f t="shared" si="44"/>
        <v>1</v>
      </c>
      <c r="I321" s="19">
        <f t="shared" si="44"/>
        <v>0</v>
      </c>
      <c r="J321" s="19">
        <f t="shared" si="44"/>
        <v>0</v>
      </c>
      <c r="K321" s="19">
        <f t="shared" si="44"/>
        <v>0</v>
      </c>
      <c r="L321" s="19">
        <f t="shared" si="44"/>
        <v>100</v>
      </c>
      <c r="M321" s="19">
        <f t="shared" si="44"/>
        <v>0</v>
      </c>
      <c r="N321" s="19">
        <f t="shared" si="44"/>
        <v>2</v>
      </c>
      <c r="O321" s="19">
        <f t="shared" si="44"/>
        <v>3</v>
      </c>
      <c r="P321" s="19">
        <f t="shared" si="44"/>
        <v>1</v>
      </c>
      <c r="Q321" s="19">
        <f t="shared" si="44"/>
        <v>1</v>
      </c>
      <c r="R321" s="19">
        <f t="shared" si="43"/>
        <v>0</v>
      </c>
      <c r="S321" s="19">
        <f t="shared" si="43"/>
        <v>0</v>
      </c>
      <c r="T321" s="19">
        <f t="shared" si="43"/>
        <v>0</v>
      </c>
      <c r="U321" s="19">
        <f t="shared" si="43"/>
        <v>0</v>
      </c>
      <c r="V321" s="19">
        <f t="shared" si="43"/>
        <v>0</v>
      </c>
      <c r="W321" s="19">
        <f t="shared" si="43"/>
        <v>1</v>
      </c>
    </row>
    <row r="322" spans="1:23">
      <c r="A322" s="24" t="str">
        <f t="shared" si="36"/>
        <v>11206_1-3/5&lt;lv5&gt;s3</v>
      </c>
      <c r="B322" s="19">
        <f t="shared" si="44"/>
        <v>11206</v>
      </c>
      <c r="C322" s="19">
        <f t="shared" si="44"/>
        <v>1</v>
      </c>
      <c r="D322" s="19">
        <f t="shared" si="44"/>
        <v>3</v>
      </c>
      <c r="E322" s="19">
        <f t="shared" si="44"/>
        <v>5</v>
      </c>
      <c r="F322" s="19">
        <f t="shared" si="44"/>
        <v>5</v>
      </c>
      <c r="G322" s="19">
        <f t="shared" si="44"/>
        <v>1</v>
      </c>
      <c r="H322" s="19">
        <f t="shared" si="44"/>
        <v>1</v>
      </c>
      <c r="I322" s="19">
        <f t="shared" si="44"/>
        <v>0</v>
      </c>
      <c r="J322" s="19">
        <f t="shared" si="44"/>
        <v>0</v>
      </c>
      <c r="K322" s="19">
        <f t="shared" si="44"/>
        <v>0</v>
      </c>
      <c r="L322" s="19">
        <f t="shared" si="44"/>
        <v>100</v>
      </c>
      <c r="M322" s="19">
        <f t="shared" si="44"/>
        <v>0</v>
      </c>
      <c r="N322" s="19">
        <f t="shared" si="44"/>
        <v>3</v>
      </c>
      <c r="O322" s="19">
        <f t="shared" si="44"/>
        <v>5</v>
      </c>
      <c r="P322" s="19">
        <f t="shared" si="44"/>
        <v>1</v>
      </c>
      <c r="Q322" s="19">
        <f t="shared" si="44"/>
        <v>1</v>
      </c>
      <c r="R322" s="19">
        <f t="shared" si="43"/>
        <v>0</v>
      </c>
      <c r="S322" s="19">
        <f t="shared" si="43"/>
        <v>0</v>
      </c>
      <c r="T322" s="19">
        <f t="shared" si="43"/>
        <v>0</v>
      </c>
      <c r="U322" s="19">
        <f t="shared" si="43"/>
        <v>0</v>
      </c>
      <c r="V322" s="19">
        <f t="shared" si="43"/>
        <v>0</v>
      </c>
      <c r="W322" s="19">
        <f t="shared" si="43"/>
        <v>1</v>
      </c>
    </row>
    <row r="323" spans="1:23">
      <c r="A323" s="24" t="str">
        <f t="shared" si="36"/>
        <v>11206_1-3/7&lt;lv5&gt;s2</v>
      </c>
      <c r="B323" s="19">
        <f t="shared" si="44"/>
        <v>11206</v>
      </c>
      <c r="C323" s="19">
        <f t="shared" si="44"/>
        <v>1</v>
      </c>
      <c r="D323" s="19">
        <f t="shared" si="44"/>
        <v>3</v>
      </c>
      <c r="E323" s="19">
        <f t="shared" si="44"/>
        <v>7</v>
      </c>
      <c r="F323" s="19">
        <f t="shared" si="44"/>
        <v>5</v>
      </c>
      <c r="G323" s="19">
        <f t="shared" si="44"/>
        <v>1</v>
      </c>
      <c r="H323" s="19">
        <f t="shared" si="44"/>
        <v>1</v>
      </c>
      <c r="I323" s="19">
        <f t="shared" si="44"/>
        <v>0</v>
      </c>
      <c r="J323" s="19">
        <f t="shared" si="44"/>
        <v>0</v>
      </c>
      <c r="K323" s="19">
        <f t="shared" si="44"/>
        <v>0</v>
      </c>
      <c r="L323" s="19">
        <f t="shared" si="44"/>
        <v>100</v>
      </c>
      <c r="M323" s="19">
        <f t="shared" si="44"/>
        <v>0</v>
      </c>
      <c r="N323" s="19">
        <f t="shared" si="44"/>
        <v>2</v>
      </c>
      <c r="O323" s="19">
        <f t="shared" si="44"/>
        <v>7</v>
      </c>
      <c r="P323" s="19">
        <f t="shared" si="44"/>
        <v>1</v>
      </c>
      <c r="Q323" s="19">
        <f t="shared" si="44"/>
        <v>1</v>
      </c>
      <c r="R323" s="19">
        <f t="shared" si="43"/>
        <v>0</v>
      </c>
      <c r="S323" s="19">
        <f t="shared" si="43"/>
        <v>0</v>
      </c>
      <c r="T323" s="19">
        <f t="shared" si="43"/>
        <v>0</v>
      </c>
      <c r="U323" s="19">
        <f t="shared" si="43"/>
        <v>0</v>
      </c>
      <c r="V323" s="19">
        <f t="shared" si="43"/>
        <v>0</v>
      </c>
      <c r="W323" s="19">
        <f t="shared" si="43"/>
        <v>1</v>
      </c>
    </row>
    <row r="324" spans="1:23">
      <c r="A324" s="24" t="str">
        <f t="shared" ref="A324:A382" si="45">INDIRECT(ADDRESS(ROW()+$A$1,COLUMN(),1,TRUE,$C$1))</f>
        <v>11206_1-4/117&lt;lv2&gt;s1</v>
      </c>
      <c r="B324" s="19">
        <f t="shared" si="44"/>
        <v>11206</v>
      </c>
      <c r="C324" s="19">
        <f t="shared" si="44"/>
        <v>1</v>
      </c>
      <c r="D324" s="19">
        <f t="shared" si="44"/>
        <v>4</v>
      </c>
      <c r="E324" s="19">
        <f t="shared" si="44"/>
        <v>117</v>
      </c>
      <c r="F324" s="19">
        <f t="shared" si="44"/>
        <v>2</v>
      </c>
      <c r="G324" s="19">
        <f t="shared" si="44"/>
        <v>7.5</v>
      </c>
      <c r="H324" s="19">
        <f t="shared" si="44"/>
        <v>11</v>
      </c>
      <c r="I324" s="19">
        <f t="shared" si="44"/>
        <v>0</v>
      </c>
      <c r="J324" s="19">
        <f t="shared" si="44"/>
        <v>11702</v>
      </c>
      <c r="K324" s="19">
        <f t="shared" si="44"/>
        <v>1</v>
      </c>
      <c r="L324" s="19">
        <f t="shared" si="44"/>
        <v>100</v>
      </c>
      <c r="M324" s="19">
        <f t="shared" si="44"/>
        <v>0</v>
      </c>
      <c r="N324" s="19">
        <f t="shared" si="44"/>
        <v>1</v>
      </c>
      <c r="O324" s="19">
        <f t="shared" si="44"/>
        <v>117</v>
      </c>
      <c r="P324" s="19">
        <f t="shared" si="44"/>
        <v>1</v>
      </c>
      <c r="Q324" s="19">
        <f t="shared" si="44"/>
        <v>3</v>
      </c>
      <c r="R324" s="19">
        <f t="shared" si="43"/>
        <v>30</v>
      </c>
      <c r="S324" s="19">
        <f t="shared" si="43"/>
        <v>0</v>
      </c>
      <c r="T324" s="19">
        <f t="shared" si="43"/>
        <v>0</v>
      </c>
      <c r="U324" s="19">
        <f t="shared" si="43"/>
        <v>0</v>
      </c>
      <c r="V324" s="19">
        <f t="shared" si="43"/>
        <v>0</v>
      </c>
      <c r="W324" s="19">
        <f t="shared" si="43"/>
        <v>1</v>
      </c>
    </row>
    <row r="325" spans="1:23">
      <c r="A325" s="24" t="str">
        <f t="shared" si="45"/>
        <v>11206_1-4/118&lt;lv2&gt;s2</v>
      </c>
      <c r="B325" s="19">
        <f t="shared" si="44"/>
        <v>11206</v>
      </c>
      <c r="C325" s="19">
        <f t="shared" si="44"/>
        <v>1</v>
      </c>
      <c r="D325" s="19">
        <f t="shared" si="44"/>
        <v>4</v>
      </c>
      <c r="E325" s="19">
        <f t="shared" si="44"/>
        <v>118</v>
      </c>
      <c r="F325" s="19">
        <f t="shared" si="44"/>
        <v>2</v>
      </c>
      <c r="G325" s="19">
        <f t="shared" si="44"/>
        <v>7.5</v>
      </c>
      <c r="H325" s="19">
        <f t="shared" si="44"/>
        <v>10</v>
      </c>
      <c r="I325" s="19">
        <f t="shared" si="44"/>
        <v>0</v>
      </c>
      <c r="J325" s="19">
        <f t="shared" si="44"/>
        <v>11702</v>
      </c>
      <c r="K325" s="19">
        <f t="shared" si="44"/>
        <v>1</v>
      </c>
      <c r="L325" s="19">
        <f t="shared" si="44"/>
        <v>100</v>
      </c>
      <c r="M325" s="19">
        <f t="shared" si="44"/>
        <v>0</v>
      </c>
      <c r="N325" s="19">
        <f t="shared" si="44"/>
        <v>2</v>
      </c>
      <c r="O325" s="19">
        <f t="shared" si="44"/>
        <v>118</v>
      </c>
      <c r="P325" s="19">
        <f t="shared" si="44"/>
        <v>1</v>
      </c>
      <c r="Q325" s="19">
        <f t="shared" si="44"/>
        <v>4</v>
      </c>
      <c r="R325" s="19">
        <f t="shared" si="43"/>
        <v>30</v>
      </c>
      <c r="S325" s="19">
        <f t="shared" si="43"/>
        <v>0</v>
      </c>
      <c r="T325" s="19">
        <f t="shared" si="43"/>
        <v>0</v>
      </c>
      <c r="U325" s="19">
        <f t="shared" si="43"/>
        <v>0</v>
      </c>
      <c r="V325" s="19">
        <f t="shared" si="43"/>
        <v>0</v>
      </c>
      <c r="W325" s="19">
        <f t="shared" si="43"/>
        <v>1</v>
      </c>
    </row>
    <row r="326" spans="1:23">
      <c r="A326" s="24" t="str">
        <f t="shared" si="45"/>
        <v>11206_1-4/117&lt;lv1&gt;s1</v>
      </c>
      <c r="B326" s="19">
        <f t="shared" si="44"/>
        <v>11206</v>
      </c>
      <c r="C326" s="19">
        <f t="shared" si="44"/>
        <v>1</v>
      </c>
      <c r="D326" s="19">
        <f t="shared" si="44"/>
        <v>4</v>
      </c>
      <c r="E326" s="19">
        <f t="shared" si="44"/>
        <v>117</v>
      </c>
      <c r="F326" s="19">
        <f t="shared" si="44"/>
        <v>1</v>
      </c>
      <c r="G326" s="19">
        <f t="shared" si="44"/>
        <v>10.5</v>
      </c>
      <c r="H326" s="19">
        <f t="shared" si="44"/>
        <v>11</v>
      </c>
      <c r="I326" s="19">
        <f t="shared" si="44"/>
        <v>0</v>
      </c>
      <c r="J326" s="19">
        <f t="shared" si="44"/>
        <v>11702</v>
      </c>
      <c r="K326" s="19">
        <f t="shared" si="44"/>
        <v>0</v>
      </c>
      <c r="L326" s="19">
        <f t="shared" si="44"/>
        <v>100</v>
      </c>
      <c r="M326" s="19">
        <f t="shared" si="44"/>
        <v>0</v>
      </c>
      <c r="N326" s="19">
        <f t="shared" si="44"/>
        <v>1</v>
      </c>
      <c r="O326" s="19">
        <f t="shared" si="44"/>
        <v>117</v>
      </c>
      <c r="P326" s="19">
        <f t="shared" si="44"/>
        <v>1</v>
      </c>
      <c r="Q326" s="19">
        <f t="shared" si="44"/>
        <v>3</v>
      </c>
      <c r="R326" s="19">
        <f t="shared" si="43"/>
        <v>30</v>
      </c>
      <c r="S326" s="19">
        <f t="shared" si="43"/>
        <v>0</v>
      </c>
      <c r="T326" s="19">
        <f t="shared" si="43"/>
        <v>0</v>
      </c>
      <c r="U326" s="19">
        <f t="shared" si="43"/>
        <v>0</v>
      </c>
      <c r="V326" s="19">
        <f t="shared" si="43"/>
        <v>0</v>
      </c>
      <c r="W326" s="19">
        <f t="shared" si="43"/>
        <v>1</v>
      </c>
    </row>
    <row r="327" spans="1:23">
      <c r="A327" s="24" t="str">
        <f t="shared" si="45"/>
        <v>11206_1-4/118&lt;lv1&gt;s2</v>
      </c>
      <c r="B327" s="19">
        <f t="shared" si="44"/>
        <v>11206</v>
      </c>
      <c r="C327" s="19">
        <f t="shared" si="44"/>
        <v>1</v>
      </c>
      <c r="D327" s="19">
        <f t="shared" si="44"/>
        <v>4</v>
      </c>
      <c r="E327" s="19">
        <f t="shared" si="44"/>
        <v>118</v>
      </c>
      <c r="F327" s="19">
        <f t="shared" si="44"/>
        <v>1</v>
      </c>
      <c r="G327" s="19">
        <f t="shared" si="44"/>
        <v>10.5</v>
      </c>
      <c r="H327" s="19">
        <f t="shared" si="44"/>
        <v>10</v>
      </c>
      <c r="I327" s="19">
        <f t="shared" si="44"/>
        <v>0</v>
      </c>
      <c r="J327" s="19">
        <f t="shared" si="44"/>
        <v>11702</v>
      </c>
      <c r="K327" s="19">
        <f t="shared" si="44"/>
        <v>0</v>
      </c>
      <c r="L327" s="19">
        <f t="shared" si="44"/>
        <v>100</v>
      </c>
      <c r="M327" s="19">
        <f t="shared" si="44"/>
        <v>0</v>
      </c>
      <c r="N327" s="19">
        <f t="shared" si="44"/>
        <v>2</v>
      </c>
      <c r="O327" s="19">
        <f t="shared" si="44"/>
        <v>118</v>
      </c>
      <c r="P327" s="19">
        <f t="shared" si="44"/>
        <v>1</v>
      </c>
      <c r="Q327" s="19">
        <f t="shared" si="44"/>
        <v>4</v>
      </c>
      <c r="R327" s="19">
        <f t="shared" si="43"/>
        <v>30</v>
      </c>
      <c r="S327" s="19">
        <f t="shared" si="43"/>
        <v>0</v>
      </c>
      <c r="T327" s="19">
        <f t="shared" si="43"/>
        <v>0</v>
      </c>
      <c r="U327" s="19">
        <f t="shared" si="43"/>
        <v>0</v>
      </c>
      <c r="V327" s="19">
        <f t="shared" si="43"/>
        <v>0</v>
      </c>
      <c r="W327" s="19">
        <f t="shared" si="43"/>
        <v>1</v>
      </c>
    </row>
    <row r="328" spans="1:23">
      <c r="A328" s="24" t="str">
        <f t="shared" si="45"/>
        <v>11206_1-4/1&lt;lv5&gt;s1</v>
      </c>
      <c r="B328" s="19">
        <f t="shared" si="44"/>
        <v>11206</v>
      </c>
      <c r="C328" s="19">
        <f t="shared" si="44"/>
        <v>1</v>
      </c>
      <c r="D328" s="19">
        <f t="shared" si="44"/>
        <v>4</v>
      </c>
      <c r="E328" s="19">
        <f t="shared" si="44"/>
        <v>1</v>
      </c>
      <c r="F328" s="19">
        <f t="shared" si="44"/>
        <v>5</v>
      </c>
      <c r="G328" s="19">
        <f t="shared" si="44"/>
        <v>1</v>
      </c>
      <c r="H328" s="19">
        <f t="shared" si="44"/>
        <v>1</v>
      </c>
      <c r="I328" s="19">
        <f t="shared" si="44"/>
        <v>0</v>
      </c>
      <c r="J328" s="19">
        <f t="shared" si="44"/>
        <v>0</v>
      </c>
      <c r="K328" s="19">
        <f t="shared" si="44"/>
        <v>0</v>
      </c>
      <c r="L328" s="19">
        <f t="shared" si="44"/>
        <v>100</v>
      </c>
      <c r="M328" s="19">
        <f t="shared" si="44"/>
        <v>0</v>
      </c>
      <c r="N328" s="19">
        <f t="shared" si="44"/>
        <v>1</v>
      </c>
      <c r="O328" s="19">
        <f t="shared" si="44"/>
        <v>1</v>
      </c>
      <c r="P328" s="19">
        <f t="shared" si="44"/>
        <v>1</v>
      </c>
      <c r="Q328" s="19">
        <f t="shared" si="44"/>
        <v>1</v>
      </c>
      <c r="R328" s="19">
        <f t="shared" si="43"/>
        <v>0</v>
      </c>
      <c r="S328" s="19">
        <f t="shared" si="43"/>
        <v>0</v>
      </c>
      <c r="T328" s="19">
        <f t="shared" si="43"/>
        <v>0</v>
      </c>
      <c r="U328" s="19">
        <f t="shared" si="43"/>
        <v>0</v>
      </c>
      <c r="V328" s="19">
        <f t="shared" si="43"/>
        <v>0</v>
      </c>
      <c r="W328" s="19">
        <f t="shared" si="43"/>
        <v>1</v>
      </c>
    </row>
    <row r="329" spans="1:23">
      <c r="A329" s="24" t="str">
        <f t="shared" si="45"/>
        <v>11206_1-4/3&lt;lv5&gt;s2</v>
      </c>
      <c r="B329" s="19">
        <f t="shared" si="44"/>
        <v>11206</v>
      </c>
      <c r="C329" s="19">
        <f t="shared" si="44"/>
        <v>1</v>
      </c>
      <c r="D329" s="19">
        <f t="shared" si="44"/>
        <v>4</v>
      </c>
      <c r="E329" s="19">
        <f t="shared" si="44"/>
        <v>3</v>
      </c>
      <c r="F329" s="19">
        <f t="shared" si="44"/>
        <v>5</v>
      </c>
      <c r="G329" s="19">
        <f t="shared" si="44"/>
        <v>1</v>
      </c>
      <c r="H329" s="19">
        <f t="shared" si="44"/>
        <v>1</v>
      </c>
      <c r="I329" s="19">
        <f t="shared" si="44"/>
        <v>0</v>
      </c>
      <c r="J329" s="19">
        <f t="shared" si="44"/>
        <v>0</v>
      </c>
      <c r="K329" s="19">
        <f t="shared" si="44"/>
        <v>0</v>
      </c>
      <c r="L329" s="19">
        <f t="shared" si="44"/>
        <v>100</v>
      </c>
      <c r="M329" s="19">
        <f t="shared" si="44"/>
        <v>0</v>
      </c>
      <c r="N329" s="19">
        <f t="shared" si="44"/>
        <v>2</v>
      </c>
      <c r="O329" s="19">
        <f t="shared" si="44"/>
        <v>3</v>
      </c>
      <c r="P329" s="19">
        <f t="shared" si="44"/>
        <v>1</v>
      </c>
      <c r="Q329" s="19">
        <f t="shared" si="44"/>
        <v>1</v>
      </c>
      <c r="R329" s="19">
        <f t="shared" si="43"/>
        <v>0</v>
      </c>
      <c r="S329" s="19">
        <f t="shared" si="43"/>
        <v>0</v>
      </c>
      <c r="T329" s="19">
        <f t="shared" si="43"/>
        <v>0</v>
      </c>
      <c r="U329" s="19">
        <f t="shared" si="43"/>
        <v>0</v>
      </c>
      <c r="V329" s="19">
        <f t="shared" si="43"/>
        <v>0</v>
      </c>
      <c r="W329" s="19">
        <f t="shared" si="43"/>
        <v>1</v>
      </c>
    </row>
    <row r="330" spans="1:23">
      <c r="A330" s="24" t="str">
        <f t="shared" si="45"/>
        <v>11206_1-4/5&lt;lv5&gt;s3</v>
      </c>
      <c r="B330" s="19">
        <f t="shared" si="44"/>
        <v>11206</v>
      </c>
      <c r="C330" s="19">
        <f t="shared" si="44"/>
        <v>1</v>
      </c>
      <c r="D330" s="19">
        <f t="shared" si="44"/>
        <v>4</v>
      </c>
      <c r="E330" s="19">
        <f t="shared" si="44"/>
        <v>5</v>
      </c>
      <c r="F330" s="19">
        <f t="shared" si="44"/>
        <v>5</v>
      </c>
      <c r="G330" s="19">
        <f t="shared" si="44"/>
        <v>1</v>
      </c>
      <c r="H330" s="19">
        <f t="shared" si="44"/>
        <v>1</v>
      </c>
      <c r="I330" s="19">
        <f t="shared" si="44"/>
        <v>0</v>
      </c>
      <c r="J330" s="19">
        <f t="shared" si="44"/>
        <v>0</v>
      </c>
      <c r="K330" s="19">
        <f t="shared" si="44"/>
        <v>0</v>
      </c>
      <c r="L330" s="19">
        <f t="shared" si="44"/>
        <v>100</v>
      </c>
      <c r="M330" s="19">
        <f t="shared" si="44"/>
        <v>0</v>
      </c>
      <c r="N330" s="19">
        <f t="shared" si="44"/>
        <v>3</v>
      </c>
      <c r="O330" s="19">
        <f t="shared" si="44"/>
        <v>5</v>
      </c>
      <c r="P330" s="19">
        <f t="shared" si="44"/>
        <v>1</v>
      </c>
      <c r="Q330" s="19">
        <f t="shared" si="44"/>
        <v>1</v>
      </c>
      <c r="R330" s="19">
        <f t="shared" si="43"/>
        <v>0</v>
      </c>
      <c r="S330" s="19">
        <f t="shared" si="43"/>
        <v>0</v>
      </c>
      <c r="T330" s="19">
        <f t="shared" si="43"/>
        <v>0</v>
      </c>
      <c r="U330" s="19">
        <f t="shared" si="43"/>
        <v>0</v>
      </c>
      <c r="V330" s="19">
        <f t="shared" si="43"/>
        <v>0</v>
      </c>
      <c r="W330" s="19">
        <f t="shared" si="43"/>
        <v>1</v>
      </c>
    </row>
    <row r="331" spans="1:23">
      <c r="A331" s="24" t="str">
        <f t="shared" si="45"/>
        <v>11206_1-4/7&lt;lv5&gt;s2</v>
      </c>
      <c r="B331" s="19">
        <f t="shared" si="44"/>
        <v>11206</v>
      </c>
      <c r="C331" s="19">
        <f t="shared" si="44"/>
        <v>1</v>
      </c>
      <c r="D331" s="19">
        <f t="shared" si="44"/>
        <v>4</v>
      </c>
      <c r="E331" s="19">
        <f t="shared" si="44"/>
        <v>7</v>
      </c>
      <c r="F331" s="19">
        <f t="shared" si="44"/>
        <v>5</v>
      </c>
      <c r="G331" s="19">
        <f t="shared" si="44"/>
        <v>1</v>
      </c>
      <c r="H331" s="19">
        <f t="shared" si="44"/>
        <v>1</v>
      </c>
      <c r="I331" s="19">
        <f t="shared" si="44"/>
        <v>0</v>
      </c>
      <c r="J331" s="19">
        <f t="shared" si="44"/>
        <v>0</v>
      </c>
      <c r="K331" s="19">
        <f t="shared" si="44"/>
        <v>0</v>
      </c>
      <c r="L331" s="19">
        <f t="shared" si="44"/>
        <v>100</v>
      </c>
      <c r="M331" s="19">
        <f t="shared" si="44"/>
        <v>0</v>
      </c>
      <c r="N331" s="19">
        <f t="shared" si="44"/>
        <v>2</v>
      </c>
      <c r="O331" s="19">
        <f t="shared" si="44"/>
        <v>7</v>
      </c>
      <c r="P331" s="19">
        <f t="shared" si="44"/>
        <v>1</v>
      </c>
      <c r="Q331" s="19">
        <f t="shared" ref="Q331:W346" si="46">VLOOKUP($A331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331" s="19">
        <f t="shared" si="46"/>
        <v>0</v>
      </c>
      <c r="S331" s="19">
        <f t="shared" si="46"/>
        <v>0</v>
      </c>
      <c r="T331" s="19">
        <f t="shared" si="46"/>
        <v>0</v>
      </c>
      <c r="U331" s="19">
        <f t="shared" si="46"/>
        <v>0</v>
      </c>
      <c r="V331" s="19">
        <f t="shared" si="46"/>
        <v>0</v>
      </c>
      <c r="W331" s="19">
        <f t="shared" si="46"/>
        <v>1</v>
      </c>
    </row>
    <row r="332" spans="1:23">
      <c r="A332" s="24" t="str">
        <f t="shared" si="45"/>
        <v>11206_1-5/117&lt;lv1&gt;s1</v>
      </c>
      <c r="B332" s="19">
        <f t="shared" ref="B332:Q347" si="47">VLOOKUP($A332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11206</v>
      </c>
      <c r="C332" s="19">
        <f t="shared" si="47"/>
        <v>1</v>
      </c>
      <c r="D332" s="19">
        <f t="shared" si="47"/>
        <v>5</v>
      </c>
      <c r="E332" s="19">
        <f t="shared" si="47"/>
        <v>117</v>
      </c>
      <c r="F332" s="19">
        <f t="shared" si="47"/>
        <v>1</v>
      </c>
      <c r="G332" s="19">
        <f t="shared" si="47"/>
        <v>10.5</v>
      </c>
      <c r="H332" s="19">
        <f t="shared" si="47"/>
        <v>11</v>
      </c>
      <c r="I332" s="19">
        <f t="shared" si="47"/>
        <v>0</v>
      </c>
      <c r="J332" s="19">
        <f t="shared" si="47"/>
        <v>11702</v>
      </c>
      <c r="K332" s="19">
        <f t="shared" si="47"/>
        <v>1</v>
      </c>
      <c r="L332" s="19">
        <f t="shared" si="47"/>
        <v>100</v>
      </c>
      <c r="M332" s="19">
        <f t="shared" si="47"/>
        <v>1</v>
      </c>
      <c r="N332" s="19">
        <f t="shared" si="47"/>
        <v>1</v>
      </c>
      <c r="O332" s="19">
        <f t="shared" si="47"/>
        <v>117</v>
      </c>
      <c r="P332" s="19">
        <f t="shared" si="47"/>
        <v>1</v>
      </c>
      <c r="Q332" s="19">
        <f t="shared" si="47"/>
        <v>3</v>
      </c>
      <c r="R332" s="19">
        <f t="shared" si="46"/>
        <v>100</v>
      </c>
      <c r="S332" s="19">
        <f t="shared" si="46"/>
        <v>0</v>
      </c>
      <c r="T332" s="19">
        <f t="shared" si="46"/>
        <v>0</v>
      </c>
      <c r="U332" s="19">
        <f t="shared" si="46"/>
        <v>0</v>
      </c>
      <c r="V332" s="19">
        <f t="shared" si="46"/>
        <v>0</v>
      </c>
      <c r="W332" s="19">
        <f t="shared" si="46"/>
        <v>1</v>
      </c>
    </row>
    <row r="333" spans="1:23">
      <c r="A333" s="24" t="str">
        <f t="shared" si="45"/>
        <v>11206_1-5/118&lt;lv1&gt;s2</v>
      </c>
      <c r="B333" s="19">
        <f t="shared" si="47"/>
        <v>11206</v>
      </c>
      <c r="C333" s="19">
        <f t="shared" si="47"/>
        <v>1</v>
      </c>
      <c r="D333" s="19">
        <f t="shared" si="47"/>
        <v>5</v>
      </c>
      <c r="E333" s="19">
        <f t="shared" si="47"/>
        <v>118</v>
      </c>
      <c r="F333" s="19">
        <f t="shared" si="47"/>
        <v>1</v>
      </c>
      <c r="G333" s="19">
        <f t="shared" si="47"/>
        <v>10.5</v>
      </c>
      <c r="H333" s="19">
        <f t="shared" si="47"/>
        <v>10</v>
      </c>
      <c r="I333" s="19">
        <f t="shared" si="47"/>
        <v>0</v>
      </c>
      <c r="J333" s="19">
        <f t="shared" si="47"/>
        <v>11702</v>
      </c>
      <c r="K333" s="19">
        <f t="shared" si="47"/>
        <v>1</v>
      </c>
      <c r="L333" s="19">
        <f t="shared" si="47"/>
        <v>100</v>
      </c>
      <c r="M333" s="19">
        <f t="shared" si="47"/>
        <v>1</v>
      </c>
      <c r="N333" s="19">
        <f t="shared" si="47"/>
        <v>2</v>
      </c>
      <c r="O333" s="19">
        <f t="shared" si="47"/>
        <v>118</v>
      </c>
      <c r="P333" s="19">
        <f t="shared" si="47"/>
        <v>1</v>
      </c>
      <c r="Q333" s="19">
        <f t="shared" si="47"/>
        <v>4</v>
      </c>
      <c r="R333" s="19">
        <f t="shared" si="46"/>
        <v>100</v>
      </c>
      <c r="S333" s="19">
        <f t="shared" si="46"/>
        <v>0</v>
      </c>
      <c r="T333" s="19">
        <f t="shared" si="46"/>
        <v>0</v>
      </c>
      <c r="U333" s="19">
        <f t="shared" si="46"/>
        <v>0</v>
      </c>
      <c r="V333" s="19">
        <f t="shared" si="46"/>
        <v>0</v>
      </c>
      <c r="W333" s="19">
        <f t="shared" si="46"/>
        <v>1</v>
      </c>
    </row>
    <row r="334" spans="1:23">
      <c r="A334" s="24" t="str">
        <f t="shared" si="45"/>
        <v>11206_2-1/117&lt;lv2&gt;s1</v>
      </c>
      <c r="B334" s="19">
        <f t="shared" si="47"/>
        <v>11206</v>
      </c>
      <c r="C334" s="19">
        <f t="shared" si="47"/>
        <v>2</v>
      </c>
      <c r="D334" s="19">
        <f t="shared" si="47"/>
        <v>1</v>
      </c>
      <c r="E334" s="19">
        <f t="shared" si="47"/>
        <v>117</v>
      </c>
      <c r="F334" s="19">
        <f t="shared" si="47"/>
        <v>2</v>
      </c>
      <c r="G334" s="19">
        <f t="shared" si="47"/>
        <v>11.8</v>
      </c>
      <c r="H334" s="19">
        <f t="shared" si="47"/>
        <v>17</v>
      </c>
      <c r="I334" s="19">
        <f t="shared" si="47"/>
        <v>0</v>
      </c>
      <c r="J334" s="19">
        <f t="shared" si="47"/>
        <v>11701</v>
      </c>
      <c r="K334" s="19">
        <f t="shared" si="47"/>
        <v>1</v>
      </c>
      <c r="L334" s="19">
        <f t="shared" si="47"/>
        <v>100</v>
      </c>
      <c r="M334" s="19">
        <f t="shared" si="47"/>
        <v>0</v>
      </c>
      <c r="N334" s="19">
        <f t="shared" si="47"/>
        <v>1</v>
      </c>
      <c r="O334" s="19">
        <f t="shared" si="47"/>
        <v>117</v>
      </c>
      <c r="P334" s="19">
        <f t="shared" si="47"/>
        <v>1</v>
      </c>
      <c r="Q334" s="19">
        <f t="shared" si="47"/>
        <v>3</v>
      </c>
      <c r="R334" s="19">
        <f t="shared" si="46"/>
        <v>50</v>
      </c>
      <c r="S334" s="19">
        <f t="shared" si="46"/>
        <v>0</v>
      </c>
      <c r="T334" s="19">
        <f t="shared" si="46"/>
        <v>0</v>
      </c>
      <c r="U334" s="19">
        <f t="shared" si="46"/>
        <v>0</v>
      </c>
      <c r="V334" s="19">
        <f t="shared" si="46"/>
        <v>0</v>
      </c>
      <c r="W334" s="19">
        <f t="shared" si="46"/>
        <v>1</v>
      </c>
    </row>
    <row r="335" spans="1:23">
      <c r="A335" s="24" t="str">
        <f t="shared" si="45"/>
        <v>11206_2-1/118&lt;lv2&gt;s2</v>
      </c>
      <c r="B335" s="19">
        <f t="shared" si="47"/>
        <v>11206</v>
      </c>
      <c r="C335" s="19">
        <f t="shared" si="47"/>
        <v>2</v>
      </c>
      <c r="D335" s="19">
        <f t="shared" si="47"/>
        <v>1</v>
      </c>
      <c r="E335" s="19">
        <f t="shared" si="47"/>
        <v>118</v>
      </c>
      <c r="F335" s="19">
        <f t="shared" si="47"/>
        <v>2</v>
      </c>
      <c r="G335" s="19">
        <f t="shared" si="47"/>
        <v>11.8</v>
      </c>
      <c r="H335" s="19">
        <f t="shared" si="47"/>
        <v>15.75</v>
      </c>
      <c r="I335" s="19">
        <f t="shared" si="47"/>
        <v>0</v>
      </c>
      <c r="J335" s="19">
        <f t="shared" si="47"/>
        <v>11801</v>
      </c>
      <c r="K335" s="19">
        <f t="shared" si="47"/>
        <v>1</v>
      </c>
      <c r="L335" s="19">
        <f t="shared" si="47"/>
        <v>100</v>
      </c>
      <c r="M335" s="19">
        <f t="shared" si="47"/>
        <v>0</v>
      </c>
      <c r="N335" s="19">
        <f t="shared" si="47"/>
        <v>2</v>
      </c>
      <c r="O335" s="19">
        <f t="shared" si="47"/>
        <v>118</v>
      </c>
      <c r="P335" s="19">
        <f t="shared" si="47"/>
        <v>1</v>
      </c>
      <c r="Q335" s="19">
        <f t="shared" si="47"/>
        <v>4</v>
      </c>
      <c r="R335" s="19">
        <f t="shared" si="46"/>
        <v>50</v>
      </c>
      <c r="S335" s="19">
        <f t="shared" si="46"/>
        <v>0</v>
      </c>
      <c r="T335" s="19">
        <f t="shared" si="46"/>
        <v>0</v>
      </c>
      <c r="U335" s="19">
        <f t="shared" si="46"/>
        <v>0</v>
      </c>
      <c r="V335" s="19">
        <f t="shared" si="46"/>
        <v>0</v>
      </c>
      <c r="W335" s="19">
        <f t="shared" si="46"/>
        <v>1</v>
      </c>
    </row>
    <row r="336" spans="1:23">
      <c r="A336" s="24" t="str">
        <f t="shared" si="45"/>
        <v>11206_2-1/117&lt;lv1&gt;s1</v>
      </c>
      <c r="B336" s="19">
        <f t="shared" si="47"/>
        <v>11206</v>
      </c>
      <c r="C336" s="19">
        <f t="shared" si="47"/>
        <v>2</v>
      </c>
      <c r="D336" s="19">
        <f t="shared" si="47"/>
        <v>1</v>
      </c>
      <c r="E336" s="19">
        <f t="shared" si="47"/>
        <v>117</v>
      </c>
      <c r="F336" s="19">
        <f t="shared" si="47"/>
        <v>1</v>
      </c>
      <c r="G336" s="19">
        <f t="shared" si="47"/>
        <v>16.5</v>
      </c>
      <c r="H336" s="19">
        <f t="shared" si="47"/>
        <v>17.75</v>
      </c>
      <c r="I336" s="19">
        <f t="shared" si="47"/>
        <v>0</v>
      </c>
      <c r="J336" s="19">
        <f t="shared" si="47"/>
        <v>11801</v>
      </c>
      <c r="K336" s="19">
        <f t="shared" si="47"/>
        <v>0</v>
      </c>
      <c r="L336" s="19">
        <f t="shared" si="47"/>
        <v>100</v>
      </c>
      <c r="M336" s="19">
        <f t="shared" si="47"/>
        <v>0</v>
      </c>
      <c r="N336" s="19">
        <f t="shared" si="47"/>
        <v>1</v>
      </c>
      <c r="O336" s="19">
        <f t="shared" si="47"/>
        <v>117</v>
      </c>
      <c r="P336" s="19">
        <f t="shared" si="47"/>
        <v>1</v>
      </c>
      <c r="Q336" s="19">
        <f t="shared" si="47"/>
        <v>3</v>
      </c>
      <c r="R336" s="19">
        <f t="shared" si="46"/>
        <v>50</v>
      </c>
      <c r="S336" s="19">
        <f t="shared" si="46"/>
        <v>0</v>
      </c>
      <c r="T336" s="19">
        <f t="shared" si="46"/>
        <v>0</v>
      </c>
      <c r="U336" s="19">
        <f t="shared" si="46"/>
        <v>0</v>
      </c>
      <c r="V336" s="19">
        <f t="shared" si="46"/>
        <v>0</v>
      </c>
      <c r="W336" s="19">
        <f t="shared" si="46"/>
        <v>1</v>
      </c>
    </row>
    <row r="337" spans="1:23">
      <c r="A337" s="24" t="str">
        <f t="shared" si="45"/>
        <v>11206_2-1/118&lt;lv1&gt;s2</v>
      </c>
      <c r="B337" s="19">
        <f t="shared" si="47"/>
        <v>11206</v>
      </c>
      <c r="C337" s="19">
        <f t="shared" si="47"/>
        <v>2</v>
      </c>
      <c r="D337" s="19">
        <f t="shared" si="47"/>
        <v>1</v>
      </c>
      <c r="E337" s="19">
        <f t="shared" si="47"/>
        <v>118</v>
      </c>
      <c r="F337" s="19">
        <f t="shared" si="47"/>
        <v>1</v>
      </c>
      <c r="G337" s="19">
        <f t="shared" si="47"/>
        <v>16.5</v>
      </c>
      <c r="H337" s="19">
        <f t="shared" si="47"/>
        <v>15.75</v>
      </c>
      <c r="I337" s="19">
        <f t="shared" si="47"/>
        <v>0</v>
      </c>
      <c r="J337" s="19">
        <f t="shared" si="47"/>
        <v>11801</v>
      </c>
      <c r="K337" s="19">
        <f t="shared" si="47"/>
        <v>0</v>
      </c>
      <c r="L337" s="19">
        <f t="shared" si="47"/>
        <v>100</v>
      </c>
      <c r="M337" s="19">
        <f t="shared" si="47"/>
        <v>0</v>
      </c>
      <c r="N337" s="19">
        <f t="shared" si="47"/>
        <v>2</v>
      </c>
      <c r="O337" s="19">
        <f t="shared" si="47"/>
        <v>118</v>
      </c>
      <c r="P337" s="19">
        <f t="shared" si="47"/>
        <v>1</v>
      </c>
      <c r="Q337" s="19">
        <f t="shared" si="47"/>
        <v>4</v>
      </c>
      <c r="R337" s="19">
        <f t="shared" si="46"/>
        <v>50</v>
      </c>
      <c r="S337" s="19">
        <f t="shared" si="46"/>
        <v>0</v>
      </c>
      <c r="T337" s="19">
        <f t="shared" si="46"/>
        <v>0</v>
      </c>
      <c r="U337" s="19">
        <f t="shared" si="46"/>
        <v>0</v>
      </c>
      <c r="V337" s="19">
        <f t="shared" si="46"/>
        <v>0</v>
      </c>
      <c r="W337" s="19">
        <f t="shared" si="46"/>
        <v>1</v>
      </c>
    </row>
    <row r="338" spans="1:23">
      <c r="A338" s="24" t="str">
        <f t="shared" si="45"/>
        <v>11206_2-1/41&lt;lv16&gt;s1</v>
      </c>
      <c r="B338" s="19">
        <f t="shared" si="47"/>
        <v>11206</v>
      </c>
      <c r="C338" s="19">
        <f t="shared" si="47"/>
        <v>2</v>
      </c>
      <c r="D338" s="19">
        <f t="shared" si="47"/>
        <v>1</v>
      </c>
      <c r="E338" s="19">
        <f t="shared" si="47"/>
        <v>41</v>
      </c>
      <c r="F338" s="19">
        <f t="shared" si="47"/>
        <v>16</v>
      </c>
      <c r="G338" s="19">
        <f t="shared" si="47"/>
        <v>1</v>
      </c>
      <c r="H338" s="19">
        <f t="shared" si="47"/>
        <v>1</v>
      </c>
      <c r="I338" s="19">
        <f t="shared" si="47"/>
        <v>0</v>
      </c>
      <c r="J338" s="19">
        <f t="shared" si="47"/>
        <v>0</v>
      </c>
      <c r="K338" s="19">
        <f t="shared" si="47"/>
        <v>0</v>
      </c>
      <c r="L338" s="19">
        <f t="shared" si="47"/>
        <v>100</v>
      </c>
      <c r="M338" s="19">
        <f t="shared" si="47"/>
        <v>0</v>
      </c>
      <c r="N338" s="19">
        <f t="shared" si="47"/>
        <v>1</v>
      </c>
      <c r="O338" s="19">
        <f t="shared" si="47"/>
        <v>41</v>
      </c>
      <c r="P338" s="19">
        <f t="shared" si="47"/>
        <v>1</v>
      </c>
      <c r="Q338" s="19">
        <f t="shared" si="47"/>
        <v>2</v>
      </c>
      <c r="R338" s="19">
        <f t="shared" si="46"/>
        <v>0</v>
      </c>
      <c r="S338" s="19">
        <f t="shared" si="46"/>
        <v>0</v>
      </c>
      <c r="T338" s="19">
        <f t="shared" si="46"/>
        <v>0</v>
      </c>
      <c r="U338" s="19">
        <f t="shared" si="46"/>
        <v>0</v>
      </c>
      <c r="V338" s="19">
        <f t="shared" si="46"/>
        <v>0</v>
      </c>
      <c r="W338" s="19">
        <f t="shared" si="46"/>
        <v>1</v>
      </c>
    </row>
    <row r="339" spans="1:23">
      <c r="A339" s="24" t="str">
        <f t="shared" si="45"/>
        <v>11206_2-1/43&lt;lv16&gt;s2</v>
      </c>
      <c r="B339" s="19">
        <f t="shared" si="47"/>
        <v>11206</v>
      </c>
      <c r="C339" s="19">
        <f t="shared" si="47"/>
        <v>2</v>
      </c>
      <c r="D339" s="19">
        <f t="shared" si="47"/>
        <v>1</v>
      </c>
      <c r="E339" s="19">
        <f t="shared" si="47"/>
        <v>43</v>
      </c>
      <c r="F339" s="19">
        <f t="shared" si="47"/>
        <v>16</v>
      </c>
      <c r="G339" s="19">
        <f t="shared" si="47"/>
        <v>1</v>
      </c>
      <c r="H339" s="19">
        <f t="shared" si="47"/>
        <v>1</v>
      </c>
      <c r="I339" s="19">
        <f t="shared" si="47"/>
        <v>0</v>
      </c>
      <c r="J339" s="19">
        <f t="shared" si="47"/>
        <v>0</v>
      </c>
      <c r="K339" s="19">
        <f t="shared" si="47"/>
        <v>0</v>
      </c>
      <c r="L339" s="19">
        <f t="shared" si="47"/>
        <v>100</v>
      </c>
      <c r="M339" s="19">
        <f t="shared" si="47"/>
        <v>0</v>
      </c>
      <c r="N339" s="19">
        <f t="shared" si="47"/>
        <v>2</v>
      </c>
      <c r="O339" s="19">
        <f t="shared" si="47"/>
        <v>43</v>
      </c>
      <c r="P339" s="19">
        <f t="shared" si="47"/>
        <v>1</v>
      </c>
      <c r="Q339" s="19">
        <f t="shared" si="47"/>
        <v>2</v>
      </c>
      <c r="R339" s="19">
        <f t="shared" si="46"/>
        <v>0</v>
      </c>
      <c r="S339" s="19">
        <f t="shared" si="46"/>
        <v>0</v>
      </c>
      <c r="T339" s="19">
        <f t="shared" si="46"/>
        <v>0</v>
      </c>
      <c r="U339" s="19">
        <f t="shared" si="46"/>
        <v>0</v>
      </c>
      <c r="V339" s="19">
        <f t="shared" si="46"/>
        <v>0</v>
      </c>
      <c r="W339" s="19">
        <f t="shared" si="46"/>
        <v>1</v>
      </c>
    </row>
    <row r="340" spans="1:23">
      <c r="A340" s="24" t="str">
        <f t="shared" si="45"/>
        <v>11206_2-1/47&lt;lv16&gt;s1</v>
      </c>
      <c r="B340" s="19">
        <f t="shared" si="47"/>
        <v>11206</v>
      </c>
      <c r="C340" s="19">
        <f t="shared" si="47"/>
        <v>2</v>
      </c>
      <c r="D340" s="19">
        <f t="shared" si="47"/>
        <v>1</v>
      </c>
      <c r="E340" s="19">
        <f t="shared" si="47"/>
        <v>47</v>
      </c>
      <c r="F340" s="19">
        <f t="shared" si="47"/>
        <v>16</v>
      </c>
      <c r="G340" s="19">
        <f t="shared" si="47"/>
        <v>1</v>
      </c>
      <c r="H340" s="19">
        <f t="shared" si="47"/>
        <v>1</v>
      </c>
      <c r="I340" s="19">
        <f t="shared" si="47"/>
        <v>0</v>
      </c>
      <c r="J340" s="19">
        <f t="shared" si="47"/>
        <v>0</v>
      </c>
      <c r="K340" s="19">
        <f t="shared" si="47"/>
        <v>0</v>
      </c>
      <c r="L340" s="19">
        <f t="shared" si="47"/>
        <v>100</v>
      </c>
      <c r="M340" s="19">
        <f t="shared" si="47"/>
        <v>0</v>
      </c>
      <c r="N340" s="19">
        <f t="shared" si="47"/>
        <v>1</v>
      </c>
      <c r="O340" s="19">
        <f t="shared" si="47"/>
        <v>47</v>
      </c>
      <c r="P340" s="19">
        <f t="shared" si="47"/>
        <v>1</v>
      </c>
      <c r="Q340" s="19">
        <f t="shared" si="47"/>
        <v>2</v>
      </c>
      <c r="R340" s="19">
        <f t="shared" si="46"/>
        <v>0</v>
      </c>
      <c r="S340" s="19">
        <f t="shared" si="46"/>
        <v>0</v>
      </c>
      <c r="T340" s="19">
        <f t="shared" si="46"/>
        <v>0</v>
      </c>
      <c r="U340" s="19">
        <f t="shared" si="46"/>
        <v>0</v>
      </c>
      <c r="V340" s="19">
        <f t="shared" si="46"/>
        <v>0</v>
      </c>
      <c r="W340" s="19">
        <f t="shared" si="46"/>
        <v>1</v>
      </c>
    </row>
    <row r="341" spans="1:23">
      <c r="A341" s="24" t="str">
        <f t="shared" si="45"/>
        <v>11206_2-1/45&lt;lv16&gt;s3</v>
      </c>
      <c r="B341" s="19">
        <f t="shared" si="47"/>
        <v>11206</v>
      </c>
      <c r="C341" s="19">
        <f t="shared" si="47"/>
        <v>2</v>
      </c>
      <c r="D341" s="19">
        <f t="shared" si="47"/>
        <v>1</v>
      </c>
      <c r="E341" s="19">
        <f t="shared" si="47"/>
        <v>45</v>
      </c>
      <c r="F341" s="19">
        <f t="shared" si="47"/>
        <v>16</v>
      </c>
      <c r="G341" s="19">
        <f t="shared" si="47"/>
        <v>1</v>
      </c>
      <c r="H341" s="19">
        <f t="shared" si="47"/>
        <v>1</v>
      </c>
      <c r="I341" s="19">
        <f t="shared" si="47"/>
        <v>0</v>
      </c>
      <c r="J341" s="19">
        <f t="shared" si="47"/>
        <v>0</v>
      </c>
      <c r="K341" s="19">
        <f t="shared" si="47"/>
        <v>0</v>
      </c>
      <c r="L341" s="19">
        <f t="shared" si="47"/>
        <v>100</v>
      </c>
      <c r="M341" s="19">
        <f t="shared" si="47"/>
        <v>0</v>
      </c>
      <c r="N341" s="19">
        <f t="shared" si="47"/>
        <v>3</v>
      </c>
      <c r="O341" s="19">
        <f t="shared" si="47"/>
        <v>45</v>
      </c>
      <c r="P341" s="19">
        <f t="shared" si="47"/>
        <v>1</v>
      </c>
      <c r="Q341" s="19">
        <f t="shared" si="47"/>
        <v>2</v>
      </c>
      <c r="R341" s="19">
        <f t="shared" si="46"/>
        <v>0</v>
      </c>
      <c r="S341" s="19">
        <f t="shared" si="46"/>
        <v>0</v>
      </c>
      <c r="T341" s="19">
        <f t="shared" si="46"/>
        <v>0</v>
      </c>
      <c r="U341" s="19">
        <f t="shared" si="46"/>
        <v>0</v>
      </c>
      <c r="V341" s="19">
        <f t="shared" si="46"/>
        <v>0</v>
      </c>
      <c r="W341" s="19">
        <f t="shared" si="46"/>
        <v>1</v>
      </c>
    </row>
    <row r="342" spans="1:23">
      <c r="A342" s="24" t="str">
        <f t="shared" si="45"/>
        <v>11206_2-2/118&lt;lv2&gt;s2</v>
      </c>
      <c r="B342" s="19">
        <f t="shared" si="47"/>
        <v>11206</v>
      </c>
      <c r="C342" s="19">
        <f t="shared" si="47"/>
        <v>2</v>
      </c>
      <c r="D342" s="19">
        <f t="shared" si="47"/>
        <v>2</v>
      </c>
      <c r="E342" s="19">
        <f t="shared" si="47"/>
        <v>118</v>
      </c>
      <c r="F342" s="19">
        <f t="shared" si="47"/>
        <v>2</v>
      </c>
      <c r="G342" s="19">
        <f t="shared" si="47"/>
        <v>11.8</v>
      </c>
      <c r="H342" s="19">
        <f t="shared" si="47"/>
        <v>15.75</v>
      </c>
      <c r="I342" s="19">
        <f t="shared" si="47"/>
        <v>0</v>
      </c>
      <c r="J342" s="19">
        <f t="shared" si="47"/>
        <v>11801</v>
      </c>
      <c r="K342" s="19">
        <f t="shared" si="47"/>
        <v>1</v>
      </c>
      <c r="L342" s="19">
        <f t="shared" si="47"/>
        <v>100</v>
      </c>
      <c r="M342" s="19">
        <f t="shared" si="47"/>
        <v>0</v>
      </c>
      <c r="N342" s="19">
        <f t="shared" si="47"/>
        <v>2</v>
      </c>
      <c r="O342" s="19">
        <f t="shared" si="47"/>
        <v>118</v>
      </c>
      <c r="P342" s="19">
        <f t="shared" si="47"/>
        <v>1</v>
      </c>
      <c r="Q342" s="19">
        <f t="shared" si="47"/>
        <v>4</v>
      </c>
      <c r="R342" s="19">
        <f t="shared" si="46"/>
        <v>30</v>
      </c>
      <c r="S342" s="19">
        <f t="shared" si="46"/>
        <v>0</v>
      </c>
      <c r="T342" s="19">
        <f t="shared" si="46"/>
        <v>0</v>
      </c>
      <c r="U342" s="19">
        <f t="shared" si="46"/>
        <v>0</v>
      </c>
      <c r="V342" s="19">
        <f t="shared" si="46"/>
        <v>0</v>
      </c>
      <c r="W342" s="19">
        <f t="shared" si="46"/>
        <v>1</v>
      </c>
    </row>
    <row r="343" spans="1:23">
      <c r="A343" s="24" t="str">
        <f t="shared" si="45"/>
        <v>11206_2-2/118&lt;lv1&gt;s2</v>
      </c>
      <c r="B343" s="19">
        <f t="shared" si="47"/>
        <v>11206</v>
      </c>
      <c r="C343" s="19">
        <f t="shared" si="47"/>
        <v>2</v>
      </c>
      <c r="D343" s="19">
        <f t="shared" si="47"/>
        <v>2</v>
      </c>
      <c r="E343" s="19">
        <f t="shared" si="47"/>
        <v>118</v>
      </c>
      <c r="F343" s="19">
        <f t="shared" si="47"/>
        <v>1</v>
      </c>
      <c r="G343" s="19">
        <f t="shared" si="47"/>
        <v>16.5</v>
      </c>
      <c r="H343" s="19">
        <f t="shared" si="47"/>
        <v>15.75</v>
      </c>
      <c r="I343" s="19">
        <f t="shared" si="47"/>
        <v>0</v>
      </c>
      <c r="J343" s="19">
        <f t="shared" si="47"/>
        <v>11801</v>
      </c>
      <c r="K343" s="19">
        <f t="shared" si="47"/>
        <v>0</v>
      </c>
      <c r="L343" s="19">
        <f t="shared" si="47"/>
        <v>100</v>
      </c>
      <c r="M343" s="19">
        <f t="shared" si="47"/>
        <v>0</v>
      </c>
      <c r="N343" s="19">
        <f t="shared" si="47"/>
        <v>2</v>
      </c>
      <c r="O343" s="19">
        <f t="shared" si="47"/>
        <v>118</v>
      </c>
      <c r="P343" s="19">
        <f t="shared" si="47"/>
        <v>1</v>
      </c>
      <c r="Q343" s="19">
        <f t="shared" si="47"/>
        <v>4</v>
      </c>
      <c r="R343" s="19">
        <f t="shared" si="46"/>
        <v>30</v>
      </c>
      <c r="S343" s="19">
        <f t="shared" si="46"/>
        <v>0</v>
      </c>
      <c r="T343" s="19">
        <f t="shared" si="46"/>
        <v>0</v>
      </c>
      <c r="U343" s="19">
        <f t="shared" si="46"/>
        <v>0</v>
      </c>
      <c r="V343" s="19">
        <f t="shared" si="46"/>
        <v>0</v>
      </c>
      <c r="W343" s="19">
        <f t="shared" si="46"/>
        <v>1</v>
      </c>
    </row>
    <row r="344" spans="1:23">
      <c r="A344" s="24" t="str">
        <f t="shared" si="45"/>
        <v>11206_2-2/41&lt;lv16&gt;s1</v>
      </c>
      <c r="B344" s="19">
        <f t="shared" si="47"/>
        <v>11206</v>
      </c>
      <c r="C344" s="19">
        <f t="shared" si="47"/>
        <v>2</v>
      </c>
      <c r="D344" s="19">
        <f t="shared" si="47"/>
        <v>2</v>
      </c>
      <c r="E344" s="19">
        <f t="shared" si="47"/>
        <v>41</v>
      </c>
      <c r="F344" s="19">
        <f t="shared" si="47"/>
        <v>16</v>
      </c>
      <c r="G344" s="19">
        <f t="shared" si="47"/>
        <v>1</v>
      </c>
      <c r="H344" s="19">
        <f t="shared" si="47"/>
        <v>1</v>
      </c>
      <c r="I344" s="19">
        <f t="shared" si="47"/>
        <v>0</v>
      </c>
      <c r="J344" s="19">
        <f t="shared" si="47"/>
        <v>0</v>
      </c>
      <c r="K344" s="19">
        <f t="shared" si="47"/>
        <v>0</v>
      </c>
      <c r="L344" s="19">
        <f t="shared" si="47"/>
        <v>100</v>
      </c>
      <c r="M344" s="19">
        <f t="shared" si="47"/>
        <v>0</v>
      </c>
      <c r="N344" s="19">
        <f t="shared" si="47"/>
        <v>1</v>
      </c>
      <c r="O344" s="19">
        <f t="shared" si="47"/>
        <v>41</v>
      </c>
      <c r="P344" s="19">
        <f t="shared" si="47"/>
        <v>1</v>
      </c>
      <c r="Q344" s="19">
        <f t="shared" si="47"/>
        <v>2</v>
      </c>
      <c r="R344" s="19">
        <f t="shared" si="46"/>
        <v>0</v>
      </c>
      <c r="S344" s="19">
        <f t="shared" si="46"/>
        <v>0</v>
      </c>
      <c r="T344" s="19">
        <f t="shared" si="46"/>
        <v>0</v>
      </c>
      <c r="U344" s="19">
        <f t="shared" si="46"/>
        <v>0</v>
      </c>
      <c r="V344" s="19">
        <f t="shared" si="46"/>
        <v>0</v>
      </c>
      <c r="W344" s="19">
        <f t="shared" si="46"/>
        <v>1</v>
      </c>
    </row>
    <row r="345" spans="1:23">
      <c r="A345" s="24" t="str">
        <f t="shared" si="45"/>
        <v>11206_2-2/43&lt;lv16&gt;s2</v>
      </c>
      <c r="B345" s="19">
        <f t="shared" si="47"/>
        <v>11206</v>
      </c>
      <c r="C345" s="19">
        <f t="shared" si="47"/>
        <v>2</v>
      </c>
      <c r="D345" s="19">
        <f t="shared" si="47"/>
        <v>2</v>
      </c>
      <c r="E345" s="19">
        <f t="shared" si="47"/>
        <v>43</v>
      </c>
      <c r="F345" s="19">
        <f t="shared" si="47"/>
        <v>16</v>
      </c>
      <c r="G345" s="19">
        <f t="shared" si="47"/>
        <v>1</v>
      </c>
      <c r="H345" s="19">
        <f t="shared" si="47"/>
        <v>1</v>
      </c>
      <c r="I345" s="19">
        <f t="shared" si="47"/>
        <v>0</v>
      </c>
      <c r="J345" s="19">
        <f t="shared" si="47"/>
        <v>0</v>
      </c>
      <c r="K345" s="19">
        <f t="shared" si="47"/>
        <v>0</v>
      </c>
      <c r="L345" s="19">
        <f t="shared" si="47"/>
        <v>100</v>
      </c>
      <c r="M345" s="19">
        <f t="shared" si="47"/>
        <v>0</v>
      </c>
      <c r="N345" s="19">
        <f t="shared" si="47"/>
        <v>2</v>
      </c>
      <c r="O345" s="19">
        <f t="shared" si="47"/>
        <v>43</v>
      </c>
      <c r="P345" s="19">
        <f t="shared" si="47"/>
        <v>1</v>
      </c>
      <c r="Q345" s="19">
        <f t="shared" si="47"/>
        <v>2</v>
      </c>
      <c r="R345" s="19">
        <f t="shared" si="46"/>
        <v>0</v>
      </c>
      <c r="S345" s="19">
        <f t="shared" si="46"/>
        <v>0</v>
      </c>
      <c r="T345" s="19">
        <f t="shared" si="46"/>
        <v>0</v>
      </c>
      <c r="U345" s="19">
        <f t="shared" si="46"/>
        <v>0</v>
      </c>
      <c r="V345" s="19">
        <f t="shared" si="46"/>
        <v>0</v>
      </c>
      <c r="W345" s="19">
        <f t="shared" si="46"/>
        <v>1</v>
      </c>
    </row>
    <row r="346" spans="1:23">
      <c r="A346" s="24" t="str">
        <f t="shared" si="45"/>
        <v>11206_2-2/47&lt;lv16&gt;s1</v>
      </c>
      <c r="B346" s="19">
        <f t="shared" si="47"/>
        <v>11206</v>
      </c>
      <c r="C346" s="19">
        <f t="shared" si="47"/>
        <v>2</v>
      </c>
      <c r="D346" s="19">
        <f t="shared" si="47"/>
        <v>2</v>
      </c>
      <c r="E346" s="19">
        <f t="shared" si="47"/>
        <v>47</v>
      </c>
      <c r="F346" s="19">
        <f t="shared" si="47"/>
        <v>16</v>
      </c>
      <c r="G346" s="19">
        <f t="shared" si="47"/>
        <v>1</v>
      </c>
      <c r="H346" s="19">
        <f t="shared" si="47"/>
        <v>1</v>
      </c>
      <c r="I346" s="19">
        <f t="shared" si="47"/>
        <v>0</v>
      </c>
      <c r="J346" s="19">
        <f t="shared" si="47"/>
        <v>0</v>
      </c>
      <c r="K346" s="19">
        <f t="shared" si="47"/>
        <v>0</v>
      </c>
      <c r="L346" s="19">
        <f t="shared" si="47"/>
        <v>100</v>
      </c>
      <c r="M346" s="19">
        <f t="shared" si="47"/>
        <v>0</v>
      </c>
      <c r="N346" s="19">
        <f t="shared" si="47"/>
        <v>1</v>
      </c>
      <c r="O346" s="19">
        <f t="shared" si="47"/>
        <v>47</v>
      </c>
      <c r="P346" s="19">
        <f t="shared" si="47"/>
        <v>1</v>
      </c>
      <c r="Q346" s="19">
        <f t="shared" si="47"/>
        <v>2</v>
      </c>
      <c r="R346" s="19">
        <f t="shared" si="46"/>
        <v>0</v>
      </c>
      <c r="S346" s="19">
        <f t="shared" si="46"/>
        <v>0</v>
      </c>
      <c r="T346" s="19">
        <f t="shared" si="46"/>
        <v>0</v>
      </c>
      <c r="U346" s="19">
        <f t="shared" si="46"/>
        <v>0</v>
      </c>
      <c r="V346" s="19">
        <f t="shared" si="46"/>
        <v>0</v>
      </c>
      <c r="W346" s="19">
        <f t="shared" si="46"/>
        <v>1</v>
      </c>
    </row>
    <row r="347" spans="1:23">
      <c r="A347" s="24" t="str">
        <f t="shared" si="45"/>
        <v>11206_2-2/45&lt;lv16&gt;s3</v>
      </c>
      <c r="B347" s="19">
        <f t="shared" si="47"/>
        <v>11206</v>
      </c>
      <c r="C347" s="19">
        <f t="shared" si="47"/>
        <v>2</v>
      </c>
      <c r="D347" s="19">
        <f t="shared" si="47"/>
        <v>2</v>
      </c>
      <c r="E347" s="19">
        <f t="shared" si="47"/>
        <v>45</v>
      </c>
      <c r="F347" s="19">
        <f t="shared" si="47"/>
        <v>16</v>
      </c>
      <c r="G347" s="19">
        <f t="shared" si="47"/>
        <v>1</v>
      </c>
      <c r="H347" s="19">
        <f t="shared" si="47"/>
        <v>1</v>
      </c>
      <c r="I347" s="19">
        <f t="shared" si="47"/>
        <v>0</v>
      </c>
      <c r="J347" s="19">
        <f t="shared" si="47"/>
        <v>0</v>
      </c>
      <c r="K347" s="19">
        <f t="shared" si="47"/>
        <v>0</v>
      </c>
      <c r="L347" s="19">
        <f t="shared" si="47"/>
        <v>100</v>
      </c>
      <c r="M347" s="19">
        <f t="shared" si="47"/>
        <v>0</v>
      </c>
      <c r="N347" s="19">
        <f t="shared" si="47"/>
        <v>3</v>
      </c>
      <c r="O347" s="19">
        <f t="shared" si="47"/>
        <v>45</v>
      </c>
      <c r="P347" s="19">
        <f t="shared" si="47"/>
        <v>1</v>
      </c>
      <c r="Q347" s="19">
        <f t="shared" ref="Q347:W362" si="48">VLOOKUP($A347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347" s="19">
        <f t="shared" si="48"/>
        <v>0</v>
      </c>
      <c r="S347" s="19">
        <f t="shared" si="48"/>
        <v>0</v>
      </c>
      <c r="T347" s="19">
        <f t="shared" si="48"/>
        <v>0</v>
      </c>
      <c r="U347" s="19">
        <f t="shared" si="48"/>
        <v>0</v>
      </c>
      <c r="V347" s="19">
        <f t="shared" si="48"/>
        <v>0</v>
      </c>
      <c r="W347" s="19">
        <f t="shared" si="48"/>
        <v>1</v>
      </c>
    </row>
    <row r="348" spans="1:23">
      <c r="A348" s="24" t="str">
        <f t="shared" si="45"/>
        <v>11206_2-3/118&lt;lv1&gt;s2</v>
      </c>
      <c r="B348" s="19">
        <f t="shared" ref="B348:Q363" si="49">VLOOKUP($A348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11206</v>
      </c>
      <c r="C348" s="19">
        <f t="shared" si="49"/>
        <v>2</v>
      </c>
      <c r="D348" s="19">
        <f t="shared" si="49"/>
        <v>3</v>
      </c>
      <c r="E348" s="19">
        <f t="shared" si="49"/>
        <v>118</v>
      </c>
      <c r="F348" s="19">
        <f t="shared" si="49"/>
        <v>1</v>
      </c>
      <c r="G348" s="19">
        <f t="shared" si="49"/>
        <v>16.5</v>
      </c>
      <c r="H348" s="19">
        <f t="shared" si="49"/>
        <v>15.75</v>
      </c>
      <c r="I348" s="19">
        <f t="shared" si="49"/>
        <v>0</v>
      </c>
      <c r="J348" s="19">
        <f t="shared" si="49"/>
        <v>11802</v>
      </c>
      <c r="K348" s="19">
        <f t="shared" si="49"/>
        <v>1</v>
      </c>
      <c r="L348" s="19">
        <f t="shared" si="49"/>
        <v>100</v>
      </c>
      <c r="M348" s="19">
        <f t="shared" si="49"/>
        <v>0</v>
      </c>
      <c r="N348" s="19">
        <f t="shared" si="49"/>
        <v>2</v>
      </c>
      <c r="O348" s="19">
        <f t="shared" si="49"/>
        <v>118</v>
      </c>
      <c r="P348" s="19">
        <f t="shared" si="49"/>
        <v>1</v>
      </c>
      <c r="Q348" s="19">
        <f t="shared" si="49"/>
        <v>4</v>
      </c>
      <c r="R348" s="19">
        <f t="shared" si="48"/>
        <v>30</v>
      </c>
      <c r="S348" s="19">
        <f t="shared" si="48"/>
        <v>0</v>
      </c>
      <c r="T348" s="19">
        <f t="shared" si="48"/>
        <v>0</v>
      </c>
      <c r="U348" s="19">
        <f t="shared" si="48"/>
        <v>0</v>
      </c>
      <c r="V348" s="19">
        <f t="shared" si="48"/>
        <v>0</v>
      </c>
      <c r="W348" s="19">
        <f t="shared" si="48"/>
        <v>1</v>
      </c>
    </row>
    <row r="349" spans="1:23">
      <c r="A349" s="24" t="str">
        <f t="shared" si="45"/>
        <v>11206_2-3/119&lt;lv1&gt;s4</v>
      </c>
      <c r="B349" s="19">
        <f t="shared" si="49"/>
        <v>11206</v>
      </c>
      <c r="C349" s="19">
        <f t="shared" si="49"/>
        <v>2</v>
      </c>
      <c r="D349" s="19">
        <f t="shared" si="49"/>
        <v>3</v>
      </c>
      <c r="E349" s="19">
        <f t="shared" si="49"/>
        <v>119</v>
      </c>
      <c r="F349" s="19">
        <f t="shared" si="49"/>
        <v>1</v>
      </c>
      <c r="G349" s="19">
        <f t="shared" si="49"/>
        <v>16.5</v>
      </c>
      <c r="H349" s="19">
        <f t="shared" si="49"/>
        <v>16.7</v>
      </c>
      <c r="I349" s="19">
        <f t="shared" si="49"/>
        <v>0</v>
      </c>
      <c r="J349" s="19">
        <f t="shared" si="49"/>
        <v>11902</v>
      </c>
      <c r="K349" s="19">
        <f t="shared" si="49"/>
        <v>1</v>
      </c>
      <c r="L349" s="19">
        <f t="shared" si="49"/>
        <v>100</v>
      </c>
      <c r="M349" s="19">
        <f t="shared" si="49"/>
        <v>0</v>
      </c>
      <c r="N349" s="19">
        <f t="shared" si="49"/>
        <v>4</v>
      </c>
      <c r="O349" s="19">
        <f t="shared" si="49"/>
        <v>119</v>
      </c>
      <c r="P349" s="19">
        <f t="shared" si="49"/>
        <v>1</v>
      </c>
      <c r="Q349" s="19">
        <f t="shared" si="49"/>
        <v>5</v>
      </c>
      <c r="R349" s="19">
        <f t="shared" si="48"/>
        <v>5</v>
      </c>
      <c r="S349" s="19">
        <f t="shared" si="48"/>
        <v>0</v>
      </c>
      <c r="T349" s="19">
        <f t="shared" si="48"/>
        <v>0</v>
      </c>
      <c r="U349" s="19">
        <f t="shared" si="48"/>
        <v>0</v>
      </c>
      <c r="V349" s="19">
        <f t="shared" si="48"/>
        <v>0</v>
      </c>
      <c r="W349" s="19">
        <f t="shared" si="48"/>
        <v>1</v>
      </c>
    </row>
    <row r="350" spans="1:23">
      <c r="A350" s="24" t="str">
        <f t="shared" si="45"/>
        <v>11206_2-4/117&lt;lv1&gt;s1</v>
      </c>
      <c r="B350" s="19">
        <f t="shared" si="49"/>
        <v>11206</v>
      </c>
      <c r="C350" s="19">
        <f t="shared" si="49"/>
        <v>2</v>
      </c>
      <c r="D350" s="19">
        <f t="shared" si="49"/>
        <v>4</v>
      </c>
      <c r="E350" s="19">
        <f t="shared" si="49"/>
        <v>117</v>
      </c>
      <c r="F350" s="19">
        <f t="shared" si="49"/>
        <v>1</v>
      </c>
      <c r="G350" s="19">
        <f t="shared" si="49"/>
        <v>16.5</v>
      </c>
      <c r="H350" s="19">
        <f t="shared" si="49"/>
        <v>17.75</v>
      </c>
      <c r="I350" s="19">
        <f t="shared" si="49"/>
        <v>0</v>
      </c>
      <c r="J350" s="19">
        <f t="shared" si="49"/>
        <v>11703</v>
      </c>
      <c r="K350" s="19">
        <f t="shared" si="49"/>
        <v>1</v>
      </c>
      <c r="L350" s="19">
        <f t="shared" si="49"/>
        <v>100</v>
      </c>
      <c r="M350" s="19">
        <f t="shared" si="49"/>
        <v>0</v>
      </c>
      <c r="N350" s="19">
        <f t="shared" si="49"/>
        <v>1</v>
      </c>
      <c r="O350" s="19">
        <f t="shared" si="49"/>
        <v>117</v>
      </c>
      <c r="P350" s="19">
        <f t="shared" si="49"/>
        <v>1</v>
      </c>
      <c r="Q350" s="19">
        <f t="shared" si="49"/>
        <v>3</v>
      </c>
      <c r="R350" s="19">
        <f t="shared" si="48"/>
        <v>20</v>
      </c>
      <c r="S350" s="19">
        <f t="shared" si="48"/>
        <v>0</v>
      </c>
      <c r="T350" s="19">
        <f t="shared" si="48"/>
        <v>0</v>
      </c>
      <c r="U350" s="19">
        <f t="shared" si="48"/>
        <v>0</v>
      </c>
      <c r="V350" s="19">
        <f t="shared" si="48"/>
        <v>0</v>
      </c>
      <c r="W350" s="19">
        <f t="shared" si="48"/>
        <v>1</v>
      </c>
    </row>
    <row r="351" spans="1:23">
      <c r="A351" s="24" t="str">
        <f t="shared" si="45"/>
        <v>11206_2-4/118&lt;lv2&gt;s2</v>
      </c>
      <c r="B351" s="19">
        <f t="shared" si="49"/>
        <v>11206</v>
      </c>
      <c r="C351" s="19">
        <f t="shared" si="49"/>
        <v>2</v>
      </c>
      <c r="D351" s="19">
        <f t="shared" si="49"/>
        <v>4</v>
      </c>
      <c r="E351" s="19">
        <f t="shared" si="49"/>
        <v>118</v>
      </c>
      <c r="F351" s="19">
        <f t="shared" si="49"/>
        <v>2</v>
      </c>
      <c r="G351" s="19">
        <f t="shared" si="49"/>
        <v>11.8</v>
      </c>
      <c r="H351" s="19">
        <f t="shared" si="49"/>
        <v>15.75</v>
      </c>
      <c r="I351" s="19">
        <f t="shared" si="49"/>
        <v>0</v>
      </c>
      <c r="J351" s="19">
        <f t="shared" si="49"/>
        <v>11802</v>
      </c>
      <c r="K351" s="19">
        <f t="shared" si="49"/>
        <v>0</v>
      </c>
      <c r="L351" s="19">
        <f t="shared" si="49"/>
        <v>100</v>
      </c>
      <c r="M351" s="19">
        <f t="shared" si="49"/>
        <v>0</v>
      </c>
      <c r="N351" s="19">
        <f t="shared" si="49"/>
        <v>2</v>
      </c>
      <c r="O351" s="19">
        <f t="shared" si="49"/>
        <v>118</v>
      </c>
      <c r="P351" s="19">
        <f t="shared" si="49"/>
        <v>1</v>
      </c>
      <c r="Q351" s="19">
        <f t="shared" si="49"/>
        <v>4</v>
      </c>
      <c r="R351" s="19">
        <f t="shared" si="48"/>
        <v>50</v>
      </c>
      <c r="S351" s="19">
        <f t="shared" si="48"/>
        <v>0</v>
      </c>
      <c r="T351" s="19">
        <f t="shared" si="48"/>
        <v>0</v>
      </c>
      <c r="U351" s="19">
        <f t="shared" si="48"/>
        <v>0</v>
      </c>
      <c r="V351" s="19">
        <f t="shared" si="48"/>
        <v>0</v>
      </c>
      <c r="W351" s="19">
        <f t="shared" si="48"/>
        <v>1</v>
      </c>
    </row>
    <row r="352" spans="1:23">
      <c r="A352" s="24" t="str">
        <f t="shared" si="45"/>
        <v>11206_2-4/118&lt;lv1&gt;s2</v>
      </c>
      <c r="B352" s="19">
        <f t="shared" si="49"/>
        <v>11206</v>
      </c>
      <c r="C352" s="19">
        <f t="shared" si="49"/>
        <v>2</v>
      </c>
      <c r="D352" s="19">
        <f t="shared" si="49"/>
        <v>4</v>
      </c>
      <c r="E352" s="19">
        <f t="shared" si="49"/>
        <v>118</v>
      </c>
      <c r="F352" s="19">
        <f t="shared" si="49"/>
        <v>1</v>
      </c>
      <c r="G352" s="19">
        <f t="shared" si="49"/>
        <v>16.5</v>
      </c>
      <c r="H352" s="19">
        <f t="shared" si="49"/>
        <v>15.75</v>
      </c>
      <c r="I352" s="19">
        <f t="shared" si="49"/>
        <v>0</v>
      </c>
      <c r="J352" s="19">
        <f t="shared" si="49"/>
        <v>11802</v>
      </c>
      <c r="K352" s="19">
        <f t="shared" si="49"/>
        <v>0</v>
      </c>
      <c r="L352" s="19">
        <f t="shared" si="49"/>
        <v>100</v>
      </c>
      <c r="M352" s="19">
        <f t="shared" si="49"/>
        <v>0</v>
      </c>
      <c r="N352" s="19">
        <f t="shared" si="49"/>
        <v>2</v>
      </c>
      <c r="O352" s="19">
        <f t="shared" si="49"/>
        <v>118</v>
      </c>
      <c r="P352" s="19">
        <f t="shared" si="49"/>
        <v>1</v>
      </c>
      <c r="Q352" s="19">
        <f t="shared" si="49"/>
        <v>4</v>
      </c>
      <c r="R352" s="19">
        <f t="shared" si="48"/>
        <v>50</v>
      </c>
      <c r="S352" s="19">
        <f t="shared" si="48"/>
        <v>0</v>
      </c>
      <c r="T352" s="19">
        <f t="shared" si="48"/>
        <v>0</v>
      </c>
      <c r="U352" s="19">
        <f t="shared" si="48"/>
        <v>0</v>
      </c>
      <c r="V352" s="19">
        <f t="shared" si="48"/>
        <v>0</v>
      </c>
      <c r="W352" s="19">
        <f t="shared" si="48"/>
        <v>1</v>
      </c>
    </row>
    <row r="353" spans="1:23">
      <c r="A353" s="24" t="str">
        <f t="shared" si="45"/>
        <v>11206_2-4/41&lt;lv16&gt;s1</v>
      </c>
      <c r="B353" s="19">
        <f t="shared" si="49"/>
        <v>11206</v>
      </c>
      <c r="C353" s="19">
        <f t="shared" si="49"/>
        <v>2</v>
      </c>
      <c r="D353" s="19">
        <f t="shared" si="49"/>
        <v>4</v>
      </c>
      <c r="E353" s="19">
        <f t="shared" si="49"/>
        <v>41</v>
      </c>
      <c r="F353" s="19">
        <f t="shared" si="49"/>
        <v>16</v>
      </c>
      <c r="G353" s="19">
        <f t="shared" si="49"/>
        <v>1</v>
      </c>
      <c r="H353" s="19">
        <f t="shared" si="49"/>
        <v>1</v>
      </c>
      <c r="I353" s="19">
        <f t="shared" si="49"/>
        <v>0</v>
      </c>
      <c r="J353" s="19">
        <f t="shared" si="49"/>
        <v>0</v>
      </c>
      <c r="K353" s="19">
        <f t="shared" si="49"/>
        <v>0</v>
      </c>
      <c r="L353" s="19">
        <f t="shared" si="49"/>
        <v>100</v>
      </c>
      <c r="M353" s="19">
        <f t="shared" si="49"/>
        <v>0</v>
      </c>
      <c r="N353" s="19">
        <f t="shared" si="49"/>
        <v>1</v>
      </c>
      <c r="O353" s="19">
        <f t="shared" si="49"/>
        <v>41</v>
      </c>
      <c r="P353" s="19">
        <f t="shared" si="49"/>
        <v>1</v>
      </c>
      <c r="Q353" s="19">
        <f t="shared" si="49"/>
        <v>2</v>
      </c>
      <c r="R353" s="19">
        <f t="shared" si="48"/>
        <v>0</v>
      </c>
      <c r="S353" s="19">
        <f t="shared" si="48"/>
        <v>0</v>
      </c>
      <c r="T353" s="19">
        <f t="shared" si="48"/>
        <v>0</v>
      </c>
      <c r="U353" s="19">
        <f t="shared" si="48"/>
        <v>0</v>
      </c>
      <c r="V353" s="19">
        <f t="shared" si="48"/>
        <v>0</v>
      </c>
      <c r="W353" s="19">
        <f t="shared" si="48"/>
        <v>1</v>
      </c>
    </row>
    <row r="354" spans="1:23">
      <c r="A354" s="24" t="str">
        <f t="shared" si="45"/>
        <v>11206_2-4/43&lt;lv16&gt;s2</v>
      </c>
      <c r="B354" s="19">
        <f t="shared" si="49"/>
        <v>11206</v>
      </c>
      <c r="C354" s="19">
        <f t="shared" si="49"/>
        <v>2</v>
      </c>
      <c r="D354" s="19">
        <f t="shared" si="49"/>
        <v>4</v>
      </c>
      <c r="E354" s="19">
        <f t="shared" si="49"/>
        <v>43</v>
      </c>
      <c r="F354" s="19">
        <f t="shared" si="49"/>
        <v>16</v>
      </c>
      <c r="G354" s="19">
        <f t="shared" si="49"/>
        <v>1</v>
      </c>
      <c r="H354" s="19">
        <f t="shared" si="49"/>
        <v>1</v>
      </c>
      <c r="I354" s="19">
        <f t="shared" si="49"/>
        <v>0</v>
      </c>
      <c r="J354" s="19">
        <f t="shared" si="49"/>
        <v>0</v>
      </c>
      <c r="K354" s="19">
        <f t="shared" si="49"/>
        <v>0</v>
      </c>
      <c r="L354" s="19">
        <f t="shared" si="49"/>
        <v>100</v>
      </c>
      <c r="M354" s="19">
        <f t="shared" si="49"/>
        <v>0</v>
      </c>
      <c r="N354" s="19">
        <f t="shared" si="49"/>
        <v>2</v>
      </c>
      <c r="O354" s="19">
        <f t="shared" si="49"/>
        <v>43</v>
      </c>
      <c r="P354" s="19">
        <f t="shared" si="49"/>
        <v>1</v>
      </c>
      <c r="Q354" s="19">
        <f t="shared" si="49"/>
        <v>2</v>
      </c>
      <c r="R354" s="19">
        <f t="shared" si="48"/>
        <v>0</v>
      </c>
      <c r="S354" s="19">
        <f t="shared" si="48"/>
        <v>0</v>
      </c>
      <c r="T354" s="19">
        <f t="shared" si="48"/>
        <v>0</v>
      </c>
      <c r="U354" s="19">
        <f t="shared" si="48"/>
        <v>0</v>
      </c>
      <c r="V354" s="19">
        <f t="shared" si="48"/>
        <v>0</v>
      </c>
      <c r="W354" s="19">
        <f t="shared" si="48"/>
        <v>1</v>
      </c>
    </row>
    <row r="355" spans="1:23">
      <c r="A355" s="24" t="str">
        <f t="shared" si="45"/>
        <v>11206_2-4/47&lt;lv16&gt;s1</v>
      </c>
      <c r="B355" s="19">
        <f t="shared" si="49"/>
        <v>11206</v>
      </c>
      <c r="C355" s="19">
        <f t="shared" si="49"/>
        <v>2</v>
      </c>
      <c r="D355" s="19">
        <f t="shared" si="49"/>
        <v>4</v>
      </c>
      <c r="E355" s="19">
        <f t="shared" si="49"/>
        <v>47</v>
      </c>
      <c r="F355" s="19">
        <f t="shared" si="49"/>
        <v>16</v>
      </c>
      <c r="G355" s="19">
        <f t="shared" si="49"/>
        <v>1</v>
      </c>
      <c r="H355" s="19">
        <f t="shared" si="49"/>
        <v>1</v>
      </c>
      <c r="I355" s="19">
        <f t="shared" si="49"/>
        <v>0</v>
      </c>
      <c r="J355" s="19">
        <f t="shared" si="49"/>
        <v>0</v>
      </c>
      <c r="K355" s="19">
        <f t="shared" si="49"/>
        <v>0</v>
      </c>
      <c r="L355" s="19">
        <f t="shared" si="49"/>
        <v>100</v>
      </c>
      <c r="M355" s="19">
        <f t="shared" si="49"/>
        <v>0</v>
      </c>
      <c r="N355" s="19">
        <f t="shared" si="49"/>
        <v>1</v>
      </c>
      <c r="O355" s="19">
        <f t="shared" si="49"/>
        <v>47</v>
      </c>
      <c r="P355" s="19">
        <f t="shared" si="49"/>
        <v>1</v>
      </c>
      <c r="Q355" s="19">
        <f t="shared" si="49"/>
        <v>2</v>
      </c>
      <c r="R355" s="19">
        <f t="shared" si="48"/>
        <v>0</v>
      </c>
      <c r="S355" s="19">
        <f t="shared" si="48"/>
        <v>0</v>
      </c>
      <c r="T355" s="19">
        <f t="shared" si="48"/>
        <v>0</v>
      </c>
      <c r="U355" s="19">
        <f t="shared" si="48"/>
        <v>0</v>
      </c>
      <c r="V355" s="19">
        <f t="shared" si="48"/>
        <v>0</v>
      </c>
      <c r="W355" s="19">
        <f t="shared" si="48"/>
        <v>1</v>
      </c>
    </row>
    <row r="356" spans="1:23">
      <c r="A356" s="24" t="str">
        <f t="shared" si="45"/>
        <v>11206_2-4/45&lt;lv1&gt;s3</v>
      </c>
      <c r="B356" s="19">
        <f t="shared" si="49"/>
        <v>11206</v>
      </c>
      <c r="C356" s="19">
        <f t="shared" si="49"/>
        <v>2</v>
      </c>
      <c r="D356" s="19">
        <f t="shared" si="49"/>
        <v>4</v>
      </c>
      <c r="E356" s="19">
        <f t="shared" si="49"/>
        <v>45</v>
      </c>
      <c r="F356" s="19">
        <f t="shared" si="49"/>
        <v>1</v>
      </c>
      <c r="G356" s="19">
        <f t="shared" si="49"/>
        <v>1</v>
      </c>
      <c r="H356" s="19">
        <f t="shared" si="49"/>
        <v>1</v>
      </c>
      <c r="I356" s="19">
        <f t="shared" si="49"/>
        <v>0</v>
      </c>
      <c r="J356" s="19">
        <f t="shared" si="49"/>
        <v>0</v>
      </c>
      <c r="K356" s="19">
        <f t="shared" si="49"/>
        <v>0</v>
      </c>
      <c r="L356" s="19">
        <f t="shared" si="49"/>
        <v>100</v>
      </c>
      <c r="M356" s="19">
        <f t="shared" si="49"/>
        <v>0</v>
      </c>
      <c r="N356" s="19">
        <f t="shared" si="49"/>
        <v>3</v>
      </c>
      <c r="O356" s="19">
        <f t="shared" si="49"/>
        <v>45</v>
      </c>
      <c r="P356" s="19">
        <f t="shared" si="49"/>
        <v>1</v>
      </c>
      <c r="Q356" s="19">
        <f t="shared" si="49"/>
        <v>2</v>
      </c>
      <c r="R356" s="19">
        <f t="shared" si="48"/>
        <v>0</v>
      </c>
      <c r="S356" s="19">
        <f t="shared" si="48"/>
        <v>0</v>
      </c>
      <c r="T356" s="19">
        <f t="shared" si="48"/>
        <v>0</v>
      </c>
      <c r="U356" s="19">
        <f t="shared" si="48"/>
        <v>0</v>
      </c>
      <c r="V356" s="19">
        <f t="shared" si="48"/>
        <v>0</v>
      </c>
      <c r="W356" s="19">
        <f t="shared" si="48"/>
        <v>1</v>
      </c>
    </row>
    <row r="357" spans="1:23">
      <c r="A357" s="24" t="str">
        <f t="shared" si="45"/>
        <v>11206_2-5/118&lt;lv1&gt;s2</v>
      </c>
      <c r="B357" s="19">
        <f t="shared" si="49"/>
        <v>11206</v>
      </c>
      <c r="C357" s="19">
        <f t="shared" si="49"/>
        <v>2</v>
      </c>
      <c r="D357" s="19">
        <f t="shared" si="49"/>
        <v>5</v>
      </c>
      <c r="E357" s="19">
        <f t="shared" si="49"/>
        <v>118</v>
      </c>
      <c r="F357" s="19">
        <f t="shared" si="49"/>
        <v>1</v>
      </c>
      <c r="G357" s="19">
        <f t="shared" si="49"/>
        <v>16.5</v>
      </c>
      <c r="H357" s="19">
        <f t="shared" si="49"/>
        <v>15.75</v>
      </c>
      <c r="I357" s="19">
        <f t="shared" si="49"/>
        <v>0</v>
      </c>
      <c r="J357" s="19">
        <f t="shared" si="49"/>
        <v>11802</v>
      </c>
      <c r="K357" s="19">
        <f t="shared" si="49"/>
        <v>2</v>
      </c>
      <c r="L357" s="19">
        <f t="shared" si="49"/>
        <v>100</v>
      </c>
      <c r="M357" s="19">
        <f t="shared" si="49"/>
        <v>1</v>
      </c>
      <c r="N357" s="19">
        <f t="shared" si="49"/>
        <v>2</v>
      </c>
      <c r="O357" s="19">
        <f t="shared" si="49"/>
        <v>118</v>
      </c>
      <c r="P357" s="19">
        <f t="shared" si="49"/>
        <v>1</v>
      </c>
      <c r="Q357" s="19">
        <f t="shared" si="49"/>
        <v>4</v>
      </c>
      <c r="R357" s="19">
        <f t="shared" si="48"/>
        <v>100</v>
      </c>
      <c r="S357" s="19">
        <f t="shared" si="48"/>
        <v>0</v>
      </c>
      <c r="T357" s="19">
        <f t="shared" si="48"/>
        <v>0</v>
      </c>
      <c r="U357" s="19">
        <f t="shared" si="48"/>
        <v>0</v>
      </c>
      <c r="V357" s="19">
        <f t="shared" si="48"/>
        <v>0</v>
      </c>
      <c r="W357" s="19">
        <f t="shared" si="48"/>
        <v>1</v>
      </c>
    </row>
    <row r="358" spans="1:23">
      <c r="A358" s="24" t="str">
        <f t="shared" si="45"/>
        <v>11206_3-1/117&lt;lv2&gt;s1</v>
      </c>
      <c r="B358" s="19">
        <f t="shared" si="49"/>
        <v>11206</v>
      </c>
      <c r="C358" s="19">
        <f t="shared" si="49"/>
        <v>3</v>
      </c>
      <c r="D358" s="19">
        <f t="shared" si="49"/>
        <v>1</v>
      </c>
      <c r="E358" s="19">
        <f t="shared" si="49"/>
        <v>117</v>
      </c>
      <c r="F358" s="19">
        <f t="shared" si="49"/>
        <v>2</v>
      </c>
      <c r="G358" s="19">
        <f t="shared" si="49"/>
        <v>28.8</v>
      </c>
      <c r="H358" s="19">
        <f t="shared" si="49"/>
        <v>42.25</v>
      </c>
      <c r="I358" s="19">
        <f t="shared" si="49"/>
        <v>0</v>
      </c>
      <c r="J358" s="19">
        <f t="shared" si="49"/>
        <v>11701</v>
      </c>
      <c r="K358" s="19">
        <f t="shared" si="49"/>
        <v>1</v>
      </c>
      <c r="L358" s="19">
        <f t="shared" si="49"/>
        <v>100</v>
      </c>
      <c r="M358" s="19">
        <f t="shared" si="49"/>
        <v>0</v>
      </c>
      <c r="N358" s="19">
        <f t="shared" si="49"/>
        <v>1</v>
      </c>
      <c r="O358" s="19">
        <f t="shared" si="49"/>
        <v>117</v>
      </c>
      <c r="P358" s="19">
        <f t="shared" si="49"/>
        <v>1</v>
      </c>
      <c r="Q358" s="19">
        <f t="shared" si="49"/>
        <v>3</v>
      </c>
      <c r="R358" s="19">
        <f t="shared" si="48"/>
        <v>50</v>
      </c>
      <c r="S358" s="19">
        <f t="shared" si="48"/>
        <v>0</v>
      </c>
      <c r="T358" s="19">
        <f t="shared" si="48"/>
        <v>0</v>
      </c>
      <c r="U358" s="19">
        <f t="shared" si="48"/>
        <v>0</v>
      </c>
      <c r="V358" s="19">
        <f t="shared" si="48"/>
        <v>0</v>
      </c>
      <c r="W358" s="19">
        <f t="shared" si="48"/>
        <v>1</v>
      </c>
    </row>
    <row r="359" spans="1:23">
      <c r="A359" s="24" t="str">
        <f t="shared" si="45"/>
        <v>11206_3-1/117&lt;lv1&gt;s1</v>
      </c>
      <c r="B359" s="19">
        <f t="shared" si="49"/>
        <v>11206</v>
      </c>
      <c r="C359" s="19">
        <f t="shared" si="49"/>
        <v>3</v>
      </c>
      <c r="D359" s="19">
        <f t="shared" si="49"/>
        <v>1</v>
      </c>
      <c r="E359" s="19">
        <f t="shared" si="49"/>
        <v>117</v>
      </c>
      <c r="F359" s="19">
        <f t="shared" si="49"/>
        <v>1</v>
      </c>
      <c r="G359" s="19">
        <f t="shared" si="49"/>
        <v>40.5</v>
      </c>
      <c r="H359" s="19">
        <f t="shared" si="49"/>
        <v>42.25</v>
      </c>
      <c r="I359" s="19">
        <f t="shared" si="49"/>
        <v>0</v>
      </c>
      <c r="J359" s="19">
        <f t="shared" si="49"/>
        <v>11704</v>
      </c>
      <c r="K359" s="19">
        <f t="shared" si="49"/>
        <v>0</v>
      </c>
      <c r="L359" s="19">
        <f t="shared" si="49"/>
        <v>100</v>
      </c>
      <c r="M359" s="19">
        <f t="shared" si="49"/>
        <v>0</v>
      </c>
      <c r="N359" s="19">
        <f t="shared" si="49"/>
        <v>1</v>
      </c>
      <c r="O359" s="19">
        <f t="shared" si="49"/>
        <v>117</v>
      </c>
      <c r="P359" s="19">
        <f t="shared" si="49"/>
        <v>1</v>
      </c>
      <c r="Q359" s="19">
        <f t="shared" si="49"/>
        <v>3</v>
      </c>
      <c r="R359" s="19">
        <f t="shared" si="48"/>
        <v>50</v>
      </c>
      <c r="S359" s="19">
        <f t="shared" si="48"/>
        <v>0</v>
      </c>
      <c r="T359" s="19">
        <f t="shared" si="48"/>
        <v>0</v>
      </c>
      <c r="U359" s="19">
        <f t="shared" si="48"/>
        <v>0</v>
      </c>
      <c r="V359" s="19">
        <f t="shared" si="48"/>
        <v>0</v>
      </c>
      <c r="W359" s="19">
        <f t="shared" si="48"/>
        <v>1</v>
      </c>
    </row>
    <row r="360" spans="1:23">
      <c r="A360" s="24" t="str">
        <f t="shared" si="45"/>
        <v>11206_3-1/63&lt;lv32&gt;s2</v>
      </c>
      <c r="B360" s="19">
        <f t="shared" si="49"/>
        <v>11206</v>
      </c>
      <c r="C360" s="19">
        <f t="shared" si="49"/>
        <v>3</v>
      </c>
      <c r="D360" s="19">
        <f t="shared" si="49"/>
        <v>1</v>
      </c>
      <c r="E360" s="19">
        <f t="shared" si="49"/>
        <v>63</v>
      </c>
      <c r="F360" s="19">
        <f t="shared" si="49"/>
        <v>32</v>
      </c>
      <c r="G360" s="19">
        <f t="shared" si="49"/>
        <v>1</v>
      </c>
      <c r="H360" s="19">
        <f t="shared" si="49"/>
        <v>1</v>
      </c>
      <c r="I360" s="19">
        <f t="shared" si="49"/>
        <v>0</v>
      </c>
      <c r="J360" s="19">
        <f t="shared" si="49"/>
        <v>63</v>
      </c>
      <c r="K360" s="19">
        <f t="shared" si="49"/>
        <v>0</v>
      </c>
      <c r="L360" s="19">
        <f t="shared" si="49"/>
        <v>100</v>
      </c>
      <c r="M360" s="19">
        <f t="shared" si="49"/>
        <v>0</v>
      </c>
      <c r="N360" s="19">
        <f t="shared" si="49"/>
        <v>2</v>
      </c>
      <c r="O360" s="19">
        <f t="shared" si="49"/>
        <v>63</v>
      </c>
      <c r="P360" s="19">
        <f t="shared" si="49"/>
        <v>1</v>
      </c>
      <c r="Q360" s="19">
        <f t="shared" si="49"/>
        <v>2</v>
      </c>
      <c r="R360" s="19">
        <f t="shared" si="48"/>
        <v>0</v>
      </c>
      <c r="S360" s="19">
        <f t="shared" si="48"/>
        <v>0</v>
      </c>
      <c r="T360" s="19">
        <f t="shared" si="48"/>
        <v>0</v>
      </c>
      <c r="U360" s="19">
        <f t="shared" si="48"/>
        <v>0</v>
      </c>
      <c r="V360" s="19">
        <f t="shared" si="48"/>
        <v>0</v>
      </c>
      <c r="W360" s="19">
        <f t="shared" si="48"/>
        <v>1</v>
      </c>
    </row>
    <row r="361" spans="1:23">
      <c r="A361" s="24" t="str">
        <f t="shared" si="45"/>
        <v>11206_3-1/61&lt;lv32&gt;s2</v>
      </c>
      <c r="B361" s="19">
        <f t="shared" si="49"/>
        <v>11206</v>
      </c>
      <c r="C361" s="19">
        <f t="shared" si="49"/>
        <v>3</v>
      </c>
      <c r="D361" s="19">
        <f t="shared" si="49"/>
        <v>1</v>
      </c>
      <c r="E361" s="19">
        <f t="shared" si="49"/>
        <v>61</v>
      </c>
      <c r="F361" s="19">
        <f t="shared" si="49"/>
        <v>32</v>
      </c>
      <c r="G361" s="19">
        <f t="shared" si="49"/>
        <v>1</v>
      </c>
      <c r="H361" s="19">
        <f t="shared" si="49"/>
        <v>1</v>
      </c>
      <c r="I361" s="19">
        <f t="shared" si="49"/>
        <v>0</v>
      </c>
      <c r="J361" s="19">
        <f t="shared" si="49"/>
        <v>61</v>
      </c>
      <c r="K361" s="19">
        <f t="shared" si="49"/>
        <v>0</v>
      </c>
      <c r="L361" s="19">
        <f t="shared" si="49"/>
        <v>100</v>
      </c>
      <c r="M361" s="19">
        <f t="shared" si="49"/>
        <v>0</v>
      </c>
      <c r="N361" s="19">
        <f t="shared" si="49"/>
        <v>2</v>
      </c>
      <c r="O361" s="19">
        <f t="shared" si="49"/>
        <v>61</v>
      </c>
      <c r="P361" s="19">
        <f t="shared" si="49"/>
        <v>1</v>
      </c>
      <c r="Q361" s="19">
        <f t="shared" si="49"/>
        <v>2</v>
      </c>
      <c r="R361" s="19">
        <f t="shared" si="48"/>
        <v>0</v>
      </c>
      <c r="S361" s="19">
        <f t="shared" si="48"/>
        <v>0</v>
      </c>
      <c r="T361" s="19">
        <f t="shared" si="48"/>
        <v>0</v>
      </c>
      <c r="U361" s="19">
        <f t="shared" si="48"/>
        <v>0</v>
      </c>
      <c r="V361" s="19">
        <f t="shared" si="48"/>
        <v>0</v>
      </c>
      <c r="W361" s="19">
        <f t="shared" si="48"/>
        <v>1</v>
      </c>
    </row>
    <row r="362" spans="1:23">
      <c r="A362" s="24" t="str">
        <f t="shared" si="45"/>
        <v>11206_3-1/57&lt;lv32&gt;s2</v>
      </c>
      <c r="B362" s="19">
        <f t="shared" si="49"/>
        <v>11206</v>
      </c>
      <c r="C362" s="19">
        <f t="shared" si="49"/>
        <v>3</v>
      </c>
      <c r="D362" s="19">
        <f t="shared" si="49"/>
        <v>1</v>
      </c>
      <c r="E362" s="19">
        <f t="shared" si="49"/>
        <v>57</v>
      </c>
      <c r="F362" s="19">
        <f t="shared" si="49"/>
        <v>32</v>
      </c>
      <c r="G362" s="19">
        <f t="shared" si="49"/>
        <v>1</v>
      </c>
      <c r="H362" s="19">
        <f t="shared" si="49"/>
        <v>1</v>
      </c>
      <c r="I362" s="19">
        <f t="shared" si="49"/>
        <v>0</v>
      </c>
      <c r="J362" s="19">
        <f t="shared" si="49"/>
        <v>57</v>
      </c>
      <c r="K362" s="19">
        <f t="shared" si="49"/>
        <v>0</v>
      </c>
      <c r="L362" s="19">
        <f t="shared" si="49"/>
        <v>100</v>
      </c>
      <c r="M362" s="19">
        <f t="shared" si="49"/>
        <v>0</v>
      </c>
      <c r="N362" s="19">
        <f t="shared" si="49"/>
        <v>2</v>
      </c>
      <c r="O362" s="19">
        <f t="shared" si="49"/>
        <v>57</v>
      </c>
      <c r="P362" s="19">
        <f t="shared" si="49"/>
        <v>1</v>
      </c>
      <c r="Q362" s="19">
        <f t="shared" si="49"/>
        <v>2</v>
      </c>
      <c r="R362" s="19">
        <f t="shared" si="48"/>
        <v>0</v>
      </c>
      <c r="S362" s="19">
        <f t="shared" si="48"/>
        <v>0</v>
      </c>
      <c r="T362" s="19">
        <f t="shared" si="48"/>
        <v>0</v>
      </c>
      <c r="U362" s="19">
        <f t="shared" si="48"/>
        <v>0</v>
      </c>
      <c r="V362" s="19">
        <f t="shared" si="48"/>
        <v>0</v>
      </c>
      <c r="W362" s="19">
        <f t="shared" si="48"/>
        <v>1</v>
      </c>
    </row>
    <row r="363" spans="1:23">
      <c r="A363" s="24" t="str">
        <f t="shared" si="45"/>
        <v>11206_3-1/59&lt;lv32&gt;s2</v>
      </c>
      <c r="B363" s="19">
        <f t="shared" si="49"/>
        <v>11206</v>
      </c>
      <c r="C363" s="19">
        <f t="shared" si="49"/>
        <v>3</v>
      </c>
      <c r="D363" s="19">
        <f t="shared" si="49"/>
        <v>1</v>
      </c>
      <c r="E363" s="19">
        <f t="shared" si="49"/>
        <v>59</v>
      </c>
      <c r="F363" s="19">
        <f t="shared" si="49"/>
        <v>32</v>
      </c>
      <c r="G363" s="19">
        <f t="shared" si="49"/>
        <v>1</v>
      </c>
      <c r="H363" s="19">
        <f t="shared" si="49"/>
        <v>1</v>
      </c>
      <c r="I363" s="19">
        <f t="shared" si="49"/>
        <v>0</v>
      </c>
      <c r="J363" s="19">
        <f t="shared" si="49"/>
        <v>59</v>
      </c>
      <c r="K363" s="19">
        <f t="shared" si="49"/>
        <v>0</v>
      </c>
      <c r="L363" s="19">
        <f t="shared" si="49"/>
        <v>100</v>
      </c>
      <c r="M363" s="19">
        <f t="shared" si="49"/>
        <v>0</v>
      </c>
      <c r="N363" s="19">
        <f t="shared" si="49"/>
        <v>2</v>
      </c>
      <c r="O363" s="19">
        <f t="shared" si="49"/>
        <v>59</v>
      </c>
      <c r="P363" s="19">
        <f t="shared" si="49"/>
        <v>1</v>
      </c>
      <c r="Q363" s="19">
        <f t="shared" ref="Q363:W378" si="50">VLOOKUP($A363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363" s="19">
        <f t="shared" si="50"/>
        <v>0</v>
      </c>
      <c r="S363" s="19">
        <f t="shared" si="50"/>
        <v>0</v>
      </c>
      <c r="T363" s="19">
        <f t="shared" si="50"/>
        <v>0</v>
      </c>
      <c r="U363" s="19">
        <f t="shared" si="50"/>
        <v>0</v>
      </c>
      <c r="V363" s="19">
        <f t="shared" si="50"/>
        <v>0</v>
      </c>
      <c r="W363" s="19">
        <f t="shared" si="50"/>
        <v>1</v>
      </c>
    </row>
    <row r="364" spans="1:23">
      <c r="A364" s="24" t="str">
        <f t="shared" si="45"/>
        <v>11206_3-2/117&lt;lv1&gt;s1</v>
      </c>
      <c r="B364" s="19">
        <f t="shared" ref="B364:Q379" si="51">VLOOKUP($A364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11206</v>
      </c>
      <c r="C364" s="19">
        <f t="shared" si="51"/>
        <v>3</v>
      </c>
      <c r="D364" s="19">
        <f t="shared" si="51"/>
        <v>2</v>
      </c>
      <c r="E364" s="19">
        <f t="shared" si="51"/>
        <v>117</v>
      </c>
      <c r="F364" s="19">
        <f t="shared" si="51"/>
        <v>1</v>
      </c>
      <c r="G364" s="19">
        <f t="shared" si="51"/>
        <v>40.5</v>
      </c>
      <c r="H364" s="19">
        <f t="shared" si="51"/>
        <v>42.25</v>
      </c>
      <c r="I364" s="19">
        <f t="shared" si="51"/>
        <v>0</v>
      </c>
      <c r="J364" s="19">
        <f t="shared" si="51"/>
        <v>11704</v>
      </c>
      <c r="K364" s="19">
        <f t="shared" si="51"/>
        <v>1</v>
      </c>
      <c r="L364" s="19">
        <f t="shared" si="51"/>
        <v>100</v>
      </c>
      <c r="M364" s="19">
        <f t="shared" si="51"/>
        <v>0</v>
      </c>
      <c r="N364" s="19">
        <f t="shared" si="51"/>
        <v>1</v>
      </c>
      <c r="O364" s="19">
        <f t="shared" si="51"/>
        <v>117</v>
      </c>
      <c r="P364" s="19">
        <f t="shared" si="51"/>
        <v>1</v>
      </c>
      <c r="Q364" s="19">
        <f t="shared" si="51"/>
        <v>3</v>
      </c>
      <c r="R364" s="19">
        <f t="shared" si="50"/>
        <v>50</v>
      </c>
      <c r="S364" s="19">
        <f t="shared" si="50"/>
        <v>0</v>
      </c>
      <c r="T364" s="19">
        <f t="shared" si="50"/>
        <v>0</v>
      </c>
      <c r="U364" s="19">
        <f t="shared" si="50"/>
        <v>0</v>
      </c>
      <c r="V364" s="19">
        <f t="shared" si="50"/>
        <v>0</v>
      </c>
      <c r="W364" s="19">
        <f t="shared" si="50"/>
        <v>1</v>
      </c>
    </row>
    <row r="365" spans="1:23">
      <c r="A365" s="24" t="str">
        <f t="shared" si="45"/>
        <v>11206_3-2/118&lt;lv1&gt;s2</v>
      </c>
      <c r="B365" s="19">
        <f t="shared" si="51"/>
        <v>11206</v>
      </c>
      <c r="C365" s="19">
        <f t="shared" si="51"/>
        <v>3</v>
      </c>
      <c r="D365" s="19">
        <f t="shared" si="51"/>
        <v>2</v>
      </c>
      <c r="E365" s="19">
        <f t="shared" si="51"/>
        <v>118</v>
      </c>
      <c r="F365" s="19">
        <f t="shared" si="51"/>
        <v>1</v>
      </c>
      <c r="G365" s="19">
        <f t="shared" si="51"/>
        <v>40.5</v>
      </c>
      <c r="H365" s="19">
        <f t="shared" si="51"/>
        <v>38.5</v>
      </c>
      <c r="I365" s="19">
        <f t="shared" si="51"/>
        <v>0</v>
      </c>
      <c r="J365" s="19">
        <f t="shared" si="51"/>
        <v>11803</v>
      </c>
      <c r="K365" s="19">
        <f t="shared" si="51"/>
        <v>1</v>
      </c>
      <c r="L365" s="19">
        <f t="shared" si="51"/>
        <v>100</v>
      </c>
      <c r="M365" s="19">
        <f t="shared" si="51"/>
        <v>0</v>
      </c>
      <c r="N365" s="19">
        <f t="shared" si="51"/>
        <v>2</v>
      </c>
      <c r="O365" s="19">
        <f t="shared" si="51"/>
        <v>118</v>
      </c>
      <c r="P365" s="19">
        <f t="shared" si="51"/>
        <v>1</v>
      </c>
      <c r="Q365" s="19">
        <f t="shared" si="51"/>
        <v>4</v>
      </c>
      <c r="R365" s="19">
        <f t="shared" si="50"/>
        <v>10</v>
      </c>
      <c r="S365" s="19">
        <f t="shared" si="50"/>
        <v>0</v>
      </c>
      <c r="T365" s="19">
        <f t="shared" si="50"/>
        <v>0</v>
      </c>
      <c r="U365" s="19">
        <f t="shared" si="50"/>
        <v>0</v>
      </c>
      <c r="V365" s="19">
        <f t="shared" si="50"/>
        <v>0</v>
      </c>
      <c r="W365" s="19">
        <f t="shared" si="50"/>
        <v>1</v>
      </c>
    </row>
    <row r="366" spans="1:23">
      <c r="A366" s="24" t="str">
        <f t="shared" si="45"/>
        <v>11206_3-2/63&lt;lv32&gt;s2</v>
      </c>
      <c r="B366" s="19">
        <f t="shared" si="51"/>
        <v>11206</v>
      </c>
      <c r="C366" s="19">
        <f t="shared" si="51"/>
        <v>3</v>
      </c>
      <c r="D366" s="19">
        <f t="shared" si="51"/>
        <v>2</v>
      </c>
      <c r="E366" s="19">
        <f t="shared" si="51"/>
        <v>63</v>
      </c>
      <c r="F366" s="19">
        <f t="shared" si="51"/>
        <v>32</v>
      </c>
      <c r="G366" s="19">
        <f t="shared" si="51"/>
        <v>1</v>
      </c>
      <c r="H366" s="19">
        <f t="shared" si="51"/>
        <v>1</v>
      </c>
      <c r="I366" s="19">
        <f t="shared" si="51"/>
        <v>0</v>
      </c>
      <c r="J366" s="19">
        <f t="shared" si="51"/>
        <v>63</v>
      </c>
      <c r="K366" s="19">
        <f t="shared" si="51"/>
        <v>0</v>
      </c>
      <c r="L366" s="19">
        <f t="shared" si="51"/>
        <v>100</v>
      </c>
      <c r="M366" s="19">
        <f t="shared" si="51"/>
        <v>0</v>
      </c>
      <c r="N366" s="19">
        <f t="shared" si="51"/>
        <v>2</v>
      </c>
      <c r="O366" s="19">
        <f t="shared" si="51"/>
        <v>63</v>
      </c>
      <c r="P366" s="19">
        <f t="shared" si="51"/>
        <v>1</v>
      </c>
      <c r="Q366" s="19">
        <f t="shared" si="51"/>
        <v>2</v>
      </c>
      <c r="R366" s="19">
        <f t="shared" si="50"/>
        <v>0</v>
      </c>
      <c r="S366" s="19">
        <f t="shared" si="50"/>
        <v>0</v>
      </c>
      <c r="T366" s="19">
        <f t="shared" si="50"/>
        <v>0</v>
      </c>
      <c r="U366" s="19">
        <f t="shared" si="50"/>
        <v>0</v>
      </c>
      <c r="V366" s="19">
        <f t="shared" si="50"/>
        <v>0</v>
      </c>
      <c r="W366" s="19">
        <f t="shared" si="50"/>
        <v>1</v>
      </c>
    </row>
    <row r="367" spans="1:23">
      <c r="A367" s="24" t="str">
        <f t="shared" si="45"/>
        <v>11206_3-2/61&lt;lv32&gt;s2</v>
      </c>
      <c r="B367" s="19">
        <f t="shared" si="51"/>
        <v>11206</v>
      </c>
      <c r="C367" s="19">
        <f t="shared" si="51"/>
        <v>3</v>
      </c>
      <c r="D367" s="19">
        <f t="shared" si="51"/>
        <v>2</v>
      </c>
      <c r="E367" s="19">
        <f t="shared" si="51"/>
        <v>61</v>
      </c>
      <c r="F367" s="19">
        <f t="shared" si="51"/>
        <v>32</v>
      </c>
      <c r="G367" s="19">
        <f t="shared" si="51"/>
        <v>1</v>
      </c>
      <c r="H367" s="19">
        <f t="shared" si="51"/>
        <v>1</v>
      </c>
      <c r="I367" s="19">
        <f t="shared" si="51"/>
        <v>0</v>
      </c>
      <c r="J367" s="19">
        <f t="shared" si="51"/>
        <v>61</v>
      </c>
      <c r="K367" s="19">
        <f t="shared" si="51"/>
        <v>0</v>
      </c>
      <c r="L367" s="19">
        <f t="shared" si="51"/>
        <v>100</v>
      </c>
      <c r="M367" s="19">
        <f t="shared" si="51"/>
        <v>0</v>
      </c>
      <c r="N367" s="19">
        <f t="shared" si="51"/>
        <v>2</v>
      </c>
      <c r="O367" s="19">
        <f t="shared" si="51"/>
        <v>61</v>
      </c>
      <c r="P367" s="19">
        <f t="shared" si="51"/>
        <v>1</v>
      </c>
      <c r="Q367" s="19">
        <f t="shared" si="51"/>
        <v>2</v>
      </c>
      <c r="R367" s="19">
        <f t="shared" si="50"/>
        <v>0</v>
      </c>
      <c r="S367" s="19">
        <f t="shared" si="50"/>
        <v>0</v>
      </c>
      <c r="T367" s="19">
        <f t="shared" si="50"/>
        <v>0</v>
      </c>
      <c r="U367" s="19">
        <f t="shared" si="50"/>
        <v>0</v>
      </c>
      <c r="V367" s="19">
        <f t="shared" si="50"/>
        <v>0</v>
      </c>
      <c r="W367" s="19">
        <f t="shared" si="50"/>
        <v>1</v>
      </c>
    </row>
    <row r="368" spans="1:23">
      <c r="A368" s="24" t="str">
        <f t="shared" si="45"/>
        <v>11206_3-2/57&lt;lv32&gt;s2</v>
      </c>
      <c r="B368" s="19">
        <f t="shared" si="51"/>
        <v>11206</v>
      </c>
      <c r="C368" s="19">
        <f t="shared" si="51"/>
        <v>3</v>
      </c>
      <c r="D368" s="19">
        <f t="shared" si="51"/>
        <v>2</v>
      </c>
      <c r="E368" s="19">
        <f t="shared" si="51"/>
        <v>57</v>
      </c>
      <c r="F368" s="19">
        <f t="shared" si="51"/>
        <v>32</v>
      </c>
      <c r="G368" s="19">
        <f t="shared" si="51"/>
        <v>1</v>
      </c>
      <c r="H368" s="19">
        <f t="shared" si="51"/>
        <v>1</v>
      </c>
      <c r="I368" s="19">
        <f t="shared" si="51"/>
        <v>0</v>
      </c>
      <c r="J368" s="19">
        <f t="shared" si="51"/>
        <v>57</v>
      </c>
      <c r="K368" s="19">
        <f t="shared" si="51"/>
        <v>0</v>
      </c>
      <c r="L368" s="19">
        <f t="shared" si="51"/>
        <v>100</v>
      </c>
      <c r="M368" s="19">
        <f t="shared" si="51"/>
        <v>0</v>
      </c>
      <c r="N368" s="19">
        <f t="shared" si="51"/>
        <v>2</v>
      </c>
      <c r="O368" s="19">
        <f t="shared" si="51"/>
        <v>57</v>
      </c>
      <c r="P368" s="19">
        <f t="shared" si="51"/>
        <v>1</v>
      </c>
      <c r="Q368" s="19">
        <f t="shared" si="51"/>
        <v>2</v>
      </c>
      <c r="R368" s="19">
        <f t="shared" si="50"/>
        <v>0</v>
      </c>
      <c r="S368" s="19">
        <f t="shared" si="50"/>
        <v>0</v>
      </c>
      <c r="T368" s="19">
        <f t="shared" si="50"/>
        <v>0</v>
      </c>
      <c r="U368" s="19">
        <f t="shared" si="50"/>
        <v>0</v>
      </c>
      <c r="V368" s="19">
        <f t="shared" si="50"/>
        <v>0</v>
      </c>
      <c r="W368" s="19">
        <f t="shared" si="50"/>
        <v>1</v>
      </c>
    </row>
    <row r="369" spans="1:23">
      <c r="A369" s="24" t="str">
        <f t="shared" si="45"/>
        <v>11206_3-2/59&lt;lv32&gt;s2</v>
      </c>
      <c r="B369" s="19">
        <f t="shared" si="51"/>
        <v>11206</v>
      </c>
      <c r="C369" s="19">
        <f t="shared" si="51"/>
        <v>3</v>
      </c>
      <c r="D369" s="19">
        <f t="shared" si="51"/>
        <v>2</v>
      </c>
      <c r="E369" s="19">
        <f t="shared" si="51"/>
        <v>59</v>
      </c>
      <c r="F369" s="19">
        <f t="shared" si="51"/>
        <v>32</v>
      </c>
      <c r="G369" s="19">
        <f t="shared" si="51"/>
        <v>1</v>
      </c>
      <c r="H369" s="19">
        <f t="shared" si="51"/>
        <v>1</v>
      </c>
      <c r="I369" s="19">
        <f t="shared" si="51"/>
        <v>0</v>
      </c>
      <c r="J369" s="19">
        <f t="shared" si="51"/>
        <v>59</v>
      </c>
      <c r="K369" s="19">
        <f t="shared" si="51"/>
        <v>0</v>
      </c>
      <c r="L369" s="19">
        <f t="shared" si="51"/>
        <v>100</v>
      </c>
      <c r="M369" s="19">
        <f t="shared" si="51"/>
        <v>0</v>
      </c>
      <c r="N369" s="19">
        <f t="shared" si="51"/>
        <v>2</v>
      </c>
      <c r="O369" s="19">
        <f t="shared" si="51"/>
        <v>59</v>
      </c>
      <c r="P369" s="19">
        <f t="shared" si="51"/>
        <v>1</v>
      </c>
      <c r="Q369" s="19">
        <f t="shared" si="51"/>
        <v>2</v>
      </c>
      <c r="R369" s="19">
        <f t="shared" si="50"/>
        <v>0</v>
      </c>
      <c r="S369" s="19">
        <f t="shared" si="50"/>
        <v>0</v>
      </c>
      <c r="T369" s="19">
        <f t="shared" si="50"/>
        <v>0</v>
      </c>
      <c r="U369" s="19">
        <f t="shared" si="50"/>
        <v>0</v>
      </c>
      <c r="V369" s="19">
        <f t="shared" si="50"/>
        <v>0</v>
      </c>
      <c r="W369" s="19">
        <f t="shared" si="50"/>
        <v>1</v>
      </c>
    </row>
    <row r="370" spans="1:23">
      <c r="A370" s="24" t="str">
        <f t="shared" si="45"/>
        <v>11206_3-3/118&lt;lv2&gt;s2</v>
      </c>
      <c r="B370" s="19">
        <f t="shared" si="51"/>
        <v>11206</v>
      </c>
      <c r="C370" s="19">
        <f t="shared" si="51"/>
        <v>3</v>
      </c>
      <c r="D370" s="19">
        <f t="shared" si="51"/>
        <v>3</v>
      </c>
      <c r="E370" s="19">
        <f t="shared" si="51"/>
        <v>118</v>
      </c>
      <c r="F370" s="19">
        <f t="shared" si="51"/>
        <v>2</v>
      </c>
      <c r="G370" s="19">
        <f t="shared" si="51"/>
        <v>28.8</v>
      </c>
      <c r="H370" s="19">
        <f t="shared" si="51"/>
        <v>38.5</v>
      </c>
      <c r="I370" s="19">
        <f t="shared" si="51"/>
        <v>0</v>
      </c>
      <c r="J370" s="19">
        <f t="shared" si="51"/>
        <v>11803</v>
      </c>
      <c r="K370" s="19">
        <f t="shared" si="51"/>
        <v>2</v>
      </c>
      <c r="L370" s="19">
        <f t="shared" si="51"/>
        <v>100</v>
      </c>
      <c r="M370" s="19">
        <f t="shared" si="51"/>
        <v>0</v>
      </c>
      <c r="N370" s="19">
        <f t="shared" si="51"/>
        <v>2</v>
      </c>
      <c r="O370" s="19">
        <f t="shared" si="51"/>
        <v>118</v>
      </c>
      <c r="P370" s="19">
        <f t="shared" si="51"/>
        <v>1</v>
      </c>
      <c r="Q370" s="19">
        <f t="shared" si="51"/>
        <v>4</v>
      </c>
      <c r="R370" s="19">
        <f t="shared" si="50"/>
        <v>10</v>
      </c>
      <c r="S370" s="19">
        <f t="shared" si="50"/>
        <v>0</v>
      </c>
      <c r="T370" s="19">
        <f t="shared" si="50"/>
        <v>0</v>
      </c>
      <c r="U370" s="19">
        <f t="shared" si="50"/>
        <v>0</v>
      </c>
      <c r="V370" s="19">
        <f t="shared" si="50"/>
        <v>0</v>
      </c>
      <c r="W370" s="19">
        <f t="shared" si="50"/>
        <v>1</v>
      </c>
    </row>
    <row r="371" spans="1:23">
      <c r="A371" s="24" t="str">
        <f t="shared" si="45"/>
        <v>11206_3-3/118&lt;lv1&gt;s2</v>
      </c>
      <c r="B371" s="19">
        <f t="shared" si="51"/>
        <v>11206</v>
      </c>
      <c r="C371" s="19">
        <f t="shared" si="51"/>
        <v>3</v>
      </c>
      <c r="D371" s="19">
        <f t="shared" si="51"/>
        <v>3</v>
      </c>
      <c r="E371" s="19">
        <f t="shared" si="51"/>
        <v>118</v>
      </c>
      <c r="F371" s="19">
        <f t="shared" si="51"/>
        <v>1</v>
      </c>
      <c r="G371" s="19">
        <f t="shared" si="51"/>
        <v>40.5</v>
      </c>
      <c r="H371" s="19">
        <f t="shared" si="51"/>
        <v>38.5</v>
      </c>
      <c r="I371" s="19">
        <f t="shared" si="51"/>
        <v>0</v>
      </c>
      <c r="J371" s="19">
        <f t="shared" si="51"/>
        <v>11803</v>
      </c>
      <c r="K371" s="19">
        <f t="shared" si="51"/>
        <v>0</v>
      </c>
      <c r="L371" s="19">
        <f t="shared" si="51"/>
        <v>100</v>
      </c>
      <c r="M371" s="19">
        <f t="shared" si="51"/>
        <v>0</v>
      </c>
      <c r="N371" s="19">
        <f t="shared" si="51"/>
        <v>2</v>
      </c>
      <c r="O371" s="19">
        <f t="shared" si="51"/>
        <v>118</v>
      </c>
      <c r="P371" s="19">
        <f t="shared" si="51"/>
        <v>1</v>
      </c>
      <c r="Q371" s="19">
        <f t="shared" si="51"/>
        <v>4</v>
      </c>
      <c r="R371" s="19">
        <f t="shared" si="50"/>
        <v>10</v>
      </c>
      <c r="S371" s="19">
        <f t="shared" si="50"/>
        <v>0</v>
      </c>
      <c r="T371" s="19">
        <f t="shared" si="50"/>
        <v>0</v>
      </c>
      <c r="U371" s="19">
        <f t="shared" si="50"/>
        <v>0</v>
      </c>
      <c r="V371" s="19">
        <f t="shared" si="50"/>
        <v>0</v>
      </c>
      <c r="W371" s="19">
        <f t="shared" si="50"/>
        <v>1</v>
      </c>
    </row>
    <row r="372" spans="1:23">
      <c r="A372" s="24" t="str">
        <f t="shared" si="45"/>
        <v>11206_3-3/63&lt;lv32&gt;s2</v>
      </c>
      <c r="B372" s="19">
        <f t="shared" si="51"/>
        <v>11206</v>
      </c>
      <c r="C372" s="19">
        <f t="shared" si="51"/>
        <v>3</v>
      </c>
      <c r="D372" s="19">
        <f t="shared" si="51"/>
        <v>3</v>
      </c>
      <c r="E372" s="19">
        <f t="shared" si="51"/>
        <v>63</v>
      </c>
      <c r="F372" s="19">
        <f t="shared" si="51"/>
        <v>32</v>
      </c>
      <c r="G372" s="19">
        <f t="shared" si="51"/>
        <v>1</v>
      </c>
      <c r="H372" s="19">
        <f t="shared" si="51"/>
        <v>1</v>
      </c>
      <c r="I372" s="19">
        <f t="shared" si="51"/>
        <v>0</v>
      </c>
      <c r="J372" s="19">
        <f t="shared" si="51"/>
        <v>63</v>
      </c>
      <c r="K372" s="19">
        <f t="shared" si="51"/>
        <v>0</v>
      </c>
      <c r="L372" s="19">
        <f t="shared" si="51"/>
        <v>100</v>
      </c>
      <c r="M372" s="19">
        <f t="shared" si="51"/>
        <v>0</v>
      </c>
      <c r="N372" s="19">
        <f t="shared" si="51"/>
        <v>2</v>
      </c>
      <c r="O372" s="19">
        <f t="shared" si="51"/>
        <v>63</v>
      </c>
      <c r="P372" s="19">
        <f t="shared" si="51"/>
        <v>1</v>
      </c>
      <c r="Q372" s="19">
        <f t="shared" si="51"/>
        <v>2</v>
      </c>
      <c r="R372" s="19">
        <f t="shared" si="50"/>
        <v>0</v>
      </c>
      <c r="S372" s="19">
        <f t="shared" si="50"/>
        <v>0</v>
      </c>
      <c r="T372" s="19">
        <f t="shared" si="50"/>
        <v>0</v>
      </c>
      <c r="U372" s="19">
        <f t="shared" si="50"/>
        <v>0</v>
      </c>
      <c r="V372" s="19">
        <f t="shared" si="50"/>
        <v>0</v>
      </c>
      <c r="W372" s="19">
        <f t="shared" si="50"/>
        <v>1</v>
      </c>
    </row>
    <row r="373" spans="1:23">
      <c r="A373" s="24" t="str">
        <f t="shared" si="45"/>
        <v>11206_3-3/61&lt;lv32&gt;s2</v>
      </c>
      <c r="B373" s="19">
        <f t="shared" si="51"/>
        <v>11206</v>
      </c>
      <c r="C373" s="19">
        <f t="shared" si="51"/>
        <v>3</v>
      </c>
      <c r="D373" s="19">
        <f t="shared" si="51"/>
        <v>3</v>
      </c>
      <c r="E373" s="19">
        <f t="shared" si="51"/>
        <v>61</v>
      </c>
      <c r="F373" s="19">
        <f t="shared" si="51"/>
        <v>32</v>
      </c>
      <c r="G373" s="19">
        <f t="shared" si="51"/>
        <v>1</v>
      </c>
      <c r="H373" s="19">
        <f t="shared" si="51"/>
        <v>1</v>
      </c>
      <c r="I373" s="19">
        <f t="shared" si="51"/>
        <v>0</v>
      </c>
      <c r="J373" s="19">
        <f t="shared" si="51"/>
        <v>61</v>
      </c>
      <c r="K373" s="19">
        <f t="shared" si="51"/>
        <v>0</v>
      </c>
      <c r="L373" s="19">
        <f t="shared" si="51"/>
        <v>100</v>
      </c>
      <c r="M373" s="19">
        <f t="shared" si="51"/>
        <v>0</v>
      </c>
      <c r="N373" s="19">
        <f t="shared" si="51"/>
        <v>2</v>
      </c>
      <c r="O373" s="19">
        <f t="shared" si="51"/>
        <v>61</v>
      </c>
      <c r="P373" s="19">
        <f t="shared" si="51"/>
        <v>1</v>
      </c>
      <c r="Q373" s="19">
        <f t="shared" si="51"/>
        <v>2</v>
      </c>
      <c r="R373" s="19">
        <f t="shared" si="50"/>
        <v>0</v>
      </c>
      <c r="S373" s="19">
        <f t="shared" si="50"/>
        <v>0</v>
      </c>
      <c r="T373" s="19">
        <f t="shared" si="50"/>
        <v>0</v>
      </c>
      <c r="U373" s="19">
        <f t="shared" si="50"/>
        <v>0</v>
      </c>
      <c r="V373" s="19">
        <f t="shared" si="50"/>
        <v>0</v>
      </c>
      <c r="W373" s="19">
        <f t="shared" si="50"/>
        <v>1</v>
      </c>
    </row>
    <row r="374" spans="1:23">
      <c r="A374" s="24" t="str">
        <f t="shared" si="45"/>
        <v>11206_3-3/57&lt;lv32&gt;s2</v>
      </c>
      <c r="B374" s="19">
        <f t="shared" si="51"/>
        <v>11206</v>
      </c>
      <c r="C374" s="19">
        <f t="shared" si="51"/>
        <v>3</v>
      </c>
      <c r="D374" s="19">
        <f t="shared" si="51"/>
        <v>3</v>
      </c>
      <c r="E374" s="19">
        <f t="shared" si="51"/>
        <v>57</v>
      </c>
      <c r="F374" s="19">
        <f t="shared" si="51"/>
        <v>32</v>
      </c>
      <c r="G374" s="19">
        <f t="shared" si="51"/>
        <v>1</v>
      </c>
      <c r="H374" s="19">
        <f t="shared" si="51"/>
        <v>1</v>
      </c>
      <c r="I374" s="19">
        <f t="shared" si="51"/>
        <v>0</v>
      </c>
      <c r="J374" s="19">
        <f t="shared" si="51"/>
        <v>57</v>
      </c>
      <c r="K374" s="19">
        <f t="shared" si="51"/>
        <v>0</v>
      </c>
      <c r="L374" s="19">
        <f t="shared" si="51"/>
        <v>100</v>
      </c>
      <c r="M374" s="19">
        <f t="shared" si="51"/>
        <v>0</v>
      </c>
      <c r="N374" s="19">
        <f t="shared" si="51"/>
        <v>2</v>
      </c>
      <c r="O374" s="19">
        <f t="shared" si="51"/>
        <v>57</v>
      </c>
      <c r="P374" s="19">
        <f t="shared" si="51"/>
        <v>1</v>
      </c>
      <c r="Q374" s="19">
        <f t="shared" si="51"/>
        <v>2</v>
      </c>
      <c r="R374" s="19">
        <f t="shared" si="50"/>
        <v>0</v>
      </c>
      <c r="S374" s="19">
        <f t="shared" si="50"/>
        <v>0</v>
      </c>
      <c r="T374" s="19">
        <f t="shared" si="50"/>
        <v>0</v>
      </c>
      <c r="U374" s="19">
        <f t="shared" si="50"/>
        <v>0</v>
      </c>
      <c r="V374" s="19">
        <f t="shared" si="50"/>
        <v>0</v>
      </c>
      <c r="W374" s="19">
        <f t="shared" si="50"/>
        <v>1</v>
      </c>
    </row>
    <row r="375" spans="1:23">
      <c r="A375" s="24" t="str">
        <f t="shared" si="45"/>
        <v>11206_3-3/59&lt;lv32&gt;s2</v>
      </c>
      <c r="B375" s="19">
        <f t="shared" si="51"/>
        <v>11206</v>
      </c>
      <c r="C375" s="19">
        <f t="shared" si="51"/>
        <v>3</v>
      </c>
      <c r="D375" s="19">
        <f t="shared" si="51"/>
        <v>3</v>
      </c>
      <c r="E375" s="19">
        <f t="shared" si="51"/>
        <v>59</v>
      </c>
      <c r="F375" s="19">
        <f t="shared" si="51"/>
        <v>32</v>
      </c>
      <c r="G375" s="19">
        <f t="shared" si="51"/>
        <v>1</v>
      </c>
      <c r="H375" s="19">
        <f t="shared" si="51"/>
        <v>1</v>
      </c>
      <c r="I375" s="19">
        <f t="shared" si="51"/>
        <v>0</v>
      </c>
      <c r="J375" s="19">
        <f t="shared" si="51"/>
        <v>59</v>
      </c>
      <c r="K375" s="19">
        <f t="shared" si="51"/>
        <v>0</v>
      </c>
      <c r="L375" s="19">
        <f t="shared" si="51"/>
        <v>100</v>
      </c>
      <c r="M375" s="19">
        <f t="shared" si="51"/>
        <v>0</v>
      </c>
      <c r="N375" s="19">
        <f t="shared" si="51"/>
        <v>2</v>
      </c>
      <c r="O375" s="19">
        <f t="shared" si="51"/>
        <v>59</v>
      </c>
      <c r="P375" s="19">
        <f t="shared" si="51"/>
        <v>1</v>
      </c>
      <c r="Q375" s="19">
        <f t="shared" si="51"/>
        <v>2</v>
      </c>
      <c r="R375" s="19">
        <f t="shared" si="50"/>
        <v>0</v>
      </c>
      <c r="S375" s="19">
        <f t="shared" si="50"/>
        <v>0</v>
      </c>
      <c r="T375" s="19">
        <f t="shared" si="50"/>
        <v>0</v>
      </c>
      <c r="U375" s="19">
        <f t="shared" si="50"/>
        <v>0</v>
      </c>
      <c r="V375" s="19">
        <f t="shared" si="50"/>
        <v>0</v>
      </c>
      <c r="W375" s="19">
        <f t="shared" si="50"/>
        <v>1</v>
      </c>
    </row>
    <row r="376" spans="1:23">
      <c r="A376" s="24" t="str">
        <f t="shared" si="45"/>
        <v>11206_3-4/118&lt;lv1&gt;s2</v>
      </c>
      <c r="B376" s="19">
        <f t="shared" si="51"/>
        <v>11206</v>
      </c>
      <c r="C376" s="19">
        <f t="shared" si="51"/>
        <v>3</v>
      </c>
      <c r="D376" s="19">
        <f t="shared" si="51"/>
        <v>4</v>
      </c>
      <c r="E376" s="19">
        <f t="shared" si="51"/>
        <v>118</v>
      </c>
      <c r="F376" s="19">
        <f t="shared" si="51"/>
        <v>1</v>
      </c>
      <c r="G376" s="19">
        <f t="shared" si="51"/>
        <v>40.5</v>
      </c>
      <c r="H376" s="19">
        <f t="shared" si="51"/>
        <v>38.5</v>
      </c>
      <c r="I376" s="19">
        <f t="shared" si="51"/>
        <v>0</v>
      </c>
      <c r="J376" s="19">
        <f t="shared" si="51"/>
        <v>11803</v>
      </c>
      <c r="K376" s="19">
        <f t="shared" si="51"/>
        <v>0</v>
      </c>
      <c r="L376" s="19">
        <f t="shared" si="51"/>
        <v>100</v>
      </c>
      <c r="M376" s="19">
        <f t="shared" si="51"/>
        <v>0</v>
      </c>
      <c r="N376" s="19">
        <f t="shared" si="51"/>
        <v>2</v>
      </c>
      <c r="O376" s="19">
        <f t="shared" si="51"/>
        <v>118</v>
      </c>
      <c r="P376" s="19">
        <f t="shared" si="51"/>
        <v>1</v>
      </c>
      <c r="Q376" s="19">
        <f t="shared" si="51"/>
        <v>4</v>
      </c>
      <c r="R376" s="19">
        <f t="shared" si="50"/>
        <v>80</v>
      </c>
      <c r="S376" s="19">
        <f t="shared" si="50"/>
        <v>0</v>
      </c>
      <c r="T376" s="19">
        <f t="shared" si="50"/>
        <v>0</v>
      </c>
      <c r="U376" s="19">
        <f t="shared" si="50"/>
        <v>0</v>
      </c>
      <c r="V376" s="19">
        <f t="shared" si="50"/>
        <v>0</v>
      </c>
      <c r="W376" s="19">
        <f t="shared" si="50"/>
        <v>1</v>
      </c>
    </row>
    <row r="377" spans="1:23">
      <c r="A377" s="24" t="str">
        <f t="shared" si="45"/>
        <v>11206_3-4/119&lt;lv2&gt;s4</v>
      </c>
      <c r="B377" s="19">
        <f t="shared" si="51"/>
        <v>11206</v>
      </c>
      <c r="C377" s="19">
        <f t="shared" si="51"/>
        <v>3</v>
      </c>
      <c r="D377" s="19">
        <f t="shared" si="51"/>
        <v>4</v>
      </c>
      <c r="E377" s="19">
        <f t="shared" si="51"/>
        <v>119</v>
      </c>
      <c r="F377" s="19">
        <f t="shared" si="51"/>
        <v>2</v>
      </c>
      <c r="G377" s="19">
        <f t="shared" si="51"/>
        <v>93.3</v>
      </c>
      <c r="H377" s="19">
        <f t="shared" si="51"/>
        <v>41</v>
      </c>
      <c r="I377" s="19">
        <f t="shared" si="51"/>
        <v>0</v>
      </c>
      <c r="J377" s="19">
        <f t="shared" si="51"/>
        <v>11903</v>
      </c>
      <c r="K377" s="19">
        <f t="shared" si="51"/>
        <v>1</v>
      </c>
      <c r="L377" s="19">
        <f t="shared" si="51"/>
        <v>100</v>
      </c>
      <c r="M377" s="19">
        <f t="shared" si="51"/>
        <v>0</v>
      </c>
      <c r="N377" s="19">
        <f t="shared" si="51"/>
        <v>4</v>
      </c>
      <c r="O377" s="19">
        <f t="shared" si="51"/>
        <v>119</v>
      </c>
      <c r="P377" s="19">
        <f t="shared" si="51"/>
        <v>1</v>
      </c>
      <c r="Q377" s="19">
        <f t="shared" si="51"/>
        <v>5</v>
      </c>
      <c r="R377" s="19">
        <f t="shared" si="50"/>
        <v>30</v>
      </c>
      <c r="S377" s="19">
        <f t="shared" si="50"/>
        <v>0</v>
      </c>
      <c r="T377" s="19">
        <f t="shared" si="50"/>
        <v>0</v>
      </c>
      <c r="U377" s="19">
        <f t="shared" si="50"/>
        <v>0</v>
      </c>
      <c r="V377" s="19">
        <f t="shared" si="50"/>
        <v>0</v>
      </c>
      <c r="W377" s="19">
        <f t="shared" si="50"/>
        <v>1</v>
      </c>
    </row>
    <row r="378" spans="1:23">
      <c r="A378" s="24" t="str">
        <f t="shared" si="45"/>
        <v>11206_3-4/63&lt;lv32&gt;s2</v>
      </c>
      <c r="B378" s="19">
        <f t="shared" si="51"/>
        <v>11206</v>
      </c>
      <c r="C378" s="19">
        <f t="shared" si="51"/>
        <v>3</v>
      </c>
      <c r="D378" s="19">
        <f t="shared" si="51"/>
        <v>4</v>
      </c>
      <c r="E378" s="19">
        <f t="shared" si="51"/>
        <v>63</v>
      </c>
      <c r="F378" s="19">
        <f t="shared" si="51"/>
        <v>32</v>
      </c>
      <c r="G378" s="19">
        <f t="shared" si="51"/>
        <v>1</v>
      </c>
      <c r="H378" s="19">
        <f t="shared" si="51"/>
        <v>1</v>
      </c>
      <c r="I378" s="19">
        <f t="shared" si="51"/>
        <v>0</v>
      </c>
      <c r="J378" s="19">
        <f t="shared" si="51"/>
        <v>63</v>
      </c>
      <c r="K378" s="19">
        <f t="shared" si="51"/>
        <v>0</v>
      </c>
      <c r="L378" s="19">
        <f t="shared" si="51"/>
        <v>100</v>
      </c>
      <c r="M378" s="19">
        <f t="shared" si="51"/>
        <v>0</v>
      </c>
      <c r="N378" s="19">
        <f t="shared" si="51"/>
        <v>2</v>
      </c>
      <c r="O378" s="19">
        <f t="shared" si="51"/>
        <v>63</v>
      </c>
      <c r="P378" s="19">
        <f t="shared" si="51"/>
        <v>1</v>
      </c>
      <c r="Q378" s="19">
        <f t="shared" si="51"/>
        <v>2</v>
      </c>
      <c r="R378" s="19">
        <f t="shared" si="50"/>
        <v>0</v>
      </c>
      <c r="S378" s="19">
        <f t="shared" si="50"/>
        <v>0</v>
      </c>
      <c r="T378" s="19">
        <f t="shared" si="50"/>
        <v>0</v>
      </c>
      <c r="U378" s="19">
        <f t="shared" si="50"/>
        <v>0</v>
      </c>
      <c r="V378" s="19">
        <f t="shared" si="50"/>
        <v>0</v>
      </c>
      <c r="W378" s="19">
        <f t="shared" si="50"/>
        <v>1</v>
      </c>
    </row>
    <row r="379" spans="1:23">
      <c r="A379" s="24" t="str">
        <f t="shared" si="45"/>
        <v>11206_3-4/61&lt;lv32&gt;s2</v>
      </c>
      <c r="B379" s="19">
        <f t="shared" si="51"/>
        <v>11206</v>
      </c>
      <c r="C379" s="19">
        <f t="shared" si="51"/>
        <v>3</v>
      </c>
      <c r="D379" s="19">
        <f t="shared" si="51"/>
        <v>4</v>
      </c>
      <c r="E379" s="19">
        <f t="shared" si="51"/>
        <v>61</v>
      </c>
      <c r="F379" s="19">
        <f t="shared" si="51"/>
        <v>32</v>
      </c>
      <c r="G379" s="19">
        <f t="shared" si="51"/>
        <v>1</v>
      </c>
      <c r="H379" s="19">
        <f t="shared" si="51"/>
        <v>1</v>
      </c>
      <c r="I379" s="19">
        <f t="shared" si="51"/>
        <v>0</v>
      </c>
      <c r="J379" s="19">
        <f t="shared" si="51"/>
        <v>61</v>
      </c>
      <c r="K379" s="19">
        <f t="shared" si="51"/>
        <v>0</v>
      </c>
      <c r="L379" s="19">
        <f t="shared" si="51"/>
        <v>100</v>
      </c>
      <c r="M379" s="19">
        <f t="shared" si="51"/>
        <v>0</v>
      </c>
      <c r="N379" s="19">
        <f t="shared" si="51"/>
        <v>2</v>
      </c>
      <c r="O379" s="19">
        <f t="shared" si="51"/>
        <v>61</v>
      </c>
      <c r="P379" s="19">
        <f t="shared" si="51"/>
        <v>1</v>
      </c>
      <c r="Q379" s="19">
        <f t="shared" ref="Q379:W382" si="52">VLOOKUP($A379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379" s="19">
        <f t="shared" si="52"/>
        <v>0</v>
      </c>
      <c r="S379" s="19">
        <f t="shared" si="52"/>
        <v>0</v>
      </c>
      <c r="T379" s="19">
        <f t="shared" si="52"/>
        <v>0</v>
      </c>
      <c r="U379" s="19">
        <f t="shared" si="52"/>
        <v>0</v>
      </c>
      <c r="V379" s="19">
        <f t="shared" si="52"/>
        <v>0</v>
      </c>
      <c r="W379" s="19">
        <f t="shared" si="52"/>
        <v>1</v>
      </c>
    </row>
    <row r="380" spans="1:23">
      <c r="A380" s="24" t="str">
        <f t="shared" si="45"/>
        <v>11206_3-4/57&lt;lv32&gt;s2</v>
      </c>
      <c r="B380" s="19">
        <f t="shared" ref="B380:Q382" si="53">VLOOKUP($A380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11206</v>
      </c>
      <c r="C380" s="19">
        <f t="shared" si="53"/>
        <v>3</v>
      </c>
      <c r="D380" s="19">
        <f t="shared" si="53"/>
        <v>4</v>
      </c>
      <c r="E380" s="19">
        <f t="shared" si="53"/>
        <v>57</v>
      </c>
      <c r="F380" s="19">
        <f t="shared" si="53"/>
        <v>32</v>
      </c>
      <c r="G380" s="19">
        <f t="shared" si="53"/>
        <v>1</v>
      </c>
      <c r="H380" s="19">
        <f t="shared" si="53"/>
        <v>1</v>
      </c>
      <c r="I380" s="19">
        <f t="shared" si="53"/>
        <v>0</v>
      </c>
      <c r="J380" s="19">
        <f t="shared" si="53"/>
        <v>57</v>
      </c>
      <c r="K380" s="19">
        <f t="shared" si="53"/>
        <v>0</v>
      </c>
      <c r="L380" s="19">
        <f t="shared" si="53"/>
        <v>100</v>
      </c>
      <c r="M380" s="19">
        <f t="shared" si="53"/>
        <v>0</v>
      </c>
      <c r="N380" s="19">
        <f t="shared" si="53"/>
        <v>2</v>
      </c>
      <c r="O380" s="19">
        <f t="shared" si="53"/>
        <v>57</v>
      </c>
      <c r="P380" s="19">
        <f t="shared" si="53"/>
        <v>1</v>
      </c>
      <c r="Q380" s="19">
        <f t="shared" si="53"/>
        <v>2</v>
      </c>
      <c r="R380" s="19">
        <f t="shared" si="52"/>
        <v>0</v>
      </c>
      <c r="S380" s="19">
        <f t="shared" si="52"/>
        <v>0</v>
      </c>
      <c r="T380" s="19">
        <f t="shared" si="52"/>
        <v>0</v>
      </c>
      <c r="U380" s="19">
        <f t="shared" si="52"/>
        <v>0</v>
      </c>
      <c r="V380" s="19">
        <f t="shared" si="52"/>
        <v>0</v>
      </c>
      <c r="W380" s="19">
        <f t="shared" si="52"/>
        <v>1</v>
      </c>
    </row>
    <row r="381" spans="1:23">
      <c r="A381" s="24" t="str">
        <f t="shared" si="45"/>
        <v>11206_3-4/59&lt;lv32&gt;s2</v>
      </c>
      <c r="B381" s="19">
        <f t="shared" si="53"/>
        <v>11206</v>
      </c>
      <c r="C381" s="19">
        <f t="shared" si="53"/>
        <v>3</v>
      </c>
      <c r="D381" s="19">
        <f t="shared" si="53"/>
        <v>4</v>
      </c>
      <c r="E381" s="19">
        <f t="shared" si="53"/>
        <v>59</v>
      </c>
      <c r="F381" s="19">
        <f t="shared" si="53"/>
        <v>32</v>
      </c>
      <c r="G381" s="19">
        <f t="shared" si="53"/>
        <v>1</v>
      </c>
      <c r="H381" s="19">
        <f t="shared" si="53"/>
        <v>1</v>
      </c>
      <c r="I381" s="19">
        <f t="shared" si="53"/>
        <v>0</v>
      </c>
      <c r="J381" s="19">
        <f t="shared" si="53"/>
        <v>59</v>
      </c>
      <c r="K381" s="19">
        <f t="shared" si="53"/>
        <v>0</v>
      </c>
      <c r="L381" s="19">
        <f t="shared" si="53"/>
        <v>100</v>
      </c>
      <c r="M381" s="19">
        <f t="shared" si="53"/>
        <v>0</v>
      </c>
      <c r="N381" s="19">
        <f t="shared" si="53"/>
        <v>2</v>
      </c>
      <c r="O381" s="19">
        <f t="shared" si="53"/>
        <v>59</v>
      </c>
      <c r="P381" s="19">
        <f t="shared" si="53"/>
        <v>1</v>
      </c>
      <c r="Q381" s="19">
        <f t="shared" si="53"/>
        <v>2</v>
      </c>
      <c r="R381" s="19">
        <f t="shared" si="52"/>
        <v>0</v>
      </c>
      <c r="S381" s="19">
        <f t="shared" si="52"/>
        <v>0</v>
      </c>
      <c r="T381" s="19">
        <f t="shared" si="52"/>
        <v>0</v>
      </c>
      <c r="U381" s="19">
        <f t="shared" si="52"/>
        <v>0</v>
      </c>
      <c r="V381" s="19">
        <f t="shared" si="52"/>
        <v>0</v>
      </c>
      <c r="W381" s="19">
        <f t="shared" si="52"/>
        <v>1</v>
      </c>
    </row>
    <row r="382" spans="1:23">
      <c r="A382" s="24" t="str">
        <f t="shared" si="45"/>
        <v>11206_3-5/119&lt;lv2&gt;s4</v>
      </c>
      <c r="B382" s="19">
        <f t="shared" si="53"/>
        <v>11206</v>
      </c>
      <c r="C382" s="19">
        <f t="shared" si="53"/>
        <v>3</v>
      </c>
      <c r="D382" s="19">
        <f t="shared" si="53"/>
        <v>5</v>
      </c>
      <c r="E382" s="19">
        <f t="shared" si="53"/>
        <v>119</v>
      </c>
      <c r="F382" s="19">
        <f t="shared" si="53"/>
        <v>2</v>
      </c>
      <c r="G382" s="19">
        <f t="shared" si="53"/>
        <v>93.3</v>
      </c>
      <c r="H382" s="19">
        <f t="shared" si="53"/>
        <v>41</v>
      </c>
      <c r="I382" s="19">
        <f t="shared" si="53"/>
        <v>0</v>
      </c>
      <c r="J382" s="19">
        <f t="shared" si="53"/>
        <v>11903</v>
      </c>
      <c r="K382" s="19">
        <f t="shared" si="53"/>
        <v>1</v>
      </c>
      <c r="L382" s="19">
        <f t="shared" si="53"/>
        <v>100</v>
      </c>
      <c r="M382" s="19">
        <f t="shared" si="53"/>
        <v>1</v>
      </c>
      <c r="N382" s="19">
        <f t="shared" si="53"/>
        <v>4</v>
      </c>
      <c r="O382" s="19">
        <f t="shared" si="53"/>
        <v>119</v>
      </c>
      <c r="P382" s="19">
        <f t="shared" si="53"/>
        <v>1</v>
      </c>
      <c r="Q382" s="19">
        <f t="shared" si="53"/>
        <v>5</v>
      </c>
      <c r="R382" s="19">
        <f t="shared" si="52"/>
        <v>100</v>
      </c>
      <c r="S382" s="19">
        <f t="shared" si="52"/>
        <v>0</v>
      </c>
      <c r="T382" s="19">
        <f t="shared" si="52"/>
        <v>0</v>
      </c>
      <c r="U382" s="19">
        <f t="shared" si="52"/>
        <v>0</v>
      </c>
      <c r="V382" s="19">
        <f t="shared" si="52"/>
        <v>0</v>
      </c>
      <c r="W382" s="19">
        <f t="shared" si="52"/>
        <v>1</v>
      </c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floors_cp_quests</vt:lpstr>
      <vt:lpstr>enemy_habitats_cp_quests</vt:lpstr>
      <vt:lpstr>floors_cp_quests.tmp</vt:lpstr>
      <vt:lpstr>enemy_habitats_cp_quests.tmp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菱川 亜美</cp:lastModifiedBy>
  <dcterms:created xsi:type="dcterms:W3CDTF">2015-01-30T13:36:44Z</dcterms:created>
  <dcterms:modified xsi:type="dcterms:W3CDTF">2015-09-08T03:34:43Z</dcterms:modified>
</cp:coreProperties>
</file>