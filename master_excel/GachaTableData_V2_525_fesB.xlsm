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9"/>
  </bookViews>
  <sheets>
    <sheet name="確率の考え方" sheetId="110" r:id="rId1"/>
    <sheet name="Sheet1" sheetId="107" r:id="rId2"/>
    <sheet name="output" sheetId="103" r:id="rId3"/>
    <sheet name="input_525010" sheetId="157" r:id="rId4"/>
    <sheet name="tables_525010" sheetId="158" r:id="rId5"/>
    <sheet name="input_525100" sheetId="153" r:id="rId6"/>
    <sheet name="tables_525100" sheetId="154" r:id="rId7"/>
    <sheet name="input_settle_525100" sheetId="160" r:id="rId8"/>
    <sheet name="tables_settle_525100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tables_525010!$A$1:$V$294</definedName>
    <definedName name="_xlnm._FilterDatabase" localSheetId="6" hidden="1">tables_525100!$A$1:$V$294</definedName>
    <definedName name="_xlnm._FilterDatabase" localSheetId="8" hidden="1">tables_settle_525100!$A$1:$V$294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61" l="1"/>
  <c r="J2" i="161"/>
  <c r="D2" i="161"/>
  <c r="E2" i="161"/>
  <c r="F2" i="161"/>
  <c r="C2" i="161"/>
  <c r="I3" i="161"/>
  <c r="J3" i="161"/>
  <c r="D3" i="161"/>
  <c r="E3" i="161"/>
  <c r="F3" i="161"/>
  <c r="C3" i="161"/>
  <c r="I4" i="161"/>
  <c r="J4" i="161"/>
  <c r="D4" i="161"/>
  <c r="E4" i="161"/>
  <c r="F4" i="161"/>
  <c r="C4" i="161"/>
  <c r="I5" i="161"/>
  <c r="J5" i="161"/>
  <c r="D5" i="161"/>
  <c r="E5" i="161"/>
  <c r="F5" i="161"/>
  <c r="C5" i="161"/>
  <c r="I6" i="161"/>
  <c r="J6" i="161"/>
  <c r="D6" i="161"/>
  <c r="E6" i="161"/>
  <c r="F6" i="161"/>
  <c r="C6" i="161"/>
  <c r="I7" i="161"/>
  <c r="J7" i="161"/>
  <c r="D7" i="161"/>
  <c r="E7" i="161"/>
  <c r="F7" i="161"/>
  <c r="C7" i="161"/>
  <c r="I8" i="161"/>
  <c r="J8" i="161"/>
  <c r="D8" i="161"/>
  <c r="E8" i="161"/>
  <c r="F8" i="161"/>
  <c r="C8" i="161"/>
  <c r="I9" i="161"/>
  <c r="J9" i="161"/>
  <c r="D9" i="161"/>
  <c r="E9" i="161"/>
  <c r="F9" i="161"/>
  <c r="C9" i="161"/>
  <c r="I10" i="161"/>
  <c r="J10" i="161"/>
  <c r="D10" i="161"/>
  <c r="E10" i="161"/>
  <c r="F10" i="161"/>
  <c r="C10" i="161"/>
  <c r="I11" i="161"/>
  <c r="J11" i="161"/>
  <c r="D11" i="161"/>
  <c r="E11" i="161"/>
  <c r="F11" i="161"/>
  <c r="C11" i="161"/>
  <c r="I12" i="161"/>
  <c r="J12" i="161"/>
  <c r="D12" i="161"/>
  <c r="E12" i="161"/>
  <c r="F12" i="161"/>
  <c r="C12" i="161"/>
  <c r="I13" i="161"/>
  <c r="J13" i="161"/>
  <c r="D13" i="161"/>
  <c r="E13" i="161"/>
  <c r="F13" i="161"/>
  <c r="C13" i="161"/>
  <c r="I14" i="161"/>
  <c r="J14" i="161"/>
  <c r="D14" i="161"/>
  <c r="E14" i="161"/>
  <c r="F14" i="161"/>
  <c r="C14" i="161"/>
  <c r="I15" i="161"/>
  <c r="J15" i="161"/>
  <c r="D15" i="161"/>
  <c r="E15" i="161"/>
  <c r="F15" i="161"/>
  <c r="C15" i="161"/>
  <c r="I16" i="161"/>
  <c r="J16" i="161"/>
  <c r="D16" i="161"/>
  <c r="E16" i="161"/>
  <c r="F16" i="161"/>
  <c r="C16" i="161"/>
  <c r="I17" i="161"/>
  <c r="J17" i="161"/>
  <c r="D17" i="161"/>
  <c r="E17" i="161"/>
  <c r="F17" i="161"/>
  <c r="C17" i="161"/>
  <c r="I18" i="161"/>
  <c r="J18" i="161"/>
  <c r="D18" i="161"/>
  <c r="E18" i="161"/>
  <c r="F18" i="161"/>
  <c r="C18" i="161"/>
  <c r="I19" i="161"/>
  <c r="J19" i="161"/>
  <c r="D19" i="161"/>
  <c r="E19" i="161"/>
  <c r="F19" i="161"/>
  <c r="C19" i="161"/>
  <c r="I20" i="161"/>
  <c r="J20" i="161"/>
  <c r="D20" i="161"/>
  <c r="E20" i="161"/>
  <c r="F20" i="161"/>
  <c r="C20" i="161"/>
  <c r="I21" i="161"/>
  <c r="J21" i="161"/>
  <c r="D21" i="161"/>
  <c r="E21" i="161"/>
  <c r="F21" i="161"/>
  <c r="C21" i="161"/>
  <c r="I22" i="161"/>
  <c r="J22" i="161"/>
  <c r="D22" i="161"/>
  <c r="E22" i="161"/>
  <c r="F22" i="161"/>
  <c r="C22" i="161"/>
  <c r="I23" i="161"/>
  <c r="J23" i="161"/>
  <c r="D23" i="161"/>
  <c r="E23" i="161"/>
  <c r="F23" i="161"/>
  <c r="C23" i="161"/>
  <c r="I24" i="161"/>
  <c r="J24" i="161"/>
  <c r="D24" i="161"/>
  <c r="E24" i="161"/>
  <c r="F24" i="161"/>
  <c r="C24" i="161"/>
  <c r="I25" i="161"/>
  <c r="J25" i="161"/>
  <c r="D25" i="161"/>
  <c r="E25" i="161"/>
  <c r="F25" i="161"/>
  <c r="C25" i="161"/>
  <c r="I26" i="161"/>
  <c r="J26" i="161"/>
  <c r="D26" i="161"/>
  <c r="E26" i="161"/>
  <c r="F26" i="161"/>
  <c r="C26" i="161"/>
  <c r="I27" i="161"/>
  <c r="J27" i="161"/>
  <c r="D27" i="161"/>
  <c r="E27" i="161"/>
  <c r="F27" i="161"/>
  <c r="C27" i="161"/>
  <c r="I28" i="161"/>
  <c r="J28" i="161"/>
  <c r="D28" i="161"/>
  <c r="E28" i="161"/>
  <c r="F28" i="161"/>
  <c r="C28" i="161"/>
  <c r="I29" i="161"/>
  <c r="J29" i="161"/>
  <c r="D29" i="161"/>
  <c r="E29" i="161"/>
  <c r="F29" i="161"/>
  <c r="C29" i="161"/>
  <c r="I30" i="161"/>
  <c r="J30" i="161"/>
  <c r="D30" i="161"/>
  <c r="E30" i="161"/>
  <c r="F30" i="161"/>
  <c r="C30" i="161"/>
  <c r="I31" i="161"/>
  <c r="J31" i="161"/>
  <c r="D31" i="161"/>
  <c r="E31" i="161"/>
  <c r="F31" i="161"/>
  <c r="C31" i="161"/>
  <c r="I32" i="161"/>
  <c r="J32" i="161"/>
  <c r="D32" i="161"/>
  <c r="E32" i="161"/>
  <c r="F32" i="161"/>
  <c r="C32" i="161"/>
  <c r="I33" i="161"/>
  <c r="J33" i="161"/>
  <c r="D33" i="161"/>
  <c r="E33" i="161"/>
  <c r="F33" i="161"/>
  <c r="C33" i="161"/>
  <c r="I34" i="161"/>
  <c r="J34" i="161"/>
  <c r="D34" i="161"/>
  <c r="E34" i="161"/>
  <c r="F34" i="161"/>
  <c r="C34" i="161"/>
  <c r="I35" i="161"/>
  <c r="J35" i="161"/>
  <c r="D35" i="161"/>
  <c r="E35" i="161"/>
  <c r="F35" i="161"/>
  <c r="C35" i="161"/>
  <c r="I36" i="161"/>
  <c r="J36" i="161"/>
  <c r="D36" i="161"/>
  <c r="E36" i="161"/>
  <c r="F36" i="161"/>
  <c r="C36" i="161"/>
  <c r="I37" i="161"/>
  <c r="J37" i="161"/>
  <c r="D37" i="161"/>
  <c r="E37" i="161"/>
  <c r="F37" i="161"/>
  <c r="C37" i="161"/>
  <c r="I38" i="161"/>
  <c r="J38" i="161"/>
  <c r="D38" i="161"/>
  <c r="E38" i="161"/>
  <c r="F38" i="161"/>
  <c r="C38" i="161"/>
  <c r="I39" i="161"/>
  <c r="J39" i="161"/>
  <c r="D39" i="161"/>
  <c r="E39" i="161"/>
  <c r="F39" i="161"/>
  <c r="C39" i="161"/>
  <c r="I40" i="161"/>
  <c r="J40" i="161"/>
  <c r="D40" i="161"/>
  <c r="E40" i="161"/>
  <c r="F40" i="161"/>
  <c r="C40" i="161"/>
  <c r="I41" i="161"/>
  <c r="J41" i="161"/>
  <c r="D41" i="161"/>
  <c r="E41" i="161"/>
  <c r="F41" i="161"/>
  <c r="C41" i="161"/>
  <c r="I42" i="161"/>
  <c r="D42" i="161"/>
  <c r="J42" i="161"/>
  <c r="E42" i="161"/>
  <c r="F42" i="161"/>
  <c r="C42" i="161"/>
  <c r="I43" i="161"/>
  <c r="D43" i="161"/>
  <c r="J43" i="161"/>
  <c r="E43" i="161"/>
  <c r="F43" i="161"/>
  <c r="C43" i="161"/>
  <c r="I44" i="161"/>
  <c r="D44" i="161"/>
  <c r="J44" i="161"/>
  <c r="E44" i="161"/>
  <c r="F44" i="161"/>
  <c r="C44" i="161"/>
  <c r="I45" i="161"/>
  <c r="D45" i="161"/>
  <c r="J45" i="161"/>
  <c r="E45" i="161"/>
  <c r="F45" i="161"/>
  <c r="C45" i="161"/>
  <c r="I46" i="161"/>
  <c r="D46" i="161"/>
  <c r="J46" i="161"/>
  <c r="E46" i="161"/>
  <c r="F46" i="161"/>
  <c r="C46" i="161"/>
  <c r="I47" i="161"/>
  <c r="D47" i="161"/>
  <c r="J47" i="161"/>
  <c r="E47" i="161"/>
  <c r="F47" i="161"/>
  <c r="C47" i="161"/>
  <c r="I48" i="161"/>
  <c r="D48" i="161"/>
  <c r="J48" i="161"/>
  <c r="E48" i="161"/>
  <c r="F48" i="161"/>
  <c r="C48" i="161"/>
  <c r="I49" i="161"/>
  <c r="D49" i="161"/>
  <c r="J49" i="161"/>
  <c r="E49" i="161"/>
  <c r="F49" i="161"/>
  <c r="C49" i="161"/>
  <c r="I50" i="161"/>
  <c r="D50" i="161"/>
  <c r="J50" i="161"/>
  <c r="E50" i="161"/>
  <c r="F50" i="161"/>
  <c r="C50" i="161"/>
  <c r="I51" i="161"/>
  <c r="D51" i="161"/>
  <c r="J51" i="161"/>
  <c r="E51" i="161"/>
  <c r="F51" i="161"/>
  <c r="C51" i="161"/>
  <c r="I52" i="161"/>
  <c r="D52" i="161"/>
  <c r="J52" i="161"/>
  <c r="E52" i="161"/>
  <c r="F52" i="161"/>
  <c r="C52" i="161"/>
  <c r="I53" i="161"/>
  <c r="D53" i="161"/>
  <c r="J53" i="161"/>
  <c r="E53" i="161"/>
  <c r="F53" i="161"/>
  <c r="C53" i="161"/>
  <c r="I54" i="161"/>
  <c r="D54" i="161"/>
  <c r="J54" i="161"/>
  <c r="E54" i="161"/>
  <c r="F54" i="161"/>
  <c r="C54" i="161"/>
  <c r="I55" i="161"/>
  <c r="D55" i="161"/>
  <c r="J55" i="161"/>
  <c r="E55" i="161"/>
  <c r="F55" i="161"/>
  <c r="C55" i="161"/>
  <c r="I56" i="161"/>
  <c r="D56" i="161"/>
  <c r="J56" i="161"/>
  <c r="E56" i="161"/>
  <c r="F56" i="161"/>
  <c r="C56" i="161"/>
  <c r="I57" i="161"/>
  <c r="D57" i="161"/>
  <c r="J57" i="161"/>
  <c r="E57" i="161"/>
  <c r="F57" i="161"/>
  <c r="C57" i="161"/>
  <c r="I58" i="161"/>
  <c r="D58" i="161"/>
  <c r="J58" i="161"/>
  <c r="E58" i="161"/>
  <c r="F58" i="161"/>
  <c r="C58" i="161"/>
  <c r="I59" i="161"/>
  <c r="D59" i="161"/>
  <c r="J59" i="161"/>
  <c r="E59" i="161"/>
  <c r="F59" i="161"/>
  <c r="C59" i="161"/>
  <c r="I60" i="161"/>
  <c r="D60" i="161"/>
  <c r="J60" i="161"/>
  <c r="E60" i="161"/>
  <c r="F60" i="161"/>
  <c r="C60" i="161"/>
  <c r="I61" i="161"/>
  <c r="D61" i="161"/>
  <c r="J61" i="161"/>
  <c r="E61" i="161"/>
  <c r="F61" i="161"/>
  <c r="C61" i="161"/>
  <c r="I62" i="161"/>
  <c r="D62" i="161"/>
  <c r="J62" i="161"/>
  <c r="E62" i="161"/>
  <c r="F62" i="161"/>
  <c r="C62" i="161"/>
  <c r="I63" i="161"/>
  <c r="D63" i="161"/>
  <c r="J63" i="161"/>
  <c r="E63" i="161"/>
  <c r="F63" i="161"/>
  <c r="C63" i="161"/>
  <c r="I64" i="161"/>
  <c r="D64" i="161"/>
  <c r="J64" i="161"/>
  <c r="E64" i="161"/>
  <c r="F64" i="161"/>
  <c r="C64" i="161"/>
  <c r="I65" i="161"/>
  <c r="D65" i="161"/>
  <c r="J65" i="161"/>
  <c r="E65" i="161"/>
  <c r="F65" i="161"/>
  <c r="C65" i="161"/>
  <c r="I66" i="161"/>
  <c r="D66" i="161"/>
  <c r="J66" i="161"/>
  <c r="E66" i="161"/>
  <c r="F66" i="161"/>
  <c r="C66" i="161"/>
  <c r="I67" i="161"/>
  <c r="D67" i="161"/>
  <c r="J67" i="161"/>
  <c r="E67" i="161"/>
  <c r="F67" i="161"/>
  <c r="C67" i="161"/>
  <c r="I68" i="161"/>
  <c r="D68" i="161"/>
  <c r="J68" i="161"/>
  <c r="E68" i="161"/>
  <c r="F68" i="161"/>
  <c r="C68" i="161"/>
  <c r="I69" i="161"/>
  <c r="D69" i="161"/>
  <c r="J69" i="161"/>
  <c r="E69" i="161"/>
  <c r="F69" i="161"/>
  <c r="C69" i="161"/>
  <c r="I70" i="161"/>
  <c r="D70" i="161"/>
  <c r="J70" i="161"/>
  <c r="E70" i="161"/>
  <c r="F70" i="161"/>
  <c r="C70" i="161"/>
  <c r="I71" i="161"/>
  <c r="D71" i="161"/>
  <c r="J71" i="161"/>
  <c r="E71" i="161"/>
  <c r="F71" i="161"/>
  <c r="C71" i="161"/>
  <c r="I72" i="161"/>
  <c r="D72" i="161"/>
  <c r="J72" i="161"/>
  <c r="E72" i="161"/>
  <c r="F72" i="161"/>
  <c r="C72" i="161"/>
  <c r="I73" i="161"/>
  <c r="D73" i="161"/>
  <c r="J73" i="161"/>
  <c r="E73" i="161"/>
  <c r="F73" i="161"/>
  <c r="C73" i="161"/>
  <c r="I74" i="161"/>
  <c r="D74" i="161"/>
  <c r="J74" i="161"/>
  <c r="E74" i="161"/>
  <c r="F74" i="161"/>
  <c r="C74" i="161"/>
  <c r="I75" i="161"/>
  <c r="D75" i="161"/>
  <c r="J75" i="161"/>
  <c r="E75" i="161"/>
  <c r="F75" i="161"/>
  <c r="C75" i="161"/>
  <c r="I76" i="161"/>
  <c r="D76" i="161"/>
  <c r="J76" i="161"/>
  <c r="E76" i="161"/>
  <c r="F76" i="161"/>
  <c r="C76" i="161"/>
  <c r="I77" i="161"/>
  <c r="D77" i="161"/>
  <c r="J77" i="161"/>
  <c r="E77" i="161"/>
  <c r="F77" i="161"/>
  <c r="C77" i="161"/>
  <c r="I78" i="161"/>
  <c r="D78" i="161"/>
  <c r="J78" i="161"/>
  <c r="E78" i="161"/>
  <c r="F78" i="161"/>
  <c r="C78" i="161"/>
  <c r="I79" i="161"/>
  <c r="D79" i="161"/>
  <c r="J79" i="161"/>
  <c r="E79" i="161"/>
  <c r="F79" i="161"/>
  <c r="C79" i="161"/>
  <c r="I80" i="161"/>
  <c r="D80" i="161"/>
  <c r="J80" i="161"/>
  <c r="E80" i="161"/>
  <c r="F80" i="161"/>
  <c r="C80" i="161"/>
  <c r="I81" i="161"/>
  <c r="D81" i="161"/>
  <c r="J81" i="161"/>
  <c r="E81" i="161"/>
  <c r="F81" i="161"/>
  <c r="C81" i="161"/>
  <c r="I82" i="161"/>
  <c r="D82" i="161"/>
  <c r="J82" i="161"/>
  <c r="E82" i="161"/>
  <c r="F82" i="161"/>
  <c r="C82" i="161"/>
  <c r="I83" i="161"/>
  <c r="D83" i="161"/>
  <c r="J83" i="161"/>
  <c r="E83" i="161"/>
  <c r="F83" i="161"/>
  <c r="C83" i="161"/>
  <c r="I84" i="161"/>
  <c r="D84" i="161"/>
  <c r="J84" i="161"/>
  <c r="E84" i="161"/>
  <c r="F84" i="161"/>
  <c r="C84" i="161"/>
  <c r="I85" i="161"/>
  <c r="D85" i="161"/>
  <c r="J85" i="161"/>
  <c r="E85" i="161"/>
  <c r="F85" i="161"/>
  <c r="C85" i="161"/>
  <c r="I86" i="161"/>
  <c r="D86" i="161"/>
  <c r="J86" i="161"/>
  <c r="E86" i="161"/>
  <c r="F86" i="161"/>
  <c r="C86" i="161"/>
  <c r="I87" i="161"/>
  <c r="D87" i="161"/>
  <c r="J87" i="161"/>
  <c r="E87" i="161"/>
  <c r="F87" i="161"/>
  <c r="C87" i="161"/>
  <c r="I88" i="161"/>
  <c r="D88" i="161"/>
  <c r="J88" i="161"/>
  <c r="E88" i="161"/>
  <c r="F88" i="161"/>
  <c r="C88" i="161"/>
  <c r="I89" i="161"/>
  <c r="D89" i="161"/>
  <c r="J89" i="161"/>
  <c r="E89" i="161"/>
  <c r="F89" i="161"/>
  <c r="C89" i="161"/>
  <c r="I90" i="161"/>
  <c r="D90" i="161"/>
  <c r="J90" i="161"/>
  <c r="E90" i="161"/>
  <c r="F90" i="161"/>
  <c r="C90" i="161"/>
  <c r="I91" i="161"/>
  <c r="D91" i="161"/>
  <c r="J91" i="161"/>
  <c r="E91" i="161"/>
  <c r="F91" i="161"/>
  <c r="C91" i="161"/>
  <c r="I92" i="161"/>
  <c r="D92" i="161"/>
  <c r="J92" i="161"/>
  <c r="E92" i="161"/>
  <c r="F92" i="161"/>
  <c r="C92" i="161"/>
  <c r="I93" i="161"/>
  <c r="D93" i="161"/>
  <c r="J93" i="161"/>
  <c r="E93" i="161"/>
  <c r="F93" i="161"/>
  <c r="C93" i="161"/>
  <c r="I94" i="161"/>
  <c r="D94" i="161"/>
  <c r="J94" i="161"/>
  <c r="E94" i="161"/>
  <c r="F94" i="161"/>
  <c r="C94" i="161"/>
  <c r="I95" i="161"/>
  <c r="D95" i="161"/>
  <c r="J95" i="161"/>
  <c r="E95" i="161"/>
  <c r="F95" i="161"/>
  <c r="C95" i="161"/>
  <c r="I96" i="161"/>
  <c r="D96" i="161"/>
  <c r="J96" i="161"/>
  <c r="E96" i="161"/>
  <c r="F96" i="161"/>
  <c r="C96" i="161"/>
  <c r="I97" i="161"/>
  <c r="D97" i="161"/>
  <c r="J97" i="161"/>
  <c r="E97" i="161"/>
  <c r="F97" i="161"/>
  <c r="C97" i="161"/>
  <c r="I98" i="161"/>
  <c r="D98" i="161"/>
  <c r="J98" i="161"/>
  <c r="E98" i="161"/>
  <c r="F98" i="161"/>
  <c r="C98" i="161"/>
  <c r="I99" i="161"/>
  <c r="D99" i="161"/>
  <c r="J99" i="161"/>
  <c r="E99" i="161"/>
  <c r="F99" i="161"/>
  <c r="C99" i="161"/>
  <c r="I100" i="161"/>
  <c r="D100" i="161"/>
  <c r="J100" i="161"/>
  <c r="E100" i="161"/>
  <c r="F100" i="161"/>
  <c r="C100" i="161"/>
  <c r="I101" i="161"/>
  <c r="D101" i="161"/>
  <c r="J101" i="161"/>
  <c r="E101" i="161"/>
  <c r="F101" i="161"/>
  <c r="C101" i="161"/>
  <c r="I102" i="161"/>
  <c r="D102" i="161"/>
  <c r="J102" i="161"/>
  <c r="E102" i="161"/>
  <c r="F102" i="161"/>
  <c r="C102" i="161"/>
  <c r="I103" i="161"/>
  <c r="D103" i="161"/>
  <c r="J103" i="161"/>
  <c r="E103" i="161"/>
  <c r="F103" i="161"/>
  <c r="C103" i="161"/>
  <c r="I104" i="161"/>
  <c r="D104" i="161"/>
  <c r="J104" i="161"/>
  <c r="E104" i="161"/>
  <c r="F104" i="161"/>
  <c r="C104" i="161"/>
  <c r="I105" i="161"/>
  <c r="D105" i="161"/>
  <c r="J105" i="161"/>
  <c r="E105" i="161"/>
  <c r="F105" i="161"/>
  <c r="C105" i="161"/>
  <c r="I106" i="161"/>
  <c r="D106" i="161"/>
  <c r="J106" i="161"/>
  <c r="E106" i="161"/>
  <c r="F106" i="161"/>
  <c r="C106" i="161"/>
  <c r="I107" i="161"/>
  <c r="D107" i="161"/>
  <c r="J107" i="161"/>
  <c r="E107" i="161"/>
  <c r="F107" i="161"/>
  <c r="C107" i="161"/>
  <c r="I108" i="161"/>
  <c r="D108" i="161"/>
  <c r="J108" i="161"/>
  <c r="E108" i="161"/>
  <c r="F108" i="161"/>
  <c r="C108" i="161"/>
  <c r="I109" i="161"/>
  <c r="D109" i="161"/>
  <c r="J109" i="161"/>
  <c r="E109" i="161"/>
  <c r="F109" i="161"/>
  <c r="C109" i="161"/>
  <c r="I110" i="161"/>
  <c r="D110" i="161"/>
  <c r="J110" i="161"/>
  <c r="E110" i="161"/>
  <c r="F110" i="161"/>
  <c r="C110" i="161"/>
  <c r="I111" i="161"/>
  <c r="D111" i="161"/>
  <c r="J111" i="161"/>
  <c r="E111" i="161"/>
  <c r="F111" i="161"/>
  <c r="C111" i="161"/>
  <c r="I112" i="161"/>
  <c r="D112" i="161"/>
  <c r="J112" i="161"/>
  <c r="E112" i="161"/>
  <c r="F112" i="161"/>
  <c r="C112" i="161"/>
  <c r="I113" i="161"/>
  <c r="D113" i="161"/>
  <c r="J113" i="161"/>
  <c r="E113" i="161"/>
  <c r="F113" i="161"/>
  <c r="C113" i="161"/>
  <c r="I114" i="161"/>
  <c r="D114" i="161"/>
  <c r="J114" i="161"/>
  <c r="E114" i="161"/>
  <c r="F114" i="161"/>
  <c r="C114" i="161"/>
  <c r="I115" i="161"/>
  <c r="D115" i="161"/>
  <c r="J115" i="161"/>
  <c r="E115" i="161"/>
  <c r="F115" i="161"/>
  <c r="C115" i="161"/>
  <c r="I116" i="161"/>
  <c r="D116" i="161"/>
  <c r="J116" i="161"/>
  <c r="E116" i="161"/>
  <c r="F116" i="161"/>
  <c r="C116" i="161"/>
  <c r="I117" i="161"/>
  <c r="D117" i="161"/>
  <c r="J117" i="161"/>
  <c r="E117" i="161"/>
  <c r="F117" i="161"/>
  <c r="C117" i="161"/>
  <c r="I118" i="161"/>
  <c r="D118" i="161"/>
  <c r="J118" i="161"/>
  <c r="E118" i="161"/>
  <c r="F118" i="161"/>
  <c r="C118" i="161"/>
  <c r="I119" i="161"/>
  <c r="D119" i="161"/>
  <c r="J119" i="161"/>
  <c r="E119" i="161"/>
  <c r="F119" i="161"/>
  <c r="C119" i="161"/>
  <c r="I120" i="161"/>
  <c r="D120" i="161"/>
  <c r="J120" i="161"/>
  <c r="E120" i="161"/>
  <c r="F120" i="161"/>
  <c r="C120" i="161"/>
  <c r="I121" i="161"/>
  <c r="D121" i="161"/>
  <c r="J121" i="161"/>
  <c r="E121" i="161"/>
  <c r="F121" i="161"/>
  <c r="C121" i="161"/>
  <c r="I122" i="161"/>
  <c r="D122" i="161"/>
  <c r="J122" i="161"/>
  <c r="E122" i="161"/>
  <c r="F122" i="161"/>
  <c r="C122" i="161"/>
  <c r="I123" i="161"/>
  <c r="D123" i="161"/>
  <c r="J123" i="161"/>
  <c r="E123" i="161"/>
  <c r="F123" i="161"/>
  <c r="C123" i="161"/>
  <c r="I124" i="161"/>
  <c r="D124" i="161"/>
  <c r="J124" i="161"/>
  <c r="E124" i="161"/>
  <c r="F124" i="161"/>
  <c r="C124" i="161"/>
  <c r="I125" i="161"/>
  <c r="D125" i="161"/>
  <c r="J125" i="161"/>
  <c r="E125" i="161"/>
  <c r="F125" i="161"/>
  <c r="C125" i="161"/>
  <c r="I126" i="161"/>
  <c r="D126" i="161"/>
  <c r="J126" i="161"/>
  <c r="E126" i="161"/>
  <c r="F126" i="161"/>
  <c r="C126" i="161"/>
  <c r="I127" i="161"/>
  <c r="D127" i="161"/>
  <c r="J127" i="161"/>
  <c r="E127" i="161"/>
  <c r="F127" i="161"/>
  <c r="C127" i="161"/>
  <c r="I128" i="161"/>
  <c r="D128" i="161"/>
  <c r="J128" i="161"/>
  <c r="E128" i="161"/>
  <c r="F128" i="161"/>
  <c r="C128" i="161"/>
  <c r="I129" i="161"/>
  <c r="D129" i="161"/>
  <c r="J129" i="161"/>
  <c r="E129" i="161"/>
  <c r="F129" i="161"/>
  <c r="C129" i="161"/>
  <c r="I130" i="161"/>
  <c r="D130" i="161"/>
  <c r="J130" i="161"/>
  <c r="E130" i="161"/>
  <c r="F130" i="161"/>
  <c r="C130" i="161"/>
  <c r="I131" i="161"/>
  <c r="D131" i="161"/>
  <c r="J131" i="161"/>
  <c r="E131" i="161"/>
  <c r="F131" i="161"/>
  <c r="C131" i="161"/>
  <c r="I132" i="161"/>
  <c r="D132" i="161"/>
  <c r="J132" i="161"/>
  <c r="E132" i="161"/>
  <c r="F132" i="161"/>
  <c r="C132" i="161"/>
  <c r="I133" i="161"/>
  <c r="D133" i="161"/>
  <c r="J133" i="161"/>
  <c r="E133" i="161"/>
  <c r="F133" i="161"/>
  <c r="C133" i="161"/>
  <c r="I134" i="161"/>
  <c r="D134" i="161"/>
  <c r="J134" i="161"/>
  <c r="E134" i="161"/>
  <c r="F134" i="161"/>
  <c r="C134" i="161"/>
  <c r="I135" i="161"/>
  <c r="D135" i="161"/>
  <c r="J135" i="161"/>
  <c r="E135" i="161"/>
  <c r="F135" i="161"/>
  <c r="C135" i="161"/>
  <c r="I136" i="161"/>
  <c r="D136" i="161"/>
  <c r="J136" i="161"/>
  <c r="E136" i="161"/>
  <c r="F136" i="161"/>
  <c r="C136" i="161"/>
  <c r="I137" i="161"/>
  <c r="D137" i="161"/>
  <c r="J137" i="161"/>
  <c r="E137" i="161"/>
  <c r="F137" i="161"/>
  <c r="C137" i="161"/>
  <c r="I138" i="161"/>
  <c r="D138" i="161"/>
  <c r="J138" i="161"/>
  <c r="E138" i="161"/>
  <c r="F138" i="161"/>
  <c r="C138" i="161"/>
  <c r="I139" i="161"/>
  <c r="D139" i="161"/>
  <c r="J139" i="161"/>
  <c r="E139" i="161"/>
  <c r="F139" i="161"/>
  <c r="C139" i="161"/>
  <c r="I140" i="161"/>
  <c r="D140" i="161"/>
  <c r="J140" i="161"/>
  <c r="E140" i="161"/>
  <c r="F140" i="161"/>
  <c r="C140" i="161"/>
  <c r="I141" i="161"/>
  <c r="D141" i="161"/>
  <c r="J141" i="161"/>
  <c r="E141" i="161"/>
  <c r="F141" i="161"/>
  <c r="C141" i="161"/>
  <c r="I142" i="161"/>
  <c r="D142" i="161"/>
  <c r="J142" i="161"/>
  <c r="E142" i="161"/>
  <c r="F142" i="161"/>
  <c r="C142" i="161"/>
  <c r="I143" i="161"/>
  <c r="D143" i="161"/>
  <c r="J143" i="161"/>
  <c r="E143" i="161"/>
  <c r="F143" i="161"/>
  <c r="C143" i="161"/>
  <c r="I144" i="161"/>
  <c r="D144" i="161"/>
  <c r="J144" i="161"/>
  <c r="E144" i="161"/>
  <c r="F144" i="161"/>
  <c r="C144" i="161"/>
  <c r="I145" i="161"/>
  <c r="D145" i="161"/>
  <c r="J145" i="161"/>
  <c r="E145" i="161"/>
  <c r="F145" i="161"/>
  <c r="C145" i="161"/>
  <c r="I146" i="161"/>
  <c r="D146" i="161"/>
  <c r="J146" i="161"/>
  <c r="E146" i="161"/>
  <c r="F146" i="161"/>
  <c r="C146" i="161"/>
  <c r="I147" i="161"/>
  <c r="D147" i="161"/>
  <c r="J147" i="161"/>
  <c r="E147" i="161"/>
  <c r="F147" i="161"/>
  <c r="C147" i="161"/>
  <c r="I148" i="161"/>
  <c r="D148" i="161"/>
  <c r="J148" i="161"/>
  <c r="E148" i="161"/>
  <c r="F148" i="161"/>
  <c r="C148" i="161"/>
  <c r="I149" i="161"/>
  <c r="D149" i="161"/>
  <c r="J149" i="161"/>
  <c r="E149" i="161"/>
  <c r="F149" i="161"/>
  <c r="C149" i="161"/>
  <c r="I150" i="161"/>
  <c r="D150" i="161"/>
  <c r="J150" i="161"/>
  <c r="E150" i="161"/>
  <c r="F150" i="161"/>
  <c r="C150" i="161"/>
  <c r="I151" i="161"/>
  <c r="D151" i="161"/>
  <c r="J151" i="161"/>
  <c r="E151" i="161"/>
  <c r="F151" i="161"/>
  <c r="C151" i="161"/>
  <c r="I152" i="161"/>
  <c r="D152" i="161"/>
  <c r="J152" i="161"/>
  <c r="E152" i="161"/>
  <c r="F152" i="161"/>
  <c r="C152" i="161"/>
  <c r="I153" i="161"/>
  <c r="D153" i="161"/>
  <c r="J153" i="161"/>
  <c r="E153" i="161"/>
  <c r="F153" i="161"/>
  <c r="C153" i="161"/>
  <c r="I154" i="161"/>
  <c r="D154" i="161"/>
  <c r="J154" i="161"/>
  <c r="E154" i="161"/>
  <c r="F154" i="161"/>
  <c r="C154" i="161"/>
  <c r="I155" i="161"/>
  <c r="D155" i="161"/>
  <c r="J155" i="161"/>
  <c r="E155" i="161"/>
  <c r="F155" i="161"/>
  <c r="C155" i="161"/>
  <c r="I156" i="161"/>
  <c r="D156" i="161"/>
  <c r="J156" i="161"/>
  <c r="E156" i="161"/>
  <c r="F156" i="161"/>
  <c r="C156" i="161"/>
  <c r="I157" i="161"/>
  <c r="D157" i="161"/>
  <c r="J157" i="161"/>
  <c r="E157" i="161"/>
  <c r="F157" i="161"/>
  <c r="C157" i="161"/>
  <c r="I158" i="161"/>
  <c r="D158" i="161"/>
  <c r="J158" i="161"/>
  <c r="E158" i="161"/>
  <c r="F158" i="161"/>
  <c r="C158" i="161"/>
  <c r="I159" i="161"/>
  <c r="D159" i="161"/>
  <c r="J159" i="161"/>
  <c r="E159" i="161"/>
  <c r="F159" i="161"/>
  <c r="C159" i="161"/>
  <c r="I160" i="161"/>
  <c r="D160" i="161"/>
  <c r="J160" i="161"/>
  <c r="E160" i="161"/>
  <c r="F160" i="161"/>
  <c r="C160" i="161"/>
  <c r="I161" i="161"/>
  <c r="D161" i="161"/>
  <c r="J161" i="161"/>
  <c r="E161" i="161"/>
  <c r="F161" i="161"/>
  <c r="C161" i="161"/>
  <c r="I162" i="161"/>
  <c r="D162" i="161"/>
  <c r="J162" i="161"/>
  <c r="E162" i="161"/>
  <c r="F162" i="161"/>
  <c r="C162" i="161"/>
  <c r="I163" i="161"/>
  <c r="D163" i="161"/>
  <c r="J163" i="161"/>
  <c r="E163" i="161"/>
  <c r="F163" i="161"/>
  <c r="C163" i="161"/>
  <c r="I164" i="161"/>
  <c r="D164" i="161"/>
  <c r="J164" i="161"/>
  <c r="E164" i="161"/>
  <c r="F164" i="161"/>
  <c r="C164" i="161"/>
  <c r="I165" i="161"/>
  <c r="D165" i="161"/>
  <c r="J165" i="161"/>
  <c r="E165" i="161"/>
  <c r="F165" i="161"/>
  <c r="C165" i="161"/>
  <c r="I166" i="161"/>
  <c r="D166" i="161"/>
  <c r="J166" i="161"/>
  <c r="E166" i="161"/>
  <c r="F166" i="161"/>
  <c r="C166" i="161"/>
  <c r="I167" i="161"/>
  <c r="D167" i="161"/>
  <c r="J167" i="161"/>
  <c r="E167" i="161"/>
  <c r="F167" i="161"/>
  <c r="C167" i="161"/>
  <c r="I168" i="161"/>
  <c r="D168" i="161"/>
  <c r="J168" i="161"/>
  <c r="E168" i="161"/>
  <c r="F168" i="161"/>
  <c r="C168" i="161"/>
  <c r="I169" i="161"/>
  <c r="D169" i="161"/>
  <c r="J169" i="161"/>
  <c r="E169" i="161"/>
  <c r="F169" i="161"/>
  <c r="C169" i="161"/>
  <c r="I170" i="161"/>
  <c r="D170" i="161"/>
  <c r="J170" i="161"/>
  <c r="E170" i="161"/>
  <c r="F170" i="161"/>
  <c r="C170" i="161"/>
  <c r="I171" i="161"/>
  <c r="D171" i="161"/>
  <c r="J171" i="161"/>
  <c r="E171" i="161"/>
  <c r="F171" i="161"/>
  <c r="C171" i="161"/>
  <c r="I172" i="161"/>
  <c r="D172" i="161"/>
  <c r="J172" i="161"/>
  <c r="E172" i="161"/>
  <c r="F172" i="161"/>
  <c r="C172" i="161"/>
  <c r="I173" i="161"/>
  <c r="D173" i="161"/>
  <c r="J173" i="161"/>
  <c r="E173" i="161"/>
  <c r="F173" i="161"/>
  <c r="C173" i="161"/>
  <c r="I174" i="161"/>
  <c r="D174" i="161"/>
  <c r="J174" i="161"/>
  <c r="E174" i="161"/>
  <c r="F174" i="161"/>
  <c r="C174" i="161"/>
  <c r="I175" i="161"/>
  <c r="D175" i="161"/>
  <c r="J175" i="161"/>
  <c r="E175" i="161"/>
  <c r="F175" i="161"/>
  <c r="C175" i="161"/>
  <c r="I176" i="161"/>
  <c r="D176" i="161"/>
  <c r="J176" i="161"/>
  <c r="E176" i="161"/>
  <c r="F176" i="161"/>
  <c r="C176" i="161"/>
  <c r="I177" i="161"/>
  <c r="D177" i="161"/>
  <c r="J177" i="161"/>
  <c r="E177" i="161"/>
  <c r="F177" i="161"/>
  <c r="C177" i="161"/>
  <c r="I178" i="161"/>
  <c r="D178" i="161"/>
  <c r="J178" i="161"/>
  <c r="E178" i="161"/>
  <c r="F178" i="161"/>
  <c r="C178" i="161"/>
  <c r="I179" i="161"/>
  <c r="D179" i="161"/>
  <c r="J179" i="161"/>
  <c r="E179" i="161"/>
  <c r="F179" i="161"/>
  <c r="C179" i="161"/>
  <c r="I180" i="161"/>
  <c r="D180" i="161"/>
  <c r="J180" i="161"/>
  <c r="E180" i="161"/>
  <c r="F180" i="161"/>
  <c r="C180" i="161"/>
  <c r="I181" i="161"/>
  <c r="D181" i="161"/>
  <c r="J181" i="161"/>
  <c r="E181" i="161"/>
  <c r="F181" i="161"/>
  <c r="C181" i="161"/>
  <c r="I182" i="161"/>
  <c r="D182" i="161"/>
  <c r="J182" i="161"/>
  <c r="E182" i="161"/>
  <c r="F182" i="161"/>
  <c r="C182" i="161"/>
  <c r="I183" i="161"/>
  <c r="D183" i="161"/>
  <c r="J183" i="161"/>
  <c r="E183" i="161"/>
  <c r="F183" i="161"/>
  <c r="C183" i="161"/>
  <c r="I184" i="161"/>
  <c r="D184" i="161"/>
  <c r="J184" i="161"/>
  <c r="E184" i="161"/>
  <c r="F184" i="161"/>
  <c r="C184" i="161"/>
  <c r="I185" i="161"/>
  <c r="D185" i="161"/>
  <c r="J185" i="161"/>
  <c r="E185" i="161"/>
  <c r="F185" i="161"/>
  <c r="C185" i="161"/>
  <c r="I186" i="161"/>
  <c r="D186" i="161"/>
  <c r="J186" i="161"/>
  <c r="E186" i="161"/>
  <c r="F186" i="161"/>
  <c r="C186" i="161"/>
  <c r="I187" i="161"/>
  <c r="D187" i="161"/>
  <c r="J187" i="161"/>
  <c r="E187" i="161"/>
  <c r="F187" i="161"/>
  <c r="C187" i="161"/>
  <c r="I188" i="161"/>
  <c r="D188" i="161"/>
  <c r="J188" i="161"/>
  <c r="E188" i="161"/>
  <c r="F188" i="161"/>
  <c r="C188" i="161"/>
  <c r="I189" i="161"/>
  <c r="D189" i="161"/>
  <c r="J189" i="161"/>
  <c r="E189" i="161"/>
  <c r="F189" i="161"/>
  <c r="C189" i="161"/>
  <c r="I190" i="161"/>
  <c r="D190" i="161"/>
  <c r="J190" i="161"/>
  <c r="E190" i="161"/>
  <c r="F190" i="161"/>
  <c r="C190" i="161"/>
  <c r="I191" i="161"/>
  <c r="D191" i="161"/>
  <c r="J191" i="161"/>
  <c r="E191" i="161"/>
  <c r="F191" i="161"/>
  <c r="C191" i="161"/>
  <c r="I192" i="161"/>
  <c r="D192" i="161"/>
  <c r="J192" i="161"/>
  <c r="E192" i="161"/>
  <c r="F192" i="161"/>
  <c r="C192" i="161"/>
  <c r="I193" i="161"/>
  <c r="D193" i="161"/>
  <c r="J193" i="161"/>
  <c r="E193" i="161"/>
  <c r="F193" i="161"/>
  <c r="C193" i="161"/>
  <c r="I194" i="161"/>
  <c r="D194" i="161"/>
  <c r="J194" i="161"/>
  <c r="E194" i="161"/>
  <c r="F194" i="161"/>
  <c r="C194" i="161"/>
  <c r="I195" i="161"/>
  <c r="D195" i="161"/>
  <c r="J195" i="161"/>
  <c r="E195" i="161"/>
  <c r="F195" i="161"/>
  <c r="C195" i="161"/>
  <c r="I196" i="161"/>
  <c r="D196" i="161"/>
  <c r="J196" i="161"/>
  <c r="E196" i="161"/>
  <c r="F196" i="161"/>
  <c r="C196" i="161"/>
  <c r="I197" i="161"/>
  <c r="D197" i="161"/>
  <c r="J197" i="161"/>
  <c r="E197" i="161"/>
  <c r="F197" i="161"/>
  <c r="C197" i="161"/>
  <c r="I198" i="161"/>
  <c r="D198" i="161"/>
  <c r="J198" i="161"/>
  <c r="E198" i="161"/>
  <c r="F198" i="161"/>
  <c r="C198" i="161"/>
  <c r="I199" i="161"/>
  <c r="D199" i="161"/>
  <c r="J199" i="161"/>
  <c r="E199" i="161"/>
  <c r="F199" i="161"/>
  <c r="C199" i="161"/>
  <c r="I200" i="161"/>
  <c r="D200" i="161"/>
  <c r="J200" i="161"/>
  <c r="E200" i="161"/>
  <c r="F200" i="161"/>
  <c r="C200" i="161"/>
  <c r="I201" i="161"/>
  <c r="D201" i="161"/>
  <c r="J201" i="161"/>
  <c r="E201" i="161"/>
  <c r="F201" i="161"/>
  <c r="C201" i="161"/>
  <c r="I202" i="161"/>
  <c r="D202" i="161"/>
  <c r="J202" i="161"/>
  <c r="E202" i="161"/>
  <c r="F202" i="161"/>
  <c r="C202" i="161"/>
  <c r="I203" i="161"/>
  <c r="D203" i="161"/>
  <c r="J203" i="161"/>
  <c r="E203" i="161"/>
  <c r="F203" i="161"/>
  <c r="C203" i="161"/>
  <c r="I204" i="161"/>
  <c r="D204" i="161"/>
  <c r="J204" i="161"/>
  <c r="E204" i="161"/>
  <c r="F204" i="161"/>
  <c r="C204" i="161"/>
  <c r="I205" i="161"/>
  <c r="D205" i="161"/>
  <c r="J205" i="161"/>
  <c r="E205" i="161"/>
  <c r="F205" i="161"/>
  <c r="C205" i="161"/>
  <c r="I206" i="161"/>
  <c r="D206" i="161"/>
  <c r="J206" i="161"/>
  <c r="E206" i="161"/>
  <c r="F206" i="161"/>
  <c r="C206" i="161"/>
  <c r="I207" i="161"/>
  <c r="D207" i="161"/>
  <c r="J207" i="161"/>
  <c r="E207" i="161"/>
  <c r="F207" i="161"/>
  <c r="C207" i="161"/>
  <c r="I208" i="161"/>
  <c r="D208" i="161"/>
  <c r="J208" i="161"/>
  <c r="E208" i="161"/>
  <c r="F208" i="161"/>
  <c r="C208" i="161"/>
  <c r="I209" i="161"/>
  <c r="D209" i="161"/>
  <c r="J209" i="161"/>
  <c r="E209" i="161"/>
  <c r="F209" i="161"/>
  <c r="C209" i="161"/>
  <c r="I210" i="161"/>
  <c r="D210" i="161"/>
  <c r="J210" i="161"/>
  <c r="E210" i="161"/>
  <c r="F210" i="161"/>
  <c r="C210" i="161"/>
  <c r="I211" i="161"/>
  <c r="D211" i="161"/>
  <c r="J211" i="161"/>
  <c r="E211" i="161"/>
  <c r="F211" i="161"/>
  <c r="C211" i="161"/>
  <c r="I212" i="161"/>
  <c r="D212" i="161"/>
  <c r="J212" i="161"/>
  <c r="E212" i="161"/>
  <c r="F212" i="161"/>
  <c r="C212" i="161"/>
  <c r="I213" i="161"/>
  <c r="D213" i="161"/>
  <c r="J213" i="161"/>
  <c r="E213" i="161"/>
  <c r="F213" i="161"/>
  <c r="C213" i="161"/>
  <c r="I214" i="161"/>
  <c r="D214" i="161"/>
  <c r="J214" i="161"/>
  <c r="E214" i="161"/>
  <c r="F214" i="161"/>
  <c r="C214" i="161"/>
  <c r="I215" i="161"/>
  <c r="J215" i="161"/>
  <c r="D215" i="161"/>
  <c r="E215" i="161"/>
  <c r="F215" i="161"/>
  <c r="C215" i="161"/>
  <c r="I216" i="161"/>
  <c r="J216" i="161"/>
  <c r="D216" i="161"/>
  <c r="E216" i="161"/>
  <c r="F216" i="161"/>
  <c r="C216" i="161"/>
  <c r="I217" i="161"/>
  <c r="J217" i="161"/>
  <c r="D217" i="161"/>
  <c r="E217" i="161"/>
  <c r="F217" i="161"/>
  <c r="C217" i="161"/>
  <c r="I218" i="161"/>
  <c r="J218" i="161"/>
  <c r="D218" i="161"/>
  <c r="E218" i="161"/>
  <c r="F218" i="161"/>
  <c r="C218" i="161"/>
  <c r="I219" i="161"/>
  <c r="J219" i="161"/>
  <c r="D219" i="161"/>
  <c r="E219" i="161"/>
  <c r="F219" i="161"/>
  <c r="C219" i="161"/>
  <c r="I220" i="161"/>
  <c r="J220" i="161"/>
  <c r="D220" i="161"/>
  <c r="E220" i="161"/>
  <c r="F220" i="161"/>
  <c r="C220" i="161"/>
  <c r="I221" i="161"/>
  <c r="D221" i="161"/>
  <c r="J221" i="161"/>
  <c r="E221" i="161"/>
  <c r="F221" i="161"/>
  <c r="C221" i="161"/>
  <c r="I222" i="161"/>
  <c r="D222" i="161"/>
  <c r="J222" i="161"/>
  <c r="E222" i="161"/>
  <c r="F222" i="161"/>
  <c r="C222" i="161"/>
  <c r="I223" i="161"/>
  <c r="D223" i="161"/>
  <c r="J223" i="161"/>
  <c r="E223" i="161"/>
  <c r="F223" i="161"/>
  <c r="C223" i="161"/>
  <c r="I224" i="161"/>
  <c r="D224" i="161"/>
  <c r="J224" i="161"/>
  <c r="E224" i="161"/>
  <c r="F224" i="161"/>
  <c r="C224" i="161"/>
  <c r="I225" i="161"/>
  <c r="D225" i="161"/>
  <c r="J225" i="161"/>
  <c r="E225" i="161"/>
  <c r="F225" i="161"/>
  <c r="C225" i="161"/>
  <c r="I226" i="161"/>
  <c r="D226" i="161"/>
  <c r="J226" i="161"/>
  <c r="E226" i="161"/>
  <c r="F226" i="161"/>
  <c r="C226" i="161"/>
  <c r="I227" i="161"/>
  <c r="D227" i="161"/>
  <c r="J227" i="161"/>
  <c r="E227" i="161"/>
  <c r="F227" i="161"/>
  <c r="C227" i="161"/>
  <c r="I228" i="161"/>
  <c r="D228" i="161"/>
  <c r="J228" i="161"/>
  <c r="E228" i="161"/>
  <c r="F228" i="161"/>
  <c r="C228" i="161"/>
  <c r="I229" i="161"/>
  <c r="D229" i="161"/>
  <c r="J229" i="161"/>
  <c r="E229" i="161"/>
  <c r="F229" i="161"/>
  <c r="C229" i="161"/>
  <c r="I230" i="161"/>
  <c r="D230" i="161"/>
  <c r="J230" i="161"/>
  <c r="E230" i="161"/>
  <c r="F230" i="161"/>
  <c r="C230" i="161"/>
  <c r="I231" i="161"/>
  <c r="D231" i="161"/>
  <c r="J231" i="161"/>
  <c r="E231" i="161"/>
  <c r="F231" i="161"/>
  <c r="C231" i="161"/>
  <c r="I232" i="161"/>
  <c r="D232" i="161"/>
  <c r="J232" i="161"/>
  <c r="E232" i="161"/>
  <c r="F232" i="161"/>
  <c r="C232" i="161"/>
  <c r="I233" i="161"/>
  <c r="D233" i="161"/>
  <c r="J233" i="161"/>
  <c r="E233" i="161"/>
  <c r="F233" i="161"/>
  <c r="C233" i="161"/>
  <c r="I234" i="161"/>
  <c r="D234" i="161"/>
  <c r="J234" i="161"/>
  <c r="E234" i="161"/>
  <c r="F234" i="161"/>
  <c r="C234" i="161"/>
  <c r="I235" i="161"/>
  <c r="D235" i="161"/>
  <c r="J235" i="161"/>
  <c r="E235" i="161"/>
  <c r="F235" i="161"/>
  <c r="C235" i="161"/>
  <c r="I236" i="161"/>
  <c r="D236" i="161"/>
  <c r="J236" i="161"/>
  <c r="E236" i="161"/>
  <c r="F236" i="161"/>
  <c r="C236" i="161"/>
  <c r="I237" i="161"/>
  <c r="D237" i="161"/>
  <c r="J237" i="161"/>
  <c r="E237" i="161"/>
  <c r="F237" i="161"/>
  <c r="C237" i="161"/>
  <c r="I238" i="161"/>
  <c r="D238" i="161"/>
  <c r="J238" i="161"/>
  <c r="E238" i="161"/>
  <c r="F238" i="161"/>
  <c r="C238" i="161"/>
  <c r="I239" i="161"/>
  <c r="D239" i="161"/>
  <c r="J239" i="161"/>
  <c r="E239" i="161"/>
  <c r="F239" i="161"/>
  <c r="C239" i="161"/>
  <c r="I240" i="161"/>
  <c r="D240" i="161"/>
  <c r="J240" i="161"/>
  <c r="E240" i="161"/>
  <c r="F240" i="161"/>
  <c r="C240" i="161"/>
  <c r="I241" i="161"/>
  <c r="D241" i="161"/>
  <c r="J241" i="161"/>
  <c r="E241" i="161"/>
  <c r="F241" i="161"/>
  <c r="C241" i="161"/>
  <c r="I242" i="161"/>
  <c r="D242" i="161"/>
  <c r="J242" i="161"/>
  <c r="E242" i="161"/>
  <c r="F242" i="161"/>
  <c r="C242" i="161"/>
  <c r="I243" i="161"/>
  <c r="D243" i="161"/>
  <c r="J243" i="161"/>
  <c r="E243" i="161"/>
  <c r="F243" i="161"/>
  <c r="C243" i="161"/>
  <c r="I244" i="161"/>
  <c r="D244" i="161"/>
  <c r="J244" i="161"/>
  <c r="E244" i="161"/>
  <c r="F244" i="161"/>
  <c r="C244" i="161"/>
  <c r="I245" i="161"/>
  <c r="D245" i="161"/>
  <c r="J245" i="161"/>
  <c r="E245" i="161"/>
  <c r="F245" i="161"/>
  <c r="C245" i="161"/>
  <c r="I246" i="161"/>
  <c r="D246" i="161"/>
  <c r="J246" i="161"/>
  <c r="E246" i="161"/>
  <c r="F246" i="161"/>
  <c r="C246" i="161"/>
  <c r="I247" i="161"/>
  <c r="D247" i="161"/>
  <c r="J247" i="161"/>
  <c r="E247" i="161"/>
  <c r="F247" i="161"/>
  <c r="C247" i="161"/>
  <c r="I248" i="161"/>
  <c r="D248" i="161"/>
  <c r="J248" i="161"/>
  <c r="E248" i="161"/>
  <c r="F248" i="161"/>
  <c r="C248" i="161"/>
  <c r="I249" i="161"/>
  <c r="D249" i="161"/>
  <c r="J249" i="161"/>
  <c r="E249" i="161"/>
  <c r="F249" i="161"/>
  <c r="C249" i="161"/>
  <c r="I250" i="161"/>
  <c r="D250" i="161"/>
  <c r="J250" i="161"/>
  <c r="E250" i="161"/>
  <c r="F250" i="161"/>
  <c r="C250" i="161"/>
  <c r="I251" i="161"/>
  <c r="D251" i="161"/>
  <c r="J251" i="161"/>
  <c r="E251" i="161"/>
  <c r="F251" i="161"/>
  <c r="C251" i="161"/>
  <c r="I252" i="161"/>
  <c r="D252" i="161"/>
  <c r="J252" i="161"/>
  <c r="E252" i="161"/>
  <c r="F252" i="161"/>
  <c r="C252" i="161"/>
  <c r="I253" i="161"/>
  <c r="D253" i="161"/>
  <c r="J253" i="161"/>
  <c r="E253" i="161"/>
  <c r="F253" i="161"/>
  <c r="C253" i="161"/>
  <c r="I254" i="161"/>
  <c r="D254" i="161"/>
  <c r="J254" i="161"/>
  <c r="E254" i="161"/>
  <c r="F254" i="161"/>
  <c r="C254" i="161"/>
  <c r="I255" i="161"/>
  <c r="D255" i="161"/>
  <c r="J255" i="161"/>
  <c r="E255" i="161"/>
  <c r="F255" i="161"/>
  <c r="C255" i="161"/>
  <c r="I256" i="161"/>
  <c r="D256" i="161"/>
  <c r="J256" i="161"/>
  <c r="E256" i="161"/>
  <c r="F256" i="161"/>
  <c r="C256" i="161"/>
  <c r="I257" i="161"/>
  <c r="D257" i="161"/>
  <c r="J257" i="161"/>
  <c r="E257" i="161"/>
  <c r="F257" i="161"/>
  <c r="C257" i="161"/>
  <c r="I258" i="161"/>
  <c r="D258" i="161"/>
  <c r="J258" i="161"/>
  <c r="E258" i="161"/>
  <c r="F258" i="161"/>
  <c r="C258" i="161"/>
  <c r="I259" i="161"/>
  <c r="D259" i="161"/>
  <c r="J259" i="161"/>
  <c r="E259" i="161"/>
  <c r="F259" i="161"/>
  <c r="C259" i="161"/>
  <c r="I260" i="161"/>
  <c r="D260" i="161"/>
  <c r="J260" i="161"/>
  <c r="E260" i="161"/>
  <c r="F260" i="161"/>
  <c r="C260" i="161"/>
  <c r="I261" i="161"/>
  <c r="D261" i="161"/>
  <c r="J261" i="161"/>
  <c r="E261" i="161"/>
  <c r="F261" i="161"/>
  <c r="C261" i="161"/>
  <c r="I262" i="161"/>
  <c r="D262" i="161"/>
  <c r="J262" i="161"/>
  <c r="E262" i="161"/>
  <c r="F262" i="161"/>
  <c r="C262" i="161"/>
  <c r="I263" i="161"/>
  <c r="D263" i="161"/>
  <c r="J263" i="161"/>
  <c r="E263" i="161"/>
  <c r="F263" i="161"/>
  <c r="C263" i="161"/>
  <c r="I264" i="161"/>
  <c r="D264" i="161"/>
  <c r="J264" i="161"/>
  <c r="E264" i="161"/>
  <c r="F264" i="161"/>
  <c r="C264" i="161"/>
  <c r="I265" i="161"/>
  <c r="D265" i="161"/>
  <c r="J265" i="161"/>
  <c r="E265" i="161"/>
  <c r="F265" i="161"/>
  <c r="C265" i="161"/>
  <c r="I266" i="161"/>
  <c r="D266" i="161"/>
  <c r="J266" i="161"/>
  <c r="E266" i="161"/>
  <c r="F266" i="161"/>
  <c r="C266" i="161"/>
  <c r="I267" i="161"/>
  <c r="D267" i="161"/>
  <c r="J267" i="161"/>
  <c r="E267" i="161"/>
  <c r="F267" i="161"/>
  <c r="C267" i="161"/>
  <c r="I268" i="161"/>
  <c r="D268" i="161"/>
  <c r="J268" i="161"/>
  <c r="E268" i="161"/>
  <c r="F268" i="161"/>
  <c r="C268" i="161"/>
  <c r="I269" i="161"/>
  <c r="D269" i="161"/>
  <c r="J269" i="161"/>
  <c r="E269" i="161"/>
  <c r="F269" i="161"/>
  <c r="C269" i="161"/>
  <c r="I270" i="161"/>
  <c r="D270" i="161"/>
  <c r="J270" i="161"/>
  <c r="E270" i="161"/>
  <c r="F270" i="161"/>
  <c r="C270" i="161"/>
  <c r="I271" i="161"/>
  <c r="D271" i="161"/>
  <c r="J271" i="161"/>
  <c r="E271" i="161"/>
  <c r="F271" i="161"/>
  <c r="C271" i="161"/>
  <c r="I272" i="161"/>
  <c r="D272" i="161"/>
  <c r="J272" i="161"/>
  <c r="E272" i="161"/>
  <c r="F272" i="161"/>
  <c r="C272" i="161"/>
  <c r="I273" i="161"/>
  <c r="D273" i="161"/>
  <c r="J273" i="161"/>
  <c r="E273" i="161"/>
  <c r="F273" i="161"/>
  <c r="C273" i="161"/>
  <c r="I274" i="161"/>
  <c r="D274" i="161"/>
  <c r="J274" i="161"/>
  <c r="E274" i="161"/>
  <c r="F274" i="161"/>
  <c r="C274" i="161"/>
  <c r="I275" i="161"/>
  <c r="D275" i="161"/>
  <c r="J275" i="161"/>
  <c r="E275" i="161"/>
  <c r="F275" i="161"/>
  <c r="C275" i="161"/>
  <c r="I276" i="161"/>
  <c r="D276" i="161"/>
  <c r="J276" i="161"/>
  <c r="E276" i="161"/>
  <c r="F276" i="161"/>
  <c r="C276" i="161"/>
  <c r="I277" i="161"/>
  <c r="D277" i="161"/>
  <c r="J277" i="161"/>
  <c r="E277" i="161"/>
  <c r="F277" i="161"/>
  <c r="C277" i="161"/>
  <c r="I278" i="161"/>
  <c r="D278" i="161"/>
  <c r="J278" i="161"/>
  <c r="E278" i="161"/>
  <c r="F278" i="161"/>
  <c r="C278" i="161"/>
  <c r="I279" i="161"/>
  <c r="D279" i="161"/>
  <c r="J279" i="161"/>
  <c r="E279" i="161"/>
  <c r="F279" i="161"/>
  <c r="C279" i="161"/>
  <c r="I280" i="161"/>
  <c r="D280" i="161"/>
  <c r="J280" i="161"/>
  <c r="E280" i="161"/>
  <c r="F280" i="161"/>
  <c r="C280" i="161"/>
  <c r="I281" i="161"/>
  <c r="D281" i="161"/>
  <c r="J281" i="161"/>
  <c r="E281" i="161"/>
  <c r="F281" i="161"/>
  <c r="C281" i="161"/>
  <c r="I282" i="161"/>
  <c r="D282" i="161"/>
  <c r="J282" i="161"/>
  <c r="E282" i="161"/>
  <c r="F282" i="161"/>
  <c r="C282" i="161"/>
  <c r="I283" i="161"/>
  <c r="D283" i="161"/>
  <c r="J283" i="161"/>
  <c r="E283" i="161"/>
  <c r="F283" i="161"/>
  <c r="C283" i="161"/>
  <c r="I284" i="161"/>
  <c r="D284" i="161"/>
  <c r="J284" i="161"/>
  <c r="E284" i="161"/>
  <c r="F284" i="161"/>
  <c r="C284" i="161"/>
  <c r="I285" i="161"/>
  <c r="D285" i="161"/>
  <c r="J285" i="161"/>
  <c r="E285" i="161"/>
  <c r="F285" i="161"/>
  <c r="C285" i="161"/>
  <c r="I286" i="161"/>
  <c r="D286" i="161"/>
  <c r="J286" i="161"/>
  <c r="E286" i="161"/>
  <c r="F286" i="161"/>
  <c r="C286" i="161"/>
  <c r="I287" i="161"/>
  <c r="D287" i="161"/>
  <c r="J287" i="161"/>
  <c r="E287" i="161"/>
  <c r="F287" i="161"/>
  <c r="C287" i="161"/>
  <c r="I288" i="161"/>
  <c r="D288" i="161"/>
  <c r="J288" i="161"/>
  <c r="E288" i="161"/>
  <c r="F288" i="161"/>
  <c r="C288" i="161"/>
  <c r="I289" i="161"/>
  <c r="D289" i="161"/>
  <c r="J289" i="161"/>
  <c r="E289" i="161"/>
  <c r="F289" i="161"/>
  <c r="C289" i="161"/>
  <c r="I290" i="161"/>
  <c r="D290" i="161"/>
  <c r="J290" i="161"/>
  <c r="E290" i="161"/>
  <c r="F290" i="161"/>
  <c r="C290" i="161"/>
  <c r="I291" i="161"/>
  <c r="D291" i="161"/>
  <c r="J291" i="161"/>
  <c r="E291" i="161"/>
  <c r="F291" i="161"/>
  <c r="C291" i="161"/>
  <c r="I292" i="161"/>
  <c r="D292" i="161"/>
  <c r="J292" i="161"/>
  <c r="E292" i="161"/>
  <c r="F292" i="161"/>
  <c r="C292" i="161"/>
  <c r="I293" i="161"/>
  <c r="D293" i="161"/>
  <c r="J293" i="161"/>
  <c r="E293" i="161"/>
  <c r="F293" i="161"/>
  <c r="C293" i="161"/>
  <c r="I294" i="161"/>
  <c r="D294" i="161"/>
  <c r="J294" i="161"/>
  <c r="E294" i="161"/>
  <c r="F294" i="161"/>
  <c r="C294" i="161"/>
  <c r="I295" i="161"/>
  <c r="D295" i="161"/>
  <c r="J295" i="161"/>
  <c r="E295" i="161"/>
  <c r="F295" i="161"/>
  <c r="C295" i="161"/>
  <c r="I296" i="161"/>
  <c r="D296" i="161"/>
  <c r="J296" i="161"/>
  <c r="E296" i="161"/>
  <c r="F296" i="161"/>
  <c r="C296" i="161"/>
  <c r="I297" i="161"/>
  <c r="D297" i="161"/>
  <c r="J297" i="161"/>
  <c r="E297" i="161"/>
  <c r="F297" i="161"/>
  <c r="C297" i="161"/>
  <c r="I298" i="161"/>
  <c r="D298" i="161"/>
  <c r="J298" i="161"/>
  <c r="E298" i="161"/>
  <c r="F298" i="161"/>
  <c r="C298" i="161"/>
  <c r="I299" i="161"/>
  <c r="D299" i="161"/>
  <c r="J299" i="161"/>
  <c r="E299" i="161"/>
  <c r="F299" i="161"/>
  <c r="C299" i="161"/>
  <c r="I300" i="161"/>
  <c r="D300" i="161"/>
  <c r="J300" i="161"/>
  <c r="E300" i="161"/>
  <c r="F300" i="161"/>
  <c r="C300" i="161"/>
  <c r="I301" i="161"/>
  <c r="D301" i="161"/>
  <c r="J301" i="161"/>
  <c r="E301" i="161"/>
  <c r="F301" i="161"/>
  <c r="C301" i="161"/>
  <c r="I302" i="161"/>
  <c r="D302" i="161"/>
  <c r="J302" i="161"/>
  <c r="E302" i="161"/>
  <c r="F302" i="161"/>
  <c r="C302" i="161"/>
  <c r="I303" i="161"/>
  <c r="D303" i="161"/>
  <c r="J303" i="161"/>
  <c r="E303" i="161"/>
  <c r="F303" i="161"/>
  <c r="C303" i="161"/>
  <c r="I304" i="161"/>
  <c r="D304" i="161"/>
  <c r="J304" i="161"/>
  <c r="E304" i="161"/>
  <c r="F304" i="161"/>
  <c r="C304" i="161"/>
  <c r="I305" i="161"/>
  <c r="D305" i="161"/>
  <c r="J305" i="161"/>
  <c r="E305" i="161"/>
  <c r="F305" i="161"/>
  <c r="C305" i="161"/>
  <c r="I306" i="161"/>
  <c r="D306" i="161"/>
  <c r="J306" i="161"/>
  <c r="E306" i="161"/>
  <c r="F306" i="161"/>
  <c r="C306" i="161"/>
  <c r="I307" i="161"/>
  <c r="D307" i="161"/>
  <c r="J307" i="161"/>
  <c r="E307" i="161"/>
  <c r="F307" i="161"/>
  <c r="C307" i="161"/>
  <c r="I308" i="161"/>
  <c r="D308" i="161"/>
  <c r="J308" i="161"/>
  <c r="E308" i="161"/>
  <c r="F308" i="161"/>
  <c r="C308" i="161"/>
  <c r="I309" i="161"/>
  <c r="D309" i="161"/>
  <c r="J309" i="161"/>
  <c r="E309" i="161"/>
  <c r="F309" i="161"/>
  <c r="C309" i="161"/>
  <c r="I310" i="161"/>
  <c r="D310" i="161"/>
  <c r="J310" i="161"/>
  <c r="E310" i="161"/>
  <c r="F310" i="161"/>
  <c r="C310" i="161"/>
  <c r="I311" i="161"/>
  <c r="D311" i="161"/>
  <c r="J311" i="161"/>
  <c r="E311" i="161"/>
  <c r="F311" i="161"/>
  <c r="C311" i="161"/>
  <c r="I312" i="161"/>
  <c r="D312" i="161"/>
  <c r="J312" i="161"/>
  <c r="E312" i="161"/>
  <c r="F312" i="161"/>
  <c r="C312" i="161"/>
  <c r="I313" i="161"/>
  <c r="D313" i="161"/>
  <c r="J313" i="161"/>
  <c r="E313" i="161"/>
  <c r="F313" i="161"/>
  <c r="C313" i="161"/>
  <c r="I314" i="161"/>
  <c r="D314" i="161"/>
  <c r="J314" i="161"/>
  <c r="E314" i="161"/>
  <c r="F314" i="161"/>
  <c r="C314" i="161"/>
  <c r="I315" i="161"/>
  <c r="D315" i="161"/>
  <c r="J315" i="161"/>
  <c r="E315" i="161"/>
  <c r="F315" i="161"/>
  <c r="C315" i="161"/>
  <c r="I316" i="161"/>
  <c r="D316" i="161"/>
  <c r="J316" i="161"/>
  <c r="E316" i="161"/>
  <c r="F316" i="161"/>
  <c r="C316" i="161"/>
  <c r="I317" i="161"/>
  <c r="D317" i="161"/>
  <c r="J317" i="161"/>
  <c r="E317" i="161"/>
  <c r="F317" i="161"/>
  <c r="C317" i="161"/>
  <c r="I318" i="161"/>
  <c r="D318" i="161"/>
  <c r="J318" i="161"/>
  <c r="E318" i="161"/>
  <c r="F318" i="161"/>
  <c r="C318" i="161"/>
  <c r="I319" i="161"/>
  <c r="D319" i="161"/>
  <c r="J319" i="161"/>
  <c r="E319" i="161"/>
  <c r="F319" i="161"/>
  <c r="C319" i="161"/>
  <c r="I320" i="161"/>
  <c r="D320" i="161"/>
  <c r="J320" i="161"/>
  <c r="E320" i="161"/>
  <c r="F320" i="161"/>
  <c r="C320" i="161"/>
  <c r="I321" i="161"/>
  <c r="D321" i="161"/>
  <c r="J321" i="161"/>
  <c r="E321" i="161"/>
  <c r="F321" i="161"/>
  <c r="C321" i="161"/>
  <c r="I322" i="161"/>
  <c r="D322" i="161"/>
  <c r="J322" i="161"/>
  <c r="E322" i="161"/>
  <c r="F322" i="161"/>
  <c r="C322" i="161"/>
  <c r="I323" i="161"/>
  <c r="D323" i="161"/>
  <c r="J323" i="161"/>
  <c r="E323" i="161"/>
  <c r="F323" i="161"/>
  <c r="C323" i="161"/>
  <c r="I324" i="161"/>
  <c r="D324" i="161"/>
  <c r="J324" i="161"/>
  <c r="E324" i="161"/>
  <c r="F324" i="161"/>
  <c r="C324" i="161"/>
  <c r="I325" i="161"/>
  <c r="D325" i="161"/>
  <c r="J325" i="161"/>
  <c r="E325" i="161"/>
  <c r="F325" i="161"/>
  <c r="C325" i="161"/>
  <c r="I326" i="161"/>
  <c r="D326" i="161"/>
  <c r="J326" i="161"/>
  <c r="E326" i="161"/>
  <c r="F326" i="161"/>
  <c r="C326" i="161"/>
  <c r="I327" i="161"/>
  <c r="D327" i="161"/>
  <c r="J327" i="161"/>
  <c r="E327" i="161"/>
  <c r="F327" i="161"/>
  <c r="C327" i="161"/>
  <c r="I328" i="161"/>
  <c r="D328" i="161"/>
  <c r="J328" i="161"/>
  <c r="E328" i="161"/>
  <c r="F328" i="161"/>
  <c r="C328" i="161"/>
  <c r="I329" i="161"/>
  <c r="D329" i="161"/>
  <c r="J329" i="161"/>
  <c r="E329" i="161"/>
  <c r="F329" i="161"/>
  <c r="C329" i="161"/>
  <c r="I330" i="161"/>
  <c r="D330" i="161"/>
  <c r="J330" i="161"/>
  <c r="E330" i="161"/>
  <c r="F330" i="161"/>
  <c r="C330" i="161"/>
  <c r="I331" i="161"/>
  <c r="D331" i="161"/>
  <c r="J331" i="161"/>
  <c r="E331" i="161"/>
  <c r="F331" i="161"/>
  <c r="C331" i="161"/>
  <c r="I332" i="161"/>
  <c r="D332" i="161"/>
  <c r="J332" i="161"/>
  <c r="E332" i="161"/>
  <c r="F332" i="161"/>
  <c r="C332" i="161"/>
  <c r="I333" i="161"/>
  <c r="D333" i="161"/>
  <c r="J333" i="161"/>
  <c r="E333" i="161"/>
  <c r="F333" i="161"/>
  <c r="C333" i="161"/>
  <c r="I334" i="161"/>
  <c r="D334" i="161"/>
  <c r="J334" i="161"/>
  <c r="E334" i="161"/>
  <c r="F334" i="161"/>
  <c r="C334" i="161"/>
  <c r="I335" i="161"/>
  <c r="D335" i="161"/>
  <c r="J335" i="161"/>
  <c r="E335" i="161"/>
  <c r="F335" i="161"/>
  <c r="C335" i="161"/>
  <c r="I336" i="161"/>
  <c r="D336" i="161"/>
  <c r="J336" i="161"/>
  <c r="E336" i="161"/>
  <c r="F336" i="161"/>
  <c r="C336" i="161"/>
  <c r="I337" i="161"/>
  <c r="D337" i="161"/>
  <c r="J337" i="161"/>
  <c r="E337" i="161"/>
  <c r="F337" i="161"/>
  <c r="C337" i="161"/>
  <c r="I338" i="161"/>
  <c r="D338" i="161"/>
  <c r="J338" i="161"/>
  <c r="E338" i="161"/>
  <c r="F338" i="161"/>
  <c r="C338" i="161"/>
  <c r="I339" i="161"/>
  <c r="D339" i="161"/>
  <c r="J339" i="161"/>
  <c r="E339" i="161"/>
  <c r="F339" i="161"/>
  <c r="C339" i="161"/>
  <c r="I340" i="161"/>
  <c r="D340" i="161"/>
  <c r="J340" i="161"/>
  <c r="E340" i="161"/>
  <c r="F340" i="161"/>
  <c r="C340" i="161"/>
  <c r="I341" i="161"/>
  <c r="D341" i="161"/>
  <c r="J341" i="161"/>
  <c r="E341" i="161"/>
  <c r="F341" i="161"/>
  <c r="C341" i="161"/>
  <c r="I342" i="161"/>
  <c r="D342" i="161"/>
  <c r="J342" i="161"/>
  <c r="E342" i="161"/>
  <c r="F342" i="161"/>
  <c r="C342" i="161"/>
  <c r="I343" i="161"/>
  <c r="D343" i="161"/>
  <c r="J343" i="161"/>
  <c r="E343" i="161"/>
  <c r="F343" i="161"/>
  <c r="C343" i="161"/>
  <c r="I344" i="161"/>
  <c r="D344" i="161"/>
  <c r="J344" i="161"/>
  <c r="E344" i="161"/>
  <c r="F344" i="161"/>
  <c r="C344" i="161"/>
  <c r="I345" i="161"/>
  <c r="D345" i="161"/>
  <c r="J345" i="161"/>
  <c r="E345" i="161"/>
  <c r="F345" i="161"/>
  <c r="C345" i="161"/>
  <c r="I346" i="161"/>
  <c r="D346" i="161"/>
  <c r="J346" i="161"/>
  <c r="E346" i="161"/>
  <c r="F346" i="161"/>
  <c r="C346" i="161"/>
  <c r="I347" i="161"/>
  <c r="D347" i="161"/>
  <c r="J347" i="161"/>
  <c r="E347" i="161"/>
  <c r="F347" i="161"/>
  <c r="C347" i="161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3" i="160"/>
  <c r="B10" i="160"/>
  <c r="F6" i="160"/>
  <c r="E6" i="160"/>
  <c r="B23" i="160"/>
  <c r="E26" i="160"/>
  <c r="B26" i="160"/>
  <c r="F5" i="160"/>
  <c r="E5" i="160"/>
  <c r="E28" i="160"/>
  <c r="B28" i="160"/>
  <c r="E29" i="160"/>
  <c r="B29" i="160"/>
  <c r="B31" i="160"/>
  <c r="B21" i="160"/>
  <c r="A2" i="160"/>
  <c r="A36" i="160"/>
  <c r="G31" i="160"/>
  <c r="E31" i="160"/>
  <c r="H31" i="160"/>
  <c r="O347" i="161"/>
  <c r="E19" i="160"/>
  <c r="B19" i="160"/>
  <c r="E24" i="160"/>
  <c r="B24" i="160"/>
  <c r="B17" i="160"/>
  <c r="G17" i="160"/>
  <c r="E17" i="160"/>
  <c r="H17" i="160"/>
  <c r="O2" i="161"/>
  <c r="E20" i="160"/>
  <c r="B20" i="160"/>
  <c r="E22" i="160"/>
  <c r="E25" i="160"/>
  <c r="B25" i="160"/>
  <c r="E27" i="160"/>
  <c r="B27" i="160"/>
  <c r="B18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H22" i="160"/>
  <c r="O262" i="161"/>
  <c r="O263" i="161"/>
  <c r="O264" i="161"/>
  <c r="O265" i="161"/>
  <c r="G29" i="160"/>
  <c r="H29" i="160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G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3" i="153"/>
  <c r="B10" i="153"/>
  <c r="F6" i="153"/>
  <c r="E6" i="153"/>
  <c r="B23" i="153"/>
  <c r="E26" i="153"/>
  <c r="B26" i="153"/>
  <c r="F5" i="153"/>
  <c r="E5" i="153"/>
  <c r="E28" i="153"/>
  <c r="B28" i="153"/>
  <c r="E29" i="153"/>
  <c r="B29" i="153"/>
  <c r="B31" i="153"/>
  <c r="B21" i="153"/>
  <c r="E20" i="153"/>
  <c r="B20" i="153"/>
  <c r="E22" i="153"/>
  <c r="B22" i="153"/>
  <c r="E25" i="153"/>
  <c r="B25" i="153"/>
  <c r="E27" i="153"/>
  <c r="B27" i="153"/>
  <c r="B18" i="153"/>
  <c r="B10" i="157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20" i="157"/>
  <c r="E22" i="157"/>
  <c r="E23" i="157"/>
  <c r="B23" i="157"/>
  <c r="B22" i="157"/>
  <c r="E25" i="157"/>
  <c r="B25" i="157"/>
  <c r="F5" i="157"/>
  <c r="E5" i="157"/>
  <c r="E27" i="157"/>
  <c r="B27" i="157"/>
  <c r="B30" i="157"/>
  <c r="B18" i="157"/>
  <c r="E19" i="157"/>
  <c r="B19" i="157"/>
  <c r="E24" i="157"/>
  <c r="B24" i="157"/>
  <c r="B17" i="157"/>
  <c r="E18" i="153"/>
  <c r="E19" i="153"/>
  <c r="B19" i="153"/>
  <c r="E24" i="153"/>
  <c r="B24" i="153"/>
  <c r="B17" i="153"/>
  <c r="E26" i="157"/>
  <c r="B26" i="157"/>
  <c r="E28" i="157"/>
  <c r="B28" i="157"/>
  <c r="E29" i="157"/>
  <c r="B29" i="157"/>
  <c r="B31" i="157"/>
  <c r="B21" i="157"/>
  <c r="E18" i="157"/>
  <c r="H343" i="158"/>
  <c r="K343" i="158"/>
  <c r="L343" i="158"/>
  <c r="M343" i="158"/>
  <c r="N343" i="158"/>
  <c r="A2" i="157"/>
  <c r="A36" i="157"/>
  <c r="G22" i="157"/>
  <c r="H22" i="157"/>
  <c r="O343" i="158"/>
  <c r="G17" i="157"/>
  <c r="E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4" i="158"/>
  <c r="O345" i="158"/>
  <c r="R3" i="157"/>
  <c r="G31" i="157"/>
  <c r="E31" i="157"/>
  <c r="H31" i="157"/>
  <c r="O346" i="158"/>
  <c r="R4" i="157"/>
  <c r="O347" i="158"/>
  <c r="P343" i="158"/>
  <c r="H344" i="158"/>
  <c r="K344" i="158"/>
  <c r="L344" i="158"/>
  <c r="M344" i="158"/>
  <c r="N344" i="158"/>
  <c r="P344" i="158"/>
  <c r="H345" i="158"/>
  <c r="K345" i="158"/>
  <c r="L345" i="158"/>
  <c r="M345" i="158"/>
  <c r="N345" i="158"/>
  <c r="P345" i="158"/>
  <c r="H346" i="158"/>
  <c r="K346" i="158"/>
  <c r="L346" i="158"/>
  <c r="M346" i="158"/>
  <c r="N346" i="158"/>
  <c r="P346" i="158"/>
  <c r="H347" i="158"/>
  <c r="K347" i="158"/>
  <c r="L347" i="158"/>
  <c r="M347" i="158"/>
  <c r="N347" i="158"/>
  <c r="P347" i="158"/>
  <c r="A343" i="158"/>
  <c r="A344" i="158"/>
  <c r="A345" i="158"/>
  <c r="A346" i="158"/>
  <c r="A347" i="158"/>
  <c r="H341" i="154"/>
  <c r="K341" i="154"/>
  <c r="L341" i="154"/>
  <c r="M341" i="154"/>
  <c r="N341" i="154"/>
  <c r="A2" i="153"/>
  <c r="A36" i="153"/>
  <c r="G29" i="153"/>
  <c r="H29" i="153"/>
  <c r="O341" i="154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2" i="154"/>
  <c r="O343" i="154"/>
  <c r="O344" i="154"/>
  <c r="O345" i="154"/>
  <c r="R3" i="153"/>
  <c r="G31" i="153"/>
  <c r="E31" i="153"/>
  <c r="H31" i="153"/>
  <c r="O346" i="154"/>
  <c r="R4" i="153"/>
  <c r="O347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G48" i="153"/>
  <c r="F41" i="153"/>
  <c r="G41" i="153"/>
  <c r="F34" i="153"/>
  <c r="B30" i="153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F48" i="157"/>
  <c r="F49" i="157"/>
  <c r="G48" i="157"/>
  <c r="H347" i="154"/>
  <c r="K347" i="154"/>
  <c r="L347" i="154"/>
  <c r="M347" i="154"/>
  <c r="N347" i="154"/>
  <c r="A347" i="154"/>
  <c r="H341" i="158"/>
  <c r="K341" i="158"/>
  <c r="L341" i="158"/>
  <c r="M341" i="158"/>
  <c r="N341" i="158"/>
  <c r="H342" i="158"/>
  <c r="K342" i="158"/>
  <c r="L342" i="158"/>
  <c r="M342" i="158"/>
  <c r="N342" i="158"/>
  <c r="A341" i="158"/>
  <c r="A342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<sst xmlns="http://schemas.openxmlformats.org/spreadsheetml/2006/main" count="632" uniqueCount="264">
  <si>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</si>
  <si>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</si>
  <si>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</si>
  <si>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</si>
  <si>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</si>
  <si>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</si>
  <si>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</si>
  <si>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</si>
  <si>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</si>
  <si>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</si>
  <si>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</si>
  <si>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</si>
  <si>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</si>
  <si>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</si>
  <si>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</si>
  <si>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</si>
  <si>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</si>
  <si>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</si>
  <si>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</si>
  <si>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</si>
  <si>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</si>
  <si>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</si>
  <si>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</si>
  <si>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</si>
  <si>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</si>
  <si>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</si>
  <si>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</si>
  <si>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</si>
  <si>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</si>
  <si>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</si>
  <si>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</si>
  <si>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</si>
  <si>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</si>
  <si>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</si>
  <si>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</si>
  <si>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</si>
  <si>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</si>
  <si>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</si>
  <si>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</si>
  <si>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</si>
  <si>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</si>
  <si>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</si>
  <si>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</si>
  <si>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</si>
  <si>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</si>
  <si>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</si>
  <si>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</si>
  <si>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</si>
  <si>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</si>
  <si>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</si>
  <si>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</si>
  <si>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</si>
  <si>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</si>
  <si>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</si>
  <si>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</si>
  <si>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</si>
  <si>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</si>
  <si>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</si>
  <si>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</si>
  <si>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</si>
  <si>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</si>
  <si>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</si>
  <si>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</si>
  <si>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</si>
  <si>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</si>
  <si>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</si>
  <si>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</si>
  <si>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</si>
  <si>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</si>
  <si>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</si>
  <si>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</si>
  <si>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</si>
  <si>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</si>
  <si>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</si>
  <si>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</si>
  <si>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</si>
  <si>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</si>
  <si>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</si>
  <si>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</si>
  <si>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</si>
  <si>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</si>
  <si>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</si>
  <si>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</si>
  <si>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</si>
  <si>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</si>
  <si>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</si>
  <si>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</si>
  <si>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</si>
  <si>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</si>
  <si>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</si>
  <si>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</si>
  <si>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</si>
  <si>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</si>
  <si>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</si>
  <si>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</si>
  <si>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</si>
  <si>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</si>
  <si>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</si>
  <si>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</si>
  <si>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</si>
  <si>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</si>
  <si>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</si>
  <si>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</si>
  <si>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</si>
  <si>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</si>
  <si>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</si>
  <si>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</si>
  <si>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</si>
  <si>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</si>
  <si>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</si>
  <si>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</si>
  <si>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</si>
  <si>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</si>
  <si>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</si>
  <si>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</si>
  <si>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</si>
  <si>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</si>
  <si>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</si>
  <si>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</si>
  <si>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</si>
  <si>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</si>
  <si>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</si>
  <si>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</si>
  <si>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</si>
  <si>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</si>
  <si>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</si>
  <si>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</si>
  <si>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</si>
  <si>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</si>
  <si>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</si>
  <si>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</si>
  <si>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</si>
  <si>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</si>
  <si>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</si>
  <si>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</si>
  <si>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</si>
  <si>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</si>
  <si>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</si>
  <si>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</si>
  <si>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</si>
  <si>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</si>
  <si>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</si>
  <si>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</si>
  <si>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</si>
  <si>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</si>
  <si>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</si>
  <si>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</si>
  <si>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</si>
  <si>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</si>
  <si>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</si>
  <si>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</si>
  <si>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</si>
  <si>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</si>
  <si>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</si>
  <si>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</si>
  <si>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</si>
  <si>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</si>
  <si>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</si>
  <si>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</si>
  <si>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</si>
  <si>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</si>
  <si>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</si>
  <si>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</si>
  <si>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</si>
  <si>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</si>
  <si>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</si>
  <si>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</si>
  <si>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</si>
  <si>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</si>
  <si>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</si>
  <si>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</si>
  <si>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</si>
  <si>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</si>
  <si>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</si>
  <si>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</si>
  <si>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</si>
  <si>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</si>
  <si>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</si>
  <si>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</si>
  <si>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</si>
  <si>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</si>
  <si>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</si>
  <si>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</si>
  <si>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</si>
  <si>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</si>
  <si>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</si>
  <si>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</si>
  <si>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</si>
  <si>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</si>
  <si>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</si>
  <si>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</si>
  <si>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</si>
  <si>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</si>
  <si>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</si>
  <si>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</si>
  <si>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</si>
  <si>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</si>
  <si>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</si>
  <si>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</si>
  <si>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</si>
  <si>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</si>
  <si>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</si>
  <si>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</si>
  <si>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</si>
  <si>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</si>
  <si>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</si>
  <si>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</si>
  <si>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</si>
  <si>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</si>
  <si>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</si>
  <si>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</si>
  <si>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</si>
  <si>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</si>
  <si>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</si>
  <si>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</si>
  <si>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</si>
  <si>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</si>
  <si>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</si>
  <si>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</si>
  <si>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</si>
  <si>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</si>
  <si>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</si>
  <si>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</si>
  <si>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</si>
  <si>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</si>
  <si>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</si>
  <si>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</si>
  <si>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</si>
  <si>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</si>
  <si>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</si>
  <si>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</si>
  <si>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</si>
  <si>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</si>
  <si>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</si>
  <si>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</si>
  <si>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</si>
  <si>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</si>
  <si>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</si>
  <si>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</si>
  <si>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</si>
  <si>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</si>
  <si>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</si>
  <si>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</si>
  <si>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</si>
  <si>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</si>
  <si>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</si>
  <si>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</si>
  <si>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</si>
  <si>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</si>
  <si>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</si>
  <si>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</si>
  <si>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old</t>
    <phoneticPr fontId="22"/>
  </si>
  <si>
    <t>old</t>
    <phoneticPr fontId="22"/>
  </si>
  <si>
    <t>item</t>
    <phoneticPr fontId="22"/>
  </si>
  <si>
    <t>ja</t>
    <phoneticPr fontId="22"/>
  </si>
  <si>
    <t>★6覚醒可能ユニットチケット</t>
    <phoneticPr fontId="22"/>
  </si>
  <si>
    <t>フィーバーフェスティバル特典</t>
    <phoneticPr fontId="22"/>
  </si>
  <si>
    <t>old</t>
    <phoneticPr fontId="22"/>
  </si>
  <si>
    <t>old</t>
    <phoneticPr fontId="22"/>
  </si>
  <si>
    <t>5回目の特典として「★6覚醒可能ユニットチケット」を1枚プレゼント！</t>
    <phoneticPr fontId="22"/>
  </si>
  <si>
    <t>通常確率</t>
    <rPh sb="0" eb="4">
      <t>ツウジョ</t>
    </rPh>
    <phoneticPr fontId="22"/>
  </si>
  <si>
    <t>tables_525100</t>
    <phoneticPr fontId="22"/>
  </si>
  <si>
    <t>tables_525010</t>
    <phoneticPr fontId="22"/>
  </si>
  <si>
    <t>tables_settle_525100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</si>
</sst>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2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0" xfId="2" applyFont="1" applyBorder="1" applyAlignment="1">
      <alignment vertical="center"/>
    </xf>
    <xf numFmtId="0" fontId="3" fillId="0" borderId="1" xfId="3036" applyFont="1" applyBorder="1"/>
    <xf numFmtId="184" fontId="27" fillId="4" borderId="1" xfId="3663" quotePrefix="1" applyNumberFormat="1" applyFont="1" applyFill="1" applyBorder="1" applyAlignment="1">
      <alignment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E329">
            <v>0</v>
          </cell>
          <cell r="F329">
            <v>0</v>
          </cell>
          <cell r="G329">
            <v>0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E330">
            <v>0</v>
          </cell>
          <cell r="F330">
            <v>0</v>
          </cell>
          <cell r="G330">
            <v>0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>
            <v>0</v>
          </cell>
          <cell r="F331">
            <v>0</v>
          </cell>
          <cell r="G331">
            <v>0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E332">
            <v>0</v>
          </cell>
          <cell r="F332">
            <v>0</v>
          </cell>
          <cell r="G332">
            <v>0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>
            <v>0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>
            <v>0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>
            <v>0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>
            <v>0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>
            <v>0</v>
          </cell>
          <cell r="F381">
            <v>0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>
            <v>0</v>
          </cell>
          <cell r="F388">
            <v>0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1414</v>
          </cell>
          <cell r="B1382" t="str">
            <v>ja</v>
          </cell>
          <cell r="C1382" t="str">
            <v>炎のミリオンダック 7</v>
          </cell>
          <cell r="D1382" t="str">
            <v>未定</v>
          </cell>
          <cell r="E1382" t="str">
            <v>執行者</v>
          </cell>
          <cell r="F1382" t="str">
            <v>格好いい</v>
          </cell>
          <cell r="G1382" t="str">
            <v>不明</v>
          </cell>
          <cell r="H1382" t="str">
            <v>red</v>
          </cell>
          <cell r="I1382">
            <v>6</v>
          </cell>
          <cell r="J1382" t="str">
            <v>Material</v>
          </cell>
          <cell r="K1382" t="str">
            <v>exp</v>
          </cell>
          <cell r="L1382" t="str">
            <v>強化素材タイプ</v>
          </cell>
          <cell r="M1382" t="str">
            <v>unknown</v>
          </cell>
        </row>
        <row r="1383">
          <cell r="A1383">
            <v>1415</v>
          </cell>
          <cell r="B1383" t="str">
            <v>ja</v>
          </cell>
          <cell r="C1383" t="str">
            <v>森のミリオンダック 7</v>
          </cell>
          <cell r="D1383" t="str">
            <v>未定</v>
          </cell>
          <cell r="E1383" t="str">
            <v>執行者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6</v>
          </cell>
          <cell r="J1383" t="str">
            <v>Material</v>
          </cell>
          <cell r="K1383" t="str">
            <v>exp</v>
          </cell>
          <cell r="L1383" t="str">
            <v>強化素材タイプ</v>
          </cell>
          <cell r="M1383" t="str">
            <v>unknown</v>
          </cell>
        </row>
        <row r="1384">
          <cell r="A1384">
            <v>1416</v>
          </cell>
          <cell r="B1384" t="str">
            <v>ja</v>
          </cell>
          <cell r="C1384" t="str">
            <v>水のミリオンダック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blue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1417</v>
          </cell>
          <cell r="B1385" t="str">
            <v>ja</v>
          </cell>
          <cell r="C1385" t="str">
            <v>雷のミリオンダック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yellow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1504</v>
          </cell>
          <cell r="B1386" t="str">
            <v>ja</v>
          </cell>
          <cell r="C1386" t="str">
            <v>ネコ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 t="str">
            <v>red</v>
          </cell>
          <cell r="I1386">
            <v>1</v>
          </cell>
          <cell r="J1386" t="str">
            <v>Drop1T</v>
          </cell>
          <cell r="K1386" t="str">
            <v>balance</v>
          </cell>
          <cell r="L1386" t="str">
            <v>バランスタイプ</v>
          </cell>
          <cell r="M1386" t="str">
            <v>unknown</v>
          </cell>
        </row>
        <row r="1387">
          <cell r="A1387">
            <v>1505</v>
          </cell>
          <cell r="B1387" t="str">
            <v>ja</v>
          </cell>
          <cell r="C1387" t="str">
            <v>タンクネコ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 t="str">
            <v>green</v>
          </cell>
          <cell r="I1387">
            <v>1</v>
          </cell>
          <cell r="J1387" t="str">
            <v>Drop1T</v>
          </cell>
          <cell r="K1387" t="str">
            <v>hp</v>
          </cell>
          <cell r="L1387" t="str">
            <v>体力タイプ</v>
          </cell>
          <cell r="M1387" t="str">
            <v>unknown</v>
          </cell>
        </row>
        <row r="1388">
          <cell r="A1388">
            <v>1506</v>
          </cell>
          <cell r="B1388" t="str">
            <v>ja</v>
          </cell>
          <cell r="C1388" t="str">
            <v>バトルネコ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 t="str">
            <v>yellow</v>
          </cell>
          <cell r="I1388">
            <v>2</v>
          </cell>
          <cell r="J1388" t="str">
            <v>Drop1S</v>
          </cell>
          <cell r="K1388" t="str">
            <v>attack</v>
          </cell>
          <cell r="L1388" t="str">
            <v>攻撃タイプ</v>
          </cell>
          <cell r="M1388" t="str">
            <v>unknown</v>
          </cell>
        </row>
        <row r="1389">
          <cell r="A1389">
            <v>1507</v>
          </cell>
          <cell r="B1389" t="str">
            <v>ja</v>
          </cell>
          <cell r="C1389" t="str">
            <v>キモネコ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 t="str">
            <v>blue</v>
          </cell>
          <cell r="I1389">
            <v>3</v>
          </cell>
          <cell r="J1389" t="str">
            <v>Drop2N</v>
          </cell>
          <cell r="K1389" t="str">
            <v>technical</v>
          </cell>
          <cell r="L1389" t="str">
            <v>テクニカルタイプ</v>
          </cell>
          <cell r="M1389" t="str">
            <v>unknown</v>
          </cell>
        </row>
        <row r="1390">
          <cell r="A1390">
            <v>1508</v>
          </cell>
          <cell r="B1390" t="str">
            <v>ja</v>
          </cell>
          <cell r="C1390" t="str">
            <v>ネコノトリ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 t="str">
            <v>red</v>
          </cell>
          <cell r="I1390">
            <v>4</v>
          </cell>
          <cell r="J1390" t="str">
            <v>Drop2N</v>
          </cell>
          <cell r="K1390" t="str">
            <v>balance</v>
          </cell>
          <cell r="L1390" t="str">
            <v>バランスタイプ</v>
          </cell>
          <cell r="M1390" t="str">
            <v>unknown</v>
          </cell>
        </row>
        <row r="1391">
          <cell r="A1391">
            <v>1509</v>
          </cell>
          <cell r="B1391" t="str">
            <v>ja</v>
          </cell>
          <cell r="C1391" t="str">
            <v>巨神ネコ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 t="str">
            <v>green</v>
          </cell>
          <cell r="I1391">
            <v>5</v>
          </cell>
          <cell r="J1391" t="str">
            <v>Drop2N</v>
          </cell>
          <cell r="K1391" t="str">
            <v>hp</v>
          </cell>
          <cell r="L1391" t="str">
            <v>体力タイプ</v>
          </cell>
          <cell r="M1391" t="str">
            <v>god</v>
          </cell>
        </row>
        <row r="1392">
          <cell r="A1392">
            <v>1510</v>
          </cell>
          <cell r="B1392" t="str">
            <v>ja</v>
          </cell>
          <cell r="C1392" t="str">
            <v>ネコヴァルキリー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 t="str">
            <v>yellow</v>
          </cell>
          <cell r="I1392">
            <v>4</v>
          </cell>
          <cell r="J1392" t="str">
            <v>DropWizS</v>
          </cell>
          <cell r="K1392" t="str">
            <v>balance</v>
          </cell>
          <cell r="L1392" t="str">
            <v>バランスタイプ</v>
          </cell>
          <cell r="M1392" t="str">
            <v>god</v>
          </cell>
        </row>
        <row r="1393">
          <cell r="A1393">
            <v>1511</v>
          </cell>
          <cell r="B1393" t="str">
            <v>ja</v>
          </cell>
          <cell r="C1393" t="str">
            <v>ネコヴァルキリー・真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 t="str">
            <v>yellow</v>
          </cell>
          <cell r="I1393">
            <v>5</v>
          </cell>
          <cell r="J1393" t="str">
            <v>DropWizS</v>
          </cell>
          <cell r="K1393" t="str">
            <v>balance</v>
          </cell>
          <cell r="L1393" t="str">
            <v>バランスタイプ</v>
          </cell>
          <cell r="M1393" t="str">
            <v>god</v>
          </cell>
        </row>
        <row r="1394">
          <cell r="A1394">
            <v>1512</v>
          </cell>
          <cell r="B1394" t="str">
            <v>ja</v>
          </cell>
          <cell r="C1394" t="str">
            <v>ネコヴァルキリー・聖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 t="str">
            <v>yellow</v>
          </cell>
          <cell r="I1394">
            <v>6</v>
          </cell>
          <cell r="J1394" t="str">
            <v>DropWizS</v>
          </cell>
          <cell r="K1394" t="str">
            <v>balance</v>
          </cell>
          <cell r="L1394" t="str">
            <v>バランスタイプ</v>
          </cell>
          <cell r="M1394" t="str">
            <v>god</v>
          </cell>
        </row>
        <row r="1395">
          <cell r="A1395">
            <v>1513</v>
          </cell>
          <cell r="B1395" t="str">
            <v>ja</v>
          </cell>
          <cell r="C1395" t="str">
            <v>金ネコ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 t="str">
            <v>yellow</v>
          </cell>
          <cell r="I1395">
            <v>4</v>
          </cell>
          <cell r="J1395" t="str">
            <v>Material</v>
          </cell>
          <cell r="K1395" t="str">
            <v>coin</v>
          </cell>
          <cell r="L1395" t="str">
            <v>コインタイプ</v>
          </cell>
          <cell r="M1395" t="str">
            <v>unknown</v>
          </cell>
        </row>
        <row r="1396">
          <cell r="A1396">
            <v>1514</v>
          </cell>
          <cell r="B1396" t="str">
            <v>ja</v>
          </cell>
          <cell r="C1396" t="str">
            <v>金ネコビルダー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 t="str">
            <v>yellow</v>
          </cell>
          <cell r="I1396">
            <v>5</v>
          </cell>
          <cell r="J1396" t="str">
            <v>Material</v>
          </cell>
          <cell r="K1396" t="str">
            <v>coin</v>
          </cell>
          <cell r="L1396" t="str">
            <v>コインタイプ</v>
          </cell>
          <cell r="M1396" t="str">
            <v>unknown</v>
          </cell>
        </row>
        <row r="1397">
          <cell r="A1397">
            <v>1515</v>
          </cell>
          <cell r="B1397" t="str">
            <v>ja</v>
          </cell>
          <cell r="C1397" t="str">
            <v>メタルネコ（赤）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 t="str">
            <v>red</v>
          </cell>
          <cell r="I1397">
            <v>4</v>
          </cell>
          <cell r="J1397" t="str">
            <v>Material</v>
          </cell>
          <cell r="K1397" t="str">
            <v>exp</v>
          </cell>
          <cell r="L1397" t="str">
            <v>強化素材タイプ</v>
          </cell>
          <cell r="M1397" t="str">
            <v>unknown</v>
          </cell>
        </row>
        <row r="1398">
          <cell r="A1398">
            <v>1516</v>
          </cell>
          <cell r="B1398" t="str">
            <v>ja</v>
          </cell>
          <cell r="C1398" t="str">
            <v>メタルネコビルダー（赤）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 t="str">
            <v>red</v>
          </cell>
          <cell r="I1398">
            <v>5</v>
          </cell>
          <cell r="J1398" t="str">
            <v>Material</v>
          </cell>
          <cell r="K1398" t="str">
            <v>exp</v>
          </cell>
          <cell r="L1398" t="str">
            <v>強化素材タイプ</v>
          </cell>
          <cell r="M1398" t="str">
            <v>unknown</v>
          </cell>
        </row>
        <row r="1399">
          <cell r="A1399">
            <v>1517</v>
          </cell>
          <cell r="B1399" t="str">
            <v>ja</v>
          </cell>
          <cell r="C1399" t="str">
            <v>メタルネコ（青）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 t="str">
            <v>blue</v>
          </cell>
          <cell r="I1399">
            <v>4</v>
          </cell>
          <cell r="J1399" t="str">
            <v>Material</v>
          </cell>
          <cell r="K1399" t="str">
            <v>exp</v>
          </cell>
          <cell r="L1399" t="str">
            <v>強化素材タイプ</v>
          </cell>
          <cell r="M1399" t="str">
            <v>unknown</v>
          </cell>
        </row>
        <row r="1400">
          <cell r="A1400">
            <v>1518</v>
          </cell>
          <cell r="B1400" t="str">
            <v>ja</v>
          </cell>
          <cell r="C1400" t="str">
            <v>メタルネコビルダー（青）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 t="str">
            <v>blue</v>
          </cell>
          <cell r="I1400">
            <v>5</v>
          </cell>
          <cell r="J1400" t="str">
            <v>Material</v>
          </cell>
          <cell r="K1400" t="str">
            <v>exp</v>
          </cell>
          <cell r="L1400" t="str">
            <v>強化素材タイプ</v>
          </cell>
          <cell r="M1400" t="str">
            <v>unknown</v>
          </cell>
        </row>
        <row r="1401">
          <cell r="A1401">
            <v>1519</v>
          </cell>
          <cell r="B1401" t="str">
            <v>ja</v>
          </cell>
          <cell r="C1401" t="str">
            <v>メタルネコ（緑）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 t="str">
            <v>green</v>
          </cell>
          <cell r="I1401">
            <v>4</v>
          </cell>
          <cell r="J1401" t="str">
            <v>Material</v>
          </cell>
          <cell r="K1401" t="str">
            <v>exp</v>
          </cell>
          <cell r="L1401" t="str">
            <v>強化素材タイプ</v>
          </cell>
          <cell r="M1401" t="str">
            <v>unknown</v>
          </cell>
        </row>
        <row r="1402">
          <cell r="A1402">
            <v>1520</v>
          </cell>
          <cell r="B1402" t="str">
            <v>ja</v>
          </cell>
          <cell r="C1402" t="str">
            <v>メタルネコビルダー（緑）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 t="str">
            <v>green</v>
          </cell>
          <cell r="I1402">
            <v>5</v>
          </cell>
          <cell r="J1402" t="str">
            <v>Material</v>
          </cell>
          <cell r="K1402" t="str">
            <v>exp</v>
          </cell>
          <cell r="L1402" t="str">
            <v>強化素材タイプ</v>
          </cell>
          <cell r="M1402" t="str">
            <v>unknown</v>
          </cell>
        </row>
        <row r="1403">
          <cell r="A1403">
            <v>1521</v>
          </cell>
          <cell r="B1403" t="str">
            <v>ja</v>
          </cell>
          <cell r="C1403" t="str">
            <v>メタルネコ（黄）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exp</v>
          </cell>
          <cell r="L1403" t="str">
            <v>強化素材タイプ</v>
          </cell>
          <cell r="M1403" t="str">
            <v>unknown</v>
          </cell>
        </row>
        <row r="1404">
          <cell r="A1404">
            <v>1522</v>
          </cell>
          <cell r="B1404" t="str">
            <v>ja</v>
          </cell>
          <cell r="C1404" t="str">
            <v>メタルネコビルダー（黄）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exp</v>
          </cell>
          <cell r="L1404" t="str">
            <v>強化素材タイプ</v>
          </cell>
          <cell r="M1404" t="str">
            <v>unknown</v>
          </cell>
        </row>
        <row r="1405">
          <cell r="A1405">
            <v>1523</v>
          </cell>
          <cell r="B1405" t="str">
            <v>ja</v>
          </cell>
          <cell r="C1405" t="str">
            <v>ネコムート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 t="str">
            <v>blue</v>
          </cell>
          <cell r="I1405">
            <v>5</v>
          </cell>
          <cell r="J1405" t="str">
            <v>DropWizS</v>
          </cell>
          <cell r="K1405" t="str">
            <v>balance</v>
          </cell>
          <cell r="L1405" t="str">
            <v>バランスタイプ</v>
          </cell>
          <cell r="M1405" t="str">
            <v>animal</v>
          </cell>
        </row>
        <row r="1406">
          <cell r="A1406">
            <v>1524</v>
          </cell>
          <cell r="B1406" t="str">
            <v>ja</v>
          </cell>
          <cell r="C1406" t="str">
            <v>狂乱のネコムート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 t="str">
            <v>blue</v>
          </cell>
          <cell r="I1406">
            <v>6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animal</v>
          </cell>
        </row>
        <row r="1407">
          <cell r="A1407">
            <v>1525</v>
          </cell>
          <cell r="B1407" t="str">
            <v>ja</v>
          </cell>
          <cell r="C1407" t="str">
            <v>狂乱のネコ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 t="str">
            <v>red</v>
          </cell>
          <cell r="I1407">
            <v>5</v>
          </cell>
          <cell r="J1407" t="str">
            <v>DropWizSS</v>
          </cell>
          <cell r="K1407" t="str">
            <v>balance</v>
          </cell>
          <cell r="L1407" t="str">
            <v>バランスタイプ</v>
          </cell>
          <cell r="M1407" t="str">
            <v>animal</v>
          </cell>
        </row>
        <row r="1408">
          <cell r="A1408">
            <v>1526</v>
          </cell>
          <cell r="B1408" t="str">
            <v>ja</v>
          </cell>
          <cell r="C1408" t="str">
            <v>狂乱のネコビルダー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 t="str">
            <v>red</v>
          </cell>
          <cell r="I1408">
            <v>6</v>
          </cell>
          <cell r="J1408" t="str">
            <v>DropWizSS</v>
          </cell>
          <cell r="K1408" t="str">
            <v>balance</v>
          </cell>
          <cell r="L1408" t="str">
            <v>バランスタイプ</v>
          </cell>
          <cell r="M1408" t="str">
            <v>animal</v>
          </cell>
        </row>
        <row r="1409">
          <cell r="A1409">
            <v>1527</v>
          </cell>
          <cell r="B1409" t="str">
            <v>ja</v>
          </cell>
          <cell r="C1409" t="str">
            <v>ネコ魔剣士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 t="str">
            <v>red</v>
          </cell>
          <cell r="I1409">
            <v>4</v>
          </cell>
          <cell r="J1409" t="str">
            <v>PremiumS</v>
          </cell>
          <cell r="K1409" t="str">
            <v>attack</v>
          </cell>
          <cell r="L1409" t="str">
            <v>攻撃タイプ</v>
          </cell>
          <cell r="M1409" t="str">
            <v>animal</v>
          </cell>
        </row>
        <row r="1410">
          <cell r="A1410">
            <v>1528</v>
          </cell>
          <cell r="B1410" t="str">
            <v>ja</v>
          </cell>
          <cell r="C1410" t="str">
            <v>双剣ネコ魔剣士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 t="str">
            <v>red</v>
          </cell>
          <cell r="I1410">
            <v>5</v>
          </cell>
          <cell r="J1410" t="str">
            <v>PremiumS</v>
          </cell>
          <cell r="K1410" t="str">
            <v>attack</v>
          </cell>
          <cell r="L1410" t="str">
            <v>攻撃タイプ</v>
          </cell>
          <cell r="M1410" t="str">
            <v>animal</v>
          </cell>
        </row>
        <row r="1411">
          <cell r="A1411">
            <v>1529</v>
          </cell>
          <cell r="B1411" t="str">
            <v>ja</v>
          </cell>
          <cell r="C1411" t="str">
            <v>ねこ海賊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 t="str">
            <v>blue</v>
          </cell>
          <cell r="I1411">
            <v>4</v>
          </cell>
          <cell r="J1411" t="str">
            <v>PremiumS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1530</v>
          </cell>
          <cell r="B1412" t="str">
            <v>ja</v>
          </cell>
          <cell r="C1412" t="str">
            <v>ニャーコック船長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 t="str">
            <v>blue</v>
          </cell>
          <cell r="I1412">
            <v>5</v>
          </cell>
          <cell r="J1412" t="str">
            <v>PremiumS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1531</v>
          </cell>
          <cell r="B1413" t="str">
            <v>ja</v>
          </cell>
          <cell r="C1413" t="str">
            <v>ねこジュラ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 t="str">
            <v>green</v>
          </cell>
          <cell r="I1413">
            <v>4</v>
          </cell>
          <cell r="J1413" t="str">
            <v>PremiumS</v>
          </cell>
          <cell r="K1413" t="str">
            <v>technical</v>
          </cell>
          <cell r="L1413" t="str">
            <v>テクニカルタイプ</v>
          </cell>
          <cell r="M1413" t="str">
            <v>animal</v>
          </cell>
        </row>
        <row r="1414">
          <cell r="A1414">
            <v>1532</v>
          </cell>
          <cell r="B1414" t="str">
            <v>ja</v>
          </cell>
          <cell r="C1414" t="str">
            <v>ねこジュラシッター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 t="str">
            <v>green</v>
          </cell>
          <cell r="I1414">
            <v>5</v>
          </cell>
          <cell r="J1414" t="str">
            <v>PremiumS</v>
          </cell>
          <cell r="K1414" t="str">
            <v>technical</v>
          </cell>
          <cell r="L1414" t="str">
            <v>テクニカルタイプ</v>
          </cell>
          <cell r="M1414" t="str">
            <v>animal</v>
          </cell>
        </row>
        <row r="1415">
          <cell r="A1415">
            <v>1533</v>
          </cell>
          <cell r="B1415" t="str">
            <v>ja</v>
          </cell>
          <cell r="C1415" t="str">
            <v>ネコエステ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 t="str">
            <v>yellow</v>
          </cell>
          <cell r="I1415">
            <v>4</v>
          </cell>
          <cell r="J1415" t="str">
            <v>PremiumS</v>
          </cell>
          <cell r="K1415" t="str">
            <v>attack</v>
          </cell>
          <cell r="L1415" t="str">
            <v>攻撃タイプ</v>
          </cell>
          <cell r="M1415" t="str">
            <v>animal</v>
          </cell>
        </row>
        <row r="1416">
          <cell r="A1416">
            <v>1534</v>
          </cell>
          <cell r="B1416" t="str">
            <v>ja</v>
          </cell>
          <cell r="C1416" t="str">
            <v>ネコジェンヌ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 t="str">
            <v>yellow</v>
          </cell>
          <cell r="I1416">
            <v>5</v>
          </cell>
          <cell r="J1416" t="str">
            <v>PremiumS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1535</v>
          </cell>
          <cell r="B1417" t="str">
            <v>ja</v>
          </cell>
          <cell r="C1417" t="str">
            <v>ねこナース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 t="str">
            <v>red</v>
          </cell>
          <cell r="I1417">
            <v>5</v>
          </cell>
          <cell r="J1417" t="str">
            <v>PremiumSS</v>
          </cell>
          <cell r="K1417" t="str">
            <v>technical</v>
          </cell>
          <cell r="L1417" t="str">
            <v>テクニカルタイプ</v>
          </cell>
          <cell r="M1417" t="str">
            <v>god</v>
          </cell>
        </row>
        <row r="1418">
          <cell r="A1418">
            <v>1536</v>
          </cell>
          <cell r="B1418" t="str">
            <v>ja</v>
          </cell>
          <cell r="C1418" t="str">
            <v>ハートフルねこナース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 t="str">
            <v>red</v>
          </cell>
          <cell r="I1418">
            <v>6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god</v>
          </cell>
        </row>
        <row r="1419">
          <cell r="A1419">
            <v>1537</v>
          </cell>
          <cell r="B1419" t="str">
            <v>ja</v>
          </cell>
          <cell r="C1419" t="str">
            <v>キャットマンダディ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 t="str">
            <v>blue</v>
          </cell>
          <cell r="I1419">
            <v>5</v>
          </cell>
          <cell r="J1419" t="str">
            <v>PremiumSSS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1538</v>
          </cell>
          <cell r="B1420" t="str">
            <v>ja</v>
          </cell>
          <cell r="C1420" t="str">
            <v>キャットマンダーク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 t="str">
            <v>blue</v>
          </cell>
          <cell r="I1420">
            <v>6</v>
          </cell>
          <cell r="J1420" t="str">
            <v>PremiumSSS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1539</v>
          </cell>
          <cell r="B1421" t="str">
            <v>ja</v>
          </cell>
          <cell r="C1421" t="str">
            <v>雷神のサンディア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 t="str">
            <v>yellow</v>
          </cell>
          <cell r="I1421">
            <v>5</v>
          </cell>
          <cell r="J1421" t="str">
            <v>PremiumSS</v>
          </cell>
          <cell r="K1421" t="str">
            <v>attack</v>
          </cell>
          <cell r="L1421" t="str">
            <v>攻撃タイプ</v>
          </cell>
          <cell r="M1421" t="str">
            <v>god</v>
          </cell>
        </row>
        <row r="1422">
          <cell r="A1422">
            <v>1540</v>
          </cell>
          <cell r="B1422" t="str">
            <v>ja</v>
          </cell>
          <cell r="C1422" t="str">
            <v>雷神のサンディアβ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 t="str">
            <v>yellow</v>
          </cell>
          <cell r="I1422">
            <v>6</v>
          </cell>
          <cell r="J1422" t="str">
            <v>PremiumSS</v>
          </cell>
          <cell r="K1422" t="str">
            <v>attack</v>
          </cell>
          <cell r="L1422" t="str">
            <v>攻撃タイプ</v>
          </cell>
          <cell r="M1422" t="str">
            <v>god</v>
          </cell>
        </row>
        <row r="1423">
          <cell r="A1423">
            <v>1541</v>
          </cell>
          <cell r="B1423" t="str">
            <v>ja</v>
          </cell>
          <cell r="C1423" t="str">
            <v>美女神アフロディーテ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 t="str">
            <v>red</v>
          </cell>
          <cell r="I1423">
            <v>5</v>
          </cell>
          <cell r="J1423" t="str">
            <v>PremiumSSS</v>
          </cell>
          <cell r="K1423" t="str">
            <v>technical</v>
          </cell>
          <cell r="L1423" t="str">
            <v>テクニカルタイプ</v>
          </cell>
          <cell r="M1423" t="str">
            <v>god</v>
          </cell>
        </row>
        <row r="1424">
          <cell r="A1424">
            <v>1542</v>
          </cell>
          <cell r="B1424" t="str">
            <v>ja</v>
          </cell>
          <cell r="C1424" t="str">
            <v>メガロディーテ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 t="str">
            <v>red</v>
          </cell>
          <cell r="I1424">
            <v>6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god</v>
          </cell>
        </row>
        <row r="1425">
          <cell r="A1425">
            <v>1543</v>
          </cell>
          <cell r="B1425" t="str">
            <v>ja</v>
          </cell>
          <cell r="C1425" t="str">
            <v>ツルの恩返し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 t="str">
            <v>blue</v>
          </cell>
          <cell r="I1425">
            <v>6</v>
          </cell>
          <cell r="J1425" t="str">
            <v>PremiumSSS</v>
          </cell>
          <cell r="K1425" t="str">
            <v>attack</v>
          </cell>
          <cell r="L1425" t="str">
            <v>攻撃タイプ</v>
          </cell>
          <cell r="M1425" t="str">
            <v>academia</v>
          </cell>
        </row>
        <row r="1426">
          <cell r="A1426">
            <v>1544</v>
          </cell>
          <cell r="B1426" t="str">
            <v>ja</v>
          </cell>
          <cell r="C1426" t="str">
            <v>銀河戦士コスモ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 t="str">
            <v>blue</v>
          </cell>
          <cell r="I1426">
            <v>6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</row>
        <row r="1427">
          <cell r="A1427">
            <v>1545</v>
          </cell>
          <cell r="B1427" t="str">
            <v>ja</v>
          </cell>
          <cell r="C1427" t="str">
            <v>ネコルガ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 t="str">
            <v>green</v>
          </cell>
          <cell r="I1427">
            <v>5</v>
          </cell>
          <cell r="J1427" t="str">
            <v>PremiumSS</v>
          </cell>
          <cell r="K1427" t="str">
            <v>hp</v>
          </cell>
          <cell r="L1427" t="str">
            <v>体力タイプ</v>
          </cell>
          <cell r="M1427" t="str">
            <v>unknown</v>
          </cell>
        </row>
        <row r="1428">
          <cell r="A1428">
            <v>1546</v>
          </cell>
          <cell r="B1428" t="str">
            <v>ja</v>
          </cell>
          <cell r="C1428" t="str">
            <v>ケセランパサラン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 t="str">
            <v>green</v>
          </cell>
          <cell r="I1428">
            <v>6</v>
          </cell>
          <cell r="J1428" t="str">
            <v>PremiumSS</v>
          </cell>
          <cell r="K1428" t="str">
            <v>hp</v>
          </cell>
          <cell r="L1428" t="str">
            <v>体力タイプ</v>
          </cell>
          <cell r="M1428" t="str">
            <v>unknown</v>
          </cell>
        </row>
        <row r="1429">
          <cell r="A1429">
            <v>1547</v>
          </cell>
          <cell r="B1429" t="str">
            <v>ja</v>
          </cell>
          <cell r="C1429" t="str">
            <v>ネコフラワー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 t="str">
            <v>green</v>
          </cell>
          <cell r="I1429">
            <v>4</v>
          </cell>
          <cell r="J1429" t="str">
            <v>Drop2N</v>
          </cell>
          <cell r="K1429" t="str">
            <v>hp</v>
          </cell>
          <cell r="L1429" t="str">
            <v>体力タイプ</v>
          </cell>
          <cell r="M1429" t="str">
            <v>animal</v>
          </cell>
        </row>
        <row r="1430">
          <cell r="A1430">
            <v>1548</v>
          </cell>
          <cell r="B1430" t="str">
            <v>ja</v>
          </cell>
          <cell r="C1430" t="str">
            <v>にゃんこ扇風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 t="str">
            <v>green</v>
          </cell>
          <cell r="I1430">
            <v>5</v>
          </cell>
          <cell r="J1430" t="str">
            <v>Drop2N</v>
          </cell>
          <cell r="K1430" t="str">
            <v>hp</v>
          </cell>
          <cell r="L1430" t="str">
            <v>体力タイプ</v>
          </cell>
          <cell r="M1430" t="str">
            <v>animal</v>
          </cell>
        </row>
        <row r="1431">
          <cell r="A1431">
            <v>1549</v>
          </cell>
          <cell r="B1431" t="str">
            <v>ja</v>
          </cell>
          <cell r="C1431" t="str">
            <v>ネコリンゴ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 t="str">
            <v>green</v>
          </cell>
          <cell r="I1431">
            <v>5</v>
          </cell>
          <cell r="J1431" t="str">
            <v>DropWizS</v>
          </cell>
          <cell r="K1431" t="str">
            <v>balance</v>
          </cell>
          <cell r="L1431" t="str">
            <v>バランスタイプ</v>
          </cell>
          <cell r="M1431" t="str">
            <v>unknown</v>
          </cell>
        </row>
        <row r="1432">
          <cell r="A1432">
            <v>1550</v>
          </cell>
          <cell r="B1432" t="str">
            <v>ja</v>
          </cell>
          <cell r="C1432" t="str">
            <v>カオルくん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 t="str">
            <v>green</v>
          </cell>
          <cell r="I1432">
            <v>6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</row>
        <row r="1433">
          <cell r="A1433">
            <v>5001</v>
          </cell>
          <cell r="B1433" t="str">
            <v>ja</v>
          </cell>
          <cell r="C1433" t="str">
            <v>ガルーダ</v>
          </cell>
          <cell r="D1433" t="str">
            <v>ノーマルクエスト</v>
          </cell>
          <cell r="E1433" t="str">
            <v>QoH</v>
          </cell>
          <cell r="F1433" t="str">
            <v>世界観</v>
          </cell>
          <cell r="G1433" t="str">
            <v>不明</v>
          </cell>
          <cell r="H1433" t="str">
            <v>red</v>
          </cell>
          <cell r="I1433">
            <v>5</v>
          </cell>
          <cell r="J1433" t="str">
            <v>PremiumSSw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5002</v>
          </cell>
          <cell r="B1434" t="str">
            <v>ja</v>
          </cell>
          <cell r="C1434" t="str">
            <v>ガルーダ★６</v>
          </cell>
          <cell r="D1434" t="str">
            <v>ノーマルクエスト</v>
          </cell>
          <cell r="E1434" t="str">
            <v>アバター</v>
          </cell>
          <cell r="F1434" t="str">
            <v>世界観</v>
          </cell>
          <cell r="G1434" t="str">
            <v>男性</v>
          </cell>
          <cell r="H1434" t="str">
            <v>red</v>
          </cell>
          <cell r="I1434">
            <v>6</v>
          </cell>
          <cell r="J1434" t="str">
            <v>PremiumSSw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5003</v>
          </cell>
          <cell r="B1435" t="str">
            <v>ja</v>
          </cell>
          <cell r="C1435" t="str">
            <v>ナーガ</v>
          </cell>
          <cell r="D1435" t="str">
            <v>リンクガチャ:4神</v>
          </cell>
          <cell r="E1435" t="str">
            <v>守護神</v>
          </cell>
          <cell r="F1435" t="str">
            <v>格好いい</v>
          </cell>
          <cell r="G1435" t="str">
            <v>不明</v>
          </cell>
          <cell r="H1435" t="str">
            <v>green</v>
          </cell>
          <cell r="I1435">
            <v>5</v>
          </cell>
          <cell r="J1435" t="str">
            <v>DropWizS</v>
          </cell>
          <cell r="K1435" t="str">
            <v>technical</v>
          </cell>
          <cell r="L1435" t="str">
            <v>テクニカルタイプ</v>
          </cell>
          <cell r="M1435" t="str">
            <v>animal</v>
          </cell>
        </row>
        <row r="1436">
          <cell r="A1436">
            <v>5004</v>
          </cell>
          <cell r="B1436" t="str">
            <v>ja</v>
          </cell>
          <cell r="C1436" t="str">
            <v>ナーガ★６</v>
          </cell>
          <cell r="D1436" t="str">
            <v>ノーマルクエスト</v>
          </cell>
          <cell r="E1436" t="str">
            <v>アバター</v>
          </cell>
          <cell r="F1436" t="str">
            <v>世界観</v>
          </cell>
          <cell r="G1436" t="str">
            <v>不明</v>
          </cell>
          <cell r="H1436" t="str">
            <v>green</v>
          </cell>
          <cell r="I1436">
            <v>6</v>
          </cell>
          <cell r="J1436" t="str">
            <v>DropWizS</v>
          </cell>
          <cell r="K1436" t="str">
            <v>technical</v>
          </cell>
          <cell r="L1436" t="str">
            <v>テクニカルタイプ</v>
          </cell>
          <cell r="M1436" t="str">
            <v>animal</v>
          </cell>
        </row>
        <row r="1437">
          <cell r="A1437">
            <v>5005</v>
          </cell>
          <cell r="B1437" t="str">
            <v>ja</v>
          </cell>
          <cell r="C1437" t="str">
            <v>カーミラ</v>
          </cell>
          <cell r="D1437" t="str">
            <v>ノーマルクエスト</v>
          </cell>
          <cell r="E1437" t="str">
            <v>QoH</v>
          </cell>
          <cell r="F1437" t="str">
            <v>世界観</v>
          </cell>
          <cell r="G1437" t="str">
            <v>不明</v>
          </cell>
          <cell r="H1437" t="str">
            <v>green</v>
          </cell>
          <cell r="I1437">
            <v>5</v>
          </cell>
          <cell r="J1437" t="str">
            <v>PremiumSSw</v>
          </cell>
          <cell r="K1437" t="str">
            <v>balance</v>
          </cell>
          <cell r="L1437" t="str">
            <v>バランスタイプ</v>
          </cell>
          <cell r="M1437" t="str">
            <v>demon</v>
          </cell>
        </row>
        <row r="1438">
          <cell r="A1438">
            <v>5006</v>
          </cell>
          <cell r="B1438" t="str">
            <v>ja</v>
          </cell>
          <cell r="C1438" t="str">
            <v>カーミラ★６</v>
          </cell>
          <cell r="D1438" t="str">
            <v>ノーマルクエスト</v>
          </cell>
          <cell r="E1438" t="str">
            <v>アバター</v>
          </cell>
          <cell r="F1438" t="str">
            <v>世界観</v>
          </cell>
          <cell r="G1438" t="str">
            <v>男性</v>
          </cell>
          <cell r="H1438" t="str">
            <v>green</v>
          </cell>
          <cell r="I1438">
            <v>6</v>
          </cell>
          <cell r="J1438" t="str">
            <v>PremiumSSw</v>
          </cell>
          <cell r="K1438" t="str">
            <v>balance</v>
          </cell>
          <cell r="L1438" t="str">
            <v>バランスタイプ</v>
          </cell>
          <cell r="M1438" t="str">
            <v>demon</v>
          </cell>
        </row>
        <row r="1439">
          <cell r="A1439">
            <v>5007</v>
          </cell>
          <cell r="B1439" t="str">
            <v>ja</v>
          </cell>
          <cell r="C1439" t="str">
            <v>ヘルシング</v>
          </cell>
          <cell r="D1439" t="str">
            <v>リンクガチャ:4神</v>
          </cell>
          <cell r="E1439" t="str">
            <v>守護神</v>
          </cell>
          <cell r="F1439" t="str">
            <v>格好いい</v>
          </cell>
          <cell r="G1439" t="str">
            <v>不明</v>
          </cell>
          <cell r="H1439" t="str">
            <v>yellow</v>
          </cell>
          <cell r="I1439">
            <v>5</v>
          </cell>
          <cell r="J1439" t="str">
            <v>DropWizS</v>
          </cell>
          <cell r="K1439" t="str">
            <v>attack</v>
          </cell>
          <cell r="L1439" t="str">
            <v>攻撃タイプ</v>
          </cell>
          <cell r="M1439" t="str">
            <v>human</v>
          </cell>
        </row>
        <row r="1440">
          <cell r="A1440">
            <v>5008</v>
          </cell>
          <cell r="B1440" t="str">
            <v>ja</v>
          </cell>
          <cell r="C1440" t="str">
            <v>ヘルシング★６</v>
          </cell>
          <cell r="D1440" t="str">
            <v>ノーマルクエスト</v>
          </cell>
          <cell r="E1440" t="str">
            <v>アバター</v>
          </cell>
          <cell r="F1440" t="str">
            <v>世界観</v>
          </cell>
          <cell r="G1440" t="str">
            <v>不明</v>
          </cell>
          <cell r="H1440" t="str">
            <v>yellow</v>
          </cell>
          <cell r="I1440">
            <v>6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6001</v>
          </cell>
          <cell r="B1441" t="str">
            <v>ja</v>
          </cell>
          <cell r="C1441" t="str">
            <v>ジェリー</v>
          </cell>
          <cell r="D1441" t="str">
            <v>ノーマルクエスト</v>
          </cell>
          <cell r="E1441" t="str">
            <v>QoH</v>
          </cell>
          <cell r="F1441" t="str">
            <v>世界観</v>
          </cell>
          <cell r="G1441" t="str">
            <v>不明</v>
          </cell>
          <cell r="H1441" t="str">
            <v>red</v>
          </cell>
          <cell r="I1441">
            <v>1</v>
          </cell>
          <cell r="J1441" t="str">
            <v>Drop1T</v>
          </cell>
          <cell r="K1441" t="str">
            <v>ra</v>
          </cell>
          <cell r="L1441" t="str">
            <v>ラグランジュチャレンジ</v>
          </cell>
          <cell r="M1441" t="str">
            <v>unknown</v>
          </cell>
        </row>
        <row r="1442">
          <cell r="A1442">
            <v>6002</v>
          </cell>
          <cell r="B1442" t="str">
            <v>ja</v>
          </cell>
          <cell r="C1442" t="str">
            <v>ヨシタカ</v>
          </cell>
          <cell r="D1442" t="str">
            <v>ノーマルクエスト</v>
          </cell>
          <cell r="E1442" t="str">
            <v>アバター</v>
          </cell>
          <cell r="F1442" t="str">
            <v>世界観</v>
          </cell>
          <cell r="G1442" t="str">
            <v>男性</v>
          </cell>
          <cell r="H1442" t="str">
            <v>red</v>
          </cell>
          <cell r="I1442">
            <v>2</v>
          </cell>
          <cell r="J1442" t="str">
            <v>Drop1N</v>
          </cell>
          <cell r="K1442" t="str">
            <v>ra</v>
          </cell>
          <cell r="L1442" t="str">
            <v>ラグランジュチャレンジ</v>
          </cell>
          <cell r="M1442" t="str">
            <v>human</v>
          </cell>
        </row>
        <row r="1443">
          <cell r="A1443">
            <v>6003</v>
          </cell>
          <cell r="B1443" t="str">
            <v>ja</v>
          </cell>
          <cell r="C1443" t="str">
            <v>朱雀</v>
          </cell>
          <cell r="D1443" t="str">
            <v>リンクガチャ:4神</v>
          </cell>
          <cell r="E1443" t="str">
            <v>守護神</v>
          </cell>
          <cell r="F1443" t="str">
            <v>格好いい</v>
          </cell>
          <cell r="G1443" t="str">
            <v>不明</v>
          </cell>
          <cell r="H1443" t="str">
            <v>red</v>
          </cell>
          <cell r="I1443">
            <v>3</v>
          </cell>
          <cell r="J1443" t="str">
            <v>Drop2N</v>
          </cell>
          <cell r="K1443" t="str">
            <v>ra</v>
          </cell>
          <cell r="L1443" t="str">
            <v>ラグランジュチャレンジ</v>
          </cell>
          <cell r="M1443" t="str">
            <v>animal</v>
          </cell>
        </row>
        <row r="1444">
          <cell r="A1444">
            <v>6004</v>
          </cell>
          <cell r="B1444" t="str">
            <v>ja</v>
          </cell>
          <cell r="C1444" t="str">
            <v>ブレット</v>
          </cell>
          <cell r="D1444" t="str">
            <v>ノーマルクエスト</v>
          </cell>
          <cell r="E1444" t="str">
            <v>アバター</v>
          </cell>
          <cell r="F1444" t="str">
            <v>世界観</v>
          </cell>
          <cell r="G1444" t="str">
            <v>不明</v>
          </cell>
          <cell r="H1444" t="str">
            <v>red</v>
          </cell>
          <cell r="I1444">
            <v>1</v>
          </cell>
          <cell r="J1444" t="str">
            <v>Drop1W</v>
          </cell>
          <cell r="K1444" t="str">
            <v>ra</v>
          </cell>
          <cell r="L1444" t="str">
            <v>ラグランジュチャレンジ</v>
          </cell>
          <cell r="M1444" t="str">
            <v>animal</v>
          </cell>
        </row>
        <row r="1445">
          <cell r="A1445">
            <v>6005</v>
          </cell>
          <cell r="B1445" t="str">
            <v>ja</v>
          </cell>
          <cell r="C1445" t="str">
            <v>孤神 テティス</v>
          </cell>
          <cell r="D1445" t="str">
            <v>初期ガチャ</v>
          </cell>
          <cell r="E1445" t="str">
            <v>管理者</v>
          </cell>
          <cell r="F1445" t="str">
            <v>美しい</v>
          </cell>
          <cell r="G1445" t="str">
            <v>女性</v>
          </cell>
          <cell r="H1445" t="str">
            <v>blue</v>
          </cell>
          <cell r="I1445">
            <v>4</v>
          </cell>
          <cell r="J1445" t="str">
            <v>PremiumN</v>
          </cell>
          <cell r="K1445" t="str">
            <v>ra</v>
          </cell>
          <cell r="L1445" t="str">
            <v>ラグランジュチャレンジ</v>
          </cell>
          <cell r="M1445" t="str">
            <v>god</v>
          </cell>
        </row>
        <row r="1446">
          <cell r="A1446">
            <v>6006</v>
          </cell>
          <cell r="B1446" t="str">
            <v>ja</v>
          </cell>
          <cell r="C1446" t="str">
            <v>海底の孤高神 テティス</v>
          </cell>
          <cell r="D1446" t="str">
            <v>初期ガチャ</v>
          </cell>
          <cell r="E1446" t="str">
            <v>管理者</v>
          </cell>
          <cell r="F1446" t="str">
            <v>美しい</v>
          </cell>
          <cell r="G1446" t="str">
            <v>女性</v>
          </cell>
          <cell r="H1446" t="str">
            <v>blue</v>
          </cell>
          <cell r="I1446">
            <v>5</v>
          </cell>
          <cell r="J1446" t="str">
            <v>PremiumN</v>
          </cell>
          <cell r="K1446" t="str">
            <v>ra</v>
          </cell>
          <cell r="L1446" t="str">
            <v>ラグランジュチャレンジ</v>
          </cell>
          <cell r="M1446" t="str">
            <v>god</v>
          </cell>
        </row>
        <row r="1447">
          <cell r="A1447">
            <v>6007</v>
          </cell>
          <cell r="B1447" t="str">
            <v>ja</v>
          </cell>
          <cell r="C1447" t="str">
            <v>番犬 ケルベロス</v>
          </cell>
          <cell r="D1447" t="str">
            <v>初期ガチャ</v>
          </cell>
          <cell r="E1447" t="str">
            <v>破界者</v>
          </cell>
          <cell r="F1447" t="str">
            <v>可愛い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PremiumN</v>
          </cell>
          <cell r="K1447" t="str">
            <v>ra</v>
          </cell>
          <cell r="L1447" t="str">
            <v>ラグランジュチャレンジ</v>
          </cell>
          <cell r="M1447" t="str">
            <v>animal</v>
          </cell>
        </row>
        <row r="1448">
          <cell r="A1448">
            <v>6008</v>
          </cell>
          <cell r="B1448" t="str">
            <v>ja</v>
          </cell>
          <cell r="C1448" t="str">
            <v>焔神 プロメテウス</v>
          </cell>
          <cell r="D1448" t="str">
            <v>初期ガチャ</v>
          </cell>
          <cell r="E1448" t="str">
            <v>管理者</v>
          </cell>
          <cell r="F1448" t="str">
            <v>格好いい</v>
          </cell>
          <cell r="G1448" t="str">
            <v>男性</v>
          </cell>
          <cell r="H1448" t="str">
            <v>red</v>
          </cell>
          <cell r="I1448">
            <v>4</v>
          </cell>
          <cell r="J1448" t="str">
            <v>PremiumN</v>
          </cell>
          <cell r="K1448" t="str">
            <v>ra</v>
          </cell>
          <cell r="L1448" t="str">
            <v>ラグランジュチャレンジ</v>
          </cell>
          <cell r="M1448" t="str">
            <v>god</v>
          </cell>
        </row>
        <row r="1449">
          <cell r="A1449">
            <v>6009</v>
          </cell>
          <cell r="B1449" t="str">
            <v>ja</v>
          </cell>
          <cell r="C1449" t="str">
            <v>超越自我 ラグランジュ</v>
          </cell>
          <cell r="D1449" t="str">
            <v>ガチャ:フィーバーフェス02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5</v>
          </cell>
          <cell r="J1449" t="str">
            <v>PremiumSSS</v>
          </cell>
          <cell r="K1449" t="str">
            <v>ra</v>
          </cell>
          <cell r="L1449" t="str">
            <v>ラグランジュチャレンジ</v>
          </cell>
          <cell r="M1449" t="str">
            <v>human</v>
          </cell>
        </row>
        <row r="1450">
          <cell r="A1450">
            <v>6010</v>
          </cell>
          <cell r="B1450" t="str">
            <v>ja</v>
          </cell>
          <cell r="C1450" t="str">
            <v>超越凌駕 ラグランジュ</v>
          </cell>
          <cell r="D1450" t="str">
            <v>ガチャ:フィーバーフェス02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6</v>
          </cell>
          <cell r="J1450" t="str">
            <v>PremiumSSS</v>
          </cell>
          <cell r="K1450" t="str">
            <v>ra</v>
          </cell>
          <cell r="L1450" t="str">
            <v>ラグランジュチャレンジ</v>
          </cell>
          <cell r="M1450" t="str">
            <v>human</v>
          </cell>
        </row>
        <row r="1451">
          <cell r="A1451">
            <v>6011</v>
          </cell>
          <cell r="B1451" t="str">
            <v>ja</v>
          </cell>
          <cell r="C1451" t="str">
            <v>パトドッグリーダー ポチ</v>
          </cell>
          <cell r="D1451" t="str">
            <v>ガチャ:フィーバーフェス02</v>
          </cell>
          <cell r="E1451" t="str">
            <v>執行者</v>
          </cell>
          <cell r="F1451" t="str">
            <v>格好いい</v>
          </cell>
          <cell r="G1451" t="str">
            <v>男性</v>
          </cell>
          <cell r="H1451" t="str">
            <v>blue</v>
          </cell>
          <cell r="I1451">
            <v>2</v>
          </cell>
          <cell r="J1451" t="str">
            <v>Drop1T</v>
          </cell>
          <cell r="K1451" t="str">
            <v>ra002</v>
          </cell>
          <cell r="L1451" t="str">
            <v>ユークリッドチャレンジ</v>
          </cell>
          <cell r="M1451" t="str">
            <v>unknown</v>
          </cell>
        </row>
        <row r="1452">
          <cell r="A1452">
            <v>6012</v>
          </cell>
          <cell r="B1452" t="str">
            <v>ja</v>
          </cell>
          <cell r="C1452" t="str">
            <v>ミミ</v>
          </cell>
          <cell r="D1452" t="str">
            <v>ガチャ:フィーバーフェス02</v>
          </cell>
          <cell r="E1452" t="str">
            <v>執行者</v>
          </cell>
          <cell r="F1452" t="str">
            <v>格好いい</v>
          </cell>
          <cell r="G1452" t="str">
            <v>男性</v>
          </cell>
          <cell r="H1452" t="str">
            <v>yellow</v>
          </cell>
          <cell r="I1452">
            <v>1</v>
          </cell>
          <cell r="J1452" t="str">
            <v>Drop1W</v>
          </cell>
          <cell r="K1452" t="str">
            <v>ra002</v>
          </cell>
          <cell r="L1452" t="str">
            <v>ユークリッドチャレンジ</v>
          </cell>
          <cell r="M1452" t="str">
            <v>animal</v>
          </cell>
        </row>
        <row r="1453">
          <cell r="A1453">
            <v>6013</v>
          </cell>
          <cell r="B1453" t="str">
            <v>ja</v>
          </cell>
          <cell r="C1453" t="str">
            <v>護衛機人 スケアクロウ</v>
          </cell>
          <cell r="D1453" t="str">
            <v>ガチャ:フィーバーフェス02</v>
          </cell>
          <cell r="E1453" t="str">
            <v>執行者</v>
          </cell>
          <cell r="F1453" t="str">
            <v>格好いい</v>
          </cell>
          <cell r="G1453" t="str">
            <v>男性</v>
          </cell>
          <cell r="H1453" t="str">
            <v>blue</v>
          </cell>
          <cell r="I1453">
            <v>2</v>
          </cell>
          <cell r="J1453" t="str">
            <v>Drop1N</v>
          </cell>
          <cell r="K1453" t="str">
            <v>ra002</v>
          </cell>
          <cell r="L1453" t="str">
            <v>ユークリッドチャレンジ</v>
          </cell>
          <cell r="M1453" t="str">
            <v>machine</v>
          </cell>
        </row>
        <row r="1454">
          <cell r="A1454">
            <v>6014</v>
          </cell>
          <cell r="B1454" t="str">
            <v>ja</v>
          </cell>
          <cell r="C1454" t="str">
            <v>月下の人狼 ローレンス</v>
          </cell>
          <cell r="D1454" t="str">
            <v>ガチャ:フィーバーフェス02</v>
          </cell>
          <cell r="E1454" t="str">
            <v>執行者</v>
          </cell>
          <cell r="F1454" t="str">
            <v>格好いい</v>
          </cell>
          <cell r="G1454" t="str">
            <v>男性</v>
          </cell>
          <cell r="H1454" t="str">
            <v>blue</v>
          </cell>
          <cell r="I1454">
            <v>4</v>
          </cell>
          <cell r="J1454" t="str">
            <v>PremiumW</v>
          </cell>
          <cell r="K1454" t="str">
            <v>ra002</v>
          </cell>
          <cell r="L1454" t="str">
            <v>ユークリッドチャレンジ</v>
          </cell>
          <cell r="M1454" t="str">
            <v>animal</v>
          </cell>
        </row>
        <row r="1455">
          <cell r="A1455">
            <v>6015</v>
          </cell>
          <cell r="B1455" t="str">
            <v>ja</v>
          </cell>
          <cell r="C1455" t="str">
            <v>フレイヤ</v>
          </cell>
          <cell r="D1455" t="str">
            <v>ガチャ:フィーバーフェス02</v>
          </cell>
          <cell r="E1455" t="str">
            <v>執行者</v>
          </cell>
          <cell r="F1455" t="str">
            <v>格好いい</v>
          </cell>
          <cell r="G1455" t="str">
            <v>男性</v>
          </cell>
          <cell r="H1455" t="str">
            <v>blue</v>
          </cell>
          <cell r="I1455">
            <v>4</v>
          </cell>
          <cell r="J1455" t="str">
            <v>PremiumSS</v>
          </cell>
          <cell r="K1455" t="str">
            <v>ra002</v>
          </cell>
          <cell r="L1455" t="str">
            <v>ユークリッドチャレンジ</v>
          </cell>
          <cell r="M1455" t="str">
            <v>animal</v>
          </cell>
        </row>
        <row r="1456">
          <cell r="A1456">
            <v>6016</v>
          </cell>
          <cell r="B1456" t="str">
            <v>ja</v>
          </cell>
          <cell r="C1456" t="str">
            <v>根原論理 ユークリッド</v>
          </cell>
          <cell r="D1456" t="str">
            <v>ガチャ:フィーバーフェス02</v>
          </cell>
          <cell r="E1456" t="str">
            <v>執行者</v>
          </cell>
          <cell r="F1456" t="str">
            <v>格好いい</v>
          </cell>
          <cell r="G1456" t="str">
            <v>男性</v>
          </cell>
          <cell r="H1456" t="str">
            <v>blue</v>
          </cell>
          <cell r="I1456">
            <v>5</v>
          </cell>
          <cell r="J1456" t="str">
            <v>PremiumSSS</v>
          </cell>
          <cell r="K1456" t="str">
            <v>ra002</v>
          </cell>
          <cell r="L1456" t="str">
            <v>ユークリッドチャレンジ</v>
          </cell>
          <cell r="M1456" t="str">
            <v>human</v>
          </cell>
        </row>
        <row r="1457">
          <cell r="A1457">
            <v>6017</v>
          </cell>
          <cell r="B1457" t="str">
            <v>ja</v>
          </cell>
          <cell r="C1457" t="str">
            <v>不朽の極論 ユークリッド</v>
          </cell>
          <cell r="D1457" t="str">
            <v>ガチャ:フィーバーフェス02</v>
          </cell>
          <cell r="E1457" t="str">
            <v>執行者</v>
          </cell>
          <cell r="F1457" t="str">
            <v>格好いい</v>
          </cell>
          <cell r="G1457" t="str">
            <v>男性</v>
          </cell>
          <cell r="H1457" t="str">
            <v>blue</v>
          </cell>
          <cell r="I1457">
            <v>6</v>
          </cell>
          <cell r="J1457" t="str">
            <v>PremiumSSS</v>
          </cell>
          <cell r="K1457" t="str">
            <v>ra002</v>
          </cell>
          <cell r="L1457" t="str">
            <v>ユークリッドチャレンジ</v>
          </cell>
          <cell r="M1457" t="str">
            <v>human</v>
          </cell>
        </row>
        <row r="1458">
          <cell r="A1458">
            <v>6018</v>
          </cell>
          <cell r="B1458" t="str">
            <v>ja</v>
          </cell>
          <cell r="C1458" t="str">
            <v>ハヅル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男性</v>
          </cell>
          <cell r="H1458" t="str">
            <v>red</v>
          </cell>
          <cell r="I1458">
            <v>4</v>
          </cell>
          <cell r="J1458" t="str">
            <v>PremiumSS</v>
          </cell>
          <cell r="K1458" t="str">
            <v>ra002</v>
          </cell>
          <cell r="L1458" t="str">
            <v>ユークリッドチャレンジ</v>
          </cell>
          <cell r="M1458" t="str">
            <v>animal</v>
          </cell>
        </row>
        <row r="1459">
          <cell r="A1459">
            <v>6019</v>
          </cell>
          <cell r="B1459" t="str">
            <v>ja</v>
          </cell>
          <cell r="C1459" t="str">
            <v>天織羽鶴 ハヅル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男性</v>
          </cell>
          <cell r="H1459" t="str">
            <v>red</v>
          </cell>
          <cell r="I1459">
            <v>5</v>
          </cell>
          <cell r="J1459" t="str">
            <v>PremiumSS</v>
          </cell>
          <cell r="K1459" t="str">
            <v>ra002</v>
          </cell>
          <cell r="L1459" t="str">
            <v>ユークリッドチャレンジ</v>
          </cell>
          <cell r="M1459" t="str">
            <v>animal</v>
          </cell>
        </row>
        <row r="1460">
          <cell r="A1460">
            <v>6020</v>
          </cell>
          <cell r="B1460" t="str">
            <v>ja</v>
          </cell>
          <cell r="C1460" t="str">
            <v>ミズチ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blue</v>
          </cell>
          <cell r="I1460">
            <v>4</v>
          </cell>
          <cell r="J1460" t="str">
            <v>PremiumS</v>
          </cell>
          <cell r="K1460" t="str">
            <v>ra002</v>
          </cell>
          <cell r="L1460" t="str">
            <v>ユークリッドチャレンジ</v>
          </cell>
          <cell r="M1460" t="str">
            <v>dragon</v>
          </cell>
        </row>
        <row r="1461">
          <cell r="A1461">
            <v>8001</v>
          </cell>
          <cell r="B1461" t="str">
            <v>ja</v>
          </cell>
          <cell r="C1461" t="str">
            <v>媽祖</v>
          </cell>
          <cell r="D1461" t="str">
            <v>イベント:ミクコラボ01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yellow</v>
          </cell>
          <cell r="I1461">
            <v>5</v>
          </cell>
          <cell r="J1461" t="str">
            <v>PremiumSS</v>
          </cell>
          <cell r="K1461" t="str">
            <v>attack</v>
          </cell>
          <cell r="L1461" t="str">
            <v>攻撃タイプ</v>
          </cell>
          <cell r="M1461" t="str">
            <v>god</v>
          </cell>
        </row>
        <row r="1462">
          <cell r="A1462">
            <v>8002</v>
          </cell>
          <cell r="B1462" t="str">
            <v>ja</v>
          </cell>
          <cell r="C1462" t="str">
            <v>宣導する天海妃 媽祖</v>
          </cell>
          <cell r="D1462" t="str">
            <v>イベント:ミクコラボ01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6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8003</v>
          </cell>
          <cell r="B1463" t="str">
            <v>ja</v>
          </cell>
          <cell r="C1463" t="str">
            <v>蛟龍</v>
          </cell>
          <cell r="D1463" t="str">
            <v>イベント:ミクコラボ01</v>
          </cell>
          <cell r="E1463" t="str">
            <v>執行者</v>
          </cell>
          <cell r="F1463" t="str">
            <v>格好いい</v>
          </cell>
          <cell r="G1463" t="str">
            <v>不明</v>
          </cell>
          <cell r="H1463" t="str">
            <v>blue</v>
          </cell>
          <cell r="I1463">
            <v>5</v>
          </cell>
          <cell r="J1463" t="str">
            <v>DropWizS</v>
          </cell>
          <cell r="K1463" t="str">
            <v>hp</v>
          </cell>
          <cell r="L1463" t="str">
            <v>体力タイプ</v>
          </cell>
          <cell r="M1463" t="str">
            <v>dragon</v>
          </cell>
        </row>
        <row r="1464">
          <cell r="A1464">
            <v>8004</v>
          </cell>
          <cell r="B1464" t="str">
            <v>ja</v>
          </cell>
          <cell r="C1464" t="str">
            <v>呼嵐の蒼棲龍 蛟龍</v>
          </cell>
          <cell r="D1464" t="str">
            <v>イベント:ミクコラボ01</v>
          </cell>
          <cell r="E1464" t="str">
            <v>執行者</v>
          </cell>
          <cell r="F1464" t="str">
            <v>格好いい</v>
          </cell>
          <cell r="G1464" t="str">
            <v>不明</v>
          </cell>
          <cell r="H1464" t="str">
            <v>blue</v>
          </cell>
          <cell r="I1464">
            <v>6</v>
          </cell>
          <cell r="J1464" t="str">
            <v>DropWizS</v>
          </cell>
          <cell r="K1464" t="str">
            <v>hp</v>
          </cell>
          <cell r="L1464" t="str">
            <v>体力タイプ</v>
          </cell>
          <cell r="M1464" t="str">
            <v>dragon</v>
          </cell>
        </row>
        <row r="1465">
          <cell r="A1465">
            <v>8005</v>
          </cell>
          <cell r="B1465" t="str">
            <v>ja</v>
          </cell>
          <cell r="C1465" t="str">
            <v>三蔵法師</v>
          </cell>
          <cell r="D1465" t="str">
            <v>イベント:ミクコラボ01</v>
          </cell>
          <cell r="E1465" t="str">
            <v>執行者</v>
          </cell>
          <cell r="F1465" t="str">
            <v>格好いい</v>
          </cell>
          <cell r="G1465" t="str">
            <v>不明</v>
          </cell>
          <cell r="H1465" t="str">
            <v>blue</v>
          </cell>
          <cell r="I1465">
            <v>5</v>
          </cell>
          <cell r="J1465" t="str">
            <v>PremiumSS</v>
          </cell>
          <cell r="K1465" t="str">
            <v>balance</v>
          </cell>
          <cell r="L1465" t="str">
            <v>バランスタイプ</v>
          </cell>
          <cell r="M1465" t="str">
            <v>human</v>
          </cell>
        </row>
        <row r="1466">
          <cell r="A1466">
            <v>8006</v>
          </cell>
          <cell r="B1466" t="str">
            <v>ja</v>
          </cell>
          <cell r="C1466" t="str">
            <v>慈戒の呪封使 三蔵法師</v>
          </cell>
          <cell r="D1466" t="str">
            <v>イベント:ミクコラボ01</v>
          </cell>
          <cell r="E1466" t="str">
            <v>執行者</v>
          </cell>
          <cell r="F1466" t="str">
            <v>格好いい</v>
          </cell>
          <cell r="G1466" t="str">
            <v>不明</v>
          </cell>
          <cell r="H1466" t="str">
            <v>blue</v>
          </cell>
          <cell r="I1466">
            <v>6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human</v>
          </cell>
        </row>
        <row r="1467">
          <cell r="A1467">
            <v>8007</v>
          </cell>
          <cell r="B1467" t="str">
            <v>ja</v>
          </cell>
          <cell r="C1467" t="str">
            <v>孫悟空</v>
          </cell>
          <cell r="D1467" t="str">
            <v>イベント:ミクコラボ01</v>
          </cell>
          <cell r="E1467" t="str">
            <v>執行者</v>
          </cell>
          <cell r="F1467" t="str">
            <v>格好いい</v>
          </cell>
          <cell r="G1467" t="str">
            <v>不明</v>
          </cell>
          <cell r="H1467" t="str">
            <v>red</v>
          </cell>
          <cell r="I1467">
            <v>5</v>
          </cell>
          <cell r="J1467" t="str">
            <v>DropWizS</v>
          </cell>
          <cell r="K1467" t="str">
            <v>attack</v>
          </cell>
          <cell r="L1467" t="str">
            <v>攻撃タイプ</v>
          </cell>
          <cell r="M1467" t="str">
            <v>animal</v>
          </cell>
        </row>
        <row r="1468">
          <cell r="A1468">
            <v>8008</v>
          </cell>
          <cell r="B1468" t="str">
            <v>ja</v>
          </cell>
          <cell r="C1468" t="str">
            <v>花果の天猿仙人 孫悟空</v>
          </cell>
          <cell r="D1468" t="str">
            <v>イベント:ミクコラボ01</v>
          </cell>
          <cell r="E1468" t="str">
            <v>執行者</v>
          </cell>
          <cell r="F1468" t="str">
            <v>格好いい</v>
          </cell>
          <cell r="G1468" t="str">
            <v>不明</v>
          </cell>
          <cell r="H1468" t="str">
            <v>red</v>
          </cell>
          <cell r="I1468">
            <v>6</v>
          </cell>
          <cell r="J1468" t="str">
            <v>DropWizS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8009</v>
          </cell>
          <cell r="B1469" t="str">
            <v>ja</v>
          </cell>
          <cell r="C1469" t="str">
            <v>西王娘娘</v>
          </cell>
          <cell r="D1469" t="str">
            <v>イベント:ミクコラボ01</v>
          </cell>
          <cell r="E1469" t="str">
            <v>執行者</v>
          </cell>
          <cell r="F1469" t="str">
            <v>格好いい</v>
          </cell>
          <cell r="G1469" t="str">
            <v>不明</v>
          </cell>
          <cell r="H1469" t="str">
            <v>green</v>
          </cell>
          <cell r="I1469">
            <v>5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god</v>
          </cell>
        </row>
        <row r="1470">
          <cell r="A1470">
            <v>8010</v>
          </cell>
          <cell r="B1470" t="str">
            <v>ja</v>
          </cell>
          <cell r="C1470" t="str">
            <v>極楽瑶池の聖母 西王娘娘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不明</v>
          </cell>
          <cell r="H1470" t="str">
            <v>green</v>
          </cell>
          <cell r="I1470">
            <v>6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8011</v>
          </cell>
          <cell r="B1471" t="str">
            <v>ja</v>
          </cell>
          <cell r="C1471" t="str">
            <v>月下老人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5</v>
          </cell>
          <cell r="J1471" t="str">
            <v>DropWizS</v>
          </cell>
          <cell r="K1471" t="str">
            <v>balance</v>
          </cell>
          <cell r="L1471" t="str">
            <v>バランスタイプ</v>
          </cell>
          <cell r="M1471" t="str">
            <v>god</v>
          </cell>
        </row>
        <row r="1472">
          <cell r="A1472">
            <v>8012</v>
          </cell>
          <cell r="B1472" t="str">
            <v>ja</v>
          </cell>
          <cell r="C1472" t="str">
            <v>破戀斬る縁剣 月下老人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6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god</v>
          </cell>
        </row>
        <row r="1473">
          <cell r="A1473">
            <v>8013</v>
          </cell>
          <cell r="B1473" t="str">
            <v>ja</v>
          </cell>
          <cell r="C1473" t="str">
            <v>初音ミクV3</v>
          </cell>
          <cell r="D1473" t="str">
            <v>初音ミクV3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4</v>
          </cell>
          <cell r="J1473" t="str">
            <v>DropWizS</v>
          </cell>
          <cell r="K1473" t="str">
            <v>balance</v>
          </cell>
          <cell r="L1473" t="str">
            <v>バランスタイプ</v>
          </cell>
          <cell r="M1473" t="str">
            <v>unknown</v>
          </cell>
        </row>
        <row r="1474">
          <cell r="A1474">
            <v>8014</v>
          </cell>
          <cell r="B1474" t="str">
            <v>ja</v>
          </cell>
          <cell r="C1474" t="str">
            <v>初音ミクV3</v>
          </cell>
          <cell r="D1474" t="str">
            <v>初音ミクV3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5</v>
          </cell>
          <cell r="J1474" t="str">
            <v>DropWizS</v>
          </cell>
          <cell r="K1474" t="str">
            <v>balance</v>
          </cell>
          <cell r="L1474" t="str">
            <v>バランスタイプ</v>
          </cell>
          <cell r="M1474" t="str">
            <v>unknown</v>
          </cell>
        </row>
        <row r="1475">
          <cell r="A1475">
            <v>8015</v>
          </cell>
          <cell r="B1475" t="str">
            <v>ja</v>
          </cell>
          <cell r="C1475" t="str">
            <v>初音ミク・アペンド</v>
          </cell>
          <cell r="D1475" t="str">
            <v>初音ミク・アペンド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green</v>
          </cell>
          <cell r="I1475">
            <v>4</v>
          </cell>
          <cell r="J1475" t="str">
            <v>PremiumSSS</v>
          </cell>
          <cell r="K1475" t="str">
            <v>technical</v>
          </cell>
          <cell r="L1475" t="str">
            <v>テクニカルタイプ</v>
          </cell>
          <cell r="M1475" t="str">
            <v>unknown</v>
          </cell>
        </row>
        <row r="1476">
          <cell r="A1476">
            <v>8016</v>
          </cell>
          <cell r="B1476" t="str">
            <v>ja</v>
          </cell>
          <cell r="C1476" t="str">
            <v>初音ミク・アペンド</v>
          </cell>
          <cell r="D1476" t="str">
            <v>初音ミク・アペンド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green</v>
          </cell>
          <cell r="I1476">
            <v>5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unknown</v>
          </cell>
        </row>
        <row r="1477">
          <cell r="A1477">
            <v>8017</v>
          </cell>
          <cell r="B1477" t="str">
            <v>ja</v>
          </cell>
          <cell r="C1477" t="str">
            <v>初音ミク</v>
          </cell>
          <cell r="D1477" t="str">
            <v>初音ミク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green</v>
          </cell>
          <cell r="I1477">
            <v>4</v>
          </cell>
          <cell r="J1477" t="str">
            <v>PremiumSSS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8018</v>
          </cell>
          <cell r="B1478" t="str">
            <v>ja</v>
          </cell>
          <cell r="C1478" t="str">
            <v>初音ミク</v>
          </cell>
          <cell r="D1478" t="str">
            <v>初音ミク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5</v>
          </cell>
          <cell r="J1478" t="str">
            <v>PremiumSSS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</row>
        <row r="1479">
          <cell r="A1479">
            <v>8019</v>
          </cell>
          <cell r="B1479" t="str">
            <v>ja</v>
          </cell>
          <cell r="C1479" t="str">
            <v>鏡音リン</v>
          </cell>
          <cell r="D1479" t="str">
            <v>鏡音リン</v>
          </cell>
          <cell r="E1479" t="str">
            <v>執行者</v>
          </cell>
          <cell r="F1479" t="str">
            <v>格好いい</v>
          </cell>
          <cell r="G1479" t="str">
            <v>男性</v>
          </cell>
          <cell r="H1479" t="str">
            <v>yellow</v>
          </cell>
          <cell r="I1479">
            <v>4</v>
          </cell>
          <cell r="J1479" t="str">
            <v>PremiumSS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8020</v>
          </cell>
          <cell r="B1480" t="str">
            <v>ja</v>
          </cell>
          <cell r="C1480" t="str">
            <v>鏡音リン</v>
          </cell>
          <cell r="D1480" t="str">
            <v>鏡音リン</v>
          </cell>
          <cell r="E1480" t="str">
            <v>執行者</v>
          </cell>
          <cell r="F1480" t="str">
            <v>格好いい</v>
          </cell>
          <cell r="G1480" t="str">
            <v>男性</v>
          </cell>
          <cell r="H1480" t="str">
            <v>yellow</v>
          </cell>
          <cell r="I1480">
            <v>5</v>
          </cell>
          <cell r="J1480" t="str">
            <v>PremiumSS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8021</v>
          </cell>
          <cell r="B1481" t="str">
            <v>ja</v>
          </cell>
          <cell r="C1481" t="str">
            <v>鏡音レン</v>
          </cell>
          <cell r="D1481" t="str">
            <v>鏡音レン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yellow</v>
          </cell>
          <cell r="I1481">
            <v>4</v>
          </cell>
          <cell r="J1481" t="str">
            <v>PremiumSS</v>
          </cell>
          <cell r="K1481" t="str">
            <v>heal</v>
          </cell>
          <cell r="L1481" t="str">
            <v>回復タイプ</v>
          </cell>
          <cell r="M1481" t="str">
            <v>unknown</v>
          </cell>
        </row>
        <row r="1482">
          <cell r="A1482">
            <v>8022</v>
          </cell>
          <cell r="B1482" t="str">
            <v>ja</v>
          </cell>
          <cell r="C1482" t="str">
            <v>鏡音レン</v>
          </cell>
          <cell r="D1482" t="str">
            <v>鏡音レン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5</v>
          </cell>
          <cell r="J1482" t="str">
            <v>PremiumSS</v>
          </cell>
          <cell r="K1482" t="str">
            <v>heal</v>
          </cell>
          <cell r="L1482" t="str">
            <v>回復タイプ</v>
          </cell>
          <cell r="M1482" t="str">
            <v>unknown</v>
          </cell>
        </row>
        <row r="1483">
          <cell r="A1483">
            <v>8023</v>
          </cell>
          <cell r="B1483" t="str">
            <v>ja</v>
          </cell>
          <cell r="C1483" t="str">
            <v>巡音ルカ</v>
          </cell>
          <cell r="D1483" t="str">
            <v>巡音ルカ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red</v>
          </cell>
          <cell r="I1483">
            <v>3</v>
          </cell>
          <cell r="J1483" t="str">
            <v>PremiumS</v>
          </cell>
          <cell r="K1483" t="str">
            <v>attack</v>
          </cell>
          <cell r="L1483" t="str">
            <v>攻撃タイプ</v>
          </cell>
          <cell r="M1483" t="str">
            <v>unknown</v>
          </cell>
        </row>
        <row r="1484">
          <cell r="A1484">
            <v>8024</v>
          </cell>
          <cell r="B1484" t="str">
            <v>ja</v>
          </cell>
          <cell r="C1484" t="str">
            <v>巡音ルカ</v>
          </cell>
          <cell r="D1484" t="str">
            <v>巡音ルカ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4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8025</v>
          </cell>
          <cell r="B1485" t="str">
            <v>ja</v>
          </cell>
          <cell r="C1485" t="str">
            <v>MEIKO</v>
          </cell>
          <cell r="D1485" t="str">
            <v>MEIKO</v>
          </cell>
          <cell r="E1485" t="str">
            <v>執行者</v>
          </cell>
          <cell r="F1485" t="str">
            <v>格好いい</v>
          </cell>
          <cell r="G1485" t="str">
            <v>男性</v>
          </cell>
          <cell r="H1485" t="str">
            <v>red</v>
          </cell>
          <cell r="I1485">
            <v>3</v>
          </cell>
          <cell r="J1485" t="str">
            <v>PremiumS</v>
          </cell>
          <cell r="K1485" t="str">
            <v>hp</v>
          </cell>
          <cell r="L1485" t="str">
            <v>体力タイプ</v>
          </cell>
          <cell r="M1485" t="str">
            <v>unknown</v>
          </cell>
        </row>
        <row r="1486">
          <cell r="A1486">
            <v>8026</v>
          </cell>
          <cell r="B1486" t="str">
            <v>ja</v>
          </cell>
          <cell r="C1486" t="str">
            <v>MEIKO</v>
          </cell>
          <cell r="D1486" t="str">
            <v>MEIKO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red</v>
          </cell>
          <cell r="I1486">
            <v>4</v>
          </cell>
          <cell r="J1486" t="str">
            <v>PremiumS</v>
          </cell>
          <cell r="K1486" t="str">
            <v>hp</v>
          </cell>
          <cell r="L1486" t="str">
            <v>体力タイプ</v>
          </cell>
          <cell r="M1486" t="str">
            <v>unknown</v>
          </cell>
        </row>
        <row r="1487">
          <cell r="A1487">
            <v>8027</v>
          </cell>
          <cell r="B1487" t="str">
            <v>ja</v>
          </cell>
          <cell r="C1487" t="str">
            <v>KAITO</v>
          </cell>
          <cell r="D1487" t="str">
            <v>KAITO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blue</v>
          </cell>
          <cell r="I1487">
            <v>3</v>
          </cell>
          <cell r="J1487" t="str">
            <v>PremiumS</v>
          </cell>
          <cell r="K1487" t="str">
            <v>technical</v>
          </cell>
          <cell r="L1487" t="str">
            <v>テクニカルタイプ</v>
          </cell>
          <cell r="M1487" t="str">
            <v>unknown</v>
          </cell>
        </row>
        <row r="1488">
          <cell r="A1488">
            <v>8028</v>
          </cell>
          <cell r="B1488" t="str">
            <v>ja</v>
          </cell>
          <cell r="C1488" t="str">
            <v>KAITO</v>
          </cell>
          <cell r="D1488" t="str">
            <v>KAITO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blue</v>
          </cell>
          <cell r="I1488">
            <v>4</v>
          </cell>
          <cell r="J1488" t="str">
            <v>PremiumS</v>
          </cell>
          <cell r="K1488" t="str">
            <v>technical</v>
          </cell>
          <cell r="L1488" t="str">
            <v>テクニカルタイプ</v>
          </cell>
          <cell r="M1488" t="str">
            <v>unknown</v>
          </cell>
        </row>
        <row r="1489">
          <cell r="A1489">
            <v>8029</v>
          </cell>
          <cell r="B1489" t="str">
            <v>ja</v>
          </cell>
          <cell r="C1489" t="str">
            <v>Expoミク</v>
          </cell>
          <cell r="D1489" t="str">
            <v>Expoミク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Drop2N</v>
          </cell>
          <cell r="K1489" t="str">
            <v>heal</v>
          </cell>
          <cell r="L1489" t="str">
            <v>回復タイプ</v>
          </cell>
          <cell r="M1489" t="str">
            <v>unknown</v>
          </cell>
        </row>
        <row r="1490">
          <cell r="A1490">
            <v>8030</v>
          </cell>
          <cell r="B1490" t="str">
            <v>ja</v>
          </cell>
          <cell r="C1490" t="str">
            <v>Expoミク</v>
          </cell>
          <cell r="D1490" t="str">
            <v>Expoミク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blue</v>
          </cell>
          <cell r="I1490">
            <v>5</v>
          </cell>
          <cell r="J1490" t="str">
            <v>Drop2N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8031</v>
          </cell>
          <cell r="B1491" t="str">
            <v>ja</v>
          </cell>
          <cell r="C1491" t="str">
            <v>閻羅王</v>
          </cell>
          <cell r="D1491" t="str">
            <v>Expoミク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red</v>
          </cell>
          <cell r="I1491">
            <v>5</v>
          </cell>
          <cell r="J1491" t="str">
            <v>PremiumSS</v>
          </cell>
          <cell r="K1491" t="str">
            <v>balance</v>
          </cell>
          <cell r="L1491" t="str">
            <v>バランスタイプ</v>
          </cell>
          <cell r="M1491" t="str">
            <v>god</v>
          </cell>
        </row>
        <row r="1492">
          <cell r="A1492">
            <v>8032</v>
          </cell>
          <cell r="B1492" t="str">
            <v>ja</v>
          </cell>
          <cell r="C1492" t="str">
            <v>六道輪廻の絶獄 閻羅王</v>
          </cell>
          <cell r="D1492" t="str">
            <v>Expoミク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6</v>
          </cell>
          <cell r="J1492" t="str">
            <v>PremiumSS</v>
          </cell>
          <cell r="K1492" t="str">
            <v>balance</v>
          </cell>
          <cell r="L1492" t="str">
            <v>バランスタイプ</v>
          </cell>
          <cell r="M1492" t="str">
            <v>god</v>
          </cell>
        </row>
        <row r="1493">
          <cell r="A1493">
            <v>8033</v>
          </cell>
          <cell r="B1493" t="str">
            <v>ja</v>
          </cell>
          <cell r="C1493" t="str">
            <v>牛頭馬面</v>
          </cell>
          <cell r="D1493" t="str">
            <v>Expoミク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green</v>
          </cell>
          <cell r="I1493">
            <v>5</v>
          </cell>
          <cell r="J1493" t="str">
            <v>DropWizS</v>
          </cell>
          <cell r="K1493" t="str">
            <v>attack</v>
          </cell>
          <cell r="L1493" t="str">
            <v>攻撃タイプ</v>
          </cell>
          <cell r="M1493" t="str">
            <v>god</v>
          </cell>
        </row>
        <row r="1494">
          <cell r="A1494">
            <v>8034</v>
          </cell>
          <cell r="B1494" t="str">
            <v>ja</v>
          </cell>
          <cell r="C1494" t="str">
            <v>冥府狩る魂使 牛頭馬面</v>
          </cell>
          <cell r="D1494" t="str">
            <v>Expoミク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green</v>
          </cell>
          <cell r="I1494">
            <v>6</v>
          </cell>
          <cell r="J1494" t="str">
            <v>DropWizS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8035</v>
          </cell>
          <cell r="B1495" t="str">
            <v>ja</v>
          </cell>
          <cell r="C1495" t="str">
            <v>飛衛</v>
          </cell>
          <cell r="D1495" t="str">
            <v>Expoミク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blue</v>
          </cell>
          <cell r="I1495">
            <v>5</v>
          </cell>
          <cell r="J1495" t="str">
            <v>PremiumSS</v>
          </cell>
          <cell r="K1495" t="str">
            <v>heal</v>
          </cell>
          <cell r="L1495" t="str">
            <v>回復タイプ</v>
          </cell>
          <cell r="M1495" t="str">
            <v>human</v>
          </cell>
        </row>
        <row r="1496">
          <cell r="A1496">
            <v>8036</v>
          </cell>
          <cell r="B1496" t="str">
            <v>ja</v>
          </cell>
          <cell r="C1496" t="str">
            <v>レア６飛衛</v>
          </cell>
          <cell r="D1496" t="str">
            <v>Expoミク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6</v>
          </cell>
          <cell r="J1496" t="str">
            <v>PremiumSS</v>
          </cell>
          <cell r="K1496" t="str">
            <v>heal</v>
          </cell>
          <cell r="L1496" t="str">
            <v>回復タイプ</v>
          </cell>
          <cell r="M1496" t="str">
            <v>human</v>
          </cell>
        </row>
        <row r="1497">
          <cell r="A1497">
            <v>8037</v>
          </cell>
          <cell r="B1497" t="str">
            <v>ja</v>
          </cell>
          <cell r="C1497" t="str">
            <v>紀昌</v>
          </cell>
          <cell r="D1497" t="str">
            <v>Expoミク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red</v>
          </cell>
          <cell r="I1497">
            <v>5</v>
          </cell>
          <cell r="J1497" t="str">
            <v>DropWizS</v>
          </cell>
          <cell r="K1497" t="str">
            <v>attack</v>
          </cell>
          <cell r="L1497" t="str">
            <v>攻撃タイプ</v>
          </cell>
          <cell r="M1497" t="str">
            <v>human</v>
          </cell>
        </row>
        <row r="1498">
          <cell r="A1498">
            <v>8038</v>
          </cell>
          <cell r="B1498" t="str">
            <v>ja</v>
          </cell>
          <cell r="C1498" t="str">
            <v>レア６紀昌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red</v>
          </cell>
          <cell r="I1498">
            <v>6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human</v>
          </cell>
        </row>
        <row r="1499">
          <cell r="A1499">
            <v>8039</v>
          </cell>
          <cell r="B1499" t="str">
            <v>ja</v>
          </cell>
          <cell r="C1499" t="str">
            <v>何仙姑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yellow</v>
          </cell>
          <cell r="I1499">
            <v>5</v>
          </cell>
          <cell r="J1499" t="str">
            <v>PremiumSSw</v>
          </cell>
          <cell r="K1499" t="str">
            <v>hp</v>
          </cell>
          <cell r="L1499" t="str">
            <v>体力タイプ</v>
          </cell>
          <cell r="M1499" t="str">
            <v>god</v>
          </cell>
        </row>
        <row r="1500">
          <cell r="A1500">
            <v>8040</v>
          </cell>
          <cell r="B1500" t="str">
            <v>ja</v>
          </cell>
          <cell r="C1500" t="str">
            <v>レア６何仙姑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6</v>
          </cell>
          <cell r="J1500" t="str">
            <v>PremiumSSw</v>
          </cell>
          <cell r="K1500" t="str">
            <v>hp</v>
          </cell>
          <cell r="L1500" t="str">
            <v>体力タイプ</v>
          </cell>
          <cell r="M1500" t="str">
            <v>god</v>
          </cell>
        </row>
        <row r="1501">
          <cell r="A1501">
            <v>8041</v>
          </cell>
          <cell r="B1501" t="str">
            <v>ja</v>
          </cell>
          <cell r="C1501" t="str">
            <v>藍采和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blue</v>
          </cell>
          <cell r="I1501">
            <v>5</v>
          </cell>
          <cell r="J1501" t="str">
            <v>DropWizS</v>
          </cell>
          <cell r="K1501" t="str">
            <v>balance</v>
          </cell>
          <cell r="L1501" t="str">
            <v>バランスタイプ</v>
          </cell>
          <cell r="M1501" t="str">
            <v>god</v>
          </cell>
        </row>
        <row r="1502">
          <cell r="A1502">
            <v>8042</v>
          </cell>
          <cell r="B1502" t="str">
            <v>ja</v>
          </cell>
          <cell r="C1502" t="str">
            <v>レア６藍采和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blue</v>
          </cell>
          <cell r="I1502">
            <v>6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8043</v>
          </cell>
          <cell r="B1503" t="str">
            <v>ja</v>
          </cell>
          <cell r="C1503" t="str">
            <v>サンリオキャラ大集合+アザゼル</v>
          </cell>
          <cell r="D1503" t="str">
            <v>サンリオキャラ大集合+アザゼル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green</v>
          </cell>
          <cell r="I1503">
            <v>5</v>
          </cell>
          <cell r="J1503" t="str">
            <v>DropWizS</v>
          </cell>
          <cell r="K1503" t="str">
            <v>technical</v>
          </cell>
          <cell r="L1503" t="str">
            <v>テクニカルタイプ</v>
          </cell>
          <cell r="M1503" t="str">
            <v>ss</v>
          </cell>
        </row>
        <row r="1504">
          <cell r="A1504">
            <v>8044</v>
          </cell>
          <cell r="B1504" t="str">
            <v>ja</v>
          </cell>
          <cell r="C1504" t="str">
            <v>サンリオキャラ大集合+アザゼル</v>
          </cell>
          <cell r="D1504" t="str">
            <v>サンリオキャラ大集合+アザゼル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green</v>
          </cell>
          <cell r="I1504">
            <v>6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ss</v>
          </cell>
        </row>
        <row r="1505">
          <cell r="A1505">
            <v>8045</v>
          </cell>
          <cell r="B1505" t="str">
            <v>ja</v>
          </cell>
          <cell r="C1505" t="str">
            <v>ニムダ_サンリオキャラ混じり</v>
          </cell>
          <cell r="D1505" t="str">
            <v>ニムダ_サンリオキャラ混じり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yellow</v>
          </cell>
          <cell r="I1505">
            <v>4</v>
          </cell>
          <cell r="J1505" t="str">
            <v>Drop2N</v>
          </cell>
          <cell r="K1505" t="str">
            <v>technical</v>
          </cell>
          <cell r="L1505" t="str">
            <v>テクニカルタイプ</v>
          </cell>
          <cell r="M1505" t="str">
            <v>ss</v>
          </cell>
        </row>
        <row r="1506">
          <cell r="A1506">
            <v>8046</v>
          </cell>
          <cell r="B1506" t="str">
            <v>ja</v>
          </cell>
          <cell r="C1506" t="str">
            <v>ニムダ_サンリオキャラ混じり</v>
          </cell>
          <cell r="D1506" t="str">
            <v>ニムダ_サンリオキャラ混じり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5</v>
          </cell>
          <cell r="J1506" t="str">
            <v>Drop2N</v>
          </cell>
          <cell r="K1506" t="str">
            <v>technical</v>
          </cell>
          <cell r="L1506" t="str">
            <v>テクニカルタイプ</v>
          </cell>
          <cell r="M1506" t="str">
            <v>ss</v>
          </cell>
        </row>
        <row r="1507">
          <cell r="A1507">
            <v>8047</v>
          </cell>
          <cell r="B1507" t="str">
            <v>ja</v>
          </cell>
          <cell r="C1507" t="str">
            <v>ハローキティ</v>
          </cell>
          <cell r="D1507" t="str">
            <v>ハローキティ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red</v>
          </cell>
          <cell r="I1507">
            <v>4</v>
          </cell>
          <cell r="J1507" t="str">
            <v>Drop2N</v>
          </cell>
          <cell r="K1507" t="str">
            <v>balance</v>
          </cell>
          <cell r="L1507" t="str">
            <v>バランスタイプ</v>
          </cell>
          <cell r="M1507" t="str">
            <v>ss</v>
          </cell>
        </row>
        <row r="1508">
          <cell r="A1508">
            <v>8048</v>
          </cell>
          <cell r="B1508" t="str">
            <v>ja</v>
          </cell>
          <cell r="C1508" t="str">
            <v>ハローキティ</v>
          </cell>
          <cell r="D1508" t="str">
            <v>ハローキティ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red</v>
          </cell>
          <cell r="I1508">
            <v>5</v>
          </cell>
          <cell r="J1508" t="str">
            <v>Drop2N</v>
          </cell>
          <cell r="K1508" t="str">
            <v>balance</v>
          </cell>
          <cell r="L1508" t="str">
            <v>バランスタイプ</v>
          </cell>
          <cell r="M1508" t="str">
            <v>ss</v>
          </cell>
        </row>
        <row r="1509">
          <cell r="A1509">
            <v>8049</v>
          </cell>
          <cell r="B1509" t="str">
            <v>ja</v>
          </cell>
          <cell r="C1509" t="str">
            <v>KIRIMIちゃん</v>
          </cell>
          <cell r="D1509" t="str">
            <v>KIRIMIちゃん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red</v>
          </cell>
          <cell r="I1509">
            <v>4</v>
          </cell>
          <cell r="J1509" t="str">
            <v>Drop2N</v>
          </cell>
          <cell r="K1509" t="str">
            <v>hp</v>
          </cell>
          <cell r="L1509" t="str">
            <v>体力タイプ</v>
          </cell>
          <cell r="M1509" t="str">
            <v>ss</v>
          </cell>
        </row>
        <row r="1510">
          <cell r="A1510">
            <v>8050</v>
          </cell>
          <cell r="B1510" t="str">
            <v>ja</v>
          </cell>
          <cell r="C1510" t="str">
            <v>KIRIMIちゃん</v>
          </cell>
          <cell r="D1510" t="str">
            <v>KIRIMIちゃん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red</v>
          </cell>
          <cell r="I1510">
            <v>5</v>
          </cell>
          <cell r="J1510" t="str">
            <v>Drop2N</v>
          </cell>
          <cell r="K1510" t="str">
            <v>hp</v>
          </cell>
          <cell r="L1510" t="str">
            <v>体力タイプ</v>
          </cell>
          <cell r="M1510" t="str">
            <v>ss</v>
          </cell>
        </row>
        <row r="1511">
          <cell r="A1511">
            <v>8051</v>
          </cell>
          <cell r="B1511" t="str">
            <v>ja</v>
          </cell>
          <cell r="C1511" t="str">
            <v>ハローキティのリボン</v>
          </cell>
          <cell r="D1511" t="str">
            <v>ハローキティのリボン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red</v>
          </cell>
          <cell r="I1511">
            <v>5</v>
          </cell>
          <cell r="J1511" t="str">
            <v>Drop2N</v>
          </cell>
          <cell r="K1511" t="str">
            <v>evolution</v>
          </cell>
          <cell r="L1511" t="str">
            <v>覚醒素材タイプ</v>
          </cell>
          <cell r="M1511" t="str">
            <v>ss</v>
          </cell>
        </row>
        <row r="1512">
          <cell r="A1512">
            <v>8052</v>
          </cell>
          <cell r="B1512" t="str">
            <v>ja</v>
          </cell>
          <cell r="C1512" t="str">
            <v>ママの作ったアップルパイ</v>
          </cell>
          <cell r="D1512" t="str">
            <v>ママの作ったアップルパイ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red</v>
          </cell>
          <cell r="I1512">
            <v>4</v>
          </cell>
          <cell r="J1512" t="str">
            <v>Drop2N</v>
          </cell>
          <cell r="K1512" t="str">
            <v>evolution</v>
          </cell>
          <cell r="L1512" t="str">
            <v>覚醒素材タイプ</v>
          </cell>
          <cell r="M1512" t="str">
            <v>ss</v>
          </cell>
        </row>
        <row r="1513">
          <cell r="A1513">
            <v>8053</v>
          </cell>
          <cell r="B1513" t="str">
            <v>ja</v>
          </cell>
          <cell r="C1513" t="str">
            <v>D.R.T.H__キティコスプレ</v>
          </cell>
          <cell r="D1513" t="str">
            <v>D.R.T.H__キティコスプレ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5</v>
          </cell>
          <cell r="J1513" t="str">
            <v>PremiumSS</v>
          </cell>
          <cell r="K1513" t="str">
            <v>balance</v>
          </cell>
          <cell r="L1513" t="str">
            <v>バランスタイプ</v>
          </cell>
          <cell r="M1513" t="str">
            <v>ss</v>
          </cell>
        </row>
        <row r="1514">
          <cell r="A1514">
            <v>8054</v>
          </cell>
          <cell r="B1514" t="str">
            <v>ja</v>
          </cell>
          <cell r="C1514" t="str">
            <v>D.R.T.H__キティコスプレ</v>
          </cell>
          <cell r="D1514" t="str">
            <v>D.R.T.H__キティコスプレ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6</v>
          </cell>
          <cell r="J1514" t="str">
            <v>PremiumSS</v>
          </cell>
          <cell r="K1514" t="str">
            <v>balance</v>
          </cell>
          <cell r="L1514" t="str">
            <v>バランスタイプ</v>
          </cell>
          <cell r="M1514" t="str">
            <v>ss</v>
          </cell>
        </row>
        <row r="1515">
          <cell r="A1515">
            <v>8055</v>
          </cell>
          <cell r="B1515" t="str">
            <v>ja</v>
          </cell>
          <cell r="C1515" t="str">
            <v>マイメロディ</v>
          </cell>
          <cell r="D1515" t="str">
            <v>マイメロディ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red</v>
          </cell>
          <cell r="I1515">
            <v>4</v>
          </cell>
          <cell r="J1515" t="str">
            <v>PremiumS</v>
          </cell>
          <cell r="K1515" t="str">
            <v>attack</v>
          </cell>
          <cell r="L1515" t="str">
            <v>攻撃タイプ</v>
          </cell>
          <cell r="M1515" t="str">
            <v>ss</v>
          </cell>
        </row>
        <row r="1516">
          <cell r="A1516">
            <v>8056</v>
          </cell>
          <cell r="B1516" t="str">
            <v>ja</v>
          </cell>
          <cell r="C1516" t="str">
            <v>マイメロディ</v>
          </cell>
          <cell r="D1516" t="str">
            <v>マイメロディ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5</v>
          </cell>
          <cell r="J1516" t="str">
            <v>PremiumS</v>
          </cell>
          <cell r="K1516" t="str">
            <v>attack</v>
          </cell>
          <cell r="L1516" t="str">
            <v>攻撃タイプ</v>
          </cell>
          <cell r="M1516" t="str">
            <v>ss</v>
          </cell>
        </row>
        <row r="1517">
          <cell r="A1517">
            <v>8057</v>
          </cell>
          <cell r="B1517" t="str">
            <v>ja</v>
          </cell>
          <cell r="C1517" t="str">
            <v>ニーベルゲン_シナモロールコスプレ</v>
          </cell>
          <cell r="D1517" t="str">
            <v>ニーベルゲン_シナモロールコスプレ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green</v>
          </cell>
          <cell r="I1517">
            <v>4</v>
          </cell>
          <cell r="J1517" t="str">
            <v>PremiumS</v>
          </cell>
          <cell r="K1517" t="str">
            <v>balance</v>
          </cell>
          <cell r="L1517" t="str">
            <v>バランスタイプ</v>
          </cell>
          <cell r="M1517" t="str">
            <v>ss</v>
          </cell>
        </row>
        <row r="1518">
          <cell r="A1518">
            <v>8058</v>
          </cell>
          <cell r="B1518" t="str">
            <v>ja</v>
          </cell>
          <cell r="C1518" t="str">
            <v>ニーベルゲン_シナモロールコスプレ</v>
          </cell>
          <cell r="D1518" t="str">
            <v>ニーベルゲン_シナモロールコスプレ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5</v>
          </cell>
          <cell r="J1518" t="str">
            <v>PremiumS</v>
          </cell>
          <cell r="K1518" t="str">
            <v>balance</v>
          </cell>
          <cell r="L1518" t="str">
            <v>バランスタイプ</v>
          </cell>
          <cell r="M1518" t="str">
            <v>ss</v>
          </cell>
        </row>
        <row r="1519">
          <cell r="A1519">
            <v>8059</v>
          </cell>
          <cell r="B1519" t="str">
            <v>ja</v>
          </cell>
          <cell r="C1519" t="str">
            <v>カカシ_マイメロディコスプレ</v>
          </cell>
          <cell r="D1519" t="str">
            <v>カカシ_マイメロディコスプレ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4</v>
          </cell>
          <cell r="J1519" t="str">
            <v>PremiumS</v>
          </cell>
          <cell r="K1519" t="str">
            <v>technical</v>
          </cell>
          <cell r="L1519" t="str">
            <v>テクニカルタイプ</v>
          </cell>
          <cell r="M1519" t="str">
            <v>ss</v>
          </cell>
        </row>
        <row r="1520">
          <cell r="A1520">
            <v>8060</v>
          </cell>
          <cell r="B1520" t="str">
            <v>ja</v>
          </cell>
          <cell r="C1520" t="str">
            <v>カカシ_マイメロディコスプレ</v>
          </cell>
          <cell r="D1520" t="str">
            <v>カカシ_マイメロディコスプレ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5</v>
          </cell>
          <cell r="J1520" t="str">
            <v>PremiumS</v>
          </cell>
          <cell r="K1520" t="str">
            <v>technical</v>
          </cell>
          <cell r="L1520" t="str">
            <v>テクニカルタイプ</v>
          </cell>
          <cell r="M1520" t="str">
            <v>ss</v>
          </cell>
        </row>
        <row r="1521">
          <cell r="A1521">
            <v>8061</v>
          </cell>
          <cell r="B1521" t="str">
            <v>ja</v>
          </cell>
          <cell r="C1521" t="str">
            <v>ケロケロけろっぴ</v>
          </cell>
          <cell r="D1521" t="str">
            <v>ケロケロけろっぴ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3</v>
          </cell>
          <cell r="J1521" t="str">
            <v>PremiumS</v>
          </cell>
          <cell r="K1521" t="str">
            <v>balance</v>
          </cell>
          <cell r="L1521" t="str">
            <v>バランスタイプ</v>
          </cell>
          <cell r="M1521" t="str">
            <v>ss</v>
          </cell>
        </row>
        <row r="1522">
          <cell r="A1522">
            <v>8062</v>
          </cell>
          <cell r="B1522" t="str">
            <v>ja</v>
          </cell>
          <cell r="C1522" t="str">
            <v>ケロケロけろっぴ</v>
          </cell>
          <cell r="D1522" t="str">
            <v>ケロケロけろっぴ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4</v>
          </cell>
          <cell r="J1522" t="str">
            <v>PremiumS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8063</v>
          </cell>
          <cell r="B1523" t="str">
            <v>ja</v>
          </cell>
          <cell r="C1523" t="str">
            <v>モルドレッド_ポムポムプリンコスプレ</v>
          </cell>
          <cell r="D1523" t="str">
            <v>モルドレッド_ポムポムプリンコスプレ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5</v>
          </cell>
          <cell r="J1523" t="str">
            <v>PremiumSS</v>
          </cell>
          <cell r="K1523" t="str">
            <v>heal</v>
          </cell>
          <cell r="L1523" t="str">
            <v>回復タイプ</v>
          </cell>
          <cell r="M1523" t="str">
            <v>ss</v>
          </cell>
        </row>
        <row r="1524">
          <cell r="A1524">
            <v>8064</v>
          </cell>
          <cell r="B1524" t="str">
            <v>ja</v>
          </cell>
          <cell r="C1524" t="str">
            <v>モルドレッド_ポムポムプリンコスプレ</v>
          </cell>
          <cell r="D1524" t="str">
            <v>モルドレッド_ポムポムプリンコスプレ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6</v>
          </cell>
          <cell r="J1524" t="str">
            <v>PremiumSS</v>
          </cell>
          <cell r="K1524" t="str">
            <v>heal</v>
          </cell>
          <cell r="L1524" t="str">
            <v>回復タイプ</v>
          </cell>
          <cell r="M1524" t="str">
            <v>ss</v>
          </cell>
        </row>
        <row r="1525">
          <cell r="A1525">
            <v>8065</v>
          </cell>
          <cell r="B1525" t="str">
            <v>ja</v>
          </cell>
          <cell r="C1525" t="str">
            <v>クロミ</v>
          </cell>
          <cell r="D1525" t="str">
            <v>クロミ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3</v>
          </cell>
          <cell r="J1525" t="str">
            <v>PremiumS</v>
          </cell>
          <cell r="K1525" t="str">
            <v>technical</v>
          </cell>
          <cell r="L1525" t="str">
            <v>テクニカルタイプ</v>
          </cell>
          <cell r="M1525" t="str">
            <v>ss</v>
          </cell>
        </row>
        <row r="1526">
          <cell r="A1526">
            <v>8066</v>
          </cell>
          <cell r="B1526" t="str">
            <v>ja</v>
          </cell>
          <cell r="C1526" t="str">
            <v>クロミ</v>
          </cell>
          <cell r="D1526" t="str">
            <v>クロミ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4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ss</v>
          </cell>
        </row>
        <row r="1527">
          <cell r="A1527">
            <v>8067</v>
          </cell>
          <cell r="B1527" t="str">
            <v>ja</v>
          </cell>
          <cell r="C1527" t="str">
            <v>バッドばつ丸</v>
          </cell>
          <cell r="D1527" t="str">
            <v>バッドばつ丸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3</v>
          </cell>
          <cell r="J1527" t="str">
            <v>PremiumS</v>
          </cell>
          <cell r="K1527" t="str">
            <v>attack</v>
          </cell>
          <cell r="L1527" t="str">
            <v>攻撃タイプ</v>
          </cell>
          <cell r="M1527" t="str">
            <v>ss</v>
          </cell>
        </row>
        <row r="1528">
          <cell r="A1528">
            <v>8068</v>
          </cell>
          <cell r="B1528" t="str">
            <v>ja</v>
          </cell>
          <cell r="C1528" t="str">
            <v>バッドばつ丸</v>
          </cell>
          <cell r="D1528" t="str">
            <v>バッドばつ丸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4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ss</v>
          </cell>
        </row>
        <row r="1529">
          <cell r="A1529">
            <v>8069</v>
          </cell>
          <cell r="B1529" t="str">
            <v>ja</v>
          </cell>
          <cell r="C1529" t="str">
            <v>シナモロール</v>
          </cell>
          <cell r="D1529" t="str">
            <v>シナモロール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yellow</v>
          </cell>
          <cell r="I1529">
            <v>4</v>
          </cell>
          <cell r="J1529" t="str">
            <v>PremiumS</v>
          </cell>
          <cell r="K1529" t="str">
            <v>heal</v>
          </cell>
          <cell r="L1529" t="str">
            <v>回復タイプ</v>
          </cell>
          <cell r="M1529" t="str">
            <v>ss</v>
          </cell>
        </row>
        <row r="1530">
          <cell r="A1530">
            <v>8070</v>
          </cell>
          <cell r="B1530" t="str">
            <v>ja</v>
          </cell>
          <cell r="C1530" t="str">
            <v>シナモロール</v>
          </cell>
          <cell r="D1530" t="str">
            <v>シナモロール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5</v>
          </cell>
          <cell r="J1530" t="str">
            <v>PremiumS</v>
          </cell>
          <cell r="K1530" t="str">
            <v>heal</v>
          </cell>
          <cell r="L1530" t="str">
            <v>回復タイプ</v>
          </cell>
          <cell r="M1530" t="str">
            <v>ss</v>
          </cell>
        </row>
        <row r="1531">
          <cell r="A1531">
            <v>8071</v>
          </cell>
          <cell r="B1531" t="str">
            <v>ja</v>
          </cell>
          <cell r="C1531" t="str">
            <v>ポムポムプリン</v>
          </cell>
          <cell r="D1531" t="str">
            <v>ポムポムプリン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yellow</v>
          </cell>
          <cell r="I1531">
            <v>3</v>
          </cell>
          <cell r="J1531" t="str">
            <v>PremiumS</v>
          </cell>
          <cell r="K1531" t="str">
            <v>hp</v>
          </cell>
          <cell r="L1531" t="str">
            <v>体力タイプ</v>
          </cell>
          <cell r="M1531" t="str">
            <v>ss</v>
          </cell>
        </row>
        <row r="1532">
          <cell r="A1532">
            <v>8072</v>
          </cell>
          <cell r="B1532" t="str">
            <v>ja</v>
          </cell>
          <cell r="C1532" t="str">
            <v>ポムポムプリン</v>
          </cell>
          <cell r="D1532" t="str">
            <v>ポムポムプリン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yellow</v>
          </cell>
          <cell r="I1532">
            <v>4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ss</v>
          </cell>
        </row>
        <row r="1533">
          <cell r="A1533">
            <v>8073</v>
          </cell>
          <cell r="B1533" t="str">
            <v>ja</v>
          </cell>
          <cell r="C1533" t="str">
            <v>星海祈る天光妃 媽祖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6</v>
          </cell>
          <cell r="J1533" t="str">
            <v>PremiumSS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8074</v>
          </cell>
          <cell r="B1534" t="str">
            <v>ja</v>
          </cell>
          <cell r="C1534" t="str">
            <v>海戀の絶龍姫 蛟龍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blue</v>
          </cell>
          <cell r="I1534">
            <v>6</v>
          </cell>
          <cell r="J1534" t="str">
            <v>DropWizS</v>
          </cell>
          <cell r="K1534" t="str">
            <v>hp</v>
          </cell>
          <cell r="L1534" t="str">
            <v>体力タイプ</v>
          </cell>
          <cell r="M1534" t="str">
            <v>dragon</v>
          </cell>
        </row>
        <row r="1535">
          <cell r="A1535">
            <v>8075</v>
          </cell>
          <cell r="B1535" t="str">
            <v>ja</v>
          </cell>
          <cell r="C1535" t="str">
            <v>三蔵法師_超覚醒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god</v>
          </cell>
        </row>
        <row r="1536">
          <cell r="A1536">
            <v>8076</v>
          </cell>
          <cell r="B1536" t="str">
            <v>ja</v>
          </cell>
          <cell r="C1536" t="str">
            <v>孫悟空_超覚醒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attack</v>
          </cell>
          <cell r="L1536" t="str">
            <v>攻撃タイプ</v>
          </cell>
          <cell r="M1536" t="str">
            <v>unknown</v>
          </cell>
        </row>
        <row r="1537">
          <cell r="A1537">
            <v>8077</v>
          </cell>
          <cell r="B1537" t="str">
            <v>ja</v>
          </cell>
          <cell r="C1537" t="str">
            <v>鄭成功</v>
          </cell>
          <cell r="D1537" t="str">
            <v>ポムポムプリン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PremiumSS</v>
          </cell>
          <cell r="K1537" t="str">
            <v>attack</v>
          </cell>
          <cell r="L1537" t="str">
            <v>攻撃タイプ</v>
          </cell>
          <cell r="M1537" t="str">
            <v>human</v>
          </cell>
        </row>
        <row r="1538">
          <cell r="A1538">
            <v>8078</v>
          </cell>
          <cell r="B1538" t="str">
            <v>ja</v>
          </cell>
          <cell r="C1538" t="str">
            <v>レア６鄭成功</v>
          </cell>
          <cell r="D1538" t="str">
            <v>ポムポムプリン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8079</v>
          </cell>
          <cell r="B1539" t="str">
            <v>ja</v>
          </cell>
          <cell r="C1539" t="str">
            <v>赤鬼</v>
          </cell>
          <cell r="D1539" t="str">
            <v>ポムポムプリン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red</v>
          </cell>
          <cell r="I1539">
            <v>5</v>
          </cell>
          <cell r="J1539" t="str">
            <v>DropWizS</v>
          </cell>
          <cell r="K1539" t="str">
            <v>hp</v>
          </cell>
          <cell r="L1539" t="str">
            <v>体力タイプ</v>
          </cell>
          <cell r="M1539" t="str">
            <v>dragon</v>
          </cell>
        </row>
        <row r="1540">
          <cell r="A1540">
            <v>8080</v>
          </cell>
          <cell r="B1540" t="str">
            <v>ja</v>
          </cell>
          <cell r="C1540" t="str">
            <v>レア６赤鬼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6</v>
          </cell>
          <cell r="J1540" t="str">
            <v>DropWizS</v>
          </cell>
          <cell r="K1540" t="str">
            <v>hp</v>
          </cell>
          <cell r="L1540" t="str">
            <v>体力タイプ</v>
          </cell>
          <cell r="M1540" t="str">
            <v>dragon</v>
          </cell>
        </row>
        <row r="1541">
          <cell r="A1541">
            <v>8081</v>
          </cell>
          <cell r="B1541" t="str">
            <v>ja</v>
          </cell>
          <cell r="C1541" t="str">
            <v>関羽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green</v>
          </cell>
          <cell r="I1541">
            <v>5</v>
          </cell>
          <cell r="J1541" t="str">
            <v>PremiumSSS</v>
          </cell>
          <cell r="K1541" t="str">
            <v>balance</v>
          </cell>
          <cell r="L1541" t="str">
            <v>バランスタイプ</v>
          </cell>
          <cell r="M1541" t="str">
            <v>samurai</v>
          </cell>
        </row>
        <row r="1542">
          <cell r="A1542">
            <v>8082</v>
          </cell>
          <cell r="B1542" t="str">
            <v>ja</v>
          </cell>
          <cell r="C1542" t="str">
            <v>★６関羽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 t="str">
            <v>green</v>
          </cell>
          <cell r="I1542">
            <v>6</v>
          </cell>
          <cell r="J1542" t="str">
            <v>PremiumSSS</v>
          </cell>
          <cell r="K1542" t="str">
            <v>balance</v>
          </cell>
          <cell r="L1542" t="str">
            <v>バランスタイプ</v>
          </cell>
          <cell r="M1542" t="str">
            <v>samurai</v>
          </cell>
        </row>
        <row r="1543">
          <cell r="A1543">
            <v>8083</v>
          </cell>
          <cell r="B1543" t="str">
            <v>ja</v>
          </cell>
          <cell r="C1543" t="str">
            <v>曹操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 t="str">
            <v>yellow</v>
          </cell>
          <cell r="I1543">
            <v>5</v>
          </cell>
          <cell r="J1543" t="str">
            <v>DropWizSS</v>
          </cell>
          <cell r="K1543" t="str">
            <v>technical</v>
          </cell>
          <cell r="L1543" t="str">
            <v>テクニカルタイプ</v>
          </cell>
          <cell r="M1543" t="str">
            <v>samurai</v>
          </cell>
        </row>
        <row r="1544">
          <cell r="A1544">
            <v>8084</v>
          </cell>
          <cell r="B1544" t="str">
            <v>ja</v>
          </cell>
          <cell r="C1544" t="str">
            <v>★６曹操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 t="str">
            <v>yellow</v>
          </cell>
          <cell r="I1544">
            <v>6</v>
          </cell>
          <cell r="J1544" t="str">
            <v>DropWizSS</v>
          </cell>
          <cell r="K1544" t="str">
            <v>technical</v>
          </cell>
          <cell r="L1544" t="str">
            <v>テクニカルタイプ</v>
          </cell>
          <cell r="M1544" t="str">
            <v>samurai</v>
          </cell>
        </row>
        <row r="1545">
          <cell r="A1545">
            <v>8087</v>
          </cell>
          <cell r="B1545" t="str">
            <v>ja</v>
          </cell>
          <cell r="C1545" t="str">
            <v>財神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 t="str">
            <v>red</v>
          </cell>
          <cell r="I1545">
            <v>5</v>
          </cell>
          <cell r="J1545" t="str">
            <v>PremiumSSS</v>
          </cell>
          <cell r="K1545" t="str">
            <v>technical</v>
          </cell>
          <cell r="L1545" t="str">
            <v>テクニカルタイプ</v>
          </cell>
          <cell r="M1545" t="str">
            <v>god</v>
          </cell>
        </row>
        <row r="1546">
          <cell r="A1546">
            <v>8088</v>
          </cell>
          <cell r="B1546" t="str">
            <v>ja</v>
          </cell>
          <cell r="C1546" t="str">
            <v>★６財神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 t="str">
            <v>red</v>
          </cell>
          <cell r="I1546">
            <v>6</v>
          </cell>
          <cell r="J1546" t="str">
            <v>PremiumSSS</v>
          </cell>
          <cell r="K1546" t="str">
            <v>technical</v>
          </cell>
          <cell r="L1546" t="str">
            <v>テクニカルタイプ</v>
          </cell>
          <cell r="M1546" t="str">
            <v>god</v>
          </cell>
        </row>
        <row r="1547">
          <cell r="A1547">
            <v>8089</v>
          </cell>
          <cell r="B1547" t="str">
            <v>ja</v>
          </cell>
          <cell r="C1547" t="str">
            <v>年獣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 t="str">
            <v>green</v>
          </cell>
          <cell r="I1547">
            <v>5</v>
          </cell>
          <cell r="J1547" t="str">
            <v>DropWizS</v>
          </cell>
          <cell r="K1547" t="str">
            <v>attack</v>
          </cell>
          <cell r="L1547" t="str">
            <v>攻撃タイプ</v>
          </cell>
          <cell r="M1547" t="str">
            <v>animal</v>
          </cell>
        </row>
        <row r="1548">
          <cell r="A1548">
            <v>8090</v>
          </cell>
          <cell r="B1548" t="str">
            <v>ja</v>
          </cell>
          <cell r="C1548" t="str">
            <v>★６年獣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 t="str">
            <v>green</v>
          </cell>
          <cell r="I1548">
            <v>6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animal</v>
          </cell>
        </row>
        <row r="1549">
          <cell r="A1549">
            <v>8095</v>
          </cell>
          <cell r="B1549" t="str">
            <v>ja</v>
          </cell>
          <cell r="C1549" t="str">
            <v>バハムートダック赤</v>
          </cell>
          <cell r="D1549" t="str">
            <v>ポムポムプリン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6</v>
          </cell>
          <cell r="J1549" t="str">
            <v>Material</v>
          </cell>
          <cell r="K1549" t="str">
            <v>exp</v>
          </cell>
          <cell r="L1549" t="str">
            <v>強化素材タイプ</v>
          </cell>
          <cell r="M1549" t="str">
            <v>unknown</v>
          </cell>
        </row>
        <row r="1550">
          <cell r="A1550">
            <v>8096</v>
          </cell>
          <cell r="B1550" t="str">
            <v>ja</v>
          </cell>
          <cell r="C1550" t="str">
            <v>バハムートダック緑</v>
          </cell>
          <cell r="D1550" t="str">
            <v>ポムポムプリン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green</v>
          </cell>
          <cell r="I1550">
            <v>6</v>
          </cell>
          <cell r="J1550" t="str">
            <v>Material</v>
          </cell>
          <cell r="K1550" t="str">
            <v>exp</v>
          </cell>
          <cell r="L1550" t="str">
            <v>強化素材タイプ</v>
          </cell>
          <cell r="M1550" t="str">
            <v>unknown</v>
          </cell>
        </row>
        <row r="1551">
          <cell r="A1551">
            <v>8097</v>
          </cell>
          <cell r="B1551" t="str">
            <v>ja</v>
          </cell>
          <cell r="C1551" t="str">
            <v>バハムートダック青</v>
          </cell>
          <cell r="D1551" t="str">
            <v>ポムポムプリン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blue</v>
          </cell>
          <cell r="I1551">
            <v>6</v>
          </cell>
          <cell r="J1551" t="str">
            <v>Material</v>
          </cell>
          <cell r="K1551" t="str">
            <v>exp</v>
          </cell>
          <cell r="L1551" t="str">
            <v>強化素材タイプ</v>
          </cell>
          <cell r="M1551" t="str">
            <v>unknown</v>
          </cell>
        </row>
        <row r="1552">
          <cell r="A1552">
            <v>8098</v>
          </cell>
          <cell r="B1552" t="str">
            <v>ja</v>
          </cell>
          <cell r="C1552" t="str">
            <v>バハムートダック黄</v>
          </cell>
          <cell r="D1552" t="str">
            <v>ポムポムプリン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yellow</v>
          </cell>
          <cell r="I1552">
            <v>6</v>
          </cell>
          <cell r="J1552" t="str">
            <v>Material</v>
          </cell>
          <cell r="K1552" t="str">
            <v>exp</v>
          </cell>
          <cell r="L1552" t="str">
            <v>強化素材タイプ</v>
          </cell>
          <cell r="M1552" t="str">
            <v>unknown</v>
          </cell>
        </row>
        <row r="1553">
          <cell r="A1553">
            <v>8099</v>
          </cell>
          <cell r="B1553" t="str">
            <v>ja</v>
          </cell>
          <cell r="C1553" t="str">
            <v>リトルハンプティ</v>
          </cell>
          <cell r="D1553" t="str">
            <v>各属性相性良3・黄・R455</v>
          </cell>
          <cell r="E1553" t="str">
            <v>執行者</v>
          </cell>
          <cell r="F1553" t="str">
            <v>格好いい</v>
          </cell>
          <cell r="G1553" t="str">
            <v>男性</v>
          </cell>
          <cell r="H1553" t="str">
            <v>green</v>
          </cell>
          <cell r="I1553">
            <v>6</v>
          </cell>
          <cell r="J1553" t="str">
            <v>Material</v>
          </cell>
          <cell r="K1553" t="str">
            <v>evolution</v>
          </cell>
          <cell r="L1553" t="str">
            <v>覚醒素材タイプ</v>
          </cell>
          <cell r="M1553" t="str">
            <v>unknown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  <cell r="D1554" t="str">
            <v>各属性相性良3・黄・R455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green</v>
          </cell>
          <cell r="I1554">
            <v>6</v>
          </cell>
          <cell r="J1554" t="str">
            <v>Material</v>
          </cell>
          <cell r="K1554" t="str">
            <v>evolution</v>
          </cell>
          <cell r="L1554" t="str">
            <v>覚醒素材タイプ</v>
          </cell>
          <cell r="M155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 t="shared" ref="C2" si="0">RIGHT(F2,6)</f>
        <v>525100</v>
      </c>
      <c r="D2" s="19" t="s">
        <v>45</v>
      </c>
      <c r="E2" s="17" t="str">
        <f t="shared" ref="E2" si="1">B2&amp;C2&amp;D2</f>
        <v>gacha_select_tables_525100.tmp</v>
      </c>
      <c r="F2" s="101" t="s">
        <v>261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246</v>
      </c>
      <c r="B3" s="61" t="s">
        <v>110</v>
      </c>
      <c r="C3" s="50" t="str">
        <f t="shared" ref="C3:C7" si="2">RIGHT(F3,6)</f>
        <v>525010</v>
      </c>
      <c r="D3" s="19" t="s">
        <v>45</v>
      </c>
      <c r="E3" s="17" t="str">
        <f t="shared" ref="E3:E10" si="3">B3&amp;C3&amp;D3</f>
        <v>gacha_select_tables_525010.tmp</v>
      </c>
      <c r="F3" s="101" t="s">
        <v>262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251</v>
      </c>
      <c r="B4" s="95" t="s">
        <v>247</v>
      </c>
      <c r="C4" s="96" t="str">
        <f t="shared" si="2"/>
        <v>525100</v>
      </c>
      <c r="D4" s="19" t="s">
        <v>248</v>
      </c>
      <c r="E4" s="17" t="str">
        <f t="shared" si="3"/>
        <v>gacha_settle_tables_525100.tmp</v>
      </c>
      <c r="F4" s="101" t="s">
        <v>263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9" t="s">
        <v>252</v>
      </c>
      <c r="B8" s="27" t="s">
        <v>50</v>
      </c>
      <c r="C8" s="32">
        <v>525</v>
      </c>
      <c r="D8" s="19" t="s">
        <v>46</v>
      </c>
      <c r="E8" s="17" t="str">
        <f t="shared" si="3"/>
        <v>gacha_bonus_tables_525.tmp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9" t="s">
        <v>257</v>
      </c>
      <c r="B9" s="19" t="s">
        <v>48</v>
      </c>
      <c r="C9" s="32">
        <v>525</v>
      </c>
      <c r="D9" s="19" t="s">
        <v>46</v>
      </c>
      <c r="E9" s="17" t="str">
        <f t="shared" si="3"/>
        <v>gifts_tmp_525.tmp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9" t="s">
        <v>258</v>
      </c>
      <c r="B10" s="19" t="s">
        <v>49</v>
      </c>
      <c r="C10" s="32">
        <v>525</v>
      </c>
      <c r="D10" s="19" t="s">
        <v>46</v>
      </c>
      <c r="E10" s="17" t="str">
        <f t="shared" si="3"/>
        <v>gifts_i18n_525.tmp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E17" sqref="E1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525010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VLOOKUP(L3,tables_525010!B:C,2,FALSE)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VLOOKUP(L4,tables_525010!B:C,2,FALSE)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7.5757575757575758E-4</v>
      </c>
      <c r="F5">
        <f>(COUNTIF(tables_525010!C:C,input_525010!A28)+COUNTIF(tables_525010!C:C,input_525010!A29))</f>
        <v>66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VLOOKUP(L5,tables_525010!B:C,2,FALSE)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0.47499999999999998</v>
      </c>
      <c r="D6" t="s">
        <v>202</v>
      </c>
      <c r="E6" s="76">
        <f>(B10-H6)/(F6-I6)</f>
        <v>0.01</v>
      </c>
      <c r="F6">
        <f>(COUNTIF(tables_525010!C:C,input_525010!A25)+COUNTIF(tables_525010!C:C,input_525010!A18)+COUNTIF(tables_525010!C:C,input_525010!A20)+COUNTIF(tables_525010!C:C,input_525010!A22))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VLOOKUP(L6,tables_525010!B:C,2,FALSE)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VLOOKUP(L7,tables_525010!B:C,2,FALSE)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VLOOKUP(L8,tables_525010!B:C,2,FALSE)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VLOOKUP(L9,tables_525010!B:C,2,FALSE)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VLOOKUP(L10,tables_525010!B:C,2,FALSE)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260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VLOOKUP(L11,tables_525010!B:C,2,FALSE)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VLOOKUP(L12,tables_525010!B:C,2,FALSE)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VLOOKUP(L13,tables_525010!B:C,2,FALSE)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VLOOKUP(L14,tables_525010!B:C,2,FALSE)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VLOOKUP(L15,tables_525010!B:C,2,FALSE)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VLOOKUP(L16,tables_525010!B:C,2,FALSE)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0.19800000000000001</v>
      </c>
      <c r="C17" s="85">
        <f t="shared" ref="C17:C31" si="2">SUMIF(Q:Q,A17,N:N)</f>
        <v>0</v>
      </c>
      <c r="D17" s="74">
        <f t="shared" ref="D17:D32" si="3">B17-C17</f>
        <v>0.19800000000000001</v>
      </c>
      <c r="E17">
        <f>COUNTIF(tables_525010!C:C,input_525010!A17)-COUNTIF(Q:Q,A17)</f>
        <v>20</v>
      </c>
      <c r="F17" s="43">
        <f>IFERROR(B17/E17,0)</f>
        <v>9.9000000000000008E-3</v>
      </c>
      <c r="G17">
        <f t="shared" ref="G17:G31" si="4">A$36*B17</f>
        <v>12283920</v>
      </c>
      <c r="H17">
        <f t="shared" ref="H17:H31" si="5">IFERROR(ROUND(G17/E17,5),0)</f>
        <v>614196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VLOOKUP(L17,tables_525010!B:C,2,FALSE)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2.737878787878785E-2</v>
      </c>
      <c r="C18" s="85">
        <f t="shared" si="2"/>
        <v>0</v>
      </c>
      <c r="D18" s="74">
        <f t="shared" si="3"/>
        <v>2.737878787878785E-2</v>
      </c>
      <c r="E18">
        <f>COUNTIF(tables_525010!C:C,input_525010!A18)-COUNTIF(Q:Q,A18)</f>
        <v>20</v>
      </c>
      <c r="F18" s="43">
        <f>IFERROR(B18/E18,0)</f>
        <v>1.3689393939393924E-3</v>
      </c>
      <c r="G18">
        <f t="shared" si="4"/>
        <v>1698579.9999999981</v>
      </c>
      <c r="H18">
        <f t="shared" si="5"/>
        <v>84929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VLOOKUP(L18,tables_525010!B:C,2,FALSE)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0.23400000000000001</v>
      </c>
      <c r="C19" s="85">
        <f t="shared" si="2"/>
        <v>0</v>
      </c>
      <c r="D19" s="74">
        <f t="shared" si="3"/>
        <v>0.23400000000000001</v>
      </c>
      <c r="E19">
        <f>COUNTIF(tables_525010!C:C,input_525010!A19)-COUNTIF(Q:Q,A19)</f>
        <v>52</v>
      </c>
      <c r="F19" s="43">
        <f t="shared" ref="F19:F31" si="8">IFERROR(B19/E19,0)</f>
        <v>4.5000000000000005E-3</v>
      </c>
      <c r="G19">
        <f t="shared" si="4"/>
        <v>14517360</v>
      </c>
      <c r="H19">
        <f t="shared" si="5"/>
        <v>279180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VLOOKUP(L19,tables_525010!B:C,2,FALSE)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0.247</v>
      </c>
      <c r="C20" s="85">
        <f t="shared" si="2"/>
        <v>0</v>
      </c>
      <c r="D20" s="74">
        <f t="shared" si="3"/>
        <v>0.247</v>
      </c>
      <c r="E20">
        <f>COUNTIF(tables_525010!C:C,input_525010!A20)-COUNTIF(Q:Q,A20)</f>
        <v>52</v>
      </c>
      <c r="F20" s="43">
        <f t="shared" si="8"/>
        <v>4.7499999999999999E-3</v>
      </c>
      <c r="G20">
        <f t="shared" si="4"/>
        <v>15323880</v>
      </c>
      <c r="H20">
        <f t="shared" si="5"/>
        <v>294690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VLOOKUP(L20,tables_525010!B:C,2,FALSE)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1.3621212121212109E-2</v>
      </c>
      <c r="C21" s="85">
        <f t="shared" si="2"/>
        <v>0</v>
      </c>
      <c r="D21" s="74">
        <f t="shared" si="3"/>
        <v>1.3621212121212109E-2</v>
      </c>
      <c r="E21">
        <f>COUNTIF(tables_525010!C:C,input_525010!A21)-COUNTIF(Q:Q,A21)</f>
        <v>52</v>
      </c>
      <c r="F21" s="43">
        <f t="shared" si="8"/>
        <v>2.619463869463867E-4</v>
      </c>
      <c r="G21">
        <f t="shared" si="4"/>
        <v>845059.99999999919</v>
      </c>
      <c r="H21">
        <f t="shared" si="5"/>
        <v>16251.153850000001</v>
      </c>
      <c r="I21">
        <f t="shared" si="6"/>
        <v>0.15385000000060245</v>
      </c>
      <c r="J21">
        <f t="shared" si="7"/>
        <v>6.4998375040369458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0.16200000000000001</v>
      </c>
      <c r="C22" s="85">
        <f t="shared" si="2"/>
        <v>0</v>
      </c>
      <c r="D22" s="74">
        <f t="shared" si="3"/>
        <v>0.16200000000000001</v>
      </c>
      <c r="E22">
        <f>COUNTIF(tables_525010!C:C,input_525010!A22)-COUNTIF(Q:Q,A22)</f>
        <v>18</v>
      </c>
      <c r="F22" s="43">
        <f t="shared" si="8"/>
        <v>9.0000000000000011E-3</v>
      </c>
      <c r="G22">
        <f t="shared" si="4"/>
        <v>10050480</v>
      </c>
      <c r="H22">
        <f t="shared" si="5"/>
        <v>558360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1.7999999999999999E-2</v>
      </c>
      <c r="C23" s="85">
        <f t="shared" si="2"/>
        <v>0</v>
      </c>
      <c r="D23" s="74">
        <f t="shared" si="3"/>
        <v>1.7999999999999999E-2</v>
      </c>
      <c r="E23">
        <f>COUNTIF(tables_525010!C:C,input_525010!A23)-COUNTIF(Q:Q,A23)</f>
        <v>24</v>
      </c>
      <c r="F23" s="43">
        <f t="shared" si="8"/>
        <v>7.4999999999999991E-4</v>
      </c>
      <c r="G23">
        <f t="shared" si="4"/>
        <v>1116720</v>
      </c>
      <c r="H23">
        <f t="shared" si="5"/>
        <v>46530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1.8000000000000002E-2</v>
      </c>
      <c r="C24" s="85">
        <f t="shared" si="2"/>
        <v>0</v>
      </c>
      <c r="D24" s="74">
        <f t="shared" si="3"/>
        <v>1.8000000000000002E-2</v>
      </c>
      <c r="E24">
        <f>COUNTIF(tables_525010!C:C,input_525010!A24)-COUNTIF(Q:Q,A24)</f>
        <v>4</v>
      </c>
      <c r="F24" s="43">
        <f t="shared" si="8"/>
        <v>4.5000000000000005E-3</v>
      </c>
      <c r="G24">
        <f t="shared" si="4"/>
        <v>1116720.0000000002</v>
      </c>
      <c r="H24">
        <f t="shared" si="5"/>
        <v>279180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1.9E-2</v>
      </c>
      <c r="C25" s="85">
        <f t="shared" si="2"/>
        <v>0</v>
      </c>
      <c r="D25" s="74">
        <f t="shared" si="3"/>
        <v>1.9E-2</v>
      </c>
      <c r="E25">
        <f>COUNTIF(tables_525010!C:C,input_525010!A25)-COUNTIF(Q:Q,A25)</f>
        <v>4</v>
      </c>
      <c r="F25" s="43">
        <f t="shared" si="8"/>
        <v>4.7499999999999999E-3</v>
      </c>
      <c r="G25">
        <f t="shared" si="4"/>
        <v>1178760</v>
      </c>
      <c r="H25">
        <f t="shared" si="5"/>
        <v>294690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3.0000000000000001E-3</v>
      </c>
      <c r="C26" s="85">
        <f t="shared" si="2"/>
        <v>0</v>
      </c>
      <c r="D26" s="74">
        <f t="shared" si="3"/>
        <v>3.0000000000000001E-3</v>
      </c>
      <c r="E26">
        <f>COUNTIF(tables_525010!C:C,input_525010!A26)-COUNTIF(Q:Q,A26)</f>
        <v>4</v>
      </c>
      <c r="F26" s="43">
        <f t="shared" si="8"/>
        <v>7.5000000000000002E-4</v>
      </c>
      <c r="G26">
        <f t="shared" si="4"/>
        <v>186120</v>
      </c>
      <c r="H26">
        <f t="shared" si="5"/>
        <v>46530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1.9621212121212123E-2</v>
      </c>
      <c r="C27" s="85">
        <f t="shared" si="2"/>
        <v>0</v>
      </c>
      <c r="D27" s="74">
        <f t="shared" si="3"/>
        <v>1.9621212121212123E-2</v>
      </c>
      <c r="E27">
        <f>COUNTIF(tables_525010!C:C,input_525010!A27)-COUNTIF(Q:Q,A27)</f>
        <v>28</v>
      </c>
      <c r="F27" s="43">
        <f>IFERROR(B27/E27,0)</f>
        <v>7.0075757575757582E-4</v>
      </c>
      <c r="G27">
        <f t="shared" si="4"/>
        <v>1217300</v>
      </c>
      <c r="H27">
        <f t="shared" si="5"/>
        <v>43475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1.590909090909091E-3</v>
      </c>
      <c r="C28" s="85">
        <f t="shared" si="2"/>
        <v>0</v>
      </c>
      <c r="D28" s="74">
        <f t="shared" si="3"/>
        <v>1.590909090909091E-3</v>
      </c>
      <c r="E28">
        <f>COUNTIF(tables_525010!C:C,input_525010!A28)-COUNTIF(Q:Q,A28)</f>
        <v>28</v>
      </c>
      <c r="F28" s="43">
        <f t="shared" si="8"/>
        <v>5.6818181818181818E-5</v>
      </c>
      <c r="G28">
        <f t="shared" si="4"/>
        <v>98700</v>
      </c>
      <c r="H28">
        <f t="shared" si="5"/>
        <v>3525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2.8787878787878789E-2</v>
      </c>
      <c r="C29" s="85">
        <f t="shared" si="2"/>
        <v>0</v>
      </c>
      <c r="D29" s="74">
        <f t="shared" si="3"/>
        <v>2.8787878787878789E-2</v>
      </c>
      <c r="E29">
        <f>COUNTIF(tables_525010!C:C,input_525010!A29)-COUNTIF(Q:Q,A29)</f>
        <v>38</v>
      </c>
      <c r="F29" s="43">
        <f t="shared" si="8"/>
        <v>7.5757575757575758E-4</v>
      </c>
      <c r="G29">
        <f t="shared" si="4"/>
        <v>1786000</v>
      </c>
      <c r="H29">
        <f t="shared" si="5"/>
        <v>47000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COUNTIF(tables_525010!C:C,input_525010!A30)-COUNTIF(Q:Q,A30)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COUNTIF(tables_525010!C:C,input_525010!A31)-COUNTIF(Q:Q,A31)</f>
        <v>2</v>
      </c>
      <c r="F31" s="43">
        <f t="shared" si="8"/>
        <v>5.0000000000000001E-3</v>
      </c>
      <c r="G31">
        <f t="shared" si="4"/>
        <v>620400</v>
      </c>
      <c r="H31">
        <f t="shared" si="5"/>
        <v>310200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SUMIF(tables_525010!C:C,input_525010!A40,tables_525010!O:O)</f>
        <v>14517360</v>
      </c>
      <c r="C40" s="54">
        <f t="shared" ref="C40:C46" ca="1" si="9">B40/B$47</f>
        <v>0.45363489498908743</v>
      </c>
      <c r="E40">
        <v>3</v>
      </c>
      <c r="F40">
        <f ca="1">SUMIF(tables_525010!J:J,input_525010!E40,tables_525010!O:O)</f>
        <v>27918000</v>
      </c>
      <c r="G40">
        <f ca="1">F40/A36</f>
        <v>0.45</v>
      </c>
    </row>
    <row r="41" spans="1:7" x14ac:dyDescent="0.15">
      <c r="A41" s="33" t="s">
        <v>104</v>
      </c>
      <c r="B41">
        <f ca="1">SUMIF(tables_525010!C:C,input_525010!A41,tables_525010!O:O)</f>
        <v>15323880</v>
      </c>
      <c r="C41" s="54">
        <f t="shared" ca="1" si="9"/>
        <v>0.47883683359959228</v>
      </c>
      <c r="E41">
        <v>4</v>
      </c>
      <c r="F41">
        <f ca="1">SUMIF(tables_525010!J:J,input_525010!E41,tables_525010!O:O)</f>
        <v>29469000</v>
      </c>
      <c r="G41">
        <f ca="1">F41/A36</f>
        <v>0.47499999999999998</v>
      </c>
    </row>
    <row r="42" spans="1:7" x14ac:dyDescent="0.15">
      <c r="A42" s="33" t="s">
        <v>106</v>
      </c>
      <c r="B42">
        <f ca="1">SUMIF(tables_525010!C:C,input_525010!A42,tables_525010!O:O)</f>
        <v>1217300</v>
      </c>
      <c r="C42" s="54">
        <f t="shared" ca="1" si="9"/>
        <v>3.8037891026344743E-2</v>
      </c>
      <c r="E42">
        <v>5</v>
      </c>
      <c r="F42">
        <f ca="1">SUMIF(tables_525010!J:J,input_525010!E42,tables_525010!O:O)</f>
        <v>4653000.0001999987</v>
      </c>
      <c r="G42">
        <f ca="1">F42/A36</f>
        <v>7.500000000322371E-2</v>
      </c>
    </row>
    <row r="43" spans="1:7" x14ac:dyDescent="0.15">
      <c r="A43" s="33" t="s">
        <v>109</v>
      </c>
      <c r="B43">
        <f>SUMIF(tables_525010!C:C,input_525010!A43,tables_525010!O:O)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SUMIF(tables_525010!C:C,input_525010!A44,tables_525010!O:O)</f>
        <v>845060.00020000001</v>
      </c>
      <c r="C44" s="54">
        <f t="shared" ca="1" si="9"/>
        <v>2.6406227058515131E-2</v>
      </c>
      <c r="E44" t="s">
        <v>54</v>
      </c>
      <c r="F44" s="55"/>
    </row>
    <row r="45" spans="1:7" x14ac:dyDescent="0.15">
      <c r="A45" s="33" t="s">
        <v>107</v>
      </c>
      <c r="B45">
        <f ca="1">SUMIF(tables_525010!C:C,input_525010!A45,tables_525010!O:O)</f>
        <v>98700</v>
      </c>
      <c r="C45" s="54">
        <f t="shared" ca="1" si="9"/>
        <v>3.0841533264603848E-3</v>
      </c>
      <c r="E45" t="s">
        <v>204</v>
      </c>
      <c r="F45" s="55">
        <f ca="1">SUMIF(tables_525010!I:I,input_525010!E45,tables_525010!P:P)</f>
        <v>0.22987878787804714</v>
      </c>
    </row>
    <row r="46" spans="1:7" x14ac:dyDescent="0.15">
      <c r="A46" s="33" t="s">
        <v>108</v>
      </c>
      <c r="B46">
        <f>SUMIF(tables_525010!C:C,input_525010!A46,tables_525010!O:O)</f>
        <v>0</v>
      </c>
      <c r="C46" s="54">
        <f t="shared" ca="1" si="9"/>
        <v>0</v>
      </c>
      <c r="E46" t="s">
        <v>205</v>
      </c>
      <c r="F46" s="55">
        <f ca="1">SUMIF(tables_525010!I:I,input_525010!E46,tables_525010!P:P)</f>
        <v>0.19170308857852469</v>
      </c>
    </row>
    <row r="47" spans="1:7" x14ac:dyDescent="0.15">
      <c r="A47" s="39" t="s">
        <v>59</v>
      </c>
      <c r="B47">
        <f ca="1">SUM(B40:B46)</f>
        <v>32002300.0002</v>
      </c>
      <c r="C47" s="55">
        <f ca="1">SUM(C40:C46)</f>
        <v>0.99999999999999989</v>
      </c>
      <c r="E47" t="s">
        <v>206</v>
      </c>
      <c r="F47" s="55">
        <f ca="1">SUMIF(tables_525010!I:I,input_525010!E47,tables_525010!P:P)</f>
        <v>0.51841812354362282</v>
      </c>
    </row>
    <row r="48" spans="1:7" x14ac:dyDescent="0.15">
      <c r="E48" t="s">
        <v>207</v>
      </c>
      <c r="F48" s="55">
        <f ca="1">SUMIF(tables_525010!I:I,input_525010!E48,tables_525010!P:P)</f>
        <v>4.4696969696825607E-2</v>
      </c>
      <c r="G48" s="55">
        <f ca="1">0.05-F48-F49</f>
        <v>1.6118096440864704E-13</v>
      </c>
    </row>
    <row r="49" spans="5:7" x14ac:dyDescent="0.15">
      <c r="E49" t="s">
        <v>249</v>
      </c>
      <c r="F49" s="55">
        <f ca="1">SUMIF(tables_525010!I:I,input_525010!E49,tables_525010!P:P)</f>
        <v>5.3030303030132146E-3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324" activePane="bottomLeft" state="frozen"/>
      <selection activeCell="H276" sqref="H276"/>
      <selection pane="bottomLeft" activeCell="B346" sqref="B346:B34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input_525010!A$2</f>
        <v>525010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IFERROR(VLOOKUP(B2,input_525010!L:R,7,FALSE),VLOOKUP(tables_525010!C2,input_525010!A:H,8,FALSE))</f>
        <v>614196</v>
      </c>
      <c r="P2" s="46">
        <f t="shared" ref="P2:P65" ca="1" si="1">O2/SUM(O:O)</f>
        <v>9.8999999999680958E-3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input_525010!A$2</f>
        <v>525010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IFERROR(VLOOKUP(B3,input_525010!L:R,7,FALSE),VLOOKUP(tables_525010!C3,input_525010!A:H,8,FALSE))</f>
        <v>84929</v>
      </c>
      <c r="P3" s="46">
        <f t="shared" ca="1" si="1"/>
        <v>1.3689393939349825E-3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input_525010!A$2</f>
        <v>525010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IFERROR(VLOOKUP(B4,input_525010!L:R,7,FALSE),VLOOKUP(tables_525010!C4,input_525010!A:H,8,FALSE))</f>
        <v>614196</v>
      </c>
      <c r="P4" s="46">
        <f t="shared" ca="1" si="1"/>
        <v>9.8999999999680958E-3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input_525010!A$2</f>
        <v>525010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IFERROR(VLOOKUP(B5,input_525010!L:R,7,FALSE),VLOOKUP(tables_525010!C5,input_525010!A:H,8,FALSE))</f>
        <v>84929</v>
      </c>
      <c r="P5" s="46">
        <f t="shared" ca="1" si="1"/>
        <v>1.3689393939349825E-3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input_525010!A$2</f>
        <v>525010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IFERROR(VLOOKUP(B6,input_525010!L:R,7,FALSE),VLOOKUP(tables_525010!C6,input_525010!A:H,8,FALSE))</f>
        <v>614196</v>
      </c>
      <c r="P6" s="46">
        <f t="shared" ca="1" si="1"/>
        <v>9.8999999999680958E-3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input_525010!A$2</f>
        <v>525010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IFERROR(VLOOKUP(B7,input_525010!L:R,7,FALSE),VLOOKUP(tables_525010!C7,input_525010!A:H,8,FALSE))</f>
        <v>84929</v>
      </c>
      <c r="P7" s="46">
        <f t="shared" ca="1" si="1"/>
        <v>1.3689393939349825E-3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input_525010!A$2</f>
        <v>525010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IFERROR(VLOOKUP(B8,input_525010!L:R,7,FALSE),VLOOKUP(tables_525010!C8,input_525010!A:H,8,FALSE))</f>
        <v>614196</v>
      </c>
      <c r="P8" s="46">
        <f t="shared" ca="1" si="1"/>
        <v>9.8999999999680958E-3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input_525010!A$2</f>
        <v>525010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IFERROR(VLOOKUP(B9,input_525010!L:R,7,FALSE),VLOOKUP(tables_525010!C9,input_525010!A:H,8,FALSE))</f>
        <v>84929</v>
      </c>
      <c r="P9" s="46">
        <f t="shared" ca="1" si="1"/>
        <v>1.3689393939349825E-3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input_525010!A$2</f>
        <v>525010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IFERROR(VLOOKUP(B10,input_525010!L:R,7,FALSE),VLOOKUP(tables_525010!C10,input_525010!A:H,8,FALSE))</f>
        <v>614196</v>
      </c>
      <c r="P10" s="46">
        <f t="shared" ca="1" si="1"/>
        <v>9.8999999999680958E-3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input_525010!A$2</f>
        <v>525010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IFERROR(VLOOKUP(B11,input_525010!L:R,7,FALSE),VLOOKUP(tables_525010!C11,input_525010!A:H,8,FALSE))</f>
        <v>84929</v>
      </c>
      <c r="P11" s="46">
        <f t="shared" ca="1" si="1"/>
        <v>1.3689393939349825E-3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input_525010!A$2</f>
        <v>525010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IFERROR(VLOOKUP(B12,input_525010!L:R,7,FALSE),VLOOKUP(tables_525010!C12,input_525010!A:H,8,FALSE))</f>
        <v>614196</v>
      </c>
      <c r="P12" s="46">
        <f t="shared" ca="1" si="1"/>
        <v>9.8999999999680958E-3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input_525010!A$2</f>
        <v>525010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IFERROR(VLOOKUP(B13,input_525010!L:R,7,FALSE),VLOOKUP(tables_525010!C13,input_525010!A:H,8,FALSE))</f>
        <v>84929</v>
      </c>
      <c r="P13" s="46">
        <f t="shared" ca="1" si="1"/>
        <v>1.3689393939349825E-3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input_525010!A$2</f>
        <v>525010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IFERROR(VLOOKUP(B14,input_525010!L:R,7,FALSE),VLOOKUP(tables_525010!C14,input_525010!A:H,8,FALSE))</f>
        <v>614196</v>
      </c>
      <c r="P14" s="46">
        <f t="shared" ca="1" si="1"/>
        <v>9.8999999999680958E-3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input_525010!A$2</f>
        <v>525010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IFERROR(VLOOKUP(B15,input_525010!L:R,7,FALSE),VLOOKUP(tables_525010!C15,input_525010!A:H,8,FALSE))</f>
        <v>84929</v>
      </c>
      <c r="P15" s="46">
        <f t="shared" ca="1" si="1"/>
        <v>1.3689393939349825E-3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input_525010!A$2</f>
        <v>525010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IFERROR(VLOOKUP(B16,input_525010!L:R,7,FALSE),VLOOKUP(tables_525010!C16,input_525010!A:H,8,FALSE))</f>
        <v>614196</v>
      </c>
      <c r="P16" s="46">
        <f t="shared" ca="1" si="1"/>
        <v>9.8999999999680958E-3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input_525010!A$2</f>
        <v>525010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IFERROR(VLOOKUP(B17,input_525010!L:R,7,FALSE),VLOOKUP(tables_525010!C17,input_525010!A:H,8,FALSE))</f>
        <v>84929</v>
      </c>
      <c r="P17" s="46">
        <f t="shared" ca="1" si="1"/>
        <v>1.3689393939349825E-3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input_525010!A$2</f>
        <v>525010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IFERROR(VLOOKUP(B18,input_525010!L:R,7,FALSE),VLOOKUP(tables_525010!C18,input_525010!A:H,8,FALSE))</f>
        <v>614196</v>
      </c>
      <c r="P18" s="46">
        <f t="shared" ca="1" si="1"/>
        <v>9.8999999999680958E-3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input_525010!A$2</f>
        <v>525010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IFERROR(VLOOKUP(B19,input_525010!L:R,7,FALSE),VLOOKUP(tables_525010!C19,input_525010!A:H,8,FALSE))</f>
        <v>84929</v>
      </c>
      <c r="P19" s="46">
        <f t="shared" ca="1" si="1"/>
        <v>1.3689393939349825E-3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input_525010!A$2</f>
        <v>525010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IFERROR(VLOOKUP(B20,input_525010!L:R,7,FALSE),VLOOKUP(tables_525010!C20,input_525010!A:H,8,FALSE))</f>
        <v>614196</v>
      </c>
      <c r="P20" s="46">
        <f t="shared" ca="1" si="1"/>
        <v>9.8999999999680958E-3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input_525010!A$2</f>
        <v>525010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IFERROR(VLOOKUP(B21,input_525010!L:R,7,FALSE),VLOOKUP(tables_525010!C21,input_525010!A:H,8,FALSE))</f>
        <v>84929</v>
      </c>
      <c r="P21" s="46">
        <f t="shared" ca="1" si="1"/>
        <v>1.3689393939349825E-3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input_525010!A$2</f>
        <v>525010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IFERROR(VLOOKUP(B22,input_525010!L:R,7,FALSE),VLOOKUP(tables_525010!C22,input_525010!A:H,8,FALSE))</f>
        <v>614196</v>
      </c>
      <c r="P22" s="46">
        <f t="shared" ca="1" si="1"/>
        <v>9.8999999999680958E-3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input_525010!A$2</f>
        <v>525010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IFERROR(VLOOKUP(B23,input_525010!L:R,7,FALSE),VLOOKUP(tables_525010!C23,input_525010!A:H,8,FALSE))</f>
        <v>84929</v>
      </c>
      <c r="P23" s="46">
        <f t="shared" ca="1" si="1"/>
        <v>1.3689393939349825E-3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input_525010!A$2</f>
        <v>525010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IFERROR(VLOOKUP(B24,input_525010!L:R,7,FALSE),VLOOKUP(tables_525010!C24,input_525010!A:H,8,FALSE))</f>
        <v>614196</v>
      </c>
      <c r="P24" s="46">
        <f t="shared" ca="1" si="1"/>
        <v>9.8999999999680958E-3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input_525010!A$2</f>
        <v>525010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IFERROR(VLOOKUP(B25,input_525010!L:R,7,FALSE),VLOOKUP(tables_525010!C25,input_525010!A:H,8,FALSE))</f>
        <v>84929</v>
      </c>
      <c r="P25" s="46">
        <f t="shared" ca="1" si="1"/>
        <v>1.3689393939349825E-3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input_525010!A$2</f>
        <v>525010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IFERROR(VLOOKUP(B26,input_525010!L:R,7,FALSE),VLOOKUP(tables_525010!C26,input_525010!A:H,8,FALSE))</f>
        <v>614196</v>
      </c>
      <c r="P26" s="46">
        <f t="shared" ca="1" si="1"/>
        <v>9.8999999999680958E-3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input_525010!A$2</f>
        <v>525010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IFERROR(VLOOKUP(B27,input_525010!L:R,7,FALSE),VLOOKUP(tables_525010!C27,input_525010!A:H,8,FALSE))</f>
        <v>84929</v>
      </c>
      <c r="P27" s="46">
        <f t="shared" ca="1" si="1"/>
        <v>1.3689393939349825E-3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input_525010!A$2</f>
        <v>525010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IFERROR(VLOOKUP(B28,input_525010!L:R,7,FALSE),VLOOKUP(tables_525010!C28,input_525010!A:H,8,FALSE))</f>
        <v>614196</v>
      </c>
      <c r="P28" s="46">
        <f t="shared" ca="1" si="1"/>
        <v>9.8999999999680958E-3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input_525010!A$2</f>
        <v>525010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IFERROR(VLOOKUP(B29,input_525010!L:R,7,FALSE),VLOOKUP(tables_525010!C29,input_525010!A:H,8,FALSE))</f>
        <v>84929</v>
      </c>
      <c r="P29" s="46">
        <f t="shared" ca="1" si="1"/>
        <v>1.3689393939349825E-3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input_525010!A$2</f>
        <v>525010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IFERROR(VLOOKUP(B30,input_525010!L:R,7,FALSE),VLOOKUP(tables_525010!C30,input_525010!A:H,8,FALSE))</f>
        <v>614196</v>
      </c>
      <c r="P30" s="46">
        <f t="shared" ca="1" si="1"/>
        <v>9.8999999999680958E-3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input_525010!A$2</f>
        <v>525010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IFERROR(VLOOKUP(B31,input_525010!L:R,7,FALSE),VLOOKUP(tables_525010!C31,input_525010!A:H,8,FALSE))</f>
        <v>84929</v>
      </c>
      <c r="P31" s="46">
        <f t="shared" ca="1" si="1"/>
        <v>1.3689393939349825E-3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input_525010!A$2</f>
        <v>525010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IFERROR(VLOOKUP(B32,input_525010!L:R,7,FALSE),VLOOKUP(tables_525010!C32,input_525010!A:H,8,FALSE))</f>
        <v>614196</v>
      </c>
      <c r="P32" s="46">
        <f t="shared" ca="1" si="1"/>
        <v>9.8999999999680958E-3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input_525010!A$2</f>
        <v>525010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IFERROR(VLOOKUP(B33,input_525010!L:R,7,FALSE),VLOOKUP(tables_525010!C33,input_525010!A:H,8,FALSE))</f>
        <v>84929</v>
      </c>
      <c r="P33" s="46">
        <f t="shared" ca="1" si="1"/>
        <v>1.3689393939349825E-3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input_525010!A$2</f>
        <v>525010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IFERROR(VLOOKUP(B34,input_525010!L:R,7,FALSE),VLOOKUP(tables_525010!C34,input_525010!A:H,8,FALSE))</f>
        <v>614196</v>
      </c>
      <c r="P34" s="46">
        <f t="shared" ca="1" si="1"/>
        <v>9.8999999999680958E-3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input_525010!A$2</f>
        <v>525010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IFERROR(VLOOKUP(B35,input_525010!L:R,7,FALSE),VLOOKUP(tables_525010!C35,input_525010!A:H,8,FALSE))</f>
        <v>84929</v>
      </c>
      <c r="P35" s="46">
        <f t="shared" ca="1" si="1"/>
        <v>1.3689393939349825E-3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input_525010!A$2</f>
        <v>525010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IFERROR(VLOOKUP(B36,input_525010!L:R,7,FALSE),VLOOKUP(tables_525010!C36,input_525010!A:H,8,FALSE))</f>
        <v>614196</v>
      </c>
      <c r="P36" s="46">
        <f t="shared" ca="1" si="1"/>
        <v>9.8999999999680958E-3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input_525010!A$2</f>
        <v>525010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IFERROR(VLOOKUP(B37,input_525010!L:R,7,FALSE),VLOOKUP(tables_525010!C37,input_525010!A:H,8,FALSE))</f>
        <v>84929</v>
      </c>
      <c r="P37" s="46">
        <f t="shared" ca="1" si="1"/>
        <v>1.3689393939349825E-3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input_525010!A$2</f>
        <v>525010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IFERROR(VLOOKUP(B38,input_525010!L:R,7,FALSE),VLOOKUP(tables_525010!C38,input_525010!A:H,8,FALSE))</f>
        <v>614196</v>
      </c>
      <c r="P38" s="46">
        <f t="shared" ca="1" si="1"/>
        <v>9.8999999999680958E-3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input_525010!A$2</f>
        <v>525010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IFERROR(VLOOKUP(B39,input_525010!L:R,7,FALSE),VLOOKUP(tables_525010!C39,input_525010!A:H,8,FALSE))</f>
        <v>84929</v>
      </c>
      <c r="P39" s="46">
        <f t="shared" ca="1" si="1"/>
        <v>1.3689393939349825E-3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input_525010!A$2</f>
        <v>525010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IFERROR(VLOOKUP(B40,input_525010!L:R,7,FALSE),VLOOKUP(tables_525010!C40,input_525010!A:H,8,FALSE))</f>
        <v>614196</v>
      </c>
      <c r="P40" s="46">
        <f t="shared" ca="1" si="1"/>
        <v>9.8999999999680958E-3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input_525010!A$2</f>
        <v>525010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IFERROR(VLOOKUP(B41,input_525010!L:R,7,FALSE),VLOOKUP(tables_525010!C41,input_525010!A:H,8,FALSE))</f>
        <v>84929</v>
      </c>
      <c r="P41" s="46">
        <f t="shared" ca="1" si="1"/>
        <v>1.3689393939349825E-3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input_525010!A$2</f>
        <v>525010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IFERROR(VLOOKUP(B42,input_525010!L:R,7,FALSE),VLOOKUP(tables_525010!C42,input_525010!A:H,8,FALSE))</f>
        <v>279180</v>
      </c>
      <c r="P42" s="46">
        <f t="shared" ca="1" si="1"/>
        <v>4.4999999999854982E-3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input_525010!A$2</f>
        <v>525010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IFERROR(VLOOKUP(B43,input_525010!L:R,7,FALSE),VLOOKUP(tables_525010!C43,input_525010!A:H,8,FALSE))</f>
        <v>294690</v>
      </c>
      <c r="P43" s="46">
        <f t="shared" ca="1" si="1"/>
        <v>4.7499999999846927E-3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input_525010!A$2</f>
        <v>525010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IFERROR(VLOOKUP(B44,input_525010!L:R,7,FALSE),VLOOKUP(tables_525010!C44,input_525010!A:H,8,FALSE))</f>
        <v>46530</v>
      </c>
      <c r="P44" s="46">
        <f t="shared" ca="1" si="1"/>
        <v>7.4999999999758311E-4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input_525010!A$2</f>
        <v>525010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IFERROR(VLOOKUP(B45,input_525010!L:R,7,FALSE),VLOOKUP(tables_525010!C45,input_525010!A:H,8,FALSE))</f>
        <v>279180</v>
      </c>
      <c r="P45" s="46">
        <f t="shared" ca="1" si="1"/>
        <v>4.4999999999854982E-3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input_525010!A$2</f>
        <v>525010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IFERROR(VLOOKUP(B46,input_525010!L:R,7,FALSE),VLOOKUP(tables_525010!C46,input_525010!A:H,8,FALSE))</f>
        <v>294690</v>
      </c>
      <c r="P46" s="46">
        <f t="shared" ca="1" si="1"/>
        <v>4.7499999999846927E-3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input_525010!A$2</f>
        <v>525010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IFERROR(VLOOKUP(B47,input_525010!L:R,7,FALSE),VLOOKUP(tables_525010!C47,input_525010!A:H,8,FALSE))</f>
        <v>46530</v>
      </c>
      <c r="P47" s="46">
        <f t="shared" ca="1" si="1"/>
        <v>7.4999999999758311E-4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input_525010!A$2</f>
        <v>525010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IFERROR(VLOOKUP(B48,input_525010!L:R,7,FALSE),VLOOKUP(tables_525010!C48,input_525010!A:H,8,FALSE))</f>
        <v>279180</v>
      </c>
      <c r="P48" s="46">
        <f t="shared" ca="1" si="1"/>
        <v>4.4999999999854982E-3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input_525010!A$2</f>
        <v>525010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IFERROR(VLOOKUP(B49,input_525010!L:R,7,FALSE),VLOOKUP(tables_525010!C49,input_525010!A:H,8,FALSE))</f>
        <v>294690</v>
      </c>
      <c r="P49" s="46">
        <f t="shared" ca="1" si="1"/>
        <v>4.7499999999846927E-3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input_525010!A$2</f>
        <v>525010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IFERROR(VLOOKUP(B50,input_525010!L:R,7,FALSE),VLOOKUP(tables_525010!C50,input_525010!A:H,8,FALSE))</f>
        <v>46530</v>
      </c>
      <c r="P50" s="46">
        <f t="shared" ca="1" si="1"/>
        <v>7.4999999999758311E-4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input_525010!A$2</f>
        <v>525010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IFERROR(VLOOKUP(B51,input_525010!L:R,7,FALSE),VLOOKUP(tables_525010!C51,input_525010!A:H,8,FALSE))</f>
        <v>279180</v>
      </c>
      <c r="P51" s="46">
        <f t="shared" ca="1" si="1"/>
        <v>4.4999999999854982E-3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input_525010!A$2</f>
        <v>525010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IFERROR(VLOOKUP(B52,input_525010!L:R,7,FALSE),VLOOKUP(tables_525010!C52,input_525010!A:H,8,FALSE))</f>
        <v>294690</v>
      </c>
      <c r="P52" s="46">
        <f t="shared" ca="1" si="1"/>
        <v>4.7499999999846927E-3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input_525010!A$2</f>
        <v>525010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IFERROR(VLOOKUP(B53,input_525010!L:R,7,FALSE),VLOOKUP(tables_525010!C53,input_525010!A:H,8,FALSE))</f>
        <v>16251.153850000001</v>
      </c>
      <c r="P53" s="46">
        <f t="shared" ca="1" si="1"/>
        <v>2.6194638700753755E-4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input_525010!A$2</f>
        <v>525010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IFERROR(VLOOKUP(B54,input_525010!L:R,7,FALSE),VLOOKUP(tables_525010!C54,input_525010!A:H,8,FALSE))</f>
        <v>279180</v>
      </c>
      <c r="P54" s="46">
        <f t="shared" ca="1" si="1"/>
        <v>4.4999999999854982E-3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input_525010!A$2</f>
        <v>525010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IFERROR(VLOOKUP(B55,input_525010!L:R,7,FALSE),VLOOKUP(tables_525010!C55,input_525010!A:H,8,FALSE))</f>
        <v>294690</v>
      </c>
      <c r="P55" s="46">
        <f t="shared" ca="1" si="1"/>
        <v>4.7499999999846927E-3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input_525010!A$2</f>
        <v>525010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IFERROR(VLOOKUP(B56,input_525010!L:R,7,FALSE),VLOOKUP(tables_525010!C56,input_525010!A:H,8,FALSE))</f>
        <v>16251.153850000001</v>
      </c>
      <c r="P56" s="46">
        <f t="shared" ca="1" si="1"/>
        <v>2.6194638700753755E-4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input_525010!A$2</f>
        <v>525010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IFERROR(VLOOKUP(B57,input_525010!L:R,7,FALSE),VLOOKUP(tables_525010!C57,input_525010!A:H,8,FALSE))</f>
        <v>279180</v>
      </c>
      <c r="P57" s="46">
        <f t="shared" ca="1" si="1"/>
        <v>4.4999999999854982E-3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input_525010!A$2</f>
        <v>525010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IFERROR(VLOOKUP(B58,input_525010!L:R,7,FALSE),VLOOKUP(tables_525010!C58,input_525010!A:H,8,FALSE))</f>
        <v>294690</v>
      </c>
      <c r="P58" s="46">
        <f t="shared" ca="1" si="1"/>
        <v>4.7499999999846927E-3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input_525010!A$2</f>
        <v>525010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IFERROR(VLOOKUP(B59,input_525010!L:R,7,FALSE),VLOOKUP(tables_525010!C59,input_525010!A:H,8,FALSE))</f>
        <v>16251.153850000001</v>
      </c>
      <c r="P59" s="46">
        <f t="shared" ca="1" si="1"/>
        <v>2.6194638700753755E-4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input_525010!A$2</f>
        <v>525010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IFERROR(VLOOKUP(B60,input_525010!L:R,7,FALSE),VLOOKUP(tables_525010!C60,input_525010!A:H,8,FALSE))</f>
        <v>279180</v>
      </c>
      <c r="P60" s="46">
        <f t="shared" ca="1" si="1"/>
        <v>4.4999999999854982E-3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input_525010!A$2</f>
        <v>525010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IFERROR(VLOOKUP(B61,input_525010!L:R,7,FALSE),VLOOKUP(tables_525010!C61,input_525010!A:H,8,FALSE))</f>
        <v>294690</v>
      </c>
      <c r="P61" s="46">
        <f t="shared" ca="1" si="1"/>
        <v>4.7499999999846927E-3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input_525010!A$2</f>
        <v>525010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IFERROR(VLOOKUP(B62,input_525010!L:R,7,FALSE),VLOOKUP(tables_525010!C62,input_525010!A:H,8,FALSE))</f>
        <v>16251.153850000001</v>
      </c>
      <c r="P62" s="46">
        <f t="shared" ca="1" si="1"/>
        <v>2.6194638700753755E-4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input_525010!A$2</f>
        <v>525010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IFERROR(VLOOKUP(B63,input_525010!L:R,7,FALSE),VLOOKUP(tables_525010!C63,input_525010!A:H,8,FALSE))</f>
        <v>279180</v>
      </c>
      <c r="P63" s="46">
        <f t="shared" ca="1" si="1"/>
        <v>4.4999999999854982E-3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input_525010!A$2</f>
        <v>525010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IFERROR(VLOOKUP(B64,input_525010!L:R,7,FALSE),VLOOKUP(tables_525010!C64,input_525010!A:H,8,FALSE))</f>
        <v>294690</v>
      </c>
      <c r="P64" s="46">
        <f t="shared" ca="1" si="1"/>
        <v>4.7499999999846927E-3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input_525010!A$2</f>
        <v>525010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IFERROR(VLOOKUP(B65,input_525010!L:R,7,FALSE),VLOOKUP(tables_525010!C65,input_525010!A:H,8,FALSE))</f>
        <v>16251.153850000001</v>
      </c>
      <c r="P65" s="46">
        <f t="shared" ca="1" si="1"/>
        <v>2.6194638700753755E-4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input_525010!A$2</f>
        <v>525010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IFERROR(VLOOKUP(B66,input_525010!L:R,7,FALSE),VLOOKUP(tables_525010!C66,input_525010!A:H,8,FALSE))</f>
        <v>279180</v>
      </c>
      <c r="P66" s="46">
        <f t="shared" ref="P66:P129" ca="1" si="4">O66/SUM(O:O)</f>
        <v>4.4999999999854982E-3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input_525010!A$2</f>
        <v>525010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IFERROR(VLOOKUP(B67,input_525010!L:R,7,FALSE),VLOOKUP(tables_525010!C67,input_525010!A:H,8,FALSE))</f>
        <v>294690</v>
      </c>
      <c r="P67" s="46">
        <f t="shared" ca="1" si="4"/>
        <v>4.7499999999846927E-3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input_525010!A$2</f>
        <v>525010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IFERROR(VLOOKUP(B68,input_525010!L:R,7,FALSE),VLOOKUP(tables_525010!C68,input_525010!A:H,8,FALSE))</f>
        <v>16251.153850000001</v>
      </c>
      <c r="P68" s="46">
        <f t="shared" ca="1" si="4"/>
        <v>2.6194638700753755E-4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input_525010!A$2</f>
        <v>525010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IFERROR(VLOOKUP(B69,input_525010!L:R,7,FALSE),VLOOKUP(tables_525010!C69,input_525010!A:H,8,FALSE))</f>
        <v>279180</v>
      </c>
      <c r="P69" s="46">
        <f t="shared" ca="1" si="4"/>
        <v>4.4999999999854982E-3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input_525010!A$2</f>
        <v>525010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IFERROR(VLOOKUP(B70,input_525010!L:R,7,FALSE),VLOOKUP(tables_525010!C70,input_525010!A:H,8,FALSE))</f>
        <v>294690</v>
      </c>
      <c r="P70" s="46">
        <f t="shared" ca="1" si="4"/>
        <v>4.7499999999846927E-3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input_525010!A$2</f>
        <v>525010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IFERROR(VLOOKUP(B71,input_525010!L:R,7,FALSE),VLOOKUP(tables_525010!C71,input_525010!A:H,8,FALSE))</f>
        <v>16251.153850000001</v>
      </c>
      <c r="P71" s="46">
        <f t="shared" ca="1" si="4"/>
        <v>2.6194638700753755E-4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input_525010!A$2</f>
        <v>525010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IFERROR(VLOOKUP(B72,input_525010!L:R,7,FALSE),VLOOKUP(tables_525010!C72,input_525010!A:H,8,FALSE))</f>
        <v>279180</v>
      </c>
      <c r="P72" s="46">
        <f t="shared" ca="1" si="4"/>
        <v>4.4999999999854982E-3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input_525010!A$2</f>
        <v>525010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IFERROR(VLOOKUP(B73,input_525010!L:R,7,FALSE),VLOOKUP(tables_525010!C73,input_525010!A:H,8,FALSE))</f>
        <v>294690</v>
      </c>
      <c r="P73" s="46">
        <f t="shared" ca="1" si="4"/>
        <v>4.7499999999846927E-3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input_525010!A$2</f>
        <v>525010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IFERROR(VLOOKUP(B74,input_525010!L:R,7,FALSE),VLOOKUP(tables_525010!C74,input_525010!A:H,8,FALSE))</f>
        <v>16251.153850000001</v>
      </c>
      <c r="P74" s="46">
        <f t="shared" ca="1" si="4"/>
        <v>2.6194638700753755E-4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input_525010!A$2</f>
        <v>525010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IFERROR(VLOOKUP(B75,input_525010!L:R,7,FALSE),VLOOKUP(tables_525010!C75,input_525010!A:H,8,FALSE))</f>
        <v>279180</v>
      </c>
      <c r="P75" s="46">
        <f t="shared" ca="1" si="4"/>
        <v>4.4999999999854982E-3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input_525010!A$2</f>
        <v>525010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IFERROR(VLOOKUP(B76,input_525010!L:R,7,FALSE),VLOOKUP(tables_525010!C76,input_525010!A:H,8,FALSE))</f>
        <v>294690</v>
      </c>
      <c r="P76" s="46">
        <f t="shared" ca="1" si="4"/>
        <v>4.7499999999846927E-3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input_525010!A$2</f>
        <v>525010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IFERROR(VLOOKUP(B77,input_525010!L:R,7,FALSE),VLOOKUP(tables_525010!C77,input_525010!A:H,8,FALSE))</f>
        <v>16251.153850000001</v>
      </c>
      <c r="P77" s="46">
        <f t="shared" ca="1" si="4"/>
        <v>2.6194638700753755E-4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input_525010!A$2</f>
        <v>525010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IFERROR(VLOOKUP(B78,input_525010!L:R,7,FALSE),VLOOKUP(tables_525010!C78,input_525010!A:H,8,FALSE))</f>
        <v>279180</v>
      </c>
      <c r="P78" s="46">
        <f t="shared" ca="1" si="4"/>
        <v>4.4999999999854982E-3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input_525010!A$2</f>
        <v>525010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IFERROR(VLOOKUP(B79,input_525010!L:R,7,FALSE),VLOOKUP(tables_525010!C79,input_525010!A:H,8,FALSE))</f>
        <v>294690</v>
      </c>
      <c r="P79" s="46">
        <f t="shared" ca="1" si="4"/>
        <v>4.7499999999846927E-3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input_525010!A$2</f>
        <v>525010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IFERROR(VLOOKUP(B80,input_525010!L:R,7,FALSE),VLOOKUP(tables_525010!C80,input_525010!A:H,8,FALSE))</f>
        <v>16251.153850000001</v>
      </c>
      <c r="P80" s="46">
        <f t="shared" ca="1" si="4"/>
        <v>2.6194638700753755E-4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input_525010!A$2</f>
        <v>525010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IFERROR(VLOOKUP(B81,input_525010!L:R,7,FALSE),VLOOKUP(tables_525010!C81,input_525010!A:H,8,FALSE))</f>
        <v>279180</v>
      </c>
      <c r="P81" s="46">
        <f t="shared" ca="1" si="4"/>
        <v>4.4999999999854982E-3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input_525010!A$2</f>
        <v>525010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IFERROR(VLOOKUP(B82,input_525010!L:R,7,FALSE),VLOOKUP(tables_525010!C82,input_525010!A:H,8,FALSE))</f>
        <v>294690</v>
      </c>
      <c r="P82" s="46">
        <f t="shared" ca="1" si="4"/>
        <v>4.7499999999846927E-3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input_525010!A$2</f>
        <v>525010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IFERROR(VLOOKUP(B83,input_525010!L:R,7,FALSE),VLOOKUP(tables_525010!C83,input_525010!A:H,8,FALSE))</f>
        <v>16251.153850000001</v>
      </c>
      <c r="P83" s="46">
        <f t="shared" ca="1" si="4"/>
        <v>2.6194638700753755E-4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input_525010!A$2</f>
        <v>525010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IFERROR(VLOOKUP(B84,input_525010!L:R,7,FALSE),VLOOKUP(tables_525010!C84,input_525010!A:H,8,FALSE))</f>
        <v>279180</v>
      </c>
      <c r="P84" s="46">
        <f t="shared" ca="1" si="4"/>
        <v>4.4999999999854982E-3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input_525010!A$2</f>
        <v>525010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IFERROR(VLOOKUP(B85,input_525010!L:R,7,FALSE),VLOOKUP(tables_525010!C85,input_525010!A:H,8,FALSE))</f>
        <v>294690</v>
      </c>
      <c r="P85" s="46">
        <f t="shared" ca="1" si="4"/>
        <v>4.7499999999846927E-3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input_525010!A$2</f>
        <v>525010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IFERROR(VLOOKUP(B86,input_525010!L:R,7,FALSE),VLOOKUP(tables_525010!C86,input_525010!A:H,8,FALSE))</f>
        <v>16251.153850000001</v>
      </c>
      <c r="P86" s="46">
        <f t="shared" ca="1" si="4"/>
        <v>2.6194638700753755E-4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input_525010!A$2</f>
        <v>525010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IFERROR(VLOOKUP(B87,input_525010!L:R,7,FALSE),VLOOKUP(tables_525010!C87,input_525010!A:H,8,FALSE))</f>
        <v>279180</v>
      </c>
      <c r="P87" s="46">
        <f t="shared" ca="1" si="4"/>
        <v>4.4999999999854982E-3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input_525010!A$2</f>
        <v>525010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IFERROR(VLOOKUP(B88,input_525010!L:R,7,FALSE),VLOOKUP(tables_525010!C88,input_525010!A:H,8,FALSE))</f>
        <v>294690</v>
      </c>
      <c r="P88" s="46">
        <f t="shared" ca="1" si="4"/>
        <v>4.7499999999846927E-3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input_525010!A$2</f>
        <v>525010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IFERROR(VLOOKUP(B89,input_525010!L:R,7,FALSE),VLOOKUP(tables_525010!C89,input_525010!A:H,8,FALSE))</f>
        <v>16251.153850000001</v>
      </c>
      <c r="P89" s="46">
        <f t="shared" ca="1" si="4"/>
        <v>2.6194638700753755E-4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input_525010!A$2</f>
        <v>525010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IFERROR(VLOOKUP(B90,input_525010!L:R,7,FALSE),VLOOKUP(tables_525010!C90,input_525010!A:H,8,FALSE))</f>
        <v>279180</v>
      </c>
      <c r="P90" s="46">
        <f t="shared" ca="1" si="4"/>
        <v>4.4999999999854982E-3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input_525010!A$2</f>
        <v>525010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IFERROR(VLOOKUP(B91,input_525010!L:R,7,FALSE),VLOOKUP(tables_525010!C91,input_525010!A:H,8,FALSE))</f>
        <v>294690</v>
      </c>
      <c r="P91" s="46">
        <f t="shared" ca="1" si="4"/>
        <v>4.7499999999846927E-3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input_525010!A$2</f>
        <v>525010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IFERROR(VLOOKUP(B92,input_525010!L:R,7,FALSE),VLOOKUP(tables_525010!C92,input_525010!A:H,8,FALSE))</f>
        <v>16251.153850000001</v>
      </c>
      <c r="P92" s="46">
        <f t="shared" ca="1" si="4"/>
        <v>2.6194638700753755E-4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input_525010!A$2</f>
        <v>525010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IFERROR(VLOOKUP(B93,input_525010!L:R,7,FALSE),VLOOKUP(tables_525010!C93,input_525010!A:H,8,FALSE))</f>
        <v>279180</v>
      </c>
      <c r="P93" s="46">
        <f t="shared" ca="1" si="4"/>
        <v>4.4999999999854982E-3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input_525010!A$2</f>
        <v>525010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IFERROR(VLOOKUP(B94,input_525010!L:R,7,FALSE),VLOOKUP(tables_525010!C94,input_525010!A:H,8,FALSE))</f>
        <v>294690</v>
      </c>
      <c r="P94" s="46">
        <f t="shared" ca="1" si="4"/>
        <v>4.7499999999846927E-3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input_525010!A$2</f>
        <v>525010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IFERROR(VLOOKUP(B95,input_525010!L:R,7,FALSE),VLOOKUP(tables_525010!C95,input_525010!A:H,8,FALSE))</f>
        <v>16251.153850000001</v>
      </c>
      <c r="P95" s="46">
        <f t="shared" ca="1" si="4"/>
        <v>2.6194638700753755E-4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input_525010!A$2</f>
        <v>525010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IFERROR(VLOOKUP(B96,input_525010!L:R,7,FALSE),VLOOKUP(tables_525010!C96,input_525010!A:H,8,FALSE))</f>
        <v>279180</v>
      </c>
      <c r="P96" s="46">
        <f t="shared" ca="1" si="4"/>
        <v>4.4999999999854982E-3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input_525010!A$2</f>
        <v>525010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IFERROR(VLOOKUP(B97,input_525010!L:R,7,FALSE),VLOOKUP(tables_525010!C97,input_525010!A:H,8,FALSE))</f>
        <v>294690</v>
      </c>
      <c r="P97" s="46">
        <f t="shared" ca="1" si="4"/>
        <v>4.7499999999846927E-3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input_525010!A$2</f>
        <v>525010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IFERROR(VLOOKUP(B98,input_525010!L:R,7,FALSE),VLOOKUP(tables_525010!C98,input_525010!A:H,8,FALSE))</f>
        <v>16251.153850000001</v>
      </c>
      <c r="P98" s="46">
        <f t="shared" ca="1" si="4"/>
        <v>2.6194638700753755E-4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input_525010!A$2</f>
        <v>525010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IFERROR(VLOOKUP(B99,input_525010!L:R,7,FALSE),VLOOKUP(tables_525010!C99,input_525010!A:H,8,FALSE))</f>
        <v>279180</v>
      </c>
      <c r="P99" s="46">
        <f t="shared" ca="1" si="4"/>
        <v>4.4999999999854982E-3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input_525010!A$2</f>
        <v>525010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IFERROR(VLOOKUP(B100,input_525010!L:R,7,FALSE),VLOOKUP(tables_525010!C100,input_525010!A:H,8,FALSE))</f>
        <v>294690</v>
      </c>
      <c r="P100" s="46">
        <f t="shared" ca="1" si="4"/>
        <v>4.7499999999846927E-3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input_525010!A$2</f>
        <v>525010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IFERROR(VLOOKUP(B101,input_525010!L:R,7,FALSE),VLOOKUP(tables_525010!C101,input_525010!A:H,8,FALSE))</f>
        <v>16251.153850000001</v>
      </c>
      <c r="P101" s="46">
        <f t="shared" ca="1" si="4"/>
        <v>2.6194638700753755E-4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input_525010!A$2</f>
        <v>525010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IFERROR(VLOOKUP(B102,input_525010!L:R,7,FALSE),VLOOKUP(tables_525010!C102,input_525010!A:H,8,FALSE))</f>
        <v>279180</v>
      </c>
      <c r="P102" s="46">
        <f t="shared" ca="1" si="4"/>
        <v>4.4999999999854982E-3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input_525010!A$2</f>
        <v>525010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IFERROR(VLOOKUP(B103,input_525010!L:R,7,FALSE),VLOOKUP(tables_525010!C103,input_525010!A:H,8,FALSE))</f>
        <v>294690</v>
      </c>
      <c r="P103" s="46">
        <f t="shared" ca="1" si="4"/>
        <v>4.7499999999846927E-3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input_525010!A$2</f>
        <v>525010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IFERROR(VLOOKUP(B104,input_525010!L:R,7,FALSE),VLOOKUP(tables_525010!C104,input_525010!A:H,8,FALSE))</f>
        <v>16251.153850000001</v>
      </c>
      <c r="P104" s="46">
        <f t="shared" ca="1" si="4"/>
        <v>2.6194638700753755E-4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input_525010!A$2</f>
        <v>525010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IFERROR(VLOOKUP(B105,input_525010!L:R,7,FALSE),VLOOKUP(tables_525010!C105,input_525010!A:H,8,FALSE))</f>
        <v>279180</v>
      </c>
      <c r="P105" s="46">
        <f t="shared" ca="1" si="4"/>
        <v>4.4999999999854982E-3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input_525010!A$2</f>
        <v>525010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IFERROR(VLOOKUP(B106,input_525010!L:R,7,FALSE),VLOOKUP(tables_525010!C106,input_525010!A:H,8,FALSE))</f>
        <v>294690</v>
      </c>
      <c r="P106" s="46">
        <f t="shared" ca="1" si="4"/>
        <v>4.7499999999846927E-3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input_525010!A$2</f>
        <v>525010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IFERROR(VLOOKUP(B107,input_525010!L:R,7,FALSE),VLOOKUP(tables_525010!C107,input_525010!A:H,8,FALSE))</f>
        <v>16251.153850000001</v>
      </c>
      <c r="P107" s="46">
        <f t="shared" ca="1" si="4"/>
        <v>2.6194638700753755E-4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input_525010!A$2</f>
        <v>525010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IFERROR(VLOOKUP(B108,input_525010!L:R,7,FALSE),VLOOKUP(tables_525010!C108,input_525010!A:H,8,FALSE))</f>
        <v>279180</v>
      </c>
      <c r="P108" s="46">
        <f t="shared" ca="1" si="4"/>
        <v>4.4999999999854982E-3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input_525010!A$2</f>
        <v>525010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IFERROR(VLOOKUP(B109,input_525010!L:R,7,FALSE),VLOOKUP(tables_525010!C109,input_525010!A:H,8,FALSE))</f>
        <v>294690</v>
      </c>
      <c r="P109" s="46">
        <f t="shared" ca="1" si="4"/>
        <v>4.7499999999846927E-3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input_525010!A$2</f>
        <v>525010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IFERROR(VLOOKUP(B110,input_525010!L:R,7,FALSE),VLOOKUP(tables_525010!C110,input_525010!A:H,8,FALSE))</f>
        <v>16251.153850000001</v>
      </c>
      <c r="P110" s="46">
        <f t="shared" ca="1" si="4"/>
        <v>2.6194638700753755E-4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input_525010!A$2</f>
        <v>525010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IFERROR(VLOOKUP(B111,input_525010!L:R,7,FALSE),VLOOKUP(tables_525010!C111,input_525010!A:H,8,FALSE))</f>
        <v>279180</v>
      </c>
      <c r="P111" s="46">
        <f t="shared" ca="1" si="4"/>
        <v>4.4999999999854982E-3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input_525010!A$2</f>
        <v>525010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IFERROR(VLOOKUP(B112,input_525010!L:R,7,FALSE),VLOOKUP(tables_525010!C112,input_525010!A:H,8,FALSE))</f>
        <v>294690</v>
      </c>
      <c r="P112" s="46">
        <f t="shared" ca="1" si="4"/>
        <v>4.7499999999846927E-3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input_525010!A$2</f>
        <v>525010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IFERROR(VLOOKUP(B113,input_525010!L:R,7,FALSE),VLOOKUP(tables_525010!C113,input_525010!A:H,8,FALSE))</f>
        <v>46530</v>
      </c>
      <c r="P113" s="46">
        <f t="shared" ca="1" si="4"/>
        <v>7.4999999999758311E-4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input_525010!A$2</f>
        <v>525010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IFERROR(VLOOKUP(B114,input_525010!L:R,7,FALSE),VLOOKUP(tables_525010!C114,input_525010!A:H,8,FALSE))</f>
        <v>279180</v>
      </c>
      <c r="P114" s="46">
        <f t="shared" ca="1" si="4"/>
        <v>4.4999999999854982E-3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input_525010!A$2</f>
        <v>525010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IFERROR(VLOOKUP(B115,input_525010!L:R,7,FALSE),VLOOKUP(tables_525010!C115,input_525010!A:H,8,FALSE))</f>
        <v>294690</v>
      </c>
      <c r="P115" s="46">
        <f t="shared" ca="1" si="4"/>
        <v>4.7499999999846927E-3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input_525010!A$2</f>
        <v>525010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IFERROR(VLOOKUP(B116,input_525010!L:R,7,FALSE),VLOOKUP(tables_525010!C116,input_525010!A:H,8,FALSE))</f>
        <v>16251.153850000001</v>
      </c>
      <c r="P116" s="46">
        <f t="shared" ca="1" si="4"/>
        <v>2.6194638700753755E-4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input_525010!A$2</f>
        <v>525010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IFERROR(VLOOKUP(B117,input_525010!L:R,7,FALSE),VLOOKUP(tables_525010!C117,input_525010!A:H,8,FALSE))</f>
        <v>279180</v>
      </c>
      <c r="P117" s="46">
        <f t="shared" ca="1" si="4"/>
        <v>4.4999999999854982E-3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input_525010!A$2</f>
        <v>525010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IFERROR(VLOOKUP(B118,input_525010!L:R,7,FALSE),VLOOKUP(tables_525010!C118,input_525010!A:H,8,FALSE))</f>
        <v>294690</v>
      </c>
      <c r="P118" s="46">
        <f t="shared" ca="1" si="4"/>
        <v>4.7499999999846927E-3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input_525010!A$2</f>
        <v>525010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IFERROR(VLOOKUP(B119,input_525010!L:R,7,FALSE),VLOOKUP(tables_525010!C119,input_525010!A:H,8,FALSE))</f>
        <v>16251.153850000001</v>
      </c>
      <c r="P119" s="46">
        <f t="shared" ca="1" si="4"/>
        <v>2.6194638700753755E-4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input_525010!A$2</f>
        <v>525010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IFERROR(VLOOKUP(B120,input_525010!L:R,7,FALSE),VLOOKUP(tables_525010!C120,input_525010!A:H,8,FALSE))</f>
        <v>279180</v>
      </c>
      <c r="P120" s="46">
        <f t="shared" ca="1" si="4"/>
        <v>4.4999999999854982E-3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input_525010!A$2</f>
        <v>525010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IFERROR(VLOOKUP(B121,input_525010!L:R,7,FALSE),VLOOKUP(tables_525010!C121,input_525010!A:H,8,FALSE))</f>
        <v>294690</v>
      </c>
      <c r="P121" s="46">
        <f t="shared" ca="1" si="4"/>
        <v>4.7499999999846927E-3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input_525010!A$2</f>
        <v>525010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IFERROR(VLOOKUP(B122,input_525010!L:R,7,FALSE),VLOOKUP(tables_525010!C122,input_525010!A:H,8,FALSE))</f>
        <v>16251.153850000001</v>
      </c>
      <c r="P122" s="46">
        <f t="shared" ca="1" si="4"/>
        <v>2.6194638700753755E-4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input_525010!A$2</f>
        <v>525010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IFERROR(VLOOKUP(B123,input_525010!L:R,7,FALSE),VLOOKUP(tables_525010!C123,input_525010!A:H,8,FALSE))</f>
        <v>279180</v>
      </c>
      <c r="P123" s="46">
        <f t="shared" ca="1" si="4"/>
        <v>4.4999999999854982E-3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input_525010!A$2</f>
        <v>525010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IFERROR(VLOOKUP(B124,input_525010!L:R,7,FALSE),VLOOKUP(tables_525010!C124,input_525010!A:H,8,FALSE))</f>
        <v>294690</v>
      </c>
      <c r="P124" s="46">
        <f t="shared" ca="1" si="4"/>
        <v>4.7499999999846927E-3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input_525010!A$2</f>
        <v>525010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IFERROR(VLOOKUP(B125,input_525010!L:R,7,FALSE),VLOOKUP(tables_525010!C125,input_525010!A:H,8,FALSE))</f>
        <v>16251.153850000001</v>
      </c>
      <c r="P125" s="46">
        <f t="shared" ca="1" si="4"/>
        <v>2.6194638700753755E-4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input_525010!A$2</f>
        <v>525010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IFERROR(VLOOKUP(B126,input_525010!L:R,7,FALSE),VLOOKUP(tables_525010!C126,input_525010!A:H,8,FALSE))</f>
        <v>279180</v>
      </c>
      <c r="P126" s="46">
        <f t="shared" ca="1" si="4"/>
        <v>4.4999999999854982E-3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input_525010!A$2</f>
        <v>525010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IFERROR(VLOOKUP(B127,input_525010!L:R,7,FALSE),VLOOKUP(tables_525010!C127,input_525010!A:H,8,FALSE))</f>
        <v>294690</v>
      </c>
      <c r="P127" s="46">
        <f t="shared" ca="1" si="4"/>
        <v>4.7499999999846927E-3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input_525010!A$2</f>
        <v>525010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IFERROR(VLOOKUP(B128,input_525010!L:R,7,FALSE),VLOOKUP(tables_525010!C128,input_525010!A:H,8,FALSE))</f>
        <v>16251.153850000001</v>
      </c>
      <c r="P128" s="46">
        <f t="shared" ca="1" si="4"/>
        <v>2.6194638700753755E-4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input_525010!A$2</f>
        <v>525010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IFERROR(VLOOKUP(B129,input_525010!L:R,7,FALSE),VLOOKUP(tables_525010!C129,input_525010!A:H,8,FALSE))</f>
        <v>279180</v>
      </c>
      <c r="P129" s="46">
        <f t="shared" ca="1" si="4"/>
        <v>4.4999999999854982E-3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input_525010!A$2</f>
        <v>525010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IFERROR(VLOOKUP(B130,input_525010!L:R,7,FALSE),VLOOKUP(tables_525010!C130,input_525010!A:H,8,FALSE))</f>
        <v>294690</v>
      </c>
      <c r="P130" s="46">
        <f t="shared" ref="P130:P193" ca="1" si="7">O130/SUM(O:O)</f>
        <v>4.7499999999846927E-3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input_525010!A$2</f>
        <v>525010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IFERROR(VLOOKUP(B131,input_525010!L:R,7,FALSE),VLOOKUP(tables_525010!C131,input_525010!A:H,8,FALSE))</f>
        <v>16251.153850000001</v>
      </c>
      <c r="P131" s="46">
        <f t="shared" ca="1" si="7"/>
        <v>2.6194638700753755E-4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input_525010!A$2</f>
        <v>525010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IFERROR(VLOOKUP(B132,input_525010!L:R,7,FALSE),VLOOKUP(tables_525010!C132,input_525010!A:H,8,FALSE))</f>
        <v>279180</v>
      </c>
      <c r="P132" s="46">
        <f t="shared" ca="1" si="7"/>
        <v>4.4999999999854982E-3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input_525010!A$2</f>
        <v>525010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IFERROR(VLOOKUP(B133,input_525010!L:R,7,FALSE),VLOOKUP(tables_525010!C133,input_525010!A:H,8,FALSE))</f>
        <v>294690</v>
      </c>
      <c r="P133" s="46">
        <f t="shared" ca="1" si="7"/>
        <v>4.7499999999846927E-3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input_525010!A$2</f>
        <v>525010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IFERROR(VLOOKUP(B134,input_525010!L:R,7,FALSE),VLOOKUP(tables_525010!C134,input_525010!A:H,8,FALSE))</f>
        <v>16251.153850000001</v>
      </c>
      <c r="P134" s="46">
        <f t="shared" ca="1" si="7"/>
        <v>2.6194638700753755E-4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input_525010!A$2</f>
        <v>525010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IFERROR(VLOOKUP(B135,input_525010!L:R,7,FALSE),VLOOKUP(tables_525010!C135,input_525010!A:H,8,FALSE))</f>
        <v>279180</v>
      </c>
      <c r="P135" s="46">
        <f t="shared" ca="1" si="7"/>
        <v>4.4999999999854982E-3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input_525010!A$2</f>
        <v>525010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IFERROR(VLOOKUP(B136,input_525010!L:R,7,FALSE),VLOOKUP(tables_525010!C136,input_525010!A:H,8,FALSE))</f>
        <v>294690</v>
      </c>
      <c r="P136" s="46">
        <f t="shared" ca="1" si="7"/>
        <v>4.7499999999846927E-3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input_525010!A$2</f>
        <v>525010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IFERROR(VLOOKUP(B137,input_525010!L:R,7,FALSE),VLOOKUP(tables_525010!C137,input_525010!A:H,8,FALSE))</f>
        <v>16251.153850000001</v>
      </c>
      <c r="P137" s="46">
        <f t="shared" ca="1" si="7"/>
        <v>2.6194638700753755E-4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input_525010!A$2</f>
        <v>525010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IFERROR(VLOOKUP(B138,input_525010!L:R,7,FALSE),VLOOKUP(tables_525010!C138,input_525010!A:H,8,FALSE))</f>
        <v>43475</v>
      </c>
      <c r="P138" s="46">
        <f t="shared" ca="1" si="7"/>
        <v>7.0075757575531754E-4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input_525010!A$2</f>
        <v>525010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IFERROR(VLOOKUP(B139,input_525010!L:R,7,FALSE),VLOOKUP(tables_525010!C139,input_525010!A:H,8,FALSE))</f>
        <v>3525</v>
      </c>
      <c r="P139" s="46">
        <f t="shared" ca="1" si="7"/>
        <v>5.6818181817998717E-5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input_525010!A$2</f>
        <v>525010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IFERROR(VLOOKUP(B140,input_525010!L:R,7,FALSE),VLOOKUP(tables_525010!C140,input_525010!A:H,8,FALSE))</f>
        <v>43475</v>
      </c>
      <c r="P140" s="46">
        <f t="shared" ca="1" si="7"/>
        <v>7.0075757575531754E-4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input_525010!A$2</f>
        <v>525010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IFERROR(VLOOKUP(B141,input_525010!L:R,7,FALSE),VLOOKUP(tables_525010!C141,input_525010!A:H,8,FALSE))</f>
        <v>3525</v>
      </c>
      <c r="P141" s="46">
        <f t="shared" ca="1" si="7"/>
        <v>5.6818181817998717E-5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input_525010!A$2</f>
        <v>525010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IFERROR(VLOOKUP(B142,input_525010!L:R,7,FALSE),VLOOKUP(tables_525010!C142,input_525010!A:H,8,FALSE))</f>
        <v>43475</v>
      </c>
      <c r="P142" s="46">
        <f t="shared" ca="1" si="7"/>
        <v>7.0075757575531754E-4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input_525010!A$2</f>
        <v>525010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IFERROR(VLOOKUP(B143,input_525010!L:R,7,FALSE),VLOOKUP(tables_525010!C143,input_525010!A:H,8,FALSE))</f>
        <v>3525</v>
      </c>
      <c r="P143" s="46">
        <f t="shared" ca="1" si="7"/>
        <v>5.6818181817998717E-5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input_525010!A$2</f>
        <v>525010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IFERROR(VLOOKUP(B144,input_525010!L:R,7,FALSE),VLOOKUP(tables_525010!C144,input_525010!A:H,8,FALSE))</f>
        <v>43475</v>
      </c>
      <c r="P144" s="46">
        <f t="shared" ca="1" si="7"/>
        <v>7.0075757575531754E-4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input_525010!A$2</f>
        <v>525010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IFERROR(VLOOKUP(B145,input_525010!L:R,7,FALSE),VLOOKUP(tables_525010!C145,input_525010!A:H,8,FALSE))</f>
        <v>3525</v>
      </c>
      <c r="P145" s="46">
        <f t="shared" ca="1" si="7"/>
        <v>5.6818181817998717E-5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input_525010!A$2</f>
        <v>525010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IFERROR(VLOOKUP(B146,input_525010!L:R,7,FALSE),VLOOKUP(tables_525010!C146,input_525010!A:H,8,FALSE))</f>
        <v>279180</v>
      </c>
      <c r="P146" s="46">
        <f t="shared" ca="1" si="7"/>
        <v>4.4999999999854982E-3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input_525010!A$2</f>
        <v>525010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IFERROR(VLOOKUP(B147,input_525010!L:R,7,FALSE),VLOOKUP(tables_525010!C147,input_525010!A:H,8,FALSE))</f>
        <v>294690</v>
      </c>
      <c r="P147" s="46">
        <f t="shared" ca="1" si="7"/>
        <v>4.7499999999846927E-3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input_525010!A$2</f>
        <v>525010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IFERROR(VLOOKUP(B148,input_525010!L:R,7,FALSE),VLOOKUP(tables_525010!C148,input_525010!A:H,8,FALSE))</f>
        <v>16251.153850000001</v>
      </c>
      <c r="P148" s="46">
        <f t="shared" ca="1" si="7"/>
        <v>2.6194638700753755E-4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input_525010!A$2</f>
        <v>525010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IFERROR(VLOOKUP(B149,input_525010!L:R,7,FALSE),VLOOKUP(tables_525010!C149,input_525010!A:H,8,FALSE))</f>
        <v>43475</v>
      </c>
      <c r="P149" s="46">
        <f t="shared" ca="1" si="7"/>
        <v>7.0075757575531754E-4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input_525010!A$2</f>
        <v>525010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IFERROR(VLOOKUP(B150,input_525010!L:R,7,FALSE),VLOOKUP(tables_525010!C150,input_525010!A:H,8,FALSE))</f>
        <v>3525</v>
      </c>
      <c r="P150" s="46">
        <f t="shared" ca="1" si="7"/>
        <v>5.6818181817998717E-5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input_525010!A$2</f>
        <v>525010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IFERROR(VLOOKUP(B151,input_525010!L:R,7,FALSE),VLOOKUP(tables_525010!C151,input_525010!A:H,8,FALSE))</f>
        <v>43475</v>
      </c>
      <c r="P151" s="46">
        <f t="shared" ca="1" si="7"/>
        <v>7.0075757575531754E-4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input_525010!A$2</f>
        <v>525010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IFERROR(VLOOKUP(B152,input_525010!L:R,7,FALSE),VLOOKUP(tables_525010!C152,input_525010!A:H,8,FALSE))</f>
        <v>3525</v>
      </c>
      <c r="P152" s="46">
        <f t="shared" ca="1" si="7"/>
        <v>5.6818181817998717E-5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input_525010!A$2</f>
        <v>525010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IFERROR(VLOOKUP(B153,input_525010!L:R,7,FALSE),VLOOKUP(tables_525010!C153,input_525010!A:H,8,FALSE))</f>
        <v>279180</v>
      </c>
      <c r="P153" s="46">
        <f t="shared" ca="1" si="7"/>
        <v>4.4999999999854982E-3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input_525010!A$2</f>
        <v>525010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IFERROR(VLOOKUP(B154,input_525010!L:R,7,FALSE),VLOOKUP(tables_525010!C154,input_525010!A:H,8,FALSE))</f>
        <v>294690</v>
      </c>
      <c r="P154" s="46">
        <f t="shared" ca="1" si="7"/>
        <v>4.7499999999846927E-3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input_525010!A$2</f>
        <v>525010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IFERROR(VLOOKUP(B155,input_525010!L:R,7,FALSE),VLOOKUP(tables_525010!C155,input_525010!A:H,8,FALSE))</f>
        <v>16251.153850000001</v>
      </c>
      <c r="P155" s="46">
        <f t="shared" ca="1" si="7"/>
        <v>2.6194638700753755E-4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input_525010!A$2</f>
        <v>525010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IFERROR(VLOOKUP(B156,input_525010!L:R,7,FALSE),VLOOKUP(tables_525010!C156,input_525010!A:H,8,FALSE))</f>
        <v>43475</v>
      </c>
      <c r="P156" s="46">
        <f t="shared" ca="1" si="7"/>
        <v>7.0075757575531754E-4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input_525010!A$2</f>
        <v>525010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IFERROR(VLOOKUP(B157,input_525010!L:R,7,FALSE),VLOOKUP(tables_525010!C157,input_525010!A:H,8,FALSE))</f>
        <v>3525</v>
      </c>
      <c r="P157" s="46">
        <f t="shared" ca="1" si="7"/>
        <v>5.6818181817998717E-5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input_525010!A$2</f>
        <v>525010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IFERROR(VLOOKUP(B158,input_525010!L:R,7,FALSE),VLOOKUP(tables_525010!C158,input_525010!A:H,8,FALSE))</f>
        <v>279180</v>
      </c>
      <c r="P158" s="46">
        <f t="shared" ca="1" si="7"/>
        <v>4.4999999999854982E-3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input_525010!A$2</f>
        <v>525010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IFERROR(VLOOKUP(B159,input_525010!L:R,7,FALSE),VLOOKUP(tables_525010!C159,input_525010!A:H,8,FALSE))</f>
        <v>294690</v>
      </c>
      <c r="P159" s="46">
        <f t="shared" ca="1" si="7"/>
        <v>4.7499999999846927E-3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input_525010!A$2</f>
        <v>525010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IFERROR(VLOOKUP(B160,input_525010!L:R,7,FALSE),VLOOKUP(tables_525010!C160,input_525010!A:H,8,FALSE))</f>
        <v>16251.153850000001</v>
      </c>
      <c r="P160" s="46">
        <f t="shared" ca="1" si="7"/>
        <v>2.6194638700753755E-4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input_525010!A$2</f>
        <v>525010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IFERROR(VLOOKUP(B161,input_525010!L:R,7,FALSE),VLOOKUP(tables_525010!C161,input_525010!A:H,8,FALSE))</f>
        <v>279180</v>
      </c>
      <c r="P161" s="46">
        <f t="shared" ca="1" si="7"/>
        <v>4.4999999999854982E-3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input_525010!A$2</f>
        <v>525010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IFERROR(VLOOKUP(B162,input_525010!L:R,7,FALSE),VLOOKUP(tables_525010!C162,input_525010!A:H,8,FALSE))</f>
        <v>294690</v>
      </c>
      <c r="P162" s="46">
        <f t="shared" ca="1" si="7"/>
        <v>4.7499999999846927E-3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input_525010!A$2</f>
        <v>525010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IFERROR(VLOOKUP(B163,input_525010!L:R,7,FALSE),VLOOKUP(tables_525010!C163,input_525010!A:H,8,FALSE))</f>
        <v>16251.153850000001</v>
      </c>
      <c r="P163" s="46">
        <f t="shared" ca="1" si="7"/>
        <v>2.6194638700753755E-4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input_525010!A$2</f>
        <v>525010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IFERROR(VLOOKUP(B164,input_525010!L:R,7,FALSE),VLOOKUP(tables_525010!C164,input_525010!A:H,8,FALSE))</f>
        <v>43475</v>
      </c>
      <c r="P164" s="46">
        <f t="shared" ca="1" si="7"/>
        <v>7.0075757575531754E-4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input_525010!A$2</f>
        <v>525010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IFERROR(VLOOKUP(B165,input_525010!L:R,7,FALSE),VLOOKUP(tables_525010!C165,input_525010!A:H,8,FALSE))</f>
        <v>3525</v>
      </c>
      <c r="P165" s="46">
        <f t="shared" ca="1" si="7"/>
        <v>5.6818181817998717E-5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input_525010!A$2</f>
        <v>525010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IFERROR(VLOOKUP(B166,input_525010!L:R,7,FALSE),VLOOKUP(tables_525010!C166,input_525010!A:H,8,FALSE))</f>
        <v>279180</v>
      </c>
      <c r="P166" s="46">
        <f t="shared" ca="1" si="7"/>
        <v>4.4999999999854982E-3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input_525010!A$2</f>
        <v>525010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IFERROR(VLOOKUP(B167,input_525010!L:R,7,FALSE),VLOOKUP(tables_525010!C167,input_525010!A:H,8,FALSE))</f>
        <v>294690</v>
      </c>
      <c r="P167" s="46">
        <f t="shared" ca="1" si="7"/>
        <v>4.7499999999846927E-3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input_525010!A$2</f>
        <v>525010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IFERROR(VLOOKUP(B168,input_525010!L:R,7,FALSE),VLOOKUP(tables_525010!C168,input_525010!A:H,8,FALSE))</f>
        <v>16251.153850000001</v>
      </c>
      <c r="P168" s="46">
        <f t="shared" ca="1" si="7"/>
        <v>2.6194638700753755E-4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input_525010!A$2</f>
        <v>525010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IFERROR(VLOOKUP(B169,input_525010!L:R,7,FALSE),VLOOKUP(tables_525010!C169,input_525010!A:H,8,FALSE))</f>
        <v>43475</v>
      </c>
      <c r="P169" s="46">
        <f t="shared" ca="1" si="7"/>
        <v>7.0075757575531754E-4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input_525010!A$2</f>
        <v>525010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IFERROR(VLOOKUP(B170,input_525010!L:R,7,FALSE),VLOOKUP(tables_525010!C170,input_525010!A:H,8,FALSE))</f>
        <v>3525</v>
      </c>
      <c r="P170" s="46">
        <f t="shared" ca="1" si="7"/>
        <v>5.6818181817998717E-5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input_525010!A$2</f>
        <v>525010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IFERROR(VLOOKUP(B171,input_525010!L:R,7,FALSE),VLOOKUP(tables_525010!C171,input_525010!A:H,8,FALSE))</f>
        <v>279180</v>
      </c>
      <c r="P171" s="46">
        <f t="shared" ca="1" si="7"/>
        <v>4.4999999999854982E-3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input_525010!A$2</f>
        <v>525010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IFERROR(VLOOKUP(B172,input_525010!L:R,7,FALSE),VLOOKUP(tables_525010!C172,input_525010!A:H,8,FALSE))</f>
        <v>294690</v>
      </c>
      <c r="P172" s="46">
        <f t="shared" ca="1" si="7"/>
        <v>4.7499999999846927E-3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input_525010!A$2</f>
        <v>525010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IFERROR(VLOOKUP(B173,input_525010!L:R,7,FALSE),VLOOKUP(tables_525010!C173,input_525010!A:H,8,FALSE))</f>
        <v>16251.153850000001</v>
      </c>
      <c r="P173" s="46">
        <f t="shared" ca="1" si="7"/>
        <v>2.6194638700753755E-4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input_525010!A$2</f>
        <v>525010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IFERROR(VLOOKUP(B174,input_525010!L:R,7,FALSE),VLOOKUP(tables_525010!C174,input_525010!A:H,8,FALSE))</f>
        <v>43475</v>
      </c>
      <c r="P174" s="46">
        <f t="shared" ca="1" si="7"/>
        <v>7.0075757575531754E-4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input_525010!A$2</f>
        <v>525010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IFERROR(VLOOKUP(B175,input_525010!L:R,7,FALSE),VLOOKUP(tables_525010!C175,input_525010!A:H,8,FALSE))</f>
        <v>3525</v>
      </c>
      <c r="P175" s="46">
        <f t="shared" ca="1" si="7"/>
        <v>5.6818181817998717E-5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input_525010!A$2</f>
        <v>525010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IFERROR(VLOOKUP(B176,input_525010!L:R,7,FALSE),VLOOKUP(tables_525010!C176,input_525010!A:H,8,FALSE))</f>
        <v>43475</v>
      </c>
      <c r="P176" s="46">
        <f t="shared" ca="1" si="7"/>
        <v>7.0075757575531754E-4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input_525010!A$2</f>
        <v>525010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IFERROR(VLOOKUP(B177,input_525010!L:R,7,FALSE),VLOOKUP(tables_525010!C177,input_525010!A:H,8,FALSE))</f>
        <v>3525</v>
      </c>
      <c r="P177" s="46">
        <f t="shared" ca="1" si="7"/>
        <v>5.6818181817998717E-5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input_525010!A$2</f>
        <v>525010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IFERROR(VLOOKUP(B178,input_525010!L:R,7,FALSE),VLOOKUP(tables_525010!C178,input_525010!A:H,8,FALSE))</f>
        <v>279180</v>
      </c>
      <c r="P178" s="46">
        <f t="shared" ca="1" si="7"/>
        <v>4.4999999999854982E-3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input_525010!A$2</f>
        <v>525010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IFERROR(VLOOKUP(B179,input_525010!L:R,7,FALSE),VLOOKUP(tables_525010!C179,input_525010!A:H,8,FALSE))</f>
        <v>294690</v>
      </c>
      <c r="P179" s="46">
        <f t="shared" ca="1" si="7"/>
        <v>4.7499999999846927E-3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input_525010!A$2</f>
        <v>525010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IFERROR(VLOOKUP(B180,input_525010!L:R,7,FALSE),VLOOKUP(tables_525010!C180,input_525010!A:H,8,FALSE))</f>
        <v>16251.153850000001</v>
      </c>
      <c r="P180" s="46">
        <f t="shared" ca="1" si="7"/>
        <v>2.6194638700753755E-4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input_525010!A$2</f>
        <v>525010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IFERROR(VLOOKUP(B181,input_525010!L:R,7,FALSE),VLOOKUP(tables_525010!C181,input_525010!A:H,8,FALSE))</f>
        <v>279180</v>
      </c>
      <c r="P181" s="46">
        <f t="shared" ca="1" si="7"/>
        <v>4.4999999999854982E-3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input_525010!A$2</f>
        <v>525010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IFERROR(VLOOKUP(B182,input_525010!L:R,7,FALSE),VLOOKUP(tables_525010!C182,input_525010!A:H,8,FALSE))</f>
        <v>294690</v>
      </c>
      <c r="P182" s="46">
        <f t="shared" ca="1" si="7"/>
        <v>4.7499999999846927E-3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input_525010!A$2</f>
        <v>525010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IFERROR(VLOOKUP(B183,input_525010!L:R,7,FALSE),VLOOKUP(tables_525010!C183,input_525010!A:H,8,FALSE))</f>
        <v>16251.153850000001</v>
      </c>
      <c r="P183" s="46">
        <f t="shared" ca="1" si="7"/>
        <v>2.6194638700753755E-4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input_525010!A$2</f>
        <v>525010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IFERROR(VLOOKUP(B184,input_525010!L:R,7,FALSE),VLOOKUP(tables_525010!C184,input_525010!A:H,8,FALSE))</f>
        <v>43475</v>
      </c>
      <c r="P184" s="46">
        <f t="shared" ca="1" si="7"/>
        <v>7.0075757575531754E-4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input_525010!A$2</f>
        <v>525010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IFERROR(VLOOKUP(B185,input_525010!L:R,7,FALSE),VLOOKUP(tables_525010!C185,input_525010!A:H,8,FALSE))</f>
        <v>3525</v>
      </c>
      <c r="P185" s="46">
        <f t="shared" ca="1" si="7"/>
        <v>5.6818181817998717E-5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input_525010!A$2</f>
        <v>525010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IFERROR(VLOOKUP(B186,input_525010!L:R,7,FALSE),VLOOKUP(tables_525010!C186,input_525010!A:H,8,FALSE))</f>
        <v>279180</v>
      </c>
      <c r="P186" s="46">
        <f t="shared" ca="1" si="7"/>
        <v>4.4999999999854982E-3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input_525010!A$2</f>
        <v>525010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IFERROR(VLOOKUP(B187,input_525010!L:R,7,FALSE),VLOOKUP(tables_525010!C187,input_525010!A:H,8,FALSE))</f>
        <v>294690</v>
      </c>
      <c r="P187" s="46">
        <f t="shared" ca="1" si="7"/>
        <v>4.7499999999846927E-3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input_525010!A$2</f>
        <v>525010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IFERROR(VLOOKUP(B188,input_525010!L:R,7,FALSE),VLOOKUP(tables_525010!C188,input_525010!A:H,8,FALSE))</f>
        <v>16251.153850000001</v>
      </c>
      <c r="P188" s="46">
        <f t="shared" ca="1" si="7"/>
        <v>2.6194638700753755E-4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input_525010!A$2</f>
        <v>525010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IFERROR(VLOOKUP(B189,input_525010!L:R,7,FALSE),VLOOKUP(tables_525010!C189,input_525010!A:H,8,FALSE))</f>
        <v>43475</v>
      </c>
      <c r="P189" s="46">
        <f t="shared" ca="1" si="7"/>
        <v>7.0075757575531754E-4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input_525010!A$2</f>
        <v>525010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IFERROR(VLOOKUP(B190,input_525010!L:R,7,FALSE),VLOOKUP(tables_525010!C190,input_525010!A:H,8,FALSE))</f>
        <v>3525</v>
      </c>
      <c r="P190" s="46">
        <f t="shared" ca="1" si="7"/>
        <v>5.6818181817998717E-5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input_525010!A$2</f>
        <v>525010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IFERROR(VLOOKUP(B191,input_525010!L:R,7,FALSE),VLOOKUP(tables_525010!C191,input_525010!A:H,8,FALSE))</f>
        <v>43475</v>
      </c>
      <c r="P191" s="46">
        <f t="shared" ca="1" si="7"/>
        <v>7.0075757575531754E-4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input_525010!A$2</f>
        <v>525010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IFERROR(VLOOKUP(B192,input_525010!L:R,7,FALSE),VLOOKUP(tables_525010!C192,input_525010!A:H,8,FALSE))</f>
        <v>3525</v>
      </c>
      <c r="P192" s="46">
        <f t="shared" ca="1" si="7"/>
        <v>5.6818181817998717E-5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input_525010!A$2</f>
        <v>525010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IFERROR(VLOOKUP(B193,input_525010!L:R,7,FALSE),VLOOKUP(tables_525010!C193,input_525010!A:H,8,FALSE))</f>
        <v>279180</v>
      </c>
      <c r="P193" s="46">
        <f t="shared" ca="1" si="7"/>
        <v>4.4999999999854982E-3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input_525010!A$2</f>
        <v>525010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IFERROR(VLOOKUP(B194,input_525010!L:R,7,FALSE),VLOOKUP(tables_525010!C194,input_525010!A:H,8,FALSE))</f>
        <v>294690</v>
      </c>
      <c r="P194" s="46">
        <f t="shared" ref="P194:P257" ca="1" si="10">O194/SUM(O:O)</f>
        <v>4.7499999999846927E-3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input_525010!A$2</f>
        <v>525010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IFERROR(VLOOKUP(B195,input_525010!L:R,7,FALSE),VLOOKUP(tables_525010!C195,input_525010!A:H,8,FALSE))</f>
        <v>16251.153850000001</v>
      </c>
      <c r="P195" s="46">
        <f t="shared" ca="1" si="10"/>
        <v>2.6194638700753755E-4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input_525010!A$2</f>
        <v>525010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IFERROR(VLOOKUP(B196,input_525010!L:R,7,FALSE),VLOOKUP(tables_525010!C196,input_525010!A:H,8,FALSE))</f>
        <v>43475</v>
      </c>
      <c r="P196" s="46">
        <f t="shared" ca="1" si="10"/>
        <v>7.0075757575531754E-4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input_525010!A$2</f>
        <v>525010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IFERROR(VLOOKUP(B197,input_525010!L:R,7,FALSE),VLOOKUP(tables_525010!C197,input_525010!A:H,8,FALSE))</f>
        <v>3525</v>
      </c>
      <c r="P197" s="46">
        <f t="shared" ca="1" si="10"/>
        <v>5.6818181817998717E-5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input_525010!A$2</f>
        <v>525010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IFERROR(VLOOKUP(B198,input_525010!L:R,7,FALSE),VLOOKUP(tables_525010!C198,input_525010!A:H,8,FALSE))</f>
        <v>279180</v>
      </c>
      <c r="P198" s="46">
        <f t="shared" ca="1" si="10"/>
        <v>4.4999999999854982E-3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input_525010!A$2</f>
        <v>525010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IFERROR(VLOOKUP(B199,input_525010!L:R,7,FALSE),VLOOKUP(tables_525010!C199,input_525010!A:H,8,FALSE))</f>
        <v>294690</v>
      </c>
      <c r="P199" s="46">
        <f t="shared" ca="1" si="10"/>
        <v>4.7499999999846927E-3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input_525010!A$2</f>
        <v>525010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IFERROR(VLOOKUP(B200,input_525010!L:R,7,FALSE),VLOOKUP(tables_525010!C200,input_525010!A:H,8,FALSE))</f>
        <v>16251.153850000001</v>
      </c>
      <c r="P200" s="46">
        <f t="shared" ca="1" si="10"/>
        <v>2.6194638700753755E-4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input_525010!A$2</f>
        <v>525010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IFERROR(VLOOKUP(B201,input_525010!L:R,7,FALSE),VLOOKUP(tables_525010!C201,input_525010!A:H,8,FALSE))</f>
        <v>43475</v>
      </c>
      <c r="P201" s="46">
        <f t="shared" ca="1" si="10"/>
        <v>7.0075757575531754E-4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input_525010!A$2</f>
        <v>525010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IFERROR(VLOOKUP(B202,input_525010!L:R,7,FALSE),VLOOKUP(tables_525010!C202,input_525010!A:H,8,FALSE))</f>
        <v>3525</v>
      </c>
      <c r="P202" s="46">
        <f t="shared" ca="1" si="10"/>
        <v>5.6818181817998717E-5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input_525010!A$2</f>
        <v>525010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IFERROR(VLOOKUP(B203,input_525010!L:R,7,FALSE),VLOOKUP(tables_525010!C203,input_525010!A:H,8,FALSE))</f>
        <v>279180</v>
      </c>
      <c r="P203" s="46">
        <f t="shared" ca="1" si="10"/>
        <v>4.4999999999854982E-3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input_525010!A$2</f>
        <v>525010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IFERROR(VLOOKUP(B204,input_525010!L:R,7,FALSE),VLOOKUP(tables_525010!C204,input_525010!A:H,8,FALSE))</f>
        <v>294690</v>
      </c>
      <c r="P204" s="46">
        <f t="shared" ca="1" si="10"/>
        <v>4.7499999999846927E-3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input_525010!A$2</f>
        <v>525010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IFERROR(VLOOKUP(B205,input_525010!L:R,7,FALSE),VLOOKUP(tables_525010!C205,input_525010!A:H,8,FALSE))</f>
        <v>16251.153850000001</v>
      </c>
      <c r="P205" s="46">
        <f t="shared" ca="1" si="10"/>
        <v>2.6194638700753755E-4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input_525010!A$2</f>
        <v>525010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IFERROR(VLOOKUP(B206,input_525010!L:R,7,FALSE),VLOOKUP(tables_525010!C206,input_525010!A:H,8,FALSE))</f>
        <v>43475</v>
      </c>
      <c r="P206" s="46">
        <f t="shared" ca="1" si="10"/>
        <v>7.0075757575531754E-4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input_525010!A$2</f>
        <v>525010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IFERROR(VLOOKUP(B207,input_525010!L:R,7,FALSE),VLOOKUP(tables_525010!C207,input_525010!A:H,8,FALSE))</f>
        <v>3525</v>
      </c>
      <c r="P207" s="46">
        <f t="shared" ca="1" si="10"/>
        <v>5.6818181817998717E-5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input_525010!A$2</f>
        <v>525010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IFERROR(VLOOKUP(B208,input_525010!L:R,7,FALSE),VLOOKUP(tables_525010!C208,input_525010!A:H,8,FALSE))</f>
        <v>43475</v>
      </c>
      <c r="P208" s="46">
        <f t="shared" ca="1" si="10"/>
        <v>7.0075757575531754E-4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input_525010!A$2</f>
        <v>525010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IFERROR(VLOOKUP(B209,input_525010!L:R,7,FALSE),VLOOKUP(tables_525010!C209,input_525010!A:H,8,FALSE))</f>
        <v>3525</v>
      </c>
      <c r="P209" s="46">
        <f t="shared" ca="1" si="10"/>
        <v>5.6818181817998717E-5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input_525010!A$2</f>
        <v>525010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IFERROR(VLOOKUP(B210,input_525010!L:R,7,FALSE),VLOOKUP(tables_525010!C210,input_525010!A:H,8,FALSE))</f>
        <v>279180</v>
      </c>
      <c r="P210" s="46">
        <f t="shared" ca="1" si="10"/>
        <v>4.4999999999854982E-3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input_525010!A$2</f>
        <v>525010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IFERROR(VLOOKUP(B211,input_525010!L:R,7,FALSE),VLOOKUP(tables_525010!C211,input_525010!A:H,8,FALSE))</f>
        <v>294690</v>
      </c>
      <c r="P211" s="46">
        <f t="shared" ca="1" si="10"/>
        <v>4.7499999999846927E-3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input_525010!A$2</f>
        <v>525010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IFERROR(VLOOKUP(B212,input_525010!L:R,7,FALSE),VLOOKUP(tables_525010!C212,input_525010!A:H,8,FALSE))</f>
        <v>16251.153850000001</v>
      </c>
      <c r="P212" s="46">
        <f t="shared" ca="1" si="10"/>
        <v>2.6194638700753755E-4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input_525010!A$2</f>
        <v>525010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IFERROR(VLOOKUP(B213,input_525010!L:R,7,FALSE),VLOOKUP(tables_525010!C213,input_525010!A:H,8,FALSE))</f>
        <v>43475</v>
      </c>
      <c r="P213" s="46">
        <f t="shared" ca="1" si="10"/>
        <v>7.0075757575531754E-4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input_525010!A$2</f>
        <v>525010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IFERROR(VLOOKUP(B214,input_525010!L:R,7,FALSE),VLOOKUP(tables_525010!C214,input_525010!A:H,8,FALSE))</f>
        <v>3525</v>
      </c>
      <c r="P214" s="46">
        <f t="shared" ca="1" si="10"/>
        <v>5.6818181817998717E-5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input_525010!A$2</f>
        <v>525010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IFERROR(VLOOKUP(B215,input_525010!L:R,7,FALSE),VLOOKUP(tables_525010!C215,input_525010!A:H,8,FALSE))</f>
        <v>46530</v>
      </c>
      <c r="P215" s="46">
        <f t="shared" ca="1" si="10"/>
        <v>7.4999999999758311E-4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input_525010!A$2</f>
        <v>525010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IFERROR(VLOOKUP(B216,input_525010!L:R,7,FALSE),VLOOKUP(tables_525010!C216,input_525010!A:H,8,FALSE))</f>
        <v>46530</v>
      </c>
      <c r="P216" s="46">
        <f t="shared" ca="1" si="10"/>
        <v>7.4999999999758311E-4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input_525010!A$2</f>
        <v>525010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IFERROR(VLOOKUP(B217,input_525010!L:R,7,FALSE),VLOOKUP(tables_525010!C217,input_525010!A:H,8,FALSE))</f>
        <v>46530</v>
      </c>
      <c r="P217" s="46">
        <f t="shared" ca="1" si="10"/>
        <v>7.4999999999758311E-4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input_525010!A$2</f>
        <v>525010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IFERROR(VLOOKUP(B218,input_525010!L:R,7,FALSE),VLOOKUP(tables_525010!C218,input_525010!A:H,8,FALSE))</f>
        <v>46530</v>
      </c>
      <c r="P218" s="46">
        <f t="shared" ca="1" si="10"/>
        <v>7.4999999999758311E-4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input_525010!A$2</f>
        <v>525010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IFERROR(VLOOKUP(B219,input_525010!L:R,7,FALSE),VLOOKUP(tables_525010!C219,input_525010!A:H,8,FALSE))</f>
        <v>46530</v>
      </c>
      <c r="P219" s="46">
        <f t="shared" ca="1" si="10"/>
        <v>7.4999999999758311E-4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input_525010!A$2</f>
        <v>525010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IFERROR(VLOOKUP(B220,input_525010!L:R,7,FALSE),VLOOKUP(tables_525010!C220,input_525010!A:H,8,FALSE))</f>
        <v>46530</v>
      </c>
      <c r="P220" s="46">
        <f t="shared" ca="1" si="10"/>
        <v>7.4999999999758311E-4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input_525010!A$2</f>
        <v>525010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IFERROR(VLOOKUP(B221,input_525010!L:R,7,FALSE),VLOOKUP(tables_525010!C221,input_525010!A:H,8,FALSE))</f>
        <v>43475</v>
      </c>
      <c r="P221" s="46">
        <f t="shared" ca="1" si="10"/>
        <v>7.0075757575531754E-4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input_525010!A$2</f>
        <v>525010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IFERROR(VLOOKUP(B222,input_525010!L:R,7,FALSE),VLOOKUP(tables_525010!C222,input_525010!A:H,8,FALSE))</f>
        <v>3525</v>
      </c>
      <c r="P222" s="46">
        <f t="shared" ca="1" si="10"/>
        <v>5.6818181817998717E-5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input_525010!A$2</f>
        <v>525010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IFERROR(VLOOKUP(B223,input_525010!L:R,7,FALSE),VLOOKUP(tables_525010!C223,input_525010!A:H,8,FALSE))</f>
        <v>279180</v>
      </c>
      <c r="P223" s="46">
        <f t="shared" ca="1" si="10"/>
        <v>4.4999999999854982E-3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input_525010!A$2</f>
        <v>525010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IFERROR(VLOOKUP(B224,input_525010!L:R,7,FALSE),VLOOKUP(tables_525010!C224,input_525010!A:H,8,FALSE))</f>
        <v>294690</v>
      </c>
      <c r="P224" s="46">
        <f t="shared" ca="1" si="10"/>
        <v>4.7499999999846927E-3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input_525010!A$2</f>
        <v>525010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IFERROR(VLOOKUP(B225,input_525010!L:R,7,FALSE),VLOOKUP(tables_525010!C225,input_525010!A:H,8,FALSE))</f>
        <v>16251.153850000001</v>
      </c>
      <c r="P225" s="46">
        <f t="shared" ca="1" si="10"/>
        <v>2.6194638700753755E-4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input_525010!A$2</f>
        <v>525010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IFERROR(VLOOKUP(B226,input_525010!L:R,7,FALSE),VLOOKUP(tables_525010!C226,input_525010!A:H,8,FALSE))</f>
        <v>279180</v>
      </c>
      <c r="P226" s="46">
        <f t="shared" ca="1" si="10"/>
        <v>4.4999999999854982E-3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input_525010!A$2</f>
        <v>525010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IFERROR(VLOOKUP(B227,input_525010!L:R,7,FALSE),VLOOKUP(tables_525010!C227,input_525010!A:H,8,FALSE))</f>
        <v>294690</v>
      </c>
      <c r="P227" s="46">
        <f t="shared" ca="1" si="10"/>
        <v>4.7499999999846927E-3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input_525010!A$2</f>
        <v>525010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IFERROR(VLOOKUP(B228,input_525010!L:R,7,FALSE),VLOOKUP(tables_525010!C228,input_525010!A:H,8,FALSE))</f>
        <v>16251.153850000001</v>
      </c>
      <c r="P228" s="46">
        <f t="shared" ca="1" si="10"/>
        <v>2.6194638700753755E-4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input_525010!A$2</f>
        <v>525010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IFERROR(VLOOKUP(B229,input_525010!L:R,7,FALSE),VLOOKUP(tables_525010!C229,input_525010!A:H,8,FALSE))</f>
        <v>43475</v>
      </c>
      <c r="P229" s="46">
        <f t="shared" ca="1" si="10"/>
        <v>7.0075757575531754E-4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input_525010!A$2</f>
        <v>525010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IFERROR(VLOOKUP(B230,input_525010!L:R,7,FALSE),VLOOKUP(tables_525010!C230,input_525010!A:H,8,FALSE))</f>
        <v>3525</v>
      </c>
      <c r="P230" s="46">
        <f t="shared" ca="1" si="10"/>
        <v>5.6818181817998717E-5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input_525010!A$2</f>
        <v>525010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IFERROR(VLOOKUP(B231,input_525010!L:R,7,FALSE),VLOOKUP(tables_525010!C231,input_525010!A:H,8,FALSE))</f>
        <v>279180</v>
      </c>
      <c r="P231" s="46">
        <f t="shared" ca="1" si="10"/>
        <v>4.4999999999854982E-3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input_525010!A$2</f>
        <v>525010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IFERROR(VLOOKUP(B232,input_525010!L:R,7,FALSE),VLOOKUP(tables_525010!C232,input_525010!A:H,8,FALSE))</f>
        <v>294690</v>
      </c>
      <c r="P232" s="46">
        <f t="shared" ca="1" si="10"/>
        <v>4.7499999999846927E-3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input_525010!A$2</f>
        <v>525010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IFERROR(VLOOKUP(B233,input_525010!L:R,7,FALSE),VLOOKUP(tables_525010!C233,input_525010!A:H,8,FALSE))</f>
        <v>16251.153850000001</v>
      </c>
      <c r="P233" s="46">
        <f t="shared" ca="1" si="10"/>
        <v>2.6194638700753755E-4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input_525010!A$2</f>
        <v>525010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IFERROR(VLOOKUP(B234,input_525010!L:R,7,FALSE),VLOOKUP(tables_525010!C234,input_525010!A:H,8,FALSE))</f>
        <v>279180</v>
      </c>
      <c r="P234" s="46">
        <f t="shared" ca="1" si="10"/>
        <v>4.4999999999854982E-3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input_525010!A$2</f>
        <v>525010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IFERROR(VLOOKUP(B235,input_525010!L:R,7,FALSE),VLOOKUP(tables_525010!C235,input_525010!A:H,8,FALSE))</f>
        <v>294690</v>
      </c>
      <c r="P235" s="46">
        <f t="shared" ca="1" si="10"/>
        <v>4.7499999999846927E-3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input_525010!A$2</f>
        <v>525010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IFERROR(VLOOKUP(B236,input_525010!L:R,7,FALSE),VLOOKUP(tables_525010!C236,input_525010!A:H,8,FALSE))</f>
        <v>16251.153850000001</v>
      </c>
      <c r="P236" s="46">
        <f t="shared" ca="1" si="10"/>
        <v>2.6194638700753755E-4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input_525010!A$2</f>
        <v>525010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IFERROR(VLOOKUP(B237,input_525010!L:R,7,FALSE),VLOOKUP(tables_525010!C237,input_525010!A:H,8,FALSE))</f>
        <v>43475</v>
      </c>
      <c r="P237" s="46">
        <f t="shared" ca="1" si="10"/>
        <v>7.0075757575531754E-4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input_525010!A$2</f>
        <v>525010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IFERROR(VLOOKUP(B238,input_525010!L:R,7,FALSE),VLOOKUP(tables_525010!C238,input_525010!A:H,8,FALSE))</f>
        <v>3525</v>
      </c>
      <c r="P238" s="46">
        <f t="shared" ca="1" si="10"/>
        <v>5.6818181817998717E-5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input_525010!A$2</f>
        <v>525010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IFERROR(VLOOKUP(B239,input_525010!L:R,7,FALSE),VLOOKUP(tables_525010!C239,input_525010!A:H,8,FALSE))</f>
        <v>279180</v>
      </c>
      <c r="P239" s="46">
        <f t="shared" ca="1" si="10"/>
        <v>4.4999999999854982E-3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input_525010!A$2</f>
        <v>525010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IFERROR(VLOOKUP(B240,input_525010!L:R,7,FALSE),VLOOKUP(tables_525010!C240,input_525010!A:H,8,FALSE))</f>
        <v>294690</v>
      </c>
      <c r="P240" s="46">
        <f t="shared" ca="1" si="10"/>
        <v>4.7499999999846927E-3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input_525010!A$2</f>
        <v>525010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IFERROR(VLOOKUP(B241,input_525010!L:R,7,FALSE),VLOOKUP(tables_525010!C241,input_525010!A:H,8,FALSE))</f>
        <v>16251.153850000001</v>
      </c>
      <c r="P241" s="46">
        <f t="shared" ca="1" si="10"/>
        <v>2.6194638700753755E-4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input_525010!A$2</f>
        <v>525010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IFERROR(VLOOKUP(B242,input_525010!L:R,7,FALSE),VLOOKUP(tables_525010!C242,input_525010!A:H,8,FALSE))</f>
        <v>43475</v>
      </c>
      <c r="P242" s="46">
        <f t="shared" ca="1" si="10"/>
        <v>7.0075757575531754E-4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input_525010!A$2</f>
        <v>525010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IFERROR(VLOOKUP(B243,input_525010!L:R,7,FALSE),VLOOKUP(tables_525010!C243,input_525010!A:H,8,FALSE))</f>
        <v>3525</v>
      </c>
      <c r="P243" s="46">
        <f t="shared" ca="1" si="10"/>
        <v>5.6818181817998717E-5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input_525010!A$2</f>
        <v>525010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IFERROR(VLOOKUP(B244,input_525010!L:R,7,FALSE),VLOOKUP(tables_525010!C244,input_525010!A:H,8,FALSE))</f>
        <v>43475</v>
      </c>
      <c r="P244" s="46">
        <f t="shared" ca="1" si="10"/>
        <v>7.0075757575531754E-4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input_525010!A$2</f>
        <v>525010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IFERROR(VLOOKUP(B245,input_525010!L:R,7,FALSE),VLOOKUP(tables_525010!C245,input_525010!A:H,8,FALSE))</f>
        <v>3525</v>
      </c>
      <c r="P245" s="46">
        <f t="shared" ca="1" si="10"/>
        <v>5.6818181817998717E-5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input_525010!A$2</f>
        <v>525010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IFERROR(VLOOKUP(B246,input_525010!L:R,7,FALSE),VLOOKUP(tables_525010!C246,input_525010!A:H,8,FALSE))</f>
        <v>279180</v>
      </c>
      <c r="P246" s="46">
        <f t="shared" ca="1" si="10"/>
        <v>4.4999999999854982E-3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input_525010!A$2</f>
        <v>525010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IFERROR(VLOOKUP(B247,input_525010!L:R,7,FALSE),VLOOKUP(tables_525010!C247,input_525010!A:H,8,FALSE))</f>
        <v>294690</v>
      </c>
      <c r="P247" s="46">
        <f t="shared" ca="1" si="10"/>
        <v>4.7499999999846927E-3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input_525010!A$2</f>
        <v>525010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IFERROR(VLOOKUP(B248,input_525010!L:R,7,FALSE),VLOOKUP(tables_525010!C248,input_525010!A:H,8,FALSE))</f>
        <v>16251.153850000001</v>
      </c>
      <c r="P248" s="46">
        <f t="shared" ca="1" si="10"/>
        <v>2.6194638700753755E-4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input_525010!A$2</f>
        <v>525010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IFERROR(VLOOKUP(B249,input_525010!L:R,7,FALSE),VLOOKUP(tables_525010!C249,input_525010!A:H,8,FALSE))</f>
        <v>279180</v>
      </c>
      <c r="P249" s="46">
        <f t="shared" ca="1" si="10"/>
        <v>4.4999999999854982E-3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input_525010!A$2</f>
        <v>525010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IFERROR(VLOOKUP(B250,input_525010!L:R,7,FALSE),VLOOKUP(tables_525010!C250,input_525010!A:H,8,FALSE))</f>
        <v>294690</v>
      </c>
      <c r="P250" s="46">
        <f t="shared" ca="1" si="10"/>
        <v>4.7499999999846927E-3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input_525010!A$2</f>
        <v>525010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IFERROR(VLOOKUP(B251,input_525010!L:R,7,FALSE),VLOOKUP(tables_525010!C251,input_525010!A:H,8,FALSE))</f>
        <v>16251.153850000001</v>
      </c>
      <c r="P251" s="46">
        <f t="shared" ca="1" si="10"/>
        <v>2.6194638700753755E-4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input_525010!A$2</f>
        <v>525010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IFERROR(VLOOKUP(B252,input_525010!L:R,7,FALSE),VLOOKUP(tables_525010!C252,input_525010!A:H,8,FALSE))</f>
        <v>279180</v>
      </c>
      <c r="P252" s="46">
        <f t="shared" ca="1" si="10"/>
        <v>4.4999999999854982E-3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input_525010!A$2</f>
        <v>525010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IFERROR(VLOOKUP(B253,input_525010!L:R,7,FALSE),VLOOKUP(tables_525010!C253,input_525010!A:H,8,FALSE))</f>
        <v>294690</v>
      </c>
      <c r="P253" s="46">
        <f t="shared" ca="1" si="10"/>
        <v>4.7499999999846927E-3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input_525010!A$2</f>
        <v>525010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IFERROR(VLOOKUP(B254,input_525010!L:R,7,FALSE),VLOOKUP(tables_525010!C254,input_525010!A:H,8,FALSE))</f>
        <v>16251.153850000001</v>
      </c>
      <c r="P254" s="46">
        <f t="shared" ca="1" si="10"/>
        <v>2.6194638700753755E-4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input_525010!A$2</f>
        <v>525010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IFERROR(VLOOKUP(B255,input_525010!L:R,7,FALSE),VLOOKUP(tables_525010!C255,input_525010!A:H,8,FALSE))</f>
        <v>279180</v>
      </c>
      <c r="P255" s="46">
        <f t="shared" ca="1" si="10"/>
        <v>4.4999999999854982E-3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input_525010!A$2</f>
        <v>525010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IFERROR(VLOOKUP(B256,input_525010!L:R,7,FALSE),VLOOKUP(tables_525010!C256,input_525010!A:H,8,FALSE))</f>
        <v>294690</v>
      </c>
      <c r="P256" s="46">
        <f t="shared" ca="1" si="10"/>
        <v>4.7499999999846927E-3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input_525010!A$2</f>
        <v>525010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IFERROR(VLOOKUP(B257,input_525010!L:R,7,FALSE),VLOOKUP(tables_525010!C257,input_525010!A:H,8,FALSE))</f>
        <v>16251.153850000001</v>
      </c>
      <c r="P257" s="46">
        <f t="shared" ca="1" si="10"/>
        <v>2.6194638700753755E-4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input_525010!A$2</f>
        <v>525010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IFERROR(VLOOKUP(B258,input_525010!L:R,7,FALSE),VLOOKUP(tables_525010!C258,input_525010!A:H,8,FALSE))</f>
        <v>43475</v>
      </c>
      <c r="P258" s="46">
        <f t="shared" ref="P258:P321" ca="1" si="13">O258/SUM(O:O)</f>
        <v>7.0075757575531754E-4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input_525010!A$2</f>
        <v>525010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IFERROR(VLOOKUP(B259,input_525010!L:R,7,FALSE),VLOOKUP(tables_525010!C259,input_525010!A:H,8,FALSE))</f>
        <v>3525</v>
      </c>
      <c r="P259" s="46">
        <f t="shared" ca="1" si="13"/>
        <v>5.6818181817998717E-5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input_525010!A$2</f>
        <v>525010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IFERROR(VLOOKUP(B260,input_525010!L:R,7,FALSE),VLOOKUP(tables_525010!C260,input_525010!A:H,8,FALSE))</f>
        <v>43475</v>
      </c>
      <c r="P260" s="46">
        <f t="shared" ca="1" si="13"/>
        <v>7.0075757575531754E-4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input_525010!A$2</f>
        <v>525010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IFERROR(VLOOKUP(B261,input_525010!L:R,7,FALSE),VLOOKUP(tables_525010!C261,input_525010!A:H,8,FALSE))</f>
        <v>3525</v>
      </c>
      <c r="P261" s="46">
        <f t="shared" ca="1" si="13"/>
        <v>5.6818181817998717E-5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input_525010!A$2</f>
        <v>525010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IFERROR(VLOOKUP(B262,input_525010!L:R,7,FALSE),VLOOKUP(tables_525010!C262,input_525010!A:H,8,FALSE))</f>
        <v>558360</v>
      </c>
      <c r="P262" s="46">
        <f t="shared" ca="1" si="13"/>
        <v>8.9999999999709965E-3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input_525010!A$2</f>
        <v>525010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IFERROR(VLOOKUP(B263,input_525010!L:R,7,FALSE),VLOOKUP(tables_525010!C263,input_525010!A:H,8,FALSE))</f>
        <v>46530</v>
      </c>
      <c r="P263" s="46">
        <f t="shared" ca="1" si="13"/>
        <v>7.4999999999758311E-4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input_525010!A$2</f>
        <v>525010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IFERROR(VLOOKUP(B264,input_525010!L:R,7,FALSE),VLOOKUP(tables_525010!C264,input_525010!A:H,8,FALSE))</f>
        <v>558360</v>
      </c>
      <c r="P264" s="46">
        <f t="shared" ca="1" si="13"/>
        <v>8.9999999999709965E-3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input_525010!A$2</f>
        <v>525010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IFERROR(VLOOKUP(B265,input_525010!L:R,7,FALSE),VLOOKUP(tables_525010!C265,input_525010!A:H,8,FALSE))</f>
        <v>46530</v>
      </c>
      <c r="P265" s="46">
        <f t="shared" ca="1" si="13"/>
        <v>7.4999999999758311E-4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input_525010!A$2</f>
        <v>525010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IFERROR(VLOOKUP(B266,input_525010!L:R,7,FALSE),VLOOKUP(tables_525010!C266,input_525010!A:H,8,FALSE))</f>
        <v>47000</v>
      </c>
      <c r="P266" s="46">
        <f t="shared" ca="1" si="13"/>
        <v>7.5757575757331628E-4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input_525010!A$2</f>
        <v>525010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IFERROR(VLOOKUP(B267,input_525010!L:R,7,FALSE),VLOOKUP(tables_525010!C267,input_525010!A:H,8,FALSE))</f>
        <v>47000</v>
      </c>
      <c r="P267" s="46">
        <f t="shared" ca="1" si="13"/>
        <v>7.5757575757331628E-4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input_525010!A$2</f>
        <v>525010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IFERROR(VLOOKUP(B268,input_525010!L:R,7,FALSE),VLOOKUP(tables_525010!C268,input_525010!A:H,8,FALSE))</f>
        <v>47000</v>
      </c>
      <c r="P268" s="46">
        <f t="shared" ca="1" si="13"/>
        <v>7.5757575757331628E-4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input_525010!A$2</f>
        <v>525010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IFERROR(VLOOKUP(B269,input_525010!L:R,7,FALSE),VLOOKUP(tables_525010!C269,input_525010!A:H,8,FALSE))</f>
        <v>47000</v>
      </c>
      <c r="P269" s="46">
        <f t="shared" ca="1" si="13"/>
        <v>7.5757575757331628E-4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input_525010!A$2</f>
        <v>525010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IFERROR(VLOOKUP(B270,input_525010!L:R,7,FALSE),VLOOKUP(tables_525010!C270,input_525010!A:H,8,FALSE))</f>
        <v>558360</v>
      </c>
      <c r="P270" s="46">
        <f t="shared" ca="1" si="13"/>
        <v>8.9999999999709965E-3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input_525010!A$2</f>
        <v>525010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IFERROR(VLOOKUP(B271,input_525010!L:R,7,FALSE),VLOOKUP(tables_525010!C271,input_525010!A:H,8,FALSE))</f>
        <v>46530</v>
      </c>
      <c r="P271" s="46">
        <f t="shared" ca="1" si="13"/>
        <v>7.4999999999758311E-4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input_525010!A$2</f>
        <v>525010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IFERROR(VLOOKUP(B272,input_525010!L:R,7,FALSE),VLOOKUP(tables_525010!C272,input_525010!A:H,8,FALSE))</f>
        <v>558360</v>
      </c>
      <c r="P272" s="46">
        <f t="shared" ca="1" si="13"/>
        <v>8.9999999999709965E-3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input_525010!A$2</f>
        <v>525010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IFERROR(VLOOKUP(B273,input_525010!L:R,7,FALSE),VLOOKUP(tables_525010!C273,input_525010!A:H,8,FALSE))</f>
        <v>46530</v>
      </c>
      <c r="P273" s="46">
        <f t="shared" ca="1" si="13"/>
        <v>7.4999999999758311E-4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input_525010!A$2</f>
        <v>525010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IFERROR(VLOOKUP(B274,input_525010!L:R,7,FALSE),VLOOKUP(tables_525010!C274,input_525010!A:H,8,FALSE))</f>
        <v>43475</v>
      </c>
      <c r="P274" s="46">
        <f t="shared" ca="1" si="13"/>
        <v>7.0075757575531754E-4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input_525010!A$2</f>
        <v>525010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IFERROR(VLOOKUP(B275,input_525010!L:R,7,FALSE),VLOOKUP(tables_525010!C275,input_525010!A:H,8,FALSE))</f>
        <v>3525</v>
      </c>
      <c r="P275" s="46">
        <f t="shared" ca="1" si="13"/>
        <v>5.6818181817998717E-5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input_525010!A$2</f>
        <v>525010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IFERROR(VLOOKUP(B276,input_525010!L:R,7,FALSE),VLOOKUP(tables_525010!C276,input_525010!A:H,8,FALSE))</f>
        <v>43475</v>
      </c>
      <c r="P276" s="46">
        <f t="shared" ca="1" si="13"/>
        <v>7.0075757575531754E-4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input_525010!A$2</f>
        <v>525010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IFERROR(VLOOKUP(B277,input_525010!L:R,7,FALSE),VLOOKUP(tables_525010!C277,input_525010!A:H,8,FALSE))</f>
        <v>3525</v>
      </c>
      <c r="P277" s="46">
        <f t="shared" ca="1" si="13"/>
        <v>5.6818181817998717E-5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input_525010!A$2</f>
        <v>525010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IFERROR(VLOOKUP(B278,input_525010!L:R,7,FALSE),VLOOKUP(tables_525010!C278,input_525010!A:H,8,FALSE))</f>
        <v>279180</v>
      </c>
      <c r="P278" s="46">
        <f t="shared" ca="1" si="13"/>
        <v>4.4999999999854982E-3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input_525010!A$2</f>
        <v>525010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IFERROR(VLOOKUP(B279,input_525010!L:R,7,FALSE),VLOOKUP(tables_525010!C279,input_525010!A:H,8,FALSE))</f>
        <v>294690</v>
      </c>
      <c r="P279" s="46">
        <f t="shared" ca="1" si="13"/>
        <v>4.7499999999846927E-3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input_525010!A$2</f>
        <v>525010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IFERROR(VLOOKUP(B280,input_525010!L:R,7,FALSE),VLOOKUP(tables_525010!C280,input_525010!A:H,8,FALSE))</f>
        <v>16251.153850000001</v>
      </c>
      <c r="P280" s="46">
        <f t="shared" ca="1" si="13"/>
        <v>2.6194638700753755E-4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input_525010!A$2</f>
        <v>525010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IFERROR(VLOOKUP(B281,input_525010!L:R,7,FALSE),VLOOKUP(tables_525010!C281,input_525010!A:H,8,FALSE))</f>
        <v>279180</v>
      </c>
      <c r="P281" s="46">
        <f t="shared" ca="1" si="13"/>
        <v>4.4999999999854982E-3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input_525010!A$2</f>
        <v>525010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IFERROR(VLOOKUP(B282,input_525010!L:R,7,FALSE),VLOOKUP(tables_525010!C282,input_525010!A:H,8,FALSE))</f>
        <v>294690</v>
      </c>
      <c r="P282" s="46">
        <f t="shared" ca="1" si="13"/>
        <v>4.7499999999846927E-3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input_525010!A$2</f>
        <v>525010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IFERROR(VLOOKUP(B283,input_525010!L:R,7,FALSE),VLOOKUP(tables_525010!C283,input_525010!A:H,8,FALSE))</f>
        <v>16251.153850000001</v>
      </c>
      <c r="P283" s="46">
        <f t="shared" ca="1" si="13"/>
        <v>2.6194638700753755E-4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input_525010!A$2</f>
        <v>525010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IFERROR(VLOOKUP(B284,input_525010!L:R,7,FALSE),VLOOKUP(tables_525010!C284,input_525010!A:H,8,FALSE))</f>
        <v>47000</v>
      </c>
      <c r="P284" s="46">
        <f t="shared" ca="1" si="13"/>
        <v>7.5757575757331628E-4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input_525010!A$2</f>
        <v>525010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IFERROR(VLOOKUP(B285,input_525010!L:R,7,FALSE),VLOOKUP(tables_525010!C285,input_525010!A:H,8,FALSE))</f>
        <v>47000</v>
      </c>
      <c r="P285" s="46">
        <f t="shared" ca="1" si="13"/>
        <v>7.5757575757331628E-4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input_525010!A$2</f>
        <v>525010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IFERROR(VLOOKUP(B286,input_525010!L:R,7,FALSE),VLOOKUP(tables_525010!C286,input_525010!A:H,8,FALSE))</f>
        <v>558360</v>
      </c>
      <c r="P286" s="46">
        <f t="shared" ca="1" si="13"/>
        <v>8.9999999999709965E-3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input_525010!A$2</f>
        <v>525010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IFERROR(VLOOKUP(B287,input_525010!L:R,7,FALSE),VLOOKUP(tables_525010!C287,input_525010!A:H,8,FALSE))</f>
        <v>46530</v>
      </c>
      <c r="P287" s="46">
        <f t="shared" ca="1" si="13"/>
        <v>7.4999999999758311E-4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input_525010!A$2</f>
        <v>525010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IFERROR(VLOOKUP(B288,input_525010!L:R,7,FALSE),VLOOKUP(tables_525010!C288,input_525010!A:H,8,FALSE))</f>
        <v>558360</v>
      </c>
      <c r="P288" s="46">
        <f t="shared" ca="1" si="13"/>
        <v>8.9999999999709965E-3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input_525010!A$2</f>
        <v>525010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IFERROR(VLOOKUP(B289,input_525010!L:R,7,FALSE),VLOOKUP(tables_525010!C289,input_525010!A:H,8,FALSE))</f>
        <v>46530</v>
      </c>
      <c r="P289" s="46">
        <f t="shared" ca="1" si="13"/>
        <v>7.4999999999758311E-4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input_525010!A$2</f>
        <v>525010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IFERROR(VLOOKUP(B290,input_525010!L:R,7,FALSE),VLOOKUP(tables_525010!C290,input_525010!A:H,8,FALSE))</f>
        <v>558360</v>
      </c>
      <c r="P290" s="46">
        <f t="shared" ca="1" si="13"/>
        <v>8.9999999999709965E-3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input_525010!A$2</f>
        <v>525010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IFERROR(VLOOKUP(B291,input_525010!L:R,7,FALSE),VLOOKUP(tables_525010!C291,input_525010!A:H,8,FALSE))</f>
        <v>46530</v>
      </c>
      <c r="P291" s="46">
        <f t="shared" ca="1" si="13"/>
        <v>7.4999999999758311E-4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input_525010!A$2</f>
        <v>525010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IFERROR(VLOOKUP(B292,input_525010!L:R,7,FALSE),VLOOKUP(tables_525010!C292,input_525010!A:H,8,FALSE))</f>
        <v>558360</v>
      </c>
      <c r="P292" s="46">
        <f t="shared" ca="1" si="13"/>
        <v>8.9999999999709965E-3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input_525010!A$2</f>
        <v>525010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IFERROR(VLOOKUP(B293,input_525010!L:R,7,FALSE),VLOOKUP(tables_525010!C293,input_525010!A:H,8,FALSE))</f>
        <v>46530</v>
      </c>
      <c r="P293" s="46">
        <f t="shared" ca="1" si="13"/>
        <v>7.4999999999758311E-4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input_525010!A$2</f>
        <v>525010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IFERROR(VLOOKUP(B294,input_525010!L:R,7,FALSE),VLOOKUP(tables_525010!C294,input_525010!A:H,8,FALSE))</f>
        <v>47000</v>
      </c>
      <c r="P294" s="46">
        <f t="shared" ca="1" si="13"/>
        <v>7.5757575757331628E-4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input_525010!A$2</f>
        <v>525010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IFERROR(VLOOKUP(B295,input_525010!L:R,7,FALSE),VLOOKUP(tables_525010!C295,input_525010!A:H,8,FALSE))</f>
        <v>47000</v>
      </c>
      <c r="P295" s="46">
        <f t="shared" ca="1" si="13"/>
        <v>7.5757575757331628E-4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input_525010!A$2</f>
        <v>525010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IFERROR(VLOOKUP(B296,input_525010!L:R,7,FALSE),VLOOKUP(tables_525010!C296,input_525010!A:H,8,FALSE))</f>
        <v>47000</v>
      </c>
      <c r="P296" s="46">
        <f t="shared" ca="1" si="13"/>
        <v>7.5757575757331628E-4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input_525010!A$2</f>
        <v>525010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IFERROR(VLOOKUP(B297,input_525010!L:R,7,FALSE),VLOOKUP(tables_525010!C297,input_525010!A:H,8,FALSE))</f>
        <v>558360</v>
      </c>
      <c r="P297" s="46">
        <f t="shared" ca="1" si="13"/>
        <v>8.9999999999709965E-3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input_525010!A$2</f>
        <v>525010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IFERROR(VLOOKUP(B298,input_525010!L:R,7,FALSE),VLOOKUP(tables_525010!C298,input_525010!A:H,8,FALSE))</f>
        <v>46530</v>
      </c>
      <c r="P298" s="46">
        <f t="shared" ca="1" si="13"/>
        <v>7.4999999999758311E-4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input_525010!A$2</f>
        <v>525010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IFERROR(VLOOKUP(B299,input_525010!L:R,7,FALSE),VLOOKUP(tables_525010!C299,input_525010!A:H,8,FALSE))</f>
        <v>47000</v>
      </c>
      <c r="P299" s="46">
        <f t="shared" ca="1" si="13"/>
        <v>7.5757575757331628E-4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input_525010!A$2</f>
        <v>525010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IFERROR(VLOOKUP(B300,input_525010!L:R,7,FALSE),VLOOKUP(tables_525010!C300,input_525010!A:H,8,FALSE))</f>
        <v>47000</v>
      </c>
      <c r="P300" s="46">
        <f t="shared" ca="1" si="13"/>
        <v>7.5757575757331628E-4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input_525010!A$2</f>
        <v>525010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IFERROR(VLOOKUP(B301,input_525010!L:R,7,FALSE),VLOOKUP(tables_525010!C301,input_525010!A:H,8,FALSE))</f>
        <v>47000</v>
      </c>
      <c r="P301" s="46">
        <f t="shared" ca="1" si="13"/>
        <v>7.5757575757331628E-4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input_525010!A$2</f>
        <v>525010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IFERROR(VLOOKUP(B302,input_525010!L:R,7,FALSE),VLOOKUP(tables_525010!C302,input_525010!A:H,8,FALSE))</f>
        <v>47000</v>
      </c>
      <c r="P302" s="46">
        <f t="shared" ca="1" si="13"/>
        <v>7.5757575757331628E-4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input_525010!A$2</f>
        <v>525010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IFERROR(VLOOKUP(B303,input_525010!L:R,7,FALSE),VLOOKUP(tables_525010!C303,input_525010!A:H,8,FALSE))</f>
        <v>558360</v>
      </c>
      <c r="P303" s="46">
        <f t="shared" ca="1" si="13"/>
        <v>8.9999999999709965E-3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input_525010!A$2</f>
        <v>525010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IFERROR(VLOOKUP(B304,input_525010!L:R,7,FALSE),VLOOKUP(tables_525010!C304,input_525010!A:H,8,FALSE))</f>
        <v>46530</v>
      </c>
      <c r="P304" s="46">
        <f t="shared" ca="1" si="13"/>
        <v>7.4999999999758311E-4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input_525010!A$2</f>
        <v>525010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IFERROR(VLOOKUP(B305,input_525010!L:R,7,FALSE),VLOOKUP(tables_525010!C305,input_525010!A:H,8,FALSE))</f>
        <v>47000</v>
      </c>
      <c r="P305" s="46">
        <f t="shared" ca="1" si="13"/>
        <v>7.5757575757331628E-4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input_525010!A$2</f>
        <v>525010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IFERROR(VLOOKUP(B306,input_525010!L:R,7,FALSE),VLOOKUP(tables_525010!C306,input_525010!A:H,8,FALSE))</f>
        <v>558360</v>
      </c>
      <c r="P306" s="46">
        <f t="shared" ca="1" si="13"/>
        <v>8.9999999999709965E-3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input_525010!A$2</f>
        <v>525010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IFERROR(VLOOKUP(B307,input_525010!L:R,7,FALSE),VLOOKUP(tables_525010!C307,input_525010!A:H,8,FALSE))</f>
        <v>46530</v>
      </c>
      <c r="P307" s="46">
        <f t="shared" ca="1" si="13"/>
        <v>7.4999999999758311E-4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input_525010!A$2</f>
        <v>525010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IFERROR(VLOOKUP(B308,input_525010!L:R,7,FALSE),VLOOKUP(tables_525010!C308,input_525010!A:H,8,FALSE))</f>
        <v>47000</v>
      </c>
      <c r="P308" s="46">
        <f t="shared" ca="1" si="13"/>
        <v>7.5757575757331628E-4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input_525010!A$2</f>
        <v>525010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IFERROR(VLOOKUP(B309,input_525010!L:R,7,FALSE),VLOOKUP(tables_525010!C309,input_525010!A:H,8,FALSE))</f>
        <v>47000</v>
      </c>
      <c r="P309" s="46">
        <f t="shared" ca="1" si="13"/>
        <v>7.5757575757331628E-4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input_525010!A$2</f>
        <v>525010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IFERROR(VLOOKUP(B310,input_525010!L:R,7,FALSE),VLOOKUP(tables_525010!C310,input_525010!A:H,8,FALSE))</f>
        <v>47000</v>
      </c>
      <c r="P310" s="46">
        <f t="shared" ca="1" si="13"/>
        <v>7.5757575757331628E-4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input_525010!A$2</f>
        <v>525010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IFERROR(VLOOKUP(B311,input_525010!L:R,7,FALSE),VLOOKUP(tables_525010!C311,input_525010!A:H,8,FALSE))</f>
        <v>558360</v>
      </c>
      <c r="P311" s="46">
        <f t="shared" ca="1" si="13"/>
        <v>8.9999999999709965E-3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input_525010!A$2</f>
        <v>525010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IFERROR(VLOOKUP(B312,input_525010!L:R,7,FALSE),VLOOKUP(tables_525010!C312,input_525010!A:H,8,FALSE))</f>
        <v>46530</v>
      </c>
      <c r="P312" s="46">
        <f t="shared" ca="1" si="13"/>
        <v>7.4999999999758311E-4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input_525010!A$2</f>
        <v>525010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IFERROR(VLOOKUP(B313,input_525010!L:R,7,FALSE),VLOOKUP(tables_525010!C313,input_525010!A:H,8,FALSE))</f>
        <v>47000</v>
      </c>
      <c r="P313" s="46">
        <f t="shared" ca="1" si="13"/>
        <v>7.5757575757331628E-4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input_525010!A$2</f>
        <v>525010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IFERROR(VLOOKUP(B314,input_525010!L:R,7,FALSE),VLOOKUP(tables_525010!C314,input_525010!A:H,8,FALSE))</f>
        <v>47000</v>
      </c>
      <c r="P314" s="46">
        <f t="shared" ca="1" si="13"/>
        <v>7.5757575757331628E-4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input_525010!A$2</f>
        <v>525010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IFERROR(VLOOKUP(B315,input_525010!L:R,7,FALSE),VLOOKUP(tables_525010!C315,input_525010!A:H,8,FALSE))</f>
        <v>47000</v>
      </c>
      <c r="P315" s="46">
        <f t="shared" ca="1" si="13"/>
        <v>7.5757575757331628E-4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input_525010!A$2</f>
        <v>525010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IFERROR(VLOOKUP(B316,input_525010!L:R,7,FALSE),VLOOKUP(tables_525010!C316,input_525010!A:H,8,FALSE))</f>
        <v>47000</v>
      </c>
      <c r="P316" s="46">
        <f t="shared" ca="1" si="13"/>
        <v>7.5757575757331628E-4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input_525010!A$2</f>
        <v>525010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IFERROR(VLOOKUP(B317,input_525010!L:R,7,FALSE),VLOOKUP(tables_525010!C317,input_525010!A:H,8,FALSE))</f>
        <v>47000</v>
      </c>
      <c r="P317" s="46">
        <f t="shared" ca="1" si="13"/>
        <v>7.5757575757331628E-4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input_525010!A$2</f>
        <v>525010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IFERROR(VLOOKUP(B318,input_525010!L:R,7,FALSE),VLOOKUP(tables_525010!C318,input_525010!A:H,8,FALSE))</f>
        <v>558360</v>
      </c>
      <c r="P318" s="46">
        <f t="shared" ca="1" si="13"/>
        <v>8.9999999999709965E-3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input_525010!A$2</f>
        <v>525010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IFERROR(VLOOKUP(B319,input_525010!L:R,7,FALSE),VLOOKUP(tables_525010!C319,input_525010!A:H,8,FALSE))</f>
        <v>46530</v>
      </c>
      <c r="P319" s="46">
        <f t="shared" ca="1" si="13"/>
        <v>7.4999999999758311E-4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input_525010!A$2</f>
        <v>525010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IFERROR(VLOOKUP(B320,input_525010!L:R,7,FALSE),VLOOKUP(tables_525010!C320,input_525010!A:H,8,FALSE))</f>
        <v>47000</v>
      </c>
      <c r="P320" s="46">
        <f t="shared" ca="1" si="13"/>
        <v>7.5757575757331628E-4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input_525010!A$2</f>
        <v>525010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IFERROR(VLOOKUP(B321,input_525010!L:R,7,FALSE),VLOOKUP(tables_525010!C321,input_525010!A:H,8,FALSE))</f>
        <v>47000</v>
      </c>
      <c r="P321" s="46">
        <f t="shared" ca="1" si="13"/>
        <v>7.5757575757331628E-4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input_525010!A$2</f>
        <v>525010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IFERROR(VLOOKUP(B322,input_525010!L:R,7,FALSE),VLOOKUP(tables_525010!C322,input_525010!A:H,8,FALSE))</f>
        <v>47000</v>
      </c>
      <c r="P322" s="46">
        <f t="shared" ref="P322:P330" ca="1" si="23">O322/SUM(O:O)</f>
        <v>7.5757575757331628E-4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input_525010!A$2</f>
        <v>525010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IFERROR(VLOOKUP(B323,input_525010!L:R,7,FALSE),VLOOKUP(tables_525010!C323,input_525010!A:H,8,FALSE))</f>
        <v>47000</v>
      </c>
      <c r="P323" s="46">
        <f t="shared" ca="1" si="23"/>
        <v>7.5757575757331628E-4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input_525010!A$2</f>
        <v>525010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IFERROR(VLOOKUP(B324,input_525010!L:R,7,FALSE),VLOOKUP(tables_525010!C324,input_525010!A:H,8,FALSE))</f>
        <v>558360</v>
      </c>
      <c r="P324" s="46">
        <f t="shared" ca="1" si="23"/>
        <v>8.9999999999709965E-3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input_525010!A$2</f>
        <v>525010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IFERROR(VLOOKUP(B325,input_525010!L:R,7,FALSE),VLOOKUP(tables_525010!C325,input_525010!A:H,8,FALSE))</f>
        <v>46530</v>
      </c>
      <c r="P325" s="46">
        <f t="shared" ca="1" si="23"/>
        <v>7.4999999999758311E-4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input_525010!A$2</f>
        <v>525010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IFERROR(VLOOKUP(B326,input_525010!L:R,7,FALSE),VLOOKUP(tables_525010!C326,input_525010!A:H,8,FALSE))</f>
        <v>558360</v>
      </c>
      <c r="P326" s="46">
        <f t="shared" ca="1" si="23"/>
        <v>8.9999999999709965E-3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input_525010!A$2</f>
        <v>525010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IFERROR(VLOOKUP(B327,input_525010!L:R,7,FALSE),VLOOKUP(tables_525010!C327,input_525010!A:H,8,FALSE))</f>
        <v>46530</v>
      </c>
      <c r="P327" s="46">
        <f t="shared" ca="1" si="23"/>
        <v>7.4999999999758311E-4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input_525010!A$2</f>
        <v>525010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IFERROR(VLOOKUP(B328,input_525010!L:R,7,FALSE),VLOOKUP(tables_525010!C328,input_525010!A:H,8,FALSE))</f>
        <v>47000</v>
      </c>
      <c r="P328" s="46">
        <f t="shared" ca="1" si="23"/>
        <v>7.5757575757331628E-4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input_525010!A$2</f>
        <v>525010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IFERROR(VLOOKUP(B329,input_525010!L:R,7,FALSE),VLOOKUP(tables_525010!C329,input_525010!A:H,8,FALSE))</f>
        <v>47000</v>
      </c>
      <c r="P329" s="46">
        <f t="shared" ca="1" si="23"/>
        <v>7.5757575757331628E-4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input_525010!A$2</f>
        <v>525010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IFERROR(VLOOKUP(B330,input_525010!L:R,7,FALSE),VLOOKUP(tables_525010!C330,input_525010!A:H,8,FALSE))</f>
        <v>47000</v>
      </c>
      <c r="P330" s="46">
        <f t="shared" ca="1" si="23"/>
        <v>7.5757575757331628E-4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input_525010!A$2</f>
        <v>525010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IFERROR(VLOOKUP(B331,input_525010!L:R,7,FALSE),VLOOKUP(tables_525010!C331,input_525010!A:H,8,FALSE))</f>
        <v>47000</v>
      </c>
      <c r="P331" s="46">
        <f t="shared" ref="P331:P335" ca="1" si="28">O331/SUM(O:O)</f>
        <v>7.5757575757331628E-4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input_525010!A$2</f>
        <v>525010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IFERROR(VLOOKUP(B332,input_525010!L:R,7,FALSE),VLOOKUP(tables_525010!C332,input_525010!A:H,8,FALSE))</f>
        <v>47000</v>
      </c>
      <c r="P332" s="46">
        <f t="shared" ca="1" si="28"/>
        <v>7.5757575757331628E-4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input_525010!A$2</f>
        <v>525010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IFERROR(VLOOKUP(B333,input_525010!L:R,7,FALSE),VLOOKUP(tables_525010!C333,input_525010!A:H,8,FALSE))</f>
        <v>47000</v>
      </c>
      <c r="P333" s="46">
        <f t="shared" ca="1" si="28"/>
        <v>7.5757575757331628E-4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input_525010!A$2</f>
        <v>525010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IFERROR(VLOOKUP(B334,input_525010!L:R,7,FALSE),VLOOKUP(tables_525010!C334,input_525010!A:H,8,FALSE))</f>
        <v>558360</v>
      </c>
      <c r="P334" s="46">
        <f t="shared" ca="1" si="28"/>
        <v>8.9999999999709965E-3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input_525010!A$2</f>
        <v>525010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IFERROR(VLOOKUP(B335,input_525010!L:R,7,FALSE),VLOOKUP(tables_525010!C335,input_525010!A:H,8,FALSE))</f>
        <v>46530</v>
      </c>
      <c r="P335" s="46">
        <f t="shared" ca="1" si="28"/>
        <v>7.4999999999758311E-4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input_525010!A$2</f>
        <v>525010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IFERROR(VLOOKUP(B336,input_525010!L:R,7,FALSE),VLOOKUP(tables_525010!C336,input_525010!A:H,8,FALSE))</f>
        <v>558360</v>
      </c>
      <c r="P336" s="46">
        <f t="shared" ref="P336:P340" ca="1" si="31">O336/SUM(O:O)</f>
        <v>8.9999999999709965E-3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input_525010!A$2</f>
        <v>525010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IFERROR(VLOOKUP(B337,input_525010!L:R,7,FALSE),VLOOKUP(tables_525010!C337,input_525010!A:H,8,FALSE))</f>
        <v>46530</v>
      </c>
      <c r="P337" s="46">
        <f t="shared" ca="1" si="31"/>
        <v>7.4999999999758311E-4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input_525010!A$2</f>
        <v>525010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IFERROR(VLOOKUP(B338,input_525010!L:R,7,FALSE),VLOOKUP(tables_525010!C338,input_525010!A:H,8,FALSE))</f>
        <v>47000</v>
      </c>
      <c r="P338" s="46">
        <f t="shared" ca="1" si="31"/>
        <v>7.5757575757331628E-4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input_525010!A$2</f>
        <v>525010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IFERROR(VLOOKUP(B339,input_525010!L:R,7,FALSE),VLOOKUP(tables_525010!C339,input_525010!A:H,8,FALSE))</f>
        <v>47000</v>
      </c>
      <c r="P339" s="46">
        <f t="shared" ca="1" si="31"/>
        <v>7.5757575757331628E-4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input_525010!A$2</f>
        <v>525010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IFERROR(VLOOKUP(B340,input_525010!L:R,7,FALSE),VLOOKUP(tables_525010!C340,input_525010!A:H,8,FALSE))</f>
        <v>47000</v>
      </c>
      <c r="P340" s="46">
        <f t="shared" ca="1" si="31"/>
        <v>7.5757575757331628E-4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input_525010!A$2</f>
        <v>525010</v>
      </c>
      <c r="B341" s="98">
        <v>1244</v>
      </c>
      <c r="C341" s="7" t="str">
        <f t="shared" ref="C341:C342" si="32">D341&amp;J341&amp;E341&amp;F341&amp;G341</f>
        <v>PremiumSS5R5only</v>
      </c>
      <c r="D341" s="97" t="str">
        <f t="shared" ref="D341:D342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IFERROR(VLOOKUP(B341,input_525010!L:R,7,FALSE),VLOOKUP(tables_525010!C341,input_525010!A:H,8,FALSE))</f>
        <v>47000</v>
      </c>
      <c r="P341" s="46">
        <f t="shared" ref="P341:P342" ca="1" si="34">O341/SUM(O:O)</f>
        <v>7.5757575757331628E-4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input_525010!A$2</f>
        <v>525010</v>
      </c>
      <c r="B342" s="98">
        <v>1246</v>
      </c>
      <c r="C342" s="7" t="str">
        <f t="shared" si="32"/>
        <v>PremiumSS5R5only</v>
      </c>
      <c r="D342" s="97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IFERROR(VLOOKUP(B342,input_525010!L:R,7,FALSE),VLOOKUP(tables_525010!C342,input_525010!A:H,8,FALSE))</f>
        <v>47000</v>
      </c>
      <c r="P342" s="46">
        <f t="shared" ca="1" si="34"/>
        <v>7.5757575757331628E-4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input_525010!A$2</f>
        <v>525010</v>
      </c>
      <c r="B343" s="98">
        <v>1248</v>
      </c>
      <c r="C343" s="7" t="str">
        <f t="shared" ref="C343:C347" si="35">D343&amp;J343&amp;E343&amp;F343&amp;G343</f>
        <v>Premium4R3less</v>
      </c>
      <c r="D343" s="97" t="str">
        <f t="shared" ref="D343:D347" si="36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IFERROR(VLOOKUP(B343,input_525010!L:R,7,FALSE),VLOOKUP(tables_525010!C343,input_525010!A:H,8,FALSE))</f>
        <v>558360</v>
      </c>
      <c r="P343" s="46">
        <f t="shared" ref="P343:P347" ca="1" si="37">O343/SUM(O:O)</f>
        <v>8.9999999999709965E-3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input_525010!A$2</f>
        <v>525010</v>
      </c>
      <c r="B344" s="98">
        <v>1249</v>
      </c>
      <c r="C344" s="7" t="str">
        <f t="shared" si="35"/>
        <v>Premium5R3less</v>
      </c>
      <c r="D344" s="97" t="str">
        <f t="shared" si="36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IFERROR(VLOOKUP(B344,input_525010!L:R,7,FALSE),VLOOKUP(tables_525010!C344,input_525010!A:H,8,FALSE))</f>
        <v>46530</v>
      </c>
      <c r="P344" s="46">
        <f t="shared" ca="1" si="37"/>
        <v>7.4999999999758311E-4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input_525010!A$2</f>
        <v>525010</v>
      </c>
      <c r="B345" s="98">
        <v>1250</v>
      </c>
      <c r="C345" s="7" t="str">
        <f t="shared" si="35"/>
        <v>PremiumSS5R5only</v>
      </c>
      <c r="D345" s="97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IFERROR(VLOOKUP(B345,input_525010!L:R,7,FALSE),VLOOKUP(tables_525010!C345,input_525010!A:H,8,FALSE))</f>
        <v>47000</v>
      </c>
      <c r="P345" s="46">
        <f t="shared" ca="1" si="37"/>
        <v>7.5757575757331628E-4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input_525010!A$2</f>
        <v>525010</v>
      </c>
      <c r="B346" s="1">
        <v>1389</v>
      </c>
      <c r="C346" s="7" t="str">
        <f t="shared" si="35"/>
        <v>PremiumSSS5R3less</v>
      </c>
      <c r="D346" s="97" t="str">
        <f t="shared" si="36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ユング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 ca="1">IFERROR(VLOOKUP(B346,input_525010!L:R,7,FALSE),VLOOKUP(tables_525010!C346,input_525010!A:H,8,FALSE))</f>
        <v>310200</v>
      </c>
      <c r="P346" s="46">
        <f t="shared" ca="1" si="37"/>
        <v>4.9999999999838871E-3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input_525010!A$2</f>
        <v>525010</v>
      </c>
      <c r="B347" s="1">
        <v>486</v>
      </c>
      <c r="C347" s="7" t="str">
        <f t="shared" si="35"/>
        <v>PremiumSSS5R3less</v>
      </c>
      <c r="D347" s="97" t="str">
        <f t="shared" si="36"/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重なる世解 シュレディンガー</v>
      </c>
      <c r="I347" s="7" t="str">
        <f>VLOOKUP(B347,[1]characters!$A:$J,10,FALSE)</f>
        <v>PremiumSSS</v>
      </c>
      <c r="J347" s="7">
        <f>VLOOKUP(B347,[1]characters!$A:$I,9,FALSE)</f>
        <v>5</v>
      </c>
      <c r="K347" s="7" t="str">
        <f>VLOOKUP(B347,[1]characters!$A:$H,8,FALSE)</f>
        <v>red</v>
      </c>
      <c r="L347" s="7" t="str">
        <f>VLOOKUP(B347,[1]characters!$A:$K,11,FALSE)</f>
        <v>balance</v>
      </c>
      <c r="M347" s="7" t="str">
        <f>VLOOKUP(B347,[1]characters!$A:$M,13,FALSE)</f>
        <v>animal</v>
      </c>
      <c r="N347" s="7" t="str">
        <f>VLOOKUP(B347,[1]characters!$A:$G,7,FALSE)</f>
        <v>男性</v>
      </c>
      <c r="O347" s="45">
        <f ca="1">IFERROR(VLOOKUP(B347,input_525010!L:R,7,FALSE),VLOOKUP(tables_525010!C347,input_525010!A:H,8,FALSE))</f>
        <v>310200</v>
      </c>
      <c r="P347" s="46">
        <f t="shared" ca="1" si="37"/>
        <v>4.9999999999838871E-3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B11" sqref="B1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525100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VLOOKUP(L3,tables_525100!B:C,2,FALSE)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VLOOKUP(L4,tables_525100!B:C,2,FALSE)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7.5757575757575758E-4</v>
      </c>
      <c r="F5">
        <f>(COUNTIF(tables_525100!C:C,input_525100!A28)+COUNTIF(tables_525100!C:C,input_525100!A29))</f>
        <v>66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VLOOKUP(L5,tables_525100!B:C,2,FALSE)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0.92500000000000004</v>
      </c>
      <c r="D6" t="s">
        <v>202</v>
      </c>
      <c r="E6" s="76">
        <f>(B10-H6)/(F6-I6)</f>
        <v>0.01</v>
      </c>
      <c r="F6">
        <f>(COUNTIF(tables_525100!C:C,input_525100!A25)+COUNTIF(tables_525100!C:C,input_525100!A18)+COUNTIF(tables_525100!C:C,input_525100!A20)+COUNTIF(tables_525100!C:C,input_525100!A22))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VLOOKUP(L6,tables_525100!B:C,2,FALSE)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VLOOKUP(L7,tables_525100!B:C,2,FALSE)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VLOOKUP(L8,tables_525100!B:C,2,FALSE)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VLOOKUP(L9,tables_525100!B:C,2,FALSE)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VLOOKUP(L10,tables_525100!B:C,2,FALSE)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VLOOKUP(L11,tables_525100!B:C,2,FALSE)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VLOOKUP(L12,tables_525100!B:C,2,FALSE)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VLOOKUP(L13,tables_525100!B:C,2,FALSE)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VLOOKUP(L14,tables_525100!B:C,2,FALSE)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VLOOKUP(L15,tables_525100!B:C,2,FALSE)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VLOOKUP(L16,tables_525100!B:C,2,FALSE)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COUNTIF(tables_525100!C:C,input_525100!A17)-COUNTIF(Q:Q,A17)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VLOOKUP(L17,tables_525100!B:C,2,FALSE)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0.22537878787878785</v>
      </c>
      <c r="C18" s="85">
        <f t="shared" si="2"/>
        <v>0</v>
      </c>
      <c r="D18" s="74">
        <f t="shared" si="3"/>
        <v>0.22537878787878785</v>
      </c>
      <c r="E18">
        <f>COUNTIF(tables_525100!C:C,input_525100!A18)-COUNTIF(Q:Q,A18)</f>
        <v>20</v>
      </c>
      <c r="F18" s="43">
        <f>IFERROR(B18/E18,0)</f>
        <v>1.1268939393939392E-2</v>
      </c>
      <c r="G18">
        <f t="shared" si="4"/>
        <v>13982499.999999998</v>
      </c>
      <c r="H18">
        <f t="shared" si="5"/>
        <v>699125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VLOOKUP(L18,tables_525100!B:C,2,FALSE)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COUNTIF(tables_525100!C:C,input_525100!A19)-COUNTIF(Q:Q,A19)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VLOOKUP(L19,tables_525100!B:C,2,FALSE)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0.48100000000000004</v>
      </c>
      <c r="C20" s="85">
        <f t="shared" si="2"/>
        <v>0</v>
      </c>
      <c r="D20" s="74">
        <f t="shared" si="3"/>
        <v>0.48100000000000004</v>
      </c>
      <c r="E20">
        <f>COUNTIF(tables_525100!C:C,input_525100!A20)-COUNTIF(Q:Q,A20)</f>
        <v>52</v>
      </c>
      <c r="F20" s="43">
        <f t="shared" si="8"/>
        <v>9.2500000000000013E-3</v>
      </c>
      <c r="G20">
        <f t="shared" si="4"/>
        <v>29841240.000000004</v>
      </c>
      <c r="H20">
        <f t="shared" si="5"/>
        <v>573870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VLOOKUP(L20,tables_525100!B:C,2,FALSE)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1.3621212121212109E-2</v>
      </c>
      <c r="C21" s="85">
        <f t="shared" si="2"/>
        <v>0</v>
      </c>
      <c r="D21" s="74">
        <f t="shared" si="3"/>
        <v>1.3621212121212109E-2</v>
      </c>
      <c r="E21">
        <f>COUNTIF(tables_525100!C:C,input_525100!A21)-COUNTIF(Q:Q,A21)</f>
        <v>52</v>
      </c>
      <c r="F21" s="43">
        <f t="shared" si="8"/>
        <v>2.619463869463867E-4</v>
      </c>
      <c r="G21">
        <f t="shared" si="4"/>
        <v>845059.99999999919</v>
      </c>
      <c r="H21">
        <f t="shared" si="5"/>
        <v>16251.153850000001</v>
      </c>
      <c r="I21">
        <f t="shared" si="6"/>
        <v>0.15385000000060245</v>
      </c>
      <c r="J21">
        <f t="shared" si="7"/>
        <v>6.4998375040369458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0.16200000000000001</v>
      </c>
      <c r="C22" s="85">
        <f t="shared" si="2"/>
        <v>0</v>
      </c>
      <c r="D22" s="74">
        <f t="shared" si="3"/>
        <v>0.16200000000000001</v>
      </c>
      <c r="E22">
        <f>COUNTIF(tables_525100!C:C,input_525100!A22)-COUNTIF(Q:Q,A22)</f>
        <v>18</v>
      </c>
      <c r="F22" s="43">
        <f t="shared" si="8"/>
        <v>9.0000000000000011E-3</v>
      </c>
      <c r="G22">
        <f t="shared" si="4"/>
        <v>10050480</v>
      </c>
      <c r="H22">
        <f t="shared" si="5"/>
        <v>558360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1.7999999999999999E-2</v>
      </c>
      <c r="C23" s="85">
        <f t="shared" si="2"/>
        <v>0</v>
      </c>
      <c r="D23" s="74">
        <f t="shared" si="3"/>
        <v>1.7999999999999999E-2</v>
      </c>
      <c r="E23">
        <f>COUNTIF(tables_525100!C:C,input_525100!A23)-COUNTIF(Q:Q,A23)</f>
        <v>24</v>
      </c>
      <c r="F23" s="43">
        <f t="shared" si="8"/>
        <v>7.4999999999999991E-4</v>
      </c>
      <c r="G23">
        <f t="shared" si="4"/>
        <v>1116720</v>
      </c>
      <c r="H23">
        <f t="shared" si="5"/>
        <v>46530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COUNTIF(tables_525100!C:C,input_525100!A24)-COUNTIF(Q:Q,A24)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3.7000000000000005E-2</v>
      </c>
      <c r="C25" s="85">
        <f t="shared" si="2"/>
        <v>0</v>
      </c>
      <c r="D25" s="74">
        <f t="shared" si="3"/>
        <v>3.7000000000000005E-2</v>
      </c>
      <c r="E25">
        <f>COUNTIF(tables_525100!C:C,input_525100!A25)-COUNTIF(Q:Q,A25)</f>
        <v>4</v>
      </c>
      <c r="F25" s="43">
        <f t="shared" si="8"/>
        <v>9.2500000000000013E-3</v>
      </c>
      <c r="G25">
        <f t="shared" si="4"/>
        <v>2295480.0000000005</v>
      </c>
      <c r="H25">
        <f t="shared" si="5"/>
        <v>573870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3.0000000000000001E-3</v>
      </c>
      <c r="C26" s="85">
        <f t="shared" si="2"/>
        <v>0</v>
      </c>
      <c r="D26" s="74">
        <f t="shared" si="3"/>
        <v>3.0000000000000001E-3</v>
      </c>
      <c r="E26">
        <f>COUNTIF(tables_525100!C:C,input_525100!A26)-COUNTIF(Q:Q,A26)</f>
        <v>4</v>
      </c>
      <c r="F26" s="43">
        <f t="shared" si="8"/>
        <v>7.5000000000000002E-4</v>
      </c>
      <c r="G26">
        <f t="shared" si="4"/>
        <v>186120</v>
      </c>
      <c r="H26">
        <f t="shared" si="5"/>
        <v>46530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1.9621212121212123E-2</v>
      </c>
      <c r="C27" s="85">
        <f t="shared" si="2"/>
        <v>0</v>
      </c>
      <c r="D27" s="74">
        <f t="shared" si="3"/>
        <v>1.9621212121212123E-2</v>
      </c>
      <c r="E27">
        <f>COUNTIF(tables_525100!C:C,input_525100!A27)-COUNTIF(Q:Q,A27)</f>
        <v>28</v>
      </c>
      <c r="F27" s="43">
        <f>IFERROR(B27/E27,0)</f>
        <v>7.0075757575757582E-4</v>
      </c>
      <c r="G27">
        <f t="shared" si="4"/>
        <v>1217300</v>
      </c>
      <c r="H27">
        <f t="shared" si="5"/>
        <v>43475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1.590909090909091E-3</v>
      </c>
      <c r="C28" s="85">
        <f t="shared" si="2"/>
        <v>0</v>
      </c>
      <c r="D28" s="74">
        <f t="shared" si="3"/>
        <v>1.590909090909091E-3</v>
      </c>
      <c r="E28">
        <f>COUNTIF(tables_525100!C:C,input_525100!A28)-COUNTIF(Q:Q,A28)</f>
        <v>28</v>
      </c>
      <c r="F28" s="43">
        <f t="shared" si="8"/>
        <v>5.6818181818181818E-5</v>
      </c>
      <c r="G28">
        <f t="shared" si="4"/>
        <v>98700</v>
      </c>
      <c r="H28">
        <f t="shared" si="5"/>
        <v>3525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2.8787878787878789E-2</v>
      </c>
      <c r="C29" s="85">
        <f t="shared" si="2"/>
        <v>0</v>
      </c>
      <c r="D29" s="74">
        <f t="shared" si="3"/>
        <v>2.8787878787878789E-2</v>
      </c>
      <c r="E29">
        <f>COUNTIF(tables_525100!C:C,input_525100!A29)-COUNTIF(Q:Q,A29)</f>
        <v>38</v>
      </c>
      <c r="F29" s="43">
        <f t="shared" si="8"/>
        <v>7.5757575757575758E-4</v>
      </c>
      <c r="G29">
        <f t="shared" si="4"/>
        <v>1786000</v>
      </c>
      <c r="H29">
        <f t="shared" si="5"/>
        <v>47000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COUNTIF(tables_525100!C:C,input_525100!A30)-COUNTIF(Q:Q,A30)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COUNTIF(tables_525100!C:C,input_525100!A31)-COUNTIF(Q:Q,A31)</f>
        <v>2</v>
      </c>
      <c r="F31" s="43">
        <f t="shared" si="8"/>
        <v>5.0000000000000001E-3</v>
      </c>
      <c r="G31">
        <f t="shared" si="4"/>
        <v>620400</v>
      </c>
      <c r="H31">
        <f t="shared" si="5"/>
        <v>310200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1.0000000000000002</v>
      </c>
      <c r="C32" s="41">
        <f>SUM(C19:C31)</f>
        <v>0</v>
      </c>
      <c r="D32" s="42">
        <f t="shared" si="3"/>
        <v>1.0000000000000002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-0.47500000000000003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SUMIF(tables_525100!C:C,input_525100!A40,tables_525100!O:O)</f>
        <v>0</v>
      </c>
      <c r="C40" s="54">
        <f t="shared" ref="C40:C46" ca="1" si="9">B40/B$47</f>
        <v>0</v>
      </c>
      <c r="E40">
        <v>3</v>
      </c>
      <c r="F40">
        <f ca="1">SUMIF(tables_525100!J:J,input_525100!E40,tables_525100!O:O)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SUMIF(tables_525100!C:C,input_525100!A41,tables_525100!O:O)</f>
        <v>29841240</v>
      </c>
      <c r="C41" s="54">
        <f t="shared" ca="1" si="9"/>
        <v>0.93247172858867977</v>
      </c>
      <c r="E41">
        <v>4</v>
      </c>
      <c r="F41">
        <f ca="1">SUMIF(tables_525100!J:J,input_525100!E41,tables_525100!O:O)</f>
        <v>57387000</v>
      </c>
      <c r="G41">
        <f ca="1">F41/A36</f>
        <v>0.92500000000000004</v>
      </c>
    </row>
    <row r="42" spans="1:7" x14ac:dyDescent="0.15">
      <c r="A42" s="33" t="s">
        <v>106</v>
      </c>
      <c r="B42">
        <f ca="1">SUMIF(tables_525100!C:C,input_525100!A42,tables_525100!O:O)</f>
        <v>1217300</v>
      </c>
      <c r="C42" s="54">
        <f t="shared" ca="1" si="9"/>
        <v>3.8037891026344743E-2</v>
      </c>
      <c r="E42">
        <v>5</v>
      </c>
      <c r="F42">
        <f ca="1">SUMIF(tables_525100!J:J,input_525100!E42,tables_525100!O:O)</f>
        <v>4653000.0001999987</v>
      </c>
      <c r="G42">
        <f ca="1">F42/A36</f>
        <v>7.500000000322371E-2</v>
      </c>
    </row>
    <row r="43" spans="1:7" x14ac:dyDescent="0.15">
      <c r="A43" s="33" t="s">
        <v>109</v>
      </c>
      <c r="B43">
        <f>SUMIF(tables_525100!C:C,input_525100!A43,tables_525100!O:O)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SUMIF(tables_525100!C:C,input_525100!A44,tables_525100!O:O)</f>
        <v>845060.00020000001</v>
      </c>
      <c r="C44" s="54">
        <f t="shared" ca="1" si="9"/>
        <v>2.6406227058515131E-2</v>
      </c>
      <c r="E44" t="s">
        <v>54</v>
      </c>
      <c r="F44" s="55"/>
    </row>
    <row r="45" spans="1:7" x14ac:dyDescent="0.15">
      <c r="A45" s="33" t="s">
        <v>107</v>
      </c>
      <c r="B45">
        <f ca="1">SUMIF(tables_525100!C:C,input_525100!A45,tables_525100!O:O)</f>
        <v>98700</v>
      </c>
      <c r="C45" s="54">
        <f t="shared" ca="1" si="9"/>
        <v>3.0841533264603848E-3</v>
      </c>
      <c r="E45" t="s">
        <v>204</v>
      </c>
      <c r="F45" s="55">
        <f ca="1">SUMIF(tables_525100!I:I,input_525100!E45,tables_525100!P:P)</f>
        <v>0.22987878787804714</v>
      </c>
    </row>
    <row r="46" spans="1:7" x14ac:dyDescent="0.15">
      <c r="A46" s="33" t="s">
        <v>108</v>
      </c>
      <c r="B46">
        <f>SUMIF(tables_525100!C:C,input_525100!A46,tables_525100!O:O)</f>
        <v>0</v>
      </c>
      <c r="C46" s="54">
        <f t="shared" ca="1" si="9"/>
        <v>0</v>
      </c>
      <c r="E46" t="s">
        <v>205</v>
      </c>
      <c r="F46" s="55">
        <f ca="1">SUMIF(tables_525100!I:I,input_525100!E46,tables_525100!P:P)</f>
        <v>0.19170308857852481</v>
      </c>
    </row>
    <row r="47" spans="1:7" x14ac:dyDescent="0.15">
      <c r="A47" s="39" t="s">
        <v>59</v>
      </c>
      <c r="B47">
        <f ca="1">SUM(B40:B46)</f>
        <v>32002300.0002</v>
      </c>
      <c r="C47" s="55">
        <f ca="1">SUM(C40:C46)</f>
        <v>1</v>
      </c>
      <c r="E47" t="s">
        <v>206</v>
      </c>
      <c r="F47" s="55">
        <f ca="1">SUMIF(tables_525100!I:I,input_525100!E47,tables_525100!P:P)</f>
        <v>0.5184181235436226</v>
      </c>
    </row>
    <row r="48" spans="1:7" x14ac:dyDescent="0.15">
      <c r="E48" t="s">
        <v>207</v>
      </c>
      <c r="F48" s="55">
        <f ca="1">SUMIF(tables_525100!I:I,input_525100!E48,tables_525100!P:P)</f>
        <v>4.4696969696825607E-2</v>
      </c>
      <c r="G48" s="55">
        <f ca="1">0.05-F48-F49</f>
        <v>1.6118096440864704E-13</v>
      </c>
    </row>
    <row r="49" spans="5:7" x14ac:dyDescent="0.15">
      <c r="E49" t="s">
        <v>250</v>
      </c>
      <c r="F49" s="55">
        <f ca="1">SUMIF(tables_525100!I:I,input_525100!E49,tables_525100!P:P)</f>
        <v>5.3030303030132146E-3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330" activePane="bottomLeft" state="frozen"/>
      <selection activeCell="B33" sqref="B33"/>
      <selection pane="bottomLeft" activeCell="B346" sqref="B346:B34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input_525100!A$2</f>
        <v>525100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IFERROR(VLOOKUP(B2,input_525100!L:R,7,FALSE),VLOOKUP(tables_525100!C2,input_525100!A:H,8,FALSE))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input_525100!A$2</f>
        <v>525100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IFERROR(VLOOKUP(B3,input_525100!L:R,7,FALSE),VLOOKUP(tables_525100!C3,input_525100!A:H,8,FALSE))</f>
        <v>699125</v>
      </c>
      <c r="P3" s="46">
        <f t="shared" ca="1" si="1"/>
        <v>1.1268939393903079E-2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input_525100!A$2</f>
        <v>525100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IFERROR(VLOOKUP(B4,input_525100!L:R,7,FALSE),VLOOKUP(tables_525100!C4,input_525100!A:H,8,FALSE))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input_525100!A$2</f>
        <v>525100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IFERROR(VLOOKUP(B5,input_525100!L:R,7,FALSE),VLOOKUP(tables_525100!C5,input_525100!A:H,8,FALSE))</f>
        <v>699125</v>
      </c>
      <c r="P5" s="46">
        <f t="shared" ca="1" si="1"/>
        <v>1.1268939393903079E-2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input_525100!A$2</f>
        <v>525100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IFERROR(VLOOKUP(B6,input_525100!L:R,7,FALSE),VLOOKUP(tables_525100!C6,input_525100!A:H,8,FALSE))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input_525100!A$2</f>
        <v>525100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IFERROR(VLOOKUP(B7,input_525100!L:R,7,FALSE),VLOOKUP(tables_525100!C7,input_525100!A:H,8,FALSE))</f>
        <v>699125</v>
      </c>
      <c r="P7" s="46">
        <f t="shared" ca="1" si="1"/>
        <v>1.1268939393903079E-2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input_525100!A$2</f>
        <v>525100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IFERROR(VLOOKUP(B8,input_525100!L:R,7,FALSE),VLOOKUP(tables_525100!C8,input_525100!A:H,8,FALSE))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input_525100!A$2</f>
        <v>525100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IFERROR(VLOOKUP(B9,input_525100!L:R,7,FALSE),VLOOKUP(tables_525100!C9,input_525100!A:H,8,FALSE))</f>
        <v>699125</v>
      </c>
      <c r="P9" s="46">
        <f t="shared" ca="1" si="1"/>
        <v>1.1268939393903079E-2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input_525100!A$2</f>
        <v>525100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IFERROR(VLOOKUP(B10,input_525100!L:R,7,FALSE),VLOOKUP(tables_525100!C10,input_525100!A:H,8,FALSE))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input_525100!A$2</f>
        <v>525100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IFERROR(VLOOKUP(B11,input_525100!L:R,7,FALSE),VLOOKUP(tables_525100!C11,input_525100!A:H,8,FALSE))</f>
        <v>699125</v>
      </c>
      <c r="P11" s="46">
        <f t="shared" ca="1" si="1"/>
        <v>1.1268939393903079E-2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input_525100!A$2</f>
        <v>525100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IFERROR(VLOOKUP(B12,input_525100!L:R,7,FALSE),VLOOKUP(tables_525100!C12,input_525100!A:H,8,FALSE))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input_525100!A$2</f>
        <v>525100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IFERROR(VLOOKUP(B13,input_525100!L:R,7,FALSE),VLOOKUP(tables_525100!C13,input_525100!A:H,8,FALSE))</f>
        <v>699125</v>
      </c>
      <c r="P13" s="46">
        <f t="shared" ca="1" si="1"/>
        <v>1.1268939393903079E-2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input_525100!A$2</f>
        <v>525100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IFERROR(VLOOKUP(B14,input_525100!L:R,7,FALSE),VLOOKUP(tables_525100!C14,input_525100!A:H,8,FALSE))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input_525100!A$2</f>
        <v>525100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IFERROR(VLOOKUP(B15,input_525100!L:R,7,FALSE),VLOOKUP(tables_525100!C15,input_525100!A:H,8,FALSE))</f>
        <v>699125</v>
      </c>
      <c r="P15" s="46">
        <f t="shared" ca="1" si="1"/>
        <v>1.1268939393903079E-2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input_525100!A$2</f>
        <v>525100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IFERROR(VLOOKUP(B16,input_525100!L:R,7,FALSE),VLOOKUP(tables_525100!C16,input_525100!A:H,8,FALSE))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input_525100!A$2</f>
        <v>525100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IFERROR(VLOOKUP(B17,input_525100!L:R,7,FALSE),VLOOKUP(tables_525100!C17,input_525100!A:H,8,FALSE))</f>
        <v>699125</v>
      </c>
      <c r="P17" s="46">
        <f t="shared" ca="1" si="1"/>
        <v>1.1268939393903079E-2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input_525100!A$2</f>
        <v>525100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IFERROR(VLOOKUP(B18,input_525100!L:R,7,FALSE),VLOOKUP(tables_525100!C18,input_525100!A:H,8,FALSE))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input_525100!A$2</f>
        <v>525100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IFERROR(VLOOKUP(B19,input_525100!L:R,7,FALSE),VLOOKUP(tables_525100!C19,input_525100!A:H,8,FALSE))</f>
        <v>699125</v>
      </c>
      <c r="P19" s="46">
        <f t="shared" ca="1" si="1"/>
        <v>1.1268939393903079E-2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input_525100!A$2</f>
        <v>525100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IFERROR(VLOOKUP(B20,input_525100!L:R,7,FALSE),VLOOKUP(tables_525100!C20,input_525100!A:H,8,FALSE))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input_525100!A$2</f>
        <v>525100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IFERROR(VLOOKUP(B21,input_525100!L:R,7,FALSE),VLOOKUP(tables_525100!C21,input_525100!A:H,8,FALSE))</f>
        <v>699125</v>
      </c>
      <c r="P21" s="46">
        <f t="shared" ca="1" si="1"/>
        <v>1.1268939393903079E-2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input_525100!A$2</f>
        <v>525100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IFERROR(VLOOKUP(B22,input_525100!L:R,7,FALSE),VLOOKUP(tables_525100!C22,input_525100!A:H,8,FALSE))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input_525100!A$2</f>
        <v>525100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IFERROR(VLOOKUP(B23,input_525100!L:R,7,FALSE),VLOOKUP(tables_525100!C23,input_525100!A:H,8,FALSE))</f>
        <v>699125</v>
      </c>
      <c r="P23" s="46">
        <f t="shared" ca="1" si="1"/>
        <v>1.1268939393903079E-2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input_525100!A$2</f>
        <v>525100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IFERROR(VLOOKUP(B24,input_525100!L:R,7,FALSE),VLOOKUP(tables_525100!C24,input_525100!A:H,8,FALSE))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input_525100!A$2</f>
        <v>525100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IFERROR(VLOOKUP(B25,input_525100!L:R,7,FALSE),VLOOKUP(tables_525100!C25,input_525100!A:H,8,FALSE))</f>
        <v>699125</v>
      </c>
      <c r="P25" s="46">
        <f t="shared" ca="1" si="1"/>
        <v>1.1268939393903079E-2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input_525100!A$2</f>
        <v>525100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IFERROR(VLOOKUP(B26,input_525100!L:R,7,FALSE),VLOOKUP(tables_525100!C26,input_525100!A:H,8,FALSE))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input_525100!A$2</f>
        <v>525100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IFERROR(VLOOKUP(B27,input_525100!L:R,7,FALSE),VLOOKUP(tables_525100!C27,input_525100!A:H,8,FALSE))</f>
        <v>699125</v>
      </c>
      <c r="P27" s="46">
        <f t="shared" ca="1" si="1"/>
        <v>1.1268939393903079E-2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input_525100!A$2</f>
        <v>525100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IFERROR(VLOOKUP(B28,input_525100!L:R,7,FALSE),VLOOKUP(tables_525100!C28,input_525100!A:H,8,FALSE))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input_525100!A$2</f>
        <v>525100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IFERROR(VLOOKUP(B29,input_525100!L:R,7,FALSE),VLOOKUP(tables_525100!C29,input_525100!A:H,8,FALSE))</f>
        <v>699125</v>
      </c>
      <c r="P29" s="46">
        <f t="shared" ca="1" si="1"/>
        <v>1.1268939393903079E-2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input_525100!A$2</f>
        <v>525100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IFERROR(VLOOKUP(B30,input_525100!L:R,7,FALSE),VLOOKUP(tables_525100!C30,input_525100!A:H,8,FALSE))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input_525100!A$2</f>
        <v>525100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IFERROR(VLOOKUP(B31,input_525100!L:R,7,FALSE),VLOOKUP(tables_525100!C31,input_525100!A:H,8,FALSE))</f>
        <v>699125</v>
      </c>
      <c r="P31" s="46">
        <f t="shared" ca="1" si="1"/>
        <v>1.1268939393903079E-2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input_525100!A$2</f>
        <v>525100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IFERROR(VLOOKUP(B32,input_525100!L:R,7,FALSE),VLOOKUP(tables_525100!C32,input_525100!A:H,8,FALSE))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input_525100!A$2</f>
        <v>525100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IFERROR(VLOOKUP(B33,input_525100!L:R,7,FALSE),VLOOKUP(tables_525100!C33,input_525100!A:H,8,FALSE))</f>
        <v>699125</v>
      </c>
      <c r="P33" s="46">
        <f t="shared" ca="1" si="1"/>
        <v>1.1268939393903079E-2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input_525100!A$2</f>
        <v>525100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IFERROR(VLOOKUP(B34,input_525100!L:R,7,FALSE),VLOOKUP(tables_525100!C34,input_525100!A:H,8,FALSE))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input_525100!A$2</f>
        <v>525100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IFERROR(VLOOKUP(B35,input_525100!L:R,7,FALSE),VLOOKUP(tables_525100!C35,input_525100!A:H,8,FALSE))</f>
        <v>699125</v>
      </c>
      <c r="P35" s="46">
        <f t="shared" ca="1" si="1"/>
        <v>1.1268939393903079E-2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input_525100!A$2</f>
        <v>525100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IFERROR(VLOOKUP(B36,input_525100!L:R,7,FALSE),VLOOKUP(tables_525100!C36,input_525100!A:H,8,FALSE))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input_525100!A$2</f>
        <v>525100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IFERROR(VLOOKUP(B37,input_525100!L:R,7,FALSE),VLOOKUP(tables_525100!C37,input_525100!A:H,8,FALSE))</f>
        <v>699125</v>
      </c>
      <c r="P37" s="46">
        <f t="shared" ca="1" si="1"/>
        <v>1.1268939393903079E-2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input_525100!A$2</f>
        <v>525100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IFERROR(VLOOKUP(B38,input_525100!L:R,7,FALSE),VLOOKUP(tables_525100!C38,input_525100!A:H,8,FALSE))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input_525100!A$2</f>
        <v>525100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IFERROR(VLOOKUP(B39,input_525100!L:R,7,FALSE),VLOOKUP(tables_525100!C39,input_525100!A:H,8,FALSE))</f>
        <v>699125</v>
      </c>
      <c r="P39" s="46">
        <f t="shared" ca="1" si="1"/>
        <v>1.1268939393903079E-2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input_525100!A$2</f>
        <v>525100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IFERROR(VLOOKUP(B40,input_525100!L:R,7,FALSE),VLOOKUP(tables_525100!C40,input_525100!A:H,8,FALSE))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input_525100!A$2</f>
        <v>525100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IFERROR(VLOOKUP(B41,input_525100!L:R,7,FALSE),VLOOKUP(tables_525100!C41,input_525100!A:H,8,FALSE))</f>
        <v>699125</v>
      </c>
      <c r="P41" s="46">
        <f t="shared" ca="1" si="1"/>
        <v>1.1268939393903079E-2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input_525100!A$2</f>
        <v>525100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IFERROR(VLOOKUP(B42,input_525100!L:R,7,FALSE),VLOOKUP(tables_525100!C42,input_525100!A:H,8,FALSE))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input_525100!A$2</f>
        <v>525100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IFERROR(VLOOKUP(B43,input_525100!L:R,7,FALSE),VLOOKUP(tables_525100!C43,input_525100!A:H,8,FALSE))</f>
        <v>573870</v>
      </c>
      <c r="P43" s="46">
        <f t="shared" ca="1" si="1"/>
        <v>9.2499999999701918E-3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input_525100!A$2</f>
        <v>525100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IFERROR(VLOOKUP(B44,input_525100!L:R,7,FALSE),VLOOKUP(tables_525100!C44,input_525100!A:H,8,FALSE))</f>
        <v>46530</v>
      </c>
      <c r="P44" s="46">
        <f t="shared" ca="1" si="1"/>
        <v>7.4999999999758311E-4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input_525100!A$2</f>
        <v>525100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IFERROR(VLOOKUP(B45,input_525100!L:R,7,FALSE),VLOOKUP(tables_525100!C45,input_525100!A:H,8,FALSE))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input_525100!A$2</f>
        <v>525100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IFERROR(VLOOKUP(B46,input_525100!L:R,7,FALSE),VLOOKUP(tables_525100!C46,input_525100!A:H,8,FALSE))</f>
        <v>573870</v>
      </c>
      <c r="P46" s="46">
        <f t="shared" ca="1" si="1"/>
        <v>9.2499999999701918E-3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input_525100!A$2</f>
        <v>525100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IFERROR(VLOOKUP(B47,input_525100!L:R,7,FALSE),VLOOKUP(tables_525100!C47,input_525100!A:H,8,FALSE))</f>
        <v>46530</v>
      </c>
      <c r="P47" s="46">
        <f t="shared" ca="1" si="1"/>
        <v>7.4999999999758311E-4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input_525100!A$2</f>
        <v>525100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IFERROR(VLOOKUP(B48,input_525100!L:R,7,FALSE),VLOOKUP(tables_525100!C48,input_525100!A:H,8,FALSE))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input_525100!A$2</f>
        <v>525100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IFERROR(VLOOKUP(B49,input_525100!L:R,7,FALSE),VLOOKUP(tables_525100!C49,input_525100!A:H,8,FALSE))</f>
        <v>573870</v>
      </c>
      <c r="P49" s="46">
        <f t="shared" ca="1" si="1"/>
        <v>9.2499999999701918E-3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input_525100!A$2</f>
        <v>525100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IFERROR(VLOOKUP(B50,input_525100!L:R,7,FALSE),VLOOKUP(tables_525100!C50,input_525100!A:H,8,FALSE))</f>
        <v>46530</v>
      </c>
      <c r="P50" s="46">
        <f t="shared" ca="1" si="1"/>
        <v>7.4999999999758311E-4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input_525100!A$2</f>
        <v>525100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IFERROR(VLOOKUP(B51,input_525100!L:R,7,FALSE),VLOOKUP(tables_525100!C51,input_525100!A:H,8,FALSE))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input_525100!A$2</f>
        <v>525100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IFERROR(VLOOKUP(B52,input_525100!L:R,7,FALSE),VLOOKUP(tables_525100!C52,input_525100!A:H,8,FALSE))</f>
        <v>573870</v>
      </c>
      <c r="P52" s="46">
        <f t="shared" ca="1" si="1"/>
        <v>9.2499999999701918E-3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input_525100!A$2</f>
        <v>525100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IFERROR(VLOOKUP(B53,input_525100!L:R,7,FALSE),VLOOKUP(tables_525100!C53,input_525100!A:H,8,FALSE))</f>
        <v>16251.153850000001</v>
      </c>
      <c r="P53" s="46">
        <f t="shared" ca="1" si="1"/>
        <v>2.6194638700753755E-4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input_525100!A$2</f>
        <v>525100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IFERROR(VLOOKUP(B54,input_525100!L:R,7,FALSE),VLOOKUP(tables_525100!C54,input_525100!A:H,8,FALSE))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input_525100!A$2</f>
        <v>525100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IFERROR(VLOOKUP(B55,input_525100!L:R,7,FALSE),VLOOKUP(tables_525100!C55,input_525100!A:H,8,FALSE))</f>
        <v>573870</v>
      </c>
      <c r="P55" s="46">
        <f t="shared" ca="1" si="1"/>
        <v>9.2499999999701918E-3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input_525100!A$2</f>
        <v>525100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IFERROR(VLOOKUP(B56,input_525100!L:R,7,FALSE),VLOOKUP(tables_525100!C56,input_525100!A:H,8,FALSE))</f>
        <v>16251.153850000001</v>
      </c>
      <c r="P56" s="46">
        <f t="shared" ca="1" si="1"/>
        <v>2.6194638700753755E-4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input_525100!A$2</f>
        <v>525100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IFERROR(VLOOKUP(B57,input_525100!L:R,7,FALSE),VLOOKUP(tables_525100!C57,input_525100!A:H,8,FALSE))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input_525100!A$2</f>
        <v>525100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IFERROR(VLOOKUP(B58,input_525100!L:R,7,FALSE),VLOOKUP(tables_525100!C58,input_525100!A:H,8,FALSE))</f>
        <v>573870</v>
      </c>
      <c r="P58" s="46">
        <f t="shared" ca="1" si="1"/>
        <v>9.2499999999701918E-3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input_525100!A$2</f>
        <v>525100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IFERROR(VLOOKUP(B59,input_525100!L:R,7,FALSE),VLOOKUP(tables_525100!C59,input_525100!A:H,8,FALSE))</f>
        <v>16251.153850000001</v>
      </c>
      <c r="P59" s="46">
        <f t="shared" ca="1" si="1"/>
        <v>2.6194638700753755E-4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input_525100!A$2</f>
        <v>525100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IFERROR(VLOOKUP(B60,input_525100!L:R,7,FALSE),VLOOKUP(tables_525100!C60,input_525100!A:H,8,FALSE))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input_525100!A$2</f>
        <v>525100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IFERROR(VLOOKUP(B61,input_525100!L:R,7,FALSE),VLOOKUP(tables_525100!C61,input_525100!A:H,8,FALSE))</f>
        <v>573870</v>
      </c>
      <c r="P61" s="46">
        <f t="shared" ca="1" si="1"/>
        <v>9.2499999999701918E-3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input_525100!A$2</f>
        <v>525100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IFERROR(VLOOKUP(B62,input_525100!L:R,7,FALSE),VLOOKUP(tables_525100!C62,input_525100!A:H,8,FALSE))</f>
        <v>16251.153850000001</v>
      </c>
      <c r="P62" s="46">
        <f t="shared" ca="1" si="1"/>
        <v>2.6194638700753755E-4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input_525100!A$2</f>
        <v>525100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IFERROR(VLOOKUP(B63,input_525100!L:R,7,FALSE),VLOOKUP(tables_525100!C63,input_525100!A:H,8,FALSE))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input_525100!A$2</f>
        <v>525100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IFERROR(VLOOKUP(B64,input_525100!L:R,7,FALSE),VLOOKUP(tables_525100!C64,input_525100!A:H,8,FALSE))</f>
        <v>573870</v>
      </c>
      <c r="P64" s="46">
        <f t="shared" ca="1" si="1"/>
        <v>9.2499999999701918E-3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input_525100!A$2</f>
        <v>525100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IFERROR(VLOOKUP(B65,input_525100!L:R,7,FALSE),VLOOKUP(tables_525100!C65,input_525100!A:H,8,FALSE))</f>
        <v>16251.153850000001</v>
      </c>
      <c r="P65" s="46">
        <f t="shared" ca="1" si="1"/>
        <v>2.6194638700753755E-4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input_525100!A$2</f>
        <v>525100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IFERROR(VLOOKUP(B66,input_525100!L:R,7,FALSE),VLOOKUP(tables_525100!C66,input_525100!A:H,8,FALSE))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input_525100!A$2</f>
        <v>525100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IFERROR(VLOOKUP(B67,input_525100!L:R,7,FALSE),VLOOKUP(tables_525100!C67,input_525100!A:H,8,FALSE))</f>
        <v>573870</v>
      </c>
      <c r="P67" s="46">
        <f t="shared" ca="1" si="4"/>
        <v>9.2499999999701918E-3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input_525100!A$2</f>
        <v>525100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IFERROR(VLOOKUP(B68,input_525100!L:R,7,FALSE),VLOOKUP(tables_525100!C68,input_525100!A:H,8,FALSE))</f>
        <v>16251.153850000001</v>
      </c>
      <c r="P68" s="46">
        <f t="shared" ca="1" si="4"/>
        <v>2.6194638700753755E-4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input_525100!A$2</f>
        <v>525100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IFERROR(VLOOKUP(B69,input_525100!L:R,7,FALSE),VLOOKUP(tables_525100!C69,input_525100!A:H,8,FALSE))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input_525100!A$2</f>
        <v>525100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IFERROR(VLOOKUP(B70,input_525100!L:R,7,FALSE),VLOOKUP(tables_525100!C70,input_525100!A:H,8,FALSE))</f>
        <v>573870</v>
      </c>
      <c r="P70" s="46">
        <f t="shared" ca="1" si="4"/>
        <v>9.2499999999701918E-3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input_525100!A$2</f>
        <v>525100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IFERROR(VLOOKUP(B71,input_525100!L:R,7,FALSE),VLOOKUP(tables_525100!C71,input_525100!A:H,8,FALSE))</f>
        <v>16251.153850000001</v>
      </c>
      <c r="P71" s="46">
        <f t="shared" ca="1" si="4"/>
        <v>2.6194638700753755E-4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input_525100!A$2</f>
        <v>525100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IFERROR(VLOOKUP(B72,input_525100!L:R,7,FALSE),VLOOKUP(tables_525100!C72,input_525100!A:H,8,FALSE))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input_525100!A$2</f>
        <v>525100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IFERROR(VLOOKUP(B73,input_525100!L:R,7,FALSE),VLOOKUP(tables_525100!C73,input_525100!A:H,8,FALSE))</f>
        <v>573870</v>
      </c>
      <c r="P73" s="46">
        <f t="shared" ca="1" si="4"/>
        <v>9.2499999999701918E-3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input_525100!A$2</f>
        <v>525100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IFERROR(VLOOKUP(B74,input_525100!L:R,7,FALSE),VLOOKUP(tables_525100!C74,input_525100!A:H,8,FALSE))</f>
        <v>16251.153850000001</v>
      </c>
      <c r="P74" s="46">
        <f t="shared" ca="1" si="4"/>
        <v>2.6194638700753755E-4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input_525100!A$2</f>
        <v>525100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IFERROR(VLOOKUP(B75,input_525100!L:R,7,FALSE),VLOOKUP(tables_525100!C75,input_525100!A:H,8,FALSE))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input_525100!A$2</f>
        <v>525100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IFERROR(VLOOKUP(B76,input_525100!L:R,7,FALSE),VLOOKUP(tables_525100!C76,input_525100!A:H,8,FALSE))</f>
        <v>573870</v>
      </c>
      <c r="P76" s="46">
        <f t="shared" ca="1" si="4"/>
        <v>9.2499999999701918E-3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input_525100!A$2</f>
        <v>525100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IFERROR(VLOOKUP(B77,input_525100!L:R,7,FALSE),VLOOKUP(tables_525100!C77,input_525100!A:H,8,FALSE))</f>
        <v>16251.153850000001</v>
      </c>
      <c r="P77" s="46">
        <f t="shared" ca="1" si="4"/>
        <v>2.6194638700753755E-4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input_525100!A$2</f>
        <v>525100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IFERROR(VLOOKUP(B78,input_525100!L:R,7,FALSE),VLOOKUP(tables_525100!C78,input_525100!A:H,8,FALSE))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input_525100!A$2</f>
        <v>525100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IFERROR(VLOOKUP(B79,input_525100!L:R,7,FALSE),VLOOKUP(tables_525100!C79,input_525100!A:H,8,FALSE))</f>
        <v>573870</v>
      </c>
      <c r="P79" s="46">
        <f t="shared" ca="1" si="4"/>
        <v>9.2499999999701918E-3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input_525100!A$2</f>
        <v>525100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IFERROR(VLOOKUP(B80,input_525100!L:R,7,FALSE),VLOOKUP(tables_525100!C80,input_525100!A:H,8,FALSE))</f>
        <v>16251.153850000001</v>
      </c>
      <c r="P80" s="46">
        <f t="shared" ca="1" si="4"/>
        <v>2.6194638700753755E-4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input_525100!A$2</f>
        <v>525100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IFERROR(VLOOKUP(B81,input_525100!L:R,7,FALSE),VLOOKUP(tables_525100!C81,input_525100!A:H,8,FALSE))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input_525100!A$2</f>
        <v>525100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IFERROR(VLOOKUP(B82,input_525100!L:R,7,FALSE),VLOOKUP(tables_525100!C82,input_525100!A:H,8,FALSE))</f>
        <v>573870</v>
      </c>
      <c r="P82" s="46">
        <f t="shared" ca="1" si="4"/>
        <v>9.2499999999701918E-3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input_525100!A$2</f>
        <v>525100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IFERROR(VLOOKUP(B83,input_525100!L:R,7,FALSE),VLOOKUP(tables_525100!C83,input_525100!A:H,8,FALSE))</f>
        <v>16251.153850000001</v>
      </c>
      <c r="P83" s="46">
        <f t="shared" ca="1" si="4"/>
        <v>2.6194638700753755E-4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input_525100!A$2</f>
        <v>525100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IFERROR(VLOOKUP(B84,input_525100!L:R,7,FALSE),VLOOKUP(tables_525100!C84,input_525100!A:H,8,FALSE))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input_525100!A$2</f>
        <v>525100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IFERROR(VLOOKUP(B85,input_525100!L:R,7,FALSE),VLOOKUP(tables_525100!C85,input_525100!A:H,8,FALSE))</f>
        <v>573870</v>
      </c>
      <c r="P85" s="46">
        <f t="shared" ca="1" si="4"/>
        <v>9.2499999999701918E-3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input_525100!A$2</f>
        <v>525100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IFERROR(VLOOKUP(B86,input_525100!L:R,7,FALSE),VLOOKUP(tables_525100!C86,input_525100!A:H,8,FALSE))</f>
        <v>16251.153850000001</v>
      </c>
      <c r="P86" s="46">
        <f t="shared" ca="1" si="4"/>
        <v>2.6194638700753755E-4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input_525100!A$2</f>
        <v>525100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IFERROR(VLOOKUP(B87,input_525100!L:R,7,FALSE),VLOOKUP(tables_525100!C87,input_525100!A:H,8,FALSE))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input_525100!A$2</f>
        <v>525100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IFERROR(VLOOKUP(B88,input_525100!L:R,7,FALSE),VLOOKUP(tables_525100!C88,input_525100!A:H,8,FALSE))</f>
        <v>573870</v>
      </c>
      <c r="P88" s="46">
        <f t="shared" ca="1" si="4"/>
        <v>9.2499999999701918E-3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input_525100!A$2</f>
        <v>525100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IFERROR(VLOOKUP(B89,input_525100!L:R,7,FALSE),VLOOKUP(tables_525100!C89,input_525100!A:H,8,FALSE))</f>
        <v>16251.153850000001</v>
      </c>
      <c r="P89" s="46">
        <f t="shared" ca="1" si="4"/>
        <v>2.6194638700753755E-4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input_525100!A$2</f>
        <v>525100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IFERROR(VLOOKUP(B90,input_525100!L:R,7,FALSE),VLOOKUP(tables_525100!C90,input_525100!A:H,8,FALSE))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input_525100!A$2</f>
        <v>525100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IFERROR(VLOOKUP(B91,input_525100!L:R,7,FALSE),VLOOKUP(tables_525100!C91,input_525100!A:H,8,FALSE))</f>
        <v>573870</v>
      </c>
      <c r="P91" s="46">
        <f t="shared" ca="1" si="4"/>
        <v>9.2499999999701918E-3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input_525100!A$2</f>
        <v>525100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IFERROR(VLOOKUP(B92,input_525100!L:R,7,FALSE),VLOOKUP(tables_525100!C92,input_525100!A:H,8,FALSE))</f>
        <v>16251.153850000001</v>
      </c>
      <c r="P92" s="46">
        <f t="shared" ca="1" si="4"/>
        <v>2.6194638700753755E-4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input_525100!A$2</f>
        <v>525100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IFERROR(VLOOKUP(B93,input_525100!L:R,7,FALSE),VLOOKUP(tables_525100!C93,input_525100!A:H,8,FALSE))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input_525100!A$2</f>
        <v>525100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IFERROR(VLOOKUP(B94,input_525100!L:R,7,FALSE),VLOOKUP(tables_525100!C94,input_525100!A:H,8,FALSE))</f>
        <v>573870</v>
      </c>
      <c r="P94" s="46">
        <f t="shared" ca="1" si="4"/>
        <v>9.2499999999701918E-3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input_525100!A$2</f>
        <v>525100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IFERROR(VLOOKUP(B95,input_525100!L:R,7,FALSE),VLOOKUP(tables_525100!C95,input_525100!A:H,8,FALSE))</f>
        <v>16251.153850000001</v>
      </c>
      <c r="P95" s="46">
        <f t="shared" ca="1" si="4"/>
        <v>2.6194638700753755E-4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input_525100!A$2</f>
        <v>525100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IFERROR(VLOOKUP(B96,input_525100!L:R,7,FALSE),VLOOKUP(tables_525100!C96,input_525100!A:H,8,FALSE))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input_525100!A$2</f>
        <v>525100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IFERROR(VLOOKUP(B97,input_525100!L:R,7,FALSE),VLOOKUP(tables_525100!C97,input_525100!A:H,8,FALSE))</f>
        <v>573870</v>
      </c>
      <c r="P97" s="46">
        <f t="shared" ca="1" si="4"/>
        <v>9.2499999999701918E-3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input_525100!A$2</f>
        <v>525100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IFERROR(VLOOKUP(B98,input_525100!L:R,7,FALSE),VLOOKUP(tables_525100!C98,input_525100!A:H,8,FALSE))</f>
        <v>16251.153850000001</v>
      </c>
      <c r="P98" s="46">
        <f t="shared" ca="1" si="4"/>
        <v>2.6194638700753755E-4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input_525100!A$2</f>
        <v>525100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IFERROR(VLOOKUP(B99,input_525100!L:R,7,FALSE),VLOOKUP(tables_525100!C99,input_525100!A:H,8,FALSE))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input_525100!A$2</f>
        <v>525100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IFERROR(VLOOKUP(B100,input_525100!L:R,7,FALSE),VLOOKUP(tables_525100!C100,input_525100!A:H,8,FALSE))</f>
        <v>573870</v>
      </c>
      <c r="P100" s="46">
        <f t="shared" ca="1" si="4"/>
        <v>9.2499999999701918E-3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input_525100!A$2</f>
        <v>525100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IFERROR(VLOOKUP(B101,input_525100!L:R,7,FALSE),VLOOKUP(tables_525100!C101,input_525100!A:H,8,FALSE))</f>
        <v>16251.153850000001</v>
      </c>
      <c r="P101" s="46">
        <f t="shared" ca="1" si="4"/>
        <v>2.6194638700753755E-4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input_525100!A$2</f>
        <v>525100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IFERROR(VLOOKUP(B102,input_525100!L:R,7,FALSE),VLOOKUP(tables_525100!C102,input_525100!A:H,8,FALSE))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input_525100!A$2</f>
        <v>525100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IFERROR(VLOOKUP(B103,input_525100!L:R,7,FALSE),VLOOKUP(tables_525100!C103,input_525100!A:H,8,FALSE))</f>
        <v>573870</v>
      </c>
      <c r="P103" s="46">
        <f t="shared" ca="1" si="4"/>
        <v>9.2499999999701918E-3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input_525100!A$2</f>
        <v>525100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IFERROR(VLOOKUP(B104,input_525100!L:R,7,FALSE),VLOOKUP(tables_525100!C104,input_525100!A:H,8,FALSE))</f>
        <v>16251.153850000001</v>
      </c>
      <c r="P104" s="46">
        <f t="shared" ca="1" si="4"/>
        <v>2.6194638700753755E-4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input_525100!A$2</f>
        <v>525100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IFERROR(VLOOKUP(B105,input_525100!L:R,7,FALSE),VLOOKUP(tables_525100!C105,input_525100!A:H,8,FALSE))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input_525100!A$2</f>
        <v>525100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IFERROR(VLOOKUP(B106,input_525100!L:R,7,FALSE),VLOOKUP(tables_525100!C106,input_525100!A:H,8,FALSE))</f>
        <v>573870</v>
      </c>
      <c r="P106" s="46">
        <f t="shared" ca="1" si="4"/>
        <v>9.2499999999701918E-3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input_525100!A$2</f>
        <v>525100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IFERROR(VLOOKUP(B107,input_525100!L:R,7,FALSE),VLOOKUP(tables_525100!C107,input_525100!A:H,8,FALSE))</f>
        <v>16251.153850000001</v>
      </c>
      <c r="P107" s="46">
        <f t="shared" ca="1" si="4"/>
        <v>2.6194638700753755E-4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input_525100!A$2</f>
        <v>525100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IFERROR(VLOOKUP(B108,input_525100!L:R,7,FALSE),VLOOKUP(tables_525100!C108,input_525100!A:H,8,FALSE))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input_525100!A$2</f>
        <v>525100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IFERROR(VLOOKUP(B109,input_525100!L:R,7,FALSE),VLOOKUP(tables_525100!C109,input_525100!A:H,8,FALSE))</f>
        <v>573870</v>
      </c>
      <c r="P109" s="46">
        <f t="shared" ca="1" si="4"/>
        <v>9.2499999999701918E-3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input_525100!A$2</f>
        <v>525100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IFERROR(VLOOKUP(B110,input_525100!L:R,7,FALSE),VLOOKUP(tables_525100!C110,input_525100!A:H,8,FALSE))</f>
        <v>16251.153850000001</v>
      </c>
      <c r="P110" s="46">
        <f t="shared" ca="1" si="4"/>
        <v>2.6194638700753755E-4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input_525100!A$2</f>
        <v>525100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IFERROR(VLOOKUP(B111,input_525100!L:R,7,FALSE),VLOOKUP(tables_525100!C111,input_525100!A:H,8,FALSE))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input_525100!A$2</f>
        <v>525100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IFERROR(VLOOKUP(B112,input_525100!L:R,7,FALSE),VLOOKUP(tables_525100!C112,input_525100!A:H,8,FALSE))</f>
        <v>573870</v>
      </c>
      <c r="P112" s="46">
        <f t="shared" ca="1" si="4"/>
        <v>9.2499999999701918E-3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input_525100!A$2</f>
        <v>525100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IFERROR(VLOOKUP(B113,input_525100!L:R,7,FALSE),VLOOKUP(tables_525100!C113,input_525100!A:H,8,FALSE))</f>
        <v>46530</v>
      </c>
      <c r="P113" s="46">
        <f t="shared" ca="1" si="4"/>
        <v>7.4999999999758311E-4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input_525100!A$2</f>
        <v>525100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IFERROR(VLOOKUP(B114,input_525100!L:R,7,FALSE),VLOOKUP(tables_525100!C114,input_525100!A:H,8,FALSE))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input_525100!A$2</f>
        <v>525100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IFERROR(VLOOKUP(B115,input_525100!L:R,7,FALSE),VLOOKUP(tables_525100!C115,input_525100!A:H,8,FALSE))</f>
        <v>573870</v>
      </c>
      <c r="P115" s="46">
        <f t="shared" ca="1" si="4"/>
        <v>9.2499999999701918E-3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input_525100!A$2</f>
        <v>525100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IFERROR(VLOOKUP(B116,input_525100!L:R,7,FALSE),VLOOKUP(tables_525100!C116,input_525100!A:H,8,FALSE))</f>
        <v>16251.153850000001</v>
      </c>
      <c r="P116" s="46">
        <f t="shared" ca="1" si="4"/>
        <v>2.6194638700753755E-4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input_525100!A$2</f>
        <v>525100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IFERROR(VLOOKUP(B117,input_525100!L:R,7,FALSE),VLOOKUP(tables_525100!C117,input_525100!A:H,8,FALSE))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input_525100!A$2</f>
        <v>525100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IFERROR(VLOOKUP(B118,input_525100!L:R,7,FALSE),VLOOKUP(tables_525100!C118,input_525100!A:H,8,FALSE))</f>
        <v>573870</v>
      </c>
      <c r="P118" s="46">
        <f t="shared" ca="1" si="4"/>
        <v>9.2499999999701918E-3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input_525100!A$2</f>
        <v>525100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IFERROR(VLOOKUP(B119,input_525100!L:R,7,FALSE),VLOOKUP(tables_525100!C119,input_525100!A:H,8,FALSE))</f>
        <v>16251.153850000001</v>
      </c>
      <c r="P119" s="46">
        <f t="shared" ca="1" si="4"/>
        <v>2.6194638700753755E-4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input_525100!A$2</f>
        <v>525100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IFERROR(VLOOKUP(B120,input_525100!L:R,7,FALSE),VLOOKUP(tables_525100!C120,input_525100!A:H,8,FALSE))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input_525100!A$2</f>
        <v>525100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IFERROR(VLOOKUP(B121,input_525100!L:R,7,FALSE),VLOOKUP(tables_525100!C121,input_525100!A:H,8,FALSE))</f>
        <v>573870</v>
      </c>
      <c r="P121" s="46">
        <f t="shared" ca="1" si="4"/>
        <v>9.2499999999701918E-3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input_525100!A$2</f>
        <v>525100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IFERROR(VLOOKUP(B122,input_525100!L:R,7,FALSE),VLOOKUP(tables_525100!C122,input_525100!A:H,8,FALSE))</f>
        <v>16251.153850000001</v>
      </c>
      <c r="P122" s="46">
        <f t="shared" ca="1" si="4"/>
        <v>2.6194638700753755E-4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input_525100!A$2</f>
        <v>525100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IFERROR(VLOOKUP(B123,input_525100!L:R,7,FALSE),VLOOKUP(tables_525100!C123,input_525100!A:H,8,FALSE))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input_525100!A$2</f>
        <v>525100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IFERROR(VLOOKUP(B124,input_525100!L:R,7,FALSE),VLOOKUP(tables_525100!C124,input_525100!A:H,8,FALSE))</f>
        <v>573870</v>
      </c>
      <c r="P124" s="46">
        <f t="shared" ca="1" si="4"/>
        <v>9.2499999999701918E-3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input_525100!A$2</f>
        <v>525100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IFERROR(VLOOKUP(B125,input_525100!L:R,7,FALSE),VLOOKUP(tables_525100!C125,input_525100!A:H,8,FALSE))</f>
        <v>16251.153850000001</v>
      </c>
      <c r="P125" s="46">
        <f t="shared" ca="1" si="4"/>
        <v>2.6194638700753755E-4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input_525100!A$2</f>
        <v>525100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IFERROR(VLOOKUP(B126,input_525100!L:R,7,FALSE),VLOOKUP(tables_525100!C126,input_525100!A:H,8,FALSE))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input_525100!A$2</f>
        <v>525100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IFERROR(VLOOKUP(B127,input_525100!L:R,7,FALSE),VLOOKUP(tables_525100!C127,input_525100!A:H,8,FALSE))</f>
        <v>573870</v>
      </c>
      <c r="P127" s="46">
        <f t="shared" ca="1" si="4"/>
        <v>9.2499999999701918E-3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input_525100!A$2</f>
        <v>525100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IFERROR(VLOOKUP(B128,input_525100!L:R,7,FALSE),VLOOKUP(tables_525100!C128,input_525100!A:H,8,FALSE))</f>
        <v>16251.153850000001</v>
      </c>
      <c r="P128" s="46">
        <f t="shared" ca="1" si="4"/>
        <v>2.6194638700753755E-4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input_525100!A$2</f>
        <v>525100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IFERROR(VLOOKUP(B129,input_525100!L:R,7,FALSE),VLOOKUP(tables_525100!C129,input_525100!A:H,8,FALSE))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input_525100!A$2</f>
        <v>525100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IFERROR(VLOOKUP(B130,input_525100!L:R,7,FALSE),VLOOKUP(tables_525100!C130,input_525100!A:H,8,FALSE))</f>
        <v>573870</v>
      </c>
      <c r="P130" s="46">
        <f t="shared" ref="P130:P193" ca="1" si="7">O130/SUM(O:O)</f>
        <v>9.2499999999701918E-3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input_525100!A$2</f>
        <v>525100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IFERROR(VLOOKUP(B131,input_525100!L:R,7,FALSE),VLOOKUP(tables_525100!C131,input_525100!A:H,8,FALSE))</f>
        <v>16251.153850000001</v>
      </c>
      <c r="P131" s="46">
        <f t="shared" ca="1" si="7"/>
        <v>2.6194638700753755E-4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input_525100!A$2</f>
        <v>525100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IFERROR(VLOOKUP(B132,input_525100!L:R,7,FALSE),VLOOKUP(tables_525100!C132,input_525100!A:H,8,FALSE))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input_525100!A$2</f>
        <v>525100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IFERROR(VLOOKUP(B133,input_525100!L:R,7,FALSE),VLOOKUP(tables_525100!C133,input_525100!A:H,8,FALSE))</f>
        <v>573870</v>
      </c>
      <c r="P133" s="46">
        <f t="shared" ca="1" si="7"/>
        <v>9.2499999999701918E-3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input_525100!A$2</f>
        <v>525100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IFERROR(VLOOKUP(B134,input_525100!L:R,7,FALSE),VLOOKUP(tables_525100!C134,input_525100!A:H,8,FALSE))</f>
        <v>16251.153850000001</v>
      </c>
      <c r="P134" s="46">
        <f t="shared" ca="1" si="7"/>
        <v>2.6194638700753755E-4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input_525100!A$2</f>
        <v>525100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IFERROR(VLOOKUP(B135,input_525100!L:R,7,FALSE),VLOOKUP(tables_525100!C135,input_525100!A:H,8,FALSE))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input_525100!A$2</f>
        <v>525100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IFERROR(VLOOKUP(B136,input_525100!L:R,7,FALSE),VLOOKUP(tables_525100!C136,input_525100!A:H,8,FALSE))</f>
        <v>573870</v>
      </c>
      <c r="P136" s="46">
        <f t="shared" ca="1" si="7"/>
        <v>9.2499999999701918E-3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input_525100!A$2</f>
        <v>525100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IFERROR(VLOOKUP(B137,input_525100!L:R,7,FALSE),VLOOKUP(tables_525100!C137,input_525100!A:H,8,FALSE))</f>
        <v>16251.153850000001</v>
      </c>
      <c r="P137" s="46">
        <f t="shared" ca="1" si="7"/>
        <v>2.6194638700753755E-4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input_525100!A$2</f>
        <v>525100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IFERROR(VLOOKUP(B138,input_525100!L:R,7,FALSE),VLOOKUP(tables_525100!C138,input_525100!A:H,8,FALSE))</f>
        <v>43475</v>
      </c>
      <c r="P138" s="46">
        <f t="shared" ca="1" si="7"/>
        <v>7.0075757575531754E-4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input_525100!A$2</f>
        <v>525100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IFERROR(VLOOKUP(B139,input_525100!L:R,7,FALSE),VLOOKUP(tables_525100!C139,input_525100!A:H,8,FALSE))</f>
        <v>3525</v>
      </c>
      <c r="P139" s="46">
        <f t="shared" ca="1" si="7"/>
        <v>5.6818181817998717E-5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input_525100!A$2</f>
        <v>525100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IFERROR(VLOOKUP(B140,input_525100!L:R,7,FALSE),VLOOKUP(tables_525100!C140,input_525100!A:H,8,FALSE))</f>
        <v>43475</v>
      </c>
      <c r="P140" s="46">
        <f t="shared" ca="1" si="7"/>
        <v>7.0075757575531754E-4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input_525100!A$2</f>
        <v>525100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IFERROR(VLOOKUP(B141,input_525100!L:R,7,FALSE),VLOOKUP(tables_525100!C141,input_525100!A:H,8,FALSE))</f>
        <v>3525</v>
      </c>
      <c r="P141" s="46">
        <f t="shared" ca="1" si="7"/>
        <v>5.6818181817998717E-5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input_525100!A$2</f>
        <v>525100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IFERROR(VLOOKUP(B142,input_525100!L:R,7,FALSE),VLOOKUP(tables_525100!C142,input_525100!A:H,8,FALSE))</f>
        <v>43475</v>
      </c>
      <c r="P142" s="46">
        <f t="shared" ca="1" si="7"/>
        <v>7.0075757575531754E-4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input_525100!A$2</f>
        <v>525100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IFERROR(VLOOKUP(B143,input_525100!L:R,7,FALSE),VLOOKUP(tables_525100!C143,input_525100!A:H,8,FALSE))</f>
        <v>3525</v>
      </c>
      <c r="P143" s="46">
        <f t="shared" ca="1" si="7"/>
        <v>5.6818181817998717E-5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input_525100!A$2</f>
        <v>525100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IFERROR(VLOOKUP(B144,input_525100!L:R,7,FALSE),VLOOKUP(tables_525100!C144,input_525100!A:H,8,FALSE))</f>
        <v>43475</v>
      </c>
      <c r="P144" s="46">
        <f t="shared" ca="1" si="7"/>
        <v>7.0075757575531754E-4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input_525100!A$2</f>
        <v>525100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IFERROR(VLOOKUP(B145,input_525100!L:R,7,FALSE),VLOOKUP(tables_525100!C145,input_525100!A:H,8,FALSE))</f>
        <v>3525</v>
      </c>
      <c r="P145" s="46">
        <f t="shared" ca="1" si="7"/>
        <v>5.6818181817998717E-5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input_525100!A$2</f>
        <v>525100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IFERROR(VLOOKUP(B146,input_525100!L:R,7,FALSE),VLOOKUP(tables_525100!C146,input_525100!A:H,8,FALSE))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input_525100!A$2</f>
        <v>525100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IFERROR(VLOOKUP(B147,input_525100!L:R,7,FALSE),VLOOKUP(tables_525100!C147,input_525100!A:H,8,FALSE))</f>
        <v>573870</v>
      </c>
      <c r="P147" s="46">
        <f t="shared" ca="1" si="7"/>
        <v>9.2499999999701918E-3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input_525100!A$2</f>
        <v>525100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IFERROR(VLOOKUP(B148,input_525100!L:R,7,FALSE),VLOOKUP(tables_525100!C148,input_525100!A:H,8,FALSE))</f>
        <v>16251.153850000001</v>
      </c>
      <c r="P148" s="46">
        <f t="shared" ca="1" si="7"/>
        <v>2.6194638700753755E-4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input_525100!A$2</f>
        <v>525100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IFERROR(VLOOKUP(B149,input_525100!L:R,7,FALSE),VLOOKUP(tables_525100!C149,input_525100!A:H,8,FALSE))</f>
        <v>43475</v>
      </c>
      <c r="P149" s="46">
        <f t="shared" ca="1" si="7"/>
        <v>7.0075757575531754E-4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input_525100!A$2</f>
        <v>525100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IFERROR(VLOOKUP(B150,input_525100!L:R,7,FALSE),VLOOKUP(tables_525100!C150,input_525100!A:H,8,FALSE))</f>
        <v>3525</v>
      </c>
      <c r="P150" s="46">
        <f t="shared" ca="1" si="7"/>
        <v>5.6818181817998717E-5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input_525100!A$2</f>
        <v>525100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IFERROR(VLOOKUP(B151,input_525100!L:R,7,FALSE),VLOOKUP(tables_525100!C151,input_525100!A:H,8,FALSE))</f>
        <v>43475</v>
      </c>
      <c r="P151" s="46">
        <f t="shared" ca="1" si="7"/>
        <v>7.0075757575531754E-4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input_525100!A$2</f>
        <v>525100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IFERROR(VLOOKUP(B152,input_525100!L:R,7,FALSE),VLOOKUP(tables_525100!C152,input_525100!A:H,8,FALSE))</f>
        <v>3525</v>
      </c>
      <c r="P152" s="46">
        <f t="shared" ca="1" si="7"/>
        <v>5.6818181817998717E-5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input_525100!A$2</f>
        <v>525100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IFERROR(VLOOKUP(B153,input_525100!L:R,7,FALSE),VLOOKUP(tables_525100!C153,input_525100!A:H,8,FALSE))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input_525100!A$2</f>
        <v>525100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IFERROR(VLOOKUP(B154,input_525100!L:R,7,FALSE),VLOOKUP(tables_525100!C154,input_525100!A:H,8,FALSE))</f>
        <v>573870</v>
      </c>
      <c r="P154" s="46">
        <f t="shared" ca="1" si="7"/>
        <v>9.2499999999701918E-3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input_525100!A$2</f>
        <v>525100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IFERROR(VLOOKUP(B155,input_525100!L:R,7,FALSE),VLOOKUP(tables_525100!C155,input_525100!A:H,8,FALSE))</f>
        <v>16251.153850000001</v>
      </c>
      <c r="P155" s="46">
        <f t="shared" ca="1" si="7"/>
        <v>2.6194638700753755E-4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input_525100!A$2</f>
        <v>525100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IFERROR(VLOOKUP(B156,input_525100!L:R,7,FALSE),VLOOKUP(tables_525100!C156,input_525100!A:H,8,FALSE))</f>
        <v>43475</v>
      </c>
      <c r="P156" s="46">
        <f t="shared" ca="1" si="7"/>
        <v>7.0075757575531754E-4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input_525100!A$2</f>
        <v>525100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IFERROR(VLOOKUP(B157,input_525100!L:R,7,FALSE),VLOOKUP(tables_525100!C157,input_525100!A:H,8,FALSE))</f>
        <v>3525</v>
      </c>
      <c r="P157" s="46">
        <f t="shared" ca="1" si="7"/>
        <v>5.6818181817998717E-5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input_525100!A$2</f>
        <v>525100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IFERROR(VLOOKUP(B158,input_525100!L:R,7,FALSE),VLOOKUP(tables_525100!C158,input_525100!A:H,8,FALSE))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input_525100!A$2</f>
        <v>525100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IFERROR(VLOOKUP(B159,input_525100!L:R,7,FALSE),VLOOKUP(tables_525100!C159,input_525100!A:H,8,FALSE))</f>
        <v>573870</v>
      </c>
      <c r="P159" s="46">
        <f t="shared" ca="1" si="7"/>
        <v>9.2499999999701918E-3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input_525100!A$2</f>
        <v>525100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IFERROR(VLOOKUP(B160,input_525100!L:R,7,FALSE),VLOOKUP(tables_525100!C160,input_525100!A:H,8,FALSE))</f>
        <v>16251.153850000001</v>
      </c>
      <c r="P160" s="46">
        <f t="shared" ca="1" si="7"/>
        <v>2.6194638700753755E-4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input_525100!A$2</f>
        <v>525100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IFERROR(VLOOKUP(B161,input_525100!L:R,7,FALSE),VLOOKUP(tables_525100!C161,input_525100!A:H,8,FALSE))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input_525100!A$2</f>
        <v>525100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IFERROR(VLOOKUP(B162,input_525100!L:R,7,FALSE),VLOOKUP(tables_525100!C162,input_525100!A:H,8,FALSE))</f>
        <v>573870</v>
      </c>
      <c r="P162" s="46">
        <f t="shared" ca="1" si="7"/>
        <v>9.2499999999701918E-3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input_525100!A$2</f>
        <v>525100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IFERROR(VLOOKUP(B163,input_525100!L:R,7,FALSE),VLOOKUP(tables_525100!C163,input_525100!A:H,8,FALSE))</f>
        <v>16251.153850000001</v>
      </c>
      <c r="P163" s="46">
        <f t="shared" ca="1" si="7"/>
        <v>2.6194638700753755E-4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input_525100!A$2</f>
        <v>525100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IFERROR(VLOOKUP(B164,input_525100!L:R,7,FALSE),VLOOKUP(tables_525100!C164,input_525100!A:H,8,FALSE))</f>
        <v>43475</v>
      </c>
      <c r="P164" s="46">
        <f t="shared" ca="1" si="7"/>
        <v>7.0075757575531754E-4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input_525100!A$2</f>
        <v>525100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IFERROR(VLOOKUP(B165,input_525100!L:R,7,FALSE),VLOOKUP(tables_525100!C165,input_525100!A:H,8,FALSE))</f>
        <v>3525</v>
      </c>
      <c r="P165" s="46">
        <f t="shared" ca="1" si="7"/>
        <v>5.6818181817998717E-5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input_525100!A$2</f>
        <v>525100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IFERROR(VLOOKUP(B166,input_525100!L:R,7,FALSE),VLOOKUP(tables_525100!C166,input_525100!A:H,8,FALSE))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input_525100!A$2</f>
        <v>525100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IFERROR(VLOOKUP(B167,input_525100!L:R,7,FALSE),VLOOKUP(tables_525100!C167,input_525100!A:H,8,FALSE))</f>
        <v>573870</v>
      </c>
      <c r="P167" s="46">
        <f t="shared" ca="1" si="7"/>
        <v>9.2499999999701918E-3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input_525100!A$2</f>
        <v>525100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IFERROR(VLOOKUP(B168,input_525100!L:R,7,FALSE),VLOOKUP(tables_525100!C168,input_525100!A:H,8,FALSE))</f>
        <v>16251.153850000001</v>
      </c>
      <c r="P168" s="46">
        <f t="shared" ca="1" si="7"/>
        <v>2.6194638700753755E-4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input_525100!A$2</f>
        <v>525100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IFERROR(VLOOKUP(B169,input_525100!L:R,7,FALSE),VLOOKUP(tables_525100!C169,input_525100!A:H,8,FALSE))</f>
        <v>43475</v>
      </c>
      <c r="P169" s="46">
        <f t="shared" ca="1" si="7"/>
        <v>7.0075757575531754E-4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input_525100!A$2</f>
        <v>525100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IFERROR(VLOOKUP(B170,input_525100!L:R,7,FALSE),VLOOKUP(tables_525100!C170,input_525100!A:H,8,FALSE))</f>
        <v>3525</v>
      </c>
      <c r="P170" s="46">
        <f t="shared" ca="1" si="7"/>
        <v>5.6818181817998717E-5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input_525100!A$2</f>
        <v>525100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IFERROR(VLOOKUP(B171,input_525100!L:R,7,FALSE),VLOOKUP(tables_525100!C171,input_525100!A:H,8,FALSE))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input_525100!A$2</f>
        <v>525100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IFERROR(VLOOKUP(B172,input_525100!L:R,7,FALSE),VLOOKUP(tables_525100!C172,input_525100!A:H,8,FALSE))</f>
        <v>573870</v>
      </c>
      <c r="P172" s="46">
        <f t="shared" ca="1" si="7"/>
        <v>9.2499999999701918E-3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input_525100!A$2</f>
        <v>525100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IFERROR(VLOOKUP(B173,input_525100!L:R,7,FALSE),VLOOKUP(tables_525100!C173,input_525100!A:H,8,FALSE))</f>
        <v>16251.153850000001</v>
      </c>
      <c r="P173" s="46">
        <f t="shared" ca="1" si="7"/>
        <v>2.6194638700753755E-4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input_525100!A$2</f>
        <v>525100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IFERROR(VLOOKUP(B174,input_525100!L:R,7,FALSE),VLOOKUP(tables_525100!C174,input_525100!A:H,8,FALSE))</f>
        <v>43475</v>
      </c>
      <c r="P174" s="46">
        <f t="shared" ca="1" si="7"/>
        <v>7.0075757575531754E-4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input_525100!A$2</f>
        <v>525100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IFERROR(VLOOKUP(B175,input_525100!L:R,7,FALSE),VLOOKUP(tables_525100!C175,input_525100!A:H,8,FALSE))</f>
        <v>3525</v>
      </c>
      <c r="P175" s="46">
        <f t="shared" ca="1" si="7"/>
        <v>5.6818181817998717E-5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input_525100!A$2</f>
        <v>525100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IFERROR(VLOOKUP(B176,input_525100!L:R,7,FALSE),VLOOKUP(tables_525100!C176,input_525100!A:H,8,FALSE))</f>
        <v>43475</v>
      </c>
      <c r="P176" s="46">
        <f t="shared" ca="1" si="7"/>
        <v>7.0075757575531754E-4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input_525100!A$2</f>
        <v>525100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IFERROR(VLOOKUP(B177,input_525100!L:R,7,FALSE),VLOOKUP(tables_525100!C177,input_525100!A:H,8,FALSE))</f>
        <v>3525</v>
      </c>
      <c r="P177" s="46">
        <f t="shared" ca="1" si="7"/>
        <v>5.6818181817998717E-5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input_525100!A$2</f>
        <v>525100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IFERROR(VLOOKUP(B178,input_525100!L:R,7,FALSE),VLOOKUP(tables_525100!C178,input_525100!A:H,8,FALSE))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input_525100!A$2</f>
        <v>525100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IFERROR(VLOOKUP(B179,input_525100!L:R,7,FALSE),VLOOKUP(tables_525100!C179,input_525100!A:H,8,FALSE))</f>
        <v>573870</v>
      </c>
      <c r="P179" s="46">
        <f t="shared" ca="1" si="7"/>
        <v>9.2499999999701918E-3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input_525100!A$2</f>
        <v>525100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IFERROR(VLOOKUP(B180,input_525100!L:R,7,FALSE),VLOOKUP(tables_525100!C180,input_525100!A:H,8,FALSE))</f>
        <v>16251.153850000001</v>
      </c>
      <c r="P180" s="46">
        <f t="shared" ca="1" si="7"/>
        <v>2.6194638700753755E-4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input_525100!A$2</f>
        <v>525100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IFERROR(VLOOKUP(B181,input_525100!L:R,7,FALSE),VLOOKUP(tables_525100!C181,input_525100!A:H,8,FALSE))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input_525100!A$2</f>
        <v>525100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IFERROR(VLOOKUP(B182,input_525100!L:R,7,FALSE),VLOOKUP(tables_525100!C182,input_525100!A:H,8,FALSE))</f>
        <v>573870</v>
      </c>
      <c r="P182" s="46">
        <f t="shared" ca="1" si="7"/>
        <v>9.2499999999701918E-3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input_525100!A$2</f>
        <v>525100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IFERROR(VLOOKUP(B183,input_525100!L:R,7,FALSE),VLOOKUP(tables_525100!C183,input_525100!A:H,8,FALSE))</f>
        <v>16251.153850000001</v>
      </c>
      <c r="P183" s="46">
        <f t="shared" ca="1" si="7"/>
        <v>2.6194638700753755E-4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input_525100!A$2</f>
        <v>525100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IFERROR(VLOOKUP(B184,input_525100!L:R,7,FALSE),VLOOKUP(tables_525100!C184,input_525100!A:H,8,FALSE))</f>
        <v>43475</v>
      </c>
      <c r="P184" s="46">
        <f t="shared" ca="1" si="7"/>
        <v>7.0075757575531754E-4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input_525100!A$2</f>
        <v>525100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IFERROR(VLOOKUP(B185,input_525100!L:R,7,FALSE),VLOOKUP(tables_525100!C185,input_525100!A:H,8,FALSE))</f>
        <v>3525</v>
      </c>
      <c r="P185" s="46">
        <f t="shared" ca="1" si="7"/>
        <v>5.6818181817998717E-5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input_525100!A$2</f>
        <v>525100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IFERROR(VLOOKUP(B186,input_525100!L:R,7,FALSE),VLOOKUP(tables_525100!C186,input_525100!A:H,8,FALSE))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input_525100!A$2</f>
        <v>525100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IFERROR(VLOOKUP(B187,input_525100!L:R,7,FALSE),VLOOKUP(tables_525100!C187,input_525100!A:H,8,FALSE))</f>
        <v>573870</v>
      </c>
      <c r="P187" s="46">
        <f t="shared" ca="1" si="7"/>
        <v>9.2499999999701918E-3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input_525100!A$2</f>
        <v>525100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IFERROR(VLOOKUP(B188,input_525100!L:R,7,FALSE),VLOOKUP(tables_525100!C188,input_525100!A:H,8,FALSE))</f>
        <v>16251.153850000001</v>
      </c>
      <c r="P188" s="46">
        <f t="shared" ca="1" si="7"/>
        <v>2.6194638700753755E-4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input_525100!A$2</f>
        <v>525100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IFERROR(VLOOKUP(B189,input_525100!L:R,7,FALSE),VLOOKUP(tables_525100!C189,input_525100!A:H,8,FALSE))</f>
        <v>43475</v>
      </c>
      <c r="P189" s="46">
        <f t="shared" ca="1" si="7"/>
        <v>7.0075757575531754E-4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input_525100!A$2</f>
        <v>525100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IFERROR(VLOOKUP(B190,input_525100!L:R,7,FALSE),VLOOKUP(tables_525100!C190,input_525100!A:H,8,FALSE))</f>
        <v>3525</v>
      </c>
      <c r="P190" s="46">
        <f t="shared" ca="1" si="7"/>
        <v>5.6818181817998717E-5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input_525100!A$2</f>
        <v>525100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IFERROR(VLOOKUP(B191,input_525100!L:R,7,FALSE),VLOOKUP(tables_525100!C191,input_525100!A:H,8,FALSE))</f>
        <v>43475</v>
      </c>
      <c r="P191" s="46">
        <f t="shared" ca="1" si="7"/>
        <v>7.0075757575531754E-4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input_525100!A$2</f>
        <v>525100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IFERROR(VLOOKUP(B192,input_525100!L:R,7,FALSE),VLOOKUP(tables_525100!C192,input_525100!A:H,8,FALSE))</f>
        <v>3525</v>
      </c>
      <c r="P192" s="46">
        <f t="shared" ca="1" si="7"/>
        <v>5.6818181817998717E-5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input_525100!A$2</f>
        <v>525100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IFERROR(VLOOKUP(B193,input_525100!L:R,7,FALSE),VLOOKUP(tables_525100!C193,input_525100!A:H,8,FALSE))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input_525100!A$2</f>
        <v>525100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IFERROR(VLOOKUP(B194,input_525100!L:R,7,FALSE),VLOOKUP(tables_525100!C194,input_525100!A:H,8,FALSE))</f>
        <v>573870</v>
      </c>
      <c r="P194" s="46">
        <f t="shared" ref="P194:P257" ca="1" si="10">O194/SUM(O:O)</f>
        <v>9.2499999999701918E-3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input_525100!A$2</f>
        <v>525100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IFERROR(VLOOKUP(B195,input_525100!L:R,7,FALSE),VLOOKUP(tables_525100!C195,input_525100!A:H,8,FALSE))</f>
        <v>16251.153850000001</v>
      </c>
      <c r="P195" s="46">
        <f t="shared" ca="1" si="10"/>
        <v>2.6194638700753755E-4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input_525100!A$2</f>
        <v>525100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IFERROR(VLOOKUP(B196,input_525100!L:R,7,FALSE),VLOOKUP(tables_525100!C196,input_525100!A:H,8,FALSE))</f>
        <v>43475</v>
      </c>
      <c r="P196" s="46">
        <f t="shared" ca="1" si="10"/>
        <v>7.0075757575531754E-4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input_525100!A$2</f>
        <v>525100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IFERROR(VLOOKUP(B197,input_525100!L:R,7,FALSE),VLOOKUP(tables_525100!C197,input_525100!A:H,8,FALSE))</f>
        <v>3525</v>
      </c>
      <c r="P197" s="46">
        <f t="shared" ca="1" si="10"/>
        <v>5.6818181817998717E-5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input_525100!A$2</f>
        <v>525100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IFERROR(VLOOKUP(B198,input_525100!L:R,7,FALSE),VLOOKUP(tables_525100!C198,input_525100!A:H,8,FALSE))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input_525100!A$2</f>
        <v>525100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IFERROR(VLOOKUP(B199,input_525100!L:R,7,FALSE),VLOOKUP(tables_525100!C199,input_525100!A:H,8,FALSE))</f>
        <v>573870</v>
      </c>
      <c r="P199" s="46">
        <f t="shared" ca="1" si="10"/>
        <v>9.2499999999701918E-3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input_525100!A$2</f>
        <v>525100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IFERROR(VLOOKUP(B200,input_525100!L:R,7,FALSE),VLOOKUP(tables_525100!C200,input_525100!A:H,8,FALSE))</f>
        <v>16251.153850000001</v>
      </c>
      <c r="P200" s="46">
        <f t="shared" ca="1" si="10"/>
        <v>2.6194638700753755E-4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input_525100!A$2</f>
        <v>525100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IFERROR(VLOOKUP(B201,input_525100!L:R,7,FALSE),VLOOKUP(tables_525100!C201,input_525100!A:H,8,FALSE))</f>
        <v>43475</v>
      </c>
      <c r="P201" s="46">
        <f t="shared" ca="1" si="10"/>
        <v>7.0075757575531754E-4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input_525100!A$2</f>
        <v>525100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IFERROR(VLOOKUP(B202,input_525100!L:R,7,FALSE),VLOOKUP(tables_525100!C202,input_525100!A:H,8,FALSE))</f>
        <v>3525</v>
      </c>
      <c r="P202" s="46">
        <f t="shared" ca="1" si="10"/>
        <v>5.6818181817998717E-5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input_525100!A$2</f>
        <v>525100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IFERROR(VLOOKUP(B203,input_525100!L:R,7,FALSE),VLOOKUP(tables_525100!C203,input_525100!A:H,8,FALSE))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input_525100!A$2</f>
        <v>525100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IFERROR(VLOOKUP(B204,input_525100!L:R,7,FALSE),VLOOKUP(tables_525100!C204,input_525100!A:H,8,FALSE))</f>
        <v>573870</v>
      </c>
      <c r="P204" s="46">
        <f t="shared" ca="1" si="10"/>
        <v>9.2499999999701918E-3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input_525100!A$2</f>
        <v>525100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IFERROR(VLOOKUP(B205,input_525100!L:R,7,FALSE),VLOOKUP(tables_525100!C205,input_525100!A:H,8,FALSE))</f>
        <v>16251.153850000001</v>
      </c>
      <c r="P205" s="46">
        <f t="shared" ca="1" si="10"/>
        <v>2.6194638700753755E-4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input_525100!A$2</f>
        <v>525100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IFERROR(VLOOKUP(B206,input_525100!L:R,7,FALSE),VLOOKUP(tables_525100!C206,input_525100!A:H,8,FALSE))</f>
        <v>43475</v>
      </c>
      <c r="P206" s="46">
        <f t="shared" ca="1" si="10"/>
        <v>7.0075757575531754E-4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input_525100!A$2</f>
        <v>525100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IFERROR(VLOOKUP(B207,input_525100!L:R,7,FALSE),VLOOKUP(tables_525100!C207,input_525100!A:H,8,FALSE))</f>
        <v>3525</v>
      </c>
      <c r="P207" s="46">
        <f t="shared" ca="1" si="10"/>
        <v>5.6818181817998717E-5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input_525100!A$2</f>
        <v>525100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IFERROR(VLOOKUP(B208,input_525100!L:R,7,FALSE),VLOOKUP(tables_525100!C208,input_525100!A:H,8,FALSE))</f>
        <v>43475</v>
      </c>
      <c r="P208" s="46">
        <f t="shared" ca="1" si="10"/>
        <v>7.0075757575531754E-4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input_525100!A$2</f>
        <v>525100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IFERROR(VLOOKUP(B209,input_525100!L:R,7,FALSE),VLOOKUP(tables_525100!C209,input_525100!A:H,8,FALSE))</f>
        <v>3525</v>
      </c>
      <c r="P209" s="46">
        <f t="shared" ca="1" si="10"/>
        <v>5.6818181817998717E-5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input_525100!A$2</f>
        <v>525100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IFERROR(VLOOKUP(B210,input_525100!L:R,7,FALSE),VLOOKUP(tables_525100!C210,input_525100!A:H,8,FALSE))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input_525100!A$2</f>
        <v>525100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IFERROR(VLOOKUP(B211,input_525100!L:R,7,FALSE),VLOOKUP(tables_525100!C211,input_525100!A:H,8,FALSE))</f>
        <v>573870</v>
      </c>
      <c r="P211" s="46">
        <f t="shared" ca="1" si="10"/>
        <v>9.2499999999701918E-3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input_525100!A$2</f>
        <v>525100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IFERROR(VLOOKUP(B212,input_525100!L:R,7,FALSE),VLOOKUP(tables_525100!C212,input_525100!A:H,8,FALSE))</f>
        <v>16251.153850000001</v>
      </c>
      <c r="P212" s="46">
        <f t="shared" ca="1" si="10"/>
        <v>2.6194638700753755E-4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input_525100!A$2</f>
        <v>525100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IFERROR(VLOOKUP(B213,input_525100!L:R,7,FALSE),VLOOKUP(tables_525100!C213,input_525100!A:H,8,FALSE))</f>
        <v>43475</v>
      </c>
      <c r="P213" s="46">
        <f t="shared" ca="1" si="10"/>
        <v>7.0075757575531754E-4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input_525100!A$2</f>
        <v>525100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IFERROR(VLOOKUP(B214,input_525100!L:R,7,FALSE),VLOOKUP(tables_525100!C214,input_525100!A:H,8,FALSE))</f>
        <v>3525</v>
      </c>
      <c r="P214" s="46">
        <f t="shared" ca="1" si="10"/>
        <v>5.6818181817998717E-5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input_525100!A$2</f>
        <v>525100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IFERROR(VLOOKUP(B215,input_525100!L:R,7,FALSE),VLOOKUP(tables_525100!C215,input_525100!A:H,8,FALSE))</f>
        <v>46530</v>
      </c>
      <c r="P215" s="46">
        <f t="shared" ca="1" si="10"/>
        <v>7.4999999999758311E-4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input_525100!A$2</f>
        <v>525100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IFERROR(VLOOKUP(B216,input_525100!L:R,7,FALSE),VLOOKUP(tables_525100!C216,input_525100!A:H,8,FALSE))</f>
        <v>46530</v>
      </c>
      <c r="P216" s="46">
        <f t="shared" ca="1" si="10"/>
        <v>7.4999999999758311E-4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input_525100!A$2</f>
        <v>525100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IFERROR(VLOOKUP(B217,input_525100!L:R,7,FALSE),VLOOKUP(tables_525100!C217,input_525100!A:H,8,FALSE))</f>
        <v>46530</v>
      </c>
      <c r="P217" s="46">
        <f t="shared" ca="1" si="10"/>
        <v>7.4999999999758311E-4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input_525100!A$2</f>
        <v>525100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IFERROR(VLOOKUP(B218,input_525100!L:R,7,FALSE),VLOOKUP(tables_525100!C218,input_525100!A:H,8,FALSE))</f>
        <v>46530</v>
      </c>
      <c r="P218" s="46">
        <f t="shared" ca="1" si="10"/>
        <v>7.4999999999758311E-4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input_525100!A$2</f>
        <v>525100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IFERROR(VLOOKUP(B219,input_525100!L:R,7,FALSE),VLOOKUP(tables_525100!C219,input_525100!A:H,8,FALSE))</f>
        <v>46530</v>
      </c>
      <c r="P219" s="46">
        <f t="shared" ca="1" si="10"/>
        <v>7.4999999999758311E-4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input_525100!A$2</f>
        <v>525100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IFERROR(VLOOKUP(B220,input_525100!L:R,7,FALSE),VLOOKUP(tables_525100!C220,input_525100!A:H,8,FALSE))</f>
        <v>46530</v>
      </c>
      <c r="P220" s="46">
        <f t="shared" ca="1" si="10"/>
        <v>7.4999999999758311E-4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input_525100!A$2</f>
        <v>525100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IFERROR(VLOOKUP(B221,input_525100!L:R,7,FALSE),VLOOKUP(tables_525100!C221,input_525100!A:H,8,FALSE))</f>
        <v>43475</v>
      </c>
      <c r="P221" s="46">
        <f t="shared" ca="1" si="10"/>
        <v>7.0075757575531754E-4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input_525100!A$2</f>
        <v>525100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IFERROR(VLOOKUP(B222,input_525100!L:R,7,FALSE),VLOOKUP(tables_525100!C222,input_525100!A:H,8,FALSE))</f>
        <v>3525</v>
      </c>
      <c r="P222" s="46">
        <f t="shared" ca="1" si="10"/>
        <v>5.6818181817998717E-5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input_525100!A$2</f>
        <v>525100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IFERROR(VLOOKUP(B223,input_525100!L:R,7,FALSE),VLOOKUP(tables_525100!C223,input_525100!A:H,8,FALSE))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input_525100!A$2</f>
        <v>525100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IFERROR(VLOOKUP(B224,input_525100!L:R,7,FALSE),VLOOKUP(tables_525100!C224,input_525100!A:H,8,FALSE))</f>
        <v>573870</v>
      </c>
      <c r="P224" s="46">
        <f t="shared" ca="1" si="10"/>
        <v>9.2499999999701918E-3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input_525100!A$2</f>
        <v>525100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IFERROR(VLOOKUP(B225,input_525100!L:R,7,FALSE),VLOOKUP(tables_525100!C225,input_525100!A:H,8,FALSE))</f>
        <v>16251.153850000001</v>
      </c>
      <c r="P225" s="46">
        <f t="shared" ca="1" si="10"/>
        <v>2.6194638700753755E-4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input_525100!A$2</f>
        <v>525100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IFERROR(VLOOKUP(B226,input_525100!L:R,7,FALSE),VLOOKUP(tables_525100!C226,input_525100!A:H,8,FALSE))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input_525100!A$2</f>
        <v>525100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IFERROR(VLOOKUP(B227,input_525100!L:R,7,FALSE),VLOOKUP(tables_525100!C227,input_525100!A:H,8,FALSE))</f>
        <v>573870</v>
      </c>
      <c r="P227" s="46">
        <f t="shared" ca="1" si="10"/>
        <v>9.2499999999701918E-3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input_525100!A$2</f>
        <v>525100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IFERROR(VLOOKUP(B228,input_525100!L:R,7,FALSE),VLOOKUP(tables_525100!C228,input_525100!A:H,8,FALSE))</f>
        <v>16251.153850000001</v>
      </c>
      <c r="P228" s="46">
        <f t="shared" ca="1" si="10"/>
        <v>2.6194638700753755E-4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input_525100!A$2</f>
        <v>525100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IFERROR(VLOOKUP(B229,input_525100!L:R,7,FALSE),VLOOKUP(tables_525100!C229,input_525100!A:H,8,FALSE))</f>
        <v>43475</v>
      </c>
      <c r="P229" s="46">
        <f t="shared" ca="1" si="10"/>
        <v>7.0075757575531754E-4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input_525100!A$2</f>
        <v>525100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IFERROR(VLOOKUP(B230,input_525100!L:R,7,FALSE),VLOOKUP(tables_525100!C230,input_525100!A:H,8,FALSE))</f>
        <v>3525</v>
      </c>
      <c r="P230" s="46">
        <f t="shared" ca="1" si="10"/>
        <v>5.6818181817998717E-5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input_525100!A$2</f>
        <v>525100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IFERROR(VLOOKUP(B231,input_525100!L:R,7,FALSE),VLOOKUP(tables_525100!C231,input_525100!A:H,8,FALSE))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input_525100!A$2</f>
        <v>525100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IFERROR(VLOOKUP(B232,input_525100!L:R,7,FALSE),VLOOKUP(tables_525100!C232,input_525100!A:H,8,FALSE))</f>
        <v>573870</v>
      </c>
      <c r="P232" s="46">
        <f t="shared" ca="1" si="10"/>
        <v>9.2499999999701918E-3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input_525100!A$2</f>
        <v>525100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IFERROR(VLOOKUP(B233,input_525100!L:R,7,FALSE),VLOOKUP(tables_525100!C233,input_525100!A:H,8,FALSE))</f>
        <v>16251.153850000001</v>
      </c>
      <c r="P233" s="46">
        <f t="shared" ca="1" si="10"/>
        <v>2.6194638700753755E-4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input_525100!A$2</f>
        <v>525100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IFERROR(VLOOKUP(B234,input_525100!L:R,7,FALSE),VLOOKUP(tables_525100!C234,input_525100!A:H,8,FALSE))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input_525100!A$2</f>
        <v>525100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IFERROR(VLOOKUP(B235,input_525100!L:R,7,FALSE),VLOOKUP(tables_525100!C235,input_525100!A:H,8,FALSE))</f>
        <v>573870</v>
      </c>
      <c r="P235" s="46">
        <f t="shared" ca="1" si="10"/>
        <v>9.2499999999701918E-3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input_525100!A$2</f>
        <v>525100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IFERROR(VLOOKUP(B236,input_525100!L:R,7,FALSE),VLOOKUP(tables_525100!C236,input_525100!A:H,8,FALSE))</f>
        <v>16251.153850000001</v>
      </c>
      <c r="P236" s="46">
        <f t="shared" ca="1" si="10"/>
        <v>2.6194638700753755E-4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input_525100!A$2</f>
        <v>525100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IFERROR(VLOOKUP(B237,input_525100!L:R,7,FALSE),VLOOKUP(tables_525100!C237,input_525100!A:H,8,FALSE))</f>
        <v>43475</v>
      </c>
      <c r="P237" s="46">
        <f t="shared" ca="1" si="10"/>
        <v>7.0075757575531754E-4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input_525100!A$2</f>
        <v>525100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IFERROR(VLOOKUP(B238,input_525100!L:R,7,FALSE),VLOOKUP(tables_525100!C238,input_525100!A:H,8,FALSE))</f>
        <v>3525</v>
      </c>
      <c r="P238" s="46">
        <f t="shared" ca="1" si="10"/>
        <v>5.6818181817998717E-5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input_525100!A$2</f>
        <v>525100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IFERROR(VLOOKUP(B239,input_525100!L:R,7,FALSE),VLOOKUP(tables_525100!C239,input_525100!A:H,8,FALSE))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input_525100!A$2</f>
        <v>525100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IFERROR(VLOOKUP(B240,input_525100!L:R,7,FALSE),VLOOKUP(tables_525100!C240,input_525100!A:H,8,FALSE))</f>
        <v>573870</v>
      </c>
      <c r="P240" s="46">
        <f t="shared" ca="1" si="10"/>
        <v>9.2499999999701918E-3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input_525100!A$2</f>
        <v>525100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IFERROR(VLOOKUP(B241,input_525100!L:R,7,FALSE),VLOOKUP(tables_525100!C241,input_525100!A:H,8,FALSE))</f>
        <v>16251.153850000001</v>
      </c>
      <c r="P241" s="46">
        <f t="shared" ca="1" si="10"/>
        <v>2.6194638700753755E-4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input_525100!A$2</f>
        <v>525100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IFERROR(VLOOKUP(B242,input_525100!L:R,7,FALSE),VLOOKUP(tables_525100!C242,input_525100!A:H,8,FALSE))</f>
        <v>43475</v>
      </c>
      <c r="P242" s="46">
        <f t="shared" ca="1" si="10"/>
        <v>7.0075757575531754E-4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input_525100!A$2</f>
        <v>525100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IFERROR(VLOOKUP(B243,input_525100!L:R,7,FALSE),VLOOKUP(tables_525100!C243,input_525100!A:H,8,FALSE))</f>
        <v>3525</v>
      </c>
      <c r="P243" s="46">
        <f t="shared" ca="1" si="10"/>
        <v>5.6818181817998717E-5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input_525100!A$2</f>
        <v>525100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IFERROR(VLOOKUP(B244,input_525100!L:R,7,FALSE),VLOOKUP(tables_525100!C244,input_525100!A:H,8,FALSE))</f>
        <v>43475</v>
      </c>
      <c r="P244" s="46">
        <f t="shared" ca="1" si="10"/>
        <v>7.0075757575531754E-4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input_525100!A$2</f>
        <v>525100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IFERROR(VLOOKUP(B245,input_525100!L:R,7,FALSE),VLOOKUP(tables_525100!C245,input_525100!A:H,8,FALSE))</f>
        <v>3525</v>
      </c>
      <c r="P245" s="46">
        <f t="shared" ca="1" si="10"/>
        <v>5.6818181817998717E-5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input_525100!A$2</f>
        <v>525100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IFERROR(VLOOKUP(B246,input_525100!L:R,7,FALSE),VLOOKUP(tables_525100!C246,input_525100!A:H,8,FALSE))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input_525100!A$2</f>
        <v>525100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IFERROR(VLOOKUP(B247,input_525100!L:R,7,FALSE),VLOOKUP(tables_525100!C247,input_525100!A:H,8,FALSE))</f>
        <v>573870</v>
      </c>
      <c r="P247" s="46">
        <f t="shared" ca="1" si="10"/>
        <v>9.2499999999701918E-3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input_525100!A$2</f>
        <v>525100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IFERROR(VLOOKUP(B248,input_525100!L:R,7,FALSE),VLOOKUP(tables_525100!C248,input_525100!A:H,8,FALSE))</f>
        <v>16251.153850000001</v>
      </c>
      <c r="P248" s="46">
        <f t="shared" ca="1" si="10"/>
        <v>2.6194638700753755E-4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input_525100!A$2</f>
        <v>525100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IFERROR(VLOOKUP(B249,input_525100!L:R,7,FALSE),VLOOKUP(tables_525100!C249,input_525100!A:H,8,FALSE))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input_525100!A$2</f>
        <v>525100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IFERROR(VLOOKUP(B250,input_525100!L:R,7,FALSE),VLOOKUP(tables_525100!C250,input_525100!A:H,8,FALSE))</f>
        <v>573870</v>
      </c>
      <c r="P250" s="46">
        <f t="shared" ca="1" si="10"/>
        <v>9.2499999999701918E-3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input_525100!A$2</f>
        <v>525100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IFERROR(VLOOKUP(B251,input_525100!L:R,7,FALSE),VLOOKUP(tables_525100!C251,input_525100!A:H,8,FALSE))</f>
        <v>16251.153850000001</v>
      </c>
      <c r="P251" s="46">
        <f t="shared" ca="1" si="10"/>
        <v>2.6194638700753755E-4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input_525100!A$2</f>
        <v>525100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IFERROR(VLOOKUP(B252,input_525100!L:R,7,FALSE),VLOOKUP(tables_525100!C252,input_525100!A:H,8,FALSE))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input_525100!A$2</f>
        <v>525100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IFERROR(VLOOKUP(B253,input_525100!L:R,7,FALSE),VLOOKUP(tables_525100!C253,input_525100!A:H,8,FALSE))</f>
        <v>573870</v>
      </c>
      <c r="P253" s="46">
        <f t="shared" ca="1" si="10"/>
        <v>9.2499999999701918E-3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input_525100!A$2</f>
        <v>525100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IFERROR(VLOOKUP(B254,input_525100!L:R,7,FALSE),VLOOKUP(tables_525100!C254,input_525100!A:H,8,FALSE))</f>
        <v>16251.153850000001</v>
      </c>
      <c r="P254" s="46">
        <f t="shared" ca="1" si="10"/>
        <v>2.6194638700753755E-4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input_525100!A$2</f>
        <v>525100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IFERROR(VLOOKUP(B255,input_525100!L:R,7,FALSE),VLOOKUP(tables_525100!C255,input_525100!A:H,8,FALSE))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input_525100!A$2</f>
        <v>525100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IFERROR(VLOOKUP(B256,input_525100!L:R,7,FALSE),VLOOKUP(tables_525100!C256,input_525100!A:H,8,FALSE))</f>
        <v>573870</v>
      </c>
      <c r="P256" s="46">
        <f t="shared" ca="1" si="10"/>
        <v>9.2499999999701918E-3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input_525100!A$2</f>
        <v>525100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IFERROR(VLOOKUP(B257,input_525100!L:R,7,FALSE),VLOOKUP(tables_525100!C257,input_525100!A:H,8,FALSE))</f>
        <v>16251.153850000001</v>
      </c>
      <c r="P257" s="46">
        <f t="shared" ca="1" si="10"/>
        <v>2.6194638700753755E-4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input_525100!A$2</f>
        <v>525100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IFERROR(VLOOKUP(B258,input_525100!L:R,7,FALSE),VLOOKUP(tables_525100!C258,input_525100!A:H,8,FALSE))</f>
        <v>43475</v>
      </c>
      <c r="P258" s="46">
        <f t="shared" ref="P258:P321" ca="1" si="13">O258/SUM(O:O)</f>
        <v>7.0075757575531754E-4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input_525100!A$2</f>
        <v>525100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IFERROR(VLOOKUP(B259,input_525100!L:R,7,FALSE),VLOOKUP(tables_525100!C259,input_525100!A:H,8,FALSE))</f>
        <v>3525</v>
      </c>
      <c r="P259" s="46">
        <f t="shared" ca="1" si="13"/>
        <v>5.6818181817998717E-5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input_525100!A$2</f>
        <v>525100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IFERROR(VLOOKUP(B260,input_525100!L:R,7,FALSE),VLOOKUP(tables_525100!C260,input_525100!A:H,8,FALSE))</f>
        <v>43475</v>
      </c>
      <c r="P260" s="46">
        <f t="shared" ca="1" si="13"/>
        <v>7.0075757575531754E-4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input_525100!A$2</f>
        <v>525100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IFERROR(VLOOKUP(B261,input_525100!L:R,7,FALSE),VLOOKUP(tables_525100!C261,input_525100!A:H,8,FALSE))</f>
        <v>3525</v>
      </c>
      <c r="P261" s="46">
        <f t="shared" ca="1" si="13"/>
        <v>5.6818181817998717E-5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input_525100!A$2</f>
        <v>525100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IFERROR(VLOOKUP(B262,input_525100!L:R,7,FALSE),VLOOKUP(tables_525100!C262,input_525100!A:H,8,FALSE))</f>
        <v>558360</v>
      </c>
      <c r="P262" s="46">
        <f t="shared" ca="1" si="13"/>
        <v>8.9999999999709965E-3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input_525100!A$2</f>
        <v>525100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IFERROR(VLOOKUP(B263,input_525100!L:R,7,FALSE),VLOOKUP(tables_525100!C263,input_525100!A:H,8,FALSE))</f>
        <v>46530</v>
      </c>
      <c r="P263" s="46">
        <f t="shared" ca="1" si="13"/>
        <v>7.4999999999758311E-4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input_525100!A$2</f>
        <v>525100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IFERROR(VLOOKUP(B264,input_525100!L:R,7,FALSE),VLOOKUP(tables_525100!C264,input_525100!A:H,8,FALSE))</f>
        <v>558360</v>
      </c>
      <c r="P264" s="46">
        <f t="shared" ca="1" si="13"/>
        <v>8.9999999999709965E-3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input_525100!A$2</f>
        <v>525100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IFERROR(VLOOKUP(B265,input_525100!L:R,7,FALSE),VLOOKUP(tables_525100!C265,input_525100!A:H,8,FALSE))</f>
        <v>46530</v>
      </c>
      <c r="P265" s="46">
        <f t="shared" ca="1" si="13"/>
        <v>7.4999999999758311E-4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input_525100!A$2</f>
        <v>525100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IFERROR(VLOOKUP(B266,input_525100!L:R,7,FALSE),VLOOKUP(tables_525100!C266,input_525100!A:H,8,FALSE))</f>
        <v>47000</v>
      </c>
      <c r="P266" s="46">
        <f t="shared" ca="1" si="13"/>
        <v>7.5757575757331628E-4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input_525100!A$2</f>
        <v>525100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IFERROR(VLOOKUP(B267,input_525100!L:R,7,FALSE),VLOOKUP(tables_525100!C267,input_525100!A:H,8,FALSE))</f>
        <v>47000</v>
      </c>
      <c r="P267" s="46">
        <f t="shared" ca="1" si="13"/>
        <v>7.5757575757331628E-4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input_525100!A$2</f>
        <v>525100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IFERROR(VLOOKUP(B268,input_525100!L:R,7,FALSE),VLOOKUP(tables_525100!C268,input_525100!A:H,8,FALSE))</f>
        <v>47000</v>
      </c>
      <c r="P268" s="46">
        <f t="shared" ca="1" si="13"/>
        <v>7.5757575757331628E-4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input_525100!A$2</f>
        <v>525100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IFERROR(VLOOKUP(B269,input_525100!L:R,7,FALSE),VLOOKUP(tables_525100!C269,input_525100!A:H,8,FALSE))</f>
        <v>47000</v>
      </c>
      <c r="P269" s="46">
        <f t="shared" ca="1" si="13"/>
        <v>7.5757575757331628E-4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input_525100!A$2</f>
        <v>525100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IFERROR(VLOOKUP(B270,input_525100!L:R,7,FALSE),VLOOKUP(tables_525100!C270,input_525100!A:H,8,FALSE))</f>
        <v>558360</v>
      </c>
      <c r="P270" s="46">
        <f t="shared" ca="1" si="13"/>
        <v>8.9999999999709965E-3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input_525100!A$2</f>
        <v>525100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IFERROR(VLOOKUP(B271,input_525100!L:R,7,FALSE),VLOOKUP(tables_525100!C271,input_525100!A:H,8,FALSE))</f>
        <v>46530</v>
      </c>
      <c r="P271" s="46">
        <f t="shared" ca="1" si="13"/>
        <v>7.4999999999758311E-4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input_525100!A$2</f>
        <v>525100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IFERROR(VLOOKUP(B272,input_525100!L:R,7,FALSE),VLOOKUP(tables_525100!C272,input_525100!A:H,8,FALSE))</f>
        <v>558360</v>
      </c>
      <c r="P272" s="46">
        <f t="shared" ca="1" si="13"/>
        <v>8.9999999999709965E-3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input_525100!A$2</f>
        <v>525100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IFERROR(VLOOKUP(B273,input_525100!L:R,7,FALSE),VLOOKUP(tables_525100!C273,input_525100!A:H,8,FALSE))</f>
        <v>46530</v>
      </c>
      <c r="P273" s="46">
        <f t="shared" ca="1" si="13"/>
        <v>7.4999999999758311E-4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input_525100!A$2</f>
        <v>525100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IFERROR(VLOOKUP(B274,input_525100!L:R,7,FALSE),VLOOKUP(tables_525100!C274,input_525100!A:H,8,FALSE))</f>
        <v>43475</v>
      </c>
      <c r="P274" s="46">
        <f t="shared" ca="1" si="13"/>
        <v>7.0075757575531754E-4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input_525100!A$2</f>
        <v>525100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IFERROR(VLOOKUP(B275,input_525100!L:R,7,FALSE),VLOOKUP(tables_525100!C275,input_525100!A:H,8,FALSE))</f>
        <v>3525</v>
      </c>
      <c r="P275" s="46">
        <f t="shared" ca="1" si="13"/>
        <v>5.6818181817998717E-5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input_525100!A$2</f>
        <v>525100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IFERROR(VLOOKUP(B276,input_525100!L:R,7,FALSE),VLOOKUP(tables_525100!C276,input_525100!A:H,8,FALSE))</f>
        <v>43475</v>
      </c>
      <c r="P276" s="46">
        <f t="shared" ca="1" si="13"/>
        <v>7.0075757575531754E-4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input_525100!A$2</f>
        <v>525100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IFERROR(VLOOKUP(B277,input_525100!L:R,7,FALSE),VLOOKUP(tables_525100!C277,input_525100!A:H,8,FALSE))</f>
        <v>3525</v>
      </c>
      <c r="P277" s="46">
        <f t="shared" ca="1" si="13"/>
        <v>5.6818181817998717E-5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input_525100!A$2</f>
        <v>525100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IFERROR(VLOOKUP(B278,input_525100!L:R,7,FALSE),VLOOKUP(tables_525100!C278,input_525100!A:H,8,FALSE))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input_525100!A$2</f>
        <v>525100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IFERROR(VLOOKUP(B279,input_525100!L:R,7,FALSE),VLOOKUP(tables_525100!C279,input_525100!A:H,8,FALSE))</f>
        <v>573870</v>
      </c>
      <c r="P279" s="46">
        <f t="shared" ca="1" si="13"/>
        <v>9.2499999999701918E-3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input_525100!A$2</f>
        <v>525100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IFERROR(VLOOKUP(B280,input_525100!L:R,7,FALSE),VLOOKUP(tables_525100!C280,input_525100!A:H,8,FALSE))</f>
        <v>16251.153850000001</v>
      </c>
      <c r="P280" s="46">
        <f t="shared" ca="1" si="13"/>
        <v>2.6194638700753755E-4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input_525100!A$2</f>
        <v>525100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IFERROR(VLOOKUP(B281,input_525100!L:R,7,FALSE),VLOOKUP(tables_525100!C281,input_525100!A:H,8,FALSE))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input_525100!A$2</f>
        <v>525100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IFERROR(VLOOKUP(B282,input_525100!L:R,7,FALSE),VLOOKUP(tables_525100!C282,input_525100!A:H,8,FALSE))</f>
        <v>573870</v>
      </c>
      <c r="P282" s="46">
        <f t="shared" ca="1" si="13"/>
        <v>9.2499999999701918E-3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input_525100!A$2</f>
        <v>525100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IFERROR(VLOOKUP(B283,input_525100!L:R,7,FALSE),VLOOKUP(tables_525100!C283,input_525100!A:H,8,FALSE))</f>
        <v>16251.153850000001</v>
      </c>
      <c r="P283" s="46">
        <f t="shared" ca="1" si="13"/>
        <v>2.6194638700753755E-4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input_525100!A$2</f>
        <v>525100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IFERROR(VLOOKUP(B284,input_525100!L:R,7,FALSE),VLOOKUP(tables_525100!C284,input_525100!A:H,8,FALSE))</f>
        <v>47000</v>
      </c>
      <c r="P284" s="46">
        <f t="shared" ca="1" si="13"/>
        <v>7.5757575757331628E-4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input_525100!A$2</f>
        <v>525100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IFERROR(VLOOKUP(B285,input_525100!L:R,7,FALSE),VLOOKUP(tables_525100!C285,input_525100!A:H,8,FALSE))</f>
        <v>47000</v>
      </c>
      <c r="P285" s="46">
        <f t="shared" ca="1" si="13"/>
        <v>7.5757575757331628E-4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input_525100!A$2</f>
        <v>525100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IFERROR(VLOOKUP(B286,input_525100!L:R,7,FALSE),VLOOKUP(tables_525100!C286,input_525100!A:H,8,FALSE))</f>
        <v>558360</v>
      </c>
      <c r="P286" s="46">
        <f t="shared" ca="1" si="13"/>
        <v>8.9999999999709965E-3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input_525100!A$2</f>
        <v>525100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IFERROR(VLOOKUP(B287,input_525100!L:R,7,FALSE),VLOOKUP(tables_525100!C287,input_525100!A:H,8,FALSE))</f>
        <v>46530</v>
      </c>
      <c r="P287" s="46">
        <f t="shared" ca="1" si="13"/>
        <v>7.4999999999758311E-4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input_525100!A$2</f>
        <v>525100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IFERROR(VLOOKUP(B288,input_525100!L:R,7,FALSE),VLOOKUP(tables_525100!C288,input_525100!A:H,8,FALSE))</f>
        <v>558360</v>
      </c>
      <c r="P288" s="46">
        <f t="shared" ca="1" si="13"/>
        <v>8.9999999999709965E-3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input_525100!A$2</f>
        <v>525100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IFERROR(VLOOKUP(B289,input_525100!L:R,7,FALSE),VLOOKUP(tables_525100!C289,input_525100!A:H,8,FALSE))</f>
        <v>46530</v>
      </c>
      <c r="P289" s="46">
        <f t="shared" ca="1" si="13"/>
        <v>7.4999999999758311E-4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input_525100!A$2</f>
        <v>525100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IFERROR(VLOOKUP(B290,input_525100!L:R,7,FALSE),VLOOKUP(tables_525100!C290,input_525100!A:H,8,FALSE))</f>
        <v>558360</v>
      </c>
      <c r="P290" s="46">
        <f t="shared" ca="1" si="13"/>
        <v>8.9999999999709965E-3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input_525100!A$2</f>
        <v>525100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IFERROR(VLOOKUP(B291,input_525100!L:R,7,FALSE),VLOOKUP(tables_525100!C291,input_525100!A:H,8,FALSE))</f>
        <v>46530</v>
      </c>
      <c r="P291" s="46">
        <f t="shared" ca="1" si="13"/>
        <v>7.4999999999758311E-4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input_525100!A$2</f>
        <v>525100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IFERROR(VLOOKUP(B292,input_525100!L:R,7,FALSE),VLOOKUP(tables_525100!C292,input_525100!A:H,8,FALSE))</f>
        <v>558360</v>
      </c>
      <c r="P292" s="46">
        <f t="shared" ca="1" si="13"/>
        <v>8.9999999999709965E-3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input_525100!A$2</f>
        <v>525100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IFERROR(VLOOKUP(B293,input_525100!L:R,7,FALSE),VLOOKUP(tables_525100!C293,input_525100!A:H,8,FALSE))</f>
        <v>46530</v>
      </c>
      <c r="P293" s="46">
        <f t="shared" ca="1" si="13"/>
        <v>7.4999999999758311E-4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input_525100!A$2</f>
        <v>525100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IFERROR(VLOOKUP(B294,input_525100!L:R,7,FALSE),VLOOKUP(tables_525100!C294,input_525100!A:H,8,FALSE))</f>
        <v>47000</v>
      </c>
      <c r="P294" s="46">
        <f t="shared" ca="1" si="13"/>
        <v>7.5757575757331628E-4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input_525100!A$2</f>
        <v>525100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IFERROR(VLOOKUP(B295,input_525100!L:R,7,FALSE),VLOOKUP(tables_525100!C295,input_525100!A:H,8,FALSE))</f>
        <v>47000</v>
      </c>
      <c r="P295" s="46">
        <f t="shared" ca="1" si="13"/>
        <v>7.5757575757331628E-4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input_525100!A$2</f>
        <v>525100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IFERROR(VLOOKUP(B296,input_525100!L:R,7,FALSE),VLOOKUP(tables_525100!C296,input_525100!A:H,8,FALSE))</f>
        <v>47000</v>
      </c>
      <c r="P296" s="46">
        <f t="shared" ca="1" si="13"/>
        <v>7.5757575757331628E-4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input_525100!A$2</f>
        <v>525100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IFERROR(VLOOKUP(B297,input_525100!L:R,7,FALSE),VLOOKUP(tables_525100!C297,input_525100!A:H,8,FALSE))</f>
        <v>558360</v>
      </c>
      <c r="P297" s="46">
        <f t="shared" ca="1" si="13"/>
        <v>8.9999999999709965E-3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input_525100!A$2</f>
        <v>525100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IFERROR(VLOOKUP(B298,input_525100!L:R,7,FALSE),VLOOKUP(tables_525100!C298,input_525100!A:H,8,FALSE))</f>
        <v>46530</v>
      </c>
      <c r="P298" s="46">
        <f t="shared" ca="1" si="13"/>
        <v>7.4999999999758311E-4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input_525100!A$2</f>
        <v>525100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IFERROR(VLOOKUP(B299,input_525100!L:R,7,FALSE),VLOOKUP(tables_525100!C299,input_525100!A:H,8,FALSE))</f>
        <v>47000</v>
      </c>
      <c r="P299" s="46">
        <f t="shared" ca="1" si="13"/>
        <v>7.5757575757331628E-4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input_525100!A$2</f>
        <v>525100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IFERROR(VLOOKUP(B300,input_525100!L:R,7,FALSE),VLOOKUP(tables_525100!C300,input_525100!A:H,8,FALSE))</f>
        <v>47000</v>
      </c>
      <c r="P300" s="46">
        <f t="shared" ca="1" si="13"/>
        <v>7.5757575757331628E-4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input_525100!A$2</f>
        <v>525100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IFERROR(VLOOKUP(B301,input_525100!L:R,7,FALSE),VLOOKUP(tables_525100!C301,input_525100!A:H,8,FALSE))</f>
        <v>47000</v>
      </c>
      <c r="P301" s="46">
        <f t="shared" ca="1" si="13"/>
        <v>7.5757575757331628E-4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input_525100!A$2</f>
        <v>525100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IFERROR(VLOOKUP(B302,input_525100!L:R,7,FALSE),VLOOKUP(tables_525100!C302,input_525100!A:H,8,FALSE))</f>
        <v>47000</v>
      </c>
      <c r="P302" s="46">
        <f t="shared" ca="1" si="13"/>
        <v>7.5757575757331628E-4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input_525100!A$2</f>
        <v>525100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IFERROR(VLOOKUP(B303,input_525100!L:R,7,FALSE),VLOOKUP(tables_525100!C303,input_525100!A:H,8,FALSE))</f>
        <v>558360</v>
      </c>
      <c r="P303" s="46">
        <f t="shared" ca="1" si="13"/>
        <v>8.9999999999709965E-3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input_525100!A$2</f>
        <v>525100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IFERROR(VLOOKUP(B304,input_525100!L:R,7,FALSE),VLOOKUP(tables_525100!C304,input_525100!A:H,8,FALSE))</f>
        <v>46530</v>
      </c>
      <c r="P304" s="46">
        <f t="shared" ca="1" si="13"/>
        <v>7.4999999999758311E-4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input_525100!A$2</f>
        <v>525100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IFERROR(VLOOKUP(B305,input_525100!L:R,7,FALSE),VLOOKUP(tables_525100!C305,input_525100!A:H,8,FALSE))</f>
        <v>47000</v>
      </c>
      <c r="P305" s="46">
        <f t="shared" ca="1" si="13"/>
        <v>7.5757575757331628E-4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input_525100!A$2</f>
        <v>525100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IFERROR(VLOOKUP(B306,input_525100!L:R,7,FALSE),VLOOKUP(tables_525100!C306,input_525100!A:H,8,FALSE))</f>
        <v>558360</v>
      </c>
      <c r="P306" s="46">
        <f t="shared" ca="1" si="13"/>
        <v>8.9999999999709965E-3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input_525100!A$2</f>
        <v>525100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IFERROR(VLOOKUP(B307,input_525100!L:R,7,FALSE),VLOOKUP(tables_525100!C307,input_525100!A:H,8,FALSE))</f>
        <v>46530</v>
      </c>
      <c r="P307" s="46">
        <f t="shared" ca="1" si="13"/>
        <v>7.4999999999758311E-4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input_525100!A$2</f>
        <v>525100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IFERROR(VLOOKUP(B308,input_525100!L:R,7,FALSE),VLOOKUP(tables_525100!C308,input_525100!A:H,8,FALSE))</f>
        <v>47000</v>
      </c>
      <c r="P308" s="46">
        <f t="shared" ca="1" si="13"/>
        <v>7.5757575757331628E-4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input_525100!A$2</f>
        <v>525100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IFERROR(VLOOKUP(B309,input_525100!L:R,7,FALSE),VLOOKUP(tables_525100!C309,input_525100!A:H,8,FALSE))</f>
        <v>47000</v>
      </c>
      <c r="P309" s="46">
        <f t="shared" ca="1" si="13"/>
        <v>7.5757575757331628E-4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input_525100!A$2</f>
        <v>525100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IFERROR(VLOOKUP(B310,input_525100!L:R,7,FALSE),VLOOKUP(tables_525100!C310,input_525100!A:H,8,FALSE))</f>
        <v>47000</v>
      </c>
      <c r="P310" s="46">
        <f t="shared" ca="1" si="13"/>
        <v>7.5757575757331628E-4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input_525100!A$2</f>
        <v>525100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IFERROR(VLOOKUP(B311,input_525100!L:R,7,FALSE),VLOOKUP(tables_525100!C311,input_525100!A:H,8,FALSE))</f>
        <v>558360</v>
      </c>
      <c r="P311" s="46">
        <f t="shared" ca="1" si="13"/>
        <v>8.9999999999709965E-3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input_525100!A$2</f>
        <v>525100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IFERROR(VLOOKUP(B312,input_525100!L:R,7,FALSE),VLOOKUP(tables_525100!C312,input_525100!A:H,8,FALSE))</f>
        <v>46530</v>
      </c>
      <c r="P312" s="46">
        <f t="shared" ca="1" si="13"/>
        <v>7.4999999999758311E-4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input_525100!A$2</f>
        <v>525100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IFERROR(VLOOKUP(B313,input_525100!L:R,7,FALSE),VLOOKUP(tables_525100!C313,input_525100!A:H,8,FALSE))</f>
        <v>47000</v>
      </c>
      <c r="P313" s="46">
        <f t="shared" ca="1" si="13"/>
        <v>7.5757575757331628E-4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input_525100!A$2</f>
        <v>525100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IFERROR(VLOOKUP(B314,input_525100!L:R,7,FALSE),VLOOKUP(tables_525100!C314,input_525100!A:H,8,FALSE))</f>
        <v>47000</v>
      </c>
      <c r="P314" s="46">
        <f t="shared" ca="1" si="13"/>
        <v>7.5757575757331628E-4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input_525100!A$2</f>
        <v>525100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IFERROR(VLOOKUP(B315,input_525100!L:R,7,FALSE),VLOOKUP(tables_525100!C315,input_525100!A:H,8,FALSE))</f>
        <v>47000</v>
      </c>
      <c r="P315" s="46">
        <f t="shared" ca="1" si="13"/>
        <v>7.5757575757331628E-4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input_525100!A$2</f>
        <v>525100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IFERROR(VLOOKUP(B316,input_525100!L:R,7,FALSE),VLOOKUP(tables_525100!C316,input_525100!A:H,8,FALSE))</f>
        <v>47000</v>
      </c>
      <c r="P316" s="46">
        <f t="shared" ca="1" si="13"/>
        <v>7.5757575757331628E-4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input_525100!A$2</f>
        <v>525100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IFERROR(VLOOKUP(B317,input_525100!L:R,7,FALSE),VLOOKUP(tables_525100!C317,input_525100!A:H,8,FALSE))</f>
        <v>47000</v>
      </c>
      <c r="P317" s="46">
        <f t="shared" ca="1" si="13"/>
        <v>7.5757575757331628E-4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input_525100!A$2</f>
        <v>525100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IFERROR(VLOOKUP(B318,input_525100!L:R,7,FALSE),VLOOKUP(tables_525100!C318,input_525100!A:H,8,FALSE))</f>
        <v>558360</v>
      </c>
      <c r="P318" s="46">
        <f t="shared" ca="1" si="13"/>
        <v>8.9999999999709965E-3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input_525100!A$2</f>
        <v>525100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IFERROR(VLOOKUP(B319,input_525100!L:R,7,FALSE),VLOOKUP(tables_525100!C319,input_525100!A:H,8,FALSE))</f>
        <v>46530</v>
      </c>
      <c r="P319" s="46">
        <f t="shared" ca="1" si="13"/>
        <v>7.4999999999758311E-4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input_525100!A$2</f>
        <v>525100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IFERROR(VLOOKUP(B320,input_525100!L:R,7,FALSE),VLOOKUP(tables_525100!C320,input_525100!A:H,8,FALSE))</f>
        <v>47000</v>
      </c>
      <c r="P320" s="46">
        <f t="shared" ca="1" si="13"/>
        <v>7.5757575757331628E-4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input_525100!A$2</f>
        <v>525100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IFERROR(VLOOKUP(B321,input_525100!L:R,7,FALSE),VLOOKUP(tables_525100!C321,input_525100!A:H,8,FALSE))</f>
        <v>47000</v>
      </c>
      <c r="P321" s="46">
        <f t="shared" ca="1" si="13"/>
        <v>7.5757575757331628E-4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input_525100!A$2</f>
        <v>525100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IFERROR(VLOOKUP(B322,input_525100!L:R,7,FALSE),VLOOKUP(tables_525100!C322,input_525100!A:H,8,FALSE))</f>
        <v>47000</v>
      </c>
      <c r="P322" s="46">
        <f t="shared" ref="P322:P340" ca="1" si="26">O322/SUM(O:O)</f>
        <v>7.5757575757331628E-4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input_525100!A$2</f>
        <v>525100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IFERROR(VLOOKUP(B323,input_525100!L:R,7,FALSE),VLOOKUP(tables_525100!C323,input_525100!A:H,8,FALSE))</f>
        <v>47000</v>
      </c>
      <c r="P323" s="46">
        <f t="shared" ca="1" si="26"/>
        <v>7.5757575757331628E-4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input_525100!A$2</f>
        <v>525100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IFERROR(VLOOKUP(B324,input_525100!L:R,7,FALSE),VLOOKUP(tables_525100!C324,input_525100!A:H,8,FALSE))</f>
        <v>558360</v>
      </c>
      <c r="P324" s="46">
        <f t="shared" ca="1" si="26"/>
        <v>8.9999999999709965E-3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input_525100!A$2</f>
        <v>525100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IFERROR(VLOOKUP(B325,input_525100!L:R,7,FALSE),VLOOKUP(tables_525100!C325,input_525100!A:H,8,FALSE))</f>
        <v>46530</v>
      </c>
      <c r="P325" s="46">
        <f t="shared" ca="1" si="26"/>
        <v>7.4999999999758311E-4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input_525100!A$2</f>
        <v>525100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IFERROR(VLOOKUP(B326,input_525100!L:R,7,FALSE),VLOOKUP(tables_525100!C326,input_525100!A:H,8,FALSE))</f>
        <v>558360</v>
      </c>
      <c r="P326" s="46">
        <f t="shared" ca="1" si="26"/>
        <v>8.9999999999709965E-3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input_525100!A$2</f>
        <v>525100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IFERROR(VLOOKUP(B327,input_525100!L:R,7,FALSE),VLOOKUP(tables_525100!C327,input_525100!A:H,8,FALSE))</f>
        <v>46530</v>
      </c>
      <c r="P327" s="46">
        <f t="shared" ca="1" si="26"/>
        <v>7.4999999999758311E-4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input_525100!A$2</f>
        <v>525100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IFERROR(VLOOKUP(B328,input_525100!L:R,7,FALSE),VLOOKUP(tables_525100!C328,input_525100!A:H,8,FALSE))</f>
        <v>47000</v>
      </c>
      <c r="P328" s="46">
        <f t="shared" ca="1" si="26"/>
        <v>7.5757575757331628E-4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input_525100!A$2</f>
        <v>525100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IFERROR(VLOOKUP(B329,input_525100!L:R,7,FALSE),VLOOKUP(tables_525100!C329,input_525100!A:H,8,FALSE))</f>
        <v>47000</v>
      </c>
      <c r="P329" s="46">
        <f t="shared" ca="1" si="26"/>
        <v>7.5757575757331628E-4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input_525100!A$2</f>
        <v>525100</v>
      </c>
      <c r="B330" s="2">
        <v>1157</v>
      </c>
      <c r="C330" s="7" t="str">
        <f t="shared" si="28"/>
        <v>PremiumSS5R5only</v>
      </c>
      <c r="D330" s="9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IFERROR(VLOOKUP(B330,input_525100!L:R,7,FALSE),VLOOKUP(tables_525100!C330,input_525100!A:H,8,FALSE))</f>
        <v>47000</v>
      </c>
      <c r="P330" s="46">
        <f t="shared" ca="1" si="26"/>
        <v>7.5757575757331628E-4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input_525100!A$2</f>
        <v>525100</v>
      </c>
      <c r="B331" s="60">
        <v>1214</v>
      </c>
      <c r="C331" s="7" t="str">
        <f t="shared" ref="C331:C335" si="29">D331&amp;J331&amp;E331&amp;F331&amp;G331</f>
        <v>PremiumSS5R5only</v>
      </c>
      <c r="D331" s="9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IFERROR(VLOOKUP(B331,input_525100!L:R,7,FALSE),VLOOKUP(tables_525100!C331,input_525100!A:H,8,FALSE))</f>
        <v>47000</v>
      </c>
      <c r="P331" s="46">
        <f t="shared" ca="1" si="26"/>
        <v>7.5757575757331628E-4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input_525100!A$2</f>
        <v>525100</v>
      </c>
      <c r="B332" s="60">
        <v>1212</v>
      </c>
      <c r="C332" s="7" t="str">
        <f t="shared" si="29"/>
        <v>PremiumSS5R5only</v>
      </c>
      <c r="D332" s="9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IFERROR(VLOOKUP(B332,input_525100!L:R,7,FALSE),VLOOKUP(tables_525100!C332,input_525100!A:H,8,FALSE))</f>
        <v>47000</v>
      </c>
      <c r="P332" s="46">
        <f t="shared" ca="1" si="26"/>
        <v>7.5757575757331628E-4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input_525100!A$2</f>
        <v>525100</v>
      </c>
      <c r="B333" s="60">
        <v>1208</v>
      </c>
      <c r="C333" s="7" t="str">
        <f t="shared" si="29"/>
        <v>PremiumSS5R5only</v>
      </c>
      <c r="D333" s="9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IFERROR(VLOOKUP(B333,input_525100!L:R,7,FALSE),VLOOKUP(tables_525100!C333,input_525100!A:H,8,FALSE))</f>
        <v>47000</v>
      </c>
      <c r="P333" s="46">
        <f t="shared" ca="1" si="26"/>
        <v>7.5757575757331628E-4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input_525100!A$2</f>
        <v>525100</v>
      </c>
      <c r="B334" s="93">
        <v>1210</v>
      </c>
      <c r="C334" s="7" t="str">
        <f t="shared" si="29"/>
        <v>Premium4R3less</v>
      </c>
      <c r="D334" s="9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IFERROR(VLOOKUP(B334,input_525100!L:R,7,FALSE),VLOOKUP(tables_525100!C334,input_525100!A:H,8,FALSE))</f>
        <v>558360</v>
      </c>
      <c r="P334" s="46">
        <f t="shared" ca="1" si="26"/>
        <v>8.9999999999709965E-3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input_525100!A$2</f>
        <v>525100</v>
      </c>
      <c r="B335" s="60">
        <v>1211</v>
      </c>
      <c r="C335" s="7" t="str">
        <f t="shared" si="29"/>
        <v>Premium5R3less</v>
      </c>
      <c r="D335" s="9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IFERROR(VLOOKUP(B335,input_525100!L:R,7,FALSE),VLOOKUP(tables_525100!C335,input_525100!A:H,8,FALSE))</f>
        <v>46530</v>
      </c>
      <c r="P335" s="46">
        <f t="shared" ca="1" si="26"/>
        <v>7.4999999999758311E-4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input_525100!A$2</f>
        <v>525100</v>
      </c>
      <c r="B336" s="2">
        <v>1224</v>
      </c>
      <c r="C336" s="7" t="str">
        <f t="shared" ref="C336:C340" si="31">D336&amp;J336&amp;E336&amp;F336&amp;G336</f>
        <v>Premium4R3less</v>
      </c>
      <c r="D336" s="9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IFERROR(VLOOKUP(B336,input_525100!L:R,7,FALSE),VLOOKUP(tables_525100!C336,input_525100!A:H,8,FALSE))</f>
        <v>558360</v>
      </c>
      <c r="P336" s="46">
        <f t="shared" ca="1" si="26"/>
        <v>8.9999999999709965E-3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input_525100!A$2</f>
        <v>525100</v>
      </c>
      <c r="B337" s="2">
        <v>1225</v>
      </c>
      <c r="C337" s="7" t="str">
        <f t="shared" si="31"/>
        <v>Premium5R3less</v>
      </c>
      <c r="D337" s="9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IFERROR(VLOOKUP(B337,input_525100!L:R,7,FALSE),VLOOKUP(tables_525100!C337,input_525100!A:H,8,FALSE))</f>
        <v>46530</v>
      </c>
      <c r="P337" s="46">
        <f t="shared" ca="1" si="26"/>
        <v>7.4999999999758311E-4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input_525100!A$2</f>
        <v>525100</v>
      </c>
      <c r="B338" s="2">
        <v>1226</v>
      </c>
      <c r="C338" s="7" t="str">
        <f t="shared" si="31"/>
        <v>PremiumSS5R5only</v>
      </c>
      <c r="D338" s="9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IFERROR(VLOOKUP(B338,input_525100!L:R,7,FALSE),VLOOKUP(tables_525100!C338,input_525100!A:H,8,FALSE))</f>
        <v>47000</v>
      </c>
      <c r="P338" s="46">
        <f t="shared" ca="1" si="26"/>
        <v>7.5757575757331628E-4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input_525100!A$2</f>
        <v>525100</v>
      </c>
      <c r="B339" s="2">
        <v>1228</v>
      </c>
      <c r="C339" s="7" t="str">
        <f t="shared" si="31"/>
        <v>PremiumSS5R5only</v>
      </c>
      <c r="D339" s="9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IFERROR(VLOOKUP(B339,input_525100!L:R,7,FALSE),VLOOKUP(tables_525100!C339,input_525100!A:H,8,FALSE))</f>
        <v>47000</v>
      </c>
      <c r="P339" s="46">
        <f t="shared" ca="1" si="26"/>
        <v>7.5757575757331628E-4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input_525100!A$2</f>
        <v>525100</v>
      </c>
      <c r="B340" s="2">
        <v>1230</v>
      </c>
      <c r="C340" s="7" t="str">
        <f t="shared" si="31"/>
        <v>PremiumSS5R5only</v>
      </c>
      <c r="D340" s="9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IFERROR(VLOOKUP(B340,input_525100!L:R,7,FALSE),VLOOKUP(tables_525100!C340,input_525100!A:H,8,FALSE))</f>
        <v>47000</v>
      </c>
      <c r="P340" s="46">
        <f t="shared" ca="1" si="26"/>
        <v>7.5757575757331628E-4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input_525100!A$2</f>
        <v>525100</v>
      </c>
      <c r="B341" s="98">
        <v>1244</v>
      </c>
      <c r="C341" s="7" t="str">
        <f t="shared" ref="C341:C346" si="33">D341&amp;J341&amp;E341&amp;F341&amp;G341</f>
        <v>PremiumSS5R5only</v>
      </c>
      <c r="D341" s="9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IFERROR(VLOOKUP(B341,input_525100!L:R,7,FALSE),VLOOKUP(tables_525100!C341,input_525100!A:H,8,FALSE))</f>
        <v>47000</v>
      </c>
      <c r="P341" s="46">
        <f t="shared" ref="P341:P346" ca="1" si="35">O341/SUM(O:O)</f>
        <v>7.5757575757331628E-4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input_525100!A$2</f>
        <v>525100</v>
      </c>
      <c r="B342" s="98">
        <v>1246</v>
      </c>
      <c r="C342" s="7" t="str">
        <f t="shared" si="33"/>
        <v>PremiumSS5R5only</v>
      </c>
      <c r="D342" s="9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IFERROR(VLOOKUP(B342,input_525100!L:R,7,FALSE),VLOOKUP(tables_525100!C342,input_525100!A:H,8,FALSE))</f>
        <v>47000</v>
      </c>
      <c r="P342" s="46">
        <f t="shared" ca="1" si="35"/>
        <v>7.5757575757331628E-4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input_525100!A$2</f>
        <v>525100</v>
      </c>
      <c r="B343" s="98">
        <v>1248</v>
      </c>
      <c r="C343" s="7" t="str">
        <f t="shared" si="33"/>
        <v>Premium4R3less</v>
      </c>
      <c r="D343" s="9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IFERROR(VLOOKUP(B343,input_525100!L:R,7,FALSE),VLOOKUP(tables_525100!C343,input_525100!A:H,8,FALSE))</f>
        <v>558360</v>
      </c>
      <c r="P343" s="46">
        <f t="shared" ca="1" si="35"/>
        <v>8.9999999999709965E-3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input_525100!A$2</f>
        <v>525100</v>
      </c>
      <c r="B344" s="98">
        <v>1249</v>
      </c>
      <c r="C344" s="7" t="str">
        <f t="shared" si="33"/>
        <v>Premium5R3less</v>
      </c>
      <c r="D344" s="9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IFERROR(VLOOKUP(B344,input_525100!L:R,7,FALSE),VLOOKUP(tables_525100!C344,input_525100!A:H,8,FALSE))</f>
        <v>46530</v>
      </c>
      <c r="P344" s="46">
        <f t="shared" ca="1" si="35"/>
        <v>7.4999999999758311E-4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input_525100!A$2</f>
        <v>525100</v>
      </c>
      <c r="B345" s="98">
        <v>1250</v>
      </c>
      <c r="C345" s="7" t="str">
        <f t="shared" si="33"/>
        <v>PremiumSS5R5only</v>
      </c>
      <c r="D345" s="9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IFERROR(VLOOKUP(B345,input_525100!L:R,7,FALSE),VLOOKUP(tables_525100!C345,input_525100!A:H,8,FALSE))</f>
        <v>47000</v>
      </c>
      <c r="P345" s="46">
        <f t="shared" ca="1" si="35"/>
        <v>7.5757575757331628E-4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input_525100!A$2</f>
        <v>525100</v>
      </c>
      <c r="B346" s="1">
        <v>1389</v>
      </c>
      <c r="C346" s="7" t="str">
        <f t="shared" si="33"/>
        <v>PremiumSSS5R3less</v>
      </c>
      <c r="D346" s="97" t="str">
        <f t="shared" si="34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ユング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 ca="1">IFERROR(VLOOKUP(B346,input_525100!L:R,7,FALSE),VLOOKUP(tables_525100!C346,input_525100!A:H,8,FALSE))</f>
        <v>310200</v>
      </c>
      <c r="P346" s="46">
        <f t="shared" ca="1" si="35"/>
        <v>4.9999999999838871E-3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input_525100!A$2</f>
        <v>525100</v>
      </c>
      <c r="B347" s="1">
        <v>486</v>
      </c>
      <c r="C347" s="7" t="str">
        <f t="shared" ref="C347" si="36">D347&amp;J347&amp;E347&amp;F347&amp;G347</f>
        <v>PremiumSSS5R3less</v>
      </c>
      <c r="D347" s="97" t="str">
        <f t="shared" ref="D347" si="37">IF(OR(I347="PremiumSS",I347="PremiumSSw"),"PremiumSS",IF(I347="PremiumSSS",I347,IF(I347="PremiumW",IF(J347=5,"premium",I347),"Premium")))</f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重なる世解 シュレディンガー</v>
      </c>
      <c r="I347" s="7" t="str">
        <f>VLOOKUP(B347,[1]characters!$A:$J,10,FALSE)</f>
        <v>PremiumSSS</v>
      </c>
      <c r="J347" s="7">
        <f>VLOOKUP(B347,[1]characters!$A:$I,9,FALSE)</f>
        <v>5</v>
      </c>
      <c r="K347" s="7" t="str">
        <f>VLOOKUP(B347,[1]characters!$A:$H,8,FALSE)</f>
        <v>red</v>
      </c>
      <c r="L347" s="7" t="str">
        <f>VLOOKUP(B347,[1]characters!$A:$K,11,FALSE)</f>
        <v>balance</v>
      </c>
      <c r="M347" s="7" t="str">
        <f>VLOOKUP(B347,[1]characters!$A:$M,13,FALSE)</f>
        <v>animal</v>
      </c>
      <c r="N347" s="7" t="str">
        <f>VLOOKUP(B347,[1]characters!$A:$G,7,FALSE)</f>
        <v>男性</v>
      </c>
      <c r="O347" s="45">
        <f ca="1">IFERROR(VLOOKUP(B347,input_525100!L:R,7,FALSE),VLOOKUP(tables_525100!C347,input_525100!A:H,8,FALSE))</f>
        <v>310200</v>
      </c>
      <c r="P347" s="46">
        <f ca="1">O347/SUM(O:O)</f>
        <v>4.9999999999838871E-3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G30" sqref="G3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525100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VLOOKUP(L3,tables_settle_525100!B:C,2,FALSE)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VLOOKUP(L4,tables_settle_525100!B:C,2,FALSE)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7.5757575757575758E-4</v>
      </c>
      <c r="F5">
        <f>(COUNTIF(tables_settle_525100!C:C,input_settle_525100!A28)+COUNTIF(tables_settle_525100!C:C,input_settle_525100!A29))</f>
        <v>66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VLOOKUP(L5,tables_settle_525100!B:C,2,FALSE)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0.01</v>
      </c>
      <c r="F6">
        <f>(COUNTIF(tables_settle_525100!C:C,input_settle_525100!A25)+COUNTIF(tables_settle_525100!C:C,input_settle_525100!A18)+COUNTIF(tables_settle_525100!C:C,input_settle_525100!A20)+COUNTIF(tables_settle_525100!C:C,input_settle_525100!A22))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VLOOKUP(L6,tables_settle_525100!B:C,2,FALSE)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VLOOKUP(L7,tables_settle_525100!B:C,2,FALSE)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VLOOKUP(L8,tables_settle_525100!B:C,2,FALSE)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VLOOKUP(L9,tables_settle_525100!B:C,2,FALSE)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VLOOKUP(L10,tables_settle_525100!B:C,2,FALSE)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VLOOKUP(L11,tables_settle_525100!B:C,2,FALSE)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VLOOKUP(L12,tables_settle_525100!B:C,2,FALSE)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VLOOKUP(L13,tables_settle_525100!B:C,2,FALSE)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VLOOKUP(L14,tables_settle_525100!B:C,2,FALSE)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VLOOKUP(L15,tables_settle_525100!B:C,2,FALSE)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VLOOKUP(L16,tables_settle_525100!B:C,2,FALSE)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COUNTIF(tables_settle_525100!C:C,input_settle_525100!A17)-COUNTIF(Q:Q,A17)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VLOOKUP(L17,tables_settle_525100!B:C,2,FALSE)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</v>
      </c>
      <c r="C18" s="85">
        <f t="shared" si="2"/>
        <v>0</v>
      </c>
      <c r="D18" s="74">
        <f t="shared" si="3"/>
        <v>0</v>
      </c>
      <c r="E18">
        <f>COUNTIF(tables_settle_525100!C:C,input_settle_525100!A18)-COUNTIF(Q:Q,A18)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VLOOKUP(L18,tables_settle_525100!B:C,2,FALSE)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COUNTIF(tables_settle_525100!C:C,input_settle_525100!A19)-COUNTIF(Q:Q,A19)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VLOOKUP(L19,tables_settle_525100!B:C,2,FALSE)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</v>
      </c>
      <c r="C20" s="85">
        <f t="shared" si="2"/>
        <v>0</v>
      </c>
      <c r="D20" s="74">
        <f t="shared" si="3"/>
        <v>0</v>
      </c>
      <c r="E20">
        <f>COUNTIF(tables_settle_525100!C:C,input_settle_525100!A20)-COUNTIF(Q:Q,A20)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VLOOKUP(L20,tables_settle_525100!B:C,2,FALSE)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0.65999999999999992</v>
      </c>
      <c r="C21" s="85">
        <f t="shared" si="2"/>
        <v>0</v>
      </c>
      <c r="D21" s="74">
        <f t="shared" si="3"/>
        <v>0.65999999999999992</v>
      </c>
      <c r="E21">
        <f>COUNTIF(tables_settle_525100!C:C,input_settle_525100!A21)-COUNTIF(Q:Q,A21)</f>
        <v>52</v>
      </c>
      <c r="F21" s="43">
        <f t="shared" si="8"/>
        <v>1.269230769230769E-2</v>
      </c>
      <c r="G21">
        <f t="shared" si="4"/>
        <v>40946399.999999993</v>
      </c>
      <c r="H21">
        <f t="shared" si="5"/>
        <v>787430.76922999998</v>
      </c>
      <c r="I21">
        <f t="shared" si="6"/>
        <v>0.76922999997623265</v>
      </c>
      <c r="J21">
        <f t="shared" si="7"/>
        <v>1.300001300041467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COUNTIF(tables_settle_525100!C:C,input_settle_525100!A22)-COUNTIF(Q:Q,A22)</f>
        <v>18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0.24</v>
      </c>
      <c r="C23" s="85">
        <f t="shared" si="2"/>
        <v>0</v>
      </c>
      <c r="D23" s="74">
        <f t="shared" si="3"/>
        <v>0.24</v>
      </c>
      <c r="E23">
        <f>COUNTIF(tables_settle_525100!C:C,input_settle_525100!A23)-COUNTIF(Q:Q,A23)</f>
        <v>24</v>
      </c>
      <c r="F23" s="43">
        <f t="shared" si="8"/>
        <v>0.01</v>
      </c>
      <c r="G23">
        <f t="shared" si="4"/>
        <v>14889600</v>
      </c>
      <c r="H23">
        <f t="shared" si="5"/>
        <v>620400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COUNTIF(tables_settle_525100!C:C,input_settle_525100!A24)-COUNTIF(Q:Q,A24)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COUNTIF(tables_settle_525100!C:C,input_settle_525100!A25)-COUNTIF(Q:Q,A25)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0.04</v>
      </c>
      <c r="C26" s="85">
        <f t="shared" si="2"/>
        <v>0</v>
      </c>
      <c r="D26" s="74">
        <f t="shared" si="3"/>
        <v>0.04</v>
      </c>
      <c r="E26">
        <f>COUNTIF(tables_settle_525100!C:C,input_settle_525100!A26)-COUNTIF(Q:Q,A26)</f>
        <v>4</v>
      </c>
      <c r="F26" s="43">
        <f t="shared" si="8"/>
        <v>0.01</v>
      </c>
      <c r="G26">
        <f t="shared" si="4"/>
        <v>2481600</v>
      </c>
      <c r="H26">
        <f t="shared" si="5"/>
        <v>620400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COUNTIF(tables_settle_525100!C:C,input_settle_525100!A27)-COUNTIF(Q:Q,A27)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2.1212121212121213E-2</v>
      </c>
      <c r="C28" s="85">
        <f t="shared" si="2"/>
        <v>0</v>
      </c>
      <c r="D28" s="74">
        <f t="shared" si="3"/>
        <v>2.1212121212121213E-2</v>
      </c>
      <c r="E28">
        <f>COUNTIF(tables_settle_525100!C:C,input_settle_525100!A28)-COUNTIF(Q:Q,A28)</f>
        <v>28</v>
      </c>
      <c r="F28" s="43">
        <f t="shared" si="8"/>
        <v>7.5757575757575758E-4</v>
      </c>
      <c r="G28">
        <f t="shared" si="4"/>
        <v>1316000</v>
      </c>
      <c r="H28">
        <f t="shared" si="5"/>
        <v>47000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2.8787878787878789E-2</v>
      </c>
      <c r="C29" s="85">
        <f t="shared" si="2"/>
        <v>0</v>
      </c>
      <c r="D29" s="74">
        <f t="shared" si="3"/>
        <v>2.8787878787878789E-2</v>
      </c>
      <c r="E29">
        <f>COUNTIF(tables_settle_525100!C:C,input_settle_525100!A29)-COUNTIF(Q:Q,A29)</f>
        <v>38</v>
      </c>
      <c r="F29" s="43">
        <f t="shared" si="8"/>
        <v>7.5757575757575758E-4</v>
      </c>
      <c r="G29">
        <f t="shared" si="4"/>
        <v>1786000</v>
      </c>
      <c r="H29">
        <f t="shared" si="5"/>
        <v>47000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COUNTIF(tables_settle_525100!C:C,input_settle_525100!A30)-COUNTIF(Q:Q,A30)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COUNTIF(tables_settle_525100!C:C,input_settle_525100!A31)-COUNTIF(Q:Q,A31)</f>
        <v>2</v>
      </c>
      <c r="F31" s="43">
        <f t="shared" si="8"/>
        <v>5.0000000000000001E-3</v>
      </c>
      <c r="G31">
        <f t="shared" si="4"/>
        <v>620400</v>
      </c>
      <c r="H31">
        <f t="shared" si="5"/>
        <v>310200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SUMIF(tables_settle_525100!C:C,input_settle_525100!A40,tables_settle_525100!O:O)</f>
        <v>0</v>
      </c>
      <c r="C40" s="54">
        <f t="shared" ref="C40:C46" ca="1" si="9">B40/B$47</f>
        <v>0</v>
      </c>
      <c r="E40">
        <v>3</v>
      </c>
      <c r="F40">
        <f ca="1">SUMIF(tables_settle_525100!J:J,input_settle_525100!E40,tables_settle_525100!O:O)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SUMIF(tables_settle_525100!C:C,input_settle_525100!A41,tables_settle_525100!O:O)</f>
        <v>0</v>
      </c>
      <c r="C41" s="54">
        <f t="shared" ca="1" si="9"/>
        <v>0</v>
      </c>
      <c r="E41">
        <v>4</v>
      </c>
      <c r="F41">
        <f ca="1">SUMIF(tables_settle_525100!J:J,input_settle_525100!E41,tables_settle_525100!O:O)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SUMIF(tables_settle_525100!C:C,input_settle_525100!A42,tables_settle_525100!O:O)</f>
        <v>0</v>
      </c>
      <c r="C42" s="54">
        <f t="shared" ca="1" si="9"/>
        <v>0</v>
      </c>
      <c r="E42">
        <v>5</v>
      </c>
      <c r="F42">
        <f ca="1">SUMIF(tables_settle_525100!J:J,input_settle_525100!E42,tables_settle_525100!O:O)</f>
        <v>62039999.999960028</v>
      </c>
      <c r="G42">
        <f ca="1">F42/A36</f>
        <v>0.99999999999935574</v>
      </c>
    </row>
    <row r="43" spans="1:7" x14ac:dyDescent="0.15">
      <c r="A43" s="33" t="s">
        <v>109</v>
      </c>
      <c r="B43">
        <f>SUMIF(tables_settle_525100!C:C,input_settle_525100!A43,tables_settle_525100!O:O)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SUMIF(tables_settle_525100!C:C,input_settle_525100!A44,tables_settle_525100!O:O)</f>
        <v>40946399.99996002</v>
      </c>
      <c r="C44" s="54">
        <f t="shared" ca="1" si="9"/>
        <v>0.96886120996438341</v>
      </c>
      <c r="E44" t="s">
        <v>54</v>
      </c>
      <c r="F44" s="55"/>
    </row>
    <row r="45" spans="1:7" x14ac:dyDescent="0.15">
      <c r="A45" s="33" t="s">
        <v>107</v>
      </c>
      <c r="B45">
        <f ca="1">SUMIF(tables_settle_525100!C:C,input_settle_525100!A45,tables_settle_525100!O:O)</f>
        <v>1316000</v>
      </c>
      <c r="C45" s="54">
        <f t="shared" ca="1" si="9"/>
        <v>3.1138790035616645E-2</v>
      </c>
      <c r="E45" t="s">
        <v>204</v>
      </c>
      <c r="F45" s="55">
        <f ca="1">SUMIF(tables_settle_525100!I:I,input_settle_525100!E45,tables_settle_525100!P:P)</f>
        <v>6.0000000000038654E-2</v>
      </c>
    </row>
    <row r="46" spans="1:7" x14ac:dyDescent="0.15">
      <c r="A46" s="33" t="s">
        <v>108</v>
      </c>
      <c r="B46">
        <f>SUMIF(tables_settle_525100!C:C,input_settle_525100!A46,tables_settle_525100!O:O)</f>
        <v>0</v>
      </c>
      <c r="C46" s="54">
        <f t="shared" ca="1" si="9"/>
        <v>0</v>
      </c>
      <c r="E46" t="s">
        <v>205</v>
      </c>
      <c r="F46" s="55">
        <f ca="1">SUMIF(tables_settle_525100!I:I,input_settle_525100!E46,tables_settle_525100!P:P)</f>
        <v>0.24576923076917845</v>
      </c>
    </row>
    <row r="47" spans="1:7" x14ac:dyDescent="0.15">
      <c r="A47" s="39" t="s">
        <v>59</v>
      </c>
      <c r="B47">
        <f ca="1">SUM(B40:B46)</f>
        <v>42262399.99996002</v>
      </c>
      <c r="C47" s="55">
        <f ca="1">SUM(C40:C46)</f>
        <v>1</v>
      </c>
      <c r="E47" t="s">
        <v>206</v>
      </c>
      <c r="F47" s="55">
        <f ca="1">SUMIF(tables_settle_525100!I:I,input_settle_525100!E47,tables_settle_525100!P:P)</f>
        <v>0.63423076923074373</v>
      </c>
    </row>
    <row r="48" spans="1:7" x14ac:dyDescent="0.15">
      <c r="E48" t="s">
        <v>207</v>
      </c>
      <c r="F48" s="55">
        <f ca="1">SUMIF(tables_settle_525100!I:I,input_settle_525100!E48,tables_settle_525100!P:P)</f>
        <v>4.4696969696998524E-2</v>
      </c>
      <c r="G48" s="55">
        <f ca="1">0.05-F48-F49</f>
        <v>-3.2241570524504937E-14</v>
      </c>
    </row>
    <row r="49" spans="5:7" x14ac:dyDescent="0.15">
      <c r="E49" t="s">
        <v>249</v>
      </c>
      <c r="F49" s="55">
        <f ca="1">SUMIF(tables_settle_525100!I:I,input_settle_525100!E49,tables_settle_525100!P:P)</f>
        <v>5.3030303030337199E-3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319" activePane="bottomLeft" state="frozen"/>
      <selection activeCell="P347" sqref="P347"/>
      <selection pane="bottomLeft" activeCell="A348" sqref="A34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input_settle_525100!A$2</f>
        <v>525100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IFERROR(VLOOKUP(B2,input_settle_525100!L:R,7,FALSE),VLOOKUP(tables_settle_525100!C2,input_settle_525100!A:H,8,FALSE))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input_settle_525100!A$2</f>
        <v>525100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IFERROR(VLOOKUP(B3,input_settle_525100!L:R,7,FALSE),VLOOKUP(tables_settle_525100!C3,input_settle_525100!A:H,8,FALSE))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input_settle_525100!A$2</f>
        <v>525100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IFERROR(VLOOKUP(B4,input_settle_525100!L:R,7,FALSE),VLOOKUP(tables_settle_525100!C4,input_settle_525100!A:H,8,FALSE))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input_settle_525100!A$2</f>
        <v>525100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IFERROR(VLOOKUP(B5,input_settle_525100!L:R,7,FALSE),VLOOKUP(tables_settle_525100!C5,input_settle_525100!A:H,8,FALSE))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input_settle_525100!A$2</f>
        <v>525100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IFERROR(VLOOKUP(B6,input_settle_525100!L:R,7,FALSE),VLOOKUP(tables_settle_525100!C6,input_settle_525100!A:H,8,FALSE))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input_settle_525100!A$2</f>
        <v>525100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IFERROR(VLOOKUP(B7,input_settle_525100!L:R,7,FALSE),VLOOKUP(tables_settle_525100!C7,input_settle_525100!A:H,8,FALSE))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input_settle_525100!A$2</f>
        <v>525100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IFERROR(VLOOKUP(B8,input_settle_525100!L:R,7,FALSE),VLOOKUP(tables_settle_525100!C8,input_settle_525100!A:H,8,FALSE))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input_settle_525100!A$2</f>
        <v>525100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IFERROR(VLOOKUP(B9,input_settle_525100!L:R,7,FALSE),VLOOKUP(tables_settle_525100!C9,input_settle_525100!A:H,8,FALSE))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input_settle_525100!A$2</f>
        <v>525100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IFERROR(VLOOKUP(B10,input_settle_525100!L:R,7,FALSE),VLOOKUP(tables_settle_525100!C10,input_settle_525100!A:H,8,FALSE))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input_settle_525100!A$2</f>
        <v>525100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IFERROR(VLOOKUP(B11,input_settle_525100!L:R,7,FALSE),VLOOKUP(tables_settle_525100!C11,input_settle_525100!A:H,8,FALSE))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input_settle_525100!A$2</f>
        <v>525100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IFERROR(VLOOKUP(B12,input_settle_525100!L:R,7,FALSE),VLOOKUP(tables_settle_525100!C12,input_settle_525100!A:H,8,FALSE))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input_settle_525100!A$2</f>
        <v>525100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IFERROR(VLOOKUP(B13,input_settle_525100!L:R,7,FALSE),VLOOKUP(tables_settle_525100!C13,input_settle_525100!A:H,8,FALSE))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input_settle_525100!A$2</f>
        <v>525100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IFERROR(VLOOKUP(B14,input_settle_525100!L:R,7,FALSE),VLOOKUP(tables_settle_525100!C14,input_settle_525100!A:H,8,FALSE))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input_settle_525100!A$2</f>
        <v>525100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IFERROR(VLOOKUP(B15,input_settle_525100!L:R,7,FALSE),VLOOKUP(tables_settle_525100!C15,input_settle_525100!A:H,8,FALSE))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input_settle_525100!A$2</f>
        <v>525100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IFERROR(VLOOKUP(B16,input_settle_525100!L:R,7,FALSE),VLOOKUP(tables_settle_525100!C16,input_settle_525100!A:H,8,FALSE))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input_settle_525100!A$2</f>
        <v>525100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IFERROR(VLOOKUP(B17,input_settle_525100!L:R,7,FALSE),VLOOKUP(tables_settle_525100!C17,input_settle_525100!A:H,8,FALSE))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input_settle_525100!A$2</f>
        <v>525100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IFERROR(VLOOKUP(B18,input_settle_525100!L:R,7,FALSE),VLOOKUP(tables_settle_525100!C18,input_settle_525100!A:H,8,FALSE))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input_settle_525100!A$2</f>
        <v>525100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IFERROR(VLOOKUP(B19,input_settle_525100!L:R,7,FALSE),VLOOKUP(tables_settle_525100!C19,input_settle_525100!A:H,8,FALSE))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input_settle_525100!A$2</f>
        <v>525100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IFERROR(VLOOKUP(B20,input_settle_525100!L:R,7,FALSE),VLOOKUP(tables_settle_525100!C20,input_settle_525100!A:H,8,FALSE))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input_settle_525100!A$2</f>
        <v>525100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IFERROR(VLOOKUP(B21,input_settle_525100!L:R,7,FALSE),VLOOKUP(tables_settle_525100!C21,input_settle_525100!A:H,8,FALSE))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input_settle_525100!A$2</f>
        <v>525100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IFERROR(VLOOKUP(B22,input_settle_525100!L:R,7,FALSE),VLOOKUP(tables_settle_525100!C22,input_settle_525100!A:H,8,FALSE))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input_settle_525100!A$2</f>
        <v>525100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IFERROR(VLOOKUP(B23,input_settle_525100!L:R,7,FALSE),VLOOKUP(tables_settle_525100!C23,input_settle_525100!A:H,8,FALSE))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input_settle_525100!A$2</f>
        <v>525100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IFERROR(VLOOKUP(B24,input_settle_525100!L:R,7,FALSE),VLOOKUP(tables_settle_525100!C24,input_settle_525100!A:H,8,FALSE))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input_settle_525100!A$2</f>
        <v>525100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IFERROR(VLOOKUP(B25,input_settle_525100!L:R,7,FALSE),VLOOKUP(tables_settle_525100!C25,input_settle_525100!A:H,8,FALSE))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input_settle_525100!A$2</f>
        <v>525100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IFERROR(VLOOKUP(B26,input_settle_525100!L:R,7,FALSE),VLOOKUP(tables_settle_525100!C26,input_settle_525100!A:H,8,FALSE))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input_settle_525100!A$2</f>
        <v>525100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IFERROR(VLOOKUP(B27,input_settle_525100!L:R,7,FALSE),VLOOKUP(tables_settle_525100!C27,input_settle_525100!A:H,8,FALSE))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input_settle_525100!A$2</f>
        <v>525100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IFERROR(VLOOKUP(B28,input_settle_525100!L:R,7,FALSE),VLOOKUP(tables_settle_525100!C28,input_settle_525100!A:H,8,FALSE))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input_settle_525100!A$2</f>
        <v>525100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IFERROR(VLOOKUP(B29,input_settle_525100!L:R,7,FALSE),VLOOKUP(tables_settle_525100!C29,input_settle_525100!A:H,8,FALSE))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input_settle_525100!A$2</f>
        <v>525100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IFERROR(VLOOKUP(B30,input_settle_525100!L:R,7,FALSE),VLOOKUP(tables_settle_525100!C30,input_settle_525100!A:H,8,FALSE))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input_settle_525100!A$2</f>
        <v>525100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IFERROR(VLOOKUP(B31,input_settle_525100!L:R,7,FALSE),VLOOKUP(tables_settle_525100!C31,input_settle_525100!A:H,8,FALSE))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input_settle_525100!A$2</f>
        <v>525100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IFERROR(VLOOKUP(B32,input_settle_525100!L:R,7,FALSE),VLOOKUP(tables_settle_525100!C32,input_settle_525100!A:H,8,FALSE))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input_settle_525100!A$2</f>
        <v>525100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IFERROR(VLOOKUP(B33,input_settle_525100!L:R,7,FALSE),VLOOKUP(tables_settle_525100!C33,input_settle_525100!A:H,8,FALSE))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input_settle_525100!A$2</f>
        <v>525100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IFERROR(VLOOKUP(B34,input_settle_525100!L:R,7,FALSE),VLOOKUP(tables_settle_525100!C34,input_settle_525100!A:H,8,FALSE))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input_settle_525100!A$2</f>
        <v>525100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IFERROR(VLOOKUP(B35,input_settle_525100!L:R,7,FALSE),VLOOKUP(tables_settle_525100!C35,input_settle_525100!A:H,8,FALSE))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input_settle_525100!A$2</f>
        <v>525100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IFERROR(VLOOKUP(B36,input_settle_525100!L:R,7,FALSE),VLOOKUP(tables_settle_525100!C36,input_settle_525100!A:H,8,FALSE))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input_settle_525100!A$2</f>
        <v>525100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IFERROR(VLOOKUP(B37,input_settle_525100!L:R,7,FALSE),VLOOKUP(tables_settle_525100!C37,input_settle_525100!A:H,8,FALSE))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input_settle_525100!A$2</f>
        <v>525100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IFERROR(VLOOKUP(B38,input_settle_525100!L:R,7,FALSE),VLOOKUP(tables_settle_525100!C38,input_settle_525100!A:H,8,FALSE))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input_settle_525100!A$2</f>
        <v>525100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IFERROR(VLOOKUP(B39,input_settle_525100!L:R,7,FALSE),VLOOKUP(tables_settle_525100!C39,input_settle_525100!A:H,8,FALSE))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input_settle_525100!A$2</f>
        <v>525100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IFERROR(VLOOKUP(B40,input_settle_525100!L:R,7,FALSE),VLOOKUP(tables_settle_525100!C40,input_settle_525100!A:H,8,FALSE))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input_settle_525100!A$2</f>
        <v>525100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IFERROR(VLOOKUP(B41,input_settle_525100!L:R,7,FALSE),VLOOKUP(tables_settle_525100!C41,input_settle_525100!A:H,8,FALSE))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input_settle_525100!A$2</f>
        <v>525100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IFERROR(VLOOKUP(B42,input_settle_525100!L:R,7,FALSE),VLOOKUP(tables_settle_525100!C42,input_settle_525100!A:H,8,FALSE))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input_settle_525100!A$2</f>
        <v>525100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IFERROR(VLOOKUP(B43,input_settle_525100!L:R,7,FALSE),VLOOKUP(tables_settle_525100!C43,input_settle_525100!A:H,8,FALSE))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input_settle_525100!A$2</f>
        <v>525100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IFERROR(VLOOKUP(B44,input_settle_525100!L:R,7,FALSE),VLOOKUP(tables_settle_525100!C44,input_settle_525100!A:H,8,FALSE))</f>
        <v>620400</v>
      </c>
      <c r="P44" s="46">
        <f t="shared" ca="1" si="1"/>
        <v>1.0000000000006443E-2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input_settle_525100!A$2</f>
        <v>525100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IFERROR(VLOOKUP(B45,input_settle_525100!L:R,7,FALSE),VLOOKUP(tables_settle_525100!C45,input_settle_525100!A:H,8,FALSE))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input_settle_525100!A$2</f>
        <v>525100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IFERROR(VLOOKUP(B46,input_settle_525100!L:R,7,FALSE),VLOOKUP(tables_settle_525100!C46,input_settle_525100!A:H,8,FALSE))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input_settle_525100!A$2</f>
        <v>525100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IFERROR(VLOOKUP(B47,input_settle_525100!L:R,7,FALSE),VLOOKUP(tables_settle_525100!C47,input_settle_525100!A:H,8,FALSE))</f>
        <v>620400</v>
      </c>
      <c r="P47" s="46">
        <f t="shared" ca="1" si="1"/>
        <v>1.0000000000006443E-2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input_settle_525100!A$2</f>
        <v>525100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IFERROR(VLOOKUP(B48,input_settle_525100!L:R,7,FALSE),VLOOKUP(tables_settle_525100!C48,input_settle_525100!A:H,8,FALSE))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input_settle_525100!A$2</f>
        <v>525100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IFERROR(VLOOKUP(B49,input_settle_525100!L:R,7,FALSE),VLOOKUP(tables_settle_525100!C49,input_settle_525100!A:H,8,FALSE))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input_settle_525100!A$2</f>
        <v>525100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IFERROR(VLOOKUP(B50,input_settle_525100!L:R,7,FALSE),VLOOKUP(tables_settle_525100!C50,input_settle_525100!A:H,8,FALSE))</f>
        <v>620400</v>
      </c>
      <c r="P50" s="46">
        <f t="shared" ca="1" si="1"/>
        <v>1.0000000000006443E-2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input_settle_525100!A$2</f>
        <v>525100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IFERROR(VLOOKUP(B51,input_settle_525100!L:R,7,FALSE),VLOOKUP(tables_settle_525100!C51,input_settle_525100!A:H,8,FALSE))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input_settle_525100!A$2</f>
        <v>525100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IFERROR(VLOOKUP(B52,input_settle_525100!L:R,7,FALSE),VLOOKUP(tables_settle_525100!C52,input_settle_525100!A:H,8,FALSE))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input_settle_525100!A$2</f>
        <v>525100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IFERROR(VLOOKUP(B53,input_settle_525100!L:R,7,FALSE),VLOOKUP(tables_settle_525100!C53,input_settle_525100!A:H,8,FALSE))</f>
        <v>787430.76922999998</v>
      </c>
      <c r="P53" s="46">
        <f t="shared" ca="1" si="1"/>
        <v>1.2692307692303471E-2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input_settle_525100!A$2</f>
        <v>525100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IFERROR(VLOOKUP(B54,input_settle_525100!L:R,7,FALSE),VLOOKUP(tables_settle_525100!C54,input_settle_525100!A:H,8,FALSE))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input_settle_525100!A$2</f>
        <v>525100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IFERROR(VLOOKUP(B55,input_settle_525100!L:R,7,FALSE),VLOOKUP(tables_settle_525100!C55,input_settle_525100!A:H,8,FALSE))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input_settle_525100!A$2</f>
        <v>525100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IFERROR(VLOOKUP(B56,input_settle_525100!L:R,7,FALSE),VLOOKUP(tables_settle_525100!C56,input_settle_525100!A:H,8,FALSE))</f>
        <v>787430.76922999998</v>
      </c>
      <c r="P56" s="46">
        <f t="shared" ca="1" si="1"/>
        <v>1.2692307692303471E-2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input_settle_525100!A$2</f>
        <v>525100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IFERROR(VLOOKUP(B57,input_settle_525100!L:R,7,FALSE),VLOOKUP(tables_settle_525100!C57,input_settle_525100!A:H,8,FALSE))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input_settle_525100!A$2</f>
        <v>525100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IFERROR(VLOOKUP(B58,input_settle_525100!L:R,7,FALSE),VLOOKUP(tables_settle_525100!C58,input_settle_525100!A:H,8,FALSE))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input_settle_525100!A$2</f>
        <v>525100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IFERROR(VLOOKUP(B59,input_settle_525100!L:R,7,FALSE),VLOOKUP(tables_settle_525100!C59,input_settle_525100!A:H,8,FALSE))</f>
        <v>787430.76922999998</v>
      </c>
      <c r="P59" s="46">
        <f t="shared" ca="1" si="1"/>
        <v>1.2692307692303471E-2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input_settle_525100!A$2</f>
        <v>525100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IFERROR(VLOOKUP(B60,input_settle_525100!L:R,7,FALSE),VLOOKUP(tables_settle_525100!C60,input_settle_525100!A:H,8,FALSE))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input_settle_525100!A$2</f>
        <v>525100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IFERROR(VLOOKUP(B61,input_settle_525100!L:R,7,FALSE),VLOOKUP(tables_settle_525100!C61,input_settle_525100!A:H,8,FALSE))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input_settle_525100!A$2</f>
        <v>525100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IFERROR(VLOOKUP(B62,input_settle_525100!L:R,7,FALSE),VLOOKUP(tables_settle_525100!C62,input_settle_525100!A:H,8,FALSE))</f>
        <v>787430.76922999998</v>
      </c>
      <c r="P62" s="46">
        <f t="shared" ca="1" si="1"/>
        <v>1.2692307692303471E-2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input_settle_525100!A$2</f>
        <v>525100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IFERROR(VLOOKUP(B63,input_settle_525100!L:R,7,FALSE),VLOOKUP(tables_settle_525100!C63,input_settle_525100!A:H,8,FALSE))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input_settle_525100!A$2</f>
        <v>525100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IFERROR(VLOOKUP(B64,input_settle_525100!L:R,7,FALSE),VLOOKUP(tables_settle_525100!C64,input_settle_525100!A:H,8,FALSE))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input_settle_525100!A$2</f>
        <v>525100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IFERROR(VLOOKUP(B65,input_settle_525100!L:R,7,FALSE),VLOOKUP(tables_settle_525100!C65,input_settle_525100!A:H,8,FALSE))</f>
        <v>787430.76922999998</v>
      </c>
      <c r="P65" s="46">
        <f t="shared" ca="1" si="1"/>
        <v>1.2692307692303471E-2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input_settle_525100!A$2</f>
        <v>525100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IFERROR(VLOOKUP(B66,input_settle_525100!L:R,7,FALSE),VLOOKUP(tables_settle_525100!C66,input_settle_525100!A:H,8,FALSE))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input_settle_525100!A$2</f>
        <v>525100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IFERROR(VLOOKUP(B67,input_settle_525100!L:R,7,FALSE),VLOOKUP(tables_settle_525100!C67,input_settle_525100!A:H,8,FALSE))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input_settle_525100!A$2</f>
        <v>525100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IFERROR(VLOOKUP(B68,input_settle_525100!L:R,7,FALSE),VLOOKUP(tables_settle_525100!C68,input_settle_525100!A:H,8,FALSE))</f>
        <v>787430.76922999998</v>
      </c>
      <c r="P68" s="46">
        <f t="shared" ca="1" si="4"/>
        <v>1.2692307692303471E-2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input_settle_525100!A$2</f>
        <v>525100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IFERROR(VLOOKUP(B69,input_settle_525100!L:R,7,FALSE),VLOOKUP(tables_settle_525100!C69,input_settle_525100!A:H,8,FALSE))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input_settle_525100!A$2</f>
        <v>525100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IFERROR(VLOOKUP(B70,input_settle_525100!L:R,7,FALSE),VLOOKUP(tables_settle_525100!C70,input_settle_525100!A:H,8,FALSE))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input_settle_525100!A$2</f>
        <v>525100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IFERROR(VLOOKUP(B71,input_settle_525100!L:R,7,FALSE),VLOOKUP(tables_settle_525100!C71,input_settle_525100!A:H,8,FALSE))</f>
        <v>787430.76922999998</v>
      </c>
      <c r="P71" s="46">
        <f t="shared" ca="1" si="4"/>
        <v>1.2692307692303471E-2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input_settle_525100!A$2</f>
        <v>525100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IFERROR(VLOOKUP(B72,input_settle_525100!L:R,7,FALSE),VLOOKUP(tables_settle_525100!C72,input_settle_525100!A:H,8,FALSE))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input_settle_525100!A$2</f>
        <v>525100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IFERROR(VLOOKUP(B73,input_settle_525100!L:R,7,FALSE),VLOOKUP(tables_settle_525100!C73,input_settle_525100!A:H,8,FALSE))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input_settle_525100!A$2</f>
        <v>525100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IFERROR(VLOOKUP(B74,input_settle_525100!L:R,7,FALSE),VLOOKUP(tables_settle_525100!C74,input_settle_525100!A:H,8,FALSE))</f>
        <v>787430.76922999998</v>
      </c>
      <c r="P74" s="46">
        <f t="shared" ca="1" si="4"/>
        <v>1.2692307692303471E-2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input_settle_525100!A$2</f>
        <v>525100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IFERROR(VLOOKUP(B75,input_settle_525100!L:R,7,FALSE),VLOOKUP(tables_settle_525100!C75,input_settle_525100!A:H,8,FALSE))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input_settle_525100!A$2</f>
        <v>525100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IFERROR(VLOOKUP(B76,input_settle_525100!L:R,7,FALSE),VLOOKUP(tables_settle_525100!C76,input_settle_525100!A:H,8,FALSE))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input_settle_525100!A$2</f>
        <v>525100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IFERROR(VLOOKUP(B77,input_settle_525100!L:R,7,FALSE),VLOOKUP(tables_settle_525100!C77,input_settle_525100!A:H,8,FALSE))</f>
        <v>787430.76922999998</v>
      </c>
      <c r="P77" s="46">
        <f t="shared" ca="1" si="4"/>
        <v>1.2692307692303471E-2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input_settle_525100!A$2</f>
        <v>525100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IFERROR(VLOOKUP(B78,input_settle_525100!L:R,7,FALSE),VLOOKUP(tables_settle_525100!C78,input_settle_525100!A:H,8,FALSE))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input_settle_525100!A$2</f>
        <v>525100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IFERROR(VLOOKUP(B79,input_settle_525100!L:R,7,FALSE),VLOOKUP(tables_settle_525100!C79,input_settle_525100!A:H,8,FALSE))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input_settle_525100!A$2</f>
        <v>525100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IFERROR(VLOOKUP(B80,input_settle_525100!L:R,7,FALSE),VLOOKUP(tables_settle_525100!C80,input_settle_525100!A:H,8,FALSE))</f>
        <v>787430.76922999998</v>
      </c>
      <c r="P80" s="46">
        <f t="shared" ca="1" si="4"/>
        <v>1.2692307692303471E-2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input_settle_525100!A$2</f>
        <v>525100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IFERROR(VLOOKUP(B81,input_settle_525100!L:R,7,FALSE),VLOOKUP(tables_settle_525100!C81,input_settle_525100!A:H,8,FALSE))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input_settle_525100!A$2</f>
        <v>525100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IFERROR(VLOOKUP(B82,input_settle_525100!L:R,7,FALSE),VLOOKUP(tables_settle_525100!C82,input_settle_525100!A:H,8,FALSE))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input_settle_525100!A$2</f>
        <v>525100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IFERROR(VLOOKUP(B83,input_settle_525100!L:R,7,FALSE),VLOOKUP(tables_settle_525100!C83,input_settle_525100!A:H,8,FALSE))</f>
        <v>787430.76922999998</v>
      </c>
      <c r="P83" s="46">
        <f t="shared" ca="1" si="4"/>
        <v>1.2692307692303471E-2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input_settle_525100!A$2</f>
        <v>525100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IFERROR(VLOOKUP(B84,input_settle_525100!L:R,7,FALSE),VLOOKUP(tables_settle_525100!C84,input_settle_525100!A:H,8,FALSE))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input_settle_525100!A$2</f>
        <v>525100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IFERROR(VLOOKUP(B85,input_settle_525100!L:R,7,FALSE),VLOOKUP(tables_settle_525100!C85,input_settle_525100!A:H,8,FALSE))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input_settle_525100!A$2</f>
        <v>525100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IFERROR(VLOOKUP(B86,input_settle_525100!L:R,7,FALSE),VLOOKUP(tables_settle_525100!C86,input_settle_525100!A:H,8,FALSE))</f>
        <v>787430.76922999998</v>
      </c>
      <c r="P86" s="46">
        <f t="shared" ca="1" si="4"/>
        <v>1.2692307692303471E-2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input_settle_525100!A$2</f>
        <v>525100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IFERROR(VLOOKUP(B87,input_settle_525100!L:R,7,FALSE),VLOOKUP(tables_settle_525100!C87,input_settle_525100!A:H,8,FALSE))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input_settle_525100!A$2</f>
        <v>525100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IFERROR(VLOOKUP(B88,input_settle_525100!L:R,7,FALSE),VLOOKUP(tables_settle_525100!C88,input_settle_525100!A:H,8,FALSE))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input_settle_525100!A$2</f>
        <v>525100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IFERROR(VLOOKUP(B89,input_settle_525100!L:R,7,FALSE),VLOOKUP(tables_settle_525100!C89,input_settle_525100!A:H,8,FALSE))</f>
        <v>787430.76922999998</v>
      </c>
      <c r="P89" s="46">
        <f t="shared" ca="1" si="4"/>
        <v>1.2692307692303471E-2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input_settle_525100!A$2</f>
        <v>525100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IFERROR(VLOOKUP(B90,input_settle_525100!L:R,7,FALSE),VLOOKUP(tables_settle_525100!C90,input_settle_525100!A:H,8,FALSE))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input_settle_525100!A$2</f>
        <v>525100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IFERROR(VLOOKUP(B91,input_settle_525100!L:R,7,FALSE),VLOOKUP(tables_settle_525100!C91,input_settle_525100!A:H,8,FALSE))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input_settle_525100!A$2</f>
        <v>525100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IFERROR(VLOOKUP(B92,input_settle_525100!L:R,7,FALSE),VLOOKUP(tables_settle_525100!C92,input_settle_525100!A:H,8,FALSE))</f>
        <v>787430.76922999998</v>
      </c>
      <c r="P92" s="46">
        <f t="shared" ca="1" si="4"/>
        <v>1.2692307692303471E-2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input_settle_525100!A$2</f>
        <v>525100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IFERROR(VLOOKUP(B93,input_settle_525100!L:R,7,FALSE),VLOOKUP(tables_settle_525100!C93,input_settle_525100!A:H,8,FALSE))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input_settle_525100!A$2</f>
        <v>525100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IFERROR(VLOOKUP(B94,input_settle_525100!L:R,7,FALSE),VLOOKUP(tables_settle_525100!C94,input_settle_525100!A:H,8,FALSE))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input_settle_525100!A$2</f>
        <v>525100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IFERROR(VLOOKUP(B95,input_settle_525100!L:R,7,FALSE),VLOOKUP(tables_settle_525100!C95,input_settle_525100!A:H,8,FALSE))</f>
        <v>787430.76922999998</v>
      </c>
      <c r="P95" s="46">
        <f t="shared" ca="1" si="4"/>
        <v>1.2692307692303471E-2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input_settle_525100!A$2</f>
        <v>525100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IFERROR(VLOOKUP(B96,input_settle_525100!L:R,7,FALSE),VLOOKUP(tables_settle_525100!C96,input_settle_525100!A:H,8,FALSE))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input_settle_525100!A$2</f>
        <v>525100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IFERROR(VLOOKUP(B97,input_settle_525100!L:R,7,FALSE),VLOOKUP(tables_settle_525100!C97,input_settle_525100!A:H,8,FALSE))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input_settle_525100!A$2</f>
        <v>525100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IFERROR(VLOOKUP(B98,input_settle_525100!L:R,7,FALSE),VLOOKUP(tables_settle_525100!C98,input_settle_525100!A:H,8,FALSE))</f>
        <v>787430.76922999998</v>
      </c>
      <c r="P98" s="46">
        <f t="shared" ca="1" si="4"/>
        <v>1.2692307692303471E-2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input_settle_525100!A$2</f>
        <v>525100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IFERROR(VLOOKUP(B99,input_settle_525100!L:R,7,FALSE),VLOOKUP(tables_settle_525100!C99,input_settle_525100!A:H,8,FALSE))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input_settle_525100!A$2</f>
        <v>525100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IFERROR(VLOOKUP(B100,input_settle_525100!L:R,7,FALSE),VLOOKUP(tables_settle_525100!C100,input_settle_525100!A:H,8,FALSE))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input_settle_525100!A$2</f>
        <v>525100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IFERROR(VLOOKUP(B101,input_settle_525100!L:R,7,FALSE),VLOOKUP(tables_settle_525100!C101,input_settle_525100!A:H,8,FALSE))</f>
        <v>787430.76922999998</v>
      </c>
      <c r="P101" s="46">
        <f t="shared" ca="1" si="4"/>
        <v>1.2692307692303471E-2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input_settle_525100!A$2</f>
        <v>525100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IFERROR(VLOOKUP(B102,input_settle_525100!L:R,7,FALSE),VLOOKUP(tables_settle_525100!C102,input_settle_525100!A:H,8,FALSE))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input_settle_525100!A$2</f>
        <v>525100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IFERROR(VLOOKUP(B103,input_settle_525100!L:R,7,FALSE),VLOOKUP(tables_settle_525100!C103,input_settle_525100!A:H,8,FALSE))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input_settle_525100!A$2</f>
        <v>525100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IFERROR(VLOOKUP(B104,input_settle_525100!L:R,7,FALSE),VLOOKUP(tables_settle_525100!C104,input_settle_525100!A:H,8,FALSE))</f>
        <v>787430.76922999998</v>
      </c>
      <c r="P104" s="46">
        <f t="shared" ca="1" si="4"/>
        <v>1.2692307692303471E-2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input_settle_525100!A$2</f>
        <v>525100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IFERROR(VLOOKUP(B105,input_settle_525100!L:R,7,FALSE),VLOOKUP(tables_settle_525100!C105,input_settle_525100!A:H,8,FALSE))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input_settle_525100!A$2</f>
        <v>525100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IFERROR(VLOOKUP(B106,input_settle_525100!L:R,7,FALSE),VLOOKUP(tables_settle_525100!C106,input_settle_525100!A:H,8,FALSE))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input_settle_525100!A$2</f>
        <v>525100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IFERROR(VLOOKUP(B107,input_settle_525100!L:R,7,FALSE),VLOOKUP(tables_settle_525100!C107,input_settle_525100!A:H,8,FALSE))</f>
        <v>787430.76922999998</v>
      </c>
      <c r="P107" s="46">
        <f t="shared" ca="1" si="4"/>
        <v>1.2692307692303471E-2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input_settle_525100!A$2</f>
        <v>525100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IFERROR(VLOOKUP(B108,input_settle_525100!L:R,7,FALSE),VLOOKUP(tables_settle_525100!C108,input_settle_525100!A:H,8,FALSE))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input_settle_525100!A$2</f>
        <v>525100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IFERROR(VLOOKUP(B109,input_settle_525100!L:R,7,FALSE),VLOOKUP(tables_settle_525100!C109,input_settle_525100!A:H,8,FALSE))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input_settle_525100!A$2</f>
        <v>525100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IFERROR(VLOOKUP(B110,input_settle_525100!L:R,7,FALSE),VLOOKUP(tables_settle_525100!C110,input_settle_525100!A:H,8,FALSE))</f>
        <v>787430.76922999998</v>
      </c>
      <c r="P110" s="46">
        <f t="shared" ca="1" si="4"/>
        <v>1.2692307692303471E-2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input_settle_525100!A$2</f>
        <v>525100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IFERROR(VLOOKUP(B111,input_settle_525100!L:R,7,FALSE),VLOOKUP(tables_settle_525100!C111,input_settle_525100!A:H,8,FALSE))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input_settle_525100!A$2</f>
        <v>525100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IFERROR(VLOOKUP(B112,input_settle_525100!L:R,7,FALSE),VLOOKUP(tables_settle_525100!C112,input_settle_525100!A:H,8,FALSE))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input_settle_525100!A$2</f>
        <v>525100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IFERROR(VLOOKUP(B113,input_settle_525100!L:R,7,FALSE),VLOOKUP(tables_settle_525100!C113,input_settle_525100!A:H,8,FALSE))</f>
        <v>620400</v>
      </c>
      <c r="P113" s="46">
        <f t="shared" ca="1" si="4"/>
        <v>1.0000000000006443E-2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input_settle_525100!A$2</f>
        <v>525100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IFERROR(VLOOKUP(B114,input_settle_525100!L:R,7,FALSE),VLOOKUP(tables_settle_525100!C114,input_settle_525100!A:H,8,FALSE))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input_settle_525100!A$2</f>
        <v>525100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IFERROR(VLOOKUP(B115,input_settle_525100!L:R,7,FALSE),VLOOKUP(tables_settle_525100!C115,input_settle_525100!A:H,8,FALSE))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input_settle_525100!A$2</f>
        <v>525100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IFERROR(VLOOKUP(B116,input_settle_525100!L:R,7,FALSE),VLOOKUP(tables_settle_525100!C116,input_settle_525100!A:H,8,FALSE))</f>
        <v>787430.76922999998</v>
      </c>
      <c r="P116" s="46">
        <f t="shared" ca="1" si="4"/>
        <v>1.2692307692303471E-2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input_settle_525100!A$2</f>
        <v>525100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IFERROR(VLOOKUP(B117,input_settle_525100!L:R,7,FALSE),VLOOKUP(tables_settle_525100!C117,input_settle_525100!A:H,8,FALSE))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input_settle_525100!A$2</f>
        <v>525100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IFERROR(VLOOKUP(B118,input_settle_525100!L:R,7,FALSE),VLOOKUP(tables_settle_525100!C118,input_settle_525100!A:H,8,FALSE))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input_settle_525100!A$2</f>
        <v>525100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IFERROR(VLOOKUP(B119,input_settle_525100!L:R,7,FALSE),VLOOKUP(tables_settle_525100!C119,input_settle_525100!A:H,8,FALSE))</f>
        <v>787430.76922999998</v>
      </c>
      <c r="P119" s="46">
        <f t="shared" ca="1" si="4"/>
        <v>1.2692307692303471E-2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input_settle_525100!A$2</f>
        <v>525100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IFERROR(VLOOKUP(B120,input_settle_525100!L:R,7,FALSE),VLOOKUP(tables_settle_525100!C120,input_settle_525100!A:H,8,FALSE))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input_settle_525100!A$2</f>
        <v>525100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IFERROR(VLOOKUP(B121,input_settle_525100!L:R,7,FALSE),VLOOKUP(tables_settle_525100!C121,input_settle_525100!A:H,8,FALSE))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input_settle_525100!A$2</f>
        <v>525100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IFERROR(VLOOKUP(B122,input_settle_525100!L:R,7,FALSE),VLOOKUP(tables_settle_525100!C122,input_settle_525100!A:H,8,FALSE))</f>
        <v>787430.76922999998</v>
      </c>
      <c r="P122" s="46">
        <f t="shared" ca="1" si="4"/>
        <v>1.2692307692303471E-2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input_settle_525100!A$2</f>
        <v>525100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IFERROR(VLOOKUP(B123,input_settle_525100!L:R,7,FALSE),VLOOKUP(tables_settle_525100!C123,input_settle_525100!A:H,8,FALSE))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input_settle_525100!A$2</f>
        <v>525100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IFERROR(VLOOKUP(B124,input_settle_525100!L:R,7,FALSE),VLOOKUP(tables_settle_525100!C124,input_settle_525100!A:H,8,FALSE))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input_settle_525100!A$2</f>
        <v>525100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IFERROR(VLOOKUP(B125,input_settle_525100!L:R,7,FALSE),VLOOKUP(tables_settle_525100!C125,input_settle_525100!A:H,8,FALSE))</f>
        <v>787430.76922999998</v>
      </c>
      <c r="P125" s="46">
        <f t="shared" ca="1" si="4"/>
        <v>1.2692307692303471E-2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input_settle_525100!A$2</f>
        <v>525100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IFERROR(VLOOKUP(B126,input_settle_525100!L:R,7,FALSE),VLOOKUP(tables_settle_525100!C126,input_settle_525100!A:H,8,FALSE))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input_settle_525100!A$2</f>
        <v>525100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IFERROR(VLOOKUP(B127,input_settle_525100!L:R,7,FALSE),VLOOKUP(tables_settle_525100!C127,input_settle_525100!A:H,8,FALSE))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input_settle_525100!A$2</f>
        <v>525100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IFERROR(VLOOKUP(B128,input_settle_525100!L:R,7,FALSE),VLOOKUP(tables_settle_525100!C128,input_settle_525100!A:H,8,FALSE))</f>
        <v>787430.76922999998</v>
      </c>
      <c r="P128" s="46">
        <f t="shared" ca="1" si="4"/>
        <v>1.2692307692303471E-2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input_settle_525100!A$2</f>
        <v>525100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IFERROR(VLOOKUP(B129,input_settle_525100!L:R,7,FALSE),VLOOKUP(tables_settle_525100!C129,input_settle_525100!A:H,8,FALSE))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input_settle_525100!A$2</f>
        <v>525100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IFERROR(VLOOKUP(B130,input_settle_525100!L:R,7,FALSE),VLOOKUP(tables_settle_525100!C130,input_settle_525100!A:H,8,FALSE))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input_settle_525100!A$2</f>
        <v>525100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IFERROR(VLOOKUP(B131,input_settle_525100!L:R,7,FALSE),VLOOKUP(tables_settle_525100!C131,input_settle_525100!A:H,8,FALSE))</f>
        <v>787430.76922999998</v>
      </c>
      <c r="P131" s="46">
        <f t="shared" ca="1" si="7"/>
        <v>1.2692307692303471E-2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input_settle_525100!A$2</f>
        <v>525100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IFERROR(VLOOKUP(B132,input_settle_525100!L:R,7,FALSE),VLOOKUP(tables_settle_525100!C132,input_settle_525100!A:H,8,FALSE))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input_settle_525100!A$2</f>
        <v>525100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IFERROR(VLOOKUP(B133,input_settle_525100!L:R,7,FALSE),VLOOKUP(tables_settle_525100!C133,input_settle_525100!A:H,8,FALSE))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input_settle_525100!A$2</f>
        <v>525100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IFERROR(VLOOKUP(B134,input_settle_525100!L:R,7,FALSE),VLOOKUP(tables_settle_525100!C134,input_settle_525100!A:H,8,FALSE))</f>
        <v>787430.76922999998</v>
      </c>
      <c r="P134" s="46">
        <f t="shared" ca="1" si="7"/>
        <v>1.2692307692303471E-2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input_settle_525100!A$2</f>
        <v>525100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IFERROR(VLOOKUP(B135,input_settle_525100!L:R,7,FALSE),VLOOKUP(tables_settle_525100!C135,input_settle_525100!A:H,8,FALSE))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input_settle_525100!A$2</f>
        <v>525100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IFERROR(VLOOKUP(B136,input_settle_525100!L:R,7,FALSE),VLOOKUP(tables_settle_525100!C136,input_settle_525100!A:H,8,FALSE))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input_settle_525100!A$2</f>
        <v>525100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IFERROR(VLOOKUP(B137,input_settle_525100!L:R,7,FALSE),VLOOKUP(tables_settle_525100!C137,input_settle_525100!A:H,8,FALSE))</f>
        <v>787430.76922999998</v>
      </c>
      <c r="P137" s="46">
        <f t="shared" ca="1" si="7"/>
        <v>1.2692307692303471E-2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input_settle_525100!A$2</f>
        <v>525100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IFERROR(VLOOKUP(B138,input_settle_525100!L:R,7,FALSE),VLOOKUP(tables_settle_525100!C138,input_settle_525100!A:H,8,FALSE))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input_settle_525100!A$2</f>
        <v>525100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IFERROR(VLOOKUP(B139,input_settle_525100!L:R,7,FALSE),VLOOKUP(tables_settle_525100!C139,input_settle_525100!A:H,8,FALSE))</f>
        <v>47000</v>
      </c>
      <c r="P139" s="46">
        <f t="shared" ca="1" si="7"/>
        <v>7.5757575757624568E-4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input_settle_525100!A$2</f>
        <v>525100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IFERROR(VLOOKUP(B140,input_settle_525100!L:R,7,FALSE),VLOOKUP(tables_settle_525100!C140,input_settle_525100!A:H,8,FALSE))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input_settle_525100!A$2</f>
        <v>525100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IFERROR(VLOOKUP(B141,input_settle_525100!L:R,7,FALSE),VLOOKUP(tables_settle_525100!C141,input_settle_525100!A:H,8,FALSE))</f>
        <v>47000</v>
      </c>
      <c r="P141" s="46">
        <f t="shared" ca="1" si="7"/>
        <v>7.5757575757624568E-4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input_settle_525100!A$2</f>
        <v>525100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IFERROR(VLOOKUP(B142,input_settle_525100!L:R,7,FALSE),VLOOKUP(tables_settle_525100!C142,input_settle_525100!A:H,8,FALSE))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input_settle_525100!A$2</f>
        <v>525100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IFERROR(VLOOKUP(B143,input_settle_525100!L:R,7,FALSE),VLOOKUP(tables_settle_525100!C143,input_settle_525100!A:H,8,FALSE))</f>
        <v>47000</v>
      </c>
      <c r="P143" s="46">
        <f t="shared" ca="1" si="7"/>
        <v>7.5757575757624568E-4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input_settle_525100!A$2</f>
        <v>525100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IFERROR(VLOOKUP(B144,input_settle_525100!L:R,7,FALSE),VLOOKUP(tables_settle_525100!C144,input_settle_525100!A:H,8,FALSE))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input_settle_525100!A$2</f>
        <v>525100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IFERROR(VLOOKUP(B145,input_settle_525100!L:R,7,FALSE),VLOOKUP(tables_settle_525100!C145,input_settle_525100!A:H,8,FALSE))</f>
        <v>47000</v>
      </c>
      <c r="P145" s="46">
        <f t="shared" ca="1" si="7"/>
        <v>7.5757575757624568E-4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input_settle_525100!A$2</f>
        <v>525100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IFERROR(VLOOKUP(B146,input_settle_525100!L:R,7,FALSE),VLOOKUP(tables_settle_525100!C146,input_settle_525100!A:H,8,FALSE))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input_settle_525100!A$2</f>
        <v>525100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IFERROR(VLOOKUP(B147,input_settle_525100!L:R,7,FALSE),VLOOKUP(tables_settle_525100!C147,input_settle_525100!A:H,8,FALSE))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input_settle_525100!A$2</f>
        <v>525100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IFERROR(VLOOKUP(B148,input_settle_525100!L:R,7,FALSE),VLOOKUP(tables_settle_525100!C148,input_settle_525100!A:H,8,FALSE))</f>
        <v>787430.76922999998</v>
      </c>
      <c r="P148" s="46">
        <f t="shared" ca="1" si="7"/>
        <v>1.2692307692303471E-2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input_settle_525100!A$2</f>
        <v>525100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IFERROR(VLOOKUP(B149,input_settle_525100!L:R,7,FALSE),VLOOKUP(tables_settle_525100!C149,input_settle_525100!A:H,8,FALSE))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input_settle_525100!A$2</f>
        <v>525100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IFERROR(VLOOKUP(B150,input_settle_525100!L:R,7,FALSE),VLOOKUP(tables_settle_525100!C150,input_settle_525100!A:H,8,FALSE))</f>
        <v>47000</v>
      </c>
      <c r="P150" s="46">
        <f t="shared" ca="1" si="7"/>
        <v>7.5757575757624568E-4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input_settle_525100!A$2</f>
        <v>525100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IFERROR(VLOOKUP(B151,input_settle_525100!L:R,7,FALSE),VLOOKUP(tables_settle_525100!C151,input_settle_525100!A:H,8,FALSE))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input_settle_525100!A$2</f>
        <v>525100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IFERROR(VLOOKUP(B152,input_settle_525100!L:R,7,FALSE),VLOOKUP(tables_settle_525100!C152,input_settle_525100!A:H,8,FALSE))</f>
        <v>47000</v>
      </c>
      <c r="P152" s="46">
        <f t="shared" ca="1" si="7"/>
        <v>7.5757575757624568E-4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input_settle_525100!A$2</f>
        <v>525100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IFERROR(VLOOKUP(B153,input_settle_525100!L:R,7,FALSE),VLOOKUP(tables_settle_525100!C153,input_settle_525100!A:H,8,FALSE))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input_settle_525100!A$2</f>
        <v>525100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IFERROR(VLOOKUP(B154,input_settle_525100!L:R,7,FALSE),VLOOKUP(tables_settle_525100!C154,input_settle_525100!A:H,8,FALSE))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input_settle_525100!A$2</f>
        <v>525100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IFERROR(VLOOKUP(B155,input_settle_525100!L:R,7,FALSE),VLOOKUP(tables_settle_525100!C155,input_settle_525100!A:H,8,FALSE))</f>
        <v>787430.76922999998</v>
      </c>
      <c r="P155" s="46">
        <f t="shared" ca="1" si="7"/>
        <v>1.2692307692303471E-2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input_settle_525100!A$2</f>
        <v>525100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IFERROR(VLOOKUP(B156,input_settle_525100!L:R,7,FALSE),VLOOKUP(tables_settle_525100!C156,input_settle_525100!A:H,8,FALSE))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input_settle_525100!A$2</f>
        <v>525100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IFERROR(VLOOKUP(B157,input_settle_525100!L:R,7,FALSE),VLOOKUP(tables_settle_525100!C157,input_settle_525100!A:H,8,FALSE))</f>
        <v>47000</v>
      </c>
      <c r="P157" s="46">
        <f t="shared" ca="1" si="7"/>
        <v>7.5757575757624568E-4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input_settle_525100!A$2</f>
        <v>525100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IFERROR(VLOOKUP(B158,input_settle_525100!L:R,7,FALSE),VLOOKUP(tables_settle_525100!C158,input_settle_525100!A:H,8,FALSE))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input_settle_525100!A$2</f>
        <v>525100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IFERROR(VLOOKUP(B159,input_settle_525100!L:R,7,FALSE),VLOOKUP(tables_settle_525100!C159,input_settle_525100!A:H,8,FALSE))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input_settle_525100!A$2</f>
        <v>525100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IFERROR(VLOOKUP(B160,input_settle_525100!L:R,7,FALSE),VLOOKUP(tables_settle_525100!C160,input_settle_525100!A:H,8,FALSE))</f>
        <v>787430.76922999998</v>
      </c>
      <c r="P160" s="46">
        <f t="shared" ca="1" si="7"/>
        <v>1.2692307692303471E-2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input_settle_525100!A$2</f>
        <v>525100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IFERROR(VLOOKUP(B161,input_settle_525100!L:R,7,FALSE),VLOOKUP(tables_settle_525100!C161,input_settle_525100!A:H,8,FALSE))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input_settle_525100!A$2</f>
        <v>525100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IFERROR(VLOOKUP(B162,input_settle_525100!L:R,7,FALSE),VLOOKUP(tables_settle_525100!C162,input_settle_525100!A:H,8,FALSE))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input_settle_525100!A$2</f>
        <v>525100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IFERROR(VLOOKUP(B163,input_settle_525100!L:R,7,FALSE),VLOOKUP(tables_settle_525100!C163,input_settle_525100!A:H,8,FALSE))</f>
        <v>787430.76922999998</v>
      </c>
      <c r="P163" s="46">
        <f t="shared" ca="1" si="7"/>
        <v>1.2692307692303471E-2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input_settle_525100!A$2</f>
        <v>525100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IFERROR(VLOOKUP(B164,input_settle_525100!L:R,7,FALSE),VLOOKUP(tables_settle_525100!C164,input_settle_525100!A:H,8,FALSE))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input_settle_525100!A$2</f>
        <v>525100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IFERROR(VLOOKUP(B165,input_settle_525100!L:R,7,FALSE),VLOOKUP(tables_settle_525100!C165,input_settle_525100!A:H,8,FALSE))</f>
        <v>47000</v>
      </c>
      <c r="P165" s="46">
        <f t="shared" ca="1" si="7"/>
        <v>7.5757575757624568E-4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input_settle_525100!A$2</f>
        <v>525100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IFERROR(VLOOKUP(B166,input_settle_525100!L:R,7,FALSE),VLOOKUP(tables_settle_525100!C166,input_settle_525100!A:H,8,FALSE))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input_settle_525100!A$2</f>
        <v>525100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IFERROR(VLOOKUP(B167,input_settle_525100!L:R,7,FALSE),VLOOKUP(tables_settle_525100!C167,input_settle_525100!A:H,8,FALSE))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input_settle_525100!A$2</f>
        <v>525100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IFERROR(VLOOKUP(B168,input_settle_525100!L:R,7,FALSE),VLOOKUP(tables_settle_525100!C168,input_settle_525100!A:H,8,FALSE))</f>
        <v>787430.76922999998</v>
      </c>
      <c r="P168" s="46">
        <f t="shared" ca="1" si="7"/>
        <v>1.2692307692303471E-2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input_settle_525100!A$2</f>
        <v>525100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IFERROR(VLOOKUP(B169,input_settle_525100!L:R,7,FALSE),VLOOKUP(tables_settle_525100!C169,input_settle_525100!A:H,8,FALSE))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input_settle_525100!A$2</f>
        <v>525100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IFERROR(VLOOKUP(B170,input_settle_525100!L:R,7,FALSE),VLOOKUP(tables_settle_525100!C170,input_settle_525100!A:H,8,FALSE))</f>
        <v>47000</v>
      </c>
      <c r="P170" s="46">
        <f t="shared" ca="1" si="7"/>
        <v>7.5757575757624568E-4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input_settle_525100!A$2</f>
        <v>525100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IFERROR(VLOOKUP(B171,input_settle_525100!L:R,7,FALSE),VLOOKUP(tables_settle_525100!C171,input_settle_525100!A:H,8,FALSE))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input_settle_525100!A$2</f>
        <v>525100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IFERROR(VLOOKUP(B172,input_settle_525100!L:R,7,FALSE),VLOOKUP(tables_settle_525100!C172,input_settle_525100!A:H,8,FALSE))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input_settle_525100!A$2</f>
        <v>525100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IFERROR(VLOOKUP(B173,input_settle_525100!L:R,7,FALSE),VLOOKUP(tables_settle_525100!C173,input_settle_525100!A:H,8,FALSE))</f>
        <v>787430.76922999998</v>
      </c>
      <c r="P173" s="46">
        <f t="shared" ca="1" si="7"/>
        <v>1.2692307692303471E-2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input_settle_525100!A$2</f>
        <v>525100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IFERROR(VLOOKUP(B174,input_settle_525100!L:R,7,FALSE),VLOOKUP(tables_settle_525100!C174,input_settle_525100!A:H,8,FALSE))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input_settle_525100!A$2</f>
        <v>525100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IFERROR(VLOOKUP(B175,input_settle_525100!L:R,7,FALSE),VLOOKUP(tables_settle_525100!C175,input_settle_525100!A:H,8,FALSE))</f>
        <v>47000</v>
      </c>
      <c r="P175" s="46">
        <f t="shared" ca="1" si="7"/>
        <v>7.5757575757624568E-4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input_settle_525100!A$2</f>
        <v>525100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IFERROR(VLOOKUP(B176,input_settle_525100!L:R,7,FALSE),VLOOKUP(tables_settle_525100!C176,input_settle_525100!A:H,8,FALSE))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input_settle_525100!A$2</f>
        <v>525100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IFERROR(VLOOKUP(B177,input_settle_525100!L:R,7,FALSE),VLOOKUP(tables_settle_525100!C177,input_settle_525100!A:H,8,FALSE))</f>
        <v>47000</v>
      </c>
      <c r="P177" s="46">
        <f t="shared" ca="1" si="7"/>
        <v>7.5757575757624568E-4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input_settle_525100!A$2</f>
        <v>525100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IFERROR(VLOOKUP(B178,input_settle_525100!L:R,7,FALSE),VLOOKUP(tables_settle_525100!C178,input_settle_525100!A:H,8,FALSE))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input_settle_525100!A$2</f>
        <v>525100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IFERROR(VLOOKUP(B179,input_settle_525100!L:R,7,FALSE),VLOOKUP(tables_settle_525100!C179,input_settle_525100!A:H,8,FALSE))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input_settle_525100!A$2</f>
        <v>525100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IFERROR(VLOOKUP(B180,input_settle_525100!L:R,7,FALSE),VLOOKUP(tables_settle_525100!C180,input_settle_525100!A:H,8,FALSE))</f>
        <v>787430.76922999998</v>
      </c>
      <c r="P180" s="46">
        <f t="shared" ca="1" si="7"/>
        <v>1.2692307692303471E-2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input_settle_525100!A$2</f>
        <v>525100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IFERROR(VLOOKUP(B181,input_settle_525100!L:R,7,FALSE),VLOOKUP(tables_settle_525100!C181,input_settle_525100!A:H,8,FALSE))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input_settle_525100!A$2</f>
        <v>525100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IFERROR(VLOOKUP(B182,input_settle_525100!L:R,7,FALSE),VLOOKUP(tables_settle_525100!C182,input_settle_525100!A:H,8,FALSE))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input_settle_525100!A$2</f>
        <v>525100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IFERROR(VLOOKUP(B183,input_settle_525100!L:R,7,FALSE),VLOOKUP(tables_settle_525100!C183,input_settle_525100!A:H,8,FALSE))</f>
        <v>787430.76922999998</v>
      </c>
      <c r="P183" s="46">
        <f t="shared" ca="1" si="7"/>
        <v>1.2692307692303471E-2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input_settle_525100!A$2</f>
        <v>525100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IFERROR(VLOOKUP(B184,input_settle_525100!L:R,7,FALSE),VLOOKUP(tables_settle_525100!C184,input_settle_525100!A:H,8,FALSE))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input_settle_525100!A$2</f>
        <v>525100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IFERROR(VLOOKUP(B185,input_settle_525100!L:R,7,FALSE),VLOOKUP(tables_settle_525100!C185,input_settle_525100!A:H,8,FALSE))</f>
        <v>47000</v>
      </c>
      <c r="P185" s="46">
        <f t="shared" ca="1" si="7"/>
        <v>7.5757575757624568E-4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input_settle_525100!A$2</f>
        <v>525100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IFERROR(VLOOKUP(B186,input_settle_525100!L:R,7,FALSE),VLOOKUP(tables_settle_525100!C186,input_settle_525100!A:H,8,FALSE))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input_settle_525100!A$2</f>
        <v>525100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IFERROR(VLOOKUP(B187,input_settle_525100!L:R,7,FALSE),VLOOKUP(tables_settle_525100!C187,input_settle_525100!A:H,8,FALSE))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input_settle_525100!A$2</f>
        <v>525100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IFERROR(VLOOKUP(B188,input_settle_525100!L:R,7,FALSE),VLOOKUP(tables_settle_525100!C188,input_settle_525100!A:H,8,FALSE))</f>
        <v>787430.76922999998</v>
      </c>
      <c r="P188" s="46">
        <f t="shared" ca="1" si="7"/>
        <v>1.2692307692303471E-2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input_settle_525100!A$2</f>
        <v>525100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IFERROR(VLOOKUP(B189,input_settle_525100!L:R,7,FALSE),VLOOKUP(tables_settle_525100!C189,input_settle_525100!A:H,8,FALSE))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input_settle_525100!A$2</f>
        <v>525100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IFERROR(VLOOKUP(B190,input_settle_525100!L:R,7,FALSE),VLOOKUP(tables_settle_525100!C190,input_settle_525100!A:H,8,FALSE))</f>
        <v>47000</v>
      </c>
      <c r="P190" s="46">
        <f t="shared" ca="1" si="7"/>
        <v>7.5757575757624568E-4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input_settle_525100!A$2</f>
        <v>525100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IFERROR(VLOOKUP(B191,input_settle_525100!L:R,7,FALSE),VLOOKUP(tables_settle_525100!C191,input_settle_525100!A:H,8,FALSE))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input_settle_525100!A$2</f>
        <v>525100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IFERROR(VLOOKUP(B192,input_settle_525100!L:R,7,FALSE),VLOOKUP(tables_settle_525100!C192,input_settle_525100!A:H,8,FALSE))</f>
        <v>47000</v>
      </c>
      <c r="P192" s="46">
        <f t="shared" ca="1" si="7"/>
        <v>7.5757575757624568E-4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input_settle_525100!A$2</f>
        <v>525100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IFERROR(VLOOKUP(B193,input_settle_525100!L:R,7,FALSE),VLOOKUP(tables_settle_525100!C193,input_settle_525100!A:H,8,FALSE))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input_settle_525100!A$2</f>
        <v>525100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IFERROR(VLOOKUP(B194,input_settle_525100!L:R,7,FALSE),VLOOKUP(tables_settle_525100!C194,input_settle_525100!A:H,8,FALSE))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input_settle_525100!A$2</f>
        <v>525100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IFERROR(VLOOKUP(B195,input_settle_525100!L:R,7,FALSE),VLOOKUP(tables_settle_525100!C195,input_settle_525100!A:H,8,FALSE))</f>
        <v>787430.76922999998</v>
      </c>
      <c r="P195" s="46">
        <f t="shared" ca="1" si="10"/>
        <v>1.2692307692303471E-2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input_settle_525100!A$2</f>
        <v>525100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IFERROR(VLOOKUP(B196,input_settle_525100!L:R,7,FALSE),VLOOKUP(tables_settle_525100!C196,input_settle_525100!A:H,8,FALSE))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input_settle_525100!A$2</f>
        <v>525100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IFERROR(VLOOKUP(B197,input_settle_525100!L:R,7,FALSE),VLOOKUP(tables_settle_525100!C197,input_settle_525100!A:H,8,FALSE))</f>
        <v>47000</v>
      </c>
      <c r="P197" s="46">
        <f t="shared" ca="1" si="10"/>
        <v>7.5757575757624568E-4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input_settle_525100!A$2</f>
        <v>525100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IFERROR(VLOOKUP(B198,input_settle_525100!L:R,7,FALSE),VLOOKUP(tables_settle_525100!C198,input_settle_525100!A:H,8,FALSE))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input_settle_525100!A$2</f>
        <v>525100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IFERROR(VLOOKUP(B199,input_settle_525100!L:R,7,FALSE),VLOOKUP(tables_settle_525100!C199,input_settle_525100!A:H,8,FALSE))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input_settle_525100!A$2</f>
        <v>525100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IFERROR(VLOOKUP(B200,input_settle_525100!L:R,7,FALSE),VLOOKUP(tables_settle_525100!C200,input_settle_525100!A:H,8,FALSE))</f>
        <v>787430.76922999998</v>
      </c>
      <c r="P200" s="46">
        <f t="shared" ca="1" si="10"/>
        <v>1.2692307692303471E-2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input_settle_525100!A$2</f>
        <v>525100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IFERROR(VLOOKUP(B201,input_settle_525100!L:R,7,FALSE),VLOOKUP(tables_settle_525100!C201,input_settle_525100!A:H,8,FALSE))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input_settle_525100!A$2</f>
        <v>525100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IFERROR(VLOOKUP(B202,input_settle_525100!L:R,7,FALSE),VLOOKUP(tables_settle_525100!C202,input_settle_525100!A:H,8,FALSE))</f>
        <v>47000</v>
      </c>
      <c r="P202" s="46">
        <f t="shared" ca="1" si="10"/>
        <v>7.5757575757624568E-4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input_settle_525100!A$2</f>
        <v>525100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IFERROR(VLOOKUP(B203,input_settle_525100!L:R,7,FALSE),VLOOKUP(tables_settle_525100!C203,input_settle_525100!A:H,8,FALSE))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input_settle_525100!A$2</f>
        <v>525100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IFERROR(VLOOKUP(B204,input_settle_525100!L:R,7,FALSE),VLOOKUP(tables_settle_525100!C204,input_settle_525100!A:H,8,FALSE))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input_settle_525100!A$2</f>
        <v>525100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IFERROR(VLOOKUP(B205,input_settle_525100!L:R,7,FALSE),VLOOKUP(tables_settle_525100!C205,input_settle_525100!A:H,8,FALSE))</f>
        <v>787430.76922999998</v>
      </c>
      <c r="P205" s="46">
        <f t="shared" ca="1" si="10"/>
        <v>1.2692307692303471E-2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input_settle_525100!A$2</f>
        <v>525100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IFERROR(VLOOKUP(B206,input_settle_525100!L:R,7,FALSE),VLOOKUP(tables_settle_525100!C206,input_settle_525100!A:H,8,FALSE))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input_settle_525100!A$2</f>
        <v>525100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IFERROR(VLOOKUP(B207,input_settle_525100!L:R,7,FALSE),VLOOKUP(tables_settle_525100!C207,input_settle_525100!A:H,8,FALSE))</f>
        <v>47000</v>
      </c>
      <c r="P207" s="46">
        <f t="shared" ca="1" si="10"/>
        <v>7.5757575757624568E-4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input_settle_525100!A$2</f>
        <v>525100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IFERROR(VLOOKUP(B208,input_settle_525100!L:R,7,FALSE),VLOOKUP(tables_settle_525100!C208,input_settle_525100!A:H,8,FALSE))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input_settle_525100!A$2</f>
        <v>525100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IFERROR(VLOOKUP(B209,input_settle_525100!L:R,7,FALSE),VLOOKUP(tables_settle_525100!C209,input_settle_525100!A:H,8,FALSE))</f>
        <v>47000</v>
      </c>
      <c r="P209" s="46">
        <f t="shared" ca="1" si="10"/>
        <v>7.5757575757624568E-4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input_settle_525100!A$2</f>
        <v>525100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IFERROR(VLOOKUP(B210,input_settle_525100!L:R,7,FALSE),VLOOKUP(tables_settle_525100!C210,input_settle_525100!A:H,8,FALSE))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input_settle_525100!A$2</f>
        <v>525100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IFERROR(VLOOKUP(B211,input_settle_525100!L:R,7,FALSE),VLOOKUP(tables_settle_525100!C211,input_settle_525100!A:H,8,FALSE))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input_settle_525100!A$2</f>
        <v>525100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IFERROR(VLOOKUP(B212,input_settle_525100!L:R,7,FALSE),VLOOKUP(tables_settle_525100!C212,input_settle_525100!A:H,8,FALSE))</f>
        <v>787430.76922999998</v>
      </c>
      <c r="P212" s="46">
        <f t="shared" ca="1" si="10"/>
        <v>1.2692307692303471E-2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input_settle_525100!A$2</f>
        <v>525100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IFERROR(VLOOKUP(B213,input_settle_525100!L:R,7,FALSE),VLOOKUP(tables_settle_525100!C213,input_settle_525100!A:H,8,FALSE))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input_settle_525100!A$2</f>
        <v>525100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IFERROR(VLOOKUP(B214,input_settle_525100!L:R,7,FALSE),VLOOKUP(tables_settle_525100!C214,input_settle_525100!A:H,8,FALSE))</f>
        <v>47000</v>
      </c>
      <c r="P214" s="46">
        <f t="shared" ca="1" si="10"/>
        <v>7.5757575757624568E-4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input_settle_525100!A$2</f>
        <v>525100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IFERROR(VLOOKUP(B215,input_settle_525100!L:R,7,FALSE),VLOOKUP(tables_settle_525100!C215,input_settle_525100!A:H,8,FALSE))</f>
        <v>620400</v>
      </c>
      <c r="P215" s="46">
        <f t="shared" ca="1" si="10"/>
        <v>1.0000000000006443E-2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input_settle_525100!A$2</f>
        <v>525100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IFERROR(VLOOKUP(B216,input_settle_525100!L:R,7,FALSE),VLOOKUP(tables_settle_525100!C216,input_settle_525100!A:H,8,FALSE))</f>
        <v>620400</v>
      </c>
      <c r="P216" s="46">
        <f t="shared" ca="1" si="10"/>
        <v>1.0000000000006443E-2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input_settle_525100!A$2</f>
        <v>525100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IFERROR(VLOOKUP(B217,input_settle_525100!L:R,7,FALSE),VLOOKUP(tables_settle_525100!C217,input_settle_525100!A:H,8,FALSE))</f>
        <v>620400</v>
      </c>
      <c r="P217" s="46">
        <f t="shared" ca="1" si="10"/>
        <v>1.0000000000006443E-2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input_settle_525100!A$2</f>
        <v>525100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IFERROR(VLOOKUP(B218,input_settle_525100!L:R,7,FALSE),VLOOKUP(tables_settle_525100!C218,input_settle_525100!A:H,8,FALSE))</f>
        <v>620400</v>
      </c>
      <c r="P218" s="46">
        <f t="shared" ca="1" si="10"/>
        <v>1.0000000000006443E-2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input_settle_525100!A$2</f>
        <v>525100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IFERROR(VLOOKUP(B219,input_settle_525100!L:R,7,FALSE),VLOOKUP(tables_settle_525100!C219,input_settle_525100!A:H,8,FALSE))</f>
        <v>620400</v>
      </c>
      <c r="P219" s="46">
        <f t="shared" ca="1" si="10"/>
        <v>1.0000000000006443E-2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input_settle_525100!A$2</f>
        <v>525100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IFERROR(VLOOKUP(B220,input_settle_525100!L:R,7,FALSE),VLOOKUP(tables_settle_525100!C220,input_settle_525100!A:H,8,FALSE))</f>
        <v>620400</v>
      </c>
      <c r="P220" s="46">
        <f t="shared" ca="1" si="10"/>
        <v>1.0000000000006443E-2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input_settle_525100!A$2</f>
        <v>525100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IFERROR(VLOOKUP(B221,input_settle_525100!L:R,7,FALSE),VLOOKUP(tables_settle_525100!C221,input_settle_525100!A:H,8,FALSE))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input_settle_525100!A$2</f>
        <v>525100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IFERROR(VLOOKUP(B222,input_settle_525100!L:R,7,FALSE),VLOOKUP(tables_settle_525100!C222,input_settle_525100!A:H,8,FALSE))</f>
        <v>47000</v>
      </c>
      <c r="P222" s="46">
        <f t="shared" ca="1" si="10"/>
        <v>7.5757575757624568E-4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input_settle_525100!A$2</f>
        <v>525100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IFERROR(VLOOKUP(B223,input_settle_525100!L:R,7,FALSE),VLOOKUP(tables_settle_525100!C223,input_settle_525100!A:H,8,FALSE))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input_settle_525100!A$2</f>
        <v>525100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IFERROR(VLOOKUP(B224,input_settle_525100!L:R,7,FALSE),VLOOKUP(tables_settle_525100!C224,input_settle_525100!A:H,8,FALSE))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input_settle_525100!A$2</f>
        <v>525100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IFERROR(VLOOKUP(B225,input_settle_525100!L:R,7,FALSE),VLOOKUP(tables_settle_525100!C225,input_settle_525100!A:H,8,FALSE))</f>
        <v>787430.76922999998</v>
      </c>
      <c r="P225" s="46">
        <f t="shared" ca="1" si="10"/>
        <v>1.2692307692303471E-2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input_settle_525100!A$2</f>
        <v>525100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IFERROR(VLOOKUP(B226,input_settle_525100!L:R,7,FALSE),VLOOKUP(tables_settle_525100!C226,input_settle_525100!A:H,8,FALSE))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input_settle_525100!A$2</f>
        <v>525100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IFERROR(VLOOKUP(B227,input_settle_525100!L:R,7,FALSE),VLOOKUP(tables_settle_525100!C227,input_settle_525100!A:H,8,FALSE))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input_settle_525100!A$2</f>
        <v>525100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IFERROR(VLOOKUP(B228,input_settle_525100!L:R,7,FALSE),VLOOKUP(tables_settle_525100!C228,input_settle_525100!A:H,8,FALSE))</f>
        <v>787430.76922999998</v>
      </c>
      <c r="P228" s="46">
        <f t="shared" ca="1" si="10"/>
        <v>1.2692307692303471E-2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input_settle_525100!A$2</f>
        <v>525100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IFERROR(VLOOKUP(B229,input_settle_525100!L:R,7,FALSE),VLOOKUP(tables_settle_525100!C229,input_settle_525100!A:H,8,FALSE))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input_settle_525100!A$2</f>
        <v>525100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IFERROR(VLOOKUP(B230,input_settle_525100!L:R,7,FALSE),VLOOKUP(tables_settle_525100!C230,input_settle_525100!A:H,8,FALSE))</f>
        <v>47000</v>
      </c>
      <c r="P230" s="46">
        <f t="shared" ca="1" si="10"/>
        <v>7.5757575757624568E-4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input_settle_525100!A$2</f>
        <v>525100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IFERROR(VLOOKUP(B231,input_settle_525100!L:R,7,FALSE),VLOOKUP(tables_settle_525100!C231,input_settle_525100!A:H,8,FALSE))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input_settle_525100!A$2</f>
        <v>525100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IFERROR(VLOOKUP(B232,input_settle_525100!L:R,7,FALSE),VLOOKUP(tables_settle_525100!C232,input_settle_525100!A:H,8,FALSE))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input_settle_525100!A$2</f>
        <v>525100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IFERROR(VLOOKUP(B233,input_settle_525100!L:R,7,FALSE),VLOOKUP(tables_settle_525100!C233,input_settle_525100!A:H,8,FALSE))</f>
        <v>787430.76922999998</v>
      </c>
      <c r="P233" s="46">
        <f t="shared" ca="1" si="10"/>
        <v>1.2692307692303471E-2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input_settle_525100!A$2</f>
        <v>525100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IFERROR(VLOOKUP(B234,input_settle_525100!L:R,7,FALSE),VLOOKUP(tables_settle_525100!C234,input_settle_525100!A:H,8,FALSE))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input_settle_525100!A$2</f>
        <v>525100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IFERROR(VLOOKUP(B235,input_settle_525100!L:R,7,FALSE),VLOOKUP(tables_settle_525100!C235,input_settle_525100!A:H,8,FALSE))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input_settle_525100!A$2</f>
        <v>525100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IFERROR(VLOOKUP(B236,input_settle_525100!L:R,7,FALSE),VLOOKUP(tables_settle_525100!C236,input_settle_525100!A:H,8,FALSE))</f>
        <v>787430.76922999998</v>
      </c>
      <c r="P236" s="46">
        <f t="shared" ca="1" si="10"/>
        <v>1.2692307692303471E-2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input_settle_525100!A$2</f>
        <v>525100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IFERROR(VLOOKUP(B237,input_settle_525100!L:R,7,FALSE),VLOOKUP(tables_settle_525100!C237,input_settle_525100!A:H,8,FALSE))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input_settle_525100!A$2</f>
        <v>525100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IFERROR(VLOOKUP(B238,input_settle_525100!L:R,7,FALSE),VLOOKUP(tables_settle_525100!C238,input_settle_525100!A:H,8,FALSE))</f>
        <v>47000</v>
      </c>
      <c r="P238" s="46">
        <f t="shared" ca="1" si="10"/>
        <v>7.5757575757624568E-4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input_settle_525100!A$2</f>
        <v>525100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IFERROR(VLOOKUP(B239,input_settle_525100!L:R,7,FALSE),VLOOKUP(tables_settle_525100!C239,input_settle_525100!A:H,8,FALSE))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input_settle_525100!A$2</f>
        <v>525100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IFERROR(VLOOKUP(B240,input_settle_525100!L:R,7,FALSE),VLOOKUP(tables_settle_525100!C240,input_settle_525100!A:H,8,FALSE))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input_settle_525100!A$2</f>
        <v>525100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IFERROR(VLOOKUP(B241,input_settle_525100!L:R,7,FALSE),VLOOKUP(tables_settle_525100!C241,input_settle_525100!A:H,8,FALSE))</f>
        <v>787430.76922999998</v>
      </c>
      <c r="P241" s="46">
        <f t="shared" ca="1" si="10"/>
        <v>1.2692307692303471E-2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input_settle_525100!A$2</f>
        <v>525100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IFERROR(VLOOKUP(B242,input_settle_525100!L:R,7,FALSE),VLOOKUP(tables_settle_525100!C242,input_settle_525100!A:H,8,FALSE))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input_settle_525100!A$2</f>
        <v>525100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IFERROR(VLOOKUP(B243,input_settle_525100!L:R,7,FALSE),VLOOKUP(tables_settle_525100!C243,input_settle_525100!A:H,8,FALSE))</f>
        <v>47000</v>
      </c>
      <c r="P243" s="46">
        <f t="shared" ca="1" si="10"/>
        <v>7.5757575757624568E-4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input_settle_525100!A$2</f>
        <v>525100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IFERROR(VLOOKUP(B244,input_settle_525100!L:R,7,FALSE),VLOOKUP(tables_settle_525100!C244,input_settle_525100!A:H,8,FALSE))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input_settle_525100!A$2</f>
        <v>525100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IFERROR(VLOOKUP(B245,input_settle_525100!L:R,7,FALSE),VLOOKUP(tables_settle_525100!C245,input_settle_525100!A:H,8,FALSE))</f>
        <v>47000</v>
      </c>
      <c r="P245" s="46">
        <f t="shared" ca="1" si="10"/>
        <v>7.5757575757624568E-4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input_settle_525100!A$2</f>
        <v>525100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IFERROR(VLOOKUP(B246,input_settle_525100!L:R,7,FALSE),VLOOKUP(tables_settle_525100!C246,input_settle_525100!A:H,8,FALSE))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input_settle_525100!A$2</f>
        <v>525100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IFERROR(VLOOKUP(B247,input_settle_525100!L:R,7,FALSE),VLOOKUP(tables_settle_525100!C247,input_settle_525100!A:H,8,FALSE))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input_settle_525100!A$2</f>
        <v>525100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IFERROR(VLOOKUP(B248,input_settle_525100!L:R,7,FALSE),VLOOKUP(tables_settle_525100!C248,input_settle_525100!A:H,8,FALSE))</f>
        <v>787430.76922999998</v>
      </c>
      <c r="P248" s="46">
        <f t="shared" ca="1" si="10"/>
        <v>1.2692307692303471E-2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input_settle_525100!A$2</f>
        <v>525100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IFERROR(VLOOKUP(B249,input_settle_525100!L:R,7,FALSE),VLOOKUP(tables_settle_525100!C249,input_settle_525100!A:H,8,FALSE))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input_settle_525100!A$2</f>
        <v>525100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IFERROR(VLOOKUP(B250,input_settle_525100!L:R,7,FALSE),VLOOKUP(tables_settle_525100!C250,input_settle_525100!A:H,8,FALSE))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input_settle_525100!A$2</f>
        <v>525100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IFERROR(VLOOKUP(B251,input_settle_525100!L:R,7,FALSE),VLOOKUP(tables_settle_525100!C251,input_settle_525100!A:H,8,FALSE))</f>
        <v>787430.76922999998</v>
      </c>
      <c r="P251" s="46">
        <f t="shared" ca="1" si="10"/>
        <v>1.2692307692303471E-2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input_settle_525100!A$2</f>
        <v>525100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IFERROR(VLOOKUP(B252,input_settle_525100!L:R,7,FALSE),VLOOKUP(tables_settle_525100!C252,input_settle_525100!A:H,8,FALSE))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input_settle_525100!A$2</f>
        <v>525100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IFERROR(VLOOKUP(B253,input_settle_525100!L:R,7,FALSE),VLOOKUP(tables_settle_525100!C253,input_settle_525100!A:H,8,FALSE))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input_settle_525100!A$2</f>
        <v>525100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IFERROR(VLOOKUP(B254,input_settle_525100!L:R,7,FALSE),VLOOKUP(tables_settle_525100!C254,input_settle_525100!A:H,8,FALSE))</f>
        <v>787430.76922999998</v>
      </c>
      <c r="P254" s="46">
        <f t="shared" ca="1" si="10"/>
        <v>1.2692307692303471E-2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input_settle_525100!A$2</f>
        <v>525100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IFERROR(VLOOKUP(B255,input_settle_525100!L:R,7,FALSE),VLOOKUP(tables_settle_525100!C255,input_settle_525100!A:H,8,FALSE))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input_settle_525100!A$2</f>
        <v>525100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IFERROR(VLOOKUP(B256,input_settle_525100!L:R,7,FALSE),VLOOKUP(tables_settle_525100!C256,input_settle_525100!A:H,8,FALSE))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input_settle_525100!A$2</f>
        <v>525100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IFERROR(VLOOKUP(B257,input_settle_525100!L:R,7,FALSE),VLOOKUP(tables_settle_525100!C257,input_settle_525100!A:H,8,FALSE))</f>
        <v>787430.76922999998</v>
      </c>
      <c r="P257" s="46">
        <f t="shared" ca="1" si="10"/>
        <v>1.2692307692303471E-2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input_settle_525100!A$2</f>
        <v>525100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IFERROR(VLOOKUP(B258,input_settle_525100!L:R,7,FALSE),VLOOKUP(tables_settle_525100!C258,input_settle_525100!A:H,8,FALSE))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input_settle_525100!A$2</f>
        <v>525100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IFERROR(VLOOKUP(B259,input_settle_525100!L:R,7,FALSE),VLOOKUP(tables_settle_525100!C259,input_settle_525100!A:H,8,FALSE))</f>
        <v>47000</v>
      </c>
      <c r="P259" s="46">
        <f t="shared" ca="1" si="13"/>
        <v>7.5757575757624568E-4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input_settle_525100!A$2</f>
        <v>525100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IFERROR(VLOOKUP(B260,input_settle_525100!L:R,7,FALSE),VLOOKUP(tables_settle_525100!C260,input_settle_525100!A:H,8,FALSE))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input_settle_525100!A$2</f>
        <v>525100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IFERROR(VLOOKUP(B261,input_settle_525100!L:R,7,FALSE),VLOOKUP(tables_settle_525100!C261,input_settle_525100!A:H,8,FALSE))</f>
        <v>47000</v>
      </c>
      <c r="P261" s="46">
        <f t="shared" ca="1" si="13"/>
        <v>7.5757575757624568E-4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input_settle_525100!A$2</f>
        <v>525100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IFERROR(VLOOKUP(B262,input_settle_525100!L:R,7,FALSE),VLOOKUP(tables_settle_525100!C262,input_settle_525100!A:H,8,FALSE))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input_settle_525100!A$2</f>
        <v>525100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IFERROR(VLOOKUP(B263,input_settle_525100!L:R,7,FALSE),VLOOKUP(tables_settle_525100!C263,input_settle_525100!A:H,8,FALSE))</f>
        <v>620400</v>
      </c>
      <c r="P263" s="46">
        <f t="shared" ca="1" si="13"/>
        <v>1.0000000000006443E-2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input_settle_525100!A$2</f>
        <v>525100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IFERROR(VLOOKUP(B264,input_settle_525100!L:R,7,FALSE),VLOOKUP(tables_settle_525100!C264,input_settle_525100!A:H,8,FALSE))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input_settle_525100!A$2</f>
        <v>525100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IFERROR(VLOOKUP(B265,input_settle_525100!L:R,7,FALSE),VLOOKUP(tables_settle_525100!C265,input_settle_525100!A:H,8,FALSE))</f>
        <v>620400</v>
      </c>
      <c r="P265" s="46">
        <f t="shared" ca="1" si="13"/>
        <v>1.0000000000006443E-2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input_settle_525100!A$2</f>
        <v>525100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IFERROR(VLOOKUP(B266,input_settle_525100!L:R,7,FALSE),VLOOKUP(tables_settle_525100!C266,input_settle_525100!A:H,8,FALSE))</f>
        <v>47000</v>
      </c>
      <c r="P266" s="46">
        <f t="shared" ca="1" si="13"/>
        <v>7.5757575757624568E-4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input_settle_525100!A$2</f>
        <v>525100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IFERROR(VLOOKUP(B267,input_settle_525100!L:R,7,FALSE),VLOOKUP(tables_settle_525100!C267,input_settle_525100!A:H,8,FALSE))</f>
        <v>47000</v>
      </c>
      <c r="P267" s="46">
        <f t="shared" ca="1" si="13"/>
        <v>7.5757575757624568E-4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input_settle_525100!A$2</f>
        <v>525100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IFERROR(VLOOKUP(B268,input_settle_525100!L:R,7,FALSE),VLOOKUP(tables_settle_525100!C268,input_settle_525100!A:H,8,FALSE))</f>
        <v>47000</v>
      </c>
      <c r="P268" s="46">
        <f t="shared" ca="1" si="13"/>
        <v>7.5757575757624568E-4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input_settle_525100!A$2</f>
        <v>525100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IFERROR(VLOOKUP(B269,input_settle_525100!L:R,7,FALSE),VLOOKUP(tables_settle_525100!C269,input_settle_525100!A:H,8,FALSE))</f>
        <v>47000</v>
      </c>
      <c r="P269" s="46">
        <f t="shared" ca="1" si="13"/>
        <v>7.5757575757624568E-4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input_settle_525100!A$2</f>
        <v>525100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IFERROR(VLOOKUP(B270,input_settle_525100!L:R,7,FALSE),VLOOKUP(tables_settle_525100!C270,input_settle_525100!A:H,8,FALSE))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input_settle_525100!A$2</f>
        <v>525100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IFERROR(VLOOKUP(B271,input_settle_525100!L:R,7,FALSE),VLOOKUP(tables_settle_525100!C271,input_settle_525100!A:H,8,FALSE))</f>
        <v>620400</v>
      </c>
      <c r="P271" s="46">
        <f t="shared" ca="1" si="13"/>
        <v>1.0000000000006443E-2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input_settle_525100!A$2</f>
        <v>525100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IFERROR(VLOOKUP(B272,input_settle_525100!L:R,7,FALSE),VLOOKUP(tables_settle_525100!C272,input_settle_525100!A:H,8,FALSE))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input_settle_525100!A$2</f>
        <v>525100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IFERROR(VLOOKUP(B273,input_settle_525100!L:R,7,FALSE),VLOOKUP(tables_settle_525100!C273,input_settle_525100!A:H,8,FALSE))</f>
        <v>620400</v>
      </c>
      <c r="P273" s="46">
        <f t="shared" ca="1" si="13"/>
        <v>1.0000000000006443E-2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input_settle_525100!A$2</f>
        <v>525100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IFERROR(VLOOKUP(B274,input_settle_525100!L:R,7,FALSE),VLOOKUP(tables_settle_525100!C274,input_settle_525100!A:H,8,FALSE))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input_settle_525100!A$2</f>
        <v>525100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IFERROR(VLOOKUP(B275,input_settle_525100!L:R,7,FALSE),VLOOKUP(tables_settle_525100!C275,input_settle_525100!A:H,8,FALSE))</f>
        <v>47000</v>
      </c>
      <c r="P275" s="46">
        <f t="shared" ca="1" si="13"/>
        <v>7.5757575757624568E-4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input_settle_525100!A$2</f>
        <v>525100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IFERROR(VLOOKUP(B276,input_settle_525100!L:R,7,FALSE),VLOOKUP(tables_settle_525100!C276,input_settle_525100!A:H,8,FALSE))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input_settle_525100!A$2</f>
        <v>525100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IFERROR(VLOOKUP(B277,input_settle_525100!L:R,7,FALSE),VLOOKUP(tables_settle_525100!C277,input_settle_525100!A:H,8,FALSE))</f>
        <v>47000</v>
      </c>
      <c r="P277" s="46">
        <f t="shared" ca="1" si="13"/>
        <v>7.5757575757624568E-4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input_settle_525100!A$2</f>
        <v>525100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IFERROR(VLOOKUP(B278,input_settle_525100!L:R,7,FALSE),VLOOKUP(tables_settle_525100!C278,input_settle_525100!A:H,8,FALSE))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input_settle_525100!A$2</f>
        <v>525100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IFERROR(VLOOKUP(B279,input_settle_525100!L:R,7,FALSE),VLOOKUP(tables_settle_525100!C279,input_settle_525100!A:H,8,FALSE))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input_settle_525100!A$2</f>
        <v>525100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IFERROR(VLOOKUP(B280,input_settle_525100!L:R,7,FALSE),VLOOKUP(tables_settle_525100!C280,input_settle_525100!A:H,8,FALSE))</f>
        <v>787430.76922999998</v>
      </c>
      <c r="P280" s="46">
        <f t="shared" ca="1" si="13"/>
        <v>1.2692307692303471E-2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input_settle_525100!A$2</f>
        <v>525100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IFERROR(VLOOKUP(B281,input_settle_525100!L:R,7,FALSE),VLOOKUP(tables_settle_525100!C281,input_settle_525100!A:H,8,FALSE))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input_settle_525100!A$2</f>
        <v>525100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IFERROR(VLOOKUP(B282,input_settle_525100!L:R,7,FALSE),VLOOKUP(tables_settle_525100!C282,input_settle_525100!A:H,8,FALSE))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input_settle_525100!A$2</f>
        <v>525100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IFERROR(VLOOKUP(B283,input_settle_525100!L:R,7,FALSE),VLOOKUP(tables_settle_525100!C283,input_settle_525100!A:H,8,FALSE))</f>
        <v>787430.76922999998</v>
      </c>
      <c r="P283" s="46">
        <f t="shared" ca="1" si="13"/>
        <v>1.2692307692303471E-2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input_settle_525100!A$2</f>
        <v>525100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IFERROR(VLOOKUP(B284,input_settle_525100!L:R,7,FALSE),VLOOKUP(tables_settle_525100!C284,input_settle_525100!A:H,8,FALSE))</f>
        <v>47000</v>
      </c>
      <c r="P284" s="46">
        <f t="shared" ca="1" si="13"/>
        <v>7.5757575757624568E-4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input_settle_525100!A$2</f>
        <v>525100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IFERROR(VLOOKUP(B285,input_settle_525100!L:R,7,FALSE),VLOOKUP(tables_settle_525100!C285,input_settle_525100!A:H,8,FALSE))</f>
        <v>47000</v>
      </c>
      <c r="P285" s="46">
        <f t="shared" ca="1" si="13"/>
        <v>7.5757575757624568E-4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input_settle_525100!A$2</f>
        <v>525100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IFERROR(VLOOKUP(B286,input_settle_525100!L:R,7,FALSE),VLOOKUP(tables_settle_525100!C286,input_settle_525100!A:H,8,FALSE))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input_settle_525100!A$2</f>
        <v>525100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IFERROR(VLOOKUP(B287,input_settle_525100!L:R,7,FALSE),VLOOKUP(tables_settle_525100!C287,input_settle_525100!A:H,8,FALSE))</f>
        <v>620400</v>
      </c>
      <c r="P287" s="46">
        <f t="shared" ca="1" si="13"/>
        <v>1.0000000000006443E-2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input_settle_525100!A$2</f>
        <v>525100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IFERROR(VLOOKUP(B288,input_settle_525100!L:R,7,FALSE),VLOOKUP(tables_settle_525100!C288,input_settle_525100!A:H,8,FALSE))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input_settle_525100!A$2</f>
        <v>525100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IFERROR(VLOOKUP(B289,input_settle_525100!L:R,7,FALSE),VLOOKUP(tables_settle_525100!C289,input_settle_525100!A:H,8,FALSE))</f>
        <v>620400</v>
      </c>
      <c r="P289" s="46">
        <f t="shared" ca="1" si="13"/>
        <v>1.0000000000006443E-2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input_settle_525100!A$2</f>
        <v>525100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IFERROR(VLOOKUP(B290,input_settle_525100!L:R,7,FALSE),VLOOKUP(tables_settle_525100!C290,input_settle_525100!A:H,8,FALSE))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input_settle_525100!A$2</f>
        <v>525100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IFERROR(VLOOKUP(B291,input_settle_525100!L:R,7,FALSE),VLOOKUP(tables_settle_525100!C291,input_settle_525100!A:H,8,FALSE))</f>
        <v>620400</v>
      </c>
      <c r="P291" s="46">
        <f t="shared" ca="1" si="13"/>
        <v>1.0000000000006443E-2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input_settle_525100!A$2</f>
        <v>525100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IFERROR(VLOOKUP(B292,input_settle_525100!L:R,7,FALSE),VLOOKUP(tables_settle_525100!C292,input_settle_525100!A:H,8,FALSE))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input_settle_525100!A$2</f>
        <v>525100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IFERROR(VLOOKUP(B293,input_settle_525100!L:R,7,FALSE),VLOOKUP(tables_settle_525100!C293,input_settle_525100!A:H,8,FALSE))</f>
        <v>620400</v>
      </c>
      <c r="P293" s="46">
        <f t="shared" ca="1" si="13"/>
        <v>1.0000000000006443E-2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input_settle_525100!A$2</f>
        <v>525100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IFERROR(VLOOKUP(B294,input_settle_525100!L:R,7,FALSE),VLOOKUP(tables_settle_525100!C294,input_settle_525100!A:H,8,FALSE))</f>
        <v>47000</v>
      </c>
      <c r="P294" s="46">
        <f t="shared" ca="1" si="13"/>
        <v>7.5757575757624568E-4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input_settle_525100!A$2</f>
        <v>525100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IFERROR(VLOOKUP(B295,input_settle_525100!L:R,7,FALSE),VLOOKUP(tables_settle_525100!C295,input_settle_525100!A:H,8,FALSE))</f>
        <v>47000</v>
      </c>
      <c r="P295" s="46">
        <f t="shared" ca="1" si="13"/>
        <v>7.5757575757624568E-4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input_settle_525100!A$2</f>
        <v>525100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IFERROR(VLOOKUP(B296,input_settle_525100!L:R,7,FALSE),VLOOKUP(tables_settle_525100!C296,input_settle_525100!A:H,8,FALSE))</f>
        <v>47000</v>
      </c>
      <c r="P296" s="46">
        <f t="shared" ca="1" si="13"/>
        <v>7.5757575757624568E-4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input_settle_525100!A$2</f>
        <v>525100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IFERROR(VLOOKUP(B297,input_settle_525100!L:R,7,FALSE),VLOOKUP(tables_settle_525100!C297,input_settle_525100!A:H,8,FALSE))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input_settle_525100!A$2</f>
        <v>525100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IFERROR(VLOOKUP(B298,input_settle_525100!L:R,7,FALSE),VLOOKUP(tables_settle_525100!C298,input_settle_525100!A:H,8,FALSE))</f>
        <v>620400</v>
      </c>
      <c r="P298" s="46">
        <f t="shared" ca="1" si="13"/>
        <v>1.0000000000006443E-2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input_settle_525100!A$2</f>
        <v>525100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IFERROR(VLOOKUP(B299,input_settle_525100!L:R,7,FALSE),VLOOKUP(tables_settle_525100!C299,input_settle_525100!A:H,8,FALSE))</f>
        <v>47000</v>
      </c>
      <c r="P299" s="46">
        <f t="shared" ca="1" si="13"/>
        <v>7.5757575757624568E-4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input_settle_525100!A$2</f>
        <v>525100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IFERROR(VLOOKUP(B300,input_settle_525100!L:R,7,FALSE),VLOOKUP(tables_settle_525100!C300,input_settle_525100!A:H,8,FALSE))</f>
        <v>47000</v>
      </c>
      <c r="P300" s="46">
        <f t="shared" ca="1" si="13"/>
        <v>7.5757575757624568E-4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input_settle_525100!A$2</f>
        <v>525100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IFERROR(VLOOKUP(B301,input_settle_525100!L:R,7,FALSE),VLOOKUP(tables_settle_525100!C301,input_settle_525100!A:H,8,FALSE))</f>
        <v>47000</v>
      </c>
      <c r="P301" s="46">
        <f t="shared" ca="1" si="13"/>
        <v>7.5757575757624568E-4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input_settle_525100!A$2</f>
        <v>525100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IFERROR(VLOOKUP(B302,input_settle_525100!L:R,7,FALSE),VLOOKUP(tables_settle_525100!C302,input_settle_525100!A:H,8,FALSE))</f>
        <v>47000</v>
      </c>
      <c r="P302" s="46">
        <f t="shared" ca="1" si="13"/>
        <v>7.5757575757624568E-4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input_settle_525100!A$2</f>
        <v>525100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IFERROR(VLOOKUP(B303,input_settle_525100!L:R,7,FALSE),VLOOKUP(tables_settle_525100!C303,input_settle_525100!A:H,8,FALSE))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input_settle_525100!A$2</f>
        <v>525100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IFERROR(VLOOKUP(B304,input_settle_525100!L:R,7,FALSE),VLOOKUP(tables_settle_525100!C304,input_settle_525100!A:H,8,FALSE))</f>
        <v>620400</v>
      </c>
      <c r="P304" s="46">
        <f t="shared" ca="1" si="13"/>
        <v>1.0000000000006443E-2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input_settle_525100!A$2</f>
        <v>525100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IFERROR(VLOOKUP(B305,input_settle_525100!L:R,7,FALSE),VLOOKUP(tables_settle_525100!C305,input_settle_525100!A:H,8,FALSE))</f>
        <v>47000</v>
      </c>
      <c r="P305" s="46">
        <f t="shared" ca="1" si="13"/>
        <v>7.5757575757624568E-4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input_settle_525100!A$2</f>
        <v>525100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IFERROR(VLOOKUP(B306,input_settle_525100!L:R,7,FALSE),VLOOKUP(tables_settle_525100!C306,input_settle_525100!A:H,8,FALSE))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input_settle_525100!A$2</f>
        <v>525100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IFERROR(VLOOKUP(B307,input_settle_525100!L:R,7,FALSE),VLOOKUP(tables_settle_525100!C307,input_settle_525100!A:H,8,FALSE))</f>
        <v>620400</v>
      </c>
      <c r="P307" s="46">
        <f t="shared" ca="1" si="13"/>
        <v>1.0000000000006443E-2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input_settle_525100!A$2</f>
        <v>525100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IFERROR(VLOOKUP(B308,input_settle_525100!L:R,7,FALSE),VLOOKUP(tables_settle_525100!C308,input_settle_525100!A:H,8,FALSE))</f>
        <v>47000</v>
      </c>
      <c r="P308" s="46">
        <f t="shared" ca="1" si="13"/>
        <v>7.5757575757624568E-4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input_settle_525100!A$2</f>
        <v>525100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IFERROR(VLOOKUP(B309,input_settle_525100!L:R,7,FALSE),VLOOKUP(tables_settle_525100!C309,input_settle_525100!A:H,8,FALSE))</f>
        <v>47000</v>
      </c>
      <c r="P309" s="46">
        <f t="shared" ca="1" si="13"/>
        <v>7.5757575757624568E-4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input_settle_525100!A$2</f>
        <v>525100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IFERROR(VLOOKUP(B310,input_settle_525100!L:R,7,FALSE),VLOOKUP(tables_settle_525100!C310,input_settle_525100!A:H,8,FALSE))</f>
        <v>47000</v>
      </c>
      <c r="P310" s="46">
        <f t="shared" ca="1" si="13"/>
        <v>7.5757575757624568E-4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input_settle_525100!A$2</f>
        <v>525100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IFERROR(VLOOKUP(B311,input_settle_525100!L:R,7,FALSE),VLOOKUP(tables_settle_525100!C311,input_settle_525100!A:H,8,FALSE))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input_settle_525100!A$2</f>
        <v>525100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IFERROR(VLOOKUP(B312,input_settle_525100!L:R,7,FALSE),VLOOKUP(tables_settle_525100!C312,input_settle_525100!A:H,8,FALSE))</f>
        <v>620400</v>
      </c>
      <c r="P312" s="46">
        <f t="shared" ca="1" si="13"/>
        <v>1.0000000000006443E-2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input_settle_525100!A$2</f>
        <v>525100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IFERROR(VLOOKUP(B313,input_settle_525100!L:R,7,FALSE),VLOOKUP(tables_settle_525100!C313,input_settle_525100!A:H,8,FALSE))</f>
        <v>47000</v>
      </c>
      <c r="P313" s="46">
        <f t="shared" ca="1" si="13"/>
        <v>7.5757575757624568E-4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input_settle_525100!A$2</f>
        <v>525100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IFERROR(VLOOKUP(B314,input_settle_525100!L:R,7,FALSE),VLOOKUP(tables_settle_525100!C314,input_settle_525100!A:H,8,FALSE))</f>
        <v>47000</v>
      </c>
      <c r="P314" s="46">
        <f t="shared" ca="1" si="13"/>
        <v>7.5757575757624568E-4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input_settle_525100!A$2</f>
        <v>525100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IFERROR(VLOOKUP(B315,input_settle_525100!L:R,7,FALSE),VLOOKUP(tables_settle_525100!C315,input_settle_525100!A:H,8,FALSE))</f>
        <v>47000</v>
      </c>
      <c r="P315" s="46">
        <f t="shared" ca="1" si="13"/>
        <v>7.5757575757624568E-4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input_settle_525100!A$2</f>
        <v>525100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IFERROR(VLOOKUP(B316,input_settle_525100!L:R,7,FALSE),VLOOKUP(tables_settle_525100!C316,input_settle_525100!A:H,8,FALSE))</f>
        <v>47000</v>
      </c>
      <c r="P316" s="46">
        <f t="shared" ca="1" si="13"/>
        <v>7.5757575757624568E-4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input_settle_525100!A$2</f>
        <v>525100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IFERROR(VLOOKUP(B317,input_settle_525100!L:R,7,FALSE),VLOOKUP(tables_settle_525100!C317,input_settle_525100!A:H,8,FALSE))</f>
        <v>47000</v>
      </c>
      <c r="P317" s="46">
        <f t="shared" ca="1" si="13"/>
        <v>7.5757575757624568E-4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input_settle_525100!A$2</f>
        <v>525100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IFERROR(VLOOKUP(B318,input_settle_525100!L:R,7,FALSE),VLOOKUP(tables_settle_525100!C318,input_settle_525100!A:H,8,FALSE))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input_settle_525100!A$2</f>
        <v>525100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IFERROR(VLOOKUP(B319,input_settle_525100!L:R,7,FALSE),VLOOKUP(tables_settle_525100!C319,input_settle_525100!A:H,8,FALSE))</f>
        <v>620400</v>
      </c>
      <c r="P319" s="46">
        <f t="shared" ca="1" si="13"/>
        <v>1.0000000000006443E-2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input_settle_525100!A$2</f>
        <v>525100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IFERROR(VLOOKUP(B320,input_settle_525100!L:R,7,FALSE),VLOOKUP(tables_settle_525100!C320,input_settle_525100!A:H,8,FALSE))</f>
        <v>47000</v>
      </c>
      <c r="P320" s="46">
        <f t="shared" ca="1" si="13"/>
        <v>7.5757575757624568E-4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input_settle_525100!A$2</f>
        <v>525100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IFERROR(VLOOKUP(B321,input_settle_525100!L:R,7,FALSE),VLOOKUP(tables_settle_525100!C321,input_settle_525100!A:H,8,FALSE))</f>
        <v>47000</v>
      </c>
      <c r="P321" s="46">
        <f t="shared" ca="1" si="13"/>
        <v>7.5757575757624568E-4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input_settle_525100!A$2</f>
        <v>525100</v>
      </c>
      <c r="B322" s="5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IFERROR(VLOOKUP(B322,input_settle_525100!L:R,7,FALSE),VLOOKUP(tables_settle_525100!C322,input_settle_525100!A:H,8,FALSE))</f>
        <v>47000</v>
      </c>
      <c r="P322" s="46">
        <f t="shared" ref="P322:P346" ca="1" si="16">O322/SUM(O:O)</f>
        <v>7.5757575757624568E-4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input_settle_525100!A$2</f>
        <v>525100</v>
      </c>
      <c r="B323" s="5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IFERROR(VLOOKUP(B323,input_settle_525100!L:R,7,FALSE),VLOOKUP(tables_settle_525100!C323,input_settle_525100!A:H,8,FALSE))</f>
        <v>47000</v>
      </c>
      <c r="P323" s="46">
        <f t="shared" ca="1" si="16"/>
        <v>7.5757575757624568E-4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input_settle_525100!A$2</f>
        <v>525100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IFERROR(VLOOKUP(B324,input_settle_525100!L:R,7,FALSE),VLOOKUP(tables_settle_525100!C324,input_settle_525100!A:H,8,FALSE))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input_settle_525100!A$2</f>
        <v>525100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IFERROR(VLOOKUP(B325,input_settle_525100!L:R,7,FALSE),VLOOKUP(tables_settle_525100!C325,input_settle_525100!A:H,8,FALSE))</f>
        <v>620400</v>
      </c>
      <c r="P325" s="46">
        <f t="shared" ca="1" si="16"/>
        <v>1.0000000000006443E-2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input_settle_525100!A$2</f>
        <v>525100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IFERROR(VLOOKUP(B326,input_settle_525100!L:R,7,FALSE),VLOOKUP(tables_settle_525100!C326,input_settle_525100!A:H,8,FALSE))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input_settle_525100!A$2</f>
        <v>525100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IFERROR(VLOOKUP(B327,input_settle_525100!L:R,7,FALSE),VLOOKUP(tables_settle_525100!C327,input_settle_525100!A:H,8,FALSE))</f>
        <v>620400</v>
      </c>
      <c r="P327" s="46">
        <f t="shared" ca="1" si="16"/>
        <v>1.0000000000006443E-2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input_settle_525100!A$2</f>
        <v>525100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IFERROR(VLOOKUP(B328,input_settle_525100!L:R,7,FALSE),VLOOKUP(tables_settle_525100!C328,input_settle_525100!A:H,8,FALSE))</f>
        <v>47000</v>
      </c>
      <c r="P328" s="46">
        <f t="shared" ca="1" si="16"/>
        <v>7.5757575757624568E-4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input_settle_525100!A$2</f>
        <v>525100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IFERROR(VLOOKUP(B329,input_settle_525100!L:R,7,FALSE),VLOOKUP(tables_settle_525100!C329,input_settle_525100!A:H,8,FALSE))</f>
        <v>47000</v>
      </c>
      <c r="P329" s="46">
        <f t="shared" ca="1" si="16"/>
        <v>7.5757575757624568E-4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input_settle_525100!A$2</f>
        <v>525100</v>
      </c>
      <c r="B330" s="2">
        <v>1157</v>
      </c>
      <c r="C330" s="7" t="str">
        <f t="shared" si="15"/>
        <v>PremiumSS5R5only</v>
      </c>
      <c r="D330" s="9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IFERROR(VLOOKUP(B330,input_settle_525100!L:R,7,FALSE),VLOOKUP(tables_settle_525100!C330,input_settle_525100!A:H,8,FALSE))</f>
        <v>47000</v>
      </c>
      <c r="P330" s="46">
        <f t="shared" ca="1" si="16"/>
        <v>7.5757575757624568E-4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input_settle_525100!A$2</f>
        <v>525100</v>
      </c>
      <c r="B331" s="60">
        <v>1214</v>
      </c>
      <c r="C331" s="7" t="str">
        <f t="shared" si="15"/>
        <v>PremiumSS5R5only</v>
      </c>
      <c r="D331" s="9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IFERROR(VLOOKUP(B331,input_settle_525100!L:R,7,FALSE),VLOOKUP(tables_settle_525100!C331,input_settle_525100!A:H,8,FALSE))</f>
        <v>47000</v>
      </c>
      <c r="P331" s="46">
        <f t="shared" ca="1" si="16"/>
        <v>7.5757575757624568E-4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input_settle_525100!A$2</f>
        <v>525100</v>
      </c>
      <c r="B332" s="60">
        <v>1212</v>
      </c>
      <c r="C332" s="7" t="str">
        <f t="shared" si="15"/>
        <v>PremiumSS5R5only</v>
      </c>
      <c r="D332" s="9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IFERROR(VLOOKUP(B332,input_settle_525100!L:R,7,FALSE),VLOOKUP(tables_settle_525100!C332,input_settle_525100!A:H,8,FALSE))</f>
        <v>47000</v>
      </c>
      <c r="P332" s="46">
        <f t="shared" ca="1" si="16"/>
        <v>7.5757575757624568E-4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input_settle_525100!A$2</f>
        <v>525100</v>
      </c>
      <c r="B333" s="60">
        <v>1208</v>
      </c>
      <c r="C333" s="7" t="str">
        <f t="shared" si="15"/>
        <v>PremiumSS5R5only</v>
      </c>
      <c r="D333" s="9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IFERROR(VLOOKUP(B333,input_settle_525100!L:R,7,FALSE),VLOOKUP(tables_settle_525100!C333,input_settle_525100!A:H,8,FALSE))</f>
        <v>47000</v>
      </c>
      <c r="P333" s="46">
        <f t="shared" ca="1" si="16"/>
        <v>7.5757575757624568E-4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input_settle_525100!A$2</f>
        <v>525100</v>
      </c>
      <c r="B334" s="93">
        <v>1210</v>
      </c>
      <c r="C334" s="7" t="str">
        <f t="shared" si="15"/>
        <v>Premium4R3less</v>
      </c>
      <c r="D334" s="9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IFERROR(VLOOKUP(B334,input_settle_525100!L:R,7,FALSE),VLOOKUP(tables_settle_525100!C334,input_settle_525100!A:H,8,FALSE))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input_settle_525100!A$2</f>
        <v>525100</v>
      </c>
      <c r="B335" s="60">
        <v>1211</v>
      </c>
      <c r="C335" s="7" t="str">
        <f t="shared" si="15"/>
        <v>Premium5R3less</v>
      </c>
      <c r="D335" s="9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IFERROR(VLOOKUP(B335,input_settle_525100!L:R,7,FALSE),VLOOKUP(tables_settle_525100!C335,input_settle_525100!A:H,8,FALSE))</f>
        <v>620400</v>
      </c>
      <c r="P335" s="46">
        <f t="shared" ca="1" si="16"/>
        <v>1.0000000000006443E-2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input_settle_525100!A$2</f>
        <v>525100</v>
      </c>
      <c r="B336" s="2">
        <v>1224</v>
      </c>
      <c r="C336" s="7" t="str">
        <f t="shared" si="15"/>
        <v>Premium4R3less</v>
      </c>
      <c r="D336" s="9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IFERROR(VLOOKUP(B336,input_settle_525100!L:R,7,FALSE),VLOOKUP(tables_settle_525100!C336,input_settle_525100!A:H,8,FALSE))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input_settle_525100!A$2</f>
        <v>525100</v>
      </c>
      <c r="B337" s="2">
        <v>1225</v>
      </c>
      <c r="C337" s="7" t="str">
        <f t="shared" si="15"/>
        <v>Premium5R3less</v>
      </c>
      <c r="D337" s="9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IFERROR(VLOOKUP(B337,input_settle_525100!L:R,7,FALSE),VLOOKUP(tables_settle_525100!C337,input_settle_525100!A:H,8,FALSE))</f>
        <v>620400</v>
      </c>
      <c r="P337" s="46">
        <f t="shared" ca="1" si="16"/>
        <v>1.0000000000006443E-2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input_settle_525100!A$2</f>
        <v>525100</v>
      </c>
      <c r="B338" s="2">
        <v>1226</v>
      </c>
      <c r="C338" s="7" t="str">
        <f t="shared" si="15"/>
        <v>PremiumSS5R5only</v>
      </c>
      <c r="D338" s="9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IFERROR(VLOOKUP(B338,input_settle_525100!L:R,7,FALSE),VLOOKUP(tables_settle_525100!C338,input_settle_525100!A:H,8,FALSE))</f>
        <v>47000</v>
      </c>
      <c r="P338" s="46">
        <f t="shared" ca="1" si="16"/>
        <v>7.5757575757624568E-4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input_settle_525100!A$2</f>
        <v>525100</v>
      </c>
      <c r="B339" s="2">
        <v>1228</v>
      </c>
      <c r="C339" s="7" t="str">
        <f t="shared" si="15"/>
        <v>PremiumSS5R5only</v>
      </c>
      <c r="D339" s="9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IFERROR(VLOOKUP(B339,input_settle_525100!L:R,7,FALSE),VLOOKUP(tables_settle_525100!C339,input_settle_525100!A:H,8,FALSE))</f>
        <v>47000</v>
      </c>
      <c r="P339" s="46">
        <f t="shared" ca="1" si="16"/>
        <v>7.5757575757624568E-4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input_settle_525100!A$2</f>
        <v>525100</v>
      </c>
      <c r="B340" s="2">
        <v>1230</v>
      </c>
      <c r="C340" s="7" t="str">
        <f t="shared" si="15"/>
        <v>PremiumSS5R5only</v>
      </c>
      <c r="D340" s="9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IFERROR(VLOOKUP(B340,input_settle_525100!L:R,7,FALSE),VLOOKUP(tables_settle_525100!C340,input_settle_525100!A:H,8,FALSE))</f>
        <v>47000</v>
      </c>
      <c r="P340" s="46">
        <f t="shared" ca="1" si="16"/>
        <v>7.5757575757624568E-4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input_settle_525100!A$2</f>
        <v>525100</v>
      </c>
      <c r="B341" s="98">
        <v>1244</v>
      </c>
      <c r="C341" s="7" t="str">
        <f t="shared" si="15"/>
        <v>PremiumSS5R5only</v>
      </c>
      <c r="D341" s="9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IFERROR(VLOOKUP(B341,input_settle_525100!L:R,7,FALSE),VLOOKUP(tables_settle_525100!C341,input_settle_525100!A:H,8,FALSE))</f>
        <v>47000</v>
      </c>
      <c r="P341" s="46">
        <f t="shared" ca="1" si="16"/>
        <v>7.5757575757624568E-4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input_settle_525100!A$2</f>
        <v>525100</v>
      </c>
      <c r="B342" s="98">
        <v>1246</v>
      </c>
      <c r="C342" s="7" t="str">
        <f t="shared" si="15"/>
        <v>PremiumSS5R5only</v>
      </c>
      <c r="D342" s="9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IFERROR(VLOOKUP(B342,input_settle_525100!L:R,7,FALSE),VLOOKUP(tables_settle_525100!C342,input_settle_525100!A:H,8,FALSE))</f>
        <v>47000</v>
      </c>
      <c r="P342" s="46">
        <f t="shared" ca="1" si="16"/>
        <v>7.5757575757624568E-4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input_settle_525100!A$2</f>
        <v>525100</v>
      </c>
      <c r="B343" s="98">
        <v>1248</v>
      </c>
      <c r="C343" s="7" t="str">
        <f t="shared" si="15"/>
        <v>Premium4R3less</v>
      </c>
      <c r="D343" s="9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IFERROR(VLOOKUP(B343,input_settle_525100!L:R,7,FALSE),VLOOKUP(tables_settle_525100!C343,input_settle_525100!A:H,8,FALSE))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input_settle_525100!A$2</f>
        <v>525100</v>
      </c>
      <c r="B344" s="98">
        <v>1249</v>
      </c>
      <c r="C344" s="7" t="str">
        <f t="shared" si="15"/>
        <v>Premium5R3less</v>
      </c>
      <c r="D344" s="9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IFERROR(VLOOKUP(B344,input_settle_525100!L:R,7,FALSE),VLOOKUP(tables_settle_525100!C344,input_settle_525100!A:H,8,FALSE))</f>
        <v>620400</v>
      </c>
      <c r="P344" s="46">
        <f t="shared" ca="1" si="16"/>
        <v>1.0000000000006443E-2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input_settle_525100!A$2</f>
        <v>525100</v>
      </c>
      <c r="B345" s="98">
        <v>1250</v>
      </c>
      <c r="C345" s="7" t="str">
        <f t="shared" si="15"/>
        <v>PremiumSS5R5only</v>
      </c>
      <c r="D345" s="9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IFERROR(VLOOKUP(B345,input_settle_525100!L:R,7,FALSE),VLOOKUP(tables_settle_525100!C345,input_settle_525100!A:H,8,FALSE))</f>
        <v>47000</v>
      </c>
      <c r="P345" s="46">
        <f t="shared" ca="1" si="16"/>
        <v>7.5757575757624568E-4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input_settle_525100!A$2</f>
        <v>525100</v>
      </c>
      <c r="B346" s="1">
        <v>1389</v>
      </c>
      <c r="C346" s="7" t="str">
        <f t="shared" si="15"/>
        <v>PremiumSSS5R3less</v>
      </c>
      <c r="D346" s="97" t="str">
        <f t="shared" si="17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ユング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 ca="1">IFERROR(VLOOKUP(B346,input_settle_525100!L:R,7,FALSE),VLOOKUP(tables_settle_525100!C346,input_settle_525100!A:H,8,FALSE))</f>
        <v>310200</v>
      </c>
      <c r="P346" s="46">
        <f t="shared" ca="1" si="16"/>
        <v>5.0000000000032215E-3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input_settle_525100!A$2</f>
        <v>525100</v>
      </c>
      <c r="B347" s="1">
        <v>486</v>
      </c>
      <c r="C347" s="7" t="str">
        <f t="shared" si="15"/>
        <v>PremiumSSS5R3less</v>
      </c>
      <c r="D347" s="97" t="str">
        <f t="shared" si="17"/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重なる世解 シュレディンガー</v>
      </c>
      <c r="I347" s="7" t="str">
        <f>VLOOKUP(B347,[1]characters!$A:$J,10,FALSE)</f>
        <v>PremiumSSS</v>
      </c>
      <c r="J347" s="7">
        <f>VLOOKUP(B347,[1]characters!$A:$I,9,FALSE)</f>
        <v>5</v>
      </c>
      <c r="K347" s="7" t="str">
        <f>VLOOKUP(B347,[1]characters!$A:$H,8,FALSE)</f>
        <v>red</v>
      </c>
      <c r="L347" s="7" t="str">
        <f>VLOOKUP(B347,[1]characters!$A:$K,11,FALSE)</f>
        <v>balance</v>
      </c>
      <c r="M347" s="7" t="str">
        <f>VLOOKUP(B347,[1]characters!$A:$M,13,FALSE)</f>
        <v>animal</v>
      </c>
      <c r="N347" s="7" t="str">
        <f>VLOOKUP(B347,[1]characters!$A:$G,7,FALSE)</f>
        <v>男性</v>
      </c>
      <c r="O347" s="45">
        <f ca="1">IFERROR(VLOOKUP(B347,input_settle_525100!L:R,7,FALSE),VLOOKUP(tables_settle_525100!C347,input_settle_525100!A:H,8,FALSE))</f>
        <v>310200</v>
      </c>
      <c r="P347" s="46">
        <f ca="1">O347/SUM(O:O)</f>
        <v>5.0000000000032215E-3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 activeCell="K8" sqref="K8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0">
        <v>525105</v>
      </c>
      <c r="B2" s="100">
        <v>5251051</v>
      </c>
      <c r="C2" s="79" t="s">
        <v>253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254</v>
      </c>
      <c r="O2" s="79" t="s">
        <v>255</v>
      </c>
      <c r="P2" s="79" t="s">
        <v>256</v>
      </c>
      <c r="Q2" s="80" t="s">
        <v>259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input_525010</vt:lpstr>
      <vt:lpstr>tables_525010</vt:lpstr>
      <vt:lpstr>input_525100</vt:lpstr>
      <vt:lpstr>tables_525100</vt:lpstr>
      <vt:lpstr>input_settle_525100</vt:lpstr>
      <vt:lpstr>tables_settle_525100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2017-02-14T05:02:37Z</dcterms:modified>
</cp:coreProperties>
</file>