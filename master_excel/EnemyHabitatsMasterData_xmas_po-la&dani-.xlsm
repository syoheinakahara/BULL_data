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0" yWindow="460" windowWidth="33820" windowHeight="10760" tabRatio="740" activeTab="5"/>
  </bookViews>
  <sheets>
    <sheet name="output" sheetId="16" r:id="rId1"/>
    <sheet name="floors" sheetId="2" r:id="rId2"/>
    <sheet name="enemy_habitats" sheetId="1" r:id="rId3"/>
    <sheet name="enemy_habitat_S" sheetId="23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1" l="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J82" i="11"/>
  <c r="J22" i="11"/>
  <c r="J43" i="11"/>
  <c r="J33" i="11"/>
  <c r="M43" i="10"/>
  <c r="T43" i="10"/>
  <c r="W43" i="10"/>
  <c r="V43" i="10"/>
  <c r="X43" i="10"/>
  <c r="U43" i="10"/>
  <c r="Y43" i="10"/>
  <c r="M65" i="10"/>
  <c r="M77" i="10"/>
  <c r="M32" i="10"/>
  <c r="N32" i="10"/>
  <c r="Q32" i="10"/>
  <c r="P32" i="10"/>
  <c r="R32" i="10"/>
  <c r="O32" i="10"/>
  <c r="S32" i="10"/>
  <c r="N77" i="10"/>
  <c r="Q77" i="10"/>
  <c r="P77" i="10"/>
  <c r="R77" i="10"/>
  <c r="O77" i="10"/>
  <c r="S77" i="10"/>
  <c r="N65" i="10"/>
  <c r="Q65" i="10"/>
  <c r="P65" i="10"/>
  <c r="R65" i="10"/>
  <c r="O65" i="10"/>
  <c r="S65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33" i="10"/>
  <c r="T33" i="10"/>
  <c r="W33" i="10"/>
  <c r="V33" i="10"/>
  <c r="X33" i="10"/>
  <c r="U33" i="10"/>
  <c r="Y33" i="10"/>
  <c r="M64" i="10"/>
  <c r="M76" i="10"/>
  <c r="N76" i="10"/>
  <c r="Q76" i="10"/>
  <c r="P76" i="10"/>
  <c r="R76" i="10"/>
  <c r="O76" i="10"/>
  <c r="S76" i="10"/>
  <c r="N64" i="10"/>
  <c r="Q64" i="10"/>
  <c r="P64" i="10"/>
  <c r="R64" i="10"/>
  <c r="O64" i="10"/>
  <c r="S64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22" i="10"/>
  <c r="T22" i="10"/>
  <c r="W22" i="10"/>
  <c r="V22" i="10"/>
  <c r="X22" i="10"/>
  <c r="U22" i="10"/>
  <c r="Y22" i="10"/>
  <c r="M31" i="10"/>
  <c r="M38" i="10"/>
  <c r="M46" i="10"/>
  <c r="M57" i="10"/>
  <c r="M60" i="10"/>
  <c r="M69" i="10"/>
  <c r="M74" i="10"/>
  <c r="N74" i="10"/>
  <c r="Q74" i="10"/>
  <c r="P74" i="10"/>
  <c r="R74" i="10"/>
  <c r="O74" i="10"/>
  <c r="S74" i="10"/>
  <c r="N69" i="10"/>
  <c r="Q69" i="10"/>
  <c r="P69" i="10"/>
  <c r="R69" i="10"/>
  <c r="O69" i="10"/>
  <c r="S69" i="10"/>
  <c r="N60" i="10"/>
  <c r="Q60" i="10"/>
  <c r="P60" i="10"/>
  <c r="R60" i="10"/>
  <c r="O60" i="10"/>
  <c r="S60" i="10"/>
  <c r="N57" i="10"/>
  <c r="Q57" i="10"/>
  <c r="P57" i="10"/>
  <c r="R57" i="10"/>
  <c r="O57" i="10"/>
  <c r="S57" i="10"/>
  <c r="N46" i="10"/>
  <c r="Q46" i="10"/>
  <c r="P46" i="10"/>
  <c r="R46" i="10"/>
  <c r="O46" i="10"/>
  <c r="S46" i="10"/>
  <c r="N38" i="10"/>
  <c r="Q38" i="10"/>
  <c r="P38" i="10"/>
  <c r="R38" i="10"/>
  <c r="O38" i="10"/>
  <c r="S38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73" i="11"/>
  <c r="J74" i="11"/>
  <c r="J75" i="11"/>
  <c r="J76" i="11"/>
  <c r="J77" i="11"/>
  <c r="J78" i="11"/>
  <c r="J79" i="11"/>
  <c r="J80" i="11"/>
  <c r="J81" i="11"/>
  <c r="J58" i="11"/>
  <c r="M58" i="10"/>
  <c r="T58" i="10"/>
  <c r="W58" i="10"/>
  <c r="V58" i="10"/>
  <c r="X58" i="10"/>
  <c r="U58" i="10"/>
  <c r="Y58" i="10"/>
  <c r="M71" i="10"/>
  <c r="N71" i="10"/>
  <c r="Q71" i="10"/>
  <c r="P71" i="10"/>
  <c r="R71" i="10"/>
  <c r="O71" i="10"/>
  <c r="S71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9" i="10"/>
  <c r="T59" i="10"/>
  <c r="W59" i="10"/>
  <c r="V59" i="10"/>
  <c r="X59" i="10"/>
  <c r="U59" i="10"/>
  <c r="Y59" i="10"/>
  <c r="M70" i="10"/>
  <c r="M73" i="10"/>
  <c r="N73" i="10"/>
  <c r="Q73" i="10"/>
  <c r="P73" i="10"/>
  <c r="R73" i="10"/>
  <c r="O73" i="10"/>
  <c r="S73" i="10"/>
  <c r="N70" i="10"/>
  <c r="Q70" i="10"/>
  <c r="P70" i="10"/>
  <c r="R70" i="10"/>
  <c r="O70" i="10"/>
  <c r="S70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J20" i="11"/>
  <c r="J19" i="11"/>
  <c r="J15" i="11"/>
  <c r="J14" i="11"/>
  <c r="J10" i="11"/>
  <c r="J9" i="11"/>
  <c r="J5" i="11"/>
  <c r="J4" i="11"/>
  <c r="M19" i="10"/>
  <c r="T19" i="10"/>
  <c r="W19" i="10"/>
  <c r="V19" i="10"/>
  <c r="X19" i="10"/>
  <c r="U19" i="10"/>
  <c r="Y19" i="10"/>
  <c r="M28" i="10"/>
  <c r="M41" i="10"/>
  <c r="M48" i="10"/>
  <c r="M54" i="10"/>
  <c r="N54" i="10"/>
  <c r="Q54" i="10"/>
  <c r="P54" i="10"/>
  <c r="R54" i="10"/>
  <c r="O54" i="10"/>
  <c r="S54" i="10"/>
  <c r="N48" i="10"/>
  <c r="Q48" i="10"/>
  <c r="P48" i="10"/>
  <c r="R48" i="10"/>
  <c r="O48" i="10"/>
  <c r="S48" i="10"/>
  <c r="N41" i="10"/>
  <c r="Q41" i="10"/>
  <c r="P41" i="10"/>
  <c r="R41" i="10"/>
  <c r="O41" i="10"/>
  <c r="S41" i="10"/>
  <c r="N28" i="10"/>
  <c r="Q28" i="10"/>
  <c r="P28" i="10"/>
  <c r="R28" i="10"/>
  <c r="O28" i="10"/>
  <c r="S28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0" i="10"/>
  <c r="T20" i="10"/>
  <c r="W20" i="10"/>
  <c r="V20" i="10"/>
  <c r="X20" i="10"/>
  <c r="U20" i="10"/>
  <c r="Y20" i="10"/>
  <c r="M29" i="10"/>
  <c r="M40" i="10"/>
  <c r="M49" i="10"/>
  <c r="M55" i="10"/>
  <c r="N55" i="10"/>
  <c r="Q55" i="10"/>
  <c r="P55" i="10"/>
  <c r="R55" i="10"/>
  <c r="O55" i="10"/>
  <c r="S55" i="10"/>
  <c r="N49" i="10"/>
  <c r="Q49" i="10"/>
  <c r="P49" i="10"/>
  <c r="R49" i="10"/>
  <c r="O49" i="10"/>
  <c r="S49" i="10"/>
  <c r="N40" i="10"/>
  <c r="Q40" i="10"/>
  <c r="P40" i="10"/>
  <c r="R40" i="10"/>
  <c r="O40" i="10"/>
  <c r="S40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4" i="10"/>
  <c r="T14" i="10"/>
  <c r="W14" i="10"/>
  <c r="V14" i="10"/>
  <c r="X14" i="10"/>
  <c r="U14" i="10"/>
  <c r="Y14" i="10"/>
  <c r="M25" i="10"/>
  <c r="M34" i="10"/>
  <c r="M42" i="10"/>
  <c r="N42" i="10"/>
  <c r="Q42" i="10"/>
  <c r="P42" i="10"/>
  <c r="R42" i="10"/>
  <c r="O42" i="10"/>
  <c r="S42" i="10"/>
  <c r="N34" i="10"/>
  <c r="Q34" i="10"/>
  <c r="P34" i="10"/>
  <c r="R34" i="10"/>
  <c r="O34" i="10"/>
  <c r="S34" i="10"/>
  <c r="N25" i="10"/>
  <c r="Q25" i="10"/>
  <c r="P25" i="10"/>
  <c r="R25" i="10"/>
  <c r="O25" i="10"/>
  <c r="S25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5" i="10"/>
  <c r="T15" i="10"/>
  <c r="W15" i="10"/>
  <c r="V15" i="10"/>
  <c r="X15" i="10"/>
  <c r="U15" i="10"/>
  <c r="Y15" i="10"/>
  <c r="M26" i="10"/>
  <c r="M35" i="10"/>
  <c r="M44" i="10"/>
  <c r="M51" i="10"/>
  <c r="M66" i="10"/>
  <c r="N66" i="10"/>
  <c r="Q66" i="10"/>
  <c r="P66" i="10"/>
  <c r="R66" i="10"/>
  <c r="O66" i="10"/>
  <c r="S66" i="10"/>
  <c r="N51" i="10"/>
  <c r="Q51" i="10"/>
  <c r="P51" i="10"/>
  <c r="R51" i="10"/>
  <c r="O51" i="10"/>
  <c r="S51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26" i="10"/>
  <c r="Q26" i="10"/>
  <c r="P26" i="10"/>
  <c r="R26" i="10"/>
  <c r="O26" i="10"/>
  <c r="S26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4" i="10"/>
  <c r="T4" i="10"/>
  <c r="W4" i="10"/>
  <c r="V4" i="10"/>
  <c r="X4" i="10"/>
  <c r="U4" i="10"/>
  <c r="Y4" i="10"/>
  <c r="M21" i="10"/>
  <c r="M30" i="10"/>
  <c r="M39" i="10"/>
  <c r="M50" i="10"/>
  <c r="M56" i="10"/>
  <c r="N56" i="10"/>
  <c r="Q56" i="10"/>
  <c r="P56" i="10"/>
  <c r="R56" i="10"/>
  <c r="O56" i="10"/>
  <c r="S56" i="10"/>
  <c r="N50" i="10"/>
  <c r="Q50" i="10"/>
  <c r="P50" i="10"/>
  <c r="R50" i="10"/>
  <c r="O50" i="10"/>
  <c r="S50" i="10"/>
  <c r="N39" i="10"/>
  <c r="Q39" i="10"/>
  <c r="P39" i="10"/>
  <c r="R39" i="10"/>
  <c r="O39" i="10"/>
  <c r="S39" i="10"/>
  <c r="N30" i="10"/>
  <c r="Q30" i="10"/>
  <c r="P30" i="10"/>
  <c r="R30" i="10"/>
  <c r="O30" i="10"/>
  <c r="S30" i="10"/>
  <c r="N21" i="10"/>
  <c r="Q21" i="10"/>
  <c r="P21" i="10"/>
  <c r="R21" i="10"/>
  <c r="O21" i="10"/>
  <c r="S21" i="10"/>
  <c r="N4" i="10"/>
  <c r="Q4" i="10"/>
  <c r="P4" i="10"/>
  <c r="R4" i="10"/>
  <c r="O4" i="10"/>
  <c r="S4" i="10"/>
  <c r="G4" i="10"/>
  <c r="J4" i="10"/>
  <c r="I4" i="10"/>
  <c r="K4" i="10"/>
  <c r="H4" i="10"/>
  <c r="L4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10" i="10"/>
  <c r="T10" i="10"/>
  <c r="W10" i="10"/>
  <c r="V10" i="10"/>
  <c r="X10" i="10"/>
  <c r="U10" i="10"/>
  <c r="Y10" i="10"/>
  <c r="M27" i="10"/>
  <c r="M37" i="10"/>
  <c r="M47" i="10"/>
  <c r="M53" i="10"/>
  <c r="M62" i="10"/>
  <c r="M67" i="10"/>
  <c r="N67" i="10"/>
  <c r="Q67" i="10"/>
  <c r="P67" i="10"/>
  <c r="R67" i="10"/>
  <c r="O67" i="10"/>
  <c r="S67" i="10"/>
  <c r="N62" i="10"/>
  <c r="Q62" i="10"/>
  <c r="P62" i="10"/>
  <c r="R62" i="10"/>
  <c r="O62" i="10"/>
  <c r="S62" i="10"/>
  <c r="N53" i="10"/>
  <c r="Q53" i="10"/>
  <c r="P53" i="10"/>
  <c r="R53" i="10"/>
  <c r="O53" i="10"/>
  <c r="S53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J42" i="11"/>
  <c r="J44" i="11"/>
  <c r="J45" i="11"/>
  <c r="J47" i="11"/>
  <c r="J48" i="11"/>
  <c r="J49" i="11"/>
  <c r="J50" i="11"/>
  <c r="J46" i="11"/>
  <c r="J51" i="11"/>
  <c r="J52" i="11"/>
  <c r="J53" i="11"/>
  <c r="J54" i="11"/>
  <c r="J55" i="11"/>
  <c r="J56" i="11"/>
  <c r="J57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A42" i="9"/>
  <c r="D42" i="9"/>
  <c r="E42" i="9"/>
  <c r="G42" i="9"/>
  <c r="H42" i="9"/>
  <c r="I42" i="9"/>
  <c r="J42" i="9"/>
  <c r="K42" i="9"/>
  <c r="L42" i="9"/>
  <c r="M42" i="9"/>
  <c r="N42" i="9"/>
  <c r="J35" i="11"/>
  <c r="O42" i="9"/>
  <c r="A43" i="9"/>
  <c r="D43" i="9"/>
  <c r="E43" i="9"/>
  <c r="G43" i="9"/>
  <c r="H43" i="9"/>
  <c r="I43" i="9"/>
  <c r="J43" i="9"/>
  <c r="K43" i="9"/>
  <c r="L43" i="9"/>
  <c r="M43" i="9"/>
  <c r="N43" i="9"/>
  <c r="J36" i="11"/>
  <c r="J34" i="11"/>
  <c r="O43" i="9"/>
  <c r="A44" i="9"/>
  <c r="D44" i="9"/>
  <c r="E44" i="9"/>
  <c r="G44" i="9"/>
  <c r="H44" i="9"/>
  <c r="I44" i="9"/>
  <c r="J44" i="9"/>
  <c r="K44" i="9"/>
  <c r="L44" i="9"/>
  <c r="M44" i="9"/>
  <c r="N44" i="9"/>
  <c r="J37" i="11"/>
  <c r="O44" i="9"/>
  <c r="A45" i="9"/>
  <c r="D45" i="9"/>
  <c r="E45" i="9"/>
  <c r="G45" i="9"/>
  <c r="H45" i="9"/>
  <c r="I45" i="9"/>
  <c r="J45" i="9"/>
  <c r="K45" i="9"/>
  <c r="L45" i="9"/>
  <c r="M45" i="9"/>
  <c r="N45" i="9"/>
  <c r="J38" i="11"/>
  <c r="O45" i="9"/>
  <c r="A46" i="9"/>
  <c r="D46" i="9"/>
  <c r="E46" i="9"/>
  <c r="G46" i="9"/>
  <c r="H46" i="9"/>
  <c r="I46" i="9"/>
  <c r="J46" i="9"/>
  <c r="K46" i="9"/>
  <c r="L46" i="9"/>
  <c r="M46" i="9"/>
  <c r="N46" i="9"/>
  <c r="J39" i="11"/>
  <c r="O46" i="9"/>
  <c r="A47" i="9"/>
  <c r="D47" i="9"/>
  <c r="E47" i="9"/>
  <c r="G47" i="9"/>
  <c r="H47" i="9"/>
  <c r="I47" i="9"/>
  <c r="J47" i="9"/>
  <c r="K47" i="9"/>
  <c r="L47" i="9"/>
  <c r="M47" i="9"/>
  <c r="N47" i="9"/>
  <c r="J40" i="11"/>
  <c r="O47" i="9"/>
  <c r="A48" i="9"/>
  <c r="D48" i="9"/>
  <c r="E48" i="9"/>
  <c r="G48" i="9"/>
  <c r="H48" i="9"/>
  <c r="I48" i="9"/>
  <c r="J48" i="9"/>
  <c r="K48" i="9"/>
  <c r="L48" i="9"/>
  <c r="M48" i="9"/>
  <c r="N48" i="9"/>
  <c r="J41" i="11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D58" i="9"/>
  <c r="E58" i="9"/>
  <c r="G58" i="9"/>
  <c r="H58" i="9"/>
  <c r="I58" i="9"/>
  <c r="J58" i="9"/>
  <c r="K58" i="9"/>
  <c r="L58" i="9"/>
  <c r="M58" i="9"/>
  <c r="N58" i="9"/>
  <c r="O58" i="9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A62" i="9"/>
  <c r="D62" i="9"/>
  <c r="E62" i="9"/>
  <c r="G62" i="9"/>
  <c r="H62" i="9"/>
  <c r="I62" i="9"/>
  <c r="J62" i="9"/>
  <c r="K62" i="9"/>
  <c r="L62" i="9"/>
  <c r="M62" i="9"/>
  <c r="N62" i="9"/>
  <c r="O62" i="9"/>
  <c r="A63" i="9"/>
  <c r="D63" i="9"/>
  <c r="E63" i="9"/>
  <c r="G63" i="9"/>
  <c r="H63" i="9"/>
  <c r="I63" i="9"/>
  <c r="J63" i="9"/>
  <c r="K63" i="9"/>
  <c r="L63" i="9"/>
  <c r="M63" i="9"/>
  <c r="N63" i="9"/>
  <c r="O63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E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2" i="9"/>
  <c r="D72" i="9"/>
  <c r="E72" i="9"/>
  <c r="G72" i="9"/>
  <c r="H72" i="9"/>
  <c r="I72" i="9"/>
  <c r="J72" i="9"/>
  <c r="K72" i="9"/>
  <c r="L72" i="9"/>
  <c r="M72" i="9"/>
  <c r="N72" i="9"/>
  <c r="O72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A75" i="9"/>
  <c r="D75" i="9"/>
  <c r="E75" i="9"/>
  <c r="G75" i="9"/>
  <c r="H75" i="9"/>
  <c r="I75" i="9"/>
  <c r="J75" i="9"/>
  <c r="K75" i="9"/>
  <c r="L75" i="9"/>
  <c r="M75" i="9"/>
  <c r="N75" i="9"/>
  <c r="O75" i="9"/>
  <c r="A76" i="9"/>
  <c r="D76" i="9"/>
  <c r="E76" i="9"/>
  <c r="G76" i="9"/>
  <c r="H76" i="9"/>
  <c r="I76" i="9"/>
  <c r="J76" i="9"/>
  <c r="K76" i="9"/>
  <c r="L76" i="9"/>
  <c r="M76" i="9"/>
  <c r="N76" i="9"/>
  <c r="O76" i="9"/>
  <c r="A77" i="9"/>
  <c r="D77" i="9"/>
  <c r="E77" i="9"/>
  <c r="G77" i="9"/>
  <c r="H77" i="9"/>
  <c r="I77" i="9"/>
  <c r="J77" i="9"/>
  <c r="K77" i="9"/>
  <c r="L77" i="9"/>
  <c r="M77" i="9"/>
  <c r="N77" i="9"/>
  <c r="O77" i="9"/>
  <c r="A78" i="9"/>
  <c r="D78" i="9"/>
  <c r="E78" i="9"/>
  <c r="G78" i="9"/>
  <c r="H78" i="9"/>
  <c r="I78" i="9"/>
  <c r="J78" i="9"/>
  <c r="K78" i="9"/>
  <c r="L78" i="9"/>
  <c r="M78" i="9"/>
  <c r="N78" i="9"/>
  <c r="O78" i="9"/>
  <c r="A79" i="9"/>
  <c r="D79" i="9"/>
  <c r="E79" i="9"/>
  <c r="G79" i="9"/>
  <c r="H79" i="9"/>
  <c r="I79" i="9"/>
  <c r="J79" i="9"/>
  <c r="K79" i="9"/>
  <c r="L79" i="9"/>
  <c r="M79" i="9"/>
  <c r="N79" i="9"/>
  <c r="O79" i="9"/>
  <c r="A80" i="9"/>
  <c r="D80" i="9"/>
  <c r="E80" i="9"/>
  <c r="G80" i="9"/>
  <c r="H80" i="9"/>
  <c r="I80" i="9"/>
  <c r="J80" i="9"/>
  <c r="K80" i="9"/>
  <c r="L80" i="9"/>
  <c r="M80" i="9"/>
  <c r="N80" i="9"/>
  <c r="O80" i="9"/>
  <c r="A81" i="9"/>
  <c r="D81" i="9"/>
  <c r="E81" i="9"/>
  <c r="G81" i="9"/>
  <c r="H81" i="9"/>
  <c r="I81" i="9"/>
  <c r="J81" i="9"/>
  <c r="K81" i="9"/>
  <c r="L81" i="9"/>
  <c r="M81" i="9"/>
  <c r="N81" i="9"/>
  <c r="O81" i="9"/>
  <c r="A82" i="9"/>
  <c r="D82" i="9"/>
  <c r="E82" i="9"/>
  <c r="G82" i="9"/>
  <c r="H82" i="9"/>
  <c r="I82" i="9"/>
  <c r="J82" i="9"/>
  <c r="K82" i="9"/>
  <c r="L82" i="9"/>
  <c r="M82" i="9"/>
  <c r="N82" i="9"/>
  <c r="O82" i="9"/>
  <c r="M78" i="10"/>
  <c r="N78" i="10"/>
  <c r="Q78" i="10"/>
  <c r="P78" i="10"/>
  <c r="R78" i="10"/>
  <c r="O78" i="10"/>
  <c r="S78" i="10"/>
  <c r="M79" i="10"/>
  <c r="N79" i="10"/>
  <c r="Q79" i="10"/>
  <c r="P79" i="10"/>
  <c r="R79" i="10"/>
  <c r="O79" i="10"/>
  <c r="S79" i="10"/>
  <c r="M80" i="10"/>
  <c r="N80" i="10"/>
  <c r="Q80" i="10"/>
  <c r="P80" i="10"/>
  <c r="R80" i="10"/>
  <c r="O80" i="10"/>
  <c r="S80" i="10"/>
  <c r="M81" i="10"/>
  <c r="N81" i="10"/>
  <c r="Q81" i="10"/>
  <c r="P81" i="10"/>
  <c r="R81" i="10"/>
  <c r="O81" i="10"/>
  <c r="S81" i="10"/>
  <c r="G73" i="10"/>
  <c r="H73" i="10"/>
  <c r="I73" i="10"/>
  <c r="J73" i="10"/>
  <c r="K73" i="10"/>
  <c r="L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T74" i="10"/>
  <c r="U74" i="10"/>
  <c r="V74" i="10"/>
  <c r="W74" i="10"/>
  <c r="X74" i="10"/>
  <c r="Y74" i="10"/>
  <c r="G75" i="10"/>
  <c r="H75" i="10"/>
  <c r="I75" i="10"/>
  <c r="J75" i="10"/>
  <c r="K75" i="10"/>
  <c r="L75" i="10"/>
  <c r="M75" i="10"/>
  <c r="M82" i="10"/>
  <c r="N82" i="10"/>
  <c r="Q82" i="10"/>
  <c r="P82" i="10"/>
  <c r="R82" i="10"/>
  <c r="O82" i="10"/>
  <c r="S82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G76" i="10"/>
  <c r="H76" i="10"/>
  <c r="I76" i="10"/>
  <c r="J76" i="10"/>
  <c r="K76" i="10"/>
  <c r="L76" i="10"/>
  <c r="T76" i="10"/>
  <c r="U76" i="10"/>
  <c r="V76" i="10"/>
  <c r="W76" i="10"/>
  <c r="X76" i="10"/>
  <c r="Y76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81" i="10"/>
  <c r="H81" i="10"/>
  <c r="I81" i="10"/>
  <c r="J81" i="10"/>
  <c r="K81" i="10"/>
  <c r="L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45" i="10"/>
  <c r="H45" i="10"/>
  <c r="I45" i="10"/>
  <c r="J45" i="10"/>
  <c r="K45" i="10"/>
  <c r="L45" i="10"/>
  <c r="M45" i="10"/>
  <c r="M52" i="10"/>
  <c r="M61" i="10"/>
  <c r="N61" i="10"/>
  <c r="Q61" i="10"/>
  <c r="P61" i="10"/>
  <c r="R61" i="10"/>
  <c r="O61" i="10"/>
  <c r="S61" i="10"/>
  <c r="N52" i="10"/>
  <c r="Q52" i="10"/>
  <c r="P52" i="10"/>
  <c r="R52" i="10"/>
  <c r="O52" i="10"/>
  <c r="S52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68" i="10"/>
  <c r="N68" i="10"/>
  <c r="Q68" i="10"/>
  <c r="P68" i="10"/>
  <c r="R68" i="10"/>
  <c r="O68" i="10"/>
  <c r="S6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M63" i="10"/>
  <c r="M72" i="10"/>
  <c r="N72" i="10"/>
  <c r="Q72" i="10"/>
  <c r="P72" i="10"/>
  <c r="R72" i="10"/>
  <c r="O72" i="10"/>
  <c r="S72" i="10"/>
  <c r="N63" i="10"/>
  <c r="Q63" i="10"/>
  <c r="P63" i="10"/>
  <c r="R63" i="10"/>
  <c r="O63" i="10"/>
  <c r="S63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T68" i="10"/>
  <c r="U68" i="10"/>
  <c r="V68" i="10"/>
  <c r="W68" i="10"/>
  <c r="X68" i="10"/>
  <c r="Y68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J3" i="11"/>
  <c r="J6" i="11"/>
  <c r="J7" i="11"/>
  <c r="J8" i="11"/>
  <c r="J11" i="11"/>
  <c r="J12" i="11"/>
  <c r="J13" i="11"/>
  <c r="J16" i="11"/>
  <c r="J17" i="11"/>
  <c r="J18" i="11"/>
  <c r="J21" i="11"/>
  <c r="J23" i="11"/>
  <c r="J24" i="11"/>
  <c r="J25" i="11"/>
  <c r="J26" i="11"/>
  <c r="J27" i="11"/>
  <c r="J28" i="11"/>
  <c r="J29" i="11"/>
  <c r="J30" i="11"/>
  <c r="J31" i="11"/>
  <c r="J32" i="11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11" i="10"/>
  <c r="H11" i="10"/>
  <c r="I11" i="10"/>
  <c r="J11" i="10"/>
  <c r="K11" i="10"/>
  <c r="L11" i="10"/>
  <c r="M11" i="10"/>
  <c r="M17" i="10"/>
  <c r="N17" i="10"/>
  <c r="Q17" i="10"/>
  <c r="P17" i="10"/>
  <c r="R17" i="10"/>
  <c r="O17" i="10"/>
  <c r="S17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M18" i="10"/>
  <c r="N18" i="10"/>
  <c r="Q18" i="10"/>
  <c r="P18" i="10"/>
  <c r="R18" i="10"/>
  <c r="O18" i="10"/>
  <c r="S18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6" i="10"/>
  <c r="H6" i="10"/>
  <c r="I6" i="10"/>
  <c r="J6" i="10"/>
  <c r="K6" i="10"/>
  <c r="L6" i="10"/>
  <c r="M6" i="10"/>
  <c r="M23" i="10"/>
  <c r="N23" i="10"/>
  <c r="Q23" i="10"/>
  <c r="P23" i="10"/>
  <c r="R23" i="10"/>
  <c r="O23" i="10"/>
  <c r="S23" i="10"/>
  <c r="N6" i="10"/>
  <c r="O6" i="10"/>
  <c r="P6" i="10"/>
  <c r="Q6" i="10"/>
  <c r="R6" i="10"/>
  <c r="S6" i="10"/>
  <c r="T6" i="10"/>
  <c r="U6" i="10"/>
  <c r="V6" i="10"/>
  <c r="W6" i="10"/>
  <c r="X6" i="10"/>
  <c r="Y6" i="10"/>
  <c r="M24" i="10"/>
  <c r="N24" i="10"/>
  <c r="Q24" i="10"/>
  <c r="P24" i="10"/>
  <c r="R24" i="10"/>
  <c r="O24" i="10"/>
  <c r="S24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6" i="10"/>
  <c r="H16" i="10"/>
  <c r="I16" i="10"/>
  <c r="J16" i="10"/>
  <c r="K16" i="10"/>
  <c r="L16" i="10"/>
  <c r="M16" i="10"/>
  <c r="M36" i="10"/>
  <c r="N36" i="10"/>
  <c r="Q36" i="10"/>
  <c r="P36" i="10"/>
  <c r="R36" i="10"/>
  <c r="O36" i="10"/>
  <c r="S3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2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Y13" i="23"/>
  <c r="W13" i="23"/>
  <c r="U13" i="23"/>
  <c r="R13" i="23"/>
  <c r="Q13" i="23"/>
  <c r="P13" i="23"/>
  <c r="O13" i="23"/>
  <c r="N13" i="23"/>
  <c r="H13" i="23"/>
  <c r="D13" i="23"/>
  <c r="F13" i="23"/>
  <c r="E13" i="23"/>
  <c r="A13" i="23"/>
  <c r="Y12" i="23"/>
  <c r="W12" i="23"/>
  <c r="U12" i="23"/>
  <c r="R12" i="23"/>
  <c r="Q12" i="23"/>
  <c r="P12" i="23"/>
  <c r="O12" i="23"/>
  <c r="N12" i="23"/>
  <c r="H12" i="23"/>
  <c r="D12" i="23"/>
  <c r="F12" i="23"/>
  <c r="E12" i="23"/>
  <c r="A12" i="23"/>
  <c r="Y11" i="23"/>
  <c r="W11" i="23"/>
  <c r="U11" i="23"/>
  <c r="R11" i="23"/>
  <c r="Q11" i="23"/>
  <c r="P11" i="23"/>
  <c r="O11" i="23"/>
  <c r="N11" i="23"/>
  <c r="H11" i="23"/>
  <c r="D11" i="23"/>
  <c r="F11" i="23"/>
  <c r="E11" i="23"/>
  <c r="A11" i="23"/>
  <c r="Y10" i="23"/>
  <c r="W10" i="23"/>
  <c r="U10" i="23"/>
  <c r="R10" i="23"/>
  <c r="Q10" i="23"/>
  <c r="P10" i="23"/>
  <c r="O10" i="23"/>
  <c r="N10" i="23"/>
  <c r="H10" i="23"/>
  <c r="D10" i="23"/>
  <c r="F10" i="23"/>
  <c r="E10" i="23"/>
  <c r="A10" i="23"/>
  <c r="Y9" i="23"/>
  <c r="W9" i="23"/>
  <c r="U9" i="23"/>
  <c r="R9" i="23"/>
  <c r="Q9" i="23"/>
  <c r="P9" i="23"/>
  <c r="O9" i="23"/>
  <c r="N9" i="23"/>
  <c r="H9" i="23"/>
  <c r="D9" i="23"/>
  <c r="F9" i="23"/>
  <c r="E9" i="23"/>
  <c r="A9" i="23"/>
  <c r="Y8" i="23"/>
  <c r="W8" i="23"/>
  <c r="U8" i="23"/>
  <c r="R8" i="23"/>
  <c r="Q8" i="23"/>
  <c r="P8" i="23"/>
  <c r="O8" i="23"/>
  <c r="N8" i="23"/>
  <c r="H8" i="23"/>
  <c r="D8" i="23"/>
  <c r="F8" i="23"/>
  <c r="E8" i="23"/>
  <c r="A8" i="23"/>
  <c r="Y7" i="23"/>
  <c r="W7" i="23"/>
  <c r="U7" i="23"/>
  <c r="R7" i="23"/>
  <c r="Q7" i="23"/>
  <c r="P7" i="23"/>
  <c r="O7" i="23"/>
  <c r="N7" i="23"/>
  <c r="H7" i="23"/>
  <c r="D7" i="23"/>
  <c r="F7" i="23"/>
  <c r="E7" i="23"/>
  <c r="A7" i="23"/>
  <c r="Y6" i="23"/>
  <c r="W6" i="23"/>
  <c r="U6" i="23"/>
  <c r="R6" i="23"/>
  <c r="Q6" i="23"/>
  <c r="P6" i="23"/>
  <c r="O6" i="23"/>
  <c r="N6" i="23"/>
  <c r="H6" i="23"/>
  <c r="D6" i="23"/>
  <c r="F6" i="23"/>
  <c r="E6" i="23"/>
  <c r="A6" i="23"/>
  <c r="Y5" i="23"/>
  <c r="W5" i="23"/>
  <c r="U5" i="23"/>
  <c r="R5" i="23"/>
  <c r="Q5" i="23"/>
  <c r="P5" i="23"/>
  <c r="O5" i="23"/>
  <c r="N5" i="23"/>
  <c r="H5" i="23"/>
  <c r="D5" i="23"/>
  <c r="F5" i="23"/>
  <c r="E5" i="23"/>
  <c r="A5" i="23"/>
  <c r="Y4" i="23"/>
  <c r="W4" i="23"/>
  <c r="U4" i="23"/>
  <c r="R4" i="23"/>
  <c r="Q4" i="23"/>
  <c r="P4" i="23"/>
  <c r="O4" i="23"/>
  <c r="N4" i="23"/>
  <c r="H4" i="23"/>
  <c r="D4" i="23"/>
  <c r="F4" i="23"/>
  <c r="E4" i="23"/>
  <c r="A4" i="23"/>
  <c r="Y3" i="23"/>
  <c r="W3" i="23"/>
  <c r="U3" i="23"/>
  <c r="R3" i="23"/>
  <c r="Q3" i="23"/>
  <c r="P3" i="23"/>
  <c r="O3" i="23"/>
  <c r="N3" i="23"/>
  <c r="H3" i="23"/>
  <c r="D3" i="23"/>
  <c r="F3" i="23"/>
  <c r="E3" i="23"/>
  <c r="A3" i="23"/>
  <c r="Y2" i="23"/>
  <c r="W2" i="23"/>
  <c r="U2" i="23"/>
  <c r="R2" i="23"/>
  <c r="Q2" i="23"/>
  <c r="P2" i="23"/>
  <c r="O2" i="23"/>
  <c r="N2" i="23"/>
  <c r="H2" i="23"/>
  <c r="D2" i="23"/>
  <c r="F2" i="23"/>
  <c r="E2" i="23"/>
  <c r="A2" i="23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B3" i="2"/>
  <c r="D3" i="2"/>
  <c r="E3" i="2"/>
  <c r="H3" i="2"/>
  <c r="B4" i="2"/>
  <c r="D4" i="2"/>
  <c r="E4" i="2"/>
  <c r="H4" i="2"/>
  <c r="B5" i="2"/>
  <c r="D5" i="2"/>
  <c r="E5" i="2"/>
  <c r="H5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<sst xmlns="http://schemas.openxmlformats.org/spreadsheetml/2006/main" count="1183" uniqueCount="522">
  <si>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</si>
  <si>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</si>
  <si>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</si>
  <si>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</si>
  <si>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</si>
  <si>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</si>
  <si>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</si>
  <si>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</si>
  <si>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</si>
  <si>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</si>
  <si>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</si>
  <si>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</si>
  <si>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</si>
  <si>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</si>
  <si>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</si>
  <si>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</si>
  <si>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</si>
  <si>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</si>
  <si>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</si>
  <si>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</si>
  <si>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</si>
  <si>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</si>
  <si>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</si>
  <si>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</si>
  <si>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</si>
  <si>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</si>
  <si>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</si>
  <si>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</si>
  <si>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</si>
  <si>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</si>
  <si>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</si>
  <si>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</si>
  <si>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</si>
  <si>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</si>
  <si>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</si>
  <si>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</si>
  <si>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</si>
  <si>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</si>
  <si>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</si>
  <si>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</si>
  <si>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</si>
  <si>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</si>
  <si>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</si>
  <si>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</si>
  <si>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</si>
  <si>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</si>
  <si>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</si>
  <si>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</si>
  <si>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</si>
  <si>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</si>
  <si>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</si>
  <si>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</si>
  <si>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</si>
  <si>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</si>
  <si>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</si>
  <si>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</si>
  <si>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</si>
  <si>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</si>
  <si>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</si>
  <si>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</si>
  <si>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</si>
  <si>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</si>
  <si>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</si>
  <si>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</si>
  <si>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</si>
  <si>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</si>
  <si>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</si>
  <si>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</si>
  <si>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</si>
  <si>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</si>
  <si>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</si>
  <si>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</si>
  <si>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</si>
  <si>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</si>
  <si>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</si>
  <si>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</si>
  <si>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</si>
  <si>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</si>
  <si>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</si>
  <si>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</si>
  <si>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</si>
  <si>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</si>
  <si>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</si>
  <si>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</si>
  <si>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</si>
  <si>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</si>
  <si>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</si>
  <si>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</si>
  <si>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</si>
  <si>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</si>
  <si>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</si>
  <si>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</si>
  <si>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</si>
  <si>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</si>
  <si>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</si>
  <si>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</si>
  <si>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</si>
  <si>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</si>
  <si>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</si>
  <si>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</si>
  <si>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</si>
  <si>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</si>
  <si>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</si>
  <si>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</si>
  <si>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</si>
  <si>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</si>
  <si>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</si>
  <si>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</si>
  <si>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</si>
  <si>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</si>
  <si>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</si>
  <si>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</si>
  <si>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</si>
  <si>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</si>
  <si>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</si>
  <si>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</si>
  <si>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</si>
  <si>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</si>
  <si>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</si>
  <si>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</si>
  <si>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</si>
  <si>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</si>
  <si>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</si>
  <si>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</si>
  <si>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</si>
  <si>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</si>
  <si>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</si>
  <si>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</si>
  <si>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</si>
  <si>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</si>
  <si>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</si>
  <si>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</si>
  <si>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</si>
  <si>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</si>
  <si>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</si>
  <si>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</si>
  <si>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</si>
  <si>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</si>
  <si>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</si>
  <si>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</si>
  <si>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</si>
  <si>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</si>
  <si>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</si>
  <si>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</si>
  <si>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</si>
  <si>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</si>
  <si>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</si>
  <si>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</si>
  <si>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</si>
  <si>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</si>
  <si>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</si>
  <si>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</si>
  <si>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</si>
  <si>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</si>
  <si>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</si>
  <si>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</si>
  <si>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</si>
  <si>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</si>
  <si>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</si>
  <si>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</si>
  <si>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</si>
  <si>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</si>
  <si>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</si>
  <si>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</si>
  <si>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</si>
  <si>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</si>
  <si>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</si>
  <si>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</si>
  <si>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</si>
  <si>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</si>
  <si>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</si>
  <si>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</si>
  <si>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</si>
  <si>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</si>
  <si>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</si>
  <si>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</si>
  <si>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</si>
  <si>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</si>
  <si>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</si>
  <si>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</si>
  <si>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</si>
  <si>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</si>
  <si>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</si>
  <si>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</si>
  <si>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</si>
  <si>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</si>
  <si>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</si>
  <si>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</si>
  <si>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</si>
  <si>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</si>
  <si>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</si>
  <si>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</si>
  <si>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</si>
  <si>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</si>
  <si>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</si>
  <si>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</si>
  <si>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</si>
  <si>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</si>
  <si>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</si>
  <si>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</si>
  <si>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</si>
  <si>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</si>
  <si>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</si>
  <si>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</si>
  <si>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</si>
  <si>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</si>
  <si>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</si>
  <si>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</si>
  <si>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</si>
  <si>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</si>
  <si>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</si>
  <si>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</si>
  <si>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</si>
  <si>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</si>
  <si>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</si>
  <si>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</si>
  <si>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</si>
  <si>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</si>
  <si>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</si>
  <si>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</si>
  <si>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</si>
  <si>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</si>
  <si>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</si>
  <si>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</si>
  <si>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</si>
  <si>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</si>
  <si>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</si>
  <si>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</si>
  <si>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</si>
  <si>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</si>
  <si>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</si>
  <si>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</si>
  <si>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</si>
  <si>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</si>
  <si>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</si>
  <si>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</si>
  <si>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</si>
  <si>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</si>
  <si>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</si>
  <si>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</si>
  <si>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</si>
  <si>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</si>
  <si>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</si>
  <si>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</si>
  <si>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</si>
  <si>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</si>
  <si>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</si>
  <si>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</si>
  <si>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</si>
  <si>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</si>
  <si>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</si>
  <si>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</si>
  <si>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</si>
  <si>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temp_habitats</t>
    <phoneticPr fontId="5"/>
  </si>
  <si>
    <t>temp_stage</t>
    <phoneticPr fontId="5"/>
  </si>
  <si>
    <t>name</t>
    <phoneticPr fontId="5"/>
  </si>
  <si>
    <t>floor_id</t>
    <phoneticPr fontId="5"/>
  </si>
  <si>
    <t>temp_floor</t>
    <phoneticPr fontId="5"/>
  </si>
  <si>
    <t>seq_no</t>
    <phoneticPr fontId="5"/>
  </si>
  <si>
    <t>state_no</t>
    <phoneticPr fontId="5"/>
  </si>
  <si>
    <t>name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</si>
  <si>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</si>
  <si>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</si>
  <si>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</si>
  <si>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</si>
  <si>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</si>
  <si>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hp</t>
    <phoneticPr fontId="5"/>
  </si>
  <si>
    <t>attack_coefficient</t>
    <phoneticPr fontId="5"/>
  </si>
  <si>
    <t>attack</t>
    <phoneticPr fontId="5"/>
  </si>
  <si>
    <t>defense_correction</t>
    <phoneticPr fontId="5"/>
  </si>
  <si>
    <t>スキル</t>
    <phoneticPr fontId="5"/>
  </si>
  <si>
    <t>skill_set_id</t>
    <phoneticPr fontId="5"/>
  </si>
  <si>
    <t>old</t>
    <phoneticPr fontId="5"/>
  </si>
  <si>
    <t>（表示しない）</t>
  </si>
  <si>
    <t>（表示しない）</t>
    <phoneticPr fontId="5"/>
  </si>
  <si>
    <t>超まじかる☆ばきゅーむ！</t>
    <phoneticPr fontId="5"/>
  </si>
  <si>
    <t>これもあげる〜っ！</t>
    <phoneticPr fontId="5"/>
  </si>
  <si>
    <t>まじかる☆ばきゅーむ！</t>
    <phoneticPr fontId="5"/>
  </si>
  <si>
    <t>[effect:enemy_message, val1:2.3, val2:2.5]</t>
    <phoneticPr fontId="5"/>
  </si>
  <si>
    <t>はうぅ〜　
置いていかないでくださいぃ…！</t>
    <phoneticPr fontId="5"/>
  </si>
  <si>
    <t>（表示しない）</t>
    <phoneticPr fontId="5"/>
  </si>
  <si>
    <t>（表示しない）</t>
    <phoneticPr fontId="5"/>
  </si>
  <si>
    <t>[effect:rush, count:2, val:0.6]</t>
    <phoneticPr fontId="5"/>
  </si>
  <si>
    <t>[effect:rush, count:4, val:0.35]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</si>
  <si>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</si>
  <si>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</si>
  <si>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</si>
  <si>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</si>
  <si>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[effect:enemy_message, val1:1.7, val2:0]</t>
    <phoneticPr fontId="5"/>
  </si>
  <si>
    <t>みな何者かによって
姿を変えられてしまったようだ…</t>
    <phoneticPr fontId="5"/>
  </si>
  <si>
    <t>[effect:enemy_message, val1:2, val2:2],[effect:enhance_fever, val:1000, animation:fevergauge_up03]</t>
    <phoneticPr fontId="5"/>
  </si>
  <si>
    <t>[effect:spread, val:0.15],[effect:spread, val:0.15]</t>
    <phoneticPr fontId="5"/>
  </si>
  <si>
    <t>null</t>
    <phoneticPr fontId="5"/>
  </si>
  <si>
    <t>null</t>
    <phoneticPr fontId="5"/>
  </si>
  <si>
    <t>null</t>
    <phoneticPr fontId="5"/>
  </si>
  <si>
    <t>[effect:critical, val:1.2]</t>
    <phoneticPr fontId="5"/>
  </si>
  <si>
    <t>[effect:enemy_message, val1:1.7, val2:0]</t>
    <phoneticPr fontId="5"/>
  </si>
  <si>
    <t>ちょっと！
これどういうことなの！？</t>
    <phoneticPr fontId="5"/>
  </si>
  <si>
    <t>[effect:enhance_enemy, target:myself, turn:5, status:attack, val:0.5, calc:mul, animation:enemy_enhance_attack],[effect:rush, count:2, val:0.5],[effect:fix_speed, target:myself, turn:2]</t>
    <phoneticPr fontId="5"/>
  </si>
  <si>
    <t>[effect:enemy_message, val1:2.3, val2:2.5],[effect:fix_speed, target:myself, turn:1]</t>
    <phoneticPr fontId="5"/>
  </si>
  <si>
    <t>[effect:virus, turn:3, rate:1, val:0.08, animation:enemy_virus],[effect:spread, val:0.15]</t>
    <phoneticPr fontId="5"/>
  </si>
  <si>
    <t>3ターンウィルス+単体攻撃</t>
    <phoneticPr fontId="5"/>
  </si>
  <si>
    <t>[effect:degrade_unit, target:unit_all, turn:5, status:heal, val:0.5, calc:mul, animation:degrade_unit_all_heal],[effect:hungup, target:unit_all, turn:3, rate:1, animation:hungup01]</t>
    <phoneticPr fontId="5"/>
  </si>
  <si>
    <t>[effect:degrade_unit, target:unit_all, turn:2, status:heal, val:0.5, calc:mul, animation:degrade_unit_all_heal]</t>
    <phoneticPr fontId="5"/>
  </si>
  <si>
    <t>[effect:sleep, target:unit_one, turn:1, rate:1, animation:sleep02]</t>
    <phoneticPr fontId="5"/>
  </si>
  <si>
    <t>[effect:enemy_message, val1:1.7, val2:0],[effect:ability_lock, target:unit_all, turn:1],[effect:sleep, target:unit_all, turn:1, rate:1],[effect:fix_speed, target:myself, turn:1]</t>
    <phoneticPr fontId="5"/>
  </si>
  <si>
    <t>うぉっ！？</t>
    <phoneticPr fontId="5"/>
  </si>
  <si>
    <t>みな何者かによって
姿を変えられてしまったようだ…</t>
    <phoneticPr fontId="5"/>
  </si>
  <si>
    <t>みな何者かによって
姿を変えられてしまったようだ…</t>
    <phoneticPr fontId="5"/>
  </si>
  <si>
    <t>[effect:enemy_message, val1:1.7, val2:3]</t>
    <phoneticPr fontId="5"/>
  </si>
  <si>
    <t>[effect:enemy_message, val1:1.5, val2:0],[effect:suicide, target:myself, val:1, dead_type:suicide, animation:enemy_suicide]</t>
    <phoneticPr fontId="5"/>
  </si>
  <si>
    <t>（表示しない）（1ターン強制スリープ）</t>
    <phoneticPr fontId="5"/>
  </si>
  <si>
    <t>（表示しない）（1ターン強制スリープ）</t>
    <phoneticPr fontId="5"/>
  </si>
  <si>
    <t>（表示しない）（1ターン強制スリープ）</t>
    <phoneticPr fontId="5"/>
  </si>
  <si>
    <t>[effect:enemy_message, val1:1.5, val2:0],[effect:ability_lock, target:unit_all, turn:1],[effect:sleep, target:unit_all, turn:1, rate:1],[effect:fix_speed, target:myself, turn:1]</t>
    <phoneticPr fontId="5"/>
  </si>
  <si>
    <t>[effect:enemy_message, val1:2.3, val2:0],[effect:suicide, target:myself, val:1, dead_type:suicide, animation:enemy_suicide]</t>
    <phoneticPr fontId="5"/>
  </si>
  <si>
    <t>[effect:enemy_message, val1:2.5, val2:0],[effect:suicide, target:myself, val:1, dead_type:suicide, animation:enemy_suicide]</t>
    <phoneticPr fontId="5"/>
  </si>
  <si>
    <t>[effect:enemy_message, val1:2, val2:2.5],[effect:fix_speed, target:myself, turn:1]</t>
    <phoneticPr fontId="5"/>
  </si>
  <si>
    <t>なんでこんな格好に…
信じられない！</t>
    <phoneticPr fontId="5"/>
  </si>
  <si>
    <t xml:space="preserve">[effect:enemy_message, val1:1.7, val2:0],[effect:fix_speed, target:myself, turn:2]    </t>
    <phoneticPr fontId="5"/>
  </si>
  <si>
    <t>[effect:enemy_message, val1:1.7, val2:0],[effect:fix_speed, target:myself, turn:2]</t>
    <phoneticPr fontId="5"/>
  </si>
  <si>
    <t>[effect:enemy_message, val1:1.7, val2:0],[effect:fix_speed, target:myself, turn:2]</t>
    <phoneticPr fontId="5"/>
  </si>
  <si>
    <t>[effect:enemy_message, val1:1.7, val2:3],[effect:fix_speed, target:myself, turn:2]</t>
    <phoneticPr fontId="5"/>
  </si>
  <si>
    <t>[effect:enemy_message, val1:1.7, val2:3]</t>
    <phoneticPr fontId="5"/>
  </si>
  <si>
    <t>あれ…わたし
きつねさんになってるですぅ…！</t>
    <phoneticPr fontId="5"/>
  </si>
  <si>
    <t>あうぅ…いたいですぅ…</t>
    <phoneticPr fontId="5"/>
  </si>
  <si>
    <t>[effect:rush, count:3, val:0.4]</t>
    <phoneticPr fontId="5"/>
  </si>
  <si>
    <t>[effect:virus, turn:2, rate:1, val:0.08, animation:enemy_virus],[effect:rush, count:1, val:0.9]</t>
    <phoneticPr fontId="5"/>
  </si>
  <si>
    <t>（表示しない）</t>
    <phoneticPr fontId="5"/>
  </si>
  <si>
    <t>（表示しない）</t>
    <phoneticPr fontId="5"/>
  </si>
  <si>
    <t>あいつらの砲弾を
浴びたらこんな姿に…</t>
    <phoneticPr fontId="5"/>
  </si>
  <si>
    <t>がるるぅ！
いじめないでくださいですぅ！</t>
    <phoneticPr fontId="5"/>
  </si>
  <si>
    <t>すっごいの見せたげる！
ちょっと待ってて〜っ！</t>
    <phoneticPr fontId="5"/>
  </si>
  <si>
    <t>なぁに？ 何の騒ぎ？</t>
    <phoneticPr fontId="5"/>
  </si>
  <si>
    <t>よくもやってくれたわね…！</t>
    <phoneticPr fontId="5"/>
  </si>
  <si>
    <t>う、動きにくいですぅ…</t>
    <phoneticPr fontId="5"/>
  </si>
  <si>
    <t>やったやった！大成功だよぉ！
みんな私たちの仲間入り♪</t>
    <phoneticPr fontId="5"/>
  </si>
  <si>
    <t>かっこいいサンタさんっ♪
キミも私たちの仲間になりたいの〜？</t>
    <phoneticPr fontId="5"/>
  </si>
  <si>
    <t>すーぱー☆きゃのん！</t>
    <phoneticPr fontId="5"/>
  </si>
  <si>
    <t>れっどぽっぷ☆きゃのん！</t>
    <phoneticPr fontId="5"/>
  </si>
  <si>
    <t>れっどぽっぷ☆きゃのん！</t>
    <phoneticPr fontId="5"/>
  </si>
  <si>
    <t>きらめき☆ばいおりずむ！</t>
    <phoneticPr fontId="5"/>
  </si>
  <si>
    <t>はいぱわー☆がとりんぐ！</t>
    <phoneticPr fontId="5"/>
  </si>
  <si>
    <t>ダブルクラッシャー</t>
    <phoneticPr fontId="5"/>
  </si>
  <si>
    <t>かみつき</t>
    <phoneticPr fontId="5"/>
  </si>
  <si>
    <t>ひっかき</t>
    <phoneticPr fontId="5"/>
  </si>
  <si>
    <t>あしぶみ</t>
    <phoneticPr fontId="5"/>
  </si>
  <si>
    <t>[effect:rush, count:3, val:0.4]</t>
    <phoneticPr fontId="5"/>
  </si>
  <si>
    <t>[effect:rush, count:2, val:0.6]</t>
    <phoneticPr fontId="5"/>
  </si>
  <si>
    <t>とっしん</t>
    <phoneticPr fontId="5"/>
  </si>
  <si>
    <t>イエローストライク</t>
    <phoneticPr fontId="5"/>
  </si>
  <si>
    <t>ランダムイグニート</t>
    <phoneticPr fontId="5"/>
  </si>
  <si>
    <t>煉獄豪炎弾</t>
    <phoneticPr fontId="5"/>
  </si>
  <si>
    <t>メテオバースト</t>
    <phoneticPr fontId="5"/>
  </si>
  <si>
    <t>クマクマ緊急アラート</t>
    <phoneticPr fontId="5"/>
  </si>
  <si>
    <t>スリープ・ウォーターリング</t>
    <phoneticPr fontId="5"/>
  </si>
  <si>
    <t>制御不能フレイム</t>
    <phoneticPr fontId="5"/>
  </si>
  <si>
    <t>ぼむぽっぷ☆がとりんぐ！</t>
    <phoneticPr fontId="5"/>
  </si>
  <si>
    <t>ぼむぽっぷ☆がとりんぐ！</t>
    <phoneticPr fontId="5"/>
  </si>
  <si>
    <t>ぼむぽっぷ☆がとりんぐ！</t>
    <phoneticPr fontId="5"/>
  </si>
  <si>
    <t>や、やられちゃったぁ…
仲間いっぱい…つくったのになぁ…</t>
    <phoneticPr fontId="5"/>
  </si>
  <si>
    <t>かわいいサンタさんっ♪
キミも仲間に入れたげる〜っ♪</t>
    <phoneticPr fontId="5"/>
  </si>
  <si>
    <t>マグナチェイン</t>
    <phoneticPr fontId="5"/>
  </si>
  <si>
    <t>マグナギア</t>
    <phoneticPr fontId="5"/>
  </si>
  <si>
    <t>オレ…犬になってる！？</t>
    <phoneticPr fontId="5"/>
  </si>
  <si>
    <t>オレ…犬になってる！？</t>
    <phoneticPr fontId="5"/>
  </si>
  <si>
    <t>灰色のベール</t>
    <phoneticPr fontId="5"/>
  </si>
  <si>
    <t>[effect:enemy_message, val1:1.7, val2:2.5],[effect:sp_boost, target:unit_all, val:5, animation:sp_boost_one02]</t>
    <phoneticPr fontId="5"/>
  </si>
  <si>
    <t>[effect:enemy_message, val1:1.7, val2:2.5],[effect:sp_boost, target:unit_all, val:5, animation:sp_boost_one02]</t>
    <phoneticPr fontId="5"/>
  </si>
  <si>
    <t>[effect:enemy_message, val1:1.7, val2:2.5],[effect:sp_boost, target:unit_all, val:5, animation:sp_boost_one02]</t>
    <phoneticPr fontId="5"/>
  </si>
  <si>
    <t>[effect:spread, val:0.28]</t>
    <phoneticPr fontId="5"/>
  </si>
  <si>
    <t>で、でかくなった…！
おもしろくなってきたぜ！！</t>
    <phoneticPr fontId="5"/>
  </si>
  <si>
    <t>[effect:enemy_message, val1:2.5, val2:2.5],[effect:freq_turn, target:myself, turn:-1, val:1, animation:enemy_freq_turn],[effect:enhance_enemy, target:myself, turn:-1, status:attack, val:0.5, calc:mul, animation:enemy_enhance_attack]</t>
    <phoneticPr fontId="5"/>
  </si>
  <si>
    <t>もうイヤ！
どうなってるのよ！</t>
    <phoneticPr fontId="5"/>
  </si>
  <si>
    <t>ときめき☆ばいおりずむ！</t>
    <phoneticPr fontId="5"/>
  </si>
  <si>
    <t>なんだ？ 騒がしいな</t>
    <phoneticPr fontId="5"/>
  </si>
  <si>
    <t>ランダムフレア</t>
    <phoneticPr fontId="5"/>
  </si>
  <si>
    <t>いてて…　なんだ？ 
なんか飛んできたぞ</t>
    <phoneticPr fontId="5"/>
  </si>
  <si>
    <t>スリーカース</t>
    <phoneticPr fontId="5"/>
  </si>
  <si>
    <t>あっ 待って！
置いて行かないでったら！</t>
    <phoneticPr fontId="5"/>
  </si>
  <si>
    <t>[effect:enemy_message, val1:2.8, val2:2.8],[effect:fix_speed, target:myself, turn:2]</t>
    <phoneticPr fontId="5"/>
  </si>
  <si>
    <t>2ターンウィルス+単体攻撃</t>
    <phoneticPr fontId="5"/>
  </si>
  <si>
    <t>ぽっぷすたー連弾！</t>
    <phoneticPr fontId="5"/>
  </si>
  <si>
    <t>[effect:rush, count:3, val:0.45]</t>
    <phoneticPr fontId="5"/>
  </si>
  <si>
    <t>[effect:rush, count:5, val:0.27]</t>
    <phoneticPr fontId="5"/>
  </si>
  <si>
    <t>ねえねえダニー！
もっともぉ〜っと仲間をふやそぉ！</t>
    <phoneticPr fontId="5"/>
  </si>
  <si>
    <t>よぉーし！
次はキミたちの番だよぉっ！</t>
    <phoneticPr fontId="5"/>
  </si>
  <si>
    <t>はいぱーまじかる☆がとりんぐ！</t>
    <phoneticPr fontId="5"/>
  </si>
  <si>
    <t>マジカルパワーそうてん！
いくよ〜っ♪</t>
    <phoneticPr fontId="5"/>
  </si>
  <si>
    <t>ぽっぷすたー連弾！</t>
    <phoneticPr fontId="5"/>
  </si>
  <si>
    <t>[effect:enemy_message, val1:2.6, val2:2.7]</t>
    <phoneticPr fontId="5"/>
  </si>
  <si>
    <t>ケルベロスを追って
去っていった…</t>
    <phoneticPr fontId="5"/>
  </si>
  <si>
    <t>パールヴァティを追って
去っていった…</t>
    <phoneticPr fontId="5"/>
  </si>
  <si>
    <t>（表示しない）</t>
    <phoneticPr fontId="5"/>
  </si>
  <si>
    <t>んげげっ！マリア…！？
じゃ、ジャマしないでっ！</t>
    <phoneticPr fontId="5"/>
  </si>
  <si>
    <t>クリティカル！</t>
    <phoneticPr fontId="5"/>
  </si>
  <si>
    <t>クリティカル！</t>
    <phoneticPr fontId="5"/>
  </si>
  <si>
    <t>クリティカル！</t>
    <phoneticPr fontId="5"/>
  </si>
  <si>
    <t>クリティカル！</t>
    <phoneticPr fontId="5"/>
  </si>
  <si>
    <t>3回連続攻撃</t>
    <phoneticPr fontId="5"/>
  </si>
  <si>
    <t>2回連続攻撃</t>
    <phoneticPr fontId="5"/>
  </si>
  <si>
    <t>2回連続攻撃</t>
    <phoneticPr fontId="5"/>
  </si>
  <si>
    <t>4回連続攻撃</t>
    <phoneticPr fontId="5"/>
  </si>
  <si>
    <t>3回連続攻撃</t>
    <phoneticPr fontId="5"/>
  </si>
  <si>
    <t>5回連続攻撃</t>
    <phoneticPr fontId="5"/>
  </si>
  <si>
    <t>3回連続攻撃</t>
    <phoneticPr fontId="5"/>
  </si>
  <si>
    <t>5回連続攻撃</t>
    <phoneticPr fontId="5"/>
  </si>
  <si>
    <t>全体攻撃</t>
    <phoneticPr fontId="5"/>
  </si>
  <si>
    <t>黄属性のユニットに大ダメージの全体攻撃</t>
    <phoneticPr fontId="5"/>
  </si>
  <si>
    <t>6回連続攻撃</t>
    <phoneticPr fontId="5"/>
  </si>
  <si>
    <t>2回連続全体攻撃</t>
    <phoneticPr fontId="5"/>
  </si>
  <si>
    <t>フィーバーゲージ増加</t>
    <phoneticPr fontId="5"/>
  </si>
  <si>
    <t>3ターンウィルス+全体攻撃</t>
    <phoneticPr fontId="5"/>
  </si>
  <si>
    <t>ユニット全体のスキルゲージを5ターン減少</t>
    <phoneticPr fontId="5"/>
  </si>
  <si>
    <t>5ターン防御力UP+
解除するまでユニット全体の攻撃をカウンター　</t>
    <phoneticPr fontId="5"/>
  </si>
  <si>
    <t>ユニット単体を1ターンスリープ</t>
    <phoneticPr fontId="5"/>
  </si>
  <si>
    <t>5ターン攻撃力UP+2回連続攻撃</t>
    <phoneticPr fontId="5"/>
  </si>
  <si>
    <t>攻撃頻度UP+2回連続攻撃</t>
    <phoneticPr fontId="5"/>
  </si>
  <si>
    <t>2ターンユニット全体の回復力50%DOWN</t>
    <phoneticPr fontId="5"/>
  </si>
  <si>
    <t>2ターンスキルバインド</t>
    <phoneticPr fontId="5"/>
  </si>
  <si>
    <t>10ターンユニット全体の攻撃力UP</t>
    <phoneticPr fontId="5"/>
  </si>
  <si>
    <t>5ターンウィルス+4回連続攻撃</t>
    <phoneticPr fontId="5"/>
  </si>
  <si>
    <t>赤パネルを吸収して強力な全体攻撃</t>
    <phoneticPr fontId="5"/>
  </si>
  <si>
    <t>5ターンユニット全体の回復力50%DOWN+
3ターンスキルバインド</t>
    <phoneticPr fontId="5"/>
  </si>
  <si>
    <t>ダメージパネルを吸収して強力な全体攻撃</t>
    <phoneticPr fontId="5"/>
  </si>
  <si>
    <t>ダメージパネルを吸収して強力な全体攻撃</t>
    <phoneticPr fontId="5"/>
  </si>
  <si>
    <t>超強力な4回連続全体攻撃</t>
    <phoneticPr fontId="5"/>
  </si>
  <si>
    <t>おっと！
見つかってしまったか！</t>
    <phoneticPr fontId="5"/>
  </si>
  <si>
    <t>あいつらの砲弾を
浴びたらこんな姿に…</t>
    <phoneticPr fontId="5"/>
  </si>
  <si>
    <t>link</t>
  </si>
  <si>
    <t>unit</t>
  </si>
  <si>
    <t>null</t>
  </si>
  <si>
    <t>old</t>
  </si>
  <si>
    <t>no_continue</t>
  </si>
  <si>
    <t>full_member</t>
  </si>
  <si>
    <t>1フロア目のエネミーは
特定のユニットに対し
エンハンスを付与してくれます</t>
    <phoneticPr fontId="5"/>
  </si>
  <si>
    <t>2フロア目のプロメテウスは
強力な黄属性キラーを使用します
パーティを編成する際には注意しましょう</t>
    <phoneticPr fontId="5"/>
  </si>
  <si>
    <t>2フロア目には一定の確率で
黄金の果実が出現するようです</t>
    <phoneticPr fontId="5"/>
  </si>
  <si>
    <t>ケルベロスかパールヴァティの
どちらかを倒せばもう片方も撤退します
どちらかにターゲットを絞って
攻撃しましょう</t>
    <phoneticPr fontId="5"/>
  </si>
  <si>
    <t>4フロア目のポーラとダニーは
特定のユニットに対し
エンハンスを付与してくれます</t>
    <phoneticPr fontId="5"/>
  </si>
  <si>
    <t>2ゲージ目のポーラとダニーの
赤パネル吸収攻撃が強力です
盤面の赤パネルの数には注意しましょう</t>
    <phoneticPr fontId="5"/>
  </si>
  <si>
    <t>3ゲージ目のポーラとダニーは
予告した後非常に強力な攻撃を放ちます
それまでに倒し切りましょう</t>
    <phoneticPr fontId="5"/>
  </si>
  <si>
    <t>ポーラはクマが大好きで
いつもクマのグッズを身に付けています
特にクマの手袋がお気に入りのようです</t>
    <phoneticPr fontId="5"/>
  </si>
  <si>
    <t>クマクマ団メンバー募集中！</t>
    <phoneticPr fontId="5"/>
  </si>
  <si>
    <t>マリアとポーラ</t>
    <phoneticPr fontId="5"/>
  </si>
  <si>
    <t>クマだいすき！</t>
    <phoneticPr fontId="5"/>
  </si>
  <si>
    <t>ダニーの秘密</t>
    <phoneticPr fontId="5"/>
  </si>
  <si>
    <t>[effect:enhance_enemy, target:myself, turn:5, status:defense, val:1000, calc:add, animation:enemy_enhance_defense],[effect:enemy_counter, target:myself, invoke_condition:unit_all, counter_target:attacker, turn:-1, val:0.22, animation:enemy_counter],[effect:fix_speed, target:myself, turn:2]</t>
    <phoneticPr fontId="5"/>
  </si>
  <si>
    <t>[effect:critical, val:1.5]</t>
    <phoneticPr fontId="5"/>
  </si>
  <si>
    <t>[effect:rush, count:5, val:0.27]</t>
    <phoneticPr fontId="5"/>
  </si>
  <si>
    <t>[effect:enemy_message, val1:2.2, val2:2.9],[effect:fix_speed, target:myself, turn:2]</t>
    <phoneticPr fontId="5"/>
  </si>
  <si>
    <t>[effect:rush, count:6, val:0.18]</t>
    <phoneticPr fontId="5"/>
  </si>
  <si>
    <t>[effect:critical, val:1.48]</t>
    <phoneticPr fontId="5"/>
  </si>
  <si>
    <t>[effect:damage_anti_color, target:unit_all, color:yellow, val1:0.9, val2:0.19]</t>
    <phoneticPr fontId="5"/>
  </si>
  <si>
    <t>マジカルガトリング砲で
み〜んなカワイクなっちゃえ〜っ♪</t>
    <phoneticPr fontId="5"/>
  </si>
  <si>
    <t>クマクマ緊急アラート</t>
    <phoneticPr fontId="5"/>
  </si>
  <si>
    <t>[effect:virus, turn:2, rate:1, val:0.09, animation:enemy_virus],[effect:rush, count:1, val:0.9]</t>
    <phoneticPr fontId="5"/>
  </si>
  <si>
    <t>[effect:critical, val:1.47]</t>
    <phoneticPr fontId="5"/>
  </si>
  <si>
    <t>[effect:enemy_message, val1:2.8, val2:2.8],[effect:fix_speed, target:myself, turn:1]</t>
    <phoneticPr fontId="5"/>
  </si>
  <si>
    <t>赤パネルドロップ率UP+クリティカル！</t>
    <phoneticPr fontId="5"/>
  </si>
  <si>
    <t>ねぇダニ〜！このヒトたち
仲間になってくれないよぉ〜！</t>
    <phoneticPr fontId="5"/>
  </si>
  <si>
    <t>[effect:enemy_message, val1:2.5, val2:2.6],[effect:fix_speed, target:myself, turn:1]</t>
    <phoneticPr fontId="5"/>
  </si>
  <si>
    <t>[effect:spread, val:0.5],[effect:spread, val:0.6],[effect:spread, val:0.7],[effect:spread, val:0.9]</t>
    <phoneticPr fontId="5"/>
  </si>
  <si>
    <t>って、俺…小さくなってる！？
どうなってやがる！</t>
    <phoneticPr fontId="5"/>
  </si>
  <si>
    <t>な、何かこっちに
飛んでくるわ！きゃあっ！</t>
    <phoneticPr fontId="5"/>
  </si>
  <si>
    <t>[effect:enemy_message, val1:2.3, val2:0],[effect:ability_lock, target:unit_all, turn:1],[effect:sleep, target:unit_all, turn:1, rate:1],[effect:fix_speed, target:myself, turn:1]</t>
    <phoneticPr fontId="5"/>
  </si>
  <si>
    <t>[effect:enemy_message, val1:2.6, val2:2],[effect:spread, val:0.28]</t>
    <phoneticPr fontId="5"/>
  </si>
  <si>
    <t>[effect:enemy_message, val1:2.5, val2:2.5],[effect:freq_turn, target:myself, turn:-1, val:1, animation:enemy_freq_turn],[effect:rush, count:2, val:0.65]</t>
    <phoneticPr fontId="5"/>
  </si>
  <si>
    <t>[effect:enemy_message, val1:2.5, val2:2.5],[effect:suicide, target:myself, val:1, dead_type:escape]</t>
    <phoneticPr fontId="5"/>
  </si>
  <si>
    <t>[effect:enemy_message, val1:2.5, val2:2.5],[effect:suicide, target:myself, val:1, dead_type:escape]</t>
    <phoneticPr fontId="5"/>
  </si>
  <si>
    <t>[effect:enemy_message, val1:2.2, val2:2],[effect:hungup, target:unit_all, turn:2, rate:1, animation:hungup01]</t>
    <phoneticPr fontId="5"/>
  </si>
  <si>
    <t>ランダムで赤のダメージパネルに2個変換+
2回連続攻撃</t>
    <phoneticPr fontId="5"/>
  </si>
  <si>
    <t>ランダムで赤のダメージパネルに3個変換+
3回連続攻撃</t>
    <phoneticPr fontId="5"/>
  </si>
  <si>
    <t>[effect:virus, turn:5, rate:1, val:0.1, animation:enemy_virus],[effect:rush, count:4, val:0.3]</t>
    <phoneticPr fontId="5"/>
  </si>
  <si>
    <t>[effect:break_attack_fix, target:unit_all, val:250, lowest_val:900, count:-1, color:red, block01:block_red]</t>
    <phoneticPr fontId="5"/>
  </si>
  <si>
    <t>[effect:break_attack_fix, target:unit_all, val:250, lowest_val:900, count:-1, color:red, block01:block_red]</t>
    <phoneticPr fontId="5"/>
  </si>
  <si>
    <t>2回連続全体攻撃</t>
    <phoneticPr fontId="5"/>
  </si>
  <si>
    <t>[effect:enemy_message, val1:2.8, val2:2.8],[effect:enhance_unit, target:unit_all, turn:10, status:attack, val:0.3, calc:mul],[effect:fix_speed, target:myself, turn:2]</t>
    <phoneticPr fontId="5"/>
  </si>
  <si>
    <t>[effect:enemy_message, val1:2.8, val2:2.8],[effect:enhance_unit, target:unit_all, turn:10, status:attack, val:0.3, calc:mul],[effect:fix_speed, target:myself, turn:2]</t>
    <phoneticPr fontId="5"/>
  </si>
  <si>
    <t>[effect:enemy_message, val1:2.8, val2:2.8],[effect:enhance_unit, target:unit_all, turn:10, status:attack, val:0.3, calc:mul],[effect:fix_speed, target:myself, turn:2]</t>
    <phoneticPr fontId="5"/>
  </si>
  <si>
    <t>[effect:enemy_message, val1:2.8, val2:2.8],[effect:fix_speed, target:myself, turn:2]</t>
    <phoneticPr fontId="5"/>
  </si>
  <si>
    <t>[effect:enemy_message, val1:2.8, val2:2.8],[effect:fix_speed, target:myself, turn:2]</t>
    <phoneticPr fontId="5"/>
  </si>
  <si>
    <t>[effect:enemy_message, val1:2, val2:2.3],[effect:degrade_unit, target:unit_all, turn:5, status:heal, val:0.5, calc:mul, animation:degrade_unit_all_heal],[effect:hungup, target:unit_all, turn:3, rate:1, animation:hungup01]</t>
    <phoneticPr fontId="5"/>
  </si>
  <si>
    <t>やんちゃなポーラにとって
優しく気品のあるマリアは天敵です
ポーラが悪さをするたび
マリアからお仕置きを受けていますが
まったく懲りていないようです</t>
    <phoneticPr fontId="5"/>
  </si>
  <si>
    <t>[effect:enemy_message, val1:1.5, val2:2],[effect:break_attack_fix, target:unit_all, val:600, lowest_val:900, count:-1, color:red, block01:damage]</t>
    <phoneticPr fontId="5"/>
  </si>
  <si>
    <t>[effect:spread, val:0.20],[effect:spread, val:0.22]</t>
    <phoneticPr fontId="5"/>
  </si>
  <si>
    <t>ねえ！
はやく元に戻してったら！</t>
    <phoneticPr fontId="5"/>
  </si>
  <si>
    <t>はわわ…大丈夫ですかぁ！
…きゃうっ！</t>
    <phoneticPr fontId="5"/>
  </si>
  <si>
    <t>みなさん
ちいさくなってる…です？</t>
    <phoneticPr fontId="5"/>
  </si>
  <si>
    <t>オレ…犬になってる！？</t>
    <phoneticPr fontId="5"/>
  </si>
  <si>
    <t>オレ…犬になってる！？</t>
    <phoneticPr fontId="5"/>
  </si>
  <si>
    <t>やんちゃなポーラにとって
優しく気品のあるマリアは天敵です
ポーラが悪さをするたび
マリアからお仕置きを受けていますが
まったく懲りていないようです</t>
    <phoneticPr fontId="5"/>
  </si>
  <si>
    <t>クマクマ団のボスであるダニーは
ポーラに密かな恋心を抱いています
ポーラはそのことに
まったく気づいていないようですが…</t>
    <phoneticPr fontId="5"/>
  </si>
  <si>
    <t>クマクマ団のボスであるダニーは
ポーラに密かな恋心を抱いています
ポーラはそのことに
まったく気づいていないようですが…</t>
    <phoneticPr fontId="5"/>
  </si>
  <si>
    <t>【マジカルパワーチャージ完了】
　※1ターン後強力な攻撃※</t>
    <phoneticPr fontId="5"/>
  </si>
  <si>
    <r>
      <rPr>
        <b/>
        <sz val="10"/>
        <color theme="1"/>
        <rFont val="ＭＳ Ｐゴシック"/>
        <family val="3"/>
        <charset val="128"/>
        <scheme val="minor"/>
      </rPr>
      <t>『</t>
    </r>
    <r>
      <rPr>
        <sz val="10"/>
        <color theme="1"/>
        <rFont val="ＭＳ Ｐゴシック"/>
        <family val="3"/>
        <charset val="128"/>
        <scheme val="minor"/>
      </rPr>
      <t>落ちこむなよポーラ
　またイチからがんばろうや…</t>
    </r>
    <r>
      <rPr>
        <b/>
        <sz val="10"/>
        <color theme="1"/>
        <rFont val="ＭＳ Ｐゴシック"/>
        <family val="3"/>
        <charset val="128"/>
        <scheme val="minor"/>
      </rPr>
      <t>』</t>
    </r>
    <phoneticPr fontId="5"/>
  </si>
  <si>
    <t>【マジカルパワーチャージ中…】
　※2ターン後強力な攻撃※</t>
    <phoneticPr fontId="5"/>
  </si>
  <si>
    <t>『コイツラはもういいさ
　やっちまおうぜ！ポーラ！』</t>
    <phoneticPr fontId="5"/>
  </si>
  <si>
    <t>『そうすればALICEのトップの座は
　オレ達のものさァ！』</t>
    <phoneticPr fontId="5"/>
  </si>
  <si>
    <t>『オレたちのこのマジカルガトリング砲で
　みんなカワイクなっちまえェ！』</t>
    <phoneticPr fontId="5"/>
  </si>
  <si>
    <t>『オレたちのこのマジカルガトリング砲で
　みんなカワイクなっちまえェ！』</t>
    <phoneticPr fontId="5"/>
  </si>
  <si>
    <t>全体攻撃</t>
    <phoneticPr fontId="5"/>
  </si>
  <si>
    <t>『オレたちのマジカルガトリング砲で
　みんなカワイクしちまおうぜェ！』</t>
    <phoneticPr fontId="5"/>
  </si>
  <si>
    <t>[effect:enemy_message, val1:2.5, val2:2],[effect:change_panel_ratio, turn:-1, block_type:red, val:0.4, animation:block_incidence04],[effect:rush, count:1, val:1.35],[effect:fix_speed, target:myself, turn:2]</t>
    <phoneticPr fontId="5"/>
  </si>
  <si>
    <t>いったい
どうすれば…</t>
    <phoneticPr fontId="5"/>
  </si>
  <si>
    <t>いったい
どうすれば…</t>
    <phoneticPr fontId="5"/>
  </si>
  <si>
    <t>いったい
どうすれば…</t>
    <phoneticPr fontId="5"/>
  </si>
  <si>
    <t>いったい
どうすれば…</t>
    <phoneticPr fontId="5"/>
  </si>
  <si>
    <t>な、
なんだこれ！</t>
    <phoneticPr fontId="5"/>
  </si>
  <si>
    <t>マリアさん！
きいてくれ！</t>
    <phoneticPr fontId="5"/>
  </si>
  <si>
    <t>攻撃力&amp;行動頻度UP</t>
    <phoneticPr fontId="5"/>
  </si>
  <si>
    <t>う〜ん　ざんねん！
じゃあこれ、あげるねっ！</t>
    <phoneticPr fontId="5"/>
  </si>
  <si>
    <t>[effect:enemy_message, val1:1.5, val2:2],[effect:break_attack_fix, target:unit_all, val:600, lowest_val:900, count:-1, color:red, block01:damage]</t>
    <phoneticPr fontId="5"/>
  </si>
  <si>
    <t>ランダムで赤のダメージパネルに3個変換+
3回連続攻撃</t>
    <phoneticPr fontId="5"/>
  </si>
  <si>
    <t>ランダムで赤のダメージパネルに4個変換</t>
    <phoneticPr fontId="5"/>
  </si>
  <si>
    <t>ランダムで赤のダメージパネルに7個変換</t>
    <phoneticPr fontId="5"/>
  </si>
  <si>
    <t>ALICEのトップに君臨すべく
日々暴れまわっているクマクマ団
深刻な団員不足から
ついにはアバターを次々と動物の姿に変えて
無理矢理仲間を増やそうと企んだようです</t>
    <phoneticPr fontId="5"/>
  </si>
  <si>
    <t>ALICEのトップに君臨すべく
日々暴れまわっているクマクマ団
深刻な団員不足から
ついにはアバターを次々と動物の姿に変えて
無理矢理仲間を増やそうと企んだようです</t>
    <phoneticPr fontId="5"/>
  </si>
  <si>
    <t>[effect:enemy_message, val1:2, val2:2.3],[effect:force_change_block, new_block:damage, target:block_all, ignore01:block_positive, ignore02:block_negative, color:block_red, count:2, val:0.09, animation:change_block],[effect:rush, count:2, val:0.6]</t>
  </si>
  <si>
    <t>[effect:enemy_message, val1:2, val2:2.3],[effect:force_change_block, new_block:damage, target:block_all, ignore01:block_positive, ignore02:block_negative, color:block_red, count:3, val:0.09, animation:change_block],[effect:rush, count:3, val:0.45]</t>
  </si>
  <si>
    <t>[effect:enemy_message, val1:2.3, val2:2],[effect:force_change_block, new_block:damage, target:block_all, ignore01:block_positive, ignore02:block_negative, color:block_red, count:4, val:0.07, animation:change_block]</t>
  </si>
  <si>
    <t>[effect:enemy_message, val1:1.5, val2:2],[effect:force_change_block, new_block:damage, target:block_all, ignore01:block_positive, ignore02:block_negative, color:block_red, count:7, val:0.06, animation:change_block]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</si>
</sst>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3"/>
      <color theme="0" tint="-0.34998626667073579"/>
      <name val="Arial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1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0" fontId="4" fillId="31" borderId="0" xfId="0" applyFont="1" applyFill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3" borderId="5" xfId="0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34" borderId="5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176" fontId="4" fillId="6" borderId="3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35" borderId="3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vertical="center"/>
    </xf>
    <xf numFmtId="0" fontId="6" fillId="35" borderId="9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177" fontId="8" fillId="6" borderId="4" xfId="0" applyNumberFormat="1" applyFont="1" applyFill="1" applyBorder="1" applyAlignment="1">
      <alignment vertical="center"/>
    </xf>
    <xf numFmtId="0" fontId="6" fillId="6" borderId="3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36" borderId="1" xfId="0" applyFont="1" applyFill="1" applyBorder="1" applyAlignment="1">
      <alignment vertical="center"/>
    </xf>
    <xf numFmtId="0" fontId="6" fillId="37" borderId="3" xfId="0" applyFont="1" applyFill="1" applyBorder="1" applyAlignment="1">
      <alignment vertical="center"/>
    </xf>
    <xf numFmtId="1" fontId="32" fillId="36" borderId="7" xfId="0" applyNumberFormat="1" applyFont="1" applyFill="1" applyBorder="1" applyAlignment="1">
      <alignment vertical="center"/>
    </xf>
    <xf numFmtId="176" fontId="4" fillId="6" borderId="30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6" fillId="35" borderId="30" xfId="0" applyFont="1" applyFill="1" applyBorder="1" applyAlignment="1">
      <alignment vertical="center"/>
    </xf>
    <xf numFmtId="0" fontId="6" fillId="6" borderId="2" xfId="0" applyFont="1" applyFill="1" applyBorder="1" applyAlignment="1">
      <alignment vertical="center"/>
    </xf>
    <xf numFmtId="0" fontId="6" fillId="35" borderId="31" xfId="0" applyFont="1" applyFill="1" applyBorder="1" applyAlignment="1">
      <alignment vertical="center"/>
    </xf>
    <xf numFmtId="0" fontId="8" fillId="6" borderId="32" xfId="0" applyFont="1" applyFill="1" applyBorder="1" applyAlignment="1">
      <alignment vertical="center"/>
    </xf>
    <xf numFmtId="177" fontId="8" fillId="6" borderId="32" xfId="0" applyNumberFormat="1" applyFont="1" applyFill="1" applyBorder="1" applyAlignment="1">
      <alignment vertical="center"/>
    </xf>
    <xf numFmtId="0" fontId="4" fillId="6" borderId="33" xfId="0" applyFont="1" applyFill="1" applyBorder="1" applyAlignment="1">
      <alignment vertical="center"/>
    </xf>
    <xf numFmtId="0" fontId="4" fillId="6" borderId="2" xfId="0" applyFont="1" applyFill="1" applyBorder="1" applyAlignment="1">
      <alignment vertical="center"/>
    </xf>
    <xf numFmtId="0" fontId="4" fillId="6" borderId="34" xfId="0" applyFont="1" applyFill="1" applyBorder="1" applyAlignment="1">
      <alignment vertical="center"/>
    </xf>
    <xf numFmtId="176" fontId="4" fillId="6" borderId="7" xfId="0" applyNumberFormat="1" applyFont="1" applyFill="1" applyBorder="1" applyAlignment="1">
      <alignment horizontal="center" vertical="center"/>
    </xf>
    <xf numFmtId="0" fontId="6" fillId="35" borderId="7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177" fontId="8" fillId="6" borderId="7" xfId="0" applyNumberFormat="1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6" fillId="37" borderId="30" xfId="0" applyFont="1" applyFill="1" applyBorder="1" applyAlignment="1">
      <alignment vertical="center"/>
    </xf>
    <xf numFmtId="0" fontId="4" fillId="36" borderId="7" xfId="0" applyFont="1" applyFill="1" applyBorder="1" applyAlignment="1">
      <alignment vertical="center"/>
    </xf>
    <xf numFmtId="0" fontId="6" fillId="37" borderId="7" xfId="0" applyFont="1" applyFill="1" applyBorder="1" applyAlignment="1">
      <alignment vertical="center"/>
    </xf>
    <xf numFmtId="1" fontId="32" fillId="36" borderId="2" xfId="0" applyNumberFormat="1" applyFont="1" applyFill="1" applyBorder="1" applyAlignment="1">
      <alignment vertical="center"/>
    </xf>
    <xf numFmtId="1" fontId="32" fillId="14" borderId="7" xfId="0" applyNumberFormat="1" applyFont="1" applyFill="1" applyBorder="1" applyAlignment="1">
      <alignment vertical="center"/>
    </xf>
    <xf numFmtId="1" fontId="32" fillId="14" borderId="24" xfId="0" applyNumberFormat="1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4" fillId="34" borderId="7" xfId="0" applyFont="1" applyFill="1" applyBorder="1" applyAlignment="1">
      <alignment horizontal="center" vertical="center"/>
    </xf>
    <xf numFmtId="0" fontId="4" fillId="34" borderId="24" xfId="0" applyFont="1" applyFill="1" applyBorder="1" applyAlignment="1">
      <alignment horizontal="center" vertical="center"/>
    </xf>
    <xf numFmtId="0" fontId="6" fillId="32" borderId="35" xfId="0" applyFont="1" applyFill="1" applyBorder="1" applyAlignment="1">
      <alignment vertical="center"/>
    </xf>
    <xf numFmtId="0" fontId="12" fillId="7" borderId="7" xfId="0" applyFont="1" applyFill="1" applyBorder="1" applyAlignment="1">
      <alignment vertical="center"/>
    </xf>
    <xf numFmtId="0" fontId="11" fillId="6" borderId="7" xfId="0" applyFont="1" applyFill="1" applyBorder="1" applyAlignment="1">
      <alignment vertical="center"/>
    </xf>
    <xf numFmtId="0" fontId="6" fillId="35" borderId="11" xfId="0" applyFont="1" applyFill="1" applyBorder="1" applyAlignment="1">
      <alignment vertical="center"/>
    </xf>
    <xf numFmtId="0" fontId="6" fillId="35" borderId="36" xfId="0" applyFont="1" applyFill="1" applyBorder="1" applyAlignment="1">
      <alignment vertical="center"/>
    </xf>
    <xf numFmtId="0" fontId="6" fillId="37" borderId="9" xfId="0" applyFont="1" applyFill="1" applyBorder="1" applyAlignment="1">
      <alignment vertical="center"/>
    </xf>
    <xf numFmtId="0" fontId="6" fillId="37" borderId="31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0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 wrapText="1"/>
    </xf>
    <xf numFmtId="0" fontId="16" fillId="33" borderId="24" xfId="0" applyFont="1" applyFill="1" applyBorder="1" applyAlignment="1">
      <alignment horizontal="left" vertical="center" wrapText="1"/>
    </xf>
    <xf numFmtId="0" fontId="16" fillId="0" borderId="38" xfId="0" applyFont="1" applyFill="1" applyBorder="1" applyAlignment="1">
      <alignment horizontal="left" vertical="center"/>
    </xf>
    <xf numFmtId="0" fontId="16" fillId="0" borderId="38" xfId="0" applyFont="1" applyFill="1" applyBorder="1" applyAlignment="1">
      <alignment horizontal="left" vertical="center" wrapText="1"/>
    </xf>
    <xf numFmtId="0" fontId="52" fillId="0" borderId="7" xfId="0" applyFont="1" applyBorder="1" applyAlignment="1">
      <alignment vertical="center"/>
    </xf>
    <xf numFmtId="0" fontId="52" fillId="0" borderId="24" xfId="0" applyFont="1" applyBorder="1" applyAlignment="1">
      <alignment vertical="center"/>
    </xf>
    <xf numFmtId="0" fontId="52" fillId="0" borderId="12" xfId="0" applyFont="1" applyBorder="1" applyAlignment="1">
      <alignment vertical="center"/>
    </xf>
    <xf numFmtId="0" fontId="52" fillId="0" borderId="38" xfId="0" applyFont="1" applyBorder="1" applyAlignment="1">
      <alignment vertical="center"/>
    </xf>
    <xf numFmtId="0" fontId="16" fillId="39" borderId="7" xfId="0" applyFont="1" applyFill="1" applyBorder="1" applyAlignment="1">
      <alignment horizontal="left" vertical="center" wrapText="1"/>
    </xf>
    <xf numFmtId="0" fontId="16" fillId="39" borderId="24" xfId="0" applyFont="1" applyFill="1" applyBorder="1" applyAlignment="1">
      <alignment horizontal="left" vertical="center" wrapText="1"/>
    </xf>
    <xf numFmtId="0" fontId="16" fillId="39" borderId="12" xfId="0" applyFont="1" applyFill="1" applyBorder="1" applyAlignment="1">
      <alignment horizontal="left" vertical="center" wrapText="1"/>
    </xf>
    <xf numFmtId="0" fontId="52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52" fillId="39" borderId="24" xfId="0" applyFont="1" applyFill="1" applyBorder="1" applyAlignment="1">
      <alignment vertical="center"/>
    </xf>
    <xf numFmtId="0" fontId="16" fillId="39" borderId="24" xfId="0" applyFont="1" applyFill="1" applyBorder="1" applyAlignment="1">
      <alignment horizontal="left" vertical="center"/>
    </xf>
    <xf numFmtId="0" fontId="52" fillId="39" borderId="12" xfId="0" applyFont="1" applyFill="1" applyBorder="1" applyAlignment="1">
      <alignment vertical="center"/>
    </xf>
    <xf numFmtId="0" fontId="16" fillId="39" borderId="12" xfId="0" applyFont="1" applyFill="1" applyBorder="1" applyAlignment="1">
      <alignment horizontal="left" vertical="center"/>
    </xf>
    <xf numFmtId="0" fontId="52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52" fillId="6" borderId="24" xfId="0" applyFont="1" applyFill="1" applyBorder="1" applyAlignment="1">
      <alignment vertical="center"/>
    </xf>
    <xf numFmtId="0" fontId="16" fillId="6" borderId="24" xfId="0" applyFont="1" applyFill="1" applyBorder="1" applyAlignment="1">
      <alignment horizontal="left" vertical="center"/>
    </xf>
    <xf numFmtId="0" fontId="16" fillId="6" borderId="24" xfId="0" applyFont="1" applyFill="1" applyBorder="1" applyAlignment="1">
      <alignment horizontal="left" vertical="center" wrapText="1"/>
    </xf>
    <xf numFmtId="0" fontId="52" fillId="3" borderId="7" xfId="0" applyFont="1" applyFill="1" applyBorder="1" applyAlignment="1">
      <alignment vertical="center"/>
    </xf>
    <xf numFmtId="0" fontId="52" fillId="3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52" fillId="3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52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52" fillId="33" borderId="24" xfId="0" applyFont="1" applyFill="1" applyBorder="1" applyAlignment="1">
      <alignment vertical="center"/>
    </xf>
    <xf numFmtId="0" fontId="16" fillId="33" borderId="24" xfId="0" applyFont="1" applyFill="1" applyBorder="1" applyAlignment="1">
      <alignment horizontal="left" vertical="center"/>
    </xf>
    <xf numFmtId="0" fontId="52" fillId="38" borderId="12" xfId="0" applyFont="1" applyFill="1" applyBorder="1" applyAlignment="1">
      <alignment vertical="center"/>
    </xf>
    <xf numFmtId="0" fontId="16" fillId="38" borderId="12" xfId="0" applyFont="1" applyFill="1" applyBorder="1" applyAlignment="1">
      <alignment horizontal="left" vertical="center"/>
    </xf>
    <xf numFmtId="0" fontId="16" fillId="38" borderId="12" xfId="0" applyFont="1" applyFill="1" applyBorder="1" applyAlignment="1">
      <alignment horizontal="left" vertical="center" wrapText="1"/>
    </xf>
    <xf numFmtId="0" fontId="52" fillId="6" borderId="12" xfId="0" applyFont="1" applyFill="1" applyBorder="1" applyAlignment="1">
      <alignment vertical="center"/>
    </xf>
    <xf numFmtId="0" fontId="16" fillId="6" borderId="12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6" fillId="0" borderId="38" xfId="0" applyFont="1" applyFill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3" borderId="3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8" borderId="38" xfId="0" applyFont="1" applyFill="1" applyBorder="1" applyAlignment="1">
      <alignment vertical="center"/>
    </xf>
    <xf numFmtId="0" fontId="16" fillId="6" borderId="38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24" xfId="0" applyFont="1" applyFill="1" applyBorder="1" applyAlignment="1">
      <alignment vertical="center"/>
    </xf>
    <xf numFmtId="0" fontId="16" fillId="39" borderId="38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9" borderId="24" xfId="0" applyFont="1" applyFill="1" applyBorder="1" applyAlignment="1">
      <alignment vertical="center"/>
    </xf>
    <xf numFmtId="0" fontId="16" fillId="33" borderId="24" xfId="0" applyFont="1" applyFill="1" applyBorder="1" applyAlignment="1">
      <alignment vertical="center"/>
    </xf>
    <xf numFmtId="0" fontId="11" fillId="40" borderId="7" xfId="0" applyFont="1" applyFill="1" applyBorder="1" applyAlignment="1">
      <alignment vertical="center"/>
    </xf>
    <xf numFmtId="0" fontId="11" fillId="40" borderId="12" xfId="0" applyFont="1" applyFill="1" applyBorder="1" applyAlignment="1">
      <alignment vertical="center"/>
    </xf>
    <xf numFmtId="0" fontId="16" fillId="3" borderId="39" xfId="0" applyFont="1" applyFill="1" applyBorder="1" applyAlignment="1">
      <alignment vertical="center"/>
    </xf>
    <xf numFmtId="0" fontId="16" fillId="0" borderId="40" xfId="0" applyFont="1" applyFill="1" applyBorder="1" applyAlignment="1">
      <alignment vertical="center"/>
    </xf>
    <xf numFmtId="0" fontId="16" fillId="3" borderId="40" xfId="0" applyFont="1" applyFill="1" applyBorder="1" applyAlignment="1">
      <alignment vertical="center"/>
    </xf>
    <xf numFmtId="0" fontId="52" fillId="3" borderId="39" xfId="0" applyFont="1" applyFill="1" applyBorder="1" applyAlignment="1">
      <alignment vertical="center"/>
    </xf>
    <xf numFmtId="0" fontId="16" fillId="3" borderId="39" xfId="0" applyFont="1" applyFill="1" applyBorder="1" applyAlignment="1">
      <alignment horizontal="left" vertical="center"/>
    </xf>
    <xf numFmtId="0" fontId="16" fillId="3" borderId="39" xfId="0" applyFont="1" applyFill="1" applyBorder="1" applyAlignment="1">
      <alignment horizontal="left" vertical="center" wrapText="1"/>
    </xf>
    <xf numFmtId="0" fontId="52" fillId="3" borderId="38" xfId="0" applyFont="1" applyFill="1" applyBorder="1" applyAlignment="1">
      <alignment vertical="center"/>
    </xf>
    <xf numFmtId="0" fontId="16" fillId="3" borderId="38" xfId="0" applyFont="1" applyFill="1" applyBorder="1" applyAlignment="1">
      <alignment horizontal="left" vertical="center"/>
    </xf>
    <xf numFmtId="0" fontId="16" fillId="3" borderId="38" xfId="0" applyFont="1" applyFill="1" applyBorder="1" applyAlignment="1">
      <alignment horizontal="left" vertical="center" wrapText="1"/>
    </xf>
    <xf numFmtId="0" fontId="52" fillId="6" borderId="39" xfId="0" applyFont="1" applyFill="1" applyBorder="1" applyAlignment="1">
      <alignment vertical="center"/>
    </xf>
    <xf numFmtId="0" fontId="16" fillId="6" borderId="39" xfId="0" applyFont="1" applyFill="1" applyBorder="1" applyAlignment="1">
      <alignment horizontal="left" vertical="center"/>
    </xf>
    <xf numFmtId="0" fontId="16" fillId="6" borderId="39" xfId="0" applyFont="1" applyFill="1" applyBorder="1" applyAlignment="1">
      <alignment horizontal="left" vertical="center" wrapText="1"/>
    </xf>
    <xf numFmtId="0" fontId="52" fillId="39" borderId="39" xfId="0" applyFont="1" applyFill="1" applyBorder="1" applyAlignment="1">
      <alignment vertical="center"/>
    </xf>
    <xf numFmtId="0" fontId="16" fillId="39" borderId="39" xfId="0" applyFont="1" applyFill="1" applyBorder="1" applyAlignment="1">
      <alignment horizontal="left" vertical="center"/>
    </xf>
    <xf numFmtId="0" fontId="16" fillId="39" borderId="39" xfId="0" applyFont="1" applyFill="1" applyBorder="1" applyAlignment="1">
      <alignment horizontal="left" vertical="center" wrapText="1"/>
    </xf>
    <xf numFmtId="0" fontId="52" fillId="39" borderId="38" xfId="0" applyFont="1" applyFill="1" applyBorder="1" applyAlignment="1">
      <alignment vertical="center"/>
    </xf>
    <xf numFmtId="0" fontId="16" fillId="39" borderId="38" xfId="0" applyFont="1" applyFill="1" applyBorder="1" applyAlignment="1">
      <alignment horizontal="left" vertical="center"/>
    </xf>
    <xf numFmtId="0" fontId="16" fillId="39" borderId="38" xfId="0" applyFont="1" applyFill="1" applyBorder="1" applyAlignment="1">
      <alignment horizontal="left" vertical="center" wrapText="1"/>
    </xf>
    <xf numFmtId="0" fontId="52" fillId="6" borderId="38" xfId="0" applyFont="1" applyFill="1" applyBorder="1" applyAlignment="1">
      <alignment vertical="center"/>
    </xf>
    <xf numFmtId="0" fontId="16" fillId="6" borderId="38" xfId="0" applyFont="1" applyFill="1" applyBorder="1" applyAlignment="1">
      <alignment horizontal="left" vertical="center"/>
    </xf>
    <xf numFmtId="0" fontId="16" fillId="6" borderId="38" xfId="0" applyFont="1" applyFill="1" applyBorder="1" applyAlignment="1">
      <alignment horizontal="left" vertical="center" wrapText="1"/>
    </xf>
    <xf numFmtId="0" fontId="16" fillId="6" borderId="39" xfId="0" applyFont="1" applyFill="1" applyBorder="1" applyAlignment="1">
      <alignment vertical="center"/>
    </xf>
    <xf numFmtId="0" fontId="16" fillId="39" borderId="39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4" borderId="12" xfId="0" applyFont="1" applyFill="1" applyBorder="1" applyAlignment="1">
      <alignment horizontal="left" vertical="center" wrapText="1"/>
    </xf>
    <xf numFmtId="0" fontId="16" fillId="34" borderId="0" xfId="0" applyFont="1" applyFill="1" applyAlignment="1">
      <alignment vertical="center"/>
    </xf>
    <xf numFmtId="0" fontId="16" fillId="34" borderId="38" xfId="0" applyFont="1" applyFill="1" applyBorder="1" applyAlignment="1">
      <alignment horizontal="left" vertical="center" wrapText="1"/>
    </xf>
    <xf numFmtId="0" fontId="16" fillId="0" borderId="24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177" fontId="8" fillId="6" borderId="41" xfId="0" applyNumberFormat="1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177" fontId="8" fillId="34" borderId="32" xfId="0" applyNumberFormat="1" applyFont="1" applyFill="1" applyBorder="1" applyAlignment="1">
      <alignment vertical="center"/>
    </xf>
    <xf numFmtId="177" fontId="8" fillId="34" borderId="24" xfId="0" applyNumberFormat="1" applyFont="1" applyFill="1" applyBorder="1" applyAlignment="1">
      <alignment vertical="center"/>
    </xf>
    <xf numFmtId="0" fontId="6" fillId="34" borderId="3" xfId="0" applyFont="1" applyFill="1" applyBorder="1" applyAlignment="1">
      <alignment vertical="center"/>
    </xf>
    <xf numFmtId="0" fontId="6" fillId="34" borderId="28" xfId="0" applyFont="1" applyFill="1" applyBorder="1" applyAlignment="1">
      <alignment vertical="center"/>
    </xf>
    <xf numFmtId="0" fontId="6" fillId="35" borderId="43" xfId="0" applyFont="1" applyFill="1" applyBorder="1" applyAlignment="1">
      <alignment vertical="center"/>
    </xf>
    <xf numFmtId="0" fontId="6" fillId="32" borderId="43" xfId="0" applyFont="1" applyFill="1" applyBorder="1" applyAlignment="1">
      <alignment vertical="center"/>
    </xf>
    <xf numFmtId="0" fontId="6" fillId="32" borderId="44" xfId="0" applyFont="1" applyFill="1" applyBorder="1" applyAlignment="1">
      <alignment vertical="center"/>
    </xf>
    <xf numFmtId="177" fontId="8" fillId="34" borderId="35" xfId="0" applyNumberFormat="1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1" fillId="34" borderId="45" xfId="0" applyFont="1" applyFill="1" applyBorder="1" applyAlignment="1">
      <alignment vertical="center"/>
    </xf>
    <xf numFmtId="0" fontId="6" fillId="32" borderId="36" xfId="0" applyFont="1" applyFill="1" applyBorder="1" applyAlignment="1">
      <alignment vertical="center"/>
    </xf>
    <xf numFmtId="0" fontId="11" fillId="34" borderId="35" xfId="0" applyFont="1" applyFill="1" applyBorder="1" applyAlignment="1">
      <alignment vertical="center"/>
    </xf>
    <xf numFmtId="0" fontId="6" fillId="32" borderId="24" xfId="0" applyFont="1" applyFill="1" applyBorder="1" applyAlignment="1">
      <alignment vertical="center"/>
    </xf>
    <xf numFmtId="0" fontId="26" fillId="0" borderId="7" xfId="0" applyFont="1" applyBorder="1"/>
    <xf numFmtId="0" fontId="0" fillId="0" borderId="12" xfId="0" applyBorder="1"/>
    <xf numFmtId="0" fontId="26" fillId="0" borderId="12" xfId="0" applyFont="1" applyBorder="1"/>
    <xf numFmtId="0" fontId="26" fillId="41" borderId="12" xfId="0" applyFont="1" applyFill="1" applyBorder="1"/>
    <xf numFmtId="0" fontId="26" fillId="0" borderId="10" xfId="0" applyFont="1" applyBorder="1"/>
    <xf numFmtId="0" fontId="26" fillId="0" borderId="46" xfId="0" applyFont="1" applyBorder="1"/>
    <xf numFmtId="0" fontId="26" fillId="41" borderId="46" xfId="0" applyFont="1" applyFill="1" applyBorder="1"/>
    <xf numFmtId="0" fontId="26" fillId="33" borderId="46" xfId="0" applyFont="1" applyFill="1" applyBorder="1"/>
    <xf numFmtId="0" fontId="26" fillId="42" borderId="46" xfId="0" applyFont="1" applyFill="1" applyBorder="1"/>
    <xf numFmtId="0" fontId="30" fillId="0" borderId="7" xfId="0" applyFont="1" applyBorder="1"/>
    <xf numFmtId="0" fontId="30" fillId="0" borderId="12" xfId="0" applyFont="1" applyBorder="1"/>
    <xf numFmtId="38" fontId="16" fillId="0" borderId="7" xfId="628" applyFont="1" applyFill="1" applyBorder="1" applyAlignment="1">
      <alignment wrapText="1"/>
    </xf>
    <xf numFmtId="0" fontId="27" fillId="6" borderId="7" xfId="0" applyFont="1" applyFill="1" applyBorder="1"/>
    <xf numFmtId="0" fontId="28" fillId="6" borderId="7" xfId="0" applyFont="1" applyFill="1" applyBorder="1"/>
    <xf numFmtId="0" fontId="29" fillId="6" borderId="12" xfId="0" applyFont="1" applyFill="1" applyBorder="1" applyAlignment="1">
      <alignment vertical="center"/>
    </xf>
    <xf numFmtId="0" fontId="30" fillId="6" borderId="7" xfId="0" applyFont="1" applyFill="1" applyBorder="1"/>
    <xf numFmtId="0" fontId="31" fillId="6" borderId="7" xfId="0" applyFont="1" applyFill="1" applyBorder="1"/>
    <xf numFmtId="38" fontId="16" fillId="6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27" fillId="6" borderId="24" xfId="0" applyFont="1" applyFill="1" applyBorder="1"/>
    <xf numFmtId="0" fontId="28" fillId="6" borderId="24" xfId="0" applyFont="1" applyFill="1" applyBorder="1"/>
    <xf numFmtId="0" fontId="29" fillId="6" borderId="24" xfId="0" applyFont="1" applyFill="1" applyBorder="1" applyAlignment="1">
      <alignment vertical="center"/>
    </xf>
    <xf numFmtId="0" fontId="30" fillId="6" borderId="24" xfId="0" applyFont="1" applyFill="1" applyBorder="1"/>
    <xf numFmtId="0" fontId="30" fillId="30" borderId="24" xfId="0" applyFont="1" applyFill="1" applyBorder="1"/>
    <xf numFmtId="0" fontId="30" fillId="14" borderId="24" xfId="0" applyFont="1" applyFill="1" applyBorder="1"/>
    <xf numFmtId="0" fontId="31" fillId="6" borderId="24" xfId="0" applyFont="1" applyFill="1" applyBorder="1"/>
    <xf numFmtId="38" fontId="16" fillId="6" borderId="24" xfId="628" applyFont="1" applyFill="1" applyBorder="1" applyAlignment="1">
      <alignment wrapText="1"/>
    </xf>
    <xf numFmtId="0" fontId="0" fillId="6" borderId="24" xfId="0" applyFill="1" applyBorder="1"/>
    <xf numFmtId="1" fontId="32" fillId="36" borderId="12" xfId="0" applyNumberFormat="1" applyFont="1" applyFill="1" applyBorder="1" applyAlignment="1">
      <alignment vertical="center"/>
    </xf>
    <xf numFmtId="177" fontId="8" fillId="34" borderId="41" xfId="0" applyNumberFormat="1" applyFont="1" applyFill="1" applyBorder="1" applyAlignment="1">
      <alignment vertical="center"/>
    </xf>
    <xf numFmtId="1" fontId="32" fillId="14" borderId="29" xfId="0" applyNumberFormat="1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24" xfId="0" applyFont="1" applyFill="1" applyBorder="1" applyAlignment="1">
      <alignment horizontal="left" vertical="center"/>
    </xf>
    <xf numFmtId="0" fontId="16" fillId="13" borderId="12" xfId="0" applyFont="1" applyFill="1" applyBorder="1" applyAlignment="1">
      <alignment horizontal="left" vertical="center"/>
    </xf>
    <xf numFmtId="0" fontId="16" fillId="13" borderId="38" xfId="0" applyFont="1" applyFill="1" applyBorder="1" applyAlignment="1">
      <alignment horizontal="left" vertical="center"/>
    </xf>
    <xf numFmtId="0" fontId="16" fillId="13" borderId="39" xfId="0" applyFont="1" applyFill="1" applyBorder="1" applyAlignment="1">
      <alignment horizontal="left" vertical="center"/>
    </xf>
    <xf numFmtId="0" fontId="16" fillId="43" borderId="7" xfId="0" applyFont="1" applyFill="1" applyBorder="1" applyAlignment="1">
      <alignment horizontal="left" vertical="center" wrapText="1"/>
    </xf>
  </cellXfs>
  <cellStyles count="71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赤字強調" xfId="431"/>
    <cellStyle name="青字強調" xfId="43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10" sqref="F1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272</v>
      </c>
      <c r="B2" s="56" t="s">
        <v>107</v>
      </c>
      <c r="C2" s="61">
        <v>40041</v>
      </c>
      <c r="D2" s="56" t="s">
        <v>108</v>
      </c>
      <c r="E2" s="55" t="str">
        <f>B2&amp;C2&amp;D2</f>
        <v>floors_40041.tmp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272</v>
      </c>
      <c r="B3" s="56" t="s">
        <v>110</v>
      </c>
      <c r="C3" s="61">
        <v>40041</v>
      </c>
      <c r="D3" s="56" t="s">
        <v>108</v>
      </c>
      <c r="E3" s="55" t="str">
        <f>B3&amp;C3&amp;D3</f>
        <v>enemy_habitats_40041.tmp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272</v>
      </c>
      <c r="B4" s="56" t="s">
        <v>112</v>
      </c>
      <c r="C4" s="61">
        <v>40041</v>
      </c>
      <c r="D4" s="56" t="s">
        <v>108</v>
      </c>
      <c r="E4" s="55" t="str">
        <f>B4&amp;C4&amp;D4</f>
        <v>enemy_habitat_S_40041.tmp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272</v>
      </c>
      <c r="B5" s="56" t="s">
        <v>114</v>
      </c>
      <c r="C5" s="61">
        <v>40041</v>
      </c>
      <c r="D5" s="56" t="s">
        <v>108</v>
      </c>
      <c r="E5" s="55" t="str">
        <f>B5&amp;C5&amp;D5</f>
        <v>enemy_skill_sets_40041.tmp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272</v>
      </c>
      <c r="B6" s="56" t="s">
        <v>116</v>
      </c>
      <c r="C6" s="61">
        <v>40041</v>
      </c>
      <c r="D6" s="56" t="s">
        <v>117</v>
      </c>
      <c r="E6" s="55" t="str">
        <f t="shared" ref="E6:E10" si="0">B6&amp;C6&amp;D6</f>
        <v>enemy_skills_tmp_40041.tmp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272</v>
      </c>
      <c r="B7" s="56" t="s">
        <v>118</v>
      </c>
      <c r="C7" s="61">
        <v>40041</v>
      </c>
      <c r="D7" s="56" t="s">
        <v>108</v>
      </c>
      <c r="E7" s="55" t="str">
        <f>B7&amp;C7&amp;D7</f>
        <v>enemy_skills_i18n_40041.tmp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272</v>
      </c>
      <c r="B8" s="56" t="s">
        <v>120</v>
      </c>
      <c r="C8" s="61">
        <v>40041</v>
      </c>
      <c r="D8" s="56" t="s">
        <v>121</v>
      </c>
      <c r="E8" s="55" t="str">
        <f t="shared" si="0"/>
        <v>enemy_skill_triggers_40041.tmp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272</v>
      </c>
      <c r="B9" s="66" t="s">
        <v>176</v>
      </c>
      <c r="C9" s="61">
        <v>40041</v>
      </c>
      <c r="D9" s="66" t="s">
        <v>170</v>
      </c>
      <c r="E9" s="67" t="str">
        <f t="shared" si="0"/>
        <v>stage_bug_bonuses_40041.tmp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186</v>
      </c>
      <c r="B10" s="66" t="s">
        <v>201</v>
      </c>
      <c r="C10" s="61">
        <v>40041</v>
      </c>
      <c r="D10" s="66" t="s">
        <v>179</v>
      </c>
      <c r="E10" s="67" t="str">
        <f t="shared" si="0"/>
        <v>stage_hints_data_c_40041.tmp</v>
      </c>
      <c r="F10" s="66" t="s">
        <v>209</v>
      </c>
      <c r="G10" s="71" t="s">
        <v>180</v>
      </c>
      <c r="H10" s="71" t="s">
        <v>172</v>
      </c>
      <c r="I10" s="72" t="s">
        <v>181</v>
      </c>
      <c r="J10" s="65" t="s">
        <v>182</v>
      </c>
      <c r="K10" s="65" t="s">
        <v>183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60" t="s">
        <v>432</v>
      </c>
      <c r="B11" s="66" t="s">
        <v>202</v>
      </c>
      <c r="C11" s="61">
        <v>40041</v>
      </c>
      <c r="D11" s="66" t="s">
        <v>170</v>
      </c>
      <c r="E11" s="67" t="str">
        <f t="shared" ref="E11:E13" si="1">B11&amp;C11&amp;D11</f>
        <v>stage_hints_data_f_40041.tmp</v>
      </c>
      <c r="F11" s="66" t="s">
        <v>210</v>
      </c>
      <c r="G11" s="71" t="s">
        <v>180</v>
      </c>
      <c r="H11" s="71" t="s">
        <v>172</v>
      </c>
      <c r="I11" s="72" t="s">
        <v>181</v>
      </c>
      <c r="J11" s="65" t="s">
        <v>182</v>
      </c>
      <c r="K11" s="65" t="s">
        <v>183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60" t="s">
        <v>432</v>
      </c>
      <c r="B12" s="66" t="s">
        <v>203</v>
      </c>
      <c r="C12" s="61">
        <v>40041</v>
      </c>
      <c r="D12" s="66" t="s">
        <v>170</v>
      </c>
      <c r="E12" s="67" t="str">
        <f t="shared" si="1"/>
        <v>stage_hints_i18n_40041.tmp</v>
      </c>
      <c r="F12" s="66" t="s">
        <v>211</v>
      </c>
      <c r="G12" s="72" t="s">
        <v>204</v>
      </c>
      <c r="H12" s="91" t="s">
        <v>205</v>
      </c>
      <c r="I12" s="71" t="s">
        <v>206</v>
      </c>
      <c r="J12" s="99" t="s">
        <v>207</v>
      </c>
      <c r="K12" s="65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60" t="s">
        <v>432</v>
      </c>
      <c r="B13" s="66" t="s">
        <v>250</v>
      </c>
      <c r="C13" s="61">
        <v>40041</v>
      </c>
      <c r="D13" s="66" t="s">
        <v>231</v>
      </c>
      <c r="E13" s="67" t="str">
        <f t="shared" si="1"/>
        <v>stage_bonuses_40041.tmp</v>
      </c>
      <c r="F13" s="66" t="s">
        <v>230</v>
      </c>
      <c r="G13" s="71" t="s">
        <v>232</v>
      </c>
      <c r="H13" s="71" t="s">
        <v>233</v>
      </c>
      <c r="I13" s="71" t="s">
        <v>234</v>
      </c>
      <c r="J13" s="71" t="s">
        <v>235</v>
      </c>
      <c r="K13" s="71" t="s">
        <v>236</v>
      </c>
      <c r="L13" s="71" t="s">
        <v>237</v>
      </c>
      <c r="M13" s="71" t="s">
        <v>238</v>
      </c>
      <c r="N13" s="71" t="s">
        <v>239</v>
      </c>
      <c r="O13" s="71" t="s">
        <v>240</v>
      </c>
      <c r="P13" s="71" t="s">
        <v>241</v>
      </c>
      <c r="Q13" s="71" t="s">
        <v>242</v>
      </c>
      <c r="R13" s="71" t="s">
        <v>243</v>
      </c>
      <c r="S13" s="71" t="s">
        <v>244</v>
      </c>
      <c r="T13" s="71" t="s">
        <v>245</v>
      </c>
      <c r="U13" s="71" t="s">
        <v>246</v>
      </c>
      <c r="V13" s="71" t="s">
        <v>247</v>
      </c>
      <c r="W13" s="71" t="s">
        <v>248</v>
      </c>
      <c r="X13" s="71" t="s">
        <v>249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K15" sqref="K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9" style="3" customWidth="1"/>
    <col min="4" max="4" width="16.83203125" style="3" customWidth="1" outlineLevel="1"/>
    <col min="5" max="5" width="10.1640625" style="3" customWidth="1" outlineLevel="1"/>
    <col min="6" max="6" width="7" style="3" bestFit="1" customWidth="1"/>
    <col min="7" max="7" width="8.83203125" style="19" customWidth="1" outlineLevel="1"/>
    <col min="8" max="8" width="29.6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40041_1-1</v>
      </c>
      <c r="B2" s="16" t="str">
        <f>IF(COUNTIF(enemy_habitats!$H:$H,A2),"OK","NG")</f>
        <v>OK</v>
      </c>
      <c r="C2" s="7">
        <v>40041</v>
      </c>
      <c r="D2" s="11" t="str">
        <f ca="1">VLOOKUP($C2,OFFSET([2]quests!$A$1,0,0,COUNTA([2]quests!$A:$A),MATCH(D$1,[2]quests!$1:$1,0)-MATCH($C$1,[2]quests!$1:$1,0)+1),MATCH(D$1,[2]quests!$1:$1,0)-MATCH($C$1,[2]quests!$1:$1,0)+1,FALSE)</f>
        <v>ポーラとダニー襲来！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降臨41</v>
      </c>
      <c r="F2" s="21">
        <v>1</v>
      </c>
      <c r="G2" s="23" t="str">
        <f>C2&amp;"_"&amp;F2</f>
        <v>40041_1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【超絶級】ポーラとダニー襲来！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40041_1-2</v>
      </c>
      <c r="B3" s="16" t="str">
        <f>IF(COUNTIF(enemy_habitats!$H:$H,A3),"OK","NG")</f>
        <v>OK</v>
      </c>
      <c r="C3" s="7">
        <v>40041</v>
      </c>
      <c r="D3" s="11" t="str">
        <f ca="1">VLOOKUP($C3,OFFSET([2]quests!$A$1,0,0,COUNTA([2]quests!$A:$A),MATCH(D$1,[2]quests!$1:$1,0)-MATCH($C$1,[2]quests!$1:$1,0)+1),MATCH(D$1,[2]quests!$1:$1,0)-MATCH($C$1,[2]quests!$1:$1,0)+1,FALSE)</f>
        <v>ポーラとダニー襲来！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降臨41</v>
      </c>
      <c r="F3" s="21">
        <v>1</v>
      </c>
      <c r="G3" s="23" t="str">
        <f t="shared" ref="G3:G5" si="1">C3&amp;"_"&amp;F3</f>
        <v>40041_1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【超絶級】ポーラとダニー襲来！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40041_1-3</v>
      </c>
      <c r="B4" s="16" t="str">
        <f>IF(COUNTIF(enemy_habitats!$H:$H,A4),"OK","NG")</f>
        <v>OK</v>
      </c>
      <c r="C4" s="7">
        <v>40041</v>
      </c>
      <c r="D4" s="11" t="str">
        <f ca="1">VLOOKUP($C4,OFFSET([2]quests!$A$1,0,0,COUNTA([2]quests!$A:$A),MATCH(D$1,[2]quests!$1:$1,0)-MATCH($C$1,[2]quests!$1:$1,0)+1),MATCH(D$1,[2]quests!$1:$1,0)-MATCH($C$1,[2]quests!$1:$1,0)+1,FALSE)</f>
        <v>ポーラとダニー襲来！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降臨41</v>
      </c>
      <c r="F4" s="21">
        <v>1</v>
      </c>
      <c r="G4" s="23" t="str">
        <f t="shared" si="1"/>
        <v>40041_1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【超絶級】ポーラとダニー襲来！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02" t="str">
        <f t="shared" si="0"/>
        <v>40041_1-4</v>
      </c>
      <c r="B5" s="102" t="str">
        <f>IF(COUNTIF(enemy_habitats!$H:$H,A5),"OK","NG")</f>
        <v>OK</v>
      </c>
      <c r="C5" s="103">
        <v>40041</v>
      </c>
      <c r="D5" s="104" t="str">
        <f ca="1">VLOOKUP($C5,OFFSET([2]quests!$A$1,0,0,COUNTA([2]quests!$A:$A),MATCH(D$1,[2]quests!$1:$1,0)-MATCH($C$1,[2]quests!$1:$1,0)+1),MATCH(D$1,[2]quests!$1:$1,0)-MATCH($C$1,[2]quests!$1:$1,0)+1,FALSE)</f>
        <v>ポーラとダニー襲来！</v>
      </c>
      <c r="E5" s="104" t="str">
        <f ca="1">VLOOKUP($C5,OFFSET([2]quests!$A$1,0,0,COUNTA([2]quests!$A:$A),MATCH(E$1,[2]quests!$1:$1,0)-MATCH($C$1,[2]quests!$1:$1,0)+1),MATCH(E$1,[2]quests!$1:$1,0)-MATCH($C$1,[2]quests!$1:$1,0)+1,FALSE)</f>
        <v>降臨41</v>
      </c>
      <c r="F5" s="105">
        <v>1</v>
      </c>
      <c r="G5" s="106" t="str">
        <f t="shared" si="1"/>
        <v>40041_1</v>
      </c>
      <c r="H5" s="107" t="str">
        <f ca="1">VLOOKUP($G5,OFFSET([2]stages!$A$1,0,0,COUNTA([2]stages!$A:$A),MATCH(H$1,[2]stages!$2:$2,0)-MATCH($G$1,[2]stages!$2:$2,0)+1),MATCH(H$1,[2]stages!$2:$2,0)-MATCH($G$1,[2]stages!$2:$2,0)+1,FALSE)</f>
        <v>【超絶級】ポーラとダニー襲来！</v>
      </c>
      <c r="I5" s="105">
        <v>4</v>
      </c>
      <c r="J5" s="108">
        <v>60</v>
      </c>
      <c r="K5" s="108">
        <v>60</v>
      </c>
    </row>
    <row r="6" spans="1:11" ht="21" customHeight="1" thickTop="1" x14ac:dyDescent="0.15">
      <c r="A6" s="16" t="str">
        <f>G6&amp;"-"&amp;I6</f>
        <v>40041_2-1</v>
      </c>
      <c r="B6" s="16" t="str">
        <f>IF(COUNTIF(enemy_habitats!$H:$H,A6),"OK","NG")</f>
        <v>OK</v>
      </c>
      <c r="C6" s="7">
        <v>40041</v>
      </c>
      <c r="D6" s="11" t="str">
        <f ca="1">VLOOKUP($C6,OFFSET([2]quests!$A$1,0,0,COUNTA([2]quests!$A:$A),MATCH(D$1,[2]quests!$1:$1,0)-MATCH($C$1,[2]quests!$1:$1,0)+1),MATCH(D$1,[2]quests!$1:$1,0)-MATCH($C$1,[2]quests!$1:$1,0)+1,FALSE)</f>
        <v>ポーラとダニー襲来！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降臨41</v>
      </c>
      <c r="F6" s="21">
        <v>2</v>
      </c>
      <c r="G6" s="23" t="str">
        <f>C6&amp;"_"&amp;F6</f>
        <v>40041_2</v>
      </c>
      <c r="H6" s="15" t="str">
        <f ca="1">VLOOKUP($G6,OFFSET([2]stages!$A$1,0,0,COUNTA([2]stages!$A:$A),MATCH(H$1,[2]stages!$2:$2,0)-MATCH($G$1,[2]stages!$2:$2,0)+1),MATCH(H$1,[2]stages!$2:$2,0)-MATCH($G$1,[2]stages!$2:$2,0)+1,FALSE)</f>
        <v>【ｳｨｻﾞ】ポーラとダニー襲来！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40041_2-2</v>
      </c>
      <c r="B7" s="16" t="str">
        <f>IF(COUNTIF(enemy_habitats!$H:$H,A7),"OK","NG")</f>
        <v>OK</v>
      </c>
      <c r="C7" s="7">
        <v>40041</v>
      </c>
      <c r="D7" s="11" t="str">
        <f ca="1">VLOOKUP($C7,OFFSET([2]quests!$A$1,0,0,COUNTA([2]quests!$A:$A),MATCH(D$1,[2]quests!$1:$1,0)-MATCH($C$1,[2]quests!$1:$1,0)+1),MATCH(D$1,[2]quests!$1:$1,0)-MATCH($C$1,[2]quests!$1:$1,0)+1,FALSE)</f>
        <v>ポーラとダニー襲来！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降臨41</v>
      </c>
      <c r="F7" s="21">
        <v>2</v>
      </c>
      <c r="G7" s="23" t="str">
        <f t="shared" ref="G7:G9" si="3">C7&amp;"_"&amp;F7</f>
        <v>40041_2</v>
      </c>
      <c r="H7" s="15" t="str">
        <f ca="1">VLOOKUP($G7,OFFSET([2]stages!$A$1,0,0,COUNTA([2]stages!$A:$A),MATCH(H$1,[2]stages!$2:$2,0)-MATCH($G$1,[2]stages!$2:$2,0)+1),MATCH(H$1,[2]stages!$2:$2,0)-MATCH($G$1,[2]stages!$2:$2,0)+1,FALSE)</f>
        <v>【ｳｨｻﾞ】ポーラとダニー襲来！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40041_2-3</v>
      </c>
      <c r="B8" s="16" t="str">
        <f>IF(COUNTIF(enemy_habitats!$H:$H,A8),"OK","NG")</f>
        <v>OK</v>
      </c>
      <c r="C8" s="7">
        <v>40041</v>
      </c>
      <c r="D8" s="11" t="str">
        <f ca="1">VLOOKUP($C8,OFFSET([2]quests!$A$1,0,0,COUNTA([2]quests!$A:$A),MATCH(D$1,[2]quests!$1:$1,0)-MATCH($C$1,[2]quests!$1:$1,0)+1),MATCH(D$1,[2]quests!$1:$1,0)-MATCH($C$1,[2]quests!$1:$1,0)+1,FALSE)</f>
        <v>ポーラとダニー襲来！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降臨41</v>
      </c>
      <c r="F8" s="21">
        <v>2</v>
      </c>
      <c r="G8" s="23" t="str">
        <f t="shared" si="3"/>
        <v>40041_2</v>
      </c>
      <c r="H8" s="15" t="str">
        <f ca="1">VLOOKUP($G8,OFFSET([2]stages!$A$1,0,0,COUNTA([2]stages!$A:$A),MATCH(H$1,[2]stages!$2:$2,0)-MATCH($G$1,[2]stages!$2:$2,0)+1),MATCH(H$1,[2]stages!$2:$2,0)-MATCH($G$1,[2]stages!$2:$2,0)+1,FALSE)</f>
        <v>【ｳｨｻﾞ】ポーラとダニー襲来！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02" t="str">
        <f t="shared" si="2"/>
        <v>40041_2-4</v>
      </c>
      <c r="B9" s="102" t="str">
        <f>IF(COUNTIF(enemy_habitats!$H:$H,A9),"OK","NG")</f>
        <v>OK</v>
      </c>
      <c r="C9" s="103">
        <v>40041</v>
      </c>
      <c r="D9" s="104" t="str">
        <f ca="1">VLOOKUP($C9,OFFSET([2]quests!$A$1,0,0,COUNTA([2]quests!$A:$A),MATCH(D$1,[2]quests!$1:$1,0)-MATCH($C$1,[2]quests!$1:$1,0)+1),MATCH(D$1,[2]quests!$1:$1,0)-MATCH($C$1,[2]quests!$1:$1,0)+1,FALSE)</f>
        <v>ポーラとダニー襲来！</v>
      </c>
      <c r="E9" s="104" t="str">
        <f ca="1">VLOOKUP($C9,OFFSET([2]quests!$A$1,0,0,COUNTA([2]quests!$A:$A),MATCH(E$1,[2]quests!$1:$1,0)-MATCH($C$1,[2]quests!$1:$1,0)+1),MATCH(E$1,[2]quests!$1:$1,0)-MATCH($C$1,[2]quests!$1:$1,0)+1,FALSE)</f>
        <v>降臨41</v>
      </c>
      <c r="F9" s="105">
        <v>2</v>
      </c>
      <c r="G9" s="106" t="str">
        <f t="shared" si="3"/>
        <v>40041_2</v>
      </c>
      <c r="H9" s="107" t="str">
        <f ca="1">VLOOKUP($G9,OFFSET([2]stages!$A$1,0,0,COUNTA([2]stages!$A:$A),MATCH(H$1,[2]stages!$2:$2,0)-MATCH($G$1,[2]stages!$2:$2,0)+1),MATCH(H$1,[2]stages!$2:$2,0)-MATCH($G$1,[2]stages!$2:$2,0)+1,FALSE)</f>
        <v>【ｳｨｻﾞ】ポーラとダニー襲来！</v>
      </c>
      <c r="I9" s="105">
        <v>4</v>
      </c>
      <c r="J9" s="108">
        <v>60</v>
      </c>
      <c r="K9" s="108">
        <v>60</v>
      </c>
    </row>
    <row r="10" spans="1:11" ht="21" customHeight="1" thickTop="1" x14ac:dyDescent="0.15"/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U21" sqref="U2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.5" style="3" customWidth="1" collapsed="1"/>
    <col min="8" max="10" width="12.33203125" style="3" hidden="1" customWidth="1" outlineLevel="1"/>
    <col min="11" max="11" width="12.33203125" style="3" customWidth="1"/>
    <col min="12" max="12" width="11.83203125" style="9" customWidth="1"/>
    <col min="13" max="13" width="15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6" style="3" customWidth="1"/>
    <col min="20" max="20" width="13.6640625" style="101" customWidth="1"/>
    <col min="21" max="21" width="15.6640625" style="3" customWidth="1"/>
    <col min="22" max="22" width="13.6640625" style="3" customWidth="1"/>
    <col min="23" max="23" width="14.16406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5.83203125" style="13" customWidth="1" outlineLevel="1"/>
    <col min="32" max="32" width="8" style="14" customWidth="1" outlineLevel="1"/>
    <col min="33" max="33" width="12" style="14" customWidth="1" outlineLevel="1"/>
    <col min="34" max="34" width="14.33203125" style="10" customWidth="1" collapsed="1"/>
    <col min="35" max="35" width="14" style="3" customWidth="1"/>
    <col min="36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0" t="s">
        <v>251</v>
      </c>
      <c r="U1" s="25" t="s">
        <v>50</v>
      </c>
      <c r="V1" s="100" t="s">
        <v>252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6" t="str">
        <f>B2&amp;"_"&amp;C2&amp;"-"&amp;G2&amp;"/"&amp;L2&amp;"&lt;lv"&amp;R2&amp;"&gt;s"&amp;AC2</f>
        <v>40041_1-1/21&lt;lv60&gt;s2</v>
      </c>
      <c r="B2" s="22">
        <v>40041</v>
      </c>
      <c r="C2" s="21">
        <v>1</v>
      </c>
      <c r="D2" s="2" t="str">
        <f>B2&amp;"_"&amp;C2</f>
        <v>40041_1</v>
      </c>
      <c r="E2" s="4" t="str">
        <f ca="1">VLOOKUP($B2,OFFSET([2]quests!$A$1,0,0,COUNTA([2]quests!$A:$A),MATCH(E$1,[2]quests!$1:$1,0)-MATCH($B$1,[2]quests!$1:$1,0)+1),MATCH(E$1,[2]quests!$1:$1,0)-MATCH($B$1,[2]quests!$1:$1,0)+1,FALSE)</f>
        <v>ポーラとダニー襲来！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【超絶級】ポーラとダニー襲来！</v>
      </c>
      <c r="G2" s="21">
        <v>1</v>
      </c>
      <c r="H2" s="15" t="str">
        <f>B2&amp;"_"&amp;C2&amp;"-"&amp;G2</f>
        <v>40041_1-1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21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ヴェロキー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309">
        <v>1.3</v>
      </c>
      <c r="T2" s="15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26663</v>
      </c>
      <c r="U2" s="309">
        <v>0.9</v>
      </c>
      <c r="V2" s="15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3167.1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みな何者かによって_x000D_姿を変えられてしまったようだ…</v>
      </c>
      <c r="Y2" s="263">
        <v>40041004</v>
      </c>
      <c r="Z2" s="6">
        <v>1</v>
      </c>
      <c r="AA2" s="6">
        <v>100</v>
      </c>
      <c r="AB2" s="6">
        <v>0</v>
      </c>
      <c r="AC2" s="159">
        <v>2</v>
      </c>
      <c r="AD2" s="24">
        <f>L2</f>
        <v>21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ヴェロキー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ca="1">AF2</f>
        <v>1</v>
      </c>
      <c r="AJ2" s="8">
        <v>10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40041_1-1/13&lt;lv60&gt;s2</v>
      </c>
      <c r="B3" s="22">
        <v>40041</v>
      </c>
      <c r="C3" s="21">
        <v>1</v>
      </c>
      <c r="D3" s="2" t="str">
        <f>B3&amp;"_"&amp;C3</f>
        <v>40041_1</v>
      </c>
      <c r="E3" s="4" t="str">
        <f ca="1">VLOOKUP($B3,OFFSET([2]quests!$A$1,0,0,COUNTA([2]quests!$A:$A),MATCH(E$1,[2]quests!$1:$1,0)-MATCH($B$1,[2]quests!$1:$1,0)+1),MATCH(E$1,[2]quests!$1:$1,0)-MATCH($B$1,[2]quests!$1:$1,0)+1,FALSE)</f>
        <v>ポーラとダニー襲来！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【超絶級】ポーラとダニー襲来！</v>
      </c>
      <c r="G3" s="21">
        <v>1</v>
      </c>
      <c r="H3" s="15" t="str">
        <f>B3&amp;"_"&amp;C3&amp;"-"&amp;G3</f>
        <v>40041_1-1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ミミ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60">
        <v>1.9</v>
      </c>
      <c r="T3" s="15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22902.6</v>
      </c>
      <c r="U3" s="260">
        <v>0.5</v>
      </c>
      <c r="V3" s="15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2726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3" s="263">
        <v>40041001</v>
      </c>
      <c r="Z3" s="6">
        <v>1</v>
      </c>
      <c r="AA3" s="6">
        <v>100</v>
      </c>
      <c r="AB3" s="6">
        <v>0</v>
      </c>
      <c r="AC3" s="266">
        <v>2</v>
      </c>
      <c r="AD3" s="24">
        <f>L3</f>
        <v>13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ミミ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ca="1">AF3</f>
        <v>1</v>
      </c>
      <c r="AJ3" s="8">
        <v>10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>B4&amp;"_"&amp;C4&amp;"-"&amp;G4&amp;"/"&amp;L4&amp;"&lt;lv"&amp;R4&amp;"&gt;s"&amp;AC4</f>
        <v>40041_1-1/68&lt;lv60&gt;s2</v>
      </c>
      <c r="B4" s="22">
        <v>40041</v>
      </c>
      <c r="C4" s="21">
        <v>1</v>
      </c>
      <c r="D4" s="2" t="str">
        <f>B4&amp;"_"&amp;C4</f>
        <v>40041_1</v>
      </c>
      <c r="E4" s="4" t="str">
        <f ca="1">VLOOKUP($B4,OFFSET([2]quests!$A$1,0,0,COUNTA([2]quests!$A:$A),MATCH(E$1,[2]quests!$1:$1,0)-MATCH($B$1,[2]quests!$1:$1,0)+1),MATCH(E$1,[2]quests!$1:$1,0)-MATCH($B$1,[2]quests!$1:$1,0)+1,FALSE)</f>
        <v>ポーラとダニー襲来！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【超絶級】ポーラとダニー襲来！</v>
      </c>
      <c r="G4" s="21">
        <v>1</v>
      </c>
      <c r="H4" s="15" t="str">
        <f>B4&amp;"_"&amp;C4&amp;"-"&amp;G4</f>
        <v>40041_1-1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20">
        <v>68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ストール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60">
        <v>1.2</v>
      </c>
      <c r="T4" s="15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21830.399999999998</v>
      </c>
      <c r="U4" s="260">
        <v>0.5</v>
      </c>
      <c r="V4" s="15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1690.5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4" s="263">
        <v>40041003</v>
      </c>
      <c r="Z4" s="6">
        <v>1</v>
      </c>
      <c r="AA4" s="6">
        <v>100</v>
      </c>
      <c r="AB4" s="6">
        <v>0</v>
      </c>
      <c r="AC4" s="266">
        <v>2</v>
      </c>
      <c r="AD4" s="24">
        <f>L4</f>
        <v>68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ca="1">AF4</f>
        <v>2</v>
      </c>
      <c r="AJ4" s="8">
        <v>10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ref="A5:A10" si="0">B5&amp;"_"&amp;C5&amp;"-"&amp;G5&amp;"/"&amp;L5&amp;"&lt;lv"&amp;R5&amp;"&gt;s"&amp;AC5</f>
        <v>40041_1-1/5&lt;lv60&gt;s2</v>
      </c>
      <c r="B5" s="22">
        <v>40041</v>
      </c>
      <c r="C5" s="21">
        <v>1</v>
      </c>
      <c r="D5" s="2" t="str">
        <f t="shared" ref="D5:D10" si="1">B5&amp;"_"&amp;C5</f>
        <v>40041_1</v>
      </c>
      <c r="E5" s="4" t="str">
        <f ca="1">VLOOKUP($B5,OFFSET([2]quests!$A$1,0,0,COUNTA([2]quests!$A:$A),MATCH(E$1,[2]quests!$1:$1,0)-MATCH($B$1,[2]quests!$1:$1,0)+1),MATCH(E$1,[2]quests!$1:$1,0)-MATCH($B$1,[2]quests!$1:$1,0)+1,FALSE)</f>
        <v>ポーラとダニー襲来！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【超絶級】ポーラとダニー襲来！</v>
      </c>
      <c r="G5" s="21">
        <v>1</v>
      </c>
      <c r="H5" s="15" t="str">
        <f t="shared" ref="H5:H10" si="2">B5&amp;"_"&amp;C5&amp;"-"&amp;G5</f>
        <v>40041_1-1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パトドッグ ポチ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60">
        <v>2.2000000000000002</v>
      </c>
      <c r="T5" s="15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21648</v>
      </c>
      <c r="U5" s="260">
        <v>0.7</v>
      </c>
      <c r="V5" s="15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1974.6999999999998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5" s="263">
        <v>40041002</v>
      </c>
      <c r="Z5" s="6">
        <v>1</v>
      </c>
      <c r="AA5" s="6">
        <v>100</v>
      </c>
      <c r="AB5" s="6">
        <v>0</v>
      </c>
      <c r="AC5" s="266">
        <v>2</v>
      </c>
      <c r="AD5" s="24">
        <f t="shared" ref="AD5:AD7" si="3">L5</f>
        <v>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ref="AI5:AI10" ca="1" si="4">AF5</f>
        <v>1</v>
      </c>
      <c r="AJ5" s="8">
        <v>10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40041_1-2/597&lt;lv60&gt;s1</v>
      </c>
      <c r="B6" s="22">
        <v>40041</v>
      </c>
      <c r="C6" s="21">
        <v>1</v>
      </c>
      <c r="D6" s="2" t="str">
        <f t="shared" si="1"/>
        <v>40041_1</v>
      </c>
      <c r="E6" s="4" t="str">
        <f ca="1">VLOOKUP($B6,OFFSET([2]quests!$A$1,0,0,COUNTA([2]quests!$A:$A),MATCH(E$1,[2]quests!$1:$1,0)-MATCH($B$1,[2]quests!$1:$1,0)+1),MATCH(E$1,[2]quests!$1:$1,0)-MATCH($B$1,[2]quests!$1:$1,0)+1,FALSE)</f>
        <v>ポーラとダニー襲来！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【超絶級】ポーラとダニー襲来！</v>
      </c>
      <c r="G6" s="21">
        <v>2</v>
      </c>
      <c r="H6" s="15" t="str">
        <f t="shared" si="2"/>
        <v>40041_1-2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20">
        <v>597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灼熱の魂 ムスペルヘイム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60">
        <v>2</v>
      </c>
      <c r="T6" s="15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150306</v>
      </c>
      <c r="U6" s="260">
        <v>1</v>
      </c>
      <c r="V6" s="15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6297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6" s="263">
        <v>40041005</v>
      </c>
      <c r="Z6" s="6">
        <v>0</v>
      </c>
      <c r="AA6" s="113">
        <v>80</v>
      </c>
      <c r="AB6" s="6">
        <v>1</v>
      </c>
      <c r="AC6" s="266">
        <v>1</v>
      </c>
      <c r="AD6" s="24">
        <f t="shared" si="3"/>
        <v>597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灼熱の魂 ムスペルヘイム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40041_1-2/124&lt;lv60&gt;s2</v>
      </c>
      <c r="B7" s="22">
        <v>40041</v>
      </c>
      <c r="C7" s="21">
        <v>1</v>
      </c>
      <c r="D7" s="2" t="str">
        <f t="shared" si="1"/>
        <v>40041_1</v>
      </c>
      <c r="E7" s="4" t="str">
        <f ca="1">VLOOKUP($B7,OFFSET([2]quests!$A$1,0,0,COUNTA([2]quests!$A:$A),MATCH(E$1,[2]quests!$1:$1,0)-MATCH($B$1,[2]quests!$1:$1,0)+1),MATCH(E$1,[2]quests!$1:$1,0)-MATCH($B$1,[2]quests!$1:$1,0)+1,FALSE)</f>
        <v>ポーラとダニー襲来！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【超絶級】ポーラとダニー襲来！</v>
      </c>
      <c r="G7" s="21">
        <v>2</v>
      </c>
      <c r="H7" s="15" t="str">
        <f t="shared" si="2"/>
        <v>40041_1-2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110">
        <v>124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黄金の果実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60</v>
      </c>
      <c r="S7" s="260">
        <v>0.5</v>
      </c>
      <c r="T7" s="15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5966.5</v>
      </c>
      <c r="U7" s="260">
        <v>0.4</v>
      </c>
      <c r="V7" s="15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1610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フィーバーゲージ増加</v>
      </c>
      <c r="Y7" s="263">
        <v>40041008</v>
      </c>
      <c r="Z7" s="6">
        <v>0</v>
      </c>
      <c r="AA7" s="111">
        <v>20</v>
      </c>
      <c r="AB7" s="6">
        <v>1</v>
      </c>
      <c r="AC7" s="266">
        <v>2</v>
      </c>
      <c r="AD7" s="24">
        <f t="shared" si="3"/>
        <v>124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黄金の果実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40041_1-3/179&lt;lv60&gt;s1</v>
      </c>
      <c r="B8" s="22">
        <v>40041</v>
      </c>
      <c r="C8" s="21">
        <v>1</v>
      </c>
      <c r="D8" s="2" t="str">
        <f t="shared" si="1"/>
        <v>40041_1</v>
      </c>
      <c r="E8" s="4" t="str">
        <f ca="1">VLOOKUP($B8,OFFSET([2]quests!$A$1,0,0,COUNTA([2]quests!$A:$A),MATCH(E$1,[2]quests!$1:$1,0)-MATCH($B$1,[2]quests!$1:$1,0)+1),MATCH(E$1,[2]quests!$1:$1,0)-MATCH($B$1,[2]quests!$1:$1,0)+1,FALSE)</f>
        <v>ポーラとダニー襲来！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【超絶級】ポーラとダニー襲来！</v>
      </c>
      <c r="G8" s="21">
        <v>3</v>
      </c>
      <c r="H8" s="15" t="str">
        <f t="shared" si="2"/>
        <v>40041_1-3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2</v>
      </c>
      <c r="L8" s="20">
        <v>179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番犬 ケルベロス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60">
        <v>2</v>
      </c>
      <c r="T8" s="15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159900</v>
      </c>
      <c r="U8" s="260">
        <v>1</v>
      </c>
      <c r="V8" s="15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6997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8" s="263">
        <v>40041011</v>
      </c>
      <c r="Z8" s="6">
        <v>1</v>
      </c>
      <c r="AA8" s="6">
        <v>100</v>
      </c>
      <c r="AB8" s="6">
        <v>0</v>
      </c>
      <c r="AC8" s="266">
        <v>1</v>
      </c>
      <c r="AD8" s="24">
        <v>180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地獄の大門番 ケルベロス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7">
        <v>1</v>
      </c>
      <c r="AI8" s="24">
        <f t="shared" ca="1" si="4"/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40041_1-3/648&lt;lv60&gt;s1</v>
      </c>
      <c r="B9" s="22">
        <v>40041</v>
      </c>
      <c r="C9" s="21">
        <v>1</v>
      </c>
      <c r="D9" s="2" t="str">
        <f t="shared" si="1"/>
        <v>40041_1</v>
      </c>
      <c r="E9" s="4" t="str">
        <f ca="1">VLOOKUP($B9,OFFSET([2]quests!$A$1,0,0,COUNTA([2]quests!$A:$A),MATCH(E$1,[2]quests!$1:$1,0)-MATCH($B$1,[2]quests!$1:$1,0)+1),MATCH(E$1,[2]quests!$1:$1,0)-MATCH($B$1,[2]quests!$1:$1,0)+1,FALSE)</f>
        <v>ポーラとダニー襲来！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【超絶級】ポーラとダニー襲来！</v>
      </c>
      <c r="G9" s="21">
        <v>3</v>
      </c>
      <c r="H9" s="15" t="str">
        <f t="shared" si="2"/>
        <v>40041_1-3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3</v>
      </c>
      <c r="L9" s="20">
        <v>648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パールヴァティ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259">
        <v>60</v>
      </c>
      <c r="S9" s="261">
        <v>2</v>
      </c>
      <c r="T9" s="15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153504</v>
      </c>
      <c r="U9" s="261">
        <v>1</v>
      </c>
      <c r="V9" s="15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8291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9" s="263">
        <v>40041009</v>
      </c>
      <c r="Z9" s="6">
        <v>1</v>
      </c>
      <c r="AA9" s="6">
        <v>100</v>
      </c>
      <c r="AB9" s="6">
        <v>0</v>
      </c>
      <c r="AC9" s="267">
        <v>1</v>
      </c>
      <c r="AD9" s="24">
        <f t="shared" ref="AD9:AD10" si="5">L9</f>
        <v>648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パールヴァティ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thickBot="1" x14ac:dyDescent="0.2">
      <c r="A10" s="16" t="str">
        <f t="shared" si="0"/>
        <v>40041_1-4/1282&lt;lv60&gt;s2</v>
      </c>
      <c r="B10" s="114">
        <v>40041</v>
      </c>
      <c r="C10" s="105">
        <v>1</v>
      </c>
      <c r="D10" s="107" t="str">
        <f t="shared" si="1"/>
        <v>40041_1</v>
      </c>
      <c r="E10" s="115" t="str">
        <f ca="1">VLOOKUP($B10,OFFSET([2]quests!$A$1,0,0,COUNTA([2]quests!$A:$A),MATCH(E$1,[2]quests!$1:$1,0)-MATCH($B$1,[2]quests!$1:$1,0)+1),MATCH(E$1,[2]quests!$1:$1,0)-MATCH($B$1,[2]quests!$1:$1,0)+1,FALSE)</f>
        <v>ポーラとダニー襲来！</v>
      </c>
      <c r="F10" s="115" t="str">
        <f ca="1">VLOOKUP($D10,OFFSET([2]stages!$A$1,0,0,COUNTA([2]stages!$A:$A),MATCH(F$1,[2]stages!$2:$2,0)-MATCH($D$1,[2]stages!$2:$2,0)+1),MATCH(F$1,[2]stages!$2:$2,0)-MATCH($D$1,[2]stages!$2:$2,0)+1,FALSE)</f>
        <v>【超絶級】ポーラとダニー襲来！</v>
      </c>
      <c r="G10" s="105">
        <v>4</v>
      </c>
      <c r="H10" s="107" t="str">
        <f t="shared" si="2"/>
        <v>40041_1-4</v>
      </c>
      <c r="I10" s="115">
        <f ca="1">VLOOKUP($H10,OFFSET(floors!$A$1,0,0,COUNTA(floors!$A:$A),MATCH(I$1,floors!$1:$1,0)-MATCH($H$1,floors!$1:$1,0)+1),MATCH(I$1,floors!$1:$1,0)-MATCH($H$1,floors!$1:$1,0)+1,FALSE)</f>
        <v>60</v>
      </c>
      <c r="J10" s="115">
        <f ca="1">VLOOKUP($H10,OFFSET(floors!$A$1,0,0,COUNTA(floors!$A:$A),MATCH(J$1,floors!$1:$1,0)-MATCH($H$1,floors!$1:$1,0)+1),MATCH(J$1,floors!$1:$1,0)-MATCH($H$1,floors!$1:$1,0)+1,FALSE)</f>
        <v>60</v>
      </c>
      <c r="K10" s="108">
        <v>4</v>
      </c>
      <c r="L10" s="116">
        <v>1282</v>
      </c>
      <c r="M10" s="117" t="str">
        <f ca="1">VLOOKUP($L10,OFFSET([3]enemies!$A$1,0,0,COUNTA([3]enemies!$A:$A),MATCH(M$1,[3]enemies!$1:$1,0)-MATCH($L$1,[3]enemies!$1:$1,0)+1),MATCH(M$1,[3]enemies!$1:$1,0)-MATCH($L$1,[3]enemies!$1:$1,0)+1,FALSE)</f>
        <v>ポーラとダニー</v>
      </c>
      <c r="N10" s="1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17">
        <f ca="1">VLOOKUP($L10,OFFSET([3]enemies!$A$1,0,0,COUNTA([3]enemies!$A:$A),MATCH(Q$1,[3]enemies!$1:$1,0)-MATCH($L$1,[3]enemies!$1:$1,0)+1),MATCH(Q$1,[3]enemies!$1:$1,0)-MATCH($L$1,[3]enemies!$1:$1,0)+1,FALSE)</f>
        <v>60</v>
      </c>
      <c r="R10" s="118">
        <v>60</v>
      </c>
      <c r="S10" s="268">
        <v>3.4</v>
      </c>
      <c r="T10" s="15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319923</v>
      </c>
      <c r="U10" s="262">
        <v>1</v>
      </c>
      <c r="V10" s="31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6165</v>
      </c>
      <c r="W10" s="118">
        <v>0</v>
      </c>
      <c r="X10" s="115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『オレたちのマジカルガトリング砲で_x000D_　みんなカワイクしちまおうぜェ！』</v>
      </c>
      <c r="Y10" s="264">
        <v>40041013</v>
      </c>
      <c r="Z10" s="119">
        <v>1</v>
      </c>
      <c r="AA10" s="119">
        <v>100</v>
      </c>
      <c r="AB10" s="119">
        <v>1</v>
      </c>
      <c r="AC10" s="162">
        <v>2</v>
      </c>
      <c r="AD10" s="120">
        <f t="shared" si="5"/>
        <v>1282</v>
      </c>
      <c r="AE10" s="115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ポーラとダニー</v>
      </c>
      <c r="AF10" s="115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115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03">
        <v>1</v>
      </c>
      <c r="AI10" s="120">
        <f t="shared" ca="1" si="4"/>
        <v>5</v>
      </c>
      <c r="AJ10" s="121">
        <v>15</v>
      </c>
      <c r="AK10" s="103">
        <v>0</v>
      </c>
      <c r="AL10" s="103">
        <v>0</v>
      </c>
      <c r="AM10" s="103">
        <v>0</v>
      </c>
      <c r="AN10" s="103">
        <v>0</v>
      </c>
      <c r="AO10" s="103">
        <v>1</v>
      </c>
      <c r="AP10" s="122">
        <v>1</v>
      </c>
    </row>
    <row r="11" spans="1:42" ht="21" customHeight="1" thickTop="1" x14ac:dyDescent="0.15">
      <c r="A11" s="16" t="str">
        <f>B11&amp;"_"&amp;C11&amp;"-"&amp;G11&amp;"/"&amp;L11&amp;"&lt;lv"&amp;R11&amp;"&gt;s"&amp;AC11</f>
        <v>40041_2-1/21&lt;lv80&gt;s2</v>
      </c>
      <c r="B11" s="123">
        <v>40041</v>
      </c>
      <c r="C11" s="124">
        <v>2</v>
      </c>
      <c r="D11" s="124" t="str">
        <f>B11&amp;"_"&amp;C11</f>
        <v>40041_2</v>
      </c>
      <c r="E11" s="125" t="str">
        <f ca="1">VLOOKUP($B11,OFFSET([2]quests!$A$1,0,0,COUNTA([2]quests!$A:$A),MATCH(E$1,[2]quests!$1:$1,0)-MATCH($B$1,[2]quests!$1:$1,0)+1),MATCH(E$1,[2]quests!$1:$1,0)-MATCH($B$1,[2]quests!$1:$1,0)+1,FALSE)</f>
        <v>ポーラとダニー襲来！</v>
      </c>
      <c r="F11" s="125" t="str">
        <f ca="1">VLOOKUP($D11,OFFSET([2]stages!$A$1,0,0,COUNTA([2]stages!$A:$A),MATCH(F$1,[2]stages!$2:$2,0)-MATCH($D$1,[2]stages!$2:$2,0)+1),MATCH(F$1,[2]stages!$2:$2,0)-MATCH($D$1,[2]stages!$2:$2,0)+1,FALSE)</f>
        <v>【ｳｨｻﾞ】ポーラとダニー襲来！</v>
      </c>
      <c r="G11" s="124">
        <v>1</v>
      </c>
      <c r="H11" s="126" t="str">
        <f>B11&amp;"_"&amp;C11&amp;"-"&amp;G11</f>
        <v>40041_2-1</v>
      </c>
      <c r="I11" s="125">
        <f ca="1">VLOOKUP($H11,OFFSET(floors!$A$1,0,0,COUNTA(floors!$A:$A),MATCH(I$1,floors!$1:$1,0)-MATCH($H$1,floors!$1:$1,0)+1),MATCH(I$1,floors!$1:$1,0)-MATCH($H$1,floors!$1:$1,0)+1,FALSE)</f>
        <v>60</v>
      </c>
      <c r="J11" s="125">
        <f ca="1">VLOOKUP($H11,OFFSET(floors!$A$1,0,0,COUNTA(floors!$A:$A),MATCH(J$1,floors!$1:$1,0)-MATCH($H$1,floors!$1:$1,0)+1),MATCH(J$1,floors!$1:$1,0)-MATCH($H$1,floors!$1:$1,0)+1,FALSE)</f>
        <v>60</v>
      </c>
      <c r="K11" s="127" t="s">
        <v>53</v>
      </c>
      <c r="L11" s="124">
        <v>21</v>
      </c>
      <c r="M11" s="167" t="str">
        <f ca="1">VLOOKUP($L11,OFFSET([3]enemies!$A$1,0,0,COUNTA([3]enemies!$A:$A),MATCH(M$1,[3]enemies!$1:$1,0)-MATCH($L$1,[3]enemies!$1:$1,0)+1),MATCH(M$1,[3]enemies!$1:$1,0)-MATCH($L$1,[3]enemies!$1:$1,0)+1,FALSE)</f>
        <v>ヴェロキー</v>
      </c>
      <c r="N11" s="16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67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67">
        <f ca="1">VLOOKUP($L11,OFFSET([3]enemies!$A$1,0,0,COUNTA([3]enemies!$A:$A),MATCH(Q$1,[3]enemies!$1:$1,0)-MATCH($L$1,[3]enemies!$1:$1,0)+1),MATCH(Q$1,[3]enemies!$1:$1,0)-MATCH($L$1,[3]enemies!$1:$1,0)+1,FALSE)</f>
        <v>15</v>
      </c>
      <c r="R11" s="129">
        <v>80</v>
      </c>
      <c r="S11" s="258">
        <v>1.3</v>
      </c>
      <c r="T11" s="30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35334</v>
      </c>
      <c r="U11" s="258">
        <v>0.9</v>
      </c>
      <c r="V11" s="30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4197.6000000000004</v>
      </c>
      <c r="W11" s="129">
        <v>0</v>
      </c>
      <c r="X11" s="136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みな何者かによって_x000D_姿を変えられてしまったようだ…</v>
      </c>
      <c r="Y11" s="131">
        <v>40041004</v>
      </c>
      <c r="Z11" s="112">
        <v>1</v>
      </c>
      <c r="AA11" s="112">
        <v>100</v>
      </c>
      <c r="AB11" s="112">
        <v>0</v>
      </c>
      <c r="AC11" s="128">
        <v>2</v>
      </c>
      <c r="AD11" s="135">
        <f>L11</f>
        <v>21</v>
      </c>
      <c r="AE11" s="136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ヴェロキー</v>
      </c>
      <c r="AF11" s="136">
        <f ca="1">VLOOKUP($AD11,OFFSET([4]characters!$A$1,0,0,COUNTA([4]characters!$A:$A),MATCH(AF$1,[4]characters!$1:$1,0)-MATCH("character_id",[4]characters!$1:$1,0)+1),MATCH(AF$1,[4]characters!$1:$1,0)-MATCH("character_id",[4]characters!$1:$1,0)+1,FALSE)</f>
        <v>1</v>
      </c>
      <c r="AG11" s="136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132">
        <v>1</v>
      </c>
      <c r="AI11" s="135">
        <f ca="1">AF11</f>
        <v>1</v>
      </c>
      <c r="AJ11" s="133">
        <v>10</v>
      </c>
      <c r="AK11" s="132">
        <v>0</v>
      </c>
      <c r="AL11" s="132">
        <v>0</v>
      </c>
      <c r="AM11" s="132">
        <v>0</v>
      </c>
      <c r="AN11" s="132">
        <v>0</v>
      </c>
      <c r="AO11" s="132">
        <v>1</v>
      </c>
      <c r="AP11" s="134">
        <v>1</v>
      </c>
    </row>
    <row r="12" spans="1:42" ht="21" customHeight="1" x14ac:dyDescent="0.15">
      <c r="A12" s="16" t="str">
        <f>B12&amp;"_"&amp;C12&amp;"-"&amp;G12&amp;"/"&amp;L12&amp;"&lt;lv"&amp;R12&amp;"&gt;s"&amp;AC12</f>
        <v>40041_2-1/13&lt;lv80&gt;s2</v>
      </c>
      <c r="B12" s="123">
        <v>40041</v>
      </c>
      <c r="C12" s="124">
        <v>2</v>
      </c>
      <c r="D12" s="124" t="str">
        <f>B12&amp;"_"&amp;C12</f>
        <v>40041_2</v>
      </c>
      <c r="E12" s="125" t="str">
        <f ca="1">VLOOKUP($B12,OFFSET([2]quests!$A$1,0,0,COUNTA([2]quests!$A:$A),MATCH(E$1,[2]quests!$1:$1,0)-MATCH($B$1,[2]quests!$1:$1,0)+1),MATCH(E$1,[2]quests!$1:$1,0)-MATCH($B$1,[2]quests!$1:$1,0)+1,FALSE)</f>
        <v>ポーラとダニー襲来！</v>
      </c>
      <c r="F12" s="125" t="str">
        <f ca="1">VLOOKUP($D12,OFFSET([2]stages!$A$1,0,0,COUNTA([2]stages!$A:$A),MATCH(F$1,[2]stages!$2:$2,0)-MATCH($D$1,[2]stages!$2:$2,0)+1),MATCH(F$1,[2]stages!$2:$2,0)-MATCH($D$1,[2]stages!$2:$2,0)+1,FALSE)</f>
        <v>【ｳｨｻﾞ】ポーラとダニー襲来！</v>
      </c>
      <c r="G12" s="124">
        <v>1</v>
      </c>
      <c r="H12" s="126" t="str">
        <f>B12&amp;"_"&amp;C12&amp;"-"&amp;G12</f>
        <v>40041_2-1</v>
      </c>
      <c r="I12" s="125">
        <f ca="1">VLOOKUP($H12,OFFSET(floors!$A$1,0,0,COUNTA(floors!$A:$A),MATCH(I$1,floors!$1:$1,0)-MATCH($H$1,floors!$1:$1,0)+1),MATCH(I$1,floors!$1:$1,0)-MATCH($H$1,floors!$1:$1,0)+1,FALSE)</f>
        <v>60</v>
      </c>
      <c r="J12" s="125">
        <f ca="1">VLOOKUP($H12,OFFSET(floors!$A$1,0,0,COUNTA(floors!$A:$A),MATCH(J$1,floors!$1:$1,0)-MATCH($H$1,floors!$1:$1,0)+1),MATCH(J$1,floors!$1:$1,0)-MATCH($H$1,floors!$1:$1,0)+1,FALSE)</f>
        <v>60</v>
      </c>
      <c r="K12" s="127" t="s">
        <v>53</v>
      </c>
      <c r="L12" s="124">
        <v>13</v>
      </c>
      <c r="M12" s="167" t="str">
        <f ca="1">VLOOKUP($L12,OFFSET([3]enemies!$A$1,0,0,COUNTA([3]enemies!$A:$A),MATCH(M$1,[3]enemies!$1:$1,0)-MATCH($L$1,[3]enemies!$1:$1,0)+1),MATCH(M$1,[3]enemies!$1:$1,0)-MATCH($L$1,[3]enemies!$1:$1,0)+1,FALSE)</f>
        <v>ミミ</v>
      </c>
      <c r="N12" s="16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6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67">
        <f ca="1">VLOOKUP($L12,OFFSET([3]enemies!$A$1,0,0,COUNTA([3]enemies!$A:$A),MATCH(Q$1,[3]enemies!$1:$1,0)-MATCH($L$1,[3]enemies!$1:$1,0)+1),MATCH(Q$1,[3]enemies!$1:$1,0)-MATCH($L$1,[3]enemies!$1:$1,0)+1,FALSE)</f>
        <v>15</v>
      </c>
      <c r="R12" s="129">
        <v>80</v>
      </c>
      <c r="S12" s="130">
        <v>1.9</v>
      </c>
      <c r="T12" s="137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30350.6</v>
      </c>
      <c r="U12" s="130">
        <v>0.5</v>
      </c>
      <c r="V12" s="137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3613</v>
      </c>
      <c r="W12" s="129">
        <v>0</v>
      </c>
      <c r="X12" s="136" t="str">
        <f ca="1">VLOOKUP($Y12,OFFSET(enemy_skill_sets!$B$1,0,0,COUNTA(enemy_skill_sets!$B:$B),MATCH(M$1,enemy_skill_sets!$1:$1,0)-MATCH($Y$1,enemy_skill_sets!$1:$1,0)+2),MATCH(M$1,enemy_skill_sets!$1:$1,0)-MATCH($Y$1,enemy_skill_sets!$1:$1,0)+2,FALSE)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12" s="131">
        <v>40041001</v>
      </c>
      <c r="Z12" s="112">
        <v>1</v>
      </c>
      <c r="AA12" s="112">
        <v>100</v>
      </c>
      <c r="AB12" s="112">
        <v>0</v>
      </c>
      <c r="AC12" s="128">
        <v>2</v>
      </c>
      <c r="AD12" s="135">
        <f>L12</f>
        <v>13</v>
      </c>
      <c r="AE12" s="136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ミミ</v>
      </c>
      <c r="AF12" s="136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136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132">
        <v>1</v>
      </c>
      <c r="AI12" s="135">
        <f ca="1">AF12</f>
        <v>1</v>
      </c>
      <c r="AJ12" s="133">
        <v>10</v>
      </c>
      <c r="AK12" s="132">
        <v>0</v>
      </c>
      <c r="AL12" s="132">
        <v>0</v>
      </c>
      <c r="AM12" s="132">
        <v>0</v>
      </c>
      <c r="AN12" s="132">
        <v>0</v>
      </c>
      <c r="AO12" s="132">
        <v>1</v>
      </c>
      <c r="AP12" s="134">
        <v>1</v>
      </c>
    </row>
    <row r="13" spans="1:42" ht="21" customHeight="1" x14ac:dyDescent="0.15">
      <c r="A13" s="16" t="str">
        <f>B13&amp;"_"&amp;C13&amp;"-"&amp;G13&amp;"/"&amp;L13&amp;"&lt;lv"&amp;R13&amp;"&gt;s"&amp;AC13</f>
        <v>40041_2-1/68&lt;lv80&gt;s2</v>
      </c>
      <c r="B13" s="123">
        <v>40041</v>
      </c>
      <c r="C13" s="124">
        <v>2</v>
      </c>
      <c r="D13" s="124" t="str">
        <f>B13&amp;"_"&amp;C13</f>
        <v>40041_2</v>
      </c>
      <c r="E13" s="125" t="str">
        <f ca="1">VLOOKUP($B13,OFFSET([2]quests!$A$1,0,0,COUNTA([2]quests!$A:$A),MATCH(E$1,[2]quests!$1:$1,0)-MATCH($B$1,[2]quests!$1:$1,0)+1),MATCH(E$1,[2]quests!$1:$1,0)-MATCH($B$1,[2]quests!$1:$1,0)+1,FALSE)</f>
        <v>ポーラとダニー襲来！</v>
      </c>
      <c r="F13" s="125" t="str">
        <f ca="1">VLOOKUP($D13,OFFSET([2]stages!$A$1,0,0,COUNTA([2]stages!$A:$A),MATCH(F$1,[2]stages!$2:$2,0)-MATCH($D$1,[2]stages!$2:$2,0)+1),MATCH(F$1,[2]stages!$2:$2,0)-MATCH($D$1,[2]stages!$2:$2,0)+1,FALSE)</f>
        <v>【ｳｨｻﾞ】ポーラとダニー襲来！</v>
      </c>
      <c r="G13" s="124">
        <v>1</v>
      </c>
      <c r="H13" s="126" t="str">
        <f>B13&amp;"_"&amp;C13&amp;"-"&amp;G13</f>
        <v>40041_2-1</v>
      </c>
      <c r="I13" s="125">
        <f ca="1">VLOOKUP($H13,OFFSET(floors!$A$1,0,0,COUNTA(floors!$A:$A),MATCH(I$1,floors!$1:$1,0)-MATCH($H$1,floors!$1:$1,0)+1),MATCH(I$1,floors!$1:$1,0)-MATCH($H$1,floors!$1:$1,0)+1,FALSE)</f>
        <v>60</v>
      </c>
      <c r="J13" s="125">
        <f ca="1">VLOOKUP($H13,OFFSET(floors!$A$1,0,0,COUNTA(floors!$A:$A),MATCH(J$1,floors!$1:$1,0)-MATCH($H$1,floors!$1:$1,0)+1),MATCH(J$1,floors!$1:$1,0)-MATCH($H$1,floors!$1:$1,0)+1,FALSE)</f>
        <v>60</v>
      </c>
      <c r="K13" s="127" t="s">
        <v>53</v>
      </c>
      <c r="L13" s="124">
        <v>68</v>
      </c>
      <c r="M13" s="167" t="str">
        <f ca="1">VLOOKUP($L13,OFFSET([3]enemies!$A$1,0,0,COUNTA([3]enemies!$A:$A),MATCH(M$1,[3]enemies!$1:$1,0)-MATCH($L$1,[3]enemies!$1:$1,0)+1),MATCH(M$1,[3]enemies!$1:$1,0)-MATCH($L$1,[3]enemies!$1:$1,0)+1,FALSE)</f>
        <v>ストール</v>
      </c>
      <c r="N13" s="16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6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67">
        <f ca="1">VLOOKUP($L13,OFFSET([3]enemies!$A$1,0,0,COUNTA([3]enemies!$A:$A),MATCH(Q$1,[3]enemies!$1:$1,0)-MATCH($L$1,[3]enemies!$1:$1,0)+1),MATCH(Q$1,[3]enemies!$1:$1,0)-MATCH($L$1,[3]enemies!$1:$1,0)+1,FALSE)</f>
        <v>15</v>
      </c>
      <c r="R13" s="129">
        <v>80</v>
      </c>
      <c r="S13" s="130">
        <v>1.2</v>
      </c>
      <c r="T13" s="137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28929.599999999999</v>
      </c>
      <c r="U13" s="130">
        <v>0.5</v>
      </c>
      <c r="V13" s="137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2240.5</v>
      </c>
      <c r="W13" s="129">
        <v>0</v>
      </c>
      <c r="X13" s="136" t="str">
        <f ca="1">VLOOKUP($Y13,OFFSET(enemy_skill_sets!$B$1,0,0,COUNTA(enemy_skill_sets!$B:$B),MATCH(M$1,enemy_skill_sets!$1:$1,0)-MATCH($Y$1,enemy_skill_sets!$1:$1,0)+2),MATCH(M$1,enemy_skill_sets!$1:$1,0)-MATCH($Y$1,enemy_skill_sets!$1:$1,0)+2,FALSE)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13" s="131">
        <v>40041003</v>
      </c>
      <c r="Z13" s="112">
        <v>1</v>
      </c>
      <c r="AA13" s="112">
        <v>100</v>
      </c>
      <c r="AB13" s="112">
        <v>0</v>
      </c>
      <c r="AC13" s="128">
        <v>2</v>
      </c>
      <c r="AD13" s="135">
        <f>L13</f>
        <v>68</v>
      </c>
      <c r="AE13" s="136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13" s="136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136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132">
        <v>1</v>
      </c>
      <c r="AI13" s="135">
        <f ca="1">AF13</f>
        <v>2</v>
      </c>
      <c r="AJ13" s="133">
        <v>10</v>
      </c>
      <c r="AK13" s="132">
        <v>0</v>
      </c>
      <c r="AL13" s="132">
        <v>0</v>
      </c>
      <c r="AM13" s="132">
        <v>0</v>
      </c>
      <c r="AN13" s="132">
        <v>0</v>
      </c>
      <c r="AO13" s="132">
        <v>1</v>
      </c>
      <c r="AP13" s="134">
        <v>1</v>
      </c>
    </row>
    <row r="14" spans="1:42" ht="21" customHeight="1" x14ac:dyDescent="0.15">
      <c r="A14" s="16" t="str">
        <f t="shared" ref="A14:A19" si="6">B14&amp;"_"&amp;C14&amp;"-"&amp;G14&amp;"/"&amp;L14&amp;"&lt;lv"&amp;R14&amp;"&gt;s"&amp;AC14</f>
        <v>40041_2-1/5&lt;lv80&gt;s2</v>
      </c>
      <c r="B14" s="123">
        <v>40041</v>
      </c>
      <c r="C14" s="124">
        <v>2</v>
      </c>
      <c r="D14" s="124" t="str">
        <f t="shared" ref="D14:D19" si="7">B14&amp;"_"&amp;C14</f>
        <v>40041_2</v>
      </c>
      <c r="E14" s="125" t="str">
        <f ca="1">VLOOKUP($B14,OFFSET([2]quests!$A$1,0,0,COUNTA([2]quests!$A:$A),MATCH(E$1,[2]quests!$1:$1,0)-MATCH($B$1,[2]quests!$1:$1,0)+1),MATCH(E$1,[2]quests!$1:$1,0)-MATCH($B$1,[2]quests!$1:$1,0)+1,FALSE)</f>
        <v>ポーラとダニー襲来！</v>
      </c>
      <c r="F14" s="125" t="str">
        <f ca="1">VLOOKUP($D14,OFFSET([2]stages!$A$1,0,0,COUNTA([2]stages!$A:$A),MATCH(F$1,[2]stages!$2:$2,0)-MATCH($D$1,[2]stages!$2:$2,0)+1),MATCH(F$1,[2]stages!$2:$2,0)-MATCH($D$1,[2]stages!$2:$2,0)+1,FALSE)</f>
        <v>【ｳｨｻﾞ】ポーラとダニー襲来！</v>
      </c>
      <c r="G14" s="124">
        <v>1</v>
      </c>
      <c r="H14" s="126" t="str">
        <f t="shared" ref="H14:H19" si="8">B14&amp;"_"&amp;C14&amp;"-"&amp;G14</f>
        <v>40041_2-1</v>
      </c>
      <c r="I14" s="125">
        <f ca="1">VLOOKUP($H14,OFFSET(floors!$A$1,0,0,COUNTA(floors!$A:$A),MATCH(I$1,floors!$1:$1,0)-MATCH($H$1,floors!$1:$1,0)+1),MATCH(I$1,floors!$1:$1,0)-MATCH($H$1,floors!$1:$1,0)+1,FALSE)</f>
        <v>60</v>
      </c>
      <c r="J14" s="125">
        <f ca="1">VLOOKUP($H14,OFFSET(floors!$A$1,0,0,COUNTA(floors!$A:$A),MATCH(J$1,floors!$1:$1,0)-MATCH($H$1,floors!$1:$1,0)+1),MATCH(J$1,floors!$1:$1,0)-MATCH($H$1,floors!$1:$1,0)+1,FALSE)</f>
        <v>60</v>
      </c>
      <c r="K14" s="127" t="s">
        <v>53</v>
      </c>
      <c r="L14" s="124">
        <v>5</v>
      </c>
      <c r="M14" s="167" t="str">
        <f ca="1">VLOOKUP($L14,OFFSET([3]enemies!$A$1,0,0,COUNTA([3]enemies!$A:$A),MATCH(M$1,[3]enemies!$1:$1,0)-MATCH($L$1,[3]enemies!$1:$1,0)+1),MATCH(M$1,[3]enemies!$1:$1,0)-MATCH($L$1,[3]enemies!$1:$1,0)+1,FALSE)</f>
        <v>パトドッグ ポチ</v>
      </c>
      <c r="N14" s="16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67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6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67">
        <f ca="1">VLOOKUP($L14,OFFSET([3]enemies!$A$1,0,0,COUNTA([3]enemies!$A:$A),MATCH(Q$1,[3]enemies!$1:$1,0)-MATCH($L$1,[3]enemies!$1:$1,0)+1),MATCH(Q$1,[3]enemies!$1:$1,0)-MATCH($L$1,[3]enemies!$1:$1,0)+1,FALSE)</f>
        <v>15</v>
      </c>
      <c r="R14" s="129">
        <v>80</v>
      </c>
      <c r="S14" s="130">
        <v>2.2000000000000002</v>
      </c>
      <c r="T14" s="137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28688.000000000004</v>
      </c>
      <c r="U14" s="130">
        <v>0.7</v>
      </c>
      <c r="V14" s="137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2616.6</v>
      </c>
      <c r="W14" s="129">
        <v>0</v>
      </c>
      <c r="X14" s="136" t="str">
        <f ca="1">VLOOKUP($Y14,OFFSET(enemy_skill_sets!$B$1,0,0,COUNTA(enemy_skill_sets!$B:$B),MATCH(M$1,enemy_skill_sets!$1:$1,0)-MATCH($Y$1,enemy_skill_sets!$1:$1,0)+2),MATCH(M$1,enemy_skill_sets!$1:$1,0)-MATCH($Y$1,enemy_skill_sets!$1:$1,0)+2,FALSE)</f>
        <v>（表示しない）</v>
      </c>
      <c r="Y14" s="131">
        <v>40041002</v>
      </c>
      <c r="Z14" s="112">
        <v>1</v>
      </c>
      <c r="AA14" s="112">
        <v>100</v>
      </c>
      <c r="AB14" s="112">
        <v>0</v>
      </c>
      <c r="AC14" s="128">
        <v>2</v>
      </c>
      <c r="AD14" s="135">
        <f t="shared" ref="AD14:AD16" si="9">L14</f>
        <v>5</v>
      </c>
      <c r="AE14" s="136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14" s="136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136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Drop1T</v>
      </c>
      <c r="AH14" s="132">
        <v>1</v>
      </c>
      <c r="AI14" s="135">
        <f t="shared" ref="AI14:AI19" ca="1" si="10">AF14</f>
        <v>1</v>
      </c>
      <c r="AJ14" s="133">
        <v>10</v>
      </c>
      <c r="AK14" s="132">
        <v>0</v>
      </c>
      <c r="AL14" s="132">
        <v>0</v>
      </c>
      <c r="AM14" s="132">
        <v>0</v>
      </c>
      <c r="AN14" s="132">
        <v>0</v>
      </c>
      <c r="AO14" s="132">
        <v>1</v>
      </c>
      <c r="AP14" s="134">
        <v>1</v>
      </c>
    </row>
    <row r="15" spans="1:42" ht="21" customHeight="1" x14ac:dyDescent="0.15">
      <c r="A15" s="16" t="str">
        <f t="shared" si="6"/>
        <v>40041_2-2/597&lt;lv80&gt;s1</v>
      </c>
      <c r="B15" s="123">
        <v>40041</v>
      </c>
      <c r="C15" s="124">
        <v>2</v>
      </c>
      <c r="D15" s="124" t="str">
        <f t="shared" si="7"/>
        <v>40041_2</v>
      </c>
      <c r="E15" s="125" t="str">
        <f ca="1">VLOOKUP($B15,OFFSET([2]quests!$A$1,0,0,COUNTA([2]quests!$A:$A),MATCH(E$1,[2]quests!$1:$1,0)-MATCH($B$1,[2]quests!$1:$1,0)+1),MATCH(E$1,[2]quests!$1:$1,0)-MATCH($B$1,[2]quests!$1:$1,0)+1,FALSE)</f>
        <v>ポーラとダニー襲来！</v>
      </c>
      <c r="F15" s="125" t="str">
        <f ca="1">VLOOKUP($D15,OFFSET([2]stages!$A$1,0,0,COUNTA([2]stages!$A:$A),MATCH(F$1,[2]stages!$2:$2,0)-MATCH($D$1,[2]stages!$2:$2,0)+1),MATCH(F$1,[2]stages!$2:$2,0)-MATCH($D$1,[2]stages!$2:$2,0)+1,FALSE)</f>
        <v>【ｳｨｻﾞ】ポーラとダニー襲来！</v>
      </c>
      <c r="G15" s="124">
        <v>2</v>
      </c>
      <c r="H15" s="126" t="str">
        <f t="shared" si="8"/>
        <v>40041_2-2</v>
      </c>
      <c r="I15" s="125">
        <f ca="1">VLOOKUP($H15,OFFSET(floors!$A$1,0,0,COUNTA(floors!$A:$A),MATCH(I$1,floors!$1:$1,0)-MATCH($H$1,floors!$1:$1,0)+1),MATCH(I$1,floors!$1:$1,0)-MATCH($H$1,floors!$1:$1,0)+1,FALSE)</f>
        <v>60</v>
      </c>
      <c r="J15" s="125">
        <f ca="1">VLOOKUP($H15,OFFSET(floors!$A$1,0,0,COUNTA(floors!$A:$A),MATCH(J$1,floors!$1:$1,0)-MATCH($H$1,floors!$1:$1,0)+1),MATCH(J$1,floors!$1:$1,0)-MATCH($H$1,floors!$1:$1,0)+1,FALSE)</f>
        <v>60</v>
      </c>
      <c r="K15" s="127">
        <v>5</v>
      </c>
      <c r="L15" s="124">
        <v>597</v>
      </c>
      <c r="M15" s="167" t="str">
        <f ca="1">VLOOKUP($L15,OFFSET([3]enemies!$A$1,0,0,COUNTA([3]enemies!$A:$A),MATCH(M$1,[3]enemies!$1:$1,0)-MATCH($L$1,[3]enemies!$1:$1,0)+1),MATCH(M$1,[3]enemies!$1:$1,0)-MATCH($L$1,[3]enemies!$1:$1,0)+1,FALSE)</f>
        <v>灼熱の魂 ムスペルヘイム</v>
      </c>
      <c r="N15" s="16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6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6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67">
        <f ca="1">VLOOKUP($L15,OFFSET([3]enemies!$A$1,0,0,COUNTA([3]enemies!$A:$A),MATCH(Q$1,[3]enemies!$1:$1,0)-MATCH($L$1,[3]enemies!$1:$1,0)+1),MATCH(Q$1,[3]enemies!$1:$1,0)-MATCH($L$1,[3]enemies!$1:$1,0)+1,FALSE)</f>
        <v>30</v>
      </c>
      <c r="R15" s="129">
        <v>80</v>
      </c>
      <c r="S15" s="130">
        <v>2</v>
      </c>
      <c r="T15" s="137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199186</v>
      </c>
      <c r="U15" s="130">
        <v>1</v>
      </c>
      <c r="V15" s="137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8345</v>
      </c>
      <c r="W15" s="129">
        <v>0</v>
      </c>
      <c r="X15" s="136" t="str">
        <f ca="1">VLOOKUP($Y15,OFFSET(enemy_skill_sets!$B$1,0,0,COUNTA(enemy_skill_sets!$B:$B),MATCH(M$1,enemy_skill_sets!$1:$1,0)-MATCH($Y$1,enemy_skill_sets!$1:$1,0)+2),MATCH(M$1,enemy_skill_sets!$1:$1,0)-MATCH($Y$1,enemy_skill_sets!$1:$1,0)+2,FALSE)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15" s="131">
        <v>40041005</v>
      </c>
      <c r="Z15" s="112">
        <v>0</v>
      </c>
      <c r="AA15" s="112">
        <v>80</v>
      </c>
      <c r="AB15" s="112">
        <v>1</v>
      </c>
      <c r="AC15" s="128">
        <v>1</v>
      </c>
      <c r="AD15" s="135">
        <f t="shared" si="9"/>
        <v>597</v>
      </c>
      <c r="AE15" s="136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灼熱の魂 ムスペルヘイム</v>
      </c>
      <c r="AF15" s="136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136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132">
        <v>1</v>
      </c>
      <c r="AI15" s="135">
        <f t="shared" ca="1" si="10"/>
        <v>4</v>
      </c>
      <c r="AJ15" s="133">
        <v>0</v>
      </c>
      <c r="AK15" s="132">
        <v>0</v>
      </c>
      <c r="AL15" s="132">
        <v>0</v>
      </c>
      <c r="AM15" s="132">
        <v>0</v>
      </c>
      <c r="AN15" s="132">
        <v>0</v>
      </c>
      <c r="AO15" s="132">
        <v>1</v>
      </c>
      <c r="AP15" s="134">
        <v>1</v>
      </c>
    </row>
    <row r="16" spans="1:42" ht="21" customHeight="1" x14ac:dyDescent="0.15">
      <c r="A16" s="16" t="str">
        <f t="shared" si="6"/>
        <v>40041_2-2/124&lt;lv80&gt;s2</v>
      </c>
      <c r="B16" s="123">
        <v>40041</v>
      </c>
      <c r="C16" s="124">
        <v>2</v>
      </c>
      <c r="D16" s="124" t="str">
        <f t="shared" si="7"/>
        <v>40041_2</v>
      </c>
      <c r="E16" s="125" t="str">
        <f ca="1">VLOOKUP($B16,OFFSET([2]quests!$A$1,0,0,COUNTA([2]quests!$A:$A),MATCH(E$1,[2]quests!$1:$1,0)-MATCH($B$1,[2]quests!$1:$1,0)+1),MATCH(E$1,[2]quests!$1:$1,0)-MATCH($B$1,[2]quests!$1:$1,0)+1,FALSE)</f>
        <v>ポーラとダニー襲来！</v>
      </c>
      <c r="F16" s="125" t="str">
        <f ca="1">VLOOKUP($D16,OFFSET([2]stages!$A$1,0,0,COUNTA([2]stages!$A:$A),MATCH(F$1,[2]stages!$2:$2,0)-MATCH($D$1,[2]stages!$2:$2,0)+1),MATCH(F$1,[2]stages!$2:$2,0)-MATCH($D$1,[2]stages!$2:$2,0)+1,FALSE)</f>
        <v>【ｳｨｻﾞ】ポーラとダニー襲来！</v>
      </c>
      <c r="G16" s="124">
        <v>2</v>
      </c>
      <c r="H16" s="126" t="str">
        <f t="shared" si="8"/>
        <v>40041_2-2</v>
      </c>
      <c r="I16" s="125">
        <f ca="1">VLOOKUP($H16,OFFSET(floors!$A$1,0,0,COUNTA(floors!$A:$A),MATCH(I$1,floors!$1:$1,0)-MATCH($H$1,floors!$1:$1,0)+1),MATCH(I$1,floors!$1:$1,0)-MATCH($H$1,floors!$1:$1,0)+1,FALSE)</f>
        <v>60</v>
      </c>
      <c r="J16" s="125">
        <f ca="1">VLOOKUP($H16,OFFSET(floors!$A$1,0,0,COUNTA(floors!$A:$A),MATCH(J$1,floors!$1:$1,0)-MATCH($H$1,floors!$1:$1,0)+1),MATCH(J$1,floors!$1:$1,0)-MATCH($H$1,floors!$1:$1,0)+1,FALSE)</f>
        <v>60</v>
      </c>
      <c r="K16" s="127" t="s">
        <v>53</v>
      </c>
      <c r="L16" s="110">
        <v>124</v>
      </c>
      <c r="M16" s="167" t="str">
        <f ca="1">VLOOKUP($L16,OFFSET([3]enemies!$A$1,0,0,COUNTA([3]enemies!$A:$A),MATCH(M$1,[3]enemies!$1:$1,0)-MATCH($L$1,[3]enemies!$1:$1,0)+1),MATCH(M$1,[3]enemies!$1:$1,0)-MATCH($L$1,[3]enemies!$1:$1,0)+1,FALSE)</f>
        <v>黄金の果実</v>
      </c>
      <c r="N16" s="16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67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6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67">
        <f ca="1">VLOOKUP($L16,OFFSET([3]enemies!$A$1,0,0,COUNTA([3]enemies!$A:$A),MATCH(Q$1,[3]enemies!$1:$1,0)-MATCH($L$1,[3]enemies!$1:$1,0)+1),MATCH(Q$1,[3]enemies!$1:$1,0)-MATCH($L$1,[3]enemies!$1:$1,0)+1,FALSE)</f>
        <v>20</v>
      </c>
      <c r="R16" s="129">
        <v>80</v>
      </c>
      <c r="S16" s="130">
        <v>0.5</v>
      </c>
      <c r="T16" s="137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7907</v>
      </c>
      <c r="U16" s="130">
        <v>0.5</v>
      </c>
      <c r="V16" s="137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2667</v>
      </c>
      <c r="W16" s="129">
        <v>0</v>
      </c>
      <c r="X16" s="136" t="str">
        <f ca="1">VLOOKUP($Y16,OFFSET(enemy_skill_sets!$B$1,0,0,COUNTA(enemy_skill_sets!$B:$B),MATCH(M$1,enemy_skill_sets!$1:$1,0)-MATCH($Y$1,enemy_skill_sets!$1:$1,0)+2),MATCH(M$1,enemy_skill_sets!$1:$1,0)-MATCH($Y$1,enemy_skill_sets!$1:$1,0)+2,FALSE)</f>
        <v>フィーバーゲージ増加</v>
      </c>
      <c r="Y16" s="131">
        <v>40041008</v>
      </c>
      <c r="Z16" s="112">
        <v>0</v>
      </c>
      <c r="AA16" s="111">
        <v>20</v>
      </c>
      <c r="AB16" s="112">
        <v>1</v>
      </c>
      <c r="AC16" s="128">
        <v>2</v>
      </c>
      <c r="AD16" s="135">
        <f t="shared" si="9"/>
        <v>124</v>
      </c>
      <c r="AE16" s="136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黄金の果実</v>
      </c>
      <c r="AF16" s="136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136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6" s="132">
        <v>1</v>
      </c>
      <c r="AI16" s="135">
        <f t="shared" ca="1" si="10"/>
        <v>3</v>
      </c>
      <c r="AJ16" s="133">
        <v>0</v>
      </c>
      <c r="AK16" s="132">
        <v>0</v>
      </c>
      <c r="AL16" s="132">
        <v>0</v>
      </c>
      <c r="AM16" s="132">
        <v>0</v>
      </c>
      <c r="AN16" s="132">
        <v>0</v>
      </c>
      <c r="AO16" s="132">
        <v>1</v>
      </c>
      <c r="AP16" s="134">
        <v>1</v>
      </c>
    </row>
    <row r="17" spans="1:42" ht="21" customHeight="1" x14ac:dyDescent="0.15">
      <c r="A17" s="16" t="str">
        <f t="shared" si="6"/>
        <v>40041_2-3/179&lt;lv80&gt;s1</v>
      </c>
      <c r="B17" s="123">
        <v>40041</v>
      </c>
      <c r="C17" s="124">
        <v>2</v>
      </c>
      <c r="D17" s="124" t="str">
        <f t="shared" si="7"/>
        <v>40041_2</v>
      </c>
      <c r="E17" s="125" t="str">
        <f ca="1">VLOOKUP($B17,OFFSET([2]quests!$A$1,0,0,COUNTA([2]quests!$A:$A),MATCH(E$1,[2]quests!$1:$1,0)-MATCH($B$1,[2]quests!$1:$1,0)+1),MATCH(E$1,[2]quests!$1:$1,0)-MATCH($B$1,[2]quests!$1:$1,0)+1,FALSE)</f>
        <v>ポーラとダニー襲来！</v>
      </c>
      <c r="F17" s="125" t="str">
        <f ca="1">VLOOKUP($D17,OFFSET([2]stages!$A$1,0,0,COUNTA([2]stages!$A:$A),MATCH(F$1,[2]stages!$2:$2,0)-MATCH($D$1,[2]stages!$2:$2,0)+1),MATCH(F$1,[2]stages!$2:$2,0)-MATCH($D$1,[2]stages!$2:$2,0)+1,FALSE)</f>
        <v>【ｳｨｻﾞ】ポーラとダニー襲来！</v>
      </c>
      <c r="G17" s="124">
        <v>3</v>
      </c>
      <c r="H17" s="126" t="str">
        <f t="shared" si="8"/>
        <v>40041_2-3</v>
      </c>
      <c r="I17" s="125">
        <f ca="1">VLOOKUP($H17,OFFSET(floors!$A$1,0,0,COUNTA(floors!$A:$A),MATCH(I$1,floors!$1:$1,0)-MATCH($H$1,floors!$1:$1,0)+1),MATCH(I$1,floors!$1:$1,0)-MATCH($H$1,floors!$1:$1,0)+1,FALSE)</f>
        <v>60</v>
      </c>
      <c r="J17" s="125">
        <f ca="1">VLOOKUP($H17,OFFSET(floors!$A$1,0,0,COUNTA(floors!$A:$A),MATCH(J$1,floors!$1:$1,0)-MATCH($H$1,floors!$1:$1,0)+1),MATCH(J$1,floors!$1:$1,0)-MATCH($H$1,floors!$1:$1,0)+1,FALSE)</f>
        <v>60</v>
      </c>
      <c r="K17" s="127">
        <v>6</v>
      </c>
      <c r="L17" s="124">
        <v>179</v>
      </c>
      <c r="M17" s="167" t="str">
        <f ca="1">VLOOKUP($L17,OFFSET([3]enemies!$A$1,0,0,COUNTA([3]enemies!$A:$A),MATCH(M$1,[3]enemies!$1:$1,0)-MATCH($L$1,[3]enemies!$1:$1,0)+1),MATCH(M$1,[3]enemies!$1:$1,0)-MATCH($L$1,[3]enemies!$1:$1,0)+1,FALSE)</f>
        <v>番犬 ケルベロス</v>
      </c>
      <c r="N17" s="16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67" t="str">
        <f ca="1">VLOOKUP($L17,OFFSET([4]characters!$A$1,0,0,COUNTA([4]characters!$A:$A),MATCH(O$1,[4]characters!$1:$1,0)-MATCH($L$1,[4]characters!$1:$1,0)+1),MATCH(O$1,[4]characters!$1:$1,0)-MATCH($L$1,[4]characters!$1:$1,0)+1,FALSE)</f>
        <v>PremiumN</v>
      </c>
      <c r="P17" s="16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67">
        <f ca="1">VLOOKUP($L17,OFFSET([3]enemies!$A$1,0,0,COUNTA([3]enemies!$A:$A),MATCH(Q$1,[3]enemies!$1:$1,0)-MATCH($L$1,[3]enemies!$1:$1,0)+1),MATCH(Q$1,[3]enemies!$1:$1,0)-MATCH($L$1,[3]enemies!$1:$1,0)+1,FALSE)</f>
        <v>30</v>
      </c>
      <c r="R17" s="129">
        <v>80</v>
      </c>
      <c r="S17" s="130">
        <v>2</v>
      </c>
      <c r="T17" s="137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211900</v>
      </c>
      <c r="U17" s="130">
        <v>1</v>
      </c>
      <c r="V17" s="137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9272</v>
      </c>
      <c r="W17" s="129">
        <v>0</v>
      </c>
      <c r="X17" s="136" t="str">
        <f ca="1">VLOOKUP($Y17,OFFSET(enemy_skill_sets!$B$1,0,0,COUNTA(enemy_skill_sets!$B:$B),MATCH(M$1,enemy_skill_sets!$1:$1,0)-MATCH($Y$1,enemy_skill_sets!$1:$1,0)+2),MATCH(M$1,enemy_skill_sets!$1:$1,0)-MATCH($Y$1,enemy_skill_sets!$1:$1,0)+2,FALSE)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17" s="131">
        <v>40041011</v>
      </c>
      <c r="Z17" s="112">
        <v>1</v>
      </c>
      <c r="AA17" s="112">
        <v>100</v>
      </c>
      <c r="AB17" s="112">
        <v>0</v>
      </c>
      <c r="AC17" s="128">
        <v>1</v>
      </c>
      <c r="AD17" s="135">
        <v>180</v>
      </c>
      <c r="AE17" s="136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地獄の大門番 ケルベロス</v>
      </c>
      <c r="AF17" s="136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136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7" s="132">
        <v>1</v>
      </c>
      <c r="AI17" s="135">
        <f t="shared" ca="1" si="10"/>
        <v>5</v>
      </c>
      <c r="AJ17" s="133">
        <v>0</v>
      </c>
      <c r="AK17" s="132">
        <v>0</v>
      </c>
      <c r="AL17" s="132">
        <v>0</v>
      </c>
      <c r="AM17" s="132">
        <v>0</v>
      </c>
      <c r="AN17" s="132">
        <v>0</v>
      </c>
      <c r="AO17" s="132">
        <v>1</v>
      </c>
      <c r="AP17" s="134">
        <v>1</v>
      </c>
    </row>
    <row r="18" spans="1:42" ht="21" customHeight="1" x14ac:dyDescent="0.15">
      <c r="A18" s="16" t="str">
        <f t="shared" si="6"/>
        <v>40041_2-3/648&lt;lv80&gt;s1</v>
      </c>
      <c r="B18" s="138">
        <v>40041</v>
      </c>
      <c r="C18" s="139">
        <v>2</v>
      </c>
      <c r="D18" s="139" t="str">
        <f t="shared" si="7"/>
        <v>40041_2</v>
      </c>
      <c r="E18" s="140" t="str">
        <f ca="1">VLOOKUP($B18,OFFSET([2]quests!$A$1,0,0,COUNTA([2]quests!$A:$A),MATCH(E$1,[2]quests!$1:$1,0)-MATCH($B$1,[2]quests!$1:$1,0)+1),MATCH(E$1,[2]quests!$1:$1,0)-MATCH($B$1,[2]quests!$1:$1,0)+1,FALSE)</f>
        <v>ポーラとダニー襲来！</v>
      </c>
      <c r="F18" s="140" t="str">
        <f ca="1">VLOOKUP($D18,OFFSET([2]stages!$A$1,0,0,COUNTA([2]stages!$A:$A),MATCH(F$1,[2]stages!$2:$2,0)-MATCH($D$1,[2]stages!$2:$2,0)+1),MATCH(F$1,[2]stages!$2:$2,0)-MATCH($D$1,[2]stages!$2:$2,0)+1,FALSE)</f>
        <v>【ｳｨｻﾞ】ポーラとダニー襲来！</v>
      </c>
      <c r="G18" s="139">
        <v>3</v>
      </c>
      <c r="H18" s="139" t="str">
        <f t="shared" si="8"/>
        <v>40041_2-3</v>
      </c>
      <c r="I18" s="140">
        <f ca="1">VLOOKUP($H18,OFFSET(floors!$A$1,0,0,COUNTA(floors!$A:$A),MATCH(I$1,floors!$1:$1,0)-MATCH($H$1,floors!$1:$1,0)+1),MATCH(I$1,floors!$1:$1,0)-MATCH($H$1,floors!$1:$1,0)+1,FALSE)</f>
        <v>60</v>
      </c>
      <c r="J18" s="140">
        <f ca="1">VLOOKUP($H18,OFFSET(floors!$A$1,0,0,COUNTA(floors!$A:$A),MATCH(J$1,floors!$1:$1,0)-MATCH($H$1,floors!$1:$1,0)+1),MATCH(J$1,floors!$1:$1,0)-MATCH($H$1,floors!$1:$1,0)+1,FALSE)</f>
        <v>60</v>
      </c>
      <c r="K18" s="141">
        <v>7</v>
      </c>
      <c r="L18" s="124">
        <v>648</v>
      </c>
      <c r="M18" s="168" t="str">
        <f ca="1">VLOOKUP($L18,OFFSET([3]enemies!$A$1,0,0,COUNTA([3]enemies!$A:$A),MATCH(M$1,[3]enemies!$1:$1,0)-MATCH($L$1,[3]enemies!$1:$1,0)+1),MATCH(M$1,[3]enemies!$1:$1,0)-MATCH($L$1,[3]enemies!$1:$1,0)+1,FALSE)</f>
        <v>パールヴァティ</v>
      </c>
      <c r="N18" s="168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68" t="str">
        <f ca="1">VLOOKUP($L18,OFFSET([4]characters!$A$1,0,0,COUNTA([4]characters!$A:$A),MATCH(O$1,[4]characters!$1:$1,0)-MATCH($L$1,[4]characters!$1:$1,0)+1),MATCH(O$1,[4]characters!$1:$1,0)-MATCH($L$1,[4]characters!$1:$1,0)+1,FALSE)</f>
        <v>DropWizS</v>
      </c>
      <c r="P18" s="168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68">
        <f ca="1">VLOOKUP($L18,OFFSET([3]enemies!$A$1,0,0,COUNTA([3]enemies!$A:$A),MATCH(Q$1,[3]enemies!$1:$1,0)-MATCH($L$1,[3]enemies!$1:$1,0)+1),MATCH(Q$1,[3]enemies!$1:$1,0)-MATCH($L$1,[3]enemies!$1:$1,0)+1,FALSE)</f>
        <v>30</v>
      </c>
      <c r="R18" s="143">
        <v>80</v>
      </c>
      <c r="S18" s="144">
        <v>2</v>
      </c>
      <c r="T18" s="156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203424</v>
      </c>
      <c r="U18" s="144">
        <v>1</v>
      </c>
      <c r="V18" s="156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10987</v>
      </c>
      <c r="W18" s="143">
        <v>0</v>
      </c>
      <c r="X18" s="153" t="str">
        <f ca="1">VLOOKUP($Y18,OFFSET(enemy_skill_sets!$B$1,0,0,COUNTA(enemy_skill_sets!$B:$B),MATCH(M$1,enemy_skill_sets!$1:$1,0)-MATCH($Y$1,enemy_skill_sets!$1:$1,0)+2),MATCH(M$1,enemy_skill_sets!$1:$1,0)-MATCH($Y$1,enemy_skill_sets!$1:$1,0)+2,FALSE)</f>
        <v>（表示しない）（1ターン強制スリープ）</v>
      </c>
      <c r="Y18" s="131">
        <v>40041009</v>
      </c>
      <c r="Z18" s="145">
        <v>1</v>
      </c>
      <c r="AA18" s="145">
        <v>100</v>
      </c>
      <c r="AB18" s="145">
        <v>0</v>
      </c>
      <c r="AC18" s="142">
        <v>1</v>
      </c>
      <c r="AD18" s="152">
        <f t="shared" ref="AD18:AD19" si="11">L18</f>
        <v>648</v>
      </c>
      <c r="AE18" s="153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パールヴァティ</v>
      </c>
      <c r="AF18" s="153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153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8" s="146">
        <v>1</v>
      </c>
      <c r="AI18" s="152">
        <f t="shared" ca="1" si="10"/>
        <v>4</v>
      </c>
      <c r="AJ18" s="147">
        <v>0</v>
      </c>
      <c r="AK18" s="146">
        <v>0</v>
      </c>
      <c r="AL18" s="146">
        <v>0</v>
      </c>
      <c r="AM18" s="146">
        <v>0</v>
      </c>
      <c r="AN18" s="146">
        <v>0</v>
      </c>
      <c r="AO18" s="146">
        <v>1</v>
      </c>
      <c r="AP18" s="146">
        <v>1</v>
      </c>
    </row>
    <row r="19" spans="1:42" ht="21" customHeight="1" x14ac:dyDescent="0.15">
      <c r="A19" s="16" t="str">
        <f t="shared" si="6"/>
        <v>40041_2-4/1282&lt;lv80&gt;s2</v>
      </c>
      <c r="B19" s="148">
        <v>40041</v>
      </c>
      <c r="C19" s="126">
        <v>2</v>
      </c>
      <c r="D19" s="126" t="str">
        <f t="shared" si="7"/>
        <v>40041_2</v>
      </c>
      <c r="E19" s="149" t="str">
        <f ca="1">VLOOKUP($B19,OFFSET([2]quests!$A$1,0,0,COUNTA([2]quests!$A:$A),MATCH(E$1,[2]quests!$1:$1,0)-MATCH($B$1,[2]quests!$1:$1,0)+1),MATCH(E$1,[2]quests!$1:$1,0)-MATCH($B$1,[2]quests!$1:$1,0)+1,FALSE)</f>
        <v>ポーラとダニー襲来！</v>
      </c>
      <c r="F19" s="149" t="str">
        <f ca="1">VLOOKUP($D19,OFFSET([2]stages!$A$1,0,0,COUNTA([2]stages!$A:$A),MATCH(F$1,[2]stages!$2:$2,0)-MATCH($D$1,[2]stages!$2:$2,0)+1),MATCH(F$1,[2]stages!$2:$2,0)-MATCH($D$1,[2]stages!$2:$2,0)+1,FALSE)</f>
        <v>【ｳｨｻﾞ】ポーラとダニー襲来！</v>
      </c>
      <c r="G19" s="126">
        <v>4</v>
      </c>
      <c r="H19" s="126" t="str">
        <f t="shared" si="8"/>
        <v>40041_2-4</v>
      </c>
      <c r="I19" s="149">
        <f ca="1">VLOOKUP($H19,OFFSET(floors!$A$1,0,0,COUNTA(floors!$A:$A),MATCH(I$1,floors!$1:$1,0)-MATCH($H$1,floors!$1:$1,0)+1),MATCH(I$1,floors!$1:$1,0)-MATCH($H$1,floors!$1:$1,0)+1,FALSE)</f>
        <v>60</v>
      </c>
      <c r="J19" s="149">
        <f ca="1">VLOOKUP($H19,OFFSET(floors!$A$1,0,0,COUNTA(floors!$A:$A),MATCH(J$1,floors!$1:$1,0)-MATCH($H$1,floors!$1:$1,0)+1),MATCH(J$1,floors!$1:$1,0)-MATCH($H$1,floors!$1:$1,0)+1,FALSE)</f>
        <v>60</v>
      </c>
      <c r="K19" s="127">
        <v>8</v>
      </c>
      <c r="L19" s="126">
        <v>1282</v>
      </c>
      <c r="M19" s="155" t="str">
        <f ca="1">VLOOKUP($L19,OFFSET([3]enemies!$A$1,0,0,COUNTA([3]enemies!$A:$A),MATCH(M$1,[3]enemies!$1:$1,0)-MATCH($L$1,[3]enemies!$1:$1,0)+1),MATCH(M$1,[3]enemies!$1:$1,0)-MATCH($L$1,[3]enemies!$1:$1,0)+1,FALSE)</f>
        <v>ポーラとダニー</v>
      </c>
      <c r="N19" s="155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55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55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55">
        <f ca="1">VLOOKUP($L19,OFFSET([3]enemies!$A$1,0,0,COUNTA([3]enemies!$A:$A),MATCH(Q$1,[3]enemies!$1:$1,0)-MATCH($L$1,[3]enemies!$1:$1,0)+1),MATCH(Q$1,[3]enemies!$1:$1,0)-MATCH($L$1,[3]enemies!$1:$1,0)+1,FALSE)</f>
        <v>60</v>
      </c>
      <c r="R19" s="150">
        <v>80</v>
      </c>
      <c r="S19" s="151">
        <v>3.4</v>
      </c>
      <c r="T19" s="137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423963</v>
      </c>
      <c r="U19" s="151">
        <v>1.2</v>
      </c>
      <c r="V19" s="137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9804</v>
      </c>
      <c r="W19" s="150">
        <v>0</v>
      </c>
      <c r="X19" s="155" t="str">
        <f ca="1">VLOOKUP($Y19,OFFSET(enemy_skill_sets!$B$1,0,0,COUNTA(enemy_skill_sets!$B:$B),MATCH(M$1,enemy_skill_sets!$1:$1,0)-MATCH($Y$1,enemy_skill_sets!$1:$1,0)+2),MATCH(M$1,enemy_skill_sets!$1:$1,0)-MATCH($Y$1,enemy_skill_sets!$1:$1,0)+2,FALSE)</f>
        <v>『オレたちのマジカルガトリング砲で_x000D_　みんなカワイクしちまおうぜェ！』</v>
      </c>
      <c r="Y19" s="131">
        <v>40041013</v>
      </c>
      <c r="Z19" s="134">
        <v>1</v>
      </c>
      <c r="AA19" s="134">
        <v>100</v>
      </c>
      <c r="AB19" s="134">
        <v>1</v>
      </c>
      <c r="AC19" s="149">
        <v>2</v>
      </c>
      <c r="AD19" s="154">
        <f t="shared" si="11"/>
        <v>1282</v>
      </c>
      <c r="AE19" s="155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ポーラとダニー</v>
      </c>
      <c r="AF19" s="155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155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134">
        <v>1</v>
      </c>
      <c r="AI19" s="154">
        <f t="shared" ca="1" si="10"/>
        <v>5</v>
      </c>
      <c r="AJ19" s="134">
        <v>30</v>
      </c>
      <c r="AK19" s="134">
        <v>0</v>
      </c>
      <c r="AL19" s="134">
        <v>0</v>
      </c>
      <c r="AM19" s="134">
        <v>0</v>
      </c>
      <c r="AN19" s="134">
        <v>0</v>
      </c>
      <c r="AO19" s="134">
        <v>1</v>
      </c>
      <c r="AP19" s="134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AA1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20" sqref="X20"/>
    </sheetView>
  </sheetViews>
  <sheetFormatPr baseColWidth="12" defaultColWidth="13" defaultRowHeight="21" customHeight="1" outlineLevelCol="1" x14ac:dyDescent="0.15"/>
  <cols>
    <col min="1" max="1" width="24.6640625" style="19" customWidth="1"/>
    <col min="2" max="2" width="11.83203125" style="3" customWidth="1"/>
    <col min="3" max="3" width="9.33203125" style="3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9.33203125" style="3" customWidth="1" collapsed="1"/>
    <col min="8" max="10" width="12.33203125" style="3" hidden="1" customWidth="1" outlineLevel="1"/>
    <col min="11" max="11" width="8.1640625" style="3" customWidth="1"/>
    <col min="12" max="12" width="8.6640625" style="3" customWidth="1"/>
    <col min="13" max="13" width="13" style="9" customWidth="1"/>
    <col min="14" max="14" width="19.33203125" style="3" customWidth="1" outlineLevel="1"/>
    <col min="15" max="15" width="8.1640625" style="3" customWidth="1" outlineLevel="1"/>
    <col min="16" max="17" width="10.33203125" style="3" customWidth="1" outlineLevel="1"/>
    <col min="18" max="18" width="8" style="3" customWidth="1" outlineLevel="1"/>
    <col min="19" max="19" width="7.33203125" style="3" customWidth="1"/>
    <col min="20" max="20" width="14.83203125" style="3" bestFit="1" customWidth="1"/>
    <col min="21" max="21" width="10.33203125" style="3" customWidth="1"/>
    <col min="22" max="22" width="15" style="3" customWidth="1"/>
    <col min="23" max="23" width="11.33203125" style="3" customWidth="1"/>
    <col min="24" max="24" width="11.6640625" style="3" customWidth="1"/>
    <col min="25" max="25" width="18.1640625" style="3" customWidth="1"/>
    <col min="26" max="26" width="14.83203125" style="3" customWidth="1" outlineLevel="1"/>
    <col min="27" max="27" width="8" style="3" customWidth="1"/>
    <col min="28" max="16384" width="13" style="3"/>
  </cols>
  <sheetData>
    <row r="1" spans="1:27" s="34" customFormat="1" ht="21" customHeight="1" x14ac:dyDescent="0.15">
      <c r="A1" s="26" t="s">
        <v>253</v>
      </c>
      <c r="B1" s="25" t="s">
        <v>0</v>
      </c>
      <c r="C1" s="25" t="s">
        <v>1</v>
      </c>
      <c r="D1" s="28" t="s">
        <v>254</v>
      </c>
      <c r="E1" s="28" t="s">
        <v>255</v>
      </c>
      <c r="F1" s="28" t="s">
        <v>255</v>
      </c>
      <c r="G1" s="25" t="s">
        <v>256</v>
      </c>
      <c r="H1" s="28" t="s">
        <v>257</v>
      </c>
      <c r="I1" s="28" t="s">
        <v>14</v>
      </c>
      <c r="J1" s="28" t="s">
        <v>15</v>
      </c>
      <c r="K1" s="35" t="s">
        <v>258</v>
      </c>
      <c r="L1" s="35" t="s">
        <v>259</v>
      </c>
      <c r="M1" s="35" t="s">
        <v>2</v>
      </c>
      <c r="N1" s="30" t="s">
        <v>260</v>
      </c>
      <c r="O1" s="28" t="s">
        <v>261</v>
      </c>
      <c r="P1" s="28" t="s">
        <v>262</v>
      </c>
      <c r="Q1" s="31" t="s">
        <v>263</v>
      </c>
      <c r="R1" s="28" t="s">
        <v>264</v>
      </c>
      <c r="S1" s="25" t="s">
        <v>3</v>
      </c>
      <c r="T1" s="25" t="s">
        <v>265</v>
      </c>
      <c r="U1" s="100" t="s">
        <v>266</v>
      </c>
      <c r="V1" s="25" t="s">
        <v>267</v>
      </c>
      <c r="W1" s="100" t="s">
        <v>268</v>
      </c>
      <c r="X1" s="25" t="s">
        <v>269</v>
      </c>
      <c r="Y1" s="25" t="s">
        <v>270</v>
      </c>
      <c r="Z1" s="28" t="s">
        <v>271</v>
      </c>
      <c r="AA1" s="25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40041_1-2/42&lt;lv60&gt;sq1st2</v>
      </c>
      <c r="B2" s="22">
        <v>40041</v>
      </c>
      <c r="C2" s="109">
        <v>1</v>
      </c>
      <c r="D2" s="15" t="str">
        <f>B2&amp;"_"&amp;C2</f>
        <v>40041_1</v>
      </c>
      <c r="E2" s="4" t="str">
        <f ca="1">VLOOKUP($B2,OFFSET([2]quests!$A$1,0,0,COUNTA([2]quests!$A:$A),MATCH(E$1,[2]quests!$1:$1,0)-MATCH($B$1,[2]quests!$1:$1,0)+1),MATCH(E$1,[2]quests!$1:$1,0)-MATCH($B$1,[2]quests!$1:$1,0)+1,FALSE)</f>
        <v>ポーラとダニー襲来！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【超絶級】ポーラとダニー襲来！</v>
      </c>
      <c r="G2" s="109">
        <v>2</v>
      </c>
      <c r="H2" s="15" t="str">
        <f>B2&amp;"_"&amp;C2&amp;"-"&amp;G2</f>
        <v>40041_1-2</v>
      </c>
      <c r="I2" s="4" t="e">
        <v>#N/A</v>
      </c>
      <c r="J2" s="4" t="e">
        <v>#N/A</v>
      </c>
      <c r="K2" s="37">
        <v>1</v>
      </c>
      <c r="L2" s="37">
        <v>2</v>
      </c>
      <c r="M2" s="160">
        <v>42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燃えゆる吐息 ヒュウガ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60</v>
      </c>
      <c r="T2" s="309">
        <v>3.4</v>
      </c>
      <c r="U2" s="15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158708.6</v>
      </c>
      <c r="V2" s="309">
        <v>1.3</v>
      </c>
      <c r="W2" s="15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12026.300000000001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って、俺…小さくなってる！？_x000D_どうなってやがる！</v>
      </c>
      <c r="Z2" s="270">
        <v>40041006</v>
      </c>
      <c r="AA2" s="159">
        <v>2</v>
      </c>
    </row>
    <row r="3" spans="1:27" ht="21" customHeight="1" x14ac:dyDescent="0.15">
      <c r="A3" s="16" t="str">
        <f t="shared" ref="A3:A7" si="0">B3&amp;"_"&amp;C3&amp;"-"&amp;G3&amp;"/"&amp;M3&amp;"&lt;lv"&amp;S3&amp;"&gt;sq"&amp;K3&amp;"st"&amp;L3</f>
        <v>40041_1-2/510&lt;lv60&gt;sq1st3</v>
      </c>
      <c r="B3" s="22">
        <v>40041</v>
      </c>
      <c r="C3" s="109">
        <v>1</v>
      </c>
      <c r="D3" s="15" t="str">
        <f t="shared" ref="D3:D7" si="1">B3&amp;"_"&amp;C3</f>
        <v>40041_1</v>
      </c>
      <c r="E3" s="4" t="str">
        <f ca="1">VLOOKUP($B3,OFFSET([2]quests!$A$1,0,0,COUNTA([2]quests!$A:$A),MATCH(E$1,[2]quests!$1:$1,0)-MATCH($B$1,[2]quests!$1:$1,0)+1),MATCH(E$1,[2]quests!$1:$1,0)-MATCH($B$1,[2]quests!$1:$1,0)+1,FALSE)</f>
        <v>ポーラとダニー襲来！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【超絶級】ポーラとダニー襲来！</v>
      </c>
      <c r="G3" s="109">
        <v>2</v>
      </c>
      <c r="H3" s="15" t="str">
        <f t="shared" ref="H3:H7" si="2">B3&amp;"_"&amp;C3&amp;"-"&amp;G3</f>
        <v>40041_1-2</v>
      </c>
      <c r="I3" s="4" t="e">
        <v>#N/A</v>
      </c>
      <c r="J3" s="4" t="e">
        <v>#N/A</v>
      </c>
      <c r="K3" s="37">
        <v>1</v>
      </c>
      <c r="L3" s="37">
        <v>3</v>
      </c>
      <c r="M3" s="160">
        <v>510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燃えさかる豪息 ヒュウガ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60</v>
      </c>
      <c r="T3" s="260">
        <v>2.5</v>
      </c>
      <c r="U3" s="15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229857.5</v>
      </c>
      <c r="V3" s="260">
        <v>0.5</v>
      </c>
      <c r="W3" s="15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4653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攻撃力&amp;行動頻度UP</v>
      </c>
      <c r="Z3" s="270">
        <v>40041007</v>
      </c>
      <c r="AA3" s="159">
        <v>1</v>
      </c>
    </row>
    <row r="4" spans="1:27" ht="21" customHeight="1" x14ac:dyDescent="0.15">
      <c r="A4" s="16" t="str">
        <f t="shared" si="0"/>
        <v>40041_1-3/66&lt;lv60&gt;sq2st2</v>
      </c>
      <c r="B4" s="22">
        <v>40041</v>
      </c>
      <c r="C4" s="109">
        <v>1</v>
      </c>
      <c r="D4" s="15" t="str">
        <f t="shared" si="1"/>
        <v>40041_1</v>
      </c>
      <c r="E4" s="4" t="str">
        <f ca="1">VLOOKUP($B4,OFFSET([2]quests!$A$1,0,0,COUNTA([2]quests!$A:$A),MATCH(E$1,[2]quests!$1:$1,0)-MATCH($B$1,[2]quests!$1:$1,0)+1),MATCH(E$1,[2]quests!$1:$1,0)-MATCH($B$1,[2]quests!$1:$1,0)+1,FALSE)</f>
        <v>ポーラとダニー襲来！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【超絶級】ポーラとダニー襲来！</v>
      </c>
      <c r="G4" s="109">
        <v>3</v>
      </c>
      <c r="H4" s="15" t="str">
        <f t="shared" si="2"/>
        <v>40041_1-3</v>
      </c>
      <c r="I4" s="4" t="e">
        <v>#N/A</v>
      </c>
      <c r="J4" s="4" t="e">
        <v>#N/A</v>
      </c>
      <c r="K4" s="37">
        <v>2</v>
      </c>
      <c r="L4" s="37">
        <v>2</v>
      </c>
      <c r="M4" s="160">
        <v>66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探索者 ファイアフォックス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Drop1S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60</v>
      </c>
      <c r="T4" s="260">
        <v>8.1</v>
      </c>
      <c r="U4" s="15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328779</v>
      </c>
      <c r="V4" s="260">
        <v>0.7</v>
      </c>
      <c r="W4" s="15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6475.7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あれ…わたし_x000D_きつねさんになってるですぅ…！</v>
      </c>
      <c r="Z4" s="270">
        <v>40041012</v>
      </c>
      <c r="AA4" s="159">
        <v>2</v>
      </c>
    </row>
    <row r="5" spans="1:27" ht="21" customHeight="1" x14ac:dyDescent="0.15">
      <c r="A5" s="16" t="str">
        <f t="shared" si="0"/>
        <v>40041_1-3/38&lt;lv60&gt;sq3st2</v>
      </c>
      <c r="B5" s="22">
        <v>40041</v>
      </c>
      <c r="C5" s="109">
        <v>1</v>
      </c>
      <c r="D5" s="15" t="str">
        <f t="shared" si="1"/>
        <v>40041_1</v>
      </c>
      <c r="E5" s="4" t="str">
        <f ca="1">VLOOKUP($B5,OFFSET([2]quests!$A$1,0,0,COUNTA([2]quests!$A:$A),MATCH(E$1,[2]quests!$1:$1,0)-MATCH($B$1,[2]quests!$1:$1,0)+1),MATCH(E$1,[2]quests!$1:$1,0)-MATCH($B$1,[2]quests!$1:$1,0)+1,FALSE)</f>
        <v>ポーラとダニー襲来！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【超絶級】ポーラとダニー襲来！</v>
      </c>
      <c r="G5" s="109">
        <v>3</v>
      </c>
      <c r="H5" s="15" t="str">
        <f t="shared" si="2"/>
        <v>40041_1-3</v>
      </c>
      <c r="I5" s="4" t="e">
        <v>#N/A</v>
      </c>
      <c r="J5" s="4" t="e">
        <v>#N/A</v>
      </c>
      <c r="K5" s="37">
        <v>3</v>
      </c>
      <c r="L5" s="37">
        <v>2</v>
      </c>
      <c r="M5" s="160">
        <v>38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通話対応型 ガイル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Drop1S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20</v>
      </c>
      <c r="S5" s="5">
        <v>60</v>
      </c>
      <c r="T5" s="260">
        <v>7.3</v>
      </c>
      <c r="U5" s="15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296307</v>
      </c>
      <c r="V5" s="260">
        <v>0.4</v>
      </c>
      <c r="W5" s="15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2673.2000000000003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なんでこんな格好に…_x000D_信じられない！</v>
      </c>
      <c r="Z5" s="270">
        <v>40041010</v>
      </c>
      <c r="AA5" s="159">
        <v>2</v>
      </c>
    </row>
    <row r="6" spans="1:27" ht="21" customHeight="1" x14ac:dyDescent="0.15">
      <c r="A6" s="16" t="str">
        <f t="shared" si="0"/>
        <v>40041_1-4/1282&lt;lv60&gt;sq4st2</v>
      </c>
      <c r="B6" s="22">
        <v>40041</v>
      </c>
      <c r="C6" s="109">
        <v>1</v>
      </c>
      <c r="D6" s="15" t="str">
        <f t="shared" si="1"/>
        <v>40041_1</v>
      </c>
      <c r="E6" s="4" t="str">
        <f ca="1">VLOOKUP($B6,OFFSET([2]quests!$A$1,0,0,COUNTA([2]quests!$A:$A),MATCH(E$1,[2]quests!$1:$1,0)-MATCH($B$1,[2]quests!$1:$1,0)+1),MATCH(E$1,[2]quests!$1:$1,0)-MATCH($B$1,[2]quests!$1:$1,0)+1,FALSE)</f>
        <v>ポーラとダニー襲来！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【超絶級】ポーラとダニー襲来！</v>
      </c>
      <c r="G6" s="109">
        <v>4</v>
      </c>
      <c r="H6" s="15" t="str">
        <f t="shared" si="2"/>
        <v>40041_1-4</v>
      </c>
      <c r="I6" s="4" t="e">
        <v>#N/A</v>
      </c>
      <c r="J6" s="4" t="e">
        <v>#N/A</v>
      </c>
      <c r="K6" s="37">
        <v>4</v>
      </c>
      <c r="L6" s="37">
        <v>2</v>
      </c>
      <c r="M6" s="160">
        <v>1282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ポーラとダニー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61">
        <v>5.8</v>
      </c>
      <c r="U6" s="15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545751</v>
      </c>
      <c r="V6" s="261">
        <v>0.8</v>
      </c>
      <c r="W6" s="15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4932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『そうすればALICEのトップの座は_x000D_　オレ達のものさァ！』</v>
      </c>
      <c r="Z6" s="270">
        <v>40041014</v>
      </c>
      <c r="AA6" s="271">
        <v>2</v>
      </c>
    </row>
    <row r="7" spans="1:27" ht="21" customHeight="1" thickBot="1" x14ac:dyDescent="0.2">
      <c r="A7" s="102" t="str">
        <f t="shared" si="0"/>
        <v>40041_1-4/1283&lt;lv60&gt;sq4st3</v>
      </c>
      <c r="B7" s="114">
        <v>40041</v>
      </c>
      <c r="C7" s="105">
        <v>1</v>
      </c>
      <c r="D7" s="107" t="str">
        <f t="shared" si="1"/>
        <v>40041_1</v>
      </c>
      <c r="E7" s="115" t="str">
        <f ca="1">VLOOKUP($B7,OFFSET([2]quests!$A$1,0,0,COUNTA([2]quests!$A:$A),MATCH(E$1,[2]quests!$1:$1,0)-MATCH($B$1,[2]quests!$1:$1,0)+1),MATCH(E$1,[2]quests!$1:$1,0)-MATCH($B$1,[2]quests!$1:$1,0)+1,FALSE)</f>
        <v>ポーラとダニー襲来！</v>
      </c>
      <c r="F7" s="115" t="str">
        <f ca="1">VLOOKUP($D7,OFFSET([2]stages!$A$1,0,0,COUNTA([2]stages!$A:$A),MATCH(F$1,[2]stages!$2:$2,0)-MATCH($D$1,[2]stages!$2:$2,0)+1),MATCH(F$1,[2]stages!$2:$2,0)-MATCH($D$1,[2]stages!$2:$2,0)+1,FALSE)</f>
        <v>【超絶級】ポーラとダニー襲来！</v>
      </c>
      <c r="G7" s="105">
        <v>4</v>
      </c>
      <c r="H7" s="107" t="str">
        <f t="shared" si="2"/>
        <v>40041_1-4</v>
      </c>
      <c r="I7" s="115" t="e">
        <v>#N/A</v>
      </c>
      <c r="J7" s="115" t="e">
        <v>#N/A</v>
      </c>
      <c r="K7" s="108">
        <v>4</v>
      </c>
      <c r="L7" s="108">
        <v>3</v>
      </c>
      <c r="M7" s="161">
        <v>1283</v>
      </c>
      <c r="N7" s="117" t="str">
        <f ca="1">VLOOKUP($M7,OFFSET([3]enemies!$A$1,0,0,COUNTA([3]enemies!$A:$A),MATCH(N$1,[3]enemies!$1:$1,0)-MATCH($M$1,[3]enemies!$1:$1,0)+1),MATCH(N$1,[3]enemies!$1:$1,0)-MATCH($M$1,[3]enemies!$1:$1,0)+1,FALSE)</f>
        <v>連極の機関砲 ポーラとダニー</v>
      </c>
      <c r="O7" s="1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17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17">
        <f ca="1">VLOOKUP($M7,OFFSET([3]enemies!$A$1,0,0,COUNTA([3]enemies!$A:$A),MATCH(R$1,[3]enemies!$1:$1,0)-MATCH($M$1,[3]enemies!$1:$1,0)+1),MATCH(R$1,[3]enemies!$1:$1,0)-MATCH($M$1,[3]enemies!$1:$1,0)+1,FALSE)</f>
        <v>60</v>
      </c>
      <c r="S7" s="118">
        <v>60</v>
      </c>
      <c r="T7" s="268">
        <v>3.7</v>
      </c>
      <c r="U7" s="158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348151.5</v>
      </c>
      <c r="V7" s="262">
        <v>0.9</v>
      </c>
      <c r="W7" s="158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5548.5</v>
      </c>
      <c r="X7" s="118">
        <v>0</v>
      </c>
      <c r="Y7" s="115" t="str">
        <f ca="1">VLOOKUP($Z7,OFFSET(enemy_skill_sets!$B$1,0,0,COUNTA(enemy_skill_sets!$B:$B),MATCH(N$1,enemy_skill_sets!$1:$1,0)-MATCH($Z$1,enemy_skill_sets!$1:$1,0)+2),MATCH(N$1,enemy_skill_sets!$1:$1,0)-MATCH($Z$1,enemy_skill_sets!$1:$1,0)+2,FALSE)</f>
        <v>『コイツラはもういいさ_x000D_　やっちまおうぜ！ポーラ！』</v>
      </c>
      <c r="Z7" s="272">
        <v>40041015</v>
      </c>
      <c r="AA7" s="273">
        <v>1</v>
      </c>
    </row>
    <row r="8" spans="1:27" ht="21" customHeight="1" thickTop="1" x14ac:dyDescent="0.15">
      <c r="A8" s="16" t="str">
        <f>B8&amp;"_"&amp;C8&amp;"-"&amp;G8&amp;"/"&amp;M8&amp;"&lt;lv"&amp;S8&amp;"&gt;sq"&amp;K8&amp;"st"&amp;L8</f>
        <v>40041_2-2/42&lt;lv80&gt;sq5st2</v>
      </c>
      <c r="B8" s="123">
        <v>40041</v>
      </c>
      <c r="C8" s="126">
        <v>2</v>
      </c>
      <c r="D8" s="126" t="str">
        <f>B8&amp;"_"&amp;C8</f>
        <v>40041_2</v>
      </c>
      <c r="E8" s="125" t="str">
        <f ca="1">VLOOKUP($B8,OFFSET([2]quests!$A$1,0,0,COUNTA([2]quests!$A:$A),MATCH(E$1,[2]quests!$1:$1,0)-MATCH($B$1,[2]quests!$1:$1,0)+1),MATCH(E$1,[2]quests!$1:$1,0)-MATCH($B$1,[2]quests!$1:$1,0)+1,FALSE)</f>
        <v>ポーラとダニー襲来！</v>
      </c>
      <c r="F8" s="125" t="str">
        <f ca="1">VLOOKUP($D8,OFFSET([2]stages!$A$1,0,0,COUNTA([2]stages!$A:$A),MATCH(F$1,[2]stages!$2:$2,0)-MATCH($D$1,[2]stages!$2:$2,0)+1),MATCH(F$1,[2]stages!$2:$2,0)-MATCH($D$1,[2]stages!$2:$2,0)+1,FALSE)</f>
        <v>【ｳｨｻﾞ】ポーラとダニー襲来！</v>
      </c>
      <c r="G8" s="126">
        <v>2</v>
      </c>
      <c r="H8" s="126" t="str">
        <f>B8&amp;"_"&amp;C8&amp;"-"&amp;G8</f>
        <v>40041_2-2</v>
      </c>
      <c r="I8" s="125" t="e">
        <v>#N/A</v>
      </c>
      <c r="J8" s="125" t="e">
        <v>#N/A</v>
      </c>
      <c r="K8" s="127">
        <v>5</v>
      </c>
      <c r="L8" s="127">
        <v>2</v>
      </c>
      <c r="M8" s="126">
        <v>42</v>
      </c>
      <c r="N8" s="167" t="str">
        <f ca="1">VLOOKUP($M8,OFFSET([3]enemies!$A$1,0,0,COUNTA([3]enemies!$A:$A),MATCH(N$1,[3]enemies!$1:$1,0)-MATCH($M$1,[3]enemies!$1:$1,0)+1),MATCH(N$1,[3]enemies!$1:$1,0)-MATCH($M$1,[3]enemies!$1:$1,0)+1,FALSE)</f>
        <v>燃えゆる吐息 ヒュウガ</v>
      </c>
      <c r="O8" s="16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67" t="str">
        <f ca="1">VLOOKUP($M8,OFFSET([4]characters!$A$1,0,0,COUNTA([4]characters!$A:$A),MATCH(P$1,[4]characters!$1:$1,0)-MATCH($M$1,[4]characters!$1:$1,0)+1),MATCH(P$1,[4]characters!$1:$1,0)-MATCH($M$1,[4]characters!$1:$1,0)+1,FALSE)</f>
        <v>Drop1N</v>
      </c>
      <c r="Q8" s="167" t="str">
        <f ca="1">VLOOKUP($M8,OFFSET([3]enemies!$A$1,0,0,COUNTA([3]enemies!$A:$A),MATCH(Q$1,[3]enemies!$1:$1,0)-MATCH($M$1,[3]enemies!$1:$1,0)+1),MATCH(Q$1,[3]enemies!$1:$1,0)-MATCH($M$1,[3]enemies!$1:$1,0)+1,FALSE)</f>
        <v>dragon</v>
      </c>
      <c r="R8" s="167">
        <f ca="1">VLOOKUP($M8,OFFSET([3]enemies!$A$1,0,0,COUNTA([3]enemies!$A:$A),MATCH(R$1,[3]enemies!$1:$1,0)-MATCH($M$1,[3]enemies!$1:$1,0)+1),MATCH(R$1,[3]enemies!$1:$1,0)-MATCH($M$1,[3]enemies!$1:$1,0)+1,FALSE)</f>
        <v>20</v>
      </c>
      <c r="S8" s="129">
        <v>80</v>
      </c>
      <c r="T8" s="258">
        <v>2.8</v>
      </c>
      <c r="U8" s="308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173205.19999999998</v>
      </c>
      <c r="V8" s="258">
        <v>1.3</v>
      </c>
      <c r="W8" s="137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15936.7</v>
      </c>
      <c r="X8" s="129">
        <v>0</v>
      </c>
      <c r="Y8" s="136" t="str">
        <f ca="1">VLOOKUP($Z8,OFFSET(enemy_skill_sets!$B$1,0,0,COUNTA(enemy_skill_sets!$B:$B),MATCH(N$1,enemy_skill_sets!$1:$1,0)-MATCH($Z$1,enemy_skill_sets!$1:$1,0)+2),MATCH(N$1,enemy_skill_sets!$1:$1,0)-MATCH($Z$1,enemy_skill_sets!$1:$1,0)+2,FALSE)</f>
        <v>って、俺…小さくなってる！？_x000D_どうなってやがる！</v>
      </c>
      <c r="Z8" s="269">
        <v>40041006</v>
      </c>
      <c r="AA8" s="265">
        <v>2</v>
      </c>
    </row>
    <row r="9" spans="1:27" ht="21" customHeight="1" x14ac:dyDescent="0.15">
      <c r="A9" s="16" t="str">
        <f t="shared" ref="A9:A13" si="3">B9&amp;"_"&amp;C9&amp;"-"&amp;G9&amp;"/"&amp;M9&amp;"&lt;lv"&amp;S9&amp;"&gt;sq"&amp;K9&amp;"st"&amp;L9</f>
        <v>40041_2-2/510&lt;lv80&gt;sq5st3</v>
      </c>
      <c r="B9" s="123">
        <v>40041</v>
      </c>
      <c r="C9" s="126">
        <v>2</v>
      </c>
      <c r="D9" s="126" t="str">
        <f t="shared" ref="D9:D13" si="4">B9&amp;"_"&amp;C9</f>
        <v>40041_2</v>
      </c>
      <c r="E9" s="125" t="str">
        <f ca="1">VLOOKUP($B9,OFFSET([2]quests!$A$1,0,0,COUNTA([2]quests!$A:$A),MATCH(E$1,[2]quests!$1:$1,0)-MATCH($B$1,[2]quests!$1:$1,0)+1),MATCH(E$1,[2]quests!$1:$1,0)-MATCH($B$1,[2]quests!$1:$1,0)+1,FALSE)</f>
        <v>ポーラとダニー襲来！</v>
      </c>
      <c r="F9" s="125" t="str">
        <f ca="1">VLOOKUP($D9,OFFSET([2]stages!$A$1,0,0,COUNTA([2]stages!$A:$A),MATCH(F$1,[2]stages!$2:$2,0)-MATCH($D$1,[2]stages!$2:$2,0)+1),MATCH(F$1,[2]stages!$2:$2,0)-MATCH($D$1,[2]stages!$2:$2,0)+1,FALSE)</f>
        <v>【ｳｨｻﾞ】ポーラとダニー襲来！</v>
      </c>
      <c r="G9" s="126">
        <v>2</v>
      </c>
      <c r="H9" s="126" t="str">
        <f t="shared" ref="H9:H13" si="5">B9&amp;"_"&amp;C9&amp;"-"&amp;G9</f>
        <v>40041_2-2</v>
      </c>
      <c r="I9" s="125" t="e">
        <v>#N/A</v>
      </c>
      <c r="J9" s="125" t="e">
        <v>#N/A</v>
      </c>
      <c r="K9" s="127">
        <v>5</v>
      </c>
      <c r="L9" s="127">
        <v>3</v>
      </c>
      <c r="M9" s="126">
        <v>510</v>
      </c>
      <c r="N9" s="167" t="str">
        <f ca="1">VLOOKUP($M9,OFFSET([3]enemies!$A$1,0,0,COUNTA([3]enemies!$A:$A),MATCH(N$1,[3]enemies!$1:$1,0)-MATCH($M$1,[3]enemies!$1:$1,0)+1),MATCH(N$1,[3]enemies!$1:$1,0)-MATCH($M$1,[3]enemies!$1:$1,0)+1,FALSE)</f>
        <v>燃えさかる豪息 ヒュウガ</v>
      </c>
      <c r="O9" s="16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67" t="str">
        <f ca="1">VLOOKUP($M9,OFFSET([4]characters!$A$1,0,0,COUNTA([4]characters!$A:$A),MATCH(P$1,[4]characters!$1:$1,0)-MATCH($M$1,[4]characters!$1:$1,0)+1),MATCH(P$1,[4]characters!$1:$1,0)-MATCH($M$1,[4]characters!$1:$1,0)+1,FALSE)</f>
        <v>Drop2N</v>
      </c>
      <c r="Q9" s="167" t="str">
        <f ca="1">VLOOKUP($M9,OFFSET([3]enemies!$A$1,0,0,COUNTA([3]enemies!$A:$A),MATCH(Q$1,[3]enemies!$1:$1,0)-MATCH($M$1,[3]enemies!$1:$1,0)+1),MATCH(Q$1,[3]enemies!$1:$1,0)-MATCH($M$1,[3]enemies!$1:$1,0)+1,FALSE)</f>
        <v>dragon</v>
      </c>
      <c r="R9" s="167">
        <f ca="1">VLOOKUP($M9,OFFSET([3]enemies!$A$1,0,0,COUNTA([3]enemies!$A:$A),MATCH(R$1,[3]enemies!$1:$1,0)-MATCH($M$1,[3]enemies!$1:$1,0)+1),MATCH(R$1,[3]enemies!$1:$1,0)-MATCH($M$1,[3]enemies!$1:$1,0)+1,FALSE)</f>
        <v>30</v>
      </c>
      <c r="S9" s="129">
        <v>80</v>
      </c>
      <c r="T9" s="130">
        <v>2.5</v>
      </c>
      <c r="U9" s="137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304607.5</v>
      </c>
      <c r="V9" s="130">
        <v>0.5</v>
      </c>
      <c r="W9" s="137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6166</v>
      </c>
      <c r="X9" s="129">
        <v>0</v>
      </c>
      <c r="Y9" s="136" t="str">
        <f ca="1">VLOOKUP($Z9,OFFSET(enemy_skill_sets!$B$1,0,0,COUNTA(enemy_skill_sets!$B:$B),MATCH(N$1,enemy_skill_sets!$1:$1,0)-MATCH($Z$1,enemy_skill_sets!$1:$1,0)+2),MATCH(N$1,enemy_skill_sets!$1:$1,0)-MATCH($Z$1,enemy_skill_sets!$1:$1,0)+2,FALSE)</f>
        <v>攻撃力&amp;行動頻度UP</v>
      </c>
      <c r="Z9" s="164">
        <v>40041007</v>
      </c>
      <c r="AA9" s="165">
        <v>1</v>
      </c>
    </row>
    <row r="10" spans="1:27" ht="21" customHeight="1" x14ac:dyDescent="0.15">
      <c r="A10" s="16" t="str">
        <f t="shared" si="3"/>
        <v>40041_2-3/66&lt;lv80&gt;sq6st2</v>
      </c>
      <c r="B10" s="123">
        <v>40041</v>
      </c>
      <c r="C10" s="126">
        <v>2</v>
      </c>
      <c r="D10" s="126" t="str">
        <f t="shared" si="4"/>
        <v>40041_2</v>
      </c>
      <c r="E10" s="125" t="str">
        <f ca="1">VLOOKUP($B10,OFFSET([2]quests!$A$1,0,0,COUNTA([2]quests!$A:$A),MATCH(E$1,[2]quests!$1:$1,0)-MATCH($B$1,[2]quests!$1:$1,0)+1),MATCH(E$1,[2]quests!$1:$1,0)-MATCH($B$1,[2]quests!$1:$1,0)+1,FALSE)</f>
        <v>ポーラとダニー襲来！</v>
      </c>
      <c r="F10" s="125" t="str">
        <f ca="1">VLOOKUP($D10,OFFSET([2]stages!$A$1,0,0,COUNTA([2]stages!$A:$A),MATCH(F$1,[2]stages!$2:$2,0)-MATCH($D$1,[2]stages!$2:$2,0)+1),MATCH(F$1,[2]stages!$2:$2,0)-MATCH($D$1,[2]stages!$2:$2,0)+1,FALSE)</f>
        <v>【ｳｨｻﾞ】ポーラとダニー襲来！</v>
      </c>
      <c r="G10" s="126">
        <v>3</v>
      </c>
      <c r="H10" s="126" t="str">
        <f t="shared" si="5"/>
        <v>40041_2-3</v>
      </c>
      <c r="I10" s="125" t="e">
        <v>#N/A</v>
      </c>
      <c r="J10" s="125" t="e">
        <v>#N/A</v>
      </c>
      <c r="K10" s="127">
        <v>6</v>
      </c>
      <c r="L10" s="127">
        <v>2</v>
      </c>
      <c r="M10" s="126">
        <v>66</v>
      </c>
      <c r="N10" s="167" t="str">
        <f ca="1">VLOOKUP($M10,OFFSET([3]enemies!$A$1,0,0,COUNTA([3]enemies!$A:$A),MATCH(N$1,[3]enemies!$1:$1,0)-MATCH($M$1,[3]enemies!$1:$1,0)+1),MATCH(N$1,[3]enemies!$1:$1,0)-MATCH($M$1,[3]enemies!$1:$1,0)+1,FALSE)</f>
        <v>探索者 ファイアフォックス</v>
      </c>
      <c r="O10" s="16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67" t="str">
        <f ca="1">VLOOKUP($M10,OFFSET([4]characters!$A$1,0,0,COUNTA([4]characters!$A:$A),MATCH(P$1,[4]characters!$1:$1,0)-MATCH($M$1,[4]characters!$1:$1,0)+1),MATCH(P$1,[4]characters!$1:$1,0)-MATCH($M$1,[4]characters!$1:$1,0)+1,FALSE)</f>
        <v>Drop1S</v>
      </c>
      <c r="Q10" s="167" t="str">
        <f ca="1">VLOOKUP($M10,OFFSET([3]enemies!$A$1,0,0,COUNTA([3]enemies!$A:$A),MATCH(Q$1,[3]enemies!$1:$1,0)-MATCH($M$1,[3]enemies!$1:$1,0)+1),MATCH(Q$1,[3]enemies!$1:$1,0)-MATCH($M$1,[3]enemies!$1:$1,0)+1,FALSE)</f>
        <v>animal</v>
      </c>
      <c r="R10" s="167">
        <f ca="1">VLOOKUP($M10,OFFSET([3]enemies!$A$1,0,0,COUNTA([3]enemies!$A:$A),MATCH(R$1,[3]enemies!$1:$1,0)-MATCH($M$1,[3]enemies!$1:$1,0)+1),MATCH(R$1,[3]enemies!$1:$1,0)-MATCH($M$1,[3]enemies!$1:$1,0)+1,FALSE)</f>
        <v>20</v>
      </c>
      <c r="S10" s="129">
        <v>80</v>
      </c>
      <c r="T10" s="130">
        <v>6.9</v>
      </c>
      <c r="U10" s="137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371151</v>
      </c>
      <c r="V10" s="130">
        <v>0.7</v>
      </c>
      <c r="W10" s="137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8581.2999999999993</v>
      </c>
      <c r="X10" s="129">
        <v>0</v>
      </c>
      <c r="Y10" s="136" t="str">
        <f ca="1">VLOOKUP($Z10,OFFSET(enemy_skill_sets!$B$1,0,0,COUNTA(enemy_skill_sets!$B:$B),MATCH(N$1,enemy_skill_sets!$1:$1,0)-MATCH($Z$1,enemy_skill_sets!$1:$1,0)+2),MATCH(N$1,enemy_skill_sets!$1:$1,0)-MATCH($Z$1,enemy_skill_sets!$1:$1,0)+2,FALSE)</f>
        <v>あれ…わたし_x000D_きつねさんになってるですぅ…！</v>
      </c>
      <c r="Z10" s="164">
        <v>40041012</v>
      </c>
      <c r="AA10" s="165">
        <v>2</v>
      </c>
    </row>
    <row r="11" spans="1:27" ht="21" customHeight="1" x14ac:dyDescent="0.15">
      <c r="A11" s="16" t="str">
        <f t="shared" si="3"/>
        <v>40041_2-3/38&lt;lv80&gt;sq7st2</v>
      </c>
      <c r="B11" s="123">
        <v>40041</v>
      </c>
      <c r="C11" s="126">
        <v>2</v>
      </c>
      <c r="D11" s="126" t="str">
        <f t="shared" si="4"/>
        <v>40041_2</v>
      </c>
      <c r="E11" s="125" t="str">
        <f ca="1">VLOOKUP($B11,OFFSET([2]quests!$A$1,0,0,COUNTA([2]quests!$A:$A),MATCH(E$1,[2]quests!$1:$1,0)-MATCH($B$1,[2]quests!$1:$1,0)+1),MATCH(E$1,[2]quests!$1:$1,0)-MATCH($B$1,[2]quests!$1:$1,0)+1,FALSE)</f>
        <v>ポーラとダニー襲来！</v>
      </c>
      <c r="F11" s="125" t="str">
        <f ca="1">VLOOKUP($D11,OFFSET([2]stages!$A$1,0,0,COUNTA([2]stages!$A:$A),MATCH(F$1,[2]stages!$2:$2,0)-MATCH($D$1,[2]stages!$2:$2,0)+1),MATCH(F$1,[2]stages!$2:$2,0)-MATCH($D$1,[2]stages!$2:$2,0)+1,FALSE)</f>
        <v>【ｳｨｻﾞ】ポーラとダニー襲来！</v>
      </c>
      <c r="G11" s="126">
        <v>3</v>
      </c>
      <c r="H11" s="126" t="str">
        <f t="shared" si="5"/>
        <v>40041_2-3</v>
      </c>
      <c r="I11" s="125" t="e">
        <v>#N/A</v>
      </c>
      <c r="J11" s="125" t="e">
        <v>#N/A</v>
      </c>
      <c r="K11" s="127">
        <v>7</v>
      </c>
      <c r="L11" s="127">
        <v>2</v>
      </c>
      <c r="M11" s="126">
        <v>38</v>
      </c>
      <c r="N11" s="167" t="str">
        <f ca="1">VLOOKUP($M11,OFFSET([3]enemies!$A$1,0,0,COUNTA([3]enemies!$A:$A),MATCH(N$1,[3]enemies!$1:$1,0)-MATCH($M$1,[3]enemies!$1:$1,0)+1),MATCH(N$1,[3]enemies!$1:$1,0)-MATCH($M$1,[3]enemies!$1:$1,0)+1,FALSE)</f>
        <v>通話対応型 ガイル</v>
      </c>
      <c r="O11" s="167" t="str">
        <f ca="1">VLOOKUP($M11,OFFSET([3]enemies!$A$1,0,0,COUNTA([3]enemies!$A:$A),MATCH(O$1,[3]enemies!$1:$1,0)-MATCH($M$1,[3]enemies!$1:$1,0)+1),MATCH(O$1,[3]enemies!$1:$1,0)-MATCH($M$1,[3]enemies!$1:$1,0)+1,FALSE)</f>
        <v>blue</v>
      </c>
      <c r="P11" s="167" t="str">
        <f ca="1">VLOOKUP($M11,OFFSET([4]characters!$A$1,0,0,COUNTA([4]characters!$A:$A),MATCH(P$1,[4]characters!$1:$1,0)-MATCH($M$1,[4]characters!$1:$1,0)+1),MATCH(P$1,[4]characters!$1:$1,0)-MATCH($M$1,[4]characters!$1:$1,0)+1,FALSE)</f>
        <v>Drop1S</v>
      </c>
      <c r="Q11" s="167" t="str">
        <f ca="1">VLOOKUP($M11,OFFSET([3]enemies!$A$1,0,0,COUNTA([3]enemies!$A:$A),MATCH(Q$1,[3]enemies!$1:$1,0)-MATCH($M$1,[3]enemies!$1:$1,0)+1),MATCH(Q$1,[3]enemies!$1:$1,0)-MATCH($M$1,[3]enemies!$1:$1,0)+1,FALSE)</f>
        <v>animal</v>
      </c>
      <c r="R11" s="167">
        <f ca="1">VLOOKUP($M11,OFFSET([3]enemies!$A$1,0,0,COUNTA([3]enemies!$A:$A),MATCH(R$1,[3]enemies!$1:$1,0)-MATCH($M$1,[3]enemies!$1:$1,0)+1),MATCH(R$1,[3]enemies!$1:$1,0)-MATCH($M$1,[3]enemies!$1:$1,0)+1,FALSE)</f>
        <v>20</v>
      </c>
      <c r="S11" s="129">
        <v>80</v>
      </c>
      <c r="T11" s="130">
        <v>6.2</v>
      </c>
      <c r="U11" s="137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333498</v>
      </c>
      <c r="V11" s="130">
        <v>0.4</v>
      </c>
      <c r="W11" s="137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3542.4</v>
      </c>
      <c r="X11" s="129">
        <v>0</v>
      </c>
      <c r="Y11" s="136" t="str">
        <f ca="1">VLOOKUP($Z11,OFFSET(enemy_skill_sets!$B$1,0,0,COUNTA(enemy_skill_sets!$B:$B),MATCH(N$1,enemy_skill_sets!$1:$1,0)-MATCH($Z$1,enemy_skill_sets!$1:$1,0)+2),MATCH(N$1,enemy_skill_sets!$1:$1,0)-MATCH($Z$1,enemy_skill_sets!$1:$1,0)+2,FALSE)</f>
        <v>なんでこんな格好に…_x000D_信じられない！</v>
      </c>
      <c r="Z11" s="164">
        <v>40041010</v>
      </c>
      <c r="AA11" s="165">
        <v>2</v>
      </c>
    </row>
    <row r="12" spans="1:27" ht="21" customHeight="1" x14ac:dyDescent="0.15">
      <c r="A12" s="16" t="str">
        <f t="shared" si="3"/>
        <v>40041_2-4/1282&lt;lv80&gt;sq8st2</v>
      </c>
      <c r="B12" s="138">
        <v>40041</v>
      </c>
      <c r="C12" s="139">
        <v>2</v>
      </c>
      <c r="D12" s="139" t="str">
        <f t="shared" si="4"/>
        <v>40041_2</v>
      </c>
      <c r="E12" s="140" t="str">
        <f ca="1">VLOOKUP($B12,OFFSET([2]quests!$A$1,0,0,COUNTA([2]quests!$A:$A),MATCH(E$1,[2]quests!$1:$1,0)-MATCH($B$1,[2]quests!$1:$1,0)+1),MATCH(E$1,[2]quests!$1:$1,0)-MATCH($B$1,[2]quests!$1:$1,0)+1,FALSE)</f>
        <v>ポーラとダニー襲来！</v>
      </c>
      <c r="F12" s="140" t="str">
        <f ca="1">VLOOKUP($D12,OFFSET([2]stages!$A$1,0,0,COUNTA([2]stages!$A:$A),MATCH(F$1,[2]stages!$2:$2,0)-MATCH($D$1,[2]stages!$2:$2,0)+1),MATCH(F$1,[2]stages!$2:$2,0)-MATCH($D$1,[2]stages!$2:$2,0)+1,FALSE)</f>
        <v>【ｳｨｻﾞ】ポーラとダニー襲来！</v>
      </c>
      <c r="G12" s="139">
        <v>4</v>
      </c>
      <c r="H12" s="139" t="str">
        <f t="shared" si="5"/>
        <v>40041_2-4</v>
      </c>
      <c r="I12" s="140" t="e">
        <v>#N/A</v>
      </c>
      <c r="J12" s="140" t="e">
        <v>#N/A</v>
      </c>
      <c r="K12" s="141">
        <v>8</v>
      </c>
      <c r="L12" s="141">
        <v>2</v>
      </c>
      <c r="M12" s="139">
        <v>1282</v>
      </c>
      <c r="N12" s="168" t="str">
        <f ca="1">VLOOKUP($M12,OFFSET([3]enemies!$A$1,0,0,COUNTA([3]enemies!$A:$A),MATCH(N$1,[3]enemies!$1:$1,0)-MATCH($M$1,[3]enemies!$1:$1,0)+1),MATCH(N$1,[3]enemies!$1:$1,0)-MATCH($M$1,[3]enemies!$1:$1,0)+1,FALSE)</f>
        <v>ポーラとダニー</v>
      </c>
      <c r="O12" s="168" t="str">
        <f ca="1">VLOOKUP($M12,OFFSET([3]enemies!$A$1,0,0,COUNTA([3]enemies!$A:$A),MATCH(O$1,[3]enemies!$1:$1,0)-MATCH($M$1,[3]enemies!$1:$1,0)+1),MATCH(O$1,[3]enemies!$1:$1,0)-MATCH($M$1,[3]enemies!$1:$1,0)+1,FALSE)</f>
        <v>red</v>
      </c>
      <c r="P12" s="168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68" t="str">
        <f ca="1">VLOOKUP($M12,OFFSET([3]enemies!$A$1,0,0,COUNTA([3]enemies!$A:$A),MATCH(Q$1,[3]enemies!$1:$1,0)-MATCH($M$1,[3]enemies!$1:$1,0)+1),MATCH(Q$1,[3]enemies!$1:$1,0)-MATCH($M$1,[3]enemies!$1:$1,0)+1,FALSE)</f>
        <v>unknown</v>
      </c>
      <c r="R12" s="168">
        <f ca="1">VLOOKUP($M12,OFFSET([3]enemies!$A$1,0,0,COUNTA([3]enemies!$A:$A),MATCH(R$1,[3]enemies!$1:$1,0)-MATCH($M$1,[3]enemies!$1:$1,0)+1),MATCH(R$1,[3]enemies!$1:$1,0)-MATCH($M$1,[3]enemies!$1:$1,0)+1,FALSE)</f>
        <v>60</v>
      </c>
      <c r="S12" s="143">
        <v>80</v>
      </c>
      <c r="T12" s="144">
        <v>5.7</v>
      </c>
      <c r="U12" s="156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710761.5</v>
      </c>
      <c r="V12" s="144">
        <v>0.9</v>
      </c>
      <c r="W12" s="156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7353</v>
      </c>
      <c r="X12" s="143">
        <v>0</v>
      </c>
      <c r="Y12" s="153" t="str">
        <f ca="1">VLOOKUP($Z12,OFFSET(enemy_skill_sets!$B$1,0,0,COUNTA(enemy_skill_sets!$B:$B),MATCH(N$1,enemy_skill_sets!$1:$1,0)-MATCH($Z$1,enemy_skill_sets!$1:$1,0)+2),MATCH(N$1,enemy_skill_sets!$1:$1,0)-MATCH($Z$1,enemy_skill_sets!$1:$1,0)+2,FALSE)</f>
        <v>『そうすればALICEのトップの座は_x000D_　オレ達のものさァ！』</v>
      </c>
      <c r="Z12" s="164">
        <v>40041014</v>
      </c>
      <c r="AA12" s="166">
        <v>2</v>
      </c>
    </row>
    <row r="13" spans="1:27" ht="21" customHeight="1" x14ac:dyDescent="0.15">
      <c r="A13" s="163" t="str">
        <f t="shared" si="3"/>
        <v>40041_2-4/1283&lt;lv80&gt;sq8st3</v>
      </c>
      <c r="B13" s="148">
        <v>40041</v>
      </c>
      <c r="C13" s="126">
        <v>2</v>
      </c>
      <c r="D13" s="126" t="str">
        <f t="shared" si="4"/>
        <v>40041_2</v>
      </c>
      <c r="E13" s="149" t="str">
        <f ca="1">VLOOKUP($B13,OFFSET([2]quests!$A$1,0,0,COUNTA([2]quests!$A:$A),MATCH(E$1,[2]quests!$1:$1,0)-MATCH($B$1,[2]quests!$1:$1,0)+1),MATCH(E$1,[2]quests!$1:$1,0)-MATCH($B$1,[2]quests!$1:$1,0)+1,FALSE)</f>
        <v>ポーラとダニー襲来！</v>
      </c>
      <c r="F13" s="149" t="str">
        <f ca="1">VLOOKUP($D13,OFFSET([2]stages!$A$1,0,0,COUNTA([2]stages!$A:$A),MATCH(F$1,[2]stages!$2:$2,0)-MATCH($D$1,[2]stages!$2:$2,0)+1),MATCH(F$1,[2]stages!$2:$2,0)-MATCH($D$1,[2]stages!$2:$2,0)+1,FALSE)</f>
        <v>【ｳｨｻﾞ】ポーラとダニー襲来！</v>
      </c>
      <c r="G13" s="126">
        <v>4</v>
      </c>
      <c r="H13" s="126" t="str">
        <f t="shared" si="5"/>
        <v>40041_2-4</v>
      </c>
      <c r="I13" s="149" t="e">
        <v>#N/A</v>
      </c>
      <c r="J13" s="149" t="e">
        <v>#N/A</v>
      </c>
      <c r="K13" s="127">
        <v>8</v>
      </c>
      <c r="L13" s="127">
        <v>3</v>
      </c>
      <c r="M13" s="126">
        <v>1283</v>
      </c>
      <c r="N13" s="155" t="str">
        <f ca="1">VLOOKUP($M13,OFFSET([3]enemies!$A$1,0,0,COUNTA([3]enemies!$A:$A),MATCH(N$1,[3]enemies!$1:$1,0)-MATCH($M$1,[3]enemies!$1:$1,0)+1),MATCH(N$1,[3]enemies!$1:$1,0)-MATCH($M$1,[3]enemies!$1:$1,0)+1,FALSE)</f>
        <v>連極の機関砲 ポーラとダニー</v>
      </c>
      <c r="O13" s="155" t="str">
        <f ca="1">VLOOKUP($M13,OFFSET([3]enemies!$A$1,0,0,COUNTA([3]enemies!$A:$A),MATCH(O$1,[3]enemies!$1:$1,0)-MATCH($M$1,[3]enemies!$1:$1,0)+1),MATCH(O$1,[3]enemies!$1:$1,0)-MATCH($M$1,[3]enemies!$1:$1,0)+1,FALSE)</f>
        <v>red</v>
      </c>
      <c r="P13" s="155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55" t="str">
        <f ca="1">VLOOKUP($M13,OFFSET([3]enemies!$A$1,0,0,COUNTA([3]enemies!$A:$A),MATCH(Q$1,[3]enemies!$1:$1,0)-MATCH($M$1,[3]enemies!$1:$1,0)+1),MATCH(Q$1,[3]enemies!$1:$1,0)-MATCH($M$1,[3]enemies!$1:$1,0)+1,FALSE)</f>
        <v>unknown</v>
      </c>
      <c r="R13" s="155">
        <f ca="1">VLOOKUP($M13,OFFSET([3]enemies!$A$1,0,0,COUNTA([3]enemies!$A:$A),MATCH(R$1,[3]enemies!$1:$1,0)-MATCH($M$1,[3]enemies!$1:$1,0)+1),MATCH(R$1,[3]enemies!$1:$1,0)-MATCH($M$1,[3]enemies!$1:$1,0)+1,FALSE)</f>
        <v>60</v>
      </c>
      <c r="S13" s="150">
        <v>80</v>
      </c>
      <c r="T13" s="151">
        <v>3.9</v>
      </c>
      <c r="U13" s="137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486310.5</v>
      </c>
      <c r="V13" s="151">
        <v>1</v>
      </c>
      <c r="W13" s="137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8170</v>
      </c>
      <c r="X13" s="150">
        <v>0</v>
      </c>
      <c r="Y13" s="155" t="str">
        <f ca="1">VLOOKUP($Z13,OFFSET(enemy_skill_sets!$B$1,0,0,COUNTA(enemy_skill_sets!$B:$B),MATCH(N$1,enemy_skill_sets!$1:$1,0)-MATCH($Z$1,enemy_skill_sets!$1:$1,0)+2),MATCH(N$1,enemy_skill_sets!$1:$1,0)-MATCH($Z$1,enemy_skill_sets!$1:$1,0)+2,FALSE)</f>
        <v>『コイツラはもういいさ_x000D_　やっちまおうぜ！ポーラ！』</v>
      </c>
      <c r="Z13" s="164">
        <v>40041015</v>
      </c>
      <c r="AA13" s="149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2"/>
  <sheetViews>
    <sheetView showGridLines="0" workbookViewId="0">
      <pane xSplit="5" ySplit="1" topLeftCell="F40" activePane="bottomRight" state="frozen"/>
      <selection pane="topRight"/>
      <selection pane="bottomLeft"/>
      <selection pane="bottomRight" activeCell="B63" sqref="B63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2.5" style="48" customWidth="1"/>
    <col min="3" max="3" width="9.83203125" style="48" customWidth="1"/>
    <col min="4" max="4" width="18.5" style="48" customWidth="1" outlineLevel="1"/>
    <col min="5" max="5" width="44.1640625" style="48" bestFit="1" customWidth="1" outlineLevel="1"/>
    <col min="6" max="6" width="10" style="48" customWidth="1"/>
    <col min="7" max="15" width="12.5" style="48" customWidth="1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40041001_40041001</v>
      </c>
      <c r="B2" s="39">
        <v>40041001</v>
      </c>
      <c r="C2" s="46">
        <v>40041001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あいつらの砲弾を_x000D_浴びたらこんな姿に…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" s="46">
        <v>40041001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41" si="1">B3&amp;"_"&amp;C3</f>
        <v>40041001_40041002</v>
      </c>
      <c r="B3" s="39">
        <v>40041001</v>
      </c>
      <c r="C3" s="46">
        <v>40041002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ひっかき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6">
        <v>40041002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6"/>
      <c r="Q3" s="46"/>
      <c r="R3" s="46"/>
    </row>
    <row r="4" spans="1:18" ht="21" customHeight="1" x14ac:dyDescent="0.15">
      <c r="A4" s="38" t="str">
        <f t="shared" si="1"/>
        <v>40041001_40041003</v>
      </c>
      <c r="B4" s="39">
        <v>40041001</v>
      </c>
      <c r="C4" s="46">
        <v>40041003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あいつらの砲弾を_x000D_浴びたらこんな姿に…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4" s="46">
        <v>40041003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40041001_40041004</v>
      </c>
      <c r="B5" s="39">
        <v>40041001</v>
      </c>
      <c r="C5" s="46">
        <v>40041004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あいつらの砲弾を_x000D_浴びたらこんな姿に…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5" s="46">
        <v>40041004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40041001_40041005</v>
      </c>
      <c r="B6" s="39">
        <v>40041001</v>
      </c>
      <c r="C6" s="46">
        <v>40041005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あいつらの砲弾を_x000D_浴びたらこんな姿に…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6" s="46">
        <v>40041005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40041002_40041006</v>
      </c>
      <c r="B7" s="212">
        <v>40041002</v>
      </c>
      <c r="C7" s="46">
        <v>40041006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オレ…犬になってる！？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7" s="46">
        <v>40041006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40041002_40041007</v>
      </c>
      <c r="B8" s="212">
        <v>40041002</v>
      </c>
      <c r="C8" s="46">
        <v>40041007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かみつき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" s="46">
        <v>40041007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6"/>
      <c r="Q8" s="46"/>
      <c r="R8" s="46"/>
    </row>
    <row r="9" spans="1:18" ht="21" customHeight="1" x14ac:dyDescent="0.15">
      <c r="A9" s="38" t="str">
        <f t="shared" si="1"/>
        <v>40041002_40041008</v>
      </c>
      <c r="B9" s="212">
        <v>40041002</v>
      </c>
      <c r="C9" s="46">
        <v>40041008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オレ…犬になってる！？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9" s="46">
        <v>40041008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40041002_40041009</v>
      </c>
      <c r="B10" s="212">
        <v>40041002</v>
      </c>
      <c r="C10" s="46">
        <v>40041009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オレ…犬になってる！？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0" s="46">
        <v>40041009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40041002_40041010</v>
      </c>
      <c r="B11" s="212">
        <v>40041002</v>
      </c>
      <c r="C11" s="46">
        <v>40041010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オレ…犬になってる！？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1" s="46">
        <v>40041010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40041003_40041011</v>
      </c>
      <c r="B12" s="39">
        <v>40041003</v>
      </c>
      <c r="C12" s="46">
        <v>40041011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な、_x000D_なんだこれ！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2" s="46">
        <v>40041011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40041003_40041012</v>
      </c>
      <c r="B13" s="39">
        <v>40041003</v>
      </c>
      <c r="C13" s="46">
        <v>40041012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あしぶみ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3" s="46">
        <v>40041012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3" s="46"/>
      <c r="Q13" s="46"/>
      <c r="R13" s="46"/>
    </row>
    <row r="14" spans="1:18" ht="21" customHeight="1" x14ac:dyDescent="0.15">
      <c r="A14" s="38" t="str">
        <f t="shared" si="1"/>
        <v>40041003_40041013</v>
      </c>
      <c r="B14" s="39">
        <v>40041003</v>
      </c>
      <c r="C14" s="46">
        <v>40041013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マリアさん！_x000D_きいてくれ！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ユニット全体のスキルゲージを5ターン減少</v>
      </c>
      <c r="F14" s="46">
        <v>40041013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40041003_40041014</v>
      </c>
      <c r="B15" s="39">
        <v>40041003</v>
      </c>
      <c r="C15" s="46">
        <v>40041014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マリアさん！_x000D_きいてくれ！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ユニット全体のスキルゲージを5ターン減少</v>
      </c>
      <c r="F15" s="46">
        <v>40041014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40041003_40041015</v>
      </c>
      <c r="B16" s="39">
        <v>40041003</v>
      </c>
      <c r="C16" s="46">
        <v>40041015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マリアさん！_x000D_きいてくれ！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ユニット全体のスキルゲージを5ターン減少</v>
      </c>
      <c r="F16" s="46">
        <v>40041015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40041004_40041016</v>
      </c>
      <c r="B17" s="212">
        <v>40041004</v>
      </c>
      <c r="C17" s="46">
        <v>40041016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いったい_x000D_どうすれば…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みな何者かによって_x000D_姿を変えられてしまったようだ…</v>
      </c>
      <c r="F17" s="46">
        <v>40041016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40041004_40041017</v>
      </c>
      <c r="B18" s="212">
        <v>40041004</v>
      </c>
      <c r="C18" s="46">
        <v>40041017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とっしん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8" s="46">
        <v>40041017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6"/>
      <c r="Q18" s="46"/>
      <c r="R18" s="46"/>
    </row>
    <row r="19" spans="1:18" ht="21" customHeight="1" x14ac:dyDescent="0.15">
      <c r="A19" s="38" t="str">
        <f t="shared" si="1"/>
        <v>40041004_40041018</v>
      </c>
      <c r="B19" s="212">
        <v>40041004</v>
      </c>
      <c r="C19" s="46">
        <v>40041018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いったい_x000D_どうすれば…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みな何者かによって_x000D_姿を変えられてしまったようだ…</v>
      </c>
      <c r="F19" s="46">
        <v>40041018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40041004_40041019</v>
      </c>
      <c r="B20" s="212">
        <v>40041004</v>
      </c>
      <c r="C20" s="46">
        <v>40041019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いったい_x000D_どうすれば…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みな何者かによって_x000D_姿を変えられてしまったようだ…</v>
      </c>
      <c r="F20" s="46">
        <v>40041019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40041004_40041020</v>
      </c>
      <c r="B21" s="212">
        <v>40041004</v>
      </c>
      <c r="C21" s="46">
        <v>40041020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いったい_x000D_どうすれば…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みな何者かによって_x000D_姿を変えられてしまったようだ…</v>
      </c>
      <c r="F21" s="46">
        <v>40041020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40041005_40041021</v>
      </c>
      <c r="B22" s="39">
        <v>40041005</v>
      </c>
      <c r="C22" s="46">
        <v>40041021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なんだ？ 騒がしいな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（表示しない）（1ターン強制スリープ）</v>
      </c>
      <c r="F22" s="46">
        <v>40041021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40041005_40041022</v>
      </c>
      <c r="B23" s="39">
        <v>40041005</v>
      </c>
      <c r="C23" s="46">
        <v>40041022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うぉっ！？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3" s="46">
        <v>40041022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40041006_40041023</v>
      </c>
      <c r="B24" s="212">
        <v>40041006</v>
      </c>
      <c r="C24" s="46">
        <v>40041023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いてて…　なんだ？ _x000D_なんか飛んできたぞ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って、俺…小さくなってる！？_x000D_どうなってやがる！</v>
      </c>
      <c r="F24" s="46">
        <v>40041023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40041006_40041024</v>
      </c>
      <c r="B25" s="212">
        <v>40041006</v>
      </c>
      <c r="C25" s="46">
        <v>40041024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ランダムフレア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5" s="46">
        <v>40041024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6"/>
      <c r="Q25" s="46"/>
      <c r="R25" s="46"/>
    </row>
    <row r="26" spans="1:18" ht="21" customHeight="1" x14ac:dyDescent="0.15">
      <c r="A26" s="38" t="str">
        <f t="shared" si="1"/>
        <v>40041006_40041025</v>
      </c>
      <c r="B26" s="212">
        <v>40041006</v>
      </c>
      <c r="C26" s="46">
        <v>40041025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メテオバースト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6">
        <v>40041025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6" s="46"/>
      <c r="Q26" s="46"/>
      <c r="R26" s="46"/>
    </row>
    <row r="27" spans="1:18" ht="21" customHeight="1" x14ac:dyDescent="0.15">
      <c r="A27" s="38" t="str">
        <f t="shared" si="1"/>
        <v>40041007_40041026</v>
      </c>
      <c r="B27" s="39">
        <v>40041007</v>
      </c>
      <c r="C27" s="46">
        <v>40041026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で、でかくなった…！_x000D_おもしろくなってきたぜ！！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攻撃力&amp;行動頻度UP</v>
      </c>
      <c r="F27" s="46">
        <v>40041026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40041007_40041027</v>
      </c>
      <c r="B28" s="39">
        <v>40041007</v>
      </c>
      <c r="C28" s="46">
        <v>40041027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イエローストライク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28" s="46">
        <v>40041027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28" s="46"/>
      <c r="Q28" s="46"/>
      <c r="R28" s="46"/>
    </row>
    <row r="29" spans="1:18" ht="21" customHeight="1" x14ac:dyDescent="0.15">
      <c r="A29" s="38" t="str">
        <f t="shared" si="1"/>
        <v>40041007_40041028</v>
      </c>
      <c r="B29" s="39">
        <v>40041007</v>
      </c>
      <c r="C29" s="46">
        <v>40041028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ランダムイグニート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9" s="46">
        <v>40041028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6"/>
      <c r="Q29" s="46"/>
      <c r="R29" s="46"/>
    </row>
    <row r="30" spans="1:18" ht="21" customHeight="1" x14ac:dyDescent="0.15">
      <c r="A30" s="38" t="str">
        <f t="shared" si="1"/>
        <v>40041007_40041029</v>
      </c>
      <c r="B30" s="39">
        <v>40041007</v>
      </c>
      <c r="C30" s="46">
        <v>40041029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ダブルクラッシャー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30" s="46">
        <v>40041029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0" s="46"/>
      <c r="Q30" s="46"/>
      <c r="R30" s="46"/>
    </row>
    <row r="31" spans="1:18" ht="21" customHeight="1" x14ac:dyDescent="0.15">
      <c r="A31" s="38" t="str">
        <f t="shared" si="1"/>
        <v>40041007_40041030</v>
      </c>
      <c r="B31" s="39">
        <v>40041007</v>
      </c>
      <c r="C31" s="46">
        <v>40041030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煉獄豪炎弾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1" s="46">
        <v>40041030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31" s="46"/>
      <c r="Q31" s="46"/>
      <c r="R31" s="46"/>
    </row>
    <row r="32" spans="1:18" ht="21" customHeight="1" x14ac:dyDescent="0.15">
      <c r="A32" s="38" t="str">
        <f t="shared" si="1"/>
        <v>40041008_40041031</v>
      </c>
      <c r="B32" s="212">
        <v>40041008</v>
      </c>
      <c r="C32" s="46">
        <v>40041031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おっと！_x000D_見つかってしまったか！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32" s="46">
        <v>40041031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40041009_40041032</v>
      </c>
      <c r="B33" s="39">
        <v>40041009</v>
      </c>
      <c r="C33" s="46">
        <v>40041032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なぁに？ 何の騒ぎ？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（表示しない）（1ターン強制スリープ）</v>
      </c>
      <c r="F33" s="46">
        <v>40041032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40041009_40041033</v>
      </c>
      <c r="B34" s="39">
        <v>40041009</v>
      </c>
      <c r="C34" s="46">
        <v>40041033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な、何かこっちに_x000D_飛んでくるわ！きゃあっ！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4" s="46">
        <v>40041033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40041010_40041034</v>
      </c>
      <c r="B35" s="212">
        <v>40041010</v>
      </c>
      <c r="C35" s="46">
        <v>40041034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ちょっと！_x000D_これどういうことなの！？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なんでこんな格好に…_x000D_信じられない！</v>
      </c>
      <c r="F35" s="46">
        <v>40041034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"/>
        <v>40041010_40041035</v>
      </c>
      <c r="B36" s="212">
        <v>40041010</v>
      </c>
      <c r="C36" s="46">
        <v>40041035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ねえ！_x000D_はやく元に戻してったら！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5ターン防御力UP+_x000D_解除するまでユニット全体の攻撃をカウンター　</v>
      </c>
      <c r="F36" s="46">
        <v>40041035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1"/>
        <v>40041010_40041036</v>
      </c>
      <c r="B37" s="212">
        <v>40041010</v>
      </c>
      <c r="C37" s="46">
        <v>40041036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もうイヤ！_x000D_どうなってるのよ！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3ターンウィルス+全体攻撃</v>
      </c>
      <c r="F37" s="46">
        <v>40041036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40041010_40041037</v>
      </c>
      <c r="B38" s="212">
        <v>40041010</v>
      </c>
      <c r="C38" s="46">
        <v>40041037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灰色のベール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2ターンユニット全体の回復力50%DOWN</v>
      </c>
      <c r="F38" s="46">
        <v>40041037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40041010_40041038</v>
      </c>
      <c r="B39" s="212">
        <v>40041010</v>
      </c>
      <c r="C39" s="46">
        <v>40041038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スリープ・ウォーターリング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ユニット単体を1ターンスリープ</v>
      </c>
      <c r="F39" s="46">
        <v>40041038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17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17</v>
      </c>
      <c r="P39" s="46"/>
      <c r="Q39" s="46"/>
      <c r="R39" s="46"/>
    </row>
    <row r="40" spans="1:18" ht="21" customHeight="1" x14ac:dyDescent="0.15">
      <c r="A40" s="38" t="str">
        <f t="shared" si="1"/>
        <v>40041010_40041039</v>
      </c>
      <c r="B40" s="212">
        <v>40041010</v>
      </c>
      <c r="C40" s="46">
        <v>40041039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スリーカース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3ターンウィルス+単体攻撃</v>
      </c>
      <c r="F40" s="46">
        <v>40041039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0" s="46"/>
      <c r="Q40" s="46"/>
      <c r="R40" s="46"/>
    </row>
    <row r="41" spans="1:18" ht="21" customHeight="1" x14ac:dyDescent="0.15">
      <c r="A41" s="38" t="str">
        <f t="shared" si="1"/>
        <v>40041010_40041040</v>
      </c>
      <c r="B41" s="212">
        <v>40041010</v>
      </c>
      <c r="C41" s="46">
        <v>40041040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よくもやってくれたわね…！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41" s="46">
        <v>40041040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ref="A42:A82" si="2">B42&amp;"_"&amp;C42</f>
        <v>40041010_40041041</v>
      </c>
      <c r="B42" s="212">
        <v>40041010</v>
      </c>
      <c r="C42" s="46">
        <v>40041041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あっ 待って！_x000D_置いて行かないでったら！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ケルベロスを追って_x000D_去っていった…</v>
      </c>
      <c r="F42" s="46">
        <v>40041041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66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2"/>
        <v>40041011_40041042</v>
      </c>
      <c r="B43" s="39">
        <v>40041011</v>
      </c>
      <c r="C43" s="46">
        <v>40041042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みなさん_x000D_ちいさくなってる…です？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（表示しない）（1ターン強制スリープ）</v>
      </c>
      <c r="F43" s="46">
        <v>40041042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2"/>
        <v>40041011_40041043</v>
      </c>
      <c r="B44" s="39">
        <v>40041011</v>
      </c>
      <c r="C44" s="46">
        <v>40041043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はわわ…大丈夫ですかぁ！_x000D_…きゃうっ！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44" s="46">
        <v>40041043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2"/>
        <v>40041012_40041044</v>
      </c>
      <c r="B45" s="212">
        <v>40041012</v>
      </c>
      <c r="C45" s="46">
        <v>40041044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あうぅ…いたいですぅ…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あれ…わたし_x000D_きつねさんになってるですぅ…！</v>
      </c>
      <c r="F45" s="46">
        <v>40041044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2"/>
        <v>40041012_40041045</v>
      </c>
      <c r="B46" s="212">
        <v>40041012</v>
      </c>
      <c r="C46" s="46">
        <v>40041045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う、動きにくいですぅ…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5ターン攻撃力UP+2回連続攻撃</v>
      </c>
      <c r="F46" s="46">
        <v>40041045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2"/>
        <v>40041012_40041046</v>
      </c>
      <c r="B47" s="212">
        <v>40041012</v>
      </c>
      <c r="C47" s="46">
        <v>40041046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マグナギア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7" s="46">
        <v>40041046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7" s="46"/>
      <c r="Q47" s="46"/>
      <c r="R47" s="46"/>
    </row>
    <row r="48" spans="1:18" ht="21" customHeight="1" x14ac:dyDescent="0.15">
      <c r="A48" s="38" t="str">
        <f t="shared" si="2"/>
        <v>40041012_40041047</v>
      </c>
      <c r="B48" s="212">
        <v>40041012</v>
      </c>
      <c r="C48" s="46">
        <v>40041047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マグナチェイン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8" s="46">
        <v>40041047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48" s="46"/>
      <c r="Q48" s="46"/>
      <c r="R48" s="46"/>
    </row>
    <row r="49" spans="1:18" ht="21" customHeight="1" x14ac:dyDescent="0.15">
      <c r="A49" s="38" t="str">
        <f t="shared" si="2"/>
        <v>40041012_40041048</v>
      </c>
      <c r="B49" s="212">
        <v>40041012</v>
      </c>
      <c r="C49" s="46">
        <v>40041048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制御不能フレイム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9" s="46">
        <v>40041048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9" s="46"/>
      <c r="Q49" s="46"/>
      <c r="R49" s="46"/>
    </row>
    <row r="50" spans="1:18" ht="21" customHeight="1" x14ac:dyDescent="0.15">
      <c r="A50" s="38" t="str">
        <f t="shared" si="2"/>
        <v>40041012_40041049</v>
      </c>
      <c r="B50" s="212">
        <v>40041012</v>
      </c>
      <c r="C50" s="46">
        <v>40041049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がるるぅ！_x000D_いじめないでくださいですぅ！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攻撃頻度UP+2回連続攻撃</v>
      </c>
      <c r="F50" s="46">
        <v>40041049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2"/>
        <v>40041012_40041050</v>
      </c>
      <c r="B51" s="212">
        <v>40041012</v>
      </c>
      <c r="C51" s="46">
        <v>40041050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はうぅ〜　_x000D_置いていかないでくださいぃ…！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パールヴァティを追って_x000D_去っていった…</v>
      </c>
      <c r="F51" s="46">
        <v>40041050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38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2"/>
        <v>40041013_40041051</v>
      </c>
      <c r="B52" s="39">
        <v>40041013</v>
      </c>
      <c r="C52" s="46">
        <v>40041051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やったやった！大成功だよぉ！_x000D_みんな私たちの仲間入り♪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『オレたちのマジカルガトリング砲で_x000D_　みんなカワイクしちまおうぜェ！』</v>
      </c>
      <c r="F52" s="46">
        <v>40041051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2"/>
        <v>40041013_40041052</v>
      </c>
      <c r="B53" s="39">
        <v>40041013</v>
      </c>
      <c r="C53" s="46">
        <v>40041052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マジカルガトリング砲で_x000D_み〜んなカワイクなっちゃえ〜っ♪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3" s="46">
        <v>40041052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2"/>
        <v>40041013_40041053</v>
      </c>
      <c r="B54" s="39">
        <v>40041013</v>
      </c>
      <c r="C54" s="46">
        <v>40041053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ときめき☆ばいおりずむ！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54" s="46">
        <v>40041053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4" s="46"/>
      <c r="Q54" s="46"/>
      <c r="R54" s="46"/>
    </row>
    <row r="55" spans="1:18" ht="21" customHeight="1" x14ac:dyDescent="0.15">
      <c r="A55" s="38" t="str">
        <f t="shared" si="2"/>
        <v>40041013_40041054</v>
      </c>
      <c r="B55" s="39">
        <v>40041013</v>
      </c>
      <c r="C55" s="46">
        <v>40041054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ぽっぷすたー連弾！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5" s="46">
        <v>40041054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5" s="46"/>
      <c r="Q55" s="46"/>
      <c r="R55" s="46"/>
    </row>
    <row r="56" spans="1:18" ht="21" customHeight="1" x14ac:dyDescent="0.15">
      <c r="A56" s="38" t="str">
        <f t="shared" si="2"/>
        <v>40041013_40041055</v>
      </c>
      <c r="B56" s="39">
        <v>40041013</v>
      </c>
      <c r="C56" s="46">
        <v>40041055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すーぱー☆きゃのん！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6" s="46">
        <v>40041055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6" s="46"/>
      <c r="Q56" s="46"/>
      <c r="R56" s="46"/>
    </row>
    <row r="57" spans="1:18" ht="21" customHeight="1" x14ac:dyDescent="0.15">
      <c r="A57" s="38" t="str">
        <f t="shared" si="2"/>
        <v>40041013_40041056</v>
      </c>
      <c r="B57" s="39">
        <v>40041013</v>
      </c>
      <c r="C57" s="46">
        <v>40041056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クマクマ緊急アラート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5ターンユニット全体の回復力50%DOWN+_x000D_3ターンスキルバインド</v>
      </c>
      <c r="F57" s="46">
        <v>40041056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2"/>
        <v>40041013_40041057</v>
      </c>
      <c r="B58" s="39">
        <v>40041013</v>
      </c>
      <c r="C58" s="46">
        <v>40041057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んげげっ！マリア…！？_x000D_じゃ、ジャマしないでっ！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10ターンユニット全体の攻撃力UP</v>
      </c>
      <c r="F58" s="46">
        <v>40041057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516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2"/>
        <v>40041013_40041058</v>
      </c>
      <c r="B59" s="39">
        <v>40041013</v>
      </c>
      <c r="C59" s="46">
        <v>40041058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んげげっ！マリア…！？_x000D_じゃ、ジャマしないでっ！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10ターンユニット全体の攻撃力UP</v>
      </c>
      <c r="F59" s="46">
        <v>40041058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517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2"/>
        <v>40041013_40041059</v>
      </c>
      <c r="B60" s="39">
        <v>40041013</v>
      </c>
      <c r="C60" s="46">
        <v>40041059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んげげっ！マリア…！？_x000D_じゃ、ジャマしないでっ！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10ターンユニット全体の攻撃力UP</v>
      </c>
      <c r="F60" s="46">
        <v>40041059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1274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2"/>
        <v>40041013_40041060</v>
      </c>
      <c r="B61" s="39">
        <v>40041013</v>
      </c>
      <c r="C61" s="46">
        <v>40041060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かわいいサンタさんっ♪_x000D_キミも仲間に入れたげる〜っ♪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『オレたちのこのマジカルガトリング砲で_x000D_　みんなカワイクなっちまえェ！』</v>
      </c>
      <c r="F61" s="46">
        <v>40041060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580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1280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2"/>
        <v>40041013_40041061</v>
      </c>
      <c r="B62" s="39">
        <v>40041013</v>
      </c>
      <c r="C62" s="46">
        <v>40041061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かっこいいサンタさんっ♪_x000D_キミも私たちの仲間になりたいの〜？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『オレたちのこのマジカルガトリング砲で_x000D_　みんなカワイクなっちまえェ！』</v>
      </c>
      <c r="F62" s="46">
        <v>40041061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590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1281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2"/>
        <v>40041014_40041062</v>
      </c>
      <c r="B63" s="212">
        <v>40041014</v>
      </c>
      <c r="C63" s="46">
        <v>40041062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ねえねえダニー！_x000D_もっともぉ〜っと仲間をふやそぉ！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『そうすればALICEのトップの座は_x000D_　オレ達のものさァ！』</v>
      </c>
      <c r="F63" s="46">
        <v>40041062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2"/>
        <v>40041014_40041063</v>
      </c>
      <c r="B64" s="212">
        <v>40041014</v>
      </c>
      <c r="C64" s="46">
        <v>40041063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よぉーし！_x000D_次はキミたちの番だよぉっ！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赤パネルドロップ率UP+クリティカル！</v>
      </c>
      <c r="F64" s="46">
        <v>40041063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2"/>
        <v>40041014_40041064</v>
      </c>
      <c r="B65" s="212">
        <v>40041014</v>
      </c>
      <c r="C65" s="46">
        <v>40041064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きらめき☆ばいおりずむ！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5ターンウィルス+4回連続攻撃</v>
      </c>
      <c r="F65" s="46">
        <v>40041064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5" s="4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si="2"/>
        <v>40041014_40041065</v>
      </c>
      <c r="B66" s="212">
        <v>40041014</v>
      </c>
      <c r="C66" s="46">
        <v>40041065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ぼむぽっぷ☆がとりんぐ！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ランダムで赤のダメージパネルに2個変換+_x000D_2回連続攻撃</v>
      </c>
      <c r="F66" s="46">
        <v>40041065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2"/>
        <v>40041014_40041066</v>
      </c>
      <c r="B67" s="212">
        <v>40041014</v>
      </c>
      <c r="C67" s="46">
        <v>40041066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れっどぽっぷ☆きゃのん！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赤パネルを吸収して強力な全体攻撃</v>
      </c>
      <c r="F67" s="46">
        <v>40041066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2"/>
        <v>40041014_40041067</v>
      </c>
      <c r="B68" s="212">
        <v>40041014</v>
      </c>
      <c r="C68" s="46">
        <v>40041067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ぼむぽっぷ☆がとりんぐ！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ランダムで赤のダメージパネルに3個変換+_x000D_3回連続攻撃</v>
      </c>
      <c r="F68" s="46">
        <v>40041067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si="2"/>
        <v>40041014_40041068</v>
      </c>
      <c r="B69" s="212">
        <v>40041014</v>
      </c>
      <c r="C69" s="46">
        <v>40041068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ぼむぽっぷ☆がとりんぐ！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ランダムで赤のダメージパネルに3個変換+_x000D_3回連続攻撃</v>
      </c>
      <c r="F69" s="46">
        <v>40041068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69" s="46"/>
      <c r="Q69" s="46"/>
      <c r="R69" s="46"/>
    </row>
    <row r="70" spans="1:18" ht="21" customHeight="1" x14ac:dyDescent="0.15">
      <c r="A70" s="38" t="str">
        <f t="shared" si="2"/>
        <v>40041014_40041069</v>
      </c>
      <c r="B70" s="212">
        <v>40041014</v>
      </c>
      <c r="C70" s="46">
        <v>40041069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れっどぽっぷ☆きゃのん！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赤パネルを吸収して強力な全体攻撃</v>
      </c>
      <c r="F70" s="46">
        <v>40041069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0" s="46"/>
      <c r="Q70" s="46"/>
      <c r="R70" s="46"/>
    </row>
    <row r="71" spans="1:18" ht="21" customHeight="1" x14ac:dyDescent="0.15">
      <c r="A71" s="38" t="str">
        <f t="shared" si="2"/>
        <v>40041014_40041070</v>
      </c>
      <c r="B71" s="212">
        <v>40041014</v>
      </c>
      <c r="C71" s="46">
        <v>40041070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ぽっぷすたー連弾！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71" s="46">
        <v>40041070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95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95</v>
      </c>
      <c r="P71" s="46"/>
      <c r="Q71" s="46"/>
      <c r="R71" s="46"/>
    </row>
    <row r="72" spans="1:18" ht="21" customHeight="1" x14ac:dyDescent="0.15">
      <c r="A72" s="38" t="str">
        <f t="shared" si="2"/>
        <v>40041014_40041071</v>
      </c>
      <c r="B72" s="212">
        <v>40041014</v>
      </c>
      <c r="C72" s="46">
        <v>40041071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クマクマ緊急アラート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5ターンユニット全体の回復力50%DOWN+_x000D_3ターンスキルバインド</v>
      </c>
      <c r="F72" s="46">
        <v>40041071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650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2"/>
        <v>40041015_40041072</v>
      </c>
      <c r="B73" s="39">
        <v>40041015</v>
      </c>
      <c r="C73" s="46">
        <v>40041072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ねぇダニ〜！このヒトたち_x000D_仲間になってくれないよぉ〜！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『コイツラはもういいさ_x000D_　やっちまおうぜ！ポーラ！』</v>
      </c>
      <c r="F73" s="46">
        <v>40041072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2"/>
        <v>40041015_40041073</v>
      </c>
      <c r="B74" s="39">
        <v>40041015</v>
      </c>
      <c r="C74" s="46">
        <v>40041073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う〜ん　ざんねん！_x000D_じゃあこれ、あげるねっ！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ランダムで赤のダメージパネルに4個変換</v>
      </c>
      <c r="F74" s="46">
        <v>40041073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2"/>
        <v>40041015_40041074</v>
      </c>
      <c r="B75" s="39">
        <v>40041015</v>
      </c>
      <c r="C75" s="46">
        <v>40041074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まじかる☆ばきゅーむ！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ダメージパネルを吸収して強力な全体攻撃</v>
      </c>
      <c r="F75" s="46">
        <v>40041074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si="2"/>
        <v>40041015_40041075</v>
      </c>
      <c r="B76" s="39">
        <v>40041015</v>
      </c>
      <c r="C76" s="46">
        <v>40041075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これもあげる〜っ！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ランダムで赤のダメージパネルに7個変換</v>
      </c>
      <c r="F76" s="46">
        <v>40041075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2"/>
        <v>40041015_40041076</v>
      </c>
      <c r="B77" s="39">
        <v>40041015</v>
      </c>
      <c r="C77" s="46">
        <v>40041076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超まじかる☆ばきゅーむ！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ダメージパネルを吸収して強力な全体攻撃</v>
      </c>
      <c r="F77" s="46">
        <v>40041076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2"/>
        <v>40041015_40041077</v>
      </c>
      <c r="B78" s="39">
        <v>40041015</v>
      </c>
      <c r="C78" s="46">
        <v>40041077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はいぱわー☆がとりんぐ！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78" s="46">
        <v>40041077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38" t="str">
        <f t="shared" si="2"/>
        <v>40041015_40041078</v>
      </c>
      <c r="B79" s="39">
        <v>40041015</v>
      </c>
      <c r="C79" s="46">
        <v>40041078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すっごいの見せたげる！_x000D_ちょっと待ってて〜っ！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【マジカルパワーチャージ中…】_x000D_　※2ターン後強力な攻撃※</v>
      </c>
      <c r="F79" s="46">
        <v>40041078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ht="21" customHeight="1" x14ac:dyDescent="0.15">
      <c r="A80" s="38" t="str">
        <f t="shared" si="2"/>
        <v>40041015_40041079</v>
      </c>
      <c r="B80" s="39">
        <v>40041015</v>
      </c>
      <c r="C80" s="46">
        <v>40041079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マジカルパワーそうてん！_x000D_いくよ〜っ♪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【マジカルパワーチャージ完了】_x000D_　※1ターン後強力な攻撃※</v>
      </c>
      <c r="F80" s="46">
        <v>40041079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ht="21" customHeight="1" x14ac:dyDescent="0.15">
      <c r="A81" s="38" t="str">
        <f t="shared" si="2"/>
        <v>40041015_40041080</v>
      </c>
      <c r="B81" s="39">
        <v>40041015</v>
      </c>
      <c r="C81" s="46">
        <v>40041080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はいぱーまじかる☆がとりんぐ！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超強力な4回連続全体攻撃</v>
      </c>
      <c r="F81" s="46">
        <v>40041080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si="2"/>
        <v>40041015_40041081</v>
      </c>
      <c r="B82" s="39">
        <v>40041015</v>
      </c>
      <c r="C82" s="46">
        <v>40041081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や、やられちゃったぁ…_x000D_仲間いっぱい…つくったのになぁ…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『落ちこむなよポーラ_x000D_　またイチからがんばろうや…』</v>
      </c>
      <c r="F82" s="46">
        <v>40041081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590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2"/>
  <sheetViews>
    <sheetView showGridLines="0" tabSelected="1" workbookViewId="0">
      <pane ySplit="1" topLeftCell="A69" activePane="bottomLeft" state="frozenSplit"/>
      <selection pane="bottomLeft" activeCell="B76" sqref="B7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102.83203125" style="48" customWidth="1"/>
    <col min="3" max="3" width="8.33203125" style="48" customWidth="1"/>
    <col min="4" max="4" width="8.6640625" style="48" customWidth="1"/>
    <col min="5" max="5" width="28.5" style="48" customWidth="1"/>
    <col min="6" max="6" width="49.33203125" style="48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8" x14ac:dyDescent="0.15">
      <c r="A2" s="46">
        <v>40041001</v>
      </c>
      <c r="B2" s="178" t="s">
        <v>319</v>
      </c>
      <c r="C2" s="311">
        <v>3</v>
      </c>
      <c r="D2" s="49" t="s">
        <v>128</v>
      </c>
      <c r="E2" s="50" t="s">
        <v>428</v>
      </c>
      <c r="F2" s="50" t="s">
        <v>329</v>
      </c>
      <c r="G2" s="62" t="str">
        <f>IFERROR(LEFT(B2,FIND("],",B2)),B2)</f>
        <v>[effect:enemy_message, val1:1.7, val2:0]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 xml:space="preserve">[effect:fix_speed, target:myself, turn:2]    </v>
      </c>
      <c r="N2" s="47" t="str">
        <f>IFERROR(LEFT(M2,FIND("],",M2)+S16),M2)</f>
        <v xml:space="preserve">[effect:fix_speed, target:myself, turn:2]    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40041002</v>
      </c>
      <c r="B3" s="178" t="s">
        <v>295</v>
      </c>
      <c r="C3" s="311">
        <v>3</v>
      </c>
      <c r="D3" s="49" t="s">
        <v>128</v>
      </c>
      <c r="E3" s="50" t="s">
        <v>345</v>
      </c>
      <c r="F3" s="50" t="s">
        <v>395</v>
      </c>
      <c r="G3" s="62" t="str">
        <f t="shared" ref="G3:G44" si="0">IFERROR(LEFT(B3,FIND("],",B3)),B3)</f>
        <v>[effect:critical, val:1.2]</v>
      </c>
      <c r="H3" s="62">
        <f t="shared" ref="H3:H62" si="1">FIND("effect:",G3)+7</f>
        <v>9</v>
      </c>
      <c r="I3" s="62">
        <f t="shared" ref="I3:I44" si="2">IFERROR(FIND(",",G3),LEN(G3))</f>
        <v>17</v>
      </c>
      <c r="J3" s="62" t="e">
        <f t="shared" ref="J3:J44" si="3">FIND("target:",G3)+7</f>
        <v>#VALUE!</v>
      </c>
      <c r="K3" s="62" t="e">
        <f t="shared" ref="K3:K44" si="4">FIND(",",G3,I3+1)</f>
        <v>#VALUE!</v>
      </c>
      <c r="L3" s="62" t="str">
        <f>IFERROR(VLOOKUP(MID(G3,J3,K3-J3),[5]skilldef!$C:$D,2,FALSE),"-") &amp; " / " &amp; IFERROR(VLOOKUP(MID(G3,H3,I3-H3),[5]skilldef!$A:$B,2,FALSE),"-")</f>
        <v>- / 大攻撃</v>
      </c>
      <c r="M3" s="62" t="str">
        <f t="shared" ref="M3:M44" si="5">IFERROR(RIGHT(B3,LEN(B3)-FIND("],",B3)-1),"none")</f>
        <v>none</v>
      </c>
      <c r="N3" s="47" t="str">
        <f>IFERROR(LEFT(M3,FIND("],",M3)+#REF!),M3)</f>
        <v>none</v>
      </c>
      <c r="O3" s="62" t="e">
        <f t="shared" ref="O3:O62" si="6">FIND("effect:",N3)+7</f>
        <v>#VALUE!</v>
      </c>
      <c r="P3" s="62">
        <f t="shared" ref="P3:P44" si="7">IFERROR(FIND(",",N3),LEN(N3))</f>
        <v>4</v>
      </c>
      <c r="Q3" s="62" t="e">
        <f t="shared" ref="Q3:Q44" si="8">FIND("target:",N3)+7</f>
        <v>#VALUE!</v>
      </c>
      <c r="R3" s="62" t="e">
        <f t="shared" ref="R3:R44" si="9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44" si="10">IFERROR(RIGHT(M3,LEN(M3)-FIND("],",M3)-1),"none")</f>
        <v>none</v>
      </c>
      <c r="U3" s="62" t="e">
        <f t="shared" ref="U3:U62" si="11">FIND("effect:",T3)+7</f>
        <v>#VALUE!</v>
      </c>
      <c r="V3" s="62">
        <f t="shared" ref="V3:V44" si="12">IFERROR(FIND(",",T3),LEN(T3))</f>
        <v>4</v>
      </c>
      <c r="W3" s="62" t="e">
        <f t="shared" ref="W3:W44" si="13">FIND("target:",T3)+7</f>
        <v>#VALUE!</v>
      </c>
      <c r="X3" s="62" t="e">
        <f t="shared" ref="X3:X44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8" x14ac:dyDescent="0.15">
      <c r="A4" s="46">
        <v>40041003</v>
      </c>
      <c r="B4" s="202" t="s">
        <v>296</v>
      </c>
      <c r="C4" s="311">
        <v>3</v>
      </c>
      <c r="D4" s="203" t="s">
        <v>128</v>
      </c>
      <c r="E4" s="174" t="s">
        <v>330</v>
      </c>
      <c r="F4" s="174" t="s">
        <v>274</v>
      </c>
      <c r="G4" s="62" t="str">
        <f>IFERROR(LEFT(B4,FIND("],",B4)),B4)</f>
        <v>[effect:enemy_message, val1:1.7, val2:0]</v>
      </c>
      <c r="H4" s="62">
        <f>FIND("effect:",G4)+7</f>
        <v>9</v>
      </c>
      <c r="I4" s="62">
        <f>IFERROR(FIND(",",G4),LEN(G4))</f>
        <v>22</v>
      </c>
      <c r="J4" s="62" t="e">
        <f>FIND("target:",G4)+7</f>
        <v>#VALUE!</v>
      </c>
      <c r="K4" s="62">
        <f>FIND(",",G4,I4+1)</f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>IFERROR(RIGHT(B4,LEN(B4)-FIND("],",B4)-1),"none")</f>
        <v>none</v>
      </c>
      <c r="N4" s="47" t="str">
        <f>IFERROR(LEFT(M4,FIND("],",M4)+S21),M4)</f>
        <v>none</v>
      </c>
      <c r="O4" s="62" t="e">
        <f>FIND("effect:",N4)+7</f>
        <v>#VALUE!</v>
      </c>
      <c r="P4" s="62">
        <f>IFERROR(FIND(",",N4),LEN(N4))</f>
        <v>4</v>
      </c>
      <c r="Q4" s="62" t="e">
        <f>FIND("target:",N4)+7</f>
        <v>#VALUE!</v>
      </c>
      <c r="R4" s="62" t="e">
        <f>FIND(",",N4,P4+1)</f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>IFERROR(RIGHT(M4,LEN(M4)-FIND("],",M4)-1),"none")</f>
        <v>none</v>
      </c>
      <c r="U4" s="62" t="e">
        <f>FIND("effect:",T4)+7</f>
        <v>#VALUE!</v>
      </c>
      <c r="V4" s="62">
        <f>IFERROR(FIND(",",T4),LEN(T4))</f>
        <v>4</v>
      </c>
      <c r="W4" s="62" t="e">
        <f>FIND("target:",T4)+7</f>
        <v>#VALUE!</v>
      </c>
      <c r="X4" s="62" t="e">
        <f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8" x14ac:dyDescent="0.15">
      <c r="A5" s="46">
        <v>40041004</v>
      </c>
      <c r="B5" s="202" t="s">
        <v>288</v>
      </c>
      <c r="C5" s="311">
        <v>3</v>
      </c>
      <c r="D5" s="203" t="s">
        <v>128</v>
      </c>
      <c r="E5" s="174" t="s">
        <v>330</v>
      </c>
      <c r="F5" s="174" t="s">
        <v>274</v>
      </c>
      <c r="G5" s="62" t="str">
        <f t="shared" ref="G5" si="15">IFERROR(LEFT(B5,FIND("],",B5)),B5)</f>
        <v>[effect:enemy_message, val1:1.7, val2:0]</v>
      </c>
      <c r="H5" s="62">
        <f t="shared" ref="H5" si="16">FIND("effect:",G5)+7</f>
        <v>9</v>
      </c>
      <c r="I5" s="62">
        <f t="shared" ref="I5" si="17">IFERROR(FIND(",",G5),LEN(G5))</f>
        <v>22</v>
      </c>
      <c r="J5" s="62" t="e">
        <f t="shared" ref="J5" si="18">FIND("target:",G5)+7</f>
        <v>#VALUE!</v>
      </c>
      <c r="K5" s="62">
        <f t="shared" ref="K5" si="19">FIND(",",G5,I5+1)</f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ref="M5" si="20">IFERROR(RIGHT(B5,LEN(B5)-FIND("],",B5)-1),"none")</f>
        <v>none</v>
      </c>
      <c r="N5" s="47" t="str">
        <f>IFERROR(LEFT(M5,FIND("],",M5)+#REF!),M5)</f>
        <v>none</v>
      </c>
      <c r="O5" s="62" t="e">
        <f t="shared" ref="O5" si="21">FIND("effect:",N5)+7</f>
        <v>#VALUE!</v>
      </c>
      <c r="P5" s="62">
        <f t="shared" ref="P5" si="22">IFERROR(FIND(",",N5),LEN(N5))</f>
        <v>4</v>
      </c>
      <c r="Q5" s="62" t="e">
        <f t="shared" ref="Q5" si="23">FIND("target:",N5)+7</f>
        <v>#VALUE!</v>
      </c>
      <c r="R5" s="62" t="e">
        <f t="shared" ref="R5" si="24">FIND(",",N5,P5+1)</f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ref="T5" si="25">IFERROR(RIGHT(M5,LEN(M5)-FIND("],",M5)-1),"none")</f>
        <v>none</v>
      </c>
      <c r="U5" s="62" t="e">
        <f t="shared" ref="U5" si="26">FIND("effect:",T5)+7</f>
        <v>#VALUE!</v>
      </c>
      <c r="V5" s="62">
        <f t="shared" ref="V5" si="27">IFERROR(FIND(",",T5),LEN(T5))</f>
        <v>4</v>
      </c>
      <c r="W5" s="62" t="e">
        <f t="shared" ref="W5" si="28">FIND("target:",T5)+7</f>
        <v>#VALUE!</v>
      </c>
      <c r="X5" s="62" t="e">
        <f t="shared" ref="X5" si="29">FIND(",",T5,V5+1)</f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9" thickBot="1" x14ac:dyDescent="0.2">
      <c r="A6" s="46">
        <v>40041005</v>
      </c>
      <c r="B6" s="204" t="s">
        <v>288</v>
      </c>
      <c r="C6" s="312">
        <v>3</v>
      </c>
      <c r="D6" s="205" t="s">
        <v>128</v>
      </c>
      <c r="E6" s="175" t="s">
        <v>330</v>
      </c>
      <c r="F6" s="175" t="s">
        <v>280</v>
      </c>
      <c r="G6" s="62" t="str">
        <f>IFERROR(LEFT(B6,FIND("],",B6)),B6)</f>
        <v>[effect:enemy_message, val1:1.7, val2:0]</v>
      </c>
      <c r="H6" s="62">
        <f>FIND("effect:",G6)+7</f>
        <v>9</v>
      </c>
      <c r="I6" s="62">
        <f>IFERROR(FIND(",",G6),LEN(G6))</f>
        <v>22</v>
      </c>
      <c r="J6" s="62" t="e">
        <f>FIND("target:",G6)+7</f>
        <v>#VALUE!</v>
      </c>
      <c r="K6" s="62">
        <f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>IFERROR(RIGHT(B6,LEN(B6)-FIND("],",B6)-1),"none")</f>
        <v>none</v>
      </c>
      <c r="N6" s="47" t="str">
        <f>IFERROR(LEFT(M6,FIND("],",M6)+S23),M6)</f>
        <v>none</v>
      </c>
      <c r="O6" s="62" t="e">
        <f>FIND("effect:",N6)+7</f>
        <v>#VALUE!</v>
      </c>
      <c r="P6" s="62">
        <f>IFERROR(FIND(",",N6),LEN(N6))</f>
        <v>4</v>
      </c>
      <c r="Q6" s="62" t="e">
        <f>FIND("target:",N6)+7</f>
        <v>#VALUE!</v>
      </c>
      <c r="R6" s="62" t="e">
        <f>FIND(",",N6,P6+1)</f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>IFERROR(RIGHT(M6,LEN(M6)-FIND("],",M6)-1),"none")</f>
        <v>none</v>
      </c>
      <c r="U6" s="62" t="e">
        <f>FIND("effect:",T6)+7</f>
        <v>#VALUE!</v>
      </c>
      <c r="V6" s="62">
        <f>IFERROR(FIND(",",T6),LEN(T6))</f>
        <v>4</v>
      </c>
      <c r="W6" s="62" t="e">
        <f>FIND("target:",T6)+7</f>
        <v>#VALUE!</v>
      </c>
      <c r="X6" s="62" t="e">
        <f>FIND(",",T6,V6+1)</f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9" thickTop="1" x14ac:dyDescent="0.15">
      <c r="A7" s="46">
        <v>40041006</v>
      </c>
      <c r="B7" s="180" t="s">
        <v>320</v>
      </c>
      <c r="C7" s="313">
        <v>3</v>
      </c>
      <c r="D7" s="169" t="s">
        <v>128</v>
      </c>
      <c r="E7" s="170" t="s">
        <v>364</v>
      </c>
      <c r="F7" s="170" t="s">
        <v>273</v>
      </c>
      <c r="G7" s="171" t="str">
        <f t="shared" si="0"/>
        <v>[effect:enemy_message, val1:1.7, val2:0]</v>
      </c>
      <c r="H7" s="171">
        <f t="shared" si="1"/>
        <v>9</v>
      </c>
      <c r="I7" s="171">
        <f t="shared" si="2"/>
        <v>22</v>
      </c>
      <c r="J7" s="171" t="e">
        <f t="shared" si="3"/>
        <v>#VALUE!</v>
      </c>
      <c r="K7" s="171">
        <f t="shared" si="4"/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5"/>
        <v>[effect:fix_speed, target:myself, turn:2]</v>
      </c>
      <c r="N7" s="47" t="str">
        <f>IFERROR(LEFT(M7,FIND("],",M7)+S21),M7)</f>
        <v>[effect:fix_speed, target:myself, turn:2]</v>
      </c>
      <c r="O7" s="62">
        <f t="shared" si="6"/>
        <v>9</v>
      </c>
      <c r="P7" s="62">
        <f t="shared" si="7"/>
        <v>18</v>
      </c>
      <c r="Q7" s="62">
        <f t="shared" si="8"/>
        <v>27</v>
      </c>
      <c r="R7" s="62">
        <f t="shared" si="9"/>
        <v>33</v>
      </c>
      <c r="S7" s="62" t="str">
        <f>IFERROR(VLOOKUP(MID(N7,Q7,R7-Q7),[5]skilldef!$C:$D,2,FALSE),"-") &amp; " / " &amp; IFERROR(VLOOKUP(MID(N7,O7,P7-O7),[5]skilldef!$A:$B,2,FALSE),"-")</f>
        <v>自分自身に / 行動値設定</v>
      </c>
      <c r="T7" s="47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40041007</v>
      </c>
      <c r="B8" s="178" t="s">
        <v>347</v>
      </c>
      <c r="C8" s="311">
        <v>3</v>
      </c>
      <c r="D8" s="49" t="s">
        <v>128</v>
      </c>
      <c r="E8" s="50" t="s">
        <v>344</v>
      </c>
      <c r="F8" s="50" t="s">
        <v>399</v>
      </c>
      <c r="G8" s="62" t="str">
        <f t="shared" si="0"/>
        <v>[effect:rush, count:3, val:0.4]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IFERROR(VLOOKUP(MID(G8,J8,K8-J8),[5]skilldef!$C:$D,2,FALSE),"-") &amp; " / " &amp; IFERROR(VLOOKUP(MID(G8,H8,I8-H8),[5]skilldef!$A:$B,2,FALSE),"-")</f>
        <v>- / 連続攻撃</v>
      </c>
      <c r="M8" s="62" t="str">
        <f t="shared" si="5"/>
        <v>none</v>
      </c>
      <c r="N8" s="47" t="str">
        <f>IFERROR(LEFT(M8,FIND("],",M8)+#REF!),M8)</f>
        <v>none</v>
      </c>
      <c r="O8" s="62" t="e">
        <f t="shared" si="6"/>
        <v>#VALUE!</v>
      </c>
      <c r="P8" s="62">
        <f t="shared" si="7"/>
        <v>4</v>
      </c>
      <c r="Q8" s="62" t="e">
        <f t="shared" si="8"/>
        <v>#VALUE!</v>
      </c>
      <c r="R8" s="62" t="e">
        <f t="shared" si="9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8" x14ac:dyDescent="0.15">
      <c r="A9" s="46">
        <v>40041008</v>
      </c>
      <c r="B9" s="202" t="s">
        <v>296</v>
      </c>
      <c r="C9" s="311">
        <v>3</v>
      </c>
      <c r="D9" s="203" t="s">
        <v>128</v>
      </c>
      <c r="E9" s="174" t="s">
        <v>490</v>
      </c>
      <c r="F9" s="174" t="s">
        <v>393</v>
      </c>
      <c r="G9" s="62" t="str">
        <f>IFERROR(LEFT(B14,FIND("],",B14)),B14)</f>
        <v>[effect:enemy_message, val1:1.7, val2:2.5]</v>
      </c>
      <c r="H9" s="62">
        <f t="shared" ref="H9:H10" si="30">FIND("effect:",G9)+7</f>
        <v>9</v>
      </c>
      <c r="I9" s="62">
        <f t="shared" ref="I9:I10" si="31">IFERROR(FIND(",",G9),LEN(G9))</f>
        <v>22</v>
      </c>
      <c r="J9" s="62" t="e">
        <f t="shared" ref="J9:J10" si="32">FIND("target:",G9)+7</f>
        <v>#VALUE!</v>
      </c>
      <c r="K9" s="62">
        <f t="shared" ref="K9:K10" si="33">FIND(",",G9,I9+1)</f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>IFERROR(RIGHT(B14,LEN(B14)-FIND("],",B14)-1),"none")</f>
        <v>[effect:sp_boost, target:unit_all, val:5, animation:sp_boost_one02]</v>
      </c>
      <c r="N9" s="47" t="str">
        <f>IFERROR(LEFT(M9,FIND("],",M9)+#REF!),M9)</f>
        <v>[effect:sp_boost, target:unit_all, val:5, animation:sp_boost_one02]</v>
      </c>
      <c r="O9" s="62">
        <f t="shared" ref="O9:O10" si="34">FIND("effect:",N9)+7</f>
        <v>9</v>
      </c>
      <c r="P9" s="62">
        <f t="shared" ref="P9:P10" si="35">IFERROR(FIND(",",N9),LEN(N9))</f>
        <v>17</v>
      </c>
      <c r="Q9" s="62">
        <f t="shared" ref="Q9:Q10" si="36">FIND("target:",N9)+7</f>
        <v>26</v>
      </c>
      <c r="R9" s="62">
        <f t="shared" ref="R9:R10" si="37">FIND(",",N9,P9+1)</f>
        <v>34</v>
      </c>
      <c r="S9" s="62" t="str">
        <f>IFERROR(VLOOKUP(MID(N9,Q9,R9-Q9),[5]skilldef!$C:$D,2,FALSE),"-") &amp; " / " &amp; IFERROR(VLOOKUP(MID(N9,O9,P9-O9),[5]skilldef!$A:$B,2,FALSE),"-")</f>
        <v>味方全体に / -</v>
      </c>
      <c r="T9" s="47" t="str">
        <f t="shared" ref="T9:T10" si="38">IFERROR(RIGHT(M9,LEN(M9)-FIND("],",M9)-1),"none")</f>
        <v>none</v>
      </c>
      <c r="U9" s="62" t="e">
        <f t="shared" ref="U9:U10" si="39">FIND("effect:",T9)+7</f>
        <v>#VALUE!</v>
      </c>
      <c r="V9" s="62">
        <f t="shared" ref="V9:V10" si="40">IFERROR(FIND(",",T9),LEN(T9))</f>
        <v>4</v>
      </c>
      <c r="W9" s="62" t="e">
        <f t="shared" ref="W9:W10" si="41">FIND("target:",T9)+7</f>
        <v>#VALUE!</v>
      </c>
      <c r="X9" s="62" t="e">
        <f t="shared" ref="X9:X10" si="42">FIND(",",T9,V9+1)</f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8" x14ac:dyDescent="0.15">
      <c r="A10" s="46">
        <v>40041009</v>
      </c>
      <c r="B10" s="202" t="s">
        <v>288</v>
      </c>
      <c r="C10" s="311">
        <v>3</v>
      </c>
      <c r="D10" s="203" t="s">
        <v>128</v>
      </c>
      <c r="E10" s="174" t="s">
        <v>365</v>
      </c>
      <c r="F10" s="174" t="s">
        <v>393</v>
      </c>
      <c r="G10" s="62" t="str">
        <f>IFERROR(LEFT(B15,FIND("],",B15)),B15)</f>
        <v>[effect:enemy_message, val1:1.7, val2:2.5]</v>
      </c>
      <c r="H10" s="62">
        <f t="shared" si="30"/>
        <v>9</v>
      </c>
      <c r="I10" s="62">
        <f t="shared" si="31"/>
        <v>22</v>
      </c>
      <c r="J10" s="62" t="e">
        <f t="shared" si="32"/>
        <v>#VALUE!</v>
      </c>
      <c r="K10" s="62">
        <f t="shared" si="33"/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>IFERROR(RIGHT(B15,LEN(B15)-FIND("],",B15)-1),"none")</f>
        <v>[effect:sp_boost, target:unit_all, val:5, animation:sp_boost_one02]</v>
      </c>
      <c r="N10" s="47" t="str">
        <f>IFERROR(LEFT(M10,FIND("],",M10)+#REF!),M10)</f>
        <v>[effect:sp_boost, target:unit_all, val:5, animation:sp_boost_one02]</v>
      </c>
      <c r="O10" s="62">
        <f t="shared" si="34"/>
        <v>9</v>
      </c>
      <c r="P10" s="62">
        <f t="shared" si="35"/>
        <v>17</v>
      </c>
      <c r="Q10" s="62">
        <f t="shared" si="36"/>
        <v>26</v>
      </c>
      <c r="R10" s="62">
        <f t="shared" si="37"/>
        <v>34</v>
      </c>
      <c r="S10" s="62" t="str">
        <f>IFERROR(VLOOKUP(MID(N10,Q10,R10-Q10),[5]skilldef!$C:$D,2,FALSE),"-") &amp; " / " &amp; IFERROR(VLOOKUP(MID(N10,O10,P10-O10),[5]skilldef!$A:$B,2,FALSE),"-")</f>
        <v>味方全体に / -</v>
      </c>
      <c r="T10" s="47" t="str">
        <f t="shared" si="38"/>
        <v>none</v>
      </c>
      <c r="U10" s="62" t="e">
        <f t="shared" si="39"/>
        <v>#VALUE!</v>
      </c>
      <c r="V10" s="62">
        <f t="shared" si="40"/>
        <v>4</v>
      </c>
      <c r="W10" s="62" t="e">
        <f t="shared" si="41"/>
        <v>#VALUE!</v>
      </c>
      <c r="X10" s="62" t="e">
        <f t="shared" si="42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9" thickBot="1" x14ac:dyDescent="0.2">
      <c r="A11" s="46">
        <v>40041010</v>
      </c>
      <c r="B11" s="204" t="s">
        <v>288</v>
      </c>
      <c r="C11" s="312">
        <v>3</v>
      </c>
      <c r="D11" s="205" t="s">
        <v>128</v>
      </c>
      <c r="E11" s="175" t="s">
        <v>489</v>
      </c>
      <c r="F11" s="175" t="s">
        <v>393</v>
      </c>
      <c r="G11" s="62" t="str">
        <f>IFERROR(LEFT(B16,FIND("],",B16)),B16)</f>
        <v>[effect:enemy_message, val1:1.7, val2:2.5]</v>
      </c>
      <c r="H11" s="62">
        <f>FIND("effect:",G11)+7</f>
        <v>9</v>
      </c>
      <c r="I11" s="62">
        <f>IFERROR(FIND(",",G11),LEN(G11))</f>
        <v>22</v>
      </c>
      <c r="J11" s="62" t="e">
        <f>FIND("target:",G11)+7</f>
        <v>#VALUE!</v>
      </c>
      <c r="K11" s="62">
        <f>FIND(",",G11,I11+1)</f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>IFERROR(RIGHT(B16,LEN(B16)-FIND("],",B16)-1),"none")</f>
        <v>[effect:sp_boost, target:unit_all, val:5, animation:sp_boost_one02]</v>
      </c>
      <c r="N11" s="47" t="str">
        <f>IFERROR(LEFT(M11,FIND("],",M11)+S17),M11)</f>
        <v>[effect:sp_boost, target:unit_all, val:5, animation:sp_boost_one02]</v>
      </c>
      <c r="O11" s="62">
        <f>FIND("effect:",N11)+7</f>
        <v>9</v>
      </c>
      <c r="P11" s="62">
        <f>IFERROR(FIND(",",N11),LEN(N11))</f>
        <v>17</v>
      </c>
      <c r="Q11" s="62">
        <f>FIND("target:",N11)+7</f>
        <v>26</v>
      </c>
      <c r="R11" s="62">
        <f>FIND(",",N11,P11+1)</f>
        <v>34</v>
      </c>
      <c r="S11" s="62" t="str">
        <f>IFERROR(VLOOKUP(MID(N11,Q11,R11-Q11),[5]skilldef!$C:$D,2,FALSE),"-") &amp; " / " &amp; IFERROR(VLOOKUP(MID(N11,O11,P11-O11),[5]skilldef!$A:$B,2,FALSE),"-")</f>
        <v>味方全体に / -</v>
      </c>
      <c r="T11" s="47" t="str">
        <f>IFERROR(RIGHT(M11,LEN(M11)-FIND("],",M11)-1),"none")</f>
        <v>none</v>
      </c>
      <c r="U11" s="62" t="e">
        <f>FIND("effect:",T11)+7</f>
        <v>#VALUE!</v>
      </c>
      <c r="V11" s="62">
        <f>IFERROR(FIND(",",T11),LEN(T11))</f>
        <v>4</v>
      </c>
      <c r="W11" s="62" t="e">
        <f>FIND("target:",T11)+7</f>
        <v>#VALUE!</v>
      </c>
      <c r="X11" s="62" t="e">
        <f>FIND(",",T11,V11+1)</f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9" thickTop="1" x14ac:dyDescent="0.15">
      <c r="A12" s="46">
        <v>40041011</v>
      </c>
      <c r="B12" s="180" t="s">
        <v>321</v>
      </c>
      <c r="C12" s="313">
        <v>3</v>
      </c>
      <c r="D12" s="169" t="s">
        <v>128</v>
      </c>
      <c r="E12" s="170" t="s">
        <v>508</v>
      </c>
      <c r="F12" s="170" t="s">
        <v>328</v>
      </c>
      <c r="G12" s="171" t="str">
        <f t="shared" si="0"/>
        <v>[effect:enemy_message, val1:1.7, val2:0]</v>
      </c>
      <c r="H12" s="171">
        <f t="shared" si="1"/>
        <v>9</v>
      </c>
      <c r="I12" s="171">
        <f t="shared" si="2"/>
        <v>22</v>
      </c>
      <c r="J12" s="171" t="e">
        <f t="shared" si="3"/>
        <v>#VALUE!</v>
      </c>
      <c r="K12" s="171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[effect:fix_speed, target:myself, turn:2]</v>
      </c>
      <c r="N12" s="47" t="str">
        <f>IFERROR(LEFT(M12,FIND("],",M12)+S25),M12)</f>
        <v>[effect:fix_speed, target:myself, turn:2]</v>
      </c>
      <c r="O12" s="62">
        <f t="shared" si="6"/>
        <v>9</v>
      </c>
      <c r="P12" s="62">
        <f t="shared" si="7"/>
        <v>18</v>
      </c>
      <c r="Q12" s="62">
        <f t="shared" si="8"/>
        <v>27</v>
      </c>
      <c r="R12" s="62">
        <f t="shared" si="9"/>
        <v>33</v>
      </c>
      <c r="S12" s="62" t="str">
        <f>IFERROR(VLOOKUP(MID(N12,Q12,R12-Q12),[5]skilldef!$C:$D,2,FALSE),"-") &amp; " / " &amp; IFERROR(VLOOKUP(MID(N12,O12,P12-O12),[5]skilldef!$A:$B,2,FALSE),"-")</f>
        <v>自分自身に / 行動値設定</v>
      </c>
      <c r="T12" s="47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46">
        <v>40041012</v>
      </c>
      <c r="B13" s="178" t="s">
        <v>348</v>
      </c>
      <c r="C13" s="311">
        <v>3</v>
      </c>
      <c r="D13" s="49" t="s">
        <v>128</v>
      </c>
      <c r="E13" s="50" t="s">
        <v>346</v>
      </c>
      <c r="F13" s="50" t="s">
        <v>401</v>
      </c>
      <c r="G13" s="62" t="str">
        <f t="shared" si="0"/>
        <v>[effect:rush, count:2, val:0.6]</v>
      </c>
      <c r="H13" s="62">
        <f t="shared" si="1"/>
        <v>9</v>
      </c>
      <c r="I13" s="62">
        <f t="shared" si="2"/>
        <v>13</v>
      </c>
      <c r="J13" s="62" t="e">
        <f t="shared" si="3"/>
        <v>#VALUE!</v>
      </c>
      <c r="K13" s="62">
        <f t="shared" si="4"/>
        <v>22</v>
      </c>
      <c r="L13" s="62" t="str">
        <f>IFERROR(VLOOKUP(MID(G13,J13,K13-J13),[5]skilldef!$C:$D,2,FALSE),"-") &amp; " / " &amp; IFERROR(VLOOKUP(MID(G13,H13,I13-H13),[5]skilldef!$A:$B,2,FALSE),"-")</f>
        <v>- / 連続攻撃</v>
      </c>
      <c r="M13" s="62" t="str">
        <f t="shared" si="5"/>
        <v>none</v>
      </c>
      <c r="N13" s="47" t="str">
        <f>IFERROR(LEFT(M13,FIND("],",M13)+S26),M13)</f>
        <v>none</v>
      </c>
      <c r="O13" s="62" t="e">
        <f t="shared" si="6"/>
        <v>#VALUE!</v>
      </c>
      <c r="P13" s="62">
        <f t="shared" si="7"/>
        <v>4</v>
      </c>
      <c r="Q13" s="62" t="e">
        <f t="shared" si="8"/>
        <v>#VALUE!</v>
      </c>
      <c r="R13" s="62" t="e">
        <f t="shared" si="9"/>
        <v>#VALUE!</v>
      </c>
      <c r="S13" s="62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8" x14ac:dyDescent="0.15">
      <c r="A14" s="46">
        <v>40041013</v>
      </c>
      <c r="B14" s="202" t="s">
        <v>367</v>
      </c>
      <c r="C14" s="311">
        <v>3</v>
      </c>
      <c r="D14" s="203" t="s">
        <v>128</v>
      </c>
      <c r="E14" s="174" t="s">
        <v>509</v>
      </c>
      <c r="F14" s="174" t="s">
        <v>413</v>
      </c>
      <c r="G14" s="62" t="e">
        <f>IFERROR(LEFT(#REF!,FIND("],",#REF!)),#REF!)</f>
        <v>#REF!</v>
      </c>
      <c r="H14" s="62" t="e">
        <f t="shared" si="1"/>
        <v>#REF!</v>
      </c>
      <c r="I14" s="62" t="e">
        <f t="shared" si="2"/>
        <v>#REF!</v>
      </c>
      <c r="J14" s="62" t="e">
        <f t="shared" si="3"/>
        <v>#REF!</v>
      </c>
      <c r="K14" s="62" t="e">
        <f t="shared" si="4"/>
        <v>#REF!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>IFERROR(RIGHT(#REF!,LEN(#REF!)-FIND("],",#REF!)-1),"none")</f>
        <v>none</v>
      </c>
      <c r="N14" s="47" t="str">
        <f>IFERROR(LEFT(M14,FIND("],",M14)+S25),M14)</f>
        <v>none</v>
      </c>
      <c r="O14" s="62" t="e">
        <f t="shared" si="6"/>
        <v>#VALUE!</v>
      </c>
      <c r="P14" s="62">
        <f t="shared" si="7"/>
        <v>4</v>
      </c>
      <c r="Q14" s="62" t="e">
        <f t="shared" si="8"/>
        <v>#VALUE!</v>
      </c>
      <c r="R14" s="62" t="e">
        <f t="shared" si="9"/>
        <v>#VALUE!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8" x14ac:dyDescent="0.15">
      <c r="A15" s="46">
        <v>40041014</v>
      </c>
      <c r="B15" s="202" t="s">
        <v>368</v>
      </c>
      <c r="C15" s="311">
        <v>3</v>
      </c>
      <c r="D15" s="203" t="s">
        <v>128</v>
      </c>
      <c r="E15" s="174" t="s">
        <v>509</v>
      </c>
      <c r="F15" s="174" t="s">
        <v>413</v>
      </c>
      <c r="G15" s="62" t="e">
        <f>IFERROR(LEFT(#REF!,FIND("],",#REF!)),#REF!)</f>
        <v>#REF!</v>
      </c>
      <c r="H15" s="62" t="e">
        <f t="shared" ref="H15" si="43">FIND("effect:",G15)+7</f>
        <v>#REF!</v>
      </c>
      <c r="I15" s="62" t="e">
        <f t="shared" ref="I15" si="44">IFERROR(FIND(",",G15),LEN(G15))</f>
        <v>#REF!</v>
      </c>
      <c r="J15" s="62" t="e">
        <f t="shared" ref="J15" si="45">FIND("target:",G15)+7</f>
        <v>#REF!</v>
      </c>
      <c r="K15" s="62" t="e">
        <f t="shared" ref="K15" si="46">FIND(",",G15,I15+1)</f>
        <v>#REF!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>IFERROR(RIGHT(#REF!,LEN(#REF!)-FIND("],",#REF!)-1),"none")</f>
        <v>none</v>
      </c>
      <c r="N15" s="47" t="str">
        <f>IFERROR(LEFT(M15,FIND("],",M15)+S26),M15)</f>
        <v>none</v>
      </c>
      <c r="O15" s="62" t="e">
        <f t="shared" ref="O15" si="47">FIND("effect:",N15)+7</f>
        <v>#VALUE!</v>
      </c>
      <c r="P15" s="62">
        <f t="shared" ref="P15" si="48">IFERROR(FIND(",",N15),LEN(N15))</f>
        <v>4</v>
      </c>
      <c r="Q15" s="62" t="e">
        <f t="shared" ref="Q15" si="49">FIND("target:",N15)+7</f>
        <v>#VALUE!</v>
      </c>
      <c r="R15" s="62" t="e">
        <f t="shared" ref="R15" si="50">FIND(",",N15,P15+1)</f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ref="T15" si="51">IFERROR(RIGHT(M15,LEN(M15)-FIND("],",M15)-1),"none")</f>
        <v>none</v>
      </c>
      <c r="U15" s="62" t="e">
        <f t="shared" ref="U15" si="52">FIND("effect:",T15)+7</f>
        <v>#VALUE!</v>
      </c>
      <c r="V15" s="62">
        <f t="shared" ref="V15" si="53">IFERROR(FIND(",",T15),LEN(T15))</f>
        <v>4</v>
      </c>
      <c r="W15" s="62" t="e">
        <f t="shared" ref="W15" si="54">FIND("target:",T15)+7</f>
        <v>#VALUE!</v>
      </c>
      <c r="X15" s="62" t="e">
        <f t="shared" ref="X15" si="55">FIND(",",T15,V15+1)</f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9" thickBot="1" x14ac:dyDescent="0.2">
      <c r="A16" s="46">
        <v>40041015</v>
      </c>
      <c r="B16" s="204" t="s">
        <v>369</v>
      </c>
      <c r="C16" s="312">
        <v>3</v>
      </c>
      <c r="D16" s="205" t="s">
        <v>128</v>
      </c>
      <c r="E16" s="175" t="s">
        <v>509</v>
      </c>
      <c r="F16" s="175" t="s">
        <v>413</v>
      </c>
      <c r="G16" s="62" t="e">
        <f>IFERROR(LEFT(#REF!,FIND("],",#REF!)),#REF!)</f>
        <v>#REF!</v>
      </c>
      <c r="H16" s="62" t="e">
        <f t="shared" si="1"/>
        <v>#REF!</v>
      </c>
      <c r="I16" s="62" t="e">
        <f t="shared" si="2"/>
        <v>#REF!</v>
      </c>
      <c r="J16" s="62" t="e">
        <f t="shared" si="3"/>
        <v>#REF!</v>
      </c>
      <c r="K16" s="62" t="e">
        <f t="shared" si="4"/>
        <v>#REF!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>IFERROR(RIGHT(#REF!,LEN(#REF!)-FIND("],",#REF!)-1),"none")</f>
        <v>none</v>
      </c>
      <c r="N16" s="47" t="str">
        <f>IFERROR(LEFT(M16,FIND("],",M16)+#REF!),M16)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32" customHeight="1" thickTop="1" x14ac:dyDescent="0.15">
      <c r="A17" s="46">
        <v>40041016</v>
      </c>
      <c r="B17" s="180" t="s">
        <v>322</v>
      </c>
      <c r="C17" s="313">
        <v>3</v>
      </c>
      <c r="D17" s="169" t="s">
        <v>128</v>
      </c>
      <c r="E17" s="170" t="s">
        <v>505</v>
      </c>
      <c r="F17" s="170" t="s">
        <v>308</v>
      </c>
      <c r="G17" s="62" t="str">
        <f t="shared" si="0"/>
        <v>[effect:enemy_message, val1:1.7, val2:3]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[effect:fix_speed, target:myself, turn:2]</v>
      </c>
      <c r="N17" s="47" t="str">
        <f>IFERROR(LEFT(M17,FIND("],",M17)+S28),M17)</f>
        <v>[effect:fix_speed, target:myself, turn:2]</v>
      </c>
      <c r="O17" s="62">
        <f t="shared" si="6"/>
        <v>9</v>
      </c>
      <c r="P17" s="62">
        <f t="shared" si="7"/>
        <v>18</v>
      </c>
      <c r="Q17" s="62">
        <f t="shared" si="8"/>
        <v>27</v>
      </c>
      <c r="R17" s="62">
        <f t="shared" si="9"/>
        <v>33</v>
      </c>
      <c r="S17" s="62" t="str">
        <f>IFERROR(VLOOKUP(MID(N17,Q17,R17-Q17),[5]skilldef!$C:$D,2,FALSE),"-") &amp; " / " &amp; IFERROR(VLOOKUP(MID(N17,O17,P17-O17),[5]skilldef!$A:$B,2,FALSE),"-")</f>
        <v>自分自身に / 行動値設定</v>
      </c>
      <c r="T17" s="47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46">
        <v>40041017</v>
      </c>
      <c r="B18" s="178" t="s">
        <v>282</v>
      </c>
      <c r="C18" s="311">
        <v>3</v>
      </c>
      <c r="D18" s="49" t="s">
        <v>128</v>
      </c>
      <c r="E18" s="50" t="s">
        <v>349</v>
      </c>
      <c r="F18" s="50" t="s">
        <v>400</v>
      </c>
      <c r="G18" s="62" t="str">
        <f t="shared" si="0"/>
        <v>[effect:rush, count:2, val:0.6]</v>
      </c>
      <c r="H18" s="62">
        <f t="shared" si="1"/>
        <v>9</v>
      </c>
      <c r="I18" s="62">
        <f t="shared" si="2"/>
        <v>13</v>
      </c>
      <c r="J18" s="62" t="e">
        <f t="shared" si="3"/>
        <v>#VALUE!</v>
      </c>
      <c r="K18" s="62">
        <f t="shared" si="4"/>
        <v>22</v>
      </c>
      <c r="L18" s="62" t="str">
        <f>IFERROR(VLOOKUP(MID(G18,J18,K18-J18),[5]skilldef!$C:$D,2,FALSE),"-") &amp; " / " &amp; IFERROR(VLOOKUP(MID(G18,H18,I18-H18),[5]skilldef!$A:$B,2,FALSE),"-")</f>
        <v>- / 連続攻撃</v>
      </c>
      <c r="M18" s="62" t="str">
        <f t="shared" si="5"/>
        <v>none</v>
      </c>
      <c r="N18" s="47" t="str">
        <f>IFERROR(LEFT(M18,FIND("],",M18)+S29),M18)</f>
        <v>none</v>
      </c>
      <c r="O18" s="62" t="e">
        <f t="shared" si="6"/>
        <v>#VALUE!</v>
      </c>
      <c r="P18" s="62">
        <f t="shared" si="7"/>
        <v>4</v>
      </c>
      <c r="Q18" s="62" t="e">
        <f t="shared" si="8"/>
        <v>#VALUE!</v>
      </c>
      <c r="R18" s="62" t="e">
        <f t="shared" si="9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8" x14ac:dyDescent="0.15">
      <c r="A19" s="46">
        <v>40041018</v>
      </c>
      <c r="B19" s="202" t="s">
        <v>323</v>
      </c>
      <c r="C19" s="311">
        <v>3</v>
      </c>
      <c r="D19" s="203" t="s">
        <v>128</v>
      </c>
      <c r="E19" s="174" t="s">
        <v>504</v>
      </c>
      <c r="F19" s="174" t="s">
        <v>307</v>
      </c>
      <c r="G19" s="62" t="str">
        <f t="shared" si="0"/>
        <v>[effect:enemy_message, val1:1.7, val2:3]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none</v>
      </c>
      <c r="N19" s="47" t="str">
        <f>IFERROR(LEFT(M19,FIND("],",M19)+S28),M19)</f>
        <v>none</v>
      </c>
      <c r="O19" s="62" t="e">
        <f t="shared" si="6"/>
        <v>#VALUE!</v>
      </c>
      <c r="P19" s="62">
        <f t="shared" si="7"/>
        <v>4</v>
      </c>
      <c r="Q19" s="62" t="e">
        <f t="shared" si="8"/>
        <v>#VALUE!</v>
      </c>
      <c r="R19" s="62" t="e">
        <f t="shared" si="9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8" x14ac:dyDescent="0.15">
      <c r="A20" s="46">
        <v>40041019</v>
      </c>
      <c r="B20" s="202" t="s">
        <v>309</v>
      </c>
      <c r="C20" s="311">
        <v>3</v>
      </c>
      <c r="D20" s="203" t="s">
        <v>128</v>
      </c>
      <c r="E20" s="174" t="s">
        <v>506</v>
      </c>
      <c r="F20" s="174" t="s">
        <v>289</v>
      </c>
      <c r="G20" s="62" t="str">
        <f t="shared" ref="G20" si="56">IFERROR(LEFT(B20,FIND("],",B20)),B20)</f>
        <v>[effect:enemy_message, val1:1.7, val2:3]</v>
      </c>
      <c r="H20" s="62">
        <f t="shared" ref="H20" si="57">FIND("effect:",G20)+7</f>
        <v>9</v>
      </c>
      <c r="I20" s="62">
        <f t="shared" ref="I20" si="58">IFERROR(FIND(",",G20),LEN(G20))</f>
        <v>22</v>
      </c>
      <c r="J20" s="62" t="e">
        <f t="shared" ref="J20" si="59">FIND("target:",G20)+7</f>
        <v>#VALUE!</v>
      </c>
      <c r="K20" s="62">
        <f t="shared" ref="K20" si="60">FIND(",",G20,I20+1)</f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ref="M20" si="61">IFERROR(RIGHT(B20,LEN(B20)-FIND("],",B20)-1),"none")</f>
        <v>none</v>
      </c>
      <c r="N20" s="47" t="str">
        <f>IFERROR(LEFT(M20,FIND("],",M20)+S29),M20)</f>
        <v>none</v>
      </c>
      <c r="O20" s="62" t="e">
        <f t="shared" ref="O20" si="62">FIND("effect:",N20)+7</f>
        <v>#VALUE!</v>
      </c>
      <c r="P20" s="62">
        <f t="shared" ref="P20" si="63">IFERROR(FIND(",",N20),LEN(N20))</f>
        <v>4</v>
      </c>
      <c r="Q20" s="62" t="e">
        <f t="shared" ref="Q20" si="64">FIND("target:",N20)+7</f>
        <v>#VALUE!</v>
      </c>
      <c r="R20" s="62" t="e">
        <f t="shared" ref="R20" si="65">FIND(",",N20,P20+1)</f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ref="T20" si="66">IFERROR(RIGHT(M20,LEN(M20)-FIND("],",M20)-1),"none")</f>
        <v>none</v>
      </c>
      <c r="U20" s="62" t="e">
        <f t="shared" ref="U20" si="67">FIND("effect:",T20)+7</f>
        <v>#VALUE!</v>
      </c>
      <c r="V20" s="62">
        <f t="shared" ref="V20" si="68">IFERROR(FIND(",",T20),LEN(T20))</f>
        <v>4</v>
      </c>
      <c r="W20" s="62" t="e">
        <f t="shared" ref="W20" si="69">FIND("target:",T20)+7</f>
        <v>#VALUE!</v>
      </c>
      <c r="X20" s="62" t="e">
        <f t="shared" ref="X20" si="70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9" thickBot="1" x14ac:dyDescent="0.2">
      <c r="A21" s="46">
        <v>40041020</v>
      </c>
      <c r="B21" s="204" t="s">
        <v>309</v>
      </c>
      <c r="C21" s="312">
        <v>3</v>
      </c>
      <c r="D21" s="205" t="s">
        <v>128</v>
      </c>
      <c r="E21" s="174" t="s">
        <v>507</v>
      </c>
      <c r="F21" s="175" t="s">
        <v>289</v>
      </c>
      <c r="G21" s="62" t="str">
        <f t="shared" si="0"/>
        <v>[effect:enemy_message, val1:1.7, val2:3]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none</v>
      </c>
      <c r="N21" s="47" t="str">
        <f>IFERROR(LEFT(M21,FIND("],",M21)+S30),M21)</f>
        <v>none</v>
      </c>
      <c r="O21" s="62" t="e">
        <f t="shared" si="6"/>
        <v>#VALUE!</v>
      </c>
      <c r="P21" s="62">
        <f t="shared" si="7"/>
        <v>4</v>
      </c>
      <c r="Q21" s="62" t="e">
        <f t="shared" si="8"/>
        <v>#VALUE!</v>
      </c>
      <c r="R21" s="62" t="e">
        <f t="shared" si="9"/>
        <v>#VALUE!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si="10"/>
        <v>none</v>
      </c>
      <c r="U21" s="62" t="e">
        <f t="shared" si="11"/>
        <v>#VALUE!</v>
      </c>
      <c r="V21" s="62">
        <f t="shared" si="12"/>
        <v>4</v>
      </c>
      <c r="W21" s="62" t="e">
        <f t="shared" si="13"/>
        <v>#VALUE!</v>
      </c>
      <c r="X21" s="62" t="e">
        <f t="shared" si="14"/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32" customHeight="1" thickTop="1" x14ac:dyDescent="0.15">
      <c r="A22" s="46">
        <v>40041021</v>
      </c>
      <c r="B22" s="235" t="s">
        <v>305</v>
      </c>
      <c r="C22" s="314">
        <v>3</v>
      </c>
      <c r="D22" s="236" t="s">
        <v>128</v>
      </c>
      <c r="E22" s="237" t="s">
        <v>375</v>
      </c>
      <c r="F22" s="237" t="s">
        <v>311</v>
      </c>
      <c r="G22" s="62" t="str">
        <f t="shared" ref="G22" si="71">IFERROR(LEFT(B22,FIND("],",B22)),B22)</f>
        <v>[effect:enemy_message, val1:1.7, val2:0]</v>
      </c>
      <c r="H22" s="62">
        <f t="shared" ref="H22" si="72">FIND("effect:",G22)+7</f>
        <v>9</v>
      </c>
      <c r="I22" s="62">
        <f t="shared" ref="I22" si="73">IFERROR(FIND(",",G22),LEN(G22))</f>
        <v>22</v>
      </c>
      <c r="J22" s="62" t="e">
        <f t="shared" ref="J22" si="74">FIND("target:",G22)+7</f>
        <v>#VALUE!</v>
      </c>
      <c r="K22" s="62">
        <f t="shared" ref="K22" si="75">FIND(",",G22,I22+1)</f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" si="76">IFERROR(RIGHT(B22,LEN(B22)-FIND("],",B22)-1),"none")</f>
        <v>[effect:ability_lock, target:unit_all, turn:1],[effect:sleep, target:unit_all, turn:1, rate:1],[effect:fix_speed, target:myself, turn:1]</v>
      </c>
      <c r="N22" s="47" t="str">
        <f>IFERROR(LEFT(M22,FIND("],",M22)+S31),M22)</f>
        <v>[effect:ability_lock, target:unit_all, turn:1],[effect:sleep, target:unit_all, turn:1, rate:1],[effect:fix_speed, target:myself, turn:1]</v>
      </c>
      <c r="O22" s="62">
        <f t="shared" ref="O22" si="77">FIND("effect:",N22)+7</f>
        <v>9</v>
      </c>
      <c r="P22" s="62">
        <f t="shared" ref="P22" si="78">IFERROR(FIND(",",N22),LEN(N22))</f>
        <v>21</v>
      </c>
      <c r="Q22" s="62">
        <f t="shared" ref="Q22" si="79">FIND("target:",N22)+7</f>
        <v>30</v>
      </c>
      <c r="R22" s="62">
        <f t="shared" ref="R22" si="80">FIND(",",N22,P22+1)</f>
        <v>38</v>
      </c>
      <c r="S22" s="62" t="str">
        <f>IFERROR(VLOOKUP(MID(N22,Q22,R22-Q22),[5]skilldef!$C:$D,2,FALSE),"-") &amp; " / " &amp; IFERROR(VLOOKUP(MID(N22,O22,P22-O22),[5]skilldef!$A:$B,2,FALSE),"-")</f>
        <v>味方全体に / -</v>
      </c>
      <c r="T22" s="47" t="str">
        <f t="shared" ref="T22" si="81">IFERROR(RIGHT(M22,LEN(M22)-FIND("],",M22)-1),"none")</f>
        <v>[effect:sleep, target:unit_all, turn:1, rate:1],[effect:fix_speed, target:myself, turn:1]</v>
      </c>
      <c r="U22" s="62">
        <f t="shared" ref="U22" si="82">FIND("effect:",T22)+7</f>
        <v>9</v>
      </c>
      <c r="V22" s="62">
        <f t="shared" ref="V22" si="83">IFERROR(FIND(",",T22),LEN(T22))</f>
        <v>14</v>
      </c>
      <c r="W22" s="62">
        <f t="shared" ref="W22" si="84">FIND("target:",T22)+7</f>
        <v>23</v>
      </c>
      <c r="X22" s="62">
        <f t="shared" ref="X22" si="85">FIND(",",T22,V22+1)</f>
        <v>31</v>
      </c>
      <c r="Y22" s="62" t="str">
        <f>IFERROR(VLOOKUP(MID(T22,W22,X22-W22),[5]skilldef!$C:$D,2,FALSE),"-") &amp; " / " &amp; IFERROR(VLOOKUP(MID(T22,U22,V22-U22),[5]skilldef!$A:$B,2,FALSE),"-")</f>
        <v>味方全体に / スリープ</v>
      </c>
      <c r="Z22" s="49"/>
      <c r="AA22" s="51"/>
      <c r="AB22" s="49"/>
    </row>
    <row r="23" spans="1:28" ht="32" customHeight="1" thickBot="1" x14ac:dyDescent="0.2">
      <c r="A23" s="46">
        <v>40041022</v>
      </c>
      <c r="B23" s="232" t="s">
        <v>310</v>
      </c>
      <c r="C23" s="315">
        <v>3</v>
      </c>
      <c r="D23" s="233" t="s">
        <v>128</v>
      </c>
      <c r="E23" s="234" t="s">
        <v>306</v>
      </c>
      <c r="F23" s="234" t="s">
        <v>281</v>
      </c>
      <c r="G23" s="62" t="str">
        <f t="shared" si="0"/>
        <v>[effect:enemy_message, val1:1.5, val2:0]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[effect:suicide, target:myself, val:1, dead_type:suicide, animation:enemy_suicide]</v>
      </c>
      <c r="N23" s="47" t="str">
        <f>IFERROR(LEFT(M23,FIND("],",M23)+#REF!),M23)</f>
        <v>[effect:suicide, target:myself, val:1, dead_type:suicide, animation:enemy_suicide]</v>
      </c>
      <c r="O23" s="62">
        <f t="shared" si="6"/>
        <v>9</v>
      </c>
      <c r="P23" s="62">
        <f t="shared" si="7"/>
        <v>16</v>
      </c>
      <c r="Q23" s="62">
        <f t="shared" si="8"/>
        <v>25</v>
      </c>
      <c r="R23" s="62">
        <f t="shared" si="9"/>
        <v>31</v>
      </c>
      <c r="S23" s="62" t="str">
        <f>IFERROR(VLOOKUP(MID(N23,Q23,R23-Q23),[5]skilldef!$C:$D,2,FALSE),"-") &amp; " / " &amp; IFERROR(VLOOKUP(MID(N23,O23,P23-O23),[5]skilldef!$A:$B,2,FALSE),"-")</f>
        <v>自分自身に / -</v>
      </c>
      <c r="T23" s="47" t="str">
        <f t="shared" si="10"/>
        <v>none</v>
      </c>
      <c r="U23" s="62" t="e">
        <f t="shared" si="11"/>
        <v>#VALUE!</v>
      </c>
      <c r="V23" s="62">
        <f t="shared" si="12"/>
        <v>4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9" thickTop="1" x14ac:dyDescent="0.15">
      <c r="A24" s="46">
        <v>40041023</v>
      </c>
      <c r="B24" s="200" t="s">
        <v>450</v>
      </c>
      <c r="C24" s="313">
        <v>3</v>
      </c>
      <c r="D24" s="201" t="s">
        <v>128</v>
      </c>
      <c r="E24" s="171" t="s">
        <v>377</v>
      </c>
      <c r="F24" s="171" t="s">
        <v>463</v>
      </c>
      <c r="G24" s="62" t="str">
        <f t="shared" si="0"/>
        <v>[effect:enemy_message, val1:2.2, val2:2.9]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5"/>
        <v>[effect:fix_speed, target:myself, turn:2]</v>
      </c>
      <c r="N24" s="47" t="str">
        <f>IFERROR(LEFT(M24,FIND("],",M24)+#REF!),M24)</f>
        <v>[effect:fix_speed, target:myself, turn:2]</v>
      </c>
      <c r="O24" s="62">
        <f t="shared" si="6"/>
        <v>9</v>
      </c>
      <c r="P24" s="62">
        <f t="shared" si="7"/>
        <v>18</v>
      </c>
      <c r="Q24" s="62">
        <f t="shared" si="8"/>
        <v>27</v>
      </c>
      <c r="R24" s="62">
        <f t="shared" si="9"/>
        <v>33</v>
      </c>
      <c r="S24" s="62" t="str">
        <f>IFERROR(VLOOKUP(MID(N24,Q24,R24-Q24),[5]skilldef!$C:$D,2,FALSE),"-") &amp; " / " &amp; IFERROR(VLOOKUP(MID(N24,O24,P24-O24),[5]skilldef!$A:$B,2,FALSE),"-")</f>
        <v>自分自身に / 行動値設定</v>
      </c>
      <c r="T24" s="47" t="str">
        <f t="shared" si="10"/>
        <v>none</v>
      </c>
      <c r="U24" s="62" t="e">
        <f t="shared" si="11"/>
        <v>#VALUE!</v>
      </c>
      <c r="V24" s="62">
        <f t="shared" si="12"/>
        <v>4</v>
      </c>
      <c r="W24" s="62" t="e">
        <f t="shared" si="13"/>
        <v>#VALUE!</v>
      </c>
      <c r="X24" s="62" t="e">
        <f t="shared" si="14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46">
        <v>40041024</v>
      </c>
      <c r="B25" s="197" t="s">
        <v>283</v>
      </c>
      <c r="C25" s="311">
        <v>3</v>
      </c>
      <c r="D25" s="45" t="s">
        <v>128</v>
      </c>
      <c r="E25" s="171" t="s">
        <v>376</v>
      </c>
      <c r="F25" s="171" t="s">
        <v>402</v>
      </c>
      <c r="G25" s="62" t="str">
        <f t="shared" si="0"/>
        <v>[effect:rush, count:4, val:0.35]</v>
      </c>
      <c r="H25" s="62">
        <f t="shared" si="1"/>
        <v>9</v>
      </c>
      <c r="I25" s="62">
        <f t="shared" si="2"/>
        <v>13</v>
      </c>
      <c r="J25" s="62" t="e">
        <f t="shared" si="3"/>
        <v>#VALUE!</v>
      </c>
      <c r="K25" s="62">
        <f t="shared" si="4"/>
        <v>22</v>
      </c>
      <c r="L25" s="62" t="str">
        <f>IFERROR(VLOOKUP(MID(G25,J25,K25-J25),[5]skilldef!$C:$D,2,FALSE),"-") &amp; " / " &amp; IFERROR(VLOOKUP(MID(G25,H25,I25-H25),[5]skilldef!$A:$B,2,FALSE),"-")</f>
        <v>- / 連続攻撃</v>
      </c>
      <c r="M25" s="62" t="str">
        <f t="shared" si="5"/>
        <v>none</v>
      </c>
      <c r="N25" s="47" t="str">
        <f>IFERROR(LEFT(M25,FIND("],",M25)+S34),M25)</f>
        <v>none</v>
      </c>
      <c r="O25" s="62" t="e">
        <f t="shared" si="6"/>
        <v>#VALUE!</v>
      </c>
      <c r="P25" s="62">
        <f t="shared" si="7"/>
        <v>4</v>
      </c>
      <c r="Q25" s="62" t="e">
        <f t="shared" si="8"/>
        <v>#VALUE!</v>
      </c>
      <c r="R25" s="62" t="e">
        <f t="shared" si="9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thickBot="1" x14ac:dyDescent="0.2">
      <c r="A26" s="46">
        <v>40041025</v>
      </c>
      <c r="B26" s="198" t="s">
        <v>370</v>
      </c>
      <c r="C26" s="312">
        <v>3</v>
      </c>
      <c r="D26" s="199" t="s">
        <v>128</v>
      </c>
      <c r="E26" s="173" t="s">
        <v>353</v>
      </c>
      <c r="F26" s="173" t="s">
        <v>407</v>
      </c>
      <c r="G26" s="62" t="str">
        <f t="shared" si="0"/>
        <v>[effect:spread, val:0.28]</v>
      </c>
      <c r="H26" s="62">
        <f t="shared" si="1"/>
        <v>9</v>
      </c>
      <c r="I26" s="62">
        <f t="shared" si="2"/>
        <v>15</v>
      </c>
      <c r="J26" s="62" t="e">
        <f t="shared" si="3"/>
        <v>#VALUE!</v>
      </c>
      <c r="K26" s="62" t="e">
        <f t="shared" si="4"/>
        <v>#VALUE!</v>
      </c>
      <c r="L26" s="62" t="str">
        <f>IFERROR(VLOOKUP(MID(G26,J26,K26-J26),[5]skilldef!$C:$D,2,FALSE),"-") &amp; " / " &amp; IFERROR(VLOOKUP(MID(G26,H26,I26-H26),[5]skilldef!$A:$B,2,FALSE),"-")</f>
        <v>- / 全体攻撃</v>
      </c>
      <c r="M26" s="62" t="str">
        <f t="shared" si="5"/>
        <v>none</v>
      </c>
      <c r="N26" s="47" t="str">
        <f>IFERROR(LEFT(M26,FIND("],",M26)+S35),M26)</f>
        <v>none</v>
      </c>
      <c r="O26" s="62" t="e">
        <f t="shared" si="6"/>
        <v>#VALUE!</v>
      </c>
      <c r="P26" s="62">
        <f t="shared" si="7"/>
        <v>4</v>
      </c>
      <c r="Q26" s="62" t="e">
        <f t="shared" si="8"/>
        <v>#VALUE!</v>
      </c>
      <c r="R26" s="62" t="e">
        <f t="shared" si="9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36" customHeight="1" thickTop="1" x14ac:dyDescent="0.15">
      <c r="A27" s="46">
        <v>40041026</v>
      </c>
      <c r="B27" s="200" t="s">
        <v>372</v>
      </c>
      <c r="C27" s="313">
        <v>3</v>
      </c>
      <c r="D27" s="201" t="s">
        <v>128</v>
      </c>
      <c r="E27" s="171" t="s">
        <v>371</v>
      </c>
      <c r="F27" s="171" t="s">
        <v>510</v>
      </c>
      <c r="G27" s="62" t="str">
        <f t="shared" si="0"/>
        <v>[effect:enemy_message, val1:2.5, val2:2.5]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[effect:freq_turn, target:myself, turn:-1, val:1, animation:enemy_freq_turn],[effect:enhance_enemy, target:myself, turn:-1, status:attack, val:0.5, calc:mul, animation:enemy_enhance_attack]</v>
      </c>
      <c r="N27" s="47" t="str">
        <f>IFERROR(LEFT(M27,FIND("],",M27)+S37),M27)</f>
        <v>[effect:freq_turn, target:myself, turn:-1, val:1, animation:enemy_freq_turn],[effect:enhance_enemy, target:myself, turn:-1, status:attack, val:0.5, calc:mul, animation:enemy_enhance_attack]</v>
      </c>
      <c r="O27" s="62">
        <f t="shared" si="6"/>
        <v>9</v>
      </c>
      <c r="P27" s="62">
        <f t="shared" si="7"/>
        <v>18</v>
      </c>
      <c r="Q27" s="62">
        <f t="shared" si="8"/>
        <v>27</v>
      </c>
      <c r="R27" s="62">
        <f t="shared" si="9"/>
        <v>33</v>
      </c>
      <c r="S27" s="62" t="str">
        <f>IFERROR(VLOOKUP(MID(N27,Q27,R27-Q27),[5]skilldef!$C:$D,2,FALSE),"-") &amp; " / " &amp; IFERROR(VLOOKUP(MID(N27,O27,P27-O27),[5]skilldef!$A:$B,2,FALSE),"-")</f>
        <v>自分自身に / 攻撃頻度がUP</v>
      </c>
      <c r="T27" s="47" t="str">
        <f t="shared" si="10"/>
        <v>[effect:enhance_enemy, target:myself, turn:-1, status:attack, val:0.5, calc:mul, animation:enemy_enhance_attack]</v>
      </c>
      <c r="U27" s="62">
        <f t="shared" si="11"/>
        <v>9</v>
      </c>
      <c r="V27" s="62">
        <f t="shared" si="12"/>
        <v>22</v>
      </c>
      <c r="W27" s="62">
        <f t="shared" si="13"/>
        <v>31</v>
      </c>
      <c r="X27" s="62">
        <f t="shared" si="14"/>
        <v>37</v>
      </c>
      <c r="Y27" s="62" t="str">
        <f>IFERROR(VLOOKUP(MID(T27,W27,X27-W27),[5]skilldef!$C:$D,2,FALSE),"-") &amp; " / " &amp; IFERROR(VLOOKUP(MID(T27,U27,V27-U27),[5]skilldef!$A:$B,2,FALSE),"-")</f>
        <v>自分自身に / ステータス強化</v>
      </c>
      <c r="Z27" s="49"/>
      <c r="AA27" s="51"/>
      <c r="AB27" s="49"/>
    </row>
    <row r="28" spans="1:28" ht="21" customHeight="1" x14ac:dyDescent="0.15">
      <c r="A28" s="46">
        <v>40041027</v>
      </c>
      <c r="B28" s="197" t="s">
        <v>453</v>
      </c>
      <c r="C28" s="311">
        <v>3</v>
      </c>
      <c r="D28" s="45" t="s">
        <v>128</v>
      </c>
      <c r="E28" s="62" t="s">
        <v>350</v>
      </c>
      <c r="F28" s="62" t="s">
        <v>408</v>
      </c>
      <c r="G28" s="62" t="str">
        <f t="shared" si="0"/>
        <v>[effect:damage_anti_color, target:unit_all, color:yellow, val1:0.9, val2:0.19]</v>
      </c>
      <c r="H28" s="62">
        <f t="shared" si="1"/>
        <v>9</v>
      </c>
      <c r="I28" s="62">
        <f t="shared" si="2"/>
        <v>26</v>
      </c>
      <c r="J28" s="62">
        <f t="shared" si="3"/>
        <v>35</v>
      </c>
      <c r="K28" s="62">
        <f t="shared" si="4"/>
        <v>43</v>
      </c>
      <c r="L28" s="62" t="str">
        <f>IFERROR(VLOOKUP(MID(G28,J28,K28-J28),[5]skilldef!$C:$D,2,FALSE),"-") &amp; " / " &amp; IFERROR(VLOOKUP(MID(G28,H28,I28-H28),[5]skilldef!$A:$B,2,FALSE),"-")</f>
        <v>味方全体に / 属性キラー</v>
      </c>
      <c r="M28" s="62" t="str">
        <f t="shared" si="5"/>
        <v>none</v>
      </c>
      <c r="N28" s="47" t="str">
        <f>IFERROR(LEFT(M28,FIND("],",M28)+S41),M28)</f>
        <v>none</v>
      </c>
      <c r="O28" s="62" t="e">
        <f t="shared" si="6"/>
        <v>#VALUE!</v>
      </c>
      <c r="P28" s="62">
        <f t="shared" si="7"/>
        <v>4</v>
      </c>
      <c r="Q28" s="62" t="e">
        <f t="shared" si="8"/>
        <v>#VALUE!</v>
      </c>
      <c r="R28" s="62" t="e">
        <f t="shared" si="9"/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si="10"/>
        <v>none</v>
      </c>
      <c r="U28" s="62" t="e">
        <f t="shared" si="11"/>
        <v>#VALUE!</v>
      </c>
      <c r="V28" s="62">
        <f t="shared" si="12"/>
        <v>4</v>
      </c>
      <c r="W28" s="62" t="e">
        <f t="shared" si="13"/>
        <v>#VALUE!</v>
      </c>
      <c r="X28" s="62" t="e">
        <f t="shared" si="14"/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ht="21" customHeight="1" x14ac:dyDescent="0.15">
      <c r="A29" s="46">
        <v>40041028</v>
      </c>
      <c r="B29" s="197" t="s">
        <v>451</v>
      </c>
      <c r="C29" s="311">
        <v>3</v>
      </c>
      <c r="D29" s="45" t="s">
        <v>128</v>
      </c>
      <c r="E29" s="62" t="s">
        <v>351</v>
      </c>
      <c r="F29" s="62" t="s">
        <v>409</v>
      </c>
      <c r="G29" s="62" t="str">
        <f t="shared" si="0"/>
        <v>[effect:rush, count:6, val:0.18]</v>
      </c>
      <c r="H29" s="62">
        <f t="shared" si="1"/>
        <v>9</v>
      </c>
      <c r="I29" s="62">
        <f t="shared" si="2"/>
        <v>13</v>
      </c>
      <c r="J29" s="62" t="e">
        <f t="shared" si="3"/>
        <v>#VALUE!</v>
      </c>
      <c r="K29" s="62">
        <f t="shared" si="4"/>
        <v>22</v>
      </c>
      <c r="L29" s="62" t="str">
        <f>IFERROR(VLOOKUP(MID(G29,J29,K29-J29),[5]skilldef!$C:$D,2,FALSE),"-") &amp; " / " &amp; IFERROR(VLOOKUP(MID(G29,H29,I29-H29),[5]skilldef!$A:$B,2,FALSE),"-")</f>
        <v>- / 連続攻撃</v>
      </c>
      <c r="M29" s="62" t="str">
        <f t="shared" si="5"/>
        <v>none</v>
      </c>
      <c r="N29" s="47" t="str">
        <f>IFERROR(LEFT(M29,FIND("],",M29)+S40),M29)</f>
        <v>none</v>
      </c>
      <c r="O29" s="62" t="e">
        <f t="shared" si="6"/>
        <v>#VALUE!</v>
      </c>
      <c r="P29" s="62">
        <f t="shared" si="7"/>
        <v>4</v>
      </c>
      <c r="Q29" s="62" t="e">
        <f t="shared" si="8"/>
        <v>#VALUE!</v>
      </c>
      <c r="R29" s="62" t="e">
        <f t="shared" si="9"/>
        <v>#VALUE!</v>
      </c>
      <c r="S29" s="62" t="str">
        <f>IFERROR(VLOOKUP(MID(N29,Q29,R29-Q29),[5]skilldef!$C:$D,2,FALSE),"-") &amp; " / " &amp; IFERROR(VLOOKUP(MID(N29,O29,P29-O29),[5]skilldef!$A:$B,2,FALSE),"-")</f>
        <v>- / -</v>
      </c>
      <c r="T29" s="47" t="str">
        <f t="shared" si="10"/>
        <v>none</v>
      </c>
      <c r="U29" s="62" t="e">
        <f t="shared" si="11"/>
        <v>#VALUE!</v>
      </c>
      <c r="V29" s="62">
        <f t="shared" si="12"/>
        <v>4</v>
      </c>
      <c r="W29" s="62" t="e">
        <f t="shared" si="13"/>
        <v>#VALUE!</v>
      </c>
      <c r="X29" s="62" t="e">
        <f t="shared" si="14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49"/>
      <c r="AA29" s="51"/>
      <c r="AB29" s="49"/>
    </row>
    <row r="30" spans="1:28" ht="21" customHeight="1" x14ac:dyDescent="0.15">
      <c r="A30" s="46">
        <v>40041029</v>
      </c>
      <c r="B30" s="197" t="s">
        <v>291</v>
      </c>
      <c r="C30" s="311">
        <v>3</v>
      </c>
      <c r="D30" s="45" t="s">
        <v>128</v>
      </c>
      <c r="E30" s="62" t="s">
        <v>343</v>
      </c>
      <c r="F30" s="62" t="s">
        <v>410</v>
      </c>
      <c r="G30" s="62" t="str">
        <f t="shared" si="0"/>
        <v>[effect:spread, val:0.15]</v>
      </c>
      <c r="H30" s="62">
        <f t="shared" si="1"/>
        <v>9</v>
      </c>
      <c r="I30" s="62">
        <f t="shared" si="2"/>
        <v>15</v>
      </c>
      <c r="J30" s="62" t="e">
        <f t="shared" si="3"/>
        <v>#VALUE!</v>
      </c>
      <c r="K30" s="62" t="e">
        <f t="shared" si="4"/>
        <v>#VALUE!</v>
      </c>
      <c r="L30" s="62" t="str">
        <f>IFERROR(VLOOKUP(MID(G30,J30,K30-J30),[5]skilldef!$C:$D,2,FALSE),"-") &amp; " / " &amp; IFERROR(VLOOKUP(MID(G30,H30,I30-H30),[5]skilldef!$A:$B,2,FALSE),"-")</f>
        <v>- / 全体攻撃</v>
      </c>
      <c r="M30" s="62" t="str">
        <f t="shared" si="5"/>
        <v>[effect:spread, val:0.15]</v>
      </c>
      <c r="N30" s="47" t="str">
        <f>IFERROR(LEFT(M30,FIND("],",M30)+S39),M30)</f>
        <v>[effect:spread, val:0.15]</v>
      </c>
      <c r="O30" s="62">
        <f t="shared" si="6"/>
        <v>9</v>
      </c>
      <c r="P30" s="62">
        <f t="shared" si="7"/>
        <v>15</v>
      </c>
      <c r="Q30" s="62" t="e">
        <f t="shared" si="8"/>
        <v>#VALUE!</v>
      </c>
      <c r="R30" s="62" t="e">
        <f t="shared" si="9"/>
        <v>#VALUE!</v>
      </c>
      <c r="S30" s="62" t="str">
        <f>IFERROR(VLOOKUP(MID(N30,Q30,R30-Q30),[5]skilldef!$C:$D,2,FALSE),"-") &amp; " / " &amp; IFERROR(VLOOKUP(MID(N30,O30,P30-O30),[5]skilldef!$A:$B,2,FALSE),"-")</f>
        <v>- / 全体攻撃</v>
      </c>
      <c r="T30" s="47" t="str">
        <f t="shared" si="10"/>
        <v>none</v>
      </c>
      <c r="U30" s="62" t="e">
        <f t="shared" si="11"/>
        <v>#VALUE!</v>
      </c>
      <c r="V30" s="62">
        <f t="shared" si="12"/>
        <v>4</v>
      </c>
      <c r="W30" s="62" t="e">
        <f t="shared" si="13"/>
        <v>#VALUE!</v>
      </c>
      <c r="X30" s="62" t="e">
        <f t="shared" si="14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thickBot="1" x14ac:dyDescent="0.2">
      <c r="A31" s="46">
        <v>40041030</v>
      </c>
      <c r="B31" s="198" t="s">
        <v>452</v>
      </c>
      <c r="C31" s="312">
        <v>3</v>
      </c>
      <c r="D31" s="199" t="s">
        <v>128</v>
      </c>
      <c r="E31" s="173" t="s">
        <v>352</v>
      </c>
      <c r="F31" s="173" t="s">
        <v>396</v>
      </c>
      <c r="G31" s="62" t="str">
        <f t="shared" si="0"/>
        <v>[effect:critical, val:1.48]</v>
      </c>
      <c r="H31" s="62">
        <f t="shared" si="1"/>
        <v>9</v>
      </c>
      <c r="I31" s="62">
        <f t="shared" si="2"/>
        <v>17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IFERROR(VLOOKUP(MID(G31,J31,K31-J31),[5]skilldef!$C:$D,2,FALSE),"-") &amp; " / " &amp; IFERROR(VLOOKUP(MID(G31,H31,I31-H31),[5]skilldef!$A:$B,2,FALSE),"-")</f>
        <v>- / 大攻撃</v>
      </c>
      <c r="M31" s="62" t="str">
        <f t="shared" si="5"/>
        <v>none</v>
      </c>
      <c r="N31" s="47" t="str">
        <f>IFERROR(LEFT(M31,FIND("],",M31)+S38),M31)</f>
        <v>none</v>
      </c>
      <c r="O31" s="62" t="e">
        <f t="shared" si="6"/>
        <v>#VALUE!</v>
      </c>
      <c r="P31" s="62">
        <f t="shared" si="7"/>
        <v>4</v>
      </c>
      <c r="Q31" s="62" t="e">
        <f t="shared" si="8"/>
        <v>#VALUE!</v>
      </c>
      <c r="R31" s="62" t="e">
        <f t="shared" si="9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10"/>
        <v>none</v>
      </c>
      <c r="U31" s="62" t="e">
        <f t="shared" si="11"/>
        <v>#VALUE!</v>
      </c>
      <c r="V31" s="62">
        <f t="shared" si="12"/>
        <v>4</v>
      </c>
      <c r="W31" s="62" t="e">
        <f t="shared" si="13"/>
        <v>#VALUE!</v>
      </c>
      <c r="X31" s="62" t="e">
        <f t="shared" si="14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36" customHeight="1" thickTop="1" thickBot="1" x14ac:dyDescent="0.2">
      <c r="A32" s="46">
        <v>40041031</v>
      </c>
      <c r="B32" s="206" t="s">
        <v>290</v>
      </c>
      <c r="C32" s="313">
        <v>3</v>
      </c>
      <c r="D32" s="207" t="s">
        <v>128</v>
      </c>
      <c r="E32" s="208" t="s">
        <v>427</v>
      </c>
      <c r="F32" s="208" t="s">
        <v>411</v>
      </c>
      <c r="G32" s="62" t="str">
        <f>IFERROR(LEFT(B32,FIND("],",B32)),B32)</f>
        <v>[effect:enemy_message, val1:2, val2:2]</v>
      </c>
      <c r="H32" s="62">
        <f>FIND("effect:",G32)+7</f>
        <v>9</v>
      </c>
      <c r="I32" s="62">
        <f>IFERROR(FIND(",",G32),LEN(G32))</f>
        <v>22</v>
      </c>
      <c r="J32" s="62" t="e">
        <f>FIND("target:",G32)+7</f>
        <v>#VALUE!</v>
      </c>
      <c r="K32" s="62">
        <f>FIND(",",G32,I32+1)</f>
        <v>30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>IFERROR(RIGHT(B32,LEN(B32)-FIND("],",B32)-1),"none")</f>
        <v>[effect:enhance_fever, val:1000, animation:fevergauge_up03]</v>
      </c>
      <c r="N32" s="47" t="str">
        <f>IFERROR(LEFT(M32,FIND("],",M32)+S91),M32)</f>
        <v>[effect:enhance_fever, val:1000, animation:fevergauge_up03]</v>
      </c>
      <c r="O32" s="62">
        <f>FIND("effect:",N32)+7</f>
        <v>9</v>
      </c>
      <c r="P32" s="62">
        <f>IFERROR(FIND(",",N32),LEN(N32))</f>
        <v>22</v>
      </c>
      <c r="Q32" s="62" t="e">
        <f>FIND("target:",N32)+7</f>
        <v>#VALUE!</v>
      </c>
      <c r="R32" s="62">
        <f>FIND(",",N32,P32+1)</f>
        <v>32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>IFERROR(RIGHT(M32,LEN(M32)-FIND("],",M32)-1),"none")</f>
        <v>none</v>
      </c>
      <c r="U32" s="62" t="e">
        <f>FIND("effect:",T32)+7</f>
        <v>#VALUE!</v>
      </c>
      <c r="V32" s="62">
        <f>IFERROR(FIND(",",T32),LEN(T32))</f>
        <v>4</v>
      </c>
      <c r="W32" s="62" t="e">
        <f>FIND("target:",T32)+7</f>
        <v>#VALUE!</v>
      </c>
      <c r="X32" s="62" t="e">
        <f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71" thickTop="1" x14ac:dyDescent="0.15">
      <c r="A33" s="46">
        <v>40041032</v>
      </c>
      <c r="B33" s="247" t="s">
        <v>314</v>
      </c>
      <c r="C33" s="314">
        <v>3</v>
      </c>
      <c r="D33" s="248" t="s">
        <v>128</v>
      </c>
      <c r="E33" s="249" t="s">
        <v>333</v>
      </c>
      <c r="F33" s="249" t="s">
        <v>312</v>
      </c>
      <c r="G33" s="62" t="str">
        <f t="shared" ref="G33" si="86">IFERROR(LEFT(B33,FIND("],",B33)),B33)</f>
        <v>[effect:enemy_message, val1:1.5, val2:0]</v>
      </c>
      <c r="H33" s="62">
        <f t="shared" ref="H33" si="87">FIND("effect:",G33)+7</f>
        <v>9</v>
      </c>
      <c r="I33" s="62">
        <f t="shared" ref="I33" si="88">IFERROR(FIND(",",G33),LEN(G33))</f>
        <v>22</v>
      </c>
      <c r="J33" s="62" t="e">
        <f t="shared" ref="J33" si="89">FIND("target:",G33)+7</f>
        <v>#VALUE!</v>
      </c>
      <c r="K33" s="62">
        <f t="shared" ref="K33" si="90">FIND(",",G33,I33+1)</f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" si="91">IFERROR(RIGHT(B33,LEN(B33)-FIND("],",B33)-1),"none")</f>
        <v>[effect:ability_lock, target:unit_all, turn:1],[effect:sleep, target:unit_all, turn:1, rate:1],[effect:fix_speed, target:myself, turn:1]</v>
      </c>
      <c r="N33" s="47" t="str">
        <f>IFERROR(LEFT(M33,FIND("],",M33)+#REF!),M33)</f>
        <v>[effect:ability_lock, target:unit_all, turn:1],[effect:sleep, target:unit_all, turn:1, rate:1],[effect:fix_speed, target:myself, turn:1]</v>
      </c>
      <c r="O33" s="62">
        <f t="shared" ref="O33" si="92">FIND("effect:",N33)+7</f>
        <v>9</v>
      </c>
      <c r="P33" s="62">
        <f t="shared" ref="P33" si="93">IFERROR(FIND(",",N33),LEN(N33))</f>
        <v>21</v>
      </c>
      <c r="Q33" s="62">
        <f t="shared" ref="Q33" si="94">FIND("target:",N33)+7</f>
        <v>30</v>
      </c>
      <c r="R33" s="62">
        <f t="shared" ref="R33" si="95">FIND(",",N33,P33+1)</f>
        <v>38</v>
      </c>
      <c r="S33" s="62" t="str">
        <f>IFERROR(VLOOKUP(MID(N33,Q33,R33-Q33),[5]skilldef!$C:$D,2,FALSE),"-") &amp; " / " &amp; IFERROR(VLOOKUP(MID(N33,O33,P33-O33),[5]skilldef!$A:$B,2,FALSE),"-")</f>
        <v>味方全体に / -</v>
      </c>
      <c r="T33" s="47" t="str">
        <f t="shared" ref="T33" si="96">IFERROR(RIGHT(M33,LEN(M33)-FIND("],",M33)-1),"none")</f>
        <v>[effect:sleep, target:unit_all, turn:1, rate:1],[effect:fix_speed, target:myself, turn:1]</v>
      </c>
      <c r="U33" s="62">
        <f t="shared" ref="U33" si="97">FIND("effect:",T33)+7</f>
        <v>9</v>
      </c>
      <c r="V33" s="62">
        <f t="shared" ref="V33" si="98">IFERROR(FIND(",",T33),LEN(T33))</f>
        <v>14</v>
      </c>
      <c r="W33" s="62">
        <f t="shared" ref="W33" si="99">FIND("target:",T33)+7</f>
        <v>23</v>
      </c>
      <c r="X33" s="62">
        <f t="shared" ref="X33" si="100">FIND(",",T33,V33+1)</f>
        <v>31</v>
      </c>
      <c r="Y33" s="62" t="str">
        <f>IFERROR(VLOOKUP(MID(T33,W33,X33-W33),[5]skilldef!$C:$D,2,FALSE),"-") &amp; " / " &amp; IFERROR(VLOOKUP(MID(T33,U33,V33-U33),[5]skilldef!$A:$B,2,FALSE),"-")</f>
        <v>味方全体に / スリープ</v>
      </c>
      <c r="Z33" s="49"/>
      <c r="AA33" s="51"/>
      <c r="AB33" s="49"/>
    </row>
    <row r="34" spans="1:28" ht="43" thickBot="1" x14ac:dyDescent="0.2">
      <c r="A34" s="46">
        <v>40041033</v>
      </c>
      <c r="B34" s="238" t="s">
        <v>315</v>
      </c>
      <c r="C34" s="315">
        <v>3</v>
      </c>
      <c r="D34" s="239" t="s">
        <v>128</v>
      </c>
      <c r="E34" s="240" t="s">
        <v>464</v>
      </c>
      <c r="F34" s="240" t="s">
        <v>274</v>
      </c>
      <c r="G34" s="62" t="str">
        <f t="shared" si="0"/>
        <v>[effect:enemy_message, val1:2.3, val2:0]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5"/>
        <v>[effect:suicide, target:myself, val:1, dead_type:suicide, animation:enemy_suicide]</v>
      </c>
      <c r="N34" s="47" t="str">
        <f>IFERROR(LEFT(M34,FIND("],",M34)+S42),M34)</f>
        <v>[effect:suicide, target:myself, val:1, dead_type:suicide, animation:enemy_suicide]</v>
      </c>
      <c r="O34" s="62">
        <f t="shared" si="6"/>
        <v>9</v>
      </c>
      <c r="P34" s="62">
        <f t="shared" si="7"/>
        <v>16</v>
      </c>
      <c r="Q34" s="62">
        <f t="shared" si="8"/>
        <v>25</v>
      </c>
      <c r="R34" s="62">
        <f t="shared" si="9"/>
        <v>31</v>
      </c>
      <c r="S34" s="62" t="str">
        <f>IFERROR(VLOOKUP(MID(N34,Q34,R34-Q34),[5]skilldef!$C:$D,2,FALSE),"-") &amp; " / " &amp; IFERROR(VLOOKUP(MID(N34,O34,P34-O34),[5]skilldef!$A:$B,2,FALSE),"-")</f>
        <v>自分自身に / -</v>
      </c>
      <c r="T34" s="47" t="str">
        <f t="shared" si="10"/>
        <v>none</v>
      </c>
      <c r="U34" s="62" t="e">
        <f t="shared" si="11"/>
        <v>#VALUE!</v>
      </c>
      <c r="V34" s="62">
        <f t="shared" si="12"/>
        <v>4</v>
      </c>
      <c r="W34" s="62" t="e">
        <f t="shared" si="13"/>
        <v>#VALUE!</v>
      </c>
      <c r="X34" s="62" t="e">
        <f t="shared" si="14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9" thickTop="1" x14ac:dyDescent="0.15">
      <c r="A35" s="46">
        <v>40041034</v>
      </c>
      <c r="B35" s="209" t="s">
        <v>299</v>
      </c>
      <c r="C35" s="313">
        <v>3</v>
      </c>
      <c r="D35" s="210" t="s">
        <v>128</v>
      </c>
      <c r="E35" s="211" t="s">
        <v>297</v>
      </c>
      <c r="F35" s="211" t="s">
        <v>318</v>
      </c>
      <c r="G35" s="62" t="str">
        <f t="shared" si="0"/>
        <v>[effect:enemy_message, val1:2.3, val2:2.5]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5"/>
        <v>[effect:fix_speed, target:myself, turn:1]</v>
      </c>
      <c r="N35" s="47" t="str">
        <f>IFERROR(LEFT(M35,FIND("],",M35)+S44),M35)</f>
        <v>[effect:fix_speed, target:myself, turn:1]</v>
      </c>
      <c r="O35" s="62">
        <f t="shared" si="6"/>
        <v>9</v>
      </c>
      <c r="P35" s="62">
        <f t="shared" si="7"/>
        <v>18</v>
      </c>
      <c r="Q35" s="62">
        <f t="shared" si="8"/>
        <v>27</v>
      </c>
      <c r="R35" s="62">
        <f t="shared" si="9"/>
        <v>33</v>
      </c>
      <c r="S35" s="62" t="str">
        <f>IFERROR(VLOOKUP(MID(N35,Q35,R35-Q35),[5]skilldef!$C:$D,2,FALSE),"-") &amp; " / " &amp; IFERROR(VLOOKUP(MID(N35,O35,P35-O35),[5]skilldef!$A:$B,2,FALSE),"-")</f>
        <v>自分自身に / 行動値設定</v>
      </c>
      <c r="T35" s="47" t="str">
        <f t="shared" si="10"/>
        <v>none</v>
      </c>
      <c r="U35" s="62" t="e">
        <f t="shared" si="11"/>
        <v>#VALUE!</v>
      </c>
      <c r="V35" s="62">
        <f t="shared" si="12"/>
        <v>4</v>
      </c>
      <c r="W35" s="62" t="e">
        <f t="shared" si="13"/>
        <v>#VALUE!</v>
      </c>
      <c r="X35" s="62" t="e">
        <f t="shared" si="14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49"/>
      <c r="AA35" s="51"/>
      <c r="AB35" s="49"/>
    </row>
    <row r="36" spans="1:28" ht="71" customHeight="1" x14ac:dyDescent="0.15">
      <c r="A36" s="46">
        <v>40041035</v>
      </c>
      <c r="B36" s="191" t="s">
        <v>447</v>
      </c>
      <c r="C36" s="311">
        <v>3</v>
      </c>
      <c r="D36" s="192" t="s">
        <v>128</v>
      </c>
      <c r="E36" s="193" t="s">
        <v>486</v>
      </c>
      <c r="F36" s="193" t="s">
        <v>414</v>
      </c>
      <c r="G36" s="62" t="str">
        <f t="shared" si="0"/>
        <v>[effect:enhance_enemy, target:myself, turn:5, status:defense, val:1000, calc:add, animation:enemy_enhance_defense]</v>
      </c>
      <c r="H36" s="62">
        <f t="shared" si="1"/>
        <v>9</v>
      </c>
      <c r="I36" s="62">
        <f t="shared" si="2"/>
        <v>22</v>
      </c>
      <c r="J36" s="62">
        <f t="shared" si="3"/>
        <v>31</v>
      </c>
      <c r="K36" s="62">
        <f t="shared" si="4"/>
        <v>37</v>
      </c>
      <c r="L36" s="62" t="str">
        <f>IFERROR(VLOOKUP(MID(G36,J36,K36-J36),[5]skilldef!$C:$D,2,FALSE),"-") &amp; " / " &amp; IFERROR(VLOOKUP(MID(G36,H36,I36-H36),[5]skilldef!$A:$B,2,FALSE),"-")</f>
        <v>自分自身に / ステータス強化</v>
      </c>
      <c r="M36" s="62" t="str">
        <f t="shared" si="5"/>
        <v>[effect:enemy_counter, target:myself, invoke_condition:unit_all, counter_target:attacker, turn:-1, val:0.22, animation:enemy_counter],[effect:fix_speed, target:myself, turn:2]</v>
      </c>
      <c r="N36" s="47" t="str">
        <f>IFERROR(LEFT(M36,FIND("],",M36)+S45),M36)</f>
        <v>[effect:enemy_counter, target:myself, invoke_condition:unit_all, counter_target:attacker, turn:-1, val:0.22, animation:enemy_counter],[effect:fix_speed, target:myself, turn:2]</v>
      </c>
      <c r="O36" s="62">
        <f t="shared" si="6"/>
        <v>9</v>
      </c>
      <c r="P36" s="62">
        <f t="shared" si="7"/>
        <v>22</v>
      </c>
      <c r="Q36" s="62">
        <f t="shared" si="8"/>
        <v>31</v>
      </c>
      <c r="R36" s="62">
        <f t="shared" si="9"/>
        <v>37</v>
      </c>
      <c r="S36" s="62" t="str">
        <f>IFERROR(VLOOKUP(MID(N36,Q36,R36-Q36),[5]skilldef!$C:$D,2,FALSE),"-") &amp; " / " &amp; IFERROR(VLOOKUP(MID(N36,O36,P36-O36),[5]skilldef!$A:$B,2,FALSE),"-")</f>
        <v>自分自身に / カウンター</v>
      </c>
      <c r="T36" s="47" t="str">
        <f t="shared" si="10"/>
        <v>[effect:fix_speed, target:myself, turn:2]</v>
      </c>
      <c r="U36" s="62">
        <f t="shared" si="11"/>
        <v>9</v>
      </c>
      <c r="V36" s="62">
        <f t="shared" si="12"/>
        <v>18</v>
      </c>
      <c r="W36" s="62">
        <f t="shared" si="13"/>
        <v>27</v>
      </c>
      <c r="X36" s="62">
        <f t="shared" si="14"/>
        <v>33</v>
      </c>
      <c r="Y36" s="62" t="str">
        <f>IFERROR(VLOOKUP(MID(T36,W36,X36-W36),[5]skilldef!$C:$D,2,FALSE),"-") &amp; " / " &amp; IFERROR(VLOOKUP(MID(T36,U36,V36-U36),[5]skilldef!$A:$B,2,FALSE),"-")</f>
        <v>自分自身に / 行動値設定</v>
      </c>
      <c r="Z36" s="49"/>
      <c r="AA36" s="51"/>
      <c r="AB36" s="49"/>
    </row>
    <row r="37" spans="1:28" ht="28" x14ac:dyDescent="0.15">
      <c r="A37" s="46">
        <v>40041036</v>
      </c>
      <c r="B37" s="191" t="s">
        <v>300</v>
      </c>
      <c r="C37" s="311">
        <v>3</v>
      </c>
      <c r="D37" s="192" t="s">
        <v>128</v>
      </c>
      <c r="E37" s="193" t="s">
        <v>373</v>
      </c>
      <c r="F37" s="193" t="s">
        <v>412</v>
      </c>
      <c r="G37" s="62" t="str">
        <f t="shared" si="0"/>
        <v>[effect:virus, turn:3, rate:1, val:0.08, animation:enemy_virus]</v>
      </c>
      <c r="H37" s="62">
        <f t="shared" si="1"/>
        <v>9</v>
      </c>
      <c r="I37" s="62">
        <f t="shared" si="2"/>
        <v>14</v>
      </c>
      <c r="J37" s="62" t="e">
        <f t="shared" si="3"/>
        <v>#VALUE!</v>
      </c>
      <c r="K37" s="62">
        <f t="shared" si="4"/>
        <v>22</v>
      </c>
      <c r="L37" s="62" t="str">
        <f>IFERROR(VLOOKUP(MID(G37,J37,K37-J37),[5]skilldef!$C:$D,2,FALSE),"-") &amp; " / " &amp; IFERROR(VLOOKUP(MID(G37,H37,I37-H37),[5]skilldef!$A:$B,2,FALSE),"-")</f>
        <v>- / ウィルス</v>
      </c>
      <c r="M37" s="62" t="str">
        <f t="shared" si="5"/>
        <v>[effect:spread, val:0.15]</v>
      </c>
      <c r="N37" s="47" t="str">
        <f>IFERROR(LEFT(M37,FIND("],",M37)+S47),M37)</f>
        <v>[effect:spread, val:0.15]</v>
      </c>
      <c r="O37" s="62">
        <f t="shared" si="6"/>
        <v>9</v>
      </c>
      <c r="P37" s="62">
        <f t="shared" si="7"/>
        <v>15</v>
      </c>
      <c r="Q37" s="62" t="e">
        <f t="shared" si="8"/>
        <v>#VALUE!</v>
      </c>
      <c r="R37" s="62" t="e">
        <f t="shared" si="9"/>
        <v>#VALUE!</v>
      </c>
      <c r="S37" s="62" t="str">
        <f>IFERROR(VLOOKUP(MID(N37,Q37,R37-Q37),[5]skilldef!$C:$D,2,FALSE),"-") &amp; " / " &amp; IFERROR(VLOOKUP(MID(N37,O37,P37-O37),[5]skilldef!$A:$B,2,FALSE),"-")</f>
        <v>- / 全体攻撃</v>
      </c>
      <c r="T37" s="47" t="str">
        <f t="shared" si="10"/>
        <v>none</v>
      </c>
      <c r="U37" s="62" t="e">
        <f t="shared" si="11"/>
        <v>#VALUE!</v>
      </c>
      <c r="V37" s="62">
        <f t="shared" si="12"/>
        <v>4</v>
      </c>
      <c r="W37" s="62" t="e">
        <f t="shared" si="13"/>
        <v>#VALUE!</v>
      </c>
      <c r="X37" s="62" t="e">
        <f t="shared" si="14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  <row r="38" spans="1:28" ht="28" x14ac:dyDescent="0.15">
      <c r="A38" s="46">
        <v>40041037</v>
      </c>
      <c r="B38" s="191" t="s">
        <v>303</v>
      </c>
      <c r="C38" s="311">
        <v>3</v>
      </c>
      <c r="D38" s="192" t="s">
        <v>128</v>
      </c>
      <c r="E38" s="193" t="s">
        <v>366</v>
      </c>
      <c r="F38" s="193" t="s">
        <v>418</v>
      </c>
      <c r="G38" s="62" t="str">
        <f>IFERROR(LEFT(B38,FIND("],",B38)),B38)</f>
        <v>[effect:degrade_unit, target:unit_all, turn:2, status:heal, val:0.5, calc:mul, animation:degrade_unit_all_heal]</v>
      </c>
      <c r="H38" s="62">
        <f>FIND("effect:",G38)+7</f>
        <v>9</v>
      </c>
      <c r="I38" s="62">
        <f>IFERROR(FIND(",",G38),LEN(G38))</f>
        <v>21</v>
      </c>
      <c r="J38" s="62">
        <f>FIND("target:",G38)+7</f>
        <v>30</v>
      </c>
      <c r="K38" s="62">
        <f>FIND(",",G38,I38+1)</f>
        <v>38</v>
      </c>
      <c r="L38" s="62" t="str">
        <f>IFERROR(VLOOKUP(MID(G38,J38,K38-J38),[5]skilldef!$C:$D,2,FALSE),"-") &amp; " / " &amp; IFERROR(VLOOKUP(MID(G38,H38,I38-H38),[5]skilldef!$A:$B,2,FALSE),"-")</f>
        <v>味方全体に / ステータスDOWN</v>
      </c>
      <c r="M38" s="62" t="str">
        <f>IFERROR(RIGHT(B38,LEN(B38)-FIND("],",B38)-1),"none")</f>
        <v>none</v>
      </c>
      <c r="N38" s="47" t="str">
        <f>IFERROR(LEFT(M38,FIND("],",M38)+S46),M38)</f>
        <v>none</v>
      </c>
      <c r="O38" s="62" t="e">
        <f>FIND("effect:",N38)+7</f>
        <v>#VALUE!</v>
      </c>
      <c r="P38" s="62">
        <f>IFERROR(FIND(",",N38),LEN(N38))</f>
        <v>4</v>
      </c>
      <c r="Q38" s="62" t="e">
        <f>FIND("target:",N38)+7</f>
        <v>#VALUE!</v>
      </c>
      <c r="R38" s="62" t="e">
        <f>FIND(",",N38,P38+1)</f>
        <v>#VALUE!</v>
      </c>
      <c r="S38" s="62" t="str">
        <f>IFERROR(VLOOKUP(MID(N38,Q38,R38-Q38),[5]skilldef!$C:$D,2,FALSE),"-") &amp; " / " &amp; IFERROR(VLOOKUP(MID(N38,O38,P38-O38),[5]skilldef!$A:$B,2,FALSE),"-")</f>
        <v>- / -</v>
      </c>
      <c r="T38" s="47" t="str">
        <f>IFERROR(RIGHT(M38,LEN(M38)-FIND("],",M38)-1),"none")</f>
        <v>none</v>
      </c>
      <c r="U38" s="62" t="e">
        <f>FIND("effect:",T38)+7</f>
        <v>#VALUE!</v>
      </c>
      <c r="V38" s="62">
        <f>IFERROR(FIND(",",T38),LEN(T38))</f>
        <v>4</v>
      </c>
      <c r="W38" s="62" t="e">
        <f>FIND("target:",T38)+7</f>
        <v>#VALUE!</v>
      </c>
      <c r="X38" s="62" t="e">
        <f>FIND(",",T38,V38+1)</f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21" customHeight="1" x14ac:dyDescent="0.15">
      <c r="A39" s="46">
        <v>40041038</v>
      </c>
      <c r="B39" s="191" t="s">
        <v>304</v>
      </c>
      <c r="C39" s="311">
        <v>3</v>
      </c>
      <c r="D39" s="192" t="s">
        <v>128</v>
      </c>
      <c r="E39" s="193" t="s">
        <v>355</v>
      </c>
      <c r="F39" s="193" t="s">
        <v>415</v>
      </c>
      <c r="G39" s="62" t="str">
        <f>IFERROR(LEFT(B39,FIND("],",B39)),B39)</f>
        <v>[effect:sleep, target:unit_one, turn:1, rate:1, animation:sleep02]</v>
      </c>
      <c r="H39" s="62">
        <f>FIND("effect:",G39)+7</f>
        <v>9</v>
      </c>
      <c r="I39" s="62">
        <f>IFERROR(FIND(",",G39),LEN(G39))</f>
        <v>14</v>
      </c>
      <c r="J39" s="62">
        <f>FIND("target:",G39)+7</f>
        <v>23</v>
      </c>
      <c r="K39" s="62">
        <f>FIND(",",G39,I39+1)</f>
        <v>31</v>
      </c>
      <c r="L39" s="62" t="str">
        <f>IFERROR(VLOOKUP(MID(G39,J39,K39-J39),[5]skilldef!$C:$D,2,FALSE),"-") &amp; " / " &amp; IFERROR(VLOOKUP(MID(G39,H39,I39-H39),[5]skilldef!$A:$B,2,FALSE),"-")</f>
        <v>味方単体に / スリープ</v>
      </c>
      <c r="M39" s="62" t="str">
        <f>IFERROR(RIGHT(B39,LEN(B39)-FIND("],",B39)-1),"none")</f>
        <v>none</v>
      </c>
      <c r="N39" s="47" t="str">
        <f>IFERROR(LEFT(M39,FIND("],",M39)+S50),M39)</f>
        <v>none</v>
      </c>
      <c r="O39" s="62" t="e">
        <f>FIND("effect:",N39)+7</f>
        <v>#VALUE!</v>
      </c>
      <c r="P39" s="62">
        <f>IFERROR(FIND(",",N39),LEN(N39))</f>
        <v>4</v>
      </c>
      <c r="Q39" s="62" t="e">
        <f>FIND("target:",N39)+7</f>
        <v>#VALUE!</v>
      </c>
      <c r="R39" s="62" t="e">
        <f>FIND(",",N39,P39+1)</f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7" t="str">
        <f>IFERROR(RIGHT(M39,LEN(M39)-FIND("],",M39)-1),"none")</f>
        <v>none</v>
      </c>
      <c r="U39" s="62" t="e">
        <f>FIND("effect:",T39)+7</f>
        <v>#VALUE!</v>
      </c>
      <c r="V39" s="62">
        <f>IFERROR(FIND(",",T39),LEN(T39))</f>
        <v>4</v>
      </c>
      <c r="W39" s="62" t="e">
        <f>FIND("target:",T39)+7</f>
        <v>#VALUE!</v>
      </c>
      <c r="X39" s="62" t="e">
        <f>FIND(",",T39,V39+1)</f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49"/>
      <c r="AA39" s="51"/>
      <c r="AB39" s="49"/>
    </row>
    <row r="40" spans="1:28" ht="21" customHeight="1" x14ac:dyDescent="0.15">
      <c r="A40" s="46">
        <v>40041039</v>
      </c>
      <c r="B40" s="191" t="s">
        <v>327</v>
      </c>
      <c r="C40" s="311">
        <v>3</v>
      </c>
      <c r="D40" s="192" t="s">
        <v>128</v>
      </c>
      <c r="E40" s="193" t="s">
        <v>378</v>
      </c>
      <c r="F40" s="193" t="s">
        <v>301</v>
      </c>
      <c r="G40" s="62" t="str">
        <f t="shared" si="0"/>
        <v>[effect:virus, turn:2, rate:1, val:0.08, animation:enemy_virus]</v>
      </c>
      <c r="H40" s="62">
        <f t="shared" si="1"/>
        <v>9</v>
      </c>
      <c r="I40" s="62">
        <f t="shared" si="2"/>
        <v>14</v>
      </c>
      <c r="J40" s="62" t="e">
        <f t="shared" si="3"/>
        <v>#VALUE!</v>
      </c>
      <c r="K40" s="62">
        <f t="shared" si="4"/>
        <v>22</v>
      </c>
      <c r="L40" s="62" t="str">
        <f>IFERROR(VLOOKUP(MID(G40,J40,K40-J40),[5]skilldef!$C:$D,2,FALSE),"-") &amp; " / " &amp; IFERROR(VLOOKUP(MID(G40,H40,I40-H40),[5]skilldef!$A:$B,2,FALSE),"-")</f>
        <v>- / ウィルス</v>
      </c>
      <c r="M40" s="62" t="str">
        <f t="shared" si="5"/>
        <v>[effect:rush, count:1, val:0.9]</v>
      </c>
      <c r="N40" s="47" t="str">
        <f>IFERROR(LEFT(M40,FIND("],",M40)+S49),M40)</f>
        <v>[effect:rush, count:1, val:0.9]</v>
      </c>
      <c r="O40" s="62">
        <f t="shared" si="6"/>
        <v>9</v>
      </c>
      <c r="P40" s="62">
        <f t="shared" si="7"/>
        <v>13</v>
      </c>
      <c r="Q40" s="62" t="e">
        <f t="shared" si="8"/>
        <v>#VALUE!</v>
      </c>
      <c r="R40" s="62">
        <f t="shared" si="9"/>
        <v>22</v>
      </c>
      <c r="S40" s="62" t="str">
        <f>IFERROR(VLOOKUP(MID(N40,Q40,R40-Q40),[5]skilldef!$C:$D,2,FALSE),"-") &amp; " / " &amp; IFERROR(VLOOKUP(MID(N40,O40,P40-O40),[5]skilldef!$A:$B,2,FALSE),"-")</f>
        <v>- / 連続攻撃</v>
      </c>
      <c r="T40" s="47" t="str">
        <f t="shared" si="10"/>
        <v>none</v>
      </c>
      <c r="U40" s="62" t="e">
        <f t="shared" si="11"/>
        <v>#VALUE!</v>
      </c>
      <c r="V40" s="62">
        <f t="shared" si="12"/>
        <v>4</v>
      </c>
      <c r="W40" s="62" t="e">
        <f t="shared" si="13"/>
        <v>#VALUE!</v>
      </c>
      <c r="X40" s="62" t="e">
        <f t="shared" si="14"/>
        <v>#VALUE!</v>
      </c>
      <c r="Y40" s="62" t="str">
        <f>IFERROR(VLOOKUP(MID(T40,W40,X40-W40),[5]skilldef!$C:$D,2,FALSE),"-") &amp; " / " &amp; IFERROR(VLOOKUP(MID(T40,U40,V40-U40),[5]skilldef!$A:$B,2,FALSE),"-")</f>
        <v>- / -</v>
      </c>
      <c r="Z40" s="49"/>
      <c r="AA40" s="51"/>
      <c r="AB40" s="49"/>
    </row>
    <row r="41" spans="1:28" ht="21" customHeight="1" x14ac:dyDescent="0.15">
      <c r="A41" s="46">
        <v>40041040</v>
      </c>
      <c r="B41" s="191" t="s">
        <v>470</v>
      </c>
      <c r="C41" s="311">
        <v>3</v>
      </c>
      <c r="D41" s="192" t="s">
        <v>128</v>
      </c>
      <c r="E41" s="193" t="s">
        <v>334</v>
      </c>
      <c r="F41" s="193" t="s">
        <v>419</v>
      </c>
      <c r="G41" s="62" t="str">
        <f>IFERROR(LEFT(B41,FIND("],",B41)),B41)</f>
        <v>[effect:enemy_message, val1:2.2, val2:2]</v>
      </c>
      <c r="H41" s="62">
        <f>FIND("effect:",G41)+7</f>
        <v>9</v>
      </c>
      <c r="I41" s="62">
        <f>IFERROR(FIND(",",G41),LEN(G41))</f>
        <v>22</v>
      </c>
      <c r="J41" s="62" t="e">
        <f>FIND("target:",G41)+7</f>
        <v>#VALUE!</v>
      </c>
      <c r="K41" s="62">
        <f>FIND(",",G41,I41+1)</f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>IFERROR(RIGHT(B41,LEN(B41)-FIND("],",B41)-1),"none")</f>
        <v>[effect:hungup, target:unit_all, turn:2, rate:1, animation:hungup01]</v>
      </c>
      <c r="N41" s="47" t="str">
        <f>IFERROR(LEFT(M41,FIND("],",M41)+S48),M41)</f>
        <v>[effect:hungup, target:unit_all, turn:2, rate:1, animation:hungup01]</v>
      </c>
      <c r="O41" s="62">
        <f>FIND("effect:",N41)+7</f>
        <v>9</v>
      </c>
      <c r="P41" s="62">
        <f>IFERROR(FIND(",",N41),LEN(N41))</f>
        <v>15</v>
      </c>
      <c r="Q41" s="62">
        <f>FIND("target:",N41)+7</f>
        <v>24</v>
      </c>
      <c r="R41" s="62">
        <f>FIND(",",N41,P41+1)</f>
        <v>32</v>
      </c>
      <c r="S41" s="62" t="str">
        <f>IFERROR(VLOOKUP(MID(N41,Q41,R41-Q41),[5]skilldef!$C:$D,2,FALSE),"-") &amp; " / " &amp; IFERROR(VLOOKUP(MID(N41,O41,P41-O41),[5]skilldef!$A:$B,2,FALSE),"-")</f>
        <v>味方全体に / ハングアップ</v>
      </c>
      <c r="T41" s="47" t="str">
        <f>IFERROR(RIGHT(M41,LEN(M41)-FIND("],",M41)-1),"none")</f>
        <v>none</v>
      </c>
      <c r="U41" s="62" t="e">
        <f>FIND("effect:",T41)+7</f>
        <v>#VALUE!</v>
      </c>
      <c r="V41" s="62">
        <f>IFERROR(FIND(",",T41),LEN(T41))</f>
        <v>4</v>
      </c>
      <c r="W41" s="62" t="e">
        <f>FIND("target:",T41)+7</f>
        <v>#VALUE!</v>
      </c>
      <c r="X41" s="62" t="e">
        <f>FIND(",",T41,V41+1)</f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9" thickBot="1" x14ac:dyDescent="0.2">
      <c r="A42" s="46">
        <v>40041041</v>
      </c>
      <c r="B42" s="194" t="s">
        <v>469</v>
      </c>
      <c r="C42" s="312">
        <v>3</v>
      </c>
      <c r="D42" s="195" t="s">
        <v>128</v>
      </c>
      <c r="E42" s="196" t="s">
        <v>379</v>
      </c>
      <c r="F42" s="196" t="s">
        <v>391</v>
      </c>
      <c r="G42" s="62" t="str">
        <f t="shared" si="0"/>
        <v>[effect:enemy_message, val1:2.5, val2:2.5]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5"/>
        <v>[effect:suicide, target:myself, val:1, dead_type:escape]</v>
      </c>
      <c r="N42" s="47" t="str">
        <f>IFERROR(LEFT(M42,FIND("],",M42)+#REF!),M42)</f>
        <v>[effect:suicide, target:myself, val:1, dead_type:escape]</v>
      </c>
      <c r="O42" s="62">
        <f t="shared" si="6"/>
        <v>9</v>
      </c>
      <c r="P42" s="62">
        <f t="shared" si="7"/>
        <v>16</v>
      </c>
      <c r="Q42" s="62">
        <f t="shared" si="8"/>
        <v>25</v>
      </c>
      <c r="R42" s="62">
        <f t="shared" si="9"/>
        <v>31</v>
      </c>
      <c r="S42" s="62" t="str">
        <f>IFERROR(VLOOKUP(MID(N42,Q42,R42-Q42),[5]skilldef!$C:$D,2,FALSE),"-") &amp; " / " &amp; IFERROR(VLOOKUP(MID(N42,O42,P42-O42),[5]skilldef!$A:$B,2,FALSE),"-")</f>
        <v>自分自身に / -</v>
      </c>
      <c r="T42" s="47" t="str">
        <f t="shared" si="10"/>
        <v>none</v>
      </c>
      <c r="U42" s="62" t="e">
        <f t="shared" si="11"/>
        <v>#VALUE!</v>
      </c>
      <c r="V42" s="62">
        <f t="shared" si="12"/>
        <v>4</v>
      </c>
      <c r="W42" s="62" t="e">
        <f t="shared" si="13"/>
        <v>#VALUE!</v>
      </c>
      <c r="X42" s="62" t="e">
        <f t="shared" si="14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38" customHeight="1" thickTop="1" x14ac:dyDescent="0.15">
      <c r="A43" s="46">
        <v>40041042</v>
      </c>
      <c r="B43" s="244" t="s">
        <v>465</v>
      </c>
      <c r="C43" s="314">
        <v>3</v>
      </c>
      <c r="D43" s="245" t="s">
        <v>128</v>
      </c>
      <c r="E43" s="246" t="s">
        <v>488</v>
      </c>
      <c r="F43" s="246" t="s">
        <v>313</v>
      </c>
      <c r="G43" s="62" t="str">
        <f t="shared" ref="G43" si="101">IFERROR(LEFT(B43,FIND("],",B43)),B43)</f>
        <v>[effect:enemy_message, val1:2.3, val2:0]</v>
      </c>
      <c r="H43" s="62">
        <f t="shared" ref="H43" si="102">FIND("effect:",G43)+7</f>
        <v>9</v>
      </c>
      <c r="I43" s="62">
        <f t="shared" ref="I43" si="103">IFERROR(FIND(",",G43),LEN(G43))</f>
        <v>22</v>
      </c>
      <c r="J43" s="62" t="e">
        <f t="shared" ref="J43" si="104">FIND("target:",G43)+7</f>
        <v>#VALUE!</v>
      </c>
      <c r="K43" s="62">
        <f t="shared" ref="K43" si="105">FIND(",",G43,I43+1)</f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ref="M43" si="106">IFERROR(RIGHT(B43,LEN(B43)-FIND("],",B43)-1),"none")</f>
        <v>[effect:ability_lock, target:unit_all, turn:1],[effect:sleep, target:unit_all, turn:1, rate:1],[effect:fix_speed, target:myself, turn:1]</v>
      </c>
      <c r="N43" s="47" t="str">
        <f>IFERROR(LEFT(M43,FIND("],",M43)+#REF!),M43)</f>
        <v>[effect:ability_lock, target:unit_all, turn:1],[effect:sleep, target:unit_all, turn:1, rate:1],[effect:fix_speed, target:myself, turn:1]</v>
      </c>
      <c r="O43" s="62">
        <f t="shared" ref="O43" si="107">FIND("effect:",N43)+7</f>
        <v>9</v>
      </c>
      <c r="P43" s="62">
        <f t="shared" ref="P43" si="108">IFERROR(FIND(",",N43),LEN(N43))</f>
        <v>21</v>
      </c>
      <c r="Q43" s="62">
        <f t="shared" ref="Q43" si="109">FIND("target:",N43)+7</f>
        <v>30</v>
      </c>
      <c r="R43" s="62">
        <f t="shared" ref="R43" si="110">FIND(",",N43,P43+1)</f>
        <v>38</v>
      </c>
      <c r="S43" s="62" t="str">
        <f>IFERROR(VLOOKUP(MID(N43,Q43,R43-Q43),[5]skilldef!$C:$D,2,FALSE),"-") &amp; " / " &amp; IFERROR(VLOOKUP(MID(N43,O43,P43-O43),[5]skilldef!$A:$B,2,FALSE),"-")</f>
        <v>味方全体に / -</v>
      </c>
      <c r="T43" s="47" t="str">
        <f t="shared" ref="T43" si="111">IFERROR(RIGHT(M43,LEN(M43)-FIND("],",M43)-1),"none")</f>
        <v>[effect:sleep, target:unit_all, turn:1, rate:1],[effect:fix_speed, target:myself, turn:1]</v>
      </c>
      <c r="U43" s="62">
        <f t="shared" ref="U43" si="112">FIND("effect:",T43)+7</f>
        <v>9</v>
      </c>
      <c r="V43" s="62">
        <f t="shared" ref="V43" si="113">IFERROR(FIND(",",T43),LEN(T43))</f>
        <v>14</v>
      </c>
      <c r="W43" s="62">
        <f t="shared" ref="W43" si="114">FIND("target:",T43)+7</f>
        <v>23</v>
      </c>
      <c r="X43" s="62">
        <f t="shared" ref="X43" si="115">FIND(",",T43,V43+1)</f>
        <v>31</v>
      </c>
      <c r="Y43" s="62" t="str">
        <f>IFERROR(VLOOKUP(MID(T43,W43,X43-W43),[5]skilldef!$C:$D,2,FALSE),"-") &amp; " / " &amp; IFERROR(VLOOKUP(MID(T43,U43,V43-U43),[5]skilldef!$A:$B,2,FALSE),"-")</f>
        <v>味方全体に / スリープ</v>
      </c>
      <c r="Z43" s="49"/>
      <c r="AA43" s="51"/>
      <c r="AB43" s="49"/>
    </row>
    <row r="44" spans="1:28" ht="38" customHeight="1" thickBot="1" x14ac:dyDescent="0.2">
      <c r="A44" s="46">
        <v>40041043</v>
      </c>
      <c r="B44" s="241" t="s">
        <v>316</v>
      </c>
      <c r="C44" s="315">
        <v>3</v>
      </c>
      <c r="D44" s="242" t="s">
        <v>128</v>
      </c>
      <c r="E44" s="243" t="s">
        <v>487</v>
      </c>
      <c r="F44" s="243" t="s">
        <v>274</v>
      </c>
      <c r="G44" s="62" t="str">
        <f t="shared" si="0"/>
        <v>[effect:enemy_message, val1:2.5, val2:0]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5"/>
        <v>[effect:suicide, target:myself, val:1, dead_type:suicide, animation:enemy_suicide]</v>
      </c>
      <c r="N44" s="47" t="str">
        <f>IFERROR(LEFT(M44,FIND("],",M44)+S51),M44)</f>
        <v>[effect:suicide, target:myself, val:1, dead_type:suicide, animation:enemy_suicide]</v>
      </c>
      <c r="O44" s="62">
        <f t="shared" si="6"/>
        <v>9</v>
      </c>
      <c r="P44" s="62">
        <f t="shared" si="7"/>
        <v>16</v>
      </c>
      <c r="Q44" s="62">
        <f t="shared" si="8"/>
        <v>25</v>
      </c>
      <c r="R44" s="62">
        <f t="shared" si="9"/>
        <v>31</v>
      </c>
      <c r="S44" s="62" t="str">
        <f>IFERROR(VLOOKUP(MID(N44,Q44,R44-Q44),[5]skilldef!$C:$D,2,FALSE),"-") &amp; " / " &amp; IFERROR(VLOOKUP(MID(N44,O44,P44-O44),[5]skilldef!$A:$B,2,FALSE),"-")</f>
        <v>自分自身に / -</v>
      </c>
      <c r="T44" s="47" t="str">
        <f t="shared" si="10"/>
        <v>none</v>
      </c>
      <c r="U44" s="62" t="e">
        <f t="shared" si="11"/>
        <v>#VALUE!</v>
      </c>
      <c r="V44" s="62">
        <f t="shared" si="12"/>
        <v>4</v>
      </c>
      <c r="W44" s="62" t="e">
        <f t="shared" si="13"/>
        <v>#VALUE!</v>
      </c>
      <c r="X44" s="62" t="e">
        <f t="shared" si="14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49"/>
      <c r="AA44" s="51"/>
      <c r="AB44" s="49"/>
    </row>
    <row r="45" spans="1:28" ht="29" thickTop="1" x14ac:dyDescent="0.15">
      <c r="A45" s="46">
        <v>40041044</v>
      </c>
      <c r="B45" s="189" t="s">
        <v>317</v>
      </c>
      <c r="C45" s="313">
        <v>3</v>
      </c>
      <c r="D45" s="190" t="s">
        <v>128</v>
      </c>
      <c r="E45" s="184" t="s">
        <v>325</v>
      </c>
      <c r="F45" s="184" t="s">
        <v>324</v>
      </c>
      <c r="G45" s="62" t="str">
        <f t="shared" ref="G45:G72" si="116">IFERROR(LEFT(B45,FIND("],",B45)),B45)</f>
        <v>[effect:enemy_message, val1:2, val2:2.5]</v>
      </c>
      <c r="H45" s="62">
        <f t="shared" si="1"/>
        <v>9</v>
      </c>
      <c r="I45" s="62">
        <f t="shared" ref="I45:I72" si="117">IFERROR(FIND(",",G45),LEN(G45))</f>
        <v>22</v>
      </c>
      <c r="J45" s="62" t="e">
        <f t="shared" ref="J45:J72" si="118">FIND("target:",G45)+7</f>
        <v>#VALUE!</v>
      </c>
      <c r="K45" s="62">
        <f t="shared" ref="K45:K72" si="119">FIND(",",G45,I45+1)</f>
        <v>30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ref="M45:M72" si="120">IFERROR(RIGHT(B45,LEN(B45)-FIND("],",B45)-1),"none")</f>
        <v>[effect:fix_speed, target:myself, turn:1]</v>
      </c>
      <c r="N45" s="47" t="str">
        <f>IFERROR(LEFT(M45,FIND("],",M45)+S52),M45)</f>
        <v>[effect:fix_speed, target:myself, turn:1]</v>
      </c>
      <c r="O45" s="62">
        <f t="shared" si="6"/>
        <v>9</v>
      </c>
      <c r="P45" s="62">
        <f t="shared" ref="P45:P72" si="121">IFERROR(FIND(",",N45),LEN(N45))</f>
        <v>18</v>
      </c>
      <c r="Q45" s="62">
        <f t="shared" ref="Q45:Q72" si="122">FIND("target:",N45)+7</f>
        <v>27</v>
      </c>
      <c r="R45" s="62">
        <f t="shared" ref="R45:R72" si="123">FIND(",",N45,P45+1)</f>
        <v>33</v>
      </c>
      <c r="S45" s="62" t="str">
        <f>IFERROR(VLOOKUP(MID(N45,Q45,R45-Q45),[5]skilldef!$C:$D,2,FALSE),"-") &amp; " / " &amp; IFERROR(VLOOKUP(MID(N45,O45,P45-O45),[5]skilldef!$A:$B,2,FALSE),"-")</f>
        <v>自分自身に / 行動値設定</v>
      </c>
      <c r="T45" s="47" t="str">
        <f t="shared" ref="T45:T72" si="124">IFERROR(RIGHT(M45,LEN(M45)-FIND("],",M45)-1),"none")</f>
        <v>none</v>
      </c>
      <c r="U45" s="62" t="e">
        <f t="shared" si="11"/>
        <v>#VALUE!</v>
      </c>
      <c r="V45" s="62">
        <f t="shared" ref="V45:V72" si="125">IFERROR(FIND(",",T45),LEN(T45))</f>
        <v>4</v>
      </c>
      <c r="W45" s="62" t="e">
        <f t="shared" ref="W45:W72" si="126">FIND("target:",T45)+7</f>
        <v>#VALUE!</v>
      </c>
      <c r="X45" s="62" t="e">
        <f t="shared" ref="X45:X72" si="127">FIND(",",T45,V45+1)</f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21" customHeight="1" x14ac:dyDescent="0.15">
      <c r="A46" s="46">
        <v>40041045</v>
      </c>
      <c r="B46" s="185" t="s">
        <v>298</v>
      </c>
      <c r="C46" s="311">
        <v>3</v>
      </c>
      <c r="D46" s="186" t="s">
        <v>128</v>
      </c>
      <c r="E46" s="182" t="s">
        <v>335</v>
      </c>
      <c r="F46" s="182" t="s">
        <v>416</v>
      </c>
      <c r="G46" s="62" t="str">
        <f>IFERROR(LEFT(B46,FIND("],",B46)),B46)</f>
        <v>[effect:enhance_enemy, target:myself, turn:5, status:attack, val:0.5, calc:mul, animation:enemy_enhance_attack]</v>
      </c>
      <c r="H46" s="62">
        <f>FIND("effect:",G46)+7</f>
        <v>9</v>
      </c>
      <c r="I46" s="62">
        <f>IFERROR(FIND(",",G46),LEN(G46))</f>
        <v>22</v>
      </c>
      <c r="J46" s="62">
        <f>FIND("target:",G46)+7</f>
        <v>31</v>
      </c>
      <c r="K46" s="62">
        <f>FIND(",",G46,I46+1)</f>
        <v>37</v>
      </c>
      <c r="L46" s="62" t="str">
        <f>IFERROR(VLOOKUP(MID(G46,J46,K46-J46),[5]skilldef!$C:$D,2,FALSE),"-") &amp; " / " &amp; IFERROR(VLOOKUP(MID(G46,H46,I46-H46),[5]skilldef!$A:$B,2,FALSE),"-")</f>
        <v>自分自身に / ステータス強化</v>
      </c>
      <c r="M46" s="62" t="str">
        <f>IFERROR(RIGHT(B46,LEN(B46)-FIND("],",B46)-1),"none")</f>
        <v>[effect:rush, count:2, val:0.5],[effect:fix_speed, target:myself, turn:2]</v>
      </c>
      <c r="N46" s="47" t="str">
        <f>IFERROR(LEFT(M46,FIND("],",M46)+S57),M46)</f>
        <v>[effect:rush, count:2, val:0.5],[effect:fix_speed, target:myself, turn:2]</v>
      </c>
      <c r="O46" s="62">
        <f>FIND("effect:",N46)+7</f>
        <v>9</v>
      </c>
      <c r="P46" s="62">
        <f>IFERROR(FIND(",",N46),LEN(N46))</f>
        <v>13</v>
      </c>
      <c r="Q46" s="62">
        <f>FIND("target:",N46)+7</f>
        <v>59</v>
      </c>
      <c r="R46" s="62">
        <f>FIND(",",N46,P46+1)</f>
        <v>22</v>
      </c>
      <c r="S46" s="62" t="str">
        <f>IFERROR(VLOOKUP(MID(N46,Q46,R46-Q46),[5]skilldef!$C:$D,2,FALSE),"-") &amp; " / " &amp; IFERROR(VLOOKUP(MID(N46,O46,P46-O46),[5]skilldef!$A:$B,2,FALSE),"-")</f>
        <v>- / 連続攻撃</v>
      </c>
      <c r="T46" s="47" t="str">
        <f>IFERROR(RIGHT(M46,LEN(M46)-FIND("],",M46)-1),"none")</f>
        <v>[effect:fix_speed, target:myself, turn:2]</v>
      </c>
      <c r="U46" s="62">
        <f>FIND("effect:",T46)+7</f>
        <v>9</v>
      </c>
      <c r="V46" s="62">
        <f>IFERROR(FIND(",",T46),LEN(T46))</f>
        <v>18</v>
      </c>
      <c r="W46" s="62">
        <f>FIND("target:",T46)+7</f>
        <v>27</v>
      </c>
      <c r="X46" s="62">
        <f>FIND(",",T46,V46+1)</f>
        <v>33</v>
      </c>
      <c r="Y46" s="62" t="str">
        <f>IFERROR(VLOOKUP(MID(T46,W46,X46-W46),[5]skilldef!$C:$D,2,FALSE),"-") &amp; " / " &amp; IFERROR(VLOOKUP(MID(T46,U46,V46-U46),[5]skilldef!$A:$B,2,FALSE),"-")</f>
        <v>自分自身に / 行動値設定</v>
      </c>
      <c r="Z46" s="49"/>
      <c r="AA46" s="51"/>
      <c r="AB46" s="49"/>
    </row>
    <row r="47" spans="1:28" ht="21" customHeight="1" x14ac:dyDescent="0.15">
      <c r="A47" s="46">
        <v>40041046</v>
      </c>
      <c r="B47" s="185" t="s">
        <v>326</v>
      </c>
      <c r="C47" s="311">
        <v>3</v>
      </c>
      <c r="D47" s="186" t="s">
        <v>128</v>
      </c>
      <c r="E47" s="182" t="s">
        <v>363</v>
      </c>
      <c r="F47" s="182" t="s">
        <v>403</v>
      </c>
      <c r="G47" s="62" t="str">
        <f t="shared" si="116"/>
        <v>[effect:rush, count:3, val:0.4]</v>
      </c>
      <c r="H47" s="62">
        <f t="shared" si="1"/>
        <v>9</v>
      </c>
      <c r="I47" s="62">
        <f t="shared" si="117"/>
        <v>13</v>
      </c>
      <c r="J47" s="62" t="e">
        <f t="shared" si="118"/>
        <v>#VALUE!</v>
      </c>
      <c r="K47" s="62">
        <f t="shared" si="119"/>
        <v>22</v>
      </c>
      <c r="L47" s="62" t="str">
        <f>IFERROR(VLOOKUP(MID(G47,J47,K47-J47),[5]skilldef!$C:$D,2,FALSE),"-") &amp; " / " &amp; IFERROR(VLOOKUP(MID(G47,H47,I47-H47),[5]skilldef!$A:$B,2,FALSE),"-")</f>
        <v>- / 連続攻撃</v>
      </c>
      <c r="M47" s="62" t="str">
        <f t="shared" si="120"/>
        <v>none</v>
      </c>
      <c r="N47" s="47" t="str">
        <f>IFERROR(LEFT(M47,FIND("],",M47)+S53),M47)</f>
        <v>none</v>
      </c>
      <c r="O47" s="62" t="e">
        <f t="shared" si="6"/>
        <v>#VALUE!</v>
      </c>
      <c r="P47" s="62">
        <f t="shared" si="121"/>
        <v>4</v>
      </c>
      <c r="Q47" s="62" t="e">
        <f t="shared" si="122"/>
        <v>#VALUE!</v>
      </c>
      <c r="R47" s="62" t="e">
        <f t="shared" si="123"/>
        <v>#VALUE!</v>
      </c>
      <c r="S47" s="62" t="str">
        <f>IFERROR(VLOOKUP(MID(N47,Q47,R47-Q47),[5]skilldef!$C:$D,2,FALSE),"-") &amp; " / " &amp; IFERROR(VLOOKUP(MID(N47,O47,P47-O47),[5]skilldef!$A:$B,2,FALSE),"-")</f>
        <v>- / -</v>
      </c>
      <c r="T47" s="47" t="str">
        <f t="shared" si="124"/>
        <v>none</v>
      </c>
      <c r="U47" s="62" t="e">
        <f t="shared" si="11"/>
        <v>#VALUE!</v>
      </c>
      <c r="V47" s="62">
        <f t="shared" si="125"/>
        <v>4</v>
      </c>
      <c r="W47" s="62" t="e">
        <f t="shared" si="126"/>
        <v>#VALUE!</v>
      </c>
      <c r="X47" s="62" t="e">
        <f t="shared" si="127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9"/>
      <c r="AA47" s="51"/>
      <c r="AB47" s="49"/>
    </row>
    <row r="48" spans="1:28" ht="21" customHeight="1" x14ac:dyDescent="0.15">
      <c r="A48" s="46">
        <v>40041047</v>
      </c>
      <c r="B48" s="185" t="s">
        <v>449</v>
      </c>
      <c r="C48" s="311">
        <v>3</v>
      </c>
      <c r="D48" s="186" t="s">
        <v>128</v>
      </c>
      <c r="E48" s="182" t="s">
        <v>362</v>
      </c>
      <c r="F48" s="182" t="s">
        <v>404</v>
      </c>
      <c r="G48" s="62" t="str">
        <f t="shared" si="116"/>
        <v>[effect:rush, count:5, val:0.27]</v>
      </c>
      <c r="H48" s="62">
        <f t="shared" si="1"/>
        <v>9</v>
      </c>
      <c r="I48" s="62">
        <f t="shared" si="117"/>
        <v>13</v>
      </c>
      <c r="J48" s="62" t="e">
        <f t="shared" si="118"/>
        <v>#VALUE!</v>
      </c>
      <c r="K48" s="62">
        <f t="shared" si="119"/>
        <v>22</v>
      </c>
      <c r="L48" s="62" t="str">
        <f>IFERROR(VLOOKUP(MID(G48,J48,K48-J48),[5]skilldef!$C:$D,2,FALSE),"-") &amp; " / " &amp; IFERROR(VLOOKUP(MID(G48,H48,I48-H48),[5]skilldef!$A:$B,2,FALSE),"-")</f>
        <v>- / 連続攻撃</v>
      </c>
      <c r="M48" s="62" t="str">
        <f t="shared" si="120"/>
        <v>none</v>
      </c>
      <c r="N48" s="47" t="str">
        <f>IFERROR(LEFT(M48,FIND("],",M48)+S54),M48)</f>
        <v>none</v>
      </c>
      <c r="O48" s="62" t="e">
        <f t="shared" si="6"/>
        <v>#VALUE!</v>
      </c>
      <c r="P48" s="62">
        <f t="shared" si="121"/>
        <v>4</v>
      </c>
      <c r="Q48" s="62" t="e">
        <f t="shared" si="122"/>
        <v>#VALUE!</v>
      </c>
      <c r="R48" s="62" t="e">
        <f t="shared" si="123"/>
        <v>#VALUE!</v>
      </c>
      <c r="S48" s="62" t="str">
        <f>IFERROR(VLOOKUP(MID(N48,Q48,R48-Q48),[5]skilldef!$C:$D,2,FALSE),"-") &amp; " / " &amp; IFERROR(VLOOKUP(MID(N48,O48,P48-O48),[5]skilldef!$A:$B,2,FALSE),"-")</f>
        <v>- / -</v>
      </c>
      <c r="T48" s="47" t="str">
        <f t="shared" si="124"/>
        <v>none</v>
      </c>
      <c r="U48" s="62" t="e">
        <f t="shared" si="11"/>
        <v>#VALUE!</v>
      </c>
      <c r="V48" s="62">
        <f t="shared" si="125"/>
        <v>4</v>
      </c>
      <c r="W48" s="62" t="e">
        <f t="shared" si="126"/>
        <v>#VALUE!</v>
      </c>
      <c r="X48" s="62" t="e">
        <f t="shared" si="127"/>
        <v>#VALUE!</v>
      </c>
      <c r="Y48" s="62" t="str">
        <f>IFERROR(VLOOKUP(MID(T48,W48,X48-W48),[5]skilldef!$C:$D,2,FALSE),"-") &amp; " / " &amp; IFERROR(VLOOKUP(MID(T48,U48,V48-U48),[5]skilldef!$A:$B,2,FALSE),"-")</f>
        <v>- / -</v>
      </c>
      <c r="Z48" s="49"/>
      <c r="AA48" s="51"/>
      <c r="AB48" s="49"/>
    </row>
    <row r="49" spans="1:28" ht="21" customHeight="1" x14ac:dyDescent="0.15">
      <c r="A49" s="46">
        <v>40041048</v>
      </c>
      <c r="B49" s="185" t="s">
        <v>448</v>
      </c>
      <c r="C49" s="311">
        <v>3</v>
      </c>
      <c r="D49" s="186" t="s">
        <v>128</v>
      </c>
      <c r="E49" s="182" t="s">
        <v>356</v>
      </c>
      <c r="F49" s="182" t="s">
        <v>397</v>
      </c>
      <c r="G49" s="62" t="str">
        <f t="shared" si="116"/>
        <v>[effect:critical, val:1.5]</v>
      </c>
      <c r="H49" s="62">
        <f t="shared" si="1"/>
        <v>9</v>
      </c>
      <c r="I49" s="62">
        <f t="shared" si="117"/>
        <v>17</v>
      </c>
      <c r="J49" s="62" t="e">
        <f t="shared" si="118"/>
        <v>#VALUE!</v>
      </c>
      <c r="K49" s="62" t="e">
        <f t="shared" si="119"/>
        <v>#VALUE!</v>
      </c>
      <c r="L49" s="62" t="str">
        <f>IFERROR(VLOOKUP(MID(G49,J49,K49-J49),[5]skilldef!$C:$D,2,FALSE),"-") &amp; " / " &amp; IFERROR(VLOOKUP(MID(G49,H49,I49-H49),[5]skilldef!$A:$B,2,FALSE),"-")</f>
        <v>- / 大攻撃</v>
      </c>
      <c r="M49" s="62" t="str">
        <f t="shared" si="120"/>
        <v>none</v>
      </c>
      <c r="N49" s="47" t="str">
        <f>IFERROR(LEFT(M49,FIND("],",M49)+S55),M49)</f>
        <v>none</v>
      </c>
      <c r="O49" s="62" t="e">
        <f t="shared" si="6"/>
        <v>#VALUE!</v>
      </c>
      <c r="P49" s="62">
        <f t="shared" si="121"/>
        <v>4</v>
      </c>
      <c r="Q49" s="62" t="e">
        <f t="shared" si="122"/>
        <v>#VALUE!</v>
      </c>
      <c r="R49" s="62" t="e">
        <f t="shared" si="123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7" t="str">
        <f t="shared" si="124"/>
        <v>none</v>
      </c>
      <c r="U49" s="62" t="e">
        <f t="shared" si="11"/>
        <v>#VALUE!</v>
      </c>
      <c r="V49" s="62">
        <f t="shared" si="125"/>
        <v>4</v>
      </c>
      <c r="W49" s="62" t="e">
        <f t="shared" si="126"/>
        <v>#VALUE!</v>
      </c>
      <c r="X49" s="62" t="e">
        <f t="shared" si="127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9"/>
      <c r="AA49" s="51"/>
      <c r="AB49" s="49"/>
    </row>
    <row r="50" spans="1:28" ht="31" customHeight="1" x14ac:dyDescent="0.15">
      <c r="A50" s="46">
        <v>40041049</v>
      </c>
      <c r="B50" s="185" t="s">
        <v>467</v>
      </c>
      <c r="C50" s="311">
        <v>3</v>
      </c>
      <c r="D50" s="186" t="s">
        <v>128</v>
      </c>
      <c r="E50" s="182" t="s">
        <v>331</v>
      </c>
      <c r="F50" s="182" t="s">
        <v>417</v>
      </c>
      <c r="G50" s="62" t="str">
        <f t="shared" si="116"/>
        <v>[effect:enemy_message, val1:2.5, val2:2.5]</v>
      </c>
      <c r="H50" s="62">
        <f t="shared" si="1"/>
        <v>9</v>
      </c>
      <c r="I50" s="62">
        <f t="shared" si="117"/>
        <v>22</v>
      </c>
      <c r="J50" s="62" t="e">
        <f t="shared" si="118"/>
        <v>#VALUE!</v>
      </c>
      <c r="K50" s="62">
        <f t="shared" si="119"/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120"/>
        <v>[effect:freq_turn, target:myself, turn:-1, val:1, animation:enemy_freq_turn],[effect:rush, count:2, val:0.65]</v>
      </c>
      <c r="N50" s="47" t="str">
        <f>IFERROR(LEFT(M50,FIND("],",M50)+S56),M50)</f>
        <v>[effect:freq_turn, target:myself, turn:-1, val:1, animation:enemy_freq_turn],[effect:rush, count:2, val:0.65]</v>
      </c>
      <c r="O50" s="62">
        <f t="shared" si="6"/>
        <v>9</v>
      </c>
      <c r="P50" s="62">
        <f t="shared" si="121"/>
        <v>18</v>
      </c>
      <c r="Q50" s="62">
        <f t="shared" si="122"/>
        <v>27</v>
      </c>
      <c r="R50" s="62">
        <f t="shared" si="123"/>
        <v>33</v>
      </c>
      <c r="S50" s="62" t="str">
        <f>IFERROR(VLOOKUP(MID(N50,Q50,R50-Q50),[5]skilldef!$C:$D,2,FALSE),"-") &amp; " / " &amp; IFERROR(VLOOKUP(MID(N50,O50,P50-O50),[5]skilldef!$A:$B,2,FALSE),"-")</f>
        <v>自分自身に / 攻撃頻度がUP</v>
      </c>
      <c r="T50" s="47" t="str">
        <f t="shared" si="124"/>
        <v>[effect:rush, count:2, val:0.65]</v>
      </c>
      <c r="U50" s="62">
        <f t="shared" si="11"/>
        <v>9</v>
      </c>
      <c r="V50" s="62">
        <f t="shared" si="125"/>
        <v>13</v>
      </c>
      <c r="W50" s="62" t="e">
        <f t="shared" si="126"/>
        <v>#VALUE!</v>
      </c>
      <c r="X50" s="62">
        <f t="shared" si="127"/>
        <v>22</v>
      </c>
      <c r="Y50" s="62" t="str">
        <f>IFERROR(VLOOKUP(MID(T50,W50,X50-W50),[5]skilldef!$C:$D,2,FALSE),"-") &amp; " / " &amp; IFERROR(VLOOKUP(MID(T50,U50,V50-U50),[5]skilldef!$A:$B,2,FALSE),"-")</f>
        <v>- / 連続攻撃</v>
      </c>
      <c r="Z50" s="49"/>
      <c r="AA50" s="51"/>
      <c r="AB50" s="49"/>
    </row>
    <row r="51" spans="1:28" ht="29" thickBot="1" x14ac:dyDescent="0.2">
      <c r="A51" s="46">
        <v>40041050</v>
      </c>
      <c r="B51" s="187" t="s">
        <v>468</v>
      </c>
      <c r="C51" s="312">
        <v>3</v>
      </c>
      <c r="D51" s="188" t="s">
        <v>128</v>
      </c>
      <c r="E51" s="183" t="s">
        <v>279</v>
      </c>
      <c r="F51" s="183" t="s">
        <v>392</v>
      </c>
      <c r="G51" s="62" t="str">
        <f t="shared" si="116"/>
        <v>[effect:enemy_message, val1:2.5, val2:2.5]</v>
      </c>
      <c r="H51" s="62">
        <f t="shared" si="1"/>
        <v>9</v>
      </c>
      <c r="I51" s="62">
        <f t="shared" si="117"/>
        <v>22</v>
      </c>
      <c r="J51" s="62" t="e">
        <f t="shared" si="118"/>
        <v>#VALUE!</v>
      </c>
      <c r="K51" s="62">
        <f t="shared" si="119"/>
        <v>32</v>
      </c>
      <c r="L51" s="62" t="str">
        <f>IFERROR(VLOOKUP(MID(G51,J51,K51-J51),[5]skilldef!$C:$D,2,FALSE),"-") &amp; " / " &amp; IFERROR(VLOOKUP(MID(G51,H51,I51-H51),[5]skilldef!$A:$B,2,FALSE),"-")</f>
        <v>- / -</v>
      </c>
      <c r="M51" s="62" t="str">
        <f t="shared" si="120"/>
        <v>[effect:suicide, target:myself, val:1, dead_type:escape]</v>
      </c>
      <c r="N51" s="47" t="str">
        <f>IFERROR(LEFT(M51,FIND("],",M51)+#REF!),M51)</f>
        <v>[effect:suicide, target:myself, val:1, dead_type:escape]</v>
      </c>
      <c r="O51" s="62">
        <f t="shared" si="6"/>
        <v>9</v>
      </c>
      <c r="P51" s="62">
        <f t="shared" si="121"/>
        <v>16</v>
      </c>
      <c r="Q51" s="62">
        <f t="shared" si="122"/>
        <v>25</v>
      </c>
      <c r="R51" s="62">
        <f t="shared" si="123"/>
        <v>31</v>
      </c>
      <c r="S51" s="62" t="str">
        <f>IFERROR(VLOOKUP(MID(N51,Q51,R51-Q51),[5]skilldef!$C:$D,2,FALSE),"-") &amp; " / " &amp; IFERROR(VLOOKUP(MID(N51,O51,P51-O51),[5]skilldef!$A:$B,2,FALSE),"-")</f>
        <v>自分自身に / -</v>
      </c>
      <c r="T51" s="47" t="str">
        <f t="shared" si="124"/>
        <v>none</v>
      </c>
      <c r="U51" s="62" t="e">
        <f t="shared" si="11"/>
        <v>#VALUE!</v>
      </c>
      <c r="V51" s="62">
        <f t="shared" si="125"/>
        <v>4</v>
      </c>
      <c r="W51" s="62" t="e">
        <f t="shared" si="126"/>
        <v>#VALUE!</v>
      </c>
      <c r="X51" s="62" t="e">
        <f t="shared" si="127"/>
        <v>#VALUE!</v>
      </c>
      <c r="Y51" s="62" t="str">
        <f>IFERROR(VLOOKUP(MID(T51,W51,X51-W51),[5]skilldef!$C:$D,2,FALSE),"-") &amp; " / " &amp; IFERROR(VLOOKUP(MID(T51,U51,V51-U51),[5]skilldef!$A:$B,2,FALSE),"-")</f>
        <v>- / -</v>
      </c>
      <c r="Z51" s="49"/>
      <c r="AA51" s="51"/>
      <c r="AB51" s="49"/>
    </row>
    <row r="52" spans="1:28" ht="29" thickTop="1" x14ac:dyDescent="0.15">
      <c r="A52" s="46">
        <v>40041051</v>
      </c>
      <c r="B52" s="181" t="s">
        <v>380</v>
      </c>
      <c r="C52" s="314">
        <v>3</v>
      </c>
      <c r="D52" s="176" t="s">
        <v>128</v>
      </c>
      <c r="E52" s="255" t="s">
        <v>336</v>
      </c>
      <c r="F52" s="177" t="s">
        <v>502</v>
      </c>
      <c r="G52" s="62" t="str">
        <f t="shared" si="116"/>
        <v>[effect:enemy_message, val1:2.8, val2:2.8]</v>
      </c>
      <c r="H52" s="62">
        <f t="shared" si="1"/>
        <v>9</v>
      </c>
      <c r="I52" s="62">
        <f t="shared" si="117"/>
        <v>22</v>
      </c>
      <c r="J52" s="62" t="e">
        <f t="shared" si="118"/>
        <v>#VALUE!</v>
      </c>
      <c r="K52" s="62">
        <f t="shared" si="119"/>
        <v>32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120"/>
        <v>[effect:fix_speed, target:myself, turn:2]</v>
      </c>
      <c r="N52" s="47" t="str">
        <f>IFERROR(LEFT(M52,FIND("],",M52)+S61),M52)</f>
        <v>[effect:fix_speed, target:myself, turn:2]</v>
      </c>
      <c r="O52" s="62">
        <f t="shared" si="6"/>
        <v>9</v>
      </c>
      <c r="P52" s="62">
        <f t="shared" si="121"/>
        <v>18</v>
      </c>
      <c r="Q52" s="62">
        <f t="shared" si="122"/>
        <v>27</v>
      </c>
      <c r="R52" s="62">
        <f t="shared" si="123"/>
        <v>33</v>
      </c>
      <c r="S52" s="62" t="str">
        <f>IFERROR(VLOOKUP(MID(N52,Q52,R52-Q52),[5]skilldef!$C:$D,2,FALSE),"-") &amp; " / " &amp; IFERROR(VLOOKUP(MID(N52,O52,P52-O52),[5]skilldef!$A:$B,2,FALSE),"-")</f>
        <v>自分自身に / 行動値設定</v>
      </c>
      <c r="T52" s="47" t="str">
        <f t="shared" si="124"/>
        <v>none</v>
      </c>
      <c r="U52" s="62" t="e">
        <f t="shared" si="11"/>
        <v>#VALUE!</v>
      </c>
      <c r="V52" s="62">
        <f t="shared" si="125"/>
        <v>4</v>
      </c>
      <c r="W52" s="62" t="e">
        <f t="shared" si="126"/>
        <v>#VALUE!</v>
      </c>
      <c r="X52" s="62" t="e">
        <f t="shared" si="127"/>
        <v>#VALUE!</v>
      </c>
      <c r="Y52" s="62" t="str">
        <f>IFERROR(VLOOKUP(MID(T52,W52,X52-W52),[5]skilldef!$C:$D,2,FALSE),"-") &amp; " / " &amp; IFERROR(VLOOKUP(MID(T52,U52,V52-U52),[5]skilldef!$A:$B,2,FALSE),"-")</f>
        <v>- / -</v>
      </c>
      <c r="Z52" s="49"/>
      <c r="AA52" s="51"/>
      <c r="AB52" s="49"/>
    </row>
    <row r="53" spans="1:28" ht="28" x14ac:dyDescent="0.15">
      <c r="A53" s="46">
        <v>40041052</v>
      </c>
      <c r="B53" s="178" t="s">
        <v>466</v>
      </c>
      <c r="C53" s="311">
        <v>3</v>
      </c>
      <c r="D53" s="49" t="s">
        <v>128</v>
      </c>
      <c r="E53" s="253" t="s">
        <v>454</v>
      </c>
      <c r="F53" s="170" t="s">
        <v>501</v>
      </c>
      <c r="G53" s="62" t="str">
        <f t="shared" si="116"/>
        <v>[effect:enemy_message, val1:2.6, val2:2]</v>
      </c>
      <c r="H53" s="62">
        <f t="shared" si="1"/>
        <v>9</v>
      </c>
      <c r="I53" s="62">
        <f t="shared" si="117"/>
        <v>22</v>
      </c>
      <c r="J53" s="62" t="e">
        <f t="shared" si="118"/>
        <v>#VALUE!</v>
      </c>
      <c r="K53" s="62">
        <f t="shared" si="119"/>
        <v>32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si="120"/>
        <v>[effect:spread, val:0.28]</v>
      </c>
      <c r="N53" s="47" t="str">
        <f>IFERROR(LEFT(M53,FIND("],",M53)+S62),M53)</f>
        <v>[effect:spread, val:0.28]</v>
      </c>
      <c r="O53" s="62">
        <f t="shared" si="6"/>
        <v>9</v>
      </c>
      <c r="P53" s="62">
        <f t="shared" si="121"/>
        <v>15</v>
      </c>
      <c r="Q53" s="62" t="e">
        <f t="shared" si="122"/>
        <v>#VALUE!</v>
      </c>
      <c r="R53" s="62" t="e">
        <f t="shared" si="123"/>
        <v>#VALUE!</v>
      </c>
      <c r="S53" s="62" t="str">
        <f>IFERROR(VLOOKUP(MID(N53,Q53,R53-Q53),[5]skilldef!$C:$D,2,FALSE),"-") &amp; " / " &amp; IFERROR(VLOOKUP(MID(N53,O53,P53-O53),[5]skilldef!$A:$B,2,FALSE),"-")</f>
        <v>- / 全体攻撃</v>
      </c>
      <c r="T53" s="47" t="str">
        <f t="shared" si="124"/>
        <v>none</v>
      </c>
      <c r="U53" s="62" t="e">
        <f t="shared" si="11"/>
        <v>#VALUE!</v>
      </c>
      <c r="V53" s="62">
        <f t="shared" si="125"/>
        <v>4</v>
      </c>
      <c r="W53" s="62" t="e">
        <f t="shared" si="126"/>
        <v>#VALUE!</v>
      </c>
      <c r="X53" s="62" t="e">
        <f t="shared" si="127"/>
        <v>#VALUE!</v>
      </c>
      <c r="Y53" s="62" t="str">
        <f>IFERROR(VLOOKUP(MID(T53,W53,X53-W53),[5]skilldef!$C:$D,2,FALSE),"-") &amp; " / " &amp; IFERROR(VLOOKUP(MID(T53,U53,V53-U53),[5]skilldef!$A:$B,2,FALSE),"-")</f>
        <v>- / -</v>
      </c>
      <c r="Z53" s="49"/>
      <c r="AA53" s="51"/>
      <c r="AB53" s="49"/>
    </row>
    <row r="54" spans="1:28" ht="21" customHeight="1" x14ac:dyDescent="0.15">
      <c r="A54" s="46">
        <v>40041053</v>
      </c>
      <c r="B54" s="178" t="s">
        <v>456</v>
      </c>
      <c r="C54" s="311">
        <v>3</v>
      </c>
      <c r="D54" s="49" t="s">
        <v>128</v>
      </c>
      <c r="E54" s="254" t="s">
        <v>374</v>
      </c>
      <c r="F54" s="50" t="s">
        <v>381</v>
      </c>
      <c r="G54" s="62" t="str">
        <f t="shared" si="116"/>
        <v>[effect:virus, turn:2, rate:1, val:0.09, animation:enemy_virus]</v>
      </c>
      <c r="H54" s="62">
        <f t="shared" si="1"/>
        <v>9</v>
      </c>
      <c r="I54" s="62">
        <f t="shared" si="117"/>
        <v>14</v>
      </c>
      <c r="J54" s="62" t="e">
        <f t="shared" si="118"/>
        <v>#VALUE!</v>
      </c>
      <c r="K54" s="62">
        <f t="shared" si="119"/>
        <v>22</v>
      </c>
      <c r="L54" s="62" t="str">
        <f>IFERROR(VLOOKUP(MID(G54,J54,K54-J54),[5]skilldef!$C:$D,2,FALSE),"-") &amp; " / " &amp; IFERROR(VLOOKUP(MID(G54,H54,I54-H54),[5]skilldef!$A:$B,2,FALSE),"-")</f>
        <v>- / ウィルス</v>
      </c>
      <c r="M54" s="62" t="str">
        <f t="shared" si="120"/>
        <v>[effect:rush, count:1, val:0.9]</v>
      </c>
      <c r="N54" s="47" t="str">
        <f>IFERROR(LEFT(M54,FIND("],",M54)+#REF!),M54)</f>
        <v>[effect:rush, count:1, val:0.9]</v>
      </c>
      <c r="O54" s="62">
        <f t="shared" si="6"/>
        <v>9</v>
      </c>
      <c r="P54" s="62">
        <f t="shared" si="121"/>
        <v>13</v>
      </c>
      <c r="Q54" s="62" t="e">
        <f t="shared" si="122"/>
        <v>#VALUE!</v>
      </c>
      <c r="R54" s="62">
        <f t="shared" si="123"/>
        <v>22</v>
      </c>
      <c r="S54" s="62" t="str">
        <f>IFERROR(VLOOKUP(MID(N54,Q54,R54-Q54),[5]skilldef!$C:$D,2,FALSE),"-") &amp; " / " &amp; IFERROR(VLOOKUP(MID(N54,O54,P54-O54),[5]skilldef!$A:$B,2,FALSE),"-")</f>
        <v>- / 連続攻撃</v>
      </c>
      <c r="T54" s="47" t="str">
        <f t="shared" si="124"/>
        <v>none</v>
      </c>
      <c r="U54" s="62" t="e">
        <f t="shared" si="11"/>
        <v>#VALUE!</v>
      </c>
      <c r="V54" s="62">
        <f t="shared" si="125"/>
        <v>4</v>
      </c>
      <c r="W54" s="62" t="e">
        <f t="shared" si="126"/>
        <v>#VALUE!</v>
      </c>
      <c r="X54" s="62" t="e">
        <f t="shared" si="127"/>
        <v>#VALUE!</v>
      </c>
      <c r="Y54" s="62" t="str">
        <f>IFERROR(VLOOKUP(MID(T54,W54,X54-W54),[5]skilldef!$C:$D,2,FALSE),"-") &amp; " / " &amp; IFERROR(VLOOKUP(MID(T54,U54,V54-U54),[5]skilldef!$A:$B,2,FALSE),"-")</f>
        <v>- / -</v>
      </c>
      <c r="Z54" s="49"/>
      <c r="AA54" s="51"/>
      <c r="AB54" s="49"/>
    </row>
    <row r="55" spans="1:28" ht="21" customHeight="1" x14ac:dyDescent="0.15">
      <c r="A55" s="46">
        <v>40041054</v>
      </c>
      <c r="B55" s="178" t="s">
        <v>383</v>
      </c>
      <c r="C55" s="311">
        <v>3</v>
      </c>
      <c r="D55" s="49" t="s">
        <v>128</v>
      </c>
      <c r="E55" s="252" t="s">
        <v>389</v>
      </c>
      <c r="F55" s="50" t="s">
        <v>405</v>
      </c>
      <c r="G55" s="62" t="str">
        <f t="shared" si="116"/>
        <v>[effect:rush, count:3, val:0.45]</v>
      </c>
      <c r="H55" s="62">
        <f t="shared" si="1"/>
        <v>9</v>
      </c>
      <c r="I55" s="62">
        <f t="shared" si="117"/>
        <v>13</v>
      </c>
      <c r="J55" s="62" t="e">
        <f t="shared" si="118"/>
        <v>#VALUE!</v>
      </c>
      <c r="K55" s="62">
        <f t="shared" si="119"/>
        <v>22</v>
      </c>
      <c r="L55" s="62" t="str">
        <f>IFERROR(VLOOKUP(MID(G55,J55,K55-J55),[5]skilldef!$C:$D,2,FALSE),"-") &amp; " / " &amp; IFERROR(VLOOKUP(MID(G55,H55,I55-H55),[5]skilldef!$A:$B,2,FALSE),"-")</f>
        <v>- / 連続攻撃</v>
      </c>
      <c r="M55" s="62" t="str">
        <f t="shared" si="120"/>
        <v>none</v>
      </c>
      <c r="N55" s="47" t="str">
        <f>IFERROR(LEFT(M55,FIND("],",M55)+#REF!),M55)</f>
        <v>none</v>
      </c>
      <c r="O55" s="62" t="e">
        <f t="shared" si="6"/>
        <v>#VALUE!</v>
      </c>
      <c r="P55" s="62">
        <f t="shared" si="121"/>
        <v>4</v>
      </c>
      <c r="Q55" s="62" t="e">
        <f t="shared" si="122"/>
        <v>#VALUE!</v>
      </c>
      <c r="R55" s="62" t="e">
        <f t="shared" si="123"/>
        <v>#VALUE!</v>
      </c>
      <c r="S55" s="62" t="str">
        <f>IFERROR(VLOOKUP(MID(N55,Q55,R55-Q55),[5]skilldef!$C:$D,2,FALSE),"-") &amp; " / " &amp; IFERROR(VLOOKUP(MID(N55,O55,P55-O55),[5]skilldef!$A:$B,2,FALSE),"-")</f>
        <v>- / -</v>
      </c>
      <c r="T55" s="47" t="str">
        <f t="shared" si="124"/>
        <v>none</v>
      </c>
      <c r="U55" s="62" t="e">
        <f t="shared" si="11"/>
        <v>#VALUE!</v>
      </c>
      <c r="V55" s="62">
        <f t="shared" si="125"/>
        <v>4</v>
      </c>
      <c r="W55" s="62" t="e">
        <f t="shared" si="126"/>
        <v>#VALUE!</v>
      </c>
      <c r="X55" s="62" t="e">
        <f t="shared" si="127"/>
        <v>#VALUE!</v>
      </c>
      <c r="Y55" s="62" t="str">
        <f>IFERROR(VLOOKUP(MID(T55,W55,X55-W55),[5]skilldef!$C:$D,2,FALSE),"-") &amp; " / " &amp; IFERROR(VLOOKUP(MID(T55,U55,V55-U55),[5]skilldef!$A:$B,2,FALSE),"-")</f>
        <v>- / -</v>
      </c>
      <c r="Z55" s="49"/>
      <c r="AA55" s="51"/>
      <c r="AB55" s="49"/>
    </row>
    <row r="56" spans="1:28" ht="21" customHeight="1" x14ac:dyDescent="0.15">
      <c r="A56" s="46">
        <v>40041055</v>
      </c>
      <c r="B56" s="178" t="s">
        <v>457</v>
      </c>
      <c r="C56" s="311">
        <v>3</v>
      </c>
      <c r="D56" s="49" t="s">
        <v>128</v>
      </c>
      <c r="E56" s="252" t="s">
        <v>338</v>
      </c>
      <c r="F56" s="50" t="s">
        <v>398</v>
      </c>
      <c r="G56" s="62" t="str">
        <f t="shared" si="116"/>
        <v>[effect:critical, val:1.47]</v>
      </c>
      <c r="H56" s="62">
        <f t="shared" si="1"/>
        <v>9</v>
      </c>
      <c r="I56" s="62">
        <f t="shared" si="117"/>
        <v>17</v>
      </c>
      <c r="J56" s="62" t="e">
        <f t="shared" si="118"/>
        <v>#VALUE!</v>
      </c>
      <c r="K56" s="62" t="e">
        <f t="shared" si="119"/>
        <v>#VALUE!</v>
      </c>
      <c r="L56" s="62" t="str">
        <f>IFERROR(VLOOKUP(MID(G56,J56,K56-J56),[5]skilldef!$C:$D,2,FALSE),"-") &amp; " / " &amp; IFERROR(VLOOKUP(MID(G56,H56,I56-H56),[5]skilldef!$A:$B,2,FALSE),"-")</f>
        <v>- / 大攻撃</v>
      </c>
      <c r="M56" s="62" t="str">
        <f t="shared" si="120"/>
        <v>none</v>
      </c>
      <c r="N56" s="47" t="str">
        <f>IFERROR(LEFT(M56,FIND("],",M56)+#REF!),M56)</f>
        <v>none</v>
      </c>
      <c r="O56" s="62" t="e">
        <f t="shared" si="6"/>
        <v>#VALUE!</v>
      </c>
      <c r="P56" s="62">
        <f t="shared" si="121"/>
        <v>4</v>
      </c>
      <c r="Q56" s="62" t="e">
        <f t="shared" si="122"/>
        <v>#VALUE!</v>
      </c>
      <c r="R56" s="62" t="e">
        <f t="shared" si="123"/>
        <v>#VALUE!</v>
      </c>
      <c r="S56" s="62" t="str">
        <f>IFERROR(VLOOKUP(MID(N56,Q56,R56-Q56),[5]skilldef!$C:$D,2,FALSE),"-") &amp; " / " &amp; IFERROR(VLOOKUP(MID(N56,O56,P56-O56),[5]skilldef!$A:$B,2,FALSE),"-")</f>
        <v>- / -</v>
      </c>
      <c r="T56" s="47" t="str">
        <f t="shared" si="124"/>
        <v>none</v>
      </c>
      <c r="U56" s="62" t="e">
        <f t="shared" si="11"/>
        <v>#VALUE!</v>
      </c>
      <c r="V56" s="62">
        <f t="shared" si="125"/>
        <v>4</v>
      </c>
      <c r="W56" s="62" t="e">
        <f t="shared" si="126"/>
        <v>#VALUE!</v>
      </c>
      <c r="X56" s="62" t="e">
        <f t="shared" si="127"/>
        <v>#VALUE!</v>
      </c>
      <c r="Y56" s="62" t="str">
        <f>IFERROR(VLOOKUP(MID(T56,W56,X56-W56),[5]skilldef!$C:$D,2,FALSE),"-") &amp; " / " &amp; IFERROR(VLOOKUP(MID(T56,U56,V56-U56),[5]skilldef!$A:$B,2,FALSE),"-")</f>
        <v>- / -</v>
      </c>
      <c r="Z56" s="49"/>
      <c r="AA56" s="51"/>
      <c r="AB56" s="49"/>
    </row>
    <row r="57" spans="1:28" ht="33" customHeight="1" x14ac:dyDescent="0.15">
      <c r="A57" s="46">
        <v>40041056</v>
      </c>
      <c r="B57" s="178" t="s">
        <v>302</v>
      </c>
      <c r="C57" s="311">
        <v>3</v>
      </c>
      <c r="D57" s="49" t="s">
        <v>128</v>
      </c>
      <c r="E57" s="50" t="s">
        <v>455</v>
      </c>
      <c r="F57" s="50" t="s">
        <v>423</v>
      </c>
      <c r="G57" s="62" t="str">
        <f t="shared" si="116"/>
        <v>[effect:degrade_unit, target:unit_all, turn:5, status:heal, val:0.5, calc:mul, animation:degrade_unit_all_heal]</v>
      </c>
      <c r="H57" s="62">
        <f t="shared" si="1"/>
        <v>9</v>
      </c>
      <c r="I57" s="62">
        <f t="shared" si="117"/>
        <v>21</v>
      </c>
      <c r="J57" s="62">
        <f t="shared" si="118"/>
        <v>30</v>
      </c>
      <c r="K57" s="62">
        <f t="shared" si="119"/>
        <v>38</v>
      </c>
      <c r="L57" s="62" t="str">
        <f>IFERROR(VLOOKUP(MID(G57,J57,K57-J57),[5]skilldef!$C:$D,2,FALSE),"-") &amp; " / " &amp; IFERROR(VLOOKUP(MID(G57,H57,I57-H57),[5]skilldef!$A:$B,2,FALSE),"-")</f>
        <v>味方全体に / ステータスDOWN</v>
      </c>
      <c r="M57" s="62" t="str">
        <f t="shared" si="120"/>
        <v>[effect:hungup, target:unit_all, turn:3, rate:1, animation:hungup01]</v>
      </c>
      <c r="N57" s="47" t="str">
        <f>IFERROR(LEFT(M57,FIND("],",M57)+S60),M57)</f>
        <v>[effect:hungup, target:unit_all, turn:3, rate:1, animation:hungup01]</v>
      </c>
      <c r="O57" s="62">
        <f t="shared" si="6"/>
        <v>9</v>
      </c>
      <c r="P57" s="62">
        <f t="shared" si="121"/>
        <v>15</v>
      </c>
      <c r="Q57" s="62">
        <f t="shared" si="122"/>
        <v>24</v>
      </c>
      <c r="R57" s="62">
        <f t="shared" si="123"/>
        <v>32</v>
      </c>
      <c r="S57" s="62" t="str">
        <f>IFERROR(VLOOKUP(MID(N57,Q57,R57-Q57),[5]skilldef!$C:$D,2,FALSE),"-") &amp; " / " &amp; IFERROR(VLOOKUP(MID(N57,O57,P57-O57),[5]skilldef!$A:$B,2,FALSE),"-")</f>
        <v>味方全体に / ハングアップ</v>
      </c>
      <c r="T57" s="47" t="str">
        <f t="shared" si="124"/>
        <v>none</v>
      </c>
      <c r="U57" s="62" t="e">
        <f t="shared" si="11"/>
        <v>#VALUE!</v>
      </c>
      <c r="V57" s="62">
        <f t="shared" si="125"/>
        <v>4</v>
      </c>
      <c r="W57" s="62" t="e">
        <f t="shared" si="126"/>
        <v>#VALUE!</v>
      </c>
      <c r="X57" s="62" t="e">
        <f t="shared" si="127"/>
        <v>#VALUE!</v>
      </c>
      <c r="Y57" s="62" t="str">
        <f>IFERROR(VLOOKUP(MID(T57,W57,X57-W57),[5]skilldef!$C:$D,2,FALSE),"-") &amp; " / " &amp; IFERROR(VLOOKUP(MID(T57,U57,V57-U57),[5]skilldef!$A:$B,2,FALSE),"-")</f>
        <v>- / -</v>
      </c>
      <c r="Z57" s="49"/>
      <c r="AA57" s="51"/>
      <c r="AB57" s="49"/>
    </row>
    <row r="58" spans="1:28" ht="27" customHeight="1" x14ac:dyDescent="0.15">
      <c r="A58" s="46">
        <v>40041057</v>
      </c>
      <c r="B58" s="202" t="s">
        <v>477</v>
      </c>
      <c r="C58" s="311">
        <v>3</v>
      </c>
      <c r="D58" s="203" t="s">
        <v>128</v>
      </c>
      <c r="E58" s="174" t="s">
        <v>394</v>
      </c>
      <c r="F58" s="174" t="s">
        <v>420</v>
      </c>
      <c r="G58" s="62" t="str">
        <f>IFERROR(LEFT(B58,FIND("],",B58)),B58)</f>
        <v>[effect:enemy_message, val1:2.8, val2:2.8]</v>
      </c>
      <c r="H58" s="62">
        <f>FIND("effect:",G58)+7</f>
        <v>9</v>
      </c>
      <c r="I58" s="62">
        <f>IFERROR(FIND(",",G58),LEN(G58))</f>
        <v>22</v>
      </c>
      <c r="J58" s="62" t="e">
        <f>FIND("target:",G58)+7</f>
        <v>#VALUE!</v>
      </c>
      <c r="K58" s="62">
        <f>FIND(",",G58,I58+1)</f>
        <v>32</v>
      </c>
      <c r="L58" s="62" t="str">
        <f>IFERROR(VLOOKUP(MID(G58,J58,K58-J58),[5]skilldef!$C:$D,2,FALSE),"-") &amp; " / " &amp; IFERROR(VLOOKUP(MID(G58,H58,I58-H58),[5]skilldef!$A:$B,2,FALSE),"-")</f>
        <v>- / -</v>
      </c>
      <c r="M58" s="62" t="str">
        <f>IFERROR(RIGHT(B58,LEN(B58)-FIND("],",B58)-1),"none")</f>
        <v>[effect:enhance_unit, target:unit_all, turn:10, status:attack, val:0.3, calc:mul],[effect:fix_speed, target:myself, turn:2]</v>
      </c>
      <c r="N58" s="47" t="str">
        <f>IFERROR(LEFT(M58,FIND("],",M58)+S71),M58)</f>
        <v>[effect:enhance_unit, target:unit_all, turn:10, status:attack, val:0.3, calc:mul],[effect:fix_speed, target:myself, turn:2]</v>
      </c>
      <c r="O58" s="62">
        <f>FIND("effect:",N58)+7</f>
        <v>9</v>
      </c>
      <c r="P58" s="62">
        <f>IFERROR(FIND(",",N58),LEN(N58))</f>
        <v>21</v>
      </c>
      <c r="Q58" s="62">
        <f>FIND("target:",N58)+7</f>
        <v>30</v>
      </c>
      <c r="R58" s="62">
        <f>FIND(",",N58,P58+1)</f>
        <v>38</v>
      </c>
      <c r="S58" s="62" t="str">
        <f>IFERROR(VLOOKUP(MID(N58,Q58,R58-Q58),[5]skilldef!$C:$D,2,FALSE),"-") &amp; " / " &amp; IFERROR(VLOOKUP(MID(N58,O58,P58-O58),[5]skilldef!$A:$B,2,FALSE),"-")</f>
        <v>味方全体に / -</v>
      </c>
      <c r="T58" s="47" t="str">
        <f>IFERROR(RIGHT(M58,LEN(M58)-FIND("],",M58)-1),"none")</f>
        <v>[effect:fix_speed, target:myself, turn:2]</v>
      </c>
      <c r="U58" s="62">
        <f>FIND("effect:",T58)+7</f>
        <v>9</v>
      </c>
      <c r="V58" s="62">
        <f>IFERROR(FIND(",",T58),LEN(T58))</f>
        <v>18</v>
      </c>
      <c r="W58" s="62">
        <f>FIND("target:",T58)+7</f>
        <v>27</v>
      </c>
      <c r="X58" s="62">
        <f>FIND(",",T58,V58+1)</f>
        <v>33</v>
      </c>
      <c r="Y58" s="62" t="str">
        <f>IFERROR(VLOOKUP(MID(T58,W58,X58-W58),[5]skilldef!$C:$D,2,FALSE),"-") &amp; " / " &amp; IFERROR(VLOOKUP(MID(T58,U58,V58-U58),[5]skilldef!$A:$B,2,FALSE),"-")</f>
        <v>自分自身に / 行動値設定</v>
      </c>
      <c r="Z58" s="49"/>
      <c r="AA58" s="51"/>
      <c r="AB58" s="49"/>
    </row>
    <row r="59" spans="1:28" ht="32" customHeight="1" x14ac:dyDescent="0.15">
      <c r="A59" s="46">
        <v>40041058</v>
      </c>
      <c r="B59" s="202" t="s">
        <v>478</v>
      </c>
      <c r="C59" s="311">
        <v>3</v>
      </c>
      <c r="D59" s="203" t="s">
        <v>128</v>
      </c>
      <c r="E59" s="174" t="s">
        <v>394</v>
      </c>
      <c r="F59" s="174" t="s">
        <v>420</v>
      </c>
      <c r="G59" s="62" t="str">
        <f>IFERROR(LEFT(B59,FIND("],",B59)),B59)</f>
        <v>[effect:enemy_message, val1:2.8, val2:2.8]</v>
      </c>
      <c r="H59" s="62">
        <f>FIND("effect:",G59)+7</f>
        <v>9</v>
      </c>
      <c r="I59" s="62">
        <f>IFERROR(FIND(",",G59),LEN(G59))</f>
        <v>22</v>
      </c>
      <c r="J59" s="62" t="e">
        <f>FIND("target:",G59)+7</f>
        <v>#VALUE!</v>
      </c>
      <c r="K59" s="62">
        <f>FIND(",",G59,I59+1)</f>
        <v>32</v>
      </c>
      <c r="L59" s="62" t="str">
        <f>IFERROR(VLOOKUP(MID(G59,J59,K59-J59),[5]skilldef!$C:$D,2,FALSE),"-") &amp; " / " &amp; IFERROR(VLOOKUP(MID(G59,H59,I59-H59),[5]skilldef!$A:$B,2,FALSE),"-")</f>
        <v>- / -</v>
      </c>
      <c r="M59" s="62" t="str">
        <f>IFERROR(RIGHT(B59,LEN(B59)-FIND("],",B59)-1),"none")</f>
        <v>[effect:enhance_unit, target:unit_all, turn:10, status:attack, val:0.3, calc:mul],[effect:fix_speed, target:myself, turn:2]</v>
      </c>
      <c r="N59" s="47" t="str">
        <f>IFERROR(LEFT(M59,FIND("],",M59)+S70),M59)</f>
        <v>[effect:enhance_unit, target:unit_all, turn:10, status:attack, val:0.3, calc:mul],[effect:fix_speed, target:myself, turn:2]</v>
      </c>
      <c r="O59" s="62">
        <f>FIND("effect:",N59)+7</f>
        <v>9</v>
      </c>
      <c r="P59" s="62">
        <f>IFERROR(FIND(",",N59),LEN(N59))</f>
        <v>21</v>
      </c>
      <c r="Q59" s="62">
        <f>FIND("target:",N59)+7</f>
        <v>30</v>
      </c>
      <c r="R59" s="62">
        <f>FIND(",",N59,P59+1)</f>
        <v>38</v>
      </c>
      <c r="S59" s="62" t="str">
        <f>IFERROR(VLOOKUP(MID(N59,Q59,R59-Q59),[5]skilldef!$C:$D,2,FALSE),"-") &amp; " / " &amp; IFERROR(VLOOKUP(MID(N59,O59,P59-O59),[5]skilldef!$A:$B,2,FALSE),"-")</f>
        <v>味方全体に / -</v>
      </c>
      <c r="T59" s="47" t="str">
        <f>IFERROR(RIGHT(M59,LEN(M59)-FIND("],",M59)-1),"none")</f>
        <v>[effect:fix_speed, target:myself, turn:2]</v>
      </c>
      <c r="U59" s="62">
        <f>FIND("effect:",T59)+7</f>
        <v>9</v>
      </c>
      <c r="V59" s="62">
        <f>IFERROR(FIND(",",T59),LEN(T59))</f>
        <v>18</v>
      </c>
      <c r="W59" s="62">
        <f>FIND("target:",T59)+7</f>
        <v>27</v>
      </c>
      <c r="X59" s="62">
        <f>FIND(",",T59,V59+1)</f>
        <v>33</v>
      </c>
      <c r="Y59" s="62" t="str">
        <f>IFERROR(VLOOKUP(MID(T59,W59,X59-W59),[5]skilldef!$C:$D,2,FALSE),"-") &amp; " / " &amp; IFERROR(VLOOKUP(MID(T59,U59,V59-U59),[5]skilldef!$A:$B,2,FALSE),"-")</f>
        <v>自分自身に / 行動値設定</v>
      </c>
      <c r="Z59" s="49"/>
      <c r="AA59" s="51"/>
      <c r="AB59" s="49"/>
    </row>
    <row r="60" spans="1:28" ht="31" customHeight="1" x14ac:dyDescent="0.15">
      <c r="A60" s="46">
        <v>40041059</v>
      </c>
      <c r="B60" s="202" t="s">
        <v>479</v>
      </c>
      <c r="C60" s="311">
        <v>3</v>
      </c>
      <c r="D60" s="203" t="s">
        <v>128</v>
      </c>
      <c r="E60" s="174" t="s">
        <v>394</v>
      </c>
      <c r="F60" s="174" t="s">
        <v>420</v>
      </c>
      <c r="G60" s="62" t="str">
        <f>IFERROR(LEFT(B60,FIND("],",B60)),B60)</f>
        <v>[effect:enemy_message, val1:2.8, val2:2.8]</v>
      </c>
      <c r="H60" s="62">
        <f>FIND("effect:",G60)+7</f>
        <v>9</v>
      </c>
      <c r="I60" s="62">
        <f>IFERROR(FIND(",",G60),LEN(G60))</f>
        <v>22</v>
      </c>
      <c r="J60" s="62" t="e">
        <f>FIND("target:",G60)+7</f>
        <v>#VALUE!</v>
      </c>
      <c r="K60" s="62">
        <f>FIND(",",G60,I60+1)</f>
        <v>32</v>
      </c>
      <c r="L60" s="62" t="str">
        <f>IFERROR(VLOOKUP(MID(G60,J60,K60-J60),[5]skilldef!$C:$D,2,FALSE),"-") &amp; " / " &amp; IFERROR(VLOOKUP(MID(G60,H60,I60-H60),[5]skilldef!$A:$B,2,FALSE),"-")</f>
        <v>- / -</v>
      </c>
      <c r="M60" s="62" t="str">
        <f>IFERROR(RIGHT(B60,LEN(B60)-FIND("],",B60)-1),"none")</f>
        <v>[effect:enhance_unit, target:unit_all, turn:10, status:attack, val:0.3, calc:mul],[effect:fix_speed, target:myself, turn:2]</v>
      </c>
      <c r="N60" s="47" t="str">
        <f>IFERROR(LEFT(M60,FIND("],",M60)+S69),M60)</f>
        <v>[effect:enhance_unit, target:unit_all, turn:10, status:attack, val:0.3, calc:mul],[effect:fix_speed, target:myself, turn:2]</v>
      </c>
      <c r="O60" s="62">
        <f>FIND("effect:",N60)+7</f>
        <v>9</v>
      </c>
      <c r="P60" s="62">
        <f>IFERROR(FIND(",",N60),LEN(N60))</f>
        <v>21</v>
      </c>
      <c r="Q60" s="62">
        <f>FIND("target:",N60)+7</f>
        <v>30</v>
      </c>
      <c r="R60" s="62">
        <f>FIND(",",N60,P60+1)</f>
        <v>38</v>
      </c>
      <c r="S60" s="62" t="str">
        <f>IFERROR(VLOOKUP(MID(N60,Q60,R60-Q60),[5]skilldef!$C:$D,2,FALSE),"-") &amp; " / " &amp; IFERROR(VLOOKUP(MID(N60,O60,P60-O60),[5]skilldef!$A:$B,2,FALSE),"-")</f>
        <v>味方全体に / -</v>
      </c>
      <c r="T60" s="47" t="str">
        <f>IFERROR(RIGHT(M60,LEN(M60)-FIND("],",M60)-1),"none")</f>
        <v>[effect:fix_speed, target:myself, turn:2]</v>
      </c>
      <c r="U60" s="62">
        <f>FIND("effect:",T60)+7</f>
        <v>9</v>
      </c>
      <c r="V60" s="62">
        <f>IFERROR(FIND(",",T60),LEN(T60))</f>
        <v>18</v>
      </c>
      <c r="W60" s="62">
        <f>FIND("target:",T60)+7</f>
        <v>27</v>
      </c>
      <c r="X60" s="62">
        <f>FIND(",",T60,V60+1)</f>
        <v>33</v>
      </c>
      <c r="Y60" s="62" t="str">
        <f>IFERROR(VLOOKUP(MID(T60,W60,X60-W60),[5]skilldef!$C:$D,2,FALSE),"-") &amp; " / " &amp; IFERROR(VLOOKUP(MID(T60,U60,V60-U60),[5]skilldef!$A:$B,2,FALSE),"-")</f>
        <v>自分自身に / 行動値設定</v>
      </c>
      <c r="Z60" s="49"/>
      <c r="AA60" s="51"/>
      <c r="AB60" s="49"/>
    </row>
    <row r="61" spans="1:28" ht="28" x14ac:dyDescent="0.15">
      <c r="A61" s="46">
        <v>40041060</v>
      </c>
      <c r="B61" s="202" t="s">
        <v>480</v>
      </c>
      <c r="C61" s="311">
        <v>3</v>
      </c>
      <c r="D61" s="203" t="s">
        <v>128</v>
      </c>
      <c r="E61" s="174" t="s">
        <v>361</v>
      </c>
      <c r="F61" s="174" t="s">
        <v>499</v>
      </c>
      <c r="G61" s="62" t="str">
        <f t="shared" si="116"/>
        <v>[effect:enemy_message, val1:2.8, val2:2.8]</v>
      </c>
      <c r="H61" s="62">
        <f t="shared" si="1"/>
        <v>9</v>
      </c>
      <c r="I61" s="62">
        <f t="shared" si="117"/>
        <v>22</v>
      </c>
      <c r="J61" s="62" t="e">
        <f t="shared" si="118"/>
        <v>#VALUE!</v>
      </c>
      <c r="K61" s="62">
        <f t="shared" si="119"/>
        <v>32</v>
      </c>
      <c r="L61" s="62" t="str">
        <f>IFERROR(VLOOKUP(MID(G61,J61,K61-J61),[5]skilldef!$C:$D,2,FALSE),"-") &amp; " / " &amp; IFERROR(VLOOKUP(MID(G61,H61,I61-H61),[5]skilldef!$A:$B,2,FALSE),"-")</f>
        <v>- / -</v>
      </c>
      <c r="M61" s="62" t="str">
        <f t="shared" si="120"/>
        <v>[effect:fix_speed, target:myself, turn:2]</v>
      </c>
      <c r="N61" s="47" t="str">
        <f>IFERROR(LEFT(M61,FIND("],",M61)+#REF!),M61)</f>
        <v>[effect:fix_speed, target:myself, turn:2]</v>
      </c>
      <c r="O61" s="62">
        <f t="shared" si="6"/>
        <v>9</v>
      </c>
      <c r="P61" s="62">
        <f t="shared" si="121"/>
        <v>18</v>
      </c>
      <c r="Q61" s="62">
        <f t="shared" si="122"/>
        <v>27</v>
      </c>
      <c r="R61" s="62">
        <f t="shared" si="123"/>
        <v>33</v>
      </c>
      <c r="S61" s="62" t="str">
        <f>IFERROR(VLOOKUP(MID(N61,Q61,R61-Q61),[5]skilldef!$C:$D,2,FALSE),"-") &amp; " / " &amp; IFERROR(VLOOKUP(MID(N61,O61,P61-O61),[5]skilldef!$A:$B,2,FALSE),"-")</f>
        <v>自分自身に / 行動値設定</v>
      </c>
      <c r="T61" s="47" t="str">
        <f t="shared" si="124"/>
        <v>none</v>
      </c>
      <c r="U61" s="62" t="e">
        <f t="shared" si="11"/>
        <v>#VALUE!</v>
      </c>
      <c r="V61" s="62">
        <f t="shared" si="125"/>
        <v>4</v>
      </c>
      <c r="W61" s="62" t="e">
        <f t="shared" si="126"/>
        <v>#VALUE!</v>
      </c>
      <c r="X61" s="62" t="e">
        <f t="shared" si="127"/>
        <v>#VALUE!</v>
      </c>
      <c r="Y61" s="62" t="str">
        <f>IFERROR(VLOOKUP(MID(T61,W61,X61-W61),[5]skilldef!$C:$D,2,FALSE),"-") &amp; " / " &amp; IFERROR(VLOOKUP(MID(T61,U61,V61-U61),[5]skilldef!$A:$B,2,FALSE),"-")</f>
        <v>- / -</v>
      </c>
      <c r="Z61" s="49"/>
      <c r="AA61" s="51"/>
      <c r="AB61" s="49"/>
    </row>
    <row r="62" spans="1:28" ht="29" thickBot="1" x14ac:dyDescent="0.2">
      <c r="A62" s="46">
        <v>40041061</v>
      </c>
      <c r="B62" s="204" t="s">
        <v>481</v>
      </c>
      <c r="C62" s="312">
        <v>3</v>
      </c>
      <c r="D62" s="205" t="s">
        <v>128</v>
      </c>
      <c r="E62" s="175" t="s">
        <v>337</v>
      </c>
      <c r="F62" s="175" t="s">
        <v>500</v>
      </c>
      <c r="G62" s="62" t="str">
        <f t="shared" si="116"/>
        <v>[effect:enemy_message, val1:2.8, val2:2.8]</v>
      </c>
      <c r="H62" s="62">
        <f t="shared" si="1"/>
        <v>9</v>
      </c>
      <c r="I62" s="62">
        <f t="shared" si="117"/>
        <v>22</v>
      </c>
      <c r="J62" s="62" t="e">
        <f t="shared" si="118"/>
        <v>#VALUE!</v>
      </c>
      <c r="K62" s="62">
        <f t="shared" si="119"/>
        <v>32</v>
      </c>
      <c r="L62" s="62" t="str">
        <f>IFERROR(VLOOKUP(MID(G62,J62,K62-J62),[5]skilldef!$C:$D,2,FALSE),"-") &amp; " / " &amp; IFERROR(VLOOKUP(MID(G62,H62,I62-H62),[5]skilldef!$A:$B,2,FALSE),"-")</f>
        <v>- / -</v>
      </c>
      <c r="M62" s="62" t="str">
        <f t="shared" si="120"/>
        <v>[effect:fix_speed, target:myself, turn:2]</v>
      </c>
      <c r="N62" s="47" t="str">
        <f>IFERROR(LEFT(M62,FIND("],",M62)+S67),M62)</f>
        <v>[effect:fix_speed, target:myself, turn:2]</v>
      </c>
      <c r="O62" s="62">
        <f t="shared" si="6"/>
        <v>9</v>
      </c>
      <c r="P62" s="62">
        <f t="shared" si="121"/>
        <v>18</v>
      </c>
      <c r="Q62" s="62">
        <f t="shared" si="122"/>
        <v>27</v>
      </c>
      <c r="R62" s="62">
        <f t="shared" si="123"/>
        <v>33</v>
      </c>
      <c r="S62" s="62" t="str">
        <f>IFERROR(VLOOKUP(MID(N62,Q62,R62-Q62),[5]skilldef!$C:$D,2,FALSE),"-") &amp; " / " &amp; IFERROR(VLOOKUP(MID(N62,O62,P62-O62),[5]skilldef!$A:$B,2,FALSE),"-")</f>
        <v>自分自身に / 行動値設定</v>
      </c>
      <c r="T62" s="47" t="str">
        <f t="shared" si="124"/>
        <v>none</v>
      </c>
      <c r="U62" s="62" t="e">
        <f t="shared" si="11"/>
        <v>#VALUE!</v>
      </c>
      <c r="V62" s="62">
        <f t="shared" si="125"/>
        <v>4</v>
      </c>
      <c r="W62" s="62" t="e">
        <f t="shared" si="126"/>
        <v>#VALUE!</v>
      </c>
      <c r="X62" s="62" t="e">
        <f t="shared" si="127"/>
        <v>#VALUE!</v>
      </c>
      <c r="Y62" s="62" t="str">
        <f>IFERROR(VLOOKUP(MID(T62,W62,X62-W62),[5]skilldef!$C:$D,2,FALSE),"-") &amp; " / " &amp; IFERROR(VLOOKUP(MID(T62,U62,V62-U62),[5]skilldef!$A:$B,2,FALSE),"-")</f>
        <v>- / -</v>
      </c>
      <c r="Z62" s="49"/>
      <c r="AA62" s="51"/>
      <c r="AB62" s="49"/>
    </row>
    <row r="63" spans="1:28" ht="29" thickTop="1" x14ac:dyDescent="0.15">
      <c r="A63" s="46">
        <v>40041062</v>
      </c>
      <c r="B63" s="180" t="s">
        <v>458</v>
      </c>
      <c r="C63" s="313">
        <v>3</v>
      </c>
      <c r="D63" s="169" t="s">
        <v>128</v>
      </c>
      <c r="E63" s="170" t="s">
        <v>385</v>
      </c>
      <c r="F63" s="170" t="s">
        <v>498</v>
      </c>
      <c r="G63" s="62" t="str">
        <f t="shared" si="116"/>
        <v>[effect:enemy_message, val1:2.8, val2:2.8]</v>
      </c>
      <c r="H63" s="62">
        <f t="shared" ref="H63:H82" si="128">FIND("effect:",G63)+7</f>
        <v>9</v>
      </c>
      <c r="I63" s="62">
        <f t="shared" si="117"/>
        <v>22</v>
      </c>
      <c r="J63" s="62" t="e">
        <f t="shared" si="118"/>
        <v>#VALUE!</v>
      </c>
      <c r="K63" s="62">
        <f t="shared" si="119"/>
        <v>32</v>
      </c>
      <c r="L63" s="62" t="str">
        <f>IFERROR(VLOOKUP(MID(G63,J63,K63-J63),[5]skilldef!$C:$D,2,FALSE),"-") &amp; " / " &amp; IFERROR(VLOOKUP(MID(G63,H63,I63-H63),[5]skilldef!$A:$B,2,FALSE),"-")</f>
        <v>- / -</v>
      </c>
      <c r="M63" s="62" t="str">
        <f t="shared" si="120"/>
        <v>[effect:fix_speed, target:myself, turn:1]</v>
      </c>
      <c r="N63" s="47" t="str">
        <f>IFERROR(LEFT(M63,FIND("],",M63)+S72),M63)</f>
        <v>[effect:fix_speed, target:myself, turn:1]</v>
      </c>
      <c r="O63" s="62">
        <f t="shared" ref="O63:O82" si="129">FIND("effect:",N63)+7</f>
        <v>9</v>
      </c>
      <c r="P63" s="62">
        <f t="shared" si="121"/>
        <v>18</v>
      </c>
      <c r="Q63" s="62">
        <f t="shared" si="122"/>
        <v>27</v>
      </c>
      <c r="R63" s="62">
        <f t="shared" si="123"/>
        <v>33</v>
      </c>
      <c r="S63" s="62" t="str">
        <f>IFERROR(VLOOKUP(MID(N63,Q63,R63-Q63),[5]skilldef!$C:$D,2,FALSE),"-") &amp; " / " &amp; IFERROR(VLOOKUP(MID(N63,O63,P63-O63),[5]skilldef!$A:$B,2,FALSE),"-")</f>
        <v>自分自身に / 行動値設定</v>
      </c>
      <c r="T63" s="47" t="str">
        <f t="shared" si="124"/>
        <v>none</v>
      </c>
      <c r="U63" s="62" t="e">
        <f t="shared" ref="U63:U82" si="130">FIND("effect:",T63)+7</f>
        <v>#VALUE!</v>
      </c>
      <c r="V63" s="62">
        <f t="shared" si="125"/>
        <v>4</v>
      </c>
      <c r="W63" s="62" t="e">
        <f t="shared" si="126"/>
        <v>#VALUE!</v>
      </c>
      <c r="X63" s="62" t="e">
        <f t="shared" si="127"/>
        <v>#VALUE!</v>
      </c>
      <c r="Y63" s="62" t="str">
        <f>IFERROR(VLOOKUP(MID(T63,W63,X63-W63),[5]skilldef!$C:$D,2,FALSE),"-") &amp; " / " &amp; IFERROR(VLOOKUP(MID(T63,U63,V63-U63),[5]skilldef!$A:$B,2,FALSE),"-")</f>
        <v>- / -</v>
      </c>
      <c r="Z63" s="49"/>
      <c r="AA63" s="51"/>
      <c r="AB63" s="49"/>
    </row>
    <row r="64" spans="1:28" ht="49" customHeight="1" x14ac:dyDescent="0.15">
      <c r="A64" s="46">
        <v>40041063</v>
      </c>
      <c r="B64" s="178" t="s">
        <v>503</v>
      </c>
      <c r="C64" s="311">
        <v>3</v>
      </c>
      <c r="D64" s="49" t="s">
        <v>128</v>
      </c>
      <c r="E64" s="50" t="s">
        <v>386</v>
      </c>
      <c r="F64" s="48" t="s">
        <v>459</v>
      </c>
      <c r="G64" s="62" t="str">
        <f t="shared" si="116"/>
        <v>[effect:enemy_message, val1:2.5, val2:2]</v>
      </c>
      <c r="H64" s="62">
        <f t="shared" si="128"/>
        <v>9</v>
      </c>
      <c r="I64" s="62">
        <f t="shared" si="117"/>
        <v>22</v>
      </c>
      <c r="J64" s="62" t="e">
        <f t="shared" si="118"/>
        <v>#VALUE!</v>
      </c>
      <c r="K64" s="62">
        <f t="shared" si="119"/>
        <v>32</v>
      </c>
      <c r="L64" s="62" t="str">
        <f>IFERROR(VLOOKUP(MID(G64,J64,K64-J64),[5]skilldef!$C:$D,2,FALSE),"-") &amp; " / " &amp; IFERROR(VLOOKUP(MID(G64,H64,I64-H64),[5]skilldef!$A:$B,2,FALSE),"-")</f>
        <v>- / -</v>
      </c>
      <c r="M64" s="62" t="str">
        <f t="shared" si="120"/>
        <v>[effect:change_panel_ratio, turn:-1, block_type:red, val:0.4, animation:block_incidence04],[effect:rush, count:1, val:1.35],[effect:fix_speed, target:myself, turn:2]</v>
      </c>
      <c r="N64" s="47" t="str">
        <f>IFERROR(LEFT(M64,FIND("],",M64)+#REF!),M64)</f>
        <v>[effect:change_panel_ratio, turn:-1, block_type:red, val:0.4, animation:block_incidence04],[effect:rush, count:1, val:1.35],[effect:fix_speed, target:myself, turn:2]</v>
      </c>
      <c r="O64" s="62">
        <f t="shared" si="129"/>
        <v>9</v>
      </c>
      <c r="P64" s="62">
        <f t="shared" si="121"/>
        <v>27</v>
      </c>
      <c r="Q64" s="62">
        <f t="shared" si="122"/>
        <v>151</v>
      </c>
      <c r="R64" s="62">
        <f t="shared" si="123"/>
        <v>36</v>
      </c>
      <c r="S64" s="62" t="str">
        <f>IFERROR(VLOOKUP(MID(N64,Q64,R64-Q64),[5]skilldef!$C:$D,2,FALSE),"-") &amp; " / " &amp; IFERROR(VLOOKUP(MID(N64,O64,P64-O64),[5]skilldef!$A:$B,2,FALSE),"-")</f>
        <v>- / -</v>
      </c>
      <c r="T64" s="47" t="str">
        <f t="shared" si="124"/>
        <v>[effect:rush, count:1, val:1.35],[effect:fix_speed, target:myself, turn:2]</v>
      </c>
      <c r="U64" s="62">
        <f t="shared" si="130"/>
        <v>9</v>
      </c>
      <c r="V64" s="62">
        <f t="shared" si="125"/>
        <v>13</v>
      </c>
      <c r="W64" s="62">
        <f t="shared" si="126"/>
        <v>60</v>
      </c>
      <c r="X64" s="62">
        <f t="shared" si="127"/>
        <v>22</v>
      </c>
      <c r="Y64" s="62" t="str">
        <f>IFERROR(VLOOKUP(MID(T64,W64,X64-W64),[5]skilldef!$C:$D,2,FALSE),"-") &amp; " / " &amp; IFERROR(VLOOKUP(MID(T64,U64,V64-U64),[5]skilldef!$A:$B,2,FALSE),"-")</f>
        <v>- / 連続攻撃</v>
      </c>
      <c r="Z64" s="49"/>
      <c r="AA64" s="51"/>
      <c r="AB64" s="49"/>
    </row>
    <row r="65" spans="1:28" ht="21" customHeight="1" x14ac:dyDescent="0.15">
      <c r="A65" s="46">
        <v>40041064</v>
      </c>
      <c r="B65" s="178" t="s">
        <v>473</v>
      </c>
      <c r="C65" s="311">
        <v>3</v>
      </c>
      <c r="D65" s="49" t="s">
        <v>128</v>
      </c>
      <c r="E65" s="252" t="s">
        <v>341</v>
      </c>
      <c r="F65" s="50" t="s">
        <v>421</v>
      </c>
      <c r="G65" s="62" t="str">
        <f t="shared" si="116"/>
        <v>[effect:virus, turn:5, rate:1, val:0.1, animation:enemy_virus]</v>
      </c>
      <c r="H65" s="62">
        <f t="shared" si="128"/>
        <v>9</v>
      </c>
      <c r="I65" s="62">
        <f t="shared" si="117"/>
        <v>14</v>
      </c>
      <c r="J65" s="62" t="e">
        <f t="shared" si="118"/>
        <v>#VALUE!</v>
      </c>
      <c r="K65" s="62">
        <f t="shared" si="119"/>
        <v>22</v>
      </c>
      <c r="L65" s="62" t="str">
        <f>IFERROR(VLOOKUP(MID(G65,J65,K65-J65),[5]skilldef!$C:$D,2,FALSE),"-") &amp; " / " &amp; IFERROR(VLOOKUP(MID(G65,H65,I65-H65),[5]skilldef!$A:$B,2,FALSE),"-")</f>
        <v>- / ウィルス</v>
      </c>
      <c r="M65" s="62" t="str">
        <f t="shared" si="120"/>
        <v>[effect:rush, count:4, val:0.3]</v>
      </c>
      <c r="N65" s="47" t="str">
        <f>IFERROR(LEFT(M65,FIND("],",M65)+#REF!),M65)</f>
        <v>[effect:rush, count:4, val:0.3]</v>
      </c>
      <c r="O65" s="62">
        <f t="shared" si="129"/>
        <v>9</v>
      </c>
      <c r="P65" s="62">
        <f t="shared" si="121"/>
        <v>13</v>
      </c>
      <c r="Q65" s="62" t="e">
        <f t="shared" si="122"/>
        <v>#VALUE!</v>
      </c>
      <c r="R65" s="62">
        <f t="shared" si="123"/>
        <v>22</v>
      </c>
      <c r="S65" s="62" t="str">
        <f>IFERROR(VLOOKUP(MID(N65,Q65,R65-Q65),[5]skilldef!$C:$D,2,FALSE),"-") &amp; " / " &amp; IFERROR(VLOOKUP(MID(N65,O65,P65-O65),[5]skilldef!$A:$B,2,FALSE),"-")</f>
        <v>- / 連続攻撃</v>
      </c>
      <c r="T65" s="47" t="str">
        <f t="shared" si="124"/>
        <v>none</v>
      </c>
      <c r="U65" s="62" t="e">
        <f t="shared" si="130"/>
        <v>#VALUE!</v>
      </c>
      <c r="V65" s="62">
        <f t="shared" si="125"/>
        <v>4</v>
      </c>
      <c r="W65" s="62" t="e">
        <f t="shared" si="126"/>
        <v>#VALUE!</v>
      </c>
      <c r="X65" s="62" t="e">
        <f t="shared" si="127"/>
        <v>#VALUE!</v>
      </c>
      <c r="Y65" s="62" t="str">
        <f>IFERROR(VLOOKUP(MID(T65,W65,X65-W65),[5]skilldef!$C:$D,2,FALSE),"-") &amp; " / " &amp; IFERROR(VLOOKUP(MID(T65,U65,V65-U65),[5]skilldef!$A:$B,2,FALSE),"-")</f>
        <v>- / -</v>
      </c>
      <c r="Z65" s="49"/>
      <c r="AA65" s="51"/>
      <c r="AB65" s="49"/>
    </row>
    <row r="66" spans="1:28" ht="126" x14ac:dyDescent="0.15">
      <c r="A66" s="46">
        <v>40041065</v>
      </c>
      <c r="B66" s="178" t="s">
        <v>518</v>
      </c>
      <c r="C66" s="311">
        <v>3</v>
      </c>
      <c r="D66" s="49" t="s">
        <v>128</v>
      </c>
      <c r="E66" s="252" t="s">
        <v>359</v>
      </c>
      <c r="F66" s="316" t="s">
        <v>471</v>
      </c>
      <c r="G66" s="62" t="str">
        <f t="shared" si="116"/>
        <v>[effect:enemy_message, val1:2, val2:2.3]</v>
      </c>
      <c r="H66" s="62">
        <f t="shared" si="128"/>
        <v>9</v>
      </c>
      <c r="I66" s="62">
        <f t="shared" si="117"/>
        <v>22</v>
      </c>
      <c r="J66" s="62" t="e">
        <f t="shared" si="118"/>
        <v>#VALUE!</v>
      </c>
      <c r="K66" s="62">
        <f t="shared" si="119"/>
        <v>30</v>
      </c>
      <c r="L66" s="62" t="str">
        <f>IFERROR(VLOOKUP(MID(G66,J66,K66-J66),[5]skilldef!$C:$D,2,FALSE),"-") &amp; " / " &amp; IFERROR(VLOOKUP(MID(G66,H66,I66-H66),[5]skilldef!$A:$B,2,FALSE),"-")</f>
        <v>- / -</v>
      </c>
      <c r="M66" s="62" t="str">
        <f t="shared" si="120"/>
        <v>[effect:force_change_block, new_block:damage, target:block_all, ignore01:block_positive, ignore02:block_negative, color:block_red, count:2, val:0.09, animation:change_block],[effect:rush, count:2, val:0.6]</v>
      </c>
      <c r="N66" s="47" t="str">
        <f>IFERROR(LEFT(M66,FIND("],",M66)+#REF!),M66)</f>
        <v>[effect:force_change_block, new_block:damage, target:block_all, ignore01:block_positive, ignore02:block_negative, color:block_red, count:2, val:0.09, animation:change_block],[effect:rush, count:2, val:0.6]</v>
      </c>
      <c r="O66" s="62">
        <f t="shared" si="129"/>
        <v>9</v>
      </c>
      <c r="P66" s="62">
        <f t="shared" si="121"/>
        <v>27</v>
      </c>
      <c r="Q66" s="62">
        <f t="shared" si="122"/>
        <v>54</v>
      </c>
      <c r="R66" s="62">
        <f t="shared" si="123"/>
        <v>45</v>
      </c>
      <c r="S66" s="62" t="str">
        <f>IFERROR(VLOOKUP(MID(N66,Q66,R66-Q66),[5]skilldef!$C:$D,2,FALSE),"-") &amp; " / " &amp; IFERROR(VLOOKUP(MID(N66,O66,P66-O66),[5]skilldef!$A:$B,2,FALSE),"-")</f>
        <v>- / -</v>
      </c>
      <c r="T66" s="47" t="str">
        <f t="shared" si="124"/>
        <v>[effect:rush, count:2, val:0.6]</v>
      </c>
      <c r="U66" s="62">
        <f t="shared" si="130"/>
        <v>9</v>
      </c>
      <c r="V66" s="62">
        <f t="shared" si="125"/>
        <v>13</v>
      </c>
      <c r="W66" s="62" t="e">
        <f t="shared" si="126"/>
        <v>#VALUE!</v>
      </c>
      <c r="X66" s="62">
        <f t="shared" si="127"/>
        <v>22</v>
      </c>
      <c r="Y66" s="62" t="str">
        <f>IFERROR(VLOOKUP(MID(T66,W66,X66-W66),[5]skilldef!$C:$D,2,FALSE),"-") &amp; " / " &amp; IFERROR(VLOOKUP(MID(T66,U66,V66-U66),[5]skilldef!$A:$B,2,FALSE),"-")</f>
        <v>- / 連続攻撃</v>
      </c>
      <c r="Z66" s="49"/>
      <c r="AA66" s="51"/>
      <c r="AB66" s="49"/>
    </row>
    <row r="67" spans="1:28" ht="21" customHeight="1" x14ac:dyDescent="0.15">
      <c r="A67" s="46">
        <v>40041066</v>
      </c>
      <c r="B67" s="178" t="s">
        <v>474</v>
      </c>
      <c r="C67" s="311">
        <v>3</v>
      </c>
      <c r="D67" s="49" t="s">
        <v>128</v>
      </c>
      <c r="E67" s="252" t="s">
        <v>340</v>
      </c>
      <c r="F67" s="50" t="s">
        <v>422</v>
      </c>
      <c r="G67" s="62" t="str">
        <f t="shared" si="116"/>
        <v>[effect:break_attack_fix, target:unit_all, val:250, lowest_val:900, count:-1, color:red, block01:block_red]</v>
      </c>
      <c r="H67" s="62">
        <f t="shared" si="128"/>
        <v>9</v>
      </c>
      <c r="I67" s="62">
        <f t="shared" si="117"/>
        <v>25</v>
      </c>
      <c r="J67" s="62">
        <f t="shared" si="118"/>
        <v>34</v>
      </c>
      <c r="K67" s="62">
        <f t="shared" si="119"/>
        <v>42</v>
      </c>
      <c r="L67" s="62" t="str">
        <f>IFERROR(VLOOKUP(MID(G67,J67,K67-J67),[5]skilldef!$C:$D,2,FALSE),"-") &amp; " / " &amp; IFERROR(VLOOKUP(MID(G67,H67,I67-H67),[5]skilldef!$A:$B,2,FALSE),"-")</f>
        <v>味方全体に / -</v>
      </c>
      <c r="M67" s="62" t="str">
        <f t="shared" si="120"/>
        <v>none</v>
      </c>
      <c r="N67" s="47" t="str">
        <f>IFERROR(LEFT(M67,FIND("],",M67)+#REF!),M67)</f>
        <v>none</v>
      </c>
      <c r="O67" s="62" t="e">
        <f t="shared" si="129"/>
        <v>#VALUE!</v>
      </c>
      <c r="P67" s="62">
        <f t="shared" si="121"/>
        <v>4</v>
      </c>
      <c r="Q67" s="62" t="e">
        <f t="shared" si="122"/>
        <v>#VALUE!</v>
      </c>
      <c r="R67" s="62" t="e">
        <f t="shared" si="123"/>
        <v>#VALUE!</v>
      </c>
      <c r="S67" s="62" t="str">
        <f>IFERROR(VLOOKUP(MID(N67,Q67,R67-Q67),[5]skilldef!$C:$D,2,FALSE),"-") &amp; " / " &amp; IFERROR(VLOOKUP(MID(N67,O67,P67-O67),[5]skilldef!$A:$B,2,FALSE),"-")</f>
        <v>- / -</v>
      </c>
      <c r="T67" s="47" t="str">
        <f t="shared" si="124"/>
        <v>none</v>
      </c>
      <c r="U67" s="62" t="e">
        <f t="shared" si="130"/>
        <v>#VALUE!</v>
      </c>
      <c r="V67" s="62">
        <f t="shared" si="125"/>
        <v>4</v>
      </c>
      <c r="W67" s="62" t="e">
        <f t="shared" si="126"/>
        <v>#VALUE!</v>
      </c>
      <c r="X67" s="62" t="e">
        <f t="shared" si="127"/>
        <v>#VALUE!</v>
      </c>
      <c r="Y67" s="62" t="str">
        <f>IFERROR(VLOOKUP(MID(T67,W67,X67-W67),[5]skilldef!$C:$D,2,FALSE),"-") &amp; " / " &amp; IFERROR(VLOOKUP(MID(T67,U67,V67-U67),[5]skilldef!$A:$B,2,FALSE),"-")</f>
        <v>- / -</v>
      </c>
      <c r="Z67" s="49"/>
      <c r="AA67" s="51"/>
      <c r="AB67" s="49"/>
    </row>
    <row r="68" spans="1:28" ht="126" x14ac:dyDescent="0.15">
      <c r="A68" s="46">
        <v>40041067</v>
      </c>
      <c r="B68" s="178" t="s">
        <v>519</v>
      </c>
      <c r="C68" s="311">
        <v>3</v>
      </c>
      <c r="D68" s="49" t="s">
        <v>128</v>
      </c>
      <c r="E68" s="252" t="s">
        <v>357</v>
      </c>
      <c r="F68" s="316" t="s">
        <v>472</v>
      </c>
      <c r="G68" s="62" t="str">
        <f t="shared" si="116"/>
        <v>[effect:enemy_message, val1:2, val2:2.3]</v>
      </c>
      <c r="H68" s="62">
        <f t="shared" si="128"/>
        <v>9</v>
      </c>
      <c r="I68" s="62">
        <f t="shared" si="117"/>
        <v>22</v>
      </c>
      <c r="J68" s="62" t="e">
        <f t="shared" si="118"/>
        <v>#VALUE!</v>
      </c>
      <c r="K68" s="62">
        <f t="shared" si="119"/>
        <v>30</v>
      </c>
      <c r="L68" s="62" t="str">
        <f>IFERROR(VLOOKUP(MID(G68,J68,K68-J68),[5]skilldef!$C:$D,2,FALSE),"-") &amp; " / " &amp; IFERROR(VLOOKUP(MID(G68,H68,I68-H68),[5]skilldef!$A:$B,2,FALSE),"-")</f>
        <v>- / -</v>
      </c>
      <c r="M68" s="62" t="str">
        <f t="shared" si="120"/>
        <v>[effect:force_change_block, new_block:damage, target:block_all, ignore01:block_positive, ignore02:block_negative, color:block_red, count:3, val:0.09, animation:change_block],[effect:rush, count:3, val:0.45]</v>
      </c>
      <c r="N68" s="47" t="str">
        <f>IFERROR(LEFT(M68,FIND("],",M68)+#REF!),M68)</f>
        <v>[effect:force_change_block, new_block:damage, target:block_all, ignore01:block_positive, ignore02:block_negative, color:block_red, count:3, val:0.09, animation:change_block],[effect:rush, count:3, val:0.45]</v>
      </c>
      <c r="O68" s="62">
        <f t="shared" si="129"/>
        <v>9</v>
      </c>
      <c r="P68" s="62">
        <f t="shared" si="121"/>
        <v>27</v>
      </c>
      <c r="Q68" s="62">
        <f t="shared" si="122"/>
        <v>54</v>
      </c>
      <c r="R68" s="62">
        <f t="shared" si="123"/>
        <v>45</v>
      </c>
      <c r="S68" s="62" t="str">
        <f>IFERROR(VLOOKUP(MID(N68,Q68,R68-Q68),[5]skilldef!$C:$D,2,FALSE),"-") &amp; " / " &amp; IFERROR(VLOOKUP(MID(N68,O68,P68-O68),[5]skilldef!$A:$B,2,FALSE),"-")</f>
        <v>- / -</v>
      </c>
      <c r="T68" s="47" t="str">
        <f t="shared" si="124"/>
        <v>[effect:rush, count:3, val:0.45]</v>
      </c>
      <c r="U68" s="62">
        <f t="shared" si="130"/>
        <v>9</v>
      </c>
      <c r="V68" s="62">
        <f t="shared" si="125"/>
        <v>13</v>
      </c>
      <c r="W68" s="62" t="e">
        <f t="shared" si="126"/>
        <v>#VALUE!</v>
      </c>
      <c r="X68" s="62">
        <f t="shared" si="127"/>
        <v>22</v>
      </c>
      <c r="Y68" s="62" t="str">
        <f>IFERROR(VLOOKUP(MID(T68,W68,X68-W68),[5]skilldef!$C:$D,2,FALSE),"-") &amp; " / " &amp; IFERROR(VLOOKUP(MID(T68,U68,V68-U68),[5]skilldef!$A:$B,2,FALSE),"-")</f>
        <v>- / 連続攻撃</v>
      </c>
      <c r="Z68" s="49"/>
      <c r="AA68" s="51"/>
      <c r="AB68" s="49"/>
    </row>
    <row r="69" spans="1:28" ht="126" x14ac:dyDescent="0.15">
      <c r="A69" s="46">
        <v>40041068</v>
      </c>
      <c r="B69" s="178" t="s">
        <v>519</v>
      </c>
      <c r="C69" s="311">
        <v>3</v>
      </c>
      <c r="D69" s="49" t="s">
        <v>128</v>
      </c>
      <c r="E69" s="252" t="s">
        <v>358</v>
      </c>
      <c r="F69" s="316" t="s">
        <v>513</v>
      </c>
      <c r="G69" s="62" t="str">
        <f>IFERROR(LEFT(B69,FIND("],",B69)),B69)</f>
        <v>[effect:enemy_message, val1:2, val2:2.3]</v>
      </c>
      <c r="H69" s="62">
        <f>FIND("effect:",G69)+7</f>
        <v>9</v>
      </c>
      <c r="I69" s="62">
        <f>IFERROR(FIND(",",G69),LEN(G69))</f>
        <v>22</v>
      </c>
      <c r="J69" s="62" t="e">
        <f>FIND("target:",G69)+7</f>
        <v>#VALUE!</v>
      </c>
      <c r="K69" s="62">
        <f>FIND(",",G69,I69+1)</f>
        <v>30</v>
      </c>
      <c r="L69" s="62" t="str">
        <f>IFERROR(VLOOKUP(MID(G69,J69,K69-J69),[5]skilldef!$C:$D,2,FALSE),"-") &amp; " / " &amp; IFERROR(VLOOKUP(MID(G69,H69,I69-H69),[5]skilldef!$A:$B,2,FALSE),"-")</f>
        <v>- / -</v>
      </c>
      <c r="M69" s="62" t="str">
        <f>IFERROR(RIGHT(B69,LEN(B69)-FIND("],",B69)-1),"none")</f>
        <v>[effect:force_change_block, new_block:damage, target:block_all, ignore01:block_positive, ignore02:block_negative, color:block_red, count:3, val:0.09, animation:change_block],[effect:rush, count:3, val:0.45]</v>
      </c>
      <c r="N69" s="47" t="str">
        <f>IFERROR(LEFT(M69,FIND("],",M69)+S74),M69)</f>
        <v>[effect:force_change_block, new_block:damage, target:block_all, ignore01:block_positive, ignore02:block_negative, color:block_red, count:3, val:0.09, animation:change_block],[effect:rush, count:3, val:0.45]</v>
      </c>
      <c r="O69" s="62">
        <f>FIND("effect:",N69)+7</f>
        <v>9</v>
      </c>
      <c r="P69" s="62">
        <f>IFERROR(FIND(",",N69),LEN(N69))</f>
        <v>27</v>
      </c>
      <c r="Q69" s="62">
        <f>FIND("target:",N69)+7</f>
        <v>54</v>
      </c>
      <c r="R69" s="62">
        <f>FIND(",",N69,P69+1)</f>
        <v>45</v>
      </c>
      <c r="S69" s="62" t="str">
        <f>IFERROR(VLOOKUP(MID(N69,Q69,R69-Q69),[5]skilldef!$C:$D,2,FALSE),"-") &amp; " / " &amp; IFERROR(VLOOKUP(MID(N69,O69,P69-O69),[5]skilldef!$A:$B,2,FALSE),"-")</f>
        <v>- / -</v>
      </c>
      <c r="T69" s="47" t="str">
        <f>IFERROR(RIGHT(M69,LEN(M69)-FIND("],",M69)-1),"none")</f>
        <v>[effect:rush, count:3, val:0.45]</v>
      </c>
      <c r="U69" s="62">
        <f>FIND("effect:",T69)+7</f>
        <v>9</v>
      </c>
      <c r="V69" s="62">
        <f>IFERROR(FIND(",",T69),LEN(T69))</f>
        <v>13</v>
      </c>
      <c r="W69" s="62" t="e">
        <f>FIND("target:",T69)+7</f>
        <v>#VALUE!</v>
      </c>
      <c r="X69" s="62">
        <f>FIND(",",T69,V69+1)</f>
        <v>22</v>
      </c>
      <c r="Y69" s="62" t="str">
        <f>IFERROR(VLOOKUP(MID(T69,W69,X69-W69),[5]skilldef!$C:$D,2,FALSE),"-") &amp; " / " &amp; IFERROR(VLOOKUP(MID(T69,U69,V69-U69),[5]skilldef!$A:$B,2,FALSE),"-")</f>
        <v>- / 連続攻撃</v>
      </c>
      <c r="Z69" s="49"/>
      <c r="AA69" s="51"/>
      <c r="AB69" s="49"/>
    </row>
    <row r="70" spans="1:28" ht="21" customHeight="1" x14ac:dyDescent="0.15">
      <c r="A70" s="46">
        <v>40041069</v>
      </c>
      <c r="B70" s="178" t="s">
        <v>475</v>
      </c>
      <c r="C70" s="311">
        <v>3</v>
      </c>
      <c r="D70" s="49" t="s">
        <v>128</v>
      </c>
      <c r="E70" s="252" t="s">
        <v>339</v>
      </c>
      <c r="F70" s="50" t="s">
        <v>422</v>
      </c>
      <c r="G70" s="62" t="str">
        <f t="shared" si="116"/>
        <v>[effect:break_attack_fix, target:unit_all, val:250, lowest_val:900, count:-1, color:red, block01:block_red]</v>
      </c>
      <c r="H70" s="62">
        <f t="shared" si="128"/>
        <v>9</v>
      </c>
      <c r="I70" s="62">
        <f t="shared" si="117"/>
        <v>25</v>
      </c>
      <c r="J70" s="62">
        <f t="shared" si="118"/>
        <v>34</v>
      </c>
      <c r="K70" s="62">
        <f t="shared" si="119"/>
        <v>42</v>
      </c>
      <c r="L70" s="62" t="str">
        <f>IFERROR(VLOOKUP(MID(G70,J70,K70-J70),[5]skilldef!$C:$D,2,FALSE),"-") &amp; " / " &amp; IFERROR(VLOOKUP(MID(G70,H70,I70-H70),[5]skilldef!$A:$B,2,FALSE),"-")</f>
        <v>味方全体に / -</v>
      </c>
      <c r="M70" s="62" t="str">
        <f t="shared" si="120"/>
        <v>none</v>
      </c>
      <c r="N70" s="47" t="str">
        <f>IFERROR(LEFT(M70,FIND("],",M70)+S73),M70)</f>
        <v>none</v>
      </c>
      <c r="O70" s="62" t="e">
        <f t="shared" si="129"/>
        <v>#VALUE!</v>
      </c>
      <c r="P70" s="62">
        <f t="shared" si="121"/>
        <v>4</v>
      </c>
      <c r="Q70" s="62" t="e">
        <f t="shared" si="122"/>
        <v>#VALUE!</v>
      </c>
      <c r="R70" s="62" t="e">
        <f t="shared" si="123"/>
        <v>#VALUE!</v>
      </c>
      <c r="S70" s="62" t="str">
        <f>IFERROR(VLOOKUP(MID(N70,Q70,R70-Q70),[5]skilldef!$C:$D,2,FALSE),"-") &amp; " / " &amp; IFERROR(VLOOKUP(MID(N70,O70,P70-O70),[5]skilldef!$A:$B,2,FALSE),"-")</f>
        <v>- / -</v>
      </c>
      <c r="T70" s="47" t="str">
        <f t="shared" si="124"/>
        <v>none</v>
      </c>
      <c r="U70" s="62" t="e">
        <f t="shared" si="130"/>
        <v>#VALUE!</v>
      </c>
      <c r="V70" s="62">
        <f t="shared" si="125"/>
        <v>4</v>
      </c>
      <c r="W70" s="62" t="e">
        <f t="shared" si="126"/>
        <v>#VALUE!</v>
      </c>
      <c r="X70" s="62" t="e">
        <f t="shared" si="127"/>
        <v>#VALUE!</v>
      </c>
      <c r="Y70" s="62" t="str">
        <f>IFERROR(VLOOKUP(MID(T70,W70,X70-W70),[5]skilldef!$C:$D,2,FALSE),"-") &amp; " / " &amp; IFERROR(VLOOKUP(MID(T70,U70,V70-U70),[5]skilldef!$A:$B,2,FALSE),"-")</f>
        <v>- / -</v>
      </c>
      <c r="Z70" s="49"/>
      <c r="AA70" s="51"/>
      <c r="AB70" s="49"/>
    </row>
    <row r="71" spans="1:28" ht="21" customHeight="1" x14ac:dyDescent="0.15">
      <c r="A71" s="46">
        <v>40041070</v>
      </c>
      <c r="B71" s="178" t="s">
        <v>384</v>
      </c>
      <c r="C71" s="311">
        <v>3</v>
      </c>
      <c r="D71" s="49" t="s">
        <v>128</v>
      </c>
      <c r="E71" s="252" t="s">
        <v>382</v>
      </c>
      <c r="F71" s="50" t="s">
        <v>406</v>
      </c>
      <c r="G71" s="62" t="str">
        <f>IFERROR(LEFT(B71,FIND("],",B71)),B71)</f>
        <v>[effect:rush, count:5, val:0.27]</v>
      </c>
      <c r="H71" s="62">
        <f>FIND("effect:",G71)+7</f>
        <v>9</v>
      </c>
      <c r="I71" s="62">
        <f>IFERROR(FIND(",",G71),LEN(G71))</f>
        <v>13</v>
      </c>
      <c r="J71" s="62" t="e">
        <f>FIND("target:",G71)+7</f>
        <v>#VALUE!</v>
      </c>
      <c r="K71" s="62">
        <f>FIND(",",G71,I71+1)</f>
        <v>22</v>
      </c>
      <c r="L71" s="62" t="str">
        <f>IFERROR(VLOOKUP(MID(G71,J71,K71-J71),[5]skilldef!$C:$D,2,FALSE),"-") &amp; " / " &amp; IFERROR(VLOOKUP(MID(G71,H71,I71-H71),[5]skilldef!$A:$B,2,FALSE),"-")</f>
        <v>- / 連続攻撃</v>
      </c>
      <c r="M71" s="62" t="str">
        <f>IFERROR(RIGHT(B71,LEN(B71)-FIND("],",B71)-1),"none")</f>
        <v>none</v>
      </c>
      <c r="N71" s="47" t="str">
        <f>IFERROR(LEFT(M71,FIND("],",M71)+#REF!),M71)</f>
        <v>none</v>
      </c>
      <c r="O71" s="62" t="e">
        <f>FIND("effect:",N71)+7</f>
        <v>#VALUE!</v>
      </c>
      <c r="P71" s="62">
        <f>IFERROR(FIND(",",N71),LEN(N71))</f>
        <v>4</v>
      </c>
      <c r="Q71" s="62" t="e">
        <f>FIND("target:",N71)+7</f>
        <v>#VALUE!</v>
      </c>
      <c r="R71" s="62" t="e">
        <f>FIND(",",N71,P71+1)</f>
        <v>#VALUE!</v>
      </c>
      <c r="S71" s="62" t="str">
        <f>IFERROR(VLOOKUP(MID(N71,Q71,R71-Q71),[5]skilldef!$C:$D,2,FALSE),"-") &amp; " / " &amp; IFERROR(VLOOKUP(MID(N71,O71,P71-O71),[5]skilldef!$A:$B,2,FALSE),"-")</f>
        <v>- / -</v>
      </c>
      <c r="T71" s="47" t="str">
        <f>IFERROR(RIGHT(M71,LEN(M71)-FIND("],",M71)-1),"none")</f>
        <v>none</v>
      </c>
      <c r="U71" s="62" t="e">
        <f>FIND("effect:",T71)+7</f>
        <v>#VALUE!</v>
      </c>
      <c r="V71" s="62">
        <f>IFERROR(FIND(",",T71),LEN(T71))</f>
        <v>4</v>
      </c>
      <c r="W71" s="62" t="e">
        <f>FIND("target:",T71)+7</f>
        <v>#VALUE!</v>
      </c>
      <c r="X71" s="62" t="e">
        <f>FIND(",",T71,V71+1)</f>
        <v>#VALUE!</v>
      </c>
      <c r="Y71" s="62" t="str">
        <f>IFERROR(VLOOKUP(MID(T71,W71,X71-W71),[5]skilldef!$C:$D,2,FALSE),"-") &amp; " / " &amp; IFERROR(VLOOKUP(MID(T71,U71,V71-U71),[5]skilldef!$A:$B,2,FALSE),"-")</f>
        <v>- / -</v>
      </c>
      <c r="Z71" s="49"/>
      <c r="AA71" s="51"/>
      <c r="AB71" s="49"/>
    </row>
    <row r="72" spans="1:28" ht="33" customHeight="1" thickBot="1" x14ac:dyDescent="0.2">
      <c r="A72" s="46">
        <v>40041071</v>
      </c>
      <c r="B72" s="179" t="s">
        <v>482</v>
      </c>
      <c r="C72" s="312">
        <v>3</v>
      </c>
      <c r="D72" s="172" t="s">
        <v>128</v>
      </c>
      <c r="E72" s="256" t="s">
        <v>354</v>
      </c>
      <c r="F72" s="256" t="s">
        <v>423</v>
      </c>
      <c r="G72" s="62" t="str">
        <f t="shared" si="116"/>
        <v>[effect:enemy_message, val1:2, val2:2.3]</v>
      </c>
      <c r="H72" s="62">
        <f t="shared" si="128"/>
        <v>9</v>
      </c>
      <c r="I72" s="62">
        <f t="shared" si="117"/>
        <v>22</v>
      </c>
      <c r="J72" s="62" t="e">
        <f t="shared" si="118"/>
        <v>#VALUE!</v>
      </c>
      <c r="K72" s="62">
        <f t="shared" si="119"/>
        <v>30</v>
      </c>
      <c r="L72" s="62" t="str">
        <f>IFERROR(VLOOKUP(MID(G72,J72,K72-J72),[5]skilldef!$C:$D,2,FALSE),"-") &amp; " / " &amp; IFERROR(VLOOKUP(MID(G72,H72,I72-H72),[5]skilldef!$A:$B,2,FALSE),"-")</f>
        <v>- / -</v>
      </c>
      <c r="M72" s="62" t="str">
        <f t="shared" si="120"/>
        <v>[effect:degrade_unit, target:unit_all, turn:5, status:heal, val:0.5, calc:mul, animation:degrade_unit_all_heal],[effect:hungup, target:unit_all, turn:3, rate:1, animation:hungup01]</v>
      </c>
      <c r="N72" s="47" t="str">
        <f>IFERROR(LEFT(M72,FIND("],",M72)+S75),M72)</f>
        <v>[effect:degrade_unit, target:unit_all, turn:5, status:heal, val:0.5, calc:mul, animation:degrade_unit_all_heal],[effect:hungup, target:unit_all, turn:3, rate:1, animation:hungup01]</v>
      </c>
      <c r="O72" s="62">
        <f t="shared" si="129"/>
        <v>9</v>
      </c>
      <c r="P72" s="62">
        <f t="shared" si="121"/>
        <v>21</v>
      </c>
      <c r="Q72" s="62">
        <f t="shared" si="122"/>
        <v>30</v>
      </c>
      <c r="R72" s="62">
        <f t="shared" si="123"/>
        <v>38</v>
      </c>
      <c r="S72" s="62" t="str">
        <f>IFERROR(VLOOKUP(MID(N72,Q72,R72-Q72),[5]skilldef!$C:$D,2,FALSE),"-") &amp; " / " &amp; IFERROR(VLOOKUP(MID(N72,O72,P72-O72),[5]skilldef!$A:$B,2,FALSE),"-")</f>
        <v>味方全体に / ステータスDOWN</v>
      </c>
      <c r="T72" s="47" t="str">
        <f t="shared" si="124"/>
        <v>[effect:hungup, target:unit_all, turn:3, rate:1, animation:hungup01]</v>
      </c>
      <c r="U72" s="62">
        <f t="shared" si="130"/>
        <v>9</v>
      </c>
      <c r="V72" s="62">
        <f t="shared" si="125"/>
        <v>15</v>
      </c>
      <c r="W72" s="62">
        <f t="shared" si="126"/>
        <v>24</v>
      </c>
      <c r="X72" s="62">
        <f t="shared" si="127"/>
        <v>32</v>
      </c>
      <c r="Y72" s="62" t="str">
        <f>IFERROR(VLOOKUP(MID(T72,W72,X72-W72),[5]skilldef!$C:$D,2,FALSE),"-") &amp; " / " &amp; IFERROR(VLOOKUP(MID(T72,U72,V72-U72),[5]skilldef!$A:$B,2,FALSE),"-")</f>
        <v>味方全体に / ハングアップ</v>
      </c>
      <c r="Z72" s="49"/>
      <c r="AA72" s="51"/>
      <c r="AB72" s="49"/>
    </row>
    <row r="73" spans="1:28" ht="29" thickTop="1" x14ac:dyDescent="0.15">
      <c r="A73" s="46">
        <v>40041072</v>
      </c>
      <c r="B73" s="180" t="s">
        <v>461</v>
      </c>
      <c r="C73" s="313">
        <v>3</v>
      </c>
      <c r="D73" s="169" t="s">
        <v>128</v>
      </c>
      <c r="E73" s="170" t="s">
        <v>460</v>
      </c>
      <c r="F73" s="170" t="s">
        <v>497</v>
      </c>
      <c r="G73" s="62" t="str">
        <f t="shared" ref="G73:G82" si="131">IFERROR(LEFT(B73,FIND("],",B73)),B73)</f>
        <v>[effect:enemy_message, val1:2.5, val2:2.6]</v>
      </c>
      <c r="H73" s="62">
        <f t="shared" si="128"/>
        <v>9</v>
      </c>
      <c r="I73" s="62">
        <f t="shared" ref="I73:I82" si="132">IFERROR(FIND(",",G73),LEN(G73))</f>
        <v>22</v>
      </c>
      <c r="J73" s="62" t="e">
        <f t="shared" ref="J73:J82" si="133">FIND("target:",G73)+7</f>
        <v>#VALUE!</v>
      </c>
      <c r="K73" s="62">
        <f t="shared" ref="K73:K82" si="134">FIND(",",G73,I73+1)</f>
        <v>32</v>
      </c>
      <c r="L73" s="62" t="str">
        <f>IFERROR(VLOOKUP(MID(G73,J73,K73-J73),[5]skilldef!$C:$D,2,FALSE),"-") &amp; " / " &amp; IFERROR(VLOOKUP(MID(G73,H73,I73-H73),[5]skilldef!$A:$B,2,FALSE),"-")</f>
        <v>- / -</v>
      </c>
      <c r="M73" s="62" t="str">
        <f t="shared" ref="M73:M82" si="135">IFERROR(RIGHT(B73,LEN(B73)-FIND("],",B73)-1),"none")</f>
        <v>[effect:fix_speed, target:myself, turn:1]</v>
      </c>
      <c r="N73" s="47" t="str">
        <f>IFERROR(LEFT(M73,FIND("],",M73)+#REF!),M73)</f>
        <v>[effect:fix_speed, target:myself, turn:1]</v>
      </c>
      <c r="O73" s="62">
        <f t="shared" si="129"/>
        <v>9</v>
      </c>
      <c r="P73" s="62">
        <f t="shared" ref="P73:P82" si="136">IFERROR(FIND(",",N73),LEN(N73))</f>
        <v>18</v>
      </c>
      <c r="Q73" s="62">
        <f t="shared" ref="Q73:Q82" si="137">FIND("target:",N73)+7</f>
        <v>27</v>
      </c>
      <c r="R73" s="62">
        <f t="shared" ref="R73:R82" si="138">FIND(",",N73,P73+1)</f>
        <v>33</v>
      </c>
      <c r="S73" s="62" t="str">
        <f>IFERROR(VLOOKUP(MID(N73,Q73,R73-Q73),[5]skilldef!$C:$D,2,FALSE),"-") &amp; " / " &amp; IFERROR(VLOOKUP(MID(N73,O73,P73-O73),[5]skilldef!$A:$B,2,FALSE),"-")</f>
        <v>自分自身に / 行動値設定</v>
      </c>
      <c r="T73" s="47" t="str">
        <f t="shared" ref="T73:T82" si="139">IFERROR(RIGHT(M73,LEN(M73)-FIND("],",M73)-1),"none")</f>
        <v>none</v>
      </c>
      <c r="U73" s="62" t="e">
        <f t="shared" si="130"/>
        <v>#VALUE!</v>
      </c>
      <c r="V73" s="62">
        <f t="shared" ref="V73:V82" si="140">IFERROR(FIND(",",T73),LEN(T73))</f>
        <v>4</v>
      </c>
      <c r="W73" s="62" t="e">
        <f t="shared" ref="W73:W82" si="141">FIND("target:",T73)+7</f>
        <v>#VALUE!</v>
      </c>
      <c r="X73" s="62" t="e">
        <f t="shared" ref="X73:X82" si="142">FIND(",",T73,V73+1)</f>
        <v>#VALUE!</v>
      </c>
      <c r="Y73" s="62" t="str">
        <f>IFERROR(VLOOKUP(MID(T73,W73,X73-W73),[5]skilldef!$C:$D,2,FALSE),"-") &amp; " / " &amp; IFERROR(VLOOKUP(MID(T73,U73,V73-U73),[5]skilldef!$A:$B,2,FALSE),"-")</f>
        <v>- / -</v>
      </c>
      <c r="Z73" s="49"/>
      <c r="AA73" s="51"/>
      <c r="AB73" s="49"/>
    </row>
    <row r="74" spans="1:28" ht="37" customHeight="1" x14ac:dyDescent="0.15">
      <c r="A74" s="46">
        <v>40041073</v>
      </c>
      <c r="B74" s="178" t="s">
        <v>520</v>
      </c>
      <c r="C74" s="311">
        <v>3</v>
      </c>
      <c r="D74" s="49" t="s">
        <v>128</v>
      </c>
      <c r="E74" s="50" t="s">
        <v>511</v>
      </c>
      <c r="F74" s="316" t="s">
        <v>514</v>
      </c>
      <c r="G74" s="62" t="str">
        <f t="shared" si="131"/>
        <v>[effect:enemy_message, val1:2.3, val2:2]</v>
      </c>
      <c r="H74" s="62">
        <f t="shared" si="128"/>
        <v>9</v>
      </c>
      <c r="I74" s="62">
        <f t="shared" si="132"/>
        <v>22</v>
      </c>
      <c r="J74" s="62" t="e">
        <f t="shared" si="133"/>
        <v>#VALUE!</v>
      </c>
      <c r="K74" s="62">
        <f t="shared" si="134"/>
        <v>32</v>
      </c>
      <c r="L74" s="62" t="str">
        <f>IFERROR(VLOOKUP(MID(G74,J74,K74-J74),[5]skilldef!$C:$D,2,FALSE),"-") &amp; " / " &amp; IFERROR(VLOOKUP(MID(G74,H74,I74-H74),[5]skilldef!$A:$B,2,FALSE),"-")</f>
        <v>- / -</v>
      </c>
      <c r="M74" s="62" t="str">
        <f t="shared" si="135"/>
        <v>[effect:force_change_block, new_block:damage, target:block_all, ignore01:block_positive, ignore02:block_negative, color:block_red, count:4, val:0.07, animation:change_block]</v>
      </c>
      <c r="N74" s="47" t="str">
        <f>IFERROR(LEFT(M74,FIND("],",M74)+#REF!),M74)</f>
        <v>[effect:force_change_block, new_block:damage, target:block_all, ignore01:block_positive, ignore02:block_negative, color:block_red, count:4, val:0.07, animation:change_block]</v>
      </c>
      <c r="O74" s="62">
        <f t="shared" si="129"/>
        <v>9</v>
      </c>
      <c r="P74" s="62">
        <f t="shared" si="136"/>
        <v>27</v>
      </c>
      <c r="Q74" s="62">
        <f t="shared" si="137"/>
        <v>54</v>
      </c>
      <c r="R74" s="62">
        <f t="shared" si="138"/>
        <v>45</v>
      </c>
      <c r="S74" s="62" t="str">
        <f>IFERROR(VLOOKUP(MID(N74,Q74,R74-Q74),[5]skilldef!$C:$D,2,FALSE),"-") &amp; " / " &amp; IFERROR(VLOOKUP(MID(N74,O74,P74-O74),[5]skilldef!$A:$B,2,FALSE),"-")</f>
        <v>- / -</v>
      </c>
      <c r="T74" s="47" t="str">
        <f t="shared" si="139"/>
        <v>none</v>
      </c>
      <c r="U74" s="62" t="e">
        <f t="shared" si="130"/>
        <v>#VALUE!</v>
      </c>
      <c r="V74" s="62">
        <f t="shared" si="140"/>
        <v>4</v>
      </c>
      <c r="W74" s="62" t="e">
        <f t="shared" si="141"/>
        <v>#VALUE!</v>
      </c>
      <c r="X74" s="62" t="e">
        <f t="shared" si="142"/>
        <v>#VALUE!</v>
      </c>
      <c r="Y74" s="62" t="str">
        <f>IFERROR(VLOOKUP(MID(T74,W74,X74-W74),[5]skilldef!$C:$D,2,FALSE),"-") &amp; " / " &amp; IFERROR(VLOOKUP(MID(T74,U74,V74-U74),[5]skilldef!$A:$B,2,FALSE),"-")</f>
        <v>- / -</v>
      </c>
      <c r="Z74" s="49"/>
      <c r="AA74" s="51"/>
      <c r="AB74" s="49"/>
    </row>
    <row r="75" spans="1:28" ht="21" customHeight="1" x14ac:dyDescent="0.15">
      <c r="A75" s="46">
        <v>40041074</v>
      </c>
      <c r="B75" s="178" t="s">
        <v>512</v>
      </c>
      <c r="C75" s="311">
        <v>3</v>
      </c>
      <c r="D75" s="49" t="s">
        <v>128</v>
      </c>
      <c r="E75" s="50" t="s">
        <v>277</v>
      </c>
      <c r="F75" s="252" t="s">
        <v>424</v>
      </c>
      <c r="G75" s="62" t="str">
        <f t="shared" si="131"/>
        <v>[effect:enemy_message, val1:1.5, val2:2]</v>
      </c>
      <c r="H75" s="62">
        <f t="shared" si="128"/>
        <v>9</v>
      </c>
      <c r="I75" s="62">
        <f t="shared" si="132"/>
        <v>22</v>
      </c>
      <c r="J75" s="62" t="e">
        <f t="shared" si="133"/>
        <v>#VALUE!</v>
      </c>
      <c r="K75" s="62">
        <f t="shared" si="134"/>
        <v>32</v>
      </c>
      <c r="L75" s="62" t="str">
        <f>IFERROR(VLOOKUP(MID(G75,J75,K75-J75),[5]skilldef!$C:$D,2,FALSE),"-") &amp; " / " &amp; IFERROR(VLOOKUP(MID(G75,H75,I75-H75),[5]skilldef!$A:$B,2,FALSE),"-")</f>
        <v>- / -</v>
      </c>
      <c r="M75" s="62" t="str">
        <f t="shared" si="135"/>
        <v>[effect:break_attack_fix, target:unit_all, val:600, lowest_val:900, count:-1, color:red, block01:damage]</v>
      </c>
      <c r="N75" s="47" t="str">
        <f>IFERROR(LEFT(M75,FIND("],",M75)+S82),M75)</f>
        <v>[effect:break_attack_fix, target:unit_all, val:600, lowest_val:900, count:-1, color:red, block01:damage]</v>
      </c>
      <c r="O75" s="62">
        <f t="shared" si="129"/>
        <v>9</v>
      </c>
      <c r="P75" s="62">
        <f t="shared" si="136"/>
        <v>25</v>
      </c>
      <c r="Q75" s="62">
        <f t="shared" si="137"/>
        <v>34</v>
      </c>
      <c r="R75" s="62">
        <f t="shared" si="138"/>
        <v>42</v>
      </c>
      <c r="S75" s="62" t="str">
        <f>IFERROR(VLOOKUP(MID(N75,Q75,R75-Q75),[5]skilldef!$C:$D,2,FALSE),"-") &amp; " / " &amp; IFERROR(VLOOKUP(MID(N75,O75,P75-O75),[5]skilldef!$A:$B,2,FALSE),"-")</f>
        <v>味方全体に / -</v>
      </c>
      <c r="T75" s="47" t="str">
        <f t="shared" si="139"/>
        <v>none</v>
      </c>
      <c r="U75" s="62" t="e">
        <f t="shared" si="130"/>
        <v>#VALUE!</v>
      </c>
      <c r="V75" s="62">
        <f t="shared" si="140"/>
        <v>4</v>
      </c>
      <c r="W75" s="62" t="e">
        <f t="shared" si="141"/>
        <v>#VALUE!</v>
      </c>
      <c r="X75" s="62" t="e">
        <f t="shared" si="142"/>
        <v>#VALUE!</v>
      </c>
      <c r="Y75" s="62" t="str">
        <f>IFERROR(VLOOKUP(MID(T75,W75,X75-W75),[5]skilldef!$C:$D,2,FALSE),"-") &amp; " / " &amp; IFERROR(VLOOKUP(MID(T75,U75,V75-U75),[5]skilldef!$A:$B,2,FALSE),"-")</f>
        <v>- / -</v>
      </c>
      <c r="Z75" s="49"/>
      <c r="AA75" s="51"/>
      <c r="AB75" s="49"/>
    </row>
    <row r="76" spans="1:28" ht="21" customHeight="1" x14ac:dyDescent="0.15">
      <c r="A76" s="46">
        <v>40041075</v>
      </c>
      <c r="B76" s="178" t="s">
        <v>521</v>
      </c>
      <c r="C76" s="311">
        <v>3</v>
      </c>
      <c r="D76" s="49" t="s">
        <v>128</v>
      </c>
      <c r="E76" s="50" t="s">
        <v>276</v>
      </c>
      <c r="F76" s="316" t="s">
        <v>515</v>
      </c>
      <c r="G76" s="62" t="str">
        <f t="shared" si="131"/>
        <v>[effect:enemy_message, val1:1.5, val2:2]</v>
      </c>
      <c r="H76" s="62">
        <f t="shared" si="128"/>
        <v>9</v>
      </c>
      <c r="I76" s="62">
        <f t="shared" si="132"/>
        <v>22</v>
      </c>
      <c r="J76" s="62" t="e">
        <f t="shared" si="133"/>
        <v>#VALUE!</v>
      </c>
      <c r="K76" s="62">
        <f t="shared" si="134"/>
        <v>32</v>
      </c>
      <c r="L76" s="62" t="str">
        <f>IFERROR(VLOOKUP(MID(G76,J76,K76-J76),[5]skilldef!$C:$D,2,FALSE),"-") &amp; " / " &amp; IFERROR(VLOOKUP(MID(G76,H76,I76-H76),[5]skilldef!$A:$B,2,FALSE),"-")</f>
        <v>- / -</v>
      </c>
      <c r="M76" s="62" t="str">
        <f t="shared" si="135"/>
        <v>[effect:force_change_block, new_block:damage, target:block_all, ignore01:block_positive, ignore02:block_negative, color:block_red, count:7, val:0.06, animation:change_block]</v>
      </c>
      <c r="N76" s="47" t="str">
        <f>IFERROR(LEFT(M76,FIND("],",M76)+#REF!),M76)</f>
        <v>[effect:force_change_block, new_block:damage, target:block_all, ignore01:block_positive, ignore02:block_negative, color:block_red, count:7, val:0.06, animation:change_block]</v>
      </c>
      <c r="O76" s="62">
        <f t="shared" si="129"/>
        <v>9</v>
      </c>
      <c r="P76" s="62">
        <f t="shared" si="136"/>
        <v>27</v>
      </c>
      <c r="Q76" s="62">
        <f t="shared" si="137"/>
        <v>54</v>
      </c>
      <c r="R76" s="62">
        <f t="shared" si="138"/>
        <v>45</v>
      </c>
      <c r="S76" s="62" t="str">
        <f>IFERROR(VLOOKUP(MID(N76,Q76,R76-Q76),[5]skilldef!$C:$D,2,FALSE),"-") &amp; " / " &amp; IFERROR(VLOOKUP(MID(N76,O76,P76-O76),[5]skilldef!$A:$B,2,FALSE),"-")</f>
        <v>- / -</v>
      </c>
      <c r="T76" s="47" t="str">
        <f t="shared" si="139"/>
        <v>none</v>
      </c>
      <c r="U76" s="62" t="e">
        <f t="shared" si="130"/>
        <v>#VALUE!</v>
      </c>
      <c r="V76" s="62">
        <f t="shared" si="140"/>
        <v>4</v>
      </c>
      <c r="W76" s="62" t="e">
        <f t="shared" si="141"/>
        <v>#VALUE!</v>
      </c>
      <c r="X76" s="62" t="e">
        <f t="shared" si="142"/>
        <v>#VALUE!</v>
      </c>
      <c r="Y76" s="62" t="str">
        <f>IFERROR(VLOOKUP(MID(T76,W76,X76-W76),[5]skilldef!$C:$D,2,FALSE),"-") &amp; " / " &amp; IFERROR(VLOOKUP(MID(T76,U76,V76-U76),[5]skilldef!$A:$B,2,FALSE),"-")</f>
        <v>- / -</v>
      </c>
      <c r="Z76" s="49"/>
      <c r="AA76" s="51"/>
      <c r="AB76" s="49"/>
    </row>
    <row r="77" spans="1:28" ht="21" customHeight="1" x14ac:dyDescent="0.15">
      <c r="A77" s="46">
        <v>40041076</v>
      </c>
      <c r="B77" s="178" t="s">
        <v>484</v>
      </c>
      <c r="C77" s="311">
        <v>3</v>
      </c>
      <c r="D77" s="49" t="s">
        <v>128</v>
      </c>
      <c r="E77" s="50" t="s">
        <v>275</v>
      </c>
      <c r="F77" s="252" t="s">
        <v>425</v>
      </c>
      <c r="G77" s="62" t="str">
        <f t="shared" si="131"/>
        <v>[effect:enemy_message, val1:1.5, val2:2]</v>
      </c>
      <c r="H77" s="62">
        <f t="shared" si="128"/>
        <v>9</v>
      </c>
      <c r="I77" s="62">
        <f t="shared" si="132"/>
        <v>22</v>
      </c>
      <c r="J77" s="62" t="e">
        <f t="shared" si="133"/>
        <v>#VALUE!</v>
      </c>
      <c r="K77" s="62">
        <f t="shared" si="134"/>
        <v>32</v>
      </c>
      <c r="L77" s="62" t="str">
        <f>IFERROR(VLOOKUP(MID(G77,J77,K77-J77),[5]skilldef!$C:$D,2,FALSE),"-") &amp; " / " &amp; IFERROR(VLOOKUP(MID(G77,H77,I77-H77),[5]skilldef!$A:$B,2,FALSE),"-")</f>
        <v>- / -</v>
      </c>
      <c r="M77" s="62" t="str">
        <f t="shared" si="135"/>
        <v>[effect:break_attack_fix, target:unit_all, val:600, lowest_val:900, count:-1, color:red, block01:damage]</v>
      </c>
      <c r="N77" s="47" t="str">
        <f>IFERROR(LEFT(M77,FIND("],",M77)+S32),M77)</f>
        <v>[effect:break_attack_fix, target:unit_all, val:600, lowest_val:900, count:-1, color:red, block01:damage]</v>
      </c>
      <c r="O77" s="62">
        <f t="shared" si="129"/>
        <v>9</v>
      </c>
      <c r="P77" s="62">
        <f t="shared" si="136"/>
        <v>25</v>
      </c>
      <c r="Q77" s="62">
        <f t="shared" si="137"/>
        <v>34</v>
      </c>
      <c r="R77" s="62">
        <f t="shared" si="138"/>
        <v>42</v>
      </c>
      <c r="S77" s="62" t="str">
        <f>IFERROR(VLOOKUP(MID(N77,Q77,R77-Q77),[5]skilldef!$C:$D,2,FALSE),"-") &amp; " / " &amp; IFERROR(VLOOKUP(MID(N77,O77,P77-O77),[5]skilldef!$A:$B,2,FALSE),"-")</f>
        <v>味方全体に / -</v>
      </c>
      <c r="T77" s="47" t="str">
        <f t="shared" si="139"/>
        <v>none</v>
      </c>
      <c r="U77" s="62" t="e">
        <f t="shared" si="130"/>
        <v>#VALUE!</v>
      </c>
      <c r="V77" s="62">
        <f t="shared" si="140"/>
        <v>4</v>
      </c>
      <c r="W77" s="62" t="e">
        <f t="shared" si="141"/>
        <v>#VALUE!</v>
      </c>
      <c r="X77" s="62" t="e">
        <f t="shared" si="142"/>
        <v>#VALUE!</v>
      </c>
      <c r="Y77" s="62" t="str">
        <f>IFERROR(VLOOKUP(MID(T77,W77,X77-W77),[5]skilldef!$C:$D,2,FALSE),"-") &amp; " / " &amp; IFERROR(VLOOKUP(MID(T77,U77,V77-U77),[5]skilldef!$A:$B,2,FALSE),"-")</f>
        <v>- / -</v>
      </c>
      <c r="Z77" s="49"/>
      <c r="AA77" s="51"/>
      <c r="AB77" s="49"/>
    </row>
    <row r="78" spans="1:28" ht="21" customHeight="1" x14ac:dyDescent="0.15">
      <c r="A78" s="46">
        <v>40041077</v>
      </c>
      <c r="B78" s="178" t="s">
        <v>485</v>
      </c>
      <c r="C78" s="311">
        <v>3</v>
      </c>
      <c r="D78" s="49" t="s">
        <v>128</v>
      </c>
      <c r="E78" s="50" t="s">
        <v>342</v>
      </c>
      <c r="F78" s="50" t="s">
        <v>476</v>
      </c>
      <c r="G78" s="62" t="str">
        <f t="shared" si="131"/>
        <v>[effect:spread, val:0.20]</v>
      </c>
      <c r="H78" s="62">
        <f t="shared" si="128"/>
        <v>9</v>
      </c>
      <c r="I78" s="62">
        <f t="shared" si="132"/>
        <v>15</v>
      </c>
      <c r="J78" s="62" t="e">
        <f t="shared" si="133"/>
        <v>#VALUE!</v>
      </c>
      <c r="K78" s="62" t="e">
        <f t="shared" si="134"/>
        <v>#VALUE!</v>
      </c>
      <c r="L78" s="62" t="str">
        <f>IFERROR(VLOOKUP(MID(G78,J78,K78-J78),[5]skilldef!$C:$D,2,FALSE),"-") &amp; " / " &amp; IFERROR(VLOOKUP(MID(G78,H78,I78-H78),[5]skilldef!$A:$B,2,FALSE),"-")</f>
        <v>- / 全体攻撃</v>
      </c>
      <c r="M78" s="62" t="str">
        <f t="shared" si="135"/>
        <v>[effect:spread, val:0.22]</v>
      </c>
      <c r="N78" s="47" t="str">
        <f>IFERROR(LEFT(M78,FIND("],",M78)+#REF!),M78)</f>
        <v>[effect:spread, val:0.22]</v>
      </c>
      <c r="O78" s="62">
        <f t="shared" si="129"/>
        <v>9</v>
      </c>
      <c r="P78" s="62">
        <f t="shared" si="136"/>
        <v>15</v>
      </c>
      <c r="Q78" s="62" t="e">
        <f t="shared" si="137"/>
        <v>#VALUE!</v>
      </c>
      <c r="R78" s="62" t="e">
        <f t="shared" si="138"/>
        <v>#VALUE!</v>
      </c>
      <c r="S78" s="62" t="str">
        <f>IFERROR(VLOOKUP(MID(N78,Q78,R78-Q78),[5]skilldef!$C:$D,2,FALSE),"-") &amp; " / " &amp; IFERROR(VLOOKUP(MID(N78,O78,P78-O78),[5]skilldef!$A:$B,2,FALSE),"-")</f>
        <v>- / 全体攻撃</v>
      </c>
      <c r="T78" s="47" t="str">
        <f t="shared" si="139"/>
        <v>none</v>
      </c>
      <c r="U78" s="62" t="e">
        <f t="shared" si="130"/>
        <v>#VALUE!</v>
      </c>
      <c r="V78" s="62">
        <f t="shared" si="140"/>
        <v>4</v>
      </c>
      <c r="W78" s="62" t="e">
        <f t="shared" si="141"/>
        <v>#VALUE!</v>
      </c>
      <c r="X78" s="62" t="e">
        <f t="shared" si="142"/>
        <v>#VALUE!</v>
      </c>
      <c r="Y78" s="62" t="str">
        <f>IFERROR(VLOOKUP(MID(T78,W78,X78-W78),[5]skilldef!$C:$D,2,FALSE),"-") &amp; " / " &amp; IFERROR(VLOOKUP(MID(T78,U78,V78-U78),[5]skilldef!$A:$B,2,FALSE),"-")</f>
        <v>- / -</v>
      </c>
      <c r="Z78" s="49"/>
      <c r="AA78" s="51"/>
      <c r="AB78" s="49"/>
    </row>
    <row r="79" spans="1:28" ht="28" x14ac:dyDescent="0.15">
      <c r="A79" s="46">
        <v>40041078</v>
      </c>
      <c r="B79" s="178" t="s">
        <v>278</v>
      </c>
      <c r="C79" s="311">
        <v>3</v>
      </c>
      <c r="D79" s="49" t="s">
        <v>128</v>
      </c>
      <c r="E79" s="50" t="s">
        <v>332</v>
      </c>
      <c r="F79" s="50" t="s">
        <v>496</v>
      </c>
      <c r="G79" s="62" t="str">
        <f t="shared" si="131"/>
        <v>[effect:enemy_message, val1:2.3, val2:2.5]</v>
      </c>
      <c r="H79" s="62">
        <f t="shared" si="128"/>
        <v>9</v>
      </c>
      <c r="I79" s="62">
        <f t="shared" si="132"/>
        <v>22</v>
      </c>
      <c r="J79" s="62" t="e">
        <f t="shared" si="133"/>
        <v>#VALUE!</v>
      </c>
      <c r="K79" s="62">
        <f t="shared" si="134"/>
        <v>32</v>
      </c>
      <c r="L79" s="62" t="str">
        <f>IFERROR(VLOOKUP(MID(G79,J79,K79-J79),[5]skilldef!$C:$D,2,FALSE),"-") &amp; " / " &amp; IFERROR(VLOOKUP(MID(G79,H79,I79-H79),[5]skilldef!$A:$B,2,FALSE),"-")</f>
        <v>- / -</v>
      </c>
      <c r="M79" s="62" t="str">
        <f t="shared" si="135"/>
        <v>none</v>
      </c>
      <c r="N79" s="47" t="str">
        <f>IFERROR(LEFT(M79,FIND("],",M79)+S83),M79)</f>
        <v>none</v>
      </c>
      <c r="O79" s="62" t="e">
        <f t="shared" si="129"/>
        <v>#VALUE!</v>
      </c>
      <c r="P79" s="62">
        <f t="shared" si="136"/>
        <v>4</v>
      </c>
      <c r="Q79" s="62" t="e">
        <f t="shared" si="137"/>
        <v>#VALUE!</v>
      </c>
      <c r="R79" s="62" t="e">
        <f t="shared" si="138"/>
        <v>#VALUE!</v>
      </c>
      <c r="S79" s="62" t="str">
        <f>IFERROR(VLOOKUP(MID(N79,Q79,R79-Q79),[5]skilldef!$C:$D,2,FALSE),"-") &amp; " / " &amp; IFERROR(VLOOKUP(MID(N79,O79,P79-O79),[5]skilldef!$A:$B,2,FALSE),"-")</f>
        <v>- / -</v>
      </c>
      <c r="T79" s="47" t="str">
        <f t="shared" si="139"/>
        <v>none</v>
      </c>
      <c r="U79" s="62" t="e">
        <f t="shared" si="130"/>
        <v>#VALUE!</v>
      </c>
      <c r="V79" s="62">
        <f t="shared" si="140"/>
        <v>4</v>
      </c>
      <c r="W79" s="62" t="e">
        <f t="shared" si="141"/>
        <v>#VALUE!</v>
      </c>
      <c r="X79" s="62" t="e">
        <f t="shared" si="142"/>
        <v>#VALUE!</v>
      </c>
      <c r="Y79" s="62" t="str">
        <f>IFERROR(VLOOKUP(MID(T79,W79,X79-W79),[5]skilldef!$C:$D,2,FALSE),"-") &amp; " / " &amp; IFERROR(VLOOKUP(MID(T79,U79,V79-U79),[5]skilldef!$A:$B,2,FALSE),"-")</f>
        <v>- / -</v>
      </c>
      <c r="Z79" s="49"/>
      <c r="AA79" s="51"/>
      <c r="AB79" s="49"/>
    </row>
    <row r="80" spans="1:28" ht="28" x14ac:dyDescent="0.15">
      <c r="A80" s="46">
        <v>40041079</v>
      </c>
      <c r="B80" s="178" t="s">
        <v>278</v>
      </c>
      <c r="C80" s="311">
        <v>3</v>
      </c>
      <c r="D80" s="49" t="s">
        <v>128</v>
      </c>
      <c r="E80" s="252" t="s">
        <v>388</v>
      </c>
      <c r="F80" s="50" t="s">
        <v>494</v>
      </c>
      <c r="G80" s="62" t="str">
        <f t="shared" si="131"/>
        <v>[effect:enemy_message, val1:2.3, val2:2.5]</v>
      </c>
      <c r="H80" s="62">
        <f t="shared" si="128"/>
        <v>9</v>
      </c>
      <c r="I80" s="62">
        <f t="shared" si="132"/>
        <v>22</v>
      </c>
      <c r="J80" s="62" t="e">
        <f t="shared" si="133"/>
        <v>#VALUE!</v>
      </c>
      <c r="K80" s="62">
        <f t="shared" si="134"/>
        <v>32</v>
      </c>
      <c r="L80" s="62" t="str">
        <f>IFERROR(VLOOKUP(MID(G80,J80,K80-J80),[5]skilldef!$C:$D,2,FALSE),"-") &amp; " / " &amp; IFERROR(VLOOKUP(MID(G80,H80,I80-H80),[5]skilldef!$A:$B,2,FALSE),"-")</f>
        <v>- / -</v>
      </c>
      <c r="M80" s="62" t="str">
        <f t="shared" si="135"/>
        <v>none</v>
      </c>
      <c r="N80" s="47" t="str">
        <f>IFERROR(LEFT(M80,FIND("],",M80)+S84),M80)</f>
        <v>none</v>
      </c>
      <c r="O80" s="62" t="e">
        <f t="shared" si="129"/>
        <v>#VALUE!</v>
      </c>
      <c r="P80" s="62">
        <f t="shared" si="136"/>
        <v>4</v>
      </c>
      <c r="Q80" s="62" t="e">
        <f t="shared" si="137"/>
        <v>#VALUE!</v>
      </c>
      <c r="R80" s="62" t="e">
        <f t="shared" si="138"/>
        <v>#VALUE!</v>
      </c>
      <c r="S80" s="62" t="str">
        <f>IFERROR(VLOOKUP(MID(N80,Q80,R80-Q80),[5]skilldef!$C:$D,2,FALSE),"-") &amp; " / " &amp; IFERROR(VLOOKUP(MID(N80,O80,P80-O80),[5]skilldef!$A:$B,2,FALSE),"-")</f>
        <v>- / -</v>
      </c>
      <c r="T80" s="47" t="str">
        <f t="shared" si="139"/>
        <v>none</v>
      </c>
      <c r="U80" s="62" t="e">
        <f t="shared" si="130"/>
        <v>#VALUE!</v>
      </c>
      <c r="V80" s="62">
        <f t="shared" si="140"/>
        <v>4</v>
      </c>
      <c r="W80" s="62" t="e">
        <f t="shared" si="141"/>
        <v>#VALUE!</v>
      </c>
      <c r="X80" s="62" t="e">
        <f t="shared" si="142"/>
        <v>#VALUE!</v>
      </c>
      <c r="Y80" s="62" t="str">
        <f>IFERROR(VLOOKUP(MID(T80,W80,X80-W80),[5]skilldef!$C:$D,2,FALSE),"-") &amp; " / " &amp; IFERROR(VLOOKUP(MID(T80,U80,V80-U80),[5]skilldef!$A:$B,2,FALSE),"-")</f>
        <v>- / -</v>
      </c>
      <c r="Z80" s="49"/>
      <c r="AA80" s="51"/>
      <c r="AB80" s="49"/>
    </row>
    <row r="81" spans="1:28" ht="21" customHeight="1" x14ac:dyDescent="0.15">
      <c r="A81" s="46">
        <v>40041080</v>
      </c>
      <c r="B81" s="178" t="s">
        <v>462</v>
      </c>
      <c r="C81" s="311">
        <v>3</v>
      </c>
      <c r="D81" s="49" t="s">
        <v>128</v>
      </c>
      <c r="E81" s="50" t="s">
        <v>387</v>
      </c>
      <c r="F81" s="50" t="s">
        <v>426</v>
      </c>
      <c r="G81" s="62" t="str">
        <f t="shared" si="131"/>
        <v>[effect:spread, val:0.5]</v>
      </c>
      <c r="H81" s="62">
        <f t="shared" si="128"/>
        <v>9</v>
      </c>
      <c r="I81" s="62">
        <f t="shared" si="132"/>
        <v>15</v>
      </c>
      <c r="J81" s="62" t="e">
        <f t="shared" si="133"/>
        <v>#VALUE!</v>
      </c>
      <c r="K81" s="62" t="e">
        <f t="shared" si="134"/>
        <v>#VALUE!</v>
      </c>
      <c r="L81" s="62" t="str">
        <f>IFERROR(VLOOKUP(MID(G81,J81,K81-J81),[5]skilldef!$C:$D,2,FALSE),"-") &amp; " / " &amp; IFERROR(VLOOKUP(MID(G81,H81,I81-H81),[5]skilldef!$A:$B,2,FALSE),"-")</f>
        <v>- / 全体攻撃</v>
      </c>
      <c r="M81" s="62" t="str">
        <f t="shared" si="135"/>
        <v>[effect:spread, val:0.6],[effect:spread, val:0.7],[effect:spread, val:0.9]</v>
      </c>
      <c r="N81" s="47" t="str">
        <f>IFERROR(LEFT(M81,FIND("],",M81)+S85),M81)</f>
        <v>[effect:spread, val:0.6]</v>
      </c>
      <c r="O81" s="62">
        <f t="shared" si="129"/>
        <v>9</v>
      </c>
      <c r="P81" s="62">
        <f t="shared" si="136"/>
        <v>15</v>
      </c>
      <c r="Q81" s="62" t="e">
        <f t="shared" si="137"/>
        <v>#VALUE!</v>
      </c>
      <c r="R81" s="62" t="e">
        <f t="shared" si="138"/>
        <v>#VALUE!</v>
      </c>
      <c r="S81" s="62" t="str">
        <f>IFERROR(VLOOKUP(MID(N81,Q81,R81-Q81),[5]skilldef!$C:$D,2,FALSE),"-") &amp; " / " &amp; IFERROR(VLOOKUP(MID(N81,O81,P81-O81),[5]skilldef!$A:$B,2,FALSE),"-")</f>
        <v>- / 全体攻撃</v>
      </c>
      <c r="T81" s="47" t="str">
        <f t="shared" si="139"/>
        <v>[effect:spread, val:0.7],[effect:spread, val:0.9]</v>
      </c>
      <c r="U81" s="62">
        <f t="shared" si="130"/>
        <v>9</v>
      </c>
      <c r="V81" s="62">
        <f t="shared" si="140"/>
        <v>15</v>
      </c>
      <c r="W81" s="62" t="e">
        <f t="shared" si="141"/>
        <v>#VALUE!</v>
      </c>
      <c r="X81" s="62">
        <f t="shared" si="142"/>
        <v>25</v>
      </c>
      <c r="Y81" s="62" t="str">
        <f>IFERROR(VLOOKUP(MID(T81,W81,X81-W81),[5]skilldef!$C:$D,2,FALSE),"-") &amp; " / " &amp; IFERROR(VLOOKUP(MID(T81,U81,V81-U81),[5]skilldef!$A:$B,2,FALSE),"-")</f>
        <v>- / 全体攻撃</v>
      </c>
      <c r="Z81" s="49"/>
      <c r="AA81" s="51"/>
      <c r="AB81" s="49"/>
    </row>
    <row r="82" spans="1:28" ht="28" x14ac:dyDescent="0.15">
      <c r="A82" s="46">
        <v>40041081</v>
      </c>
      <c r="B82" s="178" t="s">
        <v>390</v>
      </c>
      <c r="C82" s="311">
        <v>3</v>
      </c>
      <c r="D82" s="49" t="s">
        <v>128</v>
      </c>
      <c r="E82" s="50" t="s">
        <v>360</v>
      </c>
      <c r="F82" s="50" t="s">
        <v>495</v>
      </c>
      <c r="G82" s="62" t="str">
        <f t="shared" si="131"/>
        <v>[effect:enemy_message, val1:2.6, val2:2.7]</v>
      </c>
      <c r="H82" s="62">
        <f t="shared" si="128"/>
        <v>9</v>
      </c>
      <c r="I82" s="62">
        <f t="shared" si="132"/>
        <v>22</v>
      </c>
      <c r="J82" s="62" t="e">
        <f t="shared" si="133"/>
        <v>#VALUE!</v>
      </c>
      <c r="K82" s="62">
        <f t="shared" si="134"/>
        <v>32</v>
      </c>
      <c r="L82" s="62" t="str">
        <f>IFERROR(VLOOKUP(MID(G82,J82,K82-J82),[5]skilldef!$C:$D,2,FALSE),"-") &amp; " / " &amp; IFERROR(VLOOKUP(MID(G82,H82,I82-H82),[5]skilldef!$A:$B,2,FALSE),"-")</f>
        <v>- / -</v>
      </c>
      <c r="M82" s="62" t="str">
        <f t="shared" si="135"/>
        <v>none</v>
      </c>
      <c r="N82" s="47" t="str">
        <f t="shared" ref="N82" si="143">IFERROR(LEFT(M82,FIND("],",M82)+S89),M82)</f>
        <v>none</v>
      </c>
      <c r="O82" s="62" t="e">
        <f t="shared" si="129"/>
        <v>#VALUE!</v>
      </c>
      <c r="P82" s="62">
        <f t="shared" si="136"/>
        <v>4</v>
      </c>
      <c r="Q82" s="62" t="e">
        <f t="shared" si="137"/>
        <v>#VALUE!</v>
      </c>
      <c r="R82" s="62" t="e">
        <f t="shared" si="138"/>
        <v>#VALUE!</v>
      </c>
      <c r="S82" s="62" t="str">
        <f>IFERROR(VLOOKUP(MID(N82,Q82,R82-Q82),[5]skilldef!$C:$D,2,FALSE),"-") &amp; " / " &amp; IFERROR(VLOOKUP(MID(N82,O82,P82-O82),[5]skilldef!$A:$B,2,FALSE),"-")</f>
        <v>- / -</v>
      </c>
      <c r="T82" s="47" t="str">
        <f t="shared" si="139"/>
        <v>none</v>
      </c>
      <c r="U82" s="62" t="e">
        <f t="shared" si="130"/>
        <v>#VALUE!</v>
      </c>
      <c r="V82" s="62">
        <f t="shared" si="140"/>
        <v>4</v>
      </c>
      <c r="W82" s="62" t="e">
        <f t="shared" si="141"/>
        <v>#VALUE!</v>
      </c>
      <c r="X82" s="62" t="e">
        <f t="shared" si="142"/>
        <v>#VALUE!</v>
      </c>
      <c r="Y82" s="62" t="str">
        <f>IFERROR(VLOOKUP(MID(T82,W82,X82-W82),[5]skilldef!$C:$D,2,FALSE),"-") &amp; " / " &amp; IFERROR(VLOOKUP(MID(T82,U82,V82-U82),[5]skilldef!$A:$B,2,FALSE),"-")</f>
        <v>- / -</v>
      </c>
      <c r="Z82" s="49"/>
      <c r="AA82" s="51"/>
      <c r="AB82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2"/>
  <sheetViews>
    <sheetView showGridLines="0" workbookViewId="0">
      <pane ySplit="1" topLeftCell="A56" activePane="bottomLeft" state="frozenSplit"/>
      <selection pane="bottomLeft" activeCell="L33" sqref="L3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3" width="12.83203125" style="44" customWidth="1"/>
    <col min="14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40041001</v>
      </c>
      <c r="B2" s="46">
        <v>1</v>
      </c>
      <c r="C2" s="46">
        <v>500</v>
      </c>
      <c r="D2" s="46">
        <v>100</v>
      </c>
      <c r="E2" s="46" t="s">
        <v>90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46">
        <v>40041002</v>
      </c>
      <c r="B3" s="46">
        <v>0</v>
      </c>
      <c r="C3" s="46" t="s">
        <v>89</v>
      </c>
      <c r="D3" s="46">
        <v>50</v>
      </c>
      <c r="E3" s="46" t="s">
        <v>90</v>
      </c>
      <c r="F3" s="46" t="s">
        <v>90</v>
      </c>
      <c r="G3" s="46" t="s">
        <v>90</v>
      </c>
      <c r="H3" s="46" t="s">
        <v>90</v>
      </c>
      <c r="I3" s="46" t="s">
        <v>90</v>
      </c>
      <c r="J3" s="47">
        <f t="shared" ref="J3:J41" si="1">D3</f>
        <v>50</v>
      </c>
    </row>
    <row r="4" spans="1:11" ht="21" customHeight="1" x14ac:dyDescent="0.15">
      <c r="A4" s="46">
        <v>40041003</v>
      </c>
      <c r="B4" s="218">
        <v>1</v>
      </c>
      <c r="C4" s="218">
        <v>600</v>
      </c>
      <c r="D4" s="218">
        <v>100</v>
      </c>
      <c r="E4" s="218" t="s">
        <v>90</v>
      </c>
      <c r="F4" s="218" t="s">
        <v>90</v>
      </c>
      <c r="G4" s="218">
        <v>1</v>
      </c>
      <c r="H4" s="218" t="s">
        <v>90</v>
      </c>
      <c r="I4" s="218">
        <v>516</v>
      </c>
      <c r="J4" s="47">
        <f t="shared" ref="J4:J5" si="2">D4</f>
        <v>100</v>
      </c>
    </row>
    <row r="5" spans="1:11" ht="21" customHeight="1" x14ac:dyDescent="0.15">
      <c r="A5" s="46">
        <v>40041004</v>
      </c>
      <c r="B5" s="218">
        <v>1</v>
      </c>
      <c r="C5" s="218">
        <v>700</v>
      </c>
      <c r="D5" s="218">
        <v>100</v>
      </c>
      <c r="E5" s="218" t="s">
        <v>90</v>
      </c>
      <c r="F5" s="218" t="s">
        <v>90</v>
      </c>
      <c r="G5" s="218">
        <v>1</v>
      </c>
      <c r="H5" s="218" t="s">
        <v>90</v>
      </c>
      <c r="I5" s="218">
        <v>517</v>
      </c>
      <c r="J5" s="47">
        <f t="shared" si="2"/>
        <v>100</v>
      </c>
    </row>
    <row r="6" spans="1:11" ht="21" customHeight="1" thickBot="1" x14ac:dyDescent="0.2">
      <c r="A6" s="46">
        <v>40041005</v>
      </c>
      <c r="B6" s="226">
        <v>1</v>
      </c>
      <c r="C6" s="226">
        <v>800</v>
      </c>
      <c r="D6" s="226">
        <v>100</v>
      </c>
      <c r="E6" s="226" t="s">
        <v>90</v>
      </c>
      <c r="F6" s="226" t="s">
        <v>90</v>
      </c>
      <c r="G6" s="226">
        <v>1</v>
      </c>
      <c r="H6" s="226" t="s">
        <v>90</v>
      </c>
      <c r="I6" s="226">
        <v>1274</v>
      </c>
      <c r="J6" s="47">
        <f t="shared" si="1"/>
        <v>100</v>
      </c>
    </row>
    <row r="7" spans="1:11" ht="21" customHeight="1" thickTop="1" x14ac:dyDescent="0.15">
      <c r="A7" s="46">
        <v>40041006</v>
      </c>
      <c r="B7" s="257">
        <v>1</v>
      </c>
      <c r="C7" s="257">
        <v>500</v>
      </c>
      <c r="D7" s="257">
        <v>100</v>
      </c>
      <c r="E7" s="257" t="s">
        <v>90</v>
      </c>
      <c r="F7" s="257" t="s">
        <v>90</v>
      </c>
      <c r="G7" s="257">
        <v>1</v>
      </c>
      <c r="H7" s="257" t="s">
        <v>90</v>
      </c>
      <c r="I7" s="257" t="s">
        <v>90</v>
      </c>
      <c r="J7" s="216">
        <f t="shared" si="1"/>
        <v>100</v>
      </c>
    </row>
    <row r="8" spans="1:11" ht="21" customHeight="1" x14ac:dyDescent="0.15">
      <c r="A8" s="46">
        <v>40041007</v>
      </c>
      <c r="B8" s="46">
        <v>0</v>
      </c>
      <c r="C8" s="46" t="s">
        <v>89</v>
      </c>
      <c r="D8" s="46">
        <v>50</v>
      </c>
      <c r="E8" s="46" t="s">
        <v>90</v>
      </c>
      <c r="F8" s="46" t="s">
        <v>90</v>
      </c>
      <c r="G8" s="46" t="s">
        <v>90</v>
      </c>
      <c r="H8" s="46" t="s">
        <v>90</v>
      </c>
      <c r="I8" s="46" t="s">
        <v>90</v>
      </c>
      <c r="J8" s="47">
        <f t="shared" si="1"/>
        <v>50</v>
      </c>
    </row>
    <row r="9" spans="1:11" ht="21" customHeight="1" x14ac:dyDescent="0.15">
      <c r="A9" s="46">
        <v>40041008</v>
      </c>
      <c r="B9" s="218">
        <v>1</v>
      </c>
      <c r="C9" s="218">
        <v>600</v>
      </c>
      <c r="D9" s="218">
        <v>100</v>
      </c>
      <c r="E9" s="218" t="s">
        <v>90</v>
      </c>
      <c r="F9" s="218" t="s">
        <v>90</v>
      </c>
      <c r="G9" s="218">
        <v>1</v>
      </c>
      <c r="H9" s="218" t="s">
        <v>90</v>
      </c>
      <c r="I9" s="218">
        <v>516</v>
      </c>
      <c r="J9" s="47">
        <f t="shared" ref="J9:J10" si="3">D9</f>
        <v>100</v>
      </c>
    </row>
    <row r="10" spans="1:11" ht="21" customHeight="1" x14ac:dyDescent="0.15">
      <c r="A10" s="46">
        <v>40041009</v>
      </c>
      <c r="B10" s="218">
        <v>1</v>
      </c>
      <c r="C10" s="218">
        <v>700</v>
      </c>
      <c r="D10" s="218">
        <v>100</v>
      </c>
      <c r="E10" s="218" t="s">
        <v>90</v>
      </c>
      <c r="F10" s="218" t="s">
        <v>90</v>
      </c>
      <c r="G10" s="218">
        <v>1</v>
      </c>
      <c r="H10" s="218" t="s">
        <v>90</v>
      </c>
      <c r="I10" s="218">
        <v>517</v>
      </c>
      <c r="J10" s="47">
        <f t="shared" si="3"/>
        <v>100</v>
      </c>
    </row>
    <row r="11" spans="1:11" ht="21" customHeight="1" thickBot="1" x14ac:dyDescent="0.2">
      <c r="A11" s="46">
        <v>40041010</v>
      </c>
      <c r="B11" s="226">
        <v>1</v>
      </c>
      <c r="C11" s="226">
        <v>800</v>
      </c>
      <c r="D11" s="226">
        <v>100</v>
      </c>
      <c r="E11" s="226" t="s">
        <v>90</v>
      </c>
      <c r="F11" s="226" t="s">
        <v>90</v>
      </c>
      <c r="G11" s="226">
        <v>1</v>
      </c>
      <c r="H11" s="226" t="s">
        <v>90</v>
      </c>
      <c r="I11" s="226">
        <v>1274</v>
      </c>
      <c r="J11" s="47">
        <f t="shared" si="1"/>
        <v>100</v>
      </c>
    </row>
    <row r="12" spans="1:11" ht="21" customHeight="1" thickTop="1" x14ac:dyDescent="0.15">
      <c r="A12" s="46">
        <v>40041011</v>
      </c>
      <c r="B12" s="257">
        <v>1</v>
      </c>
      <c r="C12" s="257">
        <v>500</v>
      </c>
      <c r="D12" s="257">
        <v>100</v>
      </c>
      <c r="E12" s="257" t="s">
        <v>90</v>
      </c>
      <c r="F12" s="257" t="s">
        <v>90</v>
      </c>
      <c r="G12" s="257">
        <v>1</v>
      </c>
      <c r="H12" s="257" t="s">
        <v>90</v>
      </c>
      <c r="I12" s="257" t="s">
        <v>90</v>
      </c>
      <c r="J12" s="216">
        <f t="shared" si="1"/>
        <v>100</v>
      </c>
    </row>
    <row r="13" spans="1:11" ht="21" customHeight="1" x14ac:dyDescent="0.15">
      <c r="A13" s="46">
        <v>40041012</v>
      </c>
      <c r="B13" s="46">
        <v>0</v>
      </c>
      <c r="C13" s="46" t="s">
        <v>89</v>
      </c>
      <c r="D13" s="46">
        <v>35</v>
      </c>
      <c r="E13" s="46" t="s">
        <v>90</v>
      </c>
      <c r="F13" s="46" t="s">
        <v>90</v>
      </c>
      <c r="G13" s="46" t="s">
        <v>90</v>
      </c>
      <c r="H13" s="46" t="s">
        <v>90</v>
      </c>
      <c r="I13" s="46" t="s">
        <v>90</v>
      </c>
      <c r="J13" s="47">
        <f t="shared" si="1"/>
        <v>35</v>
      </c>
    </row>
    <row r="14" spans="1:11" ht="21" customHeight="1" x14ac:dyDescent="0.15">
      <c r="A14" s="46">
        <v>40041013</v>
      </c>
      <c r="B14" s="218">
        <v>1</v>
      </c>
      <c r="C14" s="218">
        <v>600</v>
      </c>
      <c r="D14" s="218">
        <v>100</v>
      </c>
      <c r="E14" s="218" t="s">
        <v>90</v>
      </c>
      <c r="F14" s="218" t="s">
        <v>90</v>
      </c>
      <c r="G14" s="218">
        <v>1</v>
      </c>
      <c r="H14" s="218" t="s">
        <v>90</v>
      </c>
      <c r="I14" s="218">
        <v>516</v>
      </c>
      <c r="J14" s="47">
        <f t="shared" ref="J14:J15" si="4">D14</f>
        <v>100</v>
      </c>
    </row>
    <row r="15" spans="1:11" ht="21" customHeight="1" x14ac:dyDescent="0.15">
      <c r="A15" s="46">
        <v>40041014</v>
      </c>
      <c r="B15" s="218">
        <v>1</v>
      </c>
      <c r="C15" s="218">
        <v>700</v>
      </c>
      <c r="D15" s="218">
        <v>100</v>
      </c>
      <c r="E15" s="218" t="s">
        <v>90</v>
      </c>
      <c r="F15" s="218" t="s">
        <v>90</v>
      </c>
      <c r="G15" s="218">
        <v>1</v>
      </c>
      <c r="H15" s="218" t="s">
        <v>90</v>
      </c>
      <c r="I15" s="218">
        <v>517</v>
      </c>
      <c r="J15" s="47">
        <f t="shared" si="4"/>
        <v>100</v>
      </c>
    </row>
    <row r="16" spans="1:11" ht="21" customHeight="1" thickBot="1" x14ac:dyDescent="0.2">
      <c r="A16" s="46">
        <v>40041015</v>
      </c>
      <c r="B16" s="226">
        <v>1</v>
      </c>
      <c r="C16" s="226">
        <v>800</v>
      </c>
      <c r="D16" s="226">
        <v>100</v>
      </c>
      <c r="E16" s="226" t="s">
        <v>90</v>
      </c>
      <c r="F16" s="226" t="s">
        <v>90</v>
      </c>
      <c r="G16" s="226">
        <v>1</v>
      </c>
      <c r="H16" s="226" t="s">
        <v>90</v>
      </c>
      <c r="I16" s="226">
        <v>1274</v>
      </c>
      <c r="J16" s="47">
        <f t="shared" si="1"/>
        <v>100</v>
      </c>
    </row>
    <row r="17" spans="1:10" ht="21" customHeight="1" thickTop="1" x14ac:dyDescent="0.15">
      <c r="A17" s="46">
        <v>40041016</v>
      </c>
      <c r="B17" s="257">
        <v>1</v>
      </c>
      <c r="C17" s="257">
        <v>500</v>
      </c>
      <c r="D17" s="257">
        <v>100</v>
      </c>
      <c r="E17" s="257" t="s">
        <v>90</v>
      </c>
      <c r="F17" s="257" t="s">
        <v>90</v>
      </c>
      <c r="G17" s="257">
        <v>1</v>
      </c>
      <c r="H17" s="257" t="s">
        <v>90</v>
      </c>
      <c r="I17" s="257" t="s">
        <v>90</v>
      </c>
      <c r="J17" s="216">
        <f t="shared" si="1"/>
        <v>100</v>
      </c>
    </row>
    <row r="18" spans="1:10" ht="21" customHeight="1" x14ac:dyDescent="0.15">
      <c r="A18" s="46">
        <v>40041017</v>
      </c>
      <c r="B18" s="46">
        <v>0</v>
      </c>
      <c r="C18" s="46" t="s">
        <v>89</v>
      </c>
      <c r="D18" s="46">
        <v>50</v>
      </c>
      <c r="E18" s="46" t="s">
        <v>90</v>
      </c>
      <c r="F18" s="46" t="s">
        <v>90</v>
      </c>
      <c r="G18" s="46" t="s">
        <v>90</v>
      </c>
      <c r="H18" s="46" t="s">
        <v>90</v>
      </c>
      <c r="I18" s="46" t="s">
        <v>90</v>
      </c>
      <c r="J18" s="47">
        <f t="shared" si="1"/>
        <v>50</v>
      </c>
    </row>
    <row r="19" spans="1:10" ht="21" customHeight="1" x14ac:dyDescent="0.15">
      <c r="A19" s="46">
        <v>40041018</v>
      </c>
      <c r="B19" s="218">
        <v>1</v>
      </c>
      <c r="C19" s="218">
        <v>600</v>
      </c>
      <c r="D19" s="218">
        <v>100</v>
      </c>
      <c r="E19" s="218" t="s">
        <v>90</v>
      </c>
      <c r="F19" s="218" t="s">
        <v>90</v>
      </c>
      <c r="G19" s="218">
        <v>1</v>
      </c>
      <c r="H19" s="218" t="s">
        <v>90</v>
      </c>
      <c r="I19" s="218">
        <v>516</v>
      </c>
      <c r="J19" s="47">
        <f t="shared" ref="J19:J20" si="5">D19</f>
        <v>100</v>
      </c>
    </row>
    <row r="20" spans="1:10" ht="21" customHeight="1" x14ac:dyDescent="0.15">
      <c r="A20" s="46">
        <v>40041019</v>
      </c>
      <c r="B20" s="218">
        <v>1</v>
      </c>
      <c r="C20" s="218">
        <v>700</v>
      </c>
      <c r="D20" s="218">
        <v>100</v>
      </c>
      <c r="E20" s="218" t="s">
        <v>90</v>
      </c>
      <c r="F20" s="218" t="s">
        <v>90</v>
      </c>
      <c r="G20" s="218">
        <v>1</v>
      </c>
      <c r="H20" s="218" t="s">
        <v>90</v>
      </c>
      <c r="I20" s="218">
        <v>517</v>
      </c>
      <c r="J20" s="47">
        <f t="shared" si="5"/>
        <v>100</v>
      </c>
    </row>
    <row r="21" spans="1:10" ht="21" customHeight="1" thickBot="1" x14ac:dyDescent="0.2">
      <c r="A21" s="46">
        <v>40041020</v>
      </c>
      <c r="B21" s="218">
        <v>1</v>
      </c>
      <c r="C21" s="218">
        <v>800</v>
      </c>
      <c r="D21" s="218">
        <v>100</v>
      </c>
      <c r="E21" s="218" t="s">
        <v>90</v>
      </c>
      <c r="F21" s="218" t="s">
        <v>90</v>
      </c>
      <c r="G21" s="218">
        <v>1</v>
      </c>
      <c r="H21" s="218" t="s">
        <v>90</v>
      </c>
      <c r="I21" s="218">
        <v>1274</v>
      </c>
      <c r="J21" s="47">
        <f t="shared" si="1"/>
        <v>100</v>
      </c>
    </row>
    <row r="22" spans="1:10" ht="21" customHeight="1" thickTop="1" thickBot="1" x14ac:dyDescent="0.2">
      <c r="A22" s="46">
        <v>40041021</v>
      </c>
      <c r="B22" s="216">
        <v>1</v>
      </c>
      <c r="C22" s="216">
        <v>500</v>
      </c>
      <c r="D22" s="216">
        <v>100</v>
      </c>
      <c r="E22" s="216" t="s">
        <v>90</v>
      </c>
      <c r="F22" s="216" t="s">
        <v>90</v>
      </c>
      <c r="G22" s="216">
        <v>1</v>
      </c>
      <c r="H22" s="216" t="s">
        <v>294</v>
      </c>
      <c r="I22" s="216" t="s">
        <v>284</v>
      </c>
      <c r="J22" s="217">
        <f t="shared" ref="J22" si="6">D22</f>
        <v>100</v>
      </c>
    </row>
    <row r="23" spans="1:10" ht="21" customHeight="1" thickTop="1" thickBot="1" x14ac:dyDescent="0.2">
      <c r="A23" s="46">
        <v>40041022</v>
      </c>
      <c r="B23" s="229">
        <v>0</v>
      </c>
      <c r="C23" s="229">
        <v>500</v>
      </c>
      <c r="D23" s="229">
        <v>100</v>
      </c>
      <c r="E23" s="229" t="s">
        <v>90</v>
      </c>
      <c r="F23" s="229" t="s">
        <v>90</v>
      </c>
      <c r="G23" s="229">
        <v>1</v>
      </c>
      <c r="H23" s="229">
        <v>1</v>
      </c>
      <c r="I23" s="229" t="s">
        <v>284</v>
      </c>
      <c r="J23" s="217">
        <f t="shared" si="1"/>
        <v>100</v>
      </c>
    </row>
    <row r="24" spans="1:10" ht="21" customHeight="1" thickTop="1" x14ac:dyDescent="0.15">
      <c r="A24" s="46">
        <v>40041023</v>
      </c>
      <c r="B24" s="216">
        <v>1</v>
      </c>
      <c r="C24" s="216">
        <v>500</v>
      </c>
      <c r="D24" s="216">
        <v>100</v>
      </c>
      <c r="E24" s="216" t="s">
        <v>90</v>
      </c>
      <c r="F24" s="216" t="s">
        <v>90</v>
      </c>
      <c r="G24" s="216">
        <v>1</v>
      </c>
      <c r="H24" s="216" t="s">
        <v>90</v>
      </c>
      <c r="I24" s="216" t="s">
        <v>90</v>
      </c>
      <c r="J24" s="216">
        <f t="shared" si="1"/>
        <v>100</v>
      </c>
    </row>
    <row r="25" spans="1:10" ht="21" customHeight="1" x14ac:dyDescent="0.15">
      <c r="A25" s="46">
        <v>40041024</v>
      </c>
      <c r="B25" s="47">
        <v>0</v>
      </c>
      <c r="C25" s="47">
        <v>120</v>
      </c>
      <c r="D25" s="47">
        <v>40</v>
      </c>
      <c r="E25" s="47" t="s">
        <v>90</v>
      </c>
      <c r="F25" s="47" t="s">
        <v>90</v>
      </c>
      <c r="G25" s="47" t="s">
        <v>90</v>
      </c>
      <c r="H25" s="47" t="s">
        <v>90</v>
      </c>
      <c r="I25" s="47" t="s">
        <v>90</v>
      </c>
      <c r="J25" s="47">
        <f t="shared" si="1"/>
        <v>40</v>
      </c>
    </row>
    <row r="26" spans="1:10" ht="21" customHeight="1" thickBot="1" x14ac:dyDescent="0.2">
      <c r="A26" s="46">
        <v>40041025</v>
      </c>
      <c r="B26" s="47">
        <v>0</v>
      </c>
      <c r="C26" s="47">
        <v>110</v>
      </c>
      <c r="D26" s="47">
        <v>60</v>
      </c>
      <c r="E26" s="47" t="s">
        <v>90</v>
      </c>
      <c r="F26" s="47" t="s">
        <v>90</v>
      </c>
      <c r="G26" s="47" t="s">
        <v>90</v>
      </c>
      <c r="H26" s="47" t="s">
        <v>90</v>
      </c>
      <c r="I26" s="47" t="s">
        <v>90</v>
      </c>
      <c r="J26" s="47">
        <f t="shared" si="1"/>
        <v>60</v>
      </c>
    </row>
    <row r="27" spans="1:10" ht="21" customHeight="1" thickTop="1" x14ac:dyDescent="0.15">
      <c r="A27" s="46">
        <v>40041026</v>
      </c>
      <c r="B27" s="216">
        <v>1</v>
      </c>
      <c r="C27" s="216">
        <v>500</v>
      </c>
      <c r="D27" s="216">
        <v>100</v>
      </c>
      <c r="E27" s="216" t="s">
        <v>90</v>
      </c>
      <c r="F27" s="216" t="s">
        <v>90</v>
      </c>
      <c r="G27" s="216">
        <v>1</v>
      </c>
      <c r="H27" s="216" t="s">
        <v>90</v>
      </c>
      <c r="I27" s="216" t="s">
        <v>90</v>
      </c>
      <c r="J27" s="216">
        <f t="shared" si="1"/>
        <v>100</v>
      </c>
    </row>
    <row r="28" spans="1:10" ht="21" customHeight="1" x14ac:dyDescent="0.15">
      <c r="A28" s="46">
        <v>40041027</v>
      </c>
      <c r="B28" s="47">
        <v>0</v>
      </c>
      <c r="C28" s="47">
        <v>140</v>
      </c>
      <c r="D28" s="47">
        <v>18</v>
      </c>
      <c r="E28" s="47" t="s">
        <v>90</v>
      </c>
      <c r="F28" s="47" t="s">
        <v>90</v>
      </c>
      <c r="G28" s="47" t="s">
        <v>90</v>
      </c>
      <c r="H28" s="47" t="s">
        <v>90</v>
      </c>
      <c r="I28" s="47" t="s">
        <v>90</v>
      </c>
      <c r="J28" s="47">
        <f t="shared" si="1"/>
        <v>18</v>
      </c>
    </row>
    <row r="29" spans="1:10" ht="21" customHeight="1" x14ac:dyDescent="0.15">
      <c r="A29" s="46">
        <v>40041028</v>
      </c>
      <c r="B29" s="47">
        <v>0</v>
      </c>
      <c r="C29" s="47">
        <v>130</v>
      </c>
      <c r="D29" s="47">
        <v>40</v>
      </c>
      <c r="E29" s="47" t="s">
        <v>90</v>
      </c>
      <c r="F29" s="47" t="s">
        <v>90</v>
      </c>
      <c r="G29" s="47" t="s">
        <v>90</v>
      </c>
      <c r="H29" s="47" t="s">
        <v>90</v>
      </c>
      <c r="I29" s="47" t="s">
        <v>90</v>
      </c>
      <c r="J29" s="47">
        <f t="shared" si="1"/>
        <v>40</v>
      </c>
    </row>
    <row r="30" spans="1:10" ht="21" customHeight="1" x14ac:dyDescent="0.15">
      <c r="A30" s="46">
        <v>40041029</v>
      </c>
      <c r="B30" s="47">
        <v>0</v>
      </c>
      <c r="C30" s="47">
        <v>120</v>
      </c>
      <c r="D30" s="47">
        <v>60</v>
      </c>
      <c r="E30" s="47" t="s">
        <v>90</v>
      </c>
      <c r="F30" s="47" t="s">
        <v>90</v>
      </c>
      <c r="G30" s="47" t="s">
        <v>90</v>
      </c>
      <c r="H30" s="47" t="s">
        <v>90</v>
      </c>
      <c r="I30" s="47" t="s">
        <v>90</v>
      </c>
      <c r="J30" s="47">
        <f t="shared" si="1"/>
        <v>60</v>
      </c>
    </row>
    <row r="31" spans="1:10" ht="21" customHeight="1" thickBot="1" x14ac:dyDescent="0.2">
      <c r="A31" s="46">
        <v>40041030</v>
      </c>
      <c r="B31" s="47">
        <v>0</v>
      </c>
      <c r="C31" s="47">
        <v>110</v>
      </c>
      <c r="D31" s="47">
        <v>90</v>
      </c>
      <c r="E31" s="47" t="s">
        <v>90</v>
      </c>
      <c r="F31" s="47" t="s">
        <v>90</v>
      </c>
      <c r="G31" s="47" t="s">
        <v>90</v>
      </c>
      <c r="H31" s="47" t="s">
        <v>90</v>
      </c>
      <c r="I31" s="47" t="s">
        <v>90</v>
      </c>
      <c r="J31" s="47">
        <f t="shared" si="1"/>
        <v>90</v>
      </c>
    </row>
    <row r="32" spans="1:10" ht="21" customHeight="1" thickTop="1" thickBot="1" x14ac:dyDescent="0.2">
      <c r="A32" s="46">
        <v>40041031</v>
      </c>
      <c r="B32" s="219">
        <v>1</v>
      </c>
      <c r="C32" s="219">
        <v>500</v>
      </c>
      <c r="D32" s="219">
        <v>100</v>
      </c>
      <c r="E32" s="219" t="s">
        <v>90</v>
      </c>
      <c r="F32" s="219" t="s">
        <v>90</v>
      </c>
      <c r="G32" s="219">
        <v>1</v>
      </c>
      <c r="H32" s="219" t="s">
        <v>90</v>
      </c>
      <c r="I32" s="219" t="s">
        <v>90</v>
      </c>
      <c r="J32" s="216">
        <f t="shared" si="1"/>
        <v>100</v>
      </c>
    </row>
    <row r="33" spans="1:10" ht="21" customHeight="1" thickTop="1" x14ac:dyDescent="0.15">
      <c r="A33" s="46">
        <v>40041032</v>
      </c>
      <c r="B33" s="220">
        <v>1</v>
      </c>
      <c r="C33" s="220">
        <v>500</v>
      </c>
      <c r="D33" s="220">
        <v>100</v>
      </c>
      <c r="E33" s="220" t="s">
        <v>90</v>
      </c>
      <c r="F33" s="220" t="s">
        <v>90</v>
      </c>
      <c r="G33" s="220">
        <v>1</v>
      </c>
      <c r="H33" s="220" t="s">
        <v>293</v>
      </c>
      <c r="I33" s="220" t="s">
        <v>286</v>
      </c>
      <c r="J33" s="216">
        <f t="shared" ref="J33" si="7">D33</f>
        <v>100</v>
      </c>
    </row>
    <row r="34" spans="1:10" ht="21" customHeight="1" thickBot="1" x14ac:dyDescent="0.2">
      <c r="A34" s="46">
        <v>40041033</v>
      </c>
      <c r="B34" s="250">
        <v>0</v>
      </c>
      <c r="C34" s="250">
        <v>500</v>
      </c>
      <c r="D34" s="250">
        <v>100</v>
      </c>
      <c r="E34" s="250" t="s">
        <v>90</v>
      </c>
      <c r="F34" s="250" t="s">
        <v>90</v>
      </c>
      <c r="G34" s="250">
        <v>1</v>
      </c>
      <c r="H34" s="250">
        <v>1</v>
      </c>
      <c r="I34" s="250" t="s">
        <v>286</v>
      </c>
      <c r="J34" s="229">
        <f t="shared" si="1"/>
        <v>100</v>
      </c>
    </row>
    <row r="35" spans="1:10" ht="21" customHeight="1" thickTop="1" x14ac:dyDescent="0.15">
      <c r="A35" s="46">
        <v>40041034</v>
      </c>
      <c r="B35" s="220">
        <v>1</v>
      </c>
      <c r="C35" s="220">
        <v>500</v>
      </c>
      <c r="D35" s="220">
        <v>100</v>
      </c>
      <c r="E35" s="220" t="s">
        <v>90</v>
      </c>
      <c r="F35" s="220" t="s">
        <v>90</v>
      </c>
      <c r="G35" s="220">
        <v>1</v>
      </c>
      <c r="H35" s="220" t="s">
        <v>285</v>
      </c>
      <c r="I35" s="220" t="s">
        <v>90</v>
      </c>
      <c r="J35" s="216">
        <f t="shared" si="1"/>
        <v>100</v>
      </c>
    </row>
    <row r="36" spans="1:10" ht="21" customHeight="1" x14ac:dyDescent="0.15">
      <c r="A36" s="46">
        <v>40041035</v>
      </c>
      <c r="B36" s="221">
        <v>0</v>
      </c>
      <c r="C36" s="221">
        <v>500</v>
      </c>
      <c r="D36" s="221">
        <v>100</v>
      </c>
      <c r="E36" s="221" t="s">
        <v>90</v>
      </c>
      <c r="F36" s="221" t="s">
        <v>90</v>
      </c>
      <c r="G36" s="221">
        <v>1</v>
      </c>
      <c r="H36" s="221">
        <v>1</v>
      </c>
      <c r="I36" s="221" t="s">
        <v>90</v>
      </c>
      <c r="J36" s="47">
        <f t="shared" si="1"/>
        <v>100</v>
      </c>
    </row>
    <row r="37" spans="1:10" ht="21" customHeight="1" x14ac:dyDescent="0.15">
      <c r="A37" s="46">
        <v>40041036</v>
      </c>
      <c r="B37" s="221">
        <v>0</v>
      </c>
      <c r="C37" s="221">
        <v>500</v>
      </c>
      <c r="D37" s="221">
        <v>100</v>
      </c>
      <c r="E37" s="221" t="s">
        <v>90</v>
      </c>
      <c r="F37" s="221" t="s">
        <v>90</v>
      </c>
      <c r="G37" s="221">
        <v>1</v>
      </c>
      <c r="H37" s="221">
        <v>2</v>
      </c>
      <c r="I37" s="221" t="s">
        <v>90</v>
      </c>
      <c r="J37" s="47">
        <f t="shared" si="1"/>
        <v>100</v>
      </c>
    </row>
    <row r="38" spans="1:10" ht="21" customHeight="1" x14ac:dyDescent="0.15">
      <c r="A38" s="46">
        <v>40041037</v>
      </c>
      <c r="B38" s="221">
        <v>0</v>
      </c>
      <c r="C38" s="221">
        <v>500</v>
      </c>
      <c r="D38" s="221">
        <v>100</v>
      </c>
      <c r="E38" s="221" t="s">
        <v>90</v>
      </c>
      <c r="F38" s="221" t="s">
        <v>90</v>
      </c>
      <c r="G38" s="221">
        <v>1</v>
      </c>
      <c r="H38" s="221">
        <v>3</v>
      </c>
      <c r="I38" s="221" t="s">
        <v>90</v>
      </c>
      <c r="J38" s="47">
        <f t="shared" si="1"/>
        <v>100</v>
      </c>
    </row>
    <row r="39" spans="1:10" ht="21" customHeight="1" x14ac:dyDescent="0.15">
      <c r="A39" s="46">
        <v>40041038</v>
      </c>
      <c r="B39" s="221">
        <v>0</v>
      </c>
      <c r="C39" s="221">
        <v>120</v>
      </c>
      <c r="D39" s="221">
        <v>17</v>
      </c>
      <c r="E39" s="221" t="s">
        <v>90</v>
      </c>
      <c r="F39" s="221" t="s">
        <v>90</v>
      </c>
      <c r="G39" s="221" t="s">
        <v>90</v>
      </c>
      <c r="H39" s="221" t="s">
        <v>90</v>
      </c>
      <c r="I39" s="221" t="s">
        <v>90</v>
      </c>
      <c r="J39" s="47">
        <f t="shared" si="1"/>
        <v>17</v>
      </c>
    </row>
    <row r="40" spans="1:10" ht="21" customHeight="1" x14ac:dyDescent="0.15">
      <c r="A40" s="46">
        <v>40041039</v>
      </c>
      <c r="B40" s="221">
        <v>0</v>
      </c>
      <c r="C40" s="221">
        <v>110</v>
      </c>
      <c r="D40" s="221">
        <v>60</v>
      </c>
      <c r="E40" s="221" t="s">
        <v>90</v>
      </c>
      <c r="F40" s="221" t="s">
        <v>90</v>
      </c>
      <c r="G40" s="221" t="s">
        <v>90</v>
      </c>
      <c r="H40" s="221" t="s">
        <v>90</v>
      </c>
      <c r="I40" s="221" t="s">
        <v>90</v>
      </c>
      <c r="J40" s="47">
        <f t="shared" si="1"/>
        <v>60</v>
      </c>
    </row>
    <row r="41" spans="1:10" ht="21" customHeight="1" x14ac:dyDescent="0.15">
      <c r="A41" s="46">
        <v>40041040</v>
      </c>
      <c r="B41" s="221">
        <v>0</v>
      </c>
      <c r="C41" s="221">
        <v>550</v>
      </c>
      <c r="D41" s="221">
        <v>100</v>
      </c>
      <c r="E41" s="221">
        <v>50</v>
      </c>
      <c r="F41" s="221" t="s">
        <v>90</v>
      </c>
      <c r="G41" s="221">
        <v>1</v>
      </c>
      <c r="H41" s="221" t="s">
        <v>90</v>
      </c>
      <c r="I41" s="221" t="s">
        <v>90</v>
      </c>
      <c r="J41" s="47">
        <f t="shared" si="1"/>
        <v>100</v>
      </c>
    </row>
    <row r="42" spans="1:10" ht="21" customHeight="1" thickBot="1" x14ac:dyDescent="0.2">
      <c r="A42" s="46">
        <v>40041041</v>
      </c>
      <c r="B42" s="222">
        <v>0</v>
      </c>
      <c r="C42" s="222">
        <v>500</v>
      </c>
      <c r="D42" s="222">
        <v>100</v>
      </c>
      <c r="E42" s="222" t="s">
        <v>90</v>
      </c>
      <c r="F42" s="222" t="s">
        <v>90</v>
      </c>
      <c r="G42" s="222">
        <v>1</v>
      </c>
      <c r="H42" s="222" t="s">
        <v>90</v>
      </c>
      <c r="I42" s="222">
        <v>66</v>
      </c>
      <c r="J42" s="214">
        <f t="shared" ref="J42:J82" si="8">D42</f>
        <v>100</v>
      </c>
    </row>
    <row r="43" spans="1:10" ht="21" customHeight="1" thickTop="1" thickBot="1" x14ac:dyDescent="0.2">
      <c r="A43" s="46">
        <v>40041042</v>
      </c>
      <c r="B43" s="223">
        <v>1</v>
      </c>
      <c r="C43" s="223">
        <v>500</v>
      </c>
      <c r="D43" s="223">
        <v>100</v>
      </c>
      <c r="E43" s="223" t="s">
        <v>90</v>
      </c>
      <c r="F43" s="223" t="s">
        <v>90</v>
      </c>
      <c r="G43" s="223">
        <v>1</v>
      </c>
      <c r="H43" s="223" t="s">
        <v>292</v>
      </c>
      <c r="I43" s="223" t="s">
        <v>284</v>
      </c>
      <c r="J43" s="217">
        <f t="shared" ref="J43" si="9">D43</f>
        <v>100</v>
      </c>
    </row>
    <row r="44" spans="1:10" ht="21" customHeight="1" thickTop="1" thickBot="1" x14ac:dyDescent="0.2">
      <c r="A44" s="46">
        <v>40041043</v>
      </c>
      <c r="B44" s="251">
        <v>0</v>
      </c>
      <c r="C44" s="251">
        <v>500</v>
      </c>
      <c r="D44" s="251">
        <v>100</v>
      </c>
      <c r="E44" s="251" t="s">
        <v>90</v>
      </c>
      <c r="F44" s="251" t="s">
        <v>90</v>
      </c>
      <c r="G44" s="251">
        <v>1</v>
      </c>
      <c r="H44" s="251">
        <v>1</v>
      </c>
      <c r="I44" s="251" t="s">
        <v>284</v>
      </c>
      <c r="J44" s="217">
        <f t="shared" si="8"/>
        <v>100</v>
      </c>
    </row>
    <row r="45" spans="1:10" ht="21" customHeight="1" thickTop="1" x14ac:dyDescent="0.15">
      <c r="A45" s="46">
        <v>40041044</v>
      </c>
      <c r="B45" s="223">
        <v>1</v>
      </c>
      <c r="C45" s="223">
        <v>500</v>
      </c>
      <c r="D45" s="223">
        <v>100</v>
      </c>
      <c r="E45" s="223" t="s">
        <v>90</v>
      </c>
      <c r="F45" s="223" t="s">
        <v>90</v>
      </c>
      <c r="G45" s="223">
        <v>1</v>
      </c>
      <c r="H45" s="223" t="s">
        <v>90</v>
      </c>
      <c r="I45" s="223" t="s">
        <v>90</v>
      </c>
      <c r="J45" s="216">
        <f t="shared" si="8"/>
        <v>100</v>
      </c>
    </row>
    <row r="46" spans="1:10" ht="21" customHeight="1" x14ac:dyDescent="0.15">
      <c r="A46" s="46">
        <v>40041045</v>
      </c>
      <c r="B46" s="224">
        <v>0</v>
      </c>
      <c r="C46" s="224">
        <v>500</v>
      </c>
      <c r="D46" s="224">
        <v>100</v>
      </c>
      <c r="E46" s="224" t="s">
        <v>90</v>
      </c>
      <c r="F46" s="224" t="s">
        <v>90</v>
      </c>
      <c r="G46" s="224">
        <v>1</v>
      </c>
      <c r="H46" s="224">
        <v>1</v>
      </c>
      <c r="I46" s="224" t="s">
        <v>90</v>
      </c>
      <c r="J46" s="47">
        <f>D46</f>
        <v>100</v>
      </c>
    </row>
    <row r="47" spans="1:10" ht="21" customHeight="1" x14ac:dyDescent="0.15">
      <c r="A47" s="46">
        <v>40041046</v>
      </c>
      <c r="B47" s="224">
        <v>0</v>
      </c>
      <c r="C47" s="224">
        <v>130</v>
      </c>
      <c r="D47" s="224">
        <v>35</v>
      </c>
      <c r="E47" s="224" t="s">
        <v>90</v>
      </c>
      <c r="F47" s="224" t="s">
        <v>90</v>
      </c>
      <c r="G47" s="224" t="s">
        <v>90</v>
      </c>
      <c r="H47" s="224" t="s">
        <v>90</v>
      </c>
      <c r="I47" s="224" t="s">
        <v>90</v>
      </c>
      <c r="J47" s="47">
        <f t="shared" si="8"/>
        <v>35</v>
      </c>
    </row>
    <row r="48" spans="1:10" ht="21" customHeight="1" x14ac:dyDescent="0.15">
      <c r="A48" s="46">
        <v>40041047</v>
      </c>
      <c r="B48" s="224">
        <v>0</v>
      </c>
      <c r="C48" s="224">
        <v>120</v>
      </c>
      <c r="D48" s="224">
        <v>55</v>
      </c>
      <c r="E48" s="224" t="s">
        <v>90</v>
      </c>
      <c r="F48" s="224" t="s">
        <v>90</v>
      </c>
      <c r="G48" s="224" t="s">
        <v>90</v>
      </c>
      <c r="H48" s="224" t="s">
        <v>90</v>
      </c>
      <c r="I48" s="224" t="s">
        <v>90</v>
      </c>
      <c r="J48" s="47">
        <f t="shared" si="8"/>
        <v>55</v>
      </c>
    </row>
    <row r="49" spans="1:10" ht="21" customHeight="1" x14ac:dyDescent="0.15">
      <c r="A49" s="46">
        <v>40041048</v>
      </c>
      <c r="B49" s="224">
        <v>0</v>
      </c>
      <c r="C49" s="224">
        <v>110</v>
      </c>
      <c r="D49" s="224">
        <v>70</v>
      </c>
      <c r="E49" s="224" t="s">
        <v>90</v>
      </c>
      <c r="F49" s="224" t="s">
        <v>90</v>
      </c>
      <c r="G49" s="224" t="s">
        <v>90</v>
      </c>
      <c r="H49" s="224" t="s">
        <v>90</v>
      </c>
      <c r="I49" s="224" t="s">
        <v>90</v>
      </c>
      <c r="J49" s="47">
        <f t="shared" si="8"/>
        <v>70</v>
      </c>
    </row>
    <row r="50" spans="1:10" ht="21" customHeight="1" x14ac:dyDescent="0.15">
      <c r="A50" s="46">
        <v>40041049</v>
      </c>
      <c r="B50" s="224">
        <v>0</v>
      </c>
      <c r="C50" s="224">
        <v>550</v>
      </c>
      <c r="D50" s="224">
        <v>100</v>
      </c>
      <c r="E50" s="224">
        <v>50</v>
      </c>
      <c r="F50" s="224" t="s">
        <v>90</v>
      </c>
      <c r="G50" s="224">
        <v>1</v>
      </c>
      <c r="H50" s="224" t="s">
        <v>90</v>
      </c>
      <c r="I50" s="224" t="s">
        <v>90</v>
      </c>
      <c r="J50" s="47">
        <f t="shared" si="8"/>
        <v>100</v>
      </c>
    </row>
    <row r="51" spans="1:10" ht="21" customHeight="1" thickBot="1" x14ac:dyDescent="0.2">
      <c r="A51" s="46">
        <v>40041050</v>
      </c>
      <c r="B51" s="225">
        <v>0</v>
      </c>
      <c r="C51" s="225">
        <v>500</v>
      </c>
      <c r="D51" s="225">
        <v>100</v>
      </c>
      <c r="E51" s="225" t="s">
        <v>90</v>
      </c>
      <c r="F51" s="225" t="s">
        <v>90</v>
      </c>
      <c r="G51" s="225">
        <v>1</v>
      </c>
      <c r="H51" s="225" t="s">
        <v>90</v>
      </c>
      <c r="I51" s="225">
        <v>38</v>
      </c>
      <c r="J51" s="214">
        <f t="shared" si="8"/>
        <v>100</v>
      </c>
    </row>
    <row r="52" spans="1:10" ht="21" customHeight="1" thickTop="1" x14ac:dyDescent="0.15">
      <c r="A52" s="46">
        <v>40041051</v>
      </c>
      <c r="B52" s="215">
        <v>1</v>
      </c>
      <c r="C52" s="215">
        <v>500</v>
      </c>
      <c r="D52" s="215">
        <v>100</v>
      </c>
      <c r="E52" s="215" t="s">
        <v>90</v>
      </c>
      <c r="F52" s="215" t="s">
        <v>90</v>
      </c>
      <c r="G52" s="215">
        <v>1</v>
      </c>
      <c r="H52" s="215" t="s">
        <v>90</v>
      </c>
      <c r="I52" s="215" t="s">
        <v>90</v>
      </c>
      <c r="J52" s="216">
        <f t="shared" si="8"/>
        <v>100</v>
      </c>
    </row>
    <row r="53" spans="1:10" ht="21" customHeight="1" x14ac:dyDescent="0.15">
      <c r="A53" s="46">
        <v>40041052</v>
      </c>
      <c r="B53" s="46">
        <v>0</v>
      </c>
      <c r="C53" s="46">
        <v>500</v>
      </c>
      <c r="D53" s="46">
        <v>100</v>
      </c>
      <c r="E53" s="46" t="s">
        <v>90</v>
      </c>
      <c r="F53" s="46" t="s">
        <v>90</v>
      </c>
      <c r="G53" s="46">
        <v>1</v>
      </c>
      <c r="H53" s="46">
        <v>1</v>
      </c>
      <c r="I53" s="46" t="s">
        <v>90</v>
      </c>
      <c r="J53" s="47">
        <f t="shared" si="8"/>
        <v>100</v>
      </c>
    </row>
    <row r="54" spans="1:10" ht="21" customHeight="1" x14ac:dyDescent="0.15">
      <c r="A54" s="46">
        <v>40041053</v>
      </c>
      <c r="B54" s="46">
        <v>0</v>
      </c>
      <c r="C54" s="46">
        <v>130</v>
      </c>
      <c r="D54" s="46">
        <v>30</v>
      </c>
      <c r="E54" s="46" t="s">
        <v>90</v>
      </c>
      <c r="F54" s="46" t="s">
        <v>90</v>
      </c>
      <c r="G54" s="46" t="s">
        <v>90</v>
      </c>
      <c r="H54" s="46" t="s">
        <v>90</v>
      </c>
      <c r="I54" s="46" t="s">
        <v>90</v>
      </c>
      <c r="J54" s="47">
        <f t="shared" si="8"/>
        <v>30</v>
      </c>
    </row>
    <row r="55" spans="1:10" ht="21" customHeight="1" x14ac:dyDescent="0.15">
      <c r="A55" s="46">
        <v>40041054</v>
      </c>
      <c r="B55" s="46">
        <v>0</v>
      </c>
      <c r="C55" s="46">
        <v>120</v>
      </c>
      <c r="D55" s="46">
        <v>60</v>
      </c>
      <c r="E55" s="46" t="s">
        <v>90</v>
      </c>
      <c r="F55" s="46" t="s">
        <v>90</v>
      </c>
      <c r="G55" s="46" t="s">
        <v>90</v>
      </c>
      <c r="H55" s="46" t="s">
        <v>90</v>
      </c>
      <c r="I55" s="46" t="s">
        <v>90</v>
      </c>
      <c r="J55" s="47">
        <f t="shared" si="8"/>
        <v>60</v>
      </c>
    </row>
    <row r="56" spans="1:10" ht="21" customHeight="1" x14ac:dyDescent="0.15">
      <c r="A56" s="46">
        <v>40041055</v>
      </c>
      <c r="B56" s="46">
        <v>0</v>
      </c>
      <c r="C56" s="46">
        <v>110</v>
      </c>
      <c r="D56" s="46">
        <v>75</v>
      </c>
      <c r="E56" s="46" t="s">
        <v>90</v>
      </c>
      <c r="F56" s="46" t="s">
        <v>90</v>
      </c>
      <c r="G56" s="46" t="s">
        <v>90</v>
      </c>
      <c r="H56" s="46" t="s">
        <v>90</v>
      </c>
      <c r="I56" s="46" t="s">
        <v>90</v>
      </c>
      <c r="J56" s="47">
        <f t="shared" si="8"/>
        <v>75</v>
      </c>
    </row>
    <row r="57" spans="1:10" ht="21" customHeight="1" x14ac:dyDescent="0.15">
      <c r="A57" s="46">
        <v>40041056</v>
      </c>
      <c r="B57" s="46">
        <v>0</v>
      </c>
      <c r="C57" s="46">
        <v>550</v>
      </c>
      <c r="D57" s="46">
        <v>100</v>
      </c>
      <c r="E57" s="46">
        <v>30</v>
      </c>
      <c r="F57" s="46" t="s">
        <v>90</v>
      </c>
      <c r="G57" s="46">
        <v>1</v>
      </c>
      <c r="H57" s="46" t="s">
        <v>90</v>
      </c>
      <c r="I57" s="46" t="s">
        <v>90</v>
      </c>
      <c r="J57" s="47">
        <f t="shared" si="8"/>
        <v>100</v>
      </c>
    </row>
    <row r="58" spans="1:10" ht="21" customHeight="1" x14ac:dyDescent="0.15">
      <c r="A58" s="46">
        <v>40041057</v>
      </c>
      <c r="B58" s="218">
        <v>1</v>
      </c>
      <c r="C58" s="218">
        <v>600</v>
      </c>
      <c r="D58" s="218">
        <v>100</v>
      </c>
      <c r="E58" s="218" t="s">
        <v>90</v>
      </c>
      <c r="F58" s="218" t="s">
        <v>90</v>
      </c>
      <c r="G58" s="218">
        <v>1</v>
      </c>
      <c r="H58" s="218" t="s">
        <v>90</v>
      </c>
      <c r="I58" s="227">
        <v>516</v>
      </c>
      <c r="J58" s="47">
        <f t="shared" ref="J58" si="10">D58</f>
        <v>100</v>
      </c>
    </row>
    <row r="59" spans="1:10" ht="21" customHeight="1" x14ac:dyDescent="0.15">
      <c r="A59" s="46">
        <v>40041058</v>
      </c>
      <c r="B59" s="218">
        <v>1</v>
      </c>
      <c r="C59" s="218">
        <v>700</v>
      </c>
      <c r="D59" s="218">
        <v>100</v>
      </c>
      <c r="E59" s="218" t="s">
        <v>90</v>
      </c>
      <c r="F59" s="218" t="s">
        <v>90</v>
      </c>
      <c r="G59" s="218">
        <v>1</v>
      </c>
      <c r="H59" s="218" t="s">
        <v>90</v>
      </c>
      <c r="I59" s="228">
        <v>517</v>
      </c>
      <c r="J59" s="47">
        <f t="shared" si="8"/>
        <v>100</v>
      </c>
    </row>
    <row r="60" spans="1:10" ht="21" customHeight="1" x14ac:dyDescent="0.15">
      <c r="A60" s="46">
        <v>40041059</v>
      </c>
      <c r="B60" s="218">
        <v>1</v>
      </c>
      <c r="C60" s="218">
        <v>800</v>
      </c>
      <c r="D60" s="218">
        <v>100</v>
      </c>
      <c r="E60" s="218" t="s">
        <v>90</v>
      </c>
      <c r="F60" s="218" t="s">
        <v>90</v>
      </c>
      <c r="G60" s="218">
        <v>1</v>
      </c>
      <c r="H60" s="218" t="s">
        <v>90</v>
      </c>
      <c r="I60" s="228">
        <v>1274</v>
      </c>
      <c r="J60" s="47">
        <f t="shared" si="8"/>
        <v>100</v>
      </c>
    </row>
    <row r="61" spans="1:10" ht="21" customHeight="1" x14ac:dyDescent="0.15">
      <c r="A61" s="46">
        <v>40041060</v>
      </c>
      <c r="B61" s="218">
        <v>1</v>
      </c>
      <c r="C61" s="218">
        <v>580</v>
      </c>
      <c r="D61" s="218">
        <v>100</v>
      </c>
      <c r="E61" s="218" t="s">
        <v>90</v>
      </c>
      <c r="F61" s="218" t="s">
        <v>90</v>
      </c>
      <c r="G61" s="218">
        <v>1</v>
      </c>
      <c r="H61" s="218" t="s">
        <v>90</v>
      </c>
      <c r="I61" s="218">
        <v>1280</v>
      </c>
      <c r="J61" s="47">
        <f t="shared" si="8"/>
        <v>100</v>
      </c>
    </row>
    <row r="62" spans="1:10" ht="21" customHeight="1" thickBot="1" x14ac:dyDescent="0.2">
      <c r="A62" s="46">
        <v>40041061</v>
      </c>
      <c r="B62" s="226">
        <v>1</v>
      </c>
      <c r="C62" s="226">
        <v>590</v>
      </c>
      <c r="D62" s="226">
        <v>100</v>
      </c>
      <c r="E62" s="226" t="s">
        <v>90</v>
      </c>
      <c r="F62" s="226" t="s">
        <v>90</v>
      </c>
      <c r="G62" s="226">
        <v>1</v>
      </c>
      <c r="H62" s="226" t="s">
        <v>90</v>
      </c>
      <c r="I62" s="226">
        <v>1281</v>
      </c>
      <c r="J62" s="214">
        <f t="shared" si="8"/>
        <v>100</v>
      </c>
    </row>
    <row r="63" spans="1:10" ht="21" customHeight="1" thickTop="1" x14ac:dyDescent="0.15">
      <c r="A63" s="46">
        <v>40041062</v>
      </c>
      <c r="B63" s="215">
        <v>1</v>
      </c>
      <c r="C63" s="215">
        <v>500</v>
      </c>
      <c r="D63" s="215">
        <v>100</v>
      </c>
      <c r="E63" s="215" t="s">
        <v>90</v>
      </c>
      <c r="F63" s="215" t="s">
        <v>90</v>
      </c>
      <c r="G63" s="215">
        <v>1</v>
      </c>
      <c r="H63" s="215" t="s">
        <v>90</v>
      </c>
      <c r="I63" s="215" t="s">
        <v>90</v>
      </c>
      <c r="J63" s="216">
        <f t="shared" si="8"/>
        <v>100</v>
      </c>
    </row>
    <row r="64" spans="1:10" ht="21" customHeight="1" x14ac:dyDescent="0.15">
      <c r="A64" s="46">
        <v>40041063</v>
      </c>
      <c r="B64" s="46">
        <v>0</v>
      </c>
      <c r="C64" s="46">
        <v>500</v>
      </c>
      <c r="D64" s="46">
        <v>100</v>
      </c>
      <c r="E64" s="46" t="s">
        <v>90</v>
      </c>
      <c r="F64" s="46" t="s">
        <v>90</v>
      </c>
      <c r="G64" s="46">
        <v>1</v>
      </c>
      <c r="H64" s="46">
        <v>1</v>
      </c>
      <c r="I64" s="46" t="s">
        <v>90</v>
      </c>
      <c r="J64" s="47">
        <f t="shared" si="8"/>
        <v>100</v>
      </c>
    </row>
    <row r="65" spans="1:10" ht="21" customHeight="1" x14ac:dyDescent="0.15">
      <c r="A65" s="46">
        <v>40041064</v>
      </c>
      <c r="B65" s="46">
        <v>0</v>
      </c>
      <c r="C65" s="46">
        <v>500</v>
      </c>
      <c r="D65" s="46">
        <v>100</v>
      </c>
      <c r="E65" s="46" t="s">
        <v>90</v>
      </c>
      <c r="F65" s="46" t="s">
        <v>90</v>
      </c>
      <c r="G65" s="46">
        <v>1</v>
      </c>
      <c r="H65" s="46">
        <v>2</v>
      </c>
      <c r="I65" s="46" t="s">
        <v>90</v>
      </c>
      <c r="J65" s="47">
        <f t="shared" si="8"/>
        <v>100</v>
      </c>
    </row>
    <row r="66" spans="1:10" ht="21" customHeight="1" x14ac:dyDescent="0.15">
      <c r="A66" s="46">
        <v>40041065</v>
      </c>
      <c r="B66" s="46">
        <v>0</v>
      </c>
      <c r="C66" s="46">
        <v>500</v>
      </c>
      <c r="D66" s="46">
        <v>100</v>
      </c>
      <c r="E66" s="46" t="s">
        <v>90</v>
      </c>
      <c r="F66" s="46" t="s">
        <v>90</v>
      </c>
      <c r="G66" s="46">
        <v>1</v>
      </c>
      <c r="H66" s="46">
        <v>3</v>
      </c>
      <c r="I66" s="46" t="s">
        <v>90</v>
      </c>
      <c r="J66" s="47">
        <f t="shared" si="8"/>
        <v>100</v>
      </c>
    </row>
    <row r="67" spans="1:10" ht="21" customHeight="1" x14ac:dyDescent="0.15">
      <c r="A67" s="46">
        <v>40041066</v>
      </c>
      <c r="B67" s="46">
        <v>0</v>
      </c>
      <c r="C67" s="46">
        <v>500</v>
      </c>
      <c r="D67" s="46">
        <v>100</v>
      </c>
      <c r="E67" s="46" t="s">
        <v>90</v>
      </c>
      <c r="F67" s="46" t="s">
        <v>90</v>
      </c>
      <c r="G67" s="46">
        <v>1</v>
      </c>
      <c r="H67" s="46">
        <v>4</v>
      </c>
      <c r="I67" s="46" t="s">
        <v>90</v>
      </c>
      <c r="J67" s="47">
        <f t="shared" si="8"/>
        <v>100</v>
      </c>
    </row>
    <row r="68" spans="1:10" ht="21" customHeight="1" x14ac:dyDescent="0.15">
      <c r="A68" s="46">
        <v>40041067</v>
      </c>
      <c r="B68" s="46">
        <v>0</v>
      </c>
      <c r="C68" s="46">
        <v>500</v>
      </c>
      <c r="D68" s="46">
        <v>100</v>
      </c>
      <c r="E68" s="46" t="s">
        <v>90</v>
      </c>
      <c r="F68" s="46" t="s">
        <v>90</v>
      </c>
      <c r="G68" s="46">
        <v>1</v>
      </c>
      <c r="H68" s="46">
        <v>5</v>
      </c>
      <c r="I68" s="46" t="s">
        <v>90</v>
      </c>
      <c r="J68" s="47">
        <f t="shared" si="8"/>
        <v>100</v>
      </c>
    </row>
    <row r="69" spans="1:10" ht="21" customHeight="1" x14ac:dyDescent="0.15">
      <c r="A69" s="46">
        <v>40041068</v>
      </c>
      <c r="B69" s="46">
        <v>0</v>
      </c>
      <c r="C69" s="46">
        <v>130</v>
      </c>
      <c r="D69" s="46">
        <v>28</v>
      </c>
      <c r="E69" s="46" t="s">
        <v>90</v>
      </c>
      <c r="F69" s="46" t="s">
        <v>90</v>
      </c>
      <c r="G69" s="46" t="s">
        <v>90</v>
      </c>
      <c r="H69" s="46" t="s">
        <v>287</v>
      </c>
      <c r="I69" s="46" t="s">
        <v>90</v>
      </c>
      <c r="J69" s="47">
        <f t="shared" si="8"/>
        <v>28</v>
      </c>
    </row>
    <row r="70" spans="1:10" ht="21" customHeight="1" x14ac:dyDescent="0.15">
      <c r="A70" s="46">
        <v>40041069</v>
      </c>
      <c r="B70" s="46">
        <v>0</v>
      </c>
      <c r="C70" s="46">
        <v>120</v>
      </c>
      <c r="D70" s="46">
        <v>50</v>
      </c>
      <c r="E70" s="46" t="s">
        <v>90</v>
      </c>
      <c r="F70" s="46" t="s">
        <v>90</v>
      </c>
      <c r="G70" s="46" t="s">
        <v>90</v>
      </c>
      <c r="H70" s="46" t="s">
        <v>90</v>
      </c>
      <c r="I70" s="46" t="s">
        <v>90</v>
      </c>
      <c r="J70" s="47">
        <f t="shared" si="8"/>
        <v>50</v>
      </c>
    </row>
    <row r="71" spans="1:10" ht="21" customHeight="1" x14ac:dyDescent="0.15">
      <c r="A71" s="46">
        <v>40041070</v>
      </c>
      <c r="B71" s="46">
        <v>0</v>
      </c>
      <c r="C71" s="46">
        <v>110</v>
      </c>
      <c r="D71" s="46">
        <v>95</v>
      </c>
      <c r="E71" s="46" t="s">
        <v>90</v>
      </c>
      <c r="F71" s="46" t="s">
        <v>90</v>
      </c>
      <c r="G71" s="46" t="s">
        <v>90</v>
      </c>
      <c r="H71" s="46" t="s">
        <v>90</v>
      </c>
      <c r="I71" s="46" t="s">
        <v>90</v>
      </c>
      <c r="J71" s="47">
        <f t="shared" si="8"/>
        <v>95</v>
      </c>
    </row>
    <row r="72" spans="1:10" ht="21" customHeight="1" thickBot="1" x14ac:dyDescent="0.2">
      <c r="A72" s="46">
        <v>40041071</v>
      </c>
      <c r="B72" s="213">
        <v>0</v>
      </c>
      <c r="C72" s="213">
        <v>650</v>
      </c>
      <c r="D72" s="213">
        <v>100</v>
      </c>
      <c r="E72" s="213">
        <v>30</v>
      </c>
      <c r="F72" s="213" t="s">
        <v>90</v>
      </c>
      <c r="G72" s="213">
        <v>1</v>
      </c>
      <c r="H72" s="213" t="s">
        <v>90</v>
      </c>
      <c r="I72" s="213" t="s">
        <v>90</v>
      </c>
      <c r="J72" s="47">
        <f t="shared" si="8"/>
        <v>100</v>
      </c>
    </row>
    <row r="73" spans="1:10" ht="21" customHeight="1" thickTop="1" x14ac:dyDescent="0.15">
      <c r="A73" s="46">
        <v>40041072</v>
      </c>
      <c r="B73" s="230">
        <v>1</v>
      </c>
      <c r="C73" s="230">
        <v>500</v>
      </c>
      <c r="D73" s="230">
        <v>100</v>
      </c>
      <c r="E73" s="230" t="s">
        <v>90</v>
      </c>
      <c r="F73" s="230" t="s">
        <v>90</v>
      </c>
      <c r="G73" s="230">
        <v>1</v>
      </c>
      <c r="H73" s="230" t="s">
        <v>90</v>
      </c>
      <c r="I73" s="230" t="s">
        <v>90</v>
      </c>
      <c r="J73" s="231">
        <f t="shared" si="8"/>
        <v>100</v>
      </c>
    </row>
    <row r="74" spans="1:10" ht="21" customHeight="1" x14ac:dyDescent="0.15">
      <c r="A74" s="46">
        <v>40041073</v>
      </c>
      <c r="B74" s="46">
        <v>0</v>
      </c>
      <c r="C74" s="46">
        <v>500</v>
      </c>
      <c r="D74" s="46">
        <v>100</v>
      </c>
      <c r="E74" s="46" t="s">
        <v>90</v>
      </c>
      <c r="F74" s="46" t="s">
        <v>90</v>
      </c>
      <c r="G74" s="46">
        <v>1</v>
      </c>
      <c r="H74" s="46">
        <v>1</v>
      </c>
      <c r="I74" s="46" t="s">
        <v>90</v>
      </c>
      <c r="J74" s="47">
        <f t="shared" si="8"/>
        <v>100</v>
      </c>
    </row>
    <row r="75" spans="1:10" ht="21" customHeight="1" x14ac:dyDescent="0.15">
      <c r="A75" s="46">
        <v>40041074</v>
      </c>
      <c r="B75" s="46">
        <v>0</v>
      </c>
      <c r="C75" s="46">
        <v>500</v>
      </c>
      <c r="D75" s="46">
        <v>100</v>
      </c>
      <c r="E75" s="46" t="s">
        <v>90</v>
      </c>
      <c r="F75" s="46" t="s">
        <v>90</v>
      </c>
      <c r="G75" s="46">
        <v>1</v>
      </c>
      <c r="H75" s="46">
        <v>2</v>
      </c>
      <c r="I75" s="46" t="s">
        <v>90</v>
      </c>
      <c r="J75" s="47">
        <f t="shared" si="8"/>
        <v>100</v>
      </c>
    </row>
    <row r="76" spans="1:10" ht="21" customHeight="1" x14ac:dyDescent="0.15">
      <c r="A76" s="46">
        <v>40041075</v>
      </c>
      <c r="B76" s="46">
        <v>0</v>
      </c>
      <c r="C76" s="46">
        <v>500</v>
      </c>
      <c r="D76" s="46">
        <v>100</v>
      </c>
      <c r="E76" s="46" t="s">
        <v>90</v>
      </c>
      <c r="F76" s="46" t="s">
        <v>90</v>
      </c>
      <c r="G76" s="46">
        <v>1</v>
      </c>
      <c r="H76" s="46">
        <v>3</v>
      </c>
      <c r="I76" s="46" t="s">
        <v>90</v>
      </c>
      <c r="J76" s="47">
        <f t="shared" si="8"/>
        <v>100</v>
      </c>
    </row>
    <row r="77" spans="1:10" ht="21" customHeight="1" x14ac:dyDescent="0.15">
      <c r="A77" s="46">
        <v>40041076</v>
      </c>
      <c r="B77" s="46">
        <v>0</v>
      </c>
      <c r="C77" s="46">
        <v>500</v>
      </c>
      <c r="D77" s="46">
        <v>100</v>
      </c>
      <c r="E77" s="46" t="s">
        <v>90</v>
      </c>
      <c r="F77" s="46" t="s">
        <v>90</v>
      </c>
      <c r="G77" s="46">
        <v>1</v>
      </c>
      <c r="H77" s="46">
        <v>4</v>
      </c>
      <c r="I77" s="46" t="s">
        <v>90</v>
      </c>
      <c r="J77" s="47">
        <f t="shared" si="8"/>
        <v>100</v>
      </c>
    </row>
    <row r="78" spans="1:10" ht="21" customHeight="1" x14ac:dyDescent="0.15">
      <c r="A78" s="46">
        <v>40041077</v>
      </c>
      <c r="B78" s="46">
        <v>0</v>
      </c>
      <c r="C78" s="46">
        <v>500</v>
      </c>
      <c r="D78" s="46">
        <v>100</v>
      </c>
      <c r="E78" s="46" t="s">
        <v>90</v>
      </c>
      <c r="F78" s="46" t="s">
        <v>90</v>
      </c>
      <c r="G78" s="46">
        <v>1</v>
      </c>
      <c r="H78" s="46">
        <v>5</v>
      </c>
      <c r="I78" s="46" t="s">
        <v>90</v>
      </c>
      <c r="J78" s="47">
        <f t="shared" si="8"/>
        <v>100</v>
      </c>
    </row>
    <row r="79" spans="1:10" ht="21" customHeight="1" x14ac:dyDescent="0.15">
      <c r="A79" s="46">
        <v>40041078</v>
      </c>
      <c r="B79" s="46">
        <v>0</v>
      </c>
      <c r="C79" s="46">
        <v>500</v>
      </c>
      <c r="D79" s="46">
        <v>100</v>
      </c>
      <c r="E79" s="46" t="s">
        <v>90</v>
      </c>
      <c r="F79" s="46" t="s">
        <v>90</v>
      </c>
      <c r="G79" s="46">
        <v>1</v>
      </c>
      <c r="H79" s="46">
        <v>6</v>
      </c>
      <c r="I79" s="46" t="s">
        <v>90</v>
      </c>
      <c r="J79" s="47">
        <f t="shared" si="8"/>
        <v>100</v>
      </c>
    </row>
    <row r="80" spans="1:10" ht="21" customHeight="1" x14ac:dyDescent="0.15">
      <c r="A80" s="46">
        <v>40041079</v>
      </c>
      <c r="B80" s="46">
        <v>0</v>
      </c>
      <c r="C80" s="46">
        <v>500</v>
      </c>
      <c r="D80" s="46">
        <v>100</v>
      </c>
      <c r="E80" s="46" t="s">
        <v>90</v>
      </c>
      <c r="F80" s="46" t="s">
        <v>90</v>
      </c>
      <c r="G80" s="46">
        <v>1</v>
      </c>
      <c r="H80" s="46">
        <v>7</v>
      </c>
      <c r="I80" s="46" t="s">
        <v>90</v>
      </c>
      <c r="J80" s="47">
        <f t="shared" si="8"/>
        <v>100</v>
      </c>
    </row>
    <row r="81" spans="1:10" ht="21" customHeight="1" x14ac:dyDescent="0.15">
      <c r="A81" s="46">
        <v>40041080</v>
      </c>
      <c r="B81" s="46">
        <v>0</v>
      </c>
      <c r="C81" s="46">
        <v>500</v>
      </c>
      <c r="D81" s="46">
        <v>100</v>
      </c>
      <c r="E81" s="46" t="s">
        <v>89</v>
      </c>
      <c r="F81" s="46" t="s">
        <v>89</v>
      </c>
      <c r="G81" s="46">
        <v>1</v>
      </c>
      <c r="H81" s="46">
        <v>8</v>
      </c>
      <c r="I81" s="46" t="s">
        <v>89</v>
      </c>
      <c r="J81" s="47">
        <f t="shared" si="8"/>
        <v>100</v>
      </c>
    </row>
    <row r="82" spans="1:10" ht="21" customHeight="1" x14ac:dyDescent="0.15">
      <c r="A82" s="46">
        <v>40041081</v>
      </c>
      <c r="B82" s="46">
        <v>0</v>
      </c>
      <c r="C82" s="46">
        <v>590</v>
      </c>
      <c r="D82" s="46">
        <v>100</v>
      </c>
      <c r="E82" s="46" t="s">
        <v>90</v>
      </c>
      <c r="F82" s="46" t="s">
        <v>90</v>
      </c>
      <c r="G82" s="46">
        <v>0</v>
      </c>
      <c r="H82" s="46" t="s">
        <v>90</v>
      </c>
      <c r="I82" s="46">
        <v>0</v>
      </c>
      <c r="J82" s="47">
        <f t="shared" si="8"/>
        <v>100</v>
      </c>
    </row>
  </sheetData>
  <autoFilter ref="A1:G1"/>
  <phoneticPr fontId="5"/>
  <conditionalFormatting sqref="K59:K1048576 K21 K16:K18 K11:K13 K6:K8 K1:K3 K34:K42 K23:K32 K44:K57">
    <cfRule type="duplicateValues" dxfId="12" priority="15"/>
  </conditionalFormatting>
  <conditionalFormatting sqref="K4">
    <cfRule type="duplicateValues" dxfId="11" priority="14"/>
  </conditionalFormatting>
  <conditionalFormatting sqref="K5">
    <cfRule type="duplicateValues" dxfId="10" priority="13"/>
  </conditionalFormatting>
  <conditionalFormatting sqref="K9">
    <cfRule type="duplicateValues" dxfId="9" priority="12"/>
  </conditionalFormatting>
  <conditionalFormatting sqref="K10">
    <cfRule type="duplicateValues" dxfId="8" priority="11"/>
  </conditionalFormatting>
  <conditionalFormatting sqref="K14">
    <cfRule type="duplicateValues" dxfId="7" priority="10"/>
  </conditionalFormatting>
  <conditionalFormatting sqref="K15">
    <cfRule type="duplicateValues" dxfId="6" priority="9"/>
  </conditionalFormatting>
  <conditionalFormatting sqref="K19">
    <cfRule type="duplicateValues" dxfId="5" priority="8"/>
  </conditionalFormatting>
  <conditionalFormatting sqref="K20">
    <cfRule type="duplicateValues" dxfId="4" priority="7"/>
  </conditionalFormatting>
  <conditionalFormatting sqref="K58">
    <cfRule type="duplicateValues" dxfId="3" priority="6"/>
  </conditionalFormatting>
  <conditionalFormatting sqref="K33">
    <cfRule type="duplicateValues" dxfId="2" priority="3"/>
  </conditionalFormatting>
  <conditionalFormatting sqref="K43">
    <cfRule type="duplicateValues" dxfId="1" priority="2"/>
  </conditionalFormatting>
  <conditionalFormatting sqref="K2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5" sqref="G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6">
        <v>40041</v>
      </c>
      <c r="B2" s="56">
        <v>1</v>
      </c>
      <c r="C2" s="69" t="str">
        <f>A2&amp; "_"&amp;B2</f>
        <v>40041_1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74">
        <v>1</v>
      </c>
      <c r="F2" s="278" t="s">
        <v>167</v>
      </c>
      <c r="G2" s="278">
        <v>40000</v>
      </c>
      <c r="H2" s="278" t="s">
        <v>431</v>
      </c>
      <c r="I2" s="278">
        <v>1</v>
      </c>
      <c r="J2" s="278">
        <v>1</v>
      </c>
      <c r="K2" s="278">
        <v>0</v>
      </c>
      <c r="L2" s="278">
        <v>0</v>
      </c>
      <c r="M2" s="278">
        <v>0</v>
      </c>
      <c r="N2" s="278">
        <v>0</v>
      </c>
      <c r="O2" s="278">
        <v>1</v>
      </c>
      <c r="P2" s="278">
        <v>150</v>
      </c>
      <c r="Q2" s="56" t="s">
        <v>168</v>
      </c>
      <c r="R2" s="56" t="s">
        <v>169</v>
      </c>
    </row>
    <row r="3" spans="1:18" x14ac:dyDescent="0.15">
      <c r="A3" s="56">
        <v>40041</v>
      </c>
      <c r="B3" s="56">
        <v>1</v>
      </c>
      <c r="C3" s="69" t="str">
        <f t="shared" ref="C3:C18" si="0">A3&amp; "_"&amp;B3</f>
        <v>40041_1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76">
        <v>2</v>
      </c>
      <c r="F3" s="279" t="s">
        <v>429</v>
      </c>
      <c r="G3" s="279">
        <v>30</v>
      </c>
      <c r="H3" s="279" t="s">
        <v>431</v>
      </c>
      <c r="I3" s="279">
        <v>1</v>
      </c>
      <c r="J3" s="279">
        <v>1</v>
      </c>
      <c r="K3" s="279">
        <v>0</v>
      </c>
      <c r="L3" s="279">
        <v>0</v>
      </c>
      <c r="M3" s="279">
        <v>0</v>
      </c>
      <c r="N3" s="279">
        <v>0</v>
      </c>
      <c r="O3" s="279">
        <v>1</v>
      </c>
      <c r="P3" s="279">
        <v>150</v>
      </c>
      <c r="Q3" s="56" t="s">
        <v>168</v>
      </c>
      <c r="R3" s="56" t="s">
        <v>169</v>
      </c>
    </row>
    <row r="4" spans="1:18" x14ac:dyDescent="0.15">
      <c r="A4" s="56">
        <v>40041</v>
      </c>
      <c r="B4" s="56">
        <v>1</v>
      </c>
      <c r="C4" s="69" t="str">
        <f t="shared" si="0"/>
        <v>40041_1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76">
        <v>3</v>
      </c>
      <c r="F4" s="279" t="s">
        <v>430</v>
      </c>
      <c r="G4" s="281">
        <v>1282</v>
      </c>
      <c r="H4" s="279">
        <v>1</v>
      </c>
      <c r="I4" s="279">
        <v>1</v>
      </c>
      <c r="J4" s="279">
        <v>1</v>
      </c>
      <c r="K4" s="279">
        <v>0</v>
      </c>
      <c r="L4" s="279">
        <v>0</v>
      </c>
      <c r="M4" s="279">
        <v>0</v>
      </c>
      <c r="N4" s="279">
        <v>0</v>
      </c>
      <c r="O4" s="279">
        <v>1</v>
      </c>
      <c r="P4" s="279">
        <v>100</v>
      </c>
      <c r="Q4" s="56" t="s">
        <v>168</v>
      </c>
      <c r="R4" s="56" t="s">
        <v>169</v>
      </c>
    </row>
    <row r="5" spans="1:18" x14ac:dyDescent="0.15">
      <c r="A5" s="56">
        <v>40041</v>
      </c>
      <c r="B5" s="56">
        <v>1</v>
      </c>
      <c r="C5" s="69" t="str">
        <f t="shared" si="0"/>
        <v>40041_1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76">
        <v>4</v>
      </c>
      <c r="F5" s="279" t="s">
        <v>430</v>
      </c>
      <c r="G5" s="279">
        <v>333</v>
      </c>
      <c r="H5" s="279">
        <v>1</v>
      </c>
      <c r="I5" s="279">
        <v>1</v>
      </c>
      <c r="J5" s="279">
        <v>1</v>
      </c>
      <c r="K5" s="279">
        <v>0</v>
      </c>
      <c r="L5" s="279">
        <v>0</v>
      </c>
      <c r="M5" s="279">
        <v>0</v>
      </c>
      <c r="N5" s="279">
        <v>0</v>
      </c>
      <c r="O5" s="279">
        <v>1</v>
      </c>
      <c r="P5" s="279">
        <v>28</v>
      </c>
      <c r="Q5" s="56" t="s">
        <v>168</v>
      </c>
      <c r="R5" s="56" t="s">
        <v>169</v>
      </c>
    </row>
    <row r="6" spans="1:18" x14ac:dyDescent="0.15">
      <c r="A6" s="56">
        <v>40041</v>
      </c>
      <c r="B6" s="56">
        <v>1</v>
      </c>
      <c r="C6" s="69" t="str">
        <f t="shared" si="0"/>
        <v>40041_1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76">
        <v>5</v>
      </c>
      <c r="F6" s="279" t="s">
        <v>430</v>
      </c>
      <c r="G6" s="279">
        <v>334</v>
      </c>
      <c r="H6" s="279">
        <v>1</v>
      </c>
      <c r="I6" s="279">
        <v>1</v>
      </c>
      <c r="J6" s="279">
        <v>1</v>
      </c>
      <c r="K6" s="279">
        <v>0</v>
      </c>
      <c r="L6" s="279">
        <v>0</v>
      </c>
      <c r="M6" s="279">
        <v>0</v>
      </c>
      <c r="N6" s="279">
        <v>0</v>
      </c>
      <c r="O6" s="279">
        <v>1</v>
      </c>
      <c r="P6" s="279">
        <v>112</v>
      </c>
      <c r="Q6" s="56" t="s">
        <v>168</v>
      </c>
      <c r="R6" s="56" t="s">
        <v>169</v>
      </c>
    </row>
    <row r="7" spans="1:18" x14ac:dyDescent="0.15">
      <c r="A7" s="56">
        <v>40041</v>
      </c>
      <c r="B7" s="56">
        <v>1</v>
      </c>
      <c r="C7" s="69" t="str">
        <f t="shared" si="0"/>
        <v>40041_1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76">
        <v>6</v>
      </c>
      <c r="F7" s="279" t="s">
        <v>430</v>
      </c>
      <c r="G7" s="279">
        <v>348</v>
      </c>
      <c r="H7" s="279">
        <v>1</v>
      </c>
      <c r="I7" s="279">
        <v>1</v>
      </c>
      <c r="J7" s="279">
        <v>1</v>
      </c>
      <c r="K7" s="279">
        <v>0</v>
      </c>
      <c r="L7" s="279">
        <v>0</v>
      </c>
      <c r="M7" s="279">
        <v>0</v>
      </c>
      <c r="N7" s="279">
        <v>0</v>
      </c>
      <c r="O7" s="279">
        <v>1</v>
      </c>
      <c r="P7" s="279">
        <v>150</v>
      </c>
      <c r="Q7" s="56" t="s">
        <v>168</v>
      </c>
      <c r="R7" s="56" t="s">
        <v>169</v>
      </c>
    </row>
    <row r="8" spans="1:18" x14ac:dyDescent="0.15">
      <c r="A8" s="56">
        <v>40041</v>
      </c>
      <c r="B8" s="56">
        <v>1</v>
      </c>
      <c r="C8" s="69" t="str">
        <f t="shared" si="0"/>
        <v>40041_1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76">
        <v>7</v>
      </c>
      <c r="F8" s="279" t="s">
        <v>430</v>
      </c>
      <c r="G8" s="279">
        <v>121</v>
      </c>
      <c r="H8" s="279">
        <v>1</v>
      </c>
      <c r="I8" s="279">
        <v>1</v>
      </c>
      <c r="J8" s="279">
        <v>1</v>
      </c>
      <c r="K8" s="279">
        <v>0</v>
      </c>
      <c r="L8" s="279">
        <v>0</v>
      </c>
      <c r="M8" s="279">
        <v>0</v>
      </c>
      <c r="N8" s="279">
        <v>0</v>
      </c>
      <c r="O8" s="279">
        <v>1</v>
      </c>
      <c r="P8" s="279">
        <v>100</v>
      </c>
      <c r="Q8" s="56" t="s">
        <v>168</v>
      </c>
      <c r="R8" s="56" t="s">
        <v>169</v>
      </c>
    </row>
    <row r="9" spans="1:18" x14ac:dyDescent="0.15">
      <c r="A9" s="56">
        <v>40041</v>
      </c>
      <c r="B9" s="56">
        <v>1</v>
      </c>
      <c r="C9" s="69" t="str">
        <f t="shared" si="0"/>
        <v>40041_1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76">
        <v>8</v>
      </c>
      <c r="F9" s="279" t="s">
        <v>430</v>
      </c>
      <c r="G9" s="279">
        <v>122</v>
      </c>
      <c r="H9" s="279">
        <v>1</v>
      </c>
      <c r="I9" s="279">
        <v>1</v>
      </c>
      <c r="J9" s="279">
        <v>1</v>
      </c>
      <c r="K9" s="279">
        <v>0</v>
      </c>
      <c r="L9" s="279">
        <v>0</v>
      </c>
      <c r="M9" s="279">
        <v>0</v>
      </c>
      <c r="N9" s="279">
        <v>0</v>
      </c>
      <c r="O9" s="279">
        <v>1</v>
      </c>
      <c r="P9" s="279">
        <v>100</v>
      </c>
      <c r="Q9" s="56" t="s">
        <v>168</v>
      </c>
      <c r="R9" s="56" t="s">
        <v>169</v>
      </c>
    </row>
    <row r="10" spans="1:18" x14ac:dyDescent="0.15">
      <c r="A10" s="56">
        <v>40041</v>
      </c>
      <c r="B10" s="56">
        <v>1</v>
      </c>
      <c r="C10" s="69" t="str">
        <f t="shared" si="0"/>
        <v>40041_1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76">
        <v>9</v>
      </c>
      <c r="F10" s="279" t="s">
        <v>430</v>
      </c>
      <c r="G10" s="279">
        <v>123</v>
      </c>
      <c r="H10" s="279">
        <v>1</v>
      </c>
      <c r="I10" s="279">
        <v>1</v>
      </c>
      <c r="J10" s="279">
        <v>1</v>
      </c>
      <c r="K10" s="279">
        <v>0</v>
      </c>
      <c r="L10" s="279">
        <v>0</v>
      </c>
      <c r="M10" s="279">
        <v>0</v>
      </c>
      <c r="N10" s="279">
        <v>0</v>
      </c>
      <c r="O10" s="279">
        <v>1</v>
      </c>
      <c r="P10" s="279">
        <v>100</v>
      </c>
      <c r="Q10" s="56" t="s">
        <v>168</v>
      </c>
      <c r="R10" s="56" t="s">
        <v>169</v>
      </c>
    </row>
    <row r="11" spans="1:18" x14ac:dyDescent="0.15">
      <c r="A11" s="56">
        <v>40041</v>
      </c>
      <c r="B11" s="56">
        <v>1</v>
      </c>
      <c r="C11" s="69" t="str">
        <f t="shared" si="0"/>
        <v>40041_1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76">
        <v>10</v>
      </c>
      <c r="F11" s="279" t="s">
        <v>430</v>
      </c>
      <c r="G11" s="279">
        <v>125</v>
      </c>
      <c r="H11" s="279">
        <v>1</v>
      </c>
      <c r="I11" s="279">
        <v>1</v>
      </c>
      <c r="J11" s="279">
        <v>1</v>
      </c>
      <c r="K11" s="279">
        <v>0</v>
      </c>
      <c r="L11" s="279">
        <v>0</v>
      </c>
      <c r="M11" s="279">
        <v>0</v>
      </c>
      <c r="N11" s="279">
        <v>0</v>
      </c>
      <c r="O11" s="279">
        <v>1</v>
      </c>
      <c r="P11" s="279">
        <v>10</v>
      </c>
      <c r="Q11" s="56" t="s">
        <v>168</v>
      </c>
      <c r="R11" s="56" t="s">
        <v>169</v>
      </c>
    </row>
    <row r="12" spans="1:18" x14ac:dyDescent="0.15">
      <c r="A12" s="57">
        <v>40041</v>
      </c>
      <c r="B12" s="57">
        <v>2</v>
      </c>
      <c r="C12" s="69" t="str">
        <f t="shared" si="0"/>
        <v>40041_2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77">
        <v>11</v>
      </c>
      <c r="F12" s="280" t="s">
        <v>430</v>
      </c>
      <c r="G12" s="282">
        <v>1282</v>
      </c>
      <c r="H12" s="280">
        <v>1</v>
      </c>
      <c r="I12" s="280">
        <v>1</v>
      </c>
      <c r="J12" s="280">
        <v>1</v>
      </c>
      <c r="K12" s="280">
        <v>0</v>
      </c>
      <c r="L12" s="280">
        <v>0</v>
      </c>
      <c r="M12" s="280">
        <v>0</v>
      </c>
      <c r="N12" s="280">
        <v>0</v>
      </c>
      <c r="O12" s="280">
        <v>1</v>
      </c>
      <c r="P12" s="280">
        <v>500</v>
      </c>
      <c r="Q12" s="57" t="s">
        <v>168</v>
      </c>
      <c r="R12" s="57" t="s">
        <v>169</v>
      </c>
    </row>
    <row r="13" spans="1:18" x14ac:dyDescent="0.15">
      <c r="A13" s="57">
        <v>40041</v>
      </c>
      <c r="B13" s="57">
        <v>2</v>
      </c>
      <c r="C13" s="69" t="str">
        <f t="shared" si="0"/>
        <v>40041_2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77">
        <v>12</v>
      </c>
      <c r="F13" s="280" t="s">
        <v>430</v>
      </c>
      <c r="G13" s="280">
        <v>334</v>
      </c>
      <c r="H13" s="280">
        <v>1</v>
      </c>
      <c r="I13" s="280">
        <v>1</v>
      </c>
      <c r="J13" s="280">
        <v>1</v>
      </c>
      <c r="K13" s="280">
        <v>0</v>
      </c>
      <c r="L13" s="280">
        <v>0</v>
      </c>
      <c r="M13" s="280">
        <v>0</v>
      </c>
      <c r="N13" s="280">
        <v>0</v>
      </c>
      <c r="O13" s="280">
        <v>1</v>
      </c>
      <c r="P13" s="280">
        <v>50</v>
      </c>
      <c r="Q13" s="57" t="s">
        <v>168</v>
      </c>
      <c r="R13" s="57" t="s">
        <v>169</v>
      </c>
    </row>
    <row r="14" spans="1:18" x14ac:dyDescent="0.15">
      <c r="A14" s="57">
        <v>40041</v>
      </c>
      <c r="B14" s="57">
        <v>2</v>
      </c>
      <c r="C14" s="69" t="str">
        <f t="shared" si="0"/>
        <v>40041_2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77">
        <v>13</v>
      </c>
      <c r="F14" s="280" t="s">
        <v>430</v>
      </c>
      <c r="G14" s="280">
        <v>348</v>
      </c>
      <c r="H14" s="280">
        <v>1</v>
      </c>
      <c r="I14" s="280">
        <v>1</v>
      </c>
      <c r="J14" s="280">
        <v>1</v>
      </c>
      <c r="K14" s="280">
        <v>0</v>
      </c>
      <c r="L14" s="280">
        <v>0</v>
      </c>
      <c r="M14" s="280">
        <v>0</v>
      </c>
      <c r="N14" s="280">
        <v>0</v>
      </c>
      <c r="O14" s="280">
        <v>1</v>
      </c>
      <c r="P14" s="280">
        <v>120</v>
      </c>
      <c r="Q14" s="57" t="s">
        <v>168</v>
      </c>
      <c r="R14" s="57" t="s">
        <v>169</v>
      </c>
    </row>
    <row r="15" spans="1:18" x14ac:dyDescent="0.15">
      <c r="A15" s="57">
        <v>40041</v>
      </c>
      <c r="B15" s="57">
        <v>2</v>
      </c>
      <c r="C15" s="69" t="str">
        <f t="shared" si="0"/>
        <v>40041_2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77">
        <v>14</v>
      </c>
      <c r="F15" s="280" t="s">
        <v>430</v>
      </c>
      <c r="G15" s="280">
        <v>607</v>
      </c>
      <c r="H15" s="280">
        <v>1</v>
      </c>
      <c r="I15" s="280">
        <v>1</v>
      </c>
      <c r="J15" s="280">
        <v>1</v>
      </c>
      <c r="K15" s="280">
        <v>0</v>
      </c>
      <c r="L15" s="280">
        <v>0</v>
      </c>
      <c r="M15" s="280">
        <v>0</v>
      </c>
      <c r="N15" s="280">
        <v>0</v>
      </c>
      <c r="O15" s="280">
        <v>1</v>
      </c>
      <c r="P15" s="280">
        <v>100</v>
      </c>
      <c r="Q15" s="57" t="s">
        <v>168</v>
      </c>
      <c r="R15" s="57" t="s">
        <v>169</v>
      </c>
    </row>
    <row r="16" spans="1:18" x14ac:dyDescent="0.15">
      <c r="A16" s="57">
        <v>40041</v>
      </c>
      <c r="B16" s="57">
        <v>2</v>
      </c>
      <c r="C16" s="69" t="str">
        <f t="shared" si="0"/>
        <v>40041_2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77">
        <v>15</v>
      </c>
      <c r="F16" s="280" t="s">
        <v>430</v>
      </c>
      <c r="G16" s="280">
        <v>608</v>
      </c>
      <c r="H16" s="280">
        <v>1</v>
      </c>
      <c r="I16" s="280">
        <v>1</v>
      </c>
      <c r="J16" s="280">
        <v>1</v>
      </c>
      <c r="K16" s="280">
        <v>0</v>
      </c>
      <c r="L16" s="280">
        <v>0</v>
      </c>
      <c r="M16" s="280">
        <v>0</v>
      </c>
      <c r="N16" s="280">
        <v>0</v>
      </c>
      <c r="O16" s="280">
        <v>1</v>
      </c>
      <c r="P16" s="280">
        <v>100</v>
      </c>
      <c r="Q16" s="57" t="s">
        <v>168</v>
      </c>
      <c r="R16" s="57" t="s">
        <v>169</v>
      </c>
    </row>
    <row r="17" spans="1:18" x14ac:dyDescent="0.15">
      <c r="A17" s="57">
        <v>40041</v>
      </c>
      <c r="B17" s="57">
        <v>2</v>
      </c>
      <c r="C17" s="69" t="str">
        <f t="shared" si="0"/>
        <v>40041_2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77">
        <v>16</v>
      </c>
      <c r="F17" s="280" t="s">
        <v>430</v>
      </c>
      <c r="G17" s="280">
        <v>609</v>
      </c>
      <c r="H17" s="280">
        <v>1</v>
      </c>
      <c r="I17" s="280">
        <v>1</v>
      </c>
      <c r="J17" s="280">
        <v>1</v>
      </c>
      <c r="K17" s="280">
        <v>0</v>
      </c>
      <c r="L17" s="280">
        <v>0</v>
      </c>
      <c r="M17" s="280">
        <v>0</v>
      </c>
      <c r="N17" s="280">
        <v>0</v>
      </c>
      <c r="O17" s="280">
        <v>1</v>
      </c>
      <c r="P17" s="280">
        <v>100</v>
      </c>
      <c r="Q17" s="57" t="s">
        <v>168</v>
      </c>
      <c r="R17" s="57" t="s">
        <v>169</v>
      </c>
    </row>
    <row r="18" spans="1:18" x14ac:dyDescent="0.15">
      <c r="A18" s="57">
        <v>40041</v>
      </c>
      <c r="B18" s="57">
        <v>2</v>
      </c>
      <c r="C18" s="69" t="str">
        <f t="shared" si="0"/>
        <v>40041_2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77">
        <v>17</v>
      </c>
      <c r="F18" s="280" t="s">
        <v>430</v>
      </c>
      <c r="G18" s="280">
        <v>125</v>
      </c>
      <c r="H18" s="280">
        <v>1</v>
      </c>
      <c r="I18" s="280">
        <v>1</v>
      </c>
      <c r="J18" s="280">
        <v>1</v>
      </c>
      <c r="K18" s="280">
        <v>0</v>
      </c>
      <c r="L18" s="280">
        <v>0</v>
      </c>
      <c r="M18" s="280">
        <v>0</v>
      </c>
      <c r="N18" s="280">
        <v>0</v>
      </c>
      <c r="O18" s="280">
        <v>1</v>
      </c>
      <c r="P18" s="280">
        <v>30</v>
      </c>
      <c r="Q18" s="57" t="s">
        <v>168</v>
      </c>
      <c r="R18" s="57" t="s">
        <v>169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O116" sqref="O11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1" t="s">
        <v>188</v>
      </c>
      <c r="C1" s="75" t="s">
        <v>189</v>
      </c>
      <c r="D1" s="75" t="s">
        <v>33</v>
      </c>
      <c r="E1" s="71" t="s">
        <v>190</v>
      </c>
      <c r="F1" s="75" t="s">
        <v>191</v>
      </c>
      <c r="G1" s="75" t="s">
        <v>33</v>
      </c>
      <c r="H1" s="71" t="s">
        <v>192</v>
      </c>
      <c r="I1" s="89" t="s">
        <v>194</v>
      </c>
      <c r="J1" s="77" t="s">
        <v>127</v>
      </c>
      <c r="K1" s="76" t="s">
        <v>185</v>
      </c>
      <c r="L1" s="90" t="s">
        <v>184</v>
      </c>
      <c r="M1" s="78" t="s">
        <v>195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10" activePane="bottomLeft" state="frozen"/>
      <selection pane="bottomLeft" activeCell="M21" sqref="M2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3.6640625" customWidth="1"/>
    <col min="13" max="13" width="42.6640625" customWidth="1"/>
  </cols>
  <sheetData>
    <row r="1" spans="1:14" x14ac:dyDescent="0.15">
      <c r="A1" s="74" t="s">
        <v>187</v>
      </c>
      <c r="B1" s="71" t="s">
        <v>149</v>
      </c>
      <c r="C1" s="75" t="s">
        <v>189</v>
      </c>
      <c r="D1" s="75" t="s">
        <v>33</v>
      </c>
      <c r="E1" s="71" t="s">
        <v>190</v>
      </c>
      <c r="F1" s="75" t="s">
        <v>18</v>
      </c>
      <c r="G1" s="75" t="s">
        <v>33</v>
      </c>
      <c r="H1" s="71" t="s">
        <v>192</v>
      </c>
      <c r="I1" s="87" t="s">
        <v>193</v>
      </c>
      <c r="J1" s="89" t="s">
        <v>194</v>
      </c>
      <c r="K1" s="77" t="s">
        <v>127</v>
      </c>
      <c r="L1" s="76" t="s">
        <v>185</v>
      </c>
      <c r="M1" s="90" t="s">
        <v>184</v>
      </c>
      <c r="N1" s="78" t="s">
        <v>195</v>
      </c>
    </row>
    <row r="2" spans="1:14" ht="42" x14ac:dyDescent="0.15">
      <c r="A2" s="79" t="s">
        <v>196</v>
      </c>
      <c r="B2" s="80">
        <f>floors!$C$2</f>
        <v>40041</v>
      </c>
      <c r="C2" s="81" t="str">
        <f ca="1">VLOOKUP($B2,OFFSET([2]quests!$A$1,0,0,COUNTA([2]quests!$A:$A),MATCH(C$1,[2]quests!$1:$1,0)-MATCH($B$1,[2]quests!$1:$1,0)+1),MATCH(C$1,[2]quests!$1:$1,0)-MATCH($B$1,[2]quests!$1:$1,0)+1,FALSE)</f>
        <v>ポーラとダニー襲来！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降臨41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降臨41</v>
      </c>
      <c r="H2" s="83">
        <v>1</v>
      </c>
      <c r="I2" s="88">
        <f>ROW()-1</f>
        <v>1</v>
      </c>
      <c r="J2" s="84" t="str">
        <f>B2&amp;TEXT(I2,"00")</f>
        <v>4004101</v>
      </c>
      <c r="K2" s="82" t="s">
        <v>197</v>
      </c>
      <c r="L2" s="85" t="s">
        <v>198</v>
      </c>
      <c r="M2" s="285" t="s">
        <v>435</v>
      </c>
      <c r="N2" s="56" t="s">
        <v>199</v>
      </c>
    </row>
    <row r="3" spans="1:14" ht="42" x14ac:dyDescent="0.15">
      <c r="A3" s="79" t="s">
        <v>196</v>
      </c>
      <c r="B3" s="80">
        <f>floors!$C$2</f>
        <v>40041</v>
      </c>
      <c r="C3" s="81" t="str">
        <f ca="1">VLOOKUP($B3,OFFSET([2]quests!$A$1,0,0,COUNTA([2]quests!$A:$A),MATCH(C$1,[2]quests!$1:$1,0)-MATCH($B$1,[2]quests!$1:$1,0)+1),MATCH(C$1,[2]quests!$1:$1,0)-MATCH($B$1,[2]quests!$1:$1,0)+1,FALSE)</f>
        <v>ポーラとダニー襲来！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降臨41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降臨41</v>
      </c>
      <c r="H3" s="83">
        <v>2</v>
      </c>
      <c r="I3" s="88">
        <f t="shared" ref="I3:I23" si="0">ROW()-1</f>
        <v>2</v>
      </c>
      <c r="J3" s="84" t="str">
        <f t="shared" ref="J3:J12" si="1">B3&amp;TEXT(I3,"00")</f>
        <v>4004102</v>
      </c>
      <c r="K3" s="82" t="s">
        <v>128</v>
      </c>
      <c r="L3" s="85" t="s">
        <v>198</v>
      </c>
      <c r="M3" s="285" t="s">
        <v>436</v>
      </c>
      <c r="N3" s="56" t="s">
        <v>199</v>
      </c>
    </row>
    <row r="4" spans="1:14" ht="28" x14ac:dyDescent="0.15">
      <c r="A4" s="79" t="s">
        <v>196</v>
      </c>
      <c r="B4" s="80">
        <f>floors!$C$2</f>
        <v>40041</v>
      </c>
      <c r="C4" s="81" t="str">
        <f ca="1">VLOOKUP($B4,OFFSET([2]quests!$A$1,0,0,COUNTA([2]quests!$A:$A),MATCH(C$1,[2]quests!$1:$1,0)-MATCH($B$1,[2]quests!$1:$1,0)+1),MATCH(C$1,[2]quests!$1:$1,0)-MATCH($B$1,[2]quests!$1:$1,0)+1,FALSE)</f>
        <v>ポーラとダニー襲来！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降臨41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降臨41</v>
      </c>
      <c r="H4" s="83">
        <v>2</v>
      </c>
      <c r="I4" s="88">
        <f t="shared" si="0"/>
        <v>3</v>
      </c>
      <c r="J4" s="84" t="str">
        <f t="shared" si="1"/>
        <v>4004103</v>
      </c>
      <c r="K4" s="82" t="s">
        <v>128</v>
      </c>
      <c r="L4" s="85" t="s">
        <v>198</v>
      </c>
      <c r="M4" s="285" t="s">
        <v>437</v>
      </c>
      <c r="N4" s="56" t="s">
        <v>199</v>
      </c>
    </row>
    <row r="5" spans="1:14" ht="56" x14ac:dyDescent="0.15">
      <c r="A5" s="79" t="s">
        <v>196</v>
      </c>
      <c r="B5" s="80">
        <f>floors!$C$2</f>
        <v>40041</v>
      </c>
      <c r="C5" s="81" t="str">
        <f ca="1">VLOOKUP($B5,OFFSET([2]quests!$A$1,0,0,COUNTA([2]quests!$A:$A),MATCH(C$1,[2]quests!$1:$1,0)-MATCH($B$1,[2]quests!$1:$1,0)+1),MATCH(C$1,[2]quests!$1:$1,0)-MATCH($B$1,[2]quests!$1:$1,0)+1,FALSE)</f>
        <v>ポーラとダニー襲来！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降臨41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降臨41</v>
      </c>
      <c r="H5" s="83">
        <v>3</v>
      </c>
      <c r="I5" s="88">
        <f t="shared" si="0"/>
        <v>4</v>
      </c>
      <c r="J5" s="84" t="str">
        <f t="shared" si="1"/>
        <v>4004104</v>
      </c>
      <c r="K5" s="82" t="s">
        <v>128</v>
      </c>
      <c r="L5" s="85" t="s">
        <v>198</v>
      </c>
      <c r="M5" s="285" t="s">
        <v>438</v>
      </c>
      <c r="N5" s="56" t="s">
        <v>199</v>
      </c>
    </row>
    <row r="6" spans="1:14" ht="42" x14ac:dyDescent="0.15">
      <c r="A6" s="79" t="s">
        <v>196</v>
      </c>
      <c r="B6" s="80">
        <f>floors!$C$2</f>
        <v>40041</v>
      </c>
      <c r="C6" s="81" t="str">
        <f ca="1">VLOOKUP($B6,OFFSET([2]quests!$A$1,0,0,COUNTA([2]quests!$A:$A),MATCH(C$1,[2]quests!$1:$1,0)-MATCH($B$1,[2]quests!$1:$1,0)+1),MATCH(C$1,[2]quests!$1:$1,0)-MATCH($B$1,[2]quests!$1:$1,0)+1,FALSE)</f>
        <v>ポーラとダニー襲来！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降臨41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降臨41</v>
      </c>
      <c r="H6" s="83">
        <v>4</v>
      </c>
      <c r="I6" s="88">
        <f t="shared" si="0"/>
        <v>5</v>
      </c>
      <c r="J6" s="84" t="str">
        <f t="shared" si="1"/>
        <v>4004105</v>
      </c>
      <c r="K6" s="82" t="s">
        <v>128</v>
      </c>
      <c r="L6" s="85" t="s">
        <v>198</v>
      </c>
      <c r="M6" s="285" t="s">
        <v>439</v>
      </c>
      <c r="N6" s="56" t="s">
        <v>199</v>
      </c>
    </row>
    <row r="7" spans="1:14" ht="42" x14ac:dyDescent="0.15">
      <c r="A7" s="79" t="s">
        <v>196</v>
      </c>
      <c r="B7" s="80">
        <f>floors!$C$2</f>
        <v>40041</v>
      </c>
      <c r="C7" s="81" t="str">
        <f ca="1">VLOOKUP($B7,OFFSET([2]quests!$A$1,0,0,COUNTA([2]quests!$A:$A),MATCH(C$1,[2]quests!$1:$1,0)-MATCH($B$1,[2]quests!$1:$1,0)+1),MATCH(C$1,[2]quests!$1:$1,0)-MATCH($B$1,[2]quests!$1:$1,0)+1,FALSE)</f>
        <v>ポーラとダニー襲来！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降臨41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降臨41</v>
      </c>
      <c r="H7" s="83">
        <v>4</v>
      </c>
      <c r="I7" s="88">
        <f t="shared" si="0"/>
        <v>6</v>
      </c>
      <c r="J7" s="84" t="str">
        <f t="shared" si="1"/>
        <v>4004106</v>
      </c>
      <c r="K7" s="82" t="s">
        <v>128</v>
      </c>
      <c r="L7" s="85" t="s">
        <v>198</v>
      </c>
      <c r="M7" s="285" t="s">
        <v>440</v>
      </c>
      <c r="N7" s="56" t="s">
        <v>199</v>
      </c>
    </row>
    <row r="8" spans="1:14" ht="42" x14ac:dyDescent="0.15">
      <c r="A8" s="79" t="s">
        <v>196</v>
      </c>
      <c r="B8" s="80">
        <f>floors!$C$2</f>
        <v>40041</v>
      </c>
      <c r="C8" s="81" t="str">
        <f ca="1">VLOOKUP($B8,OFFSET([2]quests!$A$1,0,0,COUNTA([2]quests!$A:$A),MATCH(C$1,[2]quests!$1:$1,0)-MATCH($B$1,[2]quests!$1:$1,0)+1),MATCH(C$1,[2]quests!$1:$1,0)-MATCH($B$1,[2]quests!$1:$1,0)+1,FALSE)</f>
        <v>ポーラとダニー襲来！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降臨41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降臨41</v>
      </c>
      <c r="H8" s="83">
        <v>4</v>
      </c>
      <c r="I8" s="88">
        <f t="shared" si="0"/>
        <v>7</v>
      </c>
      <c r="J8" s="84" t="str">
        <f t="shared" si="1"/>
        <v>4004107</v>
      </c>
      <c r="K8" s="82" t="s">
        <v>128</v>
      </c>
      <c r="L8" s="85" t="s">
        <v>198</v>
      </c>
      <c r="M8" s="285" t="s">
        <v>441</v>
      </c>
      <c r="N8" s="56" t="s">
        <v>199</v>
      </c>
    </row>
    <row r="9" spans="1:14" ht="70" x14ac:dyDescent="0.15">
      <c r="A9" s="286" t="s">
        <v>200</v>
      </c>
      <c r="B9" s="287">
        <f>floors!$C$2</f>
        <v>40041</v>
      </c>
      <c r="C9" s="288" t="str">
        <f ca="1">VLOOKUP($B9,OFFSET([2]quests!$A$1,0,0,COUNTA([2]quests!$A:$A),MATCH(C$1,[2]quests!$1:$1,0)-MATCH($B$1,[2]quests!$1:$1,0)+1),MATCH(C$1,[2]quests!$1:$1,0)-MATCH($B$1,[2]quests!$1:$1,0)+1,FALSE)</f>
        <v>ポーラとダニー襲来！</v>
      </c>
      <c r="D9" s="288" t="str">
        <f ca="1">VLOOKUP($B9,OFFSET([2]quests!$A$1,0,0,COUNTA([2]quests!$A:$A),MATCH(D$1,[2]quests!$1:$1,0)-MATCH($B$1,[2]quests!$1:$1,0)+1),MATCH(D$1,[2]quests!$1:$1,0)-MATCH($B$1,[2]quests!$1:$1,0)+1,FALSE)</f>
        <v>降臨41</v>
      </c>
      <c r="E9" s="289">
        <v>1</v>
      </c>
      <c r="F9" s="288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9" s="288" t="str">
        <f ca="1">VLOOKUP($B9&amp;"_"&amp;$E9,OFFSET([2]stages!$A$1,0,0,COUNTA([2]stages!$A:$A),MATCH(G$1,[2]stages!$2:$2,0)-MATCH("temp_stage",[2]stages!$2:$2,0)+1),MATCH(G$1,[2]stages!$2:$2,0)-MATCH("temp_stage",[2]stages!$2:$2,0)+1,FALSE)</f>
        <v>降臨41</v>
      </c>
      <c r="H9" s="288">
        <v>0</v>
      </c>
      <c r="I9" s="88">
        <f t="shared" si="0"/>
        <v>8</v>
      </c>
      <c r="J9" s="84" t="str">
        <f t="shared" si="1"/>
        <v>4004108</v>
      </c>
      <c r="K9" s="289" t="s">
        <v>128</v>
      </c>
      <c r="L9" s="290" t="s">
        <v>443</v>
      </c>
      <c r="M9" s="291" t="s">
        <v>516</v>
      </c>
      <c r="N9" s="57" t="s">
        <v>199</v>
      </c>
    </row>
    <row r="10" spans="1:14" ht="70" x14ac:dyDescent="0.15">
      <c r="A10" s="286" t="s">
        <v>200</v>
      </c>
      <c r="B10" s="287">
        <f>floors!$C$2</f>
        <v>40041</v>
      </c>
      <c r="C10" s="288" t="str">
        <f ca="1">VLOOKUP($B10,OFFSET([2]quests!$A$1,0,0,COUNTA([2]quests!$A:$A),MATCH(C$1,[2]quests!$1:$1,0)-MATCH($B$1,[2]quests!$1:$1,0)+1),MATCH(C$1,[2]quests!$1:$1,0)-MATCH($B$1,[2]quests!$1:$1,0)+1,FALSE)</f>
        <v>ポーラとダニー襲来！</v>
      </c>
      <c r="D10" s="288" t="str">
        <f ca="1">VLOOKUP($B10,OFFSET([2]quests!$A$1,0,0,COUNTA([2]quests!$A:$A),MATCH(D$1,[2]quests!$1:$1,0)-MATCH($B$1,[2]quests!$1:$1,0)+1),MATCH(D$1,[2]quests!$1:$1,0)-MATCH($B$1,[2]quests!$1:$1,0)+1,FALSE)</f>
        <v>降臨41</v>
      </c>
      <c r="E10" s="289">
        <v>1</v>
      </c>
      <c r="F10" s="288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10" s="288" t="str">
        <f ca="1">VLOOKUP($B10&amp;"_"&amp;$E10,OFFSET([2]stages!$A$1,0,0,COUNTA([2]stages!$A:$A),MATCH(G$1,[2]stages!$2:$2,0)-MATCH("temp_stage",[2]stages!$2:$2,0)+1),MATCH(G$1,[2]stages!$2:$2,0)-MATCH("temp_stage",[2]stages!$2:$2,0)+1,FALSE)</f>
        <v>降臨41</v>
      </c>
      <c r="H10" s="288">
        <v>0</v>
      </c>
      <c r="I10" s="88">
        <f t="shared" si="0"/>
        <v>9</v>
      </c>
      <c r="J10" s="84" t="str">
        <f t="shared" si="1"/>
        <v>4004109</v>
      </c>
      <c r="K10" s="289" t="s">
        <v>128</v>
      </c>
      <c r="L10" s="290" t="s">
        <v>444</v>
      </c>
      <c r="M10" s="291" t="s">
        <v>483</v>
      </c>
      <c r="N10" s="57" t="s">
        <v>199</v>
      </c>
    </row>
    <row r="11" spans="1:14" ht="42" x14ac:dyDescent="0.15">
      <c r="A11" s="286" t="s">
        <v>200</v>
      </c>
      <c r="B11" s="287">
        <f>floors!$C$2</f>
        <v>40041</v>
      </c>
      <c r="C11" s="288" t="str">
        <f ca="1">VLOOKUP($B11,OFFSET([2]quests!$A$1,0,0,COUNTA([2]quests!$A:$A),MATCH(C$1,[2]quests!$1:$1,0)-MATCH($B$1,[2]quests!$1:$1,0)+1),MATCH(C$1,[2]quests!$1:$1,0)-MATCH($B$1,[2]quests!$1:$1,0)+1,FALSE)</f>
        <v>ポーラとダニー襲来！</v>
      </c>
      <c r="D11" s="288" t="str">
        <f ca="1">VLOOKUP($B11,OFFSET([2]quests!$A$1,0,0,COUNTA([2]quests!$A:$A),MATCH(D$1,[2]quests!$1:$1,0)-MATCH($B$1,[2]quests!$1:$1,0)+1),MATCH(D$1,[2]quests!$1:$1,0)-MATCH($B$1,[2]quests!$1:$1,0)+1,FALSE)</f>
        <v>降臨41</v>
      </c>
      <c r="E11" s="289">
        <v>1</v>
      </c>
      <c r="F11" s="288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11" s="288" t="str">
        <f ca="1">VLOOKUP($B11&amp;"_"&amp;$E11,OFFSET([2]stages!$A$1,0,0,COUNTA([2]stages!$A:$A),MATCH(G$1,[2]stages!$2:$2,0)-MATCH("temp_stage",[2]stages!$2:$2,0)+1),MATCH(G$1,[2]stages!$2:$2,0)-MATCH("temp_stage",[2]stages!$2:$2,0)+1,FALSE)</f>
        <v>降臨41</v>
      </c>
      <c r="H11" s="288">
        <v>0</v>
      </c>
      <c r="I11" s="88">
        <f t="shared" si="0"/>
        <v>10</v>
      </c>
      <c r="J11" s="84" t="str">
        <f t="shared" si="1"/>
        <v>4004110</v>
      </c>
      <c r="K11" s="289" t="s">
        <v>128</v>
      </c>
      <c r="L11" s="290" t="s">
        <v>445</v>
      </c>
      <c r="M11" s="291" t="s">
        <v>442</v>
      </c>
      <c r="N11" s="57" t="s">
        <v>199</v>
      </c>
    </row>
    <row r="12" spans="1:14" ht="57" thickBot="1" x14ac:dyDescent="0.2">
      <c r="A12" s="299" t="s">
        <v>200</v>
      </c>
      <c r="B12" s="300">
        <f>floors!$C$2</f>
        <v>40041</v>
      </c>
      <c r="C12" s="301" t="str">
        <f ca="1">VLOOKUP($B12,OFFSET([2]quests!$A$1,0,0,COUNTA([2]quests!$A:$A),MATCH(C$1,[2]quests!$1:$1,0)-MATCH($B$1,[2]quests!$1:$1,0)+1),MATCH(C$1,[2]quests!$1:$1,0)-MATCH($B$1,[2]quests!$1:$1,0)+1,FALSE)</f>
        <v>ポーラとダニー襲来！</v>
      </c>
      <c r="D12" s="301" t="str">
        <f ca="1">VLOOKUP($B12,OFFSET([2]quests!$A$1,0,0,COUNTA([2]quests!$A:$A),MATCH(D$1,[2]quests!$1:$1,0)-MATCH($B$1,[2]quests!$1:$1,0)+1),MATCH(D$1,[2]quests!$1:$1,0)-MATCH($B$1,[2]quests!$1:$1,0)+1,FALSE)</f>
        <v>降臨41</v>
      </c>
      <c r="E12" s="302">
        <v>1</v>
      </c>
      <c r="F12" s="30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【超絶級】ポーラとダニー襲来！</v>
      </c>
      <c r="G12" s="301" t="str">
        <f ca="1">VLOOKUP($B12&amp;"_"&amp;$E12,OFFSET([2]stages!$A$1,0,0,COUNTA([2]stages!$A:$A),MATCH(G$1,[2]stages!$2:$2,0)-MATCH("temp_stage",[2]stages!$2:$2,0)+1),MATCH(G$1,[2]stages!$2:$2,0)-MATCH("temp_stage",[2]stages!$2:$2,0)+1,FALSE)</f>
        <v>降臨41</v>
      </c>
      <c r="H12" s="301">
        <v>0</v>
      </c>
      <c r="I12" s="303">
        <f t="shared" si="0"/>
        <v>11</v>
      </c>
      <c r="J12" s="304" t="str">
        <f t="shared" si="1"/>
        <v>4004111</v>
      </c>
      <c r="K12" s="302" t="s">
        <v>128</v>
      </c>
      <c r="L12" s="305" t="s">
        <v>446</v>
      </c>
      <c r="M12" s="306" t="s">
        <v>493</v>
      </c>
      <c r="N12" s="307" t="s">
        <v>199</v>
      </c>
    </row>
    <row r="13" spans="1:14" ht="43" thickTop="1" x14ac:dyDescent="0.15">
      <c r="A13" s="292" t="s">
        <v>196</v>
      </c>
      <c r="B13" s="293">
        <f>floors!$C$2</f>
        <v>40041</v>
      </c>
      <c r="C13" s="81" t="str">
        <f ca="1">VLOOKUP($B13,OFFSET([2]quests!$A$1,0,0,COUNTA([2]quests!$A:$A),MATCH(C$1,[2]quests!$1:$1,0)-MATCH($B$1,[2]quests!$1:$1,0)+1),MATCH(C$1,[2]quests!$1:$1,0)-MATCH($B$1,[2]quests!$1:$1,0)+1,FALSE)</f>
        <v>ポーラとダニー襲来！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降臨41</v>
      </c>
      <c r="E13" s="294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降臨41</v>
      </c>
      <c r="H13" s="83">
        <v>1</v>
      </c>
      <c r="I13" s="295">
        <f>ROW()-1</f>
        <v>12</v>
      </c>
      <c r="J13" s="296" t="str">
        <f>B13&amp;TEXT(I13,"00")</f>
        <v>4004112</v>
      </c>
      <c r="K13" s="294" t="s">
        <v>128</v>
      </c>
      <c r="L13" s="297" t="s">
        <v>198</v>
      </c>
      <c r="M13" s="298" t="s">
        <v>435</v>
      </c>
      <c r="N13" s="275" t="s">
        <v>199</v>
      </c>
    </row>
    <row r="14" spans="1:14" ht="42" x14ac:dyDescent="0.15">
      <c r="A14" s="79" t="s">
        <v>196</v>
      </c>
      <c r="B14" s="80">
        <f>floors!$C$2</f>
        <v>40041</v>
      </c>
      <c r="C14" s="81" t="str">
        <f ca="1">VLOOKUP($B14,OFFSET([2]quests!$A$1,0,0,COUNTA([2]quests!$A:$A),MATCH(C$1,[2]quests!$1:$1,0)-MATCH($B$1,[2]quests!$1:$1,0)+1),MATCH(C$1,[2]quests!$1:$1,0)-MATCH($B$1,[2]quests!$1:$1,0)+1,FALSE)</f>
        <v>ポーラとダニー襲来！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降臨41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降臨41</v>
      </c>
      <c r="H14" s="83">
        <v>2</v>
      </c>
      <c r="I14" s="88">
        <f t="shared" si="0"/>
        <v>13</v>
      </c>
      <c r="J14" s="84" t="str">
        <f t="shared" ref="J14:J23" si="2">B14&amp;TEXT(I14,"00")</f>
        <v>4004113</v>
      </c>
      <c r="K14" s="82" t="s">
        <v>128</v>
      </c>
      <c r="L14" s="85" t="s">
        <v>198</v>
      </c>
      <c r="M14" s="285" t="s">
        <v>436</v>
      </c>
      <c r="N14" s="56" t="s">
        <v>199</v>
      </c>
    </row>
    <row r="15" spans="1:14" ht="28" x14ac:dyDescent="0.15">
      <c r="A15" s="79" t="s">
        <v>196</v>
      </c>
      <c r="B15" s="80">
        <f>floors!$C$2</f>
        <v>40041</v>
      </c>
      <c r="C15" s="81" t="str">
        <f ca="1">VLOOKUP($B15,OFFSET([2]quests!$A$1,0,0,COUNTA([2]quests!$A:$A),MATCH(C$1,[2]quests!$1:$1,0)-MATCH($B$1,[2]quests!$1:$1,0)+1),MATCH(C$1,[2]quests!$1:$1,0)-MATCH($B$1,[2]quests!$1:$1,0)+1,FALSE)</f>
        <v>ポーラとダニー襲来！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降臨41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降臨41</v>
      </c>
      <c r="H15" s="83">
        <v>2</v>
      </c>
      <c r="I15" s="88">
        <f t="shared" si="0"/>
        <v>14</v>
      </c>
      <c r="J15" s="84" t="str">
        <f t="shared" si="2"/>
        <v>4004114</v>
      </c>
      <c r="K15" s="82" t="s">
        <v>128</v>
      </c>
      <c r="L15" s="85" t="s">
        <v>198</v>
      </c>
      <c r="M15" s="285" t="s">
        <v>437</v>
      </c>
      <c r="N15" s="56" t="s">
        <v>199</v>
      </c>
    </row>
    <row r="16" spans="1:14" ht="56" x14ac:dyDescent="0.15">
      <c r="A16" s="79" t="s">
        <v>196</v>
      </c>
      <c r="B16" s="80">
        <f>floors!$C$2</f>
        <v>40041</v>
      </c>
      <c r="C16" s="81" t="str">
        <f ca="1">VLOOKUP($B16,OFFSET([2]quests!$A$1,0,0,COUNTA([2]quests!$A:$A),MATCH(C$1,[2]quests!$1:$1,0)-MATCH($B$1,[2]quests!$1:$1,0)+1),MATCH(C$1,[2]quests!$1:$1,0)-MATCH($B$1,[2]quests!$1:$1,0)+1,FALSE)</f>
        <v>ポーラとダニー襲来！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降臨41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降臨41</v>
      </c>
      <c r="H16" s="83">
        <v>3</v>
      </c>
      <c r="I16" s="88">
        <f t="shared" si="0"/>
        <v>15</v>
      </c>
      <c r="J16" s="84" t="str">
        <f t="shared" si="2"/>
        <v>4004115</v>
      </c>
      <c r="K16" s="82" t="s">
        <v>128</v>
      </c>
      <c r="L16" s="85" t="s">
        <v>198</v>
      </c>
      <c r="M16" s="285" t="s">
        <v>438</v>
      </c>
      <c r="N16" s="56" t="s">
        <v>199</v>
      </c>
    </row>
    <row r="17" spans="1:14" ht="42" x14ac:dyDescent="0.15">
      <c r="A17" s="79" t="s">
        <v>196</v>
      </c>
      <c r="B17" s="80">
        <f>floors!$C$2</f>
        <v>40041</v>
      </c>
      <c r="C17" s="81" t="str">
        <f ca="1">VLOOKUP($B17,OFFSET([2]quests!$A$1,0,0,COUNTA([2]quests!$A:$A),MATCH(C$1,[2]quests!$1:$1,0)-MATCH($B$1,[2]quests!$1:$1,0)+1),MATCH(C$1,[2]quests!$1:$1,0)-MATCH($B$1,[2]quests!$1:$1,0)+1,FALSE)</f>
        <v>ポーラとダニー襲来！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降臨41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降臨41</v>
      </c>
      <c r="H17" s="83">
        <v>4</v>
      </c>
      <c r="I17" s="88">
        <f t="shared" si="0"/>
        <v>16</v>
      </c>
      <c r="J17" s="84" t="str">
        <f t="shared" si="2"/>
        <v>4004116</v>
      </c>
      <c r="K17" s="82" t="s">
        <v>128</v>
      </c>
      <c r="L17" s="85" t="s">
        <v>198</v>
      </c>
      <c r="M17" s="285" t="s">
        <v>439</v>
      </c>
      <c r="N17" s="56" t="s">
        <v>199</v>
      </c>
    </row>
    <row r="18" spans="1:14" ht="42" x14ac:dyDescent="0.15">
      <c r="A18" s="79" t="s">
        <v>196</v>
      </c>
      <c r="B18" s="80">
        <f>floors!$C$2</f>
        <v>40041</v>
      </c>
      <c r="C18" s="81" t="str">
        <f ca="1">VLOOKUP($B18,OFFSET([2]quests!$A$1,0,0,COUNTA([2]quests!$A:$A),MATCH(C$1,[2]quests!$1:$1,0)-MATCH($B$1,[2]quests!$1:$1,0)+1),MATCH(C$1,[2]quests!$1:$1,0)-MATCH($B$1,[2]quests!$1:$1,0)+1,FALSE)</f>
        <v>ポーラとダニー襲来！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降臨41</v>
      </c>
      <c r="E18" s="82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降臨41</v>
      </c>
      <c r="H18" s="83">
        <v>4</v>
      </c>
      <c r="I18" s="88">
        <f t="shared" si="0"/>
        <v>17</v>
      </c>
      <c r="J18" s="84" t="str">
        <f t="shared" si="2"/>
        <v>4004117</v>
      </c>
      <c r="K18" s="82" t="s">
        <v>128</v>
      </c>
      <c r="L18" s="85" t="s">
        <v>198</v>
      </c>
      <c r="M18" s="285" t="s">
        <v>440</v>
      </c>
      <c r="N18" s="56" t="s">
        <v>199</v>
      </c>
    </row>
    <row r="19" spans="1:14" ht="42" x14ac:dyDescent="0.15">
      <c r="A19" s="79" t="s">
        <v>196</v>
      </c>
      <c r="B19" s="80">
        <f>floors!$C$2</f>
        <v>40041</v>
      </c>
      <c r="C19" s="81" t="str">
        <f ca="1">VLOOKUP($B19,OFFSET([2]quests!$A$1,0,0,COUNTA([2]quests!$A:$A),MATCH(C$1,[2]quests!$1:$1,0)-MATCH($B$1,[2]quests!$1:$1,0)+1),MATCH(C$1,[2]quests!$1:$1,0)-MATCH($B$1,[2]quests!$1:$1,0)+1,FALSE)</f>
        <v>ポーラとダニー襲来！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降臨41</v>
      </c>
      <c r="E19" s="82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降臨41</v>
      </c>
      <c r="H19" s="83">
        <v>4</v>
      </c>
      <c r="I19" s="88">
        <f t="shared" si="0"/>
        <v>18</v>
      </c>
      <c r="J19" s="84" t="str">
        <f t="shared" si="2"/>
        <v>4004118</v>
      </c>
      <c r="K19" s="82" t="s">
        <v>128</v>
      </c>
      <c r="L19" s="85" t="s">
        <v>198</v>
      </c>
      <c r="M19" s="285" t="s">
        <v>441</v>
      </c>
      <c r="N19" s="56" t="s">
        <v>199</v>
      </c>
    </row>
    <row r="20" spans="1:14" ht="70" x14ac:dyDescent="0.15">
      <c r="A20" s="286" t="s">
        <v>200</v>
      </c>
      <c r="B20" s="287">
        <f>floors!$C$2</f>
        <v>40041</v>
      </c>
      <c r="C20" s="288" t="str">
        <f ca="1">VLOOKUP($B20,OFFSET([2]quests!$A$1,0,0,COUNTA([2]quests!$A:$A),MATCH(C$1,[2]quests!$1:$1,0)-MATCH($B$1,[2]quests!$1:$1,0)+1),MATCH(C$1,[2]quests!$1:$1,0)-MATCH($B$1,[2]quests!$1:$1,0)+1,FALSE)</f>
        <v>ポーラとダニー襲来！</v>
      </c>
      <c r="D20" s="288" t="str">
        <f ca="1">VLOOKUP($B20,OFFSET([2]quests!$A$1,0,0,COUNTA([2]quests!$A:$A),MATCH(D$1,[2]quests!$1:$1,0)-MATCH($B$1,[2]quests!$1:$1,0)+1),MATCH(D$1,[2]quests!$1:$1,0)-MATCH($B$1,[2]quests!$1:$1,0)+1,FALSE)</f>
        <v>降臨41</v>
      </c>
      <c r="E20" s="289">
        <v>2</v>
      </c>
      <c r="F20" s="288" t="str">
        <f ca="1">VLOOKUP($B20&amp;"_"&amp;$E20,OFFSET([2]stages!$A$1,0,0,COUNTA([2]stages!$A:$A),MATCH(F$1,[2]stages!$2:$2,0)-MATCH("temp_stage",[2]stages!$2:$2,0)+1),MATCH(F$1,[2]stages!$2:$2,0)-MATCH("temp_stage",[2]stages!$2:$2,0)+1,FALSE)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20" s="288" t="str">
        <f ca="1">VLOOKUP($B20&amp;"_"&amp;$E20,OFFSET([2]stages!$A$1,0,0,COUNTA([2]stages!$A:$A),MATCH(G$1,[2]stages!$2:$2,0)-MATCH("temp_stage",[2]stages!$2:$2,0)+1),MATCH(G$1,[2]stages!$2:$2,0)-MATCH("temp_stage",[2]stages!$2:$2,0)+1,FALSE)</f>
        <v>降臨41</v>
      </c>
      <c r="H20" s="288">
        <v>0</v>
      </c>
      <c r="I20" s="88">
        <f t="shared" si="0"/>
        <v>19</v>
      </c>
      <c r="J20" s="84" t="str">
        <f t="shared" si="2"/>
        <v>4004119</v>
      </c>
      <c r="K20" s="289" t="s">
        <v>128</v>
      </c>
      <c r="L20" s="290" t="s">
        <v>443</v>
      </c>
      <c r="M20" s="291" t="s">
        <v>517</v>
      </c>
      <c r="N20" s="57" t="s">
        <v>199</v>
      </c>
    </row>
    <row r="21" spans="1:14" ht="70" x14ac:dyDescent="0.15">
      <c r="A21" s="286" t="s">
        <v>200</v>
      </c>
      <c r="B21" s="287">
        <f>floors!$C$2</f>
        <v>40041</v>
      </c>
      <c r="C21" s="288" t="str">
        <f ca="1">VLOOKUP($B21,OFFSET([2]quests!$A$1,0,0,COUNTA([2]quests!$A:$A),MATCH(C$1,[2]quests!$1:$1,0)-MATCH($B$1,[2]quests!$1:$1,0)+1),MATCH(C$1,[2]quests!$1:$1,0)-MATCH($B$1,[2]quests!$1:$1,0)+1,FALSE)</f>
        <v>ポーラとダニー襲来！</v>
      </c>
      <c r="D21" s="288" t="str">
        <f ca="1">VLOOKUP($B21,OFFSET([2]quests!$A$1,0,0,COUNTA([2]quests!$A:$A),MATCH(D$1,[2]quests!$1:$1,0)-MATCH($B$1,[2]quests!$1:$1,0)+1),MATCH(D$1,[2]quests!$1:$1,0)-MATCH($B$1,[2]quests!$1:$1,0)+1,FALSE)</f>
        <v>降臨41</v>
      </c>
      <c r="E21" s="289">
        <v>2</v>
      </c>
      <c r="F21" s="288" t="str">
        <f ca="1">VLOOKUP($B21&amp;"_"&amp;$E21,OFFSET([2]stages!$A$1,0,0,COUNTA([2]stages!$A:$A),MATCH(F$1,[2]stages!$2:$2,0)-MATCH("temp_stage",[2]stages!$2:$2,0)+1),MATCH(F$1,[2]stages!$2:$2,0)-MATCH("temp_stage",[2]stages!$2:$2,0)+1,FALSE)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21" s="288" t="str">
        <f ca="1">VLOOKUP($B21&amp;"_"&amp;$E21,OFFSET([2]stages!$A$1,0,0,COUNTA([2]stages!$A:$A),MATCH(G$1,[2]stages!$2:$2,0)-MATCH("temp_stage",[2]stages!$2:$2,0)+1),MATCH(G$1,[2]stages!$2:$2,0)-MATCH("temp_stage",[2]stages!$2:$2,0)+1,FALSE)</f>
        <v>降臨41</v>
      </c>
      <c r="H21" s="288">
        <v>0</v>
      </c>
      <c r="I21" s="88">
        <f t="shared" si="0"/>
        <v>20</v>
      </c>
      <c r="J21" s="84" t="str">
        <f t="shared" si="2"/>
        <v>4004120</v>
      </c>
      <c r="K21" s="289" t="s">
        <v>128</v>
      </c>
      <c r="L21" s="290" t="s">
        <v>444</v>
      </c>
      <c r="M21" s="291" t="s">
        <v>491</v>
      </c>
      <c r="N21" s="57" t="s">
        <v>199</v>
      </c>
    </row>
    <row r="22" spans="1:14" ht="42" x14ac:dyDescent="0.15">
      <c r="A22" s="286" t="s">
        <v>200</v>
      </c>
      <c r="B22" s="287">
        <f>floors!$C$2</f>
        <v>40041</v>
      </c>
      <c r="C22" s="288" t="str">
        <f ca="1">VLOOKUP($B22,OFFSET([2]quests!$A$1,0,0,COUNTA([2]quests!$A:$A),MATCH(C$1,[2]quests!$1:$1,0)-MATCH($B$1,[2]quests!$1:$1,0)+1),MATCH(C$1,[2]quests!$1:$1,0)-MATCH($B$1,[2]quests!$1:$1,0)+1,FALSE)</f>
        <v>ポーラとダニー襲来！</v>
      </c>
      <c r="D22" s="288" t="str">
        <f ca="1">VLOOKUP($B22,OFFSET([2]quests!$A$1,0,0,COUNTA([2]quests!$A:$A),MATCH(D$1,[2]quests!$1:$1,0)-MATCH($B$1,[2]quests!$1:$1,0)+1),MATCH(D$1,[2]quests!$1:$1,0)-MATCH($B$1,[2]quests!$1:$1,0)+1,FALSE)</f>
        <v>降臨41</v>
      </c>
      <c r="E22" s="289">
        <v>2</v>
      </c>
      <c r="F22" s="288" t="str">
        <f ca="1">VLOOKUP($B22&amp;"_"&amp;$E22,OFFSET([2]stages!$A$1,0,0,COUNTA([2]stages!$A:$A),MATCH(F$1,[2]stages!$2:$2,0)-MATCH("temp_stage",[2]stages!$2:$2,0)+1),MATCH(F$1,[2]stages!$2:$2,0)-MATCH("temp_stage",[2]stages!$2:$2,0)+1,FALSE)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22" s="288" t="str">
        <f ca="1">VLOOKUP($B22&amp;"_"&amp;$E22,OFFSET([2]stages!$A$1,0,0,COUNTA([2]stages!$A:$A),MATCH(G$1,[2]stages!$2:$2,0)-MATCH("temp_stage",[2]stages!$2:$2,0)+1),MATCH(G$1,[2]stages!$2:$2,0)-MATCH("temp_stage",[2]stages!$2:$2,0)+1,FALSE)</f>
        <v>降臨41</v>
      </c>
      <c r="H22" s="288">
        <v>0</v>
      </c>
      <c r="I22" s="88">
        <f t="shared" si="0"/>
        <v>21</v>
      </c>
      <c r="J22" s="84" t="str">
        <f t="shared" si="2"/>
        <v>4004121</v>
      </c>
      <c r="K22" s="289" t="s">
        <v>128</v>
      </c>
      <c r="L22" s="290" t="s">
        <v>445</v>
      </c>
      <c r="M22" s="291" t="s">
        <v>442</v>
      </c>
      <c r="N22" s="57" t="s">
        <v>199</v>
      </c>
    </row>
    <row r="23" spans="1:14" ht="56" x14ac:dyDescent="0.15">
      <c r="A23" s="286" t="s">
        <v>200</v>
      </c>
      <c r="B23" s="287">
        <f>floors!$C$2</f>
        <v>40041</v>
      </c>
      <c r="C23" s="288" t="str">
        <f ca="1">VLOOKUP($B23,OFFSET([2]quests!$A$1,0,0,COUNTA([2]quests!$A:$A),MATCH(C$1,[2]quests!$1:$1,0)-MATCH($B$1,[2]quests!$1:$1,0)+1),MATCH(C$1,[2]quests!$1:$1,0)-MATCH($B$1,[2]quests!$1:$1,0)+1,FALSE)</f>
        <v>ポーラとダニー襲来！</v>
      </c>
      <c r="D23" s="288" t="str">
        <f ca="1">VLOOKUP($B23,OFFSET([2]quests!$A$1,0,0,COUNTA([2]quests!$A:$A),MATCH(D$1,[2]quests!$1:$1,0)-MATCH($B$1,[2]quests!$1:$1,0)+1),MATCH(D$1,[2]quests!$1:$1,0)-MATCH($B$1,[2]quests!$1:$1,0)+1,FALSE)</f>
        <v>降臨41</v>
      </c>
      <c r="E23" s="289">
        <v>2</v>
      </c>
      <c r="F23" s="288" t="str">
        <f ca="1">VLOOKUP($B23&amp;"_"&amp;$E23,OFFSET([2]stages!$A$1,0,0,COUNTA([2]stages!$A:$A),MATCH(F$1,[2]stages!$2:$2,0)-MATCH("temp_stage",[2]stages!$2:$2,0)+1),MATCH(F$1,[2]stages!$2:$2,0)-MATCH("temp_stage",[2]stages!$2:$2,0)+1,FALSE)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23" s="288" t="str">
        <f ca="1">VLOOKUP($B23&amp;"_"&amp;$E23,OFFSET([2]stages!$A$1,0,0,COUNTA([2]stages!$A:$A),MATCH(G$1,[2]stages!$2:$2,0)-MATCH("temp_stage",[2]stages!$2:$2,0)+1),MATCH(G$1,[2]stages!$2:$2,0)-MATCH("temp_stage",[2]stages!$2:$2,0)+1,FALSE)</f>
        <v>降臨41</v>
      </c>
      <c r="H23" s="288">
        <v>0</v>
      </c>
      <c r="I23" s="88">
        <f t="shared" si="0"/>
        <v>22</v>
      </c>
      <c r="J23" s="84" t="str">
        <f t="shared" si="2"/>
        <v>4004122</v>
      </c>
      <c r="K23" s="289" t="s">
        <v>128</v>
      </c>
      <c r="L23" s="290" t="s">
        <v>446</v>
      </c>
      <c r="M23" s="291" t="s">
        <v>492</v>
      </c>
      <c r="N23" s="57" t="s">
        <v>199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2" sqref="L2"/>
    </sheetView>
  </sheetViews>
  <sheetFormatPr baseColWidth="12" defaultColWidth="13" defaultRowHeight="15" outlineLevelCol="1" x14ac:dyDescent="0.15"/>
  <cols>
    <col min="1" max="1" width="12.83203125" customWidth="1"/>
    <col min="2" max="2" width="11.33203125" customWidth="1"/>
    <col min="3" max="3" width="17" customWidth="1" outlineLevel="1"/>
    <col min="4" max="4" width="18.83203125" customWidth="1" outlineLevel="1"/>
    <col min="5" max="5" width="8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212</v>
      </c>
      <c r="B1" s="93" t="s">
        <v>213</v>
      </c>
      <c r="C1" s="75" t="s">
        <v>214</v>
      </c>
      <c r="D1" s="75" t="s">
        <v>33</v>
      </c>
      <c r="E1" s="93" t="s">
        <v>215</v>
      </c>
      <c r="F1" s="75" t="s">
        <v>216</v>
      </c>
      <c r="G1" s="75" t="s">
        <v>33</v>
      </c>
      <c r="H1" s="93" t="s">
        <v>217</v>
      </c>
      <c r="I1" s="93" t="s">
        <v>218</v>
      </c>
      <c r="J1" s="93" t="s">
        <v>219</v>
      </c>
      <c r="K1" s="71" t="s">
        <v>220</v>
      </c>
      <c r="L1" s="71" t="s">
        <v>221</v>
      </c>
      <c r="M1" s="71" t="s">
        <v>155</v>
      </c>
      <c r="N1" s="75" t="s">
        <v>16</v>
      </c>
      <c r="O1" s="71" t="s">
        <v>222</v>
      </c>
      <c r="P1" s="71" t="s">
        <v>57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94" t="str">
        <f>B2&amp;"_"&amp;E2&amp;"_"&amp;H2&amp;"_"&amp;I2&amp;"_"&amp;J2</f>
        <v>40041_2_everyone_no_continue_1</v>
      </c>
      <c r="B2" s="80">
        <v>40041</v>
      </c>
      <c r="C2" s="81" t="str">
        <f ca="1">VLOOKUP($B2,OFFSET([2]quests!$A$1,0,0,COUNTA([2]quests!$A:$A),MATCH(C$1,[2]quests!$1:$1,0)-MATCH($B$1,[2]quests!$1:$1,0)+1),MATCH(C$1,[2]quests!$1:$1,0)-MATCH($B$1,[2]quests!$1:$1,0)+1,FALSE)</f>
        <v>ポーラとダニー襲来！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降臨41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降臨41</v>
      </c>
      <c r="H2" s="83" t="s">
        <v>226</v>
      </c>
      <c r="I2" s="283" t="s">
        <v>433</v>
      </c>
      <c r="J2" s="82">
        <v>1</v>
      </c>
      <c r="K2" s="82">
        <v>1000</v>
      </c>
      <c r="L2" s="82" t="s">
        <v>227</v>
      </c>
      <c r="M2" s="82">
        <v>1282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ポーラとダニー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228</v>
      </c>
      <c r="X2" s="97" t="s">
        <v>229</v>
      </c>
    </row>
    <row r="3" spans="1:24" x14ac:dyDescent="0.15">
      <c r="A3" s="94" t="str">
        <f>B3&amp;"_"&amp;E3&amp;"_"&amp;H3&amp;"_"&amp;I3&amp;"_"&amp;J3</f>
        <v>40041_2_everyone_full_member_2</v>
      </c>
      <c r="B3" s="80">
        <v>40041</v>
      </c>
      <c r="C3" s="81" t="str">
        <f ca="1">VLOOKUP($B3,OFFSET([2]quests!$A$1,0,0,COUNTA([2]quests!$A:$A),MATCH(C$1,[2]quests!$1:$1,0)-MATCH($B$1,[2]quests!$1:$1,0)+1),MATCH(C$1,[2]quests!$1:$1,0)-MATCH($B$1,[2]quests!$1:$1,0)+1,FALSE)</f>
        <v>ポーラとダニー襲来！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降臨41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【ｳｨｻﾞ】ポーラとダニー襲来！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降臨41</v>
      </c>
      <c r="H3" s="83" t="s">
        <v>226</v>
      </c>
      <c r="I3" s="284" t="s">
        <v>434</v>
      </c>
      <c r="J3" s="82">
        <v>2</v>
      </c>
      <c r="K3" s="82">
        <v>1000</v>
      </c>
      <c r="L3" s="82" t="s">
        <v>227</v>
      </c>
      <c r="M3" s="82">
        <v>1282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ポーラとダニー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228</v>
      </c>
      <c r="X3" s="97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2017-03-28T02:42:20Z</dcterms:modified>
</cp:coreProperties>
</file>