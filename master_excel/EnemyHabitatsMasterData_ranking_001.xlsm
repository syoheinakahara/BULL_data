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24" codeName="{00000000-0000-0000-0000-000000000000}"/>
  <workbookPr codeName="ThisWorkbook" autoCompressPictures="0"/>
  <bookViews>
    <workbookView xWindow="1860" yWindow="1680" windowWidth="25120" windowHeight="15600" tabRatio="936" activeTab="4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ACH" sheetId="22" r:id="rId8"/>
    <sheet name="ranking_gift" sheetId="29" r:id="rId9"/>
    <sheet name="enemy_habitats" sheetId="1" r:id="rId10"/>
    <sheet name="enemy_habitat_S" sheetId="7" r:id="rId11"/>
    <sheet name="enemy_skill_sets" sheetId="9" r:id="rId12"/>
    <sheet name="enemy_skills" sheetId="10" r:id="rId13"/>
    <sheet name="enemy_skill_triggers" sheetId="11" r:id="rId14"/>
    <sheet name="bugbonuses" sheetId="18" r:id="rId15"/>
    <sheet name="stage_hints_complete" sheetId="19" r:id="rId16"/>
    <sheet name="stage_hints_failure" sheetId="21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xlnm._FilterDatabase" localSheetId="10" hidden="1">enemy_habitat_S!$B$1:$Y$2</definedName>
    <definedName name="_xlnm._FilterDatabase" localSheetId="9" hidden="1">enemy_habitats!$B$1:$AH$1</definedName>
    <definedName name="_xlnm._FilterDatabase" localSheetId="11" hidden="1">enemy_skill_sets!$A$1:$R$1</definedName>
    <definedName name="_xlnm._FilterDatabase" localSheetId="13" hidden="1">enemy_skill_triggers!$A$1:$G$1</definedName>
    <definedName name="_xlnm._FilterDatabase" localSheetId="12" hidden="1">enemy_skills!$A$1:$AB$1</definedName>
    <definedName name="_xlnm._FilterDatabase" localSheetId="15" hidden="1">stage_hints_complete!$B$1:$L$1</definedName>
    <definedName name="_xlnm._FilterDatabase" localSheetId="16" hidden="1">stage_hints_failure!$B$1:$M$2</definedName>
    <definedName name="Excel_BuiltIn__FilterDatabase_6_1" localSheetId="11">[1]unit_skills!#REF!</definedName>
    <definedName name="Excel_BuiltIn__FilterDatabase_6_1" localSheetId="13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0" i="26" l="1"/>
  <c r="D31" i="26"/>
  <c r="D32" i="26"/>
  <c r="D33" i="26"/>
  <c r="D34" i="26"/>
  <c r="D35" i="26"/>
  <c r="D36" i="26"/>
  <c r="D37" i="26"/>
  <c r="D38" i="26"/>
  <c r="D39" i="26"/>
  <c r="D40" i="26"/>
  <c r="D29" i="26"/>
  <c r="D35" i="28"/>
  <c r="D36" i="28"/>
  <c r="D37" i="28"/>
  <c r="D38" i="28"/>
  <c r="D39" i="28"/>
  <c r="D40" i="28"/>
  <c r="D41" i="28"/>
  <c r="D34" i="28"/>
  <c r="D27" i="28"/>
  <c r="D28" i="28"/>
  <c r="D29" i="28"/>
  <c r="D30" i="28"/>
  <c r="D31" i="28"/>
  <c r="D32" i="28"/>
  <c r="D26" i="28"/>
  <c r="J2" i="22"/>
  <c r="I2" i="22"/>
  <c r="H2" i="22"/>
  <c r="G36" i="22"/>
  <c r="G37" i="22"/>
  <c r="G38" i="22"/>
  <c r="G39" i="22"/>
  <c r="G40" i="22"/>
  <c r="P6" i="22"/>
  <c r="R6" i="22"/>
  <c r="S6" i="22"/>
  <c r="T6" i="22"/>
  <c r="U6" i="22"/>
  <c r="V6" i="22"/>
  <c r="P7" i="22"/>
  <c r="Q7" i="22"/>
  <c r="R7" i="22"/>
  <c r="S7" i="22"/>
  <c r="T7" i="22"/>
  <c r="U7" i="22"/>
  <c r="V7" i="22"/>
  <c r="P8" i="22"/>
  <c r="Q8" i="22"/>
  <c r="R8" i="22"/>
  <c r="S8" i="22"/>
  <c r="T8" i="22"/>
  <c r="U8" i="22"/>
  <c r="V8" i="22"/>
  <c r="P9" i="22"/>
  <c r="Q9" i="22"/>
  <c r="R9" i="22"/>
  <c r="S9" i="22"/>
  <c r="T9" i="22"/>
  <c r="U9" i="22"/>
  <c r="V9" i="22"/>
  <c r="P10" i="22"/>
  <c r="Q10" i="22"/>
  <c r="R10" i="22"/>
  <c r="S10" i="22"/>
  <c r="T10" i="22"/>
  <c r="U10" i="22"/>
  <c r="V10" i="22"/>
  <c r="P11" i="22"/>
  <c r="Q11" i="22"/>
  <c r="R11" i="22"/>
  <c r="S11" i="22"/>
  <c r="T11" i="22"/>
  <c r="U11" i="22"/>
  <c r="V11" i="22"/>
  <c r="P12" i="22"/>
  <c r="Q12" i="22"/>
  <c r="R12" i="22"/>
  <c r="S12" i="22"/>
  <c r="T12" i="22"/>
  <c r="U12" i="22"/>
  <c r="V12" i="22"/>
  <c r="P13" i="22"/>
  <c r="Q13" i="22"/>
  <c r="R13" i="22"/>
  <c r="S13" i="22"/>
  <c r="T13" i="22"/>
  <c r="U13" i="22"/>
  <c r="V13" i="22"/>
  <c r="P14" i="22"/>
  <c r="Q14" i="22"/>
  <c r="R14" i="22"/>
  <c r="S14" i="22"/>
  <c r="T14" i="22"/>
  <c r="U14" i="22"/>
  <c r="V14" i="22"/>
  <c r="P15" i="22"/>
  <c r="Q15" i="22"/>
  <c r="R15" i="22"/>
  <c r="S15" i="22"/>
  <c r="T15" i="22"/>
  <c r="U15" i="22"/>
  <c r="V15" i="22"/>
  <c r="P16" i="22"/>
  <c r="Q16" i="22"/>
  <c r="R16" i="22"/>
  <c r="S16" i="22"/>
  <c r="T16" i="22"/>
  <c r="U16" i="22"/>
  <c r="V16" i="22"/>
  <c r="P17" i="22"/>
  <c r="Q17" i="22"/>
  <c r="R17" i="22"/>
  <c r="S17" i="22"/>
  <c r="T17" i="22"/>
  <c r="U17" i="22"/>
  <c r="V17" i="22"/>
  <c r="P18" i="22"/>
  <c r="Q18" i="22"/>
  <c r="R18" i="22"/>
  <c r="S18" i="22"/>
  <c r="T18" i="22"/>
  <c r="U18" i="22"/>
  <c r="V18" i="22"/>
  <c r="P19" i="22"/>
  <c r="Q19" i="22"/>
  <c r="R19" i="22"/>
  <c r="S19" i="22"/>
  <c r="T19" i="22"/>
  <c r="U19" i="22"/>
  <c r="V19" i="22"/>
  <c r="P20" i="22"/>
  <c r="Q20" i="22"/>
  <c r="R20" i="22"/>
  <c r="S20" i="22"/>
  <c r="T20" i="22"/>
  <c r="U20" i="22"/>
  <c r="V20" i="22"/>
  <c r="P21" i="22"/>
  <c r="Q21" i="22"/>
  <c r="R21" i="22"/>
  <c r="S21" i="22"/>
  <c r="T21" i="22"/>
  <c r="U21" i="22"/>
  <c r="V21" i="22"/>
  <c r="P22" i="22"/>
  <c r="Q22" i="22"/>
  <c r="R22" i="22"/>
  <c r="S22" i="22"/>
  <c r="T22" i="22"/>
  <c r="U22" i="22"/>
  <c r="V22" i="22"/>
  <c r="P23" i="22"/>
  <c r="Q23" i="22"/>
  <c r="R23" i="22"/>
  <c r="S23" i="22"/>
  <c r="T23" i="22"/>
  <c r="U23" i="22"/>
  <c r="V23" i="22"/>
  <c r="P24" i="22"/>
  <c r="Q24" i="22"/>
  <c r="R24" i="22"/>
  <c r="S24" i="22"/>
  <c r="T24" i="22"/>
  <c r="U24" i="22"/>
  <c r="V24" i="22"/>
  <c r="P25" i="22"/>
  <c r="Q25" i="22"/>
  <c r="R25" i="22"/>
  <c r="S25" i="22"/>
  <c r="T25" i="22"/>
  <c r="U25" i="22"/>
  <c r="V25" i="22"/>
  <c r="P26" i="22"/>
  <c r="Q26" i="22"/>
  <c r="R26" i="22"/>
  <c r="S26" i="22"/>
  <c r="T26" i="22"/>
  <c r="U26" i="22"/>
  <c r="V26" i="22"/>
  <c r="P27" i="22"/>
  <c r="Q27" i="22"/>
  <c r="R27" i="22"/>
  <c r="S27" i="22"/>
  <c r="T27" i="22"/>
  <c r="U27" i="22"/>
  <c r="V27" i="22"/>
  <c r="P28" i="22"/>
  <c r="Q28" i="22"/>
  <c r="R28" i="22"/>
  <c r="S28" i="22"/>
  <c r="T28" i="22"/>
  <c r="U28" i="22"/>
  <c r="V28" i="22"/>
  <c r="P29" i="22"/>
  <c r="Q29" i="22"/>
  <c r="R29" i="22"/>
  <c r="S29" i="22"/>
  <c r="T29" i="22"/>
  <c r="U29" i="22"/>
  <c r="V29" i="22"/>
  <c r="P30" i="22"/>
  <c r="Q30" i="22"/>
  <c r="R30" i="22"/>
  <c r="S30" i="22"/>
  <c r="T30" i="22"/>
  <c r="U30" i="22"/>
  <c r="V30" i="22"/>
  <c r="P31" i="22"/>
  <c r="Q31" i="22"/>
  <c r="R31" i="22"/>
  <c r="S31" i="22"/>
  <c r="T31" i="22"/>
  <c r="U31" i="22"/>
  <c r="V31" i="22"/>
  <c r="P32" i="22"/>
  <c r="Q32" i="22"/>
  <c r="R32" i="22"/>
  <c r="S32" i="22"/>
  <c r="T32" i="22"/>
  <c r="U32" i="22"/>
  <c r="V32" i="22"/>
  <c r="P33" i="22"/>
  <c r="Q33" i="22"/>
  <c r="R33" i="22"/>
  <c r="S33" i="22"/>
  <c r="T33" i="22"/>
  <c r="U33" i="22"/>
  <c r="V33" i="22"/>
  <c r="P34" i="22"/>
  <c r="Q34" i="22"/>
  <c r="R34" i="22"/>
  <c r="S34" i="22"/>
  <c r="T34" i="22"/>
  <c r="U34" i="22"/>
  <c r="V34" i="22"/>
  <c r="P35" i="22"/>
  <c r="Q35" i="22"/>
  <c r="R35" i="22"/>
  <c r="S35" i="22"/>
  <c r="T35" i="22"/>
  <c r="U35" i="22"/>
  <c r="V35" i="22"/>
  <c r="P36" i="22"/>
  <c r="Q36" i="22"/>
  <c r="R36" i="22"/>
  <c r="S36" i="22"/>
  <c r="T36" i="22"/>
  <c r="U36" i="22"/>
  <c r="V36" i="22"/>
  <c r="P37" i="22"/>
  <c r="Q37" i="22"/>
  <c r="R37" i="22"/>
  <c r="S37" i="22"/>
  <c r="T37" i="22"/>
  <c r="U37" i="22"/>
  <c r="V37" i="22"/>
  <c r="P38" i="22"/>
  <c r="Q38" i="22"/>
  <c r="R38" i="22"/>
  <c r="S38" i="22"/>
  <c r="T38" i="22"/>
  <c r="U38" i="22"/>
  <c r="V38" i="22"/>
  <c r="P39" i="22"/>
  <c r="Q39" i="22"/>
  <c r="R39" i="22"/>
  <c r="S39" i="22"/>
  <c r="T39" i="22"/>
  <c r="U39" i="22"/>
  <c r="V39" i="22"/>
  <c r="P40" i="22"/>
  <c r="Q40" i="22"/>
  <c r="R40" i="22"/>
  <c r="S40" i="22"/>
  <c r="T40" i="22"/>
  <c r="U40" i="22"/>
  <c r="V40" i="22"/>
  <c r="P3" i="22"/>
  <c r="Q3" i="22"/>
  <c r="R3" i="22"/>
  <c r="S3" i="22"/>
  <c r="T3" i="22"/>
  <c r="U3" i="22"/>
  <c r="V3" i="22"/>
  <c r="P4" i="22"/>
  <c r="Q4" i="22"/>
  <c r="R4" i="22"/>
  <c r="S4" i="22"/>
  <c r="T4" i="22"/>
  <c r="U4" i="22"/>
  <c r="V4" i="22"/>
  <c r="P5" i="22"/>
  <c r="Q5" i="22"/>
  <c r="R5" i="22"/>
  <c r="S5" i="22"/>
  <c r="T5" i="22"/>
  <c r="U5" i="22"/>
  <c r="V5" i="22"/>
  <c r="V2" i="22"/>
  <c r="U2" i="22"/>
  <c r="T2" i="22"/>
  <c r="S2" i="22"/>
  <c r="R2" i="22"/>
  <c r="Q2" i="22"/>
  <c r="P2" i="22"/>
  <c r="J3" i="22"/>
  <c r="J4" i="22"/>
  <c r="J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I3" i="22"/>
  <c r="I4" i="22"/>
  <c r="I5" i="22"/>
  <c r="I6" i="22"/>
  <c r="I7" i="22"/>
  <c r="I8" i="22"/>
  <c r="I9" i="22"/>
  <c r="I10" i="22"/>
  <c r="I11" i="22"/>
  <c r="I12" i="22"/>
  <c r="I13" i="22"/>
  <c r="I14" i="22"/>
  <c r="I15" i="22"/>
  <c r="I16" i="22"/>
  <c r="I17" i="22"/>
  <c r="I18" i="22"/>
  <c r="I19" i="22"/>
  <c r="I20" i="22"/>
  <c r="I21" i="22"/>
  <c r="I22" i="22"/>
  <c r="I23" i="22"/>
  <c r="I24" i="22"/>
  <c r="I25" i="22"/>
  <c r="I26" i="22"/>
  <c r="I27" i="22"/>
  <c r="I28" i="22"/>
  <c r="I29" i="22"/>
  <c r="I30" i="22"/>
  <c r="I31" i="22"/>
  <c r="I32" i="22"/>
  <c r="I33" i="22"/>
  <c r="I34" i="22"/>
  <c r="I35" i="22"/>
  <c r="I36" i="22"/>
  <c r="I37" i="22"/>
  <c r="I38" i="22"/>
  <c r="I39" i="22"/>
  <c r="I40" i="22"/>
  <c r="H3" i="22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B6" i="22"/>
  <c r="C6" i="22"/>
  <c r="B7" i="22"/>
  <c r="C7" i="22"/>
  <c r="B8" i="22"/>
  <c r="C8" i="22"/>
  <c r="B9" i="22"/>
  <c r="C9" i="22"/>
  <c r="B10" i="22"/>
  <c r="C10" i="22"/>
  <c r="B11" i="22"/>
  <c r="C11" i="22"/>
  <c r="B12" i="22"/>
  <c r="C12" i="22"/>
  <c r="B13" i="22"/>
  <c r="C13" i="22"/>
  <c r="B14" i="22"/>
  <c r="C14" i="22"/>
  <c r="B15" i="22"/>
  <c r="C15" i="22"/>
  <c r="B16" i="22"/>
  <c r="C16" i="22"/>
  <c r="B17" i="22"/>
  <c r="C17" i="22"/>
  <c r="B18" i="22"/>
  <c r="C18" i="22"/>
  <c r="B19" i="22"/>
  <c r="C19" i="22"/>
  <c r="B20" i="22"/>
  <c r="C20" i="22"/>
  <c r="B21" i="22"/>
  <c r="C21" i="22"/>
  <c r="B22" i="22"/>
  <c r="C22" i="22"/>
  <c r="B23" i="22"/>
  <c r="C23" i="22"/>
  <c r="B24" i="22"/>
  <c r="C24" i="22"/>
  <c r="B25" i="22"/>
  <c r="C25" i="22"/>
  <c r="B26" i="22"/>
  <c r="C26" i="22"/>
  <c r="B27" i="22"/>
  <c r="C27" i="22"/>
  <c r="B28" i="22"/>
  <c r="C28" i="22"/>
  <c r="B29" i="22"/>
  <c r="C29" i="22"/>
  <c r="B30" i="22"/>
  <c r="C30" i="22"/>
  <c r="B31" i="22"/>
  <c r="C31" i="22"/>
  <c r="B32" i="22"/>
  <c r="C32" i="22"/>
  <c r="B33" i="22"/>
  <c r="C33" i="22"/>
  <c r="B34" i="22"/>
  <c r="C34" i="22"/>
  <c r="B35" i="22"/>
  <c r="C35" i="22"/>
  <c r="B36" i="22"/>
  <c r="C36" i="22"/>
  <c r="B37" i="22"/>
  <c r="C37" i="22"/>
  <c r="B38" i="22"/>
  <c r="C38" i="22"/>
  <c r="B39" i="22"/>
  <c r="C39" i="22"/>
  <c r="B40" i="22"/>
  <c r="C40" i="22"/>
  <c r="AA7" i="1"/>
  <c r="A7" i="1"/>
  <c r="AA8" i="1"/>
  <c r="A8" i="1"/>
  <c r="A9" i="1"/>
  <c r="AA10" i="1"/>
  <c r="A10" i="1"/>
  <c r="AA11" i="1"/>
  <c r="A11" i="1"/>
  <c r="A12" i="1"/>
  <c r="AA13" i="1"/>
  <c r="A13" i="1"/>
  <c r="AA14" i="1"/>
  <c r="A14" i="1"/>
  <c r="AA15" i="1"/>
  <c r="A15" i="1"/>
  <c r="AA16" i="1"/>
  <c r="A16" i="1"/>
  <c r="A17" i="1"/>
  <c r="AA18" i="1"/>
  <c r="A18" i="1"/>
  <c r="AA19" i="1"/>
  <c r="A19" i="1"/>
  <c r="A20" i="1"/>
  <c r="AA21" i="1"/>
  <c r="A21" i="1"/>
  <c r="AA22" i="1"/>
  <c r="A22" i="1"/>
  <c r="A23" i="1"/>
  <c r="AA24" i="1"/>
  <c r="A24" i="1"/>
  <c r="AA25" i="1"/>
  <c r="A25" i="1"/>
  <c r="AA26" i="1"/>
  <c r="A26" i="1"/>
  <c r="AA27" i="1"/>
  <c r="A27" i="1"/>
  <c r="A28" i="1"/>
  <c r="AA29" i="1"/>
  <c r="A29" i="1"/>
  <c r="AA30" i="1"/>
  <c r="A30" i="1"/>
  <c r="A31" i="1"/>
  <c r="AA32" i="1"/>
  <c r="A32" i="1"/>
  <c r="AA33" i="1"/>
  <c r="A33" i="1"/>
  <c r="A34" i="1"/>
  <c r="AA35" i="1"/>
  <c r="A35" i="1"/>
  <c r="AA36" i="1"/>
  <c r="A36" i="1"/>
  <c r="AA37" i="1"/>
  <c r="A37" i="1"/>
  <c r="AA38" i="1"/>
  <c r="A38" i="1"/>
  <c r="A39" i="1"/>
  <c r="AA40" i="1"/>
  <c r="A40" i="1"/>
  <c r="AA41" i="1"/>
  <c r="A41" i="1"/>
  <c r="A42" i="1"/>
  <c r="AA43" i="1"/>
  <c r="A43" i="1"/>
  <c r="AA44" i="1"/>
  <c r="A44" i="1"/>
  <c r="A45" i="1"/>
  <c r="AA46" i="1"/>
  <c r="A46" i="1"/>
  <c r="AA47" i="1"/>
  <c r="A47" i="1"/>
  <c r="AA48" i="1"/>
  <c r="A48" i="1"/>
  <c r="AA49" i="1"/>
  <c r="A49" i="1"/>
  <c r="A50" i="1"/>
  <c r="AA51" i="1"/>
  <c r="A51" i="1"/>
  <c r="AA52" i="1"/>
  <c r="A52" i="1"/>
  <c r="A53" i="1"/>
  <c r="AA54" i="1"/>
  <c r="A54" i="1"/>
  <c r="AA55" i="1"/>
  <c r="A55" i="1"/>
  <c r="A56" i="1"/>
  <c r="AA57" i="1"/>
  <c r="A57" i="1"/>
  <c r="AA58" i="1"/>
  <c r="A58" i="1"/>
  <c r="AA59" i="1"/>
  <c r="A59" i="1"/>
  <c r="AA60" i="1"/>
  <c r="A60" i="1"/>
  <c r="A61" i="1"/>
  <c r="AA62" i="1"/>
  <c r="A62" i="1"/>
  <c r="AA63" i="1"/>
  <c r="A63" i="1"/>
  <c r="A64" i="1"/>
  <c r="AA65" i="1"/>
  <c r="A65" i="1"/>
  <c r="AA66" i="1"/>
  <c r="A66" i="1"/>
  <c r="A67" i="1"/>
  <c r="AA68" i="1"/>
  <c r="A68" i="1"/>
  <c r="AA69" i="1"/>
  <c r="A69" i="1"/>
  <c r="AA70" i="1"/>
  <c r="A70" i="1"/>
  <c r="AA71" i="1"/>
  <c r="A71" i="1"/>
  <c r="A72" i="1"/>
  <c r="AA73" i="1"/>
  <c r="A73" i="1"/>
  <c r="AA74" i="1"/>
  <c r="A74" i="1"/>
  <c r="A75" i="1"/>
  <c r="AA76" i="1"/>
  <c r="A76" i="1"/>
  <c r="AA77" i="1"/>
  <c r="A77" i="1"/>
  <c r="A78" i="1"/>
  <c r="AA2" i="1"/>
  <c r="A2" i="1"/>
  <c r="AA3" i="1"/>
  <c r="A3" i="1"/>
  <c r="AA4" i="1"/>
  <c r="A4" i="1"/>
  <c r="AA5" i="1"/>
  <c r="A5" i="1"/>
  <c r="G43" i="2"/>
  <c r="H43" i="2"/>
  <c r="E43" i="2"/>
  <c r="D43" i="2"/>
  <c r="A43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B43" i="2"/>
  <c r="G42" i="2"/>
  <c r="H42" i="2"/>
  <c r="E42" i="2"/>
  <c r="D42" i="2"/>
  <c r="A42" i="2"/>
  <c r="B42" i="2"/>
  <c r="G41" i="2"/>
  <c r="H41" i="2"/>
  <c r="E41" i="2"/>
  <c r="D41" i="2"/>
  <c r="A41" i="2"/>
  <c r="B41" i="2"/>
  <c r="G40" i="2"/>
  <c r="H40" i="2"/>
  <c r="E40" i="2"/>
  <c r="D40" i="2"/>
  <c r="A40" i="2"/>
  <c r="B40" i="2"/>
  <c r="G39" i="2"/>
  <c r="H39" i="2"/>
  <c r="E39" i="2"/>
  <c r="D39" i="2"/>
  <c r="A39" i="2"/>
  <c r="B39" i="2"/>
  <c r="G38" i="2"/>
  <c r="H38" i="2"/>
  <c r="E38" i="2"/>
  <c r="D38" i="2"/>
  <c r="A38" i="2"/>
  <c r="B38" i="2"/>
  <c r="G37" i="2"/>
  <c r="H37" i="2"/>
  <c r="E37" i="2"/>
  <c r="D37" i="2"/>
  <c r="A37" i="2"/>
  <c r="B37" i="2"/>
  <c r="G36" i="2"/>
  <c r="H36" i="2"/>
  <c r="E36" i="2"/>
  <c r="D36" i="2"/>
  <c r="A36" i="2"/>
  <c r="B36" i="2"/>
  <c r="G35" i="2"/>
  <c r="H35" i="2"/>
  <c r="E35" i="2"/>
  <c r="D35" i="2"/>
  <c r="A35" i="2"/>
  <c r="B35" i="2"/>
  <c r="G34" i="2"/>
  <c r="H34" i="2"/>
  <c r="E34" i="2"/>
  <c r="D34" i="2"/>
  <c r="A34" i="2"/>
  <c r="B34" i="2"/>
  <c r="G33" i="2"/>
  <c r="H33" i="2"/>
  <c r="E33" i="2"/>
  <c r="D33" i="2"/>
  <c r="A33" i="2"/>
  <c r="B33" i="2"/>
  <c r="G32" i="2"/>
  <c r="H32" i="2"/>
  <c r="E32" i="2"/>
  <c r="D32" i="2"/>
  <c r="A32" i="2"/>
  <c r="B32" i="2"/>
  <c r="G31" i="2"/>
  <c r="H31" i="2"/>
  <c r="E31" i="2"/>
  <c r="D31" i="2"/>
  <c r="A31" i="2"/>
  <c r="B31" i="2"/>
  <c r="G30" i="2"/>
  <c r="H30" i="2"/>
  <c r="E30" i="2"/>
  <c r="D30" i="2"/>
  <c r="A30" i="2"/>
  <c r="B30" i="2"/>
  <c r="G29" i="2"/>
  <c r="H29" i="2"/>
  <c r="E29" i="2"/>
  <c r="D29" i="2"/>
  <c r="A29" i="2"/>
  <c r="B29" i="2"/>
  <c r="G28" i="2"/>
  <c r="H28" i="2"/>
  <c r="E28" i="2"/>
  <c r="D28" i="2"/>
  <c r="A28" i="2"/>
  <c r="B28" i="2"/>
  <c r="G27" i="2"/>
  <c r="H27" i="2"/>
  <c r="E27" i="2"/>
  <c r="D27" i="2"/>
  <c r="A27" i="2"/>
  <c r="B27" i="2"/>
  <c r="G26" i="2"/>
  <c r="H26" i="2"/>
  <c r="E26" i="2"/>
  <c r="D26" i="2"/>
  <c r="A26" i="2"/>
  <c r="B26" i="2"/>
  <c r="L92" i="19"/>
  <c r="K92" i="19"/>
  <c r="G92" i="19"/>
  <c r="F92" i="19"/>
  <c r="D92" i="19"/>
  <c r="C92" i="19"/>
  <c r="L91" i="19"/>
  <c r="K91" i="19"/>
  <c r="G91" i="19"/>
  <c r="F91" i="19"/>
  <c r="D91" i="19"/>
  <c r="C91" i="19"/>
  <c r="L90" i="19"/>
  <c r="K90" i="19"/>
  <c r="G90" i="19"/>
  <c r="F90" i="19"/>
  <c r="D90" i="19"/>
  <c r="C90" i="19"/>
  <c r="L89" i="19"/>
  <c r="K89" i="19"/>
  <c r="G89" i="19"/>
  <c r="F89" i="19"/>
  <c r="D89" i="19"/>
  <c r="C89" i="19"/>
  <c r="L88" i="19"/>
  <c r="K88" i="19"/>
  <c r="G88" i="19"/>
  <c r="F88" i="19"/>
  <c r="D88" i="19"/>
  <c r="C88" i="19"/>
  <c r="L87" i="19"/>
  <c r="K87" i="19"/>
  <c r="G87" i="19"/>
  <c r="F87" i="19"/>
  <c r="D87" i="19"/>
  <c r="C87" i="19"/>
  <c r="L86" i="19"/>
  <c r="K86" i="19"/>
  <c r="G86" i="19"/>
  <c r="F86" i="19"/>
  <c r="D86" i="19"/>
  <c r="C86" i="19"/>
  <c r="L85" i="19"/>
  <c r="K85" i="19"/>
  <c r="G85" i="19"/>
  <c r="F85" i="19"/>
  <c r="D85" i="19"/>
  <c r="C85" i="19"/>
  <c r="L84" i="19"/>
  <c r="K84" i="19"/>
  <c r="G84" i="19"/>
  <c r="F84" i="19"/>
  <c r="D84" i="19"/>
  <c r="C84" i="19"/>
  <c r="L83" i="19"/>
  <c r="K83" i="19"/>
  <c r="G83" i="19"/>
  <c r="F83" i="19"/>
  <c r="D83" i="19"/>
  <c r="C83" i="19"/>
  <c r="L82" i="19"/>
  <c r="K82" i="19"/>
  <c r="G82" i="19"/>
  <c r="F82" i="19"/>
  <c r="D82" i="19"/>
  <c r="C82" i="19"/>
  <c r="L81" i="19"/>
  <c r="K81" i="19"/>
  <c r="G81" i="19"/>
  <c r="F81" i="19"/>
  <c r="D81" i="19"/>
  <c r="C81" i="19"/>
  <c r="L80" i="19"/>
  <c r="K80" i="19"/>
  <c r="G80" i="19"/>
  <c r="F80" i="19"/>
  <c r="D80" i="19"/>
  <c r="C80" i="19"/>
  <c r="L79" i="19"/>
  <c r="K79" i="19"/>
  <c r="G79" i="19"/>
  <c r="F79" i="19"/>
  <c r="D79" i="19"/>
  <c r="C79" i="19"/>
  <c r="L78" i="19"/>
  <c r="K78" i="19"/>
  <c r="G78" i="19"/>
  <c r="F78" i="19"/>
  <c r="D78" i="19"/>
  <c r="C78" i="19"/>
  <c r="L77" i="19"/>
  <c r="K77" i="19"/>
  <c r="G77" i="19"/>
  <c r="F77" i="19"/>
  <c r="D77" i="19"/>
  <c r="C77" i="19"/>
  <c r="L76" i="19"/>
  <c r="K76" i="19"/>
  <c r="G76" i="19"/>
  <c r="F76" i="19"/>
  <c r="D76" i="19"/>
  <c r="C76" i="19"/>
  <c r="L75" i="19"/>
  <c r="K75" i="19"/>
  <c r="G75" i="19"/>
  <c r="F75" i="19"/>
  <c r="D75" i="19"/>
  <c r="C75" i="19"/>
  <c r="L74" i="19"/>
  <c r="K74" i="19"/>
  <c r="G74" i="19"/>
  <c r="F74" i="19"/>
  <c r="D74" i="19"/>
  <c r="C74" i="19"/>
  <c r="L73" i="19"/>
  <c r="K73" i="19"/>
  <c r="G73" i="19"/>
  <c r="F73" i="19"/>
  <c r="D73" i="19"/>
  <c r="C73" i="19"/>
  <c r="L72" i="19"/>
  <c r="K72" i="19"/>
  <c r="G72" i="19"/>
  <c r="F72" i="19"/>
  <c r="D72" i="19"/>
  <c r="C72" i="19"/>
  <c r="L71" i="19"/>
  <c r="K71" i="19"/>
  <c r="G71" i="19"/>
  <c r="F71" i="19"/>
  <c r="D71" i="19"/>
  <c r="C71" i="19"/>
  <c r="L70" i="19"/>
  <c r="K70" i="19"/>
  <c r="G70" i="19"/>
  <c r="F70" i="19"/>
  <c r="D70" i="19"/>
  <c r="C70" i="19"/>
  <c r="L69" i="19"/>
  <c r="K69" i="19"/>
  <c r="G69" i="19"/>
  <c r="F69" i="19"/>
  <c r="D69" i="19"/>
  <c r="C69" i="19"/>
  <c r="L68" i="19"/>
  <c r="K68" i="19"/>
  <c r="G68" i="19"/>
  <c r="F68" i="19"/>
  <c r="D68" i="19"/>
  <c r="C68" i="19"/>
  <c r="L67" i="19"/>
  <c r="K67" i="19"/>
  <c r="G67" i="19"/>
  <c r="F67" i="19"/>
  <c r="D67" i="19"/>
  <c r="C67" i="19"/>
  <c r="L40" i="19"/>
  <c r="K40" i="19"/>
  <c r="G40" i="19"/>
  <c r="F40" i="19"/>
  <c r="D40" i="19"/>
  <c r="C40" i="19"/>
  <c r="L39" i="19"/>
  <c r="K39" i="19"/>
  <c r="G39" i="19"/>
  <c r="F39" i="19"/>
  <c r="D39" i="19"/>
  <c r="C39" i="19"/>
  <c r="L38" i="19"/>
  <c r="K38" i="19"/>
  <c r="G38" i="19"/>
  <c r="F38" i="19"/>
  <c r="D38" i="19"/>
  <c r="C38" i="19"/>
  <c r="L37" i="19"/>
  <c r="K37" i="19"/>
  <c r="G37" i="19"/>
  <c r="F37" i="19"/>
  <c r="D37" i="19"/>
  <c r="C37" i="19"/>
  <c r="L36" i="19"/>
  <c r="K36" i="19"/>
  <c r="G36" i="19"/>
  <c r="F36" i="19"/>
  <c r="D36" i="19"/>
  <c r="C36" i="19"/>
  <c r="L35" i="19"/>
  <c r="K35" i="19"/>
  <c r="G35" i="19"/>
  <c r="F35" i="19"/>
  <c r="D35" i="19"/>
  <c r="C35" i="19"/>
  <c r="L34" i="19"/>
  <c r="K34" i="19"/>
  <c r="G34" i="19"/>
  <c r="F34" i="19"/>
  <c r="D34" i="19"/>
  <c r="C34" i="19"/>
  <c r="L33" i="19"/>
  <c r="K33" i="19"/>
  <c r="G33" i="19"/>
  <c r="F33" i="19"/>
  <c r="D33" i="19"/>
  <c r="C33" i="19"/>
  <c r="L32" i="19"/>
  <c r="K32" i="19"/>
  <c r="G32" i="19"/>
  <c r="F32" i="19"/>
  <c r="D32" i="19"/>
  <c r="C32" i="19"/>
  <c r="L31" i="19"/>
  <c r="K31" i="19"/>
  <c r="G31" i="19"/>
  <c r="F31" i="19"/>
  <c r="D31" i="19"/>
  <c r="C31" i="19"/>
  <c r="L30" i="19"/>
  <c r="K30" i="19"/>
  <c r="G30" i="19"/>
  <c r="F30" i="19"/>
  <c r="D30" i="19"/>
  <c r="C30" i="19"/>
  <c r="L29" i="19"/>
  <c r="K29" i="19"/>
  <c r="G29" i="19"/>
  <c r="F29" i="19"/>
  <c r="D29" i="19"/>
  <c r="C29" i="19"/>
  <c r="L28" i="19"/>
  <c r="K28" i="19"/>
  <c r="G28" i="19"/>
  <c r="F28" i="19"/>
  <c r="D28" i="19"/>
  <c r="C28" i="19"/>
  <c r="C7" i="18"/>
  <c r="D7" i="18"/>
  <c r="C6" i="18"/>
  <c r="D6" i="18"/>
  <c r="C4" i="18"/>
  <c r="D4" i="18"/>
  <c r="W22" i="7"/>
  <c r="R22" i="7"/>
  <c r="Q22" i="7"/>
  <c r="P22" i="7"/>
  <c r="O22" i="7"/>
  <c r="N22" i="7"/>
  <c r="H22" i="7"/>
  <c r="G14" i="2"/>
  <c r="A14" i="2"/>
  <c r="G15" i="2"/>
  <c r="A15" i="2"/>
  <c r="G16" i="2"/>
  <c r="A16" i="2"/>
  <c r="G17" i="2"/>
  <c r="A17" i="2"/>
  <c r="G18" i="2"/>
  <c r="A18" i="2"/>
  <c r="G19" i="2"/>
  <c r="A19" i="2"/>
  <c r="G11" i="2"/>
  <c r="A11" i="2"/>
  <c r="G12" i="2"/>
  <c r="A12" i="2"/>
  <c r="G13" i="2"/>
  <c r="A13" i="2"/>
  <c r="G20" i="2"/>
  <c r="A20" i="2"/>
  <c r="G21" i="2"/>
  <c r="A21" i="2"/>
  <c r="G22" i="2"/>
  <c r="A22" i="2"/>
  <c r="G23" i="2"/>
  <c r="A23" i="2"/>
  <c r="G24" i="2"/>
  <c r="A24" i="2"/>
  <c r="G25" i="2"/>
  <c r="A25" i="2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J22" i="7"/>
  <c r="I22" i="7"/>
  <c r="D22" i="7"/>
  <c r="F22" i="7"/>
  <c r="E22" i="7"/>
  <c r="A22" i="7"/>
  <c r="W21" i="7"/>
  <c r="R21" i="7"/>
  <c r="Q21" i="7"/>
  <c r="P21" i="7"/>
  <c r="O21" i="7"/>
  <c r="N21" i="7"/>
  <c r="H21" i="7"/>
  <c r="J21" i="7"/>
  <c r="I21" i="7"/>
  <c r="D21" i="7"/>
  <c r="F21" i="7"/>
  <c r="E21" i="7"/>
  <c r="A21" i="7"/>
  <c r="W20" i="7"/>
  <c r="R20" i="7"/>
  <c r="Q20" i="7"/>
  <c r="P20" i="7"/>
  <c r="O20" i="7"/>
  <c r="N20" i="7"/>
  <c r="H20" i="7"/>
  <c r="J20" i="7"/>
  <c r="I20" i="7"/>
  <c r="D20" i="7"/>
  <c r="F20" i="7"/>
  <c r="E20" i="7"/>
  <c r="A20" i="7"/>
  <c r="W19" i="7"/>
  <c r="R19" i="7"/>
  <c r="Q19" i="7"/>
  <c r="P19" i="7"/>
  <c r="O19" i="7"/>
  <c r="N19" i="7"/>
  <c r="H19" i="7"/>
  <c r="J19" i="7"/>
  <c r="I19" i="7"/>
  <c r="D19" i="7"/>
  <c r="F19" i="7"/>
  <c r="E19" i="7"/>
  <c r="A19" i="7"/>
  <c r="W18" i="7"/>
  <c r="R18" i="7"/>
  <c r="Q18" i="7"/>
  <c r="P18" i="7"/>
  <c r="O18" i="7"/>
  <c r="N18" i="7"/>
  <c r="H18" i="7"/>
  <c r="J18" i="7"/>
  <c r="I18" i="7"/>
  <c r="D18" i="7"/>
  <c r="F18" i="7"/>
  <c r="E18" i="7"/>
  <c r="A18" i="7"/>
  <c r="W17" i="7"/>
  <c r="R17" i="7"/>
  <c r="Q17" i="7"/>
  <c r="P17" i="7"/>
  <c r="O17" i="7"/>
  <c r="N17" i="7"/>
  <c r="H17" i="7"/>
  <c r="J17" i="7"/>
  <c r="I17" i="7"/>
  <c r="D17" i="7"/>
  <c r="F17" i="7"/>
  <c r="E17" i="7"/>
  <c r="A17" i="7"/>
  <c r="W16" i="7"/>
  <c r="R16" i="7"/>
  <c r="Q16" i="7"/>
  <c r="P16" i="7"/>
  <c r="O16" i="7"/>
  <c r="N16" i="7"/>
  <c r="H16" i="7"/>
  <c r="J16" i="7"/>
  <c r="I16" i="7"/>
  <c r="D16" i="7"/>
  <c r="F16" i="7"/>
  <c r="E16" i="7"/>
  <c r="A16" i="7"/>
  <c r="W15" i="7"/>
  <c r="R15" i="7"/>
  <c r="Q15" i="7"/>
  <c r="P15" i="7"/>
  <c r="O15" i="7"/>
  <c r="N15" i="7"/>
  <c r="H15" i="7"/>
  <c r="J15" i="7"/>
  <c r="I15" i="7"/>
  <c r="D15" i="7"/>
  <c r="F15" i="7"/>
  <c r="E15" i="7"/>
  <c r="A15" i="7"/>
  <c r="W14" i="7"/>
  <c r="R14" i="7"/>
  <c r="Q14" i="7"/>
  <c r="P14" i="7"/>
  <c r="O14" i="7"/>
  <c r="N14" i="7"/>
  <c r="H14" i="7"/>
  <c r="J14" i="7"/>
  <c r="I14" i="7"/>
  <c r="D14" i="7"/>
  <c r="F14" i="7"/>
  <c r="E14" i="7"/>
  <c r="A14" i="7"/>
  <c r="W13" i="7"/>
  <c r="R13" i="7"/>
  <c r="Q13" i="7"/>
  <c r="P13" i="7"/>
  <c r="O13" i="7"/>
  <c r="N13" i="7"/>
  <c r="H13" i="7"/>
  <c r="J13" i="7"/>
  <c r="I13" i="7"/>
  <c r="D13" i="7"/>
  <c r="F13" i="7"/>
  <c r="E13" i="7"/>
  <c r="A13" i="7"/>
  <c r="W12" i="7"/>
  <c r="R12" i="7"/>
  <c r="Q12" i="7"/>
  <c r="P12" i="7"/>
  <c r="O12" i="7"/>
  <c r="N12" i="7"/>
  <c r="H12" i="7"/>
  <c r="J12" i="7"/>
  <c r="I12" i="7"/>
  <c r="D12" i="7"/>
  <c r="F12" i="7"/>
  <c r="E12" i="7"/>
  <c r="A12" i="7"/>
  <c r="W11" i="7"/>
  <c r="R11" i="7"/>
  <c r="Q11" i="7"/>
  <c r="P11" i="7"/>
  <c r="O11" i="7"/>
  <c r="N11" i="7"/>
  <c r="H11" i="7"/>
  <c r="J11" i="7"/>
  <c r="I11" i="7"/>
  <c r="D11" i="7"/>
  <c r="F11" i="7"/>
  <c r="E11" i="7"/>
  <c r="A11" i="7"/>
  <c r="AB78" i="1"/>
  <c r="AD78" i="1"/>
  <c r="AG78" i="1"/>
  <c r="AE78" i="1"/>
  <c r="AC78" i="1"/>
  <c r="V78" i="1"/>
  <c r="Q78" i="1"/>
  <c r="P78" i="1"/>
  <c r="O78" i="1"/>
  <c r="N78" i="1"/>
  <c r="M78" i="1"/>
  <c r="J78" i="1"/>
  <c r="I78" i="1"/>
  <c r="D78" i="1"/>
  <c r="F78" i="1"/>
  <c r="E78" i="1"/>
  <c r="AB77" i="1"/>
  <c r="AD77" i="1"/>
  <c r="AG77" i="1"/>
  <c r="AE77" i="1"/>
  <c r="AC77" i="1"/>
  <c r="V77" i="1"/>
  <c r="Q77" i="1"/>
  <c r="P77" i="1"/>
  <c r="O77" i="1"/>
  <c r="N77" i="1"/>
  <c r="M77" i="1"/>
  <c r="J77" i="1"/>
  <c r="I77" i="1"/>
  <c r="D77" i="1"/>
  <c r="F77" i="1"/>
  <c r="E77" i="1"/>
  <c r="AB76" i="1"/>
  <c r="AD76" i="1"/>
  <c r="AG76" i="1"/>
  <c r="AE76" i="1"/>
  <c r="AC76" i="1"/>
  <c r="V76" i="1"/>
  <c r="Q76" i="1"/>
  <c r="P76" i="1"/>
  <c r="O76" i="1"/>
  <c r="N76" i="1"/>
  <c r="M76" i="1"/>
  <c r="J76" i="1"/>
  <c r="I76" i="1"/>
  <c r="D76" i="1"/>
  <c r="F76" i="1"/>
  <c r="E76" i="1"/>
  <c r="AB75" i="1"/>
  <c r="AD75" i="1"/>
  <c r="AG75" i="1"/>
  <c r="AE75" i="1"/>
  <c r="AC75" i="1"/>
  <c r="V75" i="1"/>
  <c r="Q75" i="1"/>
  <c r="P75" i="1"/>
  <c r="O75" i="1"/>
  <c r="N75" i="1"/>
  <c r="M75" i="1"/>
  <c r="J75" i="1"/>
  <c r="I75" i="1"/>
  <c r="D75" i="1"/>
  <c r="F75" i="1"/>
  <c r="E75" i="1"/>
  <c r="AB74" i="1"/>
  <c r="AD74" i="1"/>
  <c r="AG74" i="1"/>
  <c r="AE74" i="1"/>
  <c r="AC74" i="1"/>
  <c r="V74" i="1"/>
  <c r="Q74" i="1"/>
  <c r="P74" i="1"/>
  <c r="O74" i="1"/>
  <c r="N74" i="1"/>
  <c r="M74" i="1"/>
  <c r="J74" i="1"/>
  <c r="I74" i="1"/>
  <c r="D74" i="1"/>
  <c r="F74" i="1"/>
  <c r="E74" i="1"/>
  <c r="AB73" i="1"/>
  <c r="AD73" i="1"/>
  <c r="AG73" i="1"/>
  <c r="AE73" i="1"/>
  <c r="AC73" i="1"/>
  <c r="V73" i="1"/>
  <c r="Q73" i="1"/>
  <c r="P73" i="1"/>
  <c r="O73" i="1"/>
  <c r="N73" i="1"/>
  <c r="M73" i="1"/>
  <c r="J73" i="1"/>
  <c r="I73" i="1"/>
  <c r="D73" i="1"/>
  <c r="F73" i="1"/>
  <c r="E73" i="1"/>
  <c r="AB72" i="1"/>
  <c r="AD72" i="1"/>
  <c r="AG72" i="1"/>
  <c r="AE72" i="1"/>
  <c r="AC72" i="1"/>
  <c r="V72" i="1"/>
  <c r="Q72" i="1"/>
  <c r="P72" i="1"/>
  <c r="O72" i="1"/>
  <c r="N72" i="1"/>
  <c r="M72" i="1"/>
  <c r="J72" i="1"/>
  <c r="I72" i="1"/>
  <c r="D72" i="1"/>
  <c r="F72" i="1"/>
  <c r="E72" i="1"/>
  <c r="AB71" i="1"/>
  <c r="AD71" i="1"/>
  <c r="AG71" i="1"/>
  <c r="AE71" i="1"/>
  <c r="AC71" i="1"/>
  <c r="V71" i="1"/>
  <c r="Q71" i="1"/>
  <c r="P71" i="1"/>
  <c r="O71" i="1"/>
  <c r="N71" i="1"/>
  <c r="M71" i="1"/>
  <c r="J71" i="1"/>
  <c r="I71" i="1"/>
  <c r="D71" i="1"/>
  <c r="F71" i="1"/>
  <c r="E71" i="1"/>
  <c r="AB70" i="1"/>
  <c r="AD70" i="1"/>
  <c r="AG70" i="1"/>
  <c r="AE70" i="1"/>
  <c r="AC70" i="1"/>
  <c r="V70" i="1"/>
  <c r="Q70" i="1"/>
  <c r="P70" i="1"/>
  <c r="O70" i="1"/>
  <c r="N70" i="1"/>
  <c r="M70" i="1"/>
  <c r="J70" i="1"/>
  <c r="I70" i="1"/>
  <c r="D70" i="1"/>
  <c r="F70" i="1"/>
  <c r="E70" i="1"/>
  <c r="AB69" i="1"/>
  <c r="AD69" i="1"/>
  <c r="AG69" i="1"/>
  <c r="AE69" i="1"/>
  <c r="AC69" i="1"/>
  <c r="V69" i="1"/>
  <c r="Q69" i="1"/>
  <c r="P69" i="1"/>
  <c r="O69" i="1"/>
  <c r="N69" i="1"/>
  <c r="M69" i="1"/>
  <c r="J69" i="1"/>
  <c r="I69" i="1"/>
  <c r="D69" i="1"/>
  <c r="F69" i="1"/>
  <c r="E69" i="1"/>
  <c r="AB68" i="1"/>
  <c r="AD68" i="1"/>
  <c r="AG68" i="1"/>
  <c r="AE68" i="1"/>
  <c r="AC68" i="1"/>
  <c r="V68" i="1"/>
  <c r="Q68" i="1"/>
  <c r="P68" i="1"/>
  <c r="O68" i="1"/>
  <c r="N68" i="1"/>
  <c r="M68" i="1"/>
  <c r="J68" i="1"/>
  <c r="I68" i="1"/>
  <c r="D68" i="1"/>
  <c r="F68" i="1"/>
  <c r="E68" i="1"/>
  <c r="AB67" i="1"/>
  <c r="AD67" i="1"/>
  <c r="AG67" i="1"/>
  <c r="AE67" i="1"/>
  <c r="AC67" i="1"/>
  <c r="V67" i="1"/>
  <c r="Q67" i="1"/>
  <c r="P67" i="1"/>
  <c r="O67" i="1"/>
  <c r="N67" i="1"/>
  <c r="M67" i="1"/>
  <c r="J67" i="1"/>
  <c r="I67" i="1"/>
  <c r="D67" i="1"/>
  <c r="F67" i="1"/>
  <c r="E67" i="1"/>
  <c r="AB66" i="1"/>
  <c r="AD66" i="1"/>
  <c r="AG66" i="1"/>
  <c r="AE66" i="1"/>
  <c r="AC66" i="1"/>
  <c r="V66" i="1"/>
  <c r="Q66" i="1"/>
  <c r="P66" i="1"/>
  <c r="O66" i="1"/>
  <c r="N66" i="1"/>
  <c r="M66" i="1"/>
  <c r="J66" i="1"/>
  <c r="I66" i="1"/>
  <c r="D66" i="1"/>
  <c r="F66" i="1"/>
  <c r="E66" i="1"/>
  <c r="AB65" i="1"/>
  <c r="AD65" i="1"/>
  <c r="AG65" i="1"/>
  <c r="AE65" i="1"/>
  <c r="AC65" i="1"/>
  <c r="V65" i="1"/>
  <c r="Q65" i="1"/>
  <c r="P65" i="1"/>
  <c r="O65" i="1"/>
  <c r="N65" i="1"/>
  <c r="M65" i="1"/>
  <c r="J65" i="1"/>
  <c r="I65" i="1"/>
  <c r="D65" i="1"/>
  <c r="F65" i="1"/>
  <c r="E65" i="1"/>
  <c r="AB64" i="1"/>
  <c r="AD64" i="1"/>
  <c r="AG64" i="1"/>
  <c r="AE64" i="1"/>
  <c r="AC64" i="1"/>
  <c r="V64" i="1"/>
  <c r="Q64" i="1"/>
  <c r="P64" i="1"/>
  <c r="O64" i="1"/>
  <c r="N64" i="1"/>
  <c r="M64" i="1"/>
  <c r="J64" i="1"/>
  <c r="I64" i="1"/>
  <c r="D64" i="1"/>
  <c r="F64" i="1"/>
  <c r="E64" i="1"/>
  <c r="AB63" i="1"/>
  <c r="AD63" i="1"/>
  <c r="AG63" i="1"/>
  <c r="AE63" i="1"/>
  <c r="AC63" i="1"/>
  <c r="V63" i="1"/>
  <c r="Q63" i="1"/>
  <c r="P63" i="1"/>
  <c r="O63" i="1"/>
  <c r="N63" i="1"/>
  <c r="M63" i="1"/>
  <c r="J63" i="1"/>
  <c r="I63" i="1"/>
  <c r="D63" i="1"/>
  <c r="F63" i="1"/>
  <c r="E63" i="1"/>
  <c r="AB62" i="1"/>
  <c r="AD62" i="1"/>
  <c r="AG62" i="1"/>
  <c r="AE62" i="1"/>
  <c r="AC62" i="1"/>
  <c r="V62" i="1"/>
  <c r="Q62" i="1"/>
  <c r="P62" i="1"/>
  <c r="O62" i="1"/>
  <c r="N62" i="1"/>
  <c r="M62" i="1"/>
  <c r="J62" i="1"/>
  <c r="I62" i="1"/>
  <c r="D62" i="1"/>
  <c r="F62" i="1"/>
  <c r="E62" i="1"/>
  <c r="AB61" i="1"/>
  <c r="AD61" i="1"/>
  <c r="AG61" i="1"/>
  <c r="AE61" i="1"/>
  <c r="AC61" i="1"/>
  <c r="V61" i="1"/>
  <c r="Q61" i="1"/>
  <c r="P61" i="1"/>
  <c r="O61" i="1"/>
  <c r="N61" i="1"/>
  <c r="M61" i="1"/>
  <c r="J61" i="1"/>
  <c r="I61" i="1"/>
  <c r="D61" i="1"/>
  <c r="F61" i="1"/>
  <c r="E61" i="1"/>
  <c r="AB60" i="1"/>
  <c r="AD60" i="1"/>
  <c r="AG60" i="1"/>
  <c r="AE60" i="1"/>
  <c r="AC60" i="1"/>
  <c r="V60" i="1"/>
  <c r="Q60" i="1"/>
  <c r="P60" i="1"/>
  <c r="O60" i="1"/>
  <c r="N60" i="1"/>
  <c r="M60" i="1"/>
  <c r="J60" i="1"/>
  <c r="I60" i="1"/>
  <c r="D60" i="1"/>
  <c r="F60" i="1"/>
  <c r="E60" i="1"/>
  <c r="AB59" i="1"/>
  <c r="AD59" i="1"/>
  <c r="AG59" i="1"/>
  <c r="AE59" i="1"/>
  <c r="AC59" i="1"/>
  <c r="V59" i="1"/>
  <c r="Q59" i="1"/>
  <c r="P59" i="1"/>
  <c r="O59" i="1"/>
  <c r="N59" i="1"/>
  <c r="M59" i="1"/>
  <c r="J59" i="1"/>
  <c r="I59" i="1"/>
  <c r="D59" i="1"/>
  <c r="F59" i="1"/>
  <c r="E59" i="1"/>
  <c r="AB58" i="1"/>
  <c r="AD58" i="1"/>
  <c r="AG58" i="1"/>
  <c r="AE58" i="1"/>
  <c r="AC58" i="1"/>
  <c r="V58" i="1"/>
  <c r="Q58" i="1"/>
  <c r="P58" i="1"/>
  <c r="O58" i="1"/>
  <c r="N58" i="1"/>
  <c r="M58" i="1"/>
  <c r="J58" i="1"/>
  <c r="I58" i="1"/>
  <c r="D58" i="1"/>
  <c r="F58" i="1"/>
  <c r="E58" i="1"/>
  <c r="AB57" i="1"/>
  <c r="AD57" i="1"/>
  <c r="AG57" i="1"/>
  <c r="AE57" i="1"/>
  <c r="AC57" i="1"/>
  <c r="V57" i="1"/>
  <c r="Q57" i="1"/>
  <c r="P57" i="1"/>
  <c r="O57" i="1"/>
  <c r="N57" i="1"/>
  <c r="M57" i="1"/>
  <c r="J57" i="1"/>
  <c r="I57" i="1"/>
  <c r="D57" i="1"/>
  <c r="F57" i="1"/>
  <c r="E57" i="1"/>
  <c r="AB56" i="1"/>
  <c r="AD56" i="1"/>
  <c r="AG56" i="1"/>
  <c r="AE56" i="1"/>
  <c r="AC56" i="1"/>
  <c r="V56" i="1"/>
  <c r="Q56" i="1"/>
  <c r="P56" i="1"/>
  <c r="O56" i="1"/>
  <c r="N56" i="1"/>
  <c r="M56" i="1"/>
  <c r="J56" i="1"/>
  <c r="I56" i="1"/>
  <c r="D56" i="1"/>
  <c r="F56" i="1"/>
  <c r="E56" i="1"/>
  <c r="AB55" i="1"/>
  <c r="AD55" i="1"/>
  <c r="AG55" i="1"/>
  <c r="AE55" i="1"/>
  <c r="AC55" i="1"/>
  <c r="V55" i="1"/>
  <c r="Q55" i="1"/>
  <c r="P55" i="1"/>
  <c r="O55" i="1"/>
  <c r="N55" i="1"/>
  <c r="M55" i="1"/>
  <c r="J55" i="1"/>
  <c r="I55" i="1"/>
  <c r="D55" i="1"/>
  <c r="F55" i="1"/>
  <c r="E55" i="1"/>
  <c r="AB54" i="1"/>
  <c r="AD54" i="1"/>
  <c r="AG54" i="1"/>
  <c r="AE54" i="1"/>
  <c r="AC54" i="1"/>
  <c r="V54" i="1"/>
  <c r="Q54" i="1"/>
  <c r="P54" i="1"/>
  <c r="O54" i="1"/>
  <c r="N54" i="1"/>
  <c r="M54" i="1"/>
  <c r="J54" i="1"/>
  <c r="I54" i="1"/>
  <c r="D54" i="1"/>
  <c r="F54" i="1"/>
  <c r="E54" i="1"/>
  <c r="AB53" i="1"/>
  <c r="AD53" i="1"/>
  <c r="AG53" i="1"/>
  <c r="AE53" i="1"/>
  <c r="AC53" i="1"/>
  <c r="V53" i="1"/>
  <c r="Q53" i="1"/>
  <c r="P53" i="1"/>
  <c r="O53" i="1"/>
  <c r="N53" i="1"/>
  <c r="M53" i="1"/>
  <c r="J53" i="1"/>
  <c r="I53" i="1"/>
  <c r="D53" i="1"/>
  <c r="F53" i="1"/>
  <c r="E53" i="1"/>
  <c r="AB52" i="1"/>
  <c r="AD52" i="1"/>
  <c r="AG52" i="1"/>
  <c r="AE52" i="1"/>
  <c r="AC52" i="1"/>
  <c r="V52" i="1"/>
  <c r="Q52" i="1"/>
  <c r="P52" i="1"/>
  <c r="O52" i="1"/>
  <c r="N52" i="1"/>
  <c r="M52" i="1"/>
  <c r="J52" i="1"/>
  <c r="I52" i="1"/>
  <c r="D52" i="1"/>
  <c r="F52" i="1"/>
  <c r="E52" i="1"/>
  <c r="AB51" i="1"/>
  <c r="AD51" i="1"/>
  <c r="AG51" i="1"/>
  <c r="AE51" i="1"/>
  <c r="AC51" i="1"/>
  <c r="V51" i="1"/>
  <c r="Q51" i="1"/>
  <c r="P51" i="1"/>
  <c r="O51" i="1"/>
  <c r="N51" i="1"/>
  <c r="M51" i="1"/>
  <c r="J51" i="1"/>
  <c r="I51" i="1"/>
  <c r="D51" i="1"/>
  <c r="F51" i="1"/>
  <c r="E51" i="1"/>
  <c r="AB50" i="1"/>
  <c r="AD50" i="1"/>
  <c r="AG50" i="1"/>
  <c r="AE50" i="1"/>
  <c r="AC50" i="1"/>
  <c r="V50" i="1"/>
  <c r="Q50" i="1"/>
  <c r="P50" i="1"/>
  <c r="O50" i="1"/>
  <c r="N50" i="1"/>
  <c r="M50" i="1"/>
  <c r="J50" i="1"/>
  <c r="I50" i="1"/>
  <c r="D50" i="1"/>
  <c r="F50" i="1"/>
  <c r="E50" i="1"/>
  <c r="AB49" i="1"/>
  <c r="AD49" i="1"/>
  <c r="AG49" i="1"/>
  <c r="AE49" i="1"/>
  <c r="AC49" i="1"/>
  <c r="V49" i="1"/>
  <c r="Q49" i="1"/>
  <c r="P49" i="1"/>
  <c r="O49" i="1"/>
  <c r="N49" i="1"/>
  <c r="M49" i="1"/>
  <c r="J49" i="1"/>
  <c r="I49" i="1"/>
  <c r="D49" i="1"/>
  <c r="F49" i="1"/>
  <c r="E49" i="1"/>
  <c r="AB48" i="1"/>
  <c r="AD48" i="1"/>
  <c r="AG48" i="1"/>
  <c r="AE48" i="1"/>
  <c r="AC48" i="1"/>
  <c r="V48" i="1"/>
  <c r="Q48" i="1"/>
  <c r="P48" i="1"/>
  <c r="O48" i="1"/>
  <c r="N48" i="1"/>
  <c r="M48" i="1"/>
  <c r="J48" i="1"/>
  <c r="I48" i="1"/>
  <c r="D48" i="1"/>
  <c r="F48" i="1"/>
  <c r="E48" i="1"/>
  <c r="AB47" i="1"/>
  <c r="AD47" i="1"/>
  <c r="AG47" i="1"/>
  <c r="AE47" i="1"/>
  <c r="AC47" i="1"/>
  <c r="V47" i="1"/>
  <c r="Q47" i="1"/>
  <c r="P47" i="1"/>
  <c r="O47" i="1"/>
  <c r="N47" i="1"/>
  <c r="M47" i="1"/>
  <c r="J47" i="1"/>
  <c r="I47" i="1"/>
  <c r="D47" i="1"/>
  <c r="F47" i="1"/>
  <c r="E47" i="1"/>
  <c r="AB46" i="1"/>
  <c r="AD46" i="1"/>
  <c r="AG46" i="1"/>
  <c r="AE46" i="1"/>
  <c r="AC46" i="1"/>
  <c r="V46" i="1"/>
  <c r="Q46" i="1"/>
  <c r="P46" i="1"/>
  <c r="O46" i="1"/>
  <c r="N46" i="1"/>
  <c r="M46" i="1"/>
  <c r="J46" i="1"/>
  <c r="I46" i="1"/>
  <c r="D46" i="1"/>
  <c r="F46" i="1"/>
  <c r="E46" i="1"/>
  <c r="E7" i="24"/>
  <c r="F7" i="24"/>
  <c r="C7" i="24"/>
  <c r="B7" i="24"/>
  <c r="E6" i="24"/>
  <c r="F6" i="24"/>
  <c r="C6" i="24"/>
  <c r="B6" i="24"/>
  <c r="E4" i="24"/>
  <c r="F4" i="24"/>
  <c r="C4" i="24"/>
  <c r="B4" i="24"/>
  <c r="E8" i="24"/>
  <c r="F8" i="24"/>
  <c r="C8" i="24"/>
  <c r="B8" i="24"/>
  <c r="E5" i="24"/>
  <c r="F5" i="24"/>
  <c r="C5" i="24"/>
  <c r="B5" i="24"/>
  <c r="E3" i="24"/>
  <c r="F3" i="24"/>
  <c r="C3" i="24"/>
  <c r="B3" i="24"/>
  <c r="C5" i="22"/>
  <c r="B5" i="22"/>
  <c r="C4" i="22"/>
  <c r="B4" i="22"/>
  <c r="C3" i="22"/>
  <c r="B3" i="22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L66" i="19"/>
  <c r="K66" i="19"/>
  <c r="G66" i="19"/>
  <c r="F66" i="19"/>
  <c r="D66" i="19"/>
  <c r="C66" i="19"/>
  <c r="L65" i="19"/>
  <c r="K65" i="19"/>
  <c r="G65" i="19"/>
  <c r="F65" i="19"/>
  <c r="D65" i="19"/>
  <c r="C65" i="19"/>
  <c r="L64" i="19"/>
  <c r="K64" i="19"/>
  <c r="G64" i="19"/>
  <c r="F64" i="19"/>
  <c r="D64" i="19"/>
  <c r="C64" i="19"/>
  <c r="L63" i="19"/>
  <c r="K63" i="19"/>
  <c r="G63" i="19"/>
  <c r="F63" i="19"/>
  <c r="D63" i="19"/>
  <c r="C63" i="19"/>
  <c r="L62" i="19"/>
  <c r="K62" i="19"/>
  <c r="G62" i="19"/>
  <c r="F62" i="19"/>
  <c r="D62" i="19"/>
  <c r="C62" i="19"/>
  <c r="L61" i="19"/>
  <c r="K61" i="19"/>
  <c r="G61" i="19"/>
  <c r="F61" i="19"/>
  <c r="D61" i="19"/>
  <c r="C61" i="19"/>
  <c r="L60" i="19"/>
  <c r="K60" i="19"/>
  <c r="G60" i="19"/>
  <c r="F60" i="19"/>
  <c r="D60" i="19"/>
  <c r="C60" i="19"/>
  <c r="L59" i="19"/>
  <c r="K59" i="19"/>
  <c r="G59" i="19"/>
  <c r="F59" i="19"/>
  <c r="D59" i="19"/>
  <c r="C59" i="19"/>
  <c r="L58" i="19"/>
  <c r="K58" i="19"/>
  <c r="G58" i="19"/>
  <c r="F58" i="19"/>
  <c r="D58" i="19"/>
  <c r="C58" i="19"/>
  <c r="L57" i="19"/>
  <c r="K57" i="19"/>
  <c r="G57" i="19"/>
  <c r="F57" i="19"/>
  <c r="D57" i="19"/>
  <c r="C57" i="19"/>
  <c r="L56" i="19"/>
  <c r="K56" i="19"/>
  <c r="G56" i="19"/>
  <c r="F56" i="19"/>
  <c r="D56" i="19"/>
  <c r="C56" i="19"/>
  <c r="L55" i="19"/>
  <c r="K55" i="19"/>
  <c r="G55" i="19"/>
  <c r="F55" i="19"/>
  <c r="D55" i="19"/>
  <c r="C55" i="19"/>
  <c r="L54" i="19"/>
  <c r="K54" i="19"/>
  <c r="G54" i="19"/>
  <c r="F54" i="19"/>
  <c r="D54" i="19"/>
  <c r="C54" i="19"/>
  <c r="L53" i="19"/>
  <c r="K53" i="19"/>
  <c r="G53" i="19"/>
  <c r="F53" i="19"/>
  <c r="D53" i="19"/>
  <c r="C53" i="19"/>
  <c r="L52" i="19"/>
  <c r="K52" i="19"/>
  <c r="G52" i="19"/>
  <c r="F52" i="19"/>
  <c r="D52" i="19"/>
  <c r="C52" i="19"/>
  <c r="L51" i="19"/>
  <c r="K51" i="19"/>
  <c r="G51" i="19"/>
  <c r="F51" i="19"/>
  <c r="D51" i="19"/>
  <c r="C51" i="19"/>
  <c r="L50" i="19"/>
  <c r="K50" i="19"/>
  <c r="G50" i="19"/>
  <c r="F50" i="19"/>
  <c r="D50" i="19"/>
  <c r="C50" i="19"/>
  <c r="L49" i="19"/>
  <c r="K49" i="19"/>
  <c r="G49" i="19"/>
  <c r="F49" i="19"/>
  <c r="D49" i="19"/>
  <c r="C49" i="19"/>
  <c r="L48" i="19"/>
  <c r="K48" i="19"/>
  <c r="G48" i="19"/>
  <c r="F48" i="19"/>
  <c r="D48" i="19"/>
  <c r="C48" i="19"/>
  <c r="L47" i="19"/>
  <c r="K47" i="19"/>
  <c r="G47" i="19"/>
  <c r="F47" i="19"/>
  <c r="D47" i="19"/>
  <c r="C47" i="19"/>
  <c r="L46" i="19"/>
  <c r="K46" i="19"/>
  <c r="G46" i="19"/>
  <c r="F46" i="19"/>
  <c r="D46" i="19"/>
  <c r="C46" i="19"/>
  <c r="L45" i="19"/>
  <c r="K45" i="19"/>
  <c r="G45" i="19"/>
  <c r="F45" i="19"/>
  <c r="D45" i="19"/>
  <c r="C45" i="19"/>
  <c r="L44" i="19"/>
  <c r="K44" i="19"/>
  <c r="G44" i="19"/>
  <c r="F44" i="19"/>
  <c r="D44" i="19"/>
  <c r="C44" i="19"/>
  <c r="L43" i="19"/>
  <c r="K43" i="19"/>
  <c r="G43" i="19"/>
  <c r="F43" i="19"/>
  <c r="D43" i="19"/>
  <c r="C43" i="19"/>
  <c r="L42" i="19"/>
  <c r="K42" i="19"/>
  <c r="G42" i="19"/>
  <c r="F42" i="19"/>
  <c r="D42" i="19"/>
  <c r="C42" i="19"/>
  <c r="L41" i="19"/>
  <c r="K41" i="19"/>
  <c r="G41" i="19"/>
  <c r="F41" i="19"/>
  <c r="D41" i="19"/>
  <c r="C41" i="19"/>
  <c r="L27" i="19"/>
  <c r="K27" i="19"/>
  <c r="G27" i="19"/>
  <c r="F27" i="19"/>
  <c r="D27" i="19"/>
  <c r="C27" i="19"/>
  <c r="L26" i="19"/>
  <c r="K26" i="19"/>
  <c r="G26" i="19"/>
  <c r="F26" i="19"/>
  <c r="D26" i="19"/>
  <c r="C26" i="19"/>
  <c r="L25" i="19"/>
  <c r="K25" i="19"/>
  <c r="G25" i="19"/>
  <c r="F25" i="19"/>
  <c r="D25" i="19"/>
  <c r="C25" i="19"/>
  <c r="L24" i="19"/>
  <c r="K24" i="19"/>
  <c r="G24" i="19"/>
  <c r="F24" i="19"/>
  <c r="D24" i="19"/>
  <c r="C24" i="19"/>
  <c r="L23" i="19"/>
  <c r="K23" i="19"/>
  <c r="G23" i="19"/>
  <c r="F23" i="19"/>
  <c r="D23" i="19"/>
  <c r="C23" i="19"/>
  <c r="L22" i="19"/>
  <c r="K22" i="19"/>
  <c r="G22" i="19"/>
  <c r="F22" i="19"/>
  <c r="D22" i="19"/>
  <c r="C22" i="19"/>
  <c r="L21" i="19"/>
  <c r="K21" i="19"/>
  <c r="G21" i="19"/>
  <c r="F21" i="19"/>
  <c r="D21" i="19"/>
  <c r="C21" i="19"/>
  <c r="L20" i="19"/>
  <c r="K20" i="19"/>
  <c r="G20" i="19"/>
  <c r="F20" i="19"/>
  <c r="D20" i="19"/>
  <c r="C20" i="19"/>
  <c r="L19" i="19"/>
  <c r="K19" i="19"/>
  <c r="G19" i="19"/>
  <c r="F19" i="19"/>
  <c r="D19" i="19"/>
  <c r="C19" i="19"/>
  <c r="L18" i="19"/>
  <c r="K18" i="19"/>
  <c r="G18" i="19"/>
  <c r="F18" i="19"/>
  <c r="D18" i="19"/>
  <c r="C18" i="19"/>
  <c r="L17" i="19"/>
  <c r="K17" i="19"/>
  <c r="G17" i="19"/>
  <c r="F17" i="19"/>
  <c r="D17" i="19"/>
  <c r="C17" i="19"/>
  <c r="L16" i="19"/>
  <c r="K16" i="19"/>
  <c r="G16" i="19"/>
  <c r="F16" i="19"/>
  <c r="D16" i="19"/>
  <c r="C16" i="19"/>
  <c r="L15" i="19"/>
  <c r="K15" i="19"/>
  <c r="G15" i="19"/>
  <c r="F15" i="19"/>
  <c r="D15" i="19"/>
  <c r="C15" i="19"/>
  <c r="C3" i="18"/>
  <c r="D3" i="18"/>
  <c r="C5" i="18"/>
  <c r="D5" i="18"/>
  <c r="C8" i="18"/>
  <c r="D8" i="18"/>
  <c r="W10" i="7"/>
  <c r="R10" i="7"/>
  <c r="Q10" i="7"/>
  <c r="P10" i="7"/>
  <c r="O10" i="7"/>
  <c r="N10" i="7"/>
  <c r="H10" i="7"/>
  <c r="J10" i="7"/>
  <c r="I10" i="7"/>
  <c r="D10" i="7"/>
  <c r="F10" i="7"/>
  <c r="E10" i="7"/>
  <c r="A10" i="7"/>
  <c r="W9" i="7"/>
  <c r="R9" i="7"/>
  <c r="Q9" i="7"/>
  <c r="P9" i="7"/>
  <c r="O9" i="7"/>
  <c r="N9" i="7"/>
  <c r="H9" i="7"/>
  <c r="J9" i="7"/>
  <c r="I9" i="7"/>
  <c r="D9" i="7"/>
  <c r="F9" i="7"/>
  <c r="E9" i="7"/>
  <c r="A9" i="7"/>
  <c r="W8" i="7"/>
  <c r="R8" i="7"/>
  <c r="Q8" i="7"/>
  <c r="P8" i="7"/>
  <c r="O8" i="7"/>
  <c r="N8" i="7"/>
  <c r="H8" i="7"/>
  <c r="J8" i="7"/>
  <c r="I8" i="7"/>
  <c r="D8" i="7"/>
  <c r="F8" i="7"/>
  <c r="E8" i="7"/>
  <c r="A8" i="7"/>
  <c r="W7" i="7"/>
  <c r="R7" i="7"/>
  <c r="Q7" i="7"/>
  <c r="P7" i="7"/>
  <c r="O7" i="7"/>
  <c r="N7" i="7"/>
  <c r="H7" i="7"/>
  <c r="J7" i="7"/>
  <c r="I7" i="7"/>
  <c r="D7" i="7"/>
  <c r="F7" i="7"/>
  <c r="E7" i="7"/>
  <c r="A7" i="7"/>
  <c r="W6" i="7"/>
  <c r="R6" i="7"/>
  <c r="Q6" i="7"/>
  <c r="P6" i="7"/>
  <c r="O6" i="7"/>
  <c r="N6" i="7"/>
  <c r="H6" i="7"/>
  <c r="J6" i="7"/>
  <c r="I6" i="7"/>
  <c r="D6" i="7"/>
  <c r="F6" i="7"/>
  <c r="E6" i="7"/>
  <c r="A6" i="7"/>
  <c r="W5" i="7"/>
  <c r="R5" i="7"/>
  <c r="Q5" i="7"/>
  <c r="P5" i="7"/>
  <c r="O5" i="7"/>
  <c r="N5" i="7"/>
  <c r="H5" i="7"/>
  <c r="J5" i="7"/>
  <c r="I5" i="7"/>
  <c r="D5" i="7"/>
  <c r="F5" i="7"/>
  <c r="E5" i="7"/>
  <c r="A5" i="7"/>
  <c r="AB45" i="1"/>
  <c r="AD45" i="1"/>
  <c r="AG45" i="1"/>
  <c r="AE45" i="1"/>
  <c r="AC45" i="1"/>
  <c r="V45" i="1"/>
  <c r="Q45" i="1"/>
  <c r="P45" i="1"/>
  <c r="O45" i="1"/>
  <c r="N45" i="1"/>
  <c r="M45" i="1"/>
  <c r="J45" i="1"/>
  <c r="I45" i="1"/>
  <c r="D45" i="1"/>
  <c r="F45" i="1"/>
  <c r="E45" i="1"/>
  <c r="AB44" i="1"/>
  <c r="AD44" i="1"/>
  <c r="AG44" i="1"/>
  <c r="AE44" i="1"/>
  <c r="AC44" i="1"/>
  <c r="V44" i="1"/>
  <c r="Q44" i="1"/>
  <c r="P44" i="1"/>
  <c r="O44" i="1"/>
  <c r="N44" i="1"/>
  <c r="M44" i="1"/>
  <c r="J44" i="1"/>
  <c r="I44" i="1"/>
  <c r="D44" i="1"/>
  <c r="F44" i="1"/>
  <c r="E44" i="1"/>
  <c r="AB43" i="1"/>
  <c r="AD43" i="1"/>
  <c r="AG43" i="1"/>
  <c r="AE43" i="1"/>
  <c r="AC43" i="1"/>
  <c r="V43" i="1"/>
  <c r="Q43" i="1"/>
  <c r="P43" i="1"/>
  <c r="O43" i="1"/>
  <c r="N43" i="1"/>
  <c r="M43" i="1"/>
  <c r="J43" i="1"/>
  <c r="I43" i="1"/>
  <c r="D43" i="1"/>
  <c r="F43" i="1"/>
  <c r="E43" i="1"/>
  <c r="AB42" i="1"/>
  <c r="AD42" i="1"/>
  <c r="AG42" i="1"/>
  <c r="AE42" i="1"/>
  <c r="AC42" i="1"/>
  <c r="V42" i="1"/>
  <c r="Q42" i="1"/>
  <c r="P42" i="1"/>
  <c r="O42" i="1"/>
  <c r="N42" i="1"/>
  <c r="M42" i="1"/>
  <c r="J42" i="1"/>
  <c r="I42" i="1"/>
  <c r="D42" i="1"/>
  <c r="F42" i="1"/>
  <c r="E42" i="1"/>
  <c r="AB41" i="1"/>
  <c r="AD41" i="1"/>
  <c r="AG41" i="1"/>
  <c r="AE41" i="1"/>
  <c r="AC41" i="1"/>
  <c r="V41" i="1"/>
  <c r="Q41" i="1"/>
  <c r="P41" i="1"/>
  <c r="O41" i="1"/>
  <c r="N41" i="1"/>
  <c r="M41" i="1"/>
  <c r="J41" i="1"/>
  <c r="I41" i="1"/>
  <c r="D41" i="1"/>
  <c r="F41" i="1"/>
  <c r="E41" i="1"/>
  <c r="AB40" i="1"/>
  <c r="AD40" i="1"/>
  <c r="AG40" i="1"/>
  <c r="AE40" i="1"/>
  <c r="AC40" i="1"/>
  <c r="V40" i="1"/>
  <c r="Q40" i="1"/>
  <c r="P40" i="1"/>
  <c r="O40" i="1"/>
  <c r="N40" i="1"/>
  <c r="M40" i="1"/>
  <c r="J40" i="1"/>
  <c r="I40" i="1"/>
  <c r="D40" i="1"/>
  <c r="F40" i="1"/>
  <c r="E40" i="1"/>
  <c r="AB39" i="1"/>
  <c r="AD39" i="1"/>
  <c r="AG39" i="1"/>
  <c r="AE39" i="1"/>
  <c r="AC39" i="1"/>
  <c r="V39" i="1"/>
  <c r="Q39" i="1"/>
  <c r="P39" i="1"/>
  <c r="O39" i="1"/>
  <c r="N39" i="1"/>
  <c r="M39" i="1"/>
  <c r="J39" i="1"/>
  <c r="I39" i="1"/>
  <c r="D39" i="1"/>
  <c r="F39" i="1"/>
  <c r="E39" i="1"/>
  <c r="AB38" i="1"/>
  <c r="AD38" i="1"/>
  <c r="AG38" i="1"/>
  <c r="AE38" i="1"/>
  <c r="AC38" i="1"/>
  <c r="V38" i="1"/>
  <c r="Q38" i="1"/>
  <c r="P38" i="1"/>
  <c r="O38" i="1"/>
  <c r="N38" i="1"/>
  <c r="M38" i="1"/>
  <c r="J38" i="1"/>
  <c r="I38" i="1"/>
  <c r="D38" i="1"/>
  <c r="F38" i="1"/>
  <c r="E38" i="1"/>
  <c r="AB37" i="1"/>
  <c r="AD37" i="1"/>
  <c r="AG37" i="1"/>
  <c r="AE37" i="1"/>
  <c r="AC37" i="1"/>
  <c r="V37" i="1"/>
  <c r="Q37" i="1"/>
  <c r="P37" i="1"/>
  <c r="O37" i="1"/>
  <c r="N37" i="1"/>
  <c r="M37" i="1"/>
  <c r="J37" i="1"/>
  <c r="I37" i="1"/>
  <c r="D37" i="1"/>
  <c r="F37" i="1"/>
  <c r="E37" i="1"/>
  <c r="AB36" i="1"/>
  <c r="AD36" i="1"/>
  <c r="AG36" i="1"/>
  <c r="AE36" i="1"/>
  <c r="AC36" i="1"/>
  <c r="V36" i="1"/>
  <c r="Q36" i="1"/>
  <c r="P36" i="1"/>
  <c r="O36" i="1"/>
  <c r="N36" i="1"/>
  <c r="M36" i="1"/>
  <c r="J36" i="1"/>
  <c r="I36" i="1"/>
  <c r="D36" i="1"/>
  <c r="F36" i="1"/>
  <c r="E36" i="1"/>
  <c r="AB35" i="1"/>
  <c r="AD35" i="1"/>
  <c r="AG35" i="1"/>
  <c r="AE35" i="1"/>
  <c r="AC35" i="1"/>
  <c r="V35" i="1"/>
  <c r="Q35" i="1"/>
  <c r="P35" i="1"/>
  <c r="O35" i="1"/>
  <c r="N35" i="1"/>
  <c r="M35" i="1"/>
  <c r="J35" i="1"/>
  <c r="I35" i="1"/>
  <c r="D35" i="1"/>
  <c r="F35" i="1"/>
  <c r="E35" i="1"/>
  <c r="AB34" i="1"/>
  <c r="AD34" i="1"/>
  <c r="AG34" i="1"/>
  <c r="AE34" i="1"/>
  <c r="AC34" i="1"/>
  <c r="V34" i="1"/>
  <c r="Q34" i="1"/>
  <c r="P34" i="1"/>
  <c r="O34" i="1"/>
  <c r="N34" i="1"/>
  <c r="M34" i="1"/>
  <c r="J34" i="1"/>
  <c r="I34" i="1"/>
  <c r="D34" i="1"/>
  <c r="F34" i="1"/>
  <c r="E34" i="1"/>
  <c r="AB33" i="1"/>
  <c r="AD33" i="1"/>
  <c r="AG33" i="1"/>
  <c r="AE33" i="1"/>
  <c r="AC33" i="1"/>
  <c r="V33" i="1"/>
  <c r="Q33" i="1"/>
  <c r="P33" i="1"/>
  <c r="O33" i="1"/>
  <c r="N33" i="1"/>
  <c r="M33" i="1"/>
  <c r="J33" i="1"/>
  <c r="I33" i="1"/>
  <c r="D33" i="1"/>
  <c r="F33" i="1"/>
  <c r="E33" i="1"/>
  <c r="AB32" i="1"/>
  <c r="AD32" i="1"/>
  <c r="AG32" i="1"/>
  <c r="AE32" i="1"/>
  <c r="AC32" i="1"/>
  <c r="V32" i="1"/>
  <c r="Q32" i="1"/>
  <c r="P32" i="1"/>
  <c r="O32" i="1"/>
  <c r="N32" i="1"/>
  <c r="M32" i="1"/>
  <c r="J32" i="1"/>
  <c r="I32" i="1"/>
  <c r="D32" i="1"/>
  <c r="F32" i="1"/>
  <c r="E32" i="1"/>
  <c r="AB31" i="1"/>
  <c r="AD31" i="1"/>
  <c r="AG31" i="1"/>
  <c r="AE31" i="1"/>
  <c r="AC31" i="1"/>
  <c r="V31" i="1"/>
  <c r="Q31" i="1"/>
  <c r="P31" i="1"/>
  <c r="O31" i="1"/>
  <c r="N31" i="1"/>
  <c r="M31" i="1"/>
  <c r="J31" i="1"/>
  <c r="I31" i="1"/>
  <c r="D31" i="1"/>
  <c r="F31" i="1"/>
  <c r="E31" i="1"/>
  <c r="AB30" i="1"/>
  <c r="AD30" i="1"/>
  <c r="AG30" i="1"/>
  <c r="AE30" i="1"/>
  <c r="AC30" i="1"/>
  <c r="V30" i="1"/>
  <c r="Q30" i="1"/>
  <c r="P30" i="1"/>
  <c r="O30" i="1"/>
  <c r="N30" i="1"/>
  <c r="M30" i="1"/>
  <c r="J30" i="1"/>
  <c r="I30" i="1"/>
  <c r="D30" i="1"/>
  <c r="F30" i="1"/>
  <c r="E30" i="1"/>
  <c r="AB29" i="1"/>
  <c r="AD29" i="1"/>
  <c r="AG29" i="1"/>
  <c r="AE29" i="1"/>
  <c r="AC29" i="1"/>
  <c r="V29" i="1"/>
  <c r="Q29" i="1"/>
  <c r="P29" i="1"/>
  <c r="O29" i="1"/>
  <c r="N29" i="1"/>
  <c r="M29" i="1"/>
  <c r="J29" i="1"/>
  <c r="I29" i="1"/>
  <c r="D29" i="1"/>
  <c r="F29" i="1"/>
  <c r="E29" i="1"/>
  <c r="AB28" i="1"/>
  <c r="AD28" i="1"/>
  <c r="AG28" i="1"/>
  <c r="AE28" i="1"/>
  <c r="AC28" i="1"/>
  <c r="V28" i="1"/>
  <c r="Q28" i="1"/>
  <c r="P28" i="1"/>
  <c r="O28" i="1"/>
  <c r="N28" i="1"/>
  <c r="M28" i="1"/>
  <c r="J28" i="1"/>
  <c r="I28" i="1"/>
  <c r="D28" i="1"/>
  <c r="F28" i="1"/>
  <c r="E28" i="1"/>
  <c r="AB27" i="1"/>
  <c r="AD27" i="1"/>
  <c r="AG27" i="1"/>
  <c r="AE27" i="1"/>
  <c r="AC27" i="1"/>
  <c r="V27" i="1"/>
  <c r="Q27" i="1"/>
  <c r="P27" i="1"/>
  <c r="O27" i="1"/>
  <c r="N27" i="1"/>
  <c r="M27" i="1"/>
  <c r="J27" i="1"/>
  <c r="I27" i="1"/>
  <c r="D27" i="1"/>
  <c r="F27" i="1"/>
  <c r="E27" i="1"/>
  <c r="AB26" i="1"/>
  <c r="AD26" i="1"/>
  <c r="AG26" i="1"/>
  <c r="AE26" i="1"/>
  <c r="AC26" i="1"/>
  <c r="V26" i="1"/>
  <c r="Q26" i="1"/>
  <c r="P26" i="1"/>
  <c r="O26" i="1"/>
  <c r="N26" i="1"/>
  <c r="M26" i="1"/>
  <c r="J26" i="1"/>
  <c r="I26" i="1"/>
  <c r="D26" i="1"/>
  <c r="F26" i="1"/>
  <c r="E26" i="1"/>
  <c r="AB25" i="1"/>
  <c r="AD25" i="1"/>
  <c r="AG25" i="1"/>
  <c r="AE25" i="1"/>
  <c r="AC25" i="1"/>
  <c r="V25" i="1"/>
  <c r="Q25" i="1"/>
  <c r="P25" i="1"/>
  <c r="O25" i="1"/>
  <c r="N25" i="1"/>
  <c r="M25" i="1"/>
  <c r="J25" i="1"/>
  <c r="I25" i="1"/>
  <c r="D25" i="1"/>
  <c r="F25" i="1"/>
  <c r="E25" i="1"/>
  <c r="AB24" i="1"/>
  <c r="AD24" i="1"/>
  <c r="AG24" i="1"/>
  <c r="AE24" i="1"/>
  <c r="AC24" i="1"/>
  <c r="V24" i="1"/>
  <c r="Q24" i="1"/>
  <c r="P24" i="1"/>
  <c r="O24" i="1"/>
  <c r="N24" i="1"/>
  <c r="M24" i="1"/>
  <c r="J24" i="1"/>
  <c r="I24" i="1"/>
  <c r="D24" i="1"/>
  <c r="F24" i="1"/>
  <c r="E24" i="1"/>
  <c r="AB23" i="1"/>
  <c r="AD23" i="1"/>
  <c r="AG23" i="1"/>
  <c r="AE23" i="1"/>
  <c r="AC23" i="1"/>
  <c r="V23" i="1"/>
  <c r="Q23" i="1"/>
  <c r="P23" i="1"/>
  <c r="O23" i="1"/>
  <c r="N23" i="1"/>
  <c r="M23" i="1"/>
  <c r="J23" i="1"/>
  <c r="I23" i="1"/>
  <c r="D23" i="1"/>
  <c r="F23" i="1"/>
  <c r="E23" i="1"/>
  <c r="AB22" i="1"/>
  <c r="AD22" i="1"/>
  <c r="AG22" i="1"/>
  <c r="AE22" i="1"/>
  <c r="AC22" i="1"/>
  <c r="V22" i="1"/>
  <c r="Q22" i="1"/>
  <c r="P22" i="1"/>
  <c r="O22" i="1"/>
  <c r="N22" i="1"/>
  <c r="M22" i="1"/>
  <c r="J22" i="1"/>
  <c r="I22" i="1"/>
  <c r="D22" i="1"/>
  <c r="F22" i="1"/>
  <c r="E22" i="1"/>
  <c r="AB21" i="1"/>
  <c r="AD21" i="1"/>
  <c r="AG21" i="1"/>
  <c r="AE21" i="1"/>
  <c r="AC21" i="1"/>
  <c r="V21" i="1"/>
  <c r="Q21" i="1"/>
  <c r="P21" i="1"/>
  <c r="O21" i="1"/>
  <c r="N21" i="1"/>
  <c r="M21" i="1"/>
  <c r="J21" i="1"/>
  <c r="I21" i="1"/>
  <c r="D21" i="1"/>
  <c r="F21" i="1"/>
  <c r="E21" i="1"/>
  <c r="AB20" i="1"/>
  <c r="AD20" i="1"/>
  <c r="AG20" i="1"/>
  <c r="AE20" i="1"/>
  <c r="AC20" i="1"/>
  <c r="V20" i="1"/>
  <c r="Q20" i="1"/>
  <c r="P20" i="1"/>
  <c r="O20" i="1"/>
  <c r="N20" i="1"/>
  <c r="M20" i="1"/>
  <c r="J20" i="1"/>
  <c r="I20" i="1"/>
  <c r="D20" i="1"/>
  <c r="F20" i="1"/>
  <c r="E20" i="1"/>
  <c r="AB19" i="1"/>
  <c r="AD19" i="1"/>
  <c r="AG19" i="1"/>
  <c r="AE19" i="1"/>
  <c r="AC19" i="1"/>
  <c r="V19" i="1"/>
  <c r="Q19" i="1"/>
  <c r="P19" i="1"/>
  <c r="O19" i="1"/>
  <c r="N19" i="1"/>
  <c r="M19" i="1"/>
  <c r="J19" i="1"/>
  <c r="I19" i="1"/>
  <c r="D19" i="1"/>
  <c r="F19" i="1"/>
  <c r="E19" i="1"/>
  <c r="AB18" i="1"/>
  <c r="AD18" i="1"/>
  <c r="AG18" i="1"/>
  <c r="AE18" i="1"/>
  <c r="AC18" i="1"/>
  <c r="V18" i="1"/>
  <c r="Q18" i="1"/>
  <c r="P18" i="1"/>
  <c r="O18" i="1"/>
  <c r="N18" i="1"/>
  <c r="M18" i="1"/>
  <c r="J18" i="1"/>
  <c r="I18" i="1"/>
  <c r="D18" i="1"/>
  <c r="F18" i="1"/>
  <c r="E18" i="1"/>
  <c r="AB17" i="1"/>
  <c r="AD17" i="1"/>
  <c r="AG17" i="1"/>
  <c r="AE17" i="1"/>
  <c r="AC17" i="1"/>
  <c r="V17" i="1"/>
  <c r="Q17" i="1"/>
  <c r="P17" i="1"/>
  <c r="O17" i="1"/>
  <c r="N17" i="1"/>
  <c r="M17" i="1"/>
  <c r="J17" i="1"/>
  <c r="I17" i="1"/>
  <c r="D17" i="1"/>
  <c r="F17" i="1"/>
  <c r="E17" i="1"/>
  <c r="AB16" i="1"/>
  <c r="AD16" i="1"/>
  <c r="AG16" i="1"/>
  <c r="AE16" i="1"/>
  <c r="AC16" i="1"/>
  <c r="V16" i="1"/>
  <c r="Q16" i="1"/>
  <c r="P16" i="1"/>
  <c r="O16" i="1"/>
  <c r="N16" i="1"/>
  <c r="M16" i="1"/>
  <c r="J16" i="1"/>
  <c r="I16" i="1"/>
  <c r="D16" i="1"/>
  <c r="F16" i="1"/>
  <c r="E16" i="1"/>
  <c r="AB15" i="1"/>
  <c r="AD15" i="1"/>
  <c r="AG15" i="1"/>
  <c r="AE15" i="1"/>
  <c r="AC15" i="1"/>
  <c r="V15" i="1"/>
  <c r="Q15" i="1"/>
  <c r="P15" i="1"/>
  <c r="O15" i="1"/>
  <c r="N15" i="1"/>
  <c r="M15" i="1"/>
  <c r="J15" i="1"/>
  <c r="I15" i="1"/>
  <c r="D15" i="1"/>
  <c r="F15" i="1"/>
  <c r="E15" i="1"/>
  <c r="AB14" i="1"/>
  <c r="AD14" i="1"/>
  <c r="AG14" i="1"/>
  <c r="AE14" i="1"/>
  <c r="AC14" i="1"/>
  <c r="V14" i="1"/>
  <c r="Q14" i="1"/>
  <c r="P14" i="1"/>
  <c r="O14" i="1"/>
  <c r="N14" i="1"/>
  <c r="M14" i="1"/>
  <c r="J14" i="1"/>
  <c r="I14" i="1"/>
  <c r="D14" i="1"/>
  <c r="F14" i="1"/>
  <c r="E14" i="1"/>
  <c r="AB13" i="1"/>
  <c r="AD13" i="1"/>
  <c r="AG13" i="1"/>
  <c r="AE13" i="1"/>
  <c r="AC13" i="1"/>
  <c r="V13" i="1"/>
  <c r="Q13" i="1"/>
  <c r="P13" i="1"/>
  <c r="O13" i="1"/>
  <c r="N13" i="1"/>
  <c r="M13" i="1"/>
  <c r="J13" i="1"/>
  <c r="I13" i="1"/>
  <c r="D13" i="1"/>
  <c r="F13" i="1"/>
  <c r="E13" i="1"/>
  <c r="H25" i="2"/>
  <c r="E25" i="2"/>
  <c r="D25" i="2"/>
  <c r="B25" i="2"/>
  <c r="H24" i="2"/>
  <c r="E24" i="2"/>
  <c r="D24" i="2"/>
  <c r="B24" i="2"/>
  <c r="H23" i="2"/>
  <c r="E23" i="2"/>
  <c r="D23" i="2"/>
  <c r="B23" i="2"/>
  <c r="H22" i="2"/>
  <c r="E22" i="2"/>
  <c r="D22" i="2"/>
  <c r="B22" i="2"/>
  <c r="H21" i="2"/>
  <c r="E21" i="2"/>
  <c r="D21" i="2"/>
  <c r="B21" i="2"/>
  <c r="H20" i="2"/>
  <c r="E20" i="2"/>
  <c r="D20" i="2"/>
  <c r="B20" i="2"/>
  <c r="H19" i="2"/>
  <c r="E19" i="2"/>
  <c r="D19" i="2"/>
  <c r="B19" i="2"/>
  <c r="H18" i="2"/>
  <c r="E18" i="2"/>
  <c r="D18" i="2"/>
  <c r="B18" i="2"/>
  <c r="H17" i="2"/>
  <c r="E17" i="2"/>
  <c r="D17" i="2"/>
  <c r="B17" i="2"/>
  <c r="H16" i="2"/>
  <c r="E16" i="2"/>
  <c r="D16" i="2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AB8" i="1"/>
  <c r="AD8" i="1"/>
  <c r="AG8" i="1"/>
  <c r="AE8" i="1"/>
  <c r="AC8" i="1"/>
  <c r="V8" i="1"/>
  <c r="Q8" i="1"/>
  <c r="P8" i="1"/>
  <c r="O8" i="1"/>
  <c r="N8" i="1"/>
  <c r="M8" i="1"/>
  <c r="J8" i="1"/>
  <c r="I8" i="1"/>
  <c r="D8" i="1"/>
  <c r="F8" i="1"/>
  <c r="E8" i="1"/>
  <c r="E2" i="9"/>
  <c r="A31" i="9"/>
  <c r="D31" i="9"/>
  <c r="E31" i="9"/>
  <c r="G31" i="9"/>
  <c r="H31" i="9"/>
  <c r="I31" i="9"/>
  <c r="J31" i="9"/>
  <c r="K31" i="9"/>
  <c r="L31" i="9"/>
  <c r="M31" i="9"/>
  <c r="N31" i="9"/>
  <c r="J31" i="11"/>
  <c r="O31" i="9"/>
  <c r="A32" i="9"/>
  <c r="D32" i="9"/>
  <c r="E32" i="9"/>
  <c r="G32" i="9"/>
  <c r="H32" i="9"/>
  <c r="I32" i="9"/>
  <c r="J32" i="9"/>
  <c r="K32" i="9"/>
  <c r="L32" i="9"/>
  <c r="M32" i="9"/>
  <c r="N32" i="9"/>
  <c r="J32" i="11"/>
  <c r="O32" i="9"/>
  <c r="A33" i="9"/>
  <c r="D33" i="9"/>
  <c r="E33" i="9"/>
  <c r="G33" i="9"/>
  <c r="H33" i="9"/>
  <c r="I33" i="9"/>
  <c r="J33" i="9"/>
  <c r="K33" i="9"/>
  <c r="L33" i="9"/>
  <c r="M33" i="9"/>
  <c r="N33" i="9"/>
  <c r="J33" i="11"/>
  <c r="O33" i="9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L5" i="10"/>
  <c r="M5" i="10"/>
  <c r="M15" i="10"/>
  <c r="M2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3" i="10"/>
  <c r="H3" i="10"/>
  <c r="I3" i="10"/>
  <c r="J3" i="10"/>
  <c r="K3" i="10"/>
  <c r="L3" i="10"/>
  <c r="M3" i="10"/>
  <c r="M13" i="10"/>
  <c r="M23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M2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6" i="10"/>
  <c r="H6" i="10"/>
  <c r="I6" i="10"/>
  <c r="J6" i="10"/>
  <c r="K6" i="10"/>
  <c r="L6" i="10"/>
  <c r="M6" i="10"/>
  <c r="M1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1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2" i="10"/>
  <c r="N22" i="10"/>
  <c r="Q22" i="10"/>
  <c r="P22" i="10"/>
  <c r="R22" i="10"/>
  <c r="O22" i="10"/>
  <c r="S2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V7" i="1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6" i="9"/>
  <c r="D26" i="9"/>
  <c r="E26" i="9"/>
  <c r="G26" i="9"/>
  <c r="H26" i="9"/>
  <c r="I26" i="9"/>
  <c r="J26" i="9"/>
  <c r="K26" i="9"/>
  <c r="L26" i="9"/>
  <c r="M26" i="9"/>
  <c r="N26" i="9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A28" i="9"/>
  <c r="D28" i="9"/>
  <c r="E28" i="9"/>
  <c r="G28" i="9"/>
  <c r="H28" i="9"/>
  <c r="I28" i="9"/>
  <c r="J28" i="9"/>
  <c r="K28" i="9"/>
  <c r="L28" i="9"/>
  <c r="M28" i="9"/>
  <c r="N28" i="9"/>
  <c r="O28" i="9"/>
  <c r="A29" i="9"/>
  <c r="D29" i="9"/>
  <c r="E29" i="9"/>
  <c r="G29" i="9"/>
  <c r="H29" i="9"/>
  <c r="I29" i="9"/>
  <c r="J29" i="9"/>
  <c r="K29" i="9"/>
  <c r="L29" i="9"/>
  <c r="M29" i="9"/>
  <c r="N29" i="9"/>
  <c r="O29" i="9"/>
  <c r="A30" i="9"/>
  <c r="D30" i="9"/>
  <c r="E30" i="9"/>
  <c r="G30" i="9"/>
  <c r="H30" i="9"/>
  <c r="I30" i="9"/>
  <c r="J30" i="9"/>
  <c r="K30" i="9"/>
  <c r="L30" i="9"/>
  <c r="M30" i="9"/>
  <c r="N30" i="9"/>
  <c r="O30" i="9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D12" i="1"/>
  <c r="E12" i="1"/>
  <c r="F12" i="1"/>
  <c r="I12" i="1"/>
  <c r="J12" i="1"/>
  <c r="M12" i="1"/>
  <c r="N12" i="1"/>
  <c r="O12" i="1"/>
  <c r="P12" i="1"/>
  <c r="Q12" i="1"/>
  <c r="V12" i="1"/>
  <c r="AB12" i="1"/>
  <c r="AC12" i="1"/>
  <c r="AD12" i="1"/>
  <c r="AE12" i="1"/>
  <c r="AG12" i="1"/>
  <c r="D2" i="7"/>
  <c r="F2" i="7"/>
  <c r="A3" i="7"/>
  <c r="D3" i="7"/>
  <c r="E3" i="7"/>
  <c r="F3" i="7"/>
  <c r="H3" i="7"/>
  <c r="I3" i="7"/>
  <c r="J3" i="7"/>
  <c r="N3" i="7"/>
  <c r="O3" i="7"/>
  <c r="P3" i="7"/>
  <c r="Q3" i="7"/>
  <c r="R3" i="7"/>
  <c r="W3" i="7"/>
  <c r="A4" i="7"/>
  <c r="D4" i="7"/>
  <c r="E4" i="7"/>
  <c r="F4" i="7"/>
  <c r="H4" i="7"/>
  <c r="I4" i="7"/>
  <c r="J4" i="7"/>
  <c r="N4" i="7"/>
  <c r="O4" i="7"/>
  <c r="P4" i="7"/>
  <c r="Q4" i="7"/>
  <c r="R4" i="7"/>
  <c r="W4" i="7"/>
  <c r="D2" i="1"/>
  <c r="E2" i="1"/>
  <c r="F2" i="1"/>
  <c r="I2" i="1"/>
  <c r="J2" i="1"/>
  <c r="M2" i="1"/>
  <c r="N2" i="1"/>
  <c r="O2" i="1"/>
  <c r="P2" i="1"/>
  <c r="Q2" i="1"/>
  <c r="V2" i="1"/>
  <c r="AB2" i="1"/>
  <c r="AC2" i="1"/>
  <c r="AD2" i="1"/>
  <c r="AE2" i="1"/>
  <c r="AG2" i="1"/>
  <c r="D3" i="1"/>
  <c r="E3" i="1"/>
  <c r="F3" i="1"/>
  <c r="I3" i="1"/>
  <c r="J3" i="1"/>
  <c r="M3" i="1"/>
  <c r="N3" i="1"/>
  <c r="O3" i="1"/>
  <c r="P3" i="1"/>
  <c r="Q3" i="1"/>
  <c r="V3" i="1"/>
  <c r="AB3" i="1"/>
  <c r="AC3" i="1"/>
  <c r="AD3" i="1"/>
  <c r="AE3" i="1"/>
  <c r="AG3" i="1"/>
  <c r="D4" i="1"/>
  <c r="E4" i="1"/>
  <c r="F4" i="1"/>
  <c r="I4" i="1"/>
  <c r="J4" i="1"/>
  <c r="M4" i="1"/>
  <c r="N4" i="1"/>
  <c r="O4" i="1"/>
  <c r="P4" i="1"/>
  <c r="Q4" i="1"/>
  <c r="V4" i="1"/>
  <c r="AB4" i="1"/>
  <c r="AC4" i="1"/>
  <c r="AD4" i="1"/>
  <c r="AE4" i="1"/>
  <c r="AG4" i="1"/>
  <c r="D5" i="1"/>
  <c r="E5" i="1"/>
  <c r="F5" i="1"/>
  <c r="I5" i="1"/>
  <c r="J5" i="1"/>
  <c r="M5" i="1"/>
  <c r="N5" i="1"/>
  <c r="O5" i="1"/>
  <c r="P5" i="1"/>
  <c r="Q5" i="1"/>
  <c r="V5" i="1"/>
  <c r="AB5" i="1"/>
  <c r="AC5" i="1"/>
  <c r="AD5" i="1"/>
  <c r="AE5" i="1"/>
  <c r="AG5" i="1"/>
  <c r="A6" i="1"/>
  <c r="D6" i="1"/>
  <c r="E6" i="1"/>
  <c r="F6" i="1"/>
  <c r="I6" i="1"/>
  <c r="J6" i="1"/>
  <c r="M6" i="1"/>
  <c r="N6" i="1"/>
  <c r="O6" i="1"/>
  <c r="P6" i="1"/>
  <c r="Q6" i="1"/>
  <c r="V6" i="1"/>
  <c r="AB6" i="1"/>
  <c r="AC6" i="1"/>
  <c r="AD6" i="1"/>
  <c r="AE6" i="1"/>
  <c r="AG6" i="1"/>
  <c r="D7" i="1"/>
  <c r="E7" i="1"/>
  <c r="F7" i="1"/>
  <c r="I7" i="1"/>
  <c r="J7" i="1"/>
  <c r="M7" i="1"/>
  <c r="N7" i="1"/>
  <c r="O7" i="1"/>
  <c r="P7" i="1"/>
  <c r="Q7" i="1"/>
  <c r="AB7" i="1"/>
  <c r="AC7" i="1"/>
  <c r="AD7" i="1"/>
  <c r="AE7" i="1"/>
  <c r="AG7" i="1"/>
  <c r="D9" i="1"/>
  <c r="E9" i="1"/>
  <c r="F9" i="1"/>
  <c r="I9" i="1"/>
  <c r="J9" i="1"/>
  <c r="M9" i="1"/>
  <c r="N9" i="1"/>
  <c r="O9" i="1"/>
  <c r="P9" i="1"/>
  <c r="Q9" i="1"/>
  <c r="V9" i="1"/>
  <c r="AB9" i="1"/>
  <c r="AC9" i="1"/>
  <c r="AD9" i="1"/>
  <c r="AE9" i="1"/>
  <c r="AG9" i="1"/>
  <c r="D10" i="1"/>
  <c r="E10" i="1"/>
  <c r="F10" i="1"/>
  <c r="I10" i="1"/>
  <c r="J10" i="1"/>
  <c r="M10" i="1"/>
  <c r="N10" i="1"/>
  <c r="O10" i="1"/>
  <c r="P10" i="1"/>
  <c r="Q10" i="1"/>
  <c r="V10" i="1"/>
  <c r="AB10" i="1"/>
  <c r="AC10" i="1"/>
  <c r="AD10" i="1"/>
  <c r="AE10" i="1"/>
  <c r="AG10" i="1"/>
  <c r="D11" i="1"/>
  <c r="E11" i="1"/>
  <c r="F11" i="1"/>
  <c r="I11" i="1"/>
  <c r="J11" i="1"/>
  <c r="M11" i="1"/>
  <c r="N11" i="1"/>
  <c r="O11" i="1"/>
  <c r="P11" i="1"/>
  <c r="Q11" i="1"/>
  <c r="V11" i="1"/>
  <c r="AB11" i="1"/>
  <c r="AC11" i="1"/>
  <c r="AD11" i="1"/>
  <c r="AE11" i="1"/>
  <c r="AG11" i="1"/>
  <c r="E8" i="16"/>
  <c r="E9" i="16"/>
  <c r="E5" i="16"/>
  <c r="E6" i="16"/>
  <c r="E7" i="16"/>
  <c r="E4" i="16"/>
  <c r="E2" i="24"/>
  <c r="B2" i="24"/>
  <c r="D2" i="2"/>
  <c r="F2" i="24"/>
  <c r="C2" i="24"/>
  <c r="E2" i="2"/>
  <c r="E23" i="16"/>
  <c r="E22" i="16"/>
  <c r="E20" i="16"/>
  <c r="E21" i="16"/>
  <c r="C2" i="22"/>
  <c r="B2" i="22"/>
  <c r="E3" i="16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B2" i="21"/>
  <c r="I2" i="21"/>
  <c r="J2" i="21"/>
  <c r="G2" i="21"/>
  <c r="F2" i="21"/>
  <c r="D2" i="21"/>
  <c r="C2" i="21"/>
  <c r="E19" i="16"/>
  <c r="E18" i="16"/>
  <c r="E17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D2" i="9"/>
  <c r="E16" i="16"/>
  <c r="W2" i="7"/>
  <c r="R2" i="7"/>
  <c r="Q2" i="7"/>
  <c r="P2" i="7"/>
  <c r="O2" i="7"/>
  <c r="N2" i="7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15" i="16"/>
  <c r="E14" i="16"/>
  <c r="E13" i="16"/>
  <c r="E12" i="16"/>
  <c r="E11" i="16"/>
  <c r="E10" i="16"/>
  <c r="E2" i="16"/>
  <c r="A2" i="9"/>
  <c r="A2" i="7"/>
  <c r="I2" i="7"/>
  <c r="E2" i="7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<sst xmlns="http://schemas.openxmlformats.org/spreadsheetml/2006/main" count="1530" uniqueCount="408">
  <si>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</si>
  <si>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</si>
  <si>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</si>
  <si>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</si>
  <si>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</si>
  <si>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</si>
  <si>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</si>
  <si>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</si>
  <si>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</si>
  <si>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</si>
  <si>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</si>
  <si>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</si>
  <si>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</si>
  <si>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</si>
  <si>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</si>
  <si>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</si>
  <si>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</si>
  <si>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</si>
  <si>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</si>
  <si>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</si>
  <si>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</si>
  <si>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</si>
  <si>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</si>
  <si>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</si>
  <si>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</si>
  <si>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</si>
  <si>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</si>
  <si>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</si>
  <si>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</si>
  <si>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</si>
  <si>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</si>
  <si>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</si>
  <si>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</si>
  <si>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</si>
  <si>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</si>
  <si>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</si>
  <si>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</si>
  <si>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</si>
  <si>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</si>
  <si>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</si>
  <si>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</si>
  <si>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</si>
  <si>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</si>
  <si>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</si>
  <si>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</si>
  <si>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</si>
  <si>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</si>
  <si>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</si>
  <si>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</si>
  <si>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</si>
  <si>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</si>
  <si>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</si>
  <si>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</si>
  <si>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null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</si>
  <si>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</si>
  <si>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</si>
  <si>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</si>
  <si>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</si>
  <si>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</si>
  <si>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</si>
  <si>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</si>
  <si>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</si>
  <si>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</si>
  <si>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</si>
  <si>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</si>
  <si>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</si>
  <si>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</si>
  <si>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</si>
  <si>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</si>
  <si>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</si>
  <si>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</si>
  <si>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</si>
  <si>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</si>
  <si>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</si>
  <si>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</si>
  <si>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</si>
  <si>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</si>
  <si>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</si>
  <si>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</si>
  <si>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</si>
  <si>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</si>
  <si>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</si>
  <si>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</si>
  <si>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</si>
  <si>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</si>
  <si>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</si>
  <si>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</si>
  <si>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</si>
  <si>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重複チェック</t>
    <rPh sb="0" eb="2">
      <t>チョウフク</t>
    </rPh>
    <phoneticPr fontId="6"/>
  </si>
  <si>
    <t>null</t>
    <phoneticPr fontId="6"/>
  </si>
  <si>
    <t>null</t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</si>
  <si>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</si>
  <si>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</si>
  <si>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</si>
  <si>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</si>
  <si>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</si>
  <si>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</si>
  <si>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</si>
  <si>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</si>
  <si>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</si>
  <si>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</si>
  <si>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</si>
  <si>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</si>
  <si>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</si>
  <si>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</si>
  <si>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</si>
  <si>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</si>
  <si>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</si>
  <si>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</si>
  <si>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</si>
  <si>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</si>
  <si>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</si>
  <si>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</si>
  <si>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</si>
  <si>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</si>
  <si>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</si>
  <si>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</si>
  <si>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</si>
  <si>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</si>
  <si>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</si>
  <si>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</si>
  <si>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</si>
  <si>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</si>
  <si>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</si>
  <si>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</si>
  <si>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</si>
  <si>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</si>
  <si>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</si>
  <si>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ja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</si>
  <si>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</si>
  <si>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</si>
  <si>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</si>
  <si>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</si>
  <si>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</si>
  <si>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</si>
  <si>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</si>
  <si>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</si>
  <si>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</si>
  <si>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</si>
  <si>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</si>
  <si>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</si>
  <si>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</si>
  <si>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</si>
  <si>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</si>
  <si>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</si>
  <si>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</si>
  <si>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</si>
  <si>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</si>
  <si>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</si>
  <si>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</si>
  <si>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</si>
  <si>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</si>
  <si>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</si>
  <si>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</si>
  <si>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</si>
  <si>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</si>
  <si>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</si>
  <si>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</si>
  <si>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</si>
  <si>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</si>
  <si>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</si>
  <si>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</si>
  <si>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</si>
  <si>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</si>
  <si>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</si>
  <si>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</si>
  <si>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</si>
  <si>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</si>
  <si>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</si>
  <si>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bit</t>
  </si>
  <si>
    <t>null</t>
    <phoneticPr fontId="6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</si>
  <si>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</si>
  <si>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</si>
  <si>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</si>
  <si>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bugbonuses</t>
    <phoneticPr fontId="6"/>
  </si>
  <si>
    <t>stage_id</t>
    <phoneticPr fontId="6"/>
  </si>
  <si>
    <t>stage_target</t>
    <phoneticPr fontId="6"/>
  </si>
  <si>
    <t>bonus_id</t>
    <phoneticPr fontId="6"/>
  </si>
  <si>
    <t>bonus_type</t>
    <phoneticPr fontId="6"/>
  </si>
  <si>
    <t>stage_bug_bonuses_</t>
    <phoneticPr fontId="6"/>
  </si>
  <si>
    <t>skill_level</t>
    <phoneticPr fontId="6"/>
  </si>
  <si>
    <t>skill_level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</si>
  <si>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</si>
  <si>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quest_id</t>
    <phoneticPr fontId="6"/>
  </si>
  <si>
    <t>hint_id</t>
    <phoneticPr fontId="6"/>
  </si>
  <si>
    <t>floor_id</t>
    <phoneticPr fontId="6"/>
  </si>
  <si>
    <t>hint_type</t>
    <phoneticPr fontId="6"/>
  </si>
  <si>
    <t>hint</t>
    <phoneticPr fontId="6"/>
  </si>
  <si>
    <t>title</t>
    <phoneticPr fontId="6"/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</si>
  <si>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</si>
  <si>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</si>
  <si>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</si>
  <si>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</si>
  <si>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</si>
  <si>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</si>
  <si>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</si>
  <si>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</si>
  <si>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</si>
  <si>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failure</t>
  </si>
  <si>
    <t>ja</t>
    <phoneticPr fontId="6"/>
  </si>
  <si>
    <t>攻略のヒント</t>
    <rPh sb="0" eb="2">
      <t>コウリャク</t>
    </rPh>
    <phoneticPr fontId="6"/>
  </si>
  <si>
    <t>NULL</t>
    <phoneticPr fontId="6"/>
  </si>
  <si>
    <t>complete</t>
  </si>
  <si>
    <t>敵が強すぎます</t>
    <rPh sb="0" eb="2">
      <t>テk</t>
    </rPh>
    <rPh sb="2" eb="7">
      <t>ツヨs</t>
    </rPh>
    <phoneticPr fontId="6"/>
  </si>
  <si>
    <t>stage_hints_data_c_</t>
    <phoneticPr fontId="6"/>
  </si>
  <si>
    <t>stage_hints_data_f_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</si>
  <si>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</si>
  <si>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hint_id</t>
    <phoneticPr fontId="6"/>
  </si>
  <si>
    <t>language</t>
    <phoneticPr fontId="6"/>
  </si>
  <si>
    <t>hint</t>
    <phoneticPr fontId="6"/>
  </si>
  <si>
    <t>filename</t>
  </si>
  <si>
    <t>title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</si>
  <si>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</si>
  <si>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NULL</t>
    <phoneticPr fontId="6"/>
  </si>
  <si>
    <t>stage_hints_failure</t>
    <phoneticPr fontId="6"/>
  </si>
  <si>
    <t>stage_hints_failure</t>
    <phoneticPr fontId="6"/>
  </si>
  <si>
    <t>param_code_damage_givn</t>
    <phoneticPr fontId="6"/>
  </si>
  <si>
    <t>param_code_damage_received</t>
    <phoneticPr fontId="6"/>
  </si>
  <si>
    <t>param_code_clear_turn</t>
    <phoneticPr fontId="6"/>
  </si>
  <si>
    <t>upper_ranking</t>
    <phoneticPr fontId="6"/>
  </si>
  <si>
    <t>lower_ranking</t>
    <phoneticPr fontId="6"/>
  </si>
  <si>
    <t>gift_type</t>
    <phoneticPr fontId="8"/>
  </si>
  <si>
    <t>gift_value</t>
    <phoneticPr fontId="8"/>
  </si>
  <si>
    <t>gift_count</t>
    <phoneticPr fontId="8"/>
  </si>
  <si>
    <t>weight</t>
    <phoneticPr fontId="8"/>
  </si>
  <si>
    <t>language</t>
    <phoneticPr fontId="8"/>
  </si>
  <si>
    <t>title</t>
    <phoneticPr fontId="8"/>
  </si>
  <si>
    <t>detail</t>
    <phoneticPr fontId="8"/>
  </si>
  <si>
    <t>message</t>
    <phoneticPr fontId="8"/>
  </si>
  <si>
    <t>ja</t>
    <phoneticPr fontId="8"/>
  </si>
  <si>
    <t>ranking_ACH_</t>
    <phoneticPr fontId="6"/>
  </si>
  <si>
    <t>ranking_ACH</t>
    <phoneticPr fontId="6"/>
  </si>
  <si>
    <t>quest_id</t>
    <phoneticPr fontId="6"/>
  </si>
  <si>
    <t>upper_ranking</t>
    <phoneticPr fontId="6"/>
  </si>
  <si>
    <t>lower_ranking</t>
    <phoneticPr fontId="6"/>
  </si>
  <si>
    <t>gift_id</t>
    <phoneticPr fontId="6"/>
  </si>
  <si>
    <t>gifts_tmp_</t>
    <phoneticPr fontId="8"/>
  </si>
  <si>
    <t>gift_id</t>
    <phoneticPr fontId="8"/>
  </si>
  <si>
    <t>gifts_i18n_</t>
    <phoneticPr fontId="8"/>
  </si>
  <si>
    <t>title</t>
    <phoneticPr fontId="8"/>
  </si>
  <si>
    <t>detail</t>
    <phoneticPr fontId="8"/>
  </si>
  <si>
    <t>ranking_floors_</t>
    <phoneticPr fontId="6"/>
  </si>
  <si>
    <t>ranking_stages_</t>
    <phoneticPr fontId="6"/>
  </si>
  <si>
    <t>clear_bonus</t>
    <phoneticPr fontId="6"/>
  </si>
  <si>
    <t>ranking_stages</t>
    <phoneticPr fontId="6"/>
  </si>
  <si>
    <t>param_code</t>
    <phoneticPr fontId="6"/>
  </si>
  <si>
    <t>x</t>
    <phoneticPr fontId="6"/>
  </si>
  <si>
    <t>a</t>
    <phoneticPr fontId="6"/>
  </si>
  <si>
    <t>b</t>
    <phoneticPr fontId="6"/>
  </si>
  <si>
    <t>clear_turn_</t>
    <phoneticPr fontId="6"/>
  </si>
  <si>
    <t>damage_give_</t>
    <phoneticPr fontId="6"/>
  </si>
  <si>
    <t>damage_receive</t>
    <phoneticPr fontId="6"/>
  </si>
  <si>
    <t>damage_receive_</t>
    <phoneticPr fontId="6"/>
  </si>
  <si>
    <t>clear_turn</t>
    <phoneticPr fontId="6"/>
  </si>
  <si>
    <t>damege_give</t>
    <phoneticPr fontId="6"/>
  </si>
  <si>
    <t>evaluation_id</t>
    <phoneticPr fontId="6"/>
  </si>
  <si>
    <t>quest_id</t>
    <phoneticPr fontId="6"/>
  </si>
  <si>
    <t>stage_id</t>
    <phoneticPr fontId="6"/>
  </si>
  <si>
    <t>score</t>
    <phoneticPr fontId="6"/>
  </si>
  <si>
    <t>language</t>
    <phoneticPr fontId="6"/>
  </si>
  <si>
    <t>evaluation</t>
    <phoneticPr fontId="6"/>
  </si>
  <si>
    <t>animation_file_name</t>
    <phoneticPr fontId="6"/>
  </si>
  <si>
    <t>SSS</t>
    <phoneticPr fontId="6"/>
  </si>
  <si>
    <t>ja</t>
    <phoneticPr fontId="6"/>
  </si>
  <si>
    <t>View/RankingBattle_Evelution_SSS.ccbi</t>
    <phoneticPr fontId="6"/>
  </si>
  <si>
    <t>ranking_eval_data_</t>
    <phoneticPr fontId="6"/>
  </si>
  <si>
    <t>ranking_eval_i18n_</t>
    <phoneticPr fontId="6"/>
  </si>
  <si>
    <t>ranking_eval</t>
  </si>
  <si>
    <t>先制攻撃</t>
    <rPh sb="0" eb="4">
      <t>センセ</t>
    </rPh>
    <phoneticPr fontId="6"/>
  </si>
  <si>
    <t>３回連続攻撃</t>
    <rPh sb="1" eb="4">
      <t>k</t>
    </rPh>
    <rPh sb="4" eb="6">
      <t>コウゲk</t>
    </rPh>
    <phoneticPr fontId="6"/>
  </si>
  <si>
    <t>３連斬り</t>
    <rPh sb="1" eb="2">
      <t>レン</t>
    </rPh>
    <rPh sb="2" eb="3">
      <t>キ</t>
    </rPh>
    <phoneticPr fontId="6"/>
  </si>
  <si>
    <t>生命の爆発</t>
    <rPh sb="0" eb="2">
      <t>セイメ</t>
    </rPh>
    <rPh sb="3" eb="5">
      <t>バクh</t>
    </rPh>
    <phoneticPr fontId="6"/>
  </si>
  <si>
    <t>ja</t>
    <phoneticPr fontId="6"/>
  </si>
  <si>
    <t>りんご速報</t>
    <rPh sb="3" eb="5">
      <t>ソクホウ</t>
    </rPh>
    <phoneticPr fontId="6"/>
  </si>
  <si>
    <t>[effect:fix_speed,target:myself,turn:5]</t>
    <phoneticPr fontId="6"/>
  </si>
  <si>
    <t>自爆攻撃</t>
    <rPh sb="0" eb="2">
      <t>ジb</t>
    </rPh>
    <rPh sb="2" eb="4">
      <t>コウゲk</t>
    </rPh>
    <phoneticPr fontId="6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</si>
  <si>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</t>
  </si>
  <si>
    <t>警戒すべし！</t>
    <rPh sb="0" eb="2">
      <t>ケ</t>
    </rPh>
    <phoneticPr fontId="6"/>
  </si>
  <si>
    <t>状態異常無効</t>
    <rPh sb="0" eb="4">
      <t>ジョウタイ</t>
    </rPh>
    <rPh sb="4" eb="6">
      <t>ムコ</t>
    </rPh>
    <phoneticPr fontId="6"/>
  </si>
  <si>
    <t>連続攻撃</t>
    <rPh sb="0" eb="2">
      <t>レンゾk</t>
    </rPh>
    <rPh sb="2" eb="4">
      <t>コウゲk</t>
    </rPh>
    <phoneticPr fontId="6"/>
  </si>
  <si>
    <t>[effect:rush, count:1, val:0.8],[effect:change_panel_ratio, turn:2, block_type:green, val:0, animation:block_incidence04]</t>
    <phoneticPr fontId="6"/>
  </si>
  <si>
    <t>ダブルレイヴン</t>
    <phoneticPr fontId="6"/>
  </si>
  <si>
    <t>[effect:break_attack_fix, val:800, lowest_val:800, count:-1, block:block_green, target:unit_all]</t>
    <phoneticPr fontId="6"/>
  </si>
  <si>
    <t>[effect:rush, count:2, val:0.7]</t>
    <phoneticPr fontId="6"/>
  </si>
  <si>
    <t>ウィルス検索中である！</t>
    <rPh sb="4" eb="7">
      <t>ケンs</t>
    </rPh>
    <phoneticPr fontId="6"/>
  </si>
  <si>
    <t>データ破壊実行！</t>
    <rPh sb="3" eb="5">
      <t>ハカ</t>
    </rPh>
    <rPh sb="5" eb="7">
      <t>ジッコ</t>
    </rPh>
    <phoneticPr fontId="6"/>
  </si>
  <si>
    <t>セキュリティを再構築せよ！</t>
    <rPh sb="7" eb="10">
      <t>サ</t>
    </rPh>
    <phoneticPr fontId="6"/>
  </si>
  <si>
    <t>[effect:critical,val:0.8,animation:enemy_critical],[effect:tolerance,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6"/>
  </si>
  <si>
    <t>先制攻撃＋状態異常無効</t>
    <rPh sb="0" eb="4">
      <t>センセ</t>
    </rPh>
    <rPh sb="5" eb="9">
      <t>ジョ</t>
    </rPh>
    <rPh sb="9" eb="11">
      <t>ムコ</t>
    </rPh>
    <phoneticPr fontId="6"/>
  </si>
  <si>
    <t>[effect:rush, count:5, val:0.3]</t>
    <phoneticPr fontId="6"/>
  </si>
  <si>
    <t>シャドーレイヴンズ</t>
    <phoneticPr fontId="6"/>
  </si>
  <si>
    <t>[effect:heal, target:enemy_one, val:0.1, animation:enemy_heal][effect:change_block, new_block:block_red, target:block_heart, count:0, val:0, animation:change_block],[effect:rush, count:1, val:1]</t>
    <phoneticPr fontId="6"/>
  </si>
  <si>
    <t>CPUオーバーヒート</t>
    <phoneticPr fontId="6"/>
  </si>
  <si>
    <t>ハートパネルを赤パネルに変換</t>
    <rPh sb="7" eb="8">
      <t>アk</t>
    </rPh>
    <rPh sb="12" eb="14">
      <t>ヘン</t>
    </rPh>
    <phoneticPr fontId="6"/>
  </si>
  <si>
    <t>[effect:rush, count:3, val:0.6]</t>
    <phoneticPr fontId="6"/>
  </si>
  <si>
    <t>レイヴンズトリック</t>
    <phoneticPr fontId="6"/>
  </si>
  <si>
    <t>ランダムで威力が変わる攻撃</t>
    <rPh sb="5" eb="7">
      <t>イリョk</t>
    </rPh>
    <rPh sb="8" eb="11">
      <t>カワr</t>
    </rPh>
    <rPh sb="11" eb="13">
      <t>コウゲk</t>
    </rPh>
    <phoneticPr fontId="6"/>
  </si>
  <si>
    <t>[effect:rush, count:3, val:0.4]</t>
    <phoneticPr fontId="6"/>
  </si>
  <si>
    <t>[effect:rush, count:3, val:0.5]</t>
    <phoneticPr fontId="6"/>
  </si>
  <si>
    <t>くっ・・・目が疼く・・・！</t>
    <rPh sb="5" eb="7">
      <t>メg</t>
    </rPh>
    <rPh sb="7" eb="9">
      <t>ウz</t>
    </rPh>
    <phoneticPr fontId="6"/>
  </si>
  <si>
    <t>次のターンに強力な攻撃</t>
    <rPh sb="0" eb="2">
      <t>ツg</t>
    </rPh>
    <rPh sb="6" eb="9">
      <t>キョウリョク</t>
    </rPh>
    <rPh sb="9" eb="11">
      <t>コウゲk</t>
    </rPh>
    <phoneticPr fontId="6"/>
  </si>
  <si>
    <t>ティラトーレ・シェルト！！</t>
    <phoneticPr fontId="6"/>
  </si>
  <si>
    <t>強力な攻撃</t>
    <rPh sb="0" eb="3">
      <t>キョ</t>
    </rPh>
    <rPh sb="3" eb="5">
      <t>コウゲk</t>
    </rPh>
    <phoneticPr fontId="6"/>
  </si>
  <si>
    <t>[effect:critical, val:2.0, animation:enemy_critical]</t>
    <phoneticPr fontId="6"/>
  </si>
  <si>
    <t>[effect:critical, val:1.6, animation:enemy_critical]</t>
    <phoneticPr fontId="6"/>
  </si>
  <si>
    <t>[effect:fix_speed,target:myself,turn:1],[effect:degrade_unit, target:unit_all, turn:-1, status:heal, val:1.0, calc:mul, animation:degrade_unit_all_heal]</t>
    <phoneticPr fontId="6"/>
  </si>
  <si>
    <t>ja</t>
    <phoneticPr fontId="6"/>
  </si>
  <si>
    <t>[effect:dis_panel, target:block_red, turn:1, animation:enemy_dis_red]</t>
    <phoneticPr fontId="6"/>
  </si>
  <si>
    <t>[effect:dis_panel, target:block_green, turn:1, animation:enemy_dis_green]</t>
    <phoneticPr fontId="6"/>
  </si>
  <si>
    <t>[effect:dis_panel, target:block_blue, turn:1, animation:enemy_dis_blue]</t>
    <phoneticPr fontId="6"/>
  </si>
  <si>
    <t>[effect:dis_panel, target:block_yellow, turn:1, animation:enemy_dis_yellow]</t>
    <phoneticPr fontId="6"/>
  </si>
  <si>
    <t>1ターン赤パネルが使えない！</t>
    <rPh sb="4" eb="5">
      <t>アカ</t>
    </rPh>
    <phoneticPr fontId="6"/>
  </si>
  <si>
    <t>1ターン緑パネルが使えない！</t>
    <rPh sb="4" eb="5">
      <t>ミドリ</t>
    </rPh>
    <phoneticPr fontId="6"/>
  </si>
  <si>
    <t>1ターン青パネルが使えない！</t>
    <rPh sb="4" eb="5">
      <t>アオ</t>
    </rPh>
    <phoneticPr fontId="6"/>
  </si>
  <si>
    <t>1ターン黄パネルが使えない！</t>
    <rPh sb="4" eb="5">
      <t>キイロ</t>
    </rPh>
    <phoneticPr fontId="6"/>
  </si>
  <si>
    <t>[effect:freq_turn, target:enemy_green, turn:1, val:1, animation:enemy_freq_turn]</t>
    <phoneticPr fontId="6"/>
  </si>
  <si>
    <t>全力を出したまへ</t>
    <rPh sb="0" eb="2">
      <t>ゼンリョk</t>
    </rPh>
    <rPh sb="3" eb="8">
      <t>ダシタマh</t>
    </rPh>
    <phoneticPr fontId="6"/>
  </si>
  <si>
    <t>[effect:rush, count:15, val:0.1]</t>
    <phoneticPr fontId="6"/>
  </si>
  <si>
    <t>数えきれるかい？</t>
    <rPh sb="0" eb="7">
      <t>カゾ</t>
    </rPh>
    <phoneticPr fontId="6"/>
  </si>
  <si>
    <t xml:space="preserve">[effect:damage_anti_tribe, target:unit_all, tribe:human, val1:0.75, val2:0.25]    </t>
    <phoneticPr fontId="6"/>
  </si>
  <si>
    <t>人間はカラスではない</t>
    <rPh sb="0" eb="2">
      <t>ニン</t>
    </rPh>
    <phoneticPr fontId="6"/>
  </si>
  <si>
    <t>ヒューマンキラー</t>
    <phoneticPr fontId="6"/>
  </si>
  <si>
    <t>[effect:dark, turn:-1,target:unit_all,animation:enemy_dark]</t>
    <phoneticPr fontId="6"/>
  </si>
  <si>
    <t>すべてのカラスは黒い</t>
    <rPh sb="8" eb="10">
      <t>9R</t>
    </rPh>
    <phoneticPr fontId="6"/>
  </si>
  <si>
    <t>この戦闘の間パネルの色が分からなくなる！</t>
    <phoneticPr fontId="6"/>
  </si>
  <si>
    <t>[effect:cure, bad_status:dark, animation:cure01],[effect:fix_speed,target:myself,turn:1],[effect:time_limit,count:5,turn:-1,animation:enemy_time_limit]</t>
    <phoneticPr fontId="6"/>
  </si>
  <si>
    <t>[effect:rush, count:15, val:0.12]</t>
    <phoneticPr fontId="6"/>
  </si>
  <si>
    <t>クロウ・トゥルース</t>
    <phoneticPr fontId="6"/>
  </si>
  <si>
    <t>暗闇解除＋タップ時間制限【5秒】</t>
    <rPh sb="0" eb="2">
      <t>クラヤm</t>
    </rPh>
    <rPh sb="2" eb="4">
      <t>カ</t>
    </rPh>
    <rPh sb="8" eb="10">
      <t>ジカン</t>
    </rPh>
    <rPh sb="10" eb="12">
      <t>セ</t>
    </rPh>
    <rPh sb="14" eb="15">
      <t>ビョ</t>
    </rPh>
    <phoneticPr fontId="6"/>
  </si>
  <si>
    <t>[effect:fix_speed,target:myself,turn:1],[effect:tolerance, target:myself, turn:-1, tolerance_effect:hungup, count:-1],[effect:tolerance, target:myself, turn:-1, tolerance_effect:sleep, count:-1, animation:enemy_tolerance],[effect:hungup, target:unit_all, turn:1, rate:1, animation:hungup01],[effect:force_change_block, new_block:jammer, target:block_all, count:0, val:0, animation:change_block],[effect:enhance_fever, val:1000.0, animation:fevergauge_up04]</t>
    <phoneticPr fontId="6"/>
  </si>
  <si>
    <t>[effect:degrade_fever, val:1000, animation:fevergauge_down],[effect:spread, val:0.5]</t>
    <phoneticPr fontId="6"/>
  </si>
  <si>
    <t>反論の実証</t>
    <rPh sb="0" eb="2">
      <t>ハン</t>
    </rPh>
    <rPh sb="3" eb="5">
      <t>ジッショ</t>
    </rPh>
    <phoneticPr fontId="6"/>
  </si>
  <si>
    <t>フィーバーケージ減少＋全体攻撃</t>
    <rPh sb="8" eb="10">
      <t>ゲンショ</t>
    </rPh>
    <rPh sb="11" eb="13">
      <t>ゼンタ</t>
    </rPh>
    <rPh sb="13" eb="15">
      <t>コウゲk</t>
    </rPh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</si>
  <si>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</si>
  <si>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</si>
  <si>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</si>
  <si>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</si>
  <si>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</si>
  <si>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</si>
  <si>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緑パネルドロップ率ゼロ＆ 次のターン緑パネル破壊攻撃</t>
    <phoneticPr fontId="6"/>
  </si>
  <si>
    <t>緑パネル破壊攻撃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</si>
  <si>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</si>
  <si>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</si>
  <si>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</si>
  <si>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</si>
  <si>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</si>
  <si>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</si>
  <si>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</si>
  <si>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次のステップに行こうか</t>
    <rPh sb="0" eb="1">
      <t>ツg</t>
    </rPh>
    <rPh sb="7" eb="11">
      <t>イコ</t>
    </rPh>
    <phoneticPr fontId="6"/>
  </si>
  <si>
    <t>状態異常無効</t>
    <rPh sb="0" eb="4">
      <t>ジョウタイイジョ</t>
    </rPh>
    <rPh sb="4" eb="6">
      <t>ムコ</t>
    </rPh>
    <phoneticPr fontId="6"/>
  </si>
  <si>
    <t>[effect:fix_speed,target:myself,turn:1],[effect:tolerance,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6"/>
  </si>
  <si>
    <t>null</t>
    <phoneticPr fontId="6"/>
  </si>
  <si>
    <t>null</t>
    <phoneticPr fontId="6"/>
  </si>
  <si>
    <t>君の直観を見せてくれ</t>
    <rPh sb="0" eb="1">
      <t>キミ</t>
    </rPh>
    <rPh sb="2" eb="3">
      <t>チョッk</t>
    </rPh>
    <rPh sb="3" eb="4">
      <t>カン</t>
    </rPh>
    <rPh sb="5" eb="10">
      <t>ミs</t>
    </rPh>
    <phoneticPr fontId="6"/>
  </si>
  <si>
    <t>old</t>
    <phoneticPr fontId="6"/>
  </si>
  <si>
    <t>先手必勝！</t>
    <rPh sb="0" eb="2">
      <t>センt</t>
    </rPh>
    <rPh sb="2" eb="4">
      <t>ヒッショ</t>
    </rPh>
    <phoneticPr fontId="6"/>
  </si>
  <si>
    <t>[effect:fix_speed, target:enemy_blue, turn:1],[effect:fix_speed, target:enemy_red, turn:2],[effect:fix_speed, target:enemy_yellow, turn:3],[effect:fix_speed, target:enemy_green, turn:4]</t>
    <phoneticPr fontId="6"/>
  </si>
  <si>
    <t>null</t>
    <phoneticPr fontId="6"/>
  </si>
  <si>
    <t>この果実たちはターン０になると自爆する！</t>
    <rPh sb="2" eb="4">
      <t>カジツ</t>
    </rPh>
    <rPh sb="15" eb="17">
      <t>ジバク</t>
    </rPh>
    <phoneticPr fontId="6"/>
  </si>
  <si>
    <t>[effect:fix_speed,target:enemy_green,turn:5]</t>
    <phoneticPr fontId="6"/>
  </si>
  <si>
    <t>[effect:kamikaze, val:200.0, animation:enemy_kamikaze]</t>
    <phoneticPr fontId="6"/>
  </si>
  <si>
    <t>SS</t>
    <phoneticPr fontId="6"/>
  </si>
  <si>
    <t>S</t>
    <phoneticPr fontId="6"/>
  </si>
  <si>
    <t>AAA</t>
    <phoneticPr fontId="6"/>
  </si>
  <si>
    <t>AA</t>
    <phoneticPr fontId="6"/>
  </si>
  <si>
    <t>A</t>
    <phoneticPr fontId="6"/>
  </si>
  <si>
    <t>B</t>
    <phoneticPr fontId="6"/>
  </si>
  <si>
    <t>C</t>
    <phoneticPr fontId="6"/>
  </si>
  <si>
    <t>View/RankingBattle_Evelution_C.ccbi</t>
    <phoneticPr fontId="6"/>
  </si>
  <si>
    <t>View/RankingBattle_Evelution_B.ccbi</t>
    <phoneticPr fontId="6"/>
  </si>
  <si>
    <t>View/RankingBattle_Evelution_A.ccbi</t>
    <phoneticPr fontId="6"/>
  </si>
  <si>
    <t>View/RankingBattle_Evelution_AA.ccbi</t>
    <phoneticPr fontId="6"/>
  </si>
  <si>
    <t>View/RankingBattle_Evelution_AAA.ccbi</t>
    <phoneticPr fontId="6"/>
  </si>
  <si>
    <t>View/RankingBattle_Evelution_S.ccbi</t>
    <phoneticPr fontId="6"/>
  </si>
  <si>
    <t>View/RankingBattle_Evelution_SS.ccbi</t>
    <phoneticPr fontId="6"/>
  </si>
  <si>
    <t>封印術・禁癒</t>
  </si>
  <si>
    <t>封印術・禁火</t>
    <rPh sb="0" eb="3">
      <t>フ</t>
    </rPh>
    <rPh sb="4" eb="5">
      <t>キンs</t>
    </rPh>
    <rPh sb="5" eb="6">
      <t>ヒ</t>
    </rPh>
    <phoneticPr fontId="6"/>
  </si>
  <si>
    <t>封印術・禁風</t>
    <rPh sb="0" eb="3">
      <t>フ</t>
    </rPh>
    <rPh sb="4" eb="5">
      <t>キンs</t>
    </rPh>
    <rPh sb="5" eb="6">
      <t>カz</t>
    </rPh>
    <phoneticPr fontId="6"/>
  </si>
  <si>
    <t>封印術・禁雷</t>
    <rPh sb="0" eb="3">
      <t>フ</t>
    </rPh>
    <rPh sb="4" eb="5">
      <t>キンs</t>
    </rPh>
    <rPh sb="5" eb="6">
      <t>ライ</t>
    </rPh>
    <phoneticPr fontId="6"/>
  </si>
  <si>
    <t>封印術・禁氷</t>
    <rPh sb="0" eb="3">
      <t>フ</t>
    </rPh>
    <rPh sb="4" eb="5">
      <t>キンs</t>
    </rPh>
    <rPh sb="5" eb="6">
      <t>コオr</t>
    </rPh>
    <phoneticPr fontId="6"/>
  </si>
  <si>
    <t>疾風迅雷の術</t>
    <rPh sb="0" eb="2">
      <t>シッp</t>
    </rPh>
    <rPh sb="2" eb="5">
      <t>ジンライ</t>
    </rPh>
    <rPh sb="5" eb="6">
      <t>ジュt</t>
    </rPh>
    <phoneticPr fontId="6"/>
  </si>
  <si>
    <t>俺たちが相手だ…</t>
    <rPh sb="0" eb="3">
      <t>オr</t>
    </rPh>
    <rPh sb="4" eb="6">
      <t>ア</t>
    </rPh>
    <phoneticPr fontId="6"/>
  </si>
  <si>
    <t>八咫烏の行動頻度がUP</t>
    <rPh sb="0" eb="4">
      <t>ヤタガラス</t>
    </rPh>
    <rPh sb="4" eb="6">
      <t>コウド</t>
    </rPh>
    <rPh sb="6" eb="8">
      <t>ヒンd</t>
    </rPh>
    <phoneticPr fontId="6"/>
  </si>
  <si>
    <t>ヘンペルチャレンジスタート！</t>
    <phoneticPr fontId="6"/>
  </si>
  <si>
    <t>ようこそランキングクエストへ！</t>
    <phoneticPr fontId="6"/>
  </si>
  <si>
    <t>[effect:rush,count:3,val:0.5]</t>
    <phoneticPr fontId="6"/>
  </si>
  <si>
    <t>[effect:critical, val:1.0, animation:enemy_critical],[effect:fix_speed,target:enemy_human,turn:2],[effect:fix_speed,target:enemy_animal,turn:3]</t>
    <phoneticPr fontId="6"/>
  </si>
  <si>
    <t>君は[player_ranking_grade]の挑戦者か</t>
    <rPh sb="0" eb="1">
      <t>キミ</t>
    </rPh>
    <rPh sb="24" eb="25">
      <t>イ</t>
    </rPh>
    <rPh sb="25" eb="28">
      <t>チョ</t>
    </rPh>
    <phoneticPr fontId="6"/>
  </si>
  <si>
    <t>こんなものか…</t>
    <phoneticPr fontId="6"/>
  </si>
  <si>
    <t>polygon</t>
  </si>
  <si>
    <t>item</t>
  </si>
  <si>
    <t>link</t>
  </si>
  <si>
    <t>unit</t>
  </si>
  <si>
    <t>NULL</t>
  </si>
  <si>
    <t>gift_id</t>
  </si>
  <si>
    <t>gift_type</t>
  </si>
  <si>
    <t>gift_value_aapl</t>
  </si>
  <si>
    <t>gift_value_goog</t>
  </si>
  <si>
    <t>gift_value_amzn</t>
  </si>
  <si>
    <t>gift_count_aapl</t>
  </si>
  <si>
    <t>gift_count_goog</t>
  </si>
  <si>
    <t>gift_count_amzn</t>
  </si>
  <si>
    <t>skill_level</t>
  </si>
  <si>
    <t>テスト</t>
    <phoneticPr fontId="8"/>
  </si>
  <si>
    <t>テスト</t>
    <phoneticPr fontId="8"/>
  </si>
  <si>
    <t>テスト</t>
    <phoneticPr fontId="8"/>
  </si>
  <si>
    <t>gift_id</t>
    <phoneticPr fontId="6"/>
  </si>
  <si>
    <t>temp_giftid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</si>
</sst>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color rgb="FF222222"/>
      <name val="Verdana"/>
    </font>
    <font>
      <sz val="13"/>
      <color theme="1"/>
      <name val="Arial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930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26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5" borderId="3" xfId="0" applyFont="1" applyFill="1" applyBorder="1" applyAlignment="1">
      <alignment vertical="center"/>
    </xf>
    <xf numFmtId="0" fontId="9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5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9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176" fontId="5" fillId="0" borderId="3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177" fontId="9" fillId="0" borderId="4" xfId="0" applyNumberFormat="1" applyFont="1" applyBorder="1" applyAlignment="1">
      <alignment vertical="center"/>
    </xf>
    <xf numFmtId="0" fontId="5" fillId="2" borderId="7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horizontal="left" vertical="center" wrapText="1"/>
    </xf>
    <xf numFmtId="14" fontId="17" fillId="0" borderId="7" xfId="0" applyNumberFormat="1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4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7" fillId="12" borderId="7" xfId="0" applyFont="1" applyFill="1" applyBorder="1"/>
    <xf numFmtId="0" fontId="14" fillId="11" borderId="7" xfId="434" applyFont="1" applyFill="1" applyBorder="1" applyAlignment="1"/>
    <xf numFmtId="0" fontId="25" fillId="0" borderId="7" xfId="434" applyBorder="1" applyAlignment="1"/>
    <xf numFmtId="0" fontId="0" fillId="13" borderId="7" xfId="0" applyFill="1" applyBorder="1"/>
    <xf numFmtId="0" fontId="17" fillId="3" borderId="7" xfId="0" applyFont="1" applyFill="1" applyBorder="1" applyAlignment="1">
      <alignment horizontal="left" vertical="center" wrapText="1"/>
    </xf>
    <xf numFmtId="0" fontId="17" fillId="6" borderId="7" xfId="614" applyFont="1" applyFill="1" applyBorder="1" applyAlignment="1">
      <alignment horizontal="left"/>
    </xf>
    <xf numFmtId="0" fontId="15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3" fillId="11" borderId="7" xfId="615" applyFill="1" applyBorder="1"/>
    <xf numFmtId="0" fontId="5" fillId="0" borderId="7" xfId="0" applyFont="1" applyBorder="1" applyAlignment="1">
      <alignment vertical="center"/>
    </xf>
    <xf numFmtId="0" fontId="7" fillId="5" borderId="11" xfId="0" applyFont="1" applyFill="1" applyBorder="1" applyAlignment="1">
      <alignment vertical="center"/>
    </xf>
    <xf numFmtId="0" fontId="0" fillId="3" borderId="7" xfId="0" applyFill="1" applyBorder="1"/>
    <xf numFmtId="0" fontId="17" fillId="3" borderId="7" xfId="614" applyFont="1" applyFill="1" applyBorder="1" applyAlignment="1">
      <alignment horizontal="left"/>
    </xf>
    <xf numFmtId="0" fontId="17" fillId="6" borderId="7" xfId="0" applyFont="1" applyFill="1" applyBorder="1" applyAlignment="1">
      <alignment horizontal="center"/>
    </xf>
    <xf numFmtId="56" fontId="17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3" fillId="0" borderId="0" xfId="615"/>
    <xf numFmtId="0" fontId="28" fillId="6" borderId="7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14" borderId="7" xfId="0" applyFont="1" applyFill="1" applyBorder="1" applyAlignment="1">
      <alignment horizontal="center"/>
    </xf>
    <xf numFmtId="0" fontId="17" fillId="15" borderId="7" xfId="0" applyFont="1" applyFill="1" applyBorder="1" applyAlignment="1">
      <alignment horizontal="center"/>
    </xf>
    <xf numFmtId="0" fontId="0" fillId="15" borderId="7" xfId="0" applyFill="1" applyBorder="1"/>
    <xf numFmtId="0" fontId="28" fillId="0" borderId="7" xfId="0" applyFont="1" applyFill="1" applyBorder="1"/>
    <xf numFmtId="0" fontId="29" fillId="0" borderId="7" xfId="0" applyFont="1" applyFill="1" applyBorder="1"/>
    <xf numFmtId="0" fontId="30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30" fillId="0" borderId="12" xfId="0" applyFont="1" applyFill="1" applyBorder="1" applyAlignment="1">
      <alignment vertical="center"/>
    </xf>
    <xf numFmtId="0" fontId="31" fillId="14" borderId="7" xfId="0" applyFont="1" applyFill="1" applyBorder="1"/>
    <xf numFmtId="0" fontId="32" fillId="0" borderId="7" xfId="0" applyFont="1" applyFill="1" applyBorder="1"/>
    <xf numFmtId="38" fontId="17" fillId="0" borderId="7" xfId="628" applyFont="1" applyFill="1" applyBorder="1" applyAlignment="1"/>
    <xf numFmtId="0" fontId="28" fillId="0" borderId="0" xfId="0" applyFont="1" applyFill="1"/>
    <xf numFmtId="0" fontId="17" fillId="30" borderId="7" xfId="0" applyFont="1" applyFill="1" applyBorder="1" applyAlignment="1">
      <alignment horizontal="center"/>
    </xf>
    <xf numFmtId="0" fontId="31" fillId="30" borderId="7" xfId="0" applyFont="1" applyFill="1" applyBorder="1"/>
    <xf numFmtId="0" fontId="17" fillId="13" borderId="7" xfId="0" applyFont="1" applyFill="1" applyBorder="1" applyAlignment="1">
      <alignment horizontal="center"/>
    </xf>
    <xf numFmtId="56" fontId="17" fillId="14" borderId="7" xfId="0" applyNumberFormat="1" applyFont="1" applyFill="1" applyBorder="1" applyAlignment="1">
      <alignment horizontal="center"/>
    </xf>
    <xf numFmtId="0" fontId="32" fillId="14" borderId="7" xfId="0" applyFont="1" applyFill="1" applyBorder="1"/>
    <xf numFmtId="38" fontId="17" fillId="14" borderId="7" xfId="628" applyFont="1" applyFill="1" applyBorder="1" applyAlignment="1"/>
    <xf numFmtId="0" fontId="17" fillId="6" borderId="7" xfId="11" applyFont="1" applyFill="1" applyBorder="1" applyAlignment="1">
      <alignment horizontal="left"/>
    </xf>
    <xf numFmtId="0" fontId="3" fillId="6" borderId="0" xfId="615" applyFill="1"/>
    <xf numFmtId="0" fontId="5" fillId="31" borderId="7" xfId="0" applyFont="1" applyFill="1" applyBorder="1" applyAlignment="1">
      <alignment vertical="center"/>
    </xf>
    <xf numFmtId="0" fontId="17" fillId="14" borderId="23" xfId="0" applyFont="1" applyFill="1" applyBorder="1" applyAlignment="1">
      <alignment horizontal="center"/>
    </xf>
    <xf numFmtId="0" fontId="2" fillId="0" borderId="7" xfId="676" applyBorder="1"/>
    <xf numFmtId="0" fontId="2" fillId="11" borderId="7" xfId="676" applyFill="1" applyBorder="1"/>
    <xf numFmtId="0" fontId="1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2" fillId="34" borderId="7" xfId="676" applyFill="1" applyBorder="1"/>
    <xf numFmtId="0" fontId="12" fillId="0" borderId="7" xfId="0" applyFont="1" applyFill="1" applyBorder="1" applyAlignment="1">
      <alignment vertical="center"/>
    </xf>
    <xf numFmtId="0" fontId="52" fillId="0" borderId="0" xfId="0" applyFont="1"/>
    <xf numFmtId="0" fontId="52" fillId="0" borderId="7" xfId="0" applyFont="1" applyBorder="1"/>
    <xf numFmtId="0" fontId="0" fillId="35" borderId="7" xfId="0" applyFill="1" applyBorder="1"/>
    <xf numFmtId="0" fontId="0" fillId="35" borderId="0" xfId="0" applyFill="1"/>
    <xf numFmtId="0" fontId="53" fillId="0" borderId="0" xfId="0" applyFont="1"/>
    <xf numFmtId="0" fontId="17" fillId="6" borderId="2" xfId="0" applyFont="1" applyFill="1" applyBorder="1" applyAlignment="1">
      <alignment horizontal="center"/>
    </xf>
    <xf numFmtId="0" fontId="17" fillId="3" borderId="2" xfId="0" applyFont="1" applyFill="1" applyBorder="1" applyAlignment="1">
      <alignment horizontal="center"/>
    </xf>
    <xf numFmtId="0" fontId="9" fillId="33" borderId="2" xfId="0" applyFont="1" applyFill="1" applyBorder="1" applyAlignment="1">
      <alignment horizontal="left" vertical="center"/>
    </xf>
    <xf numFmtId="0" fontId="17" fillId="32" borderId="2" xfId="432" applyFont="1" applyFill="1" applyBorder="1" applyAlignment="1">
      <alignment horizontal="left" vertical="center"/>
    </xf>
    <xf numFmtId="0" fontId="53" fillId="32" borderId="2" xfId="0" applyFont="1" applyFill="1" applyBorder="1"/>
    <xf numFmtId="0" fontId="53" fillId="0" borderId="7" xfId="0" applyFont="1" applyBorder="1"/>
    <xf numFmtId="0" fontId="30" fillId="3" borderId="7" xfId="0" applyFont="1" applyFill="1" applyBorder="1" applyAlignment="1">
      <alignment vertical="center"/>
    </xf>
    <xf numFmtId="0" fontId="30" fillId="0" borderId="7" xfId="0" applyFont="1" applyFill="1" applyBorder="1" applyAlignment="1">
      <alignment vertical="center"/>
    </xf>
    <xf numFmtId="0" fontId="17" fillId="0" borderId="7" xfId="432" applyFont="1" applyBorder="1" applyAlignment="1">
      <alignment vertical="center"/>
    </xf>
    <xf numFmtId="0" fontId="17" fillId="0" borderId="7" xfId="432" applyFont="1" applyBorder="1" applyAlignment="1">
      <alignment vertical="center" wrapText="1"/>
    </xf>
    <xf numFmtId="0" fontId="17" fillId="32" borderId="23" xfId="0" applyFont="1" applyFill="1" applyBorder="1" applyAlignment="1">
      <alignment horizontal="center"/>
    </xf>
  </cellXfs>
  <cellStyles count="930">
    <cellStyle name="" xfId="629"/>
    <cellStyle name="_" xfId="630"/>
    <cellStyle name="__" xfId="631"/>
    <cellStyle name="__÷" xfId="632"/>
    <cellStyle name="«¢" xfId="633"/>
    <cellStyle name="`FbN Z" xfId="634"/>
    <cellStyle name="^Cg" xfId="635"/>
    <cellStyle name="©oµ 1" xfId="636"/>
    <cellStyle name="©oµ 2" xfId="637"/>
    <cellStyle name="©oµ 3" xfId="638"/>
    <cellStyle name="©oµ 4" xfId="639"/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à¾¶" xfId="658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Ç¢" xfId="665"/>
    <cellStyle name="Ê" xfId="666"/>
    <cellStyle name="Excel Built-in Normal" xfId="428"/>
    <cellStyle name="N Z" xfId="667"/>
    <cellStyle name="o_" xfId="668"/>
    <cellStyle name="oÍ" xfId="669"/>
    <cellStyle name="üÍ" xfId="670"/>
    <cellStyle name="v" xfId="671"/>
    <cellStyle name="vZ" xfId="672"/>
    <cellStyle name="x¶" xfId="673"/>
    <cellStyle name="x÷" xfId="674"/>
    <cellStyle name="ýo_ 1" xfId="67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桁区切り 2" xfId="429"/>
    <cellStyle name="桁区切り 2 2" xfId="62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無題1" xfId="43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5.xml"/><Relationship Id="rId23" Type="http://schemas.openxmlformats.org/officeDocument/2006/relationships/externalLink" Target="externalLinks/externalLink6.xml"/><Relationship Id="rId24" Type="http://schemas.openxmlformats.org/officeDocument/2006/relationships/externalLink" Target="externalLinks/externalLink7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12001</v>
          </cell>
        </row>
        <row r="79">
          <cell r="A79">
            <v>12002</v>
          </cell>
        </row>
        <row r="80">
          <cell r="A80">
            <v>12003</v>
          </cell>
        </row>
        <row r="81">
          <cell r="A81">
            <v>12004</v>
          </cell>
        </row>
        <row r="82">
          <cell r="A82">
            <v>13001</v>
          </cell>
        </row>
        <row r="83">
          <cell r="A83">
            <v>14001</v>
          </cell>
        </row>
        <row r="84">
          <cell r="A84">
            <v>14002</v>
          </cell>
        </row>
        <row r="85">
          <cell r="A85">
            <v>14003</v>
          </cell>
        </row>
        <row r="86">
          <cell r="A86">
            <v>14004</v>
          </cell>
        </row>
        <row r="87">
          <cell r="A87">
            <v>14005</v>
          </cell>
        </row>
        <row r="88">
          <cell r="A88">
            <v>14006</v>
          </cell>
        </row>
        <row r="89">
          <cell r="A89">
            <v>15027</v>
          </cell>
        </row>
        <row r="90">
          <cell r="A90">
            <v>15028</v>
          </cell>
        </row>
        <row r="91">
          <cell r="A91">
            <v>15029</v>
          </cell>
        </row>
        <row r="92">
          <cell r="A92">
            <v>15030</v>
          </cell>
        </row>
        <row r="93">
          <cell r="A93">
            <v>15031</v>
          </cell>
        </row>
        <row r="94">
          <cell r="A94">
            <v>20001</v>
          </cell>
        </row>
        <row r="95">
          <cell r="A95">
            <v>20002</v>
          </cell>
        </row>
        <row r="96">
          <cell r="A96">
            <v>20003</v>
          </cell>
        </row>
        <row r="97">
          <cell r="A97">
            <v>20004</v>
          </cell>
        </row>
        <row r="98">
          <cell r="A98">
            <v>20005</v>
          </cell>
        </row>
        <row r="99">
          <cell r="A99">
            <v>20006</v>
          </cell>
        </row>
        <row r="100">
          <cell r="A100">
            <v>20007</v>
          </cell>
        </row>
        <row r="101">
          <cell r="A101">
            <v>20008</v>
          </cell>
        </row>
        <row r="102">
          <cell r="A102">
            <v>20009</v>
          </cell>
        </row>
        <row r="103">
          <cell r="A103">
            <v>20010</v>
          </cell>
        </row>
        <row r="104">
          <cell r="A104">
            <v>20011</v>
          </cell>
        </row>
        <row r="105">
          <cell r="A105">
            <v>20012</v>
          </cell>
        </row>
        <row r="106">
          <cell r="A106">
            <v>30001</v>
          </cell>
        </row>
        <row r="107">
          <cell r="A107">
            <v>30002</v>
          </cell>
        </row>
        <row r="108">
          <cell r="A108">
            <v>30003</v>
          </cell>
        </row>
        <row r="109">
          <cell r="A109">
            <v>30004</v>
          </cell>
        </row>
        <row r="110">
          <cell r="A110">
            <v>30005</v>
          </cell>
        </row>
        <row r="111">
          <cell r="A111">
            <v>30006</v>
          </cell>
        </row>
        <row r="112">
          <cell r="A112">
            <v>30007</v>
          </cell>
        </row>
        <row r="113">
          <cell r="A113">
            <v>30008</v>
          </cell>
        </row>
        <row r="114">
          <cell r="A114">
            <v>30009</v>
          </cell>
        </row>
        <row r="115">
          <cell r="A115">
            <v>30010</v>
          </cell>
        </row>
        <row r="116">
          <cell r="A116">
            <v>30011</v>
          </cell>
        </row>
        <row r="117">
          <cell r="A117">
            <v>30012</v>
          </cell>
        </row>
        <row r="118">
          <cell r="A118">
            <v>30013</v>
          </cell>
        </row>
        <row r="119">
          <cell r="A119">
            <v>30014</v>
          </cell>
        </row>
        <row r="120">
          <cell r="A120">
            <v>30015</v>
          </cell>
        </row>
        <row r="121">
          <cell r="A121">
            <v>30016</v>
          </cell>
        </row>
        <row r="122">
          <cell r="A122">
            <v>30017</v>
          </cell>
        </row>
        <row r="123">
          <cell r="A123">
            <v>30018</v>
          </cell>
        </row>
        <row r="124">
          <cell r="A124">
            <v>30019</v>
          </cell>
        </row>
        <row r="125">
          <cell r="A125">
            <v>30020</v>
          </cell>
        </row>
        <row r="126">
          <cell r="A126">
            <v>30021</v>
          </cell>
        </row>
        <row r="127">
          <cell r="A127">
            <v>30022</v>
          </cell>
        </row>
        <row r="128">
          <cell r="A128">
            <v>30023</v>
          </cell>
        </row>
        <row r="129">
          <cell r="A129">
            <v>30024</v>
          </cell>
        </row>
        <row r="130">
          <cell r="A130">
            <v>30025</v>
          </cell>
        </row>
        <row r="131">
          <cell r="A131">
            <v>30026</v>
          </cell>
        </row>
        <row r="132">
          <cell r="A132">
            <v>30027</v>
          </cell>
        </row>
        <row r="133">
          <cell r="A133">
            <v>30028</v>
          </cell>
        </row>
        <row r="134">
          <cell r="A134">
            <v>30029</v>
          </cell>
        </row>
        <row r="135">
          <cell r="A135">
            <v>30030</v>
          </cell>
        </row>
        <row r="136">
          <cell r="A136">
            <v>30031</v>
          </cell>
        </row>
        <row r="137">
          <cell r="A137">
            <v>30032</v>
          </cell>
        </row>
        <row r="138">
          <cell r="A138">
            <v>39001</v>
          </cell>
        </row>
        <row r="139">
          <cell r="A139">
            <v>40001</v>
          </cell>
        </row>
        <row r="140">
          <cell r="A140">
            <v>40002</v>
          </cell>
        </row>
        <row r="141">
          <cell r="A141">
            <v>40003</v>
          </cell>
        </row>
        <row r="142">
          <cell r="A142">
            <v>40004</v>
          </cell>
        </row>
        <row r="143">
          <cell r="A143">
            <v>40005</v>
          </cell>
        </row>
        <row r="144">
          <cell r="A144">
            <v>40006</v>
          </cell>
        </row>
        <row r="145">
          <cell r="A145">
            <v>40007</v>
          </cell>
        </row>
        <row r="146">
          <cell r="A146">
            <v>40008</v>
          </cell>
        </row>
        <row r="147">
          <cell r="A147">
            <v>40009</v>
          </cell>
        </row>
        <row r="148">
          <cell r="A148">
            <v>40010</v>
          </cell>
        </row>
        <row r="149">
          <cell r="A149">
            <v>40011</v>
          </cell>
        </row>
        <row r="150">
          <cell r="A150">
            <v>40012</v>
          </cell>
        </row>
        <row r="151">
          <cell r="A151">
            <v>40013</v>
          </cell>
        </row>
        <row r="152">
          <cell r="A152">
            <v>40014</v>
          </cell>
        </row>
        <row r="153">
          <cell r="A153">
            <v>49001</v>
          </cell>
        </row>
        <row r="154">
          <cell r="A154">
            <v>50001</v>
          </cell>
        </row>
        <row r="155">
          <cell r="A155">
            <v>50002</v>
          </cell>
        </row>
        <row r="156">
          <cell r="A156">
            <v>60001</v>
          </cell>
        </row>
        <row r="157">
          <cell r="A157">
            <v>60002</v>
          </cell>
        </row>
        <row r="158">
          <cell r="A158">
            <v>60003</v>
          </cell>
        </row>
        <row r="159">
          <cell r="A159">
            <v>60004</v>
          </cell>
        </row>
        <row r="160">
          <cell r="A160">
            <v>65535</v>
          </cell>
        </row>
        <row r="161">
          <cell r="A161">
            <v>60021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11214_1</v>
          </cell>
        </row>
        <row r="255">
          <cell r="A255" t="str">
            <v>11214_2</v>
          </cell>
        </row>
        <row r="256">
          <cell r="A256" t="str">
            <v>11214_3</v>
          </cell>
        </row>
        <row r="257">
          <cell r="A257" t="str">
            <v>11215_1</v>
          </cell>
        </row>
        <row r="258">
          <cell r="A258" t="str">
            <v>11216_1</v>
          </cell>
        </row>
        <row r="259">
          <cell r="A259" t="str">
            <v>11217_1</v>
          </cell>
        </row>
        <row r="260">
          <cell r="A260" t="str">
            <v>11218_1</v>
          </cell>
        </row>
        <row r="261">
          <cell r="A261" t="str">
            <v>11219_1</v>
          </cell>
        </row>
        <row r="262">
          <cell r="A262" t="str">
            <v>11220_1</v>
          </cell>
        </row>
        <row r="263">
          <cell r="A263" t="str">
            <v>11221_1</v>
          </cell>
        </row>
        <row r="264">
          <cell r="A264" t="str">
            <v>12001_1</v>
          </cell>
        </row>
        <row r="265">
          <cell r="A265" t="str">
            <v>12001_2</v>
          </cell>
        </row>
        <row r="266">
          <cell r="A266" t="str">
            <v>12001_3</v>
          </cell>
        </row>
        <row r="267">
          <cell r="A267" t="str">
            <v>12002_3</v>
          </cell>
        </row>
        <row r="268">
          <cell r="A268" t="str">
            <v>12002_2</v>
          </cell>
        </row>
        <row r="269">
          <cell r="A269" t="str">
            <v>12002_1</v>
          </cell>
        </row>
        <row r="270">
          <cell r="A270" t="str">
            <v>12003_1</v>
          </cell>
        </row>
        <row r="271">
          <cell r="A271" t="str">
            <v>12003_2</v>
          </cell>
        </row>
        <row r="272">
          <cell r="A272" t="str">
            <v>12003_3</v>
          </cell>
        </row>
        <row r="273">
          <cell r="A273" t="str">
            <v>12003_4</v>
          </cell>
        </row>
        <row r="274">
          <cell r="A274" t="str">
            <v>12004_1</v>
          </cell>
        </row>
        <row r="275">
          <cell r="A275" t="str">
            <v>13001_1</v>
          </cell>
        </row>
        <row r="276">
          <cell r="A276" t="str">
            <v>13001_2</v>
          </cell>
        </row>
        <row r="277">
          <cell r="A277" t="str">
            <v>13001_3</v>
          </cell>
        </row>
        <row r="278">
          <cell r="A278" t="str">
            <v>13001_4</v>
          </cell>
        </row>
        <row r="279">
          <cell r="A279" t="str">
            <v>13001_5</v>
          </cell>
        </row>
        <row r="280">
          <cell r="A280" t="str">
            <v>13001_6</v>
          </cell>
        </row>
        <row r="281">
          <cell r="A281" t="str">
            <v>13001_7</v>
          </cell>
        </row>
        <row r="282">
          <cell r="A282" t="str">
            <v>13001_8</v>
          </cell>
        </row>
        <row r="283">
          <cell r="A283" t="str">
            <v>13001_9</v>
          </cell>
        </row>
        <row r="284">
          <cell r="A284" t="str">
            <v>13001_10</v>
          </cell>
        </row>
        <row r="285">
          <cell r="A285" t="str">
            <v>13001_11</v>
          </cell>
        </row>
        <row r="286">
          <cell r="A286" t="str">
            <v>13001_12</v>
          </cell>
        </row>
        <row r="287">
          <cell r="A287" t="str">
            <v>13001_13</v>
          </cell>
        </row>
        <row r="288">
          <cell r="A288" t="str">
            <v>13001_14</v>
          </cell>
        </row>
        <row r="289">
          <cell r="A289" t="str">
            <v>13001_15</v>
          </cell>
        </row>
        <row r="290">
          <cell r="A290" t="str">
            <v>13001_16</v>
          </cell>
        </row>
        <row r="291">
          <cell r="A291" t="str">
            <v>13001_17</v>
          </cell>
        </row>
        <row r="292">
          <cell r="A292" t="str">
            <v>13001_18</v>
          </cell>
        </row>
        <row r="293">
          <cell r="A293" t="str">
            <v>13001_19</v>
          </cell>
        </row>
        <row r="294">
          <cell r="A294" t="str">
            <v>13001_20</v>
          </cell>
        </row>
        <row r="295">
          <cell r="A295" t="str">
            <v>13001_21</v>
          </cell>
        </row>
        <row r="296">
          <cell r="A296" t="str">
            <v>13001_22</v>
          </cell>
        </row>
        <row r="297">
          <cell r="A297" t="str">
            <v>13001_23</v>
          </cell>
        </row>
        <row r="298">
          <cell r="A298" t="str">
            <v>13001_24</v>
          </cell>
        </row>
        <row r="299">
          <cell r="A299" t="str">
            <v>13001_25</v>
          </cell>
        </row>
        <row r="300">
          <cell r="A300" t="str">
            <v>14001_1</v>
          </cell>
        </row>
        <row r="301">
          <cell r="A301" t="str">
            <v>14001_2</v>
          </cell>
        </row>
        <row r="302">
          <cell r="A302" t="str">
            <v>14001_3</v>
          </cell>
        </row>
        <row r="303">
          <cell r="A303" t="str">
            <v>14001_4</v>
          </cell>
        </row>
        <row r="304">
          <cell r="A304" t="str">
            <v>14002_1</v>
          </cell>
        </row>
        <row r="305">
          <cell r="A305" t="str">
            <v>14003_1</v>
          </cell>
        </row>
        <row r="306">
          <cell r="A306" t="str">
            <v>14004_1</v>
          </cell>
        </row>
        <row r="307">
          <cell r="A307" t="str">
            <v>14004_2</v>
          </cell>
        </row>
        <row r="308">
          <cell r="A308" t="str">
            <v>14004_3</v>
          </cell>
        </row>
        <row r="309">
          <cell r="A309" t="str">
            <v>14004_4</v>
          </cell>
        </row>
        <row r="310">
          <cell r="A310" t="str">
            <v>14005_1</v>
          </cell>
        </row>
        <row r="311">
          <cell r="A311" t="str">
            <v>14006_1</v>
          </cell>
        </row>
        <row r="312">
          <cell r="A312" t="str">
            <v>15027_1</v>
          </cell>
        </row>
        <row r="313">
          <cell r="A313" t="str">
            <v>15027_2</v>
          </cell>
        </row>
        <row r="314">
          <cell r="A314" t="str">
            <v>15027_3</v>
          </cell>
        </row>
        <row r="315">
          <cell r="A315" t="str">
            <v>15027_4</v>
          </cell>
        </row>
        <row r="316">
          <cell r="A316" t="str">
            <v>15028_1</v>
          </cell>
        </row>
        <row r="317">
          <cell r="A317" t="str">
            <v>15028_2</v>
          </cell>
        </row>
        <row r="318">
          <cell r="A318" t="str">
            <v>15028_3</v>
          </cell>
        </row>
        <row r="319">
          <cell r="A319" t="str">
            <v>15028_4</v>
          </cell>
        </row>
        <row r="320">
          <cell r="A320" t="str">
            <v>15029_1</v>
          </cell>
        </row>
        <row r="321">
          <cell r="A321" t="str">
            <v>15029_2</v>
          </cell>
        </row>
        <row r="322">
          <cell r="A322" t="str">
            <v>15029_3</v>
          </cell>
        </row>
        <row r="323">
          <cell r="A323" t="str">
            <v>15029_4</v>
          </cell>
        </row>
        <row r="324">
          <cell r="A324" t="str">
            <v>15030_1</v>
          </cell>
        </row>
        <row r="325">
          <cell r="A325" t="str">
            <v>15030_2</v>
          </cell>
        </row>
        <row r="326">
          <cell r="A326" t="str">
            <v>15030_3</v>
          </cell>
        </row>
        <row r="327">
          <cell r="A327" t="str">
            <v>15030_4</v>
          </cell>
        </row>
        <row r="328">
          <cell r="A328" t="str">
            <v>15031_1</v>
          </cell>
        </row>
        <row r="329">
          <cell r="A329" t="str">
            <v>15031_2</v>
          </cell>
        </row>
        <row r="330">
          <cell r="A330" t="str">
            <v>15031_3</v>
          </cell>
        </row>
        <row r="331">
          <cell r="A331" t="str">
            <v>15031_4</v>
          </cell>
        </row>
        <row r="332">
          <cell r="A332" t="str">
            <v>20001_1</v>
          </cell>
        </row>
        <row r="333">
          <cell r="A333" t="str">
            <v>20001_2</v>
          </cell>
        </row>
        <row r="334">
          <cell r="A334" t="str">
            <v>20001_3</v>
          </cell>
        </row>
        <row r="335">
          <cell r="A335" t="str">
            <v>20002_1</v>
          </cell>
        </row>
        <row r="336">
          <cell r="A336" t="str">
            <v>20002_2</v>
          </cell>
        </row>
        <row r="337">
          <cell r="A337" t="str">
            <v>20002_3</v>
          </cell>
        </row>
        <row r="338">
          <cell r="A338" t="str">
            <v>20003_1</v>
          </cell>
        </row>
        <row r="339">
          <cell r="A339" t="str">
            <v>20003_2</v>
          </cell>
        </row>
        <row r="340">
          <cell r="A340" t="str">
            <v>20003_3</v>
          </cell>
        </row>
        <row r="341">
          <cell r="A341" t="str">
            <v>20004_1</v>
          </cell>
        </row>
        <row r="342">
          <cell r="A342" t="str">
            <v>20004_2</v>
          </cell>
        </row>
        <row r="343">
          <cell r="A343" t="str">
            <v>20004_3</v>
          </cell>
        </row>
        <row r="344">
          <cell r="A344" t="str">
            <v>20005_1</v>
          </cell>
        </row>
        <row r="345">
          <cell r="A345" t="str">
            <v>20005_2</v>
          </cell>
        </row>
        <row r="346">
          <cell r="A346" t="str">
            <v>20005_3</v>
          </cell>
        </row>
        <row r="347">
          <cell r="A347" t="str">
            <v>20006_1</v>
          </cell>
        </row>
        <row r="348">
          <cell r="A348" t="str">
            <v>20006_2</v>
          </cell>
        </row>
        <row r="349">
          <cell r="A349" t="str">
            <v>20006_3</v>
          </cell>
        </row>
        <row r="350">
          <cell r="A350" t="str">
            <v>20007_1</v>
          </cell>
        </row>
        <row r="351">
          <cell r="A351" t="str">
            <v>20007_2</v>
          </cell>
        </row>
        <row r="352">
          <cell r="A352" t="str">
            <v>20007_3</v>
          </cell>
        </row>
        <row r="353">
          <cell r="A353" t="str">
            <v>20008_1</v>
          </cell>
        </row>
        <row r="354">
          <cell r="A354" t="str">
            <v>20008_2</v>
          </cell>
        </row>
        <row r="355">
          <cell r="A355" t="str">
            <v>20008_3</v>
          </cell>
        </row>
        <row r="356">
          <cell r="A356" t="str">
            <v>20009_1</v>
          </cell>
        </row>
        <row r="357">
          <cell r="A357" t="str">
            <v>20009_2</v>
          </cell>
        </row>
        <row r="358">
          <cell r="A358" t="str">
            <v>20009_3</v>
          </cell>
        </row>
        <row r="359">
          <cell r="A359" t="str">
            <v>20010_1</v>
          </cell>
        </row>
        <row r="360">
          <cell r="A360" t="str">
            <v>20010_2</v>
          </cell>
        </row>
        <row r="361">
          <cell r="A361" t="str">
            <v>20010_3</v>
          </cell>
        </row>
        <row r="362">
          <cell r="A362" t="str">
            <v>20011_1</v>
          </cell>
        </row>
        <row r="363">
          <cell r="A363" t="str">
            <v>20011_2</v>
          </cell>
        </row>
        <row r="364">
          <cell r="A364" t="str">
            <v>20011_3</v>
          </cell>
        </row>
        <row r="365">
          <cell r="A365" t="str">
            <v>20012_1</v>
          </cell>
        </row>
        <row r="366">
          <cell r="A366" t="str">
            <v>20012_2</v>
          </cell>
        </row>
        <row r="367">
          <cell r="A367" t="str">
            <v>20012_3</v>
          </cell>
        </row>
        <row r="368">
          <cell r="A368" t="str">
            <v>30001_1</v>
          </cell>
        </row>
        <row r="369">
          <cell r="A369" t="str">
            <v>30001_2</v>
          </cell>
        </row>
        <row r="370">
          <cell r="A370" t="str">
            <v>30001_3</v>
          </cell>
        </row>
        <row r="371">
          <cell r="A371" t="str">
            <v>30002_1</v>
          </cell>
        </row>
        <row r="372">
          <cell r="A372" t="str">
            <v>30002_2</v>
          </cell>
        </row>
        <row r="373">
          <cell r="A373" t="str">
            <v>30002_3</v>
          </cell>
        </row>
        <row r="374">
          <cell r="A374" t="str">
            <v>30003_1</v>
          </cell>
        </row>
        <row r="375">
          <cell r="A375" t="str">
            <v>30003_2</v>
          </cell>
        </row>
        <row r="376">
          <cell r="A376" t="str">
            <v>30003_3</v>
          </cell>
        </row>
        <row r="377">
          <cell r="A377" t="str">
            <v>30004_1</v>
          </cell>
        </row>
        <row r="378">
          <cell r="A378" t="str">
            <v>30004_2</v>
          </cell>
        </row>
        <row r="379">
          <cell r="A379" t="str">
            <v>30004_3</v>
          </cell>
        </row>
        <row r="380">
          <cell r="A380" t="str">
            <v>30005_1</v>
          </cell>
        </row>
        <row r="381">
          <cell r="A381" t="str">
            <v>30005_2</v>
          </cell>
        </row>
        <row r="382">
          <cell r="A382" t="str">
            <v>30005_3</v>
          </cell>
        </row>
        <row r="383">
          <cell r="A383" t="str">
            <v>30006_1</v>
          </cell>
        </row>
        <row r="384">
          <cell r="A384" t="str">
            <v>30006_2</v>
          </cell>
        </row>
        <row r="385">
          <cell r="A385" t="str">
            <v>30006_3</v>
          </cell>
        </row>
        <row r="386">
          <cell r="A386" t="str">
            <v>30007_1</v>
          </cell>
        </row>
        <row r="387">
          <cell r="A387" t="str">
            <v>30007_2</v>
          </cell>
        </row>
        <row r="388">
          <cell r="A388" t="str">
            <v>30007_3</v>
          </cell>
        </row>
        <row r="389">
          <cell r="A389" t="str">
            <v>30008_1</v>
          </cell>
        </row>
        <row r="390">
          <cell r="A390" t="str">
            <v>30008_2</v>
          </cell>
        </row>
        <row r="391">
          <cell r="A391" t="str">
            <v>30008_3</v>
          </cell>
        </row>
        <row r="392">
          <cell r="A392" t="str">
            <v>30009_3</v>
          </cell>
        </row>
        <row r="393">
          <cell r="A393" t="str">
            <v>30009_1</v>
          </cell>
        </row>
        <row r="394">
          <cell r="A394" t="str">
            <v>30009_2</v>
          </cell>
        </row>
        <row r="395">
          <cell r="A395" t="str">
            <v>30010_1</v>
          </cell>
        </row>
        <row r="396">
          <cell r="A396" t="str">
            <v>30010_2</v>
          </cell>
        </row>
        <row r="397">
          <cell r="A397" t="str">
            <v>30010_3</v>
          </cell>
        </row>
        <row r="398">
          <cell r="A398" t="str">
            <v>30011_1</v>
          </cell>
        </row>
        <row r="399">
          <cell r="A399" t="str">
            <v>30011_2</v>
          </cell>
        </row>
        <row r="400">
          <cell r="A400" t="str">
            <v>30011_3</v>
          </cell>
        </row>
        <row r="401">
          <cell r="A401" t="str">
            <v>30012_1</v>
          </cell>
        </row>
        <row r="402">
          <cell r="A402" t="str">
            <v>30012_2</v>
          </cell>
        </row>
        <row r="403">
          <cell r="A403" t="str">
            <v>30012_3</v>
          </cell>
        </row>
        <row r="404">
          <cell r="A404" t="str">
            <v>30013_1</v>
          </cell>
        </row>
        <row r="405">
          <cell r="A405" t="str">
            <v>30013_2</v>
          </cell>
        </row>
        <row r="406">
          <cell r="A406" t="str">
            <v>30014_1</v>
          </cell>
        </row>
        <row r="407">
          <cell r="A407" t="str">
            <v>30014_2</v>
          </cell>
        </row>
        <row r="408">
          <cell r="A408" t="str">
            <v>30015_1</v>
          </cell>
        </row>
        <row r="409">
          <cell r="A409" t="str">
            <v>30015_2</v>
          </cell>
        </row>
        <row r="410">
          <cell r="A410" t="str">
            <v>30016_1</v>
          </cell>
        </row>
        <row r="411">
          <cell r="A411" t="str">
            <v>30016_2</v>
          </cell>
        </row>
        <row r="412">
          <cell r="A412" t="str">
            <v>30017_1</v>
          </cell>
        </row>
        <row r="413">
          <cell r="A413" t="str">
            <v>30017_2</v>
          </cell>
        </row>
        <row r="414">
          <cell r="A414" t="str">
            <v>30018_1</v>
          </cell>
        </row>
        <row r="415">
          <cell r="A415" t="str">
            <v>30018_2</v>
          </cell>
        </row>
        <row r="416">
          <cell r="A416" t="str">
            <v>30019_1</v>
          </cell>
        </row>
        <row r="417">
          <cell r="A417" t="str">
            <v>30019_2</v>
          </cell>
        </row>
        <row r="418">
          <cell r="A418" t="str">
            <v>30020_1</v>
          </cell>
        </row>
        <row r="419">
          <cell r="A419" t="str">
            <v>30020_2</v>
          </cell>
        </row>
        <row r="420">
          <cell r="A420" t="str">
            <v>30021_1</v>
          </cell>
        </row>
        <row r="421">
          <cell r="A421" t="str">
            <v>30021_2</v>
          </cell>
        </row>
        <row r="422">
          <cell r="A422" t="str">
            <v>30021_3</v>
          </cell>
        </row>
        <row r="423">
          <cell r="A423" t="str">
            <v>30022_1</v>
          </cell>
        </row>
        <row r="424">
          <cell r="A424" t="str">
            <v>30022_2</v>
          </cell>
        </row>
        <row r="425">
          <cell r="A425" t="str">
            <v>30023_1</v>
          </cell>
        </row>
        <row r="426">
          <cell r="A426" t="str">
            <v>30023_2</v>
          </cell>
        </row>
        <row r="427">
          <cell r="A427" t="str">
            <v>30023_3</v>
          </cell>
        </row>
        <row r="428">
          <cell r="A428" t="str">
            <v>30024_1</v>
          </cell>
        </row>
        <row r="429">
          <cell r="A429" t="str">
            <v>30024_2</v>
          </cell>
        </row>
        <row r="430">
          <cell r="A430" t="str">
            <v>30024_3</v>
          </cell>
        </row>
        <row r="431">
          <cell r="A431" t="str">
            <v>30025_1</v>
          </cell>
        </row>
        <row r="432">
          <cell r="A432" t="str">
            <v>30025_2</v>
          </cell>
        </row>
        <row r="433">
          <cell r="A433" t="str">
            <v>30025_3</v>
          </cell>
        </row>
        <row r="434">
          <cell r="A434" t="str">
            <v>30026_1</v>
          </cell>
        </row>
        <row r="435">
          <cell r="A435" t="str">
            <v>30026_2</v>
          </cell>
        </row>
        <row r="436">
          <cell r="A436" t="str">
            <v>30026_3</v>
          </cell>
        </row>
        <row r="437">
          <cell r="A437" t="str">
            <v>30027_1</v>
          </cell>
        </row>
        <row r="438">
          <cell r="A438" t="str">
            <v>30027_2</v>
          </cell>
        </row>
        <row r="439">
          <cell r="A439" t="str">
            <v>30027_3</v>
          </cell>
        </row>
        <row r="440">
          <cell r="A440" t="str">
            <v>30028_1</v>
          </cell>
        </row>
        <row r="441">
          <cell r="A441" t="str">
            <v>30028_2</v>
          </cell>
        </row>
        <row r="442">
          <cell r="A442" t="str">
            <v>30028_3</v>
          </cell>
        </row>
        <row r="443">
          <cell r="A443" t="str">
            <v>30029_1</v>
          </cell>
        </row>
        <row r="444">
          <cell r="A444" t="str">
            <v>30029_2</v>
          </cell>
        </row>
        <row r="445">
          <cell r="A445" t="str">
            <v>30029_3</v>
          </cell>
        </row>
        <row r="446">
          <cell r="A446" t="str">
            <v>30030_1</v>
          </cell>
        </row>
        <row r="447">
          <cell r="A447" t="str">
            <v>30030_2</v>
          </cell>
        </row>
        <row r="448">
          <cell r="A448" t="str">
            <v>30030_3</v>
          </cell>
        </row>
        <row r="449">
          <cell r="A449" t="str">
            <v>30031_1</v>
          </cell>
        </row>
        <row r="450">
          <cell r="A450" t="str">
            <v>30031_2</v>
          </cell>
        </row>
        <row r="451">
          <cell r="A451" t="str">
            <v>30031_3</v>
          </cell>
        </row>
        <row r="452">
          <cell r="A452" t="str">
            <v>30032_1</v>
          </cell>
        </row>
        <row r="453">
          <cell r="A453" t="str">
            <v>30032_2</v>
          </cell>
        </row>
        <row r="454">
          <cell r="A454" t="str">
            <v>30032_3</v>
          </cell>
        </row>
        <row r="455">
          <cell r="A455" t="str">
            <v>39001_1</v>
          </cell>
        </row>
        <row r="456">
          <cell r="A456" t="str">
            <v>39001_2</v>
          </cell>
        </row>
        <row r="457">
          <cell r="A457" t="str">
            <v>39001_3</v>
          </cell>
        </row>
        <row r="458">
          <cell r="A458" t="str">
            <v>39001_4</v>
          </cell>
        </row>
        <row r="459">
          <cell r="A459" t="str">
            <v>39001_5</v>
          </cell>
        </row>
        <row r="460">
          <cell r="A460" t="str">
            <v>40001_1</v>
          </cell>
        </row>
        <row r="461">
          <cell r="A461" t="str">
            <v>40002_1</v>
          </cell>
        </row>
        <row r="462">
          <cell r="A462" t="str">
            <v>40002_2</v>
          </cell>
        </row>
        <row r="463">
          <cell r="A463" t="str">
            <v>40002_3</v>
          </cell>
        </row>
        <row r="464">
          <cell r="A464" t="str">
            <v>40003_1</v>
          </cell>
        </row>
        <row r="465">
          <cell r="A465" t="str">
            <v>40004_1</v>
          </cell>
        </row>
        <row r="466">
          <cell r="A466" t="str">
            <v>40005_1</v>
          </cell>
        </row>
        <row r="467">
          <cell r="A467" t="str">
            <v>40006_1</v>
          </cell>
        </row>
        <row r="468">
          <cell r="A468" t="str">
            <v>40007_1</v>
          </cell>
        </row>
        <row r="469">
          <cell r="A469" t="str">
            <v>40008_1</v>
          </cell>
        </row>
        <row r="470">
          <cell r="A470" t="str">
            <v>40009_1</v>
          </cell>
        </row>
        <row r="471">
          <cell r="A471" t="str">
            <v>40010_1</v>
          </cell>
        </row>
        <row r="472">
          <cell r="A472" t="str">
            <v>40011_1</v>
          </cell>
        </row>
        <row r="473">
          <cell r="A473" t="str">
            <v>40012_1</v>
          </cell>
        </row>
        <row r="474">
          <cell r="A474" t="str">
            <v>40013_1</v>
          </cell>
        </row>
        <row r="475">
          <cell r="A475" t="str">
            <v>40014_1</v>
          </cell>
        </row>
        <row r="476">
          <cell r="A476" t="str">
            <v>49001_1</v>
          </cell>
        </row>
        <row r="477">
          <cell r="A477" t="str">
            <v>50001_1</v>
          </cell>
        </row>
        <row r="478">
          <cell r="A478" t="str">
            <v>50002_1</v>
          </cell>
        </row>
        <row r="479">
          <cell r="A479" t="str">
            <v>60001_1</v>
          </cell>
        </row>
        <row r="480">
          <cell r="A480" t="str">
            <v>60002_1</v>
          </cell>
        </row>
        <row r="481">
          <cell r="A481" t="str">
            <v>60002_2</v>
          </cell>
        </row>
        <row r="482">
          <cell r="A482" t="str">
            <v>60003_1</v>
          </cell>
        </row>
        <row r="483">
          <cell r="A483" t="str">
            <v>60003_2</v>
          </cell>
        </row>
        <row r="484">
          <cell r="A484" t="str">
            <v>60003_3</v>
          </cell>
        </row>
        <row r="485">
          <cell r="A485" t="str">
            <v>60004_1</v>
          </cell>
        </row>
        <row r="486">
          <cell r="A486" t="str">
            <v>65535_1</v>
          </cell>
        </row>
        <row r="487">
          <cell r="A487" t="str">
            <v>65535_2</v>
          </cell>
        </row>
        <row r="488">
          <cell r="A488" t="str">
            <v>65535_3</v>
          </cell>
        </row>
        <row r="489">
          <cell r="A489" t="str">
            <v>60021_3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3"/>
  <sheetViews>
    <sheetView topLeftCell="M1" workbookViewId="0">
      <selection activeCell="B24" sqref="B24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>
      <c r="A2" s="61" t="s">
        <v>354</v>
      </c>
      <c r="B2" s="57" t="s">
        <v>107</v>
      </c>
      <c r="C2" s="62">
        <v>60001</v>
      </c>
      <c r="D2" s="57" t="s">
        <v>108</v>
      </c>
      <c r="E2" s="56" t="str">
        <f>B2&amp;C2&amp;D2</f>
        <v>floors_60001.tmp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>
      <c r="A3" s="61" t="s">
        <v>354</v>
      </c>
      <c r="B3" s="106" t="s">
        <v>241</v>
      </c>
      <c r="C3" s="62">
        <v>60001</v>
      </c>
      <c r="D3" s="57" t="s">
        <v>108</v>
      </c>
      <c r="E3" s="56" t="str">
        <f>B3&amp;C3&amp;D3</f>
        <v>ranking_floors_60001.tmp</v>
      </c>
      <c r="F3" s="57" t="s">
        <v>109</v>
      </c>
      <c r="G3" s="58" t="s">
        <v>0</v>
      </c>
      <c r="H3" s="58" t="s">
        <v>1</v>
      </c>
      <c r="I3" s="58" t="s">
        <v>13</v>
      </c>
      <c r="J3" s="99" t="s">
        <v>216</v>
      </c>
      <c r="K3" s="99" t="s">
        <v>217</v>
      </c>
      <c r="L3" s="99" t="s">
        <v>218</v>
      </c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0">
      <c r="A4" s="61" t="s">
        <v>354</v>
      </c>
      <c r="B4" s="106" t="s">
        <v>242</v>
      </c>
      <c r="C4" s="62">
        <v>60001</v>
      </c>
      <c r="D4" s="57" t="s">
        <v>108</v>
      </c>
      <c r="E4" s="56" t="str">
        <f>B4&amp;C4&amp;D4</f>
        <v>ranking_stages_60001.tmp</v>
      </c>
      <c r="F4" s="57" t="s">
        <v>244</v>
      </c>
      <c r="G4" s="58" t="s">
        <v>0</v>
      </c>
      <c r="H4" s="58" t="s">
        <v>1</v>
      </c>
      <c r="I4" s="37" t="s">
        <v>243</v>
      </c>
      <c r="J4" s="58"/>
      <c r="K4" s="58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>
      <c r="A5" s="61" t="s">
        <v>354</v>
      </c>
      <c r="B5" s="106" t="s">
        <v>249</v>
      </c>
      <c r="C5" s="62">
        <v>60001</v>
      </c>
      <c r="D5" s="57" t="s">
        <v>108</v>
      </c>
      <c r="E5" s="56" t="str">
        <f t="shared" ref="E5:E7" si="0">B5&amp;C5&amp;D5</f>
        <v>clear_turn_60001.tmp</v>
      </c>
      <c r="F5" s="57" t="s">
        <v>253</v>
      </c>
      <c r="G5" s="58" t="s">
        <v>245</v>
      </c>
      <c r="H5" s="58" t="s">
        <v>246</v>
      </c>
      <c r="I5" s="58" t="s">
        <v>247</v>
      </c>
      <c r="J5" s="58" t="s">
        <v>248</v>
      </c>
      <c r="K5" s="58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>
      <c r="A6" s="61" t="s">
        <v>354</v>
      </c>
      <c r="B6" s="106" t="s">
        <v>250</v>
      </c>
      <c r="C6" s="62">
        <v>60001</v>
      </c>
      <c r="D6" s="57" t="s">
        <v>108</v>
      </c>
      <c r="E6" s="56" t="str">
        <f t="shared" si="0"/>
        <v>damage_give_60001.tmp</v>
      </c>
      <c r="F6" s="57" t="s">
        <v>254</v>
      </c>
      <c r="G6" s="58" t="s">
        <v>245</v>
      </c>
      <c r="H6" s="58" t="s">
        <v>246</v>
      </c>
      <c r="I6" s="58" t="s">
        <v>247</v>
      </c>
      <c r="J6" s="58" t="s">
        <v>248</v>
      </c>
      <c r="K6" s="58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>
      <c r="A7" s="61" t="s">
        <v>354</v>
      </c>
      <c r="B7" s="106" t="s">
        <v>252</v>
      </c>
      <c r="C7" s="62">
        <v>60001</v>
      </c>
      <c r="D7" s="57" t="s">
        <v>108</v>
      </c>
      <c r="E7" s="56" t="str">
        <f t="shared" si="0"/>
        <v>damage_receive_60001.tmp</v>
      </c>
      <c r="F7" s="57" t="s">
        <v>251</v>
      </c>
      <c r="G7" s="58" t="s">
        <v>245</v>
      </c>
      <c r="H7" s="58" t="s">
        <v>246</v>
      </c>
      <c r="I7" s="58" t="s">
        <v>247</v>
      </c>
      <c r="J7" s="58" t="s">
        <v>248</v>
      </c>
      <c r="K7" s="58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>
      <c r="A8" s="61" t="s">
        <v>354</v>
      </c>
      <c r="B8" s="106" t="s">
        <v>265</v>
      </c>
      <c r="C8" s="62">
        <v>60001</v>
      </c>
      <c r="D8" s="57" t="s">
        <v>108</v>
      </c>
      <c r="E8" s="56" t="str">
        <f t="shared" ref="E8:E9" si="1">B8&amp;C8&amp;D8</f>
        <v>ranking_eval_data_60001.tmp</v>
      </c>
      <c r="F8" s="57" t="s">
        <v>267</v>
      </c>
      <c r="G8" s="58" t="s">
        <v>255</v>
      </c>
      <c r="H8" s="58" t="s">
        <v>256</v>
      </c>
      <c r="I8" s="58" t="s">
        <v>257</v>
      </c>
      <c r="J8" s="58" t="s">
        <v>258</v>
      </c>
      <c r="K8" s="58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>
      <c r="A9" s="61" t="s">
        <v>354</v>
      </c>
      <c r="B9" s="106" t="s">
        <v>266</v>
      </c>
      <c r="C9" s="62">
        <v>60001</v>
      </c>
      <c r="D9" s="57" t="s">
        <v>108</v>
      </c>
      <c r="E9" s="56" t="str">
        <f t="shared" si="1"/>
        <v>ranking_eval_i18n_60001.tmp</v>
      </c>
      <c r="F9" s="57" t="s">
        <v>267</v>
      </c>
      <c r="G9" s="58" t="s">
        <v>255</v>
      </c>
      <c r="H9" s="105" t="s">
        <v>259</v>
      </c>
      <c r="I9" s="105" t="s">
        <v>260</v>
      </c>
      <c r="J9" s="105" t="s">
        <v>261</v>
      </c>
      <c r="K9" s="58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0">
      <c r="A10" s="61" t="s">
        <v>354</v>
      </c>
      <c r="B10" s="57" t="s">
        <v>110</v>
      </c>
      <c r="C10" s="62">
        <v>60001</v>
      </c>
      <c r="D10" s="57" t="s">
        <v>108</v>
      </c>
      <c r="E10" s="56" t="str">
        <f>B10&amp;C10&amp;D10</f>
        <v>enemy_habitats_60001.tmp</v>
      </c>
      <c r="F10" s="57" t="s">
        <v>111</v>
      </c>
      <c r="G10" s="58" t="s">
        <v>0</v>
      </c>
      <c r="H10" s="58" t="s">
        <v>1</v>
      </c>
      <c r="I10" s="58" t="s">
        <v>13</v>
      </c>
      <c r="J10" s="58" t="s">
        <v>2</v>
      </c>
      <c r="K10" s="58" t="s">
        <v>3</v>
      </c>
      <c r="L10" s="58" t="s">
        <v>47</v>
      </c>
      <c r="M10" s="58" t="s">
        <v>49</v>
      </c>
      <c r="N10" s="58" t="s">
        <v>51</v>
      </c>
      <c r="O10" s="58" t="s">
        <v>22</v>
      </c>
      <c r="P10" s="58" t="s">
        <v>5</v>
      </c>
      <c r="Q10" s="58" t="s">
        <v>6</v>
      </c>
      <c r="R10" s="58" t="s">
        <v>7</v>
      </c>
      <c r="S10" s="58" t="s">
        <v>8</v>
      </c>
      <c r="T10" s="58" t="s">
        <v>9</v>
      </c>
      <c r="U10" s="58" t="s">
        <v>10</v>
      </c>
      <c r="V10" s="58" t="s">
        <v>11</v>
      </c>
      <c r="W10" s="58" t="s">
        <v>12</v>
      </c>
      <c r="X10" s="58" t="s">
        <v>37</v>
      </c>
      <c r="Y10" s="58" t="s">
        <v>39</v>
      </c>
      <c r="Z10" s="58" t="s">
        <v>41</v>
      </c>
      <c r="AA10" s="58" t="s">
        <v>43</v>
      </c>
      <c r="AB10" s="58" t="s">
        <v>45</v>
      </c>
      <c r="AC10" s="58" t="s">
        <v>54</v>
      </c>
      <c r="AD10" s="58" t="s">
        <v>180</v>
      </c>
    </row>
    <row r="11" spans="1:30">
      <c r="A11" s="61" t="s">
        <v>354</v>
      </c>
      <c r="B11" s="57" t="s">
        <v>112</v>
      </c>
      <c r="C11" s="62">
        <v>60001</v>
      </c>
      <c r="D11" s="57" t="s">
        <v>108</v>
      </c>
      <c r="E11" s="56" t="str">
        <f>B11&amp;C11&amp;D11</f>
        <v>enemy_habitat_S_60001.tmp</v>
      </c>
      <c r="F11" s="57" t="s">
        <v>113</v>
      </c>
      <c r="G11" s="58" t="s">
        <v>0</v>
      </c>
      <c r="H11" s="58" t="s">
        <v>1</v>
      </c>
      <c r="I11" s="58" t="s">
        <v>13</v>
      </c>
      <c r="J11" s="58" t="s">
        <v>54</v>
      </c>
      <c r="K11" s="58" t="s">
        <v>55</v>
      </c>
      <c r="L11" s="58" t="s">
        <v>56</v>
      </c>
      <c r="M11" s="58" t="s">
        <v>57</v>
      </c>
      <c r="N11" s="58" t="s">
        <v>58</v>
      </c>
      <c r="O11" s="58" t="s">
        <v>59</v>
      </c>
      <c r="P11" s="58" t="s">
        <v>48</v>
      </c>
      <c r="Q11" s="58" t="s">
        <v>50</v>
      </c>
      <c r="R11" s="58" t="s">
        <v>52</v>
      </c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0">
      <c r="A12" s="61" t="s">
        <v>354</v>
      </c>
      <c r="B12" s="57" t="s">
        <v>114</v>
      </c>
      <c r="C12" s="62">
        <v>60001</v>
      </c>
      <c r="D12" s="57" t="s">
        <v>108</v>
      </c>
      <c r="E12" s="56" t="str">
        <f>B12&amp;C12&amp;D12</f>
        <v>enemy_skill_sets_60001.tmp</v>
      </c>
      <c r="F12" s="57" t="s">
        <v>115</v>
      </c>
      <c r="G12" s="59" t="s">
        <v>22</v>
      </c>
      <c r="H12" s="59" t="s">
        <v>100</v>
      </c>
      <c r="I12" s="59" t="s">
        <v>95</v>
      </c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0">
      <c r="A13" s="61" t="s">
        <v>354</v>
      </c>
      <c r="B13" s="57" t="s">
        <v>116</v>
      </c>
      <c r="C13" s="62">
        <v>60001</v>
      </c>
      <c r="D13" s="57" t="s">
        <v>117</v>
      </c>
      <c r="E13" s="56" t="str">
        <f t="shared" ref="E13:E17" si="2">B13&amp;C13&amp;D13</f>
        <v>enemy_skills_tmp_60001.tmp</v>
      </c>
      <c r="F13" s="57" t="s">
        <v>91</v>
      </c>
      <c r="G13" s="58" t="s">
        <v>79</v>
      </c>
      <c r="H13" s="58" t="s">
        <v>80</v>
      </c>
      <c r="I13" s="58" t="s">
        <v>81</v>
      </c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0">
      <c r="A14" s="61" t="s">
        <v>354</v>
      </c>
      <c r="B14" s="57" t="s">
        <v>118</v>
      </c>
      <c r="C14" s="62">
        <v>60001</v>
      </c>
      <c r="D14" s="57" t="s">
        <v>108</v>
      </c>
      <c r="E14" s="56" t="str">
        <f>B14&amp;C14&amp;D14</f>
        <v>enemy_skills_i18n_60001.tmp</v>
      </c>
      <c r="F14" s="57" t="s">
        <v>119</v>
      </c>
      <c r="G14" s="58" t="s">
        <v>79</v>
      </c>
      <c r="H14" s="58" t="s">
        <v>92</v>
      </c>
      <c r="I14" s="58" t="s">
        <v>93</v>
      </c>
      <c r="J14" s="58" t="s">
        <v>94</v>
      </c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0">
      <c r="A15" s="61" t="s">
        <v>354</v>
      </c>
      <c r="B15" s="57" t="s">
        <v>120</v>
      </c>
      <c r="C15" s="62">
        <v>60001</v>
      </c>
      <c r="D15" s="57" t="s">
        <v>121</v>
      </c>
      <c r="E15" s="56" t="str">
        <f t="shared" si="2"/>
        <v>enemy_skill_triggers_60001.tmp</v>
      </c>
      <c r="F15" s="57" t="s">
        <v>122</v>
      </c>
      <c r="G15" s="58" t="s">
        <v>95</v>
      </c>
      <c r="H15" s="58" t="s">
        <v>96</v>
      </c>
      <c r="I15" s="58" t="s">
        <v>97</v>
      </c>
      <c r="J15" s="58" t="s">
        <v>98</v>
      </c>
      <c r="K15" s="58" t="s">
        <v>123</v>
      </c>
      <c r="L15" s="58" t="s">
        <v>99</v>
      </c>
      <c r="M15" s="58" t="s">
        <v>124</v>
      </c>
      <c r="N15" s="58" t="s">
        <v>125</v>
      </c>
      <c r="O15" s="58" t="s">
        <v>126</v>
      </c>
      <c r="P15" s="58" t="s">
        <v>67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0">
      <c r="A16" s="61" t="s">
        <v>354</v>
      </c>
      <c r="B16" s="67" t="s">
        <v>179</v>
      </c>
      <c r="C16" s="62">
        <v>60001</v>
      </c>
      <c r="D16" s="67" t="s">
        <v>173</v>
      </c>
      <c r="E16" s="68" t="str">
        <f t="shared" si="2"/>
        <v>stage_bug_bonuses_60001.tmp</v>
      </c>
      <c r="F16" s="67" t="s">
        <v>174</v>
      </c>
      <c r="G16" s="64" t="s">
        <v>151</v>
      </c>
      <c r="H16" s="64" t="s">
        <v>175</v>
      </c>
      <c r="I16" s="64" t="s">
        <v>176</v>
      </c>
      <c r="J16" s="66" t="s">
        <v>177</v>
      </c>
      <c r="K16" s="64" t="s">
        <v>178</v>
      </c>
      <c r="L16" s="64" t="s">
        <v>157</v>
      </c>
      <c r="M16" s="64" t="s">
        <v>158</v>
      </c>
      <c r="N16" s="64" t="s">
        <v>159</v>
      </c>
      <c r="O16" s="64" t="s">
        <v>160</v>
      </c>
      <c r="P16" s="64" t="s">
        <v>161</v>
      </c>
      <c r="Q16" s="64" t="s">
        <v>162</v>
      </c>
      <c r="R16" s="64" t="s">
        <v>163</v>
      </c>
      <c r="S16" s="64" t="s">
        <v>164</v>
      </c>
      <c r="T16" s="64" t="s">
        <v>165</v>
      </c>
      <c r="U16" s="64" t="s">
        <v>166</v>
      </c>
      <c r="V16" s="64" t="s">
        <v>167</v>
      </c>
      <c r="W16" s="64" t="s">
        <v>168</v>
      </c>
    </row>
    <row r="17" spans="1:21" s="76" customFormat="1">
      <c r="A17" s="61" t="s">
        <v>354</v>
      </c>
      <c r="B17" s="67" t="s">
        <v>204</v>
      </c>
      <c r="C17" s="62">
        <v>60001</v>
      </c>
      <c r="D17" s="67" t="s">
        <v>182</v>
      </c>
      <c r="E17" s="68" t="str">
        <f t="shared" si="2"/>
        <v>stage_hints_data_c_60001.tmp</v>
      </c>
      <c r="F17" s="67" t="s">
        <v>212</v>
      </c>
      <c r="G17" s="73" t="s">
        <v>183</v>
      </c>
      <c r="H17" s="73" t="s">
        <v>175</v>
      </c>
      <c r="I17" s="74" t="s">
        <v>184</v>
      </c>
      <c r="J17" s="66" t="s">
        <v>185</v>
      </c>
      <c r="K17" s="75" t="s">
        <v>186</v>
      </c>
    </row>
    <row r="18" spans="1:21" s="76" customFormat="1">
      <c r="A18" s="61" t="s">
        <v>354</v>
      </c>
      <c r="B18" s="67" t="s">
        <v>205</v>
      </c>
      <c r="C18" s="62">
        <v>60001</v>
      </c>
      <c r="D18" s="67" t="s">
        <v>173</v>
      </c>
      <c r="E18" s="68" t="str">
        <f t="shared" ref="E18:E19" si="3">B18&amp;C18&amp;D18</f>
        <v>stage_hints_data_f_60001.tmp</v>
      </c>
      <c r="F18" s="67" t="s">
        <v>214</v>
      </c>
      <c r="G18" s="73" t="s">
        <v>183</v>
      </c>
      <c r="H18" s="73" t="s">
        <v>175</v>
      </c>
      <c r="I18" s="74" t="s">
        <v>184</v>
      </c>
      <c r="J18" s="66" t="s">
        <v>185</v>
      </c>
      <c r="K18" s="75" t="s">
        <v>186</v>
      </c>
    </row>
    <row r="19" spans="1:21" s="76" customFormat="1">
      <c r="A19" s="61" t="s">
        <v>354</v>
      </c>
      <c r="B19" s="67" t="s">
        <v>206</v>
      </c>
      <c r="C19" s="62">
        <v>60001</v>
      </c>
      <c r="D19" s="67" t="s">
        <v>173</v>
      </c>
      <c r="E19" s="68" t="str">
        <f t="shared" si="3"/>
        <v>stage_hints_i18n_60001.tmp</v>
      </c>
      <c r="F19" s="67" t="s">
        <v>215</v>
      </c>
      <c r="G19" s="74" t="s">
        <v>207</v>
      </c>
      <c r="H19" s="97" t="s">
        <v>208</v>
      </c>
      <c r="I19" s="73" t="s">
        <v>209</v>
      </c>
      <c r="J19" s="98" t="s">
        <v>210</v>
      </c>
      <c r="K19" s="75" t="s">
        <v>211</v>
      </c>
    </row>
    <row r="20" spans="1:21">
      <c r="A20" s="61" t="s">
        <v>354</v>
      </c>
      <c r="B20" s="67" t="s">
        <v>206</v>
      </c>
      <c r="C20" s="62">
        <v>60001</v>
      </c>
      <c r="D20" s="67" t="s">
        <v>173</v>
      </c>
      <c r="E20" s="68" t="str">
        <f t="shared" ref="E20:E21" si="4">B20&amp;C20&amp;D20</f>
        <v>stage_hints_i18n_60001.tmp</v>
      </c>
      <c r="F20" s="67" t="s">
        <v>215</v>
      </c>
      <c r="G20" s="74" t="s">
        <v>207</v>
      </c>
      <c r="H20" s="97" t="s">
        <v>208</v>
      </c>
      <c r="I20" s="73" t="s">
        <v>209</v>
      </c>
      <c r="J20" s="98" t="s">
        <v>210</v>
      </c>
      <c r="K20" s="75" t="s">
        <v>211</v>
      </c>
    </row>
    <row r="21" spans="1:21">
      <c r="A21" s="61" t="s">
        <v>354</v>
      </c>
      <c r="B21" s="107" t="s">
        <v>230</v>
      </c>
      <c r="C21" s="62">
        <v>60001</v>
      </c>
      <c r="D21" s="67" t="s">
        <v>173</v>
      </c>
      <c r="E21" s="68" t="str">
        <f t="shared" si="4"/>
        <v>ranking_ACH_60001.tmp</v>
      </c>
      <c r="F21" s="67" t="s">
        <v>231</v>
      </c>
      <c r="G21" s="74" t="s">
        <v>232</v>
      </c>
      <c r="H21" s="97" t="s">
        <v>233</v>
      </c>
      <c r="I21" s="73" t="s">
        <v>234</v>
      </c>
      <c r="J21" s="75" t="s">
        <v>235</v>
      </c>
      <c r="K21" s="75"/>
    </row>
    <row r="22" spans="1:21">
      <c r="A22" s="61" t="s">
        <v>354</v>
      </c>
      <c r="B22" s="108" t="s">
        <v>236</v>
      </c>
      <c r="C22" s="62">
        <v>60001</v>
      </c>
      <c r="D22" s="101" t="s">
        <v>117</v>
      </c>
      <c r="E22" s="102" t="str">
        <f>B22&amp;C22&amp;D22</f>
        <v>gifts_tmp_60001.tmp</v>
      </c>
      <c r="F22" s="67" t="s">
        <v>231</v>
      </c>
      <c r="G22" s="103" t="s">
        <v>237</v>
      </c>
      <c r="H22" s="103" t="s">
        <v>221</v>
      </c>
      <c r="I22" s="103" t="s">
        <v>222</v>
      </c>
      <c r="J22" s="103" t="s">
        <v>222</v>
      </c>
      <c r="K22" s="103" t="s">
        <v>222</v>
      </c>
      <c r="L22" s="103" t="s">
        <v>223</v>
      </c>
      <c r="M22" s="103" t="s">
        <v>223</v>
      </c>
      <c r="N22" s="103" t="s">
        <v>223</v>
      </c>
      <c r="O22" s="119" t="s">
        <v>41</v>
      </c>
      <c r="P22" s="119" t="s">
        <v>45</v>
      </c>
      <c r="Q22" s="119" t="s">
        <v>39</v>
      </c>
      <c r="R22" s="119" t="s">
        <v>402</v>
      </c>
      <c r="S22" s="119" t="s">
        <v>43</v>
      </c>
      <c r="T22" s="119" t="s">
        <v>3</v>
      </c>
      <c r="U22" s="119" t="s">
        <v>37</v>
      </c>
    </row>
    <row r="23" spans="1:21">
      <c r="A23" s="61" t="s">
        <v>354</v>
      </c>
      <c r="B23" s="108" t="s">
        <v>238</v>
      </c>
      <c r="C23" s="62">
        <v>60001</v>
      </c>
      <c r="D23" s="101" t="s">
        <v>117</v>
      </c>
      <c r="E23" s="102" t="str">
        <f>B23&amp;C23&amp;D23</f>
        <v>gifts_i18n_60001.tmp</v>
      </c>
      <c r="F23" s="67" t="s">
        <v>231</v>
      </c>
      <c r="G23" s="103" t="s">
        <v>237</v>
      </c>
      <c r="H23" s="103" t="s">
        <v>225</v>
      </c>
      <c r="I23" s="103" t="s">
        <v>239</v>
      </c>
      <c r="J23" s="103" t="s">
        <v>240</v>
      </c>
      <c r="K23" s="103" t="s">
        <v>228</v>
      </c>
      <c r="L23" s="103"/>
      <c r="M23" s="103"/>
      <c r="N23" s="103"/>
      <c r="O23" s="101"/>
    </row>
  </sheetData>
  <phoneticPr fontId="6"/>
  <dataValidations count="1">
    <dataValidation type="list" allowBlank="1" showInputMessage="1" showErrorMessage="1" sqref="A2:A2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43"/>
  <sheetViews>
    <sheetView showGridLines="0" workbookViewId="0">
      <pane ySplit="1" topLeftCell="A17" activePane="bottomLeft" state="frozen"/>
      <selection activeCell="V2" sqref="V2:X34"/>
      <selection pane="bottomLeft" activeCell="N39" sqref="N39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99" t="s">
        <v>216</v>
      </c>
      <c r="M1" s="99" t="s">
        <v>217</v>
      </c>
      <c r="N1" s="99" t="s">
        <v>218</v>
      </c>
    </row>
    <row r="2" spans="1:14" ht="21" customHeight="1">
      <c r="A2" s="16" t="str">
        <f>G2&amp;"-"&amp;I2</f>
        <v>60001_1-1</v>
      </c>
      <c r="B2" s="16" t="str">
        <f>IF(COUNTIF(enemy_habitats!$H:$H,A2),"OK","NG")</f>
        <v>OK</v>
      </c>
      <c r="C2" s="7">
        <v>60001</v>
      </c>
      <c r="D2" s="11" t="str">
        <f ca="1">VLOOKUP($C2,OFFSET([2]quests!$A$1,0,0,COUNTA([2]quests!$A:$A),MATCH(D$1,[2]quests!$1:$1,0)-MATCH($C$1,[2]quests!$1:$1,0)+1),MATCH(D$1,[2]quests!$1:$1,0)-MATCH($C$1,[2]quests!$1:$1,0)+1,FALSE)</f>
        <v>ヘンペルチャレンジ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ランキング1</v>
      </c>
      <c r="F2" s="21">
        <v>1</v>
      </c>
      <c r="G2" s="23" t="str">
        <f>C2&amp;"_"&amp;F2</f>
        <v>60001_1</v>
      </c>
      <c r="H2" s="15" t="str">
        <f ca="1">VLOOKUP($G2,OFFSET([2]stages!$A$1,0,0,COUNTA([2]stages!$A:$A),MATCH(H$1,[2]stages!$2:$2,0)-MATCH($G$1,[2]stages!$2:$2,0)+1),MATCH(H$1,[2]stages!$2:$2,0)-MATCH($G$1,[2]stages!$2:$2,0)+1,FALSE)</f>
        <v>[ウィザード] 第一回</v>
      </c>
      <c r="I2" s="21">
        <v>1</v>
      </c>
      <c r="J2" s="12">
        <v>60</v>
      </c>
      <c r="K2" s="12">
        <v>60</v>
      </c>
      <c r="L2" s="69">
        <v>60001</v>
      </c>
      <c r="M2" s="69">
        <v>60001</v>
      </c>
      <c r="N2" s="69">
        <v>60001</v>
      </c>
    </row>
    <row r="3" spans="1:14" ht="21" customHeight="1">
      <c r="A3" s="16" t="str">
        <f t="shared" ref="A3:A7" si="0">G3&amp;"-"&amp;I3</f>
        <v>60001_1-2</v>
      </c>
      <c r="B3" s="16" t="str">
        <f>IF(COUNTIF(enemy_habitats!$H:$H,A3),"OK","NG")</f>
        <v>OK</v>
      </c>
      <c r="C3" s="7">
        <v>60001</v>
      </c>
      <c r="D3" s="11" t="str">
        <f ca="1">VLOOKUP($C3,OFFSET([2]quests!$A$1,0,0,COUNTA([2]quests!$A:$A),MATCH(D$1,[2]quests!$1:$1,0)-MATCH($C$1,[2]quests!$1:$1,0)+1),MATCH(D$1,[2]quests!$1:$1,0)-MATCH($C$1,[2]quests!$1:$1,0)+1,FALSE)</f>
        <v>ヘンペルチャレンジ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ランキング1</v>
      </c>
      <c r="F3" s="21">
        <v>1</v>
      </c>
      <c r="G3" s="23" t="str">
        <f t="shared" ref="G3:G7" si="1">C3&amp;"_"&amp;F3</f>
        <v>60001_1</v>
      </c>
      <c r="H3" s="15" t="str">
        <f ca="1">VLOOKUP($G3,OFFSET([2]stages!$A$1,0,0,COUNTA([2]stages!$A:$A),MATCH(H$1,[2]stages!$2:$2,0)-MATCH($G$1,[2]stages!$2:$2,0)+1),MATCH(H$1,[2]stages!$2:$2,0)-MATCH($G$1,[2]stages!$2:$2,0)+1,FALSE)</f>
        <v>[ウィザード] 第一回</v>
      </c>
      <c r="I3" s="21">
        <v>2</v>
      </c>
      <c r="J3" s="12">
        <v>50</v>
      </c>
      <c r="K3" s="12">
        <v>50</v>
      </c>
      <c r="L3" s="69">
        <v>60001</v>
      </c>
      <c r="M3" s="69">
        <v>60001</v>
      </c>
      <c r="N3" s="69">
        <v>60001</v>
      </c>
    </row>
    <row r="4" spans="1:14" ht="21" customHeight="1">
      <c r="A4" s="16" t="str">
        <f t="shared" si="0"/>
        <v>60001_1-3</v>
      </c>
      <c r="B4" s="16" t="str">
        <f>IF(COUNTIF(enemy_habitats!$H:$H,A4),"OK","NG")</f>
        <v>OK</v>
      </c>
      <c r="C4" s="7">
        <v>60001</v>
      </c>
      <c r="D4" s="11" t="str">
        <f ca="1">VLOOKUP($C4,OFFSET([2]quests!$A$1,0,0,COUNTA([2]quests!$A:$A),MATCH(D$1,[2]quests!$1:$1,0)-MATCH($C$1,[2]quests!$1:$1,0)+1),MATCH(D$1,[2]quests!$1:$1,0)-MATCH($C$1,[2]quests!$1:$1,0)+1,FALSE)</f>
        <v>ヘンペルチャレンジ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ランキング1</v>
      </c>
      <c r="F4" s="21">
        <v>1</v>
      </c>
      <c r="G4" s="23" t="str">
        <f t="shared" si="1"/>
        <v>60001_1</v>
      </c>
      <c r="H4" s="15" t="str">
        <f ca="1">VLOOKUP($G4,OFFSET([2]stages!$A$1,0,0,COUNTA([2]stages!$A:$A),MATCH(H$1,[2]stages!$2:$2,0)-MATCH($G$1,[2]stages!$2:$2,0)+1),MATCH(H$1,[2]stages!$2:$2,0)-MATCH($G$1,[2]stages!$2:$2,0)+1,FALSE)</f>
        <v>[ウィザード] 第一回</v>
      </c>
      <c r="I4" s="21">
        <v>3</v>
      </c>
      <c r="J4" s="12">
        <v>60</v>
      </c>
      <c r="K4" s="12">
        <v>60</v>
      </c>
      <c r="L4" s="69">
        <v>60001</v>
      </c>
      <c r="M4" s="69">
        <v>60001</v>
      </c>
      <c r="N4" s="69">
        <v>60001</v>
      </c>
    </row>
    <row r="5" spans="1:14" ht="21" customHeight="1">
      <c r="A5" s="16" t="str">
        <f t="shared" si="0"/>
        <v>60001_1-4</v>
      </c>
      <c r="B5" s="16" t="str">
        <f>IF(COUNTIF(enemy_habitats!$H:$H,A5),"OK","NG")</f>
        <v>OK</v>
      </c>
      <c r="C5" s="7">
        <v>60001</v>
      </c>
      <c r="D5" s="11" t="str">
        <f ca="1">VLOOKUP($C5,OFFSET([2]quests!$A$1,0,0,COUNTA([2]quests!$A:$A),MATCH(D$1,[2]quests!$1:$1,0)-MATCH($C$1,[2]quests!$1:$1,0)+1),MATCH(D$1,[2]quests!$1:$1,0)-MATCH($C$1,[2]quests!$1:$1,0)+1,FALSE)</f>
        <v>ヘンペルチャレンジ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ランキング1</v>
      </c>
      <c r="F5" s="21">
        <v>1</v>
      </c>
      <c r="G5" s="23" t="str">
        <f t="shared" si="1"/>
        <v>60001_1</v>
      </c>
      <c r="H5" s="15" t="str">
        <f ca="1">VLOOKUP($G5,OFFSET([2]stages!$A$1,0,0,COUNTA([2]stages!$A:$A),MATCH(H$1,[2]stages!$2:$2,0)-MATCH($G$1,[2]stages!$2:$2,0)+1),MATCH(H$1,[2]stages!$2:$2,0)-MATCH($G$1,[2]stages!$2:$2,0)+1,FALSE)</f>
        <v>[ウィザード] 第一回</v>
      </c>
      <c r="I5" s="21">
        <v>4</v>
      </c>
      <c r="J5" s="12">
        <v>60</v>
      </c>
      <c r="K5" s="12">
        <v>60</v>
      </c>
      <c r="L5" s="69">
        <v>60001</v>
      </c>
      <c r="M5" s="69">
        <v>60001</v>
      </c>
      <c r="N5" s="69">
        <v>60001</v>
      </c>
    </row>
    <row r="6" spans="1:14" ht="21" customHeight="1">
      <c r="A6" s="16" t="str">
        <f t="shared" si="0"/>
        <v>60001_1-5</v>
      </c>
      <c r="B6" s="16" t="str">
        <f>IF(COUNTIF(enemy_habitats!$H:$H,A6),"OK","NG")</f>
        <v>OK</v>
      </c>
      <c r="C6" s="7">
        <v>60001</v>
      </c>
      <c r="D6" s="11" t="str">
        <f ca="1">VLOOKUP($C6,OFFSET([2]quests!$A$1,0,0,COUNTA([2]quests!$A:$A),MATCH(D$1,[2]quests!$1:$1,0)-MATCH($C$1,[2]quests!$1:$1,0)+1),MATCH(D$1,[2]quests!$1:$1,0)-MATCH($C$1,[2]quests!$1:$1,0)+1,FALSE)</f>
        <v>ヘンペルチャレンジ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ランキング1</v>
      </c>
      <c r="F6" s="21">
        <v>1</v>
      </c>
      <c r="G6" s="23" t="str">
        <f t="shared" si="1"/>
        <v>60001_1</v>
      </c>
      <c r="H6" s="15" t="str">
        <f ca="1">VLOOKUP($G6,OFFSET([2]stages!$A$1,0,0,COUNTA([2]stages!$A:$A),MATCH(H$1,[2]stages!$2:$2,0)-MATCH($G$1,[2]stages!$2:$2,0)+1),MATCH(H$1,[2]stages!$2:$2,0)-MATCH($G$1,[2]stages!$2:$2,0)+1,FALSE)</f>
        <v>[ウィザード] 第一回</v>
      </c>
      <c r="I6" s="21">
        <v>5</v>
      </c>
      <c r="J6" s="12">
        <v>60</v>
      </c>
      <c r="K6" s="12">
        <v>60</v>
      </c>
      <c r="L6" s="69">
        <v>60001</v>
      </c>
      <c r="M6" s="69">
        <v>60001</v>
      </c>
      <c r="N6" s="69">
        <v>60001</v>
      </c>
    </row>
    <row r="7" spans="1:14" ht="21" customHeight="1">
      <c r="A7" s="16" t="str">
        <f t="shared" si="0"/>
        <v>60001_1-6</v>
      </c>
      <c r="B7" s="16" t="str">
        <f>IF(COUNTIF(enemy_habitats!$H:$H,A7),"OK","NG")</f>
        <v>OK</v>
      </c>
      <c r="C7" s="7">
        <v>60001</v>
      </c>
      <c r="D7" s="11" t="str">
        <f ca="1">VLOOKUP($C7,OFFSET([2]quests!$A$1,0,0,COUNTA([2]quests!$A:$A),MATCH(D$1,[2]quests!$1:$1,0)-MATCH($C$1,[2]quests!$1:$1,0)+1),MATCH(D$1,[2]quests!$1:$1,0)-MATCH($C$1,[2]quests!$1:$1,0)+1,FALSE)</f>
        <v>ヘンペルチャレンジ</v>
      </c>
      <c r="E7" s="18" t="str">
        <f ca="1">VLOOKUP($C7,OFFSET([2]quests!$A$1,0,0,COUNTA([2]quests!$A:$A),MATCH(E$1,[2]quests!$1:$1,0)-MATCH($C$1,[2]quests!$1:$1,0)+1),MATCH(E$1,[2]quests!$1:$1,0)-MATCH($C$1,[2]quests!$1:$1,0)+1,FALSE)</f>
        <v>ランキング1</v>
      </c>
      <c r="F7" s="21">
        <v>1</v>
      </c>
      <c r="G7" s="23" t="str">
        <f t="shared" si="1"/>
        <v>60001_1</v>
      </c>
      <c r="H7" s="15" t="str">
        <f ca="1">VLOOKUP($G7,OFFSET([2]stages!$A$1,0,0,COUNTA([2]stages!$A:$A),MATCH(H$1,[2]stages!$2:$2,0)-MATCH($G$1,[2]stages!$2:$2,0)+1),MATCH(H$1,[2]stages!$2:$2,0)-MATCH($G$1,[2]stages!$2:$2,0)+1,FALSE)</f>
        <v>[ウィザード] 第一回</v>
      </c>
      <c r="I7" s="21">
        <v>6</v>
      </c>
      <c r="J7" s="12">
        <v>60</v>
      </c>
      <c r="K7" s="12">
        <v>60</v>
      </c>
      <c r="L7" s="69">
        <v>60001</v>
      </c>
      <c r="M7" s="69">
        <v>60001</v>
      </c>
      <c r="N7" s="69">
        <v>60001</v>
      </c>
    </row>
    <row r="8" spans="1:14" ht="21" customHeight="1">
      <c r="A8" s="16" t="str">
        <f>G8&amp;"-"&amp;I8</f>
        <v>60002_1-1</v>
      </c>
      <c r="B8" s="16" t="str">
        <f>IF(COUNTIF(enemy_habitats!$H:$H,A8),"OK","NG")</f>
        <v>OK</v>
      </c>
      <c r="C8" s="7">
        <v>60002</v>
      </c>
      <c r="D8" s="11" t="str">
        <f ca="1">VLOOKUP($C8,OFFSET([2]quests!$A$1,0,0,COUNTA([2]quests!$A:$A),MATCH(D$1,[2]quests!$1:$1,0)-MATCH($C$1,[2]quests!$1:$1,0)+1),MATCH(D$1,[2]quests!$1:$1,0)-MATCH($C$1,[2]quests!$1:$1,0)+1,FALSE)</f>
        <v>ヘンペルチャレンジ</v>
      </c>
      <c r="E8" s="18" t="str">
        <f ca="1">VLOOKUP($C8,OFFSET([2]quests!$A$1,0,0,COUNTA([2]quests!$A:$A),MATCH(E$1,[2]quests!$1:$1,0)-MATCH($C$1,[2]quests!$1:$1,0)+1),MATCH(E$1,[2]quests!$1:$1,0)-MATCH($C$1,[2]quests!$1:$1,0)+1,FALSE)</f>
        <v>ランキング1</v>
      </c>
      <c r="F8" s="21">
        <v>1</v>
      </c>
      <c r="G8" s="23" t="str">
        <f>C8&amp;"_"&amp;F8</f>
        <v>60002_1</v>
      </c>
      <c r="H8" s="15" t="str">
        <f ca="1">VLOOKUP($G8,OFFSET([2]stages!$A$1,0,0,COUNTA([2]stages!$A:$A),MATCH(H$1,[2]stages!$2:$2,0)-MATCH($G$1,[2]stages!$2:$2,0)+1),MATCH(H$1,[2]stages!$2:$2,0)-MATCH($G$1,[2]stages!$2:$2,0)+1,FALSE)</f>
        <v>[超級] 第2回　※Wizと難易度は同じ</v>
      </c>
      <c r="I8" s="21">
        <v>1</v>
      </c>
      <c r="J8" s="12">
        <v>60</v>
      </c>
      <c r="K8" s="12">
        <v>60</v>
      </c>
      <c r="L8" s="69">
        <v>60001</v>
      </c>
      <c r="M8" s="69">
        <v>60001</v>
      </c>
      <c r="N8" s="69">
        <v>60001</v>
      </c>
    </row>
    <row r="9" spans="1:14" ht="21" customHeight="1">
      <c r="A9" s="16" t="str">
        <f t="shared" ref="A9:A13" si="2">G9&amp;"-"&amp;I9</f>
        <v>60002_1-2</v>
      </c>
      <c r="B9" s="16" t="str">
        <f>IF(COUNTIF(enemy_habitats!$H:$H,A9),"OK","NG")</f>
        <v>OK</v>
      </c>
      <c r="C9" s="7">
        <v>60002</v>
      </c>
      <c r="D9" s="11" t="str">
        <f ca="1">VLOOKUP($C9,OFFSET([2]quests!$A$1,0,0,COUNTA([2]quests!$A:$A),MATCH(D$1,[2]quests!$1:$1,0)-MATCH($C$1,[2]quests!$1:$1,0)+1),MATCH(D$1,[2]quests!$1:$1,0)-MATCH($C$1,[2]quests!$1:$1,0)+1,FALSE)</f>
        <v>ヘンペルチャレンジ</v>
      </c>
      <c r="E9" s="18" t="str">
        <f ca="1">VLOOKUP($C9,OFFSET([2]quests!$A$1,0,0,COUNTA([2]quests!$A:$A),MATCH(E$1,[2]quests!$1:$1,0)-MATCH($C$1,[2]quests!$1:$1,0)+1),MATCH(E$1,[2]quests!$1:$1,0)-MATCH($C$1,[2]quests!$1:$1,0)+1,FALSE)</f>
        <v>ランキング1</v>
      </c>
      <c r="F9" s="21">
        <v>1</v>
      </c>
      <c r="G9" s="23" t="str">
        <f t="shared" ref="G9:G13" si="3">C9&amp;"_"&amp;F9</f>
        <v>60002_1</v>
      </c>
      <c r="H9" s="15" t="str">
        <f ca="1">VLOOKUP($G9,OFFSET([2]stages!$A$1,0,0,COUNTA([2]stages!$A:$A),MATCH(H$1,[2]stages!$2:$2,0)-MATCH($G$1,[2]stages!$2:$2,0)+1),MATCH(H$1,[2]stages!$2:$2,0)-MATCH($G$1,[2]stages!$2:$2,0)+1,FALSE)</f>
        <v>[超級] 第2回　※Wizと難易度は同じ</v>
      </c>
      <c r="I9" s="21">
        <v>2</v>
      </c>
      <c r="J9" s="12">
        <v>50</v>
      </c>
      <c r="K9" s="12">
        <v>50</v>
      </c>
      <c r="L9" s="69">
        <v>60001</v>
      </c>
      <c r="M9" s="69">
        <v>60001</v>
      </c>
      <c r="N9" s="69">
        <v>60001</v>
      </c>
    </row>
    <row r="10" spans="1:14" ht="21" customHeight="1">
      <c r="A10" s="16" t="str">
        <f t="shared" si="2"/>
        <v>60002_1-3</v>
      </c>
      <c r="B10" s="16" t="str">
        <f>IF(COUNTIF(enemy_habitats!$H:$H,A10),"OK","NG")</f>
        <v>OK</v>
      </c>
      <c r="C10" s="7">
        <v>60002</v>
      </c>
      <c r="D10" s="11" t="str">
        <f ca="1">VLOOKUP($C10,OFFSET([2]quests!$A$1,0,0,COUNTA([2]quests!$A:$A),MATCH(D$1,[2]quests!$1:$1,0)-MATCH($C$1,[2]quests!$1:$1,0)+1),MATCH(D$1,[2]quests!$1:$1,0)-MATCH($C$1,[2]quests!$1:$1,0)+1,FALSE)</f>
        <v>ヘンペルチャレンジ</v>
      </c>
      <c r="E10" s="18" t="str">
        <f ca="1">VLOOKUP($C10,OFFSET([2]quests!$A$1,0,0,COUNTA([2]quests!$A:$A),MATCH(E$1,[2]quests!$1:$1,0)-MATCH($C$1,[2]quests!$1:$1,0)+1),MATCH(E$1,[2]quests!$1:$1,0)-MATCH($C$1,[2]quests!$1:$1,0)+1,FALSE)</f>
        <v>ランキング1</v>
      </c>
      <c r="F10" s="21">
        <v>1</v>
      </c>
      <c r="G10" s="23" t="str">
        <f t="shared" si="3"/>
        <v>60002_1</v>
      </c>
      <c r="H10" s="15" t="str">
        <f ca="1">VLOOKUP($G10,OFFSET([2]stages!$A$1,0,0,COUNTA([2]stages!$A:$A),MATCH(H$1,[2]stages!$2:$2,0)-MATCH($G$1,[2]stages!$2:$2,0)+1),MATCH(H$1,[2]stages!$2:$2,0)-MATCH($G$1,[2]stages!$2:$2,0)+1,FALSE)</f>
        <v>[超級] 第2回　※Wizと難易度は同じ</v>
      </c>
      <c r="I10" s="21">
        <v>3</v>
      </c>
      <c r="J10" s="12">
        <v>60</v>
      </c>
      <c r="K10" s="12">
        <v>60</v>
      </c>
      <c r="L10" s="69">
        <v>60001</v>
      </c>
      <c r="M10" s="69">
        <v>60001</v>
      </c>
      <c r="N10" s="69">
        <v>60001</v>
      </c>
    </row>
    <row r="11" spans="1:14" ht="21" customHeight="1">
      <c r="A11" s="16" t="str">
        <f t="shared" si="2"/>
        <v>60002_1-4</v>
      </c>
      <c r="B11" s="16" t="str">
        <f>IF(COUNTIF(enemy_habitats!$H:$H,A11),"OK","NG")</f>
        <v>OK</v>
      </c>
      <c r="C11" s="7">
        <v>60002</v>
      </c>
      <c r="D11" s="11" t="str">
        <f ca="1">VLOOKUP($C11,OFFSET([2]quests!$A$1,0,0,COUNTA([2]quests!$A:$A),MATCH(D$1,[2]quests!$1:$1,0)-MATCH($C$1,[2]quests!$1:$1,0)+1),MATCH(D$1,[2]quests!$1:$1,0)-MATCH($C$1,[2]quests!$1:$1,0)+1,FALSE)</f>
        <v>ヘンペルチャレンジ</v>
      </c>
      <c r="E11" s="18" t="str">
        <f ca="1">VLOOKUP($C11,OFFSET([2]quests!$A$1,0,0,COUNTA([2]quests!$A:$A),MATCH(E$1,[2]quests!$1:$1,0)-MATCH($C$1,[2]quests!$1:$1,0)+1),MATCH(E$1,[2]quests!$1:$1,0)-MATCH($C$1,[2]quests!$1:$1,0)+1,FALSE)</f>
        <v>ランキング1</v>
      </c>
      <c r="F11" s="21">
        <v>1</v>
      </c>
      <c r="G11" s="23" t="str">
        <f t="shared" si="3"/>
        <v>60002_1</v>
      </c>
      <c r="H11" s="15" t="str">
        <f ca="1">VLOOKUP($G11,OFFSET([2]stages!$A$1,0,0,COUNTA([2]stages!$A:$A),MATCH(H$1,[2]stages!$2:$2,0)-MATCH($G$1,[2]stages!$2:$2,0)+1),MATCH(H$1,[2]stages!$2:$2,0)-MATCH($G$1,[2]stages!$2:$2,0)+1,FALSE)</f>
        <v>[超級] 第2回　※Wizと難易度は同じ</v>
      </c>
      <c r="I11" s="21">
        <v>4</v>
      </c>
      <c r="J11" s="12">
        <v>60</v>
      </c>
      <c r="K11" s="12">
        <v>60</v>
      </c>
      <c r="L11" s="69">
        <v>60001</v>
      </c>
      <c r="M11" s="69">
        <v>60001</v>
      </c>
      <c r="N11" s="69">
        <v>60001</v>
      </c>
    </row>
    <row r="12" spans="1:14" ht="21" customHeight="1">
      <c r="A12" s="16" t="str">
        <f t="shared" si="2"/>
        <v>60002_1-5</v>
      </c>
      <c r="B12" s="16" t="str">
        <f>IF(COUNTIF(enemy_habitats!$H:$H,A12),"OK","NG")</f>
        <v>OK</v>
      </c>
      <c r="C12" s="7">
        <v>60002</v>
      </c>
      <c r="D12" s="11" t="str">
        <f ca="1">VLOOKUP($C12,OFFSET([2]quests!$A$1,0,0,COUNTA([2]quests!$A:$A),MATCH(D$1,[2]quests!$1:$1,0)-MATCH($C$1,[2]quests!$1:$1,0)+1),MATCH(D$1,[2]quests!$1:$1,0)-MATCH($C$1,[2]quests!$1:$1,0)+1,FALSE)</f>
        <v>ヘンペルチャレンジ</v>
      </c>
      <c r="E12" s="18" t="str">
        <f ca="1">VLOOKUP($C12,OFFSET([2]quests!$A$1,0,0,COUNTA([2]quests!$A:$A),MATCH(E$1,[2]quests!$1:$1,0)-MATCH($C$1,[2]quests!$1:$1,0)+1),MATCH(E$1,[2]quests!$1:$1,0)-MATCH($C$1,[2]quests!$1:$1,0)+1,FALSE)</f>
        <v>ランキング1</v>
      </c>
      <c r="F12" s="21">
        <v>1</v>
      </c>
      <c r="G12" s="23" t="str">
        <f t="shared" si="3"/>
        <v>60002_1</v>
      </c>
      <c r="H12" s="15" t="str">
        <f ca="1">VLOOKUP($G12,OFFSET([2]stages!$A$1,0,0,COUNTA([2]stages!$A:$A),MATCH(H$1,[2]stages!$2:$2,0)-MATCH($G$1,[2]stages!$2:$2,0)+1),MATCH(H$1,[2]stages!$2:$2,0)-MATCH($G$1,[2]stages!$2:$2,0)+1,FALSE)</f>
        <v>[超級] 第2回　※Wizと難易度は同じ</v>
      </c>
      <c r="I12" s="21">
        <v>5</v>
      </c>
      <c r="J12" s="12">
        <v>60</v>
      </c>
      <c r="K12" s="12">
        <v>60</v>
      </c>
      <c r="L12" s="69">
        <v>60001</v>
      </c>
      <c r="M12" s="69">
        <v>60001</v>
      </c>
      <c r="N12" s="69">
        <v>60001</v>
      </c>
    </row>
    <row r="13" spans="1:14" ht="21" customHeight="1">
      <c r="A13" s="16" t="str">
        <f t="shared" si="2"/>
        <v>60002_1-6</v>
      </c>
      <c r="B13" s="16" t="str">
        <f>IF(COUNTIF(enemy_habitats!$H:$H,A13),"OK","NG")</f>
        <v>OK</v>
      </c>
      <c r="C13" s="7">
        <v>60002</v>
      </c>
      <c r="D13" s="11" t="str">
        <f ca="1">VLOOKUP($C13,OFFSET([2]quests!$A$1,0,0,COUNTA([2]quests!$A:$A),MATCH(D$1,[2]quests!$1:$1,0)-MATCH($C$1,[2]quests!$1:$1,0)+1),MATCH(D$1,[2]quests!$1:$1,0)-MATCH($C$1,[2]quests!$1:$1,0)+1,FALSE)</f>
        <v>ヘンペルチャレンジ</v>
      </c>
      <c r="E13" s="18" t="str">
        <f ca="1">VLOOKUP($C13,OFFSET([2]quests!$A$1,0,0,COUNTA([2]quests!$A:$A),MATCH(E$1,[2]quests!$1:$1,0)-MATCH($C$1,[2]quests!$1:$1,0)+1),MATCH(E$1,[2]quests!$1:$1,0)-MATCH($C$1,[2]quests!$1:$1,0)+1,FALSE)</f>
        <v>ランキング1</v>
      </c>
      <c r="F13" s="21">
        <v>1</v>
      </c>
      <c r="G13" s="23" t="str">
        <f t="shared" si="3"/>
        <v>60002_1</v>
      </c>
      <c r="H13" s="15" t="str">
        <f ca="1">VLOOKUP($G13,OFFSET([2]stages!$A$1,0,0,COUNTA([2]stages!$A:$A),MATCH(H$1,[2]stages!$2:$2,0)-MATCH($G$1,[2]stages!$2:$2,0)+1),MATCH(H$1,[2]stages!$2:$2,0)-MATCH($G$1,[2]stages!$2:$2,0)+1,FALSE)</f>
        <v>[超級] 第2回　※Wizと難易度は同じ</v>
      </c>
      <c r="I13" s="21">
        <v>6</v>
      </c>
      <c r="J13" s="12">
        <v>60</v>
      </c>
      <c r="K13" s="12">
        <v>60</v>
      </c>
      <c r="L13" s="69">
        <v>60001</v>
      </c>
      <c r="M13" s="69">
        <v>60001</v>
      </c>
      <c r="N13" s="69">
        <v>60001</v>
      </c>
    </row>
    <row r="14" spans="1:14" ht="21" customHeight="1">
      <c r="A14" s="16" t="str">
        <f>G14&amp;"-"&amp;I14</f>
        <v>60002_2-1</v>
      </c>
      <c r="B14" s="16" t="str">
        <f>IF(COUNTIF(enemy_habitats!$H:$H,A14),"OK","NG")</f>
        <v>OK</v>
      </c>
      <c r="C14" s="7">
        <v>60002</v>
      </c>
      <c r="D14" s="11" t="str">
        <f ca="1">VLOOKUP($C14,OFFSET([2]quests!$A$1,0,0,COUNTA([2]quests!$A:$A),MATCH(D$1,[2]quests!$1:$1,0)-MATCH($C$1,[2]quests!$1:$1,0)+1),MATCH(D$1,[2]quests!$1:$1,0)-MATCH($C$1,[2]quests!$1:$1,0)+1,FALSE)</f>
        <v>ヘンペルチャレンジ</v>
      </c>
      <c r="E14" s="18" t="str">
        <f ca="1">VLOOKUP($C14,OFFSET([2]quests!$A$1,0,0,COUNTA([2]quests!$A:$A),MATCH(E$1,[2]quests!$1:$1,0)-MATCH($C$1,[2]quests!$1:$1,0)+1),MATCH(E$1,[2]quests!$1:$1,0)-MATCH($C$1,[2]quests!$1:$1,0)+1,FALSE)</f>
        <v>ランキング1</v>
      </c>
      <c r="F14" s="21">
        <v>2</v>
      </c>
      <c r="G14" s="23" t="str">
        <f>C14&amp;"_"&amp;F14</f>
        <v>60002_2</v>
      </c>
      <c r="H14" s="15" t="str">
        <f ca="1">VLOOKUP($G14,OFFSET([2]stages!$A$1,0,0,COUNTA([2]stages!$A:$A),MATCH(H$1,[2]stages!$2:$2,0)-MATCH($G$1,[2]stages!$2:$2,0)+1),MATCH(H$1,[2]stages!$2:$2,0)-MATCH($G$1,[2]stages!$2:$2,0)+1,FALSE)</f>
        <v>[ウィザード] 第2回　※Wizと難易度は同じ</v>
      </c>
      <c r="I14" s="21">
        <v>1</v>
      </c>
      <c r="J14" s="12">
        <v>60</v>
      </c>
      <c r="K14" s="12">
        <v>60</v>
      </c>
      <c r="L14" s="69">
        <v>60001</v>
      </c>
      <c r="M14" s="69">
        <v>60001</v>
      </c>
      <c r="N14" s="69">
        <v>60001</v>
      </c>
    </row>
    <row r="15" spans="1:14" ht="21" customHeight="1">
      <c r="A15" s="16" t="str">
        <f t="shared" ref="A15:A19" si="4">G15&amp;"-"&amp;I15</f>
        <v>60002_2-2</v>
      </c>
      <c r="B15" s="16" t="str">
        <f>IF(COUNTIF(enemy_habitats!$H:$H,A15),"OK","NG")</f>
        <v>OK</v>
      </c>
      <c r="C15" s="7">
        <v>60002</v>
      </c>
      <c r="D15" s="11" t="str">
        <f ca="1">VLOOKUP($C15,OFFSET([2]quests!$A$1,0,0,COUNTA([2]quests!$A:$A),MATCH(D$1,[2]quests!$1:$1,0)-MATCH($C$1,[2]quests!$1:$1,0)+1),MATCH(D$1,[2]quests!$1:$1,0)-MATCH($C$1,[2]quests!$1:$1,0)+1,FALSE)</f>
        <v>ヘンペルチャレンジ</v>
      </c>
      <c r="E15" s="18" t="str">
        <f ca="1">VLOOKUP($C15,OFFSET([2]quests!$A$1,0,0,COUNTA([2]quests!$A:$A),MATCH(E$1,[2]quests!$1:$1,0)-MATCH($C$1,[2]quests!$1:$1,0)+1),MATCH(E$1,[2]quests!$1:$1,0)-MATCH($C$1,[2]quests!$1:$1,0)+1,FALSE)</f>
        <v>ランキング1</v>
      </c>
      <c r="F15" s="21">
        <v>2</v>
      </c>
      <c r="G15" s="23" t="str">
        <f t="shared" ref="G15:G19" si="5">C15&amp;"_"&amp;F15</f>
        <v>60002_2</v>
      </c>
      <c r="H15" s="15" t="str">
        <f ca="1">VLOOKUP($G15,OFFSET([2]stages!$A$1,0,0,COUNTA([2]stages!$A:$A),MATCH(H$1,[2]stages!$2:$2,0)-MATCH($G$1,[2]stages!$2:$2,0)+1),MATCH(H$1,[2]stages!$2:$2,0)-MATCH($G$1,[2]stages!$2:$2,0)+1,FALSE)</f>
        <v>[ウィザード] 第2回　※Wizと難易度は同じ</v>
      </c>
      <c r="I15" s="21">
        <v>2</v>
      </c>
      <c r="J15" s="12">
        <v>50</v>
      </c>
      <c r="K15" s="12">
        <v>50</v>
      </c>
      <c r="L15" s="69">
        <v>60001</v>
      </c>
      <c r="M15" s="69">
        <v>60001</v>
      </c>
      <c r="N15" s="69">
        <v>60001</v>
      </c>
    </row>
    <row r="16" spans="1:14" ht="21" customHeight="1">
      <c r="A16" s="16" t="str">
        <f t="shared" si="4"/>
        <v>60002_2-3</v>
      </c>
      <c r="B16" s="16" t="str">
        <f>IF(COUNTIF(enemy_habitats!$H:$H,A16),"OK","NG")</f>
        <v>OK</v>
      </c>
      <c r="C16" s="7">
        <v>60002</v>
      </c>
      <c r="D16" s="11" t="str">
        <f ca="1">VLOOKUP($C16,OFFSET([2]quests!$A$1,0,0,COUNTA([2]quests!$A:$A),MATCH(D$1,[2]quests!$1:$1,0)-MATCH($C$1,[2]quests!$1:$1,0)+1),MATCH(D$1,[2]quests!$1:$1,0)-MATCH($C$1,[2]quests!$1:$1,0)+1,FALSE)</f>
        <v>ヘンペルチャレンジ</v>
      </c>
      <c r="E16" s="18" t="str">
        <f ca="1">VLOOKUP($C16,OFFSET([2]quests!$A$1,0,0,COUNTA([2]quests!$A:$A),MATCH(E$1,[2]quests!$1:$1,0)-MATCH($C$1,[2]quests!$1:$1,0)+1),MATCH(E$1,[2]quests!$1:$1,0)-MATCH($C$1,[2]quests!$1:$1,0)+1,FALSE)</f>
        <v>ランキング1</v>
      </c>
      <c r="F16" s="21">
        <v>2</v>
      </c>
      <c r="G16" s="23" t="str">
        <f t="shared" si="5"/>
        <v>60002_2</v>
      </c>
      <c r="H16" s="15" t="str">
        <f ca="1">VLOOKUP($G16,OFFSET([2]stages!$A$1,0,0,COUNTA([2]stages!$A:$A),MATCH(H$1,[2]stages!$2:$2,0)-MATCH($G$1,[2]stages!$2:$2,0)+1),MATCH(H$1,[2]stages!$2:$2,0)-MATCH($G$1,[2]stages!$2:$2,0)+1,FALSE)</f>
        <v>[ウィザード] 第2回　※Wizと難易度は同じ</v>
      </c>
      <c r="I16" s="21">
        <v>3</v>
      </c>
      <c r="J16" s="12">
        <v>60</v>
      </c>
      <c r="K16" s="12">
        <v>60</v>
      </c>
      <c r="L16" s="69">
        <v>60001</v>
      </c>
      <c r="M16" s="69">
        <v>60001</v>
      </c>
      <c r="N16" s="69">
        <v>60001</v>
      </c>
    </row>
    <row r="17" spans="1:14" ht="21" customHeight="1">
      <c r="A17" s="16" t="str">
        <f t="shared" si="4"/>
        <v>60002_2-4</v>
      </c>
      <c r="B17" s="16" t="str">
        <f>IF(COUNTIF(enemy_habitats!$H:$H,A17),"OK","NG")</f>
        <v>OK</v>
      </c>
      <c r="C17" s="7">
        <v>60002</v>
      </c>
      <c r="D17" s="11" t="str">
        <f ca="1">VLOOKUP($C17,OFFSET([2]quests!$A$1,0,0,COUNTA([2]quests!$A:$A),MATCH(D$1,[2]quests!$1:$1,0)-MATCH($C$1,[2]quests!$1:$1,0)+1),MATCH(D$1,[2]quests!$1:$1,0)-MATCH($C$1,[2]quests!$1:$1,0)+1,FALSE)</f>
        <v>ヘンペルチャレンジ</v>
      </c>
      <c r="E17" s="18" t="str">
        <f ca="1">VLOOKUP($C17,OFFSET([2]quests!$A$1,0,0,COUNTA([2]quests!$A:$A),MATCH(E$1,[2]quests!$1:$1,0)-MATCH($C$1,[2]quests!$1:$1,0)+1),MATCH(E$1,[2]quests!$1:$1,0)-MATCH($C$1,[2]quests!$1:$1,0)+1,FALSE)</f>
        <v>ランキング1</v>
      </c>
      <c r="F17" s="21">
        <v>2</v>
      </c>
      <c r="G17" s="23" t="str">
        <f t="shared" si="5"/>
        <v>60002_2</v>
      </c>
      <c r="H17" s="15" t="str">
        <f ca="1">VLOOKUP($G17,OFFSET([2]stages!$A$1,0,0,COUNTA([2]stages!$A:$A),MATCH(H$1,[2]stages!$2:$2,0)-MATCH($G$1,[2]stages!$2:$2,0)+1),MATCH(H$1,[2]stages!$2:$2,0)-MATCH($G$1,[2]stages!$2:$2,0)+1,FALSE)</f>
        <v>[ウィザード] 第2回　※Wizと難易度は同じ</v>
      </c>
      <c r="I17" s="21">
        <v>4</v>
      </c>
      <c r="J17" s="12">
        <v>60</v>
      </c>
      <c r="K17" s="12">
        <v>60</v>
      </c>
      <c r="L17" s="69">
        <v>60001</v>
      </c>
      <c r="M17" s="69">
        <v>60001</v>
      </c>
      <c r="N17" s="69">
        <v>60001</v>
      </c>
    </row>
    <row r="18" spans="1:14" ht="21" customHeight="1">
      <c r="A18" s="16" t="str">
        <f t="shared" si="4"/>
        <v>60002_2-5</v>
      </c>
      <c r="B18" s="16" t="str">
        <f>IF(COUNTIF(enemy_habitats!$H:$H,A18),"OK","NG")</f>
        <v>OK</v>
      </c>
      <c r="C18" s="7">
        <v>60002</v>
      </c>
      <c r="D18" s="11" t="str">
        <f ca="1">VLOOKUP($C18,OFFSET([2]quests!$A$1,0,0,COUNTA([2]quests!$A:$A),MATCH(D$1,[2]quests!$1:$1,0)-MATCH($C$1,[2]quests!$1:$1,0)+1),MATCH(D$1,[2]quests!$1:$1,0)-MATCH($C$1,[2]quests!$1:$1,0)+1,FALSE)</f>
        <v>ヘンペルチャレンジ</v>
      </c>
      <c r="E18" s="18" t="str">
        <f ca="1">VLOOKUP($C18,OFFSET([2]quests!$A$1,0,0,COUNTA([2]quests!$A:$A),MATCH(E$1,[2]quests!$1:$1,0)-MATCH($C$1,[2]quests!$1:$1,0)+1),MATCH(E$1,[2]quests!$1:$1,0)-MATCH($C$1,[2]quests!$1:$1,0)+1,FALSE)</f>
        <v>ランキング1</v>
      </c>
      <c r="F18" s="21">
        <v>2</v>
      </c>
      <c r="G18" s="23" t="str">
        <f t="shared" si="5"/>
        <v>60002_2</v>
      </c>
      <c r="H18" s="15" t="str">
        <f ca="1">VLOOKUP($G18,OFFSET([2]stages!$A$1,0,0,COUNTA([2]stages!$A:$A),MATCH(H$1,[2]stages!$2:$2,0)-MATCH($G$1,[2]stages!$2:$2,0)+1),MATCH(H$1,[2]stages!$2:$2,0)-MATCH($G$1,[2]stages!$2:$2,0)+1,FALSE)</f>
        <v>[ウィザード] 第2回　※Wizと難易度は同じ</v>
      </c>
      <c r="I18" s="21">
        <v>5</v>
      </c>
      <c r="J18" s="12">
        <v>60</v>
      </c>
      <c r="K18" s="12">
        <v>60</v>
      </c>
      <c r="L18" s="69">
        <v>60001</v>
      </c>
      <c r="M18" s="69">
        <v>60001</v>
      </c>
      <c r="N18" s="69">
        <v>60001</v>
      </c>
    </row>
    <row r="19" spans="1:14" ht="21" customHeight="1">
      <c r="A19" s="16" t="str">
        <f t="shared" si="4"/>
        <v>60002_2-6</v>
      </c>
      <c r="B19" s="16" t="str">
        <f>IF(COUNTIF(enemy_habitats!$H:$H,A19),"OK","NG")</f>
        <v>OK</v>
      </c>
      <c r="C19" s="7">
        <v>60002</v>
      </c>
      <c r="D19" s="11" t="str">
        <f ca="1">VLOOKUP($C19,OFFSET([2]quests!$A$1,0,0,COUNTA([2]quests!$A:$A),MATCH(D$1,[2]quests!$1:$1,0)-MATCH($C$1,[2]quests!$1:$1,0)+1),MATCH(D$1,[2]quests!$1:$1,0)-MATCH($C$1,[2]quests!$1:$1,0)+1,FALSE)</f>
        <v>ヘンペルチャレンジ</v>
      </c>
      <c r="E19" s="18" t="str">
        <f ca="1">VLOOKUP($C19,OFFSET([2]quests!$A$1,0,0,COUNTA([2]quests!$A:$A),MATCH(E$1,[2]quests!$1:$1,0)-MATCH($C$1,[2]quests!$1:$1,0)+1),MATCH(E$1,[2]quests!$1:$1,0)-MATCH($C$1,[2]quests!$1:$1,0)+1,FALSE)</f>
        <v>ランキング1</v>
      </c>
      <c r="F19" s="21">
        <v>2</v>
      </c>
      <c r="G19" s="23" t="str">
        <f t="shared" si="5"/>
        <v>60002_2</v>
      </c>
      <c r="H19" s="15" t="str">
        <f ca="1">VLOOKUP($G19,OFFSET([2]stages!$A$1,0,0,COUNTA([2]stages!$A:$A),MATCH(H$1,[2]stages!$2:$2,0)-MATCH($G$1,[2]stages!$2:$2,0)+1),MATCH(H$1,[2]stages!$2:$2,0)-MATCH($G$1,[2]stages!$2:$2,0)+1,FALSE)</f>
        <v>[ウィザード] 第2回　※Wizと難易度は同じ</v>
      </c>
      <c r="I19" s="21">
        <v>6</v>
      </c>
      <c r="J19" s="12">
        <v>60</v>
      </c>
      <c r="K19" s="12">
        <v>60</v>
      </c>
      <c r="L19" s="69">
        <v>60001</v>
      </c>
      <c r="M19" s="69">
        <v>60001</v>
      </c>
      <c r="N19" s="69">
        <v>60001</v>
      </c>
    </row>
    <row r="20" spans="1:14" ht="21" customHeight="1">
      <c r="A20" s="16" t="str">
        <f>G20&amp;"-"&amp;I20</f>
        <v>60003_1-1</v>
      </c>
      <c r="B20" s="16" t="str">
        <f>IF(COUNTIF(enemy_habitats!$H:$H,A20),"OK","NG")</f>
        <v>OK</v>
      </c>
      <c r="C20" s="7">
        <v>60003</v>
      </c>
      <c r="D20" s="11" t="str">
        <f ca="1">VLOOKUP($C20,OFFSET([2]quests!$A$1,0,0,COUNTA([2]quests!$A:$A),MATCH(D$1,[2]quests!$1:$1,0)-MATCH($C$1,[2]quests!$1:$1,0)+1),MATCH(D$1,[2]quests!$1:$1,0)-MATCH($C$1,[2]quests!$1:$1,0)+1,FALSE)</f>
        <v>ヘンペルチャレンジ</v>
      </c>
      <c r="E20" s="18" t="str">
        <f ca="1">VLOOKUP($C20,OFFSET([2]quests!$A$1,0,0,COUNTA([2]quests!$A:$A),MATCH(E$1,[2]quests!$1:$1,0)-MATCH($C$1,[2]quests!$1:$1,0)+1),MATCH(E$1,[2]quests!$1:$1,0)-MATCH($C$1,[2]quests!$1:$1,0)+1,FALSE)</f>
        <v>ランキング1</v>
      </c>
      <c r="F20" s="21">
        <v>1</v>
      </c>
      <c r="G20" s="23" t="str">
        <f>C20&amp;"_"&amp;F20</f>
        <v>60003_1</v>
      </c>
      <c r="H20" s="15" t="str">
        <f ca="1">VLOOKUP($G20,OFFSET([2]stages!$A$1,0,0,COUNTA([2]stages!$A:$A),MATCH(H$1,[2]stages!$2:$2,0)-MATCH($G$1,[2]stages!$2:$2,0)+1),MATCH(H$1,[2]stages!$2:$2,0)-MATCH($G$1,[2]stages!$2:$2,0)+1,FALSE)</f>
        <v>[中級] 第3回　</v>
      </c>
      <c r="I20" s="21">
        <v>1</v>
      </c>
      <c r="J20" s="12">
        <v>60</v>
      </c>
      <c r="K20" s="12">
        <v>60</v>
      </c>
      <c r="L20" s="69">
        <v>60001</v>
      </c>
      <c r="M20" s="69">
        <v>60001</v>
      </c>
      <c r="N20" s="69">
        <v>60001</v>
      </c>
    </row>
    <row r="21" spans="1:14" ht="21" customHeight="1">
      <c r="A21" s="16" t="str">
        <f t="shared" ref="A21:A25" si="6">G21&amp;"-"&amp;I21</f>
        <v>60003_1-2</v>
      </c>
      <c r="B21" s="16" t="str">
        <f>IF(COUNTIF(enemy_habitats!$H:$H,A21),"OK","NG")</f>
        <v>OK</v>
      </c>
      <c r="C21" s="7">
        <v>60003</v>
      </c>
      <c r="D21" s="11" t="str">
        <f ca="1">VLOOKUP($C21,OFFSET([2]quests!$A$1,0,0,COUNTA([2]quests!$A:$A),MATCH(D$1,[2]quests!$1:$1,0)-MATCH($C$1,[2]quests!$1:$1,0)+1),MATCH(D$1,[2]quests!$1:$1,0)-MATCH($C$1,[2]quests!$1:$1,0)+1,FALSE)</f>
        <v>ヘンペルチャレンジ</v>
      </c>
      <c r="E21" s="18" t="str">
        <f ca="1">VLOOKUP($C21,OFFSET([2]quests!$A$1,0,0,COUNTA([2]quests!$A:$A),MATCH(E$1,[2]quests!$1:$1,0)-MATCH($C$1,[2]quests!$1:$1,0)+1),MATCH(E$1,[2]quests!$1:$1,0)-MATCH($C$1,[2]quests!$1:$1,0)+1,FALSE)</f>
        <v>ランキング1</v>
      </c>
      <c r="F21" s="21">
        <v>1</v>
      </c>
      <c r="G21" s="23" t="str">
        <f t="shared" ref="G21:G25" si="7">C21&amp;"_"&amp;F21</f>
        <v>60003_1</v>
      </c>
      <c r="H21" s="15" t="str">
        <f ca="1">VLOOKUP($G21,OFFSET([2]stages!$A$1,0,0,COUNTA([2]stages!$A:$A),MATCH(H$1,[2]stages!$2:$2,0)-MATCH($G$1,[2]stages!$2:$2,0)+1),MATCH(H$1,[2]stages!$2:$2,0)-MATCH($G$1,[2]stages!$2:$2,0)+1,FALSE)</f>
        <v>[中級] 第3回　</v>
      </c>
      <c r="I21" s="21">
        <v>2</v>
      </c>
      <c r="J21" s="12">
        <v>50</v>
      </c>
      <c r="K21" s="12">
        <v>50</v>
      </c>
      <c r="L21" s="69">
        <v>60001</v>
      </c>
      <c r="M21" s="69">
        <v>60001</v>
      </c>
      <c r="N21" s="69">
        <v>60001</v>
      </c>
    </row>
    <row r="22" spans="1:14" ht="21" customHeight="1">
      <c r="A22" s="16" t="str">
        <f t="shared" si="6"/>
        <v>60003_1-3</v>
      </c>
      <c r="B22" s="16" t="str">
        <f>IF(COUNTIF(enemy_habitats!$H:$H,A22),"OK","NG")</f>
        <v>OK</v>
      </c>
      <c r="C22" s="7">
        <v>60003</v>
      </c>
      <c r="D22" s="11" t="str">
        <f ca="1">VLOOKUP($C22,OFFSET([2]quests!$A$1,0,0,COUNTA([2]quests!$A:$A),MATCH(D$1,[2]quests!$1:$1,0)-MATCH($C$1,[2]quests!$1:$1,0)+1),MATCH(D$1,[2]quests!$1:$1,0)-MATCH($C$1,[2]quests!$1:$1,0)+1,FALSE)</f>
        <v>ヘンペルチャレンジ</v>
      </c>
      <c r="E22" s="18" t="str">
        <f ca="1">VLOOKUP($C22,OFFSET([2]quests!$A$1,0,0,COUNTA([2]quests!$A:$A),MATCH(E$1,[2]quests!$1:$1,0)-MATCH($C$1,[2]quests!$1:$1,0)+1),MATCH(E$1,[2]quests!$1:$1,0)-MATCH($C$1,[2]quests!$1:$1,0)+1,FALSE)</f>
        <v>ランキング1</v>
      </c>
      <c r="F22" s="21">
        <v>1</v>
      </c>
      <c r="G22" s="23" t="str">
        <f t="shared" si="7"/>
        <v>60003_1</v>
      </c>
      <c r="H22" s="15" t="str">
        <f ca="1">VLOOKUP($G22,OFFSET([2]stages!$A$1,0,0,COUNTA([2]stages!$A:$A),MATCH(H$1,[2]stages!$2:$2,0)-MATCH($G$1,[2]stages!$2:$2,0)+1),MATCH(H$1,[2]stages!$2:$2,0)-MATCH($G$1,[2]stages!$2:$2,0)+1,FALSE)</f>
        <v>[中級] 第3回　</v>
      </c>
      <c r="I22" s="21">
        <v>3</v>
      </c>
      <c r="J22" s="12">
        <v>60</v>
      </c>
      <c r="K22" s="12">
        <v>60</v>
      </c>
      <c r="L22" s="69">
        <v>60001</v>
      </c>
      <c r="M22" s="69">
        <v>60001</v>
      </c>
      <c r="N22" s="69">
        <v>60001</v>
      </c>
    </row>
    <row r="23" spans="1:14" ht="21" customHeight="1">
      <c r="A23" s="16" t="str">
        <f t="shared" si="6"/>
        <v>60003_1-4</v>
      </c>
      <c r="B23" s="16" t="str">
        <f>IF(COUNTIF(enemy_habitats!$H:$H,A23),"OK","NG")</f>
        <v>OK</v>
      </c>
      <c r="C23" s="7">
        <v>60003</v>
      </c>
      <c r="D23" s="11" t="str">
        <f ca="1">VLOOKUP($C23,OFFSET([2]quests!$A$1,0,0,COUNTA([2]quests!$A:$A),MATCH(D$1,[2]quests!$1:$1,0)-MATCH($C$1,[2]quests!$1:$1,0)+1),MATCH(D$1,[2]quests!$1:$1,0)-MATCH($C$1,[2]quests!$1:$1,0)+1,FALSE)</f>
        <v>ヘンペルチャレンジ</v>
      </c>
      <c r="E23" s="18" t="str">
        <f ca="1">VLOOKUP($C23,OFFSET([2]quests!$A$1,0,0,COUNTA([2]quests!$A:$A),MATCH(E$1,[2]quests!$1:$1,0)-MATCH($C$1,[2]quests!$1:$1,0)+1),MATCH(E$1,[2]quests!$1:$1,0)-MATCH($C$1,[2]quests!$1:$1,0)+1,FALSE)</f>
        <v>ランキング1</v>
      </c>
      <c r="F23" s="21">
        <v>1</v>
      </c>
      <c r="G23" s="23" t="str">
        <f t="shared" si="7"/>
        <v>60003_1</v>
      </c>
      <c r="H23" s="15" t="str">
        <f ca="1">VLOOKUP($G23,OFFSET([2]stages!$A$1,0,0,COUNTA([2]stages!$A:$A),MATCH(H$1,[2]stages!$2:$2,0)-MATCH($G$1,[2]stages!$2:$2,0)+1),MATCH(H$1,[2]stages!$2:$2,0)-MATCH($G$1,[2]stages!$2:$2,0)+1,FALSE)</f>
        <v>[中級] 第3回　</v>
      </c>
      <c r="I23" s="21">
        <v>4</v>
      </c>
      <c r="J23" s="12">
        <v>60</v>
      </c>
      <c r="K23" s="12">
        <v>60</v>
      </c>
      <c r="L23" s="69">
        <v>60001</v>
      </c>
      <c r="M23" s="69">
        <v>60001</v>
      </c>
      <c r="N23" s="69">
        <v>60001</v>
      </c>
    </row>
    <row r="24" spans="1:14" ht="21" customHeight="1">
      <c r="A24" s="16" t="str">
        <f t="shared" si="6"/>
        <v>60003_1-5</v>
      </c>
      <c r="B24" s="16" t="str">
        <f>IF(COUNTIF(enemy_habitats!$H:$H,A24),"OK","NG")</f>
        <v>OK</v>
      </c>
      <c r="C24" s="7">
        <v>60003</v>
      </c>
      <c r="D24" s="11" t="str">
        <f ca="1">VLOOKUP($C24,OFFSET([2]quests!$A$1,0,0,COUNTA([2]quests!$A:$A),MATCH(D$1,[2]quests!$1:$1,0)-MATCH($C$1,[2]quests!$1:$1,0)+1),MATCH(D$1,[2]quests!$1:$1,0)-MATCH($C$1,[2]quests!$1:$1,0)+1,FALSE)</f>
        <v>ヘンペルチャレンジ</v>
      </c>
      <c r="E24" s="18" t="str">
        <f ca="1">VLOOKUP($C24,OFFSET([2]quests!$A$1,0,0,COUNTA([2]quests!$A:$A),MATCH(E$1,[2]quests!$1:$1,0)-MATCH($C$1,[2]quests!$1:$1,0)+1),MATCH(E$1,[2]quests!$1:$1,0)-MATCH($C$1,[2]quests!$1:$1,0)+1,FALSE)</f>
        <v>ランキング1</v>
      </c>
      <c r="F24" s="21">
        <v>1</v>
      </c>
      <c r="G24" s="23" t="str">
        <f t="shared" si="7"/>
        <v>60003_1</v>
      </c>
      <c r="H24" s="15" t="str">
        <f ca="1">VLOOKUP($G24,OFFSET([2]stages!$A$1,0,0,COUNTA([2]stages!$A:$A),MATCH(H$1,[2]stages!$2:$2,0)-MATCH($G$1,[2]stages!$2:$2,0)+1),MATCH(H$1,[2]stages!$2:$2,0)-MATCH($G$1,[2]stages!$2:$2,0)+1,FALSE)</f>
        <v>[中級] 第3回　</v>
      </c>
      <c r="I24" s="21">
        <v>5</v>
      </c>
      <c r="J24" s="12">
        <v>60</v>
      </c>
      <c r="K24" s="12">
        <v>60</v>
      </c>
      <c r="L24" s="69">
        <v>60001</v>
      </c>
      <c r="M24" s="69">
        <v>60001</v>
      </c>
      <c r="N24" s="69">
        <v>60001</v>
      </c>
    </row>
    <row r="25" spans="1:14" ht="21" customHeight="1">
      <c r="A25" s="16" t="str">
        <f t="shared" si="6"/>
        <v>60003_1-6</v>
      </c>
      <c r="B25" s="16" t="str">
        <f>IF(COUNTIF(enemy_habitats!$H:$H,A25),"OK","NG")</f>
        <v>OK</v>
      </c>
      <c r="C25" s="7">
        <v>60003</v>
      </c>
      <c r="D25" s="11" t="str">
        <f ca="1">VLOOKUP($C25,OFFSET([2]quests!$A$1,0,0,COUNTA([2]quests!$A:$A),MATCH(D$1,[2]quests!$1:$1,0)-MATCH($C$1,[2]quests!$1:$1,0)+1),MATCH(D$1,[2]quests!$1:$1,0)-MATCH($C$1,[2]quests!$1:$1,0)+1,FALSE)</f>
        <v>ヘンペルチャレンジ</v>
      </c>
      <c r="E25" s="18" t="str">
        <f ca="1">VLOOKUP($C25,OFFSET([2]quests!$A$1,0,0,COUNTA([2]quests!$A:$A),MATCH(E$1,[2]quests!$1:$1,0)-MATCH($C$1,[2]quests!$1:$1,0)+1),MATCH(E$1,[2]quests!$1:$1,0)-MATCH($C$1,[2]quests!$1:$1,0)+1,FALSE)</f>
        <v>ランキング1</v>
      </c>
      <c r="F25" s="21">
        <v>1</v>
      </c>
      <c r="G25" s="23" t="str">
        <f t="shared" si="7"/>
        <v>60003_1</v>
      </c>
      <c r="H25" s="15" t="str">
        <f ca="1">VLOOKUP($G25,OFFSET([2]stages!$A$1,0,0,COUNTA([2]stages!$A:$A),MATCH(H$1,[2]stages!$2:$2,0)-MATCH($G$1,[2]stages!$2:$2,0)+1),MATCH(H$1,[2]stages!$2:$2,0)-MATCH($G$1,[2]stages!$2:$2,0)+1,FALSE)</f>
        <v>[中級] 第3回　</v>
      </c>
      <c r="I25" s="21">
        <v>6</v>
      </c>
      <c r="J25" s="12">
        <v>60</v>
      </c>
      <c r="K25" s="12">
        <v>60</v>
      </c>
      <c r="L25" s="69">
        <v>60001</v>
      </c>
      <c r="M25" s="69">
        <v>60001</v>
      </c>
      <c r="N25" s="69">
        <v>60001</v>
      </c>
    </row>
    <row r="26" spans="1:14" ht="21" customHeight="1">
      <c r="A26" s="16" t="str">
        <f>G26&amp;"-"&amp;I26</f>
        <v>60003_2-1</v>
      </c>
      <c r="B26" s="16" t="str">
        <f>IF(COUNTIF(enemy_habitats!$H:$H,A26),"OK","NG")</f>
        <v>OK</v>
      </c>
      <c r="C26" s="7">
        <v>60003</v>
      </c>
      <c r="D26" s="11" t="str">
        <f ca="1">VLOOKUP($C26,OFFSET([2]quests!$A$1,0,0,COUNTA([2]quests!$A:$A),MATCH(D$1,[2]quests!$1:$1,0)-MATCH($C$1,[2]quests!$1:$1,0)+1),MATCH(D$1,[2]quests!$1:$1,0)-MATCH($C$1,[2]quests!$1:$1,0)+1,FALSE)</f>
        <v>ヘンペルチャレンジ</v>
      </c>
      <c r="E26" s="18" t="str">
        <f ca="1">VLOOKUP($C26,OFFSET([2]quests!$A$1,0,0,COUNTA([2]quests!$A:$A),MATCH(E$1,[2]quests!$1:$1,0)-MATCH($C$1,[2]quests!$1:$1,0)+1),MATCH(E$1,[2]quests!$1:$1,0)-MATCH($C$1,[2]quests!$1:$1,0)+1,FALSE)</f>
        <v>ランキング1</v>
      </c>
      <c r="F26" s="21">
        <v>2</v>
      </c>
      <c r="G26" s="23" t="str">
        <f>C26&amp;"_"&amp;F26</f>
        <v>60003_2</v>
      </c>
      <c r="H26" s="15" t="str">
        <f ca="1">VLOOKUP($G26,OFFSET([2]stages!$A$1,0,0,COUNTA([2]stages!$A:$A),MATCH(H$1,[2]stages!$2:$2,0)-MATCH($G$1,[2]stages!$2:$2,0)+1),MATCH(H$1,[2]stages!$2:$2,0)-MATCH($G$1,[2]stages!$2:$2,0)+1,FALSE)</f>
        <v>[超級] 第3回　</v>
      </c>
      <c r="I26" s="21">
        <v>1</v>
      </c>
      <c r="J26" s="12">
        <v>60</v>
      </c>
      <c r="K26" s="12">
        <v>60</v>
      </c>
      <c r="L26" s="69">
        <v>60001</v>
      </c>
      <c r="M26" s="69">
        <v>60001</v>
      </c>
      <c r="N26" s="69">
        <v>60001</v>
      </c>
    </row>
    <row r="27" spans="1:14" ht="21" customHeight="1">
      <c r="A27" s="16" t="str">
        <f t="shared" ref="A27:A31" si="8">G27&amp;"-"&amp;I27</f>
        <v>60003_2-2</v>
      </c>
      <c r="B27" s="16" t="str">
        <f>IF(COUNTIF(enemy_habitats!$H:$H,A27),"OK","NG")</f>
        <v>OK</v>
      </c>
      <c r="C27" s="7">
        <v>60003</v>
      </c>
      <c r="D27" s="11" t="str">
        <f ca="1">VLOOKUP($C27,OFFSET([2]quests!$A$1,0,0,COUNTA([2]quests!$A:$A),MATCH(D$1,[2]quests!$1:$1,0)-MATCH($C$1,[2]quests!$1:$1,0)+1),MATCH(D$1,[2]quests!$1:$1,0)-MATCH($C$1,[2]quests!$1:$1,0)+1,FALSE)</f>
        <v>ヘンペルチャレンジ</v>
      </c>
      <c r="E27" s="18" t="str">
        <f ca="1">VLOOKUP($C27,OFFSET([2]quests!$A$1,0,0,COUNTA([2]quests!$A:$A),MATCH(E$1,[2]quests!$1:$1,0)-MATCH($C$1,[2]quests!$1:$1,0)+1),MATCH(E$1,[2]quests!$1:$1,0)-MATCH($C$1,[2]quests!$1:$1,0)+1,FALSE)</f>
        <v>ランキング1</v>
      </c>
      <c r="F27" s="21">
        <v>2</v>
      </c>
      <c r="G27" s="23" t="str">
        <f t="shared" ref="G27:G31" si="9">C27&amp;"_"&amp;F27</f>
        <v>60003_2</v>
      </c>
      <c r="H27" s="15" t="str">
        <f ca="1">VLOOKUP($G27,OFFSET([2]stages!$A$1,0,0,COUNTA([2]stages!$A:$A),MATCH(H$1,[2]stages!$2:$2,0)-MATCH($G$1,[2]stages!$2:$2,0)+1),MATCH(H$1,[2]stages!$2:$2,0)-MATCH($G$1,[2]stages!$2:$2,0)+1,FALSE)</f>
        <v>[超級] 第3回　</v>
      </c>
      <c r="I27" s="21">
        <v>2</v>
      </c>
      <c r="J27" s="12">
        <v>50</v>
      </c>
      <c r="K27" s="12">
        <v>50</v>
      </c>
      <c r="L27" s="69">
        <v>60001</v>
      </c>
      <c r="M27" s="69">
        <v>60001</v>
      </c>
      <c r="N27" s="69">
        <v>60001</v>
      </c>
    </row>
    <row r="28" spans="1:14" ht="21" customHeight="1">
      <c r="A28" s="16" t="str">
        <f t="shared" si="8"/>
        <v>60003_2-3</v>
      </c>
      <c r="B28" s="16" t="str">
        <f>IF(COUNTIF(enemy_habitats!$H:$H,A28),"OK","NG")</f>
        <v>OK</v>
      </c>
      <c r="C28" s="7">
        <v>60003</v>
      </c>
      <c r="D28" s="11" t="str">
        <f ca="1">VLOOKUP($C28,OFFSET([2]quests!$A$1,0,0,COUNTA([2]quests!$A:$A),MATCH(D$1,[2]quests!$1:$1,0)-MATCH($C$1,[2]quests!$1:$1,0)+1),MATCH(D$1,[2]quests!$1:$1,0)-MATCH($C$1,[2]quests!$1:$1,0)+1,FALSE)</f>
        <v>ヘンペルチャレンジ</v>
      </c>
      <c r="E28" s="18" t="str">
        <f ca="1">VLOOKUP($C28,OFFSET([2]quests!$A$1,0,0,COUNTA([2]quests!$A:$A),MATCH(E$1,[2]quests!$1:$1,0)-MATCH($C$1,[2]quests!$1:$1,0)+1),MATCH(E$1,[2]quests!$1:$1,0)-MATCH($C$1,[2]quests!$1:$1,0)+1,FALSE)</f>
        <v>ランキング1</v>
      </c>
      <c r="F28" s="21">
        <v>2</v>
      </c>
      <c r="G28" s="23" t="str">
        <f t="shared" si="9"/>
        <v>60003_2</v>
      </c>
      <c r="H28" s="15" t="str">
        <f ca="1">VLOOKUP($G28,OFFSET([2]stages!$A$1,0,0,COUNTA([2]stages!$A:$A),MATCH(H$1,[2]stages!$2:$2,0)-MATCH($G$1,[2]stages!$2:$2,0)+1),MATCH(H$1,[2]stages!$2:$2,0)-MATCH($G$1,[2]stages!$2:$2,0)+1,FALSE)</f>
        <v>[超級] 第3回　</v>
      </c>
      <c r="I28" s="21">
        <v>3</v>
      </c>
      <c r="J28" s="12">
        <v>60</v>
      </c>
      <c r="K28" s="12">
        <v>60</v>
      </c>
      <c r="L28" s="69">
        <v>60001</v>
      </c>
      <c r="M28" s="69">
        <v>60001</v>
      </c>
      <c r="N28" s="69">
        <v>60001</v>
      </c>
    </row>
    <row r="29" spans="1:14" ht="21" customHeight="1">
      <c r="A29" s="16" t="str">
        <f t="shared" si="8"/>
        <v>60003_2-4</v>
      </c>
      <c r="B29" s="16" t="str">
        <f>IF(COUNTIF(enemy_habitats!$H:$H,A29),"OK","NG")</f>
        <v>OK</v>
      </c>
      <c r="C29" s="7">
        <v>60003</v>
      </c>
      <c r="D29" s="11" t="str">
        <f ca="1">VLOOKUP($C29,OFFSET([2]quests!$A$1,0,0,COUNTA([2]quests!$A:$A),MATCH(D$1,[2]quests!$1:$1,0)-MATCH($C$1,[2]quests!$1:$1,0)+1),MATCH(D$1,[2]quests!$1:$1,0)-MATCH($C$1,[2]quests!$1:$1,0)+1,FALSE)</f>
        <v>ヘンペルチャレンジ</v>
      </c>
      <c r="E29" s="18" t="str">
        <f ca="1">VLOOKUP($C29,OFFSET([2]quests!$A$1,0,0,COUNTA([2]quests!$A:$A),MATCH(E$1,[2]quests!$1:$1,0)-MATCH($C$1,[2]quests!$1:$1,0)+1),MATCH(E$1,[2]quests!$1:$1,0)-MATCH($C$1,[2]quests!$1:$1,0)+1,FALSE)</f>
        <v>ランキング1</v>
      </c>
      <c r="F29" s="21">
        <v>2</v>
      </c>
      <c r="G29" s="23" t="str">
        <f t="shared" si="9"/>
        <v>60003_2</v>
      </c>
      <c r="H29" s="15" t="str">
        <f ca="1">VLOOKUP($G29,OFFSET([2]stages!$A$1,0,0,COUNTA([2]stages!$A:$A),MATCH(H$1,[2]stages!$2:$2,0)-MATCH($G$1,[2]stages!$2:$2,0)+1),MATCH(H$1,[2]stages!$2:$2,0)-MATCH($G$1,[2]stages!$2:$2,0)+1,FALSE)</f>
        <v>[超級] 第3回　</v>
      </c>
      <c r="I29" s="21">
        <v>4</v>
      </c>
      <c r="J29" s="12">
        <v>60</v>
      </c>
      <c r="K29" s="12">
        <v>60</v>
      </c>
      <c r="L29" s="69">
        <v>60001</v>
      </c>
      <c r="M29" s="69">
        <v>60001</v>
      </c>
      <c r="N29" s="69">
        <v>60001</v>
      </c>
    </row>
    <row r="30" spans="1:14" ht="21" customHeight="1">
      <c r="A30" s="16" t="str">
        <f t="shared" si="8"/>
        <v>60003_2-5</v>
      </c>
      <c r="B30" s="16" t="str">
        <f>IF(COUNTIF(enemy_habitats!$H:$H,A30),"OK","NG")</f>
        <v>OK</v>
      </c>
      <c r="C30" s="7">
        <v>60003</v>
      </c>
      <c r="D30" s="11" t="str">
        <f ca="1">VLOOKUP($C30,OFFSET([2]quests!$A$1,0,0,COUNTA([2]quests!$A:$A),MATCH(D$1,[2]quests!$1:$1,0)-MATCH($C$1,[2]quests!$1:$1,0)+1),MATCH(D$1,[2]quests!$1:$1,0)-MATCH($C$1,[2]quests!$1:$1,0)+1,FALSE)</f>
        <v>ヘンペルチャレンジ</v>
      </c>
      <c r="E30" s="18" t="str">
        <f ca="1">VLOOKUP($C30,OFFSET([2]quests!$A$1,0,0,COUNTA([2]quests!$A:$A),MATCH(E$1,[2]quests!$1:$1,0)-MATCH($C$1,[2]quests!$1:$1,0)+1),MATCH(E$1,[2]quests!$1:$1,0)-MATCH($C$1,[2]quests!$1:$1,0)+1,FALSE)</f>
        <v>ランキング1</v>
      </c>
      <c r="F30" s="21">
        <v>2</v>
      </c>
      <c r="G30" s="23" t="str">
        <f t="shared" si="9"/>
        <v>60003_2</v>
      </c>
      <c r="H30" s="15" t="str">
        <f ca="1">VLOOKUP($G30,OFFSET([2]stages!$A$1,0,0,COUNTA([2]stages!$A:$A),MATCH(H$1,[2]stages!$2:$2,0)-MATCH($G$1,[2]stages!$2:$2,0)+1),MATCH(H$1,[2]stages!$2:$2,0)-MATCH($G$1,[2]stages!$2:$2,0)+1,FALSE)</f>
        <v>[超級] 第3回　</v>
      </c>
      <c r="I30" s="21">
        <v>5</v>
      </c>
      <c r="J30" s="12">
        <v>60</v>
      </c>
      <c r="K30" s="12">
        <v>60</v>
      </c>
      <c r="L30" s="69">
        <v>60001</v>
      </c>
      <c r="M30" s="69">
        <v>60001</v>
      </c>
      <c r="N30" s="69">
        <v>60001</v>
      </c>
    </row>
    <row r="31" spans="1:14" ht="21" customHeight="1">
      <c r="A31" s="16" t="str">
        <f t="shared" si="8"/>
        <v>60003_2-6</v>
      </c>
      <c r="B31" s="16" t="str">
        <f>IF(COUNTIF(enemy_habitats!$H:$H,A31),"OK","NG")</f>
        <v>OK</v>
      </c>
      <c r="C31" s="7">
        <v>60003</v>
      </c>
      <c r="D31" s="11" t="str">
        <f ca="1">VLOOKUP($C31,OFFSET([2]quests!$A$1,0,0,COUNTA([2]quests!$A:$A),MATCH(D$1,[2]quests!$1:$1,0)-MATCH($C$1,[2]quests!$1:$1,0)+1),MATCH(D$1,[2]quests!$1:$1,0)-MATCH($C$1,[2]quests!$1:$1,0)+1,FALSE)</f>
        <v>ヘンペルチャレンジ</v>
      </c>
      <c r="E31" s="18" t="str">
        <f ca="1">VLOOKUP($C31,OFFSET([2]quests!$A$1,0,0,COUNTA([2]quests!$A:$A),MATCH(E$1,[2]quests!$1:$1,0)-MATCH($C$1,[2]quests!$1:$1,0)+1),MATCH(E$1,[2]quests!$1:$1,0)-MATCH($C$1,[2]quests!$1:$1,0)+1,FALSE)</f>
        <v>ランキング1</v>
      </c>
      <c r="F31" s="21">
        <v>2</v>
      </c>
      <c r="G31" s="23" t="str">
        <f t="shared" si="9"/>
        <v>60003_2</v>
      </c>
      <c r="H31" s="15" t="str">
        <f ca="1">VLOOKUP($G31,OFFSET([2]stages!$A$1,0,0,COUNTA([2]stages!$A:$A),MATCH(H$1,[2]stages!$2:$2,0)-MATCH($G$1,[2]stages!$2:$2,0)+1),MATCH(H$1,[2]stages!$2:$2,0)-MATCH($G$1,[2]stages!$2:$2,0)+1,FALSE)</f>
        <v>[超級] 第3回　</v>
      </c>
      <c r="I31" s="21">
        <v>6</v>
      </c>
      <c r="J31" s="12">
        <v>60</v>
      </c>
      <c r="K31" s="12">
        <v>60</v>
      </c>
      <c r="L31" s="69">
        <v>60001</v>
      </c>
      <c r="M31" s="69">
        <v>60001</v>
      </c>
      <c r="N31" s="69">
        <v>60001</v>
      </c>
    </row>
    <row r="32" spans="1:14" ht="21" customHeight="1">
      <c r="A32" s="16" t="str">
        <f>G32&amp;"-"&amp;I32</f>
        <v>60003_3-1</v>
      </c>
      <c r="B32" s="16" t="str">
        <f>IF(COUNTIF(enemy_habitats!$H:$H,A32),"OK","NG")</f>
        <v>OK</v>
      </c>
      <c r="C32" s="7">
        <v>60003</v>
      </c>
      <c r="D32" s="11" t="str">
        <f ca="1">VLOOKUP($C32,OFFSET([2]quests!$A$1,0,0,COUNTA([2]quests!$A:$A),MATCH(D$1,[2]quests!$1:$1,0)-MATCH($C$1,[2]quests!$1:$1,0)+1),MATCH(D$1,[2]quests!$1:$1,0)-MATCH($C$1,[2]quests!$1:$1,0)+1,FALSE)</f>
        <v>ヘンペルチャレンジ</v>
      </c>
      <c r="E32" s="18" t="str">
        <f ca="1">VLOOKUP($C32,OFFSET([2]quests!$A$1,0,0,COUNTA([2]quests!$A:$A),MATCH(E$1,[2]quests!$1:$1,0)-MATCH($C$1,[2]quests!$1:$1,0)+1),MATCH(E$1,[2]quests!$1:$1,0)-MATCH($C$1,[2]quests!$1:$1,0)+1,FALSE)</f>
        <v>ランキング1</v>
      </c>
      <c r="F32" s="21">
        <v>3</v>
      </c>
      <c r="G32" s="23" t="str">
        <f>C32&amp;"_"&amp;F32</f>
        <v>60003_3</v>
      </c>
      <c r="H32" s="15" t="str">
        <f ca="1">VLOOKUP($G32,OFFSET([2]stages!$A$1,0,0,COUNTA([2]stages!$A:$A),MATCH(H$1,[2]stages!$2:$2,0)-MATCH($G$1,[2]stages!$2:$2,0)+1),MATCH(H$1,[2]stages!$2:$2,0)-MATCH($G$1,[2]stages!$2:$2,0)+1,FALSE)</f>
        <v>[ウィザード] 第3回　</v>
      </c>
      <c r="I32" s="21">
        <v>1</v>
      </c>
      <c r="J32" s="12">
        <v>60</v>
      </c>
      <c r="K32" s="12">
        <v>60</v>
      </c>
      <c r="L32" s="69">
        <v>60001</v>
      </c>
      <c r="M32" s="69">
        <v>60001</v>
      </c>
      <c r="N32" s="69">
        <v>60001</v>
      </c>
    </row>
    <row r="33" spans="1:14" ht="21" customHeight="1">
      <c r="A33" s="16" t="str">
        <f t="shared" ref="A33:A37" si="10">G33&amp;"-"&amp;I33</f>
        <v>60003_3-2</v>
      </c>
      <c r="B33" s="16" t="str">
        <f>IF(COUNTIF(enemy_habitats!$H:$H,A33),"OK","NG")</f>
        <v>OK</v>
      </c>
      <c r="C33" s="7">
        <v>60003</v>
      </c>
      <c r="D33" s="11" t="str">
        <f ca="1">VLOOKUP($C33,OFFSET([2]quests!$A$1,0,0,COUNTA([2]quests!$A:$A),MATCH(D$1,[2]quests!$1:$1,0)-MATCH($C$1,[2]quests!$1:$1,0)+1),MATCH(D$1,[2]quests!$1:$1,0)-MATCH($C$1,[2]quests!$1:$1,0)+1,FALSE)</f>
        <v>ヘンペルチャレンジ</v>
      </c>
      <c r="E33" s="18" t="str">
        <f ca="1">VLOOKUP($C33,OFFSET([2]quests!$A$1,0,0,COUNTA([2]quests!$A:$A),MATCH(E$1,[2]quests!$1:$1,0)-MATCH($C$1,[2]quests!$1:$1,0)+1),MATCH(E$1,[2]quests!$1:$1,0)-MATCH($C$1,[2]quests!$1:$1,0)+1,FALSE)</f>
        <v>ランキング1</v>
      </c>
      <c r="F33" s="21">
        <v>3</v>
      </c>
      <c r="G33" s="23" t="str">
        <f t="shared" ref="G33:G37" si="11">C33&amp;"_"&amp;F33</f>
        <v>60003_3</v>
      </c>
      <c r="H33" s="15" t="str">
        <f ca="1">VLOOKUP($G33,OFFSET([2]stages!$A$1,0,0,COUNTA([2]stages!$A:$A),MATCH(H$1,[2]stages!$2:$2,0)-MATCH($G$1,[2]stages!$2:$2,0)+1),MATCH(H$1,[2]stages!$2:$2,0)-MATCH($G$1,[2]stages!$2:$2,0)+1,FALSE)</f>
        <v>[ウィザード] 第3回　</v>
      </c>
      <c r="I33" s="21">
        <v>2</v>
      </c>
      <c r="J33" s="12">
        <v>50</v>
      </c>
      <c r="K33" s="12">
        <v>50</v>
      </c>
      <c r="L33" s="69">
        <v>60001</v>
      </c>
      <c r="M33" s="69">
        <v>60001</v>
      </c>
      <c r="N33" s="69">
        <v>60001</v>
      </c>
    </row>
    <row r="34" spans="1:14" ht="21" customHeight="1">
      <c r="A34" s="16" t="str">
        <f t="shared" si="10"/>
        <v>60003_3-3</v>
      </c>
      <c r="B34" s="16" t="str">
        <f>IF(COUNTIF(enemy_habitats!$H:$H,A34),"OK","NG")</f>
        <v>OK</v>
      </c>
      <c r="C34" s="7">
        <v>60003</v>
      </c>
      <c r="D34" s="11" t="str">
        <f ca="1">VLOOKUP($C34,OFFSET([2]quests!$A$1,0,0,COUNTA([2]quests!$A:$A),MATCH(D$1,[2]quests!$1:$1,0)-MATCH($C$1,[2]quests!$1:$1,0)+1),MATCH(D$1,[2]quests!$1:$1,0)-MATCH($C$1,[2]quests!$1:$1,0)+1,FALSE)</f>
        <v>ヘンペルチャレンジ</v>
      </c>
      <c r="E34" s="18" t="str">
        <f ca="1">VLOOKUP($C34,OFFSET([2]quests!$A$1,0,0,COUNTA([2]quests!$A:$A),MATCH(E$1,[2]quests!$1:$1,0)-MATCH($C$1,[2]quests!$1:$1,0)+1),MATCH(E$1,[2]quests!$1:$1,0)-MATCH($C$1,[2]quests!$1:$1,0)+1,FALSE)</f>
        <v>ランキング1</v>
      </c>
      <c r="F34" s="21">
        <v>3</v>
      </c>
      <c r="G34" s="23" t="str">
        <f t="shared" si="11"/>
        <v>60003_3</v>
      </c>
      <c r="H34" s="15" t="str">
        <f ca="1">VLOOKUP($G34,OFFSET([2]stages!$A$1,0,0,COUNTA([2]stages!$A:$A),MATCH(H$1,[2]stages!$2:$2,0)-MATCH($G$1,[2]stages!$2:$2,0)+1),MATCH(H$1,[2]stages!$2:$2,0)-MATCH($G$1,[2]stages!$2:$2,0)+1,FALSE)</f>
        <v>[ウィザード] 第3回　</v>
      </c>
      <c r="I34" s="21">
        <v>3</v>
      </c>
      <c r="J34" s="12">
        <v>60</v>
      </c>
      <c r="K34" s="12">
        <v>60</v>
      </c>
      <c r="L34" s="69">
        <v>60001</v>
      </c>
      <c r="M34" s="69">
        <v>60001</v>
      </c>
      <c r="N34" s="69">
        <v>60001</v>
      </c>
    </row>
    <row r="35" spans="1:14" ht="21" customHeight="1">
      <c r="A35" s="16" t="str">
        <f t="shared" si="10"/>
        <v>60003_3-4</v>
      </c>
      <c r="B35" s="16" t="str">
        <f>IF(COUNTIF(enemy_habitats!$H:$H,A35),"OK","NG")</f>
        <v>OK</v>
      </c>
      <c r="C35" s="7">
        <v>60003</v>
      </c>
      <c r="D35" s="11" t="str">
        <f ca="1">VLOOKUP($C35,OFFSET([2]quests!$A$1,0,0,COUNTA([2]quests!$A:$A),MATCH(D$1,[2]quests!$1:$1,0)-MATCH($C$1,[2]quests!$1:$1,0)+1),MATCH(D$1,[2]quests!$1:$1,0)-MATCH($C$1,[2]quests!$1:$1,0)+1,FALSE)</f>
        <v>ヘンペルチャレンジ</v>
      </c>
      <c r="E35" s="18" t="str">
        <f ca="1">VLOOKUP($C35,OFFSET([2]quests!$A$1,0,0,COUNTA([2]quests!$A:$A),MATCH(E$1,[2]quests!$1:$1,0)-MATCH($C$1,[2]quests!$1:$1,0)+1),MATCH(E$1,[2]quests!$1:$1,0)-MATCH($C$1,[2]quests!$1:$1,0)+1,FALSE)</f>
        <v>ランキング1</v>
      </c>
      <c r="F35" s="21">
        <v>3</v>
      </c>
      <c r="G35" s="23" t="str">
        <f t="shared" si="11"/>
        <v>60003_3</v>
      </c>
      <c r="H35" s="15" t="str">
        <f ca="1">VLOOKUP($G35,OFFSET([2]stages!$A$1,0,0,COUNTA([2]stages!$A:$A),MATCH(H$1,[2]stages!$2:$2,0)-MATCH($G$1,[2]stages!$2:$2,0)+1),MATCH(H$1,[2]stages!$2:$2,0)-MATCH($G$1,[2]stages!$2:$2,0)+1,FALSE)</f>
        <v>[ウィザード] 第3回　</v>
      </c>
      <c r="I35" s="21">
        <v>4</v>
      </c>
      <c r="J35" s="12">
        <v>60</v>
      </c>
      <c r="K35" s="12">
        <v>60</v>
      </c>
      <c r="L35" s="69">
        <v>60001</v>
      </c>
      <c r="M35" s="69">
        <v>60001</v>
      </c>
      <c r="N35" s="69">
        <v>60001</v>
      </c>
    </row>
    <row r="36" spans="1:14" ht="21" customHeight="1">
      <c r="A36" s="16" t="str">
        <f t="shared" si="10"/>
        <v>60003_3-5</v>
      </c>
      <c r="B36" s="16" t="str">
        <f>IF(COUNTIF(enemy_habitats!$H:$H,A36),"OK","NG")</f>
        <v>OK</v>
      </c>
      <c r="C36" s="7">
        <v>60003</v>
      </c>
      <c r="D36" s="11" t="str">
        <f ca="1">VLOOKUP($C36,OFFSET([2]quests!$A$1,0,0,COUNTA([2]quests!$A:$A),MATCH(D$1,[2]quests!$1:$1,0)-MATCH($C$1,[2]quests!$1:$1,0)+1),MATCH(D$1,[2]quests!$1:$1,0)-MATCH($C$1,[2]quests!$1:$1,0)+1,FALSE)</f>
        <v>ヘンペルチャレンジ</v>
      </c>
      <c r="E36" s="18" t="str">
        <f ca="1">VLOOKUP($C36,OFFSET([2]quests!$A$1,0,0,COUNTA([2]quests!$A:$A),MATCH(E$1,[2]quests!$1:$1,0)-MATCH($C$1,[2]quests!$1:$1,0)+1),MATCH(E$1,[2]quests!$1:$1,0)-MATCH($C$1,[2]quests!$1:$1,0)+1,FALSE)</f>
        <v>ランキング1</v>
      </c>
      <c r="F36" s="21">
        <v>3</v>
      </c>
      <c r="G36" s="23" t="str">
        <f t="shared" si="11"/>
        <v>60003_3</v>
      </c>
      <c r="H36" s="15" t="str">
        <f ca="1">VLOOKUP($G36,OFFSET([2]stages!$A$1,0,0,COUNTA([2]stages!$A:$A),MATCH(H$1,[2]stages!$2:$2,0)-MATCH($G$1,[2]stages!$2:$2,0)+1),MATCH(H$1,[2]stages!$2:$2,0)-MATCH($G$1,[2]stages!$2:$2,0)+1,FALSE)</f>
        <v>[ウィザード] 第3回　</v>
      </c>
      <c r="I36" s="21">
        <v>5</v>
      </c>
      <c r="J36" s="12">
        <v>60</v>
      </c>
      <c r="K36" s="12">
        <v>60</v>
      </c>
      <c r="L36" s="69">
        <v>60001</v>
      </c>
      <c r="M36" s="69">
        <v>60001</v>
      </c>
      <c r="N36" s="69">
        <v>60001</v>
      </c>
    </row>
    <row r="37" spans="1:14" ht="21" customHeight="1">
      <c r="A37" s="16" t="str">
        <f t="shared" si="10"/>
        <v>60003_3-6</v>
      </c>
      <c r="B37" s="16" t="str">
        <f>IF(COUNTIF(enemy_habitats!$H:$H,A37),"OK","NG")</f>
        <v>OK</v>
      </c>
      <c r="C37" s="7">
        <v>60003</v>
      </c>
      <c r="D37" s="11" t="str">
        <f ca="1">VLOOKUP($C37,OFFSET([2]quests!$A$1,0,0,COUNTA([2]quests!$A:$A),MATCH(D$1,[2]quests!$1:$1,0)-MATCH($C$1,[2]quests!$1:$1,0)+1),MATCH(D$1,[2]quests!$1:$1,0)-MATCH($C$1,[2]quests!$1:$1,0)+1,FALSE)</f>
        <v>ヘンペルチャレンジ</v>
      </c>
      <c r="E37" s="18" t="str">
        <f ca="1">VLOOKUP($C37,OFFSET([2]quests!$A$1,0,0,COUNTA([2]quests!$A:$A),MATCH(E$1,[2]quests!$1:$1,0)-MATCH($C$1,[2]quests!$1:$1,0)+1),MATCH(E$1,[2]quests!$1:$1,0)-MATCH($C$1,[2]quests!$1:$1,0)+1,FALSE)</f>
        <v>ランキング1</v>
      </c>
      <c r="F37" s="21">
        <v>3</v>
      </c>
      <c r="G37" s="23" t="str">
        <f t="shared" si="11"/>
        <v>60003_3</v>
      </c>
      <c r="H37" s="15" t="str">
        <f ca="1">VLOOKUP($G37,OFFSET([2]stages!$A$1,0,0,COUNTA([2]stages!$A:$A),MATCH(H$1,[2]stages!$2:$2,0)-MATCH($G$1,[2]stages!$2:$2,0)+1),MATCH(H$1,[2]stages!$2:$2,0)-MATCH($G$1,[2]stages!$2:$2,0)+1,FALSE)</f>
        <v>[ウィザード] 第3回　</v>
      </c>
      <c r="I37" s="21">
        <v>6</v>
      </c>
      <c r="J37" s="12">
        <v>60</v>
      </c>
      <c r="K37" s="12">
        <v>60</v>
      </c>
      <c r="L37" s="69">
        <v>60001</v>
      </c>
      <c r="M37" s="69">
        <v>60001</v>
      </c>
      <c r="N37" s="69">
        <v>60001</v>
      </c>
    </row>
    <row r="38" spans="1:14" ht="21" customHeight="1">
      <c r="A38" s="16" t="str">
        <f>G38&amp;"-"&amp;I38</f>
        <v>60004_1-1</v>
      </c>
      <c r="B38" s="16" t="str">
        <f>IF(COUNTIF(enemy_habitats!$H:$H,A38),"OK","NG")</f>
        <v>OK</v>
      </c>
      <c r="C38" s="7">
        <v>60004</v>
      </c>
      <c r="D38" s="11" t="str">
        <f ca="1">VLOOKUP($C38,OFFSET([2]quests!$A$1,0,0,COUNTA([2]quests!$A:$A),MATCH(D$1,[2]quests!$1:$1,0)-MATCH($C$1,[2]quests!$1:$1,0)+1),MATCH(D$1,[2]quests!$1:$1,0)-MATCH($C$1,[2]quests!$1:$1,0)+1,FALSE)</f>
        <v>ヘンペルチャレンジ</v>
      </c>
      <c r="E38" s="18" t="str">
        <f ca="1">VLOOKUP($C38,OFFSET([2]quests!$A$1,0,0,COUNTA([2]quests!$A:$A),MATCH(E$1,[2]quests!$1:$1,0)-MATCH($C$1,[2]quests!$1:$1,0)+1),MATCH(E$1,[2]quests!$1:$1,0)-MATCH($C$1,[2]quests!$1:$1,0)+1,FALSE)</f>
        <v>ランキング1</v>
      </c>
      <c r="F38" s="21">
        <v>1</v>
      </c>
      <c r="G38" s="23" t="str">
        <f>C38&amp;"_"&amp;F38</f>
        <v>60004_1</v>
      </c>
      <c r="H38" s="15" t="str">
        <f ca="1">VLOOKUP($G38,OFFSET([2]stages!$A$1,0,0,COUNTA([2]stages!$A:$A),MATCH(H$1,[2]stages!$2:$2,0)-MATCH($G$1,[2]stages!$2:$2,0)+1),MATCH(H$1,[2]stages!$2:$2,0)-MATCH($G$1,[2]stages!$2:$2,0)+1,FALSE)</f>
        <v>[ウィザード] 第4回　</v>
      </c>
      <c r="I38" s="21">
        <v>1</v>
      </c>
      <c r="J38" s="12">
        <v>60</v>
      </c>
      <c r="K38" s="12">
        <v>60</v>
      </c>
      <c r="L38" s="69">
        <v>60001</v>
      </c>
      <c r="M38" s="69">
        <v>60001</v>
      </c>
      <c r="N38" s="69">
        <v>60001</v>
      </c>
    </row>
    <row r="39" spans="1:14" ht="21" customHeight="1">
      <c r="A39" s="16" t="str">
        <f t="shared" ref="A39:A43" si="12">G39&amp;"-"&amp;I39</f>
        <v>60004_1-2</v>
      </c>
      <c r="B39" s="16" t="str">
        <f>IF(COUNTIF(enemy_habitats!$H:$H,A39),"OK","NG")</f>
        <v>OK</v>
      </c>
      <c r="C39" s="7">
        <v>60004</v>
      </c>
      <c r="D39" s="11" t="str">
        <f ca="1">VLOOKUP($C39,OFFSET([2]quests!$A$1,0,0,COUNTA([2]quests!$A:$A),MATCH(D$1,[2]quests!$1:$1,0)-MATCH($C$1,[2]quests!$1:$1,0)+1),MATCH(D$1,[2]quests!$1:$1,0)-MATCH($C$1,[2]quests!$1:$1,0)+1,FALSE)</f>
        <v>ヘンペルチャレンジ</v>
      </c>
      <c r="E39" s="18" t="str">
        <f ca="1">VLOOKUP($C39,OFFSET([2]quests!$A$1,0,0,COUNTA([2]quests!$A:$A),MATCH(E$1,[2]quests!$1:$1,0)-MATCH($C$1,[2]quests!$1:$1,0)+1),MATCH(E$1,[2]quests!$1:$1,0)-MATCH($C$1,[2]quests!$1:$1,0)+1,FALSE)</f>
        <v>ランキング1</v>
      </c>
      <c r="F39" s="21">
        <v>1</v>
      </c>
      <c r="G39" s="23" t="str">
        <f t="shared" ref="G39:G43" si="13">C39&amp;"_"&amp;F39</f>
        <v>60004_1</v>
      </c>
      <c r="H39" s="15" t="str">
        <f ca="1">VLOOKUP($G39,OFFSET([2]stages!$A$1,0,0,COUNTA([2]stages!$A:$A),MATCH(H$1,[2]stages!$2:$2,0)-MATCH($G$1,[2]stages!$2:$2,0)+1),MATCH(H$1,[2]stages!$2:$2,0)-MATCH($G$1,[2]stages!$2:$2,0)+1,FALSE)</f>
        <v>[ウィザード] 第4回　</v>
      </c>
      <c r="I39" s="21">
        <v>2</v>
      </c>
      <c r="J39" s="12">
        <v>50</v>
      </c>
      <c r="K39" s="12">
        <v>50</v>
      </c>
      <c r="L39" s="69">
        <v>60001</v>
      </c>
      <c r="M39" s="69">
        <v>60001</v>
      </c>
      <c r="N39" s="69">
        <v>60001</v>
      </c>
    </row>
    <row r="40" spans="1:14" ht="21" customHeight="1">
      <c r="A40" s="16" t="str">
        <f t="shared" si="12"/>
        <v>60004_1-3</v>
      </c>
      <c r="B40" s="16" t="str">
        <f>IF(COUNTIF(enemy_habitats!$H:$H,A40),"OK","NG")</f>
        <v>OK</v>
      </c>
      <c r="C40" s="7">
        <v>60004</v>
      </c>
      <c r="D40" s="11" t="str">
        <f ca="1">VLOOKUP($C40,OFFSET([2]quests!$A$1,0,0,COUNTA([2]quests!$A:$A),MATCH(D$1,[2]quests!$1:$1,0)-MATCH($C$1,[2]quests!$1:$1,0)+1),MATCH(D$1,[2]quests!$1:$1,0)-MATCH($C$1,[2]quests!$1:$1,0)+1,FALSE)</f>
        <v>ヘンペルチャレンジ</v>
      </c>
      <c r="E40" s="18" t="str">
        <f ca="1">VLOOKUP($C40,OFFSET([2]quests!$A$1,0,0,COUNTA([2]quests!$A:$A),MATCH(E$1,[2]quests!$1:$1,0)-MATCH($C$1,[2]quests!$1:$1,0)+1),MATCH(E$1,[2]quests!$1:$1,0)-MATCH($C$1,[2]quests!$1:$1,0)+1,FALSE)</f>
        <v>ランキング1</v>
      </c>
      <c r="F40" s="21">
        <v>1</v>
      </c>
      <c r="G40" s="23" t="str">
        <f t="shared" si="13"/>
        <v>60004_1</v>
      </c>
      <c r="H40" s="15" t="str">
        <f ca="1">VLOOKUP($G40,OFFSET([2]stages!$A$1,0,0,COUNTA([2]stages!$A:$A),MATCH(H$1,[2]stages!$2:$2,0)-MATCH($G$1,[2]stages!$2:$2,0)+1),MATCH(H$1,[2]stages!$2:$2,0)-MATCH($G$1,[2]stages!$2:$2,0)+1,FALSE)</f>
        <v>[ウィザード] 第4回　</v>
      </c>
      <c r="I40" s="21">
        <v>3</v>
      </c>
      <c r="J40" s="12">
        <v>60</v>
      </c>
      <c r="K40" s="12">
        <v>60</v>
      </c>
      <c r="L40" s="69">
        <v>60001</v>
      </c>
      <c r="M40" s="69">
        <v>60001</v>
      </c>
      <c r="N40" s="69">
        <v>60001</v>
      </c>
    </row>
    <row r="41" spans="1:14" ht="21" customHeight="1">
      <c r="A41" s="16" t="str">
        <f t="shared" si="12"/>
        <v>60004_1-4</v>
      </c>
      <c r="B41" s="16" t="str">
        <f>IF(COUNTIF(enemy_habitats!$H:$H,A41),"OK","NG")</f>
        <v>OK</v>
      </c>
      <c r="C41" s="7">
        <v>60004</v>
      </c>
      <c r="D41" s="11" t="str">
        <f ca="1">VLOOKUP($C41,OFFSET([2]quests!$A$1,0,0,COUNTA([2]quests!$A:$A),MATCH(D$1,[2]quests!$1:$1,0)-MATCH($C$1,[2]quests!$1:$1,0)+1),MATCH(D$1,[2]quests!$1:$1,0)-MATCH($C$1,[2]quests!$1:$1,0)+1,FALSE)</f>
        <v>ヘンペルチャレンジ</v>
      </c>
      <c r="E41" s="18" t="str">
        <f ca="1">VLOOKUP($C41,OFFSET([2]quests!$A$1,0,0,COUNTA([2]quests!$A:$A),MATCH(E$1,[2]quests!$1:$1,0)-MATCH($C$1,[2]quests!$1:$1,0)+1),MATCH(E$1,[2]quests!$1:$1,0)-MATCH($C$1,[2]quests!$1:$1,0)+1,FALSE)</f>
        <v>ランキング1</v>
      </c>
      <c r="F41" s="21">
        <v>1</v>
      </c>
      <c r="G41" s="23" t="str">
        <f t="shared" si="13"/>
        <v>60004_1</v>
      </c>
      <c r="H41" s="15" t="str">
        <f ca="1">VLOOKUP($G41,OFFSET([2]stages!$A$1,0,0,COUNTA([2]stages!$A:$A),MATCH(H$1,[2]stages!$2:$2,0)-MATCH($G$1,[2]stages!$2:$2,0)+1),MATCH(H$1,[2]stages!$2:$2,0)-MATCH($G$1,[2]stages!$2:$2,0)+1,FALSE)</f>
        <v>[ウィザード] 第4回　</v>
      </c>
      <c r="I41" s="21">
        <v>4</v>
      </c>
      <c r="J41" s="12">
        <v>60</v>
      </c>
      <c r="K41" s="12">
        <v>60</v>
      </c>
      <c r="L41" s="69">
        <v>60001</v>
      </c>
      <c r="M41" s="69">
        <v>60001</v>
      </c>
      <c r="N41" s="69">
        <v>60001</v>
      </c>
    </row>
    <row r="42" spans="1:14" ht="21" customHeight="1">
      <c r="A42" s="16" t="str">
        <f t="shared" si="12"/>
        <v>60004_1-5</v>
      </c>
      <c r="B42" s="16" t="str">
        <f>IF(COUNTIF(enemy_habitats!$H:$H,A42),"OK","NG")</f>
        <v>OK</v>
      </c>
      <c r="C42" s="7">
        <v>60004</v>
      </c>
      <c r="D42" s="11" t="str">
        <f ca="1">VLOOKUP($C42,OFFSET([2]quests!$A$1,0,0,COUNTA([2]quests!$A:$A),MATCH(D$1,[2]quests!$1:$1,0)-MATCH($C$1,[2]quests!$1:$1,0)+1),MATCH(D$1,[2]quests!$1:$1,0)-MATCH($C$1,[2]quests!$1:$1,0)+1,FALSE)</f>
        <v>ヘンペルチャレンジ</v>
      </c>
      <c r="E42" s="18" t="str">
        <f ca="1">VLOOKUP($C42,OFFSET([2]quests!$A$1,0,0,COUNTA([2]quests!$A:$A),MATCH(E$1,[2]quests!$1:$1,0)-MATCH($C$1,[2]quests!$1:$1,0)+1),MATCH(E$1,[2]quests!$1:$1,0)-MATCH($C$1,[2]quests!$1:$1,0)+1,FALSE)</f>
        <v>ランキング1</v>
      </c>
      <c r="F42" s="21">
        <v>1</v>
      </c>
      <c r="G42" s="23" t="str">
        <f t="shared" si="13"/>
        <v>60004_1</v>
      </c>
      <c r="H42" s="15" t="str">
        <f ca="1">VLOOKUP($G42,OFFSET([2]stages!$A$1,0,0,COUNTA([2]stages!$A:$A),MATCH(H$1,[2]stages!$2:$2,0)-MATCH($G$1,[2]stages!$2:$2,0)+1),MATCH(H$1,[2]stages!$2:$2,0)-MATCH($G$1,[2]stages!$2:$2,0)+1,FALSE)</f>
        <v>[ウィザード] 第4回　</v>
      </c>
      <c r="I42" s="21">
        <v>5</v>
      </c>
      <c r="J42" s="12">
        <v>60</v>
      </c>
      <c r="K42" s="12">
        <v>60</v>
      </c>
      <c r="L42" s="69">
        <v>60001</v>
      </c>
      <c r="M42" s="69">
        <v>60001</v>
      </c>
      <c r="N42" s="69">
        <v>60001</v>
      </c>
    </row>
    <row r="43" spans="1:14" ht="21" customHeight="1">
      <c r="A43" s="16" t="str">
        <f t="shared" si="12"/>
        <v>60004_1-6</v>
      </c>
      <c r="B43" s="16" t="str">
        <f>IF(COUNTIF(enemy_habitats!$H:$H,A43),"OK","NG")</f>
        <v>OK</v>
      </c>
      <c r="C43" s="7">
        <v>60004</v>
      </c>
      <c r="D43" s="11" t="str">
        <f ca="1">VLOOKUP($C43,OFFSET([2]quests!$A$1,0,0,COUNTA([2]quests!$A:$A),MATCH(D$1,[2]quests!$1:$1,0)-MATCH($C$1,[2]quests!$1:$1,0)+1),MATCH(D$1,[2]quests!$1:$1,0)-MATCH($C$1,[2]quests!$1:$1,0)+1,FALSE)</f>
        <v>ヘンペルチャレンジ</v>
      </c>
      <c r="E43" s="18" t="str">
        <f ca="1">VLOOKUP($C43,OFFSET([2]quests!$A$1,0,0,COUNTA([2]quests!$A:$A),MATCH(E$1,[2]quests!$1:$1,0)-MATCH($C$1,[2]quests!$1:$1,0)+1),MATCH(E$1,[2]quests!$1:$1,0)-MATCH($C$1,[2]quests!$1:$1,0)+1,FALSE)</f>
        <v>ランキング1</v>
      </c>
      <c r="F43" s="21">
        <v>1</v>
      </c>
      <c r="G43" s="23" t="str">
        <f t="shared" si="13"/>
        <v>60004_1</v>
      </c>
      <c r="H43" s="15" t="str">
        <f ca="1">VLOOKUP($G43,OFFSET([2]stages!$A$1,0,0,COUNTA([2]stages!$A:$A),MATCH(H$1,[2]stages!$2:$2,0)-MATCH($G$1,[2]stages!$2:$2,0)+1),MATCH(H$1,[2]stages!$2:$2,0)-MATCH($G$1,[2]stages!$2:$2,0)+1,FALSE)</f>
        <v>[ウィザード] 第4回　</v>
      </c>
      <c r="I43" s="21">
        <v>6</v>
      </c>
      <c r="J43" s="12">
        <v>60</v>
      </c>
      <c r="K43" s="12">
        <v>60</v>
      </c>
      <c r="L43" s="69">
        <v>60001</v>
      </c>
      <c r="M43" s="69">
        <v>60001</v>
      </c>
      <c r="N43" s="69">
        <v>60001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8"/>
  <sheetViews>
    <sheetView workbookViewId="0">
      <selection activeCell="F29" sqref="F29"/>
    </sheetView>
  </sheetViews>
  <sheetFormatPr baseColWidth="12" defaultRowHeight="18" outlineLevelCol="1" x14ac:dyDescent="0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>
      <c r="A1" s="1" t="s">
        <v>0</v>
      </c>
      <c r="B1" s="2" t="s">
        <v>16</v>
      </c>
      <c r="C1" s="15" t="s">
        <v>33</v>
      </c>
      <c r="D1" s="1" t="s">
        <v>1</v>
      </c>
      <c r="E1" s="23" t="s">
        <v>28</v>
      </c>
      <c r="F1" s="15" t="s">
        <v>16</v>
      </c>
      <c r="G1" s="1" t="s">
        <v>243</v>
      </c>
    </row>
    <row r="2" spans="1:7">
      <c r="A2" s="7">
        <v>60001</v>
      </c>
      <c r="B2" s="11" t="str">
        <f ca="1">VLOOKUP($A2,OFFSET([2]quests!$A$1,0,0,COUNTA([2]quests!$A:$A),MATCH(B$1,[2]quests!$1:$1,0)-MATCH($A$1,[2]quests!$1:$1,0)+1),MATCH(B$1,[2]quests!$1:$1,0)-MATCH($A$1,[2]quests!$1:$1,0)+1,FALSE)</f>
        <v>ヘンペルチャレンジ</v>
      </c>
      <c r="C2" s="18">
        <f ca="1">VLOOKUP($A2,OFFSET([2]quests!$A$1,0,0,COUNTA([2]quests!$A:$A),MATCH(C$1,[2]quests!$1:$1,0)-MATCH($C$1,[2]quests!$1:$1,0)+1),MATCH(C$1,[2]quests!$1:$1,0)-MATCH($C$1,[2]quests!$1:$1,0)+1,FALSE)</f>
        <v>60001</v>
      </c>
      <c r="D2" s="21">
        <v>1</v>
      </c>
      <c r="E2" s="23" t="str">
        <f t="shared" ref="E2:E8" si="0">A2&amp;"_"&amp;D2</f>
        <v>60001_1</v>
      </c>
      <c r="F2" s="15" t="str">
        <f ca="1">VLOOKUP($E2,OFFSET([2]stages!$A$1,0,0,COUNTA([2]stages!$A:$A),MATCH(F$1,[2]stages!$2:$2,0)-MATCH($E$1,[2]stages!$2:$2,0)+1),MATCH(F$1,[2]stages!$2:$2,0)-MATCH($E$1,[2]stages!$2:$2,0)+1,FALSE)</f>
        <v>[ウィザード] 第一回</v>
      </c>
      <c r="G2" s="21">
        <v>50000</v>
      </c>
    </row>
    <row r="3" spans="1:7">
      <c r="A3" s="7">
        <v>60002</v>
      </c>
      <c r="B3" s="11" t="str">
        <f ca="1">VLOOKUP($A3,OFFSET([2]quests!$A$1,0,0,COUNTA([2]quests!$A:$A),MATCH(B$1,[2]quests!$1:$1,0)-MATCH($A$1,[2]quests!$1:$1,0)+1),MATCH(B$1,[2]quests!$1:$1,0)-MATCH($A$1,[2]quests!$1:$1,0)+1,FALSE)</f>
        <v>ヘンペルチャレンジ</v>
      </c>
      <c r="C3" s="18">
        <f ca="1">VLOOKUP($A3,OFFSET([2]quests!$A$1,0,0,COUNTA([2]quests!$A:$A),MATCH(C$1,[2]quests!$1:$1,0)-MATCH($C$1,[2]quests!$1:$1,0)+1),MATCH(C$1,[2]quests!$1:$1,0)-MATCH($C$1,[2]quests!$1:$1,0)+1,FALSE)</f>
        <v>60002</v>
      </c>
      <c r="D3" s="21">
        <v>1</v>
      </c>
      <c r="E3" s="23" t="str">
        <f t="shared" si="0"/>
        <v>60002_1</v>
      </c>
      <c r="F3" s="15" t="str">
        <f ca="1">VLOOKUP($E3,OFFSET([2]stages!$A$1,0,0,COUNTA([2]stages!$A:$A),MATCH(F$1,[2]stages!$2:$2,0)-MATCH($E$1,[2]stages!$2:$2,0)+1),MATCH(F$1,[2]stages!$2:$2,0)-MATCH($E$1,[2]stages!$2:$2,0)+1,FALSE)</f>
        <v>[超級] 第2回　※Wizと難易度は同じ</v>
      </c>
      <c r="G3" s="21">
        <v>50000</v>
      </c>
    </row>
    <row r="4" spans="1:7">
      <c r="A4" s="7">
        <v>60002</v>
      </c>
      <c r="B4" s="11" t="str">
        <f ca="1">VLOOKUP($A4,OFFSET([2]quests!$A$1,0,0,COUNTA([2]quests!$A:$A),MATCH(B$1,[2]quests!$1:$1,0)-MATCH($A$1,[2]quests!$1:$1,0)+1),MATCH(B$1,[2]quests!$1:$1,0)-MATCH($A$1,[2]quests!$1:$1,0)+1,FALSE)</f>
        <v>ヘンペルチャレンジ</v>
      </c>
      <c r="C4" s="18">
        <f ca="1">VLOOKUP($A4,OFFSET([2]quests!$A$1,0,0,COUNTA([2]quests!$A:$A),MATCH(C$1,[2]quests!$1:$1,0)-MATCH($C$1,[2]quests!$1:$1,0)+1),MATCH(C$1,[2]quests!$1:$1,0)-MATCH($C$1,[2]quests!$1:$1,0)+1,FALSE)</f>
        <v>60002</v>
      </c>
      <c r="D4" s="21">
        <v>2</v>
      </c>
      <c r="E4" s="23" t="str">
        <f t="shared" si="0"/>
        <v>60002_2</v>
      </c>
      <c r="F4" s="15" t="str">
        <f ca="1">VLOOKUP($E4,OFFSET([2]stages!$A$1,0,0,COUNTA([2]stages!$A:$A),MATCH(F$1,[2]stages!$2:$2,0)-MATCH($E$1,[2]stages!$2:$2,0)+1),MATCH(F$1,[2]stages!$2:$2,0)-MATCH($E$1,[2]stages!$2:$2,0)+1,FALSE)</f>
        <v>[ウィザード] 第2回　※Wizと難易度は同じ</v>
      </c>
      <c r="G4" s="21">
        <v>100000</v>
      </c>
    </row>
    <row r="5" spans="1:7">
      <c r="A5" s="7">
        <v>60003</v>
      </c>
      <c r="B5" s="11" t="str">
        <f ca="1">VLOOKUP($A5,OFFSET([2]quests!$A$1,0,0,COUNTA([2]quests!$A:$A),MATCH(B$1,[2]quests!$1:$1,0)-MATCH($A$1,[2]quests!$1:$1,0)+1),MATCH(B$1,[2]quests!$1:$1,0)-MATCH($A$1,[2]quests!$1:$1,0)+1,FALSE)</f>
        <v>ヘンペルチャレンジ</v>
      </c>
      <c r="C5" s="18">
        <f ca="1">VLOOKUP($A5,OFFSET([2]quests!$A$1,0,0,COUNTA([2]quests!$A:$A),MATCH(C$1,[2]quests!$1:$1,0)-MATCH($C$1,[2]quests!$1:$1,0)+1),MATCH(C$1,[2]quests!$1:$1,0)-MATCH($C$1,[2]quests!$1:$1,0)+1,FALSE)</f>
        <v>60003</v>
      </c>
      <c r="D5" s="21">
        <v>1</v>
      </c>
      <c r="E5" s="23" t="str">
        <f t="shared" si="0"/>
        <v>60003_1</v>
      </c>
      <c r="F5" s="15" t="str">
        <f ca="1">VLOOKUP($E5,OFFSET([2]stages!$A$1,0,0,COUNTA([2]stages!$A:$A),MATCH(F$1,[2]stages!$2:$2,0)-MATCH($E$1,[2]stages!$2:$2,0)+1),MATCH(F$1,[2]stages!$2:$2,0)-MATCH($E$1,[2]stages!$2:$2,0)+1,FALSE)</f>
        <v>[中級] 第3回　</v>
      </c>
      <c r="G5" s="21">
        <v>150000</v>
      </c>
    </row>
    <row r="6" spans="1:7">
      <c r="A6" s="7">
        <v>60003</v>
      </c>
      <c r="B6" s="11" t="str">
        <f ca="1">VLOOKUP($A6,OFFSET([2]quests!$A$1,0,0,COUNTA([2]quests!$A:$A),MATCH(B$1,[2]quests!$1:$1,0)-MATCH($A$1,[2]quests!$1:$1,0)+1),MATCH(B$1,[2]quests!$1:$1,0)-MATCH($A$1,[2]quests!$1:$1,0)+1,FALSE)</f>
        <v>ヘンペルチャレンジ</v>
      </c>
      <c r="C6" s="18">
        <f ca="1">VLOOKUP($A6,OFFSET([2]quests!$A$1,0,0,COUNTA([2]quests!$A:$A),MATCH(C$1,[2]quests!$1:$1,0)-MATCH($C$1,[2]quests!$1:$1,0)+1),MATCH(C$1,[2]quests!$1:$1,0)-MATCH($C$1,[2]quests!$1:$1,0)+1,FALSE)</f>
        <v>60003</v>
      </c>
      <c r="D6" s="21">
        <v>2</v>
      </c>
      <c r="E6" s="23" t="str">
        <f t="shared" si="0"/>
        <v>60003_2</v>
      </c>
      <c r="F6" s="15" t="str">
        <f ca="1">VLOOKUP($E6,OFFSET([2]stages!$A$1,0,0,COUNTA([2]stages!$A:$A),MATCH(F$1,[2]stages!$2:$2,0)-MATCH($E$1,[2]stages!$2:$2,0)+1),MATCH(F$1,[2]stages!$2:$2,0)-MATCH($E$1,[2]stages!$2:$2,0)+1,FALSE)</f>
        <v>[超級] 第3回　</v>
      </c>
      <c r="G6" s="21">
        <v>250000</v>
      </c>
    </row>
    <row r="7" spans="1:7">
      <c r="A7" s="7">
        <v>60003</v>
      </c>
      <c r="B7" s="11" t="str">
        <f ca="1">VLOOKUP($A7,OFFSET([2]quests!$A$1,0,0,COUNTA([2]quests!$A:$A),MATCH(B$1,[2]quests!$1:$1,0)-MATCH($A$1,[2]quests!$1:$1,0)+1),MATCH(B$1,[2]quests!$1:$1,0)-MATCH($A$1,[2]quests!$1:$1,0)+1,FALSE)</f>
        <v>ヘンペルチャレンジ</v>
      </c>
      <c r="C7" s="18">
        <f ca="1">VLOOKUP($A7,OFFSET([2]quests!$A$1,0,0,COUNTA([2]quests!$A:$A),MATCH(C$1,[2]quests!$1:$1,0)-MATCH($C$1,[2]quests!$1:$1,0)+1),MATCH(C$1,[2]quests!$1:$1,0)-MATCH($C$1,[2]quests!$1:$1,0)+1,FALSE)</f>
        <v>60003</v>
      </c>
      <c r="D7" s="21">
        <v>3</v>
      </c>
      <c r="E7" s="23" t="str">
        <f t="shared" si="0"/>
        <v>60003_3</v>
      </c>
      <c r="F7" s="15" t="str">
        <f ca="1">VLOOKUP($E7,OFFSET([2]stages!$A$1,0,0,COUNTA([2]stages!$A:$A),MATCH(F$1,[2]stages!$2:$2,0)-MATCH($E$1,[2]stages!$2:$2,0)+1),MATCH(F$1,[2]stages!$2:$2,0)-MATCH($E$1,[2]stages!$2:$2,0)+1,FALSE)</f>
        <v>[ウィザード] 第3回　</v>
      </c>
      <c r="G7" s="21">
        <v>500000</v>
      </c>
    </row>
    <row r="8" spans="1:7">
      <c r="A8" s="7">
        <v>60004</v>
      </c>
      <c r="B8" s="11" t="str">
        <f ca="1">VLOOKUP($A8,OFFSET([2]quests!$A$1,0,0,COUNTA([2]quests!$A:$A),MATCH(B$1,[2]quests!$1:$1,0)-MATCH($A$1,[2]quests!$1:$1,0)+1),MATCH(B$1,[2]quests!$1:$1,0)-MATCH($A$1,[2]quests!$1:$1,0)+1,FALSE)</f>
        <v>ヘンペルチャレンジ</v>
      </c>
      <c r="C8" s="18">
        <f ca="1">VLOOKUP($A8,OFFSET([2]quests!$A$1,0,0,COUNTA([2]quests!$A:$A),MATCH(C$1,[2]quests!$1:$1,0)-MATCH($C$1,[2]quests!$1:$1,0)+1),MATCH(C$1,[2]quests!$1:$1,0)-MATCH($C$1,[2]quests!$1:$1,0)+1,FALSE)</f>
        <v>60004</v>
      </c>
      <c r="D8" s="21">
        <v>1</v>
      </c>
      <c r="E8" s="23" t="str">
        <f t="shared" si="0"/>
        <v>60004_1</v>
      </c>
      <c r="F8" s="15" t="str">
        <f ca="1">VLOOKUP($E8,OFFSET([2]stages!$A$1,0,0,COUNTA([2]stages!$A:$A),MATCH(F$1,[2]stages!$2:$2,0)-MATCH($E$1,[2]stages!$2:$2,0)+1),MATCH(F$1,[2]stages!$2:$2,0)-MATCH($E$1,[2]stages!$2:$2,0)+1,FALSE)</f>
        <v>[ウィザード] 第4回　</v>
      </c>
      <c r="G8" s="21">
        <v>200000</v>
      </c>
    </row>
  </sheetData>
  <phoneticPr fontId="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25"/>
  <sheetViews>
    <sheetView workbookViewId="0">
      <selection activeCell="D19" sqref="D19"/>
    </sheetView>
  </sheetViews>
  <sheetFormatPr baseColWidth="12" defaultRowHeight="18" x14ac:dyDescent="0"/>
  <sheetData>
    <row r="1" spans="1:7">
      <c r="A1" s="58" t="s">
        <v>245</v>
      </c>
      <c r="B1" s="58" t="s">
        <v>246</v>
      </c>
      <c r="C1" s="58" t="s">
        <v>247</v>
      </c>
      <c r="D1" s="58" t="s">
        <v>248</v>
      </c>
      <c r="F1" s="104"/>
      <c r="G1" s="104"/>
    </row>
    <row r="2" spans="1:7">
      <c r="A2" s="57">
        <v>60001</v>
      </c>
      <c r="B2" s="57">
        <v>0</v>
      </c>
      <c r="C2" s="57">
        <v>0</v>
      </c>
      <c r="D2" s="57">
        <v>25000</v>
      </c>
    </row>
    <row r="3" spans="1:7">
      <c r="A3" s="57">
        <v>60001</v>
      </c>
      <c r="B3" s="57">
        <v>1</v>
      </c>
      <c r="C3" s="57">
        <v>0</v>
      </c>
      <c r="D3" s="57">
        <v>20000</v>
      </c>
    </row>
    <row r="4" spans="1:7">
      <c r="A4" s="57">
        <v>60001</v>
      </c>
      <c r="B4" s="57">
        <v>2</v>
      </c>
      <c r="C4" s="57">
        <v>-2500</v>
      </c>
      <c r="D4" s="57">
        <v>20000</v>
      </c>
    </row>
    <row r="5" spans="1:7">
      <c r="A5" s="57">
        <v>60001</v>
      </c>
      <c r="B5" s="57">
        <v>3</v>
      </c>
      <c r="C5" s="57">
        <v>-2500</v>
      </c>
      <c r="D5" s="57">
        <v>20000</v>
      </c>
    </row>
    <row r="6" spans="1:7">
      <c r="A6" s="57">
        <v>60001</v>
      </c>
      <c r="B6" s="57">
        <v>5</v>
      </c>
      <c r="C6" s="57">
        <v>-2000</v>
      </c>
      <c r="D6" s="57">
        <v>20000</v>
      </c>
    </row>
    <row r="7" spans="1:7">
      <c r="A7" s="57">
        <v>60001</v>
      </c>
      <c r="B7" s="57">
        <v>10</v>
      </c>
      <c r="C7" s="57">
        <v>-5000</v>
      </c>
      <c r="D7" s="57">
        <v>20000</v>
      </c>
    </row>
    <row r="8" spans="1:7">
      <c r="A8" s="57">
        <v>60002</v>
      </c>
      <c r="B8" s="57">
        <v>0</v>
      </c>
      <c r="C8" s="57">
        <v>0</v>
      </c>
      <c r="D8" s="57">
        <v>25000</v>
      </c>
    </row>
    <row r="9" spans="1:7">
      <c r="A9" s="57">
        <v>60002</v>
      </c>
      <c r="B9" s="57">
        <v>1</v>
      </c>
      <c r="C9" s="57">
        <v>0</v>
      </c>
      <c r="D9" s="57">
        <v>20000</v>
      </c>
    </row>
    <row r="10" spans="1:7">
      <c r="A10" s="57">
        <v>60002</v>
      </c>
      <c r="B10" s="57">
        <v>2</v>
      </c>
      <c r="C10" s="57">
        <v>-2500</v>
      </c>
      <c r="D10" s="57">
        <v>20000</v>
      </c>
    </row>
    <row r="11" spans="1:7">
      <c r="A11" s="57">
        <v>60002</v>
      </c>
      <c r="B11" s="57">
        <v>3</v>
      </c>
      <c r="C11" s="57">
        <v>-2500</v>
      </c>
      <c r="D11" s="57">
        <v>20000</v>
      </c>
    </row>
    <row r="12" spans="1:7">
      <c r="A12" s="57">
        <v>60002</v>
      </c>
      <c r="B12" s="57">
        <v>5</v>
      </c>
      <c r="C12" s="57">
        <v>-2000</v>
      </c>
      <c r="D12" s="57">
        <v>20000</v>
      </c>
    </row>
    <row r="13" spans="1:7">
      <c r="A13" s="57">
        <v>60002</v>
      </c>
      <c r="B13" s="57">
        <v>10</v>
      </c>
      <c r="C13" s="57">
        <v>-5000</v>
      </c>
      <c r="D13" s="57">
        <v>20000</v>
      </c>
    </row>
    <row r="14" spans="1:7">
      <c r="A14" s="57">
        <v>60003</v>
      </c>
      <c r="B14" s="57">
        <v>0</v>
      </c>
      <c r="C14" s="57">
        <v>0</v>
      </c>
      <c r="D14" s="57">
        <v>25000</v>
      </c>
    </row>
    <row r="15" spans="1:7">
      <c r="A15" s="57">
        <v>60003</v>
      </c>
      <c r="B15" s="57">
        <v>1</v>
      </c>
      <c r="C15" s="57">
        <v>0</v>
      </c>
      <c r="D15" s="57">
        <v>50000</v>
      </c>
    </row>
    <row r="16" spans="1:7">
      <c r="A16" s="57">
        <v>60003</v>
      </c>
      <c r="B16" s="57">
        <v>2</v>
      </c>
      <c r="C16" s="57">
        <v>-10000</v>
      </c>
      <c r="D16" s="57">
        <v>50000</v>
      </c>
    </row>
    <row r="17" spans="1:4">
      <c r="A17" s="57">
        <v>60003</v>
      </c>
      <c r="B17" s="57">
        <v>3</v>
      </c>
      <c r="C17" s="57">
        <v>-10000</v>
      </c>
      <c r="D17" s="57">
        <v>50000</v>
      </c>
    </row>
    <row r="18" spans="1:4">
      <c r="A18" s="57">
        <v>60003</v>
      </c>
      <c r="B18" s="57">
        <v>5</v>
      </c>
      <c r="C18" s="57">
        <v>-10000</v>
      </c>
      <c r="D18" s="57">
        <v>50000</v>
      </c>
    </row>
    <row r="19" spans="1:4">
      <c r="A19" s="57">
        <v>60003</v>
      </c>
      <c r="B19" s="57">
        <v>10</v>
      </c>
      <c r="C19" s="57">
        <v>-15000</v>
      </c>
      <c r="D19" s="57">
        <v>50000</v>
      </c>
    </row>
    <row r="20" spans="1:4">
      <c r="A20" s="57">
        <v>60004</v>
      </c>
      <c r="B20" s="57">
        <v>0</v>
      </c>
      <c r="C20" s="57">
        <v>0</v>
      </c>
      <c r="D20" s="57">
        <v>25000</v>
      </c>
    </row>
    <row r="21" spans="1:4">
      <c r="A21" s="57">
        <v>60004</v>
      </c>
      <c r="B21" s="57">
        <v>1</v>
      </c>
      <c r="C21" s="57">
        <v>0</v>
      </c>
      <c r="D21" s="57">
        <v>20000</v>
      </c>
    </row>
    <row r="22" spans="1:4">
      <c r="A22" s="57">
        <v>60004</v>
      </c>
      <c r="B22" s="57">
        <v>2</v>
      </c>
      <c r="C22" s="57">
        <v>-2500</v>
      </c>
      <c r="D22" s="57">
        <v>20000</v>
      </c>
    </row>
    <row r="23" spans="1:4">
      <c r="A23" s="57">
        <v>60004</v>
      </c>
      <c r="B23" s="57">
        <v>3</v>
      </c>
      <c r="C23" s="57">
        <v>-2500</v>
      </c>
      <c r="D23" s="57">
        <v>20000</v>
      </c>
    </row>
    <row r="24" spans="1:4">
      <c r="A24" s="57">
        <v>60004</v>
      </c>
      <c r="B24" s="57">
        <v>5</v>
      </c>
      <c r="C24" s="57">
        <v>-2000</v>
      </c>
      <c r="D24" s="57">
        <v>20000</v>
      </c>
    </row>
    <row r="25" spans="1:4">
      <c r="A25" s="57">
        <v>60004</v>
      </c>
      <c r="B25" s="57">
        <v>10</v>
      </c>
      <c r="C25" s="57">
        <v>-5000</v>
      </c>
      <c r="D25" s="57">
        <v>20000</v>
      </c>
    </row>
  </sheetData>
  <phoneticPr fontId="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D33"/>
  <sheetViews>
    <sheetView tabSelected="1" workbookViewId="0">
      <selection activeCell="D22" sqref="D22"/>
    </sheetView>
  </sheetViews>
  <sheetFormatPr baseColWidth="12" defaultRowHeight="18" x14ac:dyDescent="0"/>
  <sheetData>
    <row r="1" spans="1:4">
      <c r="A1" s="58" t="s">
        <v>245</v>
      </c>
      <c r="B1" s="58" t="s">
        <v>246</v>
      </c>
      <c r="C1" s="58" t="s">
        <v>247</v>
      </c>
      <c r="D1" s="58" t="s">
        <v>248</v>
      </c>
    </row>
    <row r="2" spans="1:4">
      <c r="A2" s="57">
        <v>60001</v>
      </c>
      <c r="B2" s="57">
        <v>0</v>
      </c>
      <c r="C2" s="57">
        <v>1</v>
      </c>
      <c r="D2" s="57">
        <v>0</v>
      </c>
    </row>
    <row r="3" spans="1:4">
      <c r="A3" s="57">
        <v>60001</v>
      </c>
      <c r="B3" s="57">
        <v>5000</v>
      </c>
      <c r="C3" s="57">
        <v>1</v>
      </c>
      <c r="D3" s="57">
        <v>5000</v>
      </c>
    </row>
    <row r="4" spans="1:4">
      <c r="A4" s="57">
        <v>60001</v>
      </c>
      <c r="B4" s="57">
        <v>10000</v>
      </c>
      <c r="C4" s="57">
        <v>1</v>
      </c>
      <c r="D4" s="57">
        <v>10000</v>
      </c>
    </row>
    <row r="5" spans="1:4">
      <c r="A5" s="57">
        <v>60001</v>
      </c>
      <c r="B5" s="57">
        <v>20000</v>
      </c>
      <c r="C5" s="57">
        <v>1</v>
      </c>
      <c r="D5" s="57">
        <v>20000</v>
      </c>
    </row>
    <row r="6" spans="1:4">
      <c r="A6" s="57">
        <v>60001</v>
      </c>
      <c r="B6" s="57">
        <v>50000</v>
      </c>
      <c r="C6" s="57">
        <v>1</v>
      </c>
      <c r="D6" s="57">
        <v>25000</v>
      </c>
    </row>
    <row r="7" spans="1:4">
      <c r="A7" s="57">
        <v>60001</v>
      </c>
      <c r="B7" s="57">
        <v>100000</v>
      </c>
      <c r="C7" s="57">
        <v>1.1000000000000001</v>
      </c>
      <c r="D7" s="57">
        <v>30000</v>
      </c>
    </row>
    <row r="8" spans="1:4">
      <c r="A8" s="57">
        <v>60001</v>
      </c>
      <c r="B8" s="57">
        <v>300000</v>
      </c>
      <c r="C8" s="57">
        <v>1.2</v>
      </c>
      <c r="D8" s="57">
        <v>30000</v>
      </c>
    </row>
    <row r="9" spans="1:4">
      <c r="A9" s="57">
        <v>60001</v>
      </c>
      <c r="B9" s="57">
        <v>600000</v>
      </c>
      <c r="C9" s="57">
        <v>1.3</v>
      </c>
      <c r="D9" s="57">
        <v>30000</v>
      </c>
    </row>
    <row r="10" spans="1:4">
      <c r="A10" s="57">
        <v>60002</v>
      </c>
      <c r="B10" s="57">
        <v>0</v>
      </c>
      <c r="C10" s="57">
        <v>1</v>
      </c>
      <c r="D10" s="57">
        <v>0</v>
      </c>
    </row>
    <row r="11" spans="1:4">
      <c r="A11" s="57">
        <v>60002</v>
      </c>
      <c r="B11" s="57">
        <v>5000</v>
      </c>
      <c r="C11" s="57">
        <v>1</v>
      </c>
      <c r="D11" s="57">
        <v>5000</v>
      </c>
    </row>
    <row r="12" spans="1:4">
      <c r="A12" s="57">
        <v>60002</v>
      </c>
      <c r="B12" s="57">
        <v>10000</v>
      </c>
      <c r="C12" s="57">
        <v>1</v>
      </c>
      <c r="D12" s="57">
        <v>10000</v>
      </c>
    </row>
    <row r="13" spans="1:4">
      <c r="A13" s="57">
        <v>60002</v>
      </c>
      <c r="B13" s="57">
        <v>20000</v>
      </c>
      <c r="C13" s="57">
        <v>1</v>
      </c>
      <c r="D13" s="57">
        <v>20000</v>
      </c>
    </row>
    <row r="14" spans="1:4">
      <c r="A14" s="57">
        <v>60002</v>
      </c>
      <c r="B14" s="57">
        <v>50000</v>
      </c>
      <c r="C14" s="57">
        <v>1</v>
      </c>
      <c r="D14" s="57">
        <v>25000</v>
      </c>
    </row>
    <row r="15" spans="1:4">
      <c r="A15" s="57">
        <v>60002</v>
      </c>
      <c r="B15" s="57">
        <v>100000</v>
      </c>
      <c r="C15" s="57">
        <v>1.1000000000000001</v>
      </c>
      <c r="D15" s="57">
        <v>30000</v>
      </c>
    </row>
    <row r="16" spans="1:4">
      <c r="A16" s="57">
        <v>60002</v>
      </c>
      <c r="B16" s="57">
        <v>300000</v>
      </c>
      <c r="C16" s="57">
        <v>1.2</v>
      </c>
      <c r="D16" s="57">
        <v>30000</v>
      </c>
    </row>
    <row r="17" spans="1:4">
      <c r="A17" s="57">
        <v>60002</v>
      </c>
      <c r="B17" s="57">
        <v>600000</v>
      </c>
      <c r="C17" s="57">
        <v>1.3</v>
      </c>
      <c r="D17" s="57">
        <v>30000</v>
      </c>
    </row>
    <row r="18" spans="1:4">
      <c r="A18" s="57">
        <v>60003</v>
      </c>
      <c r="B18" s="57">
        <v>0</v>
      </c>
      <c r="C18" s="57">
        <v>1</v>
      </c>
      <c r="D18" s="57">
        <v>0</v>
      </c>
    </row>
    <row r="19" spans="1:4">
      <c r="A19" s="57">
        <v>60003</v>
      </c>
      <c r="B19" s="57">
        <v>5000</v>
      </c>
      <c r="C19" s="57">
        <v>1</v>
      </c>
      <c r="D19" s="57">
        <v>5000</v>
      </c>
    </row>
    <row r="20" spans="1:4">
      <c r="A20" s="57">
        <v>60003</v>
      </c>
      <c r="B20" s="57">
        <v>10000</v>
      </c>
      <c r="C20" s="57">
        <v>1</v>
      </c>
      <c r="D20" s="57">
        <v>10000</v>
      </c>
    </row>
    <row r="21" spans="1:4">
      <c r="A21" s="57">
        <v>60003</v>
      </c>
      <c r="B21" s="57">
        <v>20000</v>
      </c>
      <c r="C21" s="57">
        <v>1</v>
      </c>
      <c r="D21" s="57">
        <v>20000</v>
      </c>
    </row>
    <row r="22" spans="1:4">
      <c r="A22" s="57">
        <v>60003</v>
      </c>
      <c r="B22" s="57">
        <v>50000</v>
      </c>
      <c r="C22" s="57">
        <v>1</v>
      </c>
      <c r="D22" s="57">
        <v>25000</v>
      </c>
    </row>
    <row r="23" spans="1:4">
      <c r="A23" s="57">
        <v>60003</v>
      </c>
      <c r="B23" s="57">
        <v>100000</v>
      </c>
      <c r="C23" s="57">
        <v>1.1000000000000001</v>
      </c>
      <c r="D23" s="57">
        <v>30000</v>
      </c>
    </row>
    <row r="24" spans="1:4">
      <c r="A24" s="57">
        <v>60003</v>
      </c>
      <c r="B24" s="57">
        <v>300000</v>
      </c>
      <c r="C24" s="57">
        <v>1.2</v>
      </c>
      <c r="D24" s="57">
        <v>30000</v>
      </c>
    </row>
    <row r="25" spans="1:4">
      <c r="A25" s="57">
        <v>60003</v>
      </c>
      <c r="B25" s="57">
        <v>600000</v>
      </c>
      <c r="C25" s="57">
        <v>1.3</v>
      </c>
      <c r="D25" s="57">
        <v>30000</v>
      </c>
    </row>
    <row r="26" spans="1:4">
      <c r="A26" s="57">
        <v>60004</v>
      </c>
      <c r="B26" s="57">
        <v>0</v>
      </c>
      <c r="C26" s="57">
        <v>1</v>
      </c>
      <c r="D26" s="57">
        <v>0</v>
      </c>
    </row>
    <row r="27" spans="1:4">
      <c r="A27" s="57">
        <v>60004</v>
      </c>
      <c r="B27" s="57">
        <v>5000</v>
      </c>
      <c r="C27" s="57">
        <v>1</v>
      </c>
      <c r="D27" s="57">
        <v>5000</v>
      </c>
    </row>
    <row r="28" spans="1:4">
      <c r="A28" s="57">
        <v>60004</v>
      </c>
      <c r="B28" s="57">
        <v>10000</v>
      </c>
      <c r="C28" s="57">
        <v>1</v>
      </c>
      <c r="D28" s="57">
        <v>10000</v>
      </c>
    </row>
    <row r="29" spans="1:4">
      <c r="A29" s="57">
        <v>60004</v>
      </c>
      <c r="B29" s="57">
        <v>20000</v>
      </c>
      <c r="C29" s="57">
        <v>1</v>
      </c>
      <c r="D29" s="57">
        <v>20000</v>
      </c>
    </row>
    <row r="30" spans="1:4">
      <c r="A30" s="57">
        <v>60004</v>
      </c>
      <c r="B30" s="57">
        <v>50000</v>
      </c>
      <c r="C30" s="57">
        <v>1</v>
      </c>
      <c r="D30" s="57">
        <v>25000</v>
      </c>
    </row>
    <row r="31" spans="1:4">
      <c r="A31" s="57">
        <v>60004</v>
      </c>
      <c r="B31" s="57">
        <v>100000</v>
      </c>
      <c r="C31" s="57">
        <v>1.1000000000000001</v>
      </c>
      <c r="D31" s="57">
        <v>30000</v>
      </c>
    </row>
    <row r="32" spans="1:4">
      <c r="A32" s="57">
        <v>60004</v>
      </c>
      <c r="B32" s="57">
        <v>300000</v>
      </c>
      <c r="C32" s="57">
        <v>1.2</v>
      </c>
      <c r="D32" s="57">
        <v>30000</v>
      </c>
    </row>
    <row r="33" spans="1:4">
      <c r="A33" s="57">
        <v>60004</v>
      </c>
      <c r="B33" s="57">
        <v>600000</v>
      </c>
      <c r="C33" s="57">
        <v>1.3</v>
      </c>
      <c r="D33" s="57">
        <v>30000</v>
      </c>
    </row>
  </sheetData>
  <phoneticPr fontId="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D53"/>
  <sheetViews>
    <sheetView topLeftCell="A25" workbookViewId="0">
      <selection activeCell="D40" sqref="D40"/>
    </sheetView>
  </sheetViews>
  <sheetFormatPr baseColWidth="12" defaultRowHeight="18" x14ac:dyDescent="0"/>
  <sheetData>
    <row r="1" spans="1:4">
      <c r="A1" s="58" t="s">
        <v>245</v>
      </c>
      <c r="B1" s="58" t="s">
        <v>246</v>
      </c>
      <c r="C1" s="58" t="s">
        <v>247</v>
      </c>
      <c r="D1" s="58" t="s">
        <v>248</v>
      </c>
    </row>
    <row r="2" spans="1:4">
      <c r="A2" s="57">
        <v>60001</v>
      </c>
      <c r="B2" s="57">
        <v>0</v>
      </c>
      <c r="C2" s="57">
        <v>0</v>
      </c>
      <c r="D2" s="57">
        <v>0</v>
      </c>
    </row>
    <row r="3" spans="1:4">
      <c r="A3" s="57">
        <v>60001</v>
      </c>
      <c r="B3" s="57">
        <v>0.2</v>
      </c>
      <c r="C3" s="57">
        <v>0</v>
      </c>
      <c r="D3" s="57">
        <v>-2500</v>
      </c>
    </row>
    <row r="4" spans="1:4">
      <c r="A4" s="57">
        <v>60001</v>
      </c>
      <c r="B4" s="57">
        <v>0.4</v>
      </c>
      <c r="C4" s="57">
        <v>0</v>
      </c>
      <c r="D4" s="57">
        <v>-4000</v>
      </c>
    </row>
    <row r="5" spans="1:4">
      <c r="A5" s="57">
        <v>60001</v>
      </c>
      <c r="B5" s="57">
        <v>0.6</v>
      </c>
      <c r="C5" s="57">
        <v>0</v>
      </c>
      <c r="D5" s="57">
        <v>-6000</v>
      </c>
    </row>
    <row r="6" spans="1:4">
      <c r="A6" s="57">
        <v>60001</v>
      </c>
      <c r="B6" s="57">
        <v>0.8</v>
      </c>
      <c r="C6" s="57">
        <v>0</v>
      </c>
      <c r="D6" s="57">
        <v>-8000</v>
      </c>
    </row>
    <row r="7" spans="1:4">
      <c r="A7" s="57">
        <v>60001</v>
      </c>
      <c r="B7" s="57">
        <v>1</v>
      </c>
      <c r="C7" s="57">
        <v>0</v>
      </c>
      <c r="D7" s="57">
        <v>-10000</v>
      </c>
    </row>
    <row r="8" spans="1:4">
      <c r="A8" s="57">
        <v>60001</v>
      </c>
      <c r="B8" s="57">
        <v>2</v>
      </c>
      <c r="C8" s="57">
        <v>0</v>
      </c>
      <c r="D8" s="57">
        <v>-20000</v>
      </c>
    </row>
    <row r="9" spans="1:4">
      <c r="A9" s="57">
        <v>60001</v>
      </c>
      <c r="B9" s="57">
        <v>3</v>
      </c>
      <c r="C9" s="57">
        <v>0</v>
      </c>
      <c r="D9" s="57">
        <v>-30000</v>
      </c>
    </row>
    <row r="10" spans="1:4">
      <c r="A10" s="57">
        <v>60001</v>
      </c>
      <c r="B10" s="57">
        <v>4</v>
      </c>
      <c r="C10" s="57">
        <v>0</v>
      </c>
      <c r="D10" s="57">
        <v>-45000</v>
      </c>
    </row>
    <row r="11" spans="1:4">
      <c r="A11" s="57">
        <v>60001</v>
      </c>
      <c r="B11" s="57">
        <v>5</v>
      </c>
      <c r="C11" s="57">
        <v>0</v>
      </c>
      <c r="D11" s="57">
        <v>-60000</v>
      </c>
    </row>
    <row r="12" spans="1:4">
      <c r="A12" s="57">
        <v>60001</v>
      </c>
      <c r="B12" s="57">
        <v>6</v>
      </c>
      <c r="C12" s="57">
        <v>0</v>
      </c>
      <c r="D12" s="57">
        <v>-75000</v>
      </c>
    </row>
    <row r="13" spans="1:4">
      <c r="A13" s="57">
        <v>60001</v>
      </c>
      <c r="B13" s="57">
        <v>7</v>
      </c>
      <c r="C13" s="57">
        <v>0</v>
      </c>
      <c r="D13" s="57">
        <v>-90000</v>
      </c>
    </row>
    <row r="14" spans="1:4">
      <c r="A14" s="57">
        <v>60001</v>
      </c>
      <c r="B14" s="57">
        <v>8</v>
      </c>
      <c r="C14" s="57">
        <v>0</v>
      </c>
      <c r="D14" s="57">
        <v>-100000</v>
      </c>
    </row>
    <row r="15" spans="1:4">
      <c r="A15" s="57">
        <v>60002</v>
      </c>
      <c r="B15" s="57">
        <v>0</v>
      </c>
      <c r="C15" s="57">
        <v>0</v>
      </c>
      <c r="D15" s="57">
        <v>0</v>
      </c>
    </row>
    <row r="16" spans="1:4">
      <c r="A16" s="57">
        <v>60002</v>
      </c>
      <c r="B16" s="57">
        <v>0.2</v>
      </c>
      <c r="C16" s="57">
        <v>0</v>
      </c>
      <c r="D16" s="57">
        <v>-2500</v>
      </c>
    </row>
    <row r="17" spans="1:4">
      <c r="A17" s="57">
        <v>60002</v>
      </c>
      <c r="B17" s="57">
        <v>0.4</v>
      </c>
      <c r="C17" s="57">
        <v>0</v>
      </c>
      <c r="D17" s="57">
        <v>-4000</v>
      </c>
    </row>
    <row r="18" spans="1:4">
      <c r="A18" s="57">
        <v>60002</v>
      </c>
      <c r="B18" s="57">
        <v>0.6</v>
      </c>
      <c r="C18" s="57">
        <v>0</v>
      </c>
      <c r="D18" s="57">
        <v>-6000</v>
      </c>
    </row>
    <row r="19" spans="1:4">
      <c r="A19" s="57">
        <v>60002</v>
      </c>
      <c r="B19" s="57">
        <v>0.8</v>
      </c>
      <c r="C19" s="57">
        <v>0</v>
      </c>
      <c r="D19" s="57">
        <v>-8000</v>
      </c>
    </row>
    <row r="20" spans="1:4">
      <c r="A20" s="57">
        <v>60002</v>
      </c>
      <c r="B20" s="57">
        <v>1</v>
      </c>
      <c r="C20" s="57">
        <v>0</v>
      </c>
      <c r="D20" s="57">
        <v>-10000</v>
      </c>
    </row>
    <row r="21" spans="1:4">
      <c r="A21" s="57">
        <v>60002</v>
      </c>
      <c r="B21" s="57">
        <v>2</v>
      </c>
      <c r="C21" s="57">
        <v>0</v>
      </c>
      <c r="D21" s="57">
        <v>-20000</v>
      </c>
    </row>
    <row r="22" spans="1:4">
      <c r="A22" s="57">
        <v>60002</v>
      </c>
      <c r="B22" s="57">
        <v>3</v>
      </c>
      <c r="C22" s="57">
        <v>0</v>
      </c>
      <c r="D22" s="57">
        <v>-30000</v>
      </c>
    </row>
    <row r="23" spans="1:4">
      <c r="A23" s="57">
        <v>60002</v>
      </c>
      <c r="B23" s="57">
        <v>4</v>
      </c>
      <c r="C23" s="57">
        <v>0</v>
      </c>
      <c r="D23" s="57">
        <v>-45000</v>
      </c>
    </row>
    <row r="24" spans="1:4">
      <c r="A24" s="57">
        <v>60002</v>
      </c>
      <c r="B24" s="57">
        <v>5</v>
      </c>
      <c r="C24" s="57">
        <v>0</v>
      </c>
      <c r="D24" s="57">
        <v>-60000</v>
      </c>
    </row>
    <row r="25" spans="1:4">
      <c r="A25" s="57">
        <v>60002</v>
      </c>
      <c r="B25" s="57">
        <v>6</v>
      </c>
      <c r="C25" s="57">
        <v>0</v>
      </c>
      <c r="D25" s="57">
        <v>-75000</v>
      </c>
    </row>
    <row r="26" spans="1:4">
      <c r="A26" s="57">
        <v>60002</v>
      </c>
      <c r="B26" s="57">
        <v>7</v>
      </c>
      <c r="C26" s="57">
        <v>0</v>
      </c>
      <c r="D26" s="57">
        <v>-90000</v>
      </c>
    </row>
    <row r="27" spans="1:4">
      <c r="A27" s="57">
        <v>60002</v>
      </c>
      <c r="B27" s="57">
        <v>8</v>
      </c>
      <c r="C27" s="57">
        <v>0</v>
      </c>
      <c r="D27" s="57">
        <v>-100000</v>
      </c>
    </row>
    <row r="28" spans="1:4">
      <c r="A28" s="57">
        <v>60003</v>
      </c>
      <c r="B28" s="57">
        <v>0</v>
      </c>
      <c r="C28" s="57">
        <v>0</v>
      </c>
      <c r="D28" s="57">
        <v>0</v>
      </c>
    </row>
    <row r="29" spans="1:4">
      <c r="A29" s="57">
        <v>60003</v>
      </c>
      <c r="B29" s="57">
        <v>0.2</v>
      </c>
      <c r="C29" s="57">
        <v>0</v>
      </c>
      <c r="D29" s="57">
        <f>D16*3</f>
        <v>-7500</v>
      </c>
    </row>
    <row r="30" spans="1:4">
      <c r="A30" s="57">
        <v>60003</v>
      </c>
      <c r="B30" s="57">
        <v>0.4</v>
      </c>
      <c r="C30" s="57">
        <v>0</v>
      </c>
      <c r="D30" s="57">
        <f t="shared" ref="D30:D40" si="0">D17*3</f>
        <v>-12000</v>
      </c>
    </row>
    <row r="31" spans="1:4">
      <c r="A31" s="57">
        <v>60003</v>
      </c>
      <c r="B31" s="57">
        <v>0.6</v>
      </c>
      <c r="C31" s="57">
        <v>0</v>
      </c>
      <c r="D31" s="57">
        <f t="shared" si="0"/>
        <v>-18000</v>
      </c>
    </row>
    <row r="32" spans="1:4">
      <c r="A32" s="57">
        <v>60003</v>
      </c>
      <c r="B32" s="57">
        <v>0.8</v>
      </c>
      <c r="C32" s="57">
        <v>0</v>
      </c>
      <c r="D32" s="57">
        <f t="shared" si="0"/>
        <v>-24000</v>
      </c>
    </row>
    <row r="33" spans="1:4">
      <c r="A33" s="57">
        <v>60003</v>
      </c>
      <c r="B33" s="57">
        <v>1</v>
      </c>
      <c r="C33" s="57">
        <v>0</v>
      </c>
      <c r="D33" s="57">
        <f t="shared" si="0"/>
        <v>-30000</v>
      </c>
    </row>
    <row r="34" spans="1:4">
      <c r="A34" s="57">
        <v>60003</v>
      </c>
      <c r="B34" s="57">
        <v>2</v>
      </c>
      <c r="C34" s="57">
        <v>0</v>
      </c>
      <c r="D34" s="57">
        <f t="shared" si="0"/>
        <v>-60000</v>
      </c>
    </row>
    <row r="35" spans="1:4">
      <c r="A35" s="57">
        <v>60003</v>
      </c>
      <c r="B35" s="57">
        <v>3</v>
      </c>
      <c r="C35" s="57">
        <v>0</v>
      </c>
      <c r="D35" s="57">
        <f t="shared" si="0"/>
        <v>-90000</v>
      </c>
    </row>
    <row r="36" spans="1:4">
      <c r="A36" s="57">
        <v>60003</v>
      </c>
      <c r="B36" s="57">
        <v>4</v>
      </c>
      <c r="C36" s="57">
        <v>0</v>
      </c>
      <c r="D36" s="57">
        <f t="shared" si="0"/>
        <v>-135000</v>
      </c>
    </row>
    <row r="37" spans="1:4">
      <c r="A37" s="57">
        <v>60003</v>
      </c>
      <c r="B37" s="57">
        <v>5</v>
      </c>
      <c r="C37" s="57">
        <v>0</v>
      </c>
      <c r="D37" s="57">
        <f t="shared" si="0"/>
        <v>-180000</v>
      </c>
    </row>
    <row r="38" spans="1:4">
      <c r="A38" s="57">
        <v>60003</v>
      </c>
      <c r="B38" s="57">
        <v>6</v>
      </c>
      <c r="C38" s="57">
        <v>0</v>
      </c>
      <c r="D38" s="57">
        <f t="shared" si="0"/>
        <v>-225000</v>
      </c>
    </row>
    <row r="39" spans="1:4">
      <c r="A39" s="57">
        <v>60003</v>
      </c>
      <c r="B39" s="57">
        <v>7</v>
      </c>
      <c r="C39" s="57">
        <v>0</v>
      </c>
      <c r="D39" s="57">
        <f t="shared" si="0"/>
        <v>-270000</v>
      </c>
    </row>
    <row r="40" spans="1:4">
      <c r="A40" s="57">
        <v>60003</v>
      </c>
      <c r="B40" s="57">
        <v>8</v>
      </c>
      <c r="C40" s="57">
        <v>0</v>
      </c>
      <c r="D40" s="57">
        <f t="shared" si="0"/>
        <v>-300000</v>
      </c>
    </row>
    <row r="41" spans="1:4">
      <c r="A41" s="57">
        <v>60004</v>
      </c>
      <c r="B41" s="57">
        <v>0</v>
      </c>
      <c r="C41" s="57">
        <v>0</v>
      </c>
      <c r="D41" s="57">
        <v>0</v>
      </c>
    </row>
    <row r="42" spans="1:4">
      <c r="A42" s="57">
        <v>60004</v>
      </c>
      <c r="B42" s="57">
        <v>0.2</v>
      </c>
      <c r="C42" s="57">
        <v>0</v>
      </c>
      <c r="D42" s="57">
        <v>-2500</v>
      </c>
    </row>
    <row r="43" spans="1:4">
      <c r="A43" s="57">
        <v>60004</v>
      </c>
      <c r="B43" s="57">
        <v>0.4</v>
      </c>
      <c r="C43" s="57">
        <v>0</v>
      </c>
      <c r="D43" s="57">
        <v>-4000</v>
      </c>
    </row>
    <row r="44" spans="1:4">
      <c r="A44" s="57">
        <v>60004</v>
      </c>
      <c r="B44" s="57">
        <v>0.6</v>
      </c>
      <c r="C44" s="57">
        <v>0</v>
      </c>
      <c r="D44" s="57">
        <v>-6000</v>
      </c>
    </row>
    <row r="45" spans="1:4">
      <c r="A45" s="57">
        <v>60004</v>
      </c>
      <c r="B45" s="57">
        <v>0.8</v>
      </c>
      <c r="C45" s="57">
        <v>0</v>
      </c>
      <c r="D45" s="57">
        <v>-8000</v>
      </c>
    </row>
    <row r="46" spans="1:4">
      <c r="A46" s="57">
        <v>60004</v>
      </c>
      <c r="B46" s="57">
        <v>1</v>
      </c>
      <c r="C46" s="57">
        <v>0</v>
      </c>
      <c r="D46" s="57">
        <v>-10000</v>
      </c>
    </row>
    <row r="47" spans="1:4">
      <c r="A47" s="57">
        <v>60004</v>
      </c>
      <c r="B47" s="57">
        <v>2</v>
      </c>
      <c r="C47" s="57">
        <v>0</v>
      </c>
      <c r="D47" s="57">
        <v>-20000</v>
      </c>
    </row>
    <row r="48" spans="1:4">
      <c r="A48" s="57">
        <v>60004</v>
      </c>
      <c r="B48" s="57">
        <v>3</v>
      </c>
      <c r="C48" s="57">
        <v>0</v>
      </c>
      <c r="D48" s="57">
        <v>-30000</v>
      </c>
    </row>
    <row r="49" spans="1:4">
      <c r="A49" s="57">
        <v>60004</v>
      </c>
      <c r="B49" s="57">
        <v>4</v>
      </c>
      <c r="C49" s="57">
        <v>0</v>
      </c>
      <c r="D49" s="57">
        <v>-45000</v>
      </c>
    </row>
    <row r="50" spans="1:4">
      <c r="A50" s="57">
        <v>60004</v>
      </c>
      <c r="B50" s="57">
        <v>5</v>
      </c>
      <c r="C50" s="57">
        <v>0</v>
      </c>
      <c r="D50" s="57">
        <v>-60000</v>
      </c>
    </row>
    <row r="51" spans="1:4">
      <c r="A51" s="57">
        <v>60004</v>
      </c>
      <c r="B51" s="57">
        <v>6</v>
      </c>
      <c r="C51" s="57">
        <v>0</v>
      </c>
      <c r="D51" s="57">
        <v>-75000</v>
      </c>
    </row>
    <row r="52" spans="1:4">
      <c r="A52" s="57">
        <v>60004</v>
      </c>
      <c r="B52" s="57">
        <v>7</v>
      </c>
      <c r="C52" s="57">
        <v>0</v>
      </c>
      <c r="D52" s="57">
        <v>-90000</v>
      </c>
    </row>
    <row r="53" spans="1:4">
      <c r="A53" s="57">
        <v>60004</v>
      </c>
      <c r="B53" s="57">
        <v>8</v>
      </c>
      <c r="C53" s="57">
        <v>0</v>
      </c>
      <c r="D53" s="57">
        <v>-100000</v>
      </c>
    </row>
  </sheetData>
  <phoneticPr fontId="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57"/>
  <sheetViews>
    <sheetView topLeftCell="A25" workbookViewId="0">
      <selection activeCell="D31" sqref="D31"/>
    </sheetView>
  </sheetViews>
  <sheetFormatPr baseColWidth="12" defaultRowHeight="18" x14ac:dyDescent="0"/>
  <cols>
    <col min="7" max="7" width="34.5" bestFit="1" customWidth="1"/>
  </cols>
  <sheetData>
    <row r="1" spans="1:7">
      <c r="A1" s="58" t="s">
        <v>255</v>
      </c>
      <c r="B1" s="58" t="s">
        <v>256</v>
      </c>
      <c r="C1" s="58" t="s">
        <v>257</v>
      </c>
      <c r="D1" s="58" t="s">
        <v>258</v>
      </c>
      <c r="E1" s="105" t="s">
        <v>259</v>
      </c>
      <c r="F1" s="105" t="s">
        <v>260</v>
      </c>
      <c r="G1" s="105" t="s">
        <v>261</v>
      </c>
    </row>
    <row r="2" spans="1:7" s="113" customFormat="1">
      <c r="A2" s="112">
        <v>1</v>
      </c>
      <c r="B2" s="112">
        <v>60001</v>
      </c>
      <c r="C2" s="112">
        <v>1</v>
      </c>
      <c r="D2" s="112">
        <v>5000000</v>
      </c>
      <c r="E2" s="112" t="s">
        <v>263</v>
      </c>
      <c r="F2" s="112" t="s">
        <v>262</v>
      </c>
      <c r="G2" s="112" t="s">
        <v>264</v>
      </c>
    </row>
    <row r="3" spans="1:7" s="113" customFormat="1">
      <c r="A3" s="112">
        <v>2</v>
      </c>
      <c r="B3" s="112">
        <v>60001</v>
      </c>
      <c r="C3" s="112">
        <v>1</v>
      </c>
      <c r="D3" s="112">
        <v>3500000</v>
      </c>
      <c r="E3" s="112" t="s">
        <v>263</v>
      </c>
      <c r="F3" s="112" t="s">
        <v>361</v>
      </c>
      <c r="G3" s="112" t="s">
        <v>374</v>
      </c>
    </row>
    <row r="4" spans="1:7" s="113" customFormat="1">
      <c r="A4" s="112">
        <v>3</v>
      </c>
      <c r="B4" s="112">
        <v>60001</v>
      </c>
      <c r="C4" s="112">
        <v>1</v>
      </c>
      <c r="D4" s="112">
        <v>2000000</v>
      </c>
      <c r="E4" s="112" t="s">
        <v>263</v>
      </c>
      <c r="F4" s="112" t="s">
        <v>362</v>
      </c>
      <c r="G4" s="112" t="s">
        <v>373</v>
      </c>
    </row>
    <row r="5" spans="1:7" s="113" customFormat="1">
      <c r="A5" s="112">
        <v>4</v>
      </c>
      <c r="B5" s="112">
        <v>60001</v>
      </c>
      <c r="C5" s="112">
        <v>1</v>
      </c>
      <c r="D5" s="112">
        <v>1500000</v>
      </c>
      <c r="E5" s="112" t="s">
        <v>263</v>
      </c>
      <c r="F5" s="112" t="s">
        <v>363</v>
      </c>
      <c r="G5" s="112" t="s">
        <v>372</v>
      </c>
    </row>
    <row r="6" spans="1:7" s="113" customFormat="1">
      <c r="A6" s="112">
        <v>5</v>
      </c>
      <c r="B6" s="112">
        <v>60001</v>
      </c>
      <c r="C6" s="112">
        <v>1</v>
      </c>
      <c r="D6" s="112">
        <v>1000000</v>
      </c>
      <c r="E6" s="112" t="s">
        <v>263</v>
      </c>
      <c r="F6" s="112" t="s">
        <v>364</v>
      </c>
      <c r="G6" s="112" t="s">
        <v>371</v>
      </c>
    </row>
    <row r="7" spans="1:7" s="113" customFormat="1">
      <c r="A7" s="112">
        <v>6</v>
      </c>
      <c r="B7" s="112">
        <v>60001</v>
      </c>
      <c r="C7" s="112">
        <v>1</v>
      </c>
      <c r="D7" s="112">
        <v>500000</v>
      </c>
      <c r="E7" s="112" t="s">
        <v>263</v>
      </c>
      <c r="F7" s="112" t="s">
        <v>365</v>
      </c>
      <c r="G7" s="112" t="s">
        <v>370</v>
      </c>
    </row>
    <row r="8" spans="1:7" s="113" customFormat="1">
      <c r="A8" s="112">
        <v>7</v>
      </c>
      <c r="B8" s="112">
        <v>60001</v>
      </c>
      <c r="C8" s="112">
        <v>1</v>
      </c>
      <c r="D8" s="112">
        <v>250000</v>
      </c>
      <c r="E8" s="112" t="s">
        <v>263</v>
      </c>
      <c r="F8" s="112" t="s">
        <v>366</v>
      </c>
      <c r="G8" s="112" t="s">
        <v>369</v>
      </c>
    </row>
    <row r="9" spans="1:7" s="113" customFormat="1">
      <c r="A9" s="112">
        <v>8</v>
      </c>
      <c r="B9" s="112">
        <v>60001</v>
      </c>
      <c r="C9" s="112">
        <v>1</v>
      </c>
      <c r="D9" s="112">
        <v>0</v>
      </c>
      <c r="E9" s="112" t="s">
        <v>263</v>
      </c>
      <c r="F9" s="112" t="s">
        <v>367</v>
      </c>
      <c r="G9" s="112" t="s">
        <v>368</v>
      </c>
    </row>
    <row r="10" spans="1:7">
      <c r="A10" s="112">
        <v>9</v>
      </c>
      <c r="B10" s="57">
        <v>60002</v>
      </c>
      <c r="C10" s="57">
        <v>1</v>
      </c>
      <c r="D10" s="57">
        <v>5000000</v>
      </c>
      <c r="E10" s="57" t="s">
        <v>263</v>
      </c>
      <c r="F10" s="57" t="s">
        <v>262</v>
      </c>
      <c r="G10" s="57" t="s">
        <v>264</v>
      </c>
    </row>
    <row r="11" spans="1:7">
      <c r="A11" s="112">
        <v>10</v>
      </c>
      <c r="B11" s="57">
        <v>60002</v>
      </c>
      <c r="C11" s="57">
        <v>1</v>
      </c>
      <c r="D11" s="57">
        <v>3500000</v>
      </c>
      <c r="E11" s="57" t="s">
        <v>263</v>
      </c>
      <c r="F11" s="57" t="s">
        <v>361</v>
      </c>
      <c r="G11" s="57" t="s">
        <v>374</v>
      </c>
    </row>
    <row r="12" spans="1:7">
      <c r="A12" s="112">
        <v>11</v>
      </c>
      <c r="B12" s="57">
        <v>60002</v>
      </c>
      <c r="C12" s="57">
        <v>1</v>
      </c>
      <c r="D12" s="57">
        <v>2000000</v>
      </c>
      <c r="E12" s="57" t="s">
        <v>263</v>
      </c>
      <c r="F12" s="57" t="s">
        <v>362</v>
      </c>
      <c r="G12" s="57" t="s">
        <v>373</v>
      </c>
    </row>
    <row r="13" spans="1:7">
      <c r="A13" s="112">
        <v>12</v>
      </c>
      <c r="B13" s="57">
        <v>60002</v>
      </c>
      <c r="C13" s="57">
        <v>1</v>
      </c>
      <c r="D13" s="57">
        <v>1500000</v>
      </c>
      <c r="E13" s="57" t="s">
        <v>263</v>
      </c>
      <c r="F13" s="57" t="s">
        <v>363</v>
      </c>
      <c r="G13" s="57" t="s">
        <v>372</v>
      </c>
    </row>
    <row r="14" spans="1:7">
      <c r="A14" s="112">
        <v>13</v>
      </c>
      <c r="B14" s="57">
        <v>60002</v>
      </c>
      <c r="C14" s="57">
        <v>1</v>
      </c>
      <c r="D14" s="57">
        <v>1000000</v>
      </c>
      <c r="E14" s="57" t="s">
        <v>263</v>
      </c>
      <c r="F14" s="57" t="s">
        <v>364</v>
      </c>
      <c r="G14" s="57" t="s">
        <v>371</v>
      </c>
    </row>
    <row r="15" spans="1:7">
      <c r="A15" s="112">
        <v>14</v>
      </c>
      <c r="B15" s="57">
        <v>60002</v>
      </c>
      <c r="C15" s="57">
        <v>1</v>
      </c>
      <c r="D15" s="57">
        <v>500000</v>
      </c>
      <c r="E15" s="57" t="s">
        <v>263</v>
      </c>
      <c r="F15" s="57" t="s">
        <v>365</v>
      </c>
      <c r="G15" s="57" t="s">
        <v>370</v>
      </c>
    </row>
    <row r="16" spans="1:7">
      <c r="A16" s="112">
        <v>15</v>
      </c>
      <c r="B16" s="57">
        <v>60002</v>
      </c>
      <c r="C16" s="57">
        <v>1</v>
      </c>
      <c r="D16" s="57">
        <v>250000</v>
      </c>
      <c r="E16" s="57" t="s">
        <v>263</v>
      </c>
      <c r="F16" s="57" t="s">
        <v>366</v>
      </c>
      <c r="G16" s="57" t="s">
        <v>369</v>
      </c>
    </row>
    <row r="17" spans="1:7">
      <c r="A17" s="112">
        <v>16</v>
      </c>
      <c r="B17" s="57">
        <v>60002</v>
      </c>
      <c r="C17" s="57">
        <v>1</v>
      </c>
      <c r="D17" s="57">
        <v>0</v>
      </c>
      <c r="E17" s="57" t="s">
        <v>263</v>
      </c>
      <c r="F17" s="57" t="s">
        <v>367</v>
      </c>
      <c r="G17" s="57" t="s">
        <v>368</v>
      </c>
    </row>
    <row r="18" spans="1:7">
      <c r="A18" s="112">
        <v>17</v>
      </c>
      <c r="B18" s="57">
        <v>60002</v>
      </c>
      <c r="C18" s="57">
        <v>2</v>
      </c>
      <c r="D18" s="57">
        <v>5000000</v>
      </c>
      <c r="E18" s="57" t="s">
        <v>263</v>
      </c>
      <c r="F18" s="57" t="s">
        <v>262</v>
      </c>
      <c r="G18" s="57" t="s">
        <v>264</v>
      </c>
    </row>
    <row r="19" spans="1:7">
      <c r="A19" s="112">
        <v>18</v>
      </c>
      <c r="B19" s="57">
        <v>60002</v>
      </c>
      <c r="C19" s="57">
        <v>2</v>
      </c>
      <c r="D19" s="57">
        <v>3500000</v>
      </c>
      <c r="E19" s="57" t="s">
        <v>263</v>
      </c>
      <c r="F19" s="57" t="s">
        <v>361</v>
      </c>
      <c r="G19" s="57" t="s">
        <v>374</v>
      </c>
    </row>
    <row r="20" spans="1:7">
      <c r="A20" s="112">
        <v>19</v>
      </c>
      <c r="B20" s="57">
        <v>60002</v>
      </c>
      <c r="C20" s="57">
        <v>2</v>
      </c>
      <c r="D20" s="57">
        <v>2000000</v>
      </c>
      <c r="E20" s="57" t="s">
        <v>263</v>
      </c>
      <c r="F20" s="57" t="s">
        <v>362</v>
      </c>
      <c r="G20" s="57" t="s">
        <v>373</v>
      </c>
    </row>
    <row r="21" spans="1:7">
      <c r="A21" s="112">
        <v>20</v>
      </c>
      <c r="B21" s="57">
        <v>60002</v>
      </c>
      <c r="C21" s="57">
        <v>2</v>
      </c>
      <c r="D21" s="57">
        <v>1500000</v>
      </c>
      <c r="E21" s="57" t="s">
        <v>263</v>
      </c>
      <c r="F21" s="57" t="s">
        <v>363</v>
      </c>
      <c r="G21" s="57" t="s">
        <v>372</v>
      </c>
    </row>
    <row r="22" spans="1:7">
      <c r="A22" s="112">
        <v>21</v>
      </c>
      <c r="B22" s="57">
        <v>60002</v>
      </c>
      <c r="C22" s="57">
        <v>2</v>
      </c>
      <c r="D22" s="57">
        <v>1000000</v>
      </c>
      <c r="E22" s="57" t="s">
        <v>263</v>
      </c>
      <c r="F22" s="57" t="s">
        <v>364</v>
      </c>
      <c r="G22" s="57" t="s">
        <v>371</v>
      </c>
    </row>
    <row r="23" spans="1:7">
      <c r="A23" s="112">
        <v>22</v>
      </c>
      <c r="B23" s="57">
        <v>60002</v>
      </c>
      <c r="C23" s="57">
        <v>2</v>
      </c>
      <c r="D23" s="57">
        <v>500000</v>
      </c>
      <c r="E23" s="57" t="s">
        <v>263</v>
      </c>
      <c r="F23" s="57" t="s">
        <v>365</v>
      </c>
      <c r="G23" s="57" t="s">
        <v>370</v>
      </c>
    </row>
    <row r="24" spans="1:7">
      <c r="A24" s="112">
        <v>23</v>
      </c>
      <c r="B24" s="57">
        <v>60002</v>
      </c>
      <c r="C24" s="57">
        <v>2</v>
      </c>
      <c r="D24" s="57">
        <v>250000</v>
      </c>
      <c r="E24" s="57" t="s">
        <v>263</v>
      </c>
      <c r="F24" s="57" t="s">
        <v>366</v>
      </c>
      <c r="G24" s="57" t="s">
        <v>369</v>
      </c>
    </row>
    <row r="25" spans="1:7">
      <c r="A25" s="112">
        <v>24</v>
      </c>
      <c r="B25" s="57">
        <v>60002</v>
      </c>
      <c r="C25" s="57">
        <v>2</v>
      </c>
      <c r="D25" s="57">
        <v>0</v>
      </c>
      <c r="E25" s="57" t="s">
        <v>263</v>
      </c>
      <c r="F25" s="57" t="s">
        <v>367</v>
      </c>
      <c r="G25" s="57" t="s">
        <v>368</v>
      </c>
    </row>
    <row r="26" spans="1:7" s="113" customFormat="1">
      <c r="A26" s="112">
        <v>25</v>
      </c>
      <c r="B26" s="112">
        <v>60003</v>
      </c>
      <c r="C26" s="112">
        <v>1</v>
      </c>
      <c r="D26" s="112">
        <f>ROUNDUP(D42/3,-1)</f>
        <v>1666670</v>
      </c>
      <c r="E26" s="112" t="s">
        <v>263</v>
      </c>
      <c r="F26" s="112" t="s">
        <v>262</v>
      </c>
      <c r="G26" s="112" t="s">
        <v>264</v>
      </c>
    </row>
    <row r="27" spans="1:7" s="113" customFormat="1">
      <c r="A27" s="112">
        <v>26</v>
      </c>
      <c r="B27" s="112">
        <v>60003</v>
      </c>
      <c r="C27" s="112">
        <v>1</v>
      </c>
      <c r="D27" s="112">
        <f t="shared" ref="D27:D32" si="0">ROUNDUP(D43/3,-1)</f>
        <v>1166670</v>
      </c>
      <c r="E27" s="112" t="s">
        <v>263</v>
      </c>
      <c r="F27" s="112" t="s">
        <v>361</v>
      </c>
      <c r="G27" s="112" t="s">
        <v>374</v>
      </c>
    </row>
    <row r="28" spans="1:7" s="113" customFormat="1">
      <c r="A28" s="112">
        <v>27</v>
      </c>
      <c r="B28" s="112">
        <v>60003</v>
      </c>
      <c r="C28" s="112">
        <v>1</v>
      </c>
      <c r="D28" s="112">
        <f t="shared" si="0"/>
        <v>666670</v>
      </c>
      <c r="E28" s="112" t="s">
        <v>263</v>
      </c>
      <c r="F28" s="112" t="s">
        <v>362</v>
      </c>
      <c r="G28" s="112" t="s">
        <v>373</v>
      </c>
    </row>
    <row r="29" spans="1:7" s="113" customFormat="1">
      <c r="A29" s="112">
        <v>28</v>
      </c>
      <c r="B29" s="112">
        <v>60003</v>
      </c>
      <c r="C29" s="112">
        <v>1</v>
      </c>
      <c r="D29" s="112">
        <f t="shared" si="0"/>
        <v>500000</v>
      </c>
      <c r="E29" s="112" t="s">
        <v>263</v>
      </c>
      <c r="F29" s="112" t="s">
        <v>363</v>
      </c>
      <c r="G29" s="112" t="s">
        <v>372</v>
      </c>
    </row>
    <row r="30" spans="1:7" s="113" customFormat="1">
      <c r="A30" s="112">
        <v>29</v>
      </c>
      <c r="B30" s="112">
        <v>60003</v>
      </c>
      <c r="C30" s="112">
        <v>1</v>
      </c>
      <c r="D30" s="112">
        <f t="shared" si="0"/>
        <v>333340</v>
      </c>
      <c r="E30" s="112" t="s">
        <v>263</v>
      </c>
      <c r="F30" s="112" t="s">
        <v>364</v>
      </c>
      <c r="G30" s="112" t="s">
        <v>371</v>
      </c>
    </row>
    <row r="31" spans="1:7" s="113" customFormat="1">
      <c r="A31" s="112">
        <v>30</v>
      </c>
      <c r="B31" s="112">
        <v>60003</v>
      </c>
      <c r="C31" s="112">
        <v>1</v>
      </c>
      <c r="D31" s="112">
        <f t="shared" si="0"/>
        <v>166670</v>
      </c>
      <c r="E31" s="112" t="s">
        <v>263</v>
      </c>
      <c r="F31" s="112" t="s">
        <v>365</v>
      </c>
      <c r="G31" s="112" t="s">
        <v>370</v>
      </c>
    </row>
    <row r="32" spans="1:7" s="113" customFormat="1">
      <c r="A32" s="112">
        <v>31</v>
      </c>
      <c r="B32" s="112">
        <v>60003</v>
      </c>
      <c r="C32" s="112">
        <v>1</v>
      </c>
      <c r="D32" s="112">
        <f t="shared" si="0"/>
        <v>83340</v>
      </c>
      <c r="E32" s="112" t="s">
        <v>263</v>
      </c>
      <c r="F32" s="112" t="s">
        <v>366</v>
      </c>
      <c r="G32" s="112" t="s">
        <v>369</v>
      </c>
    </row>
    <row r="33" spans="1:7" s="113" customFormat="1">
      <c r="A33" s="112">
        <v>32</v>
      </c>
      <c r="B33" s="112">
        <v>60003</v>
      </c>
      <c r="C33" s="112">
        <v>1</v>
      </c>
      <c r="D33" s="112">
        <v>0</v>
      </c>
      <c r="E33" s="112" t="s">
        <v>263</v>
      </c>
      <c r="F33" s="112" t="s">
        <v>367</v>
      </c>
      <c r="G33" s="112" t="s">
        <v>368</v>
      </c>
    </row>
    <row r="34" spans="1:7" s="113" customFormat="1">
      <c r="A34" s="112">
        <v>33</v>
      </c>
      <c r="B34" s="112">
        <v>60003</v>
      </c>
      <c r="C34" s="112">
        <v>2</v>
      </c>
      <c r="D34" s="112">
        <f>ROUNDUP(D42/2,-1)</f>
        <v>2500000</v>
      </c>
      <c r="E34" s="112" t="s">
        <v>263</v>
      </c>
      <c r="F34" s="112" t="s">
        <v>262</v>
      </c>
      <c r="G34" s="112" t="s">
        <v>264</v>
      </c>
    </row>
    <row r="35" spans="1:7" s="113" customFormat="1">
      <c r="A35" s="112">
        <v>34</v>
      </c>
      <c r="B35" s="112">
        <v>60003</v>
      </c>
      <c r="C35" s="112">
        <v>2</v>
      </c>
      <c r="D35" s="112">
        <f t="shared" ref="D35:D41" si="1">ROUNDUP(D43/2,-1)</f>
        <v>1750000</v>
      </c>
      <c r="E35" s="112" t="s">
        <v>263</v>
      </c>
      <c r="F35" s="112" t="s">
        <v>361</v>
      </c>
      <c r="G35" s="112" t="s">
        <v>374</v>
      </c>
    </row>
    <row r="36" spans="1:7" s="113" customFormat="1">
      <c r="A36" s="112">
        <v>35</v>
      </c>
      <c r="B36" s="112">
        <v>60003</v>
      </c>
      <c r="C36" s="112">
        <v>2</v>
      </c>
      <c r="D36" s="112">
        <f t="shared" si="1"/>
        <v>1000000</v>
      </c>
      <c r="E36" s="112" t="s">
        <v>263</v>
      </c>
      <c r="F36" s="112" t="s">
        <v>362</v>
      </c>
      <c r="G36" s="112" t="s">
        <v>373</v>
      </c>
    </row>
    <row r="37" spans="1:7" s="113" customFormat="1">
      <c r="A37" s="112">
        <v>36</v>
      </c>
      <c r="B37" s="112">
        <v>60003</v>
      </c>
      <c r="C37" s="112">
        <v>2</v>
      </c>
      <c r="D37" s="112">
        <f t="shared" si="1"/>
        <v>750000</v>
      </c>
      <c r="E37" s="112" t="s">
        <v>263</v>
      </c>
      <c r="F37" s="112" t="s">
        <v>363</v>
      </c>
      <c r="G37" s="112" t="s">
        <v>372</v>
      </c>
    </row>
    <row r="38" spans="1:7" s="113" customFormat="1">
      <c r="A38" s="112">
        <v>37</v>
      </c>
      <c r="B38" s="112">
        <v>60003</v>
      </c>
      <c r="C38" s="112">
        <v>2</v>
      </c>
      <c r="D38" s="112">
        <f t="shared" si="1"/>
        <v>500000</v>
      </c>
      <c r="E38" s="112" t="s">
        <v>263</v>
      </c>
      <c r="F38" s="112" t="s">
        <v>364</v>
      </c>
      <c r="G38" s="112" t="s">
        <v>371</v>
      </c>
    </row>
    <row r="39" spans="1:7" s="113" customFormat="1">
      <c r="A39" s="112">
        <v>38</v>
      </c>
      <c r="B39" s="112">
        <v>60003</v>
      </c>
      <c r="C39" s="112">
        <v>2</v>
      </c>
      <c r="D39" s="112">
        <f t="shared" si="1"/>
        <v>250000</v>
      </c>
      <c r="E39" s="112" t="s">
        <v>263</v>
      </c>
      <c r="F39" s="112" t="s">
        <v>365</v>
      </c>
      <c r="G39" s="112" t="s">
        <v>370</v>
      </c>
    </row>
    <row r="40" spans="1:7" s="113" customFormat="1">
      <c r="A40" s="112">
        <v>39</v>
      </c>
      <c r="B40" s="112">
        <v>60003</v>
      </c>
      <c r="C40" s="112">
        <v>2</v>
      </c>
      <c r="D40" s="112">
        <f t="shared" si="1"/>
        <v>125000</v>
      </c>
      <c r="E40" s="112" t="s">
        <v>263</v>
      </c>
      <c r="F40" s="112" t="s">
        <v>366</v>
      </c>
      <c r="G40" s="112" t="s">
        <v>369</v>
      </c>
    </row>
    <row r="41" spans="1:7" s="113" customFormat="1">
      <c r="A41" s="112">
        <v>40</v>
      </c>
      <c r="B41" s="112">
        <v>60003</v>
      </c>
      <c r="C41" s="112">
        <v>2</v>
      </c>
      <c r="D41" s="112">
        <f t="shared" si="1"/>
        <v>0</v>
      </c>
      <c r="E41" s="112" t="s">
        <v>263</v>
      </c>
      <c r="F41" s="112" t="s">
        <v>367</v>
      </c>
      <c r="G41" s="112" t="s">
        <v>368</v>
      </c>
    </row>
    <row r="42" spans="1:7" s="113" customFormat="1">
      <c r="A42" s="112">
        <v>41</v>
      </c>
      <c r="B42" s="112">
        <v>60003</v>
      </c>
      <c r="C42" s="112">
        <v>3</v>
      </c>
      <c r="D42" s="112">
        <v>5000000</v>
      </c>
      <c r="E42" s="112" t="s">
        <v>263</v>
      </c>
      <c r="F42" s="112" t="s">
        <v>262</v>
      </c>
      <c r="G42" s="112" t="s">
        <v>264</v>
      </c>
    </row>
    <row r="43" spans="1:7" s="113" customFormat="1">
      <c r="A43" s="112">
        <v>42</v>
      </c>
      <c r="B43" s="112">
        <v>60003</v>
      </c>
      <c r="C43" s="112">
        <v>3</v>
      </c>
      <c r="D43" s="112">
        <v>3500000</v>
      </c>
      <c r="E43" s="112" t="s">
        <v>263</v>
      </c>
      <c r="F43" s="112" t="s">
        <v>361</v>
      </c>
      <c r="G43" s="112" t="s">
        <v>374</v>
      </c>
    </row>
    <row r="44" spans="1:7" s="113" customFormat="1">
      <c r="A44" s="112">
        <v>43</v>
      </c>
      <c r="B44" s="112">
        <v>60003</v>
      </c>
      <c r="C44" s="112">
        <v>3</v>
      </c>
      <c r="D44" s="112">
        <v>2000000</v>
      </c>
      <c r="E44" s="112" t="s">
        <v>263</v>
      </c>
      <c r="F44" s="112" t="s">
        <v>362</v>
      </c>
      <c r="G44" s="112" t="s">
        <v>373</v>
      </c>
    </row>
    <row r="45" spans="1:7" s="113" customFormat="1">
      <c r="A45" s="112">
        <v>44</v>
      </c>
      <c r="B45" s="112">
        <v>60003</v>
      </c>
      <c r="C45" s="112">
        <v>3</v>
      </c>
      <c r="D45" s="112">
        <v>1500000</v>
      </c>
      <c r="E45" s="112" t="s">
        <v>263</v>
      </c>
      <c r="F45" s="112" t="s">
        <v>363</v>
      </c>
      <c r="G45" s="112" t="s">
        <v>372</v>
      </c>
    </row>
    <row r="46" spans="1:7" s="113" customFormat="1">
      <c r="A46" s="112">
        <v>45</v>
      </c>
      <c r="B46" s="112">
        <v>60003</v>
      </c>
      <c r="C46" s="112">
        <v>3</v>
      </c>
      <c r="D46" s="112">
        <v>1000000</v>
      </c>
      <c r="E46" s="112" t="s">
        <v>263</v>
      </c>
      <c r="F46" s="112" t="s">
        <v>364</v>
      </c>
      <c r="G46" s="112" t="s">
        <v>371</v>
      </c>
    </row>
    <row r="47" spans="1:7" s="113" customFormat="1">
      <c r="A47" s="112">
        <v>46</v>
      </c>
      <c r="B47" s="112">
        <v>60003</v>
      </c>
      <c r="C47" s="112">
        <v>3</v>
      </c>
      <c r="D47" s="112">
        <v>500000</v>
      </c>
      <c r="E47" s="112" t="s">
        <v>263</v>
      </c>
      <c r="F47" s="112" t="s">
        <v>365</v>
      </c>
      <c r="G47" s="112" t="s">
        <v>370</v>
      </c>
    </row>
    <row r="48" spans="1:7" s="113" customFormat="1">
      <c r="A48" s="112">
        <v>47</v>
      </c>
      <c r="B48" s="112">
        <v>60003</v>
      </c>
      <c r="C48" s="112">
        <v>3</v>
      </c>
      <c r="D48" s="112">
        <v>250000</v>
      </c>
      <c r="E48" s="112" t="s">
        <v>263</v>
      </c>
      <c r="F48" s="112" t="s">
        <v>366</v>
      </c>
      <c r="G48" s="112" t="s">
        <v>369</v>
      </c>
    </row>
    <row r="49" spans="1:7" s="113" customFormat="1">
      <c r="A49" s="112">
        <v>48</v>
      </c>
      <c r="B49" s="112">
        <v>60003</v>
      </c>
      <c r="C49" s="112">
        <v>3</v>
      </c>
      <c r="D49" s="112">
        <v>0</v>
      </c>
      <c r="E49" s="112" t="s">
        <v>263</v>
      </c>
      <c r="F49" s="112" t="s">
        <v>367</v>
      </c>
      <c r="G49" s="112" t="s">
        <v>368</v>
      </c>
    </row>
    <row r="50" spans="1:7">
      <c r="A50" s="112">
        <v>49</v>
      </c>
      <c r="B50" s="57">
        <v>60004</v>
      </c>
      <c r="C50" s="57">
        <v>1</v>
      </c>
      <c r="D50" s="57">
        <v>5000000</v>
      </c>
      <c r="E50" s="57" t="s">
        <v>263</v>
      </c>
      <c r="F50" s="57" t="s">
        <v>262</v>
      </c>
      <c r="G50" s="57" t="s">
        <v>264</v>
      </c>
    </row>
    <row r="51" spans="1:7">
      <c r="A51" s="112">
        <v>50</v>
      </c>
      <c r="B51" s="57">
        <v>60004</v>
      </c>
      <c r="C51" s="57">
        <v>1</v>
      </c>
      <c r="D51" s="57">
        <v>3500000</v>
      </c>
      <c r="E51" s="57" t="s">
        <v>263</v>
      </c>
      <c r="F51" s="57" t="s">
        <v>361</v>
      </c>
      <c r="G51" s="57" t="s">
        <v>374</v>
      </c>
    </row>
    <row r="52" spans="1:7">
      <c r="A52" s="112">
        <v>51</v>
      </c>
      <c r="B52" s="57">
        <v>60004</v>
      </c>
      <c r="C52" s="57">
        <v>1</v>
      </c>
      <c r="D52" s="57">
        <v>2000000</v>
      </c>
      <c r="E52" s="57" t="s">
        <v>263</v>
      </c>
      <c r="F52" s="57" t="s">
        <v>362</v>
      </c>
      <c r="G52" s="57" t="s">
        <v>373</v>
      </c>
    </row>
    <row r="53" spans="1:7">
      <c r="A53" s="112">
        <v>52</v>
      </c>
      <c r="B53" s="57">
        <v>60004</v>
      </c>
      <c r="C53" s="57">
        <v>1</v>
      </c>
      <c r="D53" s="57">
        <v>1500000</v>
      </c>
      <c r="E53" s="57" t="s">
        <v>263</v>
      </c>
      <c r="F53" s="57" t="s">
        <v>363</v>
      </c>
      <c r="G53" s="57" t="s">
        <v>372</v>
      </c>
    </row>
    <row r="54" spans="1:7">
      <c r="A54" s="112">
        <v>53</v>
      </c>
      <c r="B54" s="57">
        <v>60004</v>
      </c>
      <c r="C54" s="57">
        <v>1</v>
      </c>
      <c r="D54" s="57">
        <v>1000000</v>
      </c>
      <c r="E54" s="57" t="s">
        <v>263</v>
      </c>
      <c r="F54" s="57" t="s">
        <v>364</v>
      </c>
      <c r="G54" s="57" t="s">
        <v>371</v>
      </c>
    </row>
    <row r="55" spans="1:7">
      <c r="A55" s="112">
        <v>54</v>
      </c>
      <c r="B55" s="57">
        <v>60004</v>
      </c>
      <c r="C55" s="57">
        <v>1</v>
      </c>
      <c r="D55" s="57">
        <v>500000</v>
      </c>
      <c r="E55" s="57" t="s">
        <v>263</v>
      </c>
      <c r="F55" s="57" t="s">
        <v>365</v>
      </c>
      <c r="G55" s="57" t="s">
        <v>370</v>
      </c>
    </row>
    <row r="56" spans="1:7">
      <c r="A56" s="112">
        <v>55</v>
      </c>
      <c r="B56" s="57">
        <v>60004</v>
      </c>
      <c r="C56" s="57">
        <v>1</v>
      </c>
      <c r="D56" s="57">
        <v>250000</v>
      </c>
      <c r="E56" s="57" t="s">
        <v>263</v>
      </c>
      <c r="F56" s="57" t="s">
        <v>366</v>
      </c>
      <c r="G56" s="57" t="s">
        <v>369</v>
      </c>
    </row>
    <row r="57" spans="1:7">
      <c r="A57" s="112">
        <v>56</v>
      </c>
      <c r="B57" s="57">
        <v>60004</v>
      </c>
      <c r="C57" s="57">
        <v>1</v>
      </c>
      <c r="D57" s="57">
        <v>0</v>
      </c>
      <c r="E57" s="57" t="s">
        <v>263</v>
      </c>
      <c r="F57" s="57" t="s">
        <v>367</v>
      </c>
      <c r="G57" s="57" t="s">
        <v>368</v>
      </c>
    </row>
  </sheetData>
  <phoneticPr fontId="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V40"/>
  <sheetViews>
    <sheetView topLeftCell="E1" workbookViewId="0">
      <selection activeCell="L32" sqref="L32"/>
    </sheetView>
  </sheetViews>
  <sheetFormatPr baseColWidth="12" defaultRowHeight="18" x14ac:dyDescent="0"/>
  <cols>
    <col min="15" max="15" width="41.5" customWidth="1"/>
  </cols>
  <sheetData>
    <row r="1" spans="1:22">
      <c r="A1" s="115" t="s">
        <v>151</v>
      </c>
      <c r="B1" s="116" t="s">
        <v>16</v>
      </c>
      <c r="C1" s="116" t="s">
        <v>33</v>
      </c>
      <c r="D1" s="115" t="s">
        <v>219</v>
      </c>
      <c r="E1" s="115" t="s">
        <v>220</v>
      </c>
      <c r="F1" s="100" t="s">
        <v>407</v>
      </c>
      <c r="G1" s="125" t="s">
        <v>406</v>
      </c>
      <c r="H1" s="117" t="s">
        <v>221</v>
      </c>
      <c r="I1" s="117" t="s">
        <v>222</v>
      </c>
      <c r="J1" s="117" t="s">
        <v>223</v>
      </c>
      <c r="K1" s="118" t="s">
        <v>224</v>
      </c>
      <c r="L1" s="118" t="s">
        <v>225</v>
      </c>
      <c r="M1" s="118" t="s">
        <v>226</v>
      </c>
      <c r="N1" s="118" t="s">
        <v>227</v>
      </c>
      <c r="O1" s="118" t="s">
        <v>228</v>
      </c>
      <c r="P1" s="119" t="s">
        <v>41</v>
      </c>
      <c r="Q1" s="119" t="s">
        <v>45</v>
      </c>
      <c r="R1" s="119" t="s">
        <v>39</v>
      </c>
      <c r="S1" s="119" t="s">
        <v>402</v>
      </c>
      <c r="T1" s="119" t="s">
        <v>43</v>
      </c>
      <c r="U1" s="119" t="s">
        <v>3</v>
      </c>
      <c r="V1" s="119" t="s">
        <v>37</v>
      </c>
    </row>
    <row r="2" spans="1:22">
      <c r="A2" s="120">
        <v>60001</v>
      </c>
      <c r="B2" s="121" t="str">
        <f ca="1">VLOOKUP($A2,OFFSET([2]quests!$A$1,0,0,COUNTA([2]quests!$A:$A),MATCH(B$1,[2]quests!$1:$1,0)-MATCH($A$1,[2]quests!$1:$1,0)+1),MATCH(B$1,[2]quests!$1:$1,0)-MATCH($A$1,[2]quests!$1:$1,0)+1,FALSE)</f>
        <v>ヘンペルチャレンジ</v>
      </c>
      <c r="C2" s="121" t="str">
        <f ca="1">VLOOKUP($A2,OFFSET([2]quests!$A$1,0,0,COUNTA([2]quests!$A:$A),MATCH(C$1,[2]quests!$1:$1,0)-MATCH($A$1,[2]quests!$1:$1,0)+1),MATCH(C$1,[2]quests!$1:$1,0)-MATCH($A$1,[2]quests!$1:$1,0)+1,FALSE)</f>
        <v>ランキング1</v>
      </c>
      <c r="D2" s="120">
        <v>1</v>
      </c>
      <c r="E2" s="120">
        <v>1</v>
      </c>
      <c r="F2" s="120">
        <v>61001</v>
      </c>
      <c r="G2" s="122">
        <v>61001</v>
      </c>
      <c r="H2" s="123" t="str">
        <f>VLOOKUP(F2,ranking_gift!A:B,2)</f>
        <v>polygon</v>
      </c>
      <c r="I2" s="123">
        <f>VLOOKUP($F2,ranking_gift!$A:$G,3)</f>
        <v>1</v>
      </c>
      <c r="J2" s="123" t="str">
        <f>VLOOKUP($F2,ranking_gift!$A:$G,6)</f>
        <v>NULL</v>
      </c>
      <c r="K2" s="123">
        <v>3</v>
      </c>
      <c r="L2" s="123" t="s">
        <v>229</v>
      </c>
      <c r="M2" s="123" t="s">
        <v>404</v>
      </c>
      <c r="N2" s="123" t="s">
        <v>403</v>
      </c>
      <c r="O2" s="124" t="s">
        <v>405</v>
      </c>
      <c r="P2" s="123">
        <f>VLOOKUP($F2,ranking_gift!$A:$O,9)</f>
        <v>0</v>
      </c>
      <c r="Q2" s="123">
        <f>VLOOKUP($F2,ranking_gift!$A:$O,10)</f>
        <v>1</v>
      </c>
      <c r="R2" s="123">
        <f>VLOOKUP($F2,ranking_gift!$A:$O,11)</f>
        <v>0</v>
      </c>
      <c r="S2" s="123">
        <f>VLOOKUP($F2,ranking_gift!$A:$O,12)</f>
        <v>1</v>
      </c>
      <c r="T2" s="123">
        <f>VLOOKUP($F2,ranking_gift!$A:$O,13)</f>
        <v>0</v>
      </c>
      <c r="U2" s="123">
        <f>VLOOKUP($F2,ranking_gift!$A:$O,14)</f>
        <v>1</v>
      </c>
      <c r="V2" s="123">
        <f>VLOOKUP($F2,ranking_gift!$A:$O,15)</f>
        <v>0</v>
      </c>
    </row>
    <row r="3" spans="1:22">
      <c r="A3" s="120">
        <v>60001</v>
      </c>
      <c r="B3" s="121" t="str">
        <f ca="1">VLOOKUP($A3,OFFSET([2]quests!$A$1,0,0,COUNTA([2]quests!$A:$A),MATCH(B$1,[2]quests!$1:$1,0)-MATCH($A$1,[2]quests!$1:$1,0)+1),MATCH(B$1,[2]quests!$1:$1,0)-MATCH($A$1,[2]quests!$1:$1,0)+1,FALSE)</f>
        <v>ヘンペルチャレンジ</v>
      </c>
      <c r="C3" s="121" t="str">
        <f ca="1">VLOOKUP($A3,OFFSET([2]quests!$A$1,0,0,COUNTA([2]quests!$A:$A),MATCH(C$1,[2]quests!$1:$1,0)-MATCH($A$1,[2]quests!$1:$1,0)+1),MATCH(C$1,[2]quests!$1:$1,0)-MATCH($A$1,[2]quests!$1:$1,0)+1,FALSE)</f>
        <v>ランキング1</v>
      </c>
      <c r="D3" s="120">
        <v>1</v>
      </c>
      <c r="E3" s="120">
        <v>1</v>
      </c>
      <c r="F3" s="120">
        <v>61002</v>
      </c>
      <c r="G3" s="122">
        <v>61002</v>
      </c>
      <c r="H3" s="123" t="str">
        <f>VLOOKUP(F3,ranking_gift!A:B,2)</f>
        <v>item</v>
      </c>
      <c r="I3" s="123">
        <f>VLOOKUP(F3,ranking_gift!$A:$G,3)</f>
        <v>8</v>
      </c>
      <c r="J3" s="123">
        <f>VLOOKUP($F3,ranking_gift!$A:$G,6)</f>
        <v>1</v>
      </c>
      <c r="K3" s="123">
        <v>3</v>
      </c>
      <c r="L3" s="123" t="s">
        <v>229</v>
      </c>
      <c r="M3" s="123" t="s">
        <v>404</v>
      </c>
      <c r="N3" s="123" t="s">
        <v>403</v>
      </c>
      <c r="O3" s="124" t="s">
        <v>405</v>
      </c>
      <c r="P3" s="123">
        <f>VLOOKUP($F3,ranking_gift!$A:$O,9)</f>
        <v>0</v>
      </c>
      <c r="Q3" s="123">
        <f>VLOOKUP($F3,ranking_gift!$A:$O,10)</f>
        <v>1</v>
      </c>
      <c r="R3" s="123">
        <f>VLOOKUP($F3,ranking_gift!$A:$O,11)</f>
        <v>0</v>
      </c>
      <c r="S3" s="123">
        <f>VLOOKUP($F3,ranking_gift!$A:$O,12)</f>
        <v>1</v>
      </c>
      <c r="T3" s="123">
        <f>VLOOKUP($F3,ranking_gift!$A:$O,13)</f>
        <v>0</v>
      </c>
      <c r="U3" s="123">
        <f>VLOOKUP($F3,ranking_gift!$A:$O,14)</f>
        <v>1</v>
      </c>
      <c r="V3" s="123">
        <f>VLOOKUP($F3,ranking_gift!$A:$O,15)</f>
        <v>0</v>
      </c>
    </row>
    <row r="4" spans="1:22">
      <c r="A4" s="120">
        <v>60001</v>
      </c>
      <c r="B4" s="121" t="str">
        <f ca="1">VLOOKUP($A4,OFFSET([2]quests!$A$1,0,0,COUNTA([2]quests!$A:$A),MATCH(B$1,[2]quests!$1:$1,0)-MATCH($A$1,[2]quests!$1:$1,0)+1),MATCH(B$1,[2]quests!$1:$1,0)-MATCH($A$1,[2]quests!$1:$1,0)+1,FALSE)</f>
        <v>ヘンペルチャレンジ</v>
      </c>
      <c r="C4" s="121" t="str">
        <f ca="1">VLOOKUP($A4,OFFSET([2]quests!$A$1,0,0,COUNTA([2]quests!$A:$A),MATCH(C$1,[2]quests!$1:$1,0)-MATCH($A$1,[2]quests!$1:$1,0)+1),MATCH(C$1,[2]quests!$1:$1,0)-MATCH($A$1,[2]quests!$1:$1,0)+1,FALSE)</f>
        <v>ランキング1</v>
      </c>
      <c r="D4" s="120">
        <v>1</v>
      </c>
      <c r="E4" s="120">
        <v>1</v>
      </c>
      <c r="F4" s="120">
        <v>61003</v>
      </c>
      <c r="G4" s="122">
        <v>61003</v>
      </c>
      <c r="H4" s="123" t="str">
        <f>VLOOKUP(F4,ranking_gift!A:B,2)</f>
        <v>bit</v>
      </c>
      <c r="I4" s="123">
        <f>VLOOKUP(F4,ranking_gift!$A:$G,3)</f>
        <v>100000</v>
      </c>
      <c r="J4" s="123" t="str">
        <f>VLOOKUP($F4,ranking_gift!$A:$G,6)</f>
        <v>NULL</v>
      </c>
      <c r="K4" s="123">
        <v>3</v>
      </c>
      <c r="L4" s="123" t="s">
        <v>229</v>
      </c>
      <c r="M4" s="123" t="s">
        <v>404</v>
      </c>
      <c r="N4" s="123" t="s">
        <v>403</v>
      </c>
      <c r="O4" s="124" t="s">
        <v>405</v>
      </c>
      <c r="P4" s="123">
        <f>VLOOKUP($F4,ranking_gift!$A:$O,9)</f>
        <v>0</v>
      </c>
      <c r="Q4" s="123">
        <f>VLOOKUP($F4,ranking_gift!$A:$O,10)</f>
        <v>1</v>
      </c>
      <c r="R4" s="123">
        <f>VLOOKUP($F4,ranking_gift!$A:$O,11)</f>
        <v>0</v>
      </c>
      <c r="S4" s="123">
        <f>VLOOKUP($F4,ranking_gift!$A:$O,12)</f>
        <v>1</v>
      </c>
      <c r="T4" s="123">
        <f>VLOOKUP($F4,ranking_gift!$A:$O,13)</f>
        <v>0</v>
      </c>
      <c r="U4" s="123">
        <f>VLOOKUP($F4,ranking_gift!$A:$O,14)</f>
        <v>1</v>
      </c>
      <c r="V4" s="123">
        <f>VLOOKUP($F4,ranking_gift!$A:$O,15)</f>
        <v>0</v>
      </c>
    </row>
    <row r="5" spans="1:22">
      <c r="A5" s="120">
        <v>60001</v>
      </c>
      <c r="B5" s="121" t="str">
        <f ca="1">VLOOKUP($A5,OFFSET([2]quests!$A$1,0,0,COUNTA([2]quests!$A:$A),MATCH(B$1,[2]quests!$1:$1,0)-MATCH($A$1,[2]quests!$1:$1,0)+1),MATCH(B$1,[2]quests!$1:$1,0)-MATCH($A$1,[2]quests!$1:$1,0)+1,FALSE)</f>
        <v>ヘンペルチャレンジ</v>
      </c>
      <c r="C5" s="121" t="str">
        <f ca="1">VLOOKUP($A5,OFFSET([2]quests!$A$1,0,0,COUNTA([2]quests!$A:$A),MATCH(C$1,[2]quests!$1:$1,0)-MATCH($A$1,[2]quests!$1:$1,0)+1),MATCH(C$1,[2]quests!$1:$1,0)-MATCH($A$1,[2]quests!$1:$1,0)+1,FALSE)</f>
        <v>ランキング1</v>
      </c>
      <c r="D5" s="120">
        <v>1</v>
      </c>
      <c r="E5" s="120">
        <v>1</v>
      </c>
      <c r="F5" s="120">
        <v>61004</v>
      </c>
      <c r="G5" s="122">
        <v>61004</v>
      </c>
      <c r="H5" s="123" t="str">
        <f>VLOOKUP(F5,ranking_gift!A:B,2)</f>
        <v>link</v>
      </c>
      <c r="I5" s="123">
        <f>VLOOKUP(F5,ranking_gift!$A:$G,3)</f>
        <v>1000</v>
      </c>
      <c r="J5" s="123" t="str">
        <f>VLOOKUP($F5,ranking_gift!$A:$G,6)</f>
        <v>NULL</v>
      </c>
      <c r="K5" s="123">
        <v>3</v>
      </c>
      <c r="L5" s="123" t="s">
        <v>229</v>
      </c>
      <c r="M5" s="123" t="s">
        <v>404</v>
      </c>
      <c r="N5" s="123" t="s">
        <v>403</v>
      </c>
      <c r="O5" s="124" t="s">
        <v>405</v>
      </c>
      <c r="P5" s="123">
        <f>VLOOKUP($F5,ranking_gift!$A:$O,9)</f>
        <v>0</v>
      </c>
      <c r="Q5" s="123">
        <f>VLOOKUP($F5,ranking_gift!$A:$O,10)</f>
        <v>1</v>
      </c>
      <c r="R5" s="123">
        <f>VLOOKUP($F5,ranking_gift!$A:$O,11)</f>
        <v>0</v>
      </c>
      <c r="S5" s="123">
        <f>VLOOKUP($F5,ranking_gift!$A:$O,12)</f>
        <v>1</v>
      </c>
      <c r="T5" s="123">
        <f>VLOOKUP($F5,ranking_gift!$A:$O,13)</f>
        <v>0</v>
      </c>
      <c r="U5" s="123">
        <f>VLOOKUP($F5,ranking_gift!$A:$O,14)</f>
        <v>1</v>
      </c>
      <c r="V5" s="123">
        <f>VLOOKUP($F5,ranking_gift!$A:$O,15)</f>
        <v>0</v>
      </c>
    </row>
    <row r="6" spans="1:22">
      <c r="A6" s="120">
        <v>60001</v>
      </c>
      <c r="B6" s="121" t="str">
        <f ca="1">VLOOKUP($A6,OFFSET([2]quests!$A$1,0,0,COUNTA([2]quests!$A:$A),MATCH(B$1,[2]quests!$1:$1,0)-MATCH($A$1,[2]quests!$1:$1,0)+1),MATCH(B$1,[2]quests!$1:$1,0)-MATCH($A$1,[2]quests!$1:$1,0)+1,FALSE)</f>
        <v>ヘンペルチャレンジ</v>
      </c>
      <c r="C6" s="121" t="str">
        <f ca="1">VLOOKUP($A6,OFFSET([2]quests!$A$1,0,0,COUNTA([2]quests!$A:$A),MATCH(C$1,[2]quests!$1:$1,0)-MATCH($A$1,[2]quests!$1:$1,0)+1),MATCH(C$1,[2]quests!$1:$1,0)-MATCH($A$1,[2]quests!$1:$1,0)+1,FALSE)</f>
        <v>ランキング1</v>
      </c>
      <c r="D6" s="120">
        <v>1</v>
      </c>
      <c r="E6" s="120">
        <v>1</v>
      </c>
      <c r="F6" s="120">
        <v>61005</v>
      </c>
      <c r="G6" s="122">
        <v>61005</v>
      </c>
      <c r="H6" s="123" t="str">
        <f>VLOOKUP(F6,ranking_gift!A:B,2)</f>
        <v>unit</v>
      </c>
      <c r="I6" s="123">
        <f>VLOOKUP(F6,ranking_gift!$A:$G,3)</f>
        <v>510</v>
      </c>
      <c r="J6" s="123">
        <f>VLOOKUP($F6,ranking_gift!$A:$G,6)</f>
        <v>1</v>
      </c>
      <c r="K6" s="123">
        <v>3</v>
      </c>
      <c r="L6" s="123" t="s">
        <v>229</v>
      </c>
      <c r="M6" s="123" t="s">
        <v>404</v>
      </c>
      <c r="N6" s="123" t="s">
        <v>403</v>
      </c>
      <c r="O6" s="124" t="s">
        <v>405</v>
      </c>
      <c r="P6" s="123">
        <f>VLOOKUP($F6,ranking_gift!$A:$O,9)</f>
        <v>0</v>
      </c>
      <c r="Q6" s="123">
        <v>45</v>
      </c>
      <c r="R6" s="123">
        <f>VLOOKUP($F6,ranking_gift!$A:$O,11)</f>
        <v>99</v>
      </c>
      <c r="S6" s="123">
        <f>VLOOKUP($F6,ranking_gift!$A:$O,12)</f>
        <v>5</v>
      </c>
      <c r="T6" s="123">
        <f>VLOOKUP($F6,ranking_gift!$A:$O,13)</f>
        <v>0</v>
      </c>
      <c r="U6" s="123">
        <f>VLOOKUP($F6,ranking_gift!$A:$O,14)</f>
        <v>60</v>
      </c>
      <c r="V6" s="123">
        <f>VLOOKUP($F6,ranking_gift!$A:$O,15)</f>
        <v>0</v>
      </c>
    </row>
    <row r="7" spans="1:22">
      <c r="A7" s="120">
        <v>60001</v>
      </c>
      <c r="B7" s="121" t="str">
        <f ca="1">VLOOKUP($A7,OFFSET([2]quests!$A$1,0,0,COUNTA([2]quests!$A:$A),MATCH(B$1,[2]quests!$1:$1,0)-MATCH($A$1,[2]quests!$1:$1,0)+1),MATCH(B$1,[2]quests!$1:$1,0)-MATCH($A$1,[2]quests!$1:$1,0)+1,FALSE)</f>
        <v>ヘンペルチャレンジ</v>
      </c>
      <c r="C7" s="121" t="str">
        <f ca="1">VLOOKUP($A7,OFFSET([2]quests!$A$1,0,0,COUNTA([2]quests!$A:$A),MATCH(C$1,[2]quests!$1:$1,0)-MATCH($A$1,[2]quests!$1:$1,0)+1),MATCH(C$1,[2]quests!$1:$1,0)-MATCH($A$1,[2]quests!$1:$1,0)+1,FALSE)</f>
        <v>ランキング1</v>
      </c>
      <c r="D7" s="120">
        <v>2</v>
      </c>
      <c r="E7" s="120">
        <v>2</v>
      </c>
      <c r="F7" s="120">
        <v>61001</v>
      </c>
      <c r="G7" s="122">
        <v>61006</v>
      </c>
      <c r="H7" s="123" t="str">
        <f>VLOOKUP(F7,ranking_gift!A:B,2)</f>
        <v>polygon</v>
      </c>
      <c r="I7" s="123">
        <f>VLOOKUP(F7,ranking_gift!$A:$G,3)</f>
        <v>1</v>
      </c>
      <c r="J7" s="123" t="str">
        <f>VLOOKUP($F7,ranking_gift!$A:$G,6)</f>
        <v>NULL</v>
      </c>
      <c r="K7" s="123">
        <v>3</v>
      </c>
      <c r="L7" s="123" t="s">
        <v>229</v>
      </c>
      <c r="M7" s="123" t="s">
        <v>404</v>
      </c>
      <c r="N7" s="123" t="s">
        <v>403</v>
      </c>
      <c r="O7" s="124" t="s">
        <v>405</v>
      </c>
      <c r="P7" s="123">
        <f>VLOOKUP($F7,ranking_gift!$A:$O,9)</f>
        <v>0</v>
      </c>
      <c r="Q7" s="123">
        <f>VLOOKUP($F7,ranking_gift!$A:$O,10)</f>
        <v>1</v>
      </c>
      <c r="R7" s="123">
        <f>VLOOKUP($F7,ranking_gift!$A:$O,11)</f>
        <v>0</v>
      </c>
      <c r="S7" s="123">
        <f>VLOOKUP($F7,ranking_gift!$A:$O,12)</f>
        <v>1</v>
      </c>
      <c r="T7" s="123">
        <f>VLOOKUP($F7,ranking_gift!$A:$O,13)</f>
        <v>0</v>
      </c>
      <c r="U7" s="123">
        <f>VLOOKUP($F7,ranking_gift!$A:$O,14)</f>
        <v>1</v>
      </c>
      <c r="V7" s="123">
        <f>VLOOKUP($F7,ranking_gift!$A:$O,15)</f>
        <v>0</v>
      </c>
    </row>
    <row r="8" spans="1:22">
      <c r="A8" s="120">
        <v>60001</v>
      </c>
      <c r="B8" s="121" t="str">
        <f ca="1">VLOOKUP($A8,OFFSET([2]quests!$A$1,0,0,COUNTA([2]quests!$A:$A),MATCH(B$1,[2]quests!$1:$1,0)-MATCH($A$1,[2]quests!$1:$1,0)+1),MATCH(B$1,[2]quests!$1:$1,0)-MATCH($A$1,[2]quests!$1:$1,0)+1,FALSE)</f>
        <v>ヘンペルチャレンジ</v>
      </c>
      <c r="C8" s="121" t="str">
        <f ca="1">VLOOKUP($A8,OFFSET([2]quests!$A$1,0,0,COUNTA([2]quests!$A:$A),MATCH(C$1,[2]quests!$1:$1,0)-MATCH($A$1,[2]quests!$1:$1,0)+1),MATCH(C$1,[2]quests!$1:$1,0)-MATCH($A$1,[2]quests!$1:$1,0)+1,FALSE)</f>
        <v>ランキング1</v>
      </c>
      <c r="D8" s="120">
        <v>2</v>
      </c>
      <c r="E8" s="120">
        <v>2</v>
      </c>
      <c r="F8" s="120">
        <v>61002</v>
      </c>
      <c r="G8" s="122">
        <v>61007</v>
      </c>
      <c r="H8" s="123" t="str">
        <f>VLOOKUP(F8,ranking_gift!A:B,2)</f>
        <v>item</v>
      </c>
      <c r="I8" s="123">
        <f>VLOOKUP(F8,ranking_gift!$A:$G,3)</f>
        <v>8</v>
      </c>
      <c r="J8" s="123">
        <f>VLOOKUP($F8,ranking_gift!$A:$G,6)</f>
        <v>1</v>
      </c>
      <c r="K8" s="123">
        <v>3</v>
      </c>
      <c r="L8" s="123" t="s">
        <v>229</v>
      </c>
      <c r="M8" s="123" t="s">
        <v>404</v>
      </c>
      <c r="N8" s="123" t="s">
        <v>403</v>
      </c>
      <c r="O8" s="124" t="s">
        <v>405</v>
      </c>
      <c r="P8" s="123">
        <f>VLOOKUP($F8,ranking_gift!$A:$O,9)</f>
        <v>0</v>
      </c>
      <c r="Q8" s="123">
        <f>VLOOKUP($F8,ranking_gift!$A:$O,10)</f>
        <v>1</v>
      </c>
      <c r="R8" s="123">
        <f>VLOOKUP($F8,ranking_gift!$A:$O,11)</f>
        <v>0</v>
      </c>
      <c r="S8" s="123">
        <f>VLOOKUP($F8,ranking_gift!$A:$O,12)</f>
        <v>1</v>
      </c>
      <c r="T8" s="123">
        <f>VLOOKUP($F8,ranking_gift!$A:$O,13)</f>
        <v>0</v>
      </c>
      <c r="U8" s="123">
        <f>VLOOKUP($F8,ranking_gift!$A:$O,14)</f>
        <v>1</v>
      </c>
      <c r="V8" s="123">
        <f>VLOOKUP($F8,ranking_gift!$A:$O,15)</f>
        <v>0</v>
      </c>
    </row>
    <row r="9" spans="1:22">
      <c r="A9" s="120">
        <v>60001</v>
      </c>
      <c r="B9" s="121" t="str">
        <f ca="1">VLOOKUP($A9,OFFSET([2]quests!$A$1,0,0,COUNTA([2]quests!$A:$A),MATCH(B$1,[2]quests!$1:$1,0)-MATCH($A$1,[2]quests!$1:$1,0)+1),MATCH(B$1,[2]quests!$1:$1,0)-MATCH($A$1,[2]quests!$1:$1,0)+1,FALSE)</f>
        <v>ヘンペルチャレンジ</v>
      </c>
      <c r="C9" s="121" t="str">
        <f ca="1">VLOOKUP($A9,OFFSET([2]quests!$A$1,0,0,COUNTA([2]quests!$A:$A),MATCH(C$1,[2]quests!$1:$1,0)-MATCH($A$1,[2]quests!$1:$1,0)+1),MATCH(C$1,[2]quests!$1:$1,0)-MATCH($A$1,[2]quests!$1:$1,0)+1,FALSE)</f>
        <v>ランキング1</v>
      </c>
      <c r="D9" s="120">
        <v>2</v>
      </c>
      <c r="E9" s="120">
        <v>2</v>
      </c>
      <c r="F9" s="120">
        <v>61003</v>
      </c>
      <c r="G9" s="122">
        <v>61008</v>
      </c>
      <c r="H9" s="123" t="str">
        <f>VLOOKUP(F9,ranking_gift!A:B,2)</f>
        <v>bit</v>
      </c>
      <c r="I9" s="123">
        <f>VLOOKUP(F9,ranking_gift!$A:$G,3)</f>
        <v>100000</v>
      </c>
      <c r="J9" s="123" t="str">
        <f>VLOOKUP($F9,ranking_gift!$A:$G,6)</f>
        <v>NULL</v>
      </c>
      <c r="K9" s="123">
        <v>3</v>
      </c>
      <c r="L9" s="123" t="s">
        <v>229</v>
      </c>
      <c r="M9" s="123" t="s">
        <v>404</v>
      </c>
      <c r="N9" s="123" t="s">
        <v>403</v>
      </c>
      <c r="O9" s="124" t="s">
        <v>405</v>
      </c>
      <c r="P9" s="123">
        <f>VLOOKUP($F9,ranking_gift!$A:$O,9)</f>
        <v>0</v>
      </c>
      <c r="Q9" s="123">
        <f>VLOOKUP($F9,ranking_gift!$A:$O,10)</f>
        <v>1</v>
      </c>
      <c r="R9" s="123">
        <f>VLOOKUP($F9,ranking_gift!$A:$O,11)</f>
        <v>0</v>
      </c>
      <c r="S9" s="123">
        <f>VLOOKUP($F9,ranking_gift!$A:$O,12)</f>
        <v>1</v>
      </c>
      <c r="T9" s="123">
        <f>VLOOKUP($F9,ranking_gift!$A:$O,13)</f>
        <v>0</v>
      </c>
      <c r="U9" s="123">
        <f>VLOOKUP($F9,ranking_gift!$A:$O,14)</f>
        <v>1</v>
      </c>
      <c r="V9" s="123">
        <f>VLOOKUP($F9,ranking_gift!$A:$O,15)</f>
        <v>0</v>
      </c>
    </row>
    <row r="10" spans="1:22">
      <c r="A10" s="120">
        <v>60001</v>
      </c>
      <c r="B10" s="121" t="str">
        <f ca="1">VLOOKUP($A10,OFFSET([2]quests!$A$1,0,0,COUNTA([2]quests!$A:$A),MATCH(B$1,[2]quests!$1:$1,0)-MATCH($A$1,[2]quests!$1:$1,0)+1),MATCH(B$1,[2]quests!$1:$1,0)-MATCH($A$1,[2]quests!$1:$1,0)+1,FALSE)</f>
        <v>ヘンペルチャレンジ</v>
      </c>
      <c r="C10" s="121" t="str">
        <f ca="1">VLOOKUP($A10,OFFSET([2]quests!$A$1,0,0,COUNTA([2]quests!$A:$A),MATCH(C$1,[2]quests!$1:$1,0)-MATCH($A$1,[2]quests!$1:$1,0)+1),MATCH(C$1,[2]quests!$1:$1,0)-MATCH($A$1,[2]quests!$1:$1,0)+1,FALSE)</f>
        <v>ランキング1</v>
      </c>
      <c r="D10" s="120">
        <v>2</v>
      </c>
      <c r="E10" s="120">
        <v>2</v>
      </c>
      <c r="F10" s="120">
        <v>61004</v>
      </c>
      <c r="G10" s="122">
        <v>61009</v>
      </c>
      <c r="H10" s="123" t="str">
        <f>VLOOKUP(F10,ranking_gift!A:B,2)</f>
        <v>link</v>
      </c>
      <c r="I10" s="123">
        <f>VLOOKUP(F10,ranking_gift!$A:$G,3)</f>
        <v>1000</v>
      </c>
      <c r="J10" s="123" t="str">
        <f>VLOOKUP($F10,ranking_gift!$A:$G,6)</f>
        <v>NULL</v>
      </c>
      <c r="K10" s="123">
        <v>3</v>
      </c>
      <c r="L10" s="123" t="s">
        <v>229</v>
      </c>
      <c r="M10" s="123" t="s">
        <v>404</v>
      </c>
      <c r="N10" s="123" t="s">
        <v>403</v>
      </c>
      <c r="O10" s="124" t="s">
        <v>405</v>
      </c>
      <c r="P10" s="123">
        <f>VLOOKUP($F10,ranking_gift!$A:$O,9)</f>
        <v>0</v>
      </c>
      <c r="Q10" s="123">
        <f>VLOOKUP($F10,ranking_gift!$A:$O,10)</f>
        <v>1</v>
      </c>
      <c r="R10" s="123">
        <f>VLOOKUP($F10,ranking_gift!$A:$O,11)</f>
        <v>0</v>
      </c>
      <c r="S10" s="123">
        <f>VLOOKUP($F10,ranking_gift!$A:$O,12)</f>
        <v>1</v>
      </c>
      <c r="T10" s="123">
        <f>VLOOKUP($F10,ranking_gift!$A:$O,13)</f>
        <v>0</v>
      </c>
      <c r="U10" s="123">
        <f>VLOOKUP($F10,ranking_gift!$A:$O,14)</f>
        <v>1</v>
      </c>
      <c r="V10" s="123">
        <f>VLOOKUP($F10,ranking_gift!$A:$O,15)</f>
        <v>0</v>
      </c>
    </row>
    <row r="11" spans="1:22">
      <c r="A11" s="120">
        <v>60001</v>
      </c>
      <c r="B11" s="121" t="str">
        <f ca="1">VLOOKUP($A11,OFFSET([2]quests!$A$1,0,0,COUNTA([2]quests!$A:$A),MATCH(B$1,[2]quests!$1:$1,0)-MATCH($A$1,[2]quests!$1:$1,0)+1),MATCH(B$1,[2]quests!$1:$1,0)-MATCH($A$1,[2]quests!$1:$1,0)+1,FALSE)</f>
        <v>ヘンペルチャレンジ</v>
      </c>
      <c r="C11" s="121" t="str">
        <f ca="1">VLOOKUP($A11,OFFSET([2]quests!$A$1,0,0,COUNTA([2]quests!$A:$A),MATCH(C$1,[2]quests!$1:$1,0)-MATCH($A$1,[2]quests!$1:$1,0)+1),MATCH(C$1,[2]quests!$1:$1,0)-MATCH($A$1,[2]quests!$1:$1,0)+1,FALSE)</f>
        <v>ランキング1</v>
      </c>
      <c r="D11" s="120">
        <v>3</v>
      </c>
      <c r="E11" s="120">
        <v>3</v>
      </c>
      <c r="F11" s="120">
        <v>61001</v>
      </c>
      <c r="G11" s="122">
        <v>61010</v>
      </c>
      <c r="H11" s="123" t="str">
        <f>VLOOKUP(F11,ranking_gift!A:B,2)</f>
        <v>polygon</v>
      </c>
      <c r="I11" s="123">
        <f>VLOOKUP(F11,ranking_gift!$A:$G,3)</f>
        <v>1</v>
      </c>
      <c r="J11" s="123" t="str">
        <f>VLOOKUP($F11,ranking_gift!$A:$G,6)</f>
        <v>NULL</v>
      </c>
      <c r="K11" s="123">
        <v>3</v>
      </c>
      <c r="L11" s="123" t="s">
        <v>229</v>
      </c>
      <c r="M11" s="123" t="s">
        <v>404</v>
      </c>
      <c r="N11" s="123" t="s">
        <v>403</v>
      </c>
      <c r="O11" s="124" t="s">
        <v>405</v>
      </c>
      <c r="P11" s="123">
        <f>VLOOKUP($F11,ranking_gift!$A:$O,9)</f>
        <v>0</v>
      </c>
      <c r="Q11" s="123">
        <f>VLOOKUP($F11,ranking_gift!$A:$O,10)</f>
        <v>1</v>
      </c>
      <c r="R11" s="123">
        <f>VLOOKUP($F11,ranking_gift!$A:$O,11)</f>
        <v>0</v>
      </c>
      <c r="S11" s="123">
        <f>VLOOKUP($F11,ranking_gift!$A:$O,12)</f>
        <v>1</v>
      </c>
      <c r="T11" s="123">
        <f>VLOOKUP($F11,ranking_gift!$A:$O,13)</f>
        <v>0</v>
      </c>
      <c r="U11" s="123">
        <f>VLOOKUP($F11,ranking_gift!$A:$O,14)</f>
        <v>1</v>
      </c>
      <c r="V11" s="123">
        <f>VLOOKUP($F11,ranking_gift!$A:$O,15)</f>
        <v>0</v>
      </c>
    </row>
    <row r="12" spans="1:22">
      <c r="A12" s="120">
        <v>60001</v>
      </c>
      <c r="B12" s="121" t="str">
        <f ca="1">VLOOKUP($A12,OFFSET([2]quests!$A$1,0,0,COUNTA([2]quests!$A:$A),MATCH(B$1,[2]quests!$1:$1,0)-MATCH($A$1,[2]quests!$1:$1,0)+1),MATCH(B$1,[2]quests!$1:$1,0)-MATCH($A$1,[2]quests!$1:$1,0)+1,FALSE)</f>
        <v>ヘンペルチャレンジ</v>
      </c>
      <c r="C12" s="121" t="str">
        <f ca="1">VLOOKUP($A12,OFFSET([2]quests!$A$1,0,0,COUNTA([2]quests!$A:$A),MATCH(C$1,[2]quests!$1:$1,0)-MATCH($A$1,[2]quests!$1:$1,0)+1),MATCH(C$1,[2]quests!$1:$1,0)-MATCH($A$1,[2]quests!$1:$1,0)+1,FALSE)</f>
        <v>ランキング1</v>
      </c>
      <c r="D12" s="120">
        <v>3</v>
      </c>
      <c r="E12" s="120">
        <v>3</v>
      </c>
      <c r="F12" s="120">
        <v>61002</v>
      </c>
      <c r="G12" s="122">
        <v>61011</v>
      </c>
      <c r="H12" s="123" t="str">
        <f>VLOOKUP(F12,ranking_gift!A:B,2)</f>
        <v>item</v>
      </c>
      <c r="I12" s="123">
        <f>VLOOKUP(F12,ranking_gift!$A:$G,3)</f>
        <v>8</v>
      </c>
      <c r="J12" s="123">
        <f>VLOOKUP($F12,ranking_gift!$A:$G,6)</f>
        <v>1</v>
      </c>
      <c r="K12" s="123">
        <v>3</v>
      </c>
      <c r="L12" s="123" t="s">
        <v>229</v>
      </c>
      <c r="M12" s="123" t="s">
        <v>404</v>
      </c>
      <c r="N12" s="123" t="s">
        <v>403</v>
      </c>
      <c r="O12" s="124" t="s">
        <v>405</v>
      </c>
      <c r="P12" s="123">
        <f>VLOOKUP($F12,ranking_gift!$A:$O,9)</f>
        <v>0</v>
      </c>
      <c r="Q12" s="123">
        <f>VLOOKUP($F12,ranking_gift!$A:$O,10)</f>
        <v>1</v>
      </c>
      <c r="R12" s="123">
        <f>VLOOKUP($F12,ranking_gift!$A:$O,11)</f>
        <v>0</v>
      </c>
      <c r="S12" s="123">
        <f>VLOOKUP($F12,ranking_gift!$A:$O,12)</f>
        <v>1</v>
      </c>
      <c r="T12" s="123">
        <f>VLOOKUP($F12,ranking_gift!$A:$O,13)</f>
        <v>0</v>
      </c>
      <c r="U12" s="123">
        <f>VLOOKUP($F12,ranking_gift!$A:$O,14)</f>
        <v>1</v>
      </c>
      <c r="V12" s="123">
        <f>VLOOKUP($F12,ranking_gift!$A:$O,15)</f>
        <v>0</v>
      </c>
    </row>
    <row r="13" spans="1:22">
      <c r="A13" s="120">
        <v>60001</v>
      </c>
      <c r="B13" s="121" t="str">
        <f ca="1">VLOOKUP($A13,OFFSET([2]quests!$A$1,0,0,COUNTA([2]quests!$A:$A),MATCH(B$1,[2]quests!$1:$1,0)-MATCH($A$1,[2]quests!$1:$1,0)+1),MATCH(B$1,[2]quests!$1:$1,0)-MATCH($A$1,[2]quests!$1:$1,0)+1,FALSE)</f>
        <v>ヘンペルチャレンジ</v>
      </c>
      <c r="C13" s="121" t="str">
        <f ca="1">VLOOKUP($A13,OFFSET([2]quests!$A$1,0,0,COUNTA([2]quests!$A:$A),MATCH(C$1,[2]quests!$1:$1,0)-MATCH($A$1,[2]quests!$1:$1,0)+1),MATCH(C$1,[2]quests!$1:$1,0)-MATCH($A$1,[2]quests!$1:$1,0)+1,FALSE)</f>
        <v>ランキング1</v>
      </c>
      <c r="D13" s="120">
        <v>3</v>
      </c>
      <c r="E13" s="120">
        <v>3</v>
      </c>
      <c r="F13" s="120">
        <v>61003</v>
      </c>
      <c r="G13" s="122">
        <v>61012</v>
      </c>
      <c r="H13" s="123" t="str">
        <f>VLOOKUP(F13,ranking_gift!A:B,2)</f>
        <v>bit</v>
      </c>
      <c r="I13" s="123">
        <f>VLOOKUP(F13,ranking_gift!$A:$G,3)</f>
        <v>100000</v>
      </c>
      <c r="J13" s="123" t="str">
        <f>VLOOKUP($F13,ranking_gift!$A:$G,6)</f>
        <v>NULL</v>
      </c>
      <c r="K13" s="123">
        <v>3</v>
      </c>
      <c r="L13" s="123" t="s">
        <v>229</v>
      </c>
      <c r="M13" s="123" t="s">
        <v>404</v>
      </c>
      <c r="N13" s="123" t="s">
        <v>403</v>
      </c>
      <c r="O13" s="124" t="s">
        <v>405</v>
      </c>
      <c r="P13" s="123">
        <f>VLOOKUP($F13,ranking_gift!$A:$O,9)</f>
        <v>0</v>
      </c>
      <c r="Q13" s="123">
        <f>VLOOKUP($F13,ranking_gift!$A:$O,10)</f>
        <v>1</v>
      </c>
      <c r="R13" s="123">
        <f>VLOOKUP($F13,ranking_gift!$A:$O,11)</f>
        <v>0</v>
      </c>
      <c r="S13" s="123">
        <f>VLOOKUP($F13,ranking_gift!$A:$O,12)</f>
        <v>1</v>
      </c>
      <c r="T13" s="123">
        <f>VLOOKUP($F13,ranking_gift!$A:$O,13)</f>
        <v>0</v>
      </c>
      <c r="U13" s="123">
        <f>VLOOKUP($F13,ranking_gift!$A:$O,14)</f>
        <v>1</v>
      </c>
      <c r="V13" s="123">
        <f>VLOOKUP($F13,ranking_gift!$A:$O,15)</f>
        <v>0</v>
      </c>
    </row>
    <row r="14" spans="1:22">
      <c r="A14" s="120">
        <v>60001</v>
      </c>
      <c r="B14" s="121" t="str">
        <f ca="1">VLOOKUP($A14,OFFSET([2]quests!$A$1,0,0,COUNTA([2]quests!$A:$A),MATCH(B$1,[2]quests!$1:$1,0)-MATCH($A$1,[2]quests!$1:$1,0)+1),MATCH(B$1,[2]quests!$1:$1,0)-MATCH($A$1,[2]quests!$1:$1,0)+1,FALSE)</f>
        <v>ヘンペルチャレンジ</v>
      </c>
      <c r="C14" s="121" t="str">
        <f ca="1">VLOOKUP($A14,OFFSET([2]quests!$A$1,0,0,COUNTA([2]quests!$A:$A),MATCH(C$1,[2]quests!$1:$1,0)-MATCH($A$1,[2]quests!$1:$1,0)+1),MATCH(C$1,[2]quests!$1:$1,0)-MATCH($A$1,[2]quests!$1:$1,0)+1,FALSE)</f>
        <v>ランキング1</v>
      </c>
      <c r="D14" s="120">
        <v>4</v>
      </c>
      <c r="E14" s="120">
        <v>4</v>
      </c>
      <c r="F14" s="120">
        <v>61001</v>
      </c>
      <c r="G14" s="122">
        <v>61013</v>
      </c>
      <c r="H14" s="123" t="str">
        <f>VLOOKUP(F14,ranking_gift!A:B,2)</f>
        <v>polygon</v>
      </c>
      <c r="I14" s="123">
        <f>VLOOKUP(F14,ranking_gift!$A:$G,3)</f>
        <v>1</v>
      </c>
      <c r="J14" s="123" t="str">
        <f>VLOOKUP($F14,ranking_gift!$A:$G,6)</f>
        <v>NULL</v>
      </c>
      <c r="K14" s="123">
        <v>3</v>
      </c>
      <c r="L14" s="123" t="s">
        <v>229</v>
      </c>
      <c r="M14" s="123" t="s">
        <v>404</v>
      </c>
      <c r="N14" s="123" t="s">
        <v>403</v>
      </c>
      <c r="O14" s="124" t="s">
        <v>405</v>
      </c>
      <c r="P14" s="123">
        <f>VLOOKUP($F14,ranking_gift!$A:$O,9)</f>
        <v>0</v>
      </c>
      <c r="Q14" s="123">
        <f>VLOOKUP($F14,ranking_gift!$A:$O,10)</f>
        <v>1</v>
      </c>
      <c r="R14" s="123">
        <f>VLOOKUP($F14,ranking_gift!$A:$O,11)</f>
        <v>0</v>
      </c>
      <c r="S14" s="123">
        <f>VLOOKUP($F14,ranking_gift!$A:$O,12)</f>
        <v>1</v>
      </c>
      <c r="T14" s="123">
        <f>VLOOKUP($F14,ranking_gift!$A:$O,13)</f>
        <v>0</v>
      </c>
      <c r="U14" s="123">
        <f>VLOOKUP($F14,ranking_gift!$A:$O,14)</f>
        <v>1</v>
      </c>
      <c r="V14" s="123">
        <f>VLOOKUP($F14,ranking_gift!$A:$O,15)</f>
        <v>0</v>
      </c>
    </row>
    <row r="15" spans="1:22">
      <c r="A15" s="120">
        <v>60001</v>
      </c>
      <c r="B15" s="121" t="str">
        <f ca="1">VLOOKUP($A15,OFFSET([2]quests!$A$1,0,0,COUNTA([2]quests!$A:$A),MATCH(B$1,[2]quests!$1:$1,0)-MATCH($A$1,[2]quests!$1:$1,0)+1),MATCH(B$1,[2]quests!$1:$1,0)-MATCH($A$1,[2]quests!$1:$1,0)+1,FALSE)</f>
        <v>ヘンペルチャレンジ</v>
      </c>
      <c r="C15" s="121" t="str">
        <f ca="1">VLOOKUP($A15,OFFSET([2]quests!$A$1,0,0,COUNTA([2]quests!$A:$A),MATCH(C$1,[2]quests!$1:$1,0)-MATCH($A$1,[2]quests!$1:$1,0)+1),MATCH(C$1,[2]quests!$1:$1,0)-MATCH($A$1,[2]quests!$1:$1,0)+1,FALSE)</f>
        <v>ランキング1</v>
      </c>
      <c r="D15" s="120">
        <v>4</v>
      </c>
      <c r="E15" s="120">
        <v>4</v>
      </c>
      <c r="F15" s="120">
        <v>61002</v>
      </c>
      <c r="G15" s="122">
        <v>61014</v>
      </c>
      <c r="H15" s="123" t="str">
        <f>VLOOKUP(F15,ranking_gift!A:B,2)</f>
        <v>item</v>
      </c>
      <c r="I15" s="123">
        <f>VLOOKUP(F15,ranking_gift!$A:$G,3)</f>
        <v>8</v>
      </c>
      <c r="J15" s="123">
        <f>VLOOKUP($F15,ranking_gift!$A:$G,6)</f>
        <v>1</v>
      </c>
      <c r="K15" s="123">
        <v>3</v>
      </c>
      <c r="L15" s="123" t="s">
        <v>229</v>
      </c>
      <c r="M15" s="123" t="s">
        <v>404</v>
      </c>
      <c r="N15" s="123" t="s">
        <v>403</v>
      </c>
      <c r="O15" s="124" t="s">
        <v>405</v>
      </c>
      <c r="P15" s="123">
        <f>VLOOKUP($F15,ranking_gift!$A:$O,9)</f>
        <v>0</v>
      </c>
      <c r="Q15" s="123">
        <f>VLOOKUP($F15,ranking_gift!$A:$O,10)</f>
        <v>1</v>
      </c>
      <c r="R15" s="123">
        <f>VLOOKUP($F15,ranking_gift!$A:$O,11)</f>
        <v>0</v>
      </c>
      <c r="S15" s="123">
        <f>VLOOKUP($F15,ranking_gift!$A:$O,12)</f>
        <v>1</v>
      </c>
      <c r="T15" s="123">
        <f>VLOOKUP($F15,ranking_gift!$A:$O,13)</f>
        <v>0</v>
      </c>
      <c r="U15" s="123">
        <f>VLOOKUP($F15,ranking_gift!$A:$O,14)</f>
        <v>1</v>
      </c>
      <c r="V15" s="123">
        <f>VLOOKUP($F15,ranking_gift!$A:$O,15)</f>
        <v>0</v>
      </c>
    </row>
    <row r="16" spans="1:22">
      <c r="A16" s="120">
        <v>60001</v>
      </c>
      <c r="B16" s="121" t="str">
        <f ca="1">VLOOKUP($A16,OFFSET([2]quests!$A$1,0,0,COUNTA([2]quests!$A:$A),MATCH(B$1,[2]quests!$1:$1,0)-MATCH($A$1,[2]quests!$1:$1,0)+1),MATCH(B$1,[2]quests!$1:$1,0)-MATCH($A$1,[2]quests!$1:$1,0)+1,FALSE)</f>
        <v>ヘンペルチャレンジ</v>
      </c>
      <c r="C16" s="121" t="str">
        <f ca="1">VLOOKUP($A16,OFFSET([2]quests!$A$1,0,0,COUNTA([2]quests!$A:$A),MATCH(C$1,[2]quests!$1:$1,0)-MATCH($A$1,[2]quests!$1:$1,0)+1),MATCH(C$1,[2]quests!$1:$1,0)-MATCH($A$1,[2]quests!$1:$1,0)+1,FALSE)</f>
        <v>ランキング1</v>
      </c>
      <c r="D16" s="120">
        <v>5</v>
      </c>
      <c r="E16" s="120">
        <v>5</v>
      </c>
      <c r="F16" s="120">
        <v>61001</v>
      </c>
      <c r="G16" s="122">
        <v>61015</v>
      </c>
      <c r="H16" s="123" t="str">
        <f>VLOOKUP(F16,ranking_gift!A:B,2)</f>
        <v>polygon</v>
      </c>
      <c r="I16" s="123">
        <f>VLOOKUP(F16,ranking_gift!$A:$G,3)</f>
        <v>1</v>
      </c>
      <c r="J16" s="123" t="str">
        <f>VLOOKUP($F16,ranking_gift!$A:$G,6)</f>
        <v>NULL</v>
      </c>
      <c r="K16" s="123">
        <v>3</v>
      </c>
      <c r="L16" s="123" t="s">
        <v>229</v>
      </c>
      <c r="M16" s="123" t="s">
        <v>404</v>
      </c>
      <c r="N16" s="123" t="s">
        <v>403</v>
      </c>
      <c r="O16" s="124" t="s">
        <v>405</v>
      </c>
      <c r="P16" s="123">
        <f>VLOOKUP($F16,ranking_gift!$A:$O,9)</f>
        <v>0</v>
      </c>
      <c r="Q16" s="123">
        <f>VLOOKUP($F16,ranking_gift!$A:$O,10)</f>
        <v>1</v>
      </c>
      <c r="R16" s="123">
        <f>VLOOKUP($F16,ranking_gift!$A:$O,11)</f>
        <v>0</v>
      </c>
      <c r="S16" s="123">
        <f>VLOOKUP($F16,ranking_gift!$A:$O,12)</f>
        <v>1</v>
      </c>
      <c r="T16" s="123">
        <f>VLOOKUP($F16,ranking_gift!$A:$O,13)</f>
        <v>0</v>
      </c>
      <c r="U16" s="123">
        <f>VLOOKUP($F16,ranking_gift!$A:$O,14)</f>
        <v>1</v>
      </c>
      <c r="V16" s="123">
        <f>VLOOKUP($F16,ranking_gift!$A:$O,15)</f>
        <v>0</v>
      </c>
    </row>
    <row r="17" spans="1:22">
      <c r="A17" s="120">
        <v>60001</v>
      </c>
      <c r="B17" s="121" t="str">
        <f ca="1">VLOOKUP($A17,OFFSET([2]quests!$A$1,0,0,COUNTA([2]quests!$A:$A),MATCH(B$1,[2]quests!$1:$1,0)-MATCH($A$1,[2]quests!$1:$1,0)+1),MATCH(B$1,[2]quests!$1:$1,0)-MATCH($A$1,[2]quests!$1:$1,0)+1,FALSE)</f>
        <v>ヘンペルチャレンジ</v>
      </c>
      <c r="C17" s="121" t="str">
        <f ca="1">VLOOKUP($A17,OFFSET([2]quests!$A$1,0,0,COUNTA([2]quests!$A:$A),MATCH(C$1,[2]quests!$1:$1,0)-MATCH($A$1,[2]quests!$1:$1,0)+1),MATCH(C$1,[2]quests!$1:$1,0)-MATCH($A$1,[2]quests!$1:$1,0)+1,FALSE)</f>
        <v>ランキング1</v>
      </c>
      <c r="D17" s="120">
        <v>6</v>
      </c>
      <c r="E17" s="120">
        <v>9</v>
      </c>
      <c r="F17" s="120">
        <v>61007</v>
      </c>
      <c r="G17" s="122">
        <v>61016</v>
      </c>
      <c r="H17" s="123" t="str">
        <f>VLOOKUP(F17,ranking_gift!A:B,2)</f>
        <v>unit</v>
      </c>
      <c r="I17" s="123">
        <f>VLOOKUP(F17,ranking_gift!$A:$G,3)</f>
        <v>41</v>
      </c>
      <c r="J17" s="123">
        <f>VLOOKUP($F17,ranking_gift!$A:$G,6)</f>
        <v>1</v>
      </c>
      <c r="K17" s="123">
        <v>3</v>
      </c>
      <c r="L17" s="123" t="s">
        <v>229</v>
      </c>
      <c r="M17" s="123" t="s">
        <v>404</v>
      </c>
      <c r="N17" s="123" t="s">
        <v>403</v>
      </c>
      <c r="O17" s="124" t="s">
        <v>405</v>
      </c>
      <c r="P17" s="123">
        <f>VLOOKUP($F17,ranking_gift!$A:$O,9)</f>
        <v>0</v>
      </c>
      <c r="Q17" s="123">
        <f>VLOOKUP($F17,ranking_gift!$A:$O,10)</f>
        <v>1</v>
      </c>
      <c r="R17" s="123">
        <f>VLOOKUP($F17,ranking_gift!$A:$O,11)</f>
        <v>0</v>
      </c>
      <c r="S17" s="123">
        <f>VLOOKUP($F17,ranking_gift!$A:$O,12)</f>
        <v>1</v>
      </c>
      <c r="T17" s="123">
        <f>VLOOKUP($F17,ranking_gift!$A:$O,13)</f>
        <v>0</v>
      </c>
      <c r="U17" s="123">
        <f>VLOOKUP($F17,ranking_gift!$A:$O,14)</f>
        <v>1</v>
      </c>
      <c r="V17" s="123">
        <f>VLOOKUP($F17,ranking_gift!$A:$O,15)</f>
        <v>0</v>
      </c>
    </row>
    <row r="18" spans="1:22">
      <c r="A18" s="120">
        <v>60001</v>
      </c>
      <c r="B18" s="121" t="str">
        <f ca="1">VLOOKUP($A18,OFFSET([2]quests!$A$1,0,0,COUNTA([2]quests!$A:$A),MATCH(B$1,[2]quests!$1:$1,0)-MATCH($A$1,[2]quests!$1:$1,0)+1),MATCH(B$1,[2]quests!$1:$1,0)-MATCH($A$1,[2]quests!$1:$1,0)+1,FALSE)</f>
        <v>ヘンペルチャレンジ</v>
      </c>
      <c r="C18" s="121" t="str">
        <f ca="1">VLOOKUP($A18,OFFSET([2]quests!$A$1,0,0,COUNTA([2]quests!$A:$A),MATCH(C$1,[2]quests!$1:$1,0)-MATCH($A$1,[2]quests!$1:$1,0)+1),MATCH(C$1,[2]quests!$1:$1,0)-MATCH($A$1,[2]quests!$1:$1,0)+1,FALSE)</f>
        <v>ランキング1</v>
      </c>
      <c r="D18" s="120">
        <v>10</v>
      </c>
      <c r="E18" s="120">
        <v>11</v>
      </c>
      <c r="F18" s="120">
        <v>61006</v>
      </c>
      <c r="G18" s="122">
        <v>61017</v>
      </c>
      <c r="H18" s="123" t="str">
        <f>VLOOKUP(F18,ranking_gift!A:B,2)</f>
        <v>item</v>
      </c>
      <c r="I18" s="123">
        <f>VLOOKUP(F18,ranking_gift!$A:$G,3)</f>
        <v>6</v>
      </c>
      <c r="J18" s="123">
        <f>VLOOKUP($F18,ranking_gift!$A:$G,6)</f>
        <v>1</v>
      </c>
      <c r="K18" s="123">
        <v>3</v>
      </c>
      <c r="L18" s="123" t="s">
        <v>229</v>
      </c>
      <c r="M18" s="123" t="s">
        <v>404</v>
      </c>
      <c r="N18" s="123" t="s">
        <v>403</v>
      </c>
      <c r="O18" s="124" t="s">
        <v>405</v>
      </c>
      <c r="P18" s="123">
        <f>VLOOKUP($F18,ranking_gift!$A:$O,9)</f>
        <v>0</v>
      </c>
      <c r="Q18" s="123">
        <f>VLOOKUP($F18,ranking_gift!$A:$O,10)</f>
        <v>1</v>
      </c>
      <c r="R18" s="123">
        <f>VLOOKUP($F18,ranking_gift!$A:$O,11)</f>
        <v>0</v>
      </c>
      <c r="S18" s="123">
        <f>VLOOKUP($F18,ranking_gift!$A:$O,12)</f>
        <v>1</v>
      </c>
      <c r="T18" s="123">
        <f>VLOOKUP($F18,ranking_gift!$A:$O,13)</f>
        <v>0</v>
      </c>
      <c r="U18" s="123">
        <f>VLOOKUP($F18,ranking_gift!$A:$O,14)</f>
        <v>1</v>
      </c>
      <c r="V18" s="123">
        <f>VLOOKUP($F18,ranking_gift!$A:$O,15)</f>
        <v>0</v>
      </c>
    </row>
    <row r="19" spans="1:22">
      <c r="A19" s="120">
        <v>60001</v>
      </c>
      <c r="B19" s="121" t="str">
        <f ca="1">VLOOKUP($A19,OFFSET([2]quests!$A$1,0,0,COUNTA([2]quests!$A:$A),MATCH(B$1,[2]quests!$1:$1,0)-MATCH($A$1,[2]quests!$1:$1,0)+1),MATCH(B$1,[2]quests!$1:$1,0)-MATCH($A$1,[2]quests!$1:$1,0)+1,FALSE)</f>
        <v>ヘンペルチャレンジ</v>
      </c>
      <c r="C19" s="121" t="str">
        <f ca="1">VLOOKUP($A19,OFFSET([2]quests!$A$1,0,0,COUNTA([2]quests!$A:$A),MATCH(C$1,[2]quests!$1:$1,0)-MATCH($A$1,[2]quests!$1:$1,0)+1),MATCH(C$1,[2]quests!$1:$1,0)-MATCH($A$1,[2]quests!$1:$1,0)+1,FALSE)</f>
        <v>ランキング1</v>
      </c>
      <c r="D19" s="120">
        <v>10</v>
      </c>
      <c r="E19" s="120">
        <v>11</v>
      </c>
      <c r="F19" s="120">
        <v>61007</v>
      </c>
      <c r="G19" s="122">
        <v>61018</v>
      </c>
      <c r="H19" s="123" t="str">
        <f>VLOOKUP(F19,ranking_gift!A:B,2)</f>
        <v>unit</v>
      </c>
      <c r="I19" s="123">
        <f>VLOOKUP(F19,ranking_gift!$A:$G,3)</f>
        <v>41</v>
      </c>
      <c r="J19" s="123">
        <f>VLOOKUP($F19,ranking_gift!$A:$G,6)</f>
        <v>1</v>
      </c>
      <c r="K19" s="123">
        <v>3</v>
      </c>
      <c r="L19" s="123" t="s">
        <v>229</v>
      </c>
      <c r="M19" s="123" t="s">
        <v>404</v>
      </c>
      <c r="N19" s="123" t="s">
        <v>403</v>
      </c>
      <c r="O19" s="124" t="s">
        <v>405</v>
      </c>
      <c r="P19" s="123">
        <f>VLOOKUP($F19,ranking_gift!$A:$O,9)</f>
        <v>0</v>
      </c>
      <c r="Q19" s="123">
        <f>VLOOKUP($F19,ranking_gift!$A:$O,10)</f>
        <v>1</v>
      </c>
      <c r="R19" s="123">
        <f>VLOOKUP($F19,ranking_gift!$A:$O,11)</f>
        <v>0</v>
      </c>
      <c r="S19" s="123">
        <f>VLOOKUP($F19,ranking_gift!$A:$O,12)</f>
        <v>1</v>
      </c>
      <c r="T19" s="123">
        <f>VLOOKUP($F19,ranking_gift!$A:$O,13)</f>
        <v>0</v>
      </c>
      <c r="U19" s="123">
        <f>VLOOKUP($F19,ranking_gift!$A:$O,14)</f>
        <v>1</v>
      </c>
      <c r="V19" s="123">
        <f>VLOOKUP($F19,ranking_gift!$A:$O,15)</f>
        <v>0</v>
      </c>
    </row>
    <row r="20" spans="1:22">
      <c r="A20" s="120">
        <v>60001</v>
      </c>
      <c r="B20" s="121" t="str">
        <f ca="1">VLOOKUP($A20,OFFSET([2]quests!$A$1,0,0,COUNTA([2]quests!$A:$A),MATCH(B$1,[2]quests!$1:$1,0)-MATCH($A$1,[2]quests!$1:$1,0)+1),MATCH(B$1,[2]quests!$1:$1,0)-MATCH($A$1,[2]quests!$1:$1,0)+1,FALSE)</f>
        <v>ヘンペルチャレンジ</v>
      </c>
      <c r="C20" s="121" t="str">
        <f ca="1">VLOOKUP($A20,OFFSET([2]quests!$A$1,0,0,COUNTA([2]quests!$A:$A),MATCH(C$1,[2]quests!$1:$1,0)-MATCH($A$1,[2]quests!$1:$1,0)+1),MATCH(C$1,[2]quests!$1:$1,0)-MATCH($A$1,[2]quests!$1:$1,0)+1,FALSE)</f>
        <v>ランキング1</v>
      </c>
      <c r="D20" s="120">
        <v>12</v>
      </c>
      <c r="E20" s="120">
        <v>10000</v>
      </c>
      <c r="F20" s="120">
        <v>61007</v>
      </c>
      <c r="G20" s="122">
        <v>61019</v>
      </c>
      <c r="H20" s="123" t="str">
        <f>VLOOKUP(F20,ranking_gift!A:B,2)</f>
        <v>unit</v>
      </c>
      <c r="I20" s="123">
        <f>VLOOKUP(F20,ranking_gift!$A:$G,3)</f>
        <v>41</v>
      </c>
      <c r="J20" s="123">
        <f>VLOOKUP($F20,ranking_gift!$A:$G,6)</f>
        <v>1</v>
      </c>
      <c r="K20" s="123">
        <v>3</v>
      </c>
      <c r="L20" s="123" t="s">
        <v>229</v>
      </c>
      <c r="M20" s="123" t="s">
        <v>404</v>
      </c>
      <c r="N20" s="123" t="s">
        <v>403</v>
      </c>
      <c r="O20" s="124" t="s">
        <v>405</v>
      </c>
      <c r="P20" s="123">
        <f>VLOOKUP($F20,ranking_gift!$A:$O,9)</f>
        <v>0</v>
      </c>
      <c r="Q20" s="123">
        <f>VLOOKUP($F20,ranking_gift!$A:$O,10)</f>
        <v>1</v>
      </c>
      <c r="R20" s="123">
        <f>VLOOKUP($F20,ranking_gift!$A:$O,11)</f>
        <v>0</v>
      </c>
      <c r="S20" s="123">
        <f>VLOOKUP($F20,ranking_gift!$A:$O,12)</f>
        <v>1</v>
      </c>
      <c r="T20" s="123">
        <f>VLOOKUP($F20,ranking_gift!$A:$O,13)</f>
        <v>0</v>
      </c>
      <c r="U20" s="123">
        <f>VLOOKUP($F20,ranking_gift!$A:$O,14)</f>
        <v>1</v>
      </c>
      <c r="V20" s="123">
        <f>VLOOKUP($F20,ranking_gift!$A:$O,15)</f>
        <v>0</v>
      </c>
    </row>
    <row r="21" spans="1:22">
      <c r="A21" s="120">
        <v>60002</v>
      </c>
      <c r="B21" s="121" t="str">
        <f ca="1">VLOOKUP($A21,OFFSET([2]quests!$A$1,0,0,COUNTA([2]quests!$A:$A),MATCH(B$1,[2]quests!$1:$1,0)-MATCH($A$1,[2]quests!$1:$1,0)+1),MATCH(B$1,[2]quests!$1:$1,0)-MATCH($A$1,[2]quests!$1:$1,0)+1,FALSE)</f>
        <v>ヘンペルチャレンジ</v>
      </c>
      <c r="C21" s="121" t="str">
        <f ca="1">VLOOKUP($A21,OFFSET([2]quests!$A$1,0,0,COUNTA([2]quests!$A:$A),MATCH(C$1,[2]quests!$1:$1,0)-MATCH($A$1,[2]quests!$1:$1,0)+1),MATCH(C$1,[2]quests!$1:$1,0)-MATCH($A$1,[2]quests!$1:$1,0)+1,FALSE)</f>
        <v>ランキング1</v>
      </c>
      <c r="D21" s="120">
        <v>1</v>
      </c>
      <c r="E21" s="120">
        <v>1</v>
      </c>
      <c r="F21" s="120">
        <v>62001</v>
      </c>
      <c r="G21" s="122">
        <v>62001</v>
      </c>
      <c r="H21" s="123" t="str">
        <f>VLOOKUP(F21,ranking_gift!A:B,2)</f>
        <v>polygon</v>
      </c>
      <c r="I21" s="123">
        <f>VLOOKUP(F21,ranking_gift!$A:$G,3)</f>
        <v>1</v>
      </c>
      <c r="J21" s="123" t="str">
        <f>VLOOKUP($F21,ranking_gift!$A:$G,6)</f>
        <v>NULL</v>
      </c>
      <c r="K21" s="123">
        <v>3</v>
      </c>
      <c r="L21" s="123" t="s">
        <v>229</v>
      </c>
      <c r="M21" s="123" t="s">
        <v>404</v>
      </c>
      <c r="N21" s="123" t="s">
        <v>403</v>
      </c>
      <c r="O21" s="124" t="s">
        <v>405</v>
      </c>
      <c r="P21" s="123">
        <f>VLOOKUP($F21,ranking_gift!$A:$O,9)</f>
        <v>0</v>
      </c>
      <c r="Q21" s="123">
        <f>VLOOKUP($F21,ranking_gift!$A:$O,10)</f>
        <v>1</v>
      </c>
      <c r="R21" s="123">
        <f>VLOOKUP($F21,ranking_gift!$A:$O,11)</f>
        <v>0</v>
      </c>
      <c r="S21" s="123">
        <f>VLOOKUP($F21,ranking_gift!$A:$O,12)</f>
        <v>1</v>
      </c>
      <c r="T21" s="123">
        <f>VLOOKUP($F21,ranking_gift!$A:$O,13)</f>
        <v>0</v>
      </c>
      <c r="U21" s="123">
        <f>VLOOKUP($F21,ranking_gift!$A:$O,14)</f>
        <v>1</v>
      </c>
      <c r="V21" s="123">
        <f>VLOOKUP($F21,ranking_gift!$A:$O,15)</f>
        <v>0</v>
      </c>
    </row>
    <row r="22" spans="1:22">
      <c r="A22" s="120">
        <v>60002</v>
      </c>
      <c r="B22" s="121" t="str">
        <f ca="1">VLOOKUP($A22,OFFSET([2]quests!$A$1,0,0,COUNTA([2]quests!$A:$A),MATCH(B$1,[2]quests!$1:$1,0)-MATCH($A$1,[2]quests!$1:$1,0)+1),MATCH(B$1,[2]quests!$1:$1,0)-MATCH($A$1,[2]quests!$1:$1,0)+1,FALSE)</f>
        <v>ヘンペルチャレンジ</v>
      </c>
      <c r="C22" s="121" t="str">
        <f ca="1">VLOOKUP($A22,OFFSET([2]quests!$A$1,0,0,COUNTA([2]quests!$A:$A),MATCH(C$1,[2]quests!$1:$1,0)-MATCH($A$1,[2]quests!$1:$1,0)+1),MATCH(C$1,[2]quests!$1:$1,0)-MATCH($A$1,[2]quests!$1:$1,0)+1,FALSE)</f>
        <v>ランキング1</v>
      </c>
      <c r="D22" s="120">
        <v>1</v>
      </c>
      <c r="E22" s="120">
        <v>1</v>
      </c>
      <c r="F22" s="120">
        <v>62002</v>
      </c>
      <c r="G22" s="122">
        <v>62002</v>
      </c>
      <c r="H22" s="123" t="str">
        <f>VLOOKUP(F22,ranking_gift!A:B,2)</f>
        <v>bit</v>
      </c>
      <c r="I22" s="123">
        <f>VLOOKUP(F22,ranking_gift!$A:$G,3)</f>
        <v>100000</v>
      </c>
      <c r="J22" s="123" t="str">
        <f>VLOOKUP($F22,ranking_gift!$A:$G,6)</f>
        <v>NULL</v>
      </c>
      <c r="K22" s="123">
        <v>3</v>
      </c>
      <c r="L22" s="123" t="s">
        <v>229</v>
      </c>
      <c r="M22" s="123" t="s">
        <v>404</v>
      </c>
      <c r="N22" s="123" t="s">
        <v>403</v>
      </c>
      <c r="O22" s="124" t="s">
        <v>405</v>
      </c>
      <c r="P22" s="123">
        <f>VLOOKUP($F22,ranking_gift!$A:$O,9)</f>
        <v>0</v>
      </c>
      <c r="Q22" s="123">
        <f>VLOOKUP($F22,ranking_gift!$A:$O,10)</f>
        <v>1</v>
      </c>
      <c r="R22" s="123">
        <f>VLOOKUP($F22,ranking_gift!$A:$O,11)</f>
        <v>0</v>
      </c>
      <c r="S22" s="123">
        <f>VLOOKUP($F22,ranking_gift!$A:$O,12)</f>
        <v>1</v>
      </c>
      <c r="T22" s="123">
        <f>VLOOKUP($F22,ranking_gift!$A:$O,13)</f>
        <v>0</v>
      </c>
      <c r="U22" s="123">
        <f>VLOOKUP($F22,ranking_gift!$A:$O,14)</f>
        <v>1</v>
      </c>
      <c r="V22" s="123">
        <f>VLOOKUP($F22,ranking_gift!$A:$O,15)</f>
        <v>0</v>
      </c>
    </row>
    <row r="23" spans="1:22">
      <c r="A23" s="120">
        <v>60002</v>
      </c>
      <c r="B23" s="121" t="str">
        <f ca="1">VLOOKUP($A23,OFFSET([2]quests!$A$1,0,0,COUNTA([2]quests!$A:$A),MATCH(B$1,[2]quests!$1:$1,0)-MATCH($A$1,[2]quests!$1:$1,0)+1),MATCH(B$1,[2]quests!$1:$1,0)-MATCH($A$1,[2]quests!$1:$1,0)+1,FALSE)</f>
        <v>ヘンペルチャレンジ</v>
      </c>
      <c r="C23" s="121" t="str">
        <f ca="1">VLOOKUP($A23,OFFSET([2]quests!$A$1,0,0,COUNTA([2]quests!$A:$A),MATCH(C$1,[2]quests!$1:$1,0)-MATCH($A$1,[2]quests!$1:$1,0)+1),MATCH(C$1,[2]quests!$1:$1,0)-MATCH($A$1,[2]quests!$1:$1,0)+1,FALSE)</f>
        <v>ランキング1</v>
      </c>
      <c r="D23" s="120">
        <v>1</v>
      </c>
      <c r="E23" s="120">
        <v>1</v>
      </c>
      <c r="F23" s="120">
        <v>62003</v>
      </c>
      <c r="G23" s="122">
        <v>62003</v>
      </c>
      <c r="H23" s="123" t="str">
        <f>VLOOKUP(F23,ranking_gift!A:B,2)</f>
        <v>link</v>
      </c>
      <c r="I23" s="123">
        <f>VLOOKUP(F23,ranking_gift!$A:$G,3)</f>
        <v>1000</v>
      </c>
      <c r="J23" s="123" t="str">
        <f>VLOOKUP($F23,ranking_gift!$A:$G,6)</f>
        <v>NULL</v>
      </c>
      <c r="K23" s="123">
        <v>3</v>
      </c>
      <c r="L23" s="123" t="s">
        <v>229</v>
      </c>
      <c r="M23" s="123" t="s">
        <v>404</v>
      </c>
      <c r="N23" s="123" t="s">
        <v>403</v>
      </c>
      <c r="O23" s="124" t="s">
        <v>405</v>
      </c>
      <c r="P23" s="123">
        <f>VLOOKUP($F23,ranking_gift!$A:$O,9)</f>
        <v>0</v>
      </c>
      <c r="Q23" s="123">
        <f>VLOOKUP($F23,ranking_gift!$A:$O,10)</f>
        <v>1</v>
      </c>
      <c r="R23" s="123">
        <f>VLOOKUP($F23,ranking_gift!$A:$O,11)</f>
        <v>0</v>
      </c>
      <c r="S23" s="123">
        <f>VLOOKUP($F23,ranking_gift!$A:$O,12)</f>
        <v>1</v>
      </c>
      <c r="T23" s="123">
        <f>VLOOKUP($F23,ranking_gift!$A:$O,13)</f>
        <v>0</v>
      </c>
      <c r="U23" s="123">
        <f>VLOOKUP($F23,ranking_gift!$A:$O,14)</f>
        <v>1</v>
      </c>
      <c r="V23" s="123">
        <f>VLOOKUP($F23,ranking_gift!$A:$O,15)</f>
        <v>0</v>
      </c>
    </row>
    <row r="24" spans="1:22">
      <c r="A24" s="120">
        <v>60002</v>
      </c>
      <c r="B24" s="121" t="str">
        <f ca="1">VLOOKUP($A24,OFFSET([2]quests!$A$1,0,0,COUNTA([2]quests!$A:$A),MATCH(B$1,[2]quests!$1:$1,0)-MATCH($A$1,[2]quests!$1:$1,0)+1),MATCH(B$1,[2]quests!$1:$1,0)-MATCH($A$1,[2]quests!$1:$1,0)+1,FALSE)</f>
        <v>ヘンペルチャレンジ</v>
      </c>
      <c r="C24" s="121" t="str">
        <f ca="1">VLOOKUP($A24,OFFSET([2]quests!$A$1,0,0,COUNTA([2]quests!$A:$A),MATCH(C$1,[2]quests!$1:$1,0)-MATCH($A$1,[2]quests!$1:$1,0)+1),MATCH(C$1,[2]quests!$1:$1,0)-MATCH($A$1,[2]quests!$1:$1,0)+1,FALSE)</f>
        <v>ランキング1</v>
      </c>
      <c r="D24" s="120">
        <v>2</v>
      </c>
      <c r="E24" s="120">
        <v>2</v>
      </c>
      <c r="F24" s="120">
        <v>62004</v>
      </c>
      <c r="G24" s="122">
        <v>62004</v>
      </c>
      <c r="H24" s="123" t="str">
        <f>VLOOKUP(F24,ranking_gift!A:B,2)</f>
        <v>item</v>
      </c>
      <c r="I24" s="123">
        <f>VLOOKUP(F24,ranking_gift!$A:$G,3)</f>
        <v>8</v>
      </c>
      <c r="J24" s="123">
        <f>VLOOKUP($F24,ranking_gift!$A:$G,6)</f>
        <v>1</v>
      </c>
      <c r="K24" s="123">
        <v>3</v>
      </c>
      <c r="L24" s="123" t="s">
        <v>229</v>
      </c>
      <c r="M24" s="123" t="s">
        <v>404</v>
      </c>
      <c r="N24" s="123" t="s">
        <v>403</v>
      </c>
      <c r="O24" s="124" t="s">
        <v>405</v>
      </c>
      <c r="P24" s="123">
        <f>VLOOKUP($F24,ranking_gift!$A:$O,9)</f>
        <v>0</v>
      </c>
      <c r="Q24" s="123">
        <f>VLOOKUP($F24,ranking_gift!$A:$O,10)</f>
        <v>1</v>
      </c>
      <c r="R24" s="123">
        <f>VLOOKUP($F24,ranking_gift!$A:$O,11)</f>
        <v>0</v>
      </c>
      <c r="S24" s="123">
        <f>VLOOKUP($F24,ranking_gift!$A:$O,12)</f>
        <v>1</v>
      </c>
      <c r="T24" s="123">
        <f>VLOOKUP($F24,ranking_gift!$A:$O,13)</f>
        <v>0</v>
      </c>
      <c r="U24" s="123">
        <f>VLOOKUP($F24,ranking_gift!$A:$O,14)</f>
        <v>1</v>
      </c>
      <c r="V24" s="123">
        <f>VLOOKUP($F24,ranking_gift!$A:$O,15)</f>
        <v>0</v>
      </c>
    </row>
    <row r="25" spans="1:22">
      <c r="A25" s="120">
        <v>60002</v>
      </c>
      <c r="B25" s="121" t="str">
        <f ca="1">VLOOKUP($A25,OFFSET([2]quests!$A$1,0,0,COUNTA([2]quests!$A:$A),MATCH(B$1,[2]quests!$1:$1,0)-MATCH($A$1,[2]quests!$1:$1,0)+1),MATCH(B$1,[2]quests!$1:$1,0)-MATCH($A$1,[2]quests!$1:$1,0)+1,FALSE)</f>
        <v>ヘンペルチャレンジ</v>
      </c>
      <c r="C25" s="121" t="str">
        <f ca="1">VLOOKUP($A25,OFFSET([2]quests!$A$1,0,0,COUNTA([2]quests!$A:$A),MATCH(C$1,[2]quests!$1:$1,0)-MATCH($A$1,[2]quests!$1:$1,0)+1),MATCH(C$1,[2]quests!$1:$1,0)-MATCH($A$1,[2]quests!$1:$1,0)+1,FALSE)</f>
        <v>ランキング1</v>
      </c>
      <c r="D25" s="120">
        <v>2</v>
      </c>
      <c r="E25" s="120">
        <v>2</v>
      </c>
      <c r="F25" s="120">
        <v>62005</v>
      </c>
      <c r="G25" s="122">
        <v>62005</v>
      </c>
      <c r="H25" s="123" t="str">
        <f>VLOOKUP(F25,ranking_gift!A:B,2)</f>
        <v>link</v>
      </c>
      <c r="I25" s="123">
        <f>VLOOKUP(F25,ranking_gift!$A:$G,3)</f>
        <v>1000</v>
      </c>
      <c r="J25" s="123" t="str">
        <f>VLOOKUP($F25,ranking_gift!$A:$G,6)</f>
        <v>NULL</v>
      </c>
      <c r="K25" s="123">
        <v>3</v>
      </c>
      <c r="L25" s="123" t="s">
        <v>229</v>
      </c>
      <c r="M25" s="123" t="s">
        <v>404</v>
      </c>
      <c r="N25" s="123" t="s">
        <v>403</v>
      </c>
      <c r="O25" s="124" t="s">
        <v>405</v>
      </c>
      <c r="P25" s="123">
        <f>VLOOKUP($F25,ranking_gift!$A:$O,9)</f>
        <v>0</v>
      </c>
      <c r="Q25" s="123">
        <f>VLOOKUP($F25,ranking_gift!$A:$O,10)</f>
        <v>1</v>
      </c>
      <c r="R25" s="123">
        <f>VLOOKUP($F25,ranking_gift!$A:$O,11)</f>
        <v>0</v>
      </c>
      <c r="S25" s="123">
        <f>VLOOKUP($F25,ranking_gift!$A:$O,12)</f>
        <v>1</v>
      </c>
      <c r="T25" s="123">
        <f>VLOOKUP($F25,ranking_gift!$A:$O,13)</f>
        <v>0</v>
      </c>
      <c r="U25" s="123">
        <f>VLOOKUP($F25,ranking_gift!$A:$O,14)</f>
        <v>1</v>
      </c>
      <c r="V25" s="123">
        <f>VLOOKUP($F25,ranking_gift!$A:$O,15)</f>
        <v>0</v>
      </c>
    </row>
    <row r="26" spans="1:22">
      <c r="A26" s="120">
        <v>60002</v>
      </c>
      <c r="B26" s="121" t="str">
        <f ca="1">VLOOKUP($A26,OFFSET([2]quests!$A$1,0,0,COUNTA([2]quests!$A:$A),MATCH(B$1,[2]quests!$1:$1,0)-MATCH($A$1,[2]quests!$1:$1,0)+1),MATCH(B$1,[2]quests!$1:$1,0)-MATCH($A$1,[2]quests!$1:$1,0)+1,FALSE)</f>
        <v>ヘンペルチャレンジ</v>
      </c>
      <c r="C26" s="121" t="str">
        <f ca="1">VLOOKUP($A26,OFFSET([2]quests!$A$1,0,0,COUNTA([2]quests!$A:$A),MATCH(C$1,[2]quests!$1:$1,0)-MATCH($A$1,[2]quests!$1:$1,0)+1),MATCH(C$1,[2]quests!$1:$1,0)-MATCH($A$1,[2]quests!$1:$1,0)+1,FALSE)</f>
        <v>ランキング1</v>
      </c>
      <c r="D26" s="120">
        <v>3</v>
      </c>
      <c r="E26" s="120">
        <v>3</v>
      </c>
      <c r="F26" s="120">
        <v>62006</v>
      </c>
      <c r="G26" s="122">
        <v>62006</v>
      </c>
      <c r="H26" s="123" t="str">
        <f>VLOOKUP(F26,ranking_gift!A:B,2)</f>
        <v>item</v>
      </c>
      <c r="I26" s="123">
        <f>VLOOKUP(F26,ranking_gift!$A:$G,3)</f>
        <v>6</v>
      </c>
      <c r="J26" s="123">
        <f>VLOOKUP($F26,ranking_gift!$A:$G,6)</f>
        <v>1</v>
      </c>
      <c r="K26" s="123">
        <v>3</v>
      </c>
      <c r="L26" s="123" t="s">
        <v>229</v>
      </c>
      <c r="M26" s="123" t="s">
        <v>404</v>
      </c>
      <c r="N26" s="123" t="s">
        <v>403</v>
      </c>
      <c r="O26" s="124" t="s">
        <v>405</v>
      </c>
      <c r="P26" s="123">
        <f>VLOOKUP($F26,ranking_gift!$A:$O,9)</f>
        <v>0</v>
      </c>
      <c r="Q26" s="123">
        <f>VLOOKUP($F26,ranking_gift!$A:$O,10)</f>
        <v>1</v>
      </c>
      <c r="R26" s="123">
        <f>VLOOKUP($F26,ranking_gift!$A:$O,11)</f>
        <v>0</v>
      </c>
      <c r="S26" s="123">
        <f>VLOOKUP($F26,ranking_gift!$A:$O,12)</f>
        <v>1</v>
      </c>
      <c r="T26" s="123">
        <f>VLOOKUP($F26,ranking_gift!$A:$O,13)</f>
        <v>0</v>
      </c>
      <c r="U26" s="123">
        <f>VLOOKUP($F26,ranking_gift!$A:$O,14)</f>
        <v>1</v>
      </c>
      <c r="V26" s="123">
        <f>VLOOKUP($F26,ranking_gift!$A:$O,15)</f>
        <v>0</v>
      </c>
    </row>
    <row r="27" spans="1:22">
      <c r="A27" s="120">
        <v>60002</v>
      </c>
      <c r="B27" s="121" t="str">
        <f ca="1">VLOOKUP($A27,OFFSET([2]quests!$A$1,0,0,COUNTA([2]quests!$A:$A),MATCH(B$1,[2]quests!$1:$1,0)-MATCH($A$1,[2]quests!$1:$1,0)+1),MATCH(B$1,[2]quests!$1:$1,0)-MATCH($A$1,[2]quests!$1:$1,0)+1,FALSE)</f>
        <v>ヘンペルチャレンジ</v>
      </c>
      <c r="C27" s="121" t="str">
        <f ca="1">VLOOKUP($A27,OFFSET([2]quests!$A$1,0,0,COUNTA([2]quests!$A:$A),MATCH(C$1,[2]quests!$1:$1,0)-MATCH($A$1,[2]quests!$1:$1,0)+1),MATCH(C$1,[2]quests!$1:$1,0)-MATCH($A$1,[2]quests!$1:$1,0)+1,FALSE)</f>
        <v>ランキング1</v>
      </c>
      <c r="D27" s="120">
        <v>4</v>
      </c>
      <c r="E27" s="120">
        <v>6</v>
      </c>
      <c r="F27" s="120">
        <v>62007</v>
      </c>
      <c r="G27" s="122">
        <v>62007</v>
      </c>
      <c r="H27" s="123" t="str">
        <f>VLOOKUP(F27,ranking_gift!A:B,2)</f>
        <v>bit</v>
      </c>
      <c r="I27" s="123">
        <f>VLOOKUP(F27,ranking_gift!$A:$G,3)</f>
        <v>1</v>
      </c>
      <c r="J27" s="123" t="str">
        <f>VLOOKUP($F27,ranking_gift!$A:$G,6)</f>
        <v>NULL</v>
      </c>
      <c r="K27" s="123">
        <v>3</v>
      </c>
      <c r="L27" s="123" t="s">
        <v>229</v>
      </c>
      <c r="M27" s="123" t="s">
        <v>404</v>
      </c>
      <c r="N27" s="123" t="s">
        <v>403</v>
      </c>
      <c r="O27" s="124" t="s">
        <v>405</v>
      </c>
      <c r="P27" s="123">
        <f>VLOOKUP($F27,ranking_gift!$A:$O,9)</f>
        <v>0</v>
      </c>
      <c r="Q27" s="123">
        <f>VLOOKUP($F27,ranking_gift!$A:$O,10)</f>
        <v>1</v>
      </c>
      <c r="R27" s="123">
        <f>VLOOKUP($F27,ranking_gift!$A:$O,11)</f>
        <v>0</v>
      </c>
      <c r="S27" s="123">
        <f>VLOOKUP($F27,ranking_gift!$A:$O,12)</f>
        <v>1</v>
      </c>
      <c r="T27" s="123">
        <f>VLOOKUP($F27,ranking_gift!$A:$O,13)</f>
        <v>0</v>
      </c>
      <c r="U27" s="123">
        <f>VLOOKUP($F27,ranking_gift!$A:$O,14)</f>
        <v>1</v>
      </c>
      <c r="V27" s="123">
        <f>VLOOKUP($F27,ranking_gift!$A:$O,15)</f>
        <v>0</v>
      </c>
    </row>
    <row r="28" spans="1:22">
      <c r="A28" s="120">
        <v>60002</v>
      </c>
      <c r="B28" s="121" t="str">
        <f ca="1">VLOOKUP($A28,OFFSET([2]quests!$A$1,0,0,COUNTA([2]quests!$A:$A),MATCH(B$1,[2]quests!$1:$1,0)-MATCH($A$1,[2]quests!$1:$1,0)+1),MATCH(B$1,[2]quests!$1:$1,0)-MATCH($A$1,[2]quests!$1:$1,0)+1,FALSE)</f>
        <v>ヘンペルチャレンジ</v>
      </c>
      <c r="C28" s="121" t="str">
        <f ca="1">VLOOKUP($A28,OFFSET([2]quests!$A$1,0,0,COUNTA([2]quests!$A:$A),MATCH(C$1,[2]quests!$1:$1,0)-MATCH($A$1,[2]quests!$1:$1,0)+1),MATCH(C$1,[2]quests!$1:$1,0)-MATCH($A$1,[2]quests!$1:$1,0)+1,FALSE)</f>
        <v>ランキング1</v>
      </c>
      <c r="D28" s="120">
        <v>7</v>
      </c>
      <c r="E28" s="120">
        <v>9</v>
      </c>
      <c r="F28" s="120">
        <v>62007</v>
      </c>
      <c r="G28" s="122">
        <v>62008</v>
      </c>
      <c r="H28" s="123" t="str">
        <f>VLOOKUP(F28,ranking_gift!A:B,2)</f>
        <v>bit</v>
      </c>
      <c r="I28" s="123">
        <f>VLOOKUP(F28,ranking_gift!$A:$G,3)</f>
        <v>1</v>
      </c>
      <c r="J28" s="123" t="str">
        <f>VLOOKUP($F28,ranking_gift!$A:$G,6)</f>
        <v>NULL</v>
      </c>
      <c r="K28" s="123">
        <v>3</v>
      </c>
      <c r="L28" s="123" t="s">
        <v>229</v>
      </c>
      <c r="M28" s="123" t="s">
        <v>404</v>
      </c>
      <c r="N28" s="123" t="s">
        <v>403</v>
      </c>
      <c r="O28" s="124" t="s">
        <v>405</v>
      </c>
      <c r="P28" s="123">
        <f>VLOOKUP($F28,ranking_gift!$A:$O,9)</f>
        <v>0</v>
      </c>
      <c r="Q28" s="123">
        <f>VLOOKUP($F28,ranking_gift!$A:$O,10)</f>
        <v>1</v>
      </c>
      <c r="R28" s="123">
        <f>VLOOKUP($F28,ranking_gift!$A:$O,11)</f>
        <v>0</v>
      </c>
      <c r="S28" s="123">
        <f>VLOOKUP($F28,ranking_gift!$A:$O,12)</f>
        <v>1</v>
      </c>
      <c r="T28" s="123">
        <f>VLOOKUP($F28,ranking_gift!$A:$O,13)</f>
        <v>0</v>
      </c>
      <c r="U28" s="123">
        <f>VLOOKUP($F28,ranking_gift!$A:$O,14)</f>
        <v>1</v>
      </c>
      <c r="V28" s="123">
        <f>VLOOKUP($F28,ranking_gift!$A:$O,15)</f>
        <v>0</v>
      </c>
    </row>
    <row r="29" spans="1:22">
      <c r="A29" s="120">
        <v>60002</v>
      </c>
      <c r="B29" s="121" t="str">
        <f ca="1">VLOOKUP($A29,OFFSET([2]quests!$A$1,0,0,COUNTA([2]quests!$A:$A),MATCH(B$1,[2]quests!$1:$1,0)-MATCH($A$1,[2]quests!$1:$1,0)+1),MATCH(B$1,[2]quests!$1:$1,0)-MATCH($A$1,[2]quests!$1:$1,0)+1,FALSE)</f>
        <v>ヘンペルチャレンジ</v>
      </c>
      <c r="C29" s="121" t="str">
        <f ca="1">VLOOKUP($A29,OFFSET([2]quests!$A$1,0,0,COUNTA([2]quests!$A:$A),MATCH(C$1,[2]quests!$1:$1,0)-MATCH($A$1,[2]quests!$1:$1,0)+1),MATCH(C$1,[2]quests!$1:$1,0)-MATCH($A$1,[2]quests!$1:$1,0)+1,FALSE)</f>
        <v>ランキング1</v>
      </c>
      <c r="D29" s="120">
        <v>10</v>
      </c>
      <c r="E29" s="120">
        <v>10</v>
      </c>
      <c r="F29" s="120">
        <v>62008</v>
      </c>
      <c r="G29" s="122">
        <v>62009</v>
      </c>
      <c r="H29" s="123" t="str">
        <f>VLOOKUP(F29,ranking_gift!A:B,2)</f>
        <v>item</v>
      </c>
      <c r="I29" s="123">
        <f>VLOOKUP(F29,ranking_gift!$A:$G,3)</f>
        <v>7</v>
      </c>
      <c r="J29" s="123">
        <f>VLOOKUP($F29,ranking_gift!$A:$G,6)</f>
        <v>1</v>
      </c>
      <c r="K29" s="123">
        <v>3</v>
      </c>
      <c r="L29" s="123" t="s">
        <v>229</v>
      </c>
      <c r="M29" s="123" t="s">
        <v>404</v>
      </c>
      <c r="N29" s="123" t="s">
        <v>403</v>
      </c>
      <c r="O29" s="124" t="s">
        <v>405</v>
      </c>
      <c r="P29" s="123">
        <f>VLOOKUP($F29,ranking_gift!$A:$O,9)</f>
        <v>0</v>
      </c>
      <c r="Q29" s="123">
        <f>VLOOKUP($F29,ranking_gift!$A:$O,10)</f>
        <v>1</v>
      </c>
      <c r="R29" s="123">
        <f>VLOOKUP($F29,ranking_gift!$A:$O,11)</f>
        <v>0</v>
      </c>
      <c r="S29" s="123">
        <f>VLOOKUP($F29,ranking_gift!$A:$O,12)</f>
        <v>1</v>
      </c>
      <c r="T29" s="123">
        <f>VLOOKUP($F29,ranking_gift!$A:$O,13)</f>
        <v>0</v>
      </c>
      <c r="U29" s="123">
        <f>VLOOKUP($F29,ranking_gift!$A:$O,14)</f>
        <v>1</v>
      </c>
      <c r="V29" s="123">
        <f>VLOOKUP($F29,ranking_gift!$A:$O,15)</f>
        <v>0</v>
      </c>
    </row>
    <row r="30" spans="1:22">
      <c r="A30" s="120">
        <v>60002</v>
      </c>
      <c r="B30" s="121" t="str">
        <f ca="1">VLOOKUP($A30,OFFSET([2]quests!$A$1,0,0,COUNTA([2]quests!$A:$A),MATCH(B$1,[2]quests!$1:$1,0)-MATCH($A$1,[2]quests!$1:$1,0)+1),MATCH(B$1,[2]quests!$1:$1,0)-MATCH($A$1,[2]quests!$1:$1,0)+1,FALSE)</f>
        <v>ヘンペルチャレンジ</v>
      </c>
      <c r="C30" s="121" t="str">
        <f ca="1">VLOOKUP($A30,OFFSET([2]quests!$A$1,0,0,COUNTA([2]quests!$A:$A),MATCH(C$1,[2]quests!$1:$1,0)-MATCH($A$1,[2]quests!$1:$1,0)+1),MATCH(C$1,[2]quests!$1:$1,0)-MATCH($A$1,[2]quests!$1:$1,0)+1,FALSE)</f>
        <v>ランキング1</v>
      </c>
      <c r="D30" s="120">
        <v>11</v>
      </c>
      <c r="E30" s="120">
        <v>10000</v>
      </c>
      <c r="F30" s="120">
        <v>62007</v>
      </c>
      <c r="G30" s="122">
        <v>62010</v>
      </c>
      <c r="H30" s="123" t="str">
        <f>VLOOKUP(F30,ranking_gift!A:B,2)</f>
        <v>bit</v>
      </c>
      <c r="I30" s="123">
        <f>VLOOKUP(F30,ranking_gift!$A:$G,3)</f>
        <v>1</v>
      </c>
      <c r="J30" s="123" t="str">
        <f>VLOOKUP($F30,ranking_gift!$A:$G,6)</f>
        <v>NULL</v>
      </c>
      <c r="K30" s="123">
        <v>3</v>
      </c>
      <c r="L30" s="123" t="s">
        <v>229</v>
      </c>
      <c r="M30" s="123" t="s">
        <v>404</v>
      </c>
      <c r="N30" s="123" t="s">
        <v>403</v>
      </c>
      <c r="O30" s="124" t="s">
        <v>405</v>
      </c>
      <c r="P30" s="123">
        <f>VLOOKUP($F30,ranking_gift!$A:$O,9)</f>
        <v>0</v>
      </c>
      <c r="Q30" s="123">
        <f>VLOOKUP($F30,ranking_gift!$A:$O,10)</f>
        <v>1</v>
      </c>
      <c r="R30" s="123">
        <f>VLOOKUP($F30,ranking_gift!$A:$O,11)</f>
        <v>0</v>
      </c>
      <c r="S30" s="123">
        <f>VLOOKUP($F30,ranking_gift!$A:$O,12)</f>
        <v>1</v>
      </c>
      <c r="T30" s="123">
        <f>VLOOKUP($F30,ranking_gift!$A:$O,13)</f>
        <v>0</v>
      </c>
      <c r="U30" s="123">
        <f>VLOOKUP($F30,ranking_gift!$A:$O,14)</f>
        <v>1</v>
      </c>
      <c r="V30" s="123">
        <f>VLOOKUP($F30,ranking_gift!$A:$O,15)</f>
        <v>0</v>
      </c>
    </row>
    <row r="31" spans="1:22">
      <c r="A31" s="120">
        <v>60003</v>
      </c>
      <c r="B31" s="121" t="str">
        <f ca="1">VLOOKUP($A31,OFFSET([2]quests!$A$1,0,0,COUNTA([2]quests!$A:$A),MATCH(B$1,[2]quests!$1:$1,0)-MATCH($A$1,[2]quests!$1:$1,0)+1),MATCH(B$1,[2]quests!$1:$1,0)-MATCH($A$1,[2]quests!$1:$1,0)+1,FALSE)</f>
        <v>ヘンペルチャレンジ</v>
      </c>
      <c r="C31" s="121" t="str">
        <f ca="1">VLOOKUP($A31,OFFSET([2]quests!$A$1,0,0,COUNTA([2]quests!$A:$A),MATCH(C$1,[2]quests!$1:$1,0)-MATCH($A$1,[2]quests!$1:$1,0)+1),MATCH(C$1,[2]quests!$1:$1,0)-MATCH($A$1,[2]quests!$1:$1,0)+1,FALSE)</f>
        <v>ランキング1</v>
      </c>
      <c r="D31" s="120">
        <v>1</v>
      </c>
      <c r="E31" s="120">
        <v>1</v>
      </c>
      <c r="F31" s="120">
        <v>63001</v>
      </c>
      <c r="G31" s="122">
        <v>63001</v>
      </c>
      <c r="H31" s="123" t="str">
        <f>VLOOKUP(F31,ranking_gift!A:B,2)</f>
        <v>item</v>
      </c>
      <c r="I31" s="123">
        <f>VLOOKUP(F31,ranking_gift!$A:$G,3)</f>
        <v>8</v>
      </c>
      <c r="J31" s="123">
        <f>VLOOKUP($F31,ranking_gift!$A:$G,6)</f>
        <v>3</v>
      </c>
      <c r="K31" s="123">
        <v>3</v>
      </c>
      <c r="L31" s="123" t="s">
        <v>229</v>
      </c>
      <c r="M31" s="123" t="s">
        <v>404</v>
      </c>
      <c r="N31" s="123" t="s">
        <v>403</v>
      </c>
      <c r="O31" s="124" t="s">
        <v>405</v>
      </c>
      <c r="P31" s="123">
        <f>VLOOKUP($F31,ranking_gift!$A:$O,9)</f>
        <v>0</v>
      </c>
      <c r="Q31" s="123">
        <f>VLOOKUP($F31,ranking_gift!$A:$O,10)</f>
        <v>1</v>
      </c>
      <c r="R31" s="123">
        <f>VLOOKUP($F31,ranking_gift!$A:$O,11)</f>
        <v>0</v>
      </c>
      <c r="S31" s="123">
        <f>VLOOKUP($F31,ranking_gift!$A:$O,12)</f>
        <v>1</v>
      </c>
      <c r="T31" s="123">
        <f>VLOOKUP($F31,ranking_gift!$A:$O,13)</f>
        <v>0</v>
      </c>
      <c r="U31" s="123">
        <f>VLOOKUP($F31,ranking_gift!$A:$O,14)</f>
        <v>1</v>
      </c>
      <c r="V31" s="123">
        <f>VLOOKUP($F31,ranking_gift!$A:$O,15)</f>
        <v>0</v>
      </c>
    </row>
    <row r="32" spans="1:22">
      <c r="A32" s="120">
        <v>60003</v>
      </c>
      <c r="B32" s="121" t="str">
        <f ca="1">VLOOKUP($A32,OFFSET([2]quests!$A$1,0,0,COUNTA([2]quests!$A:$A),MATCH(B$1,[2]quests!$1:$1,0)-MATCH($A$1,[2]quests!$1:$1,0)+1),MATCH(B$1,[2]quests!$1:$1,0)-MATCH($A$1,[2]quests!$1:$1,0)+1,FALSE)</f>
        <v>ヘンペルチャレンジ</v>
      </c>
      <c r="C32" s="121" t="str">
        <f ca="1">VLOOKUP($A32,OFFSET([2]quests!$A$1,0,0,COUNTA([2]quests!$A:$A),MATCH(C$1,[2]quests!$1:$1,0)-MATCH($A$1,[2]quests!$1:$1,0)+1),MATCH(C$1,[2]quests!$1:$1,0)-MATCH($A$1,[2]quests!$1:$1,0)+1,FALSE)</f>
        <v>ランキング1</v>
      </c>
      <c r="D32" s="120">
        <v>2</v>
      </c>
      <c r="E32" s="120">
        <v>2</v>
      </c>
      <c r="F32" s="120">
        <v>63002</v>
      </c>
      <c r="G32" s="122">
        <v>63002</v>
      </c>
      <c r="H32" s="123" t="str">
        <f>VLOOKUP(F32,ranking_gift!A:B,2)</f>
        <v>item</v>
      </c>
      <c r="I32" s="123">
        <f>VLOOKUP(F32,ranking_gift!$A:$G,3)</f>
        <v>8</v>
      </c>
      <c r="J32" s="123">
        <f>VLOOKUP($F32,ranking_gift!$A:$G,6)</f>
        <v>2</v>
      </c>
      <c r="K32" s="123">
        <v>3</v>
      </c>
      <c r="L32" s="123" t="s">
        <v>229</v>
      </c>
      <c r="M32" s="123" t="s">
        <v>404</v>
      </c>
      <c r="N32" s="123" t="s">
        <v>403</v>
      </c>
      <c r="O32" s="124" t="s">
        <v>405</v>
      </c>
      <c r="P32" s="123">
        <f>VLOOKUP($F32,ranking_gift!$A:$O,9)</f>
        <v>0</v>
      </c>
      <c r="Q32" s="123">
        <f>VLOOKUP($F32,ranking_gift!$A:$O,10)</f>
        <v>1</v>
      </c>
      <c r="R32" s="123">
        <f>VLOOKUP($F32,ranking_gift!$A:$O,11)</f>
        <v>0</v>
      </c>
      <c r="S32" s="123">
        <f>VLOOKUP($F32,ranking_gift!$A:$O,12)</f>
        <v>1</v>
      </c>
      <c r="T32" s="123">
        <f>VLOOKUP($F32,ranking_gift!$A:$O,13)</f>
        <v>0</v>
      </c>
      <c r="U32" s="123">
        <f>VLOOKUP($F32,ranking_gift!$A:$O,14)</f>
        <v>1</v>
      </c>
      <c r="V32" s="123">
        <f>VLOOKUP($F32,ranking_gift!$A:$O,15)</f>
        <v>0</v>
      </c>
    </row>
    <row r="33" spans="1:22">
      <c r="A33" s="120">
        <v>60003</v>
      </c>
      <c r="B33" s="121" t="str">
        <f ca="1">VLOOKUP($A33,OFFSET([2]quests!$A$1,0,0,COUNTA([2]quests!$A:$A),MATCH(B$1,[2]quests!$1:$1,0)-MATCH($A$1,[2]quests!$1:$1,0)+1),MATCH(B$1,[2]quests!$1:$1,0)-MATCH($A$1,[2]quests!$1:$1,0)+1,FALSE)</f>
        <v>ヘンペルチャレンジ</v>
      </c>
      <c r="C33" s="121" t="str">
        <f ca="1">VLOOKUP($A33,OFFSET([2]quests!$A$1,0,0,COUNTA([2]quests!$A:$A),MATCH(C$1,[2]quests!$1:$1,0)-MATCH($A$1,[2]quests!$1:$1,0)+1),MATCH(C$1,[2]quests!$1:$1,0)-MATCH($A$1,[2]quests!$1:$1,0)+1,FALSE)</f>
        <v>ランキング1</v>
      </c>
      <c r="D33" s="120">
        <v>3</v>
      </c>
      <c r="E33" s="120">
        <v>3</v>
      </c>
      <c r="F33" s="120">
        <v>63003</v>
      </c>
      <c r="G33" s="122">
        <v>63003</v>
      </c>
      <c r="H33" s="123" t="str">
        <f>VLOOKUP(F33,ranking_gift!A:B,2)</f>
        <v>item</v>
      </c>
      <c r="I33" s="123">
        <f>VLOOKUP(F33,ranking_gift!$A:$G,3)</f>
        <v>8</v>
      </c>
      <c r="J33" s="123">
        <f>VLOOKUP($F33,ranking_gift!$A:$G,6)</f>
        <v>1</v>
      </c>
      <c r="K33" s="123">
        <v>3</v>
      </c>
      <c r="L33" s="123" t="s">
        <v>229</v>
      </c>
      <c r="M33" s="123" t="s">
        <v>404</v>
      </c>
      <c r="N33" s="123" t="s">
        <v>403</v>
      </c>
      <c r="O33" s="124" t="s">
        <v>405</v>
      </c>
      <c r="P33" s="123">
        <f>VLOOKUP($F33,ranking_gift!$A:$O,9)</f>
        <v>0</v>
      </c>
      <c r="Q33" s="123">
        <f>VLOOKUP($F33,ranking_gift!$A:$O,10)</f>
        <v>1</v>
      </c>
      <c r="R33" s="123">
        <f>VLOOKUP($F33,ranking_gift!$A:$O,11)</f>
        <v>0</v>
      </c>
      <c r="S33" s="123">
        <f>VLOOKUP($F33,ranking_gift!$A:$O,12)</f>
        <v>1</v>
      </c>
      <c r="T33" s="123">
        <f>VLOOKUP($F33,ranking_gift!$A:$O,13)</f>
        <v>0</v>
      </c>
      <c r="U33" s="123">
        <f>VLOOKUP($F33,ranking_gift!$A:$O,14)</f>
        <v>1</v>
      </c>
      <c r="V33" s="123">
        <f>VLOOKUP($F33,ranking_gift!$A:$O,15)</f>
        <v>0</v>
      </c>
    </row>
    <row r="34" spans="1:22">
      <c r="A34" s="120">
        <v>60003</v>
      </c>
      <c r="B34" s="121" t="str">
        <f ca="1">VLOOKUP($A34,OFFSET([2]quests!$A$1,0,0,COUNTA([2]quests!$A:$A),MATCH(B$1,[2]quests!$1:$1,0)-MATCH($A$1,[2]quests!$1:$1,0)+1),MATCH(B$1,[2]quests!$1:$1,0)-MATCH($A$1,[2]quests!$1:$1,0)+1,FALSE)</f>
        <v>ヘンペルチャレンジ</v>
      </c>
      <c r="C34" s="121" t="str">
        <f ca="1">VLOOKUP($A34,OFFSET([2]quests!$A$1,0,0,COUNTA([2]quests!$A:$A),MATCH(C$1,[2]quests!$1:$1,0)-MATCH($A$1,[2]quests!$1:$1,0)+1),MATCH(C$1,[2]quests!$1:$1,0)-MATCH($A$1,[2]quests!$1:$1,0)+1,FALSE)</f>
        <v>ランキング1</v>
      </c>
      <c r="D34" s="120">
        <v>4</v>
      </c>
      <c r="E34" s="120">
        <v>9</v>
      </c>
      <c r="F34" s="120">
        <v>63004</v>
      </c>
      <c r="G34" s="122">
        <v>63004</v>
      </c>
      <c r="H34" s="123" t="str">
        <f>VLOOKUP(F34,ranking_gift!A:B,2)</f>
        <v>link</v>
      </c>
      <c r="I34" s="123">
        <f>VLOOKUP(F34,ranking_gift!$A:$G,3)</f>
        <v>1000</v>
      </c>
      <c r="J34" s="123" t="str">
        <f>VLOOKUP($F34,ranking_gift!$A:$G,6)</f>
        <v>NULL</v>
      </c>
      <c r="K34" s="123">
        <v>3</v>
      </c>
      <c r="L34" s="123" t="s">
        <v>229</v>
      </c>
      <c r="M34" s="123" t="s">
        <v>404</v>
      </c>
      <c r="N34" s="123" t="s">
        <v>403</v>
      </c>
      <c r="O34" s="124" t="s">
        <v>405</v>
      </c>
      <c r="P34" s="123">
        <f>VLOOKUP($F34,ranking_gift!$A:$O,9)</f>
        <v>0</v>
      </c>
      <c r="Q34" s="123">
        <f>VLOOKUP($F34,ranking_gift!$A:$O,10)</f>
        <v>1</v>
      </c>
      <c r="R34" s="123">
        <f>VLOOKUP($F34,ranking_gift!$A:$O,11)</f>
        <v>0</v>
      </c>
      <c r="S34" s="123">
        <f>VLOOKUP($F34,ranking_gift!$A:$O,12)</f>
        <v>1</v>
      </c>
      <c r="T34" s="123">
        <f>VLOOKUP($F34,ranking_gift!$A:$O,13)</f>
        <v>0</v>
      </c>
      <c r="U34" s="123">
        <f>VLOOKUP($F34,ranking_gift!$A:$O,14)</f>
        <v>1</v>
      </c>
      <c r="V34" s="123">
        <f>VLOOKUP($F34,ranking_gift!$A:$O,15)</f>
        <v>0</v>
      </c>
    </row>
    <row r="35" spans="1:22">
      <c r="A35" s="120">
        <v>60003</v>
      </c>
      <c r="B35" s="121" t="str">
        <f ca="1">VLOOKUP($A35,OFFSET([2]quests!$A$1,0,0,COUNTA([2]quests!$A:$A),MATCH(B$1,[2]quests!$1:$1,0)-MATCH($A$1,[2]quests!$1:$1,0)+1),MATCH(B$1,[2]quests!$1:$1,0)-MATCH($A$1,[2]quests!$1:$1,0)+1,FALSE)</f>
        <v>ヘンペルチャレンジ</v>
      </c>
      <c r="C35" s="121" t="str">
        <f ca="1">VLOOKUP($A35,OFFSET([2]quests!$A$1,0,0,COUNTA([2]quests!$A:$A),MATCH(C$1,[2]quests!$1:$1,0)-MATCH($A$1,[2]quests!$1:$1,0)+1),MATCH(C$1,[2]quests!$1:$1,0)-MATCH($A$1,[2]quests!$1:$1,0)+1,FALSE)</f>
        <v>ランキング1</v>
      </c>
      <c r="D35" s="120">
        <v>10</v>
      </c>
      <c r="E35" s="120">
        <v>10000</v>
      </c>
      <c r="F35" s="120">
        <v>63005</v>
      </c>
      <c r="G35" s="122">
        <v>63005</v>
      </c>
      <c r="H35" s="123" t="str">
        <f>VLOOKUP(F35,ranking_gift!A:B,2)</f>
        <v>bit</v>
      </c>
      <c r="I35" s="123">
        <f>VLOOKUP(F35,ranking_gift!$A:$G,3)</f>
        <v>1000</v>
      </c>
      <c r="J35" s="123" t="str">
        <f>VLOOKUP($F35,ranking_gift!$A:$G,6)</f>
        <v>NULL</v>
      </c>
      <c r="K35" s="123">
        <v>3</v>
      </c>
      <c r="L35" s="123" t="s">
        <v>229</v>
      </c>
      <c r="M35" s="123" t="s">
        <v>404</v>
      </c>
      <c r="N35" s="123" t="s">
        <v>403</v>
      </c>
      <c r="O35" s="124" t="s">
        <v>405</v>
      </c>
      <c r="P35" s="123">
        <f>VLOOKUP($F35,ranking_gift!$A:$O,9)</f>
        <v>0</v>
      </c>
      <c r="Q35" s="123">
        <f>VLOOKUP($F35,ranking_gift!$A:$O,10)</f>
        <v>1</v>
      </c>
      <c r="R35" s="123">
        <f>VLOOKUP($F35,ranking_gift!$A:$O,11)</f>
        <v>0</v>
      </c>
      <c r="S35" s="123">
        <f>VLOOKUP($F35,ranking_gift!$A:$O,12)</f>
        <v>1</v>
      </c>
      <c r="T35" s="123">
        <f>VLOOKUP($F35,ranking_gift!$A:$O,13)</f>
        <v>0</v>
      </c>
      <c r="U35" s="123">
        <f>VLOOKUP($F35,ranking_gift!$A:$O,14)</f>
        <v>1</v>
      </c>
      <c r="V35" s="123">
        <f>VLOOKUP($F35,ranking_gift!$A:$O,15)</f>
        <v>0</v>
      </c>
    </row>
    <row r="36" spans="1:22">
      <c r="A36" s="120">
        <v>60004</v>
      </c>
      <c r="B36" s="121" t="str">
        <f ca="1">VLOOKUP($A36,OFFSET([2]quests!$A$1,0,0,COUNTA([2]quests!$A:$A),MATCH(B$1,[2]quests!$1:$1,0)-MATCH($A$1,[2]quests!$1:$1,0)+1),MATCH(B$1,[2]quests!$1:$1,0)-MATCH($A$1,[2]quests!$1:$1,0)+1,FALSE)</f>
        <v>ヘンペルチャレンジ</v>
      </c>
      <c r="C36" s="121" t="str">
        <f ca="1">VLOOKUP($A36,OFFSET([2]quests!$A$1,0,0,COUNTA([2]quests!$A:$A),MATCH(C$1,[2]quests!$1:$1,0)-MATCH($A$1,[2]quests!$1:$1,0)+1),MATCH(C$1,[2]quests!$1:$1,0)-MATCH($A$1,[2]quests!$1:$1,0)+1,FALSE)</f>
        <v>ランキング1</v>
      </c>
      <c r="D36" s="120">
        <v>1</v>
      </c>
      <c r="E36" s="120">
        <v>1</v>
      </c>
      <c r="F36" s="120">
        <v>64001</v>
      </c>
      <c r="G36" s="122">
        <f>F36</f>
        <v>64001</v>
      </c>
      <c r="H36" s="123" t="str">
        <f>VLOOKUP(F36,ranking_gift!A:B,2)</f>
        <v>item</v>
      </c>
      <c r="I36" s="123">
        <f>VLOOKUP(F36,ranking_gift!$A:$G,3)</f>
        <v>8</v>
      </c>
      <c r="J36" s="123">
        <f>VLOOKUP($F36,ranking_gift!$A:$G,6)</f>
        <v>3</v>
      </c>
      <c r="K36" s="123">
        <v>3</v>
      </c>
      <c r="L36" s="123" t="s">
        <v>229</v>
      </c>
      <c r="M36" s="123" t="s">
        <v>404</v>
      </c>
      <c r="N36" s="123" t="s">
        <v>403</v>
      </c>
      <c r="O36" s="124" t="s">
        <v>405</v>
      </c>
      <c r="P36" s="123">
        <f>VLOOKUP($F36,ranking_gift!$A:$O,9)</f>
        <v>0</v>
      </c>
      <c r="Q36" s="123">
        <f>VLOOKUP($F36,ranking_gift!$A:$O,10)</f>
        <v>1</v>
      </c>
      <c r="R36" s="123">
        <f>VLOOKUP($F36,ranking_gift!$A:$O,11)</f>
        <v>0</v>
      </c>
      <c r="S36" s="123">
        <f>VLOOKUP($F36,ranking_gift!$A:$O,12)</f>
        <v>1</v>
      </c>
      <c r="T36" s="123">
        <f>VLOOKUP($F36,ranking_gift!$A:$O,13)</f>
        <v>0</v>
      </c>
      <c r="U36" s="123">
        <f>VLOOKUP($F36,ranking_gift!$A:$O,14)</f>
        <v>1</v>
      </c>
      <c r="V36" s="123">
        <f>VLOOKUP($F36,ranking_gift!$A:$O,15)</f>
        <v>0</v>
      </c>
    </row>
    <row r="37" spans="1:22">
      <c r="A37" s="120">
        <v>60004</v>
      </c>
      <c r="B37" s="121" t="str">
        <f ca="1">VLOOKUP($A37,OFFSET([2]quests!$A$1,0,0,COUNTA([2]quests!$A:$A),MATCH(B$1,[2]quests!$1:$1,0)-MATCH($A$1,[2]quests!$1:$1,0)+1),MATCH(B$1,[2]quests!$1:$1,0)-MATCH($A$1,[2]quests!$1:$1,0)+1,FALSE)</f>
        <v>ヘンペルチャレンジ</v>
      </c>
      <c r="C37" s="121" t="str">
        <f ca="1">VLOOKUP($A37,OFFSET([2]quests!$A$1,0,0,COUNTA([2]quests!$A:$A),MATCH(C$1,[2]quests!$1:$1,0)-MATCH($A$1,[2]quests!$1:$1,0)+1),MATCH(C$1,[2]quests!$1:$1,0)-MATCH($A$1,[2]quests!$1:$1,0)+1,FALSE)</f>
        <v>ランキング1</v>
      </c>
      <c r="D37" s="120">
        <v>2</v>
      </c>
      <c r="E37" s="120">
        <v>2</v>
      </c>
      <c r="F37" s="120">
        <v>64002</v>
      </c>
      <c r="G37" s="122">
        <f>F37</f>
        <v>64002</v>
      </c>
      <c r="H37" s="123" t="str">
        <f>VLOOKUP(F37,ranking_gift!A:B,2)</f>
        <v>item</v>
      </c>
      <c r="I37" s="123">
        <f>VLOOKUP(F37,ranking_gift!$A:$G,3)</f>
        <v>6</v>
      </c>
      <c r="J37" s="123">
        <f>VLOOKUP($F37,ranking_gift!$A:$G,6)</f>
        <v>2</v>
      </c>
      <c r="K37" s="123">
        <v>3</v>
      </c>
      <c r="L37" s="123" t="s">
        <v>229</v>
      </c>
      <c r="M37" s="123" t="s">
        <v>404</v>
      </c>
      <c r="N37" s="123" t="s">
        <v>403</v>
      </c>
      <c r="O37" s="124" t="s">
        <v>405</v>
      </c>
      <c r="P37" s="123">
        <f>VLOOKUP($F37,ranking_gift!$A:$O,9)</f>
        <v>0</v>
      </c>
      <c r="Q37" s="123">
        <f>VLOOKUP($F37,ranking_gift!$A:$O,10)</f>
        <v>1</v>
      </c>
      <c r="R37" s="123">
        <f>VLOOKUP($F37,ranking_gift!$A:$O,11)</f>
        <v>0</v>
      </c>
      <c r="S37" s="123">
        <f>VLOOKUP($F37,ranking_gift!$A:$O,12)</f>
        <v>1</v>
      </c>
      <c r="T37" s="123">
        <f>VLOOKUP($F37,ranking_gift!$A:$O,13)</f>
        <v>0</v>
      </c>
      <c r="U37" s="123">
        <f>VLOOKUP($F37,ranking_gift!$A:$O,14)</f>
        <v>1</v>
      </c>
      <c r="V37" s="123">
        <f>VLOOKUP($F37,ranking_gift!$A:$O,15)</f>
        <v>0</v>
      </c>
    </row>
    <row r="38" spans="1:22">
      <c r="A38" s="120">
        <v>60004</v>
      </c>
      <c r="B38" s="121" t="str">
        <f ca="1">VLOOKUP($A38,OFFSET([2]quests!$A$1,0,0,COUNTA([2]quests!$A:$A),MATCH(B$1,[2]quests!$1:$1,0)-MATCH($A$1,[2]quests!$1:$1,0)+1),MATCH(B$1,[2]quests!$1:$1,0)-MATCH($A$1,[2]quests!$1:$1,0)+1,FALSE)</f>
        <v>ヘンペルチャレンジ</v>
      </c>
      <c r="C38" s="121" t="str">
        <f ca="1">VLOOKUP($A38,OFFSET([2]quests!$A$1,0,0,COUNTA([2]quests!$A:$A),MATCH(C$1,[2]quests!$1:$1,0)-MATCH($A$1,[2]quests!$1:$1,0)+1),MATCH(C$1,[2]quests!$1:$1,0)-MATCH($A$1,[2]quests!$1:$1,0)+1,FALSE)</f>
        <v>ランキング1</v>
      </c>
      <c r="D38" s="120">
        <v>3</v>
      </c>
      <c r="E38" s="120">
        <v>9</v>
      </c>
      <c r="F38" s="120">
        <v>64003</v>
      </c>
      <c r="G38" s="122">
        <f>F38</f>
        <v>64003</v>
      </c>
      <c r="H38" s="123" t="str">
        <f>VLOOKUP(F38,ranking_gift!A:B,2)</f>
        <v>item</v>
      </c>
      <c r="I38" s="123">
        <f>VLOOKUP(F38,ranking_gift!$A:$G,3)</f>
        <v>7</v>
      </c>
      <c r="J38" s="123">
        <f>VLOOKUP($F38,ranking_gift!$A:$G,6)</f>
        <v>1</v>
      </c>
      <c r="K38" s="123">
        <v>3</v>
      </c>
      <c r="L38" s="123" t="s">
        <v>229</v>
      </c>
      <c r="M38" s="123" t="s">
        <v>404</v>
      </c>
      <c r="N38" s="123" t="s">
        <v>403</v>
      </c>
      <c r="O38" s="124" t="s">
        <v>405</v>
      </c>
      <c r="P38" s="123">
        <f>VLOOKUP($F38,ranking_gift!$A:$O,9)</f>
        <v>0</v>
      </c>
      <c r="Q38" s="123">
        <f>VLOOKUP($F38,ranking_gift!$A:$O,10)</f>
        <v>1</v>
      </c>
      <c r="R38" s="123">
        <f>VLOOKUP($F38,ranking_gift!$A:$O,11)</f>
        <v>0</v>
      </c>
      <c r="S38" s="123">
        <f>VLOOKUP($F38,ranking_gift!$A:$O,12)</f>
        <v>1</v>
      </c>
      <c r="T38" s="123">
        <f>VLOOKUP($F38,ranking_gift!$A:$O,13)</f>
        <v>0</v>
      </c>
      <c r="U38" s="123">
        <f>VLOOKUP($F38,ranking_gift!$A:$O,14)</f>
        <v>1</v>
      </c>
      <c r="V38" s="123">
        <f>VLOOKUP($F38,ranking_gift!$A:$O,15)</f>
        <v>0</v>
      </c>
    </row>
    <row r="39" spans="1:22">
      <c r="A39" s="120">
        <v>60004</v>
      </c>
      <c r="B39" s="121" t="str">
        <f ca="1">VLOOKUP($A39,OFFSET([2]quests!$A$1,0,0,COUNTA([2]quests!$A:$A),MATCH(B$1,[2]quests!$1:$1,0)-MATCH($A$1,[2]quests!$1:$1,0)+1),MATCH(B$1,[2]quests!$1:$1,0)-MATCH($A$1,[2]quests!$1:$1,0)+1,FALSE)</f>
        <v>ヘンペルチャレンジ</v>
      </c>
      <c r="C39" s="121" t="str">
        <f ca="1">VLOOKUP($A39,OFFSET([2]quests!$A$1,0,0,COUNTA([2]quests!$A:$A),MATCH(C$1,[2]quests!$1:$1,0)-MATCH($A$1,[2]quests!$1:$1,0)+1),MATCH(C$1,[2]quests!$1:$1,0)-MATCH($A$1,[2]quests!$1:$1,0)+1,FALSE)</f>
        <v>ランキング1</v>
      </c>
      <c r="D39" s="120">
        <v>10</v>
      </c>
      <c r="E39" s="120">
        <v>10</v>
      </c>
      <c r="F39" s="120">
        <v>64004</v>
      </c>
      <c r="G39" s="122">
        <f>F39</f>
        <v>64004</v>
      </c>
      <c r="H39" s="123" t="str">
        <f>VLOOKUP(F39,ranking_gift!A:B,2)</f>
        <v>polygon</v>
      </c>
      <c r="I39" s="123">
        <f>VLOOKUP(F39,ranking_gift!$A:$G,3)</f>
        <v>1</v>
      </c>
      <c r="J39" s="123" t="str">
        <f>VLOOKUP($F39,ranking_gift!$A:$G,6)</f>
        <v>NULL</v>
      </c>
      <c r="K39" s="123">
        <v>3</v>
      </c>
      <c r="L39" s="123" t="s">
        <v>229</v>
      </c>
      <c r="M39" s="123" t="s">
        <v>404</v>
      </c>
      <c r="N39" s="123" t="s">
        <v>403</v>
      </c>
      <c r="O39" s="124" t="s">
        <v>405</v>
      </c>
      <c r="P39" s="123">
        <f>VLOOKUP($F39,ranking_gift!$A:$O,9)</f>
        <v>0</v>
      </c>
      <c r="Q39" s="123">
        <f>VLOOKUP($F39,ranking_gift!$A:$O,10)</f>
        <v>1</v>
      </c>
      <c r="R39" s="123">
        <f>VLOOKUP($F39,ranking_gift!$A:$O,11)</f>
        <v>0</v>
      </c>
      <c r="S39" s="123">
        <f>VLOOKUP($F39,ranking_gift!$A:$O,12)</f>
        <v>1</v>
      </c>
      <c r="T39" s="123">
        <f>VLOOKUP($F39,ranking_gift!$A:$O,13)</f>
        <v>0</v>
      </c>
      <c r="U39" s="123">
        <f>VLOOKUP($F39,ranking_gift!$A:$O,14)</f>
        <v>1</v>
      </c>
      <c r="V39" s="123">
        <f>VLOOKUP($F39,ranking_gift!$A:$O,15)</f>
        <v>0</v>
      </c>
    </row>
    <row r="40" spans="1:22">
      <c r="A40" s="120">
        <v>60004</v>
      </c>
      <c r="B40" s="121" t="str">
        <f ca="1">VLOOKUP($A40,OFFSET([2]quests!$A$1,0,0,COUNTA([2]quests!$A:$A),MATCH(B$1,[2]quests!$1:$1,0)-MATCH($A$1,[2]quests!$1:$1,0)+1),MATCH(B$1,[2]quests!$1:$1,0)-MATCH($A$1,[2]quests!$1:$1,0)+1,FALSE)</f>
        <v>ヘンペルチャレンジ</v>
      </c>
      <c r="C40" s="121" t="str">
        <f ca="1">VLOOKUP($A40,OFFSET([2]quests!$A$1,0,0,COUNTA([2]quests!$A:$A),MATCH(C$1,[2]quests!$1:$1,0)-MATCH($A$1,[2]quests!$1:$1,0)+1),MATCH(C$1,[2]quests!$1:$1,0)-MATCH($A$1,[2]quests!$1:$1,0)+1,FALSE)</f>
        <v>ランキング1</v>
      </c>
      <c r="D40" s="120">
        <v>11</v>
      </c>
      <c r="E40" s="120">
        <v>10000</v>
      </c>
      <c r="F40" s="120">
        <v>64005</v>
      </c>
      <c r="G40" s="122">
        <f>F40</f>
        <v>64005</v>
      </c>
      <c r="H40" s="123" t="str">
        <f>VLOOKUP(F40,ranking_gift!A:B,2)</f>
        <v>bit</v>
      </c>
      <c r="I40" s="123">
        <f>VLOOKUP(F40,ranking_gift!$A:$G,3)</f>
        <v>1000</v>
      </c>
      <c r="J40" s="123" t="str">
        <f>VLOOKUP($F40,ranking_gift!$A:$G,6)</f>
        <v>NULL</v>
      </c>
      <c r="K40" s="123">
        <v>3</v>
      </c>
      <c r="L40" s="123" t="s">
        <v>229</v>
      </c>
      <c r="M40" s="123" t="s">
        <v>404</v>
      </c>
      <c r="N40" s="123" t="s">
        <v>403</v>
      </c>
      <c r="O40" s="124" t="s">
        <v>405</v>
      </c>
      <c r="P40" s="123">
        <f>VLOOKUP($F40,ranking_gift!$A:$O,9)</f>
        <v>0</v>
      </c>
      <c r="Q40" s="123">
        <f>VLOOKUP($F40,ranking_gift!$A:$O,10)</f>
        <v>1</v>
      </c>
      <c r="R40" s="123">
        <f>VLOOKUP($F40,ranking_gift!$A:$O,11)</f>
        <v>0</v>
      </c>
      <c r="S40" s="123">
        <f>VLOOKUP($F40,ranking_gift!$A:$O,12)</f>
        <v>1</v>
      </c>
      <c r="T40" s="123">
        <f>VLOOKUP($F40,ranking_gift!$A:$O,13)</f>
        <v>0</v>
      </c>
      <c r="U40" s="123">
        <f>VLOOKUP($F40,ranking_gift!$A:$O,14)</f>
        <v>1</v>
      </c>
      <c r="V40" s="123">
        <f>VLOOKUP($F40,ranking_gift!$A:$O,15)</f>
        <v>0</v>
      </c>
    </row>
  </sheetData>
  <phoneticPr fontId="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O26"/>
  <sheetViews>
    <sheetView workbookViewId="0">
      <selection activeCell="I1" sqref="I1:O1"/>
    </sheetView>
  </sheetViews>
  <sheetFormatPr baseColWidth="12" defaultRowHeight="18" x14ac:dyDescent="0"/>
  <sheetData>
    <row r="1" spans="1:15">
      <c r="A1" s="114" t="s">
        <v>394</v>
      </c>
      <c r="B1" s="114" t="s">
        <v>395</v>
      </c>
      <c r="C1" s="114" t="s">
        <v>396</v>
      </c>
      <c r="D1" s="114" t="s">
        <v>397</v>
      </c>
      <c r="E1" s="114" t="s">
        <v>398</v>
      </c>
      <c r="F1" s="114" t="s">
        <v>399</v>
      </c>
      <c r="G1" s="114" t="s">
        <v>400</v>
      </c>
      <c r="H1" s="114" t="s">
        <v>401</v>
      </c>
      <c r="I1" s="114" t="s">
        <v>41</v>
      </c>
      <c r="J1" s="114" t="s">
        <v>45</v>
      </c>
      <c r="K1" s="114" t="s">
        <v>39</v>
      </c>
      <c r="L1" s="114" t="s">
        <v>402</v>
      </c>
      <c r="M1" s="114" t="s">
        <v>43</v>
      </c>
      <c r="N1" s="114" t="s">
        <v>3</v>
      </c>
      <c r="O1" s="114" t="s">
        <v>37</v>
      </c>
    </row>
    <row r="2" spans="1:15">
      <c r="A2" s="114">
        <v>61001</v>
      </c>
      <c r="B2" s="114" t="s">
        <v>389</v>
      </c>
      <c r="C2" s="114">
        <v>1</v>
      </c>
      <c r="D2" s="114">
        <v>1</v>
      </c>
      <c r="E2" s="114">
        <v>1</v>
      </c>
      <c r="F2" s="114" t="s">
        <v>393</v>
      </c>
      <c r="G2" s="114" t="s">
        <v>393</v>
      </c>
      <c r="H2" s="114" t="s">
        <v>393</v>
      </c>
      <c r="I2" s="114">
        <v>0</v>
      </c>
      <c r="J2" s="114">
        <v>1</v>
      </c>
      <c r="K2" s="114">
        <v>0</v>
      </c>
      <c r="L2" s="114">
        <v>1</v>
      </c>
      <c r="M2" s="114">
        <v>0</v>
      </c>
      <c r="N2" s="114">
        <v>1</v>
      </c>
      <c r="O2" s="114">
        <v>0</v>
      </c>
    </row>
    <row r="3" spans="1:15">
      <c r="A3" s="114">
        <v>61002</v>
      </c>
      <c r="B3" s="114" t="s">
        <v>390</v>
      </c>
      <c r="C3" s="114">
        <v>8</v>
      </c>
      <c r="D3" s="114">
        <v>8</v>
      </c>
      <c r="E3" s="114">
        <v>8</v>
      </c>
      <c r="F3" s="114">
        <v>1</v>
      </c>
      <c r="G3" s="114">
        <v>1</v>
      </c>
      <c r="H3" s="114">
        <v>1</v>
      </c>
      <c r="I3" s="114">
        <v>0</v>
      </c>
      <c r="J3" s="114">
        <v>1</v>
      </c>
      <c r="K3" s="114">
        <v>0</v>
      </c>
      <c r="L3" s="114">
        <v>1</v>
      </c>
      <c r="M3" s="114">
        <v>0</v>
      </c>
      <c r="N3" s="114">
        <v>1</v>
      </c>
      <c r="O3" s="114">
        <v>0</v>
      </c>
    </row>
    <row r="4" spans="1:15">
      <c r="A4" s="114">
        <v>61003</v>
      </c>
      <c r="B4" s="114" t="s">
        <v>169</v>
      </c>
      <c r="C4" s="114">
        <v>100000</v>
      </c>
      <c r="D4" s="114">
        <v>100000</v>
      </c>
      <c r="E4" s="114">
        <v>100000</v>
      </c>
      <c r="F4" s="114" t="s">
        <v>393</v>
      </c>
      <c r="G4" s="114" t="s">
        <v>393</v>
      </c>
      <c r="H4" s="114" t="s">
        <v>393</v>
      </c>
      <c r="I4" s="114">
        <v>0</v>
      </c>
      <c r="J4" s="114">
        <v>1</v>
      </c>
      <c r="K4" s="114">
        <v>0</v>
      </c>
      <c r="L4" s="114">
        <v>1</v>
      </c>
      <c r="M4" s="114">
        <v>0</v>
      </c>
      <c r="N4" s="114">
        <v>1</v>
      </c>
      <c r="O4" s="114">
        <v>0</v>
      </c>
    </row>
    <row r="5" spans="1:15">
      <c r="A5" s="114">
        <v>61004</v>
      </c>
      <c r="B5" s="114" t="s">
        <v>391</v>
      </c>
      <c r="C5" s="114">
        <v>1000</v>
      </c>
      <c r="D5" s="114">
        <v>1000</v>
      </c>
      <c r="E5" s="114">
        <v>1000</v>
      </c>
      <c r="F5" s="114" t="s">
        <v>393</v>
      </c>
      <c r="G5" s="114" t="s">
        <v>393</v>
      </c>
      <c r="H5" s="114" t="s">
        <v>393</v>
      </c>
      <c r="I5" s="114">
        <v>0</v>
      </c>
      <c r="J5" s="114">
        <v>1</v>
      </c>
      <c r="K5" s="114">
        <v>0</v>
      </c>
      <c r="L5" s="114">
        <v>1</v>
      </c>
      <c r="M5" s="114">
        <v>0</v>
      </c>
      <c r="N5" s="114">
        <v>1</v>
      </c>
      <c r="O5" s="114">
        <v>0</v>
      </c>
    </row>
    <row r="6" spans="1:15">
      <c r="A6" s="114">
        <v>61005</v>
      </c>
      <c r="B6" s="114" t="s">
        <v>392</v>
      </c>
      <c r="C6" s="114">
        <v>510</v>
      </c>
      <c r="D6" s="114">
        <v>510</v>
      </c>
      <c r="E6" s="114">
        <v>510</v>
      </c>
      <c r="F6" s="114">
        <v>1</v>
      </c>
      <c r="G6" s="114">
        <v>1</v>
      </c>
      <c r="H6" s="114">
        <v>1</v>
      </c>
      <c r="I6" s="114">
        <v>0</v>
      </c>
      <c r="J6" s="114">
        <v>45</v>
      </c>
      <c r="K6" s="114">
        <v>99</v>
      </c>
      <c r="L6" s="114">
        <v>5</v>
      </c>
      <c r="M6" s="114">
        <v>0</v>
      </c>
      <c r="N6" s="114">
        <v>60</v>
      </c>
      <c r="O6" s="114">
        <v>0</v>
      </c>
    </row>
    <row r="7" spans="1:15">
      <c r="A7" s="114">
        <v>61006</v>
      </c>
      <c r="B7" s="114" t="s">
        <v>390</v>
      </c>
      <c r="C7" s="114">
        <v>6</v>
      </c>
      <c r="D7" s="114">
        <v>6</v>
      </c>
      <c r="E7" s="114">
        <v>6</v>
      </c>
      <c r="F7" s="114">
        <v>1</v>
      </c>
      <c r="G7" s="114">
        <v>1</v>
      </c>
      <c r="H7" s="114">
        <v>1</v>
      </c>
      <c r="I7" s="114">
        <v>0</v>
      </c>
      <c r="J7" s="114">
        <v>1</v>
      </c>
      <c r="K7" s="114">
        <v>0</v>
      </c>
      <c r="L7" s="114">
        <v>1</v>
      </c>
      <c r="M7" s="114">
        <v>0</v>
      </c>
      <c r="N7" s="114">
        <v>1</v>
      </c>
      <c r="O7" s="114">
        <v>0</v>
      </c>
    </row>
    <row r="8" spans="1:15">
      <c r="A8" s="114">
        <v>61007</v>
      </c>
      <c r="B8" s="114" t="s">
        <v>392</v>
      </c>
      <c r="C8" s="114">
        <v>41</v>
      </c>
      <c r="D8" s="114">
        <v>41</v>
      </c>
      <c r="E8" s="114">
        <v>41</v>
      </c>
      <c r="F8" s="114">
        <v>1</v>
      </c>
      <c r="G8" s="114">
        <v>1</v>
      </c>
      <c r="H8" s="114">
        <v>1</v>
      </c>
      <c r="I8" s="114">
        <v>0</v>
      </c>
      <c r="J8" s="114">
        <v>1</v>
      </c>
      <c r="K8" s="114">
        <v>0</v>
      </c>
      <c r="L8" s="114">
        <v>1</v>
      </c>
      <c r="M8" s="114">
        <v>0</v>
      </c>
      <c r="N8" s="114">
        <v>1</v>
      </c>
      <c r="O8" s="114">
        <v>0</v>
      </c>
    </row>
    <row r="9" spans="1:15">
      <c r="A9" s="114">
        <v>62001</v>
      </c>
      <c r="B9" s="114" t="s">
        <v>389</v>
      </c>
      <c r="C9" s="114">
        <v>1</v>
      </c>
      <c r="D9" s="114">
        <v>1</v>
      </c>
      <c r="E9" s="114">
        <v>1</v>
      </c>
      <c r="F9" s="114" t="s">
        <v>393</v>
      </c>
      <c r="G9" s="114" t="s">
        <v>393</v>
      </c>
      <c r="H9" s="114" t="s">
        <v>393</v>
      </c>
      <c r="I9" s="114">
        <v>0</v>
      </c>
      <c r="J9" s="114">
        <v>1</v>
      </c>
      <c r="K9" s="114">
        <v>0</v>
      </c>
      <c r="L9" s="114">
        <v>1</v>
      </c>
      <c r="M9" s="114">
        <v>0</v>
      </c>
      <c r="N9" s="114">
        <v>1</v>
      </c>
      <c r="O9" s="114">
        <v>0</v>
      </c>
    </row>
    <row r="10" spans="1:15">
      <c r="A10" s="114">
        <v>62002</v>
      </c>
      <c r="B10" s="114" t="s">
        <v>169</v>
      </c>
      <c r="C10" s="114">
        <v>100000</v>
      </c>
      <c r="D10" s="114">
        <v>100000</v>
      </c>
      <c r="E10" s="114">
        <v>100000</v>
      </c>
      <c r="F10" s="114" t="s">
        <v>393</v>
      </c>
      <c r="G10" s="114" t="s">
        <v>393</v>
      </c>
      <c r="H10" s="114" t="s">
        <v>393</v>
      </c>
      <c r="I10" s="114">
        <v>0</v>
      </c>
      <c r="J10" s="114">
        <v>1</v>
      </c>
      <c r="K10" s="114">
        <v>0</v>
      </c>
      <c r="L10" s="114">
        <v>1</v>
      </c>
      <c r="M10" s="114">
        <v>0</v>
      </c>
      <c r="N10" s="114">
        <v>1</v>
      </c>
      <c r="O10" s="114">
        <v>0</v>
      </c>
    </row>
    <row r="11" spans="1:15">
      <c r="A11" s="114">
        <v>62003</v>
      </c>
      <c r="B11" s="114" t="s">
        <v>391</v>
      </c>
      <c r="C11" s="114">
        <v>1000</v>
      </c>
      <c r="D11" s="114">
        <v>1000</v>
      </c>
      <c r="E11" s="114">
        <v>1000</v>
      </c>
      <c r="F11" s="114" t="s">
        <v>393</v>
      </c>
      <c r="G11" s="114" t="s">
        <v>393</v>
      </c>
      <c r="H11" s="114" t="s">
        <v>393</v>
      </c>
      <c r="I11" s="114">
        <v>0</v>
      </c>
      <c r="J11" s="114">
        <v>1</v>
      </c>
      <c r="K11" s="114">
        <v>0</v>
      </c>
      <c r="L11" s="114">
        <v>1</v>
      </c>
      <c r="M11" s="114">
        <v>0</v>
      </c>
      <c r="N11" s="114">
        <v>1</v>
      </c>
      <c r="O11" s="114">
        <v>0</v>
      </c>
    </row>
    <row r="12" spans="1:15">
      <c r="A12" s="114">
        <v>62004</v>
      </c>
      <c r="B12" s="114" t="s">
        <v>390</v>
      </c>
      <c r="C12" s="114">
        <v>8</v>
      </c>
      <c r="D12" s="114">
        <v>8</v>
      </c>
      <c r="E12" s="114">
        <v>8</v>
      </c>
      <c r="F12" s="114">
        <v>1</v>
      </c>
      <c r="G12" s="114">
        <v>1</v>
      </c>
      <c r="H12" s="114">
        <v>1</v>
      </c>
      <c r="I12" s="114">
        <v>0</v>
      </c>
      <c r="J12" s="114">
        <v>1</v>
      </c>
      <c r="K12" s="114">
        <v>0</v>
      </c>
      <c r="L12" s="114">
        <v>1</v>
      </c>
      <c r="M12" s="114">
        <v>0</v>
      </c>
      <c r="N12" s="114">
        <v>1</v>
      </c>
      <c r="O12" s="114">
        <v>0</v>
      </c>
    </row>
    <row r="13" spans="1:15">
      <c r="A13" s="114">
        <v>62005</v>
      </c>
      <c r="B13" s="114" t="s">
        <v>391</v>
      </c>
      <c r="C13" s="114">
        <v>1000</v>
      </c>
      <c r="D13" s="114">
        <v>1000</v>
      </c>
      <c r="E13" s="114">
        <v>1000</v>
      </c>
      <c r="F13" s="114" t="s">
        <v>393</v>
      </c>
      <c r="G13" s="114" t="s">
        <v>393</v>
      </c>
      <c r="H13" s="114" t="s">
        <v>393</v>
      </c>
      <c r="I13" s="114">
        <v>0</v>
      </c>
      <c r="J13" s="114">
        <v>1</v>
      </c>
      <c r="K13" s="114">
        <v>0</v>
      </c>
      <c r="L13" s="114">
        <v>1</v>
      </c>
      <c r="M13" s="114">
        <v>0</v>
      </c>
      <c r="N13" s="114">
        <v>1</v>
      </c>
      <c r="O13" s="114">
        <v>0</v>
      </c>
    </row>
    <row r="14" spans="1:15">
      <c r="A14" s="114">
        <v>62006</v>
      </c>
      <c r="B14" s="114" t="s">
        <v>390</v>
      </c>
      <c r="C14" s="114">
        <v>6</v>
      </c>
      <c r="D14" s="114">
        <v>6</v>
      </c>
      <c r="E14" s="114">
        <v>6</v>
      </c>
      <c r="F14" s="114">
        <v>1</v>
      </c>
      <c r="G14" s="114">
        <v>1</v>
      </c>
      <c r="H14" s="114">
        <v>1</v>
      </c>
      <c r="I14" s="114">
        <v>0</v>
      </c>
      <c r="J14" s="114">
        <v>1</v>
      </c>
      <c r="K14" s="114">
        <v>0</v>
      </c>
      <c r="L14" s="114">
        <v>1</v>
      </c>
      <c r="M14" s="114">
        <v>0</v>
      </c>
      <c r="N14" s="114">
        <v>1</v>
      </c>
      <c r="O14" s="114">
        <v>0</v>
      </c>
    </row>
    <row r="15" spans="1:15">
      <c r="A15" s="114">
        <v>62007</v>
      </c>
      <c r="B15" s="114" t="s">
        <v>169</v>
      </c>
      <c r="C15" s="114">
        <v>1</v>
      </c>
      <c r="D15" s="114">
        <v>1</v>
      </c>
      <c r="E15" s="114">
        <v>1</v>
      </c>
      <c r="F15" s="114" t="s">
        <v>393</v>
      </c>
      <c r="G15" s="114" t="s">
        <v>393</v>
      </c>
      <c r="H15" s="114" t="s">
        <v>393</v>
      </c>
      <c r="I15" s="114">
        <v>0</v>
      </c>
      <c r="J15" s="114">
        <v>1</v>
      </c>
      <c r="K15" s="114">
        <v>0</v>
      </c>
      <c r="L15" s="114">
        <v>1</v>
      </c>
      <c r="M15" s="114">
        <v>0</v>
      </c>
      <c r="N15" s="114">
        <v>1</v>
      </c>
      <c r="O15" s="114">
        <v>0</v>
      </c>
    </row>
    <row r="16" spans="1:15">
      <c r="A16" s="114">
        <v>62008</v>
      </c>
      <c r="B16" s="114" t="s">
        <v>390</v>
      </c>
      <c r="C16" s="114">
        <v>7</v>
      </c>
      <c r="D16" s="114">
        <v>7</v>
      </c>
      <c r="E16" s="114">
        <v>7</v>
      </c>
      <c r="F16" s="114">
        <v>1</v>
      </c>
      <c r="G16" s="114">
        <v>1</v>
      </c>
      <c r="H16" s="114">
        <v>1</v>
      </c>
      <c r="I16" s="114">
        <v>0</v>
      </c>
      <c r="J16" s="114">
        <v>1</v>
      </c>
      <c r="K16" s="114">
        <v>0</v>
      </c>
      <c r="L16" s="114">
        <v>1</v>
      </c>
      <c r="M16" s="114">
        <v>0</v>
      </c>
      <c r="N16" s="114">
        <v>1</v>
      </c>
      <c r="O16" s="114">
        <v>0</v>
      </c>
    </row>
    <row r="17" spans="1:15">
      <c r="A17" s="114">
        <v>63001</v>
      </c>
      <c r="B17" s="114" t="s">
        <v>390</v>
      </c>
      <c r="C17" s="114">
        <v>8</v>
      </c>
      <c r="D17" s="114">
        <v>8</v>
      </c>
      <c r="E17" s="114">
        <v>8</v>
      </c>
      <c r="F17" s="114">
        <v>3</v>
      </c>
      <c r="G17" s="114">
        <v>3</v>
      </c>
      <c r="H17" s="114">
        <v>3</v>
      </c>
      <c r="I17" s="114">
        <v>0</v>
      </c>
      <c r="J17" s="114">
        <v>1</v>
      </c>
      <c r="K17" s="114">
        <v>0</v>
      </c>
      <c r="L17" s="114">
        <v>1</v>
      </c>
      <c r="M17" s="114">
        <v>0</v>
      </c>
      <c r="N17" s="114">
        <v>1</v>
      </c>
      <c r="O17" s="114">
        <v>0</v>
      </c>
    </row>
    <row r="18" spans="1:15">
      <c r="A18" s="114">
        <v>63002</v>
      </c>
      <c r="B18" s="114" t="s">
        <v>390</v>
      </c>
      <c r="C18" s="114">
        <v>8</v>
      </c>
      <c r="D18" s="114">
        <v>8</v>
      </c>
      <c r="E18" s="114">
        <v>8</v>
      </c>
      <c r="F18" s="114">
        <v>2</v>
      </c>
      <c r="G18" s="114">
        <v>2</v>
      </c>
      <c r="H18" s="114">
        <v>2</v>
      </c>
      <c r="I18" s="114">
        <v>0</v>
      </c>
      <c r="J18" s="114">
        <v>1</v>
      </c>
      <c r="K18" s="114">
        <v>0</v>
      </c>
      <c r="L18" s="114">
        <v>1</v>
      </c>
      <c r="M18" s="114">
        <v>0</v>
      </c>
      <c r="N18" s="114">
        <v>1</v>
      </c>
      <c r="O18" s="114">
        <v>0</v>
      </c>
    </row>
    <row r="19" spans="1:15">
      <c r="A19" s="114">
        <v>63003</v>
      </c>
      <c r="B19" s="114" t="s">
        <v>390</v>
      </c>
      <c r="C19" s="114">
        <v>8</v>
      </c>
      <c r="D19" s="114">
        <v>8</v>
      </c>
      <c r="E19" s="114">
        <v>8</v>
      </c>
      <c r="F19" s="114">
        <v>1</v>
      </c>
      <c r="G19" s="114">
        <v>1</v>
      </c>
      <c r="H19" s="114">
        <v>1</v>
      </c>
      <c r="I19" s="114">
        <v>0</v>
      </c>
      <c r="J19" s="114">
        <v>1</v>
      </c>
      <c r="K19" s="114">
        <v>0</v>
      </c>
      <c r="L19" s="114">
        <v>1</v>
      </c>
      <c r="M19" s="114">
        <v>0</v>
      </c>
      <c r="N19" s="114">
        <v>1</v>
      </c>
      <c r="O19" s="114">
        <v>0</v>
      </c>
    </row>
    <row r="20" spans="1:15">
      <c r="A20" s="114">
        <v>63004</v>
      </c>
      <c r="B20" s="114" t="s">
        <v>391</v>
      </c>
      <c r="C20" s="114">
        <v>1000</v>
      </c>
      <c r="D20" s="114">
        <v>1000</v>
      </c>
      <c r="E20" s="114">
        <v>1000</v>
      </c>
      <c r="F20" s="114" t="s">
        <v>393</v>
      </c>
      <c r="G20" s="114" t="s">
        <v>393</v>
      </c>
      <c r="H20" s="114" t="s">
        <v>393</v>
      </c>
      <c r="I20" s="114">
        <v>0</v>
      </c>
      <c r="J20" s="114">
        <v>1</v>
      </c>
      <c r="K20" s="114">
        <v>0</v>
      </c>
      <c r="L20" s="114">
        <v>1</v>
      </c>
      <c r="M20" s="114">
        <v>0</v>
      </c>
      <c r="N20" s="114">
        <v>1</v>
      </c>
      <c r="O20" s="114">
        <v>0</v>
      </c>
    </row>
    <row r="21" spans="1:15">
      <c r="A21" s="114">
        <v>63005</v>
      </c>
      <c r="B21" s="114" t="s">
        <v>169</v>
      </c>
      <c r="C21" s="114">
        <v>1000</v>
      </c>
      <c r="D21" s="114">
        <v>1000</v>
      </c>
      <c r="E21" s="114">
        <v>1000</v>
      </c>
      <c r="F21" s="114" t="s">
        <v>393</v>
      </c>
      <c r="G21" s="114" t="s">
        <v>393</v>
      </c>
      <c r="H21" s="114" t="s">
        <v>393</v>
      </c>
      <c r="I21" s="114">
        <v>0</v>
      </c>
      <c r="J21" s="114">
        <v>1</v>
      </c>
      <c r="K21" s="114">
        <v>0</v>
      </c>
      <c r="L21" s="114">
        <v>1</v>
      </c>
      <c r="M21" s="114">
        <v>0</v>
      </c>
      <c r="N21" s="114">
        <v>1</v>
      </c>
      <c r="O21" s="114">
        <v>0</v>
      </c>
    </row>
    <row r="22" spans="1:15">
      <c r="A22" s="114">
        <v>64001</v>
      </c>
      <c r="B22" s="114" t="s">
        <v>390</v>
      </c>
      <c r="C22" s="114">
        <v>8</v>
      </c>
      <c r="D22" s="114">
        <v>8</v>
      </c>
      <c r="E22" s="114">
        <v>8</v>
      </c>
      <c r="F22" s="114">
        <v>3</v>
      </c>
      <c r="G22" s="114">
        <v>3</v>
      </c>
      <c r="H22" s="114">
        <v>3</v>
      </c>
      <c r="I22" s="114">
        <v>0</v>
      </c>
      <c r="J22" s="114">
        <v>1</v>
      </c>
      <c r="K22" s="114">
        <v>0</v>
      </c>
      <c r="L22" s="114">
        <v>1</v>
      </c>
      <c r="M22" s="114">
        <v>0</v>
      </c>
      <c r="N22" s="114">
        <v>1</v>
      </c>
      <c r="O22" s="114">
        <v>0</v>
      </c>
    </row>
    <row r="23" spans="1:15">
      <c r="A23" s="114">
        <v>64002</v>
      </c>
      <c r="B23" s="114" t="s">
        <v>390</v>
      </c>
      <c r="C23" s="114">
        <v>6</v>
      </c>
      <c r="D23" s="114">
        <v>6</v>
      </c>
      <c r="E23" s="114">
        <v>6</v>
      </c>
      <c r="F23" s="114">
        <v>2</v>
      </c>
      <c r="G23" s="114">
        <v>2</v>
      </c>
      <c r="H23" s="114">
        <v>2</v>
      </c>
      <c r="I23" s="114">
        <v>0</v>
      </c>
      <c r="J23" s="114">
        <v>1</v>
      </c>
      <c r="K23" s="114">
        <v>0</v>
      </c>
      <c r="L23" s="114">
        <v>1</v>
      </c>
      <c r="M23" s="114">
        <v>0</v>
      </c>
      <c r="N23" s="114">
        <v>1</v>
      </c>
      <c r="O23" s="114">
        <v>0</v>
      </c>
    </row>
    <row r="24" spans="1:15">
      <c r="A24" s="114">
        <v>64003</v>
      </c>
      <c r="B24" s="114" t="s">
        <v>390</v>
      </c>
      <c r="C24" s="114">
        <v>7</v>
      </c>
      <c r="D24" s="114">
        <v>7</v>
      </c>
      <c r="E24" s="114">
        <v>7</v>
      </c>
      <c r="F24" s="114">
        <v>1</v>
      </c>
      <c r="G24" s="114">
        <v>1</v>
      </c>
      <c r="H24" s="114">
        <v>1</v>
      </c>
      <c r="I24" s="114">
        <v>0</v>
      </c>
      <c r="J24" s="114">
        <v>1</v>
      </c>
      <c r="K24" s="114">
        <v>0</v>
      </c>
      <c r="L24" s="114">
        <v>1</v>
      </c>
      <c r="M24" s="114">
        <v>0</v>
      </c>
      <c r="N24" s="114">
        <v>1</v>
      </c>
      <c r="O24" s="114">
        <v>0</v>
      </c>
    </row>
    <row r="25" spans="1:15">
      <c r="A25" s="114">
        <v>64004</v>
      </c>
      <c r="B25" s="114" t="s">
        <v>389</v>
      </c>
      <c r="C25" s="114">
        <v>1</v>
      </c>
      <c r="D25" s="114">
        <v>1</v>
      </c>
      <c r="E25" s="114">
        <v>1</v>
      </c>
      <c r="F25" s="114" t="s">
        <v>393</v>
      </c>
      <c r="G25" s="114" t="s">
        <v>393</v>
      </c>
      <c r="H25" s="114" t="s">
        <v>393</v>
      </c>
      <c r="I25" s="114">
        <v>0</v>
      </c>
      <c r="J25" s="114">
        <v>1</v>
      </c>
      <c r="K25" s="114">
        <v>0</v>
      </c>
      <c r="L25" s="114">
        <v>1</v>
      </c>
      <c r="M25" s="114">
        <v>0</v>
      </c>
      <c r="N25" s="114">
        <v>1</v>
      </c>
      <c r="O25" s="114">
        <v>0</v>
      </c>
    </row>
    <row r="26" spans="1:15">
      <c r="A26" s="114">
        <v>64005</v>
      </c>
      <c r="B26" s="114" t="s">
        <v>169</v>
      </c>
      <c r="C26" s="114">
        <v>1000</v>
      </c>
      <c r="D26" s="114">
        <v>1000</v>
      </c>
      <c r="E26" s="114">
        <v>1000</v>
      </c>
      <c r="F26" s="114" t="s">
        <v>393</v>
      </c>
      <c r="G26" s="114" t="s">
        <v>393</v>
      </c>
      <c r="H26" s="114" t="s">
        <v>393</v>
      </c>
      <c r="I26" s="114">
        <v>0</v>
      </c>
      <c r="J26" s="114">
        <v>1</v>
      </c>
      <c r="K26" s="114">
        <v>0</v>
      </c>
      <c r="L26" s="114">
        <v>1</v>
      </c>
      <c r="M26" s="114">
        <v>0</v>
      </c>
      <c r="N26" s="114">
        <v>1</v>
      </c>
      <c r="O26" s="114">
        <v>0</v>
      </c>
    </row>
  </sheetData>
  <phoneticPr fontId="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78"/>
  <sheetViews>
    <sheetView showGridLines="0" zoomScale="75" zoomScaleNormal="75" zoomScalePageLayoutView="75" workbookViewId="0">
      <pane xSplit="17" ySplit="1" topLeftCell="R32" activePane="bottomRight" state="frozen"/>
      <selection pane="topRight" activeCell="N1" sqref="N1"/>
      <selection pane="bottomLeft" activeCell="A2" sqref="A2"/>
      <selection pane="bottomRight" activeCell="R45" sqref="R45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181</v>
      </c>
    </row>
    <row r="2" spans="1:40" ht="21" customHeight="1">
      <c r="A2" s="16" t="str">
        <f t="shared" ref="A2:A65" ca="1" si="0">B2&amp;"_"&amp;C2&amp;"-"&amp;G2&amp;"/"&amp;L2&amp;"&lt;lv"&amp;R2&amp;"&gt;s"&amp;AA2</f>
        <v>60001_1-1/1&lt;lv50&gt;s1</v>
      </c>
      <c r="B2" s="22">
        <v>60001</v>
      </c>
      <c r="C2" s="21">
        <v>1</v>
      </c>
      <c r="D2" s="2" t="str">
        <f t="shared" ref="D2:D7" si="1">B2&amp;"_"&amp;C2</f>
        <v>60001_1</v>
      </c>
      <c r="E2" s="4" t="str">
        <f ca="1">VLOOKUP($B2,OFFSET([2]quests!$A$1,0,0,COUNTA([2]quests!$A:$A),MATCH(E$1,[2]quests!$1:$1,0)-MATCH($B$1,[2]quests!$1:$1,0)+1),MATCH(E$1,[2]quests!$1:$1,0)-MATCH($B$1,[2]quests!$1:$1,0)+1,FALSE)</f>
        <v>ヘンペルチャレンジ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[ウィザード] 第一回</v>
      </c>
      <c r="G2" s="21">
        <v>1</v>
      </c>
      <c r="H2" s="15" t="str">
        <f t="shared" ref="H2:H7" si="2">B2&amp;"_"&amp;C2&amp;"-"&amp;G2</f>
        <v>60001_1-1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50</v>
      </c>
      <c r="S2" s="25">
        <v>1.2</v>
      </c>
      <c r="T2" s="25">
        <v>1.1000000000000001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" s="4">
        <v>0</v>
      </c>
      <c r="X2" s="6">
        <v>1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1</v>
      </c>
      <c r="AB2" s="24">
        <f t="shared" ref="AB2:AB7" si="3">L2</f>
        <v>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t="shared" ref="AG2:AG7" ca="1" si="4">AD2</f>
        <v>1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>
      <c r="A3" s="16" t="str">
        <f t="shared" ca="1" si="0"/>
        <v>60001_1-1/3&lt;lv50&gt;s2</v>
      </c>
      <c r="B3" s="22">
        <v>60001</v>
      </c>
      <c r="C3" s="21">
        <v>1</v>
      </c>
      <c r="D3" s="2" t="str">
        <f t="shared" si="1"/>
        <v>60001_1</v>
      </c>
      <c r="E3" s="4" t="str">
        <f ca="1">VLOOKUP($B3,OFFSET([2]quests!$A$1,0,0,COUNTA([2]quests!$A:$A),MATCH(E$1,[2]quests!$1:$1,0)-MATCH($B$1,[2]quests!$1:$1,0)+1),MATCH(E$1,[2]quests!$1:$1,0)-MATCH($B$1,[2]quests!$1:$1,0)+1,FALSE)</f>
        <v>ヘンペルチャレンジ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[ウィザード] 第一回</v>
      </c>
      <c r="G3" s="21">
        <v>1</v>
      </c>
      <c r="H3" s="15" t="str">
        <f t="shared" si="2"/>
        <v>60001_1-1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エージェント ジョー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50</v>
      </c>
      <c r="S3" s="25">
        <v>1.2</v>
      </c>
      <c r="T3" s="25">
        <v>1.1000000000000001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" s="4">
        <v>0</v>
      </c>
      <c r="X3" s="6">
        <v>1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2</v>
      </c>
      <c r="AB3" s="24">
        <f t="shared" si="3"/>
        <v>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7">
        <v>1</v>
      </c>
      <c r="AG3" s="24">
        <f t="shared" ca="1" si="4"/>
        <v>1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>
      <c r="A4" s="16" t="str">
        <f t="shared" ca="1" si="0"/>
        <v>60001_1-1/5&lt;lv50&gt;s3</v>
      </c>
      <c r="B4" s="22">
        <v>60001</v>
      </c>
      <c r="C4" s="21">
        <v>1</v>
      </c>
      <c r="D4" s="2" t="str">
        <f t="shared" si="1"/>
        <v>60001_1</v>
      </c>
      <c r="E4" s="4" t="str">
        <f ca="1">VLOOKUP($B4,OFFSET([2]quests!$A$1,0,0,COUNTA([2]quests!$A:$A),MATCH(E$1,[2]quests!$1:$1,0)-MATCH($B$1,[2]quests!$1:$1,0)+1),MATCH(E$1,[2]quests!$1:$1,0)-MATCH($B$1,[2]quests!$1:$1,0)+1,FALSE)</f>
        <v>ヘンペルチャレンジ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[ウィザード] 第一回</v>
      </c>
      <c r="G4" s="21">
        <v>1</v>
      </c>
      <c r="H4" s="15" t="str">
        <f t="shared" si="2"/>
        <v>60001_1-1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パトドッグ ポチ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50</v>
      </c>
      <c r="S4" s="25">
        <v>1.2</v>
      </c>
      <c r="T4" s="25">
        <v>1.1000000000000001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4" s="4">
        <v>60001100</v>
      </c>
      <c r="X4" s="6">
        <v>1</v>
      </c>
      <c r="Y4" s="6">
        <v>100</v>
      </c>
      <c r="Z4" s="6">
        <v>1</v>
      </c>
      <c r="AA4" s="17">
        <f ca="1">VLOOKUP($L4,OFFSET([3]enemies!$A$1,0,0,COUNTA([3]enemies!$A:$A),MATCH(AA$1,[3]enemies!$1:$1,0)-MATCH($L$1,[3]enemies!$1:$1,0)+1),MATCH(AA$1,[3]enemies!$1:$1,0)-MATCH($L$1,[3]enemies!$1:$1,0)+1,FALSE)</f>
        <v>3</v>
      </c>
      <c r="AB4" s="24">
        <f t="shared" si="3"/>
        <v>5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Drop1T</v>
      </c>
      <c r="AF4" s="7">
        <v>1</v>
      </c>
      <c r="AG4" s="24">
        <f t="shared" ca="1" si="4"/>
        <v>1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>
      <c r="A5" s="16" t="str">
        <f t="shared" ca="1" si="0"/>
        <v>60001_1-1/7&lt;lv50&gt;s2</v>
      </c>
      <c r="B5" s="22">
        <v>60001</v>
      </c>
      <c r="C5" s="21">
        <v>1</v>
      </c>
      <c r="D5" s="2" t="str">
        <f t="shared" si="1"/>
        <v>60001_1</v>
      </c>
      <c r="E5" s="4" t="str">
        <f ca="1">VLOOKUP($B5,OFFSET([2]quests!$A$1,0,0,COUNTA([2]quests!$A:$A),MATCH(E$1,[2]quests!$1:$1,0)-MATCH($B$1,[2]quests!$1:$1,0)+1),MATCH(E$1,[2]quests!$1:$1,0)-MATCH($B$1,[2]quests!$1:$1,0)+1,FALSE)</f>
        <v>ヘンペルチャレンジ</v>
      </c>
      <c r="F5" s="4" t="str">
        <f ca="1">VLOOKUP($D5,OFFSET([2]stages!$A$1,0,0,COUNTA([2]stages!$A:$A),MATCH(F$1,[2]stages!$2:$2,0)-MATCH($D$1,[2]stages!$2:$2,0)+1),MATCH(F$1,[2]stages!$2:$2,0)-MATCH($D$1,[2]stages!$2:$2,0)+1,FALSE)</f>
        <v>[ウィザード] 第一回</v>
      </c>
      <c r="G5" s="21">
        <v>1</v>
      </c>
      <c r="H5" s="15" t="str">
        <f t="shared" si="2"/>
        <v>60001_1-1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7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エレキポット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Drop1T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50</v>
      </c>
      <c r="S5" s="25">
        <v>1.2</v>
      </c>
      <c r="T5" s="25">
        <v>1.1000000000000001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5" s="4">
        <v>0</v>
      </c>
      <c r="X5" s="6">
        <v>1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2</v>
      </c>
      <c r="AB5" s="24">
        <f t="shared" si="3"/>
        <v>7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Drop1T</v>
      </c>
      <c r="AF5" s="7">
        <v>1</v>
      </c>
      <c r="AG5" s="24">
        <f t="shared" ca="1" si="4"/>
        <v>1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>
      <c r="A6" s="16" t="str">
        <f t="shared" si="0"/>
        <v>60001_1-2/54&lt;lv50&gt;s2</v>
      </c>
      <c r="B6" s="22">
        <v>60001</v>
      </c>
      <c r="C6" s="21">
        <v>1</v>
      </c>
      <c r="D6" s="2" t="str">
        <f t="shared" si="1"/>
        <v>60001_1</v>
      </c>
      <c r="E6" s="4" t="str">
        <f ca="1">VLOOKUP($B6,OFFSET([2]quests!$A$1,0,0,COUNTA([2]quests!$A:$A),MATCH(E$1,[2]quests!$1:$1,0)-MATCH($B$1,[2]quests!$1:$1,0)+1),MATCH(E$1,[2]quests!$1:$1,0)-MATCH($B$1,[2]quests!$1:$1,0)+1,FALSE)</f>
        <v>ヘンペルチャレンジ</v>
      </c>
      <c r="F6" s="4" t="str">
        <f ca="1">VLOOKUP($D6,OFFSET([2]stages!$A$1,0,0,COUNTA([2]stages!$A:$A),MATCH(F$1,[2]stages!$2:$2,0)-MATCH($D$1,[2]stages!$2:$2,0)+1),MATCH(F$1,[2]stages!$2:$2,0)-MATCH($D$1,[2]stages!$2:$2,0)+1,FALSE)</f>
        <v>[ウィザード] 第一回</v>
      </c>
      <c r="G6" s="21">
        <v>2</v>
      </c>
      <c r="H6" s="15" t="str">
        <f t="shared" si="2"/>
        <v>60001_1-2</v>
      </c>
      <c r="I6" s="4">
        <f ca="1">VLOOKUP($H6,OFFSET(floors!$A$1,0,0,COUNTA(floors!$A:$A),MATCH(I$1,floors!$1:$1,0)-MATCH($H$1,floors!$1:$1,0)+1),MATCH(I$1,floors!$1:$1,0)-MATCH($H$1,floors!$1:$1,0)+1,FALSE)</f>
        <v>50</v>
      </c>
      <c r="J6" s="4">
        <f ca="1">VLOOKUP($H6,OFFSET(floors!$A$1,0,0,COUNTA(floors!$A:$A),MATCH(J$1,floors!$1:$1,0)-MATCH($H$1,floors!$1:$1,0)+1),MATCH(J$1,floors!$1:$1,0)-MATCH($H$1,floors!$1:$1,0)+1,FALSE)</f>
        <v>50</v>
      </c>
      <c r="K6" s="38" t="s">
        <v>53</v>
      </c>
      <c r="L6" s="20">
        <v>54</v>
      </c>
      <c r="M6" s="17" t="str">
        <f ca="1">VLOOKUP($L6,OFFSET([3]enemies!$A$1,0,0,COUNTA([3]enemies!$A:$A),MATCH(M$1,[3]enemies!$1:$1,0)-MATCH($L$1,[3]enemies!$1:$1,0)+1),MATCH(M$1,[3]enemies!$1:$1,0)-MATCH($L$1,[3]enemies!$1:$1,0)+1,FALSE)</f>
        <v>蒼斬のレジスタンス ケンジ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50</v>
      </c>
      <c r="S6" s="25">
        <v>1.3</v>
      </c>
      <c r="T6" s="25">
        <v>1.2</v>
      </c>
      <c r="U6" s="5">
        <v>0</v>
      </c>
      <c r="V6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6" s="4">
        <v>60001101</v>
      </c>
      <c r="X6" s="6">
        <v>1</v>
      </c>
      <c r="Y6" s="6">
        <v>100</v>
      </c>
      <c r="Z6" s="6">
        <v>0</v>
      </c>
      <c r="AA6" s="17">
        <v>2</v>
      </c>
      <c r="AB6" s="24">
        <f t="shared" si="3"/>
        <v>54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蒼斬のレジスタンス ケンジ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3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7">
        <v>1</v>
      </c>
      <c r="AG6" s="24">
        <f t="shared" ca="1" si="4"/>
        <v>3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>
      <c r="A7" s="16" t="str">
        <f t="shared" ca="1" si="0"/>
        <v>60001_1-2/73&lt;lv50&gt;s4</v>
      </c>
      <c r="B7" s="22">
        <v>60001</v>
      </c>
      <c r="C7" s="21">
        <v>1</v>
      </c>
      <c r="D7" s="2" t="str">
        <f t="shared" si="1"/>
        <v>60001_1</v>
      </c>
      <c r="E7" s="4" t="str">
        <f ca="1">VLOOKUP($B7,OFFSET([2]quests!$A$1,0,0,COUNTA([2]quests!$A:$A),MATCH(E$1,[2]quests!$1:$1,0)-MATCH($B$1,[2]quests!$1:$1,0)+1),MATCH(E$1,[2]quests!$1:$1,0)-MATCH($B$1,[2]quests!$1:$1,0)+1,FALSE)</f>
        <v>ヘンペルチャレンジ</v>
      </c>
      <c r="F7" s="4" t="str">
        <f ca="1">VLOOKUP($D7,OFFSET([2]stages!$A$1,0,0,COUNTA([2]stages!$A:$A),MATCH(F$1,[2]stages!$2:$2,0)-MATCH($D$1,[2]stages!$2:$2,0)+1),MATCH(F$1,[2]stages!$2:$2,0)-MATCH($D$1,[2]stages!$2:$2,0)+1,FALSE)</f>
        <v>[ウィザード] 第一回</v>
      </c>
      <c r="G7" s="21">
        <v>2</v>
      </c>
      <c r="H7" s="15" t="str">
        <f t="shared" si="2"/>
        <v>60001_1-2</v>
      </c>
      <c r="I7" s="4">
        <f ca="1">VLOOKUP($H7,OFFSET(floors!$A$1,0,0,COUNTA(floors!$A:$A),MATCH(I$1,floors!$1:$1,0)-MATCH($H$1,floors!$1:$1,0)+1),MATCH(I$1,floors!$1:$1,0)-MATCH($H$1,floors!$1:$1,0)+1,FALSE)</f>
        <v>50</v>
      </c>
      <c r="J7" s="4">
        <f ca="1">VLOOKUP($H7,OFFSET(floors!$A$1,0,0,COUNTA(floors!$A:$A),MATCH(J$1,floors!$1:$1,0)-MATCH($H$1,floors!$1:$1,0)+1),MATCH(J$1,floors!$1:$1,0)-MATCH($H$1,floors!$1:$1,0)+1,FALSE)</f>
        <v>50</v>
      </c>
      <c r="K7" s="38" t="s">
        <v>53</v>
      </c>
      <c r="L7" s="20">
        <v>73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自由の探求者 ダックス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50</v>
      </c>
      <c r="S7" s="25">
        <v>1.3</v>
      </c>
      <c r="T7" s="25">
        <v>1</v>
      </c>
      <c r="U7" s="5">
        <v>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7" s="4">
        <v>60001102</v>
      </c>
      <c r="X7" s="6">
        <v>1</v>
      </c>
      <c r="Y7" s="6">
        <v>100</v>
      </c>
      <c r="Z7" s="6">
        <v>0</v>
      </c>
      <c r="AA7" s="17">
        <f ca="1">VLOOKUP($L7,OFFSET([3]enemies!$A$1,0,0,COUNTA([3]enemies!$A:$A),MATCH(AA$1,[3]enemies!$1:$1,0)-MATCH($L$1,[3]enemies!$1:$1,0)+1),MATCH(AA$1,[3]enemies!$1:$1,0)-MATCH($L$1,[3]enemies!$1:$1,0)+1,FALSE)</f>
        <v>4</v>
      </c>
      <c r="AB7" s="24">
        <f t="shared" si="3"/>
        <v>73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自由の探求者 ダックス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Drop1S</v>
      </c>
      <c r="AF7" s="7">
        <v>1</v>
      </c>
      <c r="AG7" s="24">
        <f t="shared" ca="1" si="4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>
      <c r="A8" s="16" t="str">
        <f t="shared" ca="1" si="0"/>
        <v>60001_1-3/122&lt;lv1&gt;s3</v>
      </c>
      <c r="B8" s="22">
        <v>60001</v>
      </c>
      <c r="C8" s="21">
        <v>1</v>
      </c>
      <c r="D8" s="2" t="str">
        <f>B8&amp;"_"&amp;C8</f>
        <v>60001_1</v>
      </c>
      <c r="E8" s="4" t="str">
        <f ca="1">VLOOKUP($B8,OFFSET([2]quests!$A$1,0,0,COUNTA([2]quests!$A:$A),MATCH(E$1,[2]quests!$1:$1,0)-MATCH($B$1,[2]quests!$1:$1,0)+1),MATCH(E$1,[2]quests!$1:$1,0)-MATCH($B$1,[2]quests!$1:$1,0)+1,FALSE)</f>
        <v>ヘンペルチャレンジ</v>
      </c>
      <c r="F8" s="4" t="str">
        <f ca="1">VLOOKUP($D8,OFFSET([2]stages!$A$1,0,0,COUNTA([2]stages!$A:$A),MATCH(F$1,[2]stages!$2:$2,0)-MATCH($D$1,[2]stages!$2:$2,0)+1),MATCH(F$1,[2]stages!$2:$2,0)-MATCH($D$1,[2]stages!$2:$2,0)+1,FALSE)</f>
        <v>[ウィザード] 第一回</v>
      </c>
      <c r="G8" s="21">
        <v>3</v>
      </c>
      <c r="H8" s="15" t="str">
        <f>B8&amp;"_"&amp;C8&amp;"-"&amp;G8</f>
        <v>60001_1-3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122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生命の果実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1</v>
      </c>
      <c r="S8" s="25">
        <v>0.1</v>
      </c>
      <c r="T8" s="25">
        <v>1</v>
      </c>
      <c r="U8" s="5">
        <v>1000000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8" s="4">
        <v>60001103</v>
      </c>
      <c r="X8" s="6">
        <v>1</v>
      </c>
      <c r="Y8" s="6">
        <v>100</v>
      </c>
      <c r="Z8" s="6">
        <v>0</v>
      </c>
      <c r="AA8" s="17">
        <f ca="1">VLOOKUP($L8,OFFSET([3]enemies!$A$1,0,0,COUNTA([3]enemies!$A:$A),MATCH(AA$1,[3]enemies!$1:$1,0)-MATCH($L$1,[3]enemies!$1:$1,0)+1),MATCH(AA$1,[3]enemies!$1:$1,0)-MATCH($L$1,[3]enemies!$1:$1,0)+1,FALSE)</f>
        <v>3</v>
      </c>
      <c r="AB8" s="24">
        <f>L8</f>
        <v>122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3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7">
        <v>1</v>
      </c>
      <c r="AG8" s="24">
        <f ca="1">AD8</f>
        <v>3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>
      <c r="A9" s="16" t="str">
        <f t="shared" si="0"/>
        <v>60001_1-4/581&lt;lv60&gt;s3</v>
      </c>
      <c r="B9" s="22">
        <v>60001</v>
      </c>
      <c r="C9" s="21">
        <v>1</v>
      </c>
      <c r="D9" s="2" t="str">
        <f>B9&amp;"_"&amp;C9</f>
        <v>60001_1</v>
      </c>
      <c r="E9" s="4" t="str">
        <f ca="1">VLOOKUP($B9,OFFSET([2]quests!$A$1,0,0,COUNTA([2]quests!$A:$A),MATCH(E$1,[2]quests!$1:$1,0)-MATCH($B$1,[2]quests!$1:$1,0)+1),MATCH(E$1,[2]quests!$1:$1,0)-MATCH($B$1,[2]quests!$1:$1,0)+1,FALSE)</f>
        <v>ヘンペルチャレンジ</v>
      </c>
      <c r="F9" s="4" t="str">
        <f ca="1">VLOOKUP($D9,OFFSET([2]stages!$A$1,0,0,COUNTA([2]stages!$A:$A),MATCH(F$1,[2]stages!$2:$2,0)-MATCH($D$1,[2]stages!$2:$2,0)+1),MATCH(F$1,[2]stages!$2:$2,0)-MATCH($D$1,[2]stages!$2:$2,0)+1,FALSE)</f>
        <v>[ウィザード] 第一回</v>
      </c>
      <c r="G9" s="21">
        <v>4</v>
      </c>
      <c r="H9" s="15" t="str">
        <f>B9&amp;"_"&amp;C9&amp;"-"&amp;G9</f>
        <v>60001_1-4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20">
        <v>581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フギンとムニン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machine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60</v>
      </c>
      <c r="S9" s="25">
        <v>1.4</v>
      </c>
      <c r="T9" s="25">
        <v>1</v>
      </c>
      <c r="U9" s="5">
        <v>0</v>
      </c>
      <c r="V9" s="4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9" s="4">
        <v>60001104</v>
      </c>
      <c r="X9" s="6">
        <v>1</v>
      </c>
      <c r="Y9" s="6">
        <v>100</v>
      </c>
      <c r="Z9" s="6">
        <v>1</v>
      </c>
      <c r="AA9" s="17">
        <v>3</v>
      </c>
      <c r="AB9" s="24">
        <f>L9</f>
        <v>581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フギンとムニン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9" s="7">
        <v>1</v>
      </c>
      <c r="AG9" s="24">
        <f ca="1">AD9</f>
        <v>4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>
      <c r="A10" s="16" t="str">
        <f t="shared" ca="1" si="0"/>
        <v>60001_1-5/403&lt;lv60&gt;s3</v>
      </c>
      <c r="B10" s="22">
        <v>60001</v>
      </c>
      <c r="C10" s="21">
        <v>1</v>
      </c>
      <c r="D10" s="2" t="str">
        <f>B10&amp;"_"&amp;C10</f>
        <v>60001_1</v>
      </c>
      <c r="E10" s="4" t="str">
        <f ca="1">VLOOKUP($B10,OFFSET([2]quests!$A$1,0,0,COUNTA([2]quests!$A:$A),MATCH(E$1,[2]quests!$1:$1,0)-MATCH($B$1,[2]quests!$1:$1,0)+1),MATCH(E$1,[2]quests!$1:$1,0)-MATCH($B$1,[2]quests!$1:$1,0)+1,FALSE)</f>
        <v>ヘンペルチャレンジ</v>
      </c>
      <c r="F10" s="4" t="str">
        <f ca="1">VLOOKUP($D10,OFFSET([2]stages!$A$1,0,0,COUNTA([2]stages!$A:$A),MATCH(F$1,[2]stages!$2:$2,0)-MATCH($D$1,[2]stages!$2:$2,0)+1),MATCH(F$1,[2]stages!$2:$2,0)-MATCH($D$1,[2]stages!$2:$2,0)+1,FALSE)</f>
        <v>[ウィザード] 第一回</v>
      </c>
      <c r="G10" s="21">
        <v>5</v>
      </c>
      <c r="H10" s="15" t="str">
        <f>B10&amp;"_"&amp;C10&amp;"-"&amp;G10</f>
        <v>60001_1-5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403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静撃の翠眼 八咫烏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60</v>
      </c>
      <c r="S10" s="25">
        <v>1</v>
      </c>
      <c r="T10" s="25">
        <v>1</v>
      </c>
      <c r="U10" s="5">
        <v>0</v>
      </c>
      <c r="V10" s="4" t="e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0" s="4">
        <v>60001106</v>
      </c>
      <c r="X10" s="6">
        <v>1</v>
      </c>
      <c r="Y10" s="6">
        <v>100</v>
      </c>
      <c r="Z10" s="6">
        <v>0</v>
      </c>
      <c r="AA10" s="17">
        <f ca="1">VLOOKUP($L10,OFFSET([3]enemies!$A$1,0,0,COUNTA([3]enemies!$A:$A),MATCH(AA$1,[3]enemies!$1:$1,0)-MATCH($L$1,[3]enemies!$1:$1,0)+1),MATCH(AA$1,[3]enemies!$1:$1,0)-MATCH($L$1,[3]enemies!$1:$1,0)+1,FALSE)</f>
        <v>3</v>
      </c>
      <c r="AB10" s="24">
        <f>L10</f>
        <v>403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静撃の翠眼 八咫烏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0" s="7">
        <v>1</v>
      </c>
      <c r="AG10" s="24">
        <f ca="1">AD10</f>
        <v>4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>
      <c r="A11" s="16" t="str">
        <f t="shared" ca="1" si="0"/>
        <v>60001_1-5/660&lt;lv60&gt;s2</v>
      </c>
      <c r="B11" s="22">
        <v>60001</v>
      </c>
      <c r="C11" s="21">
        <v>1</v>
      </c>
      <c r="D11" s="2" t="str">
        <f>B11&amp;"_"&amp;C11</f>
        <v>60001_1</v>
      </c>
      <c r="E11" s="4" t="str">
        <f ca="1">VLOOKUP($B11,OFFSET([2]quests!$A$1,0,0,COUNTA([2]quests!$A:$A),MATCH(E$1,[2]quests!$1:$1,0)-MATCH($B$1,[2]quests!$1:$1,0)+1),MATCH(E$1,[2]quests!$1:$1,0)-MATCH($B$1,[2]quests!$1:$1,0)+1,FALSE)</f>
        <v>ヘンペルチャレンジ</v>
      </c>
      <c r="F11" s="4" t="str">
        <f ca="1">VLOOKUP($D11,OFFSET([2]stages!$A$1,0,0,COUNTA([2]stages!$A:$A),MATCH(F$1,[2]stages!$2:$2,0)-MATCH($D$1,[2]stages!$2:$2,0)+1),MATCH(F$1,[2]stages!$2:$2,0)-MATCH($D$1,[2]stages!$2:$2,0)+1,FALSE)</f>
        <v>[ウィザード] 第一回</v>
      </c>
      <c r="G11" s="21">
        <v>5</v>
      </c>
      <c r="H11" s="15" t="str">
        <f>B11&amp;"_"&amp;C11&amp;"-"&amp;G11</f>
        <v>60001_1-5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660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烏天狗 フウガ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60</v>
      </c>
      <c r="S11" s="25">
        <v>0.8</v>
      </c>
      <c r="T11" s="25">
        <v>1</v>
      </c>
      <c r="U11" s="5">
        <v>0</v>
      </c>
      <c r="V11" s="4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1" s="4">
        <v>60001107</v>
      </c>
      <c r="X11" s="6">
        <v>1</v>
      </c>
      <c r="Y11" s="6">
        <v>100</v>
      </c>
      <c r="Z11" s="6">
        <v>0</v>
      </c>
      <c r="AA11" s="17">
        <f ca="1">VLOOKUP($L11,OFFSET([3]enemies!$A$1,0,0,COUNTA([3]enemies!$A:$A),MATCH(AA$1,[3]enemies!$1:$1,0)-MATCH($L$1,[3]enemies!$1:$1,0)+1),MATCH(AA$1,[3]enemies!$1:$1,0)-MATCH($L$1,[3]enemies!$1:$1,0)+1,FALSE)</f>
        <v>2</v>
      </c>
      <c r="AB11" s="24">
        <f>L11</f>
        <v>660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烏天狗 フウガ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1" s="7">
        <v>1</v>
      </c>
      <c r="AG11" s="24">
        <f ca="1">AD11</f>
        <v>4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>
      <c r="A12" s="16" t="str">
        <f t="shared" si="0"/>
        <v>60001_1-6/488&lt;lv70&gt;s3</v>
      </c>
      <c r="B12" s="22">
        <v>60001</v>
      </c>
      <c r="C12" s="21">
        <v>1</v>
      </c>
      <c r="D12" s="2" t="str">
        <f t="shared" ref="D12:D18" si="5">B12&amp;"_"&amp;C12</f>
        <v>60001_1</v>
      </c>
      <c r="E12" s="4" t="str">
        <f ca="1">VLOOKUP($B12,OFFSET([2]quests!$A$1,0,0,COUNTA([2]quests!$A:$A),MATCH(E$1,[2]quests!$1:$1,0)-MATCH($B$1,[2]quests!$1:$1,0)+1),MATCH(E$1,[2]quests!$1:$1,0)-MATCH($B$1,[2]quests!$1:$1,0)+1,FALSE)</f>
        <v>ヘンペルチャレンジ</v>
      </c>
      <c r="F12" s="4" t="str">
        <f ca="1">VLOOKUP($D12,OFFSET([2]stages!$A$1,0,0,COUNTA([2]stages!$A:$A),MATCH(F$1,[2]stages!$2:$2,0)-MATCH($D$1,[2]stages!$2:$2,0)+1),MATCH(F$1,[2]stages!$2:$2,0)-MATCH($D$1,[2]stages!$2:$2,0)+1,FALSE)</f>
        <v>[ウィザード] 第一回</v>
      </c>
      <c r="G12" s="21">
        <v>6</v>
      </c>
      <c r="H12" s="15" t="str">
        <f t="shared" ref="H12:H18" si="6">B12&amp;"_"&amp;C12&amp;"-"&amp;G12</f>
        <v>60001_1-6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1</v>
      </c>
      <c r="L12" s="20">
        <v>488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直観の異論 ヘンペル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PremiumSSS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70</v>
      </c>
      <c r="S12" s="25">
        <v>0.9</v>
      </c>
      <c r="T12" s="25">
        <v>1</v>
      </c>
      <c r="U12" s="5">
        <v>0</v>
      </c>
      <c r="V12" s="4" t="e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2" s="4">
        <v>60001108</v>
      </c>
      <c r="X12" s="6">
        <v>0</v>
      </c>
      <c r="Y12" s="6">
        <v>100</v>
      </c>
      <c r="Z12" s="6">
        <v>1</v>
      </c>
      <c r="AA12" s="17">
        <v>3</v>
      </c>
      <c r="AB12" s="24">
        <f t="shared" ref="AB12:AB18" si="7">L12</f>
        <v>488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直観の異論 ヘンペル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5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12" s="7">
        <v>1</v>
      </c>
      <c r="AG12" s="24">
        <f t="shared" ref="AG12:AG18" ca="1" si="8">AD12</f>
        <v>5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>
      <c r="A13" s="16" t="str">
        <f t="shared" ca="1" si="0"/>
        <v>60002_1-1/1&lt;lv25&gt;s1</v>
      </c>
      <c r="B13" s="22">
        <v>60002</v>
      </c>
      <c r="C13" s="21">
        <v>1</v>
      </c>
      <c r="D13" s="2" t="str">
        <f t="shared" si="5"/>
        <v>60002_1</v>
      </c>
      <c r="E13" s="4" t="str">
        <f ca="1">VLOOKUP($B13,OFFSET([2]quests!$A$1,0,0,COUNTA([2]quests!$A:$A),MATCH(E$1,[2]quests!$1:$1,0)-MATCH($B$1,[2]quests!$1:$1,0)+1),MATCH(E$1,[2]quests!$1:$1,0)-MATCH($B$1,[2]quests!$1:$1,0)+1,FALSE)</f>
        <v>ヘンペルチャレンジ</v>
      </c>
      <c r="F13" s="4" t="str">
        <f ca="1">VLOOKUP($D13,OFFSET([2]stages!$A$1,0,0,COUNTA([2]stages!$A:$A),MATCH(F$1,[2]stages!$2:$2,0)-MATCH($D$1,[2]stages!$2:$2,0)+1),MATCH(F$1,[2]stages!$2:$2,0)-MATCH($D$1,[2]stages!$2:$2,0)+1,FALSE)</f>
        <v>[超級] 第2回　※Wizと難易度は同じ</v>
      </c>
      <c r="G13" s="21">
        <v>1</v>
      </c>
      <c r="H13" s="15" t="str">
        <f t="shared" si="6"/>
        <v>60002_1-1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1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ジェリー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Drop1T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25</v>
      </c>
      <c r="S13" s="25">
        <v>1.2</v>
      </c>
      <c r="T13" s="25">
        <v>1.1000000000000001</v>
      </c>
      <c r="U13" s="5">
        <v>0</v>
      </c>
      <c r="V13" s="4" t="e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3" s="4">
        <v>0</v>
      </c>
      <c r="X13" s="6">
        <v>1</v>
      </c>
      <c r="Y13" s="6">
        <v>100</v>
      </c>
      <c r="Z13" s="6">
        <v>0</v>
      </c>
      <c r="AA13" s="17">
        <f ca="1">VLOOKUP($L13,OFFSET([3]enemies!$A$1,0,0,COUNTA([3]enemies!$A:$A),MATCH(AA$1,[3]enemies!$1:$1,0)-MATCH($L$1,[3]enemies!$1:$1,0)+1),MATCH(AA$1,[3]enemies!$1:$1,0)-MATCH($L$1,[3]enemies!$1:$1,0)+1,FALSE)</f>
        <v>1</v>
      </c>
      <c r="AB13" s="24">
        <f t="shared" si="7"/>
        <v>1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1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Drop1T</v>
      </c>
      <c r="AF13" s="7">
        <v>1</v>
      </c>
      <c r="AG13" s="24">
        <f t="shared" ca="1" si="8"/>
        <v>1</v>
      </c>
      <c r="AH13" s="8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>
      <c r="A14" s="16" t="str">
        <f t="shared" ca="1" si="0"/>
        <v>60002_1-1/3&lt;lv25&gt;s2</v>
      </c>
      <c r="B14" s="22">
        <v>60002</v>
      </c>
      <c r="C14" s="21">
        <v>1</v>
      </c>
      <c r="D14" s="2" t="str">
        <f t="shared" si="5"/>
        <v>60002_1</v>
      </c>
      <c r="E14" s="4" t="str">
        <f ca="1">VLOOKUP($B14,OFFSET([2]quests!$A$1,0,0,COUNTA([2]quests!$A:$A),MATCH(E$1,[2]quests!$1:$1,0)-MATCH($B$1,[2]quests!$1:$1,0)+1),MATCH(E$1,[2]quests!$1:$1,0)-MATCH($B$1,[2]quests!$1:$1,0)+1,FALSE)</f>
        <v>ヘンペルチャレンジ</v>
      </c>
      <c r="F14" s="4" t="str">
        <f ca="1">VLOOKUP($D14,OFFSET([2]stages!$A$1,0,0,COUNTA([2]stages!$A:$A),MATCH(F$1,[2]stages!$2:$2,0)-MATCH($D$1,[2]stages!$2:$2,0)+1),MATCH(F$1,[2]stages!$2:$2,0)-MATCH($D$1,[2]stages!$2:$2,0)+1,FALSE)</f>
        <v>[超級] 第2回　※Wizと難易度は同じ</v>
      </c>
      <c r="G14" s="21">
        <v>1</v>
      </c>
      <c r="H14" s="15" t="str">
        <f t="shared" si="6"/>
        <v>60002_1-1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3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エージェント ジョー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Drop1T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25</v>
      </c>
      <c r="S14" s="25">
        <v>1.2</v>
      </c>
      <c r="T14" s="25">
        <v>1.1000000000000001</v>
      </c>
      <c r="U14" s="5">
        <v>0</v>
      </c>
      <c r="V14" s="4" t="e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4" s="4">
        <v>0</v>
      </c>
      <c r="X14" s="6">
        <v>1</v>
      </c>
      <c r="Y14" s="6">
        <v>100</v>
      </c>
      <c r="Z14" s="6">
        <v>0</v>
      </c>
      <c r="AA14" s="17">
        <f ca="1">VLOOKUP($L14,OFFSET([3]enemies!$A$1,0,0,COUNTA([3]enemies!$A:$A),MATCH(AA$1,[3]enemies!$1:$1,0)-MATCH($L$1,[3]enemies!$1:$1,0)+1),MATCH(AA$1,[3]enemies!$1:$1,0)-MATCH($L$1,[3]enemies!$1:$1,0)+1,FALSE)</f>
        <v>2</v>
      </c>
      <c r="AB14" s="24">
        <f t="shared" si="7"/>
        <v>3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1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Drop1T</v>
      </c>
      <c r="AF14" s="7">
        <v>1</v>
      </c>
      <c r="AG14" s="24">
        <f t="shared" ca="1" si="8"/>
        <v>1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21" customHeight="1">
      <c r="A15" s="16" t="str">
        <f t="shared" ca="1" si="0"/>
        <v>60002_1-1/5&lt;lv25&gt;s3</v>
      </c>
      <c r="B15" s="22">
        <v>60002</v>
      </c>
      <c r="C15" s="21">
        <v>1</v>
      </c>
      <c r="D15" s="2" t="str">
        <f t="shared" si="5"/>
        <v>60002_1</v>
      </c>
      <c r="E15" s="4" t="str">
        <f ca="1">VLOOKUP($B15,OFFSET([2]quests!$A$1,0,0,COUNTA([2]quests!$A:$A),MATCH(E$1,[2]quests!$1:$1,0)-MATCH($B$1,[2]quests!$1:$1,0)+1),MATCH(E$1,[2]quests!$1:$1,0)-MATCH($B$1,[2]quests!$1:$1,0)+1,FALSE)</f>
        <v>ヘンペルチャレンジ</v>
      </c>
      <c r="F15" s="4" t="str">
        <f ca="1">VLOOKUP($D15,OFFSET([2]stages!$A$1,0,0,COUNTA([2]stages!$A:$A),MATCH(F$1,[2]stages!$2:$2,0)-MATCH($D$1,[2]stages!$2:$2,0)+1),MATCH(F$1,[2]stages!$2:$2,0)-MATCH($D$1,[2]stages!$2:$2,0)+1,FALSE)</f>
        <v>[超級] 第2回　※Wizと難易度は同じ</v>
      </c>
      <c r="G15" s="21">
        <v>1</v>
      </c>
      <c r="H15" s="15" t="str">
        <f t="shared" si="6"/>
        <v>60002_1-1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5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パトドッグ ポチ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Drop1T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25</v>
      </c>
      <c r="S15" s="25">
        <v>1.2</v>
      </c>
      <c r="T15" s="25">
        <v>1.1000000000000001</v>
      </c>
      <c r="U15" s="5">
        <v>0</v>
      </c>
      <c r="V15" s="4" t="e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5" s="4">
        <v>60001100</v>
      </c>
      <c r="X15" s="6">
        <v>1</v>
      </c>
      <c r="Y15" s="6">
        <v>100</v>
      </c>
      <c r="Z15" s="6">
        <v>1</v>
      </c>
      <c r="AA15" s="17">
        <f ca="1">VLOOKUP($L15,OFFSET([3]enemies!$A$1,0,0,COUNTA([3]enemies!$A:$A),MATCH(AA$1,[3]enemies!$1:$1,0)-MATCH($L$1,[3]enemies!$1:$1,0)+1),MATCH(AA$1,[3]enemies!$1:$1,0)-MATCH($L$1,[3]enemies!$1:$1,0)+1,FALSE)</f>
        <v>3</v>
      </c>
      <c r="AB15" s="24">
        <f t="shared" si="7"/>
        <v>5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1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Drop1T</v>
      </c>
      <c r="AF15" s="7">
        <v>1</v>
      </c>
      <c r="AG15" s="24">
        <f t="shared" ca="1" si="8"/>
        <v>1</v>
      </c>
      <c r="AH15" s="8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>
      <c r="A16" s="16" t="str">
        <f t="shared" ca="1" si="0"/>
        <v>60002_1-1/7&lt;lv25&gt;s2</v>
      </c>
      <c r="B16" s="22">
        <v>60002</v>
      </c>
      <c r="C16" s="21">
        <v>1</v>
      </c>
      <c r="D16" s="2" t="str">
        <f t="shared" si="5"/>
        <v>60002_1</v>
      </c>
      <c r="E16" s="4" t="str">
        <f ca="1">VLOOKUP($B16,OFFSET([2]quests!$A$1,0,0,COUNTA([2]quests!$A:$A),MATCH(E$1,[2]quests!$1:$1,0)-MATCH($B$1,[2]quests!$1:$1,0)+1),MATCH(E$1,[2]quests!$1:$1,0)-MATCH($B$1,[2]quests!$1:$1,0)+1,FALSE)</f>
        <v>ヘンペルチャレンジ</v>
      </c>
      <c r="F16" s="4" t="str">
        <f ca="1">VLOOKUP($D16,OFFSET([2]stages!$A$1,0,0,COUNTA([2]stages!$A:$A),MATCH(F$1,[2]stages!$2:$2,0)-MATCH($D$1,[2]stages!$2:$2,0)+1),MATCH(F$1,[2]stages!$2:$2,0)-MATCH($D$1,[2]stages!$2:$2,0)+1,FALSE)</f>
        <v>[超級] 第2回　※Wizと難易度は同じ</v>
      </c>
      <c r="G16" s="21">
        <v>1</v>
      </c>
      <c r="H16" s="15" t="str">
        <f t="shared" si="6"/>
        <v>60002_1-1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7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エレキポット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Drop1T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25</v>
      </c>
      <c r="S16" s="25">
        <v>1.2</v>
      </c>
      <c r="T16" s="25">
        <v>1.1000000000000001</v>
      </c>
      <c r="U16" s="5">
        <v>0</v>
      </c>
      <c r="V16" s="4" t="e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6" s="4">
        <v>0</v>
      </c>
      <c r="X16" s="6">
        <v>1</v>
      </c>
      <c r="Y16" s="6">
        <v>100</v>
      </c>
      <c r="Z16" s="6">
        <v>0</v>
      </c>
      <c r="AA16" s="17">
        <f ca="1">VLOOKUP($L16,OFFSET([3]enemies!$A$1,0,0,COUNTA([3]enemies!$A:$A),MATCH(AA$1,[3]enemies!$1:$1,0)-MATCH($L$1,[3]enemies!$1:$1,0)+1),MATCH(AA$1,[3]enemies!$1:$1,0)-MATCH($L$1,[3]enemies!$1:$1,0)+1,FALSE)</f>
        <v>2</v>
      </c>
      <c r="AB16" s="24">
        <f t="shared" si="7"/>
        <v>7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1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Drop1T</v>
      </c>
      <c r="AF16" s="7">
        <v>1</v>
      </c>
      <c r="AG16" s="24">
        <f t="shared" ca="1" si="8"/>
        <v>1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21" customHeight="1">
      <c r="A17" s="16" t="str">
        <f t="shared" si="0"/>
        <v>60002_1-2/54&lt;lv25&gt;s2</v>
      </c>
      <c r="B17" s="22">
        <v>60002</v>
      </c>
      <c r="C17" s="21">
        <v>1</v>
      </c>
      <c r="D17" s="2" t="str">
        <f t="shared" si="5"/>
        <v>60002_1</v>
      </c>
      <c r="E17" s="4" t="str">
        <f ca="1">VLOOKUP($B17,OFFSET([2]quests!$A$1,0,0,COUNTA([2]quests!$A:$A),MATCH(E$1,[2]quests!$1:$1,0)-MATCH($B$1,[2]quests!$1:$1,0)+1),MATCH(E$1,[2]quests!$1:$1,0)-MATCH($B$1,[2]quests!$1:$1,0)+1,FALSE)</f>
        <v>ヘンペルチャレンジ</v>
      </c>
      <c r="F17" s="4" t="str">
        <f ca="1">VLOOKUP($D17,OFFSET([2]stages!$A$1,0,0,COUNTA([2]stages!$A:$A),MATCH(F$1,[2]stages!$2:$2,0)-MATCH($D$1,[2]stages!$2:$2,0)+1),MATCH(F$1,[2]stages!$2:$2,0)-MATCH($D$1,[2]stages!$2:$2,0)+1,FALSE)</f>
        <v>[超級] 第2回　※Wizと難易度は同じ</v>
      </c>
      <c r="G17" s="21">
        <v>2</v>
      </c>
      <c r="H17" s="15" t="str">
        <f t="shared" si="6"/>
        <v>60002_1-2</v>
      </c>
      <c r="I17" s="4">
        <f ca="1">VLOOKUP($H17,OFFSET(floors!$A$1,0,0,COUNTA(floors!$A:$A),MATCH(I$1,floors!$1:$1,0)-MATCH($H$1,floors!$1:$1,0)+1),MATCH(I$1,floors!$1:$1,0)-MATCH($H$1,floors!$1:$1,0)+1,FALSE)</f>
        <v>50</v>
      </c>
      <c r="J17" s="4">
        <f ca="1">VLOOKUP($H17,OFFSET(floors!$A$1,0,0,COUNTA(floors!$A:$A),MATCH(J$1,floors!$1:$1,0)-MATCH($H$1,floors!$1:$1,0)+1),MATCH(J$1,floors!$1:$1,0)-MATCH($H$1,floors!$1:$1,0)+1,FALSE)</f>
        <v>50</v>
      </c>
      <c r="K17" s="38" t="s">
        <v>53</v>
      </c>
      <c r="L17" s="20">
        <v>54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蒼斬のレジスタンス ケンジ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7">
        <f ca="1">VLOOKUP($L17,OFFSET([3]enemies!$A$1,0,0,COUNTA([3]enemies!$A:$A),MATCH(Q$1,[3]enemies!$1:$1,0)-MATCH($L$1,[3]enemies!$1:$1,0)+1),MATCH(Q$1,[3]enemies!$1:$1,0)-MATCH($L$1,[3]enemies!$1:$1,0)+1,FALSE)</f>
        <v>20</v>
      </c>
      <c r="R17" s="5">
        <v>25</v>
      </c>
      <c r="S17" s="25">
        <v>1.3</v>
      </c>
      <c r="T17" s="25">
        <v>1.2</v>
      </c>
      <c r="U17" s="5">
        <v>0</v>
      </c>
      <c r="V17" s="4" t="e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7" s="4">
        <v>60001101</v>
      </c>
      <c r="X17" s="6">
        <v>1</v>
      </c>
      <c r="Y17" s="6">
        <v>100</v>
      </c>
      <c r="Z17" s="6">
        <v>0</v>
      </c>
      <c r="AA17" s="17">
        <v>2</v>
      </c>
      <c r="AB17" s="24">
        <f t="shared" si="7"/>
        <v>54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蒼斬のレジスタンス ケンジ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3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Drop1N</v>
      </c>
      <c r="AF17" s="7">
        <v>1</v>
      </c>
      <c r="AG17" s="24">
        <f t="shared" ca="1" si="8"/>
        <v>3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  <row r="18" spans="1:40" ht="21" customHeight="1">
      <c r="A18" s="16" t="str">
        <f t="shared" ca="1" si="0"/>
        <v>60002_1-2/73&lt;lv25&gt;s4</v>
      </c>
      <c r="B18" s="22">
        <v>60002</v>
      </c>
      <c r="C18" s="21">
        <v>1</v>
      </c>
      <c r="D18" s="2" t="str">
        <f t="shared" si="5"/>
        <v>60002_1</v>
      </c>
      <c r="E18" s="4" t="str">
        <f ca="1">VLOOKUP($B18,OFFSET([2]quests!$A$1,0,0,COUNTA([2]quests!$A:$A),MATCH(E$1,[2]quests!$1:$1,0)-MATCH($B$1,[2]quests!$1:$1,0)+1),MATCH(E$1,[2]quests!$1:$1,0)-MATCH($B$1,[2]quests!$1:$1,0)+1,FALSE)</f>
        <v>ヘンペルチャレンジ</v>
      </c>
      <c r="F18" s="4" t="str">
        <f ca="1">VLOOKUP($D18,OFFSET([2]stages!$A$1,0,0,COUNTA([2]stages!$A:$A),MATCH(F$1,[2]stages!$2:$2,0)-MATCH($D$1,[2]stages!$2:$2,0)+1),MATCH(F$1,[2]stages!$2:$2,0)-MATCH($D$1,[2]stages!$2:$2,0)+1,FALSE)</f>
        <v>[超級] 第2回　※Wizと難易度は同じ</v>
      </c>
      <c r="G18" s="21">
        <v>2</v>
      </c>
      <c r="H18" s="15" t="str">
        <f t="shared" si="6"/>
        <v>60002_1-2</v>
      </c>
      <c r="I18" s="4">
        <f ca="1">VLOOKUP($H18,OFFSET(floors!$A$1,0,0,COUNTA(floors!$A:$A),MATCH(I$1,floors!$1:$1,0)-MATCH($H$1,floors!$1:$1,0)+1),MATCH(I$1,floors!$1:$1,0)-MATCH($H$1,floors!$1:$1,0)+1,FALSE)</f>
        <v>50</v>
      </c>
      <c r="J18" s="4">
        <f ca="1">VLOOKUP($H18,OFFSET(floors!$A$1,0,0,COUNTA(floors!$A:$A),MATCH(J$1,floors!$1:$1,0)-MATCH($H$1,floors!$1:$1,0)+1),MATCH(J$1,floors!$1:$1,0)-MATCH($H$1,floors!$1:$1,0)+1,FALSE)</f>
        <v>50</v>
      </c>
      <c r="K18" s="38" t="s">
        <v>53</v>
      </c>
      <c r="L18" s="20">
        <v>73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自由の探求者 ダックス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5">
        <v>25</v>
      </c>
      <c r="S18" s="25">
        <v>1.3</v>
      </c>
      <c r="T18" s="25">
        <v>1</v>
      </c>
      <c r="U18" s="5">
        <v>0</v>
      </c>
      <c r="V18" s="4" t="e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8" s="4">
        <v>60001102</v>
      </c>
      <c r="X18" s="6">
        <v>1</v>
      </c>
      <c r="Y18" s="6">
        <v>100</v>
      </c>
      <c r="Z18" s="6">
        <v>0</v>
      </c>
      <c r="AA18" s="17">
        <f ca="1">VLOOKUP($L18,OFFSET([3]enemies!$A$1,0,0,COUNTA([3]enemies!$A:$A),MATCH(AA$1,[3]enemies!$1:$1,0)-MATCH($L$1,[3]enemies!$1:$1,0)+1),MATCH(AA$1,[3]enemies!$1:$1,0)-MATCH($L$1,[3]enemies!$1:$1,0)+1,FALSE)</f>
        <v>4</v>
      </c>
      <c r="AB18" s="24">
        <f t="shared" si="7"/>
        <v>73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自由の探求者 ダックス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4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Drop1S</v>
      </c>
      <c r="AF18" s="7">
        <v>1</v>
      </c>
      <c r="AG18" s="24">
        <f t="shared" ca="1" si="8"/>
        <v>4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9">
        <v>1</v>
      </c>
    </row>
    <row r="19" spans="1:40" ht="21" customHeight="1">
      <c r="A19" s="16" t="str">
        <f t="shared" ca="1" si="0"/>
        <v>60002_1-3/122&lt;lv1&gt;s3</v>
      </c>
      <c r="B19" s="22">
        <v>60002</v>
      </c>
      <c r="C19" s="21">
        <v>1</v>
      </c>
      <c r="D19" s="2" t="str">
        <f>B19&amp;"_"&amp;C19</f>
        <v>60002_1</v>
      </c>
      <c r="E19" s="4" t="str">
        <f ca="1">VLOOKUP($B19,OFFSET([2]quests!$A$1,0,0,COUNTA([2]quests!$A:$A),MATCH(E$1,[2]quests!$1:$1,0)-MATCH($B$1,[2]quests!$1:$1,0)+1),MATCH(E$1,[2]quests!$1:$1,0)-MATCH($B$1,[2]quests!$1:$1,0)+1,FALSE)</f>
        <v>ヘンペルチャレンジ</v>
      </c>
      <c r="F19" s="4" t="str">
        <f ca="1">VLOOKUP($D19,OFFSET([2]stages!$A$1,0,0,COUNTA([2]stages!$A:$A),MATCH(F$1,[2]stages!$2:$2,0)-MATCH($D$1,[2]stages!$2:$2,0)+1),MATCH(F$1,[2]stages!$2:$2,0)-MATCH($D$1,[2]stages!$2:$2,0)+1,FALSE)</f>
        <v>[超級] 第2回　※Wizと難易度は同じ</v>
      </c>
      <c r="G19" s="21">
        <v>3</v>
      </c>
      <c r="H19" s="15" t="str">
        <f>B19&amp;"_"&amp;C19&amp;"-"&amp;G19</f>
        <v>60002_1-3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 t="s">
        <v>53</v>
      </c>
      <c r="L19" s="20">
        <v>122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生命の果実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Material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7">
        <f ca="1">VLOOKUP($L19,OFFSET([3]enemies!$A$1,0,0,COUNTA([3]enemies!$A:$A),MATCH(Q$1,[3]enemies!$1:$1,0)-MATCH($L$1,[3]enemies!$1:$1,0)+1),MATCH(Q$1,[3]enemies!$1:$1,0)-MATCH($L$1,[3]enemies!$1:$1,0)+1,FALSE)</f>
        <v>20</v>
      </c>
      <c r="R19" s="5">
        <v>1</v>
      </c>
      <c r="S19" s="25">
        <v>0.1</v>
      </c>
      <c r="T19" s="25">
        <v>1</v>
      </c>
      <c r="U19" s="5">
        <v>1000000</v>
      </c>
      <c r="V19" s="4" t="e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9" s="4">
        <v>60001103</v>
      </c>
      <c r="X19" s="6">
        <v>1</v>
      </c>
      <c r="Y19" s="6">
        <v>100</v>
      </c>
      <c r="Z19" s="6">
        <v>0</v>
      </c>
      <c r="AA19" s="17">
        <f ca="1">VLOOKUP($L19,OFFSET([3]enemies!$A$1,0,0,COUNTA([3]enemies!$A:$A),MATCH(AA$1,[3]enemies!$1:$1,0)-MATCH($L$1,[3]enemies!$1:$1,0)+1),MATCH(AA$1,[3]enemies!$1:$1,0)-MATCH($L$1,[3]enemies!$1:$1,0)+1,FALSE)</f>
        <v>3</v>
      </c>
      <c r="AB19" s="24">
        <f>L19</f>
        <v>122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3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9" s="7">
        <v>1</v>
      </c>
      <c r="AG19" s="24">
        <f ca="1">AD19</f>
        <v>3</v>
      </c>
      <c r="AH19" s="8">
        <v>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9">
        <v>1</v>
      </c>
    </row>
    <row r="20" spans="1:40" ht="21" customHeight="1">
      <c r="A20" s="16" t="str">
        <f t="shared" si="0"/>
        <v>60002_1-4/581&lt;lv30&gt;s3</v>
      </c>
      <c r="B20" s="22">
        <v>60002</v>
      </c>
      <c r="C20" s="21">
        <v>1</v>
      </c>
      <c r="D20" s="2" t="str">
        <f>B20&amp;"_"&amp;C20</f>
        <v>60002_1</v>
      </c>
      <c r="E20" s="4" t="str">
        <f ca="1">VLOOKUP($B20,OFFSET([2]quests!$A$1,0,0,COUNTA([2]quests!$A:$A),MATCH(E$1,[2]quests!$1:$1,0)-MATCH($B$1,[2]quests!$1:$1,0)+1),MATCH(E$1,[2]quests!$1:$1,0)-MATCH($B$1,[2]quests!$1:$1,0)+1,FALSE)</f>
        <v>ヘンペルチャレンジ</v>
      </c>
      <c r="F20" s="4" t="str">
        <f ca="1">VLOOKUP($D20,OFFSET([2]stages!$A$1,0,0,COUNTA([2]stages!$A:$A),MATCH(F$1,[2]stages!$2:$2,0)-MATCH($D$1,[2]stages!$2:$2,0)+1),MATCH(F$1,[2]stages!$2:$2,0)-MATCH($D$1,[2]stages!$2:$2,0)+1,FALSE)</f>
        <v>[超級] 第2回　※Wizと難易度は同じ</v>
      </c>
      <c r="G20" s="21">
        <v>4</v>
      </c>
      <c r="H20" s="15" t="str">
        <f>B20&amp;"_"&amp;C20&amp;"-"&amp;G20</f>
        <v>60002_1-4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>
        <v>1</v>
      </c>
      <c r="L20" s="20">
        <v>581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フギンとムニン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DropWizS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machine</v>
      </c>
      <c r="Q20" s="17">
        <f ca="1">VLOOKUP($L20,OFFSET([3]enemies!$A$1,0,0,COUNTA([3]enemies!$A:$A),MATCH(Q$1,[3]enemies!$1:$1,0)-MATCH($L$1,[3]enemies!$1:$1,0)+1),MATCH(Q$1,[3]enemies!$1:$1,0)-MATCH($L$1,[3]enemies!$1:$1,0)+1,FALSE)</f>
        <v>30</v>
      </c>
      <c r="R20" s="5">
        <v>30</v>
      </c>
      <c r="S20" s="25">
        <v>1.4</v>
      </c>
      <c r="T20" s="25">
        <v>1</v>
      </c>
      <c r="U20" s="5">
        <v>0</v>
      </c>
      <c r="V20" s="4" t="e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0" s="4">
        <v>60001104</v>
      </c>
      <c r="X20" s="6">
        <v>1</v>
      </c>
      <c r="Y20" s="6">
        <v>100</v>
      </c>
      <c r="Z20" s="6">
        <v>1</v>
      </c>
      <c r="AA20" s="17">
        <v>3</v>
      </c>
      <c r="AB20" s="24">
        <f>L20</f>
        <v>581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フギンとムニン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4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20" s="7">
        <v>1</v>
      </c>
      <c r="AG20" s="24">
        <f ca="1">AD20</f>
        <v>4</v>
      </c>
      <c r="AH20" s="8">
        <v>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9">
        <v>1</v>
      </c>
    </row>
    <row r="21" spans="1:40" ht="21" customHeight="1">
      <c r="A21" s="16" t="str">
        <f t="shared" ca="1" si="0"/>
        <v>60002_1-5/403&lt;lv30&gt;s3</v>
      </c>
      <c r="B21" s="22">
        <v>60002</v>
      </c>
      <c r="C21" s="21">
        <v>1</v>
      </c>
      <c r="D21" s="2" t="str">
        <f>B21&amp;"_"&amp;C21</f>
        <v>60002_1</v>
      </c>
      <c r="E21" s="4" t="str">
        <f ca="1">VLOOKUP($B21,OFFSET([2]quests!$A$1,0,0,COUNTA([2]quests!$A:$A),MATCH(E$1,[2]quests!$1:$1,0)-MATCH($B$1,[2]quests!$1:$1,0)+1),MATCH(E$1,[2]quests!$1:$1,0)-MATCH($B$1,[2]quests!$1:$1,0)+1,FALSE)</f>
        <v>ヘンペルチャレンジ</v>
      </c>
      <c r="F21" s="4" t="str">
        <f ca="1">VLOOKUP($D21,OFFSET([2]stages!$A$1,0,0,COUNTA([2]stages!$A:$A),MATCH(F$1,[2]stages!$2:$2,0)-MATCH($D$1,[2]stages!$2:$2,0)+1),MATCH(F$1,[2]stages!$2:$2,0)-MATCH($D$1,[2]stages!$2:$2,0)+1,FALSE)</f>
        <v>[超級] 第2回　※Wizと難易度は同じ</v>
      </c>
      <c r="G21" s="21">
        <v>5</v>
      </c>
      <c r="H21" s="15" t="str">
        <f>B21&amp;"_"&amp;C21&amp;"-"&amp;G21</f>
        <v>60002_1-5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8" t="s">
        <v>53</v>
      </c>
      <c r="L21" s="20">
        <v>403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静撃の翠眼 八咫烏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PremiumSS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animal</v>
      </c>
      <c r="Q21" s="17">
        <f ca="1">VLOOKUP($L21,OFFSET([3]enemies!$A$1,0,0,COUNTA([3]enemies!$A:$A),MATCH(Q$1,[3]enemies!$1:$1,0)-MATCH($L$1,[3]enemies!$1:$1,0)+1),MATCH(Q$1,[3]enemies!$1:$1,0)-MATCH($L$1,[3]enemies!$1:$1,0)+1,FALSE)</f>
        <v>30</v>
      </c>
      <c r="R21" s="5">
        <v>30</v>
      </c>
      <c r="S21" s="25">
        <v>1</v>
      </c>
      <c r="T21" s="25">
        <v>1</v>
      </c>
      <c r="U21" s="5">
        <v>0</v>
      </c>
      <c r="V21" s="4" t="e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1" s="4">
        <v>60001106</v>
      </c>
      <c r="X21" s="6">
        <v>1</v>
      </c>
      <c r="Y21" s="6">
        <v>100</v>
      </c>
      <c r="Z21" s="6">
        <v>0</v>
      </c>
      <c r="AA21" s="17">
        <f ca="1">VLOOKUP($L21,OFFSET([3]enemies!$A$1,0,0,COUNTA([3]enemies!$A:$A),MATCH(AA$1,[3]enemies!$1:$1,0)-MATCH($L$1,[3]enemies!$1:$1,0)+1),MATCH(AA$1,[3]enemies!$1:$1,0)-MATCH($L$1,[3]enemies!$1:$1,0)+1,FALSE)</f>
        <v>3</v>
      </c>
      <c r="AB21" s="24">
        <f>L21</f>
        <v>403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静撃の翠眼 八咫烏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4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21" s="7">
        <v>1</v>
      </c>
      <c r="AG21" s="24">
        <f ca="1">AD21</f>
        <v>4</v>
      </c>
      <c r="AH21" s="8">
        <v>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9">
        <v>1</v>
      </c>
    </row>
    <row r="22" spans="1:40" ht="21" customHeight="1">
      <c r="A22" s="16" t="str">
        <f t="shared" ca="1" si="0"/>
        <v>60002_1-5/660&lt;lv30&gt;s2</v>
      </c>
      <c r="B22" s="22">
        <v>60002</v>
      </c>
      <c r="C22" s="21">
        <v>1</v>
      </c>
      <c r="D22" s="2" t="str">
        <f>B22&amp;"_"&amp;C22</f>
        <v>60002_1</v>
      </c>
      <c r="E22" s="4" t="str">
        <f ca="1">VLOOKUP($B22,OFFSET([2]quests!$A$1,0,0,COUNTA([2]quests!$A:$A),MATCH(E$1,[2]quests!$1:$1,0)-MATCH($B$1,[2]quests!$1:$1,0)+1),MATCH(E$1,[2]quests!$1:$1,0)-MATCH($B$1,[2]quests!$1:$1,0)+1,FALSE)</f>
        <v>ヘンペルチャレンジ</v>
      </c>
      <c r="F22" s="4" t="str">
        <f ca="1">VLOOKUP($D22,OFFSET([2]stages!$A$1,0,0,COUNTA([2]stages!$A:$A),MATCH(F$1,[2]stages!$2:$2,0)-MATCH($D$1,[2]stages!$2:$2,0)+1),MATCH(F$1,[2]stages!$2:$2,0)-MATCH($D$1,[2]stages!$2:$2,0)+1,FALSE)</f>
        <v>[超級] 第2回　※Wizと難易度は同じ</v>
      </c>
      <c r="G22" s="21">
        <v>5</v>
      </c>
      <c r="H22" s="15" t="str">
        <f>B22&amp;"_"&amp;C22&amp;"-"&amp;G22</f>
        <v>60002_1-5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 t="s">
        <v>53</v>
      </c>
      <c r="L22" s="20">
        <v>660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烏天狗 フウガ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green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PremiumSS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animal</v>
      </c>
      <c r="Q22" s="17">
        <f ca="1">VLOOKUP($L22,OFFSET([3]enemies!$A$1,0,0,COUNTA([3]enemies!$A:$A),MATCH(Q$1,[3]enemies!$1:$1,0)-MATCH($L$1,[3]enemies!$1:$1,0)+1),MATCH(Q$1,[3]enemies!$1:$1,0)-MATCH($L$1,[3]enemies!$1:$1,0)+1,FALSE)</f>
        <v>30</v>
      </c>
      <c r="R22" s="5">
        <v>30</v>
      </c>
      <c r="S22" s="25">
        <v>0.8</v>
      </c>
      <c r="T22" s="25">
        <v>1</v>
      </c>
      <c r="U22" s="5">
        <v>0</v>
      </c>
      <c r="V22" s="4" t="e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2" s="4">
        <v>60001107</v>
      </c>
      <c r="X22" s="6">
        <v>1</v>
      </c>
      <c r="Y22" s="6">
        <v>100</v>
      </c>
      <c r="Z22" s="6">
        <v>0</v>
      </c>
      <c r="AA22" s="17">
        <f ca="1">VLOOKUP($L22,OFFSET([3]enemies!$A$1,0,0,COUNTA([3]enemies!$A:$A),MATCH(AA$1,[3]enemies!$1:$1,0)-MATCH($L$1,[3]enemies!$1:$1,0)+1),MATCH(AA$1,[3]enemies!$1:$1,0)-MATCH($L$1,[3]enemies!$1:$1,0)+1,FALSE)</f>
        <v>2</v>
      </c>
      <c r="AB22" s="24">
        <f>L22</f>
        <v>660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烏天狗 フウガ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4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22" s="7">
        <v>1</v>
      </c>
      <c r="AG22" s="24">
        <f ca="1">AD22</f>
        <v>4</v>
      </c>
      <c r="AH22" s="8">
        <v>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9">
        <v>1</v>
      </c>
    </row>
    <row r="23" spans="1:40" ht="21" customHeight="1">
      <c r="A23" s="16" t="str">
        <f t="shared" si="0"/>
        <v>60002_1-6/488&lt;lv40&gt;s3</v>
      </c>
      <c r="B23" s="22">
        <v>60002</v>
      </c>
      <c r="C23" s="21">
        <v>1</v>
      </c>
      <c r="D23" s="2" t="str">
        <f t="shared" ref="D23:D29" si="9">B23&amp;"_"&amp;C23</f>
        <v>60002_1</v>
      </c>
      <c r="E23" s="4" t="str">
        <f ca="1">VLOOKUP($B23,OFFSET([2]quests!$A$1,0,0,COUNTA([2]quests!$A:$A),MATCH(E$1,[2]quests!$1:$1,0)-MATCH($B$1,[2]quests!$1:$1,0)+1),MATCH(E$1,[2]quests!$1:$1,0)-MATCH($B$1,[2]quests!$1:$1,0)+1,FALSE)</f>
        <v>ヘンペルチャレンジ</v>
      </c>
      <c r="F23" s="4" t="str">
        <f ca="1">VLOOKUP($D23,OFFSET([2]stages!$A$1,0,0,COUNTA([2]stages!$A:$A),MATCH(F$1,[2]stages!$2:$2,0)-MATCH($D$1,[2]stages!$2:$2,0)+1),MATCH(F$1,[2]stages!$2:$2,0)-MATCH($D$1,[2]stages!$2:$2,0)+1,FALSE)</f>
        <v>[超級] 第2回　※Wizと難易度は同じ</v>
      </c>
      <c r="G23" s="21">
        <v>6</v>
      </c>
      <c r="H23" s="15" t="str">
        <f t="shared" ref="H23:H29" si="10">B23&amp;"_"&amp;C23&amp;"-"&amp;G23</f>
        <v>60002_1-6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8">
        <v>1</v>
      </c>
      <c r="L23" s="20">
        <v>488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直観の異論 ヘンペル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blue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PremiumSSS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human</v>
      </c>
      <c r="Q23" s="17">
        <f ca="1">VLOOKUP($L23,OFFSET([3]enemies!$A$1,0,0,COUNTA([3]enemies!$A:$A),MATCH(Q$1,[3]enemies!$1:$1,0)-MATCH($L$1,[3]enemies!$1:$1,0)+1),MATCH(Q$1,[3]enemies!$1:$1,0)-MATCH($L$1,[3]enemies!$1:$1,0)+1,FALSE)</f>
        <v>60</v>
      </c>
      <c r="R23" s="5">
        <v>40</v>
      </c>
      <c r="S23" s="25">
        <v>0.9</v>
      </c>
      <c r="T23" s="25">
        <v>1</v>
      </c>
      <c r="U23" s="5">
        <v>0</v>
      </c>
      <c r="V23" s="4" t="e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3" s="4">
        <v>60001108</v>
      </c>
      <c r="X23" s="6">
        <v>0</v>
      </c>
      <c r="Y23" s="6">
        <v>100</v>
      </c>
      <c r="Z23" s="6">
        <v>1</v>
      </c>
      <c r="AA23" s="17">
        <v>3</v>
      </c>
      <c r="AB23" s="24">
        <f t="shared" ref="AB23:AB29" si="11">L23</f>
        <v>488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直観の異論 ヘンペル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5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23" s="7">
        <v>1</v>
      </c>
      <c r="AG23" s="24">
        <f t="shared" ref="AG23:AG29" ca="1" si="12">AD23</f>
        <v>5</v>
      </c>
      <c r="AH23" s="8">
        <v>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69">
        <v>1</v>
      </c>
    </row>
    <row r="24" spans="1:40" ht="21" customHeight="1">
      <c r="A24" s="16" t="str">
        <f t="shared" ca="1" si="0"/>
        <v>60002_2-1/1&lt;lv50&gt;s1</v>
      </c>
      <c r="B24" s="22">
        <v>60002</v>
      </c>
      <c r="C24" s="21">
        <v>2</v>
      </c>
      <c r="D24" s="2" t="str">
        <f t="shared" si="9"/>
        <v>60002_2</v>
      </c>
      <c r="E24" s="4" t="str">
        <f ca="1">VLOOKUP($B24,OFFSET([2]quests!$A$1,0,0,COUNTA([2]quests!$A:$A),MATCH(E$1,[2]quests!$1:$1,0)-MATCH($B$1,[2]quests!$1:$1,0)+1),MATCH(E$1,[2]quests!$1:$1,0)-MATCH($B$1,[2]quests!$1:$1,0)+1,FALSE)</f>
        <v>ヘンペルチャレンジ</v>
      </c>
      <c r="F24" s="4" t="str">
        <f ca="1">VLOOKUP($D24,OFFSET([2]stages!$A$1,0,0,COUNTA([2]stages!$A:$A),MATCH(F$1,[2]stages!$2:$2,0)-MATCH($D$1,[2]stages!$2:$2,0)+1),MATCH(F$1,[2]stages!$2:$2,0)-MATCH($D$1,[2]stages!$2:$2,0)+1,FALSE)</f>
        <v>[ウィザード] 第2回　※Wizと難易度は同じ</v>
      </c>
      <c r="G24" s="21">
        <v>1</v>
      </c>
      <c r="H24" s="15" t="str">
        <f t="shared" si="10"/>
        <v>60002_2-1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8" t="s">
        <v>53</v>
      </c>
      <c r="L24" s="20">
        <v>1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ジェリー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red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Drop1T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17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50</v>
      </c>
      <c r="S24" s="25">
        <v>1.2</v>
      </c>
      <c r="T24" s="25">
        <v>1.1000000000000001</v>
      </c>
      <c r="U24" s="5">
        <v>0</v>
      </c>
      <c r="V24" s="4" t="e">
        <f ca="1">VLOOKUP($W24,OFFSET([5]enemy_skill_sets!$B$1,0,0,COUNTA([5]enemy_skill_sets!$B:$B),MATCH(M$1,[5]enemy_skill_sets!$1:$1,0)-MATCH($W$1,[5]enemy_skill_sets!$1:$1,0)+2),MATCH(M$1,[5]enemy_skill_sets!$1:$1,0)-MATCH($W$1,[5]enemy_skill_sets!$1:$1,0)+2,FALSE)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4" s="4">
        <v>0</v>
      </c>
      <c r="X24" s="6">
        <v>1</v>
      </c>
      <c r="Y24" s="6">
        <v>100</v>
      </c>
      <c r="Z24" s="6">
        <v>0</v>
      </c>
      <c r="AA24" s="17">
        <f ca="1">VLOOKUP($L24,OFFSET([3]enemies!$A$1,0,0,COUNTA([3]enemies!$A:$A),MATCH(AA$1,[3]enemies!$1:$1,0)-MATCH($L$1,[3]enemies!$1:$1,0)+1),MATCH(AA$1,[3]enemies!$1:$1,0)-MATCH($L$1,[3]enemies!$1:$1,0)+1,FALSE)</f>
        <v>1</v>
      </c>
      <c r="AB24" s="24">
        <f t="shared" si="11"/>
        <v>1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1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Drop1T</v>
      </c>
      <c r="AF24" s="7">
        <v>1</v>
      </c>
      <c r="AG24" s="24">
        <f t="shared" ca="1" si="12"/>
        <v>1</v>
      </c>
      <c r="AH24" s="8">
        <v>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69">
        <v>1</v>
      </c>
    </row>
    <row r="25" spans="1:40" ht="21" customHeight="1">
      <c r="A25" s="16" t="str">
        <f t="shared" ca="1" si="0"/>
        <v>60002_2-1/3&lt;lv50&gt;s2</v>
      </c>
      <c r="B25" s="22">
        <v>60002</v>
      </c>
      <c r="C25" s="21">
        <v>2</v>
      </c>
      <c r="D25" s="2" t="str">
        <f t="shared" si="9"/>
        <v>60002_2</v>
      </c>
      <c r="E25" s="4" t="str">
        <f ca="1">VLOOKUP($B25,OFFSET([2]quests!$A$1,0,0,COUNTA([2]quests!$A:$A),MATCH(E$1,[2]quests!$1:$1,0)-MATCH($B$1,[2]quests!$1:$1,0)+1),MATCH(E$1,[2]quests!$1:$1,0)-MATCH($B$1,[2]quests!$1:$1,0)+1,FALSE)</f>
        <v>ヘンペルチャレンジ</v>
      </c>
      <c r="F25" s="4" t="str">
        <f ca="1">VLOOKUP($D25,OFFSET([2]stages!$A$1,0,0,COUNTA([2]stages!$A:$A),MATCH(F$1,[2]stages!$2:$2,0)-MATCH($D$1,[2]stages!$2:$2,0)+1),MATCH(F$1,[2]stages!$2:$2,0)-MATCH($D$1,[2]stages!$2:$2,0)+1,FALSE)</f>
        <v>[ウィザード] 第2回　※Wizと難易度は同じ</v>
      </c>
      <c r="G25" s="21">
        <v>1</v>
      </c>
      <c r="H25" s="15" t="str">
        <f t="shared" si="10"/>
        <v>60002_2-1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8" t="s">
        <v>53</v>
      </c>
      <c r="L25" s="20">
        <v>3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エージェント ジョー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green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Drop1T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17">
        <f ca="1">VLOOKUP($L25,OFFSET([3]enemies!$A$1,0,0,COUNTA([3]enemies!$A:$A),MATCH(Q$1,[3]enemies!$1:$1,0)-MATCH($L$1,[3]enemies!$1:$1,0)+1),MATCH(Q$1,[3]enemies!$1:$1,0)-MATCH($L$1,[3]enemies!$1:$1,0)+1,FALSE)</f>
        <v>15</v>
      </c>
      <c r="R25" s="5">
        <v>50</v>
      </c>
      <c r="S25" s="25">
        <v>1.2</v>
      </c>
      <c r="T25" s="25">
        <v>1.1000000000000001</v>
      </c>
      <c r="U25" s="5">
        <v>0</v>
      </c>
      <c r="V25" s="4" t="e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5" s="4">
        <v>0</v>
      </c>
      <c r="X25" s="6">
        <v>1</v>
      </c>
      <c r="Y25" s="6">
        <v>100</v>
      </c>
      <c r="Z25" s="6">
        <v>0</v>
      </c>
      <c r="AA25" s="17">
        <f ca="1">VLOOKUP($L25,OFFSET([3]enemies!$A$1,0,0,COUNTA([3]enemies!$A:$A),MATCH(AA$1,[3]enemies!$1:$1,0)-MATCH($L$1,[3]enemies!$1:$1,0)+1),MATCH(AA$1,[3]enemies!$1:$1,0)-MATCH($L$1,[3]enemies!$1:$1,0)+1,FALSE)</f>
        <v>2</v>
      </c>
      <c r="AB25" s="24">
        <f t="shared" si="11"/>
        <v>3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1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Drop1T</v>
      </c>
      <c r="AF25" s="7">
        <v>1</v>
      </c>
      <c r="AG25" s="24">
        <f t="shared" ca="1" si="12"/>
        <v>1</v>
      </c>
      <c r="AH25" s="8">
        <v>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69">
        <v>1</v>
      </c>
    </row>
    <row r="26" spans="1:40" ht="21" customHeight="1">
      <c r="A26" s="16" t="str">
        <f t="shared" ca="1" si="0"/>
        <v>60002_2-1/5&lt;lv50&gt;s3</v>
      </c>
      <c r="B26" s="22">
        <v>60002</v>
      </c>
      <c r="C26" s="21">
        <v>2</v>
      </c>
      <c r="D26" s="2" t="str">
        <f t="shared" si="9"/>
        <v>60002_2</v>
      </c>
      <c r="E26" s="4" t="str">
        <f ca="1">VLOOKUP($B26,OFFSET([2]quests!$A$1,0,0,COUNTA([2]quests!$A:$A),MATCH(E$1,[2]quests!$1:$1,0)-MATCH($B$1,[2]quests!$1:$1,0)+1),MATCH(E$1,[2]quests!$1:$1,0)-MATCH($B$1,[2]quests!$1:$1,0)+1,FALSE)</f>
        <v>ヘンペルチャレンジ</v>
      </c>
      <c r="F26" s="4" t="str">
        <f ca="1">VLOOKUP($D26,OFFSET([2]stages!$A$1,0,0,COUNTA([2]stages!$A:$A),MATCH(F$1,[2]stages!$2:$2,0)-MATCH($D$1,[2]stages!$2:$2,0)+1),MATCH(F$1,[2]stages!$2:$2,0)-MATCH($D$1,[2]stages!$2:$2,0)+1,FALSE)</f>
        <v>[ウィザード] 第2回　※Wizと難易度は同じ</v>
      </c>
      <c r="G26" s="21">
        <v>1</v>
      </c>
      <c r="H26" s="15" t="str">
        <f t="shared" si="10"/>
        <v>60002_2-1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38" t="s">
        <v>53</v>
      </c>
      <c r="L26" s="20">
        <v>5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パトドッグ ポチ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blue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Drop1T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unknown</v>
      </c>
      <c r="Q26" s="17">
        <f ca="1">VLOOKUP($L26,OFFSET([3]enemies!$A$1,0,0,COUNTA([3]enemies!$A:$A),MATCH(Q$1,[3]enemies!$1:$1,0)-MATCH($L$1,[3]enemies!$1:$1,0)+1),MATCH(Q$1,[3]enemies!$1:$1,0)-MATCH($L$1,[3]enemies!$1:$1,0)+1,FALSE)</f>
        <v>15</v>
      </c>
      <c r="R26" s="5">
        <v>50</v>
      </c>
      <c r="S26" s="25">
        <v>1.2</v>
      </c>
      <c r="T26" s="25">
        <v>1.1000000000000001</v>
      </c>
      <c r="U26" s="5">
        <v>0</v>
      </c>
      <c r="V26" s="4" t="e">
        <f ca="1">VLOOKUP($W26,OFFSET([5]enemy_skill_sets!$B$1,0,0,COUNTA([5]enemy_skill_sets!$B:$B),MATCH(M$1,[5]enemy_skill_sets!$1:$1,0)-MATCH($W$1,[5]enemy_skill_sets!$1:$1,0)+2),MATCH(M$1,[5]enemy_skill_sets!$1:$1,0)-MATCH($W$1,[5]enemy_skill_sets!$1:$1,0)+2,FALSE)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6" s="4">
        <v>60001100</v>
      </c>
      <c r="X26" s="6">
        <v>1</v>
      </c>
      <c r="Y26" s="6">
        <v>100</v>
      </c>
      <c r="Z26" s="6">
        <v>1</v>
      </c>
      <c r="AA26" s="17">
        <f ca="1">VLOOKUP($L26,OFFSET([3]enemies!$A$1,0,0,COUNTA([3]enemies!$A:$A),MATCH(AA$1,[3]enemies!$1:$1,0)-MATCH($L$1,[3]enemies!$1:$1,0)+1),MATCH(AA$1,[3]enemies!$1:$1,0)-MATCH($L$1,[3]enemies!$1:$1,0)+1,FALSE)</f>
        <v>3</v>
      </c>
      <c r="AB26" s="24">
        <f t="shared" si="11"/>
        <v>5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1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Drop1T</v>
      </c>
      <c r="AF26" s="7">
        <v>1</v>
      </c>
      <c r="AG26" s="24">
        <f t="shared" ca="1" si="12"/>
        <v>1</v>
      </c>
      <c r="AH26" s="8">
        <v>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  <c r="AN26" s="69">
        <v>1</v>
      </c>
    </row>
    <row r="27" spans="1:40" ht="21" customHeight="1">
      <c r="A27" s="16" t="str">
        <f t="shared" ca="1" si="0"/>
        <v>60002_2-1/7&lt;lv50&gt;s2</v>
      </c>
      <c r="B27" s="22">
        <v>60002</v>
      </c>
      <c r="C27" s="21">
        <v>2</v>
      </c>
      <c r="D27" s="2" t="str">
        <f t="shared" si="9"/>
        <v>60002_2</v>
      </c>
      <c r="E27" s="4" t="str">
        <f ca="1">VLOOKUP($B27,OFFSET([2]quests!$A$1,0,0,COUNTA([2]quests!$A:$A),MATCH(E$1,[2]quests!$1:$1,0)-MATCH($B$1,[2]quests!$1:$1,0)+1),MATCH(E$1,[2]quests!$1:$1,0)-MATCH($B$1,[2]quests!$1:$1,0)+1,FALSE)</f>
        <v>ヘンペルチャレンジ</v>
      </c>
      <c r="F27" s="4" t="str">
        <f ca="1">VLOOKUP($D27,OFFSET([2]stages!$A$1,0,0,COUNTA([2]stages!$A:$A),MATCH(F$1,[2]stages!$2:$2,0)-MATCH($D$1,[2]stages!$2:$2,0)+1),MATCH(F$1,[2]stages!$2:$2,0)-MATCH($D$1,[2]stages!$2:$2,0)+1,FALSE)</f>
        <v>[ウィザード] 第2回　※Wizと難易度は同じ</v>
      </c>
      <c r="G27" s="21">
        <v>1</v>
      </c>
      <c r="H27" s="15" t="str">
        <f t="shared" si="10"/>
        <v>60002_2-1</v>
      </c>
      <c r="I27" s="4">
        <f ca="1">VLOOKUP($H27,OFFSET(floors!$A$1,0,0,COUNTA(floors!$A:$A),MATCH(I$1,floors!$1:$1,0)-MATCH($H$1,floors!$1:$1,0)+1),MATCH(I$1,floors!$1:$1,0)-MATCH($H$1,floors!$1:$1,0)+1,FALSE)</f>
        <v>60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38" t="s">
        <v>53</v>
      </c>
      <c r="L27" s="20">
        <v>7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エレキポット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yellow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Drop1T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unknown</v>
      </c>
      <c r="Q27" s="17">
        <f ca="1">VLOOKUP($L27,OFFSET([3]enemies!$A$1,0,0,COUNTA([3]enemies!$A:$A),MATCH(Q$1,[3]enemies!$1:$1,0)-MATCH($L$1,[3]enemies!$1:$1,0)+1),MATCH(Q$1,[3]enemies!$1:$1,0)-MATCH($L$1,[3]enemies!$1:$1,0)+1,FALSE)</f>
        <v>15</v>
      </c>
      <c r="R27" s="5">
        <v>50</v>
      </c>
      <c r="S27" s="25">
        <v>1.2</v>
      </c>
      <c r="T27" s="25">
        <v>1.1000000000000001</v>
      </c>
      <c r="U27" s="5">
        <v>0</v>
      </c>
      <c r="V27" s="4" t="e">
        <f ca="1">VLOOKUP($W27,OFFSET([5]enemy_skill_sets!$B$1,0,0,COUNTA([5]enemy_skill_sets!$B:$B),MATCH(M$1,[5]enemy_skill_sets!$1:$1,0)-MATCH($W$1,[5]enemy_skill_sets!$1:$1,0)+2),MATCH(M$1,[5]enemy_skill_sets!$1:$1,0)-MATCH($W$1,[5]enemy_skill_sets!$1:$1,0)+2,FALSE)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7" s="4">
        <v>0</v>
      </c>
      <c r="X27" s="6">
        <v>1</v>
      </c>
      <c r="Y27" s="6">
        <v>100</v>
      </c>
      <c r="Z27" s="6">
        <v>0</v>
      </c>
      <c r="AA27" s="17">
        <f ca="1">VLOOKUP($L27,OFFSET([3]enemies!$A$1,0,0,COUNTA([3]enemies!$A:$A),MATCH(AA$1,[3]enemies!$1:$1,0)-MATCH($L$1,[3]enemies!$1:$1,0)+1),MATCH(AA$1,[3]enemies!$1:$1,0)-MATCH($L$1,[3]enemies!$1:$1,0)+1,FALSE)</f>
        <v>2</v>
      </c>
      <c r="AB27" s="24">
        <f t="shared" si="11"/>
        <v>7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1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Drop1T</v>
      </c>
      <c r="AF27" s="7">
        <v>1</v>
      </c>
      <c r="AG27" s="24">
        <f t="shared" ca="1" si="12"/>
        <v>1</v>
      </c>
      <c r="AH27" s="8">
        <v>0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  <c r="AN27" s="69">
        <v>1</v>
      </c>
    </row>
    <row r="28" spans="1:40" ht="21" customHeight="1">
      <c r="A28" s="16" t="str">
        <f t="shared" si="0"/>
        <v>60002_2-2/54&lt;lv50&gt;s2</v>
      </c>
      <c r="B28" s="22">
        <v>60002</v>
      </c>
      <c r="C28" s="21">
        <v>2</v>
      </c>
      <c r="D28" s="2" t="str">
        <f t="shared" si="9"/>
        <v>60002_2</v>
      </c>
      <c r="E28" s="4" t="str">
        <f ca="1">VLOOKUP($B28,OFFSET([2]quests!$A$1,0,0,COUNTA([2]quests!$A:$A),MATCH(E$1,[2]quests!$1:$1,0)-MATCH($B$1,[2]quests!$1:$1,0)+1),MATCH(E$1,[2]quests!$1:$1,0)-MATCH($B$1,[2]quests!$1:$1,0)+1,FALSE)</f>
        <v>ヘンペルチャレンジ</v>
      </c>
      <c r="F28" s="4" t="str">
        <f ca="1">VLOOKUP($D28,OFFSET([2]stages!$A$1,0,0,COUNTA([2]stages!$A:$A),MATCH(F$1,[2]stages!$2:$2,0)-MATCH($D$1,[2]stages!$2:$2,0)+1),MATCH(F$1,[2]stages!$2:$2,0)-MATCH($D$1,[2]stages!$2:$2,0)+1,FALSE)</f>
        <v>[ウィザード] 第2回　※Wizと難易度は同じ</v>
      </c>
      <c r="G28" s="21">
        <v>2</v>
      </c>
      <c r="H28" s="15" t="str">
        <f t="shared" si="10"/>
        <v>60002_2-2</v>
      </c>
      <c r="I28" s="4">
        <f ca="1">VLOOKUP($H28,OFFSET(floors!$A$1,0,0,COUNTA(floors!$A:$A),MATCH(I$1,floors!$1:$1,0)-MATCH($H$1,floors!$1:$1,0)+1),MATCH(I$1,floors!$1:$1,0)-MATCH($H$1,floors!$1:$1,0)+1,FALSE)</f>
        <v>50</v>
      </c>
      <c r="J28" s="4">
        <f ca="1">VLOOKUP($H28,OFFSET(floors!$A$1,0,0,COUNTA(floors!$A:$A),MATCH(J$1,floors!$1:$1,0)-MATCH($H$1,floors!$1:$1,0)+1),MATCH(J$1,floors!$1:$1,0)-MATCH($H$1,floors!$1:$1,0)+1,FALSE)</f>
        <v>50</v>
      </c>
      <c r="K28" s="38" t="s">
        <v>53</v>
      </c>
      <c r="L28" s="20">
        <v>54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蒼斬のレジスタンス ケンジ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blue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Drop1N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human</v>
      </c>
      <c r="Q28" s="17">
        <f ca="1">VLOOKUP($L28,OFFSET([3]enemies!$A$1,0,0,COUNTA([3]enemies!$A:$A),MATCH(Q$1,[3]enemies!$1:$1,0)-MATCH($L$1,[3]enemies!$1:$1,0)+1),MATCH(Q$1,[3]enemies!$1:$1,0)-MATCH($L$1,[3]enemies!$1:$1,0)+1,FALSE)</f>
        <v>20</v>
      </c>
      <c r="R28" s="5">
        <v>50</v>
      </c>
      <c r="S28" s="25">
        <v>1.3</v>
      </c>
      <c r="T28" s="25">
        <v>1.2</v>
      </c>
      <c r="U28" s="5">
        <v>0</v>
      </c>
      <c r="V28" s="4" t="e">
        <f ca="1">VLOOKUP($W28,OFFSET([5]enemy_skill_sets!$B$1,0,0,COUNTA([5]enemy_skill_sets!$B:$B),MATCH(M$1,[5]enemy_skill_sets!$1:$1,0)-MATCH($W$1,[5]enemy_skill_sets!$1:$1,0)+2),MATCH(M$1,[5]enemy_skill_sets!$1:$1,0)-MATCH($W$1,[5]enemy_skill_sets!$1:$1,0)+2,FALSE)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8" s="4">
        <v>60001101</v>
      </c>
      <c r="X28" s="6">
        <v>1</v>
      </c>
      <c r="Y28" s="6">
        <v>100</v>
      </c>
      <c r="Z28" s="6">
        <v>0</v>
      </c>
      <c r="AA28" s="17">
        <v>2</v>
      </c>
      <c r="AB28" s="24">
        <f t="shared" si="11"/>
        <v>54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蒼斬のレジスタンス ケンジ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3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Drop1N</v>
      </c>
      <c r="AF28" s="7">
        <v>1</v>
      </c>
      <c r="AG28" s="24">
        <f t="shared" ca="1" si="12"/>
        <v>3</v>
      </c>
      <c r="AH28" s="8">
        <v>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  <c r="AN28" s="69">
        <v>1</v>
      </c>
    </row>
    <row r="29" spans="1:40" ht="21" customHeight="1">
      <c r="A29" s="16" t="str">
        <f t="shared" ca="1" si="0"/>
        <v>60002_2-2/73&lt;lv50&gt;s4</v>
      </c>
      <c r="B29" s="22">
        <v>60002</v>
      </c>
      <c r="C29" s="21">
        <v>2</v>
      </c>
      <c r="D29" s="2" t="str">
        <f t="shared" si="9"/>
        <v>60002_2</v>
      </c>
      <c r="E29" s="4" t="str">
        <f ca="1">VLOOKUP($B29,OFFSET([2]quests!$A$1,0,0,COUNTA([2]quests!$A:$A),MATCH(E$1,[2]quests!$1:$1,0)-MATCH($B$1,[2]quests!$1:$1,0)+1),MATCH(E$1,[2]quests!$1:$1,0)-MATCH($B$1,[2]quests!$1:$1,0)+1,FALSE)</f>
        <v>ヘンペルチャレンジ</v>
      </c>
      <c r="F29" s="4" t="str">
        <f ca="1">VLOOKUP($D29,OFFSET([2]stages!$A$1,0,0,COUNTA([2]stages!$A:$A),MATCH(F$1,[2]stages!$2:$2,0)-MATCH($D$1,[2]stages!$2:$2,0)+1),MATCH(F$1,[2]stages!$2:$2,0)-MATCH($D$1,[2]stages!$2:$2,0)+1,FALSE)</f>
        <v>[ウィザード] 第2回　※Wizと難易度は同じ</v>
      </c>
      <c r="G29" s="21">
        <v>2</v>
      </c>
      <c r="H29" s="15" t="str">
        <f t="shared" si="10"/>
        <v>60002_2-2</v>
      </c>
      <c r="I29" s="4">
        <f ca="1">VLOOKUP($H29,OFFSET(floors!$A$1,0,0,COUNTA(floors!$A:$A),MATCH(I$1,floors!$1:$1,0)-MATCH($H$1,floors!$1:$1,0)+1),MATCH(I$1,floors!$1:$1,0)-MATCH($H$1,floors!$1:$1,0)+1,FALSE)</f>
        <v>50</v>
      </c>
      <c r="J29" s="4">
        <f ca="1">VLOOKUP($H29,OFFSET(floors!$A$1,0,0,COUNTA(floors!$A:$A),MATCH(J$1,floors!$1:$1,0)-MATCH($H$1,floors!$1:$1,0)+1),MATCH(J$1,floors!$1:$1,0)-MATCH($H$1,floors!$1:$1,0)+1,FALSE)</f>
        <v>50</v>
      </c>
      <c r="K29" s="38" t="s">
        <v>53</v>
      </c>
      <c r="L29" s="20">
        <v>73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自由の探求者 ダックス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blue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Drop1S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animal</v>
      </c>
      <c r="Q29" s="17">
        <f ca="1">VLOOKUP($L29,OFFSET([3]enemies!$A$1,0,0,COUNTA([3]enemies!$A:$A),MATCH(Q$1,[3]enemies!$1:$1,0)-MATCH($L$1,[3]enemies!$1:$1,0)+1),MATCH(Q$1,[3]enemies!$1:$1,0)-MATCH($L$1,[3]enemies!$1:$1,0)+1,FALSE)</f>
        <v>30</v>
      </c>
      <c r="R29" s="5">
        <v>50</v>
      </c>
      <c r="S29" s="25">
        <v>1.3</v>
      </c>
      <c r="T29" s="25">
        <v>1</v>
      </c>
      <c r="U29" s="5">
        <v>0</v>
      </c>
      <c r="V29" s="4" t="e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9" s="4">
        <v>60001102</v>
      </c>
      <c r="X29" s="6">
        <v>1</v>
      </c>
      <c r="Y29" s="6">
        <v>100</v>
      </c>
      <c r="Z29" s="6">
        <v>0</v>
      </c>
      <c r="AA29" s="17">
        <f ca="1">VLOOKUP($L29,OFFSET([3]enemies!$A$1,0,0,COUNTA([3]enemies!$A:$A),MATCH(AA$1,[3]enemies!$1:$1,0)-MATCH($L$1,[3]enemies!$1:$1,0)+1),MATCH(AA$1,[3]enemies!$1:$1,0)-MATCH($L$1,[3]enemies!$1:$1,0)+1,FALSE)</f>
        <v>4</v>
      </c>
      <c r="AB29" s="24">
        <f t="shared" si="11"/>
        <v>73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自由の探求者 ダックス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4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Drop1S</v>
      </c>
      <c r="AF29" s="7">
        <v>1</v>
      </c>
      <c r="AG29" s="24">
        <f t="shared" ca="1" si="12"/>
        <v>4</v>
      </c>
      <c r="AH29" s="8">
        <v>0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  <c r="AN29" s="69">
        <v>1</v>
      </c>
    </row>
    <row r="30" spans="1:40" ht="21" customHeight="1">
      <c r="A30" s="16" t="str">
        <f t="shared" ca="1" si="0"/>
        <v>60002_2-3/122&lt;lv1&gt;s3</v>
      </c>
      <c r="B30" s="22">
        <v>60002</v>
      </c>
      <c r="C30" s="21">
        <v>2</v>
      </c>
      <c r="D30" s="2" t="str">
        <f>B30&amp;"_"&amp;C30</f>
        <v>60002_2</v>
      </c>
      <c r="E30" s="4" t="str">
        <f ca="1">VLOOKUP($B30,OFFSET([2]quests!$A$1,0,0,COUNTA([2]quests!$A:$A),MATCH(E$1,[2]quests!$1:$1,0)-MATCH($B$1,[2]quests!$1:$1,0)+1),MATCH(E$1,[2]quests!$1:$1,0)-MATCH($B$1,[2]quests!$1:$1,0)+1,FALSE)</f>
        <v>ヘンペルチャレンジ</v>
      </c>
      <c r="F30" s="4" t="str">
        <f ca="1">VLOOKUP($D30,OFFSET([2]stages!$A$1,0,0,COUNTA([2]stages!$A:$A),MATCH(F$1,[2]stages!$2:$2,0)-MATCH($D$1,[2]stages!$2:$2,0)+1),MATCH(F$1,[2]stages!$2:$2,0)-MATCH($D$1,[2]stages!$2:$2,0)+1,FALSE)</f>
        <v>[ウィザード] 第2回　※Wizと難易度は同じ</v>
      </c>
      <c r="G30" s="21">
        <v>3</v>
      </c>
      <c r="H30" s="15" t="str">
        <f>B30&amp;"_"&amp;C30&amp;"-"&amp;G30</f>
        <v>60002_2-3</v>
      </c>
      <c r="I30" s="4">
        <f ca="1">VLOOKUP($H30,OFFSET(floors!$A$1,0,0,COUNTA(floors!$A:$A),MATCH(I$1,floors!$1:$1,0)-MATCH($H$1,floors!$1:$1,0)+1),MATCH(I$1,floors!$1:$1,0)-MATCH($H$1,floors!$1:$1,0)+1,FALSE)</f>
        <v>60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38" t="s">
        <v>53</v>
      </c>
      <c r="L30" s="20">
        <v>122</v>
      </c>
      <c r="M30" s="17" t="str">
        <f ca="1">VLOOKUP($L30,OFFSET([3]enemies!$A$1,0,0,COUNTA([3]enemies!$A:$A),MATCH(M$1,[3]enemies!$1:$1,0)-MATCH($L$1,[3]enemies!$1:$1,0)+1),MATCH(M$1,[3]enemies!$1:$1,0)-MATCH($L$1,[3]enemies!$1:$1,0)+1,FALSE)</f>
        <v>生命の果実</v>
      </c>
      <c r="N30" s="17" t="str">
        <f ca="1">VLOOKUP($L30,OFFSET([3]enemies!$A$1,0,0,COUNTA([3]enemies!$A:$A),MATCH(N$1,[3]enemies!$1:$1,0)-MATCH($L$1,[3]enemies!$1:$1,0)+1),MATCH(N$1,[3]enemies!$1:$1,0)-MATCH($L$1,[3]enemies!$1:$1,0)+1,FALSE)</f>
        <v>green</v>
      </c>
      <c r="O30" s="17" t="str">
        <f ca="1">VLOOKUP($L30,OFFSET([4]characters!$A$1,0,0,COUNTA([4]characters!$A:$A),MATCH(O$1,[4]characters!$1:$1,0)-MATCH($L$1,[4]characters!$1:$1,0)+1),MATCH(O$1,[4]characters!$1:$1,0)-MATCH($L$1,[4]characters!$1:$1,0)+1,FALSE)</f>
        <v>Material</v>
      </c>
      <c r="P30" s="17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17">
        <f ca="1">VLOOKUP($L30,OFFSET([3]enemies!$A$1,0,0,COUNTA([3]enemies!$A:$A),MATCH(Q$1,[3]enemies!$1:$1,0)-MATCH($L$1,[3]enemies!$1:$1,0)+1),MATCH(Q$1,[3]enemies!$1:$1,0)-MATCH($L$1,[3]enemies!$1:$1,0)+1,FALSE)</f>
        <v>20</v>
      </c>
      <c r="R30" s="5">
        <v>1</v>
      </c>
      <c r="S30" s="25">
        <v>0.1</v>
      </c>
      <c r="T30" s="25">
        <v>1</v>
      </c>
      <c r="U30" s="5">
        <v>1000000</v>
      </c>
      <c r="V30" s="4" t="e">
        <f ca="1">VLOOKUP($W30,OFFSET([5]enemy_skill_sets!$B$1,0,0,COUNTA([5]enemy_skill_sets!$B:$B),MATCH(M$1,[5]enemy_skill_sets!$1:$1,0)-MATCH($W$1,[5]enemy_skill_sets!$1:$1,0)+2),MATCH(M$1,[5]enemy_skill_sets!$1:$1,0)-MATCH($W$1,[5]enemy_skill_sets!$1:$1,0)+2,FALSE)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0" s="4">
        <v>60001103</v>
      </c>
      <c r="X30" s="6">
        <v>1</v>
      </c>
      <c r="Y30" s="6">
        <v>100</v>
      </c>
      <c r="Z30" s="6">
        <v>0</v>
      </c>
      <c r="AA30" s="17">
        <f ca="1">VLOOKUP($L30,OFFSET([3]enemies!$A$1,0,0,COUNTA([3]enemies!$A:$A),MATCH(AA$1,[3]enemies!$1:$1,0)-MATCH($L$1,[3]enemies!$1:$1,0)+1),MATCH(AA$1,[3]enemies!$1:$1,0)-MATCH($L$1,[3]enemies!$1:$1,0)+1,FALSE)</f>
        <v>3</v>
      </c>
      <c r="AB30" s="24">
        <f>L30</f>
        <v>122</v>
      </c>
      <c r="AC30" s="4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30" s="4">
        <f ca="1">VLOOKUP($AB30,OFFSET([4]characters!$A$1,0,0,COUNTA([4]characters!$A:$A),MATCH(AD$1,[4]characters!$1:$1,0)-MATCH("character_id",[4]characters!$1:$1,0)+1),MATCH(AD$1,[4]characters!$1:$1,0)-MATCH("character_id",[4]characters!$1:$1,0)+1,FALSE)</f>
        <v>3</v>
      </c>
      <c r="AE30" s="4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0" s="7">
        <v>1</v>
      </c>
      <c r="AG30" s="24">
        <f ca="1">AD30</f>
        <v>3</v>
      </c>
      <c r="AH30" s="8">
        <v>0</v>
      </c>
      <c r="AI30" s="7">
        <v>0</v>
      </c>
      <c r="AJ30" s="7">
        <v>0</v>
      </c>
      <c r="AK30" s="7">
        <v>0</v>
      </c>
      <c r="AL30" s="7">
        <v>0</v>
      </c>
      <c r="AM30" s="7">
        <v>1</v>
      </c>
      <c r="AN30" s="69">
        <v>1</v>
      </c>
    </row>
    <row r="31" spans="1:40" ht="21" customHeight="1">
      <c r="A31" s="16" t="str">
        <f t="shared" si="0"/>
        <v>60002_2-4/581&lt;lv60&gt;s3</v>
      </c>
      <c r="B31" s="22">
        <v>60002</v>
      </c>
      <c r="C31" s="21">
        <v>2</v>
      </c>
      <c r="D31" s="2" t="str">
        <f>B31&amp;"_"&amp;C31</f>
        <v>60002_2</v>
      </c>
      <c r="E31" s="4" t="str">
        <f ca="1">VLOOKUP($B31,OFFSET([2]quests!$A$1,0,0,COUNTA([2]quests!$A:$A),MATCH(E$1,[2]quests!$1:$1,0)-MATCH($B$1,[2]quests!$1:$1,0)+1),MATCH(E$1,[2]quests!$1:$1,0)-MATCH($B$1,[2]quests!$1:$1,0)+1,FALSE)</f>
        <v>ヘンペルチャレンジ</v>
      </c>
      <c r="F31" s="4" t="str">
        <f ca="1">VLOOKUP($D31,OFFSET([2]stages!$A$1,0,0,COUNTA([2]stages!$A:$A),MATCH(F$1,[2]stages!$2:$2,0)-MATCH($D$1,[2]stages!$2:$2,0)+1),MATCH(F$1,[2]stages!$2:$2,0)-MATCH($D$1,[2]stages!$2:$2,0)+1,FALSE)</f>
        <v>[ウィザード] 第2回　※Wizと難易度は同じ</v>
      </c>
      <c r="G31" s="21">
        <v>4</v>
      </c>
      <c r="H31" s="15" t="str">
        <f>B31&amp;"_"&amp;C31&amp;"-"&amp;G31</f>
        <v>60002_2-4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38">
        <v>1</v>
      </c>
      <c r="L31" s="20">
        <v>581</v>
      </c>
      <c r="M31" s="17" t="str">
        <f ca="1">VLOOKUP($L31,OFFSET([3]enemies!$A$1,0,0,COUNTA([3]enemies!$A:$A),MATCH(M$1,[3]enemies!$1:$1,0)-MATCH($L$1,[3]enemies!$1:$1,0)+1),MATCH(M$1,[3]enemies!$1:$1,0)-MATCH($L$1,[3]enemies!$1:$1,0)+1,FALSE)</f>
        <v>フギンとムニン</v>
      </c>
      <c r="N31" s="17" t="str">
        <f ca="1">VLOOKUP($L31,OFFSET([3]enemies!$A$1,0,0,COUNTA([3]enemies!$A:$A),MATCH(N$1,[3]enemies!$1:$1,0)-MATCH($L$1,[3]enemies!$1:$1,0)+1),MATCH(N$1,[3]enemies!$1:$1,0)-MATCH($L$1,[3]enemies!$1:$1,0)+1,FALSE)</f>
        <v>blue</v>
      </c>
      <c r="O31" s="17" t="str">
        <f ca="1">VLOOKUP($L31,OFFSET([4]characters!$A$1,0,0,COUNTA([4]characters!$A:$A),MATCH(O$1,[4]characters!$1:$1,0)-MATCH($L$1,[4]characters!$1:$1,0)+1),MATCH(O$1,[4]characters!$1:$1,0)-MATCH($L$1,[4]characters!$1:$1,0)+1,FALSE)</f>
        <v>DropWizS</v>
      </c>
      <c r="P31" s="17" t="str">
        <f ca="1">VLOOKUP($L31,OFFSET([3]enemies!$A$1,0,0,COUNTA([3]enemies!$A:$A),MATCH(P$1,[3]enemies!$1:$1,0)-MATCH($L$1,[3]enemies!$1:$1,0)+1),MATCH(P$1,[3]enemies!$1:$1,0)-MATCH($L$1,[3]enemies!$1:$1,0)+1,FALSE)</f>
        <v>machine</v>
      </c>
      <c r="Q31" s="17">
        <f ca="1">VLOOKUP($L31,OFFSET([3]enemies!$A$1,0,0,COUNTA([3]enemies!$A:$A),MATCH(Q$1,[3]enemies!$1:$1,0)-MATCH($L$1,[3]enemies!$1:$1,0)+1),MATCH(Q$1,[3]enemies!$1:$1,0)-MATCH($L$1,[3]enemies!$1:$1,0)+1,FALSE)</f>
        <v>30</v>
      </c>
      <c r="R31" s="5">
        <v>60</v>
      </c>
      <c r="S31" s="25">
        <v>1.4</v>
      </c>
      <c r="T31" s="25">
        <v>1</v>
      </c>
      <c r="U31" s="5">
        <v>0</v>
      </c>
      <c r="V31" s="4" t="e">
        <f ca="1">VLOOKUP($W31,OFFSET([5]enemy_skill_sets!$B$1,0,0,COUNTA([5]enemy_skill_sets!$B:$B),MATCH(M$1,[5]enemy_skill_sets!$1:$1,0)-MATCH($W$1,[5]enemy_skill_sets!$1:$1,0)+2),MATCH(M$1,[5]enemy_skill_sets!$1:$1,0)-MATCH($W$1,[5]enemy_skill_sets!$1:$1,0)+2,FALSE)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1" s="4">
        <v>60001104</v>
      </c>
      <c r="X31" s="6">
        <v>1</v>
      </c>
      <c r="Y31" s="6">
        <v>100</v>
      </c>
      <c r="Z31" s="6">
        <v>1</v>
      </c>
      <c r="AA31" s="17">
        <v>3</v>
      </c>
      <c r="AB31" s="24">
        <f>L31</f>
        <v>581</v>
      </c>
      <c r="AC31" s="4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フギンとムニン</v>
      </c>
      <c r="AD31" s="4">
        <f ca="1">VLOOKUP($AB31,OFFSET([4]characters!$A$1,0,0,COUNTA([4]characters!$A:$A),MATCH(AD$1,[4]characters!$1:$1,0)-MATCH("character_id",[4]characters!$1:$1,0)+1),MATCH(AD$1,[4]characters!$1:$1,0)-MATCH("character_id",[4]characters!$1:$1,0)+1,FALSE)</f>
        <v>4</v>
      </c>
      <c r="AE31" s="4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31" s="7">
        <v>1</v>
      </c>
      <c r="AG31" s="24">
        <f ca="1">AD31</f>
        <v>4</v>
      </c>
      <c r="AH31" s="8">
        <v>0</v>
      </c>
      <c r="AI31" s="7">
        <v>0</v>
      </c>
      <c r="AJ31" s="7">
        <v>0</v>
      </c>
      <c r="AK31" s="7">
        <v>0</v>
      </c>
      <c r="AL31" s="7">
        <v>0</v>
      </c>
      <c r="AM31" s="7">
        <v>1</v>
      </c>
      <c r="AN31" s="69">
        <v>1</v>
      </c>
    </row>
    <row r="32" spans="1:40" ht="21" customHeight="1">
      <c r="A32" s="16" t="str">
        <f t="shared" ca="1" si="0"/>
        <v>60002_2-5/403&lt;lv60&gt;s3</v>
      </c>
      <c r="B32" s="22">
        <v>60002</v>
      </c>
      <c r="C32" s="21">
        <v>2</v>
      </c>
      <c r="D32" s="2" t="str">
        <f>B32&amp;"_"&amp;C32</f>
        <v>60002_2</v>
      </c>
      <c r="E32" s="4" t="str">
        <f ca="1">VLOOKUP($B32,OFFSET([2]quests!$A$1,0,0,COUNTA([2]quests!$A:$A),MATCH(E$1,[2]quests!$1:$1,0)-MATCH($B$1,[2]quests!$1:$1,0)+1),MATCH(E$1,[2]quests!$1:$1,0)-MATCH($B$1,[2]quests!$1:$1,0)+1,FALSE)</f>
        <v>ヘンペルチャレンジ</v>
      </c>
      <c r="F32" s="4" t="str">
        <f ca="1">VLOOKUP($D32,OFFSET([2]stages!$A$1,0,0,COUNTA([2]stages!$A:$A),MATCH(F$1,[2]stages!$2:$2,0)-MATCH($D$1,[2]stages!$2:$2,0)+1),MATCH(F$1,[2]stages!$2:$2,0)-MATCH($D$1,[2]stages!$2:$2,0)+1,FALSE)</f>
        <v>[ウィザード] 第2回　※Wizと難易度は同じ</v>
      </c>
      <c r="G32" s="21">
        <v>5</v>
      </c>
      <c r="H32" s="15" t="str">
        <f>B32&amp;"_"&amp;C32&amp;"-"&amp;G32</f>
        <v>60002_2-5</v>
      </c>
      <c r="I32" s="4">
        <f ca="1">VLOOKUP($H32,OFFSET(floors!$A$1,0,0,COUNTA(floors!$A:$A),MATCH(I$1,floors!$1:$1,0)-MATCH($H$1,floors!$1:$1,0)+1),MATCH(I$1,floors!$1:$1,0)-MATCH($H$1,floors!$1:$1,0)+1,FALSE)</f>
        <v>60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38" t="s">
        <v>53</v>
      </c>
      <c r="L32" s="20">
        <v>403</v>
      </c>
      <c r="M32" s="17" t="str">
        <f ca="1">VLOOKUP($L32,OFFSET([3]enemies!$A$1,0,0,COUNTA([3]enemies!$A:$A),MATCH(M$1,[3]enemies!$1:$1,0)-MATCH($L$1,[3]enemies!$1:$1,0)+1),MATCH(M$1,[3]enemies!$1:$1,0)-MATCH($L$1,[3]enemies!$1:$1,0)+1,FALSE)</f>
        <v>静撃の翠眼 八咫烏</v>
      </c>
      <c r="N32" s="17" t="str">
        <f ca="1">VLOOKUP($L32,OFFSET([3]enemies!$A$1,0,0,COUNTA([3]enemies!$A:$A),MATCH(N$1,[3]enemies!$1:$1,0)-MATCH($L$1,[3]enemies!$1:$1,0)+1),MATCH(N$1,[3]enemies!$1:$1,0)-MATCH($L$1,[3]enemies!$1:$1,0)+1,FALSE)</f>
        <v>green</v>
      </c>
      <c r="O32" s="17" t="str">
        <f ca="1">VLOOKUP($L32,OFFSET([4]characters!$A$1,0,0,COUNTA([4]characters!$A:$A),MATCH(O$1,[4]characters!$1:$1,0)-MATCH($L$1,[4]characters!$1:$1,0)+1),MATCH(O$1,[4]characters!$1:$1,0)-MATCH($L$1,[4]characters!$1:$1,0)+1,FALSE)</f>
        <v>PremiumSS</v>
      </c>
      <c r="P32" s="17" t="str">
        <f ca="1">VLOOKUP($L32,OFFSET([3]enemies!$A$1,0,0,COUNTA([3]enemies!$A:$A),MATCH(P$1,[3]enemies!$1:$1,0)-MATCH($L$1,[3]enemies!$1:$1,0)+1),MATCH(P$1,[3]enemies!$1:$1,0)-MATCH($L$1,[3]enemies!$1:$1,0)+1,FALSE)</f>
        <v>animal</v>
      </c>
      <c r="Q32" s="17">
        <f ca="1">VLOOKUP($L32,OFFSET([3]enemies!$A$1,0,0,COUNTA([3]enemies!$A:$A),MATCH(Q$1,[3]enemies!$1:$1,0)-MATCH($L$1,[3]enemies!$1:$1,0)+1),MATCH(Q$1,[3]enemies!$1:$1,0)-MATCH($L$1,[3]enemies!$1:$1,0)+1,FALSE)</f>
        <v>30</v>
      </c>
      <c r="R32" s="5">
        <v>60</v>
      </c>
      <c r="S32" s="25">
        <v>1</v>
      </c>
      <c r="T32" s="25">
        <v>1</v>
      </c>
      <c r="U32" s="5">
        <v>0</v>
      </c>
      <c r="V32" s="4" t="e">
        <f ca="1">VLOOKUP($W32,OFFSET([5]enemy_skill_sets!$B$1,0,0,COUNTA([5]enemy_skill_sets!$B:$B),MATCH(M$1,[5]enemy_skill_sets!$1:$1,0)-MATCH($W$1,[5]enemy_skill_sets!$1:$1,0)+2),MATCH(M$1,[5]enemy_skill_sets!$1:$1,0)-MATCH($W$1,[5]enemy_skill_sets!$1:$1,0)+2,FALSE)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2" s="4">
        <v>60001106</v>
      </c>
      <c r="X32" s="6">
        <v>1</v>
      </c>
      <c r="Y32" s="6">
        <v>100</v>
      </c>
      <c r="Z32" s="6">
        <v>0</v>
      </c>
      <c r="AA32" s="17">
        <f ca="1">VLOOKUP($L32,OFFSET([3]enemies!$A$1,0,0,COUNTA([3]enemies!$A:$A),MATCH(AA$1,[3]enemies!$1:$1,0)-MATCH($L$1,[3]enemies!$1:$1,0)+1),MATCH(AA$1,[3]enemies!$1:$1,0)-MATCH($L$1,[3]enemies!$1:$1,0)+1,FALSE)</f>
        <v>3</v>
      </c>
      <c r="AB32" s="24">
        <f>L32</f>
        <v>403</v>
      </c>
      <c r="AC32" s="4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静撃の翠眼 八咫烏</v>
      </c>
      <c r="AD32" s="4">
        <f ca="1">VLOOKUP($AB32,OFFSET([4]characters!$A$1,0,0,COUNTA([4]characters!$A:$A),MATCH(AD$1,[4]characters!$1:$1,0)-MATCH("character_id",[4]characters!$1:$1,0)+1),MATCH(AD$1,[4]characters!$1:$1,0)-MATCH("character_id",[4]characters!$1:$1,0)+1,FALSE)</f>
        <v>4</v>
      </c>
      <c r="AE32" s="4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32" s="7">
        <v>1</v>
      </c>
      <c r="AG32" s="24">
        <f ca="1">AD32</f>
        <v>4</v>
      </c>
      <c r="AH32" s="8">
        <v>0</v>
      </c>
      <c r="AI32" s="7">
        <v>0</v>
      </c>
      <c r="AJ32" s="7">
        <v>0</v>
      </c>
      <c r="AK32" s="7">
        <v>0</v>
      </c>
      <c r="AL32" s="7">
        <v>0</v>
      </c>
      <c r="AM32" s="7">
        <v>1</v>
      </c>
      <c r="AN32" s="69">
        <v>1</v>
      </c>
    </row>
    <row r="33" spans="1:40" ht="21" customHeight="1">
      <c r="A33" s="16" t="str">
        <f t="shared" ca="1" si="0"/>
        <v>60002_2-5/660&lt;lv60&gt;s2</v>
      </c>
      <c r="B33" s="22">
        <v>60002</v>
      </c>
      <c r="C33" s="21">
        <v>2</v>
      </c>
      <c r="D33" s="2" t="str">
        <f>B33&amp;"_"&amp;C33</f>
        <v>60002_2</v>
      </c>
      <c r="E33" s="4" t="str">
        <f ca="1">VLOOKUP($B33,OFFSET([2]quests!$A$1,0,0,COUNTA([2]quests!$A:$A),MATCH(E$1,[2]quests!$1:$1,0)-MATCH($B$1,[2]quests!$1:$1,0)+1),MATCH(E$1,[2]quests!$1:$1,0)-MATCH($B$1,[2]quests!$1:$1,0)+1,FALSE)</f>
        <v>ヘンペルチャレンジ</v>
      </c>
      <c r="F33" s="4" t="str">
        <f ca="1">VLOOKUP($D33,OFFSET([2]stages!$A$1,0,0,COUNTA([2]stages!$A:$A),MATCH(F$1,[2]stages!$2:$2,0)-MATCH($D$1,[2]stages!$2:$2,0)+1),MATCH(F$1,[2]stages!$2:$2,0)-MATCH($D$1,[2]stages!$2:$2,0)+1,FALSE)</f>
        <v>[ウィザード] 第2回　※Wizと難易度は同じ</v>
      </c>
      <c r="G33" s="21">
        <v>5</v>
      </c>
      <c r="H33" s="15" t="str">
        <f>B33&amp;"_"&amp;C33&amp;"-"&amp;G33</f>
        <v>60002_2-5</v>
      </c>
      <c r="I33" s="4">
        <f ca="1">VLOOKUP($H33,OFFSET(floors!$A$1,0,0,COUNTA(floors!$A:$A),MATCH(I$1,floors!$1:$1,0)-MATCH($H$1,floors!$1:$1,0)+1),MATCH(I$1,floors!$1:$1,0)-MATCH($H$1,floors!$1:$1,0)+1,FALSE)</f>
        <v>60</v>
      </c>
      <c r="J33" s="4">
        <f ca="1">VLOOKUP($H33,OFFSET(floors!$A$1,0,0,COUNTA(floors!$A:$A),MATCH(J$1,floors!$1:$1,0)-MATCH($H$1,floors!$1:$1,0)+1),MATCH(J$1,floors!$1:$1,0)-MATCH($H$1,floors!$1:$1,0)+1,FALSE)</f>
        <v>60</v>
      </c>
      <c r="K33" s="38" t="s">
        <v>53</v>
      </c>
      <c r="L33" s="20">
        <v>660</v>
      </c>
      <c r="M33" s="17" t="str">
        <f ca="1">VLOOKUP($L33,OFFSET([3]enemies!$A$1,0,0,COUNTA([3]enemies!$A:$A),MATCH(M$1,[3]enemies!$1:$1,0)-MATCH($L$1,[3]enemies!$1:$1,0)+1),MATCH(M$1,[3]enemies!$1:$1,0)-MATCH($L$1,[3]enemies!$1:$1,0)+1,FALSE)</f>
        <v>烏天狗 フウガ</v>
      </c>
      <c r="N33" s="17" t="str">
        <f ca="1">VLOOKUP($L33,OFFSET([3]enemies!$A$1,0,0,COUNTA([3]enemies!$A:$A),MATCH(N$1,[3]enemies!$1:$1,0)-MATCH($L$1,[3]enemies!$1:$1,0)+1),MATCH(N$1,[3]enemies!$1:$1,0)-MATCH($L$1,[3]enemies!$1:$1,0)+1,FALSE)</f>
        <v>green</v>
      </c>
      <c r="O33" s="17" t="str">
        <f ca="1">VLOOKUP($L33,OFFSET([4]characters!$A$1,0,0,COUNTA([4]characters!$A:$A),MATCH(O$1,[4]characters!$1:$1,0)-MATCH($L$1,[4]characters!$1:$1,0)+1),MATCH(O$1,[4]characters!$1:$1,0)-MATCH($L$1,[4]characters!$1:$1,0)+1,FALSE)</f>
        <v>PremiumSS</v>
      </c>
      <c r="P33" s="17" t="str">
        <f ca="1">VLOOKUP($L33,OFFSET([3]enemies!$A$1,0,0,COUNTA([3]enemies!$A:$A),MATCH(P$1,[3]enemies!$1:$1,0)-MATCH($L$1,[3]enemies!$1:$1,0)+1),MATCH(P$1,[3]enemies!$1:$1,0)-MATCH($L$1,[3]enemies!$1:$1,0)+1,FALSE)</f>
        <v>animal</v>
      </c>
      <c r="Q33" s="17">
        <f ca="1">VLOOKUP($L33,OFFSET([3]enemies!$A$1,0,0,COUNTA([3]enemies!$A:$A),MATCH(Q$1,[3]enemies!$1:$1,0)-MATCH($L$1,[3]enemies!$1:$1,0)+1),MATCH(Q$1,[3]enemies!$1:$1,0)-MATCH($L$1,[3]enemies!$1:$1,0)+1,FALSE)</f>
        <v>30</v>
      </c>
      <c r="R33" s="5">
        <v>60</v>
      </c>
      <c r="S33" s="25">
        <v>0.8</v>
      </c>
      <c r="T33" s="25">
        <v>1</v>
      </c>
      <c r="U33" s="5">
        <v>0</v>
      </c>
      <c r="V33" s="4" t="e">
        <f ca="1">VLOOKUP($W33,OFFSET([5]enemy_skill_sets!$B$1,0,0,COUNTA([5]enemy_skill_sets!$B:$B),MATCH(M$1,[5]enemy_skill_sets!$1:$1,0)-MATCH($W$1,[5]enemy_skill_sets!$1:$1,0)+2),MATCH(M$1,[5]enemy_skill_sets!$1:$1,0)-MATCH($W$1,[5]enemy_skill_sets!$1:$1,0)+2,FALSE)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3" s="4">
        <v>60001107</v>
      </c>
      <c r="X33" s="6">
        <v>1</v>
      </c>
      <c r="Y33" s="6">
        <v>100</v>
      </c>
      <c r="Z33" s="6">
        <v>0</v>
      </c>
      <c r="AA33" s="17">
        <f ca="1">VLOOKUP($L33,OFFSET([3]enemies!$A$1,0,0,COUNTA([3]enemies!$A:$A),MATCH(AA$1,[3]enemies!$1:$1,0)-MATCH($L$1,[3]enemies!$1:$1,0)+1),MATCH(AA$1,[3]enemies!$1:$1,0)-MATCH($L$1,[3]enemies!$1:$1,0)+1,FALSE)</f>
        <v>2</v>
      </c>
      <c r="AB33" s="24">
        <f>L33</f>
        <v>660</v>
      </c>
      <c r="AC33" s="4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烏天狗 フウガ</v>
      </c>
      <c r="AD33" s="4">
        <f ca="1">VLOOKUP($AB33,OFFSET([4]characters!$A$1,0,0,COUNTA([4]characters!$A:$A),MATCH(AD$1,[4]characters!$1:$1,0)-MATCH("character_id",[4]characters!$1:$1,0)+1),MATCH(AD$1,[4]characters!$1:$1,0)-MATCH("character_id",[4]characters!$1:$1,0)+1,FALSE)</f>
        <v>4</v>
      </c>
      <c r="AE33" s="4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33" s="7">
        <v>1</v>
      </c>
      <c r="AG33" s="24">
        <f ca="1">AD33</f>
        <v>4</v>
      </c>
      <c r="AH33" s="8">
        <v>0</v>
      </c>
      <c r="AI33" s="7">
        <v>0</v>
      </c>
      <c r="AJ33" s="7">
        <v>0</v>
      </c>
      <c r="AK33" s="7">
        <v>0</v>
      </c>
      <c r="AL33" s="7">
        <v>0</v>
      </c>
      <c r="AM33" s="7">
        <v>1</v>
      </c>
      <c r="AN33" s="69">
        <v>1</v>
      </c>
    </row>
    <row r="34" spans="1:40" ht="21" customHeight="1">
      <c r="A34" s="16" t="str">
        <f t="shared" si="0"/>
        <v>60002_2-6/488&lt;lv70&gt;s3</v>
      </c>
      <c r="B34" s="22">
        <v>60002</v>
      </c>
      <c r="C34" s="21">
        <v>2</v>
      </c>
      <c r="D34" s="2" t="str">
        <f t="shared" ref="D34:D40" si="13">B34&amp;"_"&amp;C34</f>
        <v>60002_2</v>
      </c>
      <c r="E34" s="4" t="str">
        <f ca="1">VLOOKUP($B34,OFFSET([2]quests!$A$1,0,0,COUNTA([2]quests!$A:$A),MATCH(E$1,[2]quests!$1:$1,0)-MATCH($B$1,[2]quests!$1:$1,0)+1),MATCH(E$1,[2]quests!$1:$1,0)-MATCH($B$1,[2]quests!$1:$1,0)+1,FALSE)</f>
        <v>ヘンペルチャレンジ</v>
      </c>
      <c r="F34" s="4" t="str">
        <f ca="1">VLOOKUP($D34,OFFSET([2]stages!$A$1,0,0,COUNTA([2]stages!$A:$A),MATCH(F$1,[2]stages!$2:$2,0)-MATCH($D$1,[2]stages!$2:$2,0)+1),MATCH(F$1,[2]stages!$2:$2,0)-MATCH($D$1,[2]stages!$2:$2,0)+1,FALSE)</f>
        <v>[ウィザード] 第2回　※Wizと難易度は同じ</v>
      </c>
      <c r="G34" s="21">
        <v>6</v>
      </c>
      <c r="H34" s="15" t="str">
        <f t="shared" ref="H34:H40" si="14">B34&amp;"_"&amp;C34&amp;"-"&amp;G34</f>
        <v>60002_2-6</v>
      </c>
      <c r="I34" s="4">
        <f ca="1">VLOOKUP($H34,OFFSET(floors!$A$1,0,0,COUNTA(floors!$A:$A),MATCH(I$1,floors!$1:$1,0)-MATCH($H$1,floors!$1:$1,0)+1),MATCH(I$1,floors!$1:$1,0)-MATCH($H$1,floors!$1:$1,0)+1,FALSE)</f>
        <v>60</v>
      </c>
      <c r="J34" s="4">
        <f ca="1">VLOOKUP($H34,OFFSET(floors!$A$1,0,0,COUNTA(floors!$A:$A),MATCH(J$1,floors!$1:$1,0)-MATCH($H$1,floors!$1:$1,0)+1),MATCH(J$1,floors!$1:$1,0)-MATCH($H$1,floors!$1:$1,0)+1,FALSE)</f>
        <v>60</v>
      </c>
      <c r="K34" s="38">
        <v>1</v>
      </c>
      <c r="L34" s="20">
        <v>488</v>
      </c>
      <c r="M34" s="17" t="str">
        <f ca="1">VLOOKUP($L34,OFFSET([3]enemies!$A$1,0,0,COUNTA([3]enemies!$A:$A),MATCH(M$1,[3]enemies!$1:$1,0)-MATCH($L$1,[3]enemies!$1:$1,0)+1),MATCH(M$1,[3]enemies!$1:$1,0)-MATCH($L$1,[3]enemies!$1:$1,0)+1,FALSE)</f>
        <v>直観の異論 ヘンペル</v>
      </c>
      <c r="N34" s="17" t="str">
        <f ca="1">VLOOKUP($L34,OFFSET([3]enemies!$A$1,0,0,COUNTA([3]enemies!$A:$A),MATCH(N$1,[3]enemies!$1:$1,0)-MATCH($L$1,[3]enemies!$1:$1,0)+1),MATCH(N$1,[3]enemies!$1:$1,0)-MATCH($L$1,[3]enemies!$1:$1,0)+1,FALSE)</f>
        <v>blue</v>
      </c>
      <c r="O34" s="17" t="str">
        <f ca="1">VLOOKUP($L34,OFFSET([4]characters!$A$1,0,0,COUNTA([4]characters!$A:$A),MATCH(O$1,[4]characters!$1:$1,0)-MATCH($L$1,[4]characters!$1:$1,0)+1),MATCH(O$1,[4]characters!$1:$1,0)-MATCH($L$1,[4]characters!$1:$1,0)+1,FALSE)</f>
        <v>PremiumSSS</v>
      </c>
      <c r="P34" s="17" t="str">
        <f ca="1">VLOOKUP($L34,OFFSET([3]enemies!$A$1,0,0,COUNTA([3]enemies!$A:$A),MATCH(P$1,[3]enemies!$1:$1,0)-MATCH($L$1,[3]enemies!$1:$1,0)+1),MATCH(P$1,[3]enemies!$1:$1,0)-MATCH($L$1,[3]enemies!$1:$1,0)+1,FALSE)</f>
        <v>human</v>
      </c>
      <c r="Q34" s="17">
        <f ca="1">VLOOKUP($L34,OFFSET([3]enemies!$A$1,0,0,COUNTA([3]enemies!$A:$A),MATCH(Q$1,[3]enemies!$1:$1,0)-MATCH($L$1,[3]enemies!$1:$1,0)+1),MATCH(Q$1,[3]enemies!$1:$1,0)-MATCH($L$1,[3]enemies!$1:$1,0)+1,FALSE)</f>
        <v>60</v>
      </c>
      <c r="R34" s="5">
        <v>70</v>
      </c>
      <c r="S34" s="25">
        <v>0.9</v>
      </c>
      <c r="T34" s="25">
        <v>1</v>
      </c>
      <c r="U34" s="5">
        <v>0</v>
      </c>
      <c r="V34" s="4" t="e">
        <f ca="1">VLOOKUP($W34,OFFSET([5]enemy_skill_sets!$B$1,0,0,COUNTA([5]enemy_skill_sets!$B:$B),MATCH(M$1,[5]enemy_skill_sets!$1:$1,0)-MATCH($W$1,[5]enemy_skill_sets!$1:$1,0)+2),MATCH(M$1,[5]enemy_skill_sets!$1:$1,0)-MATCH($W$1,[5]enemy_skill_sets!$1:$1,0)+2,FALSE)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4" s="4">
        <v>60001108</v>
      </c>
      <c r="X34" s="6">
        <v>0</v>
      </c>
      <c r="Y34" s="6">
        <v>100</v>
      </c>
      <c r="Z34" s="6">
        <v>1</v>
      </c>
      <c r="AA34" s="17">
        <v>3</v>
      </c>
      <c r="AB34" s="24">
        <f t="shared" ref="AB34:AB40" si="15">L34</f>
        <v>488</v>
      </c>
      <c r="AC34" s="4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直観の異論 ヘンペル</v>
      </c>
      <c r="AD34" s="4">
        <f ca="1">VLOOKUP($AB34,OFFSET([4]characters!$A$1,0,0,COUNTA([4]characters!$A:$A),MATCH(AD$1,[4]characters!$1:$1,0)-MATCH("character_id",[4]characters!$1:$1,0)+1),MATCH(AD$1,[4]characters!$1:$1,0)-MATCH("character_id",[4]characters!$1:$1,0)+1,FALSE)</f>
        <v>5</v>
      </c>
      <c r="AE34" s="4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34" s="7">
        <v>1</v>
      </c>
      <c r="AG34" s="24">
        <f t="shared" ref="AG34:AG40" ca="1" si="16">AD34</f>
        <v>5</v>
      </c>
      <c r="AH34" s="8">
        <v>0</v>
      </c>
      <c r="AI34" s="7">
        <v>0</v>
      </c>
      <c r="AJ34" s="7">
        <v>0</v>
      </c>
      <c r="AK34" s="7">
        <v>0</v>
      </c>
      <c r="AL34" s="7">
        <v>0</v>
      </c>
      <c r="AM34" s="7">
        <v>1</v>
      </c>
      <c r="AN34" s="69">
        <v>1</v>
      </c>
    </row>
    <row r="35" spans="1:40" ht="21" customHeight="1">
      <c r="A35" s="16" t="str">
        <f t="shared" ca="1" si="0"/>
        <v>60003_1-1/1&lt;lv10&gt;s1</v>
      </c>
      <c r="B35" s="22">
        <v>60003</v>
      </c>
      <c r="C35" s="21">
        <v>1</v>
      </c>
      <c r="D35" s="2" t="str">
        <f t="shared" si="13"/>
        <v>60003_1</v>
      </c>
      <c r="E35" s="4" t="str">
        <f ca="1">VLOOKUP($B35,OFFSET([2]quests!$A$1,0,0,COUNTA([2]quests!$A:$A),MATCH(E$1,[2]quests!$1:$1,0)-MATCH($B$1,[2]quests!$1:$1,0)+1),MATCH(E$1,[2]quests!$1:$1,0)-MATCH($B$1,[2]quests!$1:$1,0)+1,FALSE)</f>
        <v>ヘンペルチャレンジ</v>
      </c>
      <c r="F35" s="4" t="str">
        <f ca="1">VLOOKUP($D35,OFFSET([2]stages!$A$1,0,0,COUNTA([2]stages!$A:$A),MATCH(F$1,[2]stages!$2:$2,0)-MATCH($D$1,[2]stages!$2:$2,0)+1),MATCH(F$1,[2]stages!$2:$2,0)-MATCH($D$1,[2]stages!$2:$2,0)+1,FALSE)</f>
        <v>[中級] 第3回　</v>
      </c>
      <c r="G35" s="21">
        <v>1</v>
      </c>
      <c r="H35" s="15" t="str">
        <f t="shared" si="14"/>
        <v>60003_1-1</v>
      </c>
      <c r="I35" s="4">
        <f ca="1">VLOOKUP($H35,OFFSET(floors!$A$1,0,0,COUNTA(floors!$A:$A),MATCH(I$1,floors!$1:$1,0)-MATCH($H$1,floors!$1:$1,0)+1),MATCH(I$1,floors!$1:$1,0)-MATCH($H$1,floors!$1:$1,0)+1,FALSE)</f>
        <v>60</v>
      </c>
      <c r="J35" s="4">
        <f ca="1">VLOOKUP($H35,OFFSET(floors!$A$1,0,0,COUNTA(floors!$A:$A),MATCH(J$1,floors!$1:$1,0)-MATCH($H$1,floors!$1:$1,0)+1),MATCH(J$1,floors!$1:$1,0)-MATCH($H$1,floors!$1:$1,0)+1,FALSE)</f>
        <v>60</v>
      </c>
      <c r="K35" s="38" t="s">
        <v>53</v>
      </c>
      <c r="L35" s="20">
        <v>1</v>
      </c>
      <c r="M35" s="17" t="str">
        <f ca="1">VLOOKUP($L35,OFFSET([3]enemies!$A$1,0,0,COUNTA([3]enemies!$A:$A),MATCH(M$1,[3]enemies!$1:$1,0)-MATCH($L$1,[3]enemies!$1:$1,0)+1),MATCH(M$1,[3]enemies!$1:$1,0)-MATCH($L$1,[3]enemies!$1:$1,0)+1,FALSE)</f>
        <v>ジェリー</v>
      </c>
      <c r="N35" s="17" t="str">
        <f ca="1">VLOOKUP($L35,OFFSET([3]enemies!$A$1,0,0,COUNTA([3]enemies!$A:$A),MATCH(N$1,[3]enemies!$1:$1,0)-MATCH($L$1,[3]enemies!$1:$1,0)+1),MATCH(N$1,[3]enemies!$1:$1,0)-MATCH($L$1,[3]enemies!$1:$1,0)+1,FALSE)</f>
        <v>red</v>
      </c>
      <c r="O35" s="17" t="str">
        <f ca="1">VLOOKUP($L35,OFFSET([4]characters!$A$1,0,0,COUNTA([4]characters!$A:$A),MATCH(O$1,[4]characters!$1:$1,0)-MATCH($L$1,[4]characters!$1:$1,0)+1),MATCH(O$1,[4]characters!$1:$1,0)-MATCH($L$1,[4]characters!$1:$1,0)+1,FALSE)</f>
        <v>Drop1T</v>
      </c>
      <c r="P35" s="17" t="str">
        <f ca="1">VLOOKUP($L35,OFFSET([3]enemies!$A$1,0,0,COUNTA([3]enemies!$A:$A),MATCH(P$1,[3]enemies!$1:$1,0)-MATCH($L$1,[3]enemies!$1:$1,0)+1),MATCH(P$1,[3]enemies!$1:$1,0)-MATCH($L$1,[3]enemies!$1:$1,0)+1,FALSE)</f>
        <v>unknown</v>
      </c>
      <c r="Q35" s="17">
        <f ca="1">VLOOKUP($L35,OFFSET([3]enemies!$A$1,0,0,COUNTA([3]enemies!$A:$A),MATCH(Q$1,[3]enemies!$1:$1,0)-MATCH($L$1,[3]enemies!$1:$1,0)+1),MATCH(Q$1,[3]enemies!$1:$1,0)-MATCH($L$1,[3]enemies!$1:$1,0)+1,FALSE)</f>
        <v>15</v>
      </c>
      <c r="R35" s="5">
        <v>10</v>
      </c>
      <c r="S35" s="25">
        <v>1.2</v>
      </c>
      <c r="T35" s="25">
        <v>1.1000000000000001</v>
      </c>
      <c r="U35" s="5">
        <v>0</v>
      </c>
      <c r="V35" s="4" t="e">
        <f ca="1">VLOOKUP($W35,OFFSET([5]enemy_skill_sets!$B$1,0,0,COUNTA([5]enemy_skill_sets!$B:$B),MATCH(M$1,[5]enemy_skill_sets!$1:$1,0)-MATCH($W$1,[5]enemy_skill_sets!$1:$1,0)+2),MATCH(M$1,[5]enemy_skill_sets!$1:$1,0)-MATCH($W$1,[5]enemy_skill_sets!$1:$1,0)+2,FALSE)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5" s="4">
        <v>0</v>
      </c>
      <c r="X35" s="6">
        <v>1</v>
      </c>
      <c r="Y35" s="6">
        <v>100</v>
      </c>
      <c r="Z35" s="6">
        <v>0</v>
      </c>
      <c r="AA35" s="17">
        <f ca="1">VLOOKUP($L35,OFFSET([3]enemies!$A$1,0,0,COUNTA([3]enemies!$A:$A),MATCH(AA$1,[3]enemies!$1:$1,0)-MATCH($L$1,[3]enemies!$1:$1,0)+1),MATCH(AA$1,[3]enemies!$1:$1,0)-MATCH($L$1,[3]enemies!$1:$1,0)+1,FALSE)</f>
        <v>1</v>
      </c>
      <c r="AB35" s="24">
        <f t="shared" si="15"/>
        <v>1</v>
      </c>
      <c r="AC35" s="4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35" s="4">
        <f ca="1">VLOOKUP($AB35,OFFSET([4]characters!$A$1,0,0,COUNTA([4]characters!$A:$A),MATCH(AD$1,[4]characters!$1:$1,0)-MATCH("character_id",[4]characters!$1:$1,0)+1),MATCH(AD$1,[4]characters!$1:$1,0)-MATCH("character_id",[4]characters!$1:$1,0)+1,FALSE)</f>
        <v>1</v>
      </c>
      <c r="AE35" s="4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Drop1T</v>
      </c>
      <c r="AF35" s="7">
        <v>1</v>
      </c>
      <c r="AG35" s="24">
        <f t="shared" ca="1" si="16"/>
        <v>1</v>
      </c>
      <c r="AH35" s="8">
        <v>0</v>
      </c>
      <c r="AI35" s="7">
        <v>0</v>
      </c>
      <c r="AJ35" s="7">
        <v>0</v>
      </c>
      <c r="AK35" s="7">
        <v>0</v>
      </c>
      <c r="AL35" s="7">
        <v>0</v>
      </c>
      <c r="AM35" s="7">
        <v>1</v>
      </c>
      <c r="AN35" s="69">
        <v>1</v>
      </c>
    </row>
    <row r="36" spans="1:40" ht="21" customHeight="1">
      <c r="A36" s="16" t="str">
        <f t="shared" ca="1" si="0"/>
        <v>60003_1-1/3&lt;lv10&gt;s2</v>
      </c>
      <c r="B36" s="22">
        <v>60003</v>
      </c>
      <c r="C36" s="21">
        <v>1</v>
      </c>
      <c r="D36" s="2" t="str">
        <f t="shared" si="13"/>
        <v>60003_1</v>
      </c>
      <c r="E36" s="4" t="str">
        <f ca="1">VLOOKUP($B36,OFFSET([2]quests!$A$1,0,0,COUNTA([2]quests!$A:$A),MATCH(E$1,[2]quests!$1:$1,0)-MATCH($B$1,[2]quests!$1:$1,0)+1),MATCH(E$1,[2]quests!$1:$1,0)-MATCH($B$1,[2]quests!$1:$1,0)+1,FALSE)</f>
        <v>ヘンペルチャレンジ</v>
      </c>
      <c r="F36" s="4" t="str">
        <f ca="1">VLOOKUP($D36,OFFSET([2]stages!$A$1,0,0,COUNTA([2]stages!$A:$A),MATCH(F$1,[2]stages!$2:$2,0)-MATCH($D$1,[2]stages!$2:$2,0)+1),MATCH(F$1,[2]stages!$2:$2,0)-MATCH($D$1,[2]stages!$2:$2,0)+1,FALSE)</f>
        <v>[中級] 第3回　</v>
      </c>
      <c r="G36" s="21">
        <v>1</v>
      </c>
      <c r="H36" s="15" t="str">
        <f t="shared" si="14"/>
        <v>60003_1-1</v>
      </c>
      <c r="I36" s="4">
        <f ca="1">VLOOKUP($H36,OFFSET(floors!$A$1,0,0,COUNTA(floors!$A:$A),MATCH(I$1,floors!$1:$1,0)-MATCH($H$1,floors!$1:$1,0)+1),MATCH(I$1,floors!$1:$1,0)-MATCH($H$1,floors!$1:$1,0)+1,FALSE)</f>
        <v>60</v>
      </c>
      <c r="J36" s="4">
        <f ca="1">VLOOKUP($H36,OFFSET(floors!$A$1,0,0,COUNTA(floors!$A:$A),MATCH(J$1,floors!$1:$1,0)-MATCH($H$1,floors!$1:$1,0)+1),MATCH(J$1,floors!$1:$1,0)-MATCH($H$1,floors!$1:$1,0)+1,FALSE)</f>
        <v>60</v>
      </c>
      <c r="K36" s="38" t="s">
        <v>53</v>
      </c>
      <c r="L36" s="20">
        <v>3</v>
      </c>
      <c r="M36" s="17" t="str">
        <f ca="1">VLOOKUP($L36,OFFSET([3]enemies!$A$1,0,0,COUNTA([3]enemies!$A:$A),MATCH(M$1,[3]enemies!$1:$1,0)-MATCH($L$1,[3]enemies!$1:$1,0)+1),MATCH(M$1,[3]enemies!$1:$1,0)-MATCH($L$1,[3]enemies!$1:$1,0)+1,FALSE)</f>
        <v>エージェント ジョー</v>
      </c>
      <c r="N36" s="17" t="str">
        <f ca="1">VLOOKUP($L36,OFFSET([3]enemies!$A$1,0,0,COUNTA([3]enemies!$A:$A),MATCH(N$1,[3]enemies!$1:$1,0)-MATCH($L$1,[3]enemies!$1:$1,0)+1),MATCH(N$1,[3]enemies!$1:$1,0)-MATCH($L$1,[3]enemies!$1:$1,0)+1,FALSE)</f>
        <v>green</v>
      </c>
      <c r="O36" s="17" t="str">
        <f ca="1">VLOOKUP($L36,OFFSET([4]characters!$A$1,0,0,COUNTA([4]characters!$A:$A),MATCH(O$1,[4]characters!$1:$1,0)-MATCH($L$1,[4]characters!$1:$1,0)+1),MATCH(O$1,[4]characters!$1:$1,0)-MATCH($L$1,[4]characters!$1:$1,0)+1,FALSE)</f>
        <v>Drop1T</v>
      </c>
      <c r="P36" s="17" t="str">
        <f ca="1">VLOOKUP($L36,OFFSET([3]enemies!$A$1,0,0,COUNTA([3]enemies!$A:$A),MATCH(P$1,[3]enemies!$1:$1,0)-MATCH($L$1,[3]enemies!$1:$1,0)+1),MATCH(P$1,[3]enemies!$1:$1,0)-MATCH($L$1,[3]enemies!$1:$1,0)+1,FALSE)</f>
        <v>unknown</v>
      </c>
      <c r="Q36" s="17">
        <f ca="1">VLOOKUP($L36,OFFSET([3]enemies!$A$1,0,0,COUNTA([3]enemies!$A:$A),MATCH(Q$1,[3]enemies!$1:$1,0)-MATCH($L$1,[3]enemies!$1:$1,0)+1),MATCH(Q$1,[3]enemies!$1:$1,0)-MATCH($L$1,[3]enemies!$1:$1,0)+1,FALSE)</f>
        <v>15</v>
      </c>
      <c r="R36" s="5">
        <v>10</v>
      </c>
      <c r="S36" s="25">
        <v>1.2</v>
      </c>
      <c r="T36" s="25">
        <v>1.1000000000000001</v>
      </c>
      <c r="U36" s="5">
        <v>0</v>
      </c>
      <c r="V36" s="4" t="e">
        <f ca="1">VLOOKUP($W36,OFFSET([5]enemy_skill_sets!$B$1,0,0,COUNTA([5]enemy_skill_sets!$B:$B),MATCH(M$1,[5]enemy_skill_sets!$1:$1,0)-MATCH($W$1,[5]enemy_skill_sets!$1:$1,0)+2),MATCH(M$1,[5]enemy_skill_sets!$1:$1,0)-MATCH($W$1,[5]enemy_skill_sets!$1:$1,0)+2,FALSE)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6" s="4">
        <v>0</v>
      </c>
      <c r="X36" s="6">
        <v>1</v>
      </c>
      <c r="Y36" s="6">
        <v>100</v>
      </c>
      <c r="Z36" s="6">
        <v>0</v>
      </c>
      <c r="AA36" s="17">
        <f ca="1">VLOOKUP($L36,OFFSET([3]enemies!$A$1,0,0,COUNTA([3]enemies!$A:$A),MATCH(AA$1,[3]enemies!$1:$1,0)-MATCH($L$1,[3]enemies!$1:$1,0)+1),MATCH(AA$1,[3]enemies!$1:$1,0)-MATCH($L$1,[3]enemies!$1:$1,0)+1,FALSE)</f>
        <v>2</v>
      </c>
      <c r="AB36" s="24">
        <f t="shared" si="15"/>
        <v>3</v>
      </c>
      <c r="AC36" s="4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36" s="4">
        <f ca="1">VLOOKUP($AB36,OFFSET([4]characters!$A$1,0,0,COUNTA([4]characters!$A:$A),MATCH(AD$1,[4]characters!$1:$1,0)-MATCH("character_id",[4]characters!$1:$1,0)+1),MATCH(AD$1,[4]characters!$1:$1,0)-MATCH("character_id",[4]characters!$1:$1,0)+1,FALSE)</f>
        <v>1</v>
      </c>
      <c r="AE36" s="4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Drop1T</v>
      </c>
      <c r="AF36" s="7">
        <v>1</v>
      </c>
      <c r="AG36" s="24">
        <f t="shared" ca="1" si="16"/>
        <v>1</v>
      </c>
      <c r="AH36" s="8">
        <v>0</v>
      </c>
      <c r="AI36" s="7">
        <v>0</v>
      </c>
      <c r="AJ36" s="7">
        <v>0</v>
      </c>
      <c r="AK36" s="7">
        <v>0</v>
      </c>
      <c r="AL36" s="7">
        <v>0</v>
      </c>
      <c r="AM36" s="7">
        <v>1</v>
      </c>
      <c r="AN36" s="69">
        <v>1</v>
      </c>
    </row>
    <row r="37" spans="1:40" ht="21" customHeight="1">
      <c r="A37" s="16" t="str">
        <f t="shared" ca="1" si="0"/>
        <v>60003_1-1/5&lt;lv10&gt;s3</v>
      </c>
      <c r="B37" s="22">
        <v>60003</v>
      </c>
      <c r="C37" s="21">
        <v>1</v>
      </c>
      <c r="D37" s="2" t="str">
        <f t="shared" si="13"/>
        <v>60003_1</v>
      </c>
      <c r="E37" s="4" t="str">
        <f ca="1">VLOOKUP($B37,OFFSET([2]quests!$A$1,0,0,COUNTA([2]quests!$A:$A),MATCH(E$1,[2]quests!$1:$1,0)-MATCH($B$1,[2]quests!$1:$1,0)+1),MATCH(E$1,[2]quests!$1:$1,0)-MATCH($B$1,[2]quests!$1:$1,0)+1,FALSE)</f>
        <v>ヘンペルチャレンジ</v>
      </c>
      <c r="F37" s="4" t="str">
        <f ca="1">VLOOKUP($D37,OFFSET([2]stages!$A$1,0,0,COUNTA([2]stages!$A:$A),MATCH(F$1,[2]stages!$2:$2,0)-MATCH($D$1,[2]stages!$2:$2,0)+1),MATCH(F$1,[2]stages!$2:$2,0)-MATCH($D$1,[2]stages!$2:$2,0)+1,FALSE)</f>
        <v>[中級] 第3回　</v>
      </c>
      <c r="G37" s="21">
        <v>1</v>
      </c>
      <c r="H37" s="15" t="str">
        <f t="shared" si="14"/>
        <v>60003_1-1</v>
      </c>
      <c r="I37" s="4">
        <f ca="1">VLOOKUP($H37,OFFSET(floors!$A$1,0,0,COUNTA(floors!$A:$A),MATCH(I$1,floors!$1:$1,0)-MATCH($H$1,floors!$1:$1,0)+1),MATCH(I$1,floors!$1:$1,0)-MATCH($H$1,floors!$1:$1,0)+1,FALSE)</f>
        <v>60</v>
      </c>
      <c r="J37" s="4">
        <f ca="1">VLOOKUP($H37,OFFSET(floors!$A$1,0,0,COUNTA(floors!$A:$A),MATCH(J$1,floors!$1:$1,0)-MATCH($H$1,floors!$1:$1,0)+1),MATCH(J$1,floors!$1:$1,0)-MATCH($H$1,floors!$1:$1,0)+1,FALSE)</f>
        <v>60</v>
      </c>
      <c r="K37" s="38" t="s">
        <v>53</v>
      </c>
      <c r="L37" s="20">
        <v>5</v>
      </c>
      <c r="M37" s="17" t="str">
        <f ca="1">VLOOKUP($L37,OFFSET([3]enemies!$A$1,0,0,COUNTA([3]enemies!$A:$A),MATCH(M$1,[3]enemies!$1:$1,0)-MATCH($L$1,[3]enemies!$1:$1,0)+1),MATCH(M$1,[3]enemies!$1:$1,0)-MATCH($L$1,[3]enemies!$1:$1,0)+1,FALSE)</f>
        <v>パトドッグ ポチ</v>
      </c>
      <c r="N37" s="17" t="str">
        <f ca="1">VLOOKUP($L37,OFFSET([3]enemies!$A$1,0,0,COUNTA([3]enemies!$A:$A),MATCH(N$1,[3]enemies!$1:$1,0)-MATCH($L$1,[3]enemies!$1:$1,0)+1),MATCH(N$1,[3]enemies!$1:$1,0)-MATCH($L$1,[3]enemies!$1:$1,0)+1,FALSE)</f>
        <v>blue</v>
      </c>
      <c r="O37" s="17" t="str">
        <f ca="1">VLOOKUP($L37,OFFSET([4]characters!$A$1,0,0,COUNTA([4]characters!$A:$A),MATCH(O$1,[4]characters!$1:$1,0)-MATCH($L$1,[4]characters!$1:$1,0)+1),MATCH(O$1,[4]characters!$1:$1,0)-MATCH($L$1,[4]characters!$1:$1,0)+1,FALSE)</f>
        <v>Drop1T</v>
      </c>
      <c r="P37" s="17" t="str">
        <f ca="1">VLOOKUP($L37,OFFSET([3]enemies!$A$1,0,0,COUNTA([3]enemies!$A:$A),MATCH(P$1,[3]enemies!$1:$1,0)-MATCH($L$1,[3]enemies!$1:$1,0)+1),MATCH(P$1,[3]enemies!$1:$1,0)-MATCH($L$1,[3]enemies!$1:$1,0)+1,FALSE)</f>
        <v>unknown</v>
      </c>
      <c r="Q37" s="17">
        <f ca="1">VLOOKUP($L37,OFFSET([3]enemies!$A$1,0,0,COUNTA([3]enemies!$A:$A),MATCH(Q$1,[3]enemies!$1:$1,0)-MATCH($L$1,[3]enemies!$1:$1,0)+1),MATCH(Q$1,[3]enemies!$1:$1,0)-MATCH($L$1,[3]enemies!$1:$1,0)+1,FALSE)</f>
        <v>15</v>
      </c>
      <c r="R37" s="5">
        <v>10</v>
      </c>
      <c r="S37" s="25">
        <v>1.2</v>
      </c>
      <c r="T37" s="25">
        <v>1.1000000000000001</v>
      </c>
      <c r="U37" s="5">
        <v>0</v>
      </c>
      <c r="V37" s="4" t="e">
        <f ca="1">VLOOKUP($W37,OFFSET([5]enemy_skill_sets!$B$1,0,0,COUNTA([5]enemy_skill_sets!$B:$B),MATCH(M$1,[5]enemy_skill_sets!$1:$1,0)-MATCH($W$1,[5]enemy_skill_sets!$1:$1,0)+2),MATCH(M$1,[5]enemy_skill_sets!$1:$1,0)-MATCH($W$1,[5]enemy_skill_sets!$1:$1,0)+2,FALSE)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7" s="4">
        <v>60001100</v>
      </c>
      <c r="X37" s="6">
        <v>1</v>
      </c>
      <c r="Y37" s="6">
        <v>100</v>
      </c>
      <c r="Z37" s="6">
        <v>1</v>
      </c>
      <c r="AA37" s="17">
        <f ca="1">VLOOKUP($L37,OFFSET([3]enemies!$A$1,0,0,COUNTA([3]enemies!$A:$A),MATCH(AA$1,[3]enemies!$1:$1,0)-MATCH($L$1,[3]enemies!$1:$1,0)+1),MATCH(AA$1,[3]enemies!$1:$1,0)-MATCH($L$1,[3]enemies!$1:$1,0)+1,FALSE)</f>
        <v>3</v>
      </c>
      <c r="AB37" s="24">
        <f t="shared" si="15"/>
        <v>5</v>
      </c>
      <c r="AC37" s="4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37" s="4">
        <f ca="1">VLOOKUP($AB37,OFFSET([4]characters!$A$1,0,0,COUNTA([4]characters!$A:$A),MATCH(AD$1,[4]characters!$1:$1,0)-MATCH("character_id",[4]characters!$1:$1,0)+1),MATCH(AD$1,[4]characters!$1:$1,0)-MATCH("character_id",[4]characters!$1:$1,0)+1,FALSE)</f>
        <v>1</v>
      </c>
      <c r="AE37" s="4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Drop1T</v>
      </c>
      <c r="AF37" s="7">
        <v>1</v>
      </c>
      <c r="AG37" s="24">
        <f t="shared" ca="1" si="16"/>
        <v>1</v>
      </c>
      <c r="AH37" s="8">
        <v>0</v>
      </c>
      <c r="AI37" s="7">
        <v>0</v>
      </c>
      <c r="AJ37" s="7">
        <v>0</v>
      </c>
      <c r="AK37" s="7">
        <v>0</v>
      </c>
      <c r="AL37" s="7">
        <v>0</v>
      </c>
      <c r="AM37" s="7">
        <v>1</v>
      </c>
      <c r="AN37" s="69">
        <v>1</v>
      </c>
    </row>
    <row r="38" spans="1:40" ht="21" customHeight="1">
      <c r="A38" s="16" t="str">
        <f t="shared" ca="1" si="0"/>
        <v>60003_1-1/7&lt;lv10&gt;s2</v>
      </c>
      <c r="B38" s="22">
        <v>60003</v>
      </c>
      <c r="C38" s="21">
        <v>1</v>
      </c>
      <c r="D38" s="2" t="str">
        <f t="shared" si="13"/>
        <v>60003_1</v>
      </c>
      <c r="E38" s="4" t="str">
        <f ca="1">VLOOKUP($B38,OFFSET([2]quests!$A$1,0,0,COUNTA([2]quests!$A:$A),MATCH(E$1,[2]quests!$1:$1,0)-MATCH($B$1,[2]quests!$1:$1,0)+1),MATCH(E$1,[2]quests!$1:$1,0)-MATCH($B$1,[2]quests!$1:$1,0)+1,FALSE)</f>
        <v>ヘンペルチャレンジ</v>
      </c>
      <c r="F38" s="4" t="str">
        <f ca="1">VLOOKUP($D38,OFFSET([2]stages!$A$1,0,0,COUNTA([2]stages!$A:$A),MATCH(F$1,[2]stages!$2:$2,0)-MATCH($D$1,[2]stages!$2:$2,0)+1),MATCH(F$1,[2]stages!$2:$2,0)-MATCH($D$1,[2]stages!$2:$2,0)+1,FALSE)</f>
        <v>[中級] 第3回　</v>
      </c>
      <c r="G38" s="21">
        <v>1</v>
      </c>
      <c r="H38" s="15" t="str">
        <f t="shared" si="14"/>
        <v>60003_1-1</v>
      </c>
      <c r="I38" s="4">
        <f ca="1">VLOOKUP($H38,OFFSET(floors!$A$1,0,0,COUNTA(floors!$A:$A),MATCH(I$1,floors!$1:$1,0)-MATCH($H$1,floors!$1:$1,0)+1),MATCH(I$1,floors!$1:$1,0)-MATCH($H$1,floors!$1:$1,0)+1,FALSE)</f>
        <v>60</v>
      </c>
      <c r="J38" s="4">
        <f ca="1">VLOOKUP($H38,OFFSET(floors!$A$1,0,0,COUNTA(floors!$A:$A),MATCH(J$1,floors!$1:$1,0)-MATCH($H$1,floors!$1:$1,0)+1),MATCH(J$1,floors!$1:$1,0)-MATCH($H$1,floors!$1:$1,0)+1,FALSE)</f>
        <v>60</v>
      </c>
      <c r="K38" s="38" t="s">
        <v>53</v>
      </c>
      <c r="L38" s="20">
        <v>7</v>
      </c>
      <c r="M38" s="17" t="str">
        <f ca="1">VLOOKUP($L38,OFFSET([3]enemies!$A$1,0,0,COUNTA([3]enemies!$A:$A),MATCH(M$1,[3]enemies!$1:$1,0)-MATCH($L$1,[3]enemies!$1:$1,0)+1),MATCH(M$1,[3]enemies!$1:$1,0)-MATCH($L$1,[3]enemies!$1:$1,0)+1,FALSE)</f>
        <v>エレキポット</v>
      </c>
      <c r="N38" s="17" t="str">
        <f ca="1">VLOOKUP($L38,OFFSET([3]enemies!$A$1,0,0,COUNTA([3]enemies!$A:$A),MATCH(N$1,[3]enemies!$1:$1,0)-MATCH($L$1,[3]enemies!$1:$1,0)+1),MATCH(N$1,[3]enemies!$1:$1,0)-MATCH($L$1,[3]enemies!$1:$1,0)+1,FALSE)</f>
        <v>yellow</v>
      </c>
      <c r="O38" s="17" t="str">
        <f ca="1">VLOOKUP($L38,OFFSET([4]characters!$A$1,0,0,COUNTA([4]characters!$A:$A),MATCH(O$1,[4]characters!$1:$1,0)-MATCH($L$1,[4]characters!$1:$1,0)+1),MATCH(O$1,[4]characters!$1:$1,0)-MATCH($L$1,[4]characters!$1:$1,0)+1,FALSE)</f>
        <v>Drop1T</v>
      </c>
      <c r="P38" s="17" t="str">
        <f ca="1">VLOOKUP($L38,OFFSET([3]enemies!$A$1,0,0,COUNTA([3]enemies!$A:$A),MATCH(P$1,[3]enemies!$1:$1,0)-MATCH($L$1,[3]enemies!$1:$1,0)+1),MATCH(P$1,[3]enemies!$1:$1,0)-MATCH($L$1,[3]enemies!$1:$1,0)+1,FALSE)</f>
        <v>unknown</v>
      </c>
      <c r="Q38" s="17">
        <f ca="1">VLOOKUP($L38,OFFSET([3]enemies!$A$1,0,0,COUNTA([3]enemies!$A:$A),MATCH(Q$1,[3]enemies!$1:$1,0)-MATCH($L$1,[3]enemies!$1:$1,0)+1),MATCH(Q$1,[3]enemies!$1:$1,0)-MATCH($L$1,[3]enemies!$1:$1,0)+1,FALSE)</f>
        <v>15</v>
      </c>
      <c r="R38" s="5">
        <v>10</v>
      </c>
      <c r="S38" s="25">
        <v>1.2</v>
      </c>
      <c r="T38" s="25">
        <v>1.1000000000000001</v>
      </c>
      <c r="U38" s="5">
        <v>0</v>
      </c>
      <c r="V38" s="4" t="e">
        <f ca="1">VLOOKUP($W38,OFFSET([5]enemy_skill_sets!$B$1,0,0,COUNTA([5]enemy_skill_sets!$B:$B),MATCH(M$1,[5]enemy_skill_sets!$1:$1,0)-MATCH($W$1,[5]enemy_skill_sets!$1:$1,0)+2),MATCH(M$1,[5]enemy_skill_sets!$1:$1,0)-MATCH($W$1,[5]enemy_skill_sets!$1:$1,0)+2,FALSE)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8" s="4">
        <v>0</v>
      </c>
      <c r="X38" s="6">
        <v>1</v>
      </c>
      <c r="Y38" s="6">
        <v>100</v>
      </c>
      <c r="Z38" s="6">
        <v>0</v>
      </c>
      <c r="AA38" s="17">
        <f ca="1">VLOOKUP($L38,OFFSET([3]enemies!$A$1,0,0,COUNTA([3]enemies!$A:$A),MATCH(AA$1,[3]enemies!$1:$1,0)-MATCH($L$1,[3]enemies!$1:$1,0)+1),MATCH(AA$1,[3]enemies!$1:$1,0)-MATCH($L$1,[3]enemies!$1:$1,0)+1,FALSE)</f>
        <v>2</v>
      </c>
      <c r="AB38" s="24">
        <f t="shared" si="15"/>
        <v>7</v>
      </c>
      <c r="AC38" s="4" t="str">
        <f ca="1">VLOOKUP($AB38,OFFSET([4]characters!$A$1,0,0,COUNTA([4]characters!$A:$A),MATCH(AC$1,[4]characters!$1:$1,0)-MATCH("character_id",[4]characters!$1:$1,0)+1),MATCH(AC$1,[4]characters!$1:$1,0)-MATCH("character_id",[4]characters!$1:$1,0)+1,FALSE)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38" s="4">
        <f ca="1">VLOOKUP($AB38,OFFSET([4]characters!$A$1,0,0,COUNTA([4]characters!$A:$A),MATCH(AD$1,[4]characters!$1:$1,0)-MATCH("character_id",[4]characters!$1:$1,0)+1),MATCH(AD$1,[4]characters!$1:$1,0)-MATCH("character_id",[4]characters!$1:$1,0)+1,FALSE)</f>
        <v>1</v>
      </c>
      <c r="AE38" s="4" t="str">
        <f ca="1">VLOOKUP($AB38,OFFSET([4]characters!$A$1,0,0,COUNTA([4]characters!$A:$A),MATCH(AE$1,[4]characters!$1:$1,0)-MATCH("character_id",[4]characters!$1:$1,0)+1),MATCH(AE$1,[4]characters!$1:$1,0)-MATCH("character_id",[4]characters!$1:$1,0)+1,FALSE)</f>
        <v>Drop1T</v>
      </c>
      <c r="AF38" s="7">
        <v>1</v>
      </c>
      <c r="AG38" s="24">
        <f t="shared" ca="1" si="16"/>
        <v>1</v>
      </c>
      <c r="AH38" s="8">
        <v>0</v>
      </c>
      <c r="AI38" s="7">
        <v>0</v>
      </c>
      <c r="AJ38" s="7">
        <v>0</v>
      </c>
      <c r="AK38" s="7">
        <v>0</v>
      </c>
      <c r="AL38" s="7">
        <v>0</v>
      </c>
      <c r="AM38" s="7">
        <v>1</v>
      </c>
      <c r="AN38" s="69">
        <v>1</v>
      </c>
    </row>
    <row r="39" spans="1:40" ht="21" customHeight="1">
      <c r="A39" s="16" t="str">
        <f t="shared" si="0"/>
        <v>60003_1-2/54&lt;lv10&gt;s2</v>
      </c>
      <c r="B39" s="22">
        <v>60003</v>
      </c>
      <c r="C39" s="21">
        <v>1</v>
      </c>
      <c r="D39" s="2" t="str">
        <f t="shared" si="13"/>
        <v>60003_1</v>
      </c>
      <c r="E39" s="4" t="str">
        <f ca="1">VLOOKUP($B39,OFFSET([2]quests!$A$1,0,0,COUNTA([2]quests!$A:$A),MATCH(E$1,[2]quests!$1:$1,0)-MATCH($B$1,[2]quests!$1:$1,0)+1),MATCH(E$1,[2]quests!$1:$1,0)-MATCH($B$1,[2]quests!$1:$1,0)+1,FALSE)</f>
        <v>ヘンペルチャレンジ</v>
      </c>
      <c r="F39" s="4" t="str">
        <f ca="1">VLOOKUP($D39,OFFSET([2]stages!$A$1,0,0,COUNTA([2]stages!$A:$A),MATCH(F$1,[2]stages!$2:$2,0)-MATCH($D$1,[2]stages!$2:$2,0)+1),MATCH(F$1,[2]stages!$2:$2,0)-MATCH($D$1,[2]stages!$2:$2,0)+1,FALSE)</f>
        <v>[中級] 第3回　</v>
      </c>
      <c r="G39" s="21">
        <v>2</v>
      </c>
      <c r="H39" s="15" t="str">
        <f t="shared" si="14"/>
        <v>60003_1-2</v>
      </c>
      <c r="I39" s="4">
        <f ca="1">VLOOKUP($H39,OFFSET(floors!$A$1,0,0,COUNTA(floors!$A:$A),MATCH(I$1,floors!$1:$1,0)-MATCH($H$1,floors!$1:$1,0)+1),MATCH(I$1,floors!$1:$1,0)-MATCH($H$1,floors!$1:$1,0)+1,FALSE)</f>
        <v>50</v>
      </c>
      <c r="J39" s="4">
        <f ca="1">VLOOKUP($H39,OFFSET(floors!$A$1,0,0,COUNTA(floors!$A:$A),MATCH(J$1,floors!$1:$1,0)-MATCH($H$1,floors!$1:$1,0)+1),MATCH(J$1,floors!$1:$1,0)-MATCH($H$1,floors!$1:$1,0)+1,FALSE)</f>
        <v>50</v>
      </c>
      <c r="K39" s="38" t="s">
        <v>53</v>
      </c>
      <c r="L39" s="20">
        <v>54</v>
      </c>
      <c r="M39" s="17" t="str">
        <f ca="1">VLOOKUP($L39,OFFSET([3]enemies!$A$1,0,0,COUNTA([3]enemies!$A:$A),MATCH(M$1,[3]enemies!$1:$1,0)-MATCH($L$1,[3]enemies!$1:$1,0)+1),MATCH(M$1,[3]enemies!$1:$1,0)-MATCH($L$1,[3]enemies!$1:$1,0)+1,FALSE)</f>
        <v>蒼斬のレジスタンス ケンジ</v>
      </c>
      <c r="N39" s="17" t="str">
        <f ca="1">VLOOKUP($L39,OFFSET([3]enemies!$A$1,0,0,COUNTA([3]enemies!$A:$A),MATCH(N$1,[3]enemies!$1:$1,0)-MATCH($L$1,[3]enemies!$1:$1,0)+1),MATCH(N$1,[3]enemies!$1:$1,0)-MATCH($L$1,[3]enemies!$1:$1,0)+1,FALSE)</f>
        <v>blue</v>
      </c>
      <c r="O39" s="17" t="str">
        <f ca="1">VLOOKUP($L39,OFFSET([4]characters!$A$1,0,0,COUNTA([4]characters!$A:$A),MATCH(O$1,[4]characters!$1:$1,0)-MATCH($L$1,[4]characters!$1:$1,0)+1),MATCH(O$1,[4]characters!$1:$1,0)-MATCH($L$1,[4]characters!$1:$1,0)+1,FALSE)</f>
        <v>Drop1N</v>
      </c>
      <c r="P39" s="17" t="str">
        <f ca="1">VLOOKUP($L39,OFFSET([3]enemies!$A$1,0,0,COUNTA([3]enemies!$A:$A),MATCH(P$1,[3]enemies!$1:$1,0)-MATCH($L$1,[3]enemies!$1:$1,0)+1),MATCH(P$1,[3]enemies!$1:$1,0)-MATCH($L$1,[3]enemies!$1:$1,0)+1,FALSE)</f>
        <v>human</v>
      </c>
      <c r="Q39" s="17">
        <f ca="1">VLOOKUP($L39,OFFSET([3]enemies!$A$1,0,0,COUNTA([3]enemies!$A:$A),MATCH(Q$1,[3]enemies!$1:$1,0)-MATCH($L$1,[3]enemies!$1:$1,0)+1),MATCH(Q$1,[3]enemies!$1:$1,0)-MATCH($L$1,[3]enemies!$1:$1,0)+1,FALSE)</f>
        <v>20</v>
      </c>
      <c r="R39" s="5">
        <v>10</v>
      </c>
      <c r="S39" s="25">
        <v>1.3</v>
      </c>
      <c r="T39" s="25">
        <v>1.2</v>
      </c>
      <c r="U39" s="5">
        <v>0</v>
      </c>
      <c r="V39" s="4" t="e">
        <f ca="1">VLOOKUP($W39,OFFSET([5]enemy_skill_sets!$B$1,0,0,COUNTA([5]enemy_skill_sets!$B:$B),MATCH(M$1,[5]enemy_skill_sets!$1:$1,0)-MATCH($W$1,[5]enemy_skill_sets!$1:$1,0)+2),MATCH(M$1,[5]enemy_skill_sets!$1:$1,0)-MATCH($W$1,[5]enemy_skill_sets!$1:$1,0)+2,FALSE)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9" s="4">
        <v>60001101</v>
      </c>
      <c r="X39" s="6">
        <v>1</v>
      </c>
      <c r="Y39" s="6">
        <v>100</v>
      </c>
      <c r="Z39" s="6">
        <v>0</v>
      </c>
      <c r="AA39" s="17">
        <v>2</v>
      </c>
      <c r="AB39" s="24">
        <f t="shared" si="15"/>
        <v>54</v>
      </c>
      <c r="AC39" s="4" t="str">
        <f ca="1">VLOOKUP($AB39,OFFSET([4]characters!$A$1,0,0,COUNTA([4]characters!$A:$A),MATCH(AC$1,[4]characters!$1:$1,0)-MATCH("character_id",[4]characters!$1:$1,0)+1),MATCH(AC$1,[4]characters!$1:$1,0)-MATCH("character_id",[4]characters!$1:$1,0)+1,FALSE)</f>
        <v>蒼斬のレジスタンス ケンジ</v>
      </c>
      <c r="AD39" s="4">
        <f ca="1">VLOOKUP($AB39,OFFSET([4]characters!$A$1,0,0,COUNTA([4]characters!$A:$A),MATCH(AD$1,[4]characters!$1:$1,0)-MATCH("character_id",[4]characters!$1:$1,0)+1),MATCH(AD$1,[4]characters!$1:$1,0)-MATCH("character_id",[4]characters!$1:$1,0)+1,FALSE)</f>
        <v>3</v>
      </c>
      <c r="AE39" s="4" t="str">
        <f ca="1">VLOOKUP($AB39,OFFSET([4]characters!$A$1,0,0,COUNTA([4]characters!$A:$A),MATCH(AE$1,[4]characters!$1:$1,0)-MATCH("character_id",[4]characters!$1:$1,0)+1),MATCH(AE$1,[4]characters!$1:$1,0)-MATCH("character_id",[4]characters!$1:$1,0)+1,FALSE)</f>
        <v>Drop1N</v>
      </c>
      <c r="AF39" s="7">
        <v>1</v>
      </c>
      <c r="AG39" s="24">
        <f t="shared" ca="1" si="16"/>
        <v>3</v>
      </c>
      <c r="AH39" s="8">
        <v>0</v>
      </c>
      <c r="AI39" s="7">
        <v>0</v>
      </c>
      <c r="AJ39" s="7">
        <v>0</v>
      </c>
      <c r="AK39" s="7">
        <v>0</v>
      </c>
      <c r="AL39" s="7">
        <v>0</v>
      </c>
      <c r="AM39" s="7">
        <v>1</v>
      </c>
      <c r="AN39" s="69">
        <v>1</v>
      </c>
    </row>
    <row r="40" spans="1:40" ht="21" customHeight="1">
      <c r="A40" s="16" t="str">
        <f t="shared" ca="1" si="0"/>
        <v>60003_1-2/73&lt;lv10&gt;s4</v>
      </c>
      <c r="B40" s="22">
        <v>60003</v>
      </c>
      <c r="C40" s="21">
        <v>1</v>
      </c>
      <c r="D40" s="2" t="str">
        <f t="shared" si="13"/>
        <v>60003_1</v>
      </c>
      <c r="E40" s="4" t="str">
        <f ca="1">VLOOKUP($B40,OFFSET([2]quests!$A$1,0,0,COUNTA([2]quests!$A:$A),MATCH(E$1,[2]quests!$1:$1,0)-MATCH($B$1,[2]quests!$1:$1,0)+1),MATCH(E$1,[2]quests!$1:$1,0)-MATCH($B$1,[2]quests!$1:$1,0)+1,FALSE)</f>
        <v>ヘンペルチャレンジ</v>
      </c>
      <c r="F40" s="4" t="str">
        <f ca="1">VLOOKUP($D40,OFFSET([2]stages!$A$1,0,0,COUNTA([2]stages!$A:$A),MATCH(F$1,[2]stages!$2:$2,0)-MATCH($D$1,[2]stages!$2:$2,0)+1),MATCH(F$1,[2]stages!$2:$2,0)-MATCH($D$1,[2]stages!$2:$2,0)+1,FALSE)</f>
        <v>[中級] 第3回　</v>
      </c>
      <c r="G40" s="21">
        <v>2</v>
      </c>
      <c r="H40" s="15" t="str">
        <f t="shared" si="14"/>
        <v>60003_1-2</v>
      </c>
      <c r="I40" s="4">
        <f ca="1">VLOOKUP($H40,OFFSET(floors!$A$1,0,0,COUNTA(floors!$A:$A),MATCH(I$1,floors!$1:$1,0)-MATCH($H$1,floors!$1:$1,0)+1),MATCH(I$1,floors!$1:$1,0)-MATCH($H$1,floors!$1:$1,0)+1,FALSE)</f>
        <v>50</v>
      </c>
      <c r="J40" s="4">
        <f ca="1">VLOOKUP($H40,OFFSET(floors!$A$1,0,0,COUNTA(floors!$A:$A),MATCH(J$1,floors!$1:$1,0)-MATCH($H$1,floors!$1:$1,0)+1),MATCH(J$1,floors!$1:$1,0)-MATCH($H$1,floors!$1:$1,0)+1,FALSE)</f>
        <v>50</v>
      </c>
      <c r="K40" s="38" t="s">
        <v>53</v>
      </c>
      <c r="L40" s="20">
        <v>73</v>
      </c>
      <c r="M40" s="17" t="str">
        <f ca="1">VLOOKUP($L40,OFFSET([3]enemies!$A$1,0,0,COUNTA([3]enemies!$A:$A),MATCH(M$1,[3]enemies!$1:$1,0)-MATCH($L$1,[3]enemies!$1:$1,0)+1),MATCH(M$1,[3]enemies!$1:$1,0)-MATCH($L$1,[3]enemies!$1:$1,0)+1,FALSE)</f>
        <v>自由の探求者 ダックス</v>
      </c>
      <c r="N40" s="17" t="str">
        <f ca="1">VLOOKUP($L40,OFFSET([3]enemies!$A$1,0,0,COUNTA([3]enemies!$A:$A),MATCH(N$1,[3]enemies!$1:$1,0)-MATCH($L$1,[3]enemies!$1:$1,0)+1),MATCH(N$1,[3]enemies!$1:$1,0)-MATCH($L$1,[3]enemies!$1:$1,0)+1,FALSE)</f>
        <v>blue</v>
      </c>
      <c r="O40" s="17" t="str">
        <f ca="1">VLOOKUP($L40,OFFSET([4]characters!$A$1,0,0,COUNTA([4]characters!$A:$A),MATCH(O$1,[4]characters!$1:$1,0)-MATCH($L$1,[4]characters!$1:$1,0)+1),MATCH(O$1,[4]characters!$1:$1,0)-MATCH($L$1,[4]characters!$1:$1,0)+1,FALSE)</f>
        <v>Drop1S</v>
      </c>
      <c r="P40" s="17" t="str">
        <f ca="1">VLOOKUP($L40,OFFSET([3]enemies!$A$1,0,0,COUNTA([3]enemies!$A:$A),MATCH(P$1,[3]enemies!$1:$1,0)-MATCH($L$1,[3]enemies!$1:$1,0)+1),MATCH(P$1,[3]enemies!$1:$1,0)-MATCH($L$1,[3]enemies!$1:$1,0)+1,FALSE)</f>
        <v>animal</v>
      </c>
      <c r="Q40" s="17">
        <f ca="1">VLOOKUP($L40,OFFSET([3]enemies!$A$1,0,0,COUNTA([3]enemies!$A:$A),MATCH(Q$1,[3]enemies!$1:$1,0)-MATCH($L$1,[3]enemies!$1:$1,0)+1),MATCH(Q$1,[3]enemies!$1:$1,0)-MATCH($L$1,[3]enemies!$1:$1,0)+1,FALSE)</f>
        <v>30</v>
      </c>
      <c r="R40" s="5">
        <v>10</v>
      </c>
      <c r="S40" s="25">
        <v>1.3</v>
      </c>
      <c r="T40" s="25">
        <v>1</v>
      </c>
      <c r="U40" s="5">
        <v>0</v>
      </c>
      <c r="V40" s="4" t="e">
        <f ca="1">VLOOKUP($W40,OFFSET([5]enemy_skill_sets!$B$1,0,0,COUNTA([5]enemy_skill_sets!$B:$B),MATCH(M$1,[5]enemy_skill_sets!$1:$1,0)-MATCH($W$1,[5]enemy_skill_sets!$1:$1,0)+2),MATCH(M$1,[5]enemy_skill_sets!$1:$1,0)-MATCH($W$1,[5]enemy_skill_sets!$1:$1,0)+2,FALSE)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40" s="4">
        <v>60001102</v>
      </c>
      <c r="X40" s="6">
        <v>1</v>
      </c>
      <c r="Y40" s="6">
        <v>100</v>
      </c>
      <c r="Z40" s="6">
        <v>0</v>
      </c>
      <c r="AA40" s="17">
        <f ca="1">VLOOKUP($L40,OFFSET([3]enemies!$A$1,0,0,COUNTA([3]enemies!$A:$A),MATCH(AA$1,[3]enemies!$1:$1,0)-MATCH($L$1,[3]enemies!$1:$1,0)+1),MATCH(AA$1,[3]enemies!$1:$1,0)-MATCH($L$1,[3]enemies!$1:$1,0)+1,FALSE)</f>
        <v>4</v>
      </c>
      <c r="AB40" s="24">
        <f t="shared" si="15"/>
        <v>73</v>
      </c>
      <c r="AC40" s="4" t="str">
        <f ca="1">VLOOKUP($AB40,OFFSET([4]characters!$A$1,0,0,COUNTA([4]characters!$A:$A),MATCH(AC$1,[4]characters!$1:$1,0)-MATCH("character_id",[4]characters!$1:$1,0)+1),MATCH(AC$1,[4]characters!$1:$1,0)-MATCH("character_id",[4]characters!$1:$1,0)+1,FALSE)</f>
        <v>自由の探求者 ダックス</v>
      </c>
      <c r="AD40" s="4">
        <f ca="1">VLOOKUP($AB40,OFFSET([4]characters!$A$1,0,0,COUNTA([4]characters!$A:$A),MATCH(AD$1,[4]characters!$1:$1,0)-MATCH("character_id",[4]characters!$1:$1,0)+1),MATCH(AD$1,[4]characters!$1:$1,0)-MATCH("character_id",[4]characters!$1:$1,0)+1,FALSE)</f>
        <v>4</v>
      </c>
      <c r="AE40" s="4" t="str">
        <f ca="1">VLOOKUP($AB40,OFFSET([4]characters!$A$1,0,0,COUNTA([4]characters!$A:$A),MATCH(AE$1,[4]characters!$1:$1,0)-MATCH("character_id",[4]characters!$1:$1,0)+1),MATCH(AE$1,[4]characters!$1:$1,0)-MATCH("character_id",[4]characters!$1:$1,0)+1,FALSE)</f>
        <v>Drop1S</v>
      </c>
      <c r="AF40" s="7">
        <v>1</v>
      </c>
      <c r="AG40" s="24">
        <f t="shared" ca="1" si="16"/>
        <v>4</v>
      </c>
      <c r="AH40" s="8">
        <v>0</v>
      </c>
      <c r="AI40" s="7">
        <v>0</v>
      </c>
      <c r="AJ40" s="7">
        <v>0</v>
      </c>
      <c r="AK40" s="7">
        <v>0</v>
      </c>
      <c r="AL40" s="7">
        <v>0</v>
      </c>
      <c r="AM40" s="7">
        <v>1</v>
      </c>
      <c r="AN40" s="69">
        <v>1</v>
      </c>
    </row>
    <row r="41" spans="1:40" ht="21" customHeight="1">
      <c r="A41" s="16" t="str">
        <f t="shared" ca="1" si="0"/>
        <v>60003_1-3/122&lt;lv1&gt;s3</v>
      </c>
      <c r="B41" s="22">
        <v>60003</v>
      </c>
      <c r="C41" s="21">
        <v>1</v>
      </c>
      <c r="D41" s="2" t="str">
        <f>B41&amp;"_"&amp;C41</f>
        <v>60003_1</v>
      </c>
      <c r="E41" s="4" t="str">
        <f ca="1">VLOOKUP($B41,OFFSET([2]quests!$A$1,0,0,COUNTA([2]quests!$A:$A),MATCH(E$1,[2]quests!$1:$1,0)-MATCH($B$1,[2]quests!$1:$1,0)+1),MATCH(E$1,[2]quests!$1:$1,0)-MATCH($B$1,[2]quests!$1:$1,0)+1,FALSE)</f>
        <v>ヘンペルチャレンジ</v>
      </c>
      <c r="F41" s="4" t="str">
        <f ca="1">VLOOKUP($D41,OFFSET([2]stages!$A$1,0,0,COUNTA([2]stages!$A:$A),MATCH(F$1,[2]stages!$2:$2,0)-MATCH($D$1,[2]stages!$2:$2,0)+1),MATCH(F$1,[2]stages!$2:$2,0)-MATCH($D$1,[2]stages!$2:$2,0)+1,FALSE)</f>
        <v>[中級] 第3回　</v>
      </c>
      <c r="G41" s="21">
        <v>3</v>
      </c>
      <c r="H41" s="15" t="str">
        <f>B41&amp;"_"&amp;C41&amp;"-"&amp;G41</f>
        <v>60003_1-3</v>
      </c>
      <c r="I41" s="4">
        <f ca="1">VLOOKUP($H41,OFFSET(floors!$A$1,0,0,COUNTA(floors!$A:$A),MATCH(I$1,floors!$1:$1,0)-MATCH($H$1,floors!$1:$1,0)+1),MATCH(I$1,floors!$1:$1,0)-MATCH($H$1,floors!$1:$1,0)+1,FALSE)</f>
        <v>60</v>
      </c>
      <c r="J41" s="4">
        <f ca="1">VLOOKUP($H41,OFFSET(floors!$A$1,0,0,COUNTA(floors!$A:$A),MATCH(J$1,floors!$1:$1,0)-MATCH($H$1,floors!$1:$1,0)+1),MATCH(J$1,floors!$1:$1,0)-MATCH($H$1,floors!$1:$1,0)+1,FALSE)</f>
        <v>60</v>
      </c>
      <c r="K41" s="38" t="s">
        <v>53</v>
      </c>
      <c r="L41" s="20">
        <v>122</v>
      </c>
      <c r="M41" s="17" t="str">
        <f ca="1">VLOOKUP($L41,OFFSET([3]enemies!$A$1,0,0,COUNTA([3]enemies!$A:$A),MATCH(M$1,[3]enemies!$1:$1,0)-MATCH($L$1,[3]enemies!$1:$1,0)+1),MATCH(M$1,[3]enemies!$1:$1,0)-MATCH($L$1,[3]enemies!$1:$1,0)+1,FALSE)</f>
        <v>生命の果実</v>
      </c>
      <c r="N41" s="17" t="str">
        <f ca="1">VLOOKUP($L41,OFFSET([3]enemies!$A$1,0,0,COUNTA([3]enemies!$A:$A),MATCH(N$1,[3]enemies!$1:$1,0)-MATCH($L$1,[3]enemies!$1:$1,0)+1),MATCH(N$1,[3]enemies!$1:$1,0)-MATCH($L$1,[3]enemies!$1:$1,0)+1,FALSE)</f>
        <v>green</v>
      </c>
      <c r="O41" s="17" t="str">
        <f ca="1">VLOOKUP($L41,OFFSET([4]characters!$A$1,0,0,COUNTA([4]characters!$A:$A),MATCH(O$1,[4]characters!$1:$1,0)-MATCH($L$1,[4]characters!$1:$1,0)+1),MATCH(O$1,[4]characters!$1:$1,0)-MATCH($L$1,[4]characters!$1:$1,0)+1,FALSE)</f>
        <v>Material</v>
      </c>
      <c r="P41" s="17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17">
        <f ca="1">VLOOKUP($L41,OFFSET([3]enemies!$A$1,0,0,COUNTA([3]enemies!$A:$A),MATCH(Q$1,[3]enemies!$1:$1,0)-MATCH($L$1,[3]enemies!$1:$1,0)+1),MATCH(Q$1,[3]enemies!$1:$1,0)-MATCH($L$1,[3]enemies!$1:$1,0)+1,FALSE)</f>
        <v>20</v>
      </c>
      <c r="R41" s="5">
        <v>1</v>
      </c>
      <c r="S41" s="25">
        <v>0.1</v>
      </c>
      <c r="T41" s="25">
        <v>1</v>
      </c>
      <c r="U41" s="5">
        <v>1000000</v>
      </c>
      <c r="V41" s="4" t="e">
        <f ca="1">VLOOKUP($W41,OFFSET([5]enemy_skill_sets!$B$1,0,0,COUNTA([5]enemy_skill_sets!$B:$B),MATCH(M$1,[5]enemy_skill_sets!$1:$1,0)-MATCH($W$1,[5]enemy_skill_sets!$1:$1,0)+2),MATCH(M$1,[5]enemy_skill_sets!$1:$1,0)-MATCH($W$1,[5]enemy_skill_sets!$1:$1,0)+2,FALSE)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41" s="4">
        <v>60001103</v>
      </c>
      <c r="X41" s="6">
        <v>1</v>
      </c>
      <c r="Y41" s="6">
        <v>100</v>
      </c>
      <c r="Z41" s="6">
        <v>0</v>
      </c>
      <c r="AA41" s="17">
        <f ca="1">VLOOKUP($L41,OFFSET([3]enemies!$A$1,0,0,COUNTA([3]enemies!$A:$A),MATCH(AA$1,[3]enemies!$1:$1,0)-MATCH($L$1,[3]enemies!$1:$1,0)+1),MATCH(AA$1,[3]enemies!$1:$1,0)-MATCH($L$1,[3]enemies!$1:$1,0)+1,FALSE)</f>
        <v>3</v>
      </c>
      <c r="AB41" s="24">
        <f>L41</f>
        <v>122</v>
      </c>
      <c r="AC41" s="4" t="str">
        <f ca="1">VLOOKUP($AB41,OFFSET([4]characters!$A$1,0,0,COUNTA([4]characters!$A:$A),MATCH(AC$1,[4]characters!$1:$1,0)-MATCH("character_id",[4]characters!$1:$1,0)+1),MATCH(AC$1,[4]characters!$1:$1,0)-MATCH("character_id",[4]characters!$1:$1,0)+1,FALSE)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41" s="4">
        <f ca="1">VLOOKUP($AB41,OFFSET([4]characters!$A$1,0,0,COUNTA([4]characters!$A:$A),MATCH(AD$1,[4]characters!$1:$1,0)-MATCH("character_id",[4]characters!$1:$1,0)+1),MATCH(AD$1,[4]characters!$1:$1,0)-MATCH("character_id",[4]characters!$1:$1,0)+1,FALSE)</f>
        <v>3</v>
      </c>
      <c r="AE41" s="4" t="str">
        <f ca="1">VLOOKUP($AB41,OFFSET([4]characters!$A$1,0,0,COUNTA([4]characters!$A:$A),MATCH(AE$1,[4]characters!$1:$1,0)-MATCH("character_id",[4]characters!$1:$1,0)+1),MATCH(AE$1,[4]characters!$1:$1,0)-MATCH("character_id",[4]characters!$1:$1,0)+1,FALSE)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1" s="7">
        <v>1</v>
      </c>
      <c r="AG41" s="24">
        <f ca="1">AD41</f>
        <v>3</v>
      </c>
      <c r="AH41" s="8">
        <v>0</v>
      </c>
      <c r="AI41" s="7">
        <v>0</v>
      </c>
      <c r="AJ41" s="7">
        <v>0</v>
      </c>
      <c r="AK41" s="7">
        <v>0</v>
      </c>
      <c r="AL41" s="7">
        <v>0</v>
      </c>
      <c r="AM41" s="7">
        <v>1</v>
      </c>
      <c r="AN41" s="69">
        <v>1</v>
      </c>
    </row>
    <row r="42" spans="1:40" ht="21" customHeight="1">
      <c r="A42" s="16" t="str">
        <f t="shared" si="0"/>
        <v>60003_1-4/581&lt;lv20&gt;s3</v>
      </c>
      <c r="B42" s="22">
        <v>60003</v>
      </c>
      <c r="C42" s="21">
        <v>1</v>
      </c>
      <c r="D42" s="2" t="str">
        <f>B42&amp;"_"&amp;C42</f>
        <v>60003_1</v>
      </c>
      <c r="E42" s="4" t="str">
        <f ca="1">VLOOKUP($B42,OFFSET([2]quests!$A$1,0,0,COUNTA([2]quests!$A:$A),MATCH(E$1,[2]quests!$1:$1,0)-MATCH($B$1,[2]quests!$1:$1,0)+1),MATCH(E$1,[2]quests!$1:$1,0)-MATCH($B$1,[2]quests!$1:$1,0)+1,FALSE)</f>
        <v>ヘンペルチャレンジ</v>
      </c>
      <c r="F42" s="4" t="str">
        <f ca="1">VLOOKUP($D42,OFFSET([2]stages!$A$1,0,0,COUNTA([2]stages!$A:$A),MATCH(F$1,[2]stages!$2:$2,0)-MATCH($D$1,[2]stages!$2:$2,0)+1),MATCH(F$1,[2]stages!$2:$2,0)-MATCH($D$1,[2]stages!$2:$2,0)+1,FALSE)</f>
        <v>[中級] 第3回　</v>
      </c>
      <c r="G42" s="21">
        <v>4</v>
      </c>
      <c r="H42" s="15" t="str">
        <f>B42&amp;"_"&amp;C42&amp;"-"&amp;G42</f>
        <v>60003_1-4</v>
      </c>
      <c r="I42" s="4">
        <f ca="1">VLOOKUP($H42,OFFSET(floors!$A$1,0,0,COUNTA(floors!$A:$A),MATCH(I$1,floors!$1:$1,0)-MATCH($H$1,floors!$1:$1,0)+1),MATCH(I$1,floors!$1:$1,0)-MATCH($H$1,floors!$1:$1,0)+1,FALSE)</f>
        <v>60</v>
      </c>
      <c r="J42" s="4">
        <f ca="1">VLOOKUP($H42,OFFSET(floors!$A$1,0,0,COUNTA(floors!$A:$A),MATCH(J$1,floors!$1:$1,0)-MATCH($H$1,floors!$1:$1,0)+1),MATCH(J$1,floors!$1:$1,0)-MATCH($H$1,floors!$1:$1,0)+1,FALSE)</f>
        <v>60</v>
      </c>
      <c r="K42" s="38">
        <v>1</v>
      </c>
      <c r="L42" s="20">
        <v>581</v>
      </c>
      <c r="M42" s="17" t="str">
        <f ca="1">VLOOKUP($L42,OFFSET([3]enemies!$A$1,0,0,COUNTA([3]enemies!$A:$A),MATCH(M$1,[3]enemies!$1:$1,0)-MATCH($L$1,[3]enemies!$1:$1,0)+1),MATCH(M$1,[3]enemies!$1:$1,0)-MATCH($L$1,[3]enemies!$1:$1,0)+1,FALSE)</f>
        <v>フギンとムニン</v>
      </c>
      <c r="N42" s="17" t="str">
        <f ca="1">VLOOKUP($L42,OFFSET([3]enemies!$A$1,0,0,COUNTA([3]enemies!$A:$A),MATCH(N$1,[3]enemies!$1:$1,0)-MATCH($L$1,[3]enemies!$1:$1,0)+1),MATCH(N$1,[3]enemies!$1:$1,0)-MATCH($L$1,[3]enemies!$1:$1,0)+1,FALSE)</f>
        <v>blue</v>
      </c>
      <c r="O42" s="17" t="str">
        <f ca="1">VLOOKUP($L42,OFFSET([4]characters!$A$1,0,0,COUNTA([4]characters!$A:$A),MATCH(O$1,[4]characters!$1:$1,0)-MATCH($L$1,[4]characters!$1:$1,0)+1),MATCH(O$1,[4]characters!$1:$1,0)-MATCH($L$1,[4]characters!$1:$1,0)+1,FALSE)</f>
        <v>DropWizS</v>
      </c>
      <c r="P42" s="17" t="str">
        <f ca="1">VLOOKUP($L42,OFFSET([3]enemies!$A$1,0,0,COUNTA([3]enemies!$A:$A),MATCH(P$1,[3]enemies!$1:$1,0)-MATCH($L$1,[3]enemies!$1:$1,0)+1),MATCH(P$1,[3]enemies!$1:$1,0)-MATCH($L$1,[3]enemies!$1:$1,0)+1,FALSE)</f>
        <v>machine</v>
      </c>
      <c r="Q42" s="17">
        <f ca="1">VLOOKUP($L42,OFFSET([3]enemies!$A$1,0,0,COUNTA([3]enemies!$A:$A),MATCH(Q$1,[3]enemies!$1:$1,0)-MATCH($L$1,[3]enemies!$1:$1,0)+1),MATCH(Q$1,[3]enemies!$1:$1,0)-MATCH($L$1,[3]enemies!$1:$1,0)+1,FALSE)</f>
        <v>30</v>
      </c>
      <c r="R42" s="5">
        <v>20</v>
      </c>
      <c r="S42" s="25">
        <v>1.4</v>
      </c>
      <c r="T42" s="25">
        <v>1</v>
      </c>
      <c r="U42" s="5">
        <v>0</v>
      </c>
      <c r="V42" s="4" t="e">
        <f ca="1">VLOOKUP($W42,OFFSET([5]enemy_skill_sets!$B$1,0,0,COUNTA([5]enemy_skill_sets!$B:$B),MATCH(M$1,[5]enemy_skill_sets!$1:$1,0)-MATCH($W$1,[5]enemy_skill_sets!$1:$1,0)+2),MATCH(M$1,[5]enemy_skill_sets!$1:$1,0)-MATCH($W$1,[5]enemy_skill_sets!$1:$1,0)+2,FALSE)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42" s="4">
        <v>60001104</v>
      </c>
      <c r="X42" s="6">
        <v>1</v>
      </c>
      <c r="Y42" s="6">
        <v>100</v>
      </c>
      <c r="Z42" s="6">
        <v>1</v>
      </c>
      <c r="AA42" s="17">
        <v>3</v>
      </c>
      <c r="AB42" s="24">
        <f>L42</f>
        <v>581</v>
      </c>
      <c r="AC42" s="4" t="str">
        <f ca="1">VLOOKUP($AB42,OFFSET([4]characters!$A$1,0,0,COUNTA([4]characters!$A:$A),MATCH(AC$1,[4]characters!$1:$1,0)-MATCH("character_id",[4]characters!$1:$1,0)+1),MATCH(AC$1,[4]characters!$1:$1,0)-MATCH("character_id",[4]characters!$1:$1,0)+1,FALSE)</f>
        <v>フギンとムニン</v>
      </c>
      <c r="AD42" s="4">
        <f ca="1">VLOOKUP($AB42,OFFSET([4]characters!$A$1,0,0,COUNTA([4]characters!$A:$A),MATCH(AD$1,[4]characters!$1:$1,0)-MATCH("character_id",[4]characters!$1:$1,0)+1),MATCH(AD$1,[4]characters!$1:$1,0)-MATCH("character_id",[4]characters!$1:$1,0)+1,FALSE)</f>
        <v>4</v>
      </c>
      <c r="AE42" s="4" t="str">
        <f ca="1">VLOOKUP($AB42,OFFSET([4]characters!$A$1,0,0,COUNTA([4]characters!$A:$A),MATCH(AE$1,[4]characters!$1:$1,0)-MATCH("character_id",[4]characters!$1:$1,0)+1),MATCH(AE$1,[4]characters!$1:$1,0)-MATCH("character_id",[4]characters!$1:$1,0)+1,FALSE)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42" s="7">
        <v>1</v>
      </c>
      <c r="AG42" s="24">
        <f ca="1">AD42</f>
        <v>4</v>
      </c>
      <c r="AH42" s="8">
        <v>0</v>
      </c>
      <c r="AI42" s="7">
        <v>0</v>
      </c>
      <c r="AJ42" s="7">
        <v>0</v>
      </c>
      <c r="AK42" s="7">
        <v>0</v>
      </c>
      <c r="AL42" s="7">
        <v>0</v>
      </c>
      <c r="AM42" s="7">
        <v>1</v>
      </c>
      <c r="AN42" s="69">
        <v>1</v>
      </c>
    </row>
    <row r="43" spans="1:40" ht="21" customHeight="1">
      <c r="A43" s="16" t="str">
        <f t="shared" ca="1" si="0"/>
        <v>60003_1-5/403&lt;lv20&gt;s3</v>
      </c>
      <c r="B43" s="22">
        <v>60003</v>
      </c>
      <c r="C43" s="21">
        <v>1</v>
      </c>
      <c r="D43" s="2" t="str">
        <f>B43&amp;"_"&amp;C43</f>
        <v>60003_1</v>
      </c>
      <c r="E43" s="4" t="str">
        <f ca="1">VLOOKUP($B43,OFFSET([2]quests!$A$1,0,0,COUNTA([2]quests!$A:$A),MATCH(E$1,[2]quests!$1:$1,0)-MATCH($B$1,[2]quests!$1:$1,0)+1),MATCH(E$1,[2]quests!$1:$1,0)-MATCH($B$1,[2]quests!$1:$1,0)+1,FALSE)</f>
        <v>ヘンペルチャレンジ</v>
      </c>
      <c r="F43" s="4" t="str">
        <f ca="1">VLOOKUP($D43,OFFSET([2]stages!$A$1,0,0,COUNTA([2]stages!$A:$A),MATCH(F$1,[2]stages!$2:$2,0)-MATCH($D$1,[2]stages!$2:$2,0)+1),MATCH(F$1,[2]stages!$2:$2,0)-MATCH($D$1,[2]stages!$2:$2,0)+1,FALSE)</f>
        <v>[中級] 第3回　</v>
      </c>
      <c r="G43" s="21">
        <v>5</v>
      </c>
      <c r="H43" s="15" t="str">
        <f>B43&amp;"_"&amp;C43&amp;"-"&amp;G43</f>
        <v>60003_1-5</v>
      </c>
      <c r="I43" s="4">
        <f ca="1">VLOOKUP($H43,OFFSET(floors!$A$1,0,0,COUNTA(floors!$A:$A),MATCH(I$1,floors!$1:$1,0)-MATCH($H$1,floors!$1:$1,0)+1),MATCH(I$1,floors!$1:$1,0)-MATCH($H$1,floors!$1:$1,0)+1,FALSE)</f>
        <v>60</v>
      </c>
      <c r="J43" s="4">
        <f ca="1">VLOOKUP($H43,OFFSET(floors!$A$1,0,0,COUNTA(floors!$A:$A),MATCH(J$1,floors!$1:$1,0)-MATCH($H$1,floors!$1:$1,0)+1),MATCH(J$1,floors!$1:$1,0)-MATCH($H$1,floors!$1:$1,0)+1,FALSE)</f>
        <v>60</v>
      </c>
      <c r="K43" s="38" t="s">
        <v>53</v>
      </c>
      <c r="L43" s="20">
        <v>403</v>
      </c>
      <c r="M43" s="17" t="str">
        <f ca="1">VLOOKUP($L43,OFFSET([3]enemies!$A$1,0,0,COUNTA([3]enemies!$A:$A),MATCH(M$1,[3]enemies!$1:$1,0)-MATCH($L$1,[3]enemies!$1:$1,0)+1),MATCH(M$1,[3]enemies!$1:$1,0)-MATCH($L$1,[3]enemies!$1:$1,0)+1,FALSE)</f>
        <v>静撃の翠眼 八咫烏</v>
      </c>
      <c r="N43" s="17" t="str">
        <f ca="1">VLOOKUP($L43,OFFSET([3]enemies!$A$1,0,0,COUNTA([3]enemies!$A:$A),MATCH(N$1,[3]enemies!$1:$1,0)-MATCH($L$1,[3]enemies!$1:$1,0)+1),MATCH(N$1,[3]enemies!$1:$1,0)-MATCH($L$1,[3]enemies!$1:$1,0)+1,FALSE)</f>
        <v>green</v>
      </c>
      <c r="O43" s="17" t="str">
        <f ca="1">VLOOKUP($L43,OFFSET([4]characters!$A$1,0,0,COUNTA([4]characters!$A:$A),MATCH(O$1,[4]characters!$1:$1,0)-MATCH($L$1,[4]characters!$1:$1,0)+1),MATCH(O$1,[4]characters!$1:$1,0)-MATCH($L$1,[4]characters!$1:$1,0)+1,FALSE)</f>
        <v>PremiumSS</v>
      </c>
      <c r="P43" s="17" t="str">
        <f ca="1">VLOOKUP($L43,OFFSET([3]enemies!$A$1,0,0,COUNTA([3]enemies!$A:$A),MATCH(P$1,[3]enemies!$1:$1,0)-MATCH($L$1,[3]enemies!$1:$1,0)+1),MATCH(P$1,[3]enemies!$1:$1,0)-MATCH($L$1,[3]enemies!$1:$1,0)+1,FALSE)</f>
        <v>animal</v>
      </c>
      <c r="Q43" s="17">
        <f ca="1">VLOOKUP($L43,OFFSET([3]enemies!$A$1,0,0,COUNTA([3]enemies!$A:$A),MATCH(Q$1,[3]enemies!$1:$1,0)-MATCH($L$1,[3]enemies!$1:$1,0)+1),MATCH(Q$1,[3]enemies!$1:$1,0)-MATCH($L$1,[3]enemies!$1:$1,0)+1,FALSE)</f>
        <v>30</v>
      </c>
      <c r="R43" s="5">
        <v>20</v>
      </c>
      <c r="S43" s="25">
        <v>1</v>
      </c>
      <c r="T43" s="25">
        <v>1</v>
      </c>
      <c r="U43" s="5">
        <v>0</v>
      </c>
      <c r="V43" s="4" t="e">
        <f ca="1">VLOOKUP($W43,OFFSET([5]enemy_skill_sets!$B$1,0,0,COUNTA([5]enemy_skill_sets!$B:$B),MATCH(M$1,[5]enemy_skill_sets!$1:$1,0)-MATCH($W$1,[5]enemy_skill_sets!$1:$1,0)+2),MATCH(M$1,[5]enemy_skill_sets!$1:$1,0)-MATCH($W$1,[5]enemy_skill_sets!$1:$1,0)+2,FALSE)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43" s="4">
        <v>60001106</v>
      </c>
      <c r="X43" s="6">
        <v>1</v>
      </c>
      <c r="Y43" s="6">
        <v>100</v>
      </c>
      <c r="Z43" s="6">
        <v>0</v>
      </c>
      <c r="AA43" s="17">
        <f ca="1">VLOOKUP($L43,OFFSET([3]enemies!$A$1,0,0,COUNTA([3]enemies!$A:$A),MATCH(AA$1,[3]enemies!$1:$1,0)-MATCH($L$1,[3]enemies!$1:$1,0)+1),MATCH(AA$1,[3]enemies!$1:$1,0)-MATCH($L$1,[3]enemies!$1:$1,0)+1,FALSE)</f>
        <v>3</v>
      </c>
      <c r="AB43" s="24">
        <f>L43</f>
        <v>403</v>
      </c>
      <c r="AC43" s="4" t="str">
        <f ca="1">VLOOKUP($AB43,OFFSET([4]characters!$A$1,0,0,COUNTA([4]characters!$A:$A),MATCH(AC$1,[4]characters!$1:$1,0)-MATCH("character_id",[4]characters!$1:$1,0)+1),MATCH(AC$1,[4]characters!$1:$1,0)-MATCH("character_id",[4]characters!$1:$1,0)+1,FALSE)</f>
        <v>静撃の翠眼 八咫烏</v>
      </c>
      <c r="AD43" s="4">
        <f ca="1">VLOOKUP($AB43,OFFSET([4]characters!$A$1,0,0,COUNTA([4]characters!$A:$A),MATCH(AD$1,[4]characters!$1:$1,0)-MATCH("character_id",[4]characters!$1:$1,0)+1),MATCH(AD$1,[4]characters!$1:$1,0)-MATCH("character_id",[4]characters!$1:$1,0)+1,FALSE)</f>
        <v>4</v>
      </c>
      <c r="AE43" s="4" t="str">
        <f ca="1">VLOOKUP($AB43,OFFSET([4]characters!$A$1,0,0,COUNTA([4]characters!$A:$A),MATCH(AE$1,[4]characters!$1:$1,0)-MATCH("character_id",[4]characters!$1:$1,0)+1),MATCH(AE$1,[4]characters!$1:$1,0)-MATCH("character_id",[4]characters!$1:$1,0)+1,FALSE)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43" s="7">
        <v>1</v>
      </c>
      <c r="AG43" s="24">
        <f ca="1">AD43</f>
        <v>4</v>
      </c>
      <c r="AH43" s="8">
        <v>0</v>
      </c>
      <c r="AI43" s="7">
        <v>0</v>
      </c>
      <c r="AJ43" s="7">
        <v>0</v>
      </c>
      <c r="AK43" s="7">
        <v>0</v>
      </c>
      <c r="AL43" s="7">
        <v>0</v>
      </c>
      <c r="AM43" s="7">
        <v>1</v>
      </c>
      <c r="AN43" s="69">
        <v>1</v>
      </c>
    </row>
    <row r="44" spans="1:40" ht="21" customHeight="1">
      <c r="A44" s="16" t="str">
        <f t="shared" ca="1" si="0"/>
        <v>60003_1-5/660&lt;lv20&gt;s2</v>
      </c>
      <c r="B44" s="22">
        <v>60003</v>
      </c>
      <c r="C44" s="21">
        <v>1</v>
      </c>
      <c r="D44" s="2" t="str">
        <f>B44&amp;"_"&amp;C44</f>
        <v>60003_1</v>
      </c>
      <c r="E44" s="4" t="str">
        <f ca="1">VLOOKUP($B44,OFFSET([2]quests!$A$1,0,0,COUNTA([2]quests!$A:$A),MATCH(E$1,[2]quests!$1:$1,0)-MATCH($B$1,[2]quests!$1:$1,0)+1),MATCH(E$1,[2]quests!$1:$1,0)-MATCH($B$1,[2]quests!$1:$1,0)+1,FALSE)</f>
        <v>ヘンペルチャレンジ</v>
      </c>
      <c r="F44" s="4" t="str">
        <f ca="1">VLOOKUP($D44,OFFSET([2]stages!$A$1,0,0,COUNTA([2]stages!$A:$A),MATCH(F$1,[2]stages!$2:$2,0)-MATCH($D$1,[2]stages!$2:$2,0)+1),MATCH(F$1,[2]stages!$2:$2,0)-MATCH($D$1,[2]stages!$2:$2,0)+1,FALSE)</f>
        <v>[中級] 第3回　</v>
      </c>
      <c r="G44" s="21">
        <v>5</v>
      </c>
      <c r="H44" s="15" t="str">
        <f>B44&amp;"_"&amp;C44&amp;"-"&amp;G44</f>
        <v>60003_1-5</v>
      </c>
      <c r="I44" s="4">
        <f ca="1">VLOOKUP($H44,OFFSET(floors!$A$1,0,0,COUNTA(floors!$A:$A),MATCH(I$1,floors!$1:$1,0)-MATCH($H$1,floors!$1:$1,0)+1),MATCH(I$1,floors!$1:$1,0)-MATCH($H$1,floors!$1:$1,0)+1,FALSE)</f>
        <v>60</v>
      </c>
      <c r="J44" s="4">
        <f ca="1">VLOOKUP($H44,OFFSET(floors!$A$1,0,0,COUNTA(floors!$A:$A),MATCH(J$1,floors!$1:$1,0)-MATCH($H$1,floors!$1:$1,0)+1),MATCH(J$1,floors!$1:$1,0)-MATCH($H$1,floors!$1:$1,0)+1,FALSE)</f>
        <v>60</v>
      </c>
      <c r="K44" s="38" t="s">
        <v>53</v>
      </c>
      <c r="L44" s="20">
        <v>660</v>
      </c>
      <c r="M44" s="17" t="str">
        <f ca="1">VLOOKUP($L44,OFFSET([3]enemies!$A$1,0,0,COUNTA([3]enemies!$A:$A),MATCH(M$1,[3]enemies!$1:$1,0)-MATCH($L$1,[3]enemies!$1:$1,0)+1),MATCH(M$1,[3]enemies!$1:$1,0)-MATCH($L$1,[3]enemies!$1:$1,0)+1,FALSE)</f>
        <v>烏天狗 フウガ</v>
      </c>
      <c r="N44" s="17" t="str">
        <f ca="1">VLOOKUP($L44,OFFSET([3]enemies!$A$1,0,0,COUNTA([3]enemies!$A:$A),MATCH(N$1,[3]enemies!$1:$1,0)-MATCH($L$1,[3]enemies!$1:$1,0)+1),MATCH(N$1,[3]enemies!$1:$1,0)-MATCH($L$1,[3]enemies!$1:$1,0)+1,FALSE)</f>
        <v>green</v>
      </c>
      <c r="O44" s="17" t="str">
        <f ca="1">VLOOKUP($L44,OFFSET([4]characters!$A$1,0,0,COUNTA([4]characters!$A:$A),MATCH(O$1,[4]characters!$1:$1,0)-MATCH($L$1,[4]characters!$1:$1,0)+1),MATCH(O$1,[4]characters!$1:$1,0)-MATCH($L$1,[4]characters!$1:$1,0)+1,FALSE)</f>
        <v>PremiumSS</v>
      </c>
      <c r="P44" s="17" t="str">
        <f ca="1">VLOOKUP($L44,OFFSET([3]enemies!$A$1,0,0,COUNTA([3]enemies!$A:$A),MATCH(P$1,[3]enemies!$1:$1,0)-MATCH($L$1,[3]enemies!$1:$1,0)+1),MATCH(P$1,[3]enemies!$1:$1,0)-MATCH($L$1,[3]enemies!$1:$1,0)+1,FALSE)</f>
        <v>animal</v>
      </c>
      <c r="Q44" s="17">
        <f ca="1">VLOOKUP($L44,OFFSET([3]enemies!$A$1,0,0,COUNTA([3]enemies!$A:$A),MATCH(Q$1,[3]enemies!$1:$1,0)-MATCH($L$1,[3]enemies!$1:$1,0)+1),MATCH(Q$1,[3]enemies!$1:$1,0)-MATCH($L$1,[3]enemies!$1:$1,0)+1,FALSE)</f>
        <v>30</v>
      </c>
      <c r="R44" s="5">
        <v>20</v>
      </c>
      <c r="S44" s="25">
        <v>0.8</v>
      </c>
      <c r="T44" s="25">
        <v>1</v>
      </c>
      <c r="U44" s="5">
        <v>0</v>
      </c>
      <c r="V44" s="4" t="e">
        <f ca="1">VLOOKUP($W44,OFFSET([5]enemy_skill_sets!$B$1,0,0,COUNTA([5]enemy_skill_sets!$B:$B),MATCH(M$1,[5]enemy_skill_sets!$1:$1,0)-MATCH($W$1,[5]enemy_skill_sets!$1:$1,0)+2),MATCH(M$1,[5]enemy_skill_sets!$1:$1,0)-MATCH($W$1,[5]enemy_skill_sets!$1:$1,0)+2,FALSE)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44" s="4">
        <v>60001107</v>
      </c>
      <c r="X44" s="6">
        <v>1</v>
      </c>
      <c r="Y44" s="6">
        <v>100</v>
      </c>
      <c r="Z44" s="6">
        <v>0</v>
      </c>
      <c r="AA44" s="17">
        <f ca="1">VLOOKUP($L44,OFFSET([3]enemies!$A$1,0,0,COUNTA([3]enemies!$A:$A),MATCH(AA$1,[3]enemies!$1:$1,0)-MATCH($L$1,[3]enemies!$1:$1,0)+1),MATCH(AA$1,[3]enemies!$1:$1,0)-MATCH($L$1,[3]enemies!$1:$1,0)+1,FALSE)</f>
        <v>2</v>
      </c>
      <c r="AB44" s="24">
        <f>L44</f>
        <v>660</v>
      </c>
      <c r="AC44" s="4" t="str">
        <f ca="1">VLOOKUP($AB44,OFFSET([4]characters!$A$1,0,0,COUNTA([4]characters!$A:$A),MATCH(AC$1,[4]characters!$1:$1,0)-MATCH("character_id",[4]characters!$1:$1,0)+1),MATCH(AC$1,[4]characters!$1:$1,0)-MATCH("character_id",[4]characters!$1:$1,0)+1,FALSE)</f>
        <v>烏天狗 フウガ</v>
      </c>
      <c r="AD44" s="4">
        <f ca="1">VLOOKUP($AB44,OFFSET([4]characters!$A$1,0,0,COUNTA([4]characters!$A:$A),MATCH(AD$1,[4]characters!$1:$1,0)-MATCH("character_id",[4]characters!$1:$1,0)+1),MATCH(AD$1,[4]characters!$1:$1,0)-MATCH("character_id",[4]characters!$1:$1,0)+1,FALSE)</f>
        <v>4</v>
      </c>
      <c r="AE44" s="4" t="str">
        <f ca="1">VLOOKUP($AB44,OFFSET([4]characters!$A$1,0,0,COUNTA([4]characters!$A:$A),MATCH(AE$1,[4]characters!$1:$1,0)-MATCH("character_id",[4]characters!$1:$1,0)+1),MATCH(AE$1,[4]characters!$1:$1,0)-MATCH("character_id",[4]characters!$1:$1,0)+1,FALSE)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44" s="7">
        <v>1</v>
      </c>
      <c r="AG44" s="24">
        <f ca="1">AD44</f>
        <v>4</v>
      </c>
      <c r="AH44" s="8">
        <v>0</v>
      </c>
      <c r="AI44" s="7">
        <v>0</v>
      </c>
      <c r="AJ44" s="7">
        <v>0</v>
      </c>
      <c r="AK44" s="7">
        <v>0</v>
      </c>
      <c r="AL44" s="7">
        <v>0</v>
      </c>
      <c r="AM44" s="7">
        <v>1</v>
      </c>
      <c r="AN44" s="69">
        <v>1</v>
      </c>
    </row>
    <row r="45" spans="1:40" ht="21" customHeight="1">
      <c r="A45" s="16" t="str">
        <f t="shared" si="0"/>
        <v>60003_1-6/488&lt;lv30&gt;s3</v>
      </c>
      <c r="B45" s="22">
        <v>60003</v>
      </c>
      <c r="C45" s="21">
        <v>1</v>
      </c>
      <c r="D45" s="2" t="str">
        <f t="shared" ref="D45:D51" si="17">B45&amp;"_"&amp;C45</f>
        <v>60003_1</v>
      </c>
      <c r="E45" s="4" t="str">
        <f ca="1">VLOOKUP($B45,OFFSET([2]quests!$A$1,0,0,COUNTA([2]quests!$A:$A),MATCH(E$1,[2]quests!$1:$1,0)-MATCH($B$1,[2]quests!$1:$1,0)+1),MATCH(E$1,[2]quests!$1:$1,0)-MATCH($B$1,[2]quests!$1:$1,0)+1,FALSE)</f>
        <v>ヘンペルチャレンジ</v>
      </c>
      <c r="F45" s="4" t="str">
        <f ca="1">VLOOKUP($D45,OFFSET([2]stages!$A$1,0,0,COUNTA([2]stages!$A:$A),MATCH(F$1,[2]stages!$2:$2,0)-MATCH($D$1,[2]stages!$2:$2,0)+1),MATCH(F$1,[2]stages!$2:$2,0)-MATCH($D$1,[2]stages!$2:$2,0)+1,FALSE)</f>
        <v>[中級] 第3回　</v>
      </c>
      <c r="G45" s="21">
        <v>6</v>
      </c>
      <c r="H45" s="15" t="str">
        <f t="shared" ref="H45:H51" si="18">B45&amp;"_"&amp;C45&amp;"-"&amp;G45</f>
        <v>60003_1-6</v>
      </c>
      <c r="I45" s="4">
        <f ca="1">VLOOKUP($H45,OFFSET(floors!$A$1,0,0,COUNTA(floors!$A:$A),MATCH(I$1,floors!$1:$1,0)-MATCH($H$1,floors!$1:$1,0)+1),MATCH(I$1,floors!$1:$1,0)-MATCH($H$1,floors!$1:$1,0)+1,FALSE)</f>
        <v>60</v>
      </c>
      <c r="J45" s="4">
        <f ca="1">VLOOKUP($H45,OFFSET(floors!$A$1,0,0,COUNTA(floors!$A:$A),MATCH(J$1,floors!$1:$1,0)-MATCH($H$1,floors!$1:$1,0)+1),MATCH(J$1,floors!$1:$1,0)-MATCH($H$1,floors!$1:$1,0)+1,FALSE)</f>
        <v>60</v>
      </c>
      <c r="K45" s="38">
        <v>1</v>
      </c>
      <c r="L45" s="20">
        <v>488</v>
      </c>
      <c r="M45" s="17" t="str">
        <f ca="1">VLOOKUP($L45,OFFSET([3]enemies!$A$1,0,0,COUNTA([3]enemies!$A:$A),MATCH(M$1,[3]enemies!$1:$1,0)-MATCH($L$1,[3]enemies!$1:$1,0)+1),MATCH(M$1,[3]enemies!$1:$1,0)-MATCH($L$1,[3]enemies!$1:$1,0)+1,FALSE)</f>
        <v>直観の異論 ヘンペル</v>
      </c>
      <c r="N45" s="17" t="str">
        <f ca="1">VLOOKUP($L45,OFFSET([3]enemies!$A$1,0,0,COUNTA([3]enemies!$A:$A),MATCH(N$1,[3]enemies!$1:$1,0)-MATCH($L$1,[3]enemies!$1:$1,0)+1),MATCH(N$1,[3]enemies!$1:$1,0)-MATCH($L$1,[3]enemies!$1:$1,0)+1,FALSE)</f>
        <v>blue</v>
      </c>
      <c r="O45" s="17" t="str">
        <f ca="1">VLOOKUP($L45,OFFSET([4]characters!$A$1,0,0,COUNTA([4]characters!$A:$A),MATCH(O$1,[4]characters!$1:$1,0)-MATCH($L$1,[4]characters!$1:$1,0)+1),MATCH(O$1,[4]characters!$1:$1,0)-MATCH($L$1,[4]characters!$1:$1,0)+1,FALSE)</f>
        <v>PremiumSSS</v>
      </c>
      <c r="P45" s="17" t="str">
        <f ca="1">VLOOKUP($L45,OFFSET([3]enemies!$A$1,0,0,COUNTA([3]enemies!$A:$A),MATCH(P$1,[3]enemies!$1:$1,0)-MATCH($L$1,[3]enemies!$1:$1,0)+1),MATCH(P$1,[3]enemies!$1:$1,0)-MATCH($L$1,[3]enemies!$1:$1,0)+1,FALSE)</f>
        <v>human</v>
      </c>
      <c r="Q45" s="17">
        <f ca="1">VLOOKUP($L45,OFFSET([3]enemies!$A$1,0,0,COUNTA([3]enemies!$A:$A),MATCH(Q$1,[3]enemies!$1:$1,0)-MATCH($L$1,[3]enemies!$1:$1,0)+1),MATCH(Q$1,[3]enemies!$1:$1,0)-MATCH($L$1,[3]enemies!$1:$1,0)+1,FALSE)</f>
        <v>60</v>
      </c>
      <c r="R45" s="5">
        <v>30</v>
      </c>
      <c r="S45" s="25">
        <v>0.9</v>
      </c>
      <c r="T45" s="25">
        <v>1</v>
      </c>
      <c r="U45" s="5">
        <v>0</v>
      </c>
      <c r="V45" s="4" t="e">
        <f ca="1">VLOOKUP($W45,OFFSET([5]enemy_skill_sets!$B$1,0,0,COUNTA([5]enemy_skill_sets!$B:$B),MATCH(M$1,[5]enemy_skill_sets!$1:$1,0)-MATCH($W$1,[5]enemy_skill_sets!$1:$1,0)+2),MATCH(M$1,[5]enemy_skill_sets!$1:$1,0)-MATCH($W$1,[5]enemy_skill_sets!$1:$1,0)+2,FALSE)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45" s="4">
        <v>60001108</v>
      </c>
      <c r="X45" s="6">
        <v>0</v>
      </c>
      <c r="Y45" s="6">
        <v>100</v>
      </c>
      <c r="Z45" s="6">
        <v>1</v>
      </c>
      <c r="AA45" s="17">
        <v>3</v>
      </c>
      <c r="AB45" s="24">
        <f t="shared" ref="AB45:AB51" si="19">L45</f>
        <v>488</v>
      </c>
      <c r="AC45" s="4" t="str">
        <f ca="1">VLOOKUP($AB45,OFFSET([4]characters!$A$1,0,0,COUNTA([4]characters!$A:$A),MATCH(AC$1,[4]characters!$1:$1,0)-MATCH("character_id",[4]characters!$1:$1,0)+1),MATCH(AC$1,[4]characters!$1:$1,0)-MATCH("character_id",[4]characters!$1:$1,0)+1,FALSE)</f>
        <v>直観の異論 ヘンペル</v>
      </c>
      <c r="AD45" s="4">
        <f ca="1">VLOOKUP($AB45,OFFSET([4]characters!$A$1,0,0,COUNTA([4]characters!$A:$A),MATCH(AD$1,[4]characters!$1:$1,0)-MATCH("character_id",[4]characters!$1:$1,0)+1),MATCH(AD$1,[4]characters!$1:$1,0)-MATCH("character_id",[4]characters!$1:$1,0)+1,FALSE)</f>
        <v>5</v>
      </c>
      <c r="AE45" s="4" t="str">
        <f ca="1">VLOOKUP($AB45,OFFSET([4]characters!$A$1,0,0,COUNTA([4]characters!$A:$A),MATCH(AE$1,[4]characters!$1:$1,0)-MATCH("character_id",[4]characters!$1:$1,0)+1),MATCH(AE$1,[4]characters!$1:$1,0)-MATCH("character_id",[4]characters!$1:$1,0)+1,FALSE)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45" s="7">
        <v>1</v>
      </c>
      <c r="AG45" s="24">
        <f t="shared" ref="AG45:AG51" ca="1" si="20">AD45</f>
        <v>5</v>
      </c>
      <c r="AH45" s="8">
        <v>0</v>
      </c>
      <c r="AI45" s="7">
        <v>0</v>
      </c>
      <c r="AJ45" s="7">
        <v>0</v>
      </c>
      <c r="AK45" s="7">
        <v>0</v>
      </c>
      <c r="AL45" s="7">
        <v>0</v>
      </c>
      <c r="AM45" s="7">
        <v>1</v>
      </c>
      <c r="AN45" s="69">
        <v>1</v>
      </c>
    </row>
    <row r="46" spans="1:40" ht="21" customHeight="1">
      <c r="A46" s="16" t="str">
        <f t="shared" ca="1" si="0"/>
        <v>60003_2-1/1&lt;lv25&gt;s1</v>
      </c>
      <c r="B46" s="22">
        <v>60003</v>
      </c>
      <c r="C46" s="21">
        <v>2</v>
      </c>
      <c r="D46" s="2" t="str">
        <f t="shared" si="17"/>
        <v>60003_2</v>
      </c>
      <c r="E46" s="4" t="str">
        <f ca="1">VLOOKUP($B46,OFFSET([2]quests!$A$1,0,0,COUNTA([2]quests!$A:$A),MATCH(E$1,[2]quests!$1:$1,0)-MATCH($B$1,[2]quests!$1:$1,0)+1),MATCH(E$1,[2]quests!$1:$1,0)-MATCH($B$1,[2]quests!$1:$1,0)+1,FALSE)</f>
        <v>ヘンペルチャレンジ</v>
      </c>
      <c r="F46" s="4" t="str">
        <f ca="1">VLOOKUP($D46,OFFSET([2]stages!$A$1,0,0,COUNTA([2]stages!$A:$A),MATCH(F$1,[2]stages!$2:$2,0)-MATCH($D$1,[2]stages!$2:$2,0)+1),MATCH(F$1,[2]stages!$2:$2,0)-MATCH($D$1,[2]stages!$2:$2,0)+1,FALSE)</f>
        <v>[超級] 第3回　</v>
      </c>
      <c r="G46" s="21">
        <v>1</v>
      </c>
      <c r="H46" s="15" t="str">
        <f t="shared" si="18"/>
        <v>60003_2-1</v>
      </c>
      <c r="I46" s="4">
        <f ca="1">VLOOKUP($H46,OFFSET(floors!$A$1,0,0,COUNTA(floors!$A:$A),MATCH(I$1,floors!$1:$1,0)-MATCH($H$1,floors!$1:$1,0)+1),MATCH(I$1,floors!$1:$1,0)-MATCH($H$1,floors!$1:$1,0)+1,FALSE)</f>
        <v>60</v>
      </c>
      <c r="J46" s="4">
        <f ca="1">VLOOKUP($H46,OFFSET(floors!$A$1,0,0,COUNTA(floors!$A:$A),MATCH(J$1,floors!$1:$1,0)-MATCH($H$1,floors!$1:$1,0)+1),MATCH(J$1,floors!$1:$1,0)-MATCH($H$1,floors!$1:$1,0)+1,FALSE)</f>
        <v>60</v>
      </c>
      <c r="K46" s="38" t="s">
        <v>53</v>
      </c>
      <c r="L46" s="20">
        <v>1</v>
      </c>
      <c r="M46" s="17" t="str">
        <f ca="1">VLOOKUP($L46,OFFSET([3]enemies!$A$1,0,0,COUNTA([3]enemies!$A:$A),MATCH(M$1,[3]enemies!$1:$1,0)-MATCH($L$1,[3]enemies!$1:$1,0)+1),MATCH(M$1,[3]enemies!$1:$1,0)-MATCH($L$1,[3]enemies!$1:$1,0)+1,FALSE)</f>
        <v>ジェリー</v>
      </c>
      <c r="N46" s="17" t="str">
        <f ca="1">VLOOKUP($L46,OFFSET([3]enemies!$A$1,0,0,COUNTA([3]enemies!$A:$A),MATCH(N$1,[3]enemies!$1:$1,0)-MATCH($L$1,[3]enemies!$1:$1,0)+1),MATCH(N$1,[3]enemies!$1:$1,0)-MATCH($L$1,[3]enemies!$1:$1,0)+1,FALSE)</f>
        <v>red</v>
      </c>
      <c r="O46" s="17" t="str">
        <f ca="1">VLOOKUP($L46,OFFSET([4]characters!$A$1,0,0,COUNTA([4]characters!$A:$A),MATCH(O$1,[4]characters!$1:$1,0)-MATCH($L$1,[4]characters!$1:$1,0)+1),MATCH(O$1,[4]characters!$1:$1,0)-MATCH($L$1,[4]characters!$1:$1,0)+1,FALSE)</f>
        <v>Drop1T</v>
      </c>
      <c r="P46" s="17" t="str">
        <f ca="1">VLOOKUP($L46,OFFSET([3]enemies!$A$1,0,0,COUNTA([3]enemies!$A:$A),MATCH(P$1,[3]enemies!$1:$1,0)-MATCH($L$1,[3]enemies!$1:$1,0)+1),MATCH(P$1,[3]enemies!$1:$1,0)-MATCH($L$1,[3]enemies!$1:$1,0)+1,FALSE)</f>
        <v>unknown</v>
      </c>
      <c r="Q46" s="17">
        <f ca="1">VLOOKUP($L46,OFFSET([3]enemies!$A$1,0,0,COUNTA([3]enemies!$A:$A),MATCH(Q$1,[3]enemies!$1:$1,0)-MATCH($L$1,[3]enemies!$1:$1,0)+1),MATCH(Q$1,[3]enemies!$1:$1,0)-MATCH($L$1,[3]enemies!$1:$1,0)+1,FALSE)</f>
        <v>15</v>
      </c>
      <c r="R46" s="5">
        <v>25</v>
      </c>
      <c r="S46" s="25">
        <v>1.2</v>
      </c>
      <c r="T46" s="25">
        <v>1.1000000000000001</v>
      </c>
      <c r="U46" s="5">
        <v>0</v>
      </c>
      <c r="V46" s="4" t="e">
        <f ca="1">VLOOKUP($W46,OFFSET([5]enemy_skill_sets!$B$1,0,0,COUNTA([5]enemy_skill_sets!$B:$B),MATCH(M$1,[5]enemy_skill_sets!$1:$1,0)-MATCH($W$1,[5]enemy_skill_sets!$1:$1,0)+2),MATCH(M$1,[5]enemy_skill_sets!$1:$1,0)-MATCH($W$1,[5]enemy_skill_sets!$1:$1,0)+2,FALSE)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46" s="4">
        <v>0</v>
      </c>
      <c r="X46" s="6">
        <v>1</v>
      </c>
      <c r="Y46" s="6">
        <v>100</v>
      </c>
      <c r="Z46" s="6">
        <v>0</v>
      </c>
      <c r="AA46" s="17">
        <f ca="1">VLOOKUP($L46,OFFSET([3]enemies!$A$1,0,0,COUNTA([3]enemies!$A:$A),MATCH(AA$1,[3]enemies!$1:$1,0)-MATCH($L$1,[3]enemies!$1:$1,0)+1),MATCH(AA$1,[3]enemies!$1:$1,0)-MATCH($L$1,[3]enemies!$1:$1,0)+1,FALSE)</f>
        <v>1</v>
      </c>
      <c r="AB46" s="24">
        <f t="shared" si="19"/>
        <v>1</v>
      </c>
      <c r="AC46" s="4" t="str">
        <f ca="1">VLOOKUP($AB46,OFFSET([4]characters!$A$1,0,0,COUNTA([4]characters!$A:$A),MATCH(AC$1,[4]characters!$1:$1,0)-MATCH("character_id",[4]characters!$1:$1,0)+1),MATCH(AC$1,[4]characters!$1:$1,0)-MATCH("character_id",[4]characters!$1:$1,0)+1,FALSE)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46" s="4">
        <f ca="1">VLOOKUP($AB46,OFFSET([4]characters!$A$1,0,0,COUNTA([4]characters!$A:$A),MATCH(AD$1,[4]characters!$1:$1,0)-MATCH("character_id",[4]characters!$1:$1,0)+1),MATCH(AD$1,[4]characters!$1:$1,0)-MATCH("character_id",[4]characters!$1:$1,0)+1,FALSE)</f>
        <v>1</v>
      </c>
      <c r="AE46" s="4" t="str">
        <f ca="1">VLOOKUP($AB46,OFFSET([4]characters!$A$1,0,0,COUNTA([4]characters!$A:$A),MATCH(AE$1,[4]characters!$1:$1,0)-MATCH("character_id",[4]characters!$1:$1,0)+1),MATCH(AE$1,[4]characters!$1:$1,0)-MATCH("character_id",[4]characters!$1:$1,0)+1,FALSE)</f>
        <v>Drop1T</v>
      </c>
      <c r="AF46" s="7">
        <v>1</v>
      </c>
      <c r="AG46" s="24">
        <f t="shared" ca="1" si="20"/>
        <v>1</v>
      </c>
      <c r="AH46" s="8">
        <v>0</v>
      </c>
      <c r="AI46" s="7">
        <v>0</v>
      </c>
      <c r="AJ46" s="7">
        <v>0</v>
      </c>
      <c r="AK46" s="7">
        <v>0</v>
      </c>
      <c r="AL46" s="7">
        <v>0</v>
      </c>
      <c r="AM46" s="7">
        <v>1</v>
      </c>
      <c r="AN46" s="69">
        <v>1</v>
      </c>
    </row>
    <row r="47" spans="1:40" ht="21" customHeight="1">
      <c r="A47" s="16" t="str">
        <f t="shared" ca="1" si="0"/>
        <v>60003_2-1/3&lt;lv25&gt;s2</v>
      </c>
      <c r="B47" s="22">
        <v>60003</v>
      </c>
      <c r="C47" s="21">
        <v>2</v>
      </c>
      <c r="D47" s="2" t="str">
        <f t="shared" si="17"/>
        <v>60003_2</v>
      </c>
      <c r="E47" s="4" t="str">
        <f ca="1">VLOOKUP($B47,OFFSET([2]quests!$A$1,0,0,COUNTA([2]quests!$A:$A),MATCH(E$1,[2]quests!$1:$1,0)-MATCH($B$1,[2]quests!$1:$1,0)+1),MATCH(E$1,[2]quests!$1:$1,0)-MATCH($B$1,[2]quests!$1:$1,0)+1,FALSE)</f>
        <v>ヘンペルチャレンジ</v>
      </c>
      <c r="F47" s="4" t="str">
        <f ca="1">VLOOKUP($D47,OFFSET([2]stages!$A$1,0,0,COUNTA([2]stages!$A:$A),MATCH(F$1,[2]stages!$2:$2,0)-MATCH($D$1,[2]stages!$2:$2,0)+1),MATCH(F$1,[2]stages!$2:$2,0)-MATCH($D$1,[2]stages!$2:$2,0)+1,FALSE)</f>
        <v>[超級] 第3回　</v>
      </c>
      <c r="G47" s="21">
        <v>1</v>
      </c>
      <c r="H47" s="15" t="str">
        <f t="shared" si="18"/>
        <v>60003_2-1</v>
      </c>
      <c r="I47" s="4">
        <f ca="1">VLOOKUP($H47,OFFSET(floors!$A$1,0,0,COUNTA(floors!$A:$A),MATCH(I$1,floors!$1:$1,0)-MATCH($H$1,floors!$1:$1,0)+1),MATCH(I$1,floors!$1:$1,0)-MATCH($H$1,floors!$1:$1,0)+1,FALSE)</f>
        <v>60</v>
      </c>
      <c r="J47" s="4">
        <f ca="1">VLOOKUP($H47,OFFSET(floors!$A$1,0,0,COUNTA(floors!$A:$A),MATCH(J$1,floors!$1:$1,0)-MATCH($H$1,floors!$1:$1,0)+1),MATCH(J$1,floors!$1:$1,0)-MATCH($H$1,floors!$1:$1,0)+1,FALSE)</f>
        <v>60</v>
      </c>
      <c r="K47" s="38" t="s">
        <v>53</v>
      </c>
      <c r="L47" s="20">
        <v>3</v>
      </c>
      <c r="M47" s="17" t="str">
        <f ca="1">VLOOKUP($L47,OFFSET([3]enemies!$A$1,0,0,COUNTA([3]enemies!$A:$A),MATCH(M$1,[3]enemies!$1:$1,0)-MATCH($L$1,[3]enemies!$1:$1,0)+1),MATCH(M$1,[3]enemies!$1:$1,0)-MATCH($L$1,[3]enemies!$1:$1,0)+1,FALSE)</f>
        <v>エージェント ジョー</v>
      </c>
      <c r="N47" s="17" t="str">
        <f ca="1">VLOOKUP($L47,OFFSET([3]enemies!$A$1,0,0,COUNTA([3]enemies!$A:$A),MATCH(N$1,[3]enemies!$1:$1,0)-MATCH($L$1,[3]enemies!$1:$1,0)+1),MATCH(N$1,[3]enemies!$1:$1,0)-MATCH($L$1,[3]enemies!$1:$1,0)+1,FALSE)</f>
        <v>green</v>
      </c>
      <c r="O47" s="17" t="str">
        <f ca="1">VLOOKUP($L47,OFFSET([4]characters!$A$1,0,0,COUNTA([4]characters!$A:$A),MATCH(O$1,[4]characters!$1:$1,0)-MATCH($L$1,[4]characters!$1:$1,0)+1),MATCH(O$1,[4]characters!$1:$1,0)-MATCH($L$1,[4]characters!$1:$1,0)+1,FALSE)</f>
        <v>Drop1T</v>
      </c>
      <c r="P47" s="17" t="str">
        <f ca="1">VLOOKUP($L47,OFFSET([3]enemies!$A$1,0,0,COUNTA([3]enemies!$A:$A),MATCH(P$1,[3]enemies!$1:$1,0)-MATCH($L$1,[3]enemies!$1:$1,0)+1),MATCH(P$1,[3]enemies!$1:$1,0)-MATCH($L$1,[3]enemies!$1:$1,0)+1,FALSE)</f>
        <v>unknown</v>
      </c>
      <c r="Q47" s="17">
        <f ca="1">VLOOKUP($L47,OFFSET([3]enemies!$A$1,0,0,COUNTA([3]enemies!$A:$A),MATCH(Q$1,[3]enemies!$1:$1,0)-MATCH($L$1,[3]enemies!$1:$1,0)+1),MATCH(Q$1,[3]enemies!$1:$1,0)-MATCH($L$1,[3]enemies!$1:$1,0)+1,FALSE)</f>
        <v>15</v>
      </c>
      <c r="R47" s="5">
        <v>25</v>
      </c>
      <c r="S47" s="25">
        <v>1.2</v>
      </c>
      <c r="T47" s="25">
        <v>1.1000000000000001</v>
      </c>
      <c r="U47" s="5">
        <v>0</v>
      </c>
      <c r="V47" s="4" t="e">
        <f ca="1">VLOOKUP($W47,OFFSET([5]enemy_skill_sets!$B$1,0,0,COUNTA([5]enemy_skill_sets!$B:$B),MATCH(M$1,[5]enemy_skill_sets!$1:$1,0)-MATCH($W$1,[5]enemy_skill_sets!$1:$1,0)+2),MATCH(M$1,[5]enemy_skill_sets!$1:$1,0)-MATCH($W$1,[5]enemy_skill_sets!$1:$1,0)+2,FALSE)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47" s="4">
        <v>0</v>
      </c>
      <c r="X47" s="6">
        <v>1</v>
      </c>
      <c r="Y47" s="6">
        <v>100</v>
      </c>
      <c r="Z47" s="6">
        <v>0</v>
      </c>
      <c r="AA47" s="17">
        <f ca="1">VLOOKUP($L47,OFFSET([3]enemies!$A$1,0,0,COUNTA([3]enemies!$A:$A),MATCH(AA$1,[3]enemies!$1:$1,0)-MATCH($L$1,[3]enemies!$1:$1,0)+1),MATCH(AA$1,[3]enemies!$1:$1,0)-MATCH($L$1,[3]enemies!$1:$1,0)+1,FALSE)</f>
        <v>2</v>
      </c>
      <c r="AB47" s="24">
        <f t="shared" si="19"/>
        <v>3</v>
      </c>
      <c r="AC47" s="4" t="str">
        <f ca="1">VLOOKUP($AB47,OFFSET([4]characters!$A$1,0,0,COUNTA([4]characters!$A:$A),MATCH(AC$1,[4]characters!$1:$1,0)-MATCH("character_id",[4]characters!$1:$1,0)+1),MATCH(AC$1,[4]characters!$1:$1,0)-MATCH("character_id",[4]characters!$1:$1,0)+1,FALSE)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47" s="4">
        <f ca="1">VLOOKUP($AB47,OFFSET([4]characters!$A$1,0,0,COUNTA([4]characters!$A:$A),MATCH(AD$1,[4]characters!$1:$1,0)-MATCH("character_id",[4]characters!$1:$1,0)+1),MATCH(AD$1,[4]characters!$1:$1,0)-MATCH("character_id",[4]characters!$1:$1,0)+1,FALSE)</f>
        <v>1</v>
      </c>
      <c r="AE47" s="4" t="str">
        <f ca="1">VLOOKUP($AB47,OFFSET([4]characters!$A$1,0,0,COUNTA([4]characters!$A:$A),MATCH(AE$1,[4]characters!$1:$1,0)-MATCH("character_id",[4]characters!$1:$1,0)+1),MATCH(AE$1,[4]characters!$1:$1,0)-MATCH("character_id",[4]characters!$1:$1,0)+1,FALSE)</f>
        <v>Drop1T</v>
      </c>
      <c r="AF47" s="7">
        <v>1</v>
      </c>
      <c r="AG47" s="24">
        <f t="shared" ca="1" si="20"/>
        <v>1</v>
      </c>
      <c r="AH47" s="8">
        <v>0</v>
      </c>
      <c r="AI47" s="7">
        <v>0</v>
      </c>
      <c r="AJ47" s="7">
        <v>0</v>
      </c>
      <c r="AK47" s="7">
        <v>0</v>
      </c>
      <c r="AL47" s="7">
        <v>0</v>
      </c>
      <c r="AM47" s="7">
        <v>1</v>
      </c>
      <c r="AN47" s="69">
        <v>1</v>
      </c>
    </row>
    <row r="48" spans="1:40" ht="21" customHeight="1">
      <c r="A48" s="16" t="str">
        <f t="shared" ca="1" si="0"/>
        <v>60003_2-1/5&lt;lv25&gt;s3</v>
      </c>
      <c r="B48" s="22">
        <v>60003</v>
      </c>
      <c r="C48" s="21">
        <v>2</v>
      </c>
      <c r="D48" s="2" t="str">
        <f t="shared" si="17"/>
        <v>60003_2</v>
      </c>
      <c r="E48" s="4" t="str">
        <f ca="1">VLOOKUP($B48,OFFSET([2]quests!$A$1,0,0,COUNTA([2]quests!$A:$A),MATCH(E$1,[2]quests!$1:$1,0)-MATCH($B$1,[2]quests!$1:$1,0)+1),MATCH(E$1,[2]quests!$1:$1,0)-MATCH($B$1,[2]quests!$1:$1,0)+1,FALSE)</f>
        <v>ヘンペルチャレンジ</v>
      </c>
      <c r="F48" s="4" t="str">
        <f ca="1">VLOOKUP($D48,OFFSET([2]stages!$A$1,0,0,COUNTA([2]stages!$A:$A),MATCH(F$1,[2]stages!$2:$2,0)-MATCH($D$1,[2]stages!$2:$2,0)+1),MATCH(F$1,[2]stages!$2:$2,0)-MATCH($D$1,[2]stages!$2:$2,0)+1,FALSE)</f>
        <v>[超級] 第3回　</v>
      </c>
      <c r="G48" s="21">
        <v>1</v>
      </c>
      <c r="H48" s="15" t="str">
        <f t="shared" si="18"/>
        <v>60003_2-1</v>
      </c>
      <c r="I48" s="4">
        <f ca="1">VLOOKUP($H48,OFFSET(floors!$A$1,0,0,COUNTA(floors!$A:$A),MATCH(I$1,floors!$1:$1,0)-MATCH($H$1,floors!$1:$1,0)+1),MATCH(I$1,floors!$1:$1,0)-MATCH($H$1,floors!$1:$1,0)+1,FALSE)</f>
        <v>60</v>
      </c>
      <c r="J48" s="4">
        <f ca="1">VLOOKUP($H48,OFFSET(floors!$A$1,0,0,COUNTA(floors!$A:$A),MATCH(J$1,floors!$1:$1,0)-MATCH($H$1,floors!$1:$1,0)+1),MATCH(J$1,floors!$1:$1,0)-MATCH($H$1,floors!$1:$1,0)+1,FALSE)</f>
        <v>60</v>
      </c>
      <c r="K48" s="38" t="s">
        <v>53</v>
      </c>
      <c r="L48" s="20">
        <v>5</v>
      </c>
      <c r="M48" s="17" t="str">
        <f ca="1">VLOOKUP($L48,OFFSET([3]enemies!$A$1,0,0,COUNTA([3]enemies!$A:$A),MATCH(M$1,[3]enemies!$1:$1,0)-MATCH($L$1,[3]enemies!$1:$1,0)+1),MATCH(M$1,[3]enemies!$1:$1,0)-MATCH($L$1,[3]enemies!$1:$1,0)+1,FALSE)</f>
        <v>パトドッグ ポチ</v>
      </c>
      <c r="N48" s="17" t="str">
        <f ca="1">VLOOKUP($L48,OFFSET([3]enemies!$A$1,0,0,COUNTA([3]enemies!$A:$A),MATCH(N$1,[3]enemies!$1:$1,0)-MATCH($L$1,[3]enemies!$1:$1,0)+1),MATCH(N$1,[3]enemies!$1:$1,0)-MATCH($L$1,[3]enemies!$1:$1,0)+1,FALSE)</f>
        <v>blue</v>
      </c>
      <c r="O48" s="17" t="str">
        <f ca="1">VLOOKUP($L48,OFFSET([4]characters!$A$1,0,0,COUNTA([4]characters!$A:$A),MATCH(O$1,[4]characters!$1:$1,0)-MATCH($L$1,[4]characters!$1:$1,0)+1),MATCH(O$1,[4]characters!$1:$1,0)-MATCH($L$1,[4]characters!$1:$1,0)+1,FALSE)</f>
        <v>Drop1T</v>
      </c>
      <c r="P48" s="17" t="str">
        <f ca="1">VLOOKUP($L48,OFFSET([3]enemies!$A$1,0,0,COUNTA([3]enemies!$A:$A),MATCH(P$1,[3]enemies!$1:$1,0)-MATCH($L$1,[3]enemies!$1:$1,0)+1),MATCH(P$1,[3]enemies!$1:$1,0)-MATCH($L$1,[3]enemies!$1:$1,0)+1,FALSE)</f>
        <v>unknown</v>
      </c>
      <c r="Q48" s="17">
        <f ca="1">VLOOKUP($L48,OFFSET([3]enemies!$A$1,0,0,COUNTA([3]enemies!$A:$A),MATCH(Q$1,[3]enemies!$1:$1,0)-MATCH($L$1,[3]enemies!$1:$1,0)+1),MATCH(Q$1,[3]enemies!$1:$1,0)-MATCH($L$1,[3]enemies!$1:$1,0)+1,FALSE)</f>
        <v>15</v>
      </c>
      <c r="R48" s="5">
        <v>25</v>
      </c>
      <c r="S48" s="25">
        <v>1.2</v>
      </c>
      <c r="T48" s="25">
        <v>1.1000000000000001</v>
      </c>
      <c r="U48" s="5">
        <v>0</v>
      </c>
      <c r="V48" s="4" t="e">
        <f ca="1">VLOOKUP($W48,OFFSET([5]enemy_skill_sets!$B$1,0,0,COUNTA([5]enemy_skill_sets!$B:$B),MATCH(M$1,[5]enemy_skill_sets!$1:$1,0)-MATCH($W$1,[5]enemy_skill_sets!$1:$1,0)+2),MATCH(M$1,[5]enemy_skill_sets!$1:$1,0)-MATCH($W$1,[5]enemy_skill_sets!$1:$1,0)+2,FALSE)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48" s="4">
        <v>60001100</v>
      </c>
      <c r="X48" s="6">
        <v>1</v>
      </c>
      <c r="Y48" s="6">
        <v>100</v>
      </c>
      <c r="Z48" s="6">
        <v>1</v>
      </c>
      <c r="AA48" s="17">
        <f ca="1">VLOOKUP($L48,OFFSET([3]enemies!$A$1,0,0,COUNTA([3]enemies!$A:$A),MATCH(AA$1,[3]enemies!$1:$1,0)-MATCH($L$1,[3]enemies!$1:$1,0)+1),MATCH(AA$1,[3]enemies!$1:$1,0)-MATCH($L$1,[3]enemies!$1:$1,0)+1,FALSE)</f>
        <v>3</v>
      </c>
      <c r="AB48" s="24">
        <f t="shared" si="19"/>
        <v>5</v>
      </c>
      <c r="AC48" s="4" t="str">
        <f ca="1">VLOOKUP($AB48,OFFSET([4]characters!$A$1,0,0,COUNTA([4]characters!$A:$A),MATCH(AC$1,[4]characters!$1:$1,0)-MATCH("character_id",[4]characters!$1:$1,0)+1),MATCH(AC$1,[4]characters!$1:$1,0)-MATCH("character_id",[4]characters!$1:$1,0)+1,FALSE)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48" s="4">
        <f ca="1">VLOOKUP($AB48,OFFSET([4]characters!$A$1,0,0,COUNTA([4]characters!$A:$A),MATCH(AD$1,[4]characters!$1:$1,0)-MATCH("character_id",[4]characters!$1:$1,0)+1),MATCH(AD$1,[4]characters!$1:$1,0)-MATCH("character_id",[4]characters!$1:$1,0)+1,FALSE)</f>
        <v>1</v>
      </c>
      <c r="AE48" s="4" t="str">
        <f ca="1">VLOOKUP($AB48,OFFSET([4]characters!$A$1,0,0,COUNTA([4]characters!$A:$A),MATCH(AE$1,[4]characters!$1:$1,0)-MATCH("character_id",[4]characters!$1:$1,0)+1),MATCH(AE$1,[4]characters!$1:$1,0)-MATCH("character_id",[4]characters!$1:$1,0)+1,FALSE)</f>
        <v>Drop1T</v>
      </c>
      <c r="AF48" s="7">
        <v>1</v>
      </c>
      <c r="AG48" s="24">
        <f t="shared" ca="1" si="20"/>
        <v>1</v>
      </c>
      <c r="AH48" s="8">
        <v>0</v>
      </c>
      <c r="AI48" s="7">
        <v>0</v>
      </c>
      <c r="AJ48" s="7">
        <v>0</v>
      </c>
      <c r="AK48" s="7">
        <v>0</v>
      </c>
      <c r="AL48" s="7">
        <v>0</v>
      </c>
      <c r="AM48" s="7">
        <v>1</v>
      </c>
      <c r="AN48" s="69">
        <v>1</v>
      </c>
    </row>
    <row r="49" spans="1:40" ht="21" customHeight="1">
      <c r="A49" s="16" t="str">
        <f t="shared" ca="1" si="0"/>
        <v>60003_2-1/7&lt;lv25&gt;s2</v>
      </c>
      <c r="B49" s="22">
        <v>60003</v>
      </c>
      <c r="C49" s="21">
        <v>2</v>
      </c>
      <c r="D49" s="2" t="str">
        <f t="shared" si="17"/>
        <v>60003_2</v>
      </c>
      <c r="E49" s="4" t="str">
        <f ca="1">VLOOKUP($B49,OFFSET([2]quests!$A$1,0,0,COUNTA([2]quests!$A:$A),MATCH(E$1,[2]quests!$1:$1,0)-MATCH($B$1,[2]quests!$1:$1,0)+1),MATCH(E$1,[2]quests!$1:$1,0)-MATCH($B$1,[2]quests!$1:$1,0)+1,FALSE)</f>
        <v>ヘンペルチャレンジ</v>
      </c>
      <c r="F49" s="4" t="str">
        <f ca="1">VLOOKUP($D49,OFFSET([2]stages!$A$1,0,0,COUNTA([2]stages!$A:$A),MATCH(F$1,[2]stages!$2:$2,0)-MATCH($D$1,[2]stages!$2:$2,0)+1),MATCH(F$1,[2]stages!$2:$2,0)-MATCH($D$1,[2]stages!$2:$2,0)+1,FALSE)</f>
        <v>[超級] 第3回　</v>
      </c>
      <c r="G49" s="21">
        <v>1</v>
      </c>
      <c r="H49" s="15" t="str">
        <f t="shared" si="18"/>
        <v>60003_2-1</v>
      </c>
      <c r="I49" s="4">
        <f ca="1">VLOOKUP($H49,OFFSET(floors!$A$1,0,0,COUNTA(floors!$A:$A),MATCH(I$1,floors!$1:$1,0)-MATCH($H$1,floors!$1:$1,0)+1),MATCH(I$1,floors!$1:$1,0)-MATCH($H$1,floors!$1:$1,0)+1,FALSE)</f>
        <v>60</v>
      </c>
      <c r="J49" s="4">
        <f ca="1">VLOOKUP($H49,OFFSET(floors!$A$1,0,0,COUNTA(floors!$A:$A),MATCH(J$1,floors!$1:$1,0)-MATCH($H$1,floors!$1:$1,0)+1),MATCH(J$1,floors!$1:$1,0)-MATCH($H$1,floors!$1:$1,0)+1,FALSE)</f>
        <v>60</v>
      </c>
      <c r="K49" s="38" t="s">
        <v>53</v>
      </c>
      <c r="L49" s="20">
        <v>7</v>
      </c>
      <c r="M49" s="17" t="str">
        <f ca="1">VLOOKUP($L49,OFFSET([3]enemies!$A$1,0,0,COUNTA([3]enemies!$A:$A),MATCH(M$1,[3]enemies!$1:$1,0)-MATCH($L$1,[3]enemies!$1:$1,0)+1),MATCH(M$1,[3]enemies!$1:$1,0)-MATCH($L$1,[3]enemies!$1:$1,0)+1,FALSE)</f>
        <v>エレキポット</v>
      </c>
      <c r="N49" s="17" t="str">
        <f ca="1">VLOOKUP($L49,OFFSET([3]enemies!$A$1,0,0,COUNTA([3]enemies!$A:$A),MATCH(N$1,[3]enemies!$1:$1,0)-MATCH($L$1,[3]enemies!$1:$1,0)+1),MATCH(N$1,[3]enemies!$1:$1,0)-MATCH($L$1,[3]enemies!$1:$1,0)+1,FALSE)</f>
        <v>yellow</v>
      </c>
      <c r="O49" s="17" t="str">
        <f ca="1">VLOOKUP($L49,OFFSET([4]characters!$A$1,0,0,COUNTA([4]characters!$A:$A),MATCH(O$1,[4]characters!$1:$1,0)-MATCH($L$1,[4]characters!$1:$1,0)+1),MATCH(O$1,[4]characters!$1:$1,0)-MATCH($L$1,[4]characters!$1:$1,0)+1,FALSE)</f>
        <v>Drop1T</v>
      </c>
      <c r="P49" s="17" t="str">
        <f ca="1">VLOOKUP($L49,OFFSET([3]enemies!$A$1,0,0,COUNTA([3]enemies!$A:$A),MATCH(P$1,[3]enemies!$1:$1,0)-MATCH($L$1,[3]enemies!$1:$1,0)+1),MATCH(P$1,[3]enemies!$1:$1,0)-MATCH($L$1,[3]enemies!$1:$1,0)+1,FALSE)</f>
        <v>unknown</v>
      </c>
      <c r="Q49" s="17">
        <f ca="1">VLOOKUP($L49,OFFSET([3]enemies!$A$1,0,0,COUNTA([3]enemies!$A:$A),MATCH(Q$1,[3]enemies!$1:$1,0)-MATCH($L$1,[3]enemies!$1:$1,0)+1),MATCH(Q$1,[3]enemies!$1:$1,0)-MATCH($L$1,[3]enemies!$1:$1,0)+1,FALSE)</f>
        <v>15</v>
      </c>
      <c r="R49" s="5">
        <v>25</v>
      </c>
      <c r="S49" s="25">
        <v>1.2</v>
      </c>
      <c r="T49" s="25">
        <v>1.1000000000000001</v>
      </c>
      <c r="U49" s="5">
        <v>0</v>
      </c>
      <c r="V49" s="4" t="e">
        <f ca="1">VLOOKUP($W49,OFFSET([5]enemy_skill_sets!$B$1,0,0,COUNTA([5]enemy_skill_sets!$B:$B),MATCH(M$1,[5]enemy_skill_sets!$1:$1,0)-MATCH($W$1,[5]enemy_skill_sets!$1:$1,0)+2),MATCH(M$1,[5]enemy_skill_sets!$1:$1,0)-MATCH($W$1,[5]enemy_skill_sets!$1:$1,0)+2,FALSE)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49" s="4">
        <v>0</v>
      </c>
      <c r="X49" s="6">
        <v>1</v>
      </c>
      <c r="Y49" s="6">
        <v>100</v>
      </c>
      <c r="Z49" s="6">
        <v>0</v>
      </c>
      <c r="AA49" s="17">
        <f ca="1">VLOOKUP($L49,OFFSET([3]enemies!$A$1,0,0,COUNTA([3]enemies!$A:$A),MATCH(AA$1,[3]enemies!$1:$1,0)-MATCH($L$1,[3]enemies!$1:$1,0)+1),MATCH(AA$1,[3]enemies!$1:$1,0)-MATCH($L$1,[3]enemies!$1:$1,0)+1,FALSE)</f>
        <v>2</v>
      </c>
      <c r="AB49" s="24">
        <f t="shared" si="19"/>
        <v>7</v>
      </c>
      <c r="AC49" s="4" t="str">
        <f ca="1">VLOOKUP($AB49,OFFSET([4]characters!$A$1,0,0,COUNTA([4]characters!$A:$A),MATCH(AC$1,[4]characters!$1:$1,0)-MATCH("character_id",[4]characters!$1:$1,0)+1),MATCH(AC$1,[4]characters!$1:$1,0)-MATCH("character_id",[4]characters!$1:$1,0)+1,FALSE)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49" s="4">
        <f ca="1">VLOOKUP($AB49,OFFSET([4]characters!$A$1,0,0,COUNTA([4]characters!$A:$A),MATCH(AD$1,[4]characters!$1:$1,0)-MATCH("character_id",[4]characters!$1:$1,0)+1),MATCH(AD$1,[4]characters!$1:$1,0)-MATCH("character_id",[4]characters!$1:$1,0)+1,FALSE)</f>
        <v>1</v>
      </c>
      <c r="AE49" s="4" t="str">
        <f ca="1">VLOOKUP($AB49,OFFSET([4]characters!$A$1,0,0,COUNTA([4]characters!$A:$A),MATCH(AE$1,[4]characters!$1:$1,0)-MATCH("character_id",[4]characters!$1:$1,0)+1),MATCH(AE$1,[4]characters!$1:$1,0)-MATCH("character_id",[4]characters!$1:$1,0)+1,FALSE)</f>
        <v>Drop1T</v>
      </c>
      <c r="AF49" s="7">
        <v>1</v>
      </c>
      <c r="AG49" s="24">
        <f t="shared" ca="1" si="20"/>
        <v>1</v>
      </c>
      <c r="AH49" s="8">
        <v>0</v>
      </c>
      <c r="AI49" s="7">
        <v>0</v>
      </c>
      <c r="AJ49" s="7">
        <v>0</v>
      </c>
      <c r="AK49" s="7">
        <v>0</v>
      </c>
      <c r="AL49" s="7">
        <v>0</v>
      </c>
      <c r="AM49" s="7">
        <v>1</v>
      </c>
      <c r="AN49" s="69">
        <v>1</v>
      </c>
    </row>
    <row r="50" spans="1:40" ht="21" customHeight="1">
      <c r="A50" s="16" t="str">
        <f t="shared" si="0"/>
        <v>60003_2-2/54&lt;lv25&gt;s2</v>
      </c>
      <c r="B50" s="22">
        <v>60003</v>
      </c>
      <c r="C50" s="21">
        <v>2</v>
      </c>
      <c r="D50" s="2" t="str">
        <f t="shared" si="17"/>
        <v>60003_2</v>
      </c>
      <c r="E50" s="4" t="str">
        <f ca="1">VLOOKUP($B50,OFFSET([2]quests!$A$1,0,0,COUNTA([2]quests!$A:$A),MATCH(E$1,[2]quests!$1:$1,0)-MATCH($B$1,[2]quests!$1:$1,0)+1),MATCH(E$1,[2]quests!$1:$1,0)-MATCH($B$1,[2]quests!$1:$1,0)+1,FALSE)</f>
        <v>ヘンペルチャレンジ</v>
      </c>
      <c r="F50" s="4" t="str">
        <f ca="1">VLOOKUP($D50,OFFSET([2]stages!$A$1,0,0,COUNTA([2]stages!$A:$A),MATCH(F$1,[2]stages!$2:$2,0)-MATCH($D$1,[2]stages!$2:$2,0)+1),MATCH(F$1,[2]stages!$2:$2,0)-MATCH($D$1,[2]stages!$2:$2,0)+1,FALSE)</f>
        <v>[超級] 第3回　</v>
      </c>
      <c r="G50" s="21">
        <v>2</v>
      </c>
      <c r="H50" s="15" t="str">
        <f t="shared" si="18"/>
        <v>60003_2-2</v>
      </c>
      <c r="I50" s="4">
        <f ca="1">VLOOKUP($H50,OFFSET(floors!$A$1,0,0,COUNTA(floors!$A:$A),MATCH(I$1,floors!$1:$1,0)-MATCH($H$1,floors!$1:$1,0)+1),MATCH(I$1,floors!$1:$1,0)-MATCH($H$1,floors!$1:$1,0)+1,FALSE)</f>
        <v>50</v>
      </c>
      <c r="J50" s="4">
        <f ca="1">VLOOKUP($H50,OFFSET(floors!$A$1,0,0,COUNTA(floors!$A:$A),MATCH(J$1,floors!$1:$1,0)-MATCH($H$1,floors!$1:$1,0)+1),MATCH(J$1,floors!$1:$1,0)-MATCH($H$1,floors!$1:$1,0)+1,FALSE)</f>
        <v>50</v>
      </c>
      <c r="K50" s="38" t="s">
        <v>53</v>
      </c>
      <c r="L50" s="20">
        <v>54</v>
      </c>
      <c r="M50" s="17" t="str">
        <f ca="1">VLOOKUP($L50,OFFSET([3]enemies!$A$1,0,0,COUNTA([3]enemies!$A:$A),MATCH(M$1,[3]enemies!$1:$1,0)-MATCH($L$1,[3]enemies!$1:$1,0)+1),MATCH(M$1,[3]enemies!$1:$1,0)-MATCH($L$1,[3]enemies!$1:$1,0)+1,FALSE)</f>
        <v>蒼斬のレジスタンス ケンジ</v>
      </c>
      <c r="N50" s="17" t="str">
        <f ca="1">VLOOKUP($L50,OFFSET([3]enemies!$A$1,0,0,COUNTA([3]enemies!$A:$A),MATCH(N$1,[3]enemies!$1:$1,0)-MATCH($L$1,[3]enemies!$1:$1,0)+1),MATCH(N$1,[3]enemies!$1:$1,0)-MATCH($L$1,[3]enemies!$1:$1,0)+1,FALSE)</f>
        <v>blue</v>
      </c>
      <c r="O50" s="17" t="str">
        <f ca="1">VLOOKUP($L50,OFFSET([4]characters!$A$1,0,0,COUNTA([4]characters!$A:$A),MATCH(O$1,[4]characters!$1:$1,0)-MATCH($L$1,[4]characters!$1:$1,0)+1),MATCH(O$1,[4]characters!$1:$1,0)-MATCH($L$1,[4]characters!$1:$1,0)+1,FALSE)</f>
        <v>Drop1N</v>
      </c>
      <c r="P50" s="17" t="str">
        <f ca="1">VLOOKUP($L50,OFFSET([3]enemies!$A$1,0,0,COUNTA([3]enemies!$A:$A),MATCH(P$1,[3]enemies!$1:$1,0)-MATCH($L$1,[3]enemies!$1:$1,0)+1),MATCH(P$1,[3]enemies!$1:$1,0)-MATCH($L$1,[3]enemies!$1:$1,0)+1,FALSE)</f>
        <v>human</v>
      </c>
      <c r="Q50" s="17">
        <f ca="1">VLOOKUP($L50,OFFSET([3]enemies!$A$1,0,0,COUNTA([3]enemies!$A:$A),MATCH(Q$1,[3]enemies!$1:$1,0)-MATCH($L$1,[3]enemies!$1:$1,0)+1),MATCH(Q$1,[3]enemies!$1:$1,0)-MATCH($L$1,[3]enemies!$1:$1,0)+1,FALSE)</f>
        <v>20</v>
      </c>
      <c r="R50" s="5">
        <v>25</v>
      </c>
      <c r="S50" s="25">
        <v>1.3</v>
      </c>
      <c r="T50" s="25">
        <v>1.2</v>
      </c>
      <c r="U50" s="5">
        <v>0</v>
      </c>
      <c r="V50" s="4" t="e">
        <f ca="1">VLOOKUP($W50,OFFSET([5]enemy_skill_sets!$B$1,0,0,COUNTA([5]enemy_skill_sets!$B:$B),MATCH(M$1,[5]enemy_skill_sets!$1:$1,0)-MATCH($W$1,[5]enemy_skill_sets!$1:$1,0)+2),MATCH(M$1,[5]enemy_skill_sets!$1:$1,0)-MATCH($W$1,[5]enemy_skill_sets!$1:$1,0)+2,FALSE)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50" s="4">
        <v>60001101</v>
      </c>
      <c r="X50" s="6">
        <v>1</v>
      </c>
      <c r="Y50" s="6">
        <v>100</v>
      </c>
      <c r="Z50" s="6">
        <v>0</v>
      </c>
      <c r="AA50" s="17">
        <v>2</v>
      </c>
      <c r="AB50" s="24">
        <f t="shared" si="19"/>
        <v>54</v>
      </c>
      <c r="AC50" s="4" t="str">
        <f ca="1">VLOOKUP($AB50,OFFSET([4]characters!$A$1,0,0,COUNTA([4]characters!$A:$A),MATCH(AC$1,[4]characters!$1:$1,0)-MATCH("character_id",[4]characters!$1:$1,0)+1),MATCH(AC$1,[4]characters!$1:$1,0)-MATCH("character_id",[4]characters!$1:$1,0)+1,FALSE)</f>
        <v>蒼斬のレジスタンス ケンジ</v>
      </c>
      <c r="AD50" s="4">
        <f ca="1">VLOOKUP($AB50,OFFSET([4]characters!$A$1,0,0,COUNTA([4]characters!$A:$A),MATCH(AD$1,[4]characters!$1:$1,0)-MATCH("character_id",[4]characters!$1:$1,0)+1),MATCH(AD$1,[4]characters!$1:$1,0)-MATCH("character_id",[4]characters!$1:$1,0)+1,FALSE)</f>
        <v>3</v>
      </c>
      <c r="AE50" s="4" t="str">
        <f ca="1">VLOOKUP($AB50,OFFSET([4]characters!$A$1,0,0,COUNTA([4]characters!$A:$A),MATCH(AE$1,[4]characters!$1:$1,0)-MATCH("character_id",[4]characters!$1:$1,0)+1),MATCH(AE$1,[4]characters!$1:$1,0)-MATCH("character_id",[4]characters!$1:$1,0)+1,FALSE)</f>
        <v>Drop1N</v>
      </c>
      <c r="AF50" s="7">
        <v>1</v>
      </c>
      <c r="AG50" s="24">
        <f t="shared" ca="1" si="20"/>
        <v>3</v>
      </c>
      <c r="AH50" s="8">
        <v>0</v>
      </c>
      <c r="AI50" s="7">
        <v>0</v>
      </c>
      <c r="AJ50" s="7">
        <v>0</v>
      </c>
      <c r="AK50" s="7">
        <v>0</v>
      </c>
      <c r="AL50" s="7">
        <v>0</v>
      </c>
      <c r="AM50" s="7">
        <v>1</v>
      </c>
      <c r="AN50" s="69">
        <v>1</v>
      </c>
    </row>
    <row r="51" spans="1:40" ht="21" customHeight="1">
      <c r="A51" s="16" t="str">
        <f t="shared" ca="1" si="0"/>
        <v>60003_2-2/73&lt;lv25&gt;s4</v>
      </c>
      <c r="B51" s="22">
        <v>60003</v>
      </c>
      <c r="C51" s="21">
        <v>2</v>
      </c>
      <c r="D51" s="2" t="str">
        <f t="shared" si="17"/>
        <v>60003_2</v>
      </c>
      <c r="E51" s="4" t="str">
        <f ca="1">VLOOKUP($B51,OFFSET([2]quests!$A$1,0,0,COUNTA([2]quests!$A:$A),MATCH(E$1,[2]quests!$1:$1,0)-MATCH($B$1,[2]quests!$1:$1,0)+1),MATCH(E$1,[2]quests!$1:$1,0)-MATCH($B$1,[2]quests!$1:$1,0)+1,FALSE)</f>
        <v>ヘンペルチャレンジ</v>
      </c>
      <c r="F51" s="4" t="str">
        <f ca="1">VLOOKUP($D51,OFFSET([2]stages!$A$1,0,0,COUNTA([2]stages!$A:$A),MATCH(F$1,[2]stages!$2:$2,0)-MATCH($D$1,[2]stages!$2:$2,0)+1),MATCH(F$1,[2]stages!$2:$2,0)-MATCH($D$1,[2]stages!$2:$2,0)+1,FALSE)</f>
        <v>[超級] 第3回　</v>
      </c>
      <c r="G51" s="21">
        <v>2</v>
      </c>
      <c r="H51" s="15" t="str">
        <f t="shared" si="18"/>
        <v>60003_2-2</v>
      </c>
      <c r="I51" s="4">
        <f ca="1">VLOOKUP($H51,OFFSET(floors!$A$1,0,0,COUNTA(floors!$A:$A),MATCH(I$1,floors!$1:$1,0)-MATCH($H$1,floors!$1:$1,0)+1),MATCH(I$1,floors!$1:$1,0)-MATCH($H$1,floors!$1:$1,0)+1,FALSE)</f>
        <v>50</v>
      </c>
      <c r="J51" s="4">
        <f ca="1">VLOOKUP($H51,OFFSET(floors!$A$1,0,0,COUNTA(floors!$A:$A),MATCH(J$1,floors!$1:$1,0)-MATCH($H$1,floors!$1:$1,0)+1),MATCH(J$1,floors!$1:$1,0)-MATCH($H$1,floors!$1:$1,0)+1,FALSE)</f>
        <v>50</v>
      </c>
      <c r="K51" s="38" t="s">
        <v>53</v>
      </c>
      <c r="L51" s="20">
        <v>73</v>
      </c>
      <c r="M51" s="17" t="str">
        <f ca="1">VLOOKUP($L51,OFFSET([3]enemies!$A$1,0,0,COUNTA([3]enemies!$A:$A),MATCH(M$1,[3]enemies!$1:$1,0)-MATCH($L$1,[3]enemies!$1:$1,0)+1),MATCH(M$1,[3]enemies!$1:$1,0)-MATCH($L$1,[3]enemies!$1:$1,0)+1,FALSE)</f>
        <v>自由の探求者 ダックス</v>
      </c>
      <c r="N51" s="17" t="str">
        <f ca="1">VLOOKUP($L51,OFFSET([3]enemies!$A$1,0,0,COUNTA([3]enemies!$A:$A),MATCH(N$1,[3]enemies!$1:$1,0)-MATCH($L$1,[3]enemies!$1:$1,0)+1),MATCH(N$1,[3]enemies!$1:$1,0)-MATCH($L$1,[3]enemies!$1:$1,0)+1,FALSE)</f>
        <v>blue</v>
      </c>
      <c r="O51" s="17" t="str">
        <f ca="1">VLOOKUP($L51,OFFSET([4]characters!$A$1,0,0,COUNTA([4]characters!$A:$A),MATCH(O$1,[4]characters!$1:$1,0)-MATCH($L$1,[4]characters!$1:$1,0)+1),MATCH(O$1,[4]characters!$1:$1,0)-MATCH($L$1,[4]characters!$1:$1,0)+1,FALSE)</f>
        <v>Drop1S</v>
      </c>
      <c r="P51" s="17" t="str">
        <f ca="1">VLOOKUP($L51,OFFSET([3]enemies!$A$1,0,0,COUNTA([3]enemies!$A:$A),MATCH(P$1,[3]enemies!$1:$1,0)-MATCH($L$1,[3]enemies!$1:$1,0)+1),MATCH(P$1,[3]enemies!$1:$1,0)-MATCH($L$1,[3]enemies!$1:$1,0)+1,FALSE)</f>
        <v>animal</v>
      </c>
      <c r="Q51" s="17">
        <f ca="1">VLOOKUP($L51,OFFSET([3]enemies!$A$1,0,0,COUNTA([3]enemies!$A:$A),MATCH(Q$1,[3]enemies!$1:$1,0)-MATCH($L$1,[3]enemies!$1:$1,0)+1),MATCH(Q$1,[3]enemies!$1:$1,0)-MATCH($L$1,[3]enemies!$1:$1,0)+1,FALSE)</f>
        <v>30</v>
      </c>
      <c r="R51" s="5">
        <v>25</v>
      </c>
      <c r="S51" s="25">
        <v>1.3</v>
      </c>
      <c r="T51" s="25">
        <v>1</v>
      </c>
      <c r="U51" s="5">
        <v>0</v>
      </c>
      <c r="V51" s="4" t="e">
        <f ca="1">VLOOKUP($W51,OFFSET([5]enemy_skill_sets!$B$1,0,0,COUNTA([5]enemy_skill_sets!$B:$B),MATCH(M$1,[5]enemy_skill_sets!$1:$1,0)-MATCH($W$1,[5]enemy_skill_sets!$1:$1,0)+2),MATCH(M$1,[5]enemy_skill_sets!$1:$1,0)-MATCH($W$1,[5]enemy_skill_sets!$1:$1,0)+2,FALSE)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51" s="4">
        <v>60001102</v>
      </c>
      <c r="X51" s="6">
        <v>1</v>
      </c>
      <c r="Y51" s="6">
        <v>100</v>
      </c>
      <c r="Z51" s="6">
        <v>0</v>
      </c>
      <c r="AA51" s="17">
        <f ca="1">VLOOKUP($L51,OFFSET([3]enemies!$A$1,0,0,COUNTA([3]enemies!$A:$A),MATCH(AA$1,[3]enemies!$1:$1,0)-MATCH($L$1,[3]enemies!$1:$1,0)+1),MATCH(AA$1,[3]enemies!$1:$1,0)-MATCH($L$1,[3]enemies!$1:$1,0)+1,FALSE)</f>
        <v>4</v>
      </c>
      <c r="AB51" s="24">
        <f t="shared" si="19"/>
        <v>73</v>
      </c>
      <c r="AC51" s="4" t="str">
        <f ca="1">VLOOKUP($AB51,OFFSET([4]characters!$A$1,0,0,COUNTA([4]characters!$A:$A),MATCH(AC$1,[4]characters!$1:$1,0)-MATCH("character_id",[4]characters!$1:$1,0)+1),MATCH(AC$1,[4]characters!$1:$1,0)-MATCH("character_id",[4]characters!$1:$1,0)+1,FALSE)</f>
        <v>自由の探求者 ダックス</v>
      </c>
      <c r="AD51" s="4">
        <f ca="1">VLOOKUP($AB51,OFFSET([4]characters!$A$1,0,0,COUNTA([4]characters!$A:$A),MATCH(AD$1,[4]characters!$1:$1,0)-MATCH("character_id",[4]characters!$1:$1,0)+1),MATCH(AD$1,[4]characters!$1:$1,0)-MATCH("character_id",[4]characters!$1:$1,0)+1,FALSE)</f>
        <v>4</v>
      </c>
      <c r="AE51" s="4" t="str">
        <f ca="1">VLOOKUP($AB51,OFFSET([4]characters!$A$1,0,0,COUNTA([4]characters!$A:$A),MATCH(AE$1,[4]characters!$1:$1,0)-MATCH("character_id",[4]characters!$1:$1,0)+1),MATCH(AE$1,[4]characters!$1:$1,0)-MATCH("character_id",[4]characters!$1:$1,0)+1,FALSE)</f>
        <v>Drop1S</v>
      </c>
      <c r="AF51" s="7">
        <v>1</v>
      </c>
      <c r="AG51" s="24">
        <f t="shared" ca="1" si="20"/>
        <v>4</v>
      </c>
      <c r="AH51" s="8">
        <v>0</v>
      </c>
      <c r="AI51" s="7">
        <v>0</v>
      </c>
      <c r="AJ51" s="7">
        <v>0</v>
      </c>
      <c r="AK51" s="7">
        <v>0</v>
      </c>
      <c r="AL51" s="7">
        <v>0</v>
      </c>
      <c r="AM51" s="7">
        <v>1</v>
      </c>
      <c r="AN51" s="69">
        <v>1</v>
      </c>
    </row>
    <row r="52" spans="1:40" ht="21" customHeight="1">
      <c r="A52" s="16" t="str">
        <f t="shared" ca="1" si="0"/>
        <v>60003_2-3/122&lt;lv1&gt;s3</v>
      </c>
      <c r="B52" s="22">
        <v>60003</v>
      </c>
      <c r="C52" s="21">
        <v>2</v>
      </c>
      <c r="D52" s="2" t="str">
        <f>B52&amp;"_"&amp;C52</f>
        <v>60003_2</v>
      </c>
      <c r="E52" s="4" t="str">
        <f ca="1">VLOOKUP($B52,OFFSET([2]quests!$A$1,0,0,COUNTA([2]quests!$A:$A),MATCH(E$1,[2]quests!$1:$1,0)-MATCH($B$1,[2]quests!$1:$1,0)+1),MATCH(E$1,[2]quests!$1:$1,0)-MATCH($B$1,[2]quests!$1:$1,0)+1,FALSE)</f>
        <v>ヘンペルチャレンジ</v>
      </c>
      <c r="F52" s="4" t="str">
        <f ca="1">VLOOKUP($D52,OFFSET([2]stages!$A$1,0,0,COUNTA([2]stages!$A:$A),MATCH(F$1,[2]stages!$2:$2,0)-MATCH($D$1,[2]stages!$2:$2,0)+1),MATCH(F$1,[2]stages!$2:$2,0)-MATCH($D$1,[2]stages!$2:$2,0)+1,FALSE)</f>
        <v>[超級] 第3回　</v>
      </c>
      <c r="G52" s="21">
        <v>3</v>
      </c>
      <c r="H52" s="15" t="str">
        <f>B52&amp;"_"&amp;C52&amp;"-"&amp;G52</f>
        <v>60003_2-3</v>
      </c>
      <c r="I52" s="4">
        <f ca="1">VLOOKUP($H52,OFFSET(floors!$A$1,0,0,COUNTA(floors!$A:$A),MATCH(I$1,floors!$1:$1,0)-MATCH($H$1,floors!$1:$1,0)+1),MATCH(I$1,floors!$1:$1,0)-MATCH($H$1,floors!$1:$1,0)+1,FALSE)</f>
        <v>60</v>
      </c>
      <c r="J52" s="4">
        <f ca="1">VLOOKUP($H52,OFFSET(floors!$A$1,0,0,COUNTA(floors!$A:$A),MATCH(J$1,floors!$1:$1,0)-MATCH($H$1,floors!$1:$1,0)+1),MATCH(J$1,floors!$1:$1,0)-MATCH($H$1,floors!$1:$1,0)+1,FALSE)</f>
        <v>60</v>
      </c>
      <c r="K52" s="38" t="s">
        <v>53</v>
      </c>
      <c r="L52" s="20">
        <v>122</v>
      </c>
      <c r="M52" s="17" t="str">
        <f ca="1">VLOOKUP($L52,OFFSET([3]enemies!$A$1,0,0,COUNTA([3]enemies!$A:$A),MATCH(M$1,[3]enemies!$1:$1,0)-MATCH($L$1,[3]enemies!$1:$1,0)+1),MATCH(M$1,[3]enemies!$1:$1,0)-MATCH($L$1,[3]enemies!$1:$1,0)+1,FALSE)</f>
        <v>生命の果実</v>
      </c>
      <c r="N52" s="17" t="str">
        <f ca="1">VLOOKUP($L52,OFFSET([3]enemies!$A$1,0,0,COUNTA([3]enemies!$A:$A),MATCH(N$1,[3]enemies!$1:$1,0)-MATCH($L$1,[3]enemies!$1:$1,0)+1),MATCH(N$1,[3]enemies!$1:$1,0)-MATCH($L$1,[3]enemies!$1:$1,0)+1,FALSE)</f>
        <v>green</v>
      </c>
      <c r="O52" s="17" t="str">
        <f ca="1">VLOOKUP($L52,OFFSET([4]characters!$A$1,0,0,COUNTA([4]characters!$A:$A),MATCH(O$1,[4]characters!$1:$1,0)-MATCH($L$1,[4]characters!$1:$1,0)+1),MATCH(O$1,[4]characters!$1:$1,0)-MATCH($L$1,[4]characters!$1:$1,0)+1,FALSE)</f>
        <v>Material</v>
      </c>
      <c r="P52" s="17" t="str">
        <f ca="1">VLOOKUP($L52,OFFSET([3]enemies!$A$1,0,0,COUNTA([3]enemies!$A:$A),MATCH(P$1,[3]enemies!$1:$1,0)-MATCH($L$1,[3]enemies!$1:$1,0)+1),MATCH(P$1,[3]enemies!$1:$1,0)-MATCH($L$1,[3]enemies!$1:$1,0)+1,FALSE)</f>
        <v>unknown</v>
      </c>
      <c r="Q52" s="17">
        <f ca="1">VLOOKUP($L52,OFFSET([3]enemies!$A$1,0,0,COUNTA([3]enemies!$A:$A),MATCH(Q$1,[3]enemies!$1:$1,0)-MATCH($L$1,[3]enemies!$1:$1,0)+1),MATCH(Q$1,[3]enemies!$1:$1,0)-MATCH($L$1,[3]enemies!$1:$1,0)+1,FALSE)</f>
        <v>20</v>
      </c>
      <c r="R52" s="5">
        <v>1</v>
      </c>
      <c r="S52" s="25">
        <v>0.1</v>
      </c>
      <c r="T52" s="25">
        <v>1</v>
      </c>
      <c r="U52" s="5">
        <v>1000000</v>
      </c>
      <c r="V52" s="4" t="e">
        <f ca="1">VLOOKUP($W52,OFFSET([5]enemy_skill_sets!$B$1,0,0,COUNTA([5]enemy_skill_sets!$B:$B),MATCH(M$1,[5]enemy_skill_sets!$1:$1,0)-MATCH($W$1,[5]enemy_skill_sets!$1:$1,0)+2),MATCH(M$1,[5]enemy_skill_sets!$1:$1,0)-MATCH($W$1,[5]enemy_skill_sets!$1:$1,0)+2,FALSE)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52" s="4">
        <v>60001103</v>
      </c>
      <c r="X52" s="6">
        <v>1</v>
      </c>
      <c r="Y52" s="6">
        <v>100</v>
      </c>
      <c r="Z52" s="6">
        <v>0</v>
      </c>
      <c r="AA52" s="17">
        <f ca="1">VLOOKUP($L52,OFFSET([3]enemies!$A$1,0,0,COUNTA([3]enemies!$A:$A),MATCH(AA$1,[3]enemies!$1:$1,0)-MATCH($L$1,[3]enemies!$1:$1,0)+1),MATCH(AA$1,[3]enemies!$1:$1,0)-MATCH($L$1,[3]enemies!$1:$1,0)+1,FALSE)</f>
        <v>3</v>
      </c>
      <c r="AB52" s="24">
        <f>L52</f>
        <v>122</v>
      </c>
      <c r="AC52" s="4" t="str">
        <f ca="1">VLOOKUP($AB52,OFFSET([4]characters!$A$1,0,0,COUNTA([4]characters!$A:$A),MATCH(AC$1,[4]characters!$1:$1,0)-MATCH("character_id",[4]characters!$1:$1,0)+1),MATCH(AC$1,[4]characters!$1:$1,0)-MATCH("character_id",[4]characters!$1:$1,0)+1,FALSE)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52" s="4">
        <f ca="1">VLOOKUP($AB52,OFFSET([4]characters!$A$1,0,0,COUNTA([4]characters!$A:$A),MATCH(AD$1,[4]characters!$1:$1,0)-MATCH("character_id",[4]characters!$1:$1,0)+1),MATCH(AD$1,[4]characters!$1:$1,0)-MATCH("character_id",[4]characters!$1:$1,0)+1,FALSE)</f>
        <v>3</v>
      </c>
      <c r="AE52" s="4" t="str">
        <f ca="1">VLOOKUP($AB52,OFFSET([4]characters!$A$1,0,0,COUNTA([4]characters!$A:$A),MATCH(AE$1,[4]characters!$1:$1,0)-MATCH("character_id",[4]characters!$1:$1,0)+1),MATCH(AE$1,[4]characters!$1:$1,0)-MATCH("character_id",[4]characters!$1:$1,0)+1,FALSE)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2" s="7">
        <v>1</v>
      </c>
      <c r="AG52" s="24">
        <f ca="1">AD52</f>
        <v>3</v>
      </c>
      <c r="AH52" s="8">
        <v>0</v>
      </c>
      <c r="AI52" s="7">
        <v>0</v>
      </c>
      <c r="AJ52" s="7">
        <v>0</v>
      </c>
      <c r="AK52" s="7">
        <v>0</v>
      </c>
      <c r="AL52" s="7">
        <v>0</v>
      </c>
      <c r="AM52" s="7">
        <v>1</v>
      </c>
      <c r="AN52" s="69">
        <v>1</v>
      </c>
    </row>
    <row r="53" spans="1:40" ht="21" customHeight="1">
      <c r="A53" s="16" t="str">
        <f t="shared" si="0"/>
        <v>60003_2-4/581&lt;lv30&gt;s3</v>
      </c>
      <c r="B53" s="22">
        <v>60003</v>
      </c>
      <c r="C53" s="21">
        <v>2</v>
      </c>
      <c r="D53" s="2" t="str">
        <f>B53&amp;"_"&amp;C53</f>
        <v>60003_2</v>
      </c>
      <c r="E53" s="4" t="str">
        <f ca="1">VLOOKUP($B53,OFFSET([2]quests!$A$1,0,0,COUNTA([2]quests!$A:$A),MATCH(E$1,[2]quests!$1:$1,0)-MATCH($B$1,[2]quests!$1:$1,0)+1),MATCH(E$1,[2]quests!$1:$1,0)-MATCH($B$1,[2]quests!$1:$1,0)+1,FALSE)</f>
        <v>ヘンペルチャレンジ</v>
      </c>
      <c r="F53" s="4" t="str">
        <f ca="1">VLOOKUP($D53,OFFSET([2]stages!$A$1,0,0,COUNTA([2]stages!$A:$A),MATCH(F$1,[2]stages!$2:$2,0)-MATCH($D$1,[2]stages!$2:$2,0)+1),MATCH(F$1,[2]stages!$2:$2,0)-MATCH($D$1,[2]stages!$2:$2,0)+1,FALSE)</f>
        <v>[超級] 第3回　</v>
      </c>
      <c r="G53" s="21">
        <v>4</v>
      </c>
      <c r="H53" s="15" t="str">
        <f>B53&amp;"_"&amp;C53&amp;"-"&amp;G53</f>
        <v>60003_2-4</v>
      </c>
      <c r="I53" s="4">
        <f ca="1">VLOOKUP($H53,OFFSET(floors!$A$1,0,0,COUNTA(floors!$A:$A),MATCH(I$1,floors!$1:$1,0)-MATCH($H$1,floors!$1:$1,0)+1),MATCH(I$1,floors!$1:$1,0)-MATCH($H$1,floors!$1:$1,0)+1,FALSE)</f>
        <v>60</v>
      </c>
      <c r="J53" s="4">
        <f ca="1">VLOOKUP($H53,OFFSET(floors!$A$1,0,0,COUNTA(floors!$A:$A),MATCH(J$1,floors!$1:$1,0)-MATCH($H$1,floors!$1:$1,0)+1),MATCH(J$1,floors!$1:$1,0)-MATCH($H$1,floors!$1:$1,0)+1,FALSE)</f>
        <v>60</v>
      </c>
      <c r="K53" s="38">
        <v>1</v>
      </c>
      <c r="L53" s="20">
        <v>581</v>
      </c>
      <c r="M53" s="17" t="str">
        <f ca="1">VLOOKUP($L53,OFFSET([3]enemies!$A$1,0,0,COUNTA([3]enemies!$A:$A),MATCH(M$1,[3]enemies!$1:$1,0)-MATCH($L$1,[3]enemies!$1:$1,0)+1),MATCH(M$1,[3]enemies!$1:$1,0)-MATCH($L$1,[3]enemies!$1:$1,0)+1,FALSE)</f>
        <v>フギンとムニン</v>
      </c>
      <c r="N53" s="17" t="str">
        <f ca="1">VLOOKUP($L53,OFFSET([3]enemies!$A$1,0,0,COUNTA([3]enemies!$A:$A),MATCH(N$1,[3]enemies!$1:$1,0)-MATCH($L$1,[3]enemies!$1:$1,0)+1),MATCH(N$1,[3]enemies!$1:$1,0)-MATCH($L$1,[3]enemies!$1:$1,0)+1,FALSE)</f>
        <v>blue</v>
      </c>
      <c r="O53" s="17" t="str">
        <f ca="1">VLOOKUP($L53,OFFSET([4]characters!$A$1,0,0,COUNTA([4]characters!$A:$A),MATCH(O$1,[4]characters!$1:$1,0)-MATCH($L$1,[4]characters!$1:$1,0)+1),MATCH(O$1,[4]characters!$1:$1,0)-MATCH($L$1,[4]characters!$1:$1,0)+1,FALSE)</f>
        <v>DropWizS</v>
      </c>
      <c r="P53" s="17" t="str">
        <f ca="1">VLOOKUP($L53,OFFSET([3]enemies!$A$1,0,0,COUNTA([3]enemies!$A:$A),MATCH(P$1,[3]enemies!$1:$1,0)-MATCH($L$1,[3]enemies!$1:$1,0)+1),MATCH(P$1,[3]enemies!$1:$1,0)-MATCH($L$1,[3]enemies!$1:$1,0)+1,FALSE)</f>
        <v>machine</v>
      </c>
      <c r="Q53" s="17">
        <f ca="1">VLOOKUP($L53,OFFSET([3]enemies!$A$1,0,0,COUNTA([3]enemies!$A:$A),MATCH(Q$1,[3]enemies!$1:$1,0)-MATCH($L$1,[3]enemies!$1:$1,0)+1),MATCH(Q$1,[3]enemies!$1:$1,0)-MATCH($L$1,[3]enemies!$1:$1,0)+1,FALSE)</f>
        <v>30</v>
      </c>
      <c r="R53" s="5">
        <v>30</v>
      </c>
      <c r="S53" s="25">
        <v>1.4</v>
      </c>
      <c r="T53" s="25">
        <v>1</v>
      </c>
      <c r="U53" s="5">
        <v>0</v>
      </c>
      <c r="V53" s="4" t="e">
        <f ca="1">VLOOKUP($W53,OFFSET([5]enemy_skill_sets!$B$1,0,0,COUNTA([5]enemy_skill_sets!$B:$B),MATCH(M$1,[5]enemy_skill_sets!$1:$1,0)-MATCH($W$1,[5]enemy_skill_sets!$1:$1,0)+2),MATCH(M$1,[5]enemy_skill_sets!$1:$1,0)-MATCH($W$1,[5]enemy_skill_sets!$1:$1,0)+2,FALSE)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53" s="4">
        <v>60001104</v>
      </c>
      <c r="X53" s="6">
        <v>1</v>
      </c>
      <c r="Y53" s="6">
        <v>100</v>
      </c>
      <c r="Z53" s="6">
        <v>1</v>
      </c>
      <c r="AA53" s="17">
        <v>3</v>
      </c>
      <c r="AB53" s="24">
        <f>L53</f>
        <v>581</v>
      </c>
      <c r="AC53" s="4" t="str">
        <f ca="1">VLOOKUP($AB53,OFFSET([4]characters!$A$1,0,0,COUNTA([4]characters!$A:$A),MATCH(AC$1,[4]characters!$1:$1,0)-MATCH("character_id",[4]characters!$1:$1,0)+1),MATCH(AC$1,[4]characters!$1:$1,0)-MATCH("character_id",[4]characters!$1:$1,0)+1,FALSE)</f>
        <v>フギンとムニン</v>
      </c>
      <c r="AD53" s="4">
        <f ca="1">VLOOKUP($AB53,OFFSET([4]characters!$A$1,0,0,COUNTA([4]characters!$A:$A),MATCH(AD$1,[4]characters!$1:$1,0)-MATCH("character_id",[4]characters!$1:$1,0)+1),MATCH(AD$1,[4]characters!$1:$1,0)-MATCH("character_id",[4]characters!$1:$1,0)+1,FALSE)</f>
        <v>4</v>
      </c>
      <c r="AE53" s="4" t="str">
        <f ca="1">VLOOKUP($AB53,OFFSET([4]characters!$A$1,0,0,COUNTA([4]characters!$A:$A),MATCH(AE$1,[4]characters!$1:$1,0)-MATCH("character_id",[4]characters!$1:$1,0)+1),MATCH(AE$1,[4]characters!$1:$1,0)-MATCH("character_id",[4]characters!$1:$1,0)+1,FALSE)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53" s="7">
        <v>1</v>
      </c>
      <c r="AG53" s="24">
        <f ca="1">AD53</f>
        <v>4</v>
      </c>
      <c r="AH53" s="8">
        <v>0</v>
      </c>
      <c r="AI53" s="7">
        <v>0</v>
      </c>
      <c r="AJ53" s="7">
        <v>0</v>
      </c>
      <c r="AK53" s="7">
        <v>0</v>
      </c>
      <c r="AL53" s="7">
        <v>0</v>
      </c>
      <c r="AM53" s="7">
        <v>1</v>
      </c>
      <c r="AN53" s="69">
        <v>1</v>
      </c>
    </row>
    <row r="54" spans="1:40" ht="21" customHeight="1">
      <c r="A54" s="16" t="str">
        <f t="shared" ca="1" si="0"/>
        <v>60003_2-5/403&lt;lv30&gt;s3</v>
      </c>
      <c r="B54" s="22">
        <v>60003</v>
      </c>
      <c r="C54" s="21">
        <v>2</v>
      </c>
      <c r="D54" s="2" t="str">
        <f>B54&amp;"_"&amp;C54</f>
        <v>60003_2</v>
      </c>
      <c r="E54" s="4" t="str">
        <f ca="1">VLOOKUP($B54,OFFSET([2]quests!$A$1,0,0,COUNTA([2]quests!$A:$A),MATCH(E$1,[2]quests!$1:$1,0)-MATCH($B$1,[2]quests!$1:$1,0)+1),MATCH(E$1,[2]quests!$1:$1,0)-MATCH($B$1,[2]quests!$1:$1,0)+1,FALSE)</f>
        <v>ヘンペルチャレンジ</v>
      </c>
      <c r="F54" s="4" t="str">
        <f ca="1">VLOOKUP($D54,OFFSET([2]stages!$A$1,0,0,COUNTA([2]stages!$A:$A),MATCH(F$1,[2]stages!$2:$2,0)-MATCH($D$1,[2]stages!$2:$2,0)+1),MATCH(F$1,[2]stages!$2:$2,0)-MATCH($D$1,[2]stages!$2:$2,0)+1,FALSE)</f>
        <v>[超級] 第3回　</v>
      </c>
      <c r="G54" s="21">
        <v>5</v>
      </c>
      <c r="H54" s="15" t="str">
        <f>B54&amp;"_"&amp;C54&amp;"-"&amp;G54</f>
        <v>60003_2-5</v>
      </c>
      <c r="I54" s="4">
        <f ca="1">VLOOKUP($H54,OFFSET(floors!$A$1,0,0,COUNTA(floors!$A:$A),MATCH(I$1,floors!$1:$1,0)-MATCH($H$1,floors!$1:$1,0)+1),MATCH(I$1,floors!$1:$1,0)-MATCH($H$1,floors!$1:$1,0)+1,FALSE)</f>
        <v>60</v>
      </c>
      <c r="J54" s="4">
        <f ca="1">VLOOKUP($H54,OFFSET(floors!$A$1,0,0,COUNTA(floors!$A:$A),MATCH(J$1,floors!$1:$1,0)-MATCH($H$1,floors!$1:$1,0)+1),MATCH(J$1,floors!$1:$1,0)-MATCH($H$1,floors!$1:$1,0)+1,FALSE)</f>
        <v>60</v>
      </c>
      <c r="K54" s="38" t="s">
        <v>53</v>
      </c>
      <c r="L54" s="20">
        <v>403</v>
      </c>
      <c r="M54" s="17" t="str">
        <f ca="1">VLOOKUP($L54,OFFSET([3]enemies!$A$1,0,0,COUNTA([3]enemies!$A:$A),MATCH(M$1,[3]enemies!$1:$1,0)-MATCH($L$1,[3]enemies!$1:$1,0)+1),MATCH(M$1,[3]enemies!$1:$1,0)-MATCH($L$1,[3]enemies!$1:$1,0)+1,FALSE)</f>
        <v>静撃の翠眼 八咫烏</v>
      </c>
      <c r="N54" s="17" t="str">
        <f ca="1">VLOOKUP($L54,OFFSET([3]enemies!$A$1,0,0,COUNTA([3]enemies!$A:$A),MATCH(N$1,[3]enemies!$1:$1,0)-MATCH($L$1,[3]enemies!$1:$1,0)+1),MATCH(N$1,[3]enemies!$1:$1,0)-MATCH($L$1,[3]enemies!$1:$1,0)+1,FALSE)</f>
        <v>green</v>
      </c>
      <c r="O54" s="17" t="str">
        <f ca="1">VLOOKUP($L54,OFFSET([4]characters!$A$1,0,0,COUNTA([4]characters!$A:$A),MATCH(O$1,[4]characters!$1:$1,0)-MATCH($L$1,[4]characters!$1:$1,0)+1),MATCH(O$1,[4]characters!$1:$1,0)-MATCH($L$1,[4]characters!$1:$1,0)+1,FALSE)</f>
        <v>PremiumSS</v>
      </c>
      <c r="P54" s="17" t="str">
        <f ca="1">VLOOKUP($L54,OFFSET([3]enemies!$A$1,0,0,COUNTA([3]enemies!$A:$A),MATCH(P$1,[3]enemies!$1:$1,0)-MATCH($L$1,[3]enemies!$1:$1,0)+1),MATCH(P$1,[3]enemies!$1:$1,0)-MATCH($L$1,[3]enemies!$1:$1,0)+1,FALSE)</f>
        <v>animal</v>
      </c>
      <c r="Q54" s="17">
        <f ca="1">VLOOKUP($L54,OFFSET([3]enemies!$A$1,0,0,COUNTA([3]enemies!$A:$A),MATCH(Q$1,[3]enemies!$1:$1,0)-MATCH($L$1,[3]enemies!$1:$1,0)+1),MATCH(Q$1,[3]enemies!$1:$1,0)-MATCH($L$1,[3]enemies!$1:$1,0)+1,FALSE)</f>
        <v>30</v>
      </c>
      <c r="R54" s="5">
        <v>30</v>
      </c>
      <c r="S54" s="25">
        <v>1</v>
      </c>
      <c r="T54" s="25">
        <v>1</v>
      </c>
      <c r="U54" s="5">
        <v>0</v>
      </c>
      <c r="V54" s="4" t="e">
        <f ca="1">VLOOKUP($W54,OFFSET([5]enemy_skill_sets!$B$1,0,0,COUNTA([5]enemy_skill_sets!$B:$B),MATCH(M$1,[5]enemy_skill_sets!$1:$1,0)-MATCH($W$1,[5]enemy_skill_sets!$1:$1,0)+2),MATCH(M$1,[5]enemy_skill_sets!$1:$1,0)-MATCH($W$1,[5]enemy_skill_sets!$1:$1,0)+2,FALSE)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54" s="4">
        <v>60001106</v>
      </c>
      <c r="X54" s="6">
        <v>1</v>
      </c>
      <c r="Y54" s="6">
        <v>100</v>
      </c>
      <c r="Z54" s="6">
        <v>0</v>
      </c>
      <c r="AA54" s="17">
        <f ca="1">VLOOKUP($L54,OFFSET([3]enemies!$A$1,0,0,COUNTA([3]enemies!$A:$A),MATCH(AA$1,[3]enemies!$1:$1,0)-MATCH($L$1,[3]enemies!$1:$1,0)+1),MATCH(AA$1,[3]enemies!$1:$1,0)-MATCH($L$1,[3]enemies!$1:$1,0)+1,FALSE)</f>
        <v>3</v>
      </c>
      <c r="AB54" s="24">
        <f>L54</f>
        <v>403</v>
      </c>
      <c r="AC54" s="4" t="str">
        <f ca="1">VLOOKUP($AB54,OFFSET([4]characters!$A$1,0,0,COUNTA([4]characters!$A:$A),MATCH(AC$1,[4]characters!$1:$1,0)-MATCH("character_id",[4]characters!$1:$1,0)+1),MATCH(AC$1,[4]characters!$1:$1,0)-MATCH("character_id",[4]characters!$1:$1,0)+1,FALSE)</f>
        <v>静撃の翠眼 八咫烏</v>
      </c>
      <c r="AD54" s="4">
        <f ca="1">VLOOKUP($AB54,OFFSET([4]characters!$A$1,0,0,COUNTA([4]characters!$A:$A),MATCH(AD$1,[4]characters!$1:$1,0)-MATCH("character_id",[4]characters!$1:$1,0)+1),MATCH(AD$1,[4]characters!$1:$1,0)-MATCH("character_id",[4]characters!$1:$1,0)+1,FALSE)</f>
        <v>4</v>
      </c>
      <c r="AE54" s="4" t="str">
        <f ca="1">VLOOKUP($AB54,OFFSET([4]characters!$A$1,0,0,COUNTA([4]characters!$A:$A),MATCH(AE$1,[4]characters!$1:$1,0)-MATCH("character_id",[4]characters!$1:$1,0)+1),MATCH(AE$1,[4]characters!$1:$1,0)-MATCH("character_id",[4]characters!$1:$1,0)+1,FALSE)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54" s="7">
        <v>1</v>
      </c>
      <c r="AG54" s="24">
        <f ca="1">AD54</f>
        <v>4</v>
      </c>
      <c r="AH54" s="8">
        <v>0</v>
      </c>
      <c r="AI54" s="7">
        <v>0</v>
      </c>
      <c r="AJ54" s="7">
        <v>0</v>
      </c>
      <c r="AK54" s="7">
        <v>0</v>
      </c>
      <c r="AL54" s="7">
        <v>0</v>
      </c>
      <c r="AM54" s="7">
        <v>1</v>
      </c>
      <c r="AN54" s="69">
        <v>1</v>
      </c>
    </row>
    <row r="55" spans="1:40" ht="21" customHeight="1">
      <c r="A55" s="16" t="str">
        <f t="shared" ca="1" si="0"/>
        <v>60003_2-5/660&lt;lv30&gt;s2</v>
      </c>
      <c r="B55" s="22">
        <v>60003</v>
      </c>
      <c r="C55" s="21">
        <v>2</v>
      </c>
      <c r="D55" s="2" t="str">
        <f>B55&amp;"_"&amp;C55</f>
        <v>60003_2</v>
      </c>
      <c r="E55" s="4" t="str">
        <f ca="1">VLOOKUP($B55,OFFSET([2]quests!$A$1,0,0,COUNTA([2]quests!$A:$A),MATCH(E$1,[2]quests!$1:$1,0)-MATCH($B$1,[2]quests!$1:$1,0)+1),MATCH(E$1,[2]quests!$1:$1,0)-MATCH($B$1,[2]quests!$1:$1,0)+1,FALSE)</f>
        <v>ヘンペルチャレンジ</v>
      </c>
      <c r="F55" s="4" t="str">
        <f ca="1">VLOOKUP($D55,OFFSET([2]stages!$A$1,0,0,COUNTA([2]stages!$A:$A),MATCH(F$1,[2]stages!$2:$2,0)-MATCH($D$1,[2]stages!$2:$2,0)+1),MATCH(F$1,[2]stages!$2:$2,0)-MATCH($D$1,[2]stages!$2:$2,0)+1,FALSE)</f>
        <v>[超級] 第3回　</v>
      </c>
      <c r="G55" s="21">
        <v>5</v>
      </c>
      <c r="H55" s="15" t="str">
        <f>B55&amp;"_"&amp;C55&amp;"-"&amp;G55</f>
        <v>60003_2-5</v>
      </c>
      <c r="I55" s="4">
        <f ca="1">VLOOKUP($H55,OFFSET(floors!$A$1,0,0,COUNTA(floors!$A:$A),MATCH(I$1,floors!$1:$1,0)-MATCH($H$1,floors!$1:$1,0)+1),MATCH(I$1,floors!$1:$1,0)-MATCH($H$1,floors!$1:$1,0)+1,FALSE)</f>
        <v>60</v>
      </c>
      <c r="J55" s="4">
        <f ca="1">VLOOKUP($H55,OFFSET(floors!$A$1,0,0,COUNTA(floors!$A:$A),MATCH(J$1,floors!$1:$1,0)-MATCH($H$1,floors!$1:$1,0)+1),MATCH(J$1,floors!$1:$1,0)-MATCH($H$1,floors!$1:$1,0)+1,FALSE)</f>
        <v>60</v>
      </c>
      <c r="K55" s="38" t="s">
        <v>53</v>
      </c>
      <c r="L55" s="20">
        <v>660</v>
      </c>
      <c r="M55" s="17" t="str">
        <f ca="1">VLOOKUP($L55,OFFSET([3]enemies!$A$1,0,0,COUNTA([3]enemies!$A:$A),MATCH(M$1,[3]enemies!$1:$1,0)-MATCH($L$1,[3]enemies!$1:$1,0)+1),MATCH(M$1,[3]enemies!$1:$1,0)-MATCH($L$1,[3]enemies!$1:$1,0)+1,FALSE)</f>
        <v>烏天狗 フウガ</v>
      </c>
      <c r="N55" s="17" t="str">
        <f ca="1">VLOOKUP($L55,OFFSET([3]enemies!$A$1,0,0,COUNTA([3]enemies!$A:$A),MATCH(N$1,[3]enemies!$1:$1,0)-MATCH($L$1,[3]enemies!$1:$1,0)+1),MATCH(N$1,[3]enemies!$1:$1,0)-MATCH($L$1,[3]enemies!$1:$1,0)+1,FALSE)</f>
        <v>green</v>
      </c>
      <c r="O55" s="17" t="str">
        <f ca="1">VLOOKUP($L55,OFFSET([4]characters!$A$1,0,0,COUNTA([4]characters!$A:$A),MATCH(O$1,[4]characters!$1:$1,0)-MATCH($L$1,[4]characters!$1:$1,0)+1),MATCH(O$1,[4]characters!$1:$1,0)-MATCH($L$1,[4]characters!$1:$1,0)+1,FALSE)</f>
        <v>PremiumSS</v>
      </c>
      <c r="P55" s="17" t="str">
        <f ca="1">VLOOKUP($L55,OFFSET([3]enemies!$A$1,0,0,COUNTA([3]enemies!$A:$A),MATCH(P$1,[3]enemies!$1:$1,0)-MATCH($L$1,[3]enemies!$1:$1,0)+1),MATCH(P$1,[3]enemies!$1:$1,0)-MATCH($L$1,[3]enemies!$1:$1,0)+1,FALSE)</f>
        <v>animal</v>
      </c>
      <c r="Q55" s="17">
        <f ca="1">VLOOKUP($L55,OFFSET([3]enemies!$A$1,0,0,COUNTA([3]enemies!$A:$A),MATCH(Q$1,[3]enemies!$1:$1,0)-MATCH($L$1,[3]enemies!$1:$1,0)+1),MATCH(Q$1,[3]enemies!$1:$1,0)-MATCH($L$1,[3]enemies!$1:$1,0)+1,FALSE)</f>
        <v>30</v>
      </c>
      <c r="R55" s="5">
        <v>30</v>
      </c>
      <c r="S55" s="25">
        <v>0.8</v>
      </c>
      <c r="T55" s="25">
        <v>1</v>
      </c>
      <c r="U55" s="5">
        <v>0</v>
      </c>
      <c r="V55" s="4" t="e">
        <f ca="1">VLOOKUP($W55,OFFSET([5]enemy_skill_sets!$B$1,0,0,COUNTA([5]enemy_skill_sets!$B:$B),MATCH(M$1,[5]enemy_skill_sets!$1:$1,0)-MATCH($W$1,[5]enemy_skill_sets!$1:$1,0)+2),MATCH(M$1,[5]enemy_skill_sets!$1:$1,0)-MATCH($W$1,[5]enemy_skill_sets!$1:$1,0)+2,FALSE)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55" s="4">
        <v>60001107</v>
      </c>
      <c r="X55" s="6">
        <v>1</v>
      </c>
      <c r="Y55" s="6">
        <v>100</v>
      </c>
      <c r="Z55" s="6">
        <v>0</v>
      </c>
      <c r="AA55" s="17">
        <f ca="1">VLOOKUP($L55,OFFSET([3]enemies!$A$1,0,0,COUNTA([3]enemies!$A:$A),MATCH(AA$1,[3]enemies!$1:$1,0)-MATCH($L$1,[3]enemies!$1:$1,0)+1),MATCH(AA$1,[3]enemies!$1:$1,0)-MATCH($L$1,[3]enemies!$1:$1,0)+1,FALSE)</f>
        <v>2</v>
      </c>
      <c r="AB55" s="24">
        <f>L55</f>
        <v>660</v>
      </c>
      <c r="AC55" s="4" t="str">
        <f ca="1">VLOOKUP($AB55,OFFSET([4]characters!$A$1,0,0,COUNTA([4]characters!$A:$A),MATCH(AC$1,[4]characters!$1:$1,0)-MATCH("character_id",[4]characters!$1:$1,0)+1),MATCH(AC$1,[4]characters!$1:$1,0)-MATCH("character_id",[4]characters!$1:$1,0)+1,FALSE)</f>
        <v>烏天狗 フウガ</v>
      </c>
      <c r="AD55" s="4">
        <f ca="1">VLOOKUP($AB55,OFFSET([4]characters!$A$1,0,0,COUNTA([4]characters!$A:$A),MATCH(AD$1,[4]characters!$1:$1,0)-MATCH("character_id",[4]characters!$1:$1,0)+1),MATCH(AD$1,[4]characters!$1:$1,0)-MATCH("character_id",[4]characters!$1:$1,0)+1,FALSE)</f>
        <v>4</v>
      </c>
      <c r="AE55" s="4" t="str">
        <f ca="1">VLOOKUP($AB55,OFFSET([4]characters!$A$1,0,0,COUNTA([4]characters!$A:$A),MATCH(AE$1,[4]characters!$1:$1,0)-MATCH("character_id",[4]characters!$1:$1,0)+1),MATCH(AE$1,[4]characters!$1:$1,0)-MATCH("character_id",[4]characters!$1:$1,0)+1,FALSE)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55" s="7">
        <v>1</v>
      </c>
      <c r="AG55" s="24">
        <f ca="1">AD55</f>
        <v>4</v>
      </c>
      <c r="AH55" s="8">
        <v>0</v>
      </c>
      <c r="AI55" s="7">
        <v>0</v>
      </c>
      <c r="AJ55" s="7">
        <v>0</v>
      </c>
      <c r="AK55" s="7">
        <v>0</v>
      </c>
      <c r="AL55" s="7">
        <v>0</v>
      </c>
      <c r="AM55" s="7">
        <v>1</v>
      </c>
      <c r="AN55" s="69">
        <v>1</v>
      </c>
    </row>
    <row r="56" spans="1:40" ht="21" customHeight="1">
      <c r="A56" s="16" t="str">
        <f t="shared" si="0"/>
        <v>60003_2-6/488&lt;lv40&gt;s3</v>
      </c>
      <c r="B56" s="22">
        <v>60003</v>
      </c>
      <c r="C56" s="21">
        <v>2</v>
      </c>
      <c r="D56" s="2" t="str">
        <f t="shared" ref="D56:D62" si="21">B56&amp;"_"&amp;C56</f>
        <v>60003_2</v>
      </c>
      <c r="E56" s="4" t="str">
        <f ca="1">VLOOKUP($B56,OFFSET([2]quests!$A$1,0,0,COUNTA([2]quests!$A:$A),MATCH(E$1,[2]quests!$1:$1,0)-MATCH($B$1,[2]quests!$1:$1,0)+1),MATCH(E$1,[2]quests!$1:$1,0)-MATCH($B$1,[2]quests!$1:$1,0)+1,FALSE)</f>
        <v>ヘンペルチャレンジ</v>
      </c>
      <c r="F56" s="4" t="str">
        <f ca="1">VLOOKUP($D56,OFFSET([2]stages!$A$1,0,0,COUNTA([2]stages!$A:$A),MATCH(F$1,[2]stages!$2:$2,0)-MATCH($D$1,[2]stages!$2:$2,0)+1),MATCH(F$1,[2]stages!$2:$2,0)-MATCH($D$1,[2]stages!$2:$2,0)+1,FALSE)</f>
        <v>[超級] 第3回　</v>
      </c>
      <c r="G56" s="21">
        <v>6</v>
      </c>
      <c r="H56" s="15" t="str">
        <f t="shared" ref="H56:H62" si="22">B56&amp;"_"&amp;C56&amp;"-"&amp;G56</f>
        <v>60003_2-6</v>
      </c>
      <c r="I56" s="4">
        <f ca="1">VLOOKUP($H56,OFFSET(floors!$A$1,0,0,COUNTA(floors!$A:$A),MATCH(I$1,floors!$1:$1,0)-MATCH($H$1,floors!$1:$1,0)+1),MATCH(I$1,floors!$1:$1,0)-MATCH($H$1,floors!$1:$1,0)+1,FALSE)</f>
        <v>60</v>
      </c>
      <c r="J56" s="4">
        <f ca="1">VLOOKUP($H56,OFFSET(floors!$A$1,0,0,COUNTA(floors!$A:$A),MATCH(J$1,floors!$1:$1,0)-MATCH($H$1,floors!$1:$1,0)+1),MATCH(J$1,floors!$1:$1,0)-MATCH($H$1,floors!$1:$1,0)+1,FALSE)</f>
        <v>60</v>
      </c>
      <c r="K56" s="38">
        <v>1</v>
      </c>
      <c r="L56" s="20">
        <v>488</v>
      </c>
      <c r="M56" s="17" t="str">
        <f ca="1">VLOOKUP($L56,OFFSET([3]enemies!$A$1,0,0,COUNTA([3]enemies!$A:$A),MATCH(M$1,[3]enemies!$1:$1,0)-MATCH($L$1,[3]enemies!$1:$1,0)+1),MATCH(M$1,[3]enemies!$1:$1,0)-MATCH($L$1,[3]enemies!$1:$1,0)+1,FALSE)</f>
        <v>直観の異論 ヘンペル</v>
      </c>
      <c r="N56" s="17" t="str">
        <f ca="1">VLOOKUP($L56,OFFSET([3]enemies!$A$1,0,0,COUNTA([3]enemies!$A:$A),MATCH(N$1,[3]enemies!$1:$1,0)-MATCH($L$1,[3]enemies!$1:$1,0)+1),MATCH(N$1,[3]enemies!$1:$1,0)-MATCH($L$1,[3]enemies!$1:$1,0)+1,FALSE)</f>
        <v>blue</v>
      </c>
      <c r="O56" s="17" t="str">
        <f ca="1">VLOOKUP($L56,OFFSET([4]characters!$A$1,0,0,COUNTA([4]characters!$A:$A),MATCH(O$1,[4]characters!$1:$1,0)-MATCH($L$1,[4]characters!$1:$1,0)+1),MATCH(O$1,[4]characters!$1:$1,0)-MATCH($L$1,[4]characters!$1:$1,0)+1,FALSE)</f>
        <v>PremiumSSS</v>
      </c>
      <c r="P56" s="17" t="str">
        <f ca="1">VLOOKUP($L56,OFFSET([3]enemies!$A$1,0,0,COUNTA([3]enemies!$A:$A),MATCH(P$1,[3]enemies!$1:$1,0)-MATCH($L$1,[3]enemies!$1:$1,0)+1),MATCH(P$1,[3]enemies!$1:$1,0)-MATCH($L$1,[3]enemies!$1:$1,0)+1,FALSE)</f>
        <v>human</v>
      </c>
      <c r="Q56" s="17">
        <f ca="1">VLOOKUP($L56,OFFSET([3]enemies!$A$1,0,0,COUNTA([3]enemies!$A:$A),MATCH(Q$1,[3]enemies!$1:$1,0)-MATCH($L$1,[3]enemies!$1:$1,0)+1),MATCH(Q$1,[3]enemies!$1:$1,0)-MATCH($L$1,[3]enemies!$1:$1,0)+1,FALSE)</f>
        <v>60</v>
      </c>
      <c r="R56" s="5">
        <v>40</v>
      </c>
      <c r="S56" s="25">
        <v>0.9</v>
      </c>
      <c r="T56" s="25">
        <v>1</v>
      </c>
      <c r="U56" s="5">
        <v>0</v>
      </c>
      <c r="V56" s="4" t="e">
        <f ca="1">VLOOKUP($W56,OFFSET([5]enemy_skill_sets!$B$1,0,0,COUNTA([5]enemy_skill_sets!$B:$B),MATCH(M$1,[5]enemy_skill_sets!$1:$1,0)-MATCH($W$1,[5]enemy_skill_sets!$1:$1,0)+2),MATCH(M$1,[5]enemy_skill_sets!$1:$1,0)-MATCH($W$1,[5]enemy_skill_sets!$1:$1,0)+2,FALSE)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56" s="4">
        <v>60001108</v>
      </c>
      <c r="X56" s="6">
        <v>0</v>
      </c>
      <c r="Y56" s="6">
        <v>100</v>
      </c>
      <c r="Z56" s="6">
        <v>1</v>
      </c>
      <c r="AA56" s="17">
        <v>3</v>
      </c>
      <c r="AB56" s="24">
        <f t="shared" ref="AB56:AB62" si="23">L56</f>
        <v>488</v>
      </c>
      <c r="AC56" s="4" t="str">
        <f ca="1">VLOOKUP($AB56,OFFSET([4]characters!$A$1,0,0,COUNTA([4]characters!$A:$A),MATCH(AC$1,[4]characters!$1:$1,0)-MATCH("character_id",[4]characters!$1:$1,0)+1),MATCH(AC$1,[4]characters!$1:$1,0)-MATCH("character_id",[4]characters!$1:$1,0)+1,FALSE)</f>
        <v>直観の異論 ヘンペル</v>
      </c>
      <c r="AD56" s="4">
        <f ca="1">VLOOKUP($AB56,OFFSET([4]characters!$A$1,0,0,COUNTA([4]characters!$A:$A),MATCH(AD$1,[4]characters!$1:$1,0)-MATCH("character_id",[4]characters!$1:$1,0)+1),MATCH(AD$1,[4]characters!$1:$1,0)-MATCH("character_id",[4]characters!$1:$1,0)+1,FALSE)</f>
        <v>5</v>
      </c>
      <c r="AE56" s="4" t="str">
        <f ca="1">VLOOKUP($AB56,OFFSET([4]characters!$A$1,0,0,COUNTA([4]characters!$A:$A),MATCH(AE$1,[4]characters!$1:$1,0)-MATCH("character_id",[4]characters!$1:$1,0)+1),MATCH(AE$1,[4]characters!$1:$1,0)-MATCH("character_id",[4]characters!$1:$1,0)+1,FALSE)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56" s="7">
        <v>1</v>
      </c>
      <c r="AG56" s="24">
        <f t="shared" ref="AG56:AG62" ca="1" si="24">AD56</f>
        <v>5</v>
      </c>
      <c r="AH56" s="8">
        <v>0</v>
      </c>
      <c r="AI56" s="7">
        <v>0</v>
      </c>
      <c r="AJ56" s="7">
        <v>0</v>
      </c>
      <c r="AK56" s="7">
        <v>0</v>
      </c>
      <c r="AL56" s="7">
        <v>0</v>
      </c>
      <c r="AM56" s="7">
        <v>1</v>
      </c>
      <c r="AN56" s="69">
        <v>1</v>
      </c>
    </row>
    <row r="57" spans="1:40" ht="21" customHeight="1">
      <c r="A57" s="16" t="str">
        <f t="shared" ca="1" si="0"/>
        <v>60003_3-1/1&lt;lv50&gt;s1</v>
      </c>
      <c r="B57" s="22">
        <v>60003</v>
      </c>
      <c r="C57" s="21">
        <v>3</v>
      </c>
      <c r="D57" s="2" t="str">
        <f t="shared" si="21"/>
        <v>60003_3</v>
      </c>
      <c r="E57" s="4" t="str">
        <f ca="1">VLOOKUP($B57,OFFSET([2]quests!$A$1,0,0,COUNTA([2]quests!$A:$A),MATCH(E$1,[2]quests!$1:$1,0)-MATCH($B$1,[2]quests!$1:$1,0)+1),MATCH(E$1,[2]quests!$1:$1,0)-MATCH($B$1,[2]quests!$1:$1,0)+1,FALSE)</f>
        <v>ヘンペルチャレンジ</v>
      </c>
      <c r="F57" s="4" t="str">
        <f ca="1">VLOOKUP($D57,OFFSET([2]stages!$A$1,0,0,COUNTA([2]stages!$A:$A),MATCH(F$1,[2]stages!$2:$2,0)-MATCH($D$1,[2]stages!$2:$2,0)+1),MATCH(F$1,[2]stages!$2:$2,0)-MATCH($D$1,[2]stages!$2:$2,0)+1,FALSE)</f>
        <v>[ウィザード] 第3回　</v>
      </c>
      <c r="G57" s="21">
        <v>1</v>
      </c>
      <c r="H57" s="15" t="str">
        <f t="shared" si="22"/>
        <v>60003_3-1</v>
      </c>
      <c r="I57" s="4">
        <f ca="1">VLOOKUP($H57,OFFSET(floors!$A$1,0,0,COUNTA(floors!$A:$A),MATCH(I$1,floors!$1:$1,0)-MATCH($H$1,floors!$1:$1,0)+1),MATCH(I$1,floors!$1:$1,0)-MATCH($H$1,floors!$1:$1,0)+1,FALSE)</f>
        <v>60</v>
      </c>
      <c r="J57" s="4">
        <f ca="1">VLOOKUP($H57,OFFSET(floors!$A$1,0,0,COUNTA(floors!$A:$A),MATCH(J$1,floors!$1:$1,0)-MATCH($H$1,floors!$1:$1,0)+1),MATCH(J$1,floors!$1:$1,0)-MATCH($H$1,floors!$1:$1,0)+1,FALSE)</f>
        <v>60</v>
      </c>
      <c r="K57" s="38" t="s">
        <v>53</v>
      </c>
      <c r="L57" s="20">
        <v>1</v>
      </c>
      <c r="M57" s="17" t="str">
        <f ca="1">VLOOKUP($L57,OFFSET([3]enemies!$A$1,0,0,COUNTA([3]enemies!$A:$A),MATCH(M$1,[3]enemies!$1:$1,0)-MATCH($L$1,[3]enemies!$1:$1,0)+1),MATCH(M$1,[3]enemies!$1:$1,0)-MATCH($L$1,[3]enemies!$1:$1,0)+1,FALSE)</f>
        <v>ジェリー</v>
      </c>
      <c r="N57" s="17" t="str">
        <f ca="1">VLOOKUP($L57,OFFSET([3]enemies!$A$1,0,0,COUNTA([3]enemies!$A:$A),MATCH(N$1,[3]enemies!$1:$1,0)-MATCH($L$1,[3]enemies!$1:$1,0)+1),MATCH(N$1,[3]enemies!$1:$1,0)-MATCH($L$1,[3]enemies!$1:$1,0)+1,FALSE)</f>
        <v>red</v>
      </c>
      <c r="O57" s="17" t="str">
        <f ca="1">VLOOKUP($L57,OFFSET([4]characters!$A$1,0,0,COUNTA([4]characters!$A:$A),MATCH(O$1,[4]characters!$1:$1,0)-MATCH($L$1,[4]characters!$1:$1,0)+1),MATCH(O$1,[4]characters!$1:$1,0)-MATCH($L$1,[4]characters!$1:$1,0)+1,FALSE)</f>
        <v>Drop1T</v>
      </c>
      <c r="P57" s="17" t="str">
        <f ca="1">VLOOKUP($L57,OFFSET([3]enemies!$A$1,0,0,COUNTA([3]enemies!$A:$A),MATCH(P$1,[3]enemies!$1:$1,0)-MATCH($L$1,[3]enemies!$1:$1,0)+1),MATCH(P$1,[3]enemies!$1:$1,0)-MATCH($L$1,[3]enemies!$1:$1,0)+1,FALSE)</f>
        <v>unknown</v>
      </c>
      <c r="Q57" s="17">
        <f ca="1">VLOOKUP($L57,OFFSET([3]enemies!$A$1,0,0,COUNTA([3]enemies!$A:$A),MATCH(Q$1,[3]enemies!$1:$1,0)-MATCH($L$1,[3]enemies!$1:$1,0)+1),MATCH(Q$1,[3]enemies!$1:$1,0)-MATCH($L$1,[3]enemies!$1:$1,0)+1,FALSE)</f>
        <v>15</v>
      </c>
      <c r="R57" s="5">
        <v>50</v>
      </c>
      <c r="S57" s="25">
        <v>1.2</v>
      </c>
      <c r="T57" s="25">
        <v>1.1000000000000001</v>
      </c>
      <c r="U57" s="5">
        <v>0</v>
      </c>
      <c r="V57" s="4" t="e">
        <f ca="1">VLOOKUP($W57,OFFSET([5]enemy_skill_sets!$B$1,0,0,COUNTA([5]enemy_skill_sets!$B:$B),MATCH(M$1,[5]enemy_skill_sets!$1:$1,0)-MATCH($W$1,[5]enemy_skill_sets!$1:$1,0)+2),MATCH(M$1,[5]enemy_skill_sets!$1:$1,0)-MATCH($W$1,[5]enemy_skill_sets!$1:$1,0)+2,FALSE)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57" s="4">
        <v>0</v>
      </c>
      <c r="X57" s="6">
        <v>1</v>
      </c>
      <c r="Y57" s="6">
        <v>100</v>
      </c>
      <c r="Z57" s="6">
        <v>0</v>
      </c>
      <c r="AA57" s="17">
        <f ca="1">VLOOKUP($L57,OFFSET([3]enemies!$A$1,0,0,COUNTA([3]enemies!$A:$A),MATCH(AA$1,[3]enemies!$1:$1,0)-MATCH($L$1,[3]enemies!$1:$1,0)+1),MATCH(AA$1,[3]enemies!$1:$1,0)-MATCH($L$1,[3]enemies!$1:$1,0)+1,FALSE)</f>
        <v>1</v>
      </c>
      <c r="AB57" s="24">
        <f t="shared" si="23"/>
        <v>1</v>
      </c>
      <c r="AC57" s="4" t="str">
        <f ca="1">VLOOKUP($AB57,OFFSET([4]characters!$A$1,0,0,COUNTA([4]characters!$A:$A),MATCH(AC$1,[4]characters!$1:$1,0)-MATCH("character_id",[4]characters!$1:$1,0)+1),MATCH(AC$1,[4]characters!$1:$1,0)-MATCH("character_id",[4]characters!$1:$1,0)+1,FALSE)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57" s="4">
        <f ca="1">VLOOKUP($AB57,OFFSET([4]characters!$A$1,0,0,COUNTA([4]characters!$A:$A),MATCH(AD$1,[4]characters!$1:$1,0)-MATCH("character_id",[4]characters!$1:$1,0)+1),MATCH(AD$1,[4]characters!$1:$1,0)-MATCH("character_id",[4]characters!$1:$1,0)+1,FALSE)</f>
        <v>1</v>
      </c>
      <c r="AE57" s="4" t="str">
        <f ca="1">VLOOKUP($AB57,OFFSET([4]characters!$A$1,0,0,COUNTA([4]characters!$A:$A),MATCH(AE$1,[4]characters!$1:$1,0)-MATCH("character_id",[4]characters!$1:$1,0)+1),MATCH(AE$1,[4]characters!$1:$1,0)-MATCH("character_id",[4]characters!$1:$1,0)+1,FALSE)</f>
        <v>Drop1T</v>
      </c>
      <c r="AF57" s="7">
        <v>1</v>
      </c>
      <c r="AG57" s="24">
        <f t="shared" ca="1" si="24"/>
        <v>1</v>
      </c>
      <c r="AH57" s="8">
        <v>0</v>
      </c>
      <c r="AI57" s="7">
        <v>0</v>
      </c>
      <c r="AJ57" s="7">
        <v>0</v>
      </c>
      <c r="AK57" s="7">
        <v>0</v>
      </c>
      <c r="AL57" s="7">
        <v>0</v>
      </c>
      <c r="AM57" s="7">
        <v>1</v>
      </c>
      <c r="AN57" s="69">
        <v>1</v>
      </c>
    </row>
    <row r="58" spans="1:40" ht="21" customHeight="1">
      <c r="A58" s="16" t="str">
        <f t="shared" ca="1" si="0"/>
        <v>60003_3-1/3&lt;lv50&gt;s2</v>
      </c>
      <c r="B58" s="22">
        <v>60003</v>
      </c>
      <c r="C58" s="21">
        <v>3</v>
      </c>
      <c r="D58" s="2" t="str">
        <f t="shared" si="21"/>
        <v>60003_3</v>
      </c>
      <c r="E58" s="4" t="str">
        <f ca="1">VLOOKUP($B58,OFFSET([2]quests!$A$1,0,0,COUNTA([2]quests!$A:$A),MATCH(E$1,[2]quests!$1:$1,0)-MATCH($B$1,[2]quests!$1:$1,0)+1),MATCH(E$1,[2]quests!$1:$1,0)-MATCH($B$1,[2]quests!$1:$1,0)+1,FALSE)</f>
        <v>ヘンペルチャレンジ</v>
      </c>
      <c r="F58" s="4" t="str">
        <f ca="1">VLOOKUP($D58,OFFSET([2]stages!$A$1,0,0,COUNTA([2]stages!$A:$A),MATCH(F$1,[2]stages!$2:$2,0)-MATCH($D$1,[2]stages!$2:$2,0)+1),MATCH(F$1,[2]stages!$2:$2,0)-MATCH($D$1,[2]stages!$2:$2,0)+1,FALSE)</f>
        <v>[ウィザード] 第3回　</v>
      </c>
      <c r="G58" s="21">
        <v>1</v>
      </c>
      <c r="H58" s="15" t="str">
        <f t="shared" si="22"/>
        <v>60003_3-1</v>
      </c>
      <c r="I58" s="4">
        <f ca="1">VLOOKUP($H58,OFFSET(floors!$A$1,0,0,COUNTA(floors!$A:$A),MATCH(I$1,floors!$1:$1,0)-MATCH($H$1,floors!$1:$1,0)+1),MATCH(I$1,floors!$1:$1,0)-MATCH($H$1,floors!$1:$1,0)+1,FALSE)</f>
        <v>60</v>
      </c>
      <c r="J58" s="4">
        <f ca="1">VLOOKUP($H58,OFFSET(floors!$A$1,0,0,COUNTA(floors!$A:$A),MATCH(J$1,floors!$1:$1,0)-MATCH($H$1,floors!$1:$1,0)+1),MATCH(J$1,floors!$1:$1,0)-MATCH($H$1,floors!$1:$1,0)+1,FALSE)</f>
        <v>60</v>
      </c>
      <c r="K58" s="38" t="s">
        <v>53</v>
      </c>
      <c r="L58" s="20">
        <v>3</v>
      </c>
      <c r="M58" s="17" t="str">
        <f ca="1">VLOOKUP($L58,OFFSET([3]enemies!$A$1,0,0,COUNTA([3]enemies!$A:$A),MATCH(M$1,[3]enemies!$1:$1,0)-MATCH($L$1,[3]enemies!$1:$1,0)+1),MATCH(M$1,[3]enemies!$1:$1,0)-MATCH($L$1,[3]enemies!$1:$1,0)+1,FALSE)</f>
        <v>エージェント ジョー</v>
      </c>
      <c r="N58" s="17" t="str">
        <f ca="1">VLOOKUP($L58,OFFSET([3]enemies!$A$1,0,0,COUNTA([3]enemies!$A:$A),MATCH(N$1,[3]enemies!$1:$1,0)-MATCH($L$1,[3]enemies!$1:$1,0)+1),MATCH(N$1,[3]enemies!$1:$1,0)-MATCH($L$1,[3]enemies!$1:$1,0)+1,FALSE)</f>
        <v>green</v>
      </c>
      <c r="O58" s="17" t="str">
        <f ca="1">VLOOKUP($L58,OFFSET([4]characters!$A$1,0,0,COUNTA([4]characters!$A:$A),MATCH(O$1,[4]characters!$1:$1,0)-MATCH($L$1,[4]characters!$1:$1,0)+1),MATCH(O$1,[4]characters!$1:$1,0)-MATCH($L$1,[4]characters!$1:$1,0)+1,FALSE)</f>
        <v>Drop1T</v>
      </c>
      <c r="P58" s="17" t="str">
        <f ca="1">VLOOKUP($L58,OFFSET([3]enemies!$A$1,0,0,COUNTA([3]enemies!$A:$A),MATCH(P$1,[3]enemies!$1:$1,0)-MATCH($L$1,[3]enemies!$1:$1,0)+1),MATCH(P$1,[3]enemies!$1:$1,0)-MATCH($L$1,[3]enemies!$1:$1,0)+1,FALSE)</f>
        <v>unknown</v>
      </c>
      <c r="Q58" s="17">
        <f ca="1">VLOOKUP($L58,OFFSET([3]enemies!$A$1,0,0,COUNTA([3]enemies!$A:$A),MATCH(Q$1,[3]enemies!$1:$1,0)-MATCH($L$1,[3]enemies!$1:$1,0)+1),MATCH(Q$1,[3]enemies!$1:$1,0)-MATCH($L$1,[3]enemies!$1:$1,0)+1,FALSE)</f>
        <v>15</v>
      </c>
      <c r="R58" s="5">
        <v>50</v>
      </c>
      <c r="S58" s="25">
        <v>1.2</v>
      </c>
      <c r="T58" s="25">
        <v>1.1000000000000001</v>
      </c>
      <c r="U58" s="5">
        <v>0</v>
      </c>
      <c r="V58" s="4" t="e">
        <f ca="1">VLOOKUP($W58,OFFSET([5]enemy_skill_sets!$B$1,0,0,COUNTA([5]enemy_skill_sets!$B:$B),MATCH(M$1,[5]enemy_skill_sets!$1:$1,0)-MATCH($W$1,[5]enemy_skill_sets!$1:$1,0)+2),MATCH(M$1,[5]enemy_skill_sets!$1:$1,0)-MATCH($W$1,[5]enemy_skill_sets!$1:$1,0)+2,FALSE)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58" s="4">
        <v>0</v>
      </c>
      <c r="X58" s="6">
        <v>1</v>
      </c>
      <c r="Y58" s="6">
        <v>100</v>
      </c>
      <c r="Z58" s="6">
        <v>0</v>
      </c>
      <c r="AA58" s="17">
        <f ca="1">VLOOKUP($L58,OFFSET([3]enemies!$A$1,0,0,COUNTA([3]enemies!$A:$A),MATCH(AA$1,[3]enemies!$1:$1,0)-MATCH($L$1,[3]enemies!$1:$1,0)+1),MATCH(AA$1,[3]enemies!$1:$1,0)-MATCH($L$1,[3]enemies!$1:$1,0)+1,FALSE)</f>
        <v>2</v>
      </c>
      <c r="AB58" s="24">
        <f t="shared" si="23"/>
        <v>3</v>
      </c>
      <c r="AC58" s="4" t="str">
        <f ca="1">VLOOKUP($AB58,OFFSET([4]characters!$A$1,0,0,COUNTA([4]characters!$A:$A),MATCH(AC$1,[4]characters!$1:$1,0)-MATCH("character_id",[4]characters!$1:$1,0)+1),MATCH(AC$1,[4]characters!$1:$1,0)-MATCH("character_id",[4]characters!$1:$1,0)+1,FALSE)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58" s="4">
        <f ca="1">VLOOKUP($AB58,OFFSET([4]characters!$A$1,0,0,COUNTA([4]characters!$A:$A),MATCH(AD$1,[4]characters!$1:$1,0)-MATCH("character_id",[4]characters!$1:$1,0)+1),MATCH(AD$1,[4]characters!$1:$1,0)-MATCH("character_id",[4]characters!$1:$1,0)+1,FALSE)</f>
        <v>1</v>
      </c>
      <c r="AE58" s="4" t="str">
        <f ca="1">VLOOKUP($AB58,OFFSET([4]characters!$A$1,0,0,COUNTA([4]characters!$A:$A),MATCH(AE$1,[4]characters!$1:$1,0)-MATCH("character_id",[4]characters!$1:$1,0)+1),MATCH(AE$1,[4]characters!$1:$1,0)-MATCH("character_id",[4]characters!$1:$1,0)+1,FALSE)</f>
        <v>Drop1T</v>
      </c>
      <c r="AF58" s="7">
        <v>1</v>
      </c>
      <c r="AG58" s="24">
        <f t="shared" ca="1" si="24"/>
        <v>1</v>
      </c>
      <c r="AH58" s="8">
        <v>0</v>
      </c>
      <c r="AI58" s="7">
        <v>0</v>
      </c>
      <c r="AJ58" s="7">
        <v>0</v>
      </c>
      <c r="AK58" s="7">
        <v>0</v>
      </c>
      <c r="AL58" s="7">
        <v>0</v>
      </c>
      <c r="AM58" s="7">
        <v>1</v>
      </c>
      <c r="AN58" s="69">
        <v>1</v>
      </c>
    </row>
    <row r="59" spans="1:40" ht="21" customHeight="1">
      <c r="A59" s="16" t="str">
        <f t="shared" ca="1" si="0"/>
        <v>60003_3-1/5&lt;lv50&gt;s3</v>
      </c>
      <c r="B59" s="22">
        <v>60003</v>
      </c>
      <c r="C59" s="21">
        <v>3</v>
      </c>
      <c r="D59" s="2" t="str">
        <f t="shared" si="21"/>
        <v>60003_3</v>
      </c>
      <c r="E59" s="4" t="str">
        <f ca="1">VLOOKUP($B59,OFFSET([2]quests!$A$1,0,0,COUNTA([2]quests!$A:$A),MATCH(E$1,[2]quests!$1:$1,0)-MATCH($B$1,[2]quests!$1:$1,0)+1),MATCH(E$1,[2]quests!$1:$1,0)-MATCH($B$1,[2]quests!$1:$1,0)+1,FALSE)</f>
        <v>ヘンペルチャレンジ</v>
      </c>
      <c r="F59" s="4" t="str">
        <f ca="1">VLOOKUP($D59,OFFSET([2]stages!$A$1,0,0,COUNTA([2]stages!$A:$A),MATCH(F$1,[2]stages!$2:$2,0)-MATCH($D$1,[2]stages!$2:$2,0)+1),MATCH(F$1,[2]stages!$2:$2,0)-MATCH($D$1,[2]stages!$2:$2,0)+1,FALSE)</f>
        <v>[ウィザード] 第3回　</v>
      </c>
      <c r="G59" s="21">
        <v>1</v>
      </c>
      <c r="H59" s="15" t="str">
        <f t="shared" si="22"/>
        <v>60003_3-1</v>
      </c>
      <c r="I59" s="4">
        <f ca="1">VLOOKUP($H59,OFFSET(floors!$A$1,0,0,COUNTA(floors!$A:$A),MATCH(I$1,floors!$1:$1,0)-MATCH($H$1,floors!$1:$1,0)+1),MATCH(I$1,floors!$1:$1,0)-MATCH($H$1,floors!$1:$1,0)+1,FALSE)</f>
        <v>60</v>
      </c>
      <c r="J59" s="4">
        <f ca="1">VLOOKUP($H59,OFFSET(floors!$A$1,0,0,COUNTA(floors!$A:$A),MATCH(J$1,floors!$1:$1,0)-MATCH($H$1,floors!$1:$1,0)+1),MATCH(J$1,floors!$1:$1,0)-MATCH($H$1,floors!$1:$1,0)+1,FALSE)</f>
        <v>60</v>
      </c>
      <c r="K59" s="38" t="s">
        <v>53</v>
      </c>
      <c r="L59" s="20">
        <v>5</v>
      </c>
      <c r="M59" s="17" t="str">
        <f ca="1">VLOOKUP($L59,OFFSET([3]enemies!$A$1,0,0,COUNTA([3]enemies!$A:$A),MATCH(M$1,[3]enemies!$1:$1,0)-MATCH($L$1,[3]enemies!$1:$1,0)+1),MATCH(M$1,[3]enemies!$1:$1,0)-MATCH($L$1,[3]enemies!$1:$1,0)+1,FALSE)</f>
        <v>パトドッグ ポチ</v>
      </c>
      <c r="N59" s="17" t="str">
        <f ca="1">VLOOKUP($L59,OFFSET([3]enemies!$A$1,0,0,COUNTA([3]enemies!$A:$A),MATCH(N$1,[3]enemies!$1:$1,0)-MATCH($L$1,[3]enemies!$1:$1,0)+1),MATCH(N$1,[3]enemies!$1:$1,0)-MATCH($L$1,[3]enemies!$1:$1,0)+1,FALSE)</f>
        <v>blue</v>
      </c>
      <c r="O59" s="17" t="str">
        <f ca="1">VLOOKUP($L59,OFFSET([4]characters!$A$1,0,0,COUNTA([4]characters!$A:$A),MATCH(O$1,[4]characters!$1:$1,0)-MATCH($L$1,[4]characters!$1:$1,0)+1),MATCH(O$1,[4]characters!$1:$1,0)-MATCH($L$1,[4]characters!$1:$1,0)+1,FALSE)</f>
        <v>Drop1T</v>
      </c>
      <c r="P59" s="17" t="str">
        <f ca="1">VLOOKUP($L59,OFFSET([3]enemies!$A$1,0,0,COUNTA([3]enemies!$A:$A),MATCH(P$1,[3]enemies!$1:$1,0)-MATCH($L$1,[3]enemies!$1:$1,0)+1),MATCH(P$1,[3]enemies!$1:$1,0)-MATCH($L$1,[3]enemies!$1:$1,0)+1,FALSE)</f>
        <v>unknown</v>
      </c>
      <c r="Q59" s="17">
        <f ca="1">VLOOKUP($L59,OFFSET([3]enemies!$A$1,0,0,COUNTA([3]enemies!$A:$A),MATCH(Q$1,[3]enemies!$1:$1,0)-MATCH($L$1,[3]enemies!$1:$1,0)+1),MATCH(Q$1,[3]enemies!$1:$1,0)-MATCH($L$1,[3]enemies!$1:$1,0)+1,FALSE)</f>
        <v>15</v>
      </c>
      <c r="R59" s="5">
        <v>50</v>
      </c>
      <c r="S59" s="25">
        <v>1.2</v>
      </c>
      <c r="T59" s="25">
        <v>1.1000000000000001</v>
      </c>
      <c r="U59" s="5">
        <v>0</v>
      </c>
      <c r="V59" s="4" t="e">
        <f ca="1">VLOOKUP($W59,OFFSET([5]enemy_skill_sets!$B$1,0,0,COUNTA([5]enemy_skill_sets!$B:$B),MATCH(M$1,[5]enemy_skill_sets!$1:$1,0)-MATCH($W$1,[5]enemy_skill_sets!$1:$1,0)+2),MATCH(M$1,[5]enemy_skill_sets!$1:$1,0)-MATCH($W$1,[5]enemy_skill_sets!$1:$1,0)+2,FALSE)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59" s="4">
        <v>60001100</v>
      </c>
      <c r="X59" s="6">
        <v>1</v>
      </c>
      <c r="Y59" s="6">
        <v>100</v>
      </c>
      <c r="Z59" s="6">
        <v>1</v>
      </c>
      <c r="AA59" s="17">
        <f ca="1">VLOOKUP($L59,OFFSET([3]enemies!$A$1,0,0,COUNTA([3]enemies!$A:$A),MATCH(AA$1,[3]enemies!$1:$1,0)-MATCH($L$1,[3]enemies!$1:$1,0)+1),MATCH(AA$1,[3]enemies!$1:$1,0)-MATCH($L$1,[3]enemies!$1:$1,0)+1,FALSE)</f>
        <v>3</v>
      </c>
      <c r="AB59" s="24">
        <f t="shared" si="23"/>
        <v>5</v>
      </c>
      <c r="AC59" s="4" t="str">
        <f ca="1">VLOOKUP($AB59,OFFSET([4]characters!$A$1,0,0,COUNTA([4]characters!$A:$A),MATCH(AC$1,[4]characters!$1:$1,0)-MATCH("character_id",[4]characters!$1:$1,0)+1),MATCH(AC$1,[4]characters!$1:$1,0)-MATCH("character_id",[4]characters!$1:$1,0)+1,FALSE)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59" s="4">
        <f ca="1">VLOOKUP($AB59,OFFSET([4]characters!$A$1,0,0,COUNTA([4]characters!$A:$A),MATCH(AD$1,[4]characters!$1:$1,0)-MATCH("character_id",[4]characters!$1:$1,0)+1),MATCH(AD$1,[4]characters!$1:$1,0)-MATCH("character_id",[4]characters!$1:$1,0)+1,FALSE)</f>
        <v>1</v>
      </c>
      <c r="AE59" s="4" t="str">
        <f ca="1">VLOOKUP($AB59,OFFSET([4]characters!$A$1,0,0,COUNTA([4]characters!$A:$A),MATCH(AE$1,[4]characters!$1:$1,0)-MATCH("character_id",[4]characters!$1:$1,0)+1),MATCH(AE$1,[4]characters!$1:$1,0)-MATCH("character_id",[4]characters!$1:$1,0)+1,FALSE)</f>
        <v>Drop1T</v>
      </c>
      <c r="AF59" s="7">
        <v>1</v>
      </c>
      <c r="AG59" s="24">
        <f t="shared" ca="1" si="24"/>
        <v>1</v>
      </c>
      <c r="AH59" s="8">
        <v>0</v>
      </c>
      <c r="AI59" s="7">
        <v>0</v>
      </c>
      <c r="AJ59" s="7">
        <v>0</v>
      </c>
      <c r="AK59" s="7">
        <v>0</v>
      </c>
      <c r="AL59" s="7">
        <v>0</v>
      </c>
      <c r="AM59" s="7">
        <v>1</v>
      </c>
      <c r="AN59" s="69">
        <v>1</v>
      </c>
    </row>
    <row r="60" spans="1:40" ht="21" customHeight="1">
      <c r="A60" s="16" t="str">
        <f t="shared" ca="1" si="0"/>
        <v>60003_3-1/7&lt;lv50&gt;s2</v>
      </c>
      <c r="B60" s="22">
        <v>60003</v>
      </c>
      <c r="C60" s="21">
        <v>3</v>
      </c>
      <c r="D60" s="2" t="str">
        <f t="shared" si="21"/>
        <v>60003_3</v>
      </c>
      <c r="E60" s="4" t="str">
        <f ca="1">VLOOKUP($B60,OFFSET([2]quests!$A$1,0,0,COUNTA([2]quests!$A:$A),MATCH(E$1,[2]quests!$1:$1,0)-MATCH($B$1,[2]quests!$1:$1,0)+1),MATCH(E$1,[2]quests!$1:$1,0)-MATCH($B$1,[2]quests!$1:$1,0)+1,FALSE)</f>
        <v>ヘンペルチャレンジ</v>
      </c>
      <c r="F60" s="4" t="str">
        <f ca="1">VLOOKUP($D60,OFFSET([2]stages!$A$1,0,0,COUNTA([2]stages!$A:$A),MATCH(F$1,[2]stages!$2:$2,0)-MATCH($D$1,[2]stages!$2:$2,0)+1),MATCH(F$1,[2]stages!$2:$2,0)-MATCH($D$1,[2]stages!$2:$2,0)+1,FALSE)</f>
        <v>[ウィザード] 第3回　</v>
      </c>
      <c r="G60" s="21">
        <v>1</v>
      </c>
      <c r="H60" s="15" t="str">
        <f t="shared" si="22"/>
        <v>60003_3-1</v>
      </c>
      <c r="I60" s="4">
        <f ca="1">VLOOKUP($H60,OFFSET(floors!$A$1,0,0,COUNTA(floors!$A:$A),MATCH(I$1,floors!$1:$1,0)-MATCH($H$1,floors!$1:$1,0)+1),MATCH(I$1,floors!$1:$1,0)-MATCH($H$1,floors!$1:$1,0)+1,FALSE)</f>
        <v>60</v>
      </c>
      <c r="J60" s="4">
        <f ca="1">VLOOKUP($H60,OFFSET(floors!$A$1,0,0,COUNTA(floors!$A:$A),MATCH(J$1,floors!$1:$1,0)-MATCH($H$1,floors!$1:$1,0)+1),MATCH(J$1,floors!$1:$1,0)-MATCH($H$1,floors!$1:$1,0)+1,FALSE)</f>
        <v>60</v>
      </c>
      <c r="K60" s="38" t="s">
        <v>53</v>
      </c>
      <c r="L60" s="20">
        <v>7</v>
      </c>
      <c r="M60" s="17" t="str">
        <f ca="1">VLOOKUP($L60,OFFSET([3]enemies!$A$1,0,0,COUNTA([3]enemies!$A:$A),MATCH(M$1,[3]enemies!$1:$1,0)-MATCH($L$1,[3]enemies!$1:$1,0)+1),MATCH(M$1,[3]enemies!$1:$1,0)-MATCH($L$1,[3]enemies!$1:$1,0)+1,FALSE)</f>
        <v>エレキポット</v>
      </c>
      <c r="N60" s="17" t="str">
        <f ca="1">VLOOKUP($L60,OFFSET([3]enemies!$A$1,0,0,COUNTA([3]enemies!$A:$A),MATCH(N$1,[3]enemies!$1:$1,0)-MATCH($L$1,[3]enemies!$1:$1,0)+1),MATCH(N$1,[3]enemies!$1:$1,0)-MATCH($L$1,[3]enemies!$1:$1,0)+1,FALSE)</f>
        <v>yellow</v>
      </c>
      <c r="O60" s="17" t="str">
        <f ca="1">VLOOKUP($L60,OFFSET([4]characters!$A$1,0,0,COUNTA([4]characters!$A:$A),MATCH(O$1,[4]characters!$1:$1,0)-MATCH($L$1,[4]characters!$1:$1,0)+1),MATCH(O$1,[4]characters!$1:$1,0)-MATCH($L$1,[4]characters!$1:$1,0)+1,FALSE)</f>
        <v>Drop1T</v>
      </c>
      <c r="P60" s="17" t="str">
        <f ca="1">VLOOKUP($L60,OFFSET([3]enemies!$A$1,0,0,COUNTA([3]enemies!$A:$A),MATCH(P$1,[3]enemies!$1:$1,0)-MATCH($L$1,[3]enemies!$1:$1,0)+1),MATCH(P$1,[3]enemies!$1:$1,0)-MATCH($L$1,[3]enemies!$1:$1,0)+1,FALSE)</f>
        <v>unknown</v>
      </c>
      <c r="Q60" s="17">
        <f ca="1">VLOOKUP($L60,OFFSET([3]enemies!$A$1,0,0,COUNTA([3]enemies!$A:$A),MATCH(Q$1,[3]enemies!$1:$1,0)-MATCH($L$1,[3]enemies!$1:$1,0)+1),MATCH(Q$1,[3]enemies!$1:$1,0)-MATCH($L$1,[3]enemies!$1:$1,0)+1,FALSE)</f>
        <v>15</v>
      </c>
      <c r="R60" s="5">
        <v>50</v>
      </c>
      <c r="S60" s="25">
        <v>1.2</v>
      </c>
      <c r="T60" s="25">
        <v>1.1000000000000001</v>
      </c>
      <c r="U60" s="5">
        <v>0</v>
      </c>
      <c r="V60" s="4" t="e">
        <f ca="1">VLOOKUP($W60,OFFSET([5]enemy_skill_sets!$B$1,0,0,COUNTA([5]enemy_skill_sets!$B:$B),MATCH(M$1,[5]enemy_skill_sets!$1:$1,0)-MATCH($W$1,[5]enemy_skill_sets!$1:$1,0)+2),MATCH(M$1,[5]enemy_skill_sets!$1:$1,0)-MATCH($W$1,[5]enemy_skill_sets!$1:$1,0)+2,FALSE)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60" s="4">
        <v>0</v>
      </c>
      <c r="X60" s="6">
        <v>1</v>
      </c>
      <c r="Y60" s="6">
        <v>100</v>
      </c>
      <c r="Z60" s="6">
        <v>0</v>
      </c>
      <c r="AA60" s="17">
        <f ca="1">VLOOKUP($L60,OFFSET([3]enemies!$A$1,0,0,COUNTA([3]enemies!$A:$A),MATCH(AA$1,[3]enemies!$1:$1,0)-MATCH($L$1,[3]enemies!$1:$1,0)+1),MATCH(AA$1,[3]enemies!$1:$1,0)-MATCH($L$1,[3]enemies!$1:$1,0)+1,FALSE)</f>
        <v>2</v>
      </c>
      <c r="AB60" s="24">
        <f t="shared" si="23"/>
        <v>7</v>
      </c>
      <c r="AC60" s="4" t="str">
        <f ca="1">VLOOKUP($AB60,OFFSET([4]characters!$A$1,0,0,COUNTA([4]characters!$A:$A),MATCH(AC$1,[4]characters!$1:$1,0)-MATCH("character_id",[4]characters!$1:$1,0)+1),MATCH(AC$1,[4]characters!$1:$1,0)-MATCH("character_id",[4]characters!$1:$1,0)+1,FALSE)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60" s="4">
        <f ca="1">VLOOKUP($AB60,OFFSET([4]characters!$A$1,0,0,COUNTA([4]characters!$A:$A),MATCH(AD$1,[4]characters!$1:$1,0)-MATCH("character_id",[4]characters!$1:$1,0)+1),MATCH(AD$1,[4]characters!$1:$1,0)-MATCH("character_id",[4]characters!$1:$1,0)+1,FALSE)</f>
        <v>1</v>
      </c>
      <c r="AE60" s="4" t="str">
        <f ca="1">VLOOKUP($AB60,OFFSET([4]characters!$A$1,0,0,COUNTA([4]characters!$A:$A),MATCH(AE$1,[4]characters!$1:$1,0)-MATCH("character_id",[4]characters!$1:$1,0)+1),MATCH(AE$1,[4]characters!$1:$1,0)-MATCH("character_id",[4]characters!$1:$1,0)+1,FALSE)</f>
        <v>Drop1T</v>
      </c>
      <c r="AF60" s="7">
        <v>1</v>
      </c>
      <c r="AG60" s="24">
        <f t="shared" ca="1" si="24"/>
        <v>1</v>
      </c>
      <c r="AH60" s="8">
        <v>0</v>
      </c>
      <c r="AI60" s="7">
        <v>0</v>
      </c>
      <c r="AJ60" s="7">
        <v>0</v>
      </c>
      <c r="AK60" s="7">
        <v>0</v>
      </c>
      <c r="AL60" s="7">
        <v>0</v>
      </c>
      <c r="AM60" s="7">
        <v>1</v>
      </c>
      <c r="AN60" s="69">
        <v>1</v>
      </c>
    </row>
    <row r="61" spans="1:40" ht="21" customHeight="1">
      <c r="A61" s="16" t="str">
        <f t="shared" si="0"/>
        <v>60003_3-2/54&lt;lv50&gt;s2</v>
      </c>
      <c r="B61" s="22">
        <v>60003</v>
      </c>
      <c r="C61" s="21">
        <v>3</v>
      </c>
      <c r="D61" s="2" t="str">
        <f t="shared" si="21"/>
        <v>60003_3</v>
      </c>
      <c r="E61" s="4" t="str">
        <f ca="1">VLOOKUP($B61,OFFSET([2]quests!$A$1,0,0,COUNTA([2]quests!$A:$A),MATCH(E$1,[2]quests!$1:$1,0)-MATCH($B$1,[2]quests!$1:$1,0)+1),MATCH(E$1,[2]quests!$1:$1,0)-MATCH($B$1,[2]quests!$1:$1,0)+1,FALSE)</f>
        <v>ヘンペルチャレンジ</v>
      </c>
      <c r="F61" s="4" t="str">
        <f ca="1">VLOOKUP($D61,OFFSET([2]stages!$A$1,0,0,COUNTA([2]stages!$A:$A),MATCH(F$1,[2]stages!$2:$2,0)-MATCH($D$1,[2]stages!$2:$2,0)+1),MATCH(F$1,[2]stages!$2:$2,0)-MATCH($D$1,[2]stages!$2:$2,0)+1,FALSE)</f>
        <v>[ウィザード] 第3回　</v>
      </c>
      <c r="G61" s="21">
        <v>2</v>
      </c>
      <c r="H61" s="15" t="str">
        <f t="shared" si="22"/>
        <v>60003_3-2</v>
      </c>
      <c r="I61" s="4">
        <f ca="1">VLOOKUP($H61,OFFSET(floors!$A$1,0,0,COUNTA(floors!$A:$A),MATCH(I$1,floors!$1:$1,0)-MATCH($H$1,floors!$1:$1,0)+1),MATCH(I$1,floors!$1:$1,0)-MATCH($H$1,floors!$1:$1,0)+1,FALSE)</f>
        <v>50</v>
      </c>
      <c r="J61" s="4">
        <f ca="1">VLOOKUP($H61,OFFSET(floors!$A$1,0,0,COUNTA(floors!$A:$A),MATCH(J$1,floors!$1:$1,0)-MATCH($H$1,floors!$1:$1,0)+1),MATCH(J$1,floors!$1:$1,0)-MATCH($H$1,floors!$1:$1,0)+1,FALSE)</f>
        <v>50</v>
      </c>
      <c r="K61" s="38" t="s">
        <v>53</v>
      </c>
      <c r="L61" s="20">
        <v>54</v>
      </c>
      <c r="M61" s="17" t="str">
        <f ca="1">VLOOKUP($L61,OFFSET([3]enemies!$A$1,0,0,COUNTA([3]enemies!$A:$A),MATCH(M$1,[3]enemies!$1:$1,0)-MATCH($L$1,[3]enemies!$1:$1,0)+1),MATCH(M$1,[3]enemies!$1:$1,0)-MATCH($L$1,[3]enemies!$1:$1,0)+1,FALSE)</f>
        <v>蒼斬のレジスタンス ケンジ</v>
      </c>
      <c r="N61" s="17" t="str">
        <f ca="1">VLOOKUP($L61,OFFSET([3]enemies!$A$1,0,0,COUNTA([3]enemies!$A:$A),MATCH(N$1,[3]enemies!$1:$1,0)-MATCH($L$1,[3]enemies!$1:$1,0)+1),MATCH(N$1,[3]enemies!$1:$1,0)-MATCH($L$1,[3]enemies!$1:$1,0)+1,FALSE)</f>
        <v>blue</v>
      </c>
      <c r="O61" s="17" t="str">
        <f ca="1">VLOOKUP($L61,OFFSET([4]characters!$A$1,0,0,COUNTA([4]characters!$A:$A),MATCH(O$1,[4]characters!$1:$1,0)-MATCH($L$1,[4]characters!$1:$1,0)+1),MATCH(O$1,[4]characters!$1:$1,0)-MATCH($L$1,[4]characters!$1:$1,0)+1,FALSE)</f>
        <v>Drop1N</v>
      </c>
      <c r="P61" s="17" t="str">
        <f ca="1">VLOOKUP($L61,OFFSET([3]enemies!$A$1,0,0,COUNTA([3]enemies!$A:$A),MATCH(P$1,[3]enemies!$1:$1,0)-MATCH($L$1,[3]enemies!$1:$1,0)+1),MATCH(P$1,[3]enemies!$1:$1,0)-MATCH($L$1,[3]enemies!$1:$1,0)+1,FALSE)</f>
        <v>human</v>
      </c>
      <c r="Q61" s="17">
        <f ca="1">VLOOKUP($L61,OFFSET([3]enemies!$A$1,0,0,COUNTA([3]enemies!$A:$A),MATCH(Q$1,[3]enemies!$1:$1,0)-MATCH($L$1,[3]enemies!$1:$1,0)+1),MATCH(Q$1,[3]enemies!$1:$1,0)-MATCH($L$1,[3]enemies!$1:$1,0)+1,FALSE)</f>
        <v>20</v>
      </c>
      <c r="R61" s="5">
        <v>50</v>
      </c>
      <c r="S61" s="25">
        <v>1.3</v>
      </c>
      <c r="T61" s="25">
        <v>1.2</v>
      </c>
      <c r="U61" s="5">
        <v>0</v>
      </c>
      <c r="V61" s="4" t="e">
        <f ca="1">VLOOKUP($W61,OFFSET([5]enemy_skill_sets!$B$1,0,0,COUNTA([5]enemy_skill_sets!$B:$B),MATCH(M$1,[5]enemy_skill_sets!$1:$1,0)-MATCH($W$1,[5]enemy_skill_sets!$1:$1,0)+2),MATCH(M$1,[5]enemy_skill_sets!$1:$1,0)-MATCH($W$1,[5]enemy_skill_sets!$1:$1,0)+2,FALSE)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61" s="4">
        <v>60001101</v>
      </c>
      <c r="X61" s="6">
        <v>1</v>
      </c>
      <c r="Y61" s="6">
        <v>100</v>
      </c>
      <c r="Z61" s="6">
        <v>0</v>
      </c>
      <c r="AA61" s="17">
        <v>2</v>
      </c>
      <c r="AB61" s="24">
        <f t="shared" si="23"/>
        <v>54</v>
      </c>
      <c r="AC61" s="4" t="str">
        <f ca="1">VLOOKUP($AB61,OFFSET([4]characters!$A$1,0,0,COUNTA([4]characters!$A:$A),MATCH(AC$1,[4]characters!$1:$1,0)-MATCH("character_id",[4]characters!$1:$1,0)+1),MATCH(AC$1,[4]characters!$1:$1,0)-MATCH("character_id",[4]characters!$1:$1,0)+1,FALSE)</f>
        <v>蒼斬のレジスタンス ケンジ</v>
      </c>
      <c r="AD61" s="4">
        <f ca="1">VLOOKUP($AB61,OFFSET([4]characters!$A$1,0,0,COUNTA([4]characters!$A:$A),MATCH(AD$1,[4]characters!$1:$1,0)-MATCH("character_id",[4]characters!$1:$1,0)+1),MATCH(AD$1,[4]characters!$1:$1,0)-MATCH("character_id",[4]characters!$1:$1,0)+1,FALSE)</f>
        <v>3</v>
      </c>
      <c r="AE61" s="4" t="str">
        <f ca="1">VLOOKUP($AB61,OFFSET([4]characters!$A$1,0,0,COUNTA([4]characters!$A:$A),MATCH(AE$1,[4]characters!$1:$1,0)-MATCH("character_id",[4]characters!$1:$1,0)+1),MATCH(AE$1,[4]characters!$1:$1,0)-MATCH("character_id",[4]characters!$1:$1,0)+1,FALSE)</f>
        <v>Drop1N</v>
      </c>
      <c r="AF61" s="7">
        <v>1</v>
      </c>
      <c r="AG61" s="24">
        <f t="shared" ca="1" si="24"/>
        <v>3</v>
      </c>
      <c r="AH61" s="8">
        <v>0</v>
      </c>
      <c r="AI61" s="7">
        <v>0</v>
      </c>
      <c r="AJ61" s="7">
        <v>0</v>
      </c>
      <c r="AK61" s="7">
        <v>0</v>
      </c>
      <c r="AL61" s="7">
        <v>0</v>
      </c>
      <c r="AM61" s="7">
        <v>1</v>
      </c>
      <c r="AN61" s="69">
        <v>1</v>
      </c>
    </row>
    <row r="62" spans="1:40" ht="21" customHeight="1">
      <c r="A62" s="16" t="str">
        <f t="shared" ca="1" si="0"/>
        <v>60003_3-2/73&lt;lv50&gt;s4</v>
      </c>
      <c r="B62" s="22">
        <v>60003</v>
      </c>
      <c r="C62" s="21">
        <v>3</v>
      </c>
      <c r="D62" s="2" t="str">
        <f t="shared" si="21"/>
        <v>60003_3</v>
      </c>
      <c r="E62" s="4" t="str">
        <f ca="1">VLOOKUP($B62,OFFSET([2]quests!$A$1,0,0,COUNTA([2]quests!$A:$A),MATCH(E$1,[2]quests!$1:$1,0)-MATCH($B$1,[2]quests!$1:$1,0)+1),MATCH(E$1,[2]quests!$1:$1,0)-MATCH($B$1,[2]quests!$1:$1,0)+1,FALSE)</f>
        <v>ヘンペルチャレンジ</v>
      </c>
      <c r="F62" s="4" t="str">
        <f ca="1">VLOOKUP($D62,OFFSET([2]stages!$A$1,0,0,COUNTA([2]stages!$A:$A),MATCH(F$1,[2]stages!$2:$2,0)-MATCH($D$1,[2]stages!$2:$2,0)+1),MATCH(F$1,[2]stages!$2:$2,0)-MATCH($D$1,[2]stages!$2:$2,0)+1,FALSE)</f>
        <v>[ウィザード] 第3回　</v>
      </c>
      <c r="G62" s="21">
        <v>2</v>
      </c>
      <c r="H62" s="15" t="str">
        <f t="shared" si="22"/>
        <v>60003_3-2</v>
      </c>
      <c r="I62" s="4">
        <f ca="1">VLOOKUP($H62,OFFSET(floors!$A$1,0,0,COUNTA(floors!$A:$A),MATCH(I$1,floors!$1:$1,0)-MATCH($H$1,floors!$1:$1,0)+1),MATCH(I$1,floors!$1:$1,0)-MATCH($H$1,floors!$1:$1,0)+1,FALSE)</f>
        <v>50</v>
      </c>
      <c r="J62" s="4">
        <f ca="1">VLOOKUP($H62,OFFSET(floors!$A$1,0,0,COUNTA(floors!$A:$A),MATCH(J$1,floors!$1:$1,0)-MATCH($H$1,floors!$1:$1,0)+1),MATCH(J$1,floors!$1:$1,0)-MATCH($H$1,floors!$1:$1,0)+1,FALSE)</f>
        <v>50</v>
      </c>
      <c r="K62" s="38" t="s">
        <v>53</v>
      </c>
      <c r="L62" s="20">
        <v>73</v>
      </c>
      <c r="M62" s="17" t="str">
        <f ca="1">VLOOKUP($L62,OFFSET([3]enemies!$A$1,0,0,COUNTA([3]enemies!$A:$A),MATCH(M$1,[3]enemies!$1:$1,0)-MATCH($L$1,[3]enemies!$1:$1,0)+1),MATCH(M$1,[3]enemies!$1:$1,0)-MATCH($L$1,[3]enemies!$1:$1,0)+1,FALSE)</f>
        <v>自由の探求者 ダックス</v>
      </c>
      <c r="N62" s="17" t="str">
        <f ca="1">VLOOKUP($L62,OFFSET([3]enemies!$A$1,0,0,COUNTA([3]enemies!$A:$A),MATCH(N$1,[3]enemies!$1:$1,0)-MATCH($L$1,[3]enemies!$1:$1,0)+1),MATCH(N$1,[3]enemies!$1:$1,0)-MATCH($L$1,[3]enemies!$1:$1,0)+1,FALSE)</f>
        <v>blue</v>
      </c>
      <c r="O62" s="17" t="str">
        <f ca="1">VLOOKUP($L62,OFFSET([4]characters!$A$1,0,0,COUNTA([4]characters!$A:$A),MATCH(O$1,[4]characters!$1:$1,0)-MATCH($L$1,[4]characters!$1:$1,0)+1),MATCH(O$1,[4]characters!$1:$1,0)-MATCH($L$1,[4]characters!$1:$1,0)+1,FALSE)</f>
        <v>Drop1S</v>
      </c>
      <c r="P62" s="17" t="str">
        <f ca="1">VLOOKUP($L62,OFFSET([3]enemies!$A$1,0,0,COUNTA([3]enemies!$A:$A),MATCH(P$1,[3]enemies!$1:$1,0)-MATCH($L$1,[3]enemies!$1:$1,0)+1),MATCH(P$1,[3]enemies!$1:$1,0)-MATCH($L$1,[3]enemies!$1:$1,0)+1,FALSE)</f>
        <v>animal</v>
      </c>
      <c r="Q62" s="17">
        <f ca="1">VLOOKUP($L62,OFFSET([3]enemies!$A$1,0,0,COUNTA([3]enemies!$A:$A),MATCH(Q$1,[3]enemies!$1:$1,0)-MATCH($L$1,[3]enemies!$1:$1,0)+1),MATCH(Q$1,[3]enemies!$1:$1,0)-MATCH($L$1,[3]enemies!$1:$1,0)+1,FALSE)</f>
        <v>30</v>
      </c>
      <c r="R62" s="5">
        <v>50</v>
      </c>
      <c r="S62" s="25">
        <v>1.3</v>
      </c>
      <c r="T62" s="25">
        <v>1</v>
      </c>
      <c r="U62" s="5">
        <v>0</v>
      </c>
      <c r="V62" s="4" t="e">
        <f ca="1">VLOOKUP($W62,OFFSET([5]enemy_skill_sets!$B$1,0,0,COUNTA([5]enemy_skill_sets!$B:$B),MATCH(M$1,[5]enemy_skill_sets!$1:$1,0)-MATCH($W$1,[5]enemy_skill_sets!$1:$1,0)+2),MATCH(M$1,[5]enemy_skill_sets!$1:$1,0)-MATCH($W$1,[5]enemy_skill_sets!$1:$1,0)+2,FALSE)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62" s="4">
        <v>60001102</v>
      </c>
      <c r="X62" s="6">
        <v>1</v>
      </c>
      <c r="Y62" s="6">
        <v>100</v>
      </c>
      <c r="Z62" s="6">
        <v>0</v>
      </c>
      <c r="AA62" s="17">
        <f ca="1">VLOOKUP($L62,OFFSET([3]enemies!$A$1,0,0,COUNTA([3]enemies!$A:$A),MATCH(AA$1,[3]enemies!$1:$1,0)-MATCH($L$1,[3]enemies!$1:$1,0)+1),MATCH(AA$1,[3]enemies!$1:$1,0)-MATCH($L$1,[3]enemies!$1:$1,0)+1,FALSE)</f>
        <v>4</v>
      </c>
      <c r="AB62" s="24">
        <f t="shared" si="23"/>
        <v>73</v>
      </c>
      <c r="AC62" s="4" t="str">
        <f ca="1">VLOOKUP($AB62,OFFSET([4]characters!$A$1,0,0,COUNTA([4]characters!$A:$A),MATCH(AC$1,[4]characters!$1:$1,0)-MATCH("character_id",[4]characters!$1:$1,0)+1),MATCH(AC$1,[4]characters!$1:$1,0)-MATCH("character_id",[4]characters!$1:$1,0)+1,FALSE)</f>
        <v>自由の探求者 ダックス</v>
      </c>
      <c r="AD62" s="4">
        <f ca="1">VLOOKUP($AB62,OFFSET([4]characters!$A$1,0,0,COUNTA([4]characters!$A:$A),MATCH(AD$1,[4]characters!$1:$1,0)-MATCH("character_id",[4]characters!$1:$1,0)+1),MATCH(AD$1,[4]characters!$1:$1,0)-MATCH("character_id",[4]characters!$1:$1,0)+1,FALSE)</f>
        <v>4</v>
      </c>
      <c r="AE62" s="4" t="str">
        <f ca="1">VLOOKUP($AB62,OFFSET([4]characters!$A$1,0,0,COUNTA([4]characters!$A:$A),MATCH(AE$1,[4]characters!$1:$1,0)-MATCH("character_id",[4]characters!$1:$1,0)+1),MATCH(AE$1,[4]characters!$1:$1,0)-MATCH("character_id",[4]characters!$1:$1,0)+1,FALSE)</f>
        <v>Drop1S</v>
      </c>
      <c r="AF62" s="7">
        <v>1</v>
      </c>
      <c r="AG62" s="24">
        <f t="shared" ca="1" si="24"/>
        <v>4</v>
      </c>
      <c r="AH62" s="8">
        <v>0</v>
      </c>
      <c r="AI62" s="7">
        <v>0</v>
      </c>
      <c r="AJ62" s="7">
        <v>0</v>
      </c>
      <c r="AK62" s="7">
        <v>0</v>
      </c>
      <c r="AL62" s="7">
        <v>0</v>
      </c>
      <c r="AM62" s="7">
        <v>1</v>
      </c>
      <c r="AN62" s="69">
        <v>1</v>
      </c>
    </row>
    <row r="63" spans="1:40" ht="21" customHeight="1">
      <c r="A63" s="16" t="str">
        <f t="shared" ca="1" si="0"/>
        <v>60003_3-3/122&lt;lv1&gt;s3</v>
      </c>
      <c r="B63" s="22">
        <v>60003</v>
      </c>
      <c r="C63" s="21">
        <v>3</v>
      </c>
      <c r="D63" s="2" t="str">
        <f>B63&amp;"_"&amp;C63</f>
        <v>60003_3</v>
      </c>
      <c r="E63" s="4" t="str">
        <f ca="1">VLOOKUP($B63,OFFSET([2]quests!$A$1,0,0,COUNTA([2]quests!$A:$A),MATCH(E$1,[2]quests!$1:$1,0)-MATCH($B$1,[2]quests!$1:$1,0)+1),MATCH(E$1,[2]quests!$1:$1,0)-MATCH($B$1,[2]quests!$1:$1,0)+1,FALSE)</f>
        <v>ヘンペルチャレンジ</v>
      </c>
      <c r="F63" s="4" t="str">
        <f ca="1">VLOOKUP($D63,OFFSET([2]stages!$A$1,0,0,COUNTA([2]stages!$A:$A),MATCH(F$1,[2]stages!$2:$2,0)-MATCH($D$1,[2]stages!$2:$2,0)+1),MATCH(F$1,[2]stages!$2:$2,0)-MATCH($D$1,[2]stages!$2:$2,0)+1,FALSE)</f>
        <v>[ウィザード] 第3回　</v>
      </c>
      <c r="G63" s="21">
        <v>3</v>
      </c>
      <c r="H63" s="15" t="str">
        <f>B63&amp;"_"&amp;C63&amp;"-"&amp;G63</f>
        <v>60003_3-3</v>
      </c>
      <c r="I63" s="4">
        <f ca="1">VLOOKUP($H63,OFFSET(floors!$A$1,0,0,COUNTA(floors!$A:$A),MATCH(I$1,floors!$1:$1,0)-MATCH($H$1,floors!$1:$1,0)+1),MATCH(I$1,floors!$1:$1,0)-MATCH($H$1,floors!$1:$1,0)+1,FALSE)</f>
        <v>60</v>
      </c>
      <c r="J63" s="4">
        <f ca="1">VLOOKUP($H63,OFFSET(floors!$A$1,0,0,COUNTA(floors!$A:$A),MATCH(J$1,floors!$1:$1,0)-MATCH($H$1,floors!$1:$1,0)+1),MATCH(J$1,floors!$1:$1,0)-MATCH($H$1,floors!$1:$1,0)+1,FALSE)</f>
        <v>60</v>
      </c>
      <c r="K63" s="38" t="s">
        <v>53</v>
      </c>
      <c r="L63" s="20">
        <v>122</v>
      </c>
      <c r="M63" s="17" t="str">
        <f ca="1">VLOOKUP($L63,OFFSET([3]enemies!$A$1,0,0,COUNTA([3]enemies!$A:$A),MATCH(M$1,[3]enemies!$1:$1,0)-MATCH($L$1,[3]enemies!$1:$1,0)+1),MATCH(M$1,[3]enemies!$1:$1,0)-MATCH($L$1,[3]enemies!$1:$1,0)+1,FALSE)</f>
        <v>生命の果実</v>
      </c>
      <c r="N63" s="17" t="str">
        <f ca="1">VLOOKUP($L63,OFFSET([3]enemies!$A$1,0,0,COUNTA([3]enemies!$A:$A),MATCH(N$1,[3]enemies!$1:$1,0)-MATCH($L$1,[3]enemies!$1:$1,0)+1),MATCH(N$1,[3]enemies!$1:$1,0)-MATCH($L$1,[3]enemies!$1:$1,0)+1,FALSE)</f>
        <v>green</v>
      </c>
      <c r="O63" s="17" t="str">
        <f ca="1">VLOOKUP($L63,OFFSET([4]characters!$A$1,0,0,COUNTA([4]characters!$A:$A),MATCH(O$1,[4]characters!$1:$1,0)-MATCH($L$1,[4]characters!$1:$1,0)+1),MATCH(O$1,[4]characters!$1:$1,0)-MATCH($L$1,[4]characters!$1:$1,0)+1,FALSE)</f>
        <v>Material</v>
      </c>
      <c r="P63" s="17" t="str">
        <f ca="1">VLOOKUP($L63,OFFSET([3]enemies!$A$1,0,0,COUNTA([3]enemies!$A:$A),MATCH(P$1,[3]enemies!$1:$1,0)-MATCH($L$1,[3]enemies!$1:$1,0)+1),MATCH(P$1,[3]enemies!$1:$1,0)-MATCH($L$1,[3]enemies!$1:$1,0)+1,FALSE)</f>
        <v>unknown</v>
      </c>
      <c r="Q63" s="17">
        <f ca="1">VLOOKUP($L63,OFFSET([3]enemies!$A$1,0,0,COUNTA([3]enemies!$A:$A),MATCH(Q$1,[3]enemies!$1:$1,0)-MATCH($L$1,[3]enemies!$1:$1,0)+1),MATCH(Q$1,[3]enemies!$1:$1,0)-MATCH($L$1,[3]enemies!$1:$1,0)+1,FALSE)</f>
        <v>20</v>
      </c>
      <c r="R63" s="5">
        <v>1</v>
      </c>
      <c r="S63" s="25">
        <v>0.1</v>
      </c>
      <c r="T63" s="25">
        <v>1</v>
      </c>
      <c r="U63" s="5">
        <v>1000000</v>
      </c>
      <c r="V63" s="4" t="e">
        <f ca="1">VLOOKUP($W63,OFFSET([5]enemy_skill_sets!$B$1,0,0,COUNTA([5]enemy_skill_sets!$B:$B),MATCH(M$1,[5]enemy_skill_sets!$1:$1,0)-MATCH($W$1,[5]enemy_skill_sets!$1:$1,0)+2),MATCH(M$1,[5]enemy_skill_sets!$1:$1,0)-MATCH($W$1,[5]enemy_skill_sets!$1:$1,0)+2,FALSE)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63" s="4">
        <v>60001103</v>
      </c>
      <c r="X63" s="6">
        <v>1</v>
      </c>
      <c r="Y63" s="6">
        <v>100</v>
      </c>
      <c r="Z63" s="6">
        <v>0</v>
      </c>
      <c r="AA63" s="17">
        <f ca="1">VLOOKUP($L63,OFFSET([3]enemies!$A$1,0,0,COUNTA([3]enemies!$A:$A),MATCH(AA$1,[3]enemies!$1:$1,0)-MATCH($L$1,[3]enemies!$1:$1,0)+1),MATCH(AA$1,[3]enemies!$1:$1,0)-MATCH($L$1,[3]enemies!$1:$1,0)+1,FALSE)</f>
        <v>3</v>
      </c>
      <c r="AB63" s="24">
        <f>L63</f>
        <v>122</v>
      </c>
      <c r="AC63" s="4" t="str">
        <f ca="1">VLOOKUP($AB63,OFFSET([4]characters!$A$1,0,0,COUNTA([4]characters!$A:$A),MATCH(AC$1,[4]characters!$1:$1,0)-MATCH("character_id",[4]characters!$1:$1,0)+1),MATCH(AC$1,[4]characters!$1:$1,0)-MATCH("character_id",[4]characters!$1:$1,0)+1,FALSE)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63" s="4">
        <f ca="1">VLOOKUP($AB63,OFFSET([4]characters!$A$1,0,0,COUNTA([4]characters!$A:$A),MATCH(AD$1,[4]characters!$1:$1,0)-MATCH("character_id",[4]characters!$1:$1,0)+1),MATCH(AD$1,[4]characters!$1:$1,0)-MATCH("character_id",[4]characters!$1:$1,0)+1,FALSE)</f>
        <v>3</v>
      </c>
      <c r="AE63" s="4" t="str">
        <f ca="1">VLOOKUP($AB63,OFFSET([4]characters!$A$1,0,0,COUNTA([4]characters!$A:$A),MATCH(AE$1,[4]characters!$1:$1,0)-MATCH("character_id",[4]characters!$1:$1,0)+1),MATCH(AE$1,[4]characters!$1:$1,0)-MATCH("character_id",[4]characters!$1:$1,0)+1,FALSE)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3" s="7">
        <v>1</v>
      </c>
      <c r="AG63" s="24">
        <f ca="1">AD63</f>
        <v>3</v>
      </c>
      <c r="AH63" s="8">
        <v>0</v>
      </c>
      <c r="AI63" s="7">
        <v>0</v>
      </c>
      <c r="AJ63" s="7">
        <v>0</v>
      </c>
      <c r="AK63" s="7">
        <v>0</v>
      </c>
      <c r="AL63" s="7">
        <v>0</v>
      </c>
      <c r="AM63" s="7">
        <v>1</v>
      </c>
      <c r="AN63" s="69">
        <v>1</v>
      </c>
    </row>
    <row r="64" spans="1:40" ht="21" customHeight="1">
      <c r="A64" s="16" t="str">
        <f t="shared" si="0"/>
        <v>60003_3-4/581&lt;lv60&gt;s3</v>
      </c>
      <c r="B64" s="22">
        <v>60003</v>
      </c>
      <c r="C64" s="21">
        <v>3</v>
      </c>
      <c r="D64" s="2" t="str">
        <f>B64&amp;"_"&amp;C64</f>
        <v>60003_3</v>
      </c>
      <c r="E64" s="4" t="str">
        <f ca="1">VLOOKUP($B64,OFFSET([2]quests!$A$1,0,0,COUNTA([2]quests!$A:$A),MATCH(E$1,[2]quests!$1:$1,0)-MATCH($B$1,[2]quests!$1:$1,0)+1),MATCH(E$1,[2]quests!$1:$1,0)-MATCH($B$1,[2]quests!$1:$1,0)+1,FALSE)</f>
        <v>ヘンペルチャレンジ</v>
      </c>
      <c r="F64" s="4" t="str">
        <f ca="1">VLOOKUP($D64,OFFSET([2]stages!$A$1,0,0,COUNTA([2]stages!$A:$A),MATCH(F$1,[2]stages!$2:$2,0)-MATCH($D$1,[2]stages!$2:$2,0)+1),MATCH(F$1,[2]stages!$2:$2,0)-MATCH($D$1,[2]stages!$2:$2,0)+1,FALSE)</f>
        <v>[ウィザード] 第3回　</v>
      </c>
      <c r="G64" s="21">
        <v>4</v>
      </c>
      <c r="H64" s="15" t="str">
        <f>B64&amp;"_"&amp;C64&amp;"-"&amp;G64</f>
        <v>60003_3-4</v>
      </c>
      <c r="I64" s="4">
        <f ca="1">VLOOKUP($H64,OFFSET(floors!$A$1,0,0,COUNTA(floors!$A:$A),MATCH(I$1,floors!$1:$1,0)-MATCH($H$1,floors!$1:$1,0)+1),MATCH(I$1,floors!$1:$1,0)-MATCH($H$1,floors!$1:$1,0)+1,FALSE)</f>
        <v>60</v>
      </c>
      <c r="J64" s="4">
        <f ca="1">VLOOKUP($H64,OFFSET(floors!$A$1,0,0,COUNTA(floors!$A:$A),MATCH(J$1,floors!$1:$1,0)-MATCH($H$1,floors!$1:$1,0)+1),MATCH(J$1,floors!$1:$1,0)-MATCH($H$1,floors!$1:$1,0)+1,FALSE)</f>
        <v>60</v>
      </c>
      <c r="K64" s="38">
        <v>1</v>
      </c>
      <c r="L64" s="20">
        <v>581</v>
      </c>
      <c r="M64" s="17" t="str">
        <f ca="1">VLOOKUP($L64,OFFSET([3]enemies!$A$1,0,0,COUNTA([3]enemies!$A:$A),MATCH(M$1,[3]enemies!$1:$1,0)-MATCH($L$1,[3]enemies!$1:$1,0)+1),MATCH(M$1,[3]enemies!$1:$1,0)-MATCH($L$1,[3]enemies!$1:$1,0)+1,FALSE)</f>
        <v>フギンとムニン</v>
      </c>
      <c r="N64" s="17" t="str">
        <f ca="1">VLOOKUP($L64,OFFSET([3]enemies!$A$1,0,0,COUNTA([3]enemies!$A:$A),MATCH(N$1,[3]enemies!$1:$1,0)-MATCH($L$1,[3]enemies!$1:$1,0)+1),MATCH(N$1,[3]enemies!$1:$1,0)-MATCH($L$1,[3]enemies!$1:$1,0)+1,FALSE)</f>
        <v>blue</v>
      </c>
      <c r="O64" s="17" t="str">
        <f ca="1">VLOOKUP($L64,OFFSET([4]characters!$A$1,0,0,COUNTA([4]characters!$A:$A),MATCH(O$1,[4]characters!$1:$1,0)-MATCH($L$1,[4]characters!$1:$1,0)+1),MATCH(O$1,[4]characters!$1:$1,0)-MATCH($L$1,[4]characters!$1:$1,0)+1,FALSE)</f>
        <v>DropWizS</v>
      </c>
      <c r="P64" s="17" t="str">
        <f ca="1">VLOOKUP($L64,OFFSET([3]enemies!$A$1,0,0,COUNTA([3]enemies!$A:$A),MATCH(P$1,[3]enemies!$1:$1,0)-MATCH($L$1,[3]enemies!$1:$1,0)+1),MATCH(P$1,[3]enemies!$1:$1,0)-MATCH($L$1,[3]enemies!$1:$1,0)+1,FALSE)</f>
        <v>machine</v>
      </c>
      <c r="Q64" s="17">
        <f ca="1">VLOOKUP($L64,OFFSET([3]enemies!$A$1,0,0,COUNTA([3]enemies!$A:$A),MATCH(Q$1,[3]enemies!$1:$1,0)-MATCH($L$1,[3]enemies!$1:$1,0)+1),MATCH(Q$1,[3]enemies!$1:$1,0)-MATCH($L$1,[3]enemies!$1:$1,0)+1,FALSE)</f>
        <v>30</v>
      </c>
      <c r="R64" s="5">
        <v>60</v>
      </c>
      <c r="S64" s="25">
        <v>1.4</v>
      </c>
      <c r="T64" s="25">
        <v>1</v>
      </c>
      <c r="U64" s="5">
        <v>0</v>
      </c>
      <c r="V64" s="4" t="e">
        <f ca="1">VLOOKUP($W64,OFFSET([5]enemy_skill_sets!$B$1,0,0,COUNTA([5]enemy_skill_sets!$B:$B),MATCH(M$1,[5]enemy_skill_sets!$1:$1,0)-MATCH($W$1,[5]enemy_skill_sets!$1:$1,0)+2),MATCH(M$1,[5]enemy_skill_sets!$1:$1,0)-MATCH($W$1,[5]enemy_skill_sets!$1:$1,0)+2,FALSE)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64" s="4">
        <v>60001104</v>
      </c>
      <c r="X64" s="6">
        <v>1</v>
      </c>
      <c r="Y64" s="6">
        <v>100</v>
      </c>
      <c r="Z64" s="6">
        <v>1</v>
      </c>
      <c r="AA64" s="17">
        <v>3</v>
      </c>
      <c r="AB64" s="24">
        <f>L64</f>
        <v>581</v>
      </c>
      <c r="AC64" s="4" t="str">
        <f ca="1">VLOOKUP($AB64,OFFSET([4]characters!$A$1,0,0,COUNTA([4]characters!$A:$A),MATCH(AC$1,[4]characters!$1:$1,0)-MATCH("character_id",[4]characters!$1:$1,0)+1),MATCH(AC$1,[4]characters!$1:$1,0)-MATCH("character_id",[4]characters!$1:$1,0)+1,FALSE)</f>
        <v>フギンとムニン</v>
      </c>
      <c r="AD64" s="4">
        <f ca="1">VLOOKUP($AB64,OFFSET([4]characters!$A$1,0,0,COUNTA([4]characters!$A:$A),MATCH(AD$1,[4]characters!$1:$1,0)-MATCH("character_id",[4]characters!$1:$1,0)+1),MATCH(AD$1,[4]characters!$1:$1,0)-MATCH("character_id",[4]characters!$1:$1,0)+1,FALSE)</f>
        <v>4</v>
      </c>
      <c r="AE64" s="4" t="str">
        <f ca="1">VLOOKUP($AB64,OFFSET([4]characters!$A$1,0,0,COUNTA([4]characters!$A:$A),MATCH(AE$1,[4]characters!$1:$1,0)-MATCH("character_id",[4]characters!$1:$1,0)+1),MATCH(AE$1,[4]characters!$1:$1,0)-MATCH("character_id",[4]characters!$1:$1,0)+1,FALSE)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64" s="7">
        <v>1</v>
      </c>
      <c r="AG64" s="24">
        <f ca="1">AD64</f>
        <v>4</v>
      </c>
      <c r="AH64" s="8">
        <v>0</v>
      </c>
      <c r="AI64" s="7">
        <v>0</v>
      </c>
      <c r="AJ64" s="7">
        <v>0</v>
      </c>
      <c r="AK64" s="7">
        <v>0</v>
      </c>
      <c r="AL64" s="7">
        <v>0</v>
      </c>
      <c r="AM64" s="7">
        <v>1</v>
      </c>
      <c r="AN64" s="69">
        <v>1</v>
      </c>
    </row>
    <row r="65" spans="1:40" ht="21" customHeight="1">
      <c r="A65" s="16" t="str">
        <f t="shared" ca="1" si="0"/>
        <v>60003_3-5/403&lt;lv60&gt;s3</v>
      </c>
      <c r="B65" s="22">
        <v>60003</v>
      </c>
      <c r="C65" s="21">
        <v>3</v>
      </c>
      <c r="D65" s="2" t="str">
        <f>B65&amp;"_"&amp;C65</f>
        <v>60003_3</v>
      </c>
      <c r="E65" s="4" t="str">
        <f ca="1">VLOOKUP($B65,OFFSET([2]quests!$A$1,0,0,COUNTA([2]quests!$A:$A),MATCH(E$1,[2]quests!$1:$1,0)-MATCH($B$1,[2]quests!$1:$1,0)+1),MATCH(E$1,[2]quests!$1:$1,0)-MATCH($B$1,[2]quests!$1:$1,0)+1,FALSE)</f>
        <v>ヘンペルチャレンジ</v>
      </c>
      <c r="F65" s="4" t="str">
        <f ca="1">VLOOKUP($D65,OFFSET([2]stages!$A$1,0,0,COUNTA([2]stages!$A:$A),MATCH(F$1,[2]stages!$2:$2,0)-MATCH($D$1,[2]stages!$2:$2,0)+1),MATCH(F$1,[2]stages!$2:$2,0)-MATCH($D$1,[2]stages!$2:$2,0)+1,FALSE)</f>
        <v>[ウィザード] 第3回　</v>
      </c>
      <c r="G65" s="21">
        <v>5</v>
      </c>
      <c r="H65" s="15" t="str">
        <f>B65&amp;"_"&amp;C65&amp;"-"&amp;G65</f>
        <v>60003_3-5</v>
      </c>
      <c r="I65" s="4">
        <f ca="1">VLOOKUP($H65,OFFSET(floors!$A$1,0,0,COUNTA(floors!$A:$A),MATCH(I$1,floors!$1:$1,0)-MATCH($H$1,floors!$1:$1,0)+1),MATCH(I$1,floors!$1:$1,0)-MATCH($H$1,floors!$1:$1,0)+1,FALSE)</f>
        <v>60</v>
      </c>
      <c r="J65" s="4">
        <f ca="1">VLOOKUP($H65,OFFSET(floors!$A$1,0,0,COUNTA(floors!$A:$A),MATCH(J$1,floors!$1:$1,0)-MATCH($H$1,floors!$1:$1,0)+1),MATCH(J$1,floors!$1:$1,0)-MATCH($H$1,floors!$1:$1,0)+1,FALSE)</f>
        <v>60</v>
      </c>
      <c r="K65" s="38" t="s">
        <v>53</v>
      </c>
      <c r="L65" s="20">
        <v>403</v>
      </c>
      <c r="M65" s="17" t="str">
        <f ca="1">VLOOKUP($L65,OFFSET([3]enemies!$A$1,0,0,COUNTA([3]enemies!$A:$A),MATCH(M$1,[3]enemies!$1:$1,0)-MATCH($L$1,[3]enemies!$1:$1,0)+1),MATCH(M$1,[3]enemies!$1:$1,0)-MATCH($L$1,[3]enemies!$1:$1,0)+1,FALSE)</f>
        <v>静撃の翠眼 八咫烏</v>
      </c>
      <c r="N65" s="17" t="str">
        <f ca="1">VLOOKUP($L65,OFFSET([3]enemies!$A$1,0,0,COUNTA([3]enemies!$A:$A),MATCH(N$1,[3]enemies!$1:$1,0)-MATCH($L$1,[3]enemies!$1:$1,0)+1),MATCH(N$1,[3]enemies!$1:$1,0)-MATCH($L$1,[3]enemies!$1:$1,0)+1,FALSE)</f>
        <v>green</v>
      </c>
      <c r="O65" s="17" t="str">
        <f ca="1">VLOOKUP($L65,OFFSET([4]characters!$A$1,0,0,COUNTA([4]characters!$A:$A),MATCH(O$1,[4]characters!$1:$1,0)-MATCH($L$1,[4]characters!$1:$1,0)+1),MATCH(O$1,[4]characters!$1:$1,0)-MATCH($L$1,[4]characters!$1:$1,0)+1,FALSE)</f>
        <v>PremiumSS</v>
      </c>
      <c r="P65" s="17" t="str">
        <f ca="1">VLOOKUP($L65,OFFSET([3]enemies!$A$1,0,0,COUNTA([3]enemies!$A:$A),MATCH(P$1,[3]enemies!$1:$1,0)-MATCH($L$1,[3]enemies!$1:$1,0)+1),MATCH(P$1,[3]enemies!$1:$1,0)-MATCH($L$1,[3]enemies!$1:$1,0)+1,FALSE)</f>
        <v>animal</v>
      </c>
      <c r="Q65" s="17">
        <f ca="1">VLOOKUP($L65,OFFSET([3]enemies!$A$1,0,0,COUNTA([3]enemies!$A:$A),MATCH(Q$1,[3]enemies!$1:$1,0)-MATCH($L$1,[3]enemies!$1:$1,0)+1),MATCH(Q$1,[3]enemies!$1:$1,0)-MATCH($L$1,[3]enemies!$1:$1,0)+1,FALSE)</f>
        <v>30</v>
      </c>
      <c r="R65" s="5">
        <v>60</v>
      </c>
      <c r="S65" s="25">
        <v>1</v>
      </c>
      <c r="T65" s="25">
        <v>1</v>
      </c>
      <c r="U65" s="5">
        <v>0</v>
      </c>
      <c r="V65" s="4" t="e">
        <f ca="1">VLOOKUP($W65,OFFSET([5]enemy_skill_sets!$B$1,0,0,COUNTA([5]enemy_skill_sets!$B:$B),MATCH(M$1,[5]enemy_skill_sets!$1:$1,0)-MATCH($W$1,[5]enemy_skill_sets!$1:$1,0)+2),MATCH(M$1,[5]enemy_skill_sets!$1:$1,0)-MATCH($W$1,[5]enemy_skill_sets!$1:$1,0)+2,FALSE)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65" s="4">
        <v>60001106</v>
      </c>
      <c r="X65" s="6">
        <v>1</v>
      </c>
      <c r="Y65" s="6">
        <v>100</v>
      </c>
      <c r="Z65" s="6">
        <v>0</v>
      </c>
      <c r="AA65" s="17">
        <f ca="1">VLOOKUP($L65,OFFSET([3]enemies!$A$1,0,0,COUNTA([3]enemies!$A:$A),MATCH(AA$1,[3]enemies!$1:$1,0)-MATCH($L$1,[3]enemies!$1:$1,0)+1),MATCH(AA$1,[3]enemies!$1:$1,0)-MATCH($L$1,[3]enemies!$1:$1,0)+1,FALSE)</f>
        <v>3</v>
      </c>
      <c r="AB65" s="24">
        <f>L65</f>
        <v>403</v>
      </c>
      <c r="AC65" s="4" t="str">
        <f ca="1">VLOOKUP($AB65,OFFSET([4]characters!$A$1,0,0,COUNTA([4]characters!$A:$A),MATCH(AC$1,[4]characters!$1:$1,0)-MATCH("character_id",[4]characters!$1:$1,0)+1),MATCH(AC$1,[4]characters!$1:$1,0)-MATCH("character_id",[4]characters!$1:$1,0)+1,FALSE)</f>
        <v>静撃の翠眼 八咫烏</v>
      </c>
      <c r="AD65" s="4">
        <f ca="1">VLOOKUP($AB65,OFFSET([4]characters!$A$1,0,0,COUNTA([4]characters!$A:$A),MATCH(AD$1,[4]characters!$1:$1,0)-MATCH("character_id",[4]characters!$1:$1,0)+1),MATCH(AD$1,[4]characters!$1:$1,0)-MATCH("character_id",[4]characters!$1:$1,0)+1,FALSE)</f>
        <v>4</v>
      </c>
      <c r="AE65" s="4" t="str">
        <f ca="1">VLOOKUP($AB65,OFFSET([4]characters!$A$1,0,0,COUNTA([4]characters!$A:$A),MATCH(AE$1,[4]characters!$1:$1,0)-MATCH("character_id",[4]characters!$1:$1,0)+1),MATCH(AE$1,[4]characters!$1:$1,0)-MATCH("character_id",[4]characters!$1:$1,0)+1,FALSE)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65" s="7">
        <v>1</v>
      </c>
      <c r="AG65" s="24">
        <f ca="1">AD65</f>
        <v>4</v>
      </c>
      <c r="AH65" s="8">
        <v>0</v>
      </c>
      <c r="AI65" s="7">
        <v>0</v>
      </c>
      <c r="AJ65" s="7">
        <v>0</v>
      </c>
      <c r="AK65" s="7">
        <v>0</v>
      </c>
      <c r="AL65" s="7">
        <v>0</v>
      </c>
      <c r="AM65" s="7">
        <v>1</v>
      </c>
      <c r="AN65" s="69">
        <v>1</v>
      </c>
    </row>
    <row r="66" spans="1:40" ht="21" customHeight="1">
      <c r="A66" s="16" t="str">
        <f t="shared" ref="A66:A78" ca="1" si="25">B66&amp;"_"&amp;C66&amp;"-"&amp;G66&amp;"/"&amp;L66&amp;"&lt;lv"&amp;R66&amp;"&gt;s"&amp;AA66</f>
        <v>60003_3-5/660&lt;lv60&gt;s2</v>
      </c>
      <c r="B66" s="22">
        <v>60003</v>
      </c>
      <c r="C66" s="21">
        <v>3</v>
      </c>
      <c r="D66" s="2" t="str">
        <f>B66&amp;"_"&amp;C66</f>
        <v>60003_3</v>
      </c>
      <c r="E66" s="4" t="str">
        <f ca="1">VLOOKUP($B66,OFFSET([2]quests!$A$1,0,0,COUNTA([2]quests!$A:$A),MATCH(E$1,[2]quests!$1:$1,0)-MATCH($B$1,[2]quests!$1:$1,0)+1),MATCH(E$1,[2]quests!$1:$1,0)-MATCH($B$1,[2]quests!$1:$1,0)+1,FALSE)</f>
        <v>ヘンペルチャレンジ</v>
      </c>
      <c r="F66" s="4" t="str">
        <f ca="1">VLOOKUP($D66,OFFSET([2]stages!$A$1,0,0,COUNTA([2]stages!$A:$A),MATCH(F$1,[2]stages!$2:$2,0)-MATCH($D$1,[2]stages!$2:$2,0)+1),MATCH(F$1,[2]stages!$2:$2,0)-MATCH($D$1,[2]stages!$2:$2,0)+1,FALSE)</f>
        <v>[ウィザード] 第3回　</v>
      </c>
      <c r="G66" s="21">
        <v>5</v>
      </c>
      <c r="H66" s="15" t="str">
        <f>B66&amp;"_"&amp;C66&amp;"-"&amp;G66</f>
        <v>60003_3-5</v>
      </c>
      <c r="I66" s="4">
        <f ca="1">VLOOKUP($H66,OFFSET(floors!$A$1,0,0,COUNTA(floors!$A:$A),MATCH(I$1,floors!$1:$1,0)-MATCH($H$1,floors!$1:$1,0)+1),MATCH(I$1,floors!$1:$1,0)-MATCH($H$1,floors!$1:$1,0)+1,FALSE)</f>
        <v>60</v>
      </c>
      <c r="J66" s="4">
        <f ca="1">VLOOKUP($H66,OFFSET(floors!$A$1,0,0,COUNTA(floors!$A:$A),MATCH(J$1,floors!$1:$1,0)-MATCH($H$1,floors!$1:$1,0)+1),MATCH(J$1,floors!$1:$1,0)-MATCH($H$1,floors!$1:$1,0)+1,FALSE)</f>
        <v>60</v>
      </c>
      <c r="K66" s="38" t="s">
        <v>53</v>
      </c>
      <c r="L66" s="20">
        <v>660</v>
      </c>
      <c r="M66" s="17" t="str">
        <f ca="1">VLOOKUP($L66,OFFSET([3]enemies!$A$1,0,0,COUNTA([3]enemies!$A:$A),MATCH(M$1,[3]enemies!$1:$1,0)-MATCH($L$1,[3]enemies!$1:$1,0)+1),MATCH(M$1,[3]enemies!$1:$1,0)-MATCH($L$1,[3]enemies!$1:$1,0)+1,FALSE)</f>
        <v>烏天狗 フウガ</v>
      </c>
      <c r="N66" s="17" t="str">
        <f ca="1">VLOOKUP($L66,OFFSET([3]enemies!$A$1,0,0,COUNTA([3]enemies!$A:$A),MATCH(N$1,[3]enemies!$1:$1,0)-MATCH($L$1,[3]enemies!$1:$1,0)+1),MATCH(N$1,[3]enemies!$1:$1,0)-MATCH($L$1,[3]enemies!$1:$1,0)+1,FALSE)</f>
        <v>green</v>
      </c>
      <c r="O66" s="17" t="str">
        <f ca="1">VLOOKUP($L66,OFFSET([4]characters!$A$1,0,0,COUNTA([4]characters!$A:$A),MATCH(O$1,[4]characters!$1:$1,0)-MATCH($L$1,[4]characters!$1:$1,0)+1),MATCH(O$1,[4]characters!$1:$1,0)-MATCH($L$1,[4]characters!$1:$1,0)+1,FALSE)</f>
        <v>PremiumSS</v>
      </c>
      <c r="P66" s="17" t="str">
        <f ca="1">VLOOKUP($L66,OFFSET([3]enemies!$A$1,0,0,COUNTA([3]enemies!$A:$A),MATCH(P$1,[3]enemies!$1:$1,0)-MATCH($L$1,[3]enemies!$1:$1,0)+1),MATCH(P$1,[3]enemies!$1:$1,0)-MATCH($L$1,[3]enemies!$1:$1,0)+1,FALSE)</f>
        <v>animal</v>
      </c>
      <c r="Q66" s="17">
        <f ca="1">VLOOKUP($L66,OFFSET([3]enemies!$A$1,0,0,COUNTA([3]enemies!$A:$A),MATCH(Q$1,[3]enemies!$1:$1,0)-MATCH($L$1,[3]enemies!$1:$1,0)+1),MATCH(Q$1,[3]enemies!$1:$1,0)-MATCH($L$1,[3]enemies!$1:$1,0)+1,FALSE)</f>
        <v>30</v>
      </c>
      <c r="R66" s="5">
        <v>60</v>
      </c>
      <c r="S66" s="25">
        <v>0.8</v>
      </c>
      <c r="T66" s="25">
        <v>1</v>
      </c>
      <c r="U66" s="5">
        <v>0</v>
      </c>
      <c r="V66" s="4" t="e">
        <f ca="1">VLOOKUP($W66,OFFSET([5]enemy_skill_sets!$B$1,0,0,COUNTA([5]enemy_skill_sets!$B:$B),MATCH(M$1,[5]enemy_skill_sets!$1:$1,0)-MATCH($W$1,[5]enemy_skill_sets!$1:$1,0)+2),MATCH(M$1,[5]enemy_skill_sets!$1:$1,0)-MATCH($W$1,[5]enemy_skill_sets!$1:$1,0)+2,FALSE)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66" s="4">
        <v>60001107</v>
      </c>
      <c r="X66" s="6">
        <v>1</v>
      </c>
      <c r="Y66" s="6">
        <v>100</v>
      </c>
      <c r="Z66" s="6">
        <v>0</v>
      </c>
      <c r="AA66" s="17">
        <f ca="1">VLOOKUP($L66,OFFSET([3]enemies!$A$1,0,0,COUNTA([3]enemies!$A:$A),MATCH(AA$1,[3]enemies!$1:$1,0)-MATCH($L$1,[3]enemies!$1:$1,0)+1),MATCH(AA$1,[3]enemies!$1:$1,0)-MATCH($L$1,[3]enemies!$1:$1,0)+1,FALSE)</f>
        <v>2</v>
      </c>
      <c r="AB66" s="24">
        <f>L66</f>
        <v>660</v>
      </c>
      <c r="AC66" s="4" t="str">
        <f ca="1">VLOOKUP($AB66,OFFSET([4]characters!$A$1,0,0,COUNTA([4]characters!$A:$A),MATCH(AC$1,[4]characters!$1:$1,0)-MATCH("character_id",[4]characters!$1:$1,0)+1),MATCH(AC$1,[4]characters!$1:$1,0)-MATCH("character_id",[4]characters!$1:$1,0)+1,FALSE)</f>
        <v>烏天狗 フウガ</v>
      </c>
      <c r="AD66" s="4">
        <f ca="1">VLOOKUP($AB66,OFFSET([4]characters!$A$1,0,0,COUNTA([4]characters!$A:$A),MATCH(AD$1,[4]characters!$1:$1,0)-MATCH("character_id",[4]characters!$1:$1,0)+1),MATCH(AD$1,[4]characters!$1:$1,0)-MATCH("character_id",[4]characters!$1:$1,0)+1,FALSE)</f>
        <v>4</v>
      </c>
      <c r="AE66" s="4" t="str">
        <f ca="1">VLOOKUP($AB66,OFFSET([4]characters!$A$1,0,0,COUNTA([4]characters!$A:$A),MATCH(AE$1,[4]characters!$1:$1,0)-MATCH("character_id",[4]characters!$1:$1,0)+1),MATCH(AE$1,[4]characters!$1:$1,0)-MATCH("character_id",[4]characters!$1:$1,0)+1,FALSE)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66" s="7">
        <v>1</v>
      </c>
      <c r="AG66" s="24">
        <f ca="1">AD66</f>
        <v>4</v>
      </c>
      <c r="AH66" s="8">
        <v>0</v>
      </c>
      <c r="AI66" s="7">
        <v>0</v>
      </c>
      <c r="AJ66" s="7">
        <v>0</v>
      </c>
      <c r="AK66" s="7">
        <v>0</v>
      </c>
      <c r="AL66" s="7">
        <v>0</v>
      </c>
      <c r="AM66" s="7">
        <v>1</v>
      </c>
      <c r="AN66" s="69">
        <v>1</v>
      </c>
    </row>
    <row r="67" spans="1:40" ht="21" customHeight="1">
      <c r="A67" s="16" t="str">
        <f t="shared" si="25"/>
        <v>60003_3-6/488&lt;lv70&gt;s3</v>
      </c>
      <c r="B67" s="22">
        <v>60003</v>
      </c>
      <c r="C67" s="21">
        <v>3</v>
      </c>
      <c r="D67" s="2" t="str">
        <f t="shared" ref="D67:D73" si="26">B67&amp;"_"&amp;C67</f>
        <v>60003_3</v>
      </c>
      <c r="E67" s="4" t="str">
        <f ca="1">VLOOKUP($B67,OFFSET([2]quests!$A$1,0,0,COUNTA([2]quests!$A:$A),MATCH(E$1,[2]quests!$1:$1,0)-MATCH($B$1,[2]quests!$1:$1,0)+1),MATCH(E$1,[2]quests!$1:$1,0)-MATCH($B$1,[2]quests!$1:$1,0)+1,FALSE)</f>
        <v>ヘンペルチャレンジ</v>
      </c>
      <c r="F67" s="4" t="str">
        <f ca="1">VLOOKUP($D67,OFFSET([2]stages!$A$1,0,0,COUNTA([2]stages!$A:$A),MATCH(F$1,[2]stages!$2:$2,0)-MATCH($D$1,[2]stages!$2:$2,0)+1),MATCH(F$1,[2]stages!$2:$2,0)-MATCH($D$1,[2]stages!$2:$2,0)+1,FALSE)</f>
        <v>[ウィザード] 第3回　</v>
      </c>
      <c r="G67" s="21">
        <v>6</v>
      </c>
      <c r="H67" s="15" t="str">
        <f t="shared" ref="H67:H73" si="27">B67&amp;"_"&amp;C67&amp;"-"&amp;G67</f>
        <v>60003_3-6</v>
      </c>
      <c r="I67" s="4">
        <f ca="1">VLOOKUP($H67,OFFSET(floors!$A$1,0,0,COUNTA(floors!$A:$A),MATCH(I$1,floors!$1:$1,0)-MATCH($H$1,floors!$1:$1,0)+1),MATCH(I$1,floors!$1:$1,0)-MATCH($H$1,floors!$1:$1,0)+1,FALSE)</f>
        <v>60</v>
      </c>
      <c r="J67" s="4">
        <f ca="1">VLOOKUP($H67,OFFSET(floors!$A$1,0,0,COUNTA(floors!$A:$A),MATCH(J$1,floors!$1:$1,0)-MATCH($H$1,floors!$1:$1,0)+1),MATCH(J$1,floors!$1:$1,0)-MATCH($H$1,floors!$1:$1,0)+1,FALSE)</f>
        <v>60</v>
      </c>
      <c r="K67" s="38">
        <v>1</v>
      </c>
      <c r="L67" s="20">
        <v>488</v>
      </c>
      <c r="M67" s="17" t="str">
        <f ca="1">VLOOKUP($L67,OFFSET([3]enemies!$A$1,0,0,COUNTA([3]enemies!$A:$A),MATCH(M$1,[3]enemies!$1:$1,0)-MATCH($L$1,[3]enemies!$1:$1,0)+1),MATCH(M$1,[3]enemies!$1:$1,0)-MATCH($L$1,[3]enemies!$1:$1,0)+1,FALSE)</f>
        <v>直観の異論 ヘンペル</v>
      </c>
      <c r="N67" s="17" t="str">
        <f ca="1">VLOOKUP($L67,OFFSET([3]enemies!$A$1,0,0,COUNTA([3]enemies!$A:$A),MATCH(N$1,[3]enemies!$1:$1,0)-MATCH($L$1,[3]enemies!$1:$1,0)+1),MATCH(N$1,[3]enemies!$1:$1,0)-MATCH($L$1,[3]enemies!$1:$1,0)+1,FALSE)</f>
        <v>blue</v>
      </c>
      <c r="O67" s="17" t="str">
        <f ca="1">VLOOKUP($L67,OFFSET([4]characters!$A$1,0,0,COUNTA([4]characters!$A:$A),MATCH(O$1,[4]characters!$1:$1,0)-MATCH($L$1,[4]characters!$1:$1,0)+1),MATCH(O$1,[4]characters!$1:$1,0)-MATCH($L$1,[4]characters!$1:$1,0)+1,FALSE)</f>
        <v>PremiumSSS</v>
      </c>
      <c r="P67" s="17" t="str">
        <f ca="1">VLOOKUP($L67,OFFSET([3]enemies!$A$1,0,0,COUNTA([3]enemies!$A:$A),MATCH(P$1,[3]enemies!$1:$1,0)-MATCH($L$1,[3]enemies!$1:$1,0)+1),MATCH(P$1,[3]enemies!$1:$1,0)-MATCH($L$1,[3]enemies!$1:$1,0)+1,FALSE)</f>
        <v>human</v>
      </c>
      <c r="Q67" s="17">
        <f ca="1">VLOOKUP($L67,OFFSET([3]enemies!$A$1,0,0,COUNTA([3]enemies!$A:$A),MATCH(Q$1,[3]enemies!$1:$1,0)-MATCH($L$1,[3]enemies!$1:$1,0)+1),MATCH(Q$1,[3]enemies!$1:$1,0)-MATCH($L$1,[3]enemies!$1:$1,0)+1,FALSE)</f>
        <v>60</v>
      </c>
      <c r="R67" s="5">
        <v>70</v>
      </c>
      <c r="S67" s="25">
        <v>0.9</v>
      </c>
      <c r="T67" s="25">
        <v>1</v>
      </c>
      <c r="U67" s="5">
        <v>0</v>
      </c>
      <c r="V67" s="4" t="e">
        <f ca="1">VLOOKUP($W67,OFFSET([5]enemy_skill_sets!$B$1,0,0,COUNTA([5]enemy_skill_sets!$B:$B),MATCH(M$1,[5]enemy_skill_sets!$1:$1,0)-MATCH($W$1,[5]enemy_skill_sets!$1:$1,0)+2),MATCH(M$1,[5]enemy_skill_sets!$1:$1,0)-MATCH($W$1,[5]enemy_skill_sets!$1:$1,0)+2,FALSE)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67" s="4">
        <v>60001108</v>
      </c>
      <c r="X67" s="6">
        <v>0</v>
      </c>
      <c r="Y67" s="6">
        <v>100</v>
      </c>
      <c r="Z67" s="6">
        <v>1</v>
      </c>
      <c r="AA67" s="17">
        <v>3</v>
      </c>
      <c r="AB67" s="24">
        <f t="shared" ref="AB67:AB73" si="28">L67</f>
        <v>488</v>
      </c>
      <c r="AC67" s="4" t="str">
        <f ca="1">VLOOKUP($AB67,OFFSET([4]characters!$A$1,0,0,COUNTA([4]characters!$A:$A),MATCH(AC$1,[4]characters!$1:$1,0)-MATCH("character_id",[4]characters!$1:$1,0)+1),MATCH(AC$1,[4]characters!$1:$1,0)-MATCH("character_id",[4]characters!$1:$1,0)+1,FALSE)</f>
        <v>直観の異論 ヘンペル</v>
      </c>
      <c r="AD67" s="4">
        <f ca="1">VLOOKUP($AB67,OFFSET([4]characters!$A$1,0,0,COUNTA([4]characters!$A:$A),MATCH(AD$1,[4]characters!$1:$1,0)-MATCH("character_id",[4]characters!$1:$1,0)+1),MATCH(AD$1,[4]characters!$1:$1,0)-MATCH("character_id",[4]characters!$1:$1,0)+1,FALSE)</f>
        <v>5</v>
      </c>
      <c r="AE67" s="4" t="str">
        <f ca="1">VLOOKUP($AB67,OFFSET([4]characters!$A$1,0,0,COUNTA([4]characters!$A:$A),MATCH(AE$1,[4]characters!$1:$1,0)-MATCH("character_id",[4]characters!$1:$1,0)+1),MATCH(AE$1,[4]characters!$1:$1,0)-MATCH("character_id",[4]characters!$1:$1,0)+1,FALSE)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67" s="7">
        <v>1</v>
      </c>
      <c r="AG67" s="24">
        <f t="shared" ref="AG67:AG73" ca="1" si="29">AD67</f>
        <v>5</v>
      </c>
      <c r="AH67" s="8">
        <v>0</v>
      </c>
      <c r="AI67" s="7">
        <v>0</v>
      </c>
      <c r="AJ67" s="7">
        <v>0</v>
      </c>
      <c r="AK67" s="7">
        <v>0</v>
      </c>
      <c r="AL67" s="7">
        <v>0</v>
      </c>
      <c r="AM67" s="7">
        <v>1</v>
      </c>
      <c r="AN67" s="69">
        <v>1</v>
      </c>
    </row>
    <row r="68" spans="1:40" ht="21" customHeight="1">
      <c r="A68" s="16" t="str">
        <f t="shared" ca="1" si="25"/>
        <v>60004_1-1/1&lt;lv50&gt;s1</v>
      </c>
      <c r="B68" s="22">
        <v>60004</v>
      </c>
      <c r="C68" s="21">
        <v>1</v>
      </c>
      <c r="D68" s="2" t="str">
        <f t="shared" si="26"/>
        <v>60004_1</v>
      </c>
      <c r="E68" s="4" t="str">
        <f ca="1">VLOOKUP($B68,OFFSET([2]quests!$A$1,0,0,COUNTA([2]quests!$A:$A),MATCH(E$1,[2]quests!$1:$1,0)-MATCH($B$1,[2]quests!$1:$1,0)+1),MATCH(E$1,[2]quests!$1:$1,0)-MATCH($B$1,[2]quests!$1:$1,0)+1,FALSE)</f>
        <v>ヘンペルチャレンジ</v>
      </c>
      <c r="F68" s="4" t="str">
        <f ca="1">VLOOKUP($D68,OFFSET([2]stages!$A$1,0,0,COUNTA([2]stages!$A:$A),MATCH(F$1,[2]stages!$2:$2,0)-MATCH($D$1,[2]stages!$2:$2,0)+1),MATCH(F$1,[2]stages!$2:$2,0)-MATCH($D$1,[2]stages!$2:$2,0)+1,FALSE)</f>
        <v>[ウィザード] 第4回　</v>
      </c>
      <c r="G68" s="21">
        <v>1</v>
      </c>
      <c r="H68" s="15" t="str">
        <f t="shared" si="27"/>
        <v>60004_1-1</v>
      </c>
      <c r="I68" s="4">
        <f ca="1">VLOOKUP($H68,OFFSET(floors!$A$1,0,0,COUNTA(floors!$A:$A),MATCH(I$1,floors!$1:$1,0)-MATCH($H$1,floors!$1:$1,0)+1),MATCH(I$1,floors!$1:$1,0)-MATCH($H$1,floors!$1:$1,0)+1,FALSE)</f>
        <v>60</v>
      </c>
      <c r="J68" s="4">
        <f ca="1">VLOOKUP($H68,OFFSET(floors!$A$1,0,0,COUNTA(floors!$A:$A),MATCH(J$1,floors!$1:$1,0)-MATCH($H$1,floors!$1:$1,0)+1),MATCH(J$1,floors!$1:$1,0)-MATCH($H$1,floors!$1:$1,0)+1,FALSE)</f>
        <v>60</v>
      </c>
      <c r="K68" s="38" t="s">
        <v>53</v>
      </c>
      <c r="L68" s="20">
        <v>1</v>
      </c>
      <c r="M68" s="17" t="str">
        <f ca="1">VLOOKUP($L68,OFFSET([3]enemies!$A$1,0,0,COUNTA([3]enemies!$A:$A),MATCH(M$1,[3]enemies!$1:$1,0)-MATCH($L$1,[3]enemies!$1:$1,0)+1),MATCH(M$1,[3]enemies!$1:$1,0)-MATCH($L$1,[3]enemies!$1:$1,0)+1,FALSE)</f>
        <v>ジェリー</v>
      </c>
      <c r="N68" s="17" t="str">
        <f ca="1">VLOOKUP($L68,OFFSET([3]enemies!$A$1,0,0,COUNTA([3]enemies!$A:$A),MATCH(N$1,[3]enemies!$1:$1,0)-MATCH($L$1,[3]enemies!$1:$1,0)+1),MATCH(N$1,[3]enemies!$1:$1,0)-MATCH($L$1,[3]enemies!$1:$1,0)+1,FALSE)</f>
        <v>red</v>
      </c>
      <c r="O68" s="17" t="str">
        <f ca="1">VLOOKUP($L68,OFFSET([4]characters!$A$1,0,0,COUNTA([4]characters!$A:$A),MATCH(O$1,[4]characters!$1:$1,0)-MATCH($L$1,[4]characters!$1:$1,0)+1),MATCH(O$1,[4]characters!$1:$1,0)-MATCH($L$1,[4]characters!$1:$1,0)+1,FALSE)</f>
        <v>Drop1T</v>
      </c>
      <c r="P68" s="17" t="str">
        <f ca="1">VLOOKUP($L68,OFFSET([3]enemies!$A$1,0,0,COUNTA([3]enemies!$A:$A),MATCH(P$1,[3]enemies!$1:$1,0)-MATCH($L$1,[3]enemies!$1:$1,0)+1),MATCH(P$1,[3]enemies!$1:$1,0)-MATCH($L$1,[3]enemies!$1:$1,0)+1,FALSE)</f>
        <v>unknown</v>
      </c>
      <c r="Q68" s="17">
        <f ca="1">VLOOKUP($L68,OFFSET([3]enemies!$A$1,0,0,COUNTA([3]enemies!$A:$A),MATCH(Q$1,[3]enemies!$1:$1,0)-MATCH($L$1,[3]enemies!$1:$1,0)+1),MATCH(Q$1,[3]enemies!$1:$1,0)-MATCH($L$1,[3]enemies!$1:$1,0)+1,FALSE)</f>
        <v>15</v>
      </c>
      <c r="R68" s="5">
        <v>50</v>
      </c>
      <c r="S68" s="25">
        <v>1.2</v>
      </c>
      <c r="T68" s="25">
        <v>1.1000000000000001</v>
      </c>
      <c r="U68" s="5">
        <v>0</v>
      </c>
      <c r="V68" s="4" t="e">
        <f ca="1">VLOOKUP($W68,OFFSET([5]enemy_skill_sets!$B$1,0,0,COUNTA([5]enemy_skill_sets!$B:$B),MATCH(M$1,[5]enemy_skill_sets!$1:$1,0)-MATCH($W$1,[5]enemy_skill_sets!$1:$1,0)+2),MATCH(M$1,[5]enemy_skill_sets!$1:$1,0)-MATCH($W$1,[5]enemy_skill_sets!$1:$1,0)+2,FALSE)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68" s="4">
        <v>0</v>
      </c>
      <c r="X68" s="6">
        <v>1</v>
      </c>
      <c r="Y68" s="6">
        <v>100</v>
      </c>
      <c r="Z68" s="6">
        <v>0</v>
      </c>
      <c r="AA68" s="17">
        <f ca="1">VLOOKUP($L68,OFFSET([3]enemies!$A$1,0,0,COUNTA([3]enemies!$A:$A),MATCH(AA$1,[3]enemies!$1:$1,0)-MATCH($L$1,[3]enemies!$1:$1,0)+1),MATCH(AA$1,[3]enemies!$1:$1,0)-MATCH($L$1,[3]enemies!$1:$1,0)+1,FALSE)</f>
        <v>1</v>
      </c>
      <c r="AB68" s="24">
        <f t="shared" si="28"/>
        <v>1</v>
      </c>
      <c r="AC68" s="4" t="str">
        <f ca="1">VLOOKUP($AB68,OFFSET([4]characters!$A$1,0,0,COUNTA([4]characters!$A:$A),MATCH(AC$1,[4]characters!$1:$1,0)-MATCH("character_id",[4]characters!$1:$1,0)+1),MATCH(AC$1,[4]characters!$1:$1,0)-MATCH("character_id",[4]characters!$1:$1,0)+1,FALSE)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68" s="4">
        <f ca="1">VLOOKUP($AB68,OFFSET([4]characters!$A$1,0,0,COUNTA([4]characters!$A:$A),MATCH(AD$1,[4]characters!$1:$1,0)-MATCH("character_id",[4]characters!$1:$1,0)+1),MATCH(AD$1,[4]characters!$1:$1,0)-MATCH("character_id",[4]characters!$1:$1,0)+1,FALSE)</f>
        <v>1</v>
      </c>
      <c r="AE68" s="4" t="str">
        <f ca="1">VLOOKUP($AB68,OFFSET([4]characters!$A$1,0,0,COUNTA([4]characters!$A:$A),MATCH(AE$1,[4]characters!$1:$1,0)-MATCH("character_id",[4]characters!$1:$1,0)+1),MATCH(AE$1,[4]characters!$1:$1,0)-MATCH("character_id",[4]characters!$1:$1,0)+1,FALSE)</f>
        <v>Drop1T</v>
      </c>
      <c r="AF68" s="7">
        <v>1</v>
      </c>
      <c r="AG68" s="24">
        <f t="shared" ca="1" si="29"/>
        <v>1</v>
      </c>
      <c r="AH68" s="8">
        <v>0</v>
      </c>
      <c r="AI68" s="7">
        <v>0</v>
      </c>
      <c r="AJ68" s="7">
        <v>0</v>
      </c>
      <c r="AK68" s="7">
        <v>0</v>
      </c>
      <c r="AL68" s="7">
        <v>0</v>
      </c>
      <c r="AM68" s="7">
        <v>1</v>
      </c>
      <c r="AN68" s="69">
        <v>1</v>
      </c>
    </row>
    <row r="69" spans="1:40" ht="21" customHeight="1">
      <c r="A69" s="16" t="str">
        <f t="shared" ca="1" si="25"/>
        <v>60004_1-1/3&lt;lv50&gt;s2</v>
      </c>
      <c r="B69" s="22">
        <v>60004</v>
      </c>
      <c r="C69" s="21">
        <v>1</v>
      </c>
      <c r="D69" s="2" t="str">
        <f t="shared" si="26"/>
        <v>60004_1</v>
      </c>
      <c r="E69" s="4" t="str">
        <f ca="1">VLOOKUP($B69,OFFSET([2]quests!$A$1,0,0,COUNTA([2]quests!$A:$A),MATCH(E$1,[2]quests!$1:$1,0)-MATCH($B$1,[2]quests!$1:$1,0)+1),MATCH(E$1,[2]quests!$1:$1,0)-MATCH($B$1,[2]quests!$1:$1,0)+1,FALSE)</f>
        <v>ヘンペルチャレンジ</v>
      </c>
      <c r="F69" s="4" t="str">
        <f ca="1">VLOOKUP($D69,OFFSET([2]stages!$A$1,0,0,COUNTA([2]stages!$A:$A),MATCH(F$1,[2]stages!$2:$2,0)-MATCH($D$1,[2]stages!$2:$2,0)+1),MATCH(F$1,[2]stages!$2:$2,0)-MATCH($D$1,[2]stages!$2:$2,0)+1,FALSE)</f>
        <v>[ウィザード] 第4回　</v>
      </c>
      <c r="G69" s="21">
        <v>1</v>
      </c>
      <c r="H69" s="15" t="str">
        <f t="shared" si="27"/>
        <v>60004_1-1</v>
      </c>
      <c r="I69" s="4">
        <f ca="1">VLOOKUP($H69,OFFSET(floors!$A$1,0,0,COUNTA(floors!$A:$A),MATCH(I$1,floors!$1:$1,0)-MATCH($H$1,floors!$1:$1,0)+1),MATCH(I$1,floors!$1:$1,0)-MATCH($H$1,floors!$1:$1,0)+1,FALSE)</f>
        <v>60</v>
      </c>
      <c r="J69" s="4">
        <f ca="1">VLOOKUP($H69,OFFSET(floors!$A$1,0,0,COUNTA(floors!$A:$A),MATCH(J$1,floors!$1:$1,0)-MATCH($H$1,floors!$1:$1,0)+1),MATCH(J$1,floors!$1:$1,0)-MATCH($H$1,floors!$1:$1,0)+1,FALSE)</f>
        <v>60</v>
      </c>
      <c r="K69" s="38" t="s">
        <v>53</v>
      </c>
      <c r="L69" s="20">
        <v>3</v>
      </c>
      <c r="M69" s="17" t="str">
        <f ca="1">VLOOKUP($L69,OFFSET([3]enemies!$A$1,0,0,COUNTA([3]enemies!$A:$A),MATCH(M$1,[3]enemies!$1:$1,0)-MATCH($L$1,[3]enemies!$1:$1,0)+1),MATCH(M$1,[3]enemies!$1:$1,0)-MATCH($L$1,[3]enemies!$1:$1,0)+1,FALSE)</f>
        <v>エージェント ジョー</v>
      </c>
      <c r="N69" s="17" t="str">
        <f ca="1">VLOOKUP($L69,OFFSET([3]enemies!$A$1,0,0,COUNTA([3]enemies!$A:$A),MATCH(N$1,[3]enemies!$1:$1,0)-MATCH($L$1,[3]enemies!$1:$1,0)+1),MATCH(N$1,[3]enemies!$1:$1,0)-MATCH($L$1,[3]enemies!$1:$1,0)+1,FALSE)</f>
        <v>green</v>
      </c>
      <c r="O69" s="17" t="str">
        <f ca="1">VLOOKUP($L69,OFFSET([4]characters!$A$1,0,0,COUNTA([4]characters!$A:$A),MATCH(O$1,[4]characters!$1:$1,0)-MATCH($L$1,[4]characters!$1:$1,0)+1),MATCH(O$1,[4]characters!$1:$1,0)-MATCH($L$1,[4]characters!$1:$1,0)+1,FALSE)</f>
        <v>Drop1T</v>
      </c>
      <c r="P69" s="17" t="str">
        <f ca="1">VLOOKUP($L69,OFFSET([3]enemies!$A$1,0,0,COUNTA([3]enemies!$A:$A),MATCH(P$1,[3]enemies!$1:$1,0)-MATCH($L$1,[3]enemies!$1:$1,0)+1),MATCH(P$1,[3]enemies!$1:$1,0)-MATCH($L$1,[3]enemies!$1:$1,0)+1,FALSE)</f>
        <v>unknown</v>
      </c>
      <c r="Q69" s="17">
        <f ca="1">VLOOKUP($L69,OFFSET([3]enemies!$A$1,0,0,COUNTA([3]enemies!$A:$A),MATCH(Q$1,[3]enemies!$1:$1,0)-MATCH($L$1,[3]enemies!$1:$1,0)+1),MATCH(Q$1,[3]enemies!$1:$1,0)-MATCH($L$1,[3]enemies!$1:$1,0)+1,FALSE)</f>
        <v>15</v>
      </c>
      <c r="R69" s="5">
        <v>50</v>
      </c>
      <c r="S69" s="25">
        <v>1.2</v>
      </c>
      <c r="T69" s="25">
        <v>1.1000000000000001</v>
      </c>
      <c r="U69" s="5">
        <v>0</v>
      </c>
      <c r="V69" s="4" t="e">
        <f ca="1">VLOOKUP($W69,OFFSET([5]enemy_skill_sets!$B$1,0,0,COUNTA([5]enemy_skill_sets!$B:$B),MATCH(M$1,[5]enemy_skill_sets!$1:$1,0)-MATCH($W$1,[5]enemy_skill_sets!$1:$1,0)+2),MATCH(M$1,[5]enemy_skill_sets!$1:$1,0)-MATCH($W$1,[5]enemy_skill_sets!$1:$1,0)+2,FALSE)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69" s="4">
        <v>0</v>
      </c>
      <c r="X69" s="6">
        <v>1</v>
      </c>
      <c r="Y69" s="6">
        <v>100</v>
      </c>
      <c r="Z69" s="6">
        <v>0</v>
      </c>
      <c r="AA69" s="17">
        <f ca="1">VLOOKUP($L69,OFFSET([3]enemies!$A$1,0,0,COUNTA([3]enemies!$A:$A),MATCH(AA$1,[3]enemies!$1:$1,0)-MATCH($L$1,[3]enemies!$1:$1,0)+1),MATCH(AA$1,[3]enemies!$1:$1,0)-MATCH($L$1,[3]enemies!$1:$1,0)+1,FALSE)</f>
        <v>2</v>
      </c>
      <c r="AB69" s="24">
        <f t="shared" si="28"/>
        <v>3</v>
      </c>
      <c r="AC69" s="4" t="str">
        <f ca="1">VLOOKUP($AB69,OFFSET([4]characters!$A$1,0,0,COUNTA([4]characters!$A:$A),MATCH(AC$1,[4]characters!$1:$1,0)-MATCH("character_id",[4]characters!$1:$1,0)+1),MATCH(AC$1,[4]characters!$1:$1,0)-MATCH("character_id",[4]characters!$1:$1,0)+1,FALSE)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69" s="4">
        <f ca="1">VLOOKUP($AB69,OFFSET([4]characters!$A$1,0,0,COUNTA([4]characters!$A:$A),MATCH(AD$1,[4]characters!$1:$1,0)-MATCH("character_id",[4]characters!$1:$1,0)+1),MATCH(AD$1,[4]characters!$1:$1,0)-MATCH("character_id",[4]characters!$1:$1,0)+1,FALSE)</f>
        <v>1</v>
      </c>
      <c r="AE69" s="4" t="str">
        <f ca="1">VLOOKUP($AB69,OFFSET([4]characters!$A$1,0,0,COUNTA([4]characters!$A:$A),MATCH(AE$1,[4]characters!$1:$1,0)-MATCH("character_id",[4]characters!$1:$1,0)+1),MATCH(AE$1,[4]characters!$1:$1,0)-MATCH("character_id",[4]characters!$1:$1,0)+1,FALSE)</f>
        <v>Drop1T</v>
      </c>
      <c r="AF69" s="7">
        <v>1</v>
      </c>
      <c r="AG69" s="24">
        <f t="shared" ca="1" si="29"/>
        <v>1</v>
      </c>
      <c r="AH69" s="8">
        <v>0</v>
      </c>
      <c r="AI69" s="7">
        <v>0</v>
      </c>
      <c r="AJ69" s="7">
        <v>0</v>
      </c>
      <c r="AK69" s="7">
        <v>0</v>
      </c>
      <c r="AL69" s="7">
        <v>0</v>
      </c>
      <c r="AM69" s="7">
        <v>1</v>
      </c>
      <c r="AN69" s="69">
        <v>1</v>
      </c>
    </row>
    <row r="70" spans="1:40" ht="21" customHeight="1">
      <c r="A70" s="16" t="str">
        <f t="shared" ca="1" si="25"/>
        <v>60004_1-1/5&lt;lv50&gt;s3</v>
      </c>
      <c r="B70" s="22">
        <v>60004</v>
      </c>
      <c r="C70" s="21">
        <v>1</v>
      </c>
      <c r="D70" s="2" t="str">
        <f t="shared" si="26"/>
        <v>60004_1</v>
      </c>
      <c r="E70" s="4" t="str">
        <f ca="1">VLOOKUP($B70,OFFSET([2]quests!$A$1,0,0,COUNTA([2]quests!$A:$A),MATCH(E$1,[2]quests!$1:$1,0)-MATCH($B$1,[2]quests!$1:$1,0)+1),MATCH(E$1,[2]quests!$1:$1,0)-MATCH($B$1,[2]quests!$1:$1,0)+1,FALSE)</f>
        <v>ヘンペルチャレンジ</v>
      </c>
      <c r="F70" s="4" t="str">
        <f ca="1">VLOOKUP($D70,OFFSET([2]stages!$A$1,0,0,COUNTA([2]stages!$A:$A),MATCH(F$1,[2]stages!$2:$2,0)-MATCH($D$1,[2]stages!$2:$2,0)+1),MATCH(F$1,[2]stages!$2:$2,0)-MATCH($D$1,[2]stages!$2:$2,0)+1,FALSE)</f>
        <v>[ウィザード] 第4回　</v>
      </c>
      <c r="G70" s="21">
        <v>1</v>
      </c>
      <c r="H70" s="15" t="str">
        <f t="shared" si="27"/>
        <v>60004_1-1</v>
      </c>
      <c r="I70" s="4">
        <f ca="1">VLOOKUP($H70,OFFSET(floors!$A$1,0,0,COUNTA(floors!$A:$A),MATCH(I$1,floors!$1:$1,0)-MATCH($H$1,floors!$1:$1,0)+1),MATCH(I$1,floors!$1:$1,0)-MATCH($H$1,floors!$1:$1,0)+1,FALSE)</f>
        <v>60</v>
      </c>
      <c r="J70" s="4">
        <f ca="1">VLOOKUP($H70,OFFSET(floors!$A$1,0,0,COUNTA(floors!$A:$A),MATCH(J$1,floors!$1:$1,0)-MATCH($H$1,floors!$1:$1,0)+1),MATCH(J$1,floors!$1:$1,0)-MATCH($H$1,floors!$1:$1,0)+1,FALSE)</f>
        <v>60</v>
      </c>
      <c r="K70" s="38" t="s">
        <v>53</v>
      </c>
      <c r="L70" s="20">
        <v>5</v>
      </c>
      <c r="M70" s="17" t="str">
        <f ca="1">VLOOKUP($L70,OFFSET([3]enemies!$A$1,0,0,COUNTA([3]enemies!$A:$A),MATCH(M$1,[3]enemies!$1:$1,0)-MATCH($L$1,[3]enemies!$1:$1,0)+1),MATCH(M$1,[3]enemies!$1:$1,0)-MATCH($L$1,[3]enemies!$1:$1,0)+1,FALSE)</f>
        <v>パトドッグ ポチ</v>
      </c>
      <c r="N70" s="17" t="str">
        <f ca="1">VLOOKUP($L70,OFFSET([3]enemies!$A$1,0,0,COUNTA([3]enemies!$A:$A),MATCH(N$1,[3]enemies!$1:$1,0)-MATCH($L$1,[3]enemies!$1:$1,0)+1),MATCH(N$1,[3]enemies!$1:$1,0)-MATCH($L$1,[3]enemies!$1:$1,0)+1,FALSE)</f>
        <v>blue</v>
      </c>
      <c r="O70" s="17" t="str">
        <f ca="1">VLOOKUP($L70,OFFSET([4]characters!$A$1,0,0,COUNTA([4]characters!$A:$A),MATCH(O$1,[4]characters!$1:$1,0)-MATCH($L$1,[4]characters!$1:$1,0)+1),MATCH(O$1,[4]characters!$1:$1,0)-MATCH($L$1,[4]characters!$1:$1,0)+1,FALSE)</f>
        <v>Drop1T</v>
      </c>
      <c r="P70" s="17" t="str">
        <f ca="1">VLOOKUP($L70,OFFSET([3]enemies!$A$1,0,0,COUNTA([3]enemies!$A:$A),MATCH(P$1,[3]enemies!$1:$1,0)-MATCH($L$1,[3]enemies!$1:$1,0)+1),MATCH(P$1,[3]enemies!$1:$1,0)-MATCH($L$1,[3]enemies!$1:$1,0)+1,FALSE)</f>
        <v>unknown</v>
      </c>
      <c r="Q70" s="17">
        <f ca="1">VLOOKUP($L70,OFFSET([3]enemies!$A$1,0,0,COUNTA([3]enemies!$A:$A),MATCH(Q$1,[3]enemies!$1:$1,0)-MATCH($L$1,[3]enemies!$1:$1,0)+1),MATCH(Q$1,[3]enemies!$1:$1,0)-MATCH($L$1,[3]enemies!$1:$1,0)+1,FALSE)</f>
        <v>15</v>
      </c>
      <c r="R70" s="5">
        <v>50</v>
      </c>
      <c r="S70" s="25">
        <v>1.2</v>
      </c>
      <c r="T70" s="25">
        <v>1.1000000000000001</v>
      </c>
      <c r="U70" s="5">
        <v>0</v>
      </c>
      <c r="V70" s="4" t="e">
        <f ca="1">VLOOKUP($W70,OFFSET([5]enemy_skill_sets!$B$1,0,0,COUNTA([5]enemy_skill_sets!$B:$B),MATCH(M$1,[5]enemy_skill_sets!$1:$1,0)-MATCH($W$1,[5]enemy_skill_sets!$1:$1,0)+2),MATCH(M$1,[5]enemy_skill_sets!$1:$1,0)-MATCH($W$1,[5]enemy_skill_sets!$1:$1,0)+2,FALSE)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70" s="4">
        <v>60001100</v>
      </c>
      <c r="X70" s="6">
        <v>1</v>
      </c>
      <c r="Y70" s="6">
        <v>100</v>
      </c>
      <c r="Z70" s="6">
        <v>1</v>
      </c>
      <c r="AA70" s="17">
        <f ca="1">VLOOKUP($L70,OFFSET([3]enemies!$A$1,0,0,COUNTA([3]enemies!$A:$A),MATCH(AA$1,[3]enemies!$1:$1,0)-MATCH($L$1,[3]enemies!$1:$1,0)+1),MATCH(AA$1,[3]enemies!$1:$1,0)-MATCH($L$1,[3]enemies!$1:$1,0)+1,FALSE)</f>
        <v>3</v>
      </c>
      <c r="AB70" s="24">
        <f t="shared" si="28"/>
        <v>5</v>
      </c>
      <c r="AC70" s="4" t="str">
        <f ca="1">VLOOKUP($AB70,OFFSET([4]characters!$A$1,0,0,COUNTA([4]characters!$A:$A),MATCH(AC$1,[4]characters!$1:$1,0)-MATCH("character_id",[4]characters!$1:$1,0)+1),MATCH(AC$1,[4]characters!$1:$1,0)-MATCH("character_id",[4]characters!$1:$1,0)+1,FALSE)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70" s="4">
        <f ca="1">VLOOKUP($AB70,OFFSET([4]characters!$A$1,0,0,COUNTA([4]characters!$A:$A),MATCH(AD$1,[4]characters!$1:$1,0)-MATCH("character_id",[4]characters!$1:$1,0)+1),MATCH(AD$1,[4]characters!$1:$1,0)-MATCH("character_id",[4]characters!$1:$1,0)+1,FALSE)</f>
        <v>1</v>
      </c>
      <c r="AE70" s="4" t="str">
        <f ca="1">VLOOKUP($AB70,OFFSET([4]characters!$A$1,0,0,COUNTA([4]characters!$A:$A),MATCH(AE$1,[4]characters!$1:$1,0)-MATCH("character_id",[4]characters!$1:$1,0)+1),MATCH(AE$1,[4]characters!$1:$1,0)-MATCH("character_id",[4]characters!$1:$1,0)+1,FALSE)</f>
        <v>Drop1T</v>
      </c>
      <c r="AF70" s="7">
        <v>1</v>
      </c>
      <c r="AG70" s="24">
        <f t="shared" ca="1" si="29"/>
        <v>1</v>
      </c>
      <c r="AH70" s="8">
        <v>0</v>
      </c>
      <c r="AI70" s="7">
        <v>0</v>
      </c>
      <c r="AJ70" s="7">
        <v>0</v>
      </c>
      <c r="AK70" s="7">
        <v>0</v>
      </c>
      <c r="AL70" s="7">
        <v>0</v>
      </c>
      <c r="AM70" s="7">
        <v>1</v>
      </c>
      <c r="AN70" s="69">
        <v>1</v>
      </c>
    </row>
    <row r="71" spans="1:40" ht="21" customHeight="1">
      <c r="A71" s="16" t="str">
        <f t="shared" ca="1" si="25"/>
        <v>60004_1-1/7&lt;lv50&gt;s2</v>
      </c>
      <c r="B71" s="22">
        <v>60004</v>
      </c>
      <c r="C71" s="21">
        <v>1</v>
      </c>
      <c r="D71" s="2" t="str">
        <f t="shared" si="26"/>
        <v>60004_1</v>
      </c>
      <c r="E71" s="4" t="str">
        <f ca="1">VLOOKUP($B71,OFFSET([2]quests!$A$1,0,0,COUNTA([2]quests!$A:$A),MATCH(E$1,[2]quests!$1:$1,0)-MATCH($B$1,[2]quests!$1:$1,0)+1),MATCH(E$1,[2]quests!$1:$1,0)-MATCH($B$1,[2]quests!$1:$1,0)+1,FALSE)</f>
        <v>ヘンペルチャレンジ</v>
      </c>
      <c r="F71" s="4" t="str">
        <f ca="1">VLOOKUP($D71,OFFSET([2]stages!$A$1,0,0,COUNTA([2]stages!$A:$A),MATCH(F$1,[2]stages!$2:$2,0)-MATCH($D$1,[2]stages!$2:$2,0)+1),MATCH(F$1,[2]stages!$2:$2,0)-MATCH($D$1,[2]stages!$2:$2,0)+1,FALSE)</f>
        <v>[ウィザード] 第4回　</v>
      </c>
      <c r="G71" s="21">
        <v>1</v>
      </c>
      <c r="H71" s="15" t="str">
        <f t="shared" si="27"/>
        <v>60004_1-1</v>
      </c>
      <c r="I71" s="4">
        <f ca="1">VLOOKUP($H71,OFFSET(floors!$A$1,0,0,COUNTA(floors!$A:$A),MATCH(I$1,floors!$1:$1,0)-MATCH($H$1,floors!$1:$1,0)+1),MATCH(I$1,floors!$1:$1,0)-MATCH($H$1,floors!$1:$1,0)+1,FALSE)</f>
        <v>60</v>
      </c>
      <c r="J71" s="4">
        <f ca="1">VLOOKUP($H71,OFFSET(floors!$A$1,0,0,COUNTA(floors!$A:$A),MATCH(J$1,floors!$1:$1,0)-MATCH($H$1,floors!$1:$1,0)+1),MATCH(J$1,floors!$1:$1,0)-MATCH($H$1,floors!$1:$1,0)+1,FALSE)</f>
        <v>60</v>
      </c>
      <c r="K71" s="38" t="s">
        <v>53</v>
      </c>
      <c r="L71" s="20">
        <v>7</v>
      </c>
      <c r="M71" s="17" t="str">
        <f ca="1">VLOOKUP($L71,OFFSET([3]enemies!$A$1,0,0,COUNTA([3]enemies!$A:$A),MATCH(M$1,[3]enemies!$1:$1,0)-MATCH($L$1,[3]enemies!$1:$1,0)+1),MATCH(M$1,[3]enemies!$1:$1,0)-MATCH($L$1,[3]enemies!$1:$1,0)+1,FALSE)</f>
        <v>エレキポット</v>
      </c>
      <c r="N71" s="17" t="str">
        <f ca="1">VLOOKUP($L71,OFFSET([3]enemies!$A$1,0,0,COUNTA([3]enemies!$A:$A),MATCH(N$1,[3]enemies!$1:$1,0)-MATCH($L$1,[3]enemies!$1:$1,0)+1),MATCH(N$1,[3]enemies!$1:$1,0)-MATCH($L$1,[3]enemies!$1:$1,0)+1,FALSE)</f>
        <v>yellow</v>
      </c>
      <c r="O71" s="17" t="str">
        <f ca="1">VLOOKUP($L71,OFFSET([4]characters!$A$1,0,0,COUNTA([4]characters!$A:$A),MATCH(O$1,[4]characters!$1:$1,0)-MATCH($L$1,[4]characters!$1:$1,0)+1),MATCH(O$1,[4]characters!$1:$1,0)-MATCH($L$1,[4]characters!$1:$1,0)+1,FALSE)</f>
        <v>Drop1T</v>
      </c>
      <c r="P71" s="17" t="str">
        <f ca="1">VLOOKUP($L71,OFFSET([3]enemies!$A$1,0,0,COUNTA([3]enemies!$A:$A),MATCH(P$1,[3]enemies!$1:$1,0)-MATCH($L$1,[3]enemies!$1:$1,0)+1),MATCH(P$1,[3]enemies!$1:$1,0)-MATCH($L$1,[3]enemies!$1:$1,0)+1,FALSE)</f>
        <v>unknown</v>
      </c>
      <c r="Q71" s="17">
        <f ca="1">VLOOKUP($L71,OFFSET([3]enemies!$A$1,0,0,COUNTA([3]enemies!$A:$A),MATCH(Q$1,[3]enemies!$1:$1,0)-MATCH($L$1,[3]enemies!$1:$1,0)+1),MATCH(Q$1,[3]enemies!$1:$1,0)-MATCH($L$1,[3]enemies!$1:$1,0)+1,FALSE)</f>
        <v>15</v>
      </c>
      <c r="R71" s="5">
        <v>50</v>
      </c>
      <c r="S71" s="25">
        <v>1.2</v>
      </c>
      <c r="T71" s="25">
        <v>1.1000000000000001</v>
      </c>
      <c r="U71" s="5">
        <v>0</v>
      </c>
      <c r="V71" s="4" t="e">
        <f ca="1">VLOOKUP($W71,OFFSET([5]enemy_skill_sets!$B$1,0,0,COUNTA([5]enemy_skill_sets!$B:$B),MATCH(M$1,[5]enemy_skill_sets!$1:$1,0)-MATCH($W$1,[5]enemy_skill_sets!$1:$1,0)+2),MATCH(M$1,[5]enemy_skill_sets!$1:$1,0)-MATCH($W$1,[5]enemy_skill_sets!$1:$1,0)+2,FALSE)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71" s="4">
        <v>0</v>
      </c>
      <c r="X71" s="6">
        <v>1</v>
      </c>
      <c r="Y71" s="6">
        <v>100</v>
      </c>
      <c r="Z71" s="6">
        <v>0</v>
      </c>
      <c r="AA71" s="17">
        <f ca="1">VLOOKUP($L71,OFFSET([3]enemies!$A$1,0,0,COUNTA([3]enemies!$A:$A),MATCH(AA$1,[3]enemies!$1:$1,0)-MATCH($L$1,[3]enemies!$1:$1,0)+1),MATCH(AA$1,[3]enemies!$1:$1,0)-MATCH($L$1,[3]enemies!$1:$1,0)+1,FALSE)</f>
        <v>2</v>
      </c>
      <c r="AB71" s="24">
        <f t="shared" si="28"/>
        <v>7</v>
      </c>
      <c r="AC71" s="4" t="str">
        <f ca="1">VLOOKUP($AB71,OFFSET([4]characters!$A$1,0,0,COUNTA([4]characters!$A:$A),MATCH(AC$1,[4]characters!$1:$1,0)-MATCH("character_id",[4]characters!$1:$1,0)+1),MATCH(AC$1,[4]characters!$1:$1,0)-MATCH("character_id",[4]characters!$1:$1,0)+1,FALSE)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71" s="4">
        <f ca="1">VLOOKUP($AB71,OFFSET([4]characters!$A$1,0,0,COUNTA([4]characters!$A:$A),MATCH(AD$1,[4]characters!$1:$1,0)-MATCH("character_id",[4]characters!$1:$1,0)+1),MATCH(AD$1,[4]characters!$1:$1,0)-MATCH("character_id",[4]characters!$1:$1,0)+1,FALSE)</f>
        <v>1</v>
      </c>
      <c r="AE71" s="4" t="str">
        <f ca="1">VLOOKUP($AB71,OFFSET([4]characters!$A$1,0,0,COUNTA([4]characters!$A:$A),MATCH(AE$1,[4]characters!$1:$1,0)-MATCH("character_id",[4]characters!$1:$1,0)+1),MATCH(AE$1,[4]characters!$1:$1,0)-MATCH("character_id",[4]characters!$1:$1,0)+1,FALSE)</f>
        <v>Drop1T</v>
      </c>
      <c r="AF71" s="7">
        <v>1</v>
      </c>
      <c r="AG71" s="24">
        <f t="shared" ca="1" si="29"/>
        <v>1</v>
      </c>
      <c r="AH71" s="8">
        <v>0</v>
      </c>
      <c r="AI71" s="7">
        <v>0</v>
      </c>
      <c r="AJ71" s="7">
        <v>0</v>
      </c>
      <c r="AK71" s="7">
        <v>0</v>
      </c>
      <c r="AL71" s="7">
        <v>0</v>
      </c>
      <c r="AM71" s="7">
        <v>1</v>
      </c>
      <c r="AN71" s="69">
        <v>1</v>
      </c>
    </row>
    <row r="72" spans="1:40" ht="21" customHeight="1">
      <c r="A72" s="16" t="str">
        <f t="shared" si="25"/>
        <v>60004_1-2/54&lt;lv50&gt;s2</v>
      </c>
      <c r="B72" s="22">
        <v>60004</v>
      </c>
      <c r="C72" s="21">
        <v>1</v>
      </c>
      <c r="D72" s="2" t="str">
        <f t="shared" si="26"/>
        <v>60004_1</v>
      </c>
      <c r="E72" s="4" t="str">
        <f ca="1">VLOOKUP($B72,OFFSET([2]quests!$A$1,0,0,COUNTA([2]quests!$A:$A),MATCH(E$1,[2]quests!$1:$1,0)-MATCH($B$1,[2]quests!$1:$1,0)+1),MATCH(E$1,[2]quests!$1:$1,0)-MATCH($B$1,[2]quests!$1:$1,0)+1,FALSE)</f>
        <v>ヘンペルチャレンジ</v>
      </c>
      <c r="F72" s="4" t="str">
        <f ca="1">VLOOKUP($D72,OFFSET([2]stages!$A$1,0,0,COUNTA([2]stages!$A:$A),MATCH(F$1,[2]stages!$2:$2,0)-MATCH($D$1,[2]stages!$2:$2,0)+1),MATCH(F$1,[2]stages!$2:$2,0)-MATCH($D$1,[2]stages!$2:$2,0)+1,FALSE)</f>
        <v>[ウィザード] 第4回　</v>
      </c>
      <c r="G72" s="21">
        <v>2</v>
      </c>
      <c r="H72" s="15" t="str">
        <f t="shared" si="27"/>
        <v>60004_1-2</v>
      </c>
      <c r="I72" s="4">
        <f ca="1">VLOOKUP($H72,OFFSET(floors!$A$1,0,0,COUNTA(floors!$A:$A),MATCH(I$1,floors!$1:$1,0)-MATCH($H$1,floors!$1:$1,0)+1),MATCH(I$1,floors!$1:$1,0)-MATCH($H$1,floors!$1:$1,0)+1,FALSE)</f>
        <v>50</v>
      </c>
      <c r="J72" s="4">
        <f ca="1">VLOOKUP($H72,OFFSET(floors!$A$1,0,0,COUNTA(floors!$A:$A),MATCH(J$1,floors!$1:$1,0)-MATCH($H$1,floors!$1:$1,0)+1),MATCH(J$1,floors!$1:$1,0)-MATCH($H$1,floors!$1:$1,0)+1,FALSE)</f>
        <v>50</v>
      </c>
      <c r="K72" s="38" t="s">
        <v>53</v>
      </c>
      <c r="L72" s="20">
        <v>54</v>
      </c>
      <c r="M72" s="17" t="str">
        <f ca="1">VLOOKUP($L72,OFFSET([3]enemies!$A$1,0,0,COUNTA([3]enemies!$A:$A),MATCH(M$1,[3]enemies!$1:$1,0)-MATCH($L$1,[3]enemies!$1:$1,0)+1),MATCH(M$1,[3]enemies!$1:$1,0)-MATCH($L$1,[3]enemies!$1:$1,0)+1,FALSE)</f>
        <v>蒼斬のレジスタンス ケンジ</v>
      </c>
      <c r="N72" s="17" t="str">
        <f ca="1">VLOOKUP($L72,OFFSET([3]enemies!$A$1,0,0,COUNTA([3]enemies!$A:$A),MATCH(N$1,[3]enemies!$1:$1,0)-MATCH($L$1,[3]enemies!$1:$1,0)+1),MATCH(N$1,[3]enemies!$1:$1,0)-MATCH($L$1,[3]enemies!$1:$1,0)+1,FALSE)</f>
        <v>blue</v>
      </c>
      <c r="O72" s="17" t="str">
        <f ca="1">VLOOKUP($L72,OFFSET([4]characters!$A$1,0,0,COUNTA([4]characters!$A:$A),MATCH(O$1,[4]characters!$1:$1,0)-MATCH($L$1,[4]characters!$1:$1,0)+1),MATCH(O$1,[4]characters!$1:$1,0)-MATCH($L$1,[4]characters!$1:$1,0)+1,FALSE)</f>
        <v>Drop1N</v>
      </c>
      <c r="P72" s="17" t="str">
        <f ca="1">VLOOKUP($L72,OFFSET([3]enemies!$A$1,0,0,COUNTA([3]enemies!$A:$A),MATCH(P$1,[3]enemies!$1:$1,0)-MATCH($L$1,[3]enemies!$1:$1,0)+1),MATCH(P$1,[3]enemies!$1:$1,0)-MATCH($L$1,[3]enemies!$1:$1,0)+1,FALSE)</f>
        <v>human</v>
      </c>
      <c r="Q72" s="17">
        <f ca="1">VLOOKUP($L72,OFFSET([3]enemies!$A$1,0,0,COUNTA([3]enemies!$A:$A),MATCH(Q$1,[3]enemies!$1:$1,0)-MATCH($L$1,[3]enemies!$1:$1,0)+1),MATCH(Q$1,[3]enemies!$1:$1,0)-MATCH($L$1,[3]enemies!$1:$1,0)+1,FALSE)</f>
        <v>20</v>
      </c>
      <c r="R72" s="5">
        <v>50</v>
      </c>
      <c r="S72" s="25">
        <v>1.3</v>
      </c>
      <c r="T72" s="25">
        <v>1.2</v>
      </c>
      <c r="U72" s="5">
        <v>0</v>
      </c>
      <c r="V72" s="4" t="e">
        <f ca="1">VLOOKUP($W72,OFFSET([5]enemy_skill_sets!$B$1,0,0,COUNTA([5]enemy_skill_sets!$B:$B),MATCH(M$1,[5]enemy_skill_sets!$1:$1,0)-MATCH($W$1,[5]enemy_skill_sets!$1:$1,0)+2),MATCH(M$1,[5]enemy_skill_sets!$1:$1,0)-MATCH($W$1,[5]enemy_skill_sets!$1:$1,0)+2,FALSE)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72" s="4">
        <v>60001101</v>
      </c>
      <c r="X72" s="6">
        <v>1</v>
      </c>
      <c r="Y72" s="6">
        <v>100</v>
      </c>
      <c r="Z72" s="6">
        <v>0</v>
      </c>
      <c r="AA72" s="17">
        <v>2</v>
      </c>
      <c r="AB72" s="24">
        <f t="shared" si="28"/>
        <v>54</v>
      </c>
      <c r="AC72" s="4" t="str">
        <f ca="1">VLOOKUP($AB72,OFFSET([4]characters!$A$1,0,0,COUNTA([4]characters!$A:$A),MATCH(AC$1,[4]characters!$1:$1,0)-MATCH("character_id",[4]characters!$1:$1,0)+1),MATCH(AC$1,[4]characters!$1:$1,0)-MATCH("character_id",[4]characters!$1:$1,0)+1,FALSE)</f>
        <v>蒼斬のレジスタンス ケンジ</v>
      </c>
      <c r="AD72" s="4">
        <f ca="1">VLOOKUP($AB72,OFFSET([4]characters!$A$1,0,0,COUNTA([4]characters!$A:$A),MATCH(AD$1,[4]characters!$1:$1,0)-MATCH("character_id",[4]characters!$1:$1,0)+1),MATCH(AD$1,[4]characters!$1:$1,0)-MATCH("character_id",[4]characters!$1:$1,0)+1,FALSE)</f>
        <v>3</v>
      </c>
      <c r="AE72" s="4" t="str">
        <f ca="1">VLOOKUP($AB72,OFFSET([4]characters!$A$1,0,0,COUNTA([4]characters!$A:$A),MATCH(AE$1,[4]characters!$1:$1,0)-MATCH("character_id",[4]characters!$1:$1,0)+1),MATCH(AE$1,[4]characters!$1:$1,0)-MATCH("character_id",[4]characters!$1:$1,0)+1,FALSE)</f>
        <v>Drop1N</v>
      </c>
      <c r="AF72" s="7">
        <v>1</v>
      </c>
      <c r="AG72" s="24">
        <f t="shared" ca="1" si="29"/>
        <v>3</v>
      </c>
      <c r="AH72" s="8">
        <v>0</v>
      </c>
      <c r="AI72" s="7">
        <v>0</v>
      </c>
      <c r="AJ72" s="7">
        <v>0</v>
      </c>
      <c r="AK72" s="7">
        <v>0</v>
      </c>
      <c r="AL72" s="7">
        <v>0</v>
      </c>
      <c r="AM72" s="7">
        <v>1</v>
      </c>
      <c r="AN72" s="69">
        <v>1</v>
      </c>
    </row>
    <row r="73" spans="1:40" ht="21" customHeight="1">
      <c r="A73" s="16" t="str">
        <f t="shared" ca="1" si="25"/>
        <v>60004_1-2/73&lt;lv50&gt;s4</v>
      </c>
      <c r="B73" s="22">
        <v>60004</v>
      </c>
      <c r="C73" s="21">
        <v>1</v>
      </c>
      <c r="D73" s="2" t="str">
        <f t="shared" si="26"/>
        <v>60004_1</v>
      </c>
      <c r="E73" s="4" t="str">
        <f ca="1">VLOOKUP($B73,OFFSET([2]quests!$A$1,0,0,COUNTA([2]quests!$A:$A),MATCH(E$1,[2]quests!$1:$1,0)-MATCH($B$1,[2]quests!$1:$1,0)+1),MATCH(E$1,[2]quests!$1:$1,0)-MATCH($B$1,[2]quests!$1:$1,0)+1,FALSE)</f>
        <v>ヘンペルチャレンジ</v>
      </c>
      <c r="F73" s="4" t="str">
        <f ca="1">VLOOKUP($D73,OFFSET([2]stages!$A$1,0,0,COUNTA([2]stages!$A:$A),MATCH(F$1,[2]stages!$2:$2,0)-MATCH($D$1,[2]stages!$2:$2,0)+1),MATCH(F$1,[2]stages!$2:$2,0)-MATCH($D$1,[2]stages!$2:$2,0)+1,FALSE)</f>
        <v>[ウィザード] 第4回　</v>
      </c>
      <c r="G73" s="21">
        <v>2</v>
      </c>
      <c r="H73" s="15" t="str">
        <f t="shared" si="27"/>
        <v>60004_1-2</v>
      </c>
      <c r="I73" s="4">
        <f ca="1">VLOOKUP($H73,OFFSET(floors!$A$1,0,0,COUNTA(floors!$A:$A),MATCH(I$1,floors!$1:$1,0)-MATCH($H$1,floors!$1:$1,0)+1),MATCH(I$1,floors!$1:$1,0)-MATCH($H$1,floors!$1:$1,0)+1,FALSE)</f>
        <v>50</v>
      </c>
      <c r="J73" s="4">
        <f ca="1">VLOOKUP($H73,OFFSET(floors!$A$1,0,0,COUNTA(floors!$A:$A),MATCH(J$1,floors!$1:$1,0)-MATCH($H$1,floors!$1:$1,0)+1),MATCH(J$1,floors!$1:$1,0)-MATCH($H$1,floors!$1:$1,0)+1,FALSE)</f>
        <v>50</v>
      </c>
      <c r="K73" s="38" t="s">
        <v>53</v>
      </c>
      <c r="L73" s="20">
        <v>73</v>
      </c>
      <c r="M73" s="17" t="str">
        <f ca="1">VLOOKUP($L73,OFFSET([3]enemies!$A$1,0,0,COUNTA([3]enemies!$A:$A),MATCH(M$1,[3]enemies!$1:$1,0)-MATCH($L$1,[3]enemies!$1:$1,0)+1),MATCH(M$1,[3]enemies!$1:$1,0)-MATCH($L$1,[3]enemies!$1:$1,0)+1,FALSE)</f>
        <v>自由の探求者 ダックス</v>
      </c>
      <c r="N73" s="17" t="str">
        <f ca="1">VLOOKUP($L73,OFFSET([3]enemies!$A$1,0,0,COUNTA([3]enemies!$A:$A),MATCH(N$1,[3]enemies!$1:$1,0)-MATCH($L$1,[3]enemies!$1:$1,0)+1),MATCH(N$1,[3]enemies!$1:$1,0)-MATCH($L$1,[3]enemies!$1:$1,0)+1,FALSE)</f>
        <v>blue</v>
      </c>
      <c r="O73" s="17" t="str">
        <f ca="1">VLOOKUP($L73,OFFSET([4]characters!$A$1,0,0,COUNTA([4]characters!$A:$A),MATCH(O$1,[4]characters!$1:$1,0)-MATCH($L$1,[4]characters!$1:$1,0)+1),MATCH(O$1,[4]characters!$1:$1,0)-MATCH($L$1,[4]characters!$1:$1,0)+1,FALSE)</f>
        <v>Drop1S</v>
      </c>
      <c r="P73" s="17" t="str">
        <f ca="1">VLOOKUP($L73,OFFSET([3]enemies!$A$1,0,0,COUNTA([3]enemies!$A:$A),MATCH(P$1,[3]enemies!$1:$1,0)-MATCH($L$1,[3]enemies!$1:$1,0)+1),MATCH(P$1,[3]enemies!$1:$1,0)-MATCH($L$1,[3]enemies!$1:$1,0)+1,FALSE)</f>
        <v>animal</v>
      </c>
      <c r="Q73" s="17">
        <f ca="1">VLOOKUP($L73,OFFSET([3]enemies!$A$1,0,0,COUNTA([3]enemies!$A:$A),MATCH(Q$1,[3]enemies!$1:$1,0)-MATCH($L$1,[3]enemies!$1:$1,0)+1),MATCH(Q$1,[3]enemies!$1:$1,0)-MATCH($L$1,[3]enemies!$1:$1,0)+1,FALSE)</f>
        <v>30</v>
      </c>
      <c r="R73" s="5">
        <v>50</v>
      </c>
      <c r="S73" s="25">
        <v>1.3</v>
      </c>
      <c r="T73" s="25">
        <v>1</v>
      </c>
      <c r="U73" s="5">
        <v>0</v>
      </c>
      <c r="V73" s="4" t="e">
        <f ca="1">VLOOKUP($W73,OFFSET([5]enemy_skill_sets!$B$1,0,0,COUNTA([5]enemy_skill_sets!$B:$B),MATCH(M$1,[5]enemy_skill_sets!$1:$1,0)-MATCH($W$1,[5]enemy_skill_sets!$1:$1,0)+2),MATCH(M$1,[5]enemy_skill_sets!$1:$1,0)-MATCH($W$1,[5]enemy_skill_sets!$1:$1,0)+2,FALSE)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73" s="4">
        <v>60001102</v>
      </c>
      <c r="X73" s="6">
        <v>1</v>
      </c>
      <c r="Y73" s="6">
        <v>100</v>
      </c>
      <c r="Z73" s="6">
        <v>0</v>
      </c>
      <c r="AA73" s="17">
        <f ca="1">VLOOKUP($L73,OFFSET([3]enemies!$A$1,0,0,COUNTA([3]enemies!$A:$A),MATCH(AA$1,[3]enemies!$1:$1,0)-MATCH($L$1,[3]enemies!$1:$1,0)+1),MATCH(AA$1,[3]enemies!$1:$1,0)-MATCH($L$1,[3]enemies!$1:$1,0)+1,FALSE)</f>
        <v>4</v>
      </c>
      <c r="AB73" s="24">
        <f t="shared" si="28"/>
        <v>73</v>
      </c>
      <c r="AC73" s="4" t="str">
        <f ca="1">VLOOKUP($AB73,OFFSET([4]characters!$A$1,0,0,COUNTA([4]characters!$A:$A),MATCH(AC$1,[4]characters!$1:$1,0)-MATCH("character_id",[4]characters!$1:$1,0)+1),MATCH(AC$1,[4]characters!$1:$1,0)-MATCH("character_id",[4]characters!$1:$1,0)+1,FALSE)</f>
        <v>自由の探求者 ダックス</v>
      </c>
      <c r="AD73" s="4">
        <f ca="1">VLOOKUP($AB73,OFFSET([4]characters!$A$1,0,0,COUNTA([4]characters!$A:$A),MATCH(AD$1,[4]characters!$1:$1,0)-MATCH("character_id",[4]characters!$1:$1,0)+1),MATCH(AD$1,[4]characters!$1:$1,0)-MATCH("character_id",[4]characters!$1:$1,0)+1,FALSE)</f>
        <v>4</v>
      </c>
      <c r="AE73" s="4" t="str">
        <f ca="1">VLOOKUP($AB73,OFFSET([4]characters!$A$1,0,0,COUNTA([4]characters!$A:$A),MATCH(AE$1,[4]characters!$1:$1,0)-MATCH("character_id",[4]characters!$1:$1,0)+1),MATCH(AE$1,[4]characters!$1:$1,0)-MATCH("character_id",[4]characters!$1:$1,0)+1,FALSE)</f>
        <v>Drop1S</v>
      </c>
      <c r="AF73" s="7">
        <v>1</v>
      </c>
      <c r="AG73" s="24">
        <f t="shared" ca="1" si="29"/>
        <v>4</v>
      </c>
      <c r="AH73" s="8">
        <v>0</v>
      </c>
      <c r="AI73" s="7">
        <v>0</v>
      </c>
      <c r="AJ73" s="7">
        <v>0</v>
      </c>
      <c r="AK73" s="7">
        <v>0</v>
      </c>
      <c r="AL73" s="7">
        <v>0</v>
      </c>
      <c r="AM73" s="7">
        <v>1</v>
      </c>
      <c r="AN73" s="69">
        <v>1</v>
      </c>
    </row>
    <row r="74" spans="1:40" ht="21" customHeight="1">
      <c r="A74" s="16" t="str">
        <f t="shared" ca="1" si="25"/>
        <v>60004_1-3/122&lt;lv1&gt;s3</v>
      </c>
      <c r="B74" s="22">
        <v>60004</v>
      </c>
      <c r="C74" s="21">
        <v>1</v>
      </c>
      <c r="D74" s="2" t="str">
        <f>B74&amp;"_"&amp;C74</f>
        <v>60004_1</v>
      </c>
      <c r="E74" s="4" t="str">
        <f ca="1">VLOOKUP($B74,OFFSET([2]quests!$A$1,0,0,COUNTA([2]quests!$A:$A),MATCH(E$1,[2]quests!$1:$1,0)-MATCH($B$1,[2]quests!$1:$1,0)+1),MATCH(E$1,[2]quests!$1:$1,0)-MATCH($B$1,[2]quests!$1:$1,0)+1,FALSE)</f>
        <v>ヘンペルチャレンジ</v>
      </c>
      <c r="F74" s="4" t="str">
        <f ca="1">VLOOKUP($D74,OFFSET([2]stages!$A$1,0,0,COUNTA([2]stages!$A:$A),MATCH(F$1,[2]stages!$2:$2,0)-MATCH($D$1,[2]stages!$2:$2,0)+1),MATCH(F$1,[2]stages!$2:$2,0)-MATCH($D$1,[2]stages!$2:$2,0)+1,FALSE)</f>
        <v>[ウィザード] 第4回　</v>
      </c>
      <c r="G74" s="21">
        <v>3</v>
      </c>
      <c r="H74" s="15" t="str">
        <f>B74&amp;"_"&amp;C74&amp;"-"&amp;G74</f>
        <v>60004_1-3</v>
      </c>
      <c r="I74" s="4">
        <f ca="1">VLOOKUP($H74,OFFSET(floors!$A$1,0,0,COUNTA(floors!$A:$A),MATCH(I$1,floors!$1:$1,0)-MATCH($H$1,floors!$1:$1,0)+1),MATCH(I$1,floors!$1:$1,0)-MATCH($H$1,floors!$1:$1,0)+1,FALSE)</f>
        <v>60</v>
      </c>
      <c r="J74" s="4">
        <f ca="1">VLOOKUP($H74,OFFSET(floors!$A$1,0,0,COUNTA(floors!$A:$A),MATCH(J$1,floors!$1:$1,0)-MATCH($H$1,floors!$1:$1,0)+1),MATCH(J$1,floors!$1:$1,0)-MATCH($H$1,floors!$1:$1,0)+1,FALSE)</f>
        <v>60</v>
      </c>
      <c r="K74" s="38" t="s">
        <v>53</v>
      </c>
      <c r="L74" s="20">
        <v>122</v>
      </c>
      <c r="M74" s="17" t="str">
        <f ca="1">VLOOKUP($L74,OFFSET([3]enemies!$A$1,0,0,COUNTA([3]enemies!$A:$A),MATCH(M$1,[3]enemies!$1:$1,0)-MATCH($L$1,[3]enemies!$1:$1,0)+1),MATCH(M$1,[3]enemies!$1:$1,0)-MATCH($L$1,[3]enemies!$1:$1,0)+1,FALSE)</f>
        <v>生命の果実</v>
      </c>
      <c r="N74" s="17" t="str">
        <f ca="1">VLOOKUP($L74,OFFSET([3]enemies!$A$1,0,0,COUNTA([3]enemies!$A:$A),MATCH(N$1,[3]enemies!$1:$1,0)-MATCH($L$1,[3]enemies!$1:$1,0)+1),MATCH(N$1,[3]enemies!$1:$1,0)-MATCH($L$1,[3]enemies!$1:$1,0)+1,FALSE)</f>
        <v>green</v>
      </c>
      <c r="O74" s="17" t="str">
        <f ca="1">VLOOKUP($L74,OFFSET([4]characters!$A$1,0,0,COUNTA([4]characters!$A:$A),MATCH(O$1,[4]characters!$1:$1,0)-MATCH($L$1,[4]characters!$1:$1,0)+1),MATCH(O$1,[4]characters!$1:$1,0)-MATCH($L$1,[4]characters!$1:$1,0)+1,FALSE)</f>
        <v>Material</v>
      </c>
      <c r="P74" s="17" t="str">
        <f ca="1">VLOOKUP($L74,OFFSET([3]enemies!$A$1,0,0,COUNTA([3]enemies!$A:$A),MATCH(P$1,[3]enemies!$1:$1,0)-MATCH($L$1,[3]enemies!$1:$1,0)+1),MATCH(P$1,[3]enemies!$1:$1,0)-MATCH($L$1,[3]enemies!$1:$1,0)+1,FALSE)</f>
        <v>unknown</v>
      </c>
      <c r="Q74" s="17">
        <f ca="1">VLOOKUP($L74,OFFSET([3]enemies!$A$1,0,0,COUNTA([3]enemies!$A:$A),MATCH(Q$1,[3]enemies!$1:$1,0)-MATCH($L$1,[3]enemies!$1:$1,0)+1),MATCH(Q$1,[3]enemies!$1:$1,0)-MATCH($L$1,[3]enemies!$1:$1,0)+1,FALSE)</f>
        <v>20</v>
      </c>
      <c r="R74" s="5">
        <v>1</v>
      </c>
      <c r="S74" s="25">
        <v>0.1</v>
      </c>
      <c r="T74" s="25">
        <v>1</v>
      </c>
      <c r="U74" s="5">
        <v>1000000</v>
      </c>
      <c r="V74" s="4" t="e">
        <f ca="1">VLOOKUP($W74,OFFSET([5]enemy_skill_sets!$B$1,0,0,COUNTA([5]enemy_skill_sets!$B:$B),MATCH(M$1,[5]enemy_skill_sets!$1:$1,0)-MATCH($W$1,[5]enemy_skill_sets!$1:$1,0)+2),MATCH(M$1,[5]enemy_skill_sets!$1:$1,0)-MATCH($W$1,[5]enemy_skill_sets!$1:$1,0)+2,FALSE)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74" s="4">
        <v>60001103</v>
      </c>
      <c r="X74" s="6">
        <v>1</v>
      </c>
      <c r="Y74" s="6">
        <v>100</v>
      </c>
      <c r="Z74" s="6">
        <v>0</v>
      </c>
      <c r="AA74" s="17">
        <f ca="1">VLOOKUP($L74,OFFSET([3]enemies!$A$1,0,0,COUNTA([3]enemies!$A:$A),MATCH(AA$1,[3]enemies!$1:$1,0)-MATCH($L$1,[3]enemies!$1:$1,0)+1),MATCH(AA$1,[3]enemies!$1:$1,0)-MATCH($L$1,[3]enemies!$1:$1,0)+1,FALSE)</f>
        <v>3</v>
      </c>
      <c r="AB74" s="24">
        <f>L74</f>
        <v>122</v>
      </c>
      <c r="AC74" s="4" t="str">
        <f ca="1">VLOOKUP($AB74,OFFSET([4]characters!$A$1,0,0,COUNTA([4]characters!$A:$A),MATCH(AC$1,[4]characters!$1:$1,0)-MATCH("character_id",[4]characters!$1:$1,0)+1),MATCH(AC$1,[4]characters!$1:$1,0)-MATCH("character_id",[4]characters!$1:$1,0)+1,FALSE)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74" s="4">
        <f ca="1">VLOOKUP($AB74,OFFSET([4]characters!$A$1,0,0,COUNTA([4]characters!$A:$A),MATCH(AD$1,[4]characters!$1:$1,0)-MATCH("character_id",[4]characters!$1:$1,0)+1),MATCH(AD$1,[4]characters!$1:$1,0)-MATCH("character_id",[4]characters!$1:$1,0)+1,FALSE)</f>
        <v>3</v>
      </c>
      <c r="AE74" s="4" t="str">
        <f ca="1">VLOOKUP($AB74,OFFSET([4]characters!$A$1,0,0,COUNTA([4]characters!$A:$A),MATCH(AE$1,[4]characters!$1:$1,0)-MATCH("character_id",[4]characters!$1:$1,0)+1),MATCH(AE$1,[4]characters!$1:$1,0)-MATCH("character_id",[4]characters!$1:$1,0)+1,FALSE)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4" s="7">
        <v>1</v>
      </c>
      <c r="AG74" s="24">
        <f ca="1">AD74</f>
        <v>3</v>
      </c>
      <c r="AH74" s="8">
        <v>0</v>
      </c>
      <c r="AI74" s="7">
        <v>0</v>
      </c>
      <c r="AJ74" s="7">
        <v>0</v>
      </c>
      <c r="AK74" s="7">
        <v>0</v>
      </c>
      <c r="AL74" s="7">
        <v>0</v>
      </c>
      <c r="AM74" s="7">
        <v>1</v>
      </c>
      <c r="AN74" s="69">
        <v>1</v>
      </c>
    </row>
    <row r="75" spans="1:40" ht="21" customHeight="1">
      <c r="A75" s="16" t="str">
        <f t="shared" si="25"/>
        <v>60004_1-4/581&lt;lv60&gt;s3</v>
      </c>
      <c r="B75" s="22">
        <v>60004</v>
      </c>
      <c r="C75" s="21">
        <v>1</v>
      </c>
      <c r="D75" s="2" t="str">
        <f>B75&amp;"_"&amp;C75</f>
        <v>60004_1</v>
      </c>
      <c r="E75" s="4" t="str">
        <f ca="1">VLOOKUP($B75,OFFSET([2]quests!$A$1,0,0,COUNTA([2]quests!$A:$A),MATCH(E$1,[2]quests!$1:$1,0)-MATCH($B$1,[2]quests!$1:$1,0)+1),MATCH(E$1,[2]quests!$1:$1,0)-MATCH($B$1,[2]quests!$1:$1,0)+1,FALSE)</f>
        <v>ヘンペルチャレンジ</v>
      </c>
      <c r="F75" s="4" t="str">
        <f ca="1">VLOOKUP($D75,OFFSET([2]stages!$A$1,0,0,COUNTA([2]stages!$A:$A),MATCH(F$1,[2]stages!$2:$2,0)-MATCH($D$1,[2]stages!$2:$2,0)+1),MATCH(F$1,[2]stages!$2:$2,0)-MATCH($D$1,[2]stages!$2:$2,0)+1,FALSE)</f>
        <v>[ウィザード] 第4回　</v>
      </c>
      <c r="G75" s="21">
        <v>4</v>
      </c>
      <c r="H75" s="15" t="str">
        <f>B75&amp;"_"&amp;C75&amp;"-"&amp;G75</f>
        <v>60004_1-4</v>
      </c>
      <c r="I75" s="4">
        <f ca="1">VLOOKUP($H75,OFFSET(floors!$A$1,0,0,COUNTA(floors!$A:$A),MATCH(I$1,floors!$1:$1,0)-MATCH($H$1,floors!$1:$1,0)+1),MATCH(I$1,floors!$1:$1,0)-MATCH($H$1,floors!$1:$1,0)+1,FALSE)</f>
        <v>60</v>
      </c>
      <c r="J75" s="4">
        <f ca="1">VLOOKUP($H75,OFFSET(floors!$A$1,0,0,COUNTA(floors!$A:$A),MATCH(J$1,floors!$1:$1,0)-MATCH($H$1,floors!$1:$1,0)+1),MATCH(J$1,floors!$1:$1,0)-MATCH($H$1,floors!$1:$1,0)+1,FALSE)</f>
        <v>60</v>
      </c>
      <c r="K75" s="38">
        <v>1</v>
      </c>
      <c r="L75" s="20">
        <v>581</v>
      </c>
      <c r="M75" s="17" t="str">
        <f ca="1">VLOOKUP($L75,OFFSET([3]enemies!$A$1,0,0,COUNTA([3]enemies!$A:$A),MATCH(M$1,[3]enemies!$1:$1,0)-MATCH($L$1,[3]enemies!$1:$1,0)+1),MATCH(M$1,[3]enemies!$1:$1,0)-MATCH($L$1,[3]enemies!$1:$1,0)+1,FALSE)</f>
        <v>フギンとムニン</v>
      </c>
      <c r="N75" s="17" t="str">
        <f ca="1">VLOOKUP($L75,OFFSET([3]enemies!$A$1,0,0,COUNTA([3]enemies!$A:$A),MATCH(N$1,[3]enemies!$1:$1,0)-MATCH($L$1,[3]enemies!$1:$1,0)+1),MATCH(N$1,[3]enemies!$1:$1,0)-MATCH($L$1,[3]enemies!$1:$1,0)+1,FALSE)</f>
        <v>blue</v>
      </c>
      <c r="O75" s="17" t="str">
        <f ca="1">VLOOKUP($L75,OFFSET([4]characters!$A$1,0,0,COUNTA([4]characters!$A:$A),MATCH(O$1,[4]characters!$1:$1,0)-MATCH($L$1,[4]characters!$1:$1,0)+1),MATCH(O$1,[4]characters!$1:$1,0)-MATCH($L$1,[4]characters!$1:$1,0)+1,FALSE)</f>
        <v>DropWizS</v>
      </c>
      <c r="P75" s="17" t="str">
        <f ca="1">VLOOKUP($L75,OFFSET([3]enemies!$A$1,0,0,COUNTA([3]enemies!$A:$A),MATCH(P$1,[3]enemies!$1:$1,0)-MATCH($L$1,[3]enemies!$1:$1,0)+1),MATCH(P$1,[3]enemies!$1:$1,0)-MATCH($L$1,[3]enemies!$1:$1,0)+1,FALSE)</f>
        <v>machine</v>
      </c>
      <c r="Q75" s="17">
        <f ca="1">VLOOKUP($L75,OFFSET([3]enemies!$A$1,0,0,COUNTA([3]enemies!$A:$A),MATCH(Q$1,[3]enemies!$1:$1,0)-MATCH($L$1,[3]enemies!$1:$1,0)+1),MATCH(Q$1,[3]enemies!$1:$1,0)-MATCH($L$1,[3]enemies!$1:$1,0)+1,FALSE)</f>
        <v>30</v>
      </c>
      <c r="R75" s="5">
        <v>60</v>
      </c>
      <c r="S75" s="25">
        <v>1.4</v>
      </c>
      <c r="T75" s="25">
        <v>1</v>
      </c>
      <c r="U75" s="5">
        <v>0</v>
      </c>
      <c r="V75" s="4" t="e">
        <f ca="1">VLOOKUP($W75,OFFSET([5]enemy_skill_sets!$B$1,0,0,COUNTA([5]enemy_skill_sets!$B:$B),MATCH(M$1,[5]enemy_skill_sets!$1:$1,0)-MATCH($W$1,[5]enemy_skill_sets!$1:$1,0)+2),MATCH(M$1,[5]enemy_skill_sets!$1:$1,0)-MATCH($W$1,[5]enemy_skill_sets!$1:$1,0)+2,FALSE)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75" s="4">
        <v>60001104</v>
      </c>
      <c r="X75" s="6">
        <v>1</v>
      </c>
      <c r="Y75" s="6">
        <v>100</v>
      </c>
      <c r="Z75" s="6">
        <v>1</v>
      </c>
      <c r="AA75" s="17">
        <v>3</v>
      </c>
      <c r="AB75" s="24">
        <f>L75</f>
        <v>581</v>
      </c>
      <c r="AC75" s="4" t="str">
        <f ca="1">VLOOKUP($AB75,OFFSET([4]characters!$A$1,0,0,COUNTA([4]characters!$A:$A),MATCH(AC$1,[4]characters!$1:$1,0)-MATCH("character_id",[4]characters!$1:$1,0)+1),MATCH(AC$1,[4]characters!$1:$1,0)-MATCH("character_id",[4]characters!$1:$1,0)+1,FALSE)</f>
        <v>フギンとムニン</v>
      </c>
      <c r="AD75" s="4">
        <f ca="1">VLOOKUP($AB75,OFFSET([4]characters!$A$1,0,0,COUNTA([4]characters!$A:$A),MATCH(AD$1,[4]characters!$1:$1,0)-MATCH("character_id",[4]characters!$1:$1,0)+1),MATCH(AD$1,[4]characters!$1:$1,0)-MATCH("character_id",[4]characters!$1:$1,0)+1,FALSE)</f>
        <v>4</v>
      </c>
      <c r="AE75" s="4" t="str">
        <f ca="1">VLOOKUP($AB75,OFFSET([4]characters!$A$1,0,0,COUNTA([4]characters!$A:$A),MATCH(AE$1,[4]characters!$1:$1,0)-MATCH("character_id",[4]characters!$1:$1,0)+1),MATCH(AE$1,[4]characters!$1:$1,0)-MATCH("character_id",[4]characters!$1:$1,0)+1,FALSE)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75" s="7">
        <v>1</v>
      </c>
      <c r="AG75" s="24">
        <f ca="1">AD75</f>
        <v>4</v>
      </c>
      <c r="AH75" s="8">
        <v>0</v>
      </c>
      <c r="AI75" s="7">
        <v>0</v>
      </c>
      <c r="AJ75" s="7">
        <v>0</v>
      </c>
      <c r="AK75" s="7">
        <v>0</v>
      </c>
      <c r="AL75" s="7">
        <v>0</v>
      </c>
      <c r="AM75" s="7">
        <v>1</v>
      </c>
      <c r="AN75" s="69">
        <v>1</v>
      </c>
    </row>
    <row r="76" spans="1:40" ht="21" customHeight="1">
      <c r="A76" s="16" t="str">
        <f t="shared" ca="1" si="25"/>
        <v>60004_1-5/403&lt;lv60&gt;s3</v>
      </c>
      <c r="B76" s="22">
        <v>60004</v>
      </c>
      <c r="C76" s="21">
        <v>1</v>
      </c>
      <c r="D76" s="2" t="str">
        <f>B76&amp;"_"&amp;C76</f>
        <v>60004_1</v>
      </c>
      <c r="E76" s="4" t="str">
        <f ca="1">VLOOKUP($B76,OFFSET([2]quests!$A$1,0,0,COUNTA([2]quests!$A:$A),MATCH(E$1,[2]quests!$1:$1,0)-MATCH($B$1,[2]quests!$1:$1,0)+1),MATCH(E$1,[2]quests!$1:$1,0)-MATCH($B$1,[2]quests!$1:$1,0)+1,FALSE)</f>
        <v>ヘンペルチャレンジ</v>
      </c>
      <c r="F76" s="4" t="str">
        <f ca="1">VLOOKUP($D76,OFFSET([2]stages!$A$1,0,0,COUNTA([2]stages!$A:$A),MATCH(F$1,[2]stages!$2:$2,0)-MATCH($D$1,[2]stages!$2:$2,0)+1),MATCH(F$1,[2]stages!$2:$2,0)-MATCH($D$1,[2]stages!$2:$2,0)+1,FALSE)</f>
        <v>[ウィザード] 第4回　</v>
      </c>
      <c r="G76" s="21">
        <v>5</v>
      </c>
      <c r="H76" s="15" t="str">
        <f>B76&amp;"_"&amp;C76&amp;"-"&amp;G76</f>
        <v>60004_1-5</v>
      </c>
      <c r="I76" s="4">
        <f ca="1">VLOOKUP($H76,OFFSET(floors!$A$1,0,0,COUNTA(floors!$A:$A),MATCH(I$1,floors!$1:$1,0)-MATCH($H$1,floors!$1:$1,0)+1),MATCH(I$1,floors!$1:$1,0)-MATCH($H$1,floors!$1:$1,0)+1,FALSE)</f>
        <v>60</v>
      </c>
      <c r="J76" s="4">
        <f ca="1">VLOOKUP($H76,OFFSET(floors!$A$1,0,0,COUNTA(floors!$A:$A),MATCH(J$1,floors!$1:$1,0)-MATCH($H$1,floors!$1:$1,0)+1),MATCH(J$1,floors!$1:$1,0)-MATCH($H$1,floors!$1:$1,0)+1,FALSE)</f>
        <v>60</v>
      </c>
      <c r="K76" s="38" t="s">
        <v>53</v>
      </c>
      <c r="L76" s="20">
        <v>403</v>
      </c>
      <c r="M76" s="17" t="str">
        <f ca="1">VLOOKUP($L76,OFFSET([3]enemies!$A$1,0,0,COUNTA([3]enemies!$A:$A),MATCH(M$1,[3]enemies!$1:$1,0)-MATCH($L$1,[3]enemies!$1:$1,0)+1),MATCH(M$1,[3]enemies!$1:$1,0)-MATCH($L$1,[3]enemies!$1:$1,0)+1,FALSE)</f>
        <v>静撃の翠眼 八咫烏</v>
      </c>
      <c r="N76" s="17" t="str">
        <f ca="1">VLOOKUP($L76,OFFSET([3]enemies!$A$1,0,0,COUNTA([3]enemies!$A:$A),MATCH(N$1,[3]enemies!$1:$1,0)-MATCH($L$1,[3]enemies!$1:$1,0)+1),MATCH(N$1,[3]enemies!$1:$1,0)-MATCH($L$1,[3]enemies!$1:$1,0)+1,FALSE)</f>
        <v>green</v>
      </c>
      <c r="O76" s="17" t="str">
        <f ca="1">VLOOKUP($L76,OFFSET([4]characters!$A$1,0,0,COUNTA([4]characters!$A:$A),MATCH(O$1,[4]characters!$1:$1,0)-MATCH($L$1,[4]characters!$1:$1,0)+1),MATCH(O$1,[4]characters!$1:$1,0)-MATCH($L$1,[4]characters!$1:$1,0)+1,FALSE)</f>
        <v>PremiumSS</v>
      </c>
      <c r="P76" s="17" t="str">
        <f ca="1">VLOOKUP($L76,OFFSET([3]enemies!$A$1,0,0,COUNTA([3]enemies!$A:$A),MATCH(P$1,[3]enemies!$1:$1,0)-MATCH($L$1,[3]enemies!$1:$1,0)+1),MATCH(P$1,[3]enemies!$1:$1,0)-MATCH($L$1,[3]enemies!$1:$1,0)+1,FALSE)</f>
        <v>animal</v>
      </c>
      <c r="Q76" s="17">
        <f ca="1">VLOOKUP($L76,OFFSET([3]enemies!$A$1,0,0,COUNTA([3]enemies!$A:$A),MATCH(Q$1,[3]enemies!$1:$1,0)-MATCH($L$1,[3]enemies!$1:$1,0)+1),MATCH(Q$1,[3]enemies!$1:$1,0)-MATCH($L$1,[3]enemies!$1:$1,0)+1,FALSE)</f>
        <v>30</v>
      </c>
      <c r="R76" s="5">
        <v>60</v>
      </c>
      <c r="S76" s="25">
        <v>1</v>
      </c>
      <c r="T76" s="25">
        <v>1</v>
      </c>
      <c r="U76" s="5">
        <v>0</v>
      </c>
      <c r="V76" s="4" t="e">
        <f ca="1">VLOOKUP($W76,OFFSET([5]enemy_skill_sets!$B$1,0,0,COUNTA([5]enemy_skill_sets!$B:$B),MATCH(M$1,[5]enemy_skill_sets!$1:$1,0)-MATCH($W$1,[5]enemy_skill_sets!$1:$1,0)+2),MATCH(M$1,[5]enemy_skill_sets!$1:$1,0)-MATCH($W$1,[5]enemy_skill_sets!$1:$1,0)+2,FALSE)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76" s="4">
        <v>60001106</v>
      </c>
      <c r="X76" s="6">
        <v>1</v>
      </c>
      <c r="Y76" s="6">
        <v>100</v>
      </c>
      <c r="Z76" s="6">
        <v>0</v>
      </c>
      <c r="AA76" s="17">
        <f ca="1">VLOOKUP($L76,OFFSET([3]enemies!$A$1,0,0,COUNTA([3]enemies!$A:$A),MATCH(AA$1,[3]enemies!$1:$1,0)-MATCH($L$1,[3]enemies!$1:$1,0)+1),MATCH(AA$1,[3]enemies!$1:$1,0)-MATCH($L$1,[3]enemies!$1:$1,0)+1,FALSE)</f>
        <v>3</v>
      </c>
      <c r="AB76" s="24">
        <f>L76</f>
        <v>403</v>
      </c>
      <c r="AC76" s="4" t="str">
        <f ca="1">VLOOKUP($AB76,OFFSET([4]characters!$A$1,0,0,COUNTA([4]characters!$A:$A),MATCH(AC$1,[4]characters!$1:$1,0)-MATCH("character_id",[4]characters!$1:$1,0)+1),MATCH(AC$1,[4]characters!$1:$1,0)-MATCH("character_id",[4]characters!$1:$1,0)+1,FALSE)</f>
        <v>静撃の翠眼 八咫烏</v>
      </c>
      <c r="AD76" s="4">
        <f ca="1">VLOOKUP($AB76,OFFSET([4]characters!$A$1,0,0,COUNTA([4]characters!$A:$A),MATCH(AD$1,[4]characters!$1:$1,0)-MATCH("character_id",[4]characters!$1:$1,0)+1),MATCH(AD$1,[4]characters!$1:$1,0)-MATCH("character_id",[4]characters!$1:$1,0)+1,FALSE)</f>
        <v>4</v>
      </c>
      <c r="AE76" s="4" t="str">
        <f ca="1">VLOOKUP($AB76,OFFSET([4]characters!$A$1,0,0,COUNTA([4]characters!$A:$A),MATCH(AE$1,[4]characters!$1:$1,0)-MATCH("character_id",[4]characters!$1:$1,0)+1),MATCH(AE$1,[4]characters!$1:$1,0)-MATCH("character_id",[4]characters!$1:$1,0)+1,FALSE)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76" s="7">
        <v>1</v>
      </c>
      <c r="AG76" s="24">
        <f ca="1">AD76</f>
        <v>4</v>
      </c>
      <c r="AH76" s="8">
        <v>0</v>
      </c>
      <c r="AI76" s="7">
        <v>0</v>
      </c>
      <c r="AJ76" s="7">
        <v>0</v>
      </c>
      <c r="AK76" s="7">
        <v>0</v>
      </c>
      <c r="AL76" s="7">
        <v>0</v>
      </c>
      <c r="AM76" s="7">
        <v>1</v>
      </c>
      <c r="AN76" s="69">
        <v>1</v>
      </c>
    </row>
    <row r="77" spans="1:40" ht="21" customHeight="1">
      <c r="A77" s="16" t="str">
        <f t="shared" ca="1" si="25"/>
        <v>60004_1-5/660&lt;lv60&gt;s2</v>
      </c>
      <c r="B77" s="22">
        <v>60004</v>
      </c>
      <c r="C77" s="21">
        <v>1</v>
      </c>
      <c r="D77" s="2" t="str">
        <f>B77&amp;"_"&amp;C77</f>
        <v>60004_1</v>
      </c>
      <c r="E77" s="4" t="str">
        <f ca="1">VLOOKUP($B77,OFFSET([2]quests!$A$1,0,0,COUNTA([2]quests!$A:$A),MATCH(E$1,[2]quests!$1:$1,0)-MATCH($B$1,[2]quests!$1:$1,0)+1),MATCH(E$1,[2]quests!$1:$1,0)-MATCH($B$1,[2]quests!$1:$1,0)+1,FALSE)</f>
        <v>ヘンペルチャレンジ</v>
      </c>
      <c r="F77" s="4" t="str">
        <f ca="1">VLOOKUP($D77,OFFSET([2]stages!$A$1,0,0,COUNTA([2]stages!$A:$A),MATCH(F$1,[2]stages!$2:$2,0)-MATCH($D$1,[2]stages!$2:$2,0)+1),MATCH(F$1,[2]stages!$2:$2,0)-MATCH($D$1,[2]stages!$2:$2,0)+1,FALSE)</f>
        <v>[ウィザード] 第4回　</v>
      </c>
      <c r="G77" s="21">
        <v>5</v>
      </c>
      <c r="H77" s="15" t="str">
        <f>B77&amp;"_"&amp;C77&amp;"-"&amp;G77</f>
        <v>60004_1-5</v>
      </c>
      <c r="I77" s="4">
        <f ca="1">VLOOKUP($H77,OFFSET(floors!$A$1,0,0,COUNTA(floors!$A:$A),MATCH(I$1,floors!$1:$1,0)-MATCH($H$1,floors!$1:$1,0)+1),MATCH(I$1,floors!$1:$1,0)-MATCH($H$1,floors!$1:$1,0)+1,FALSE)</f>
        <v>60</v>
      </c>
      <c r="J77" s="4">
        <f ca="1">VLOOKUP($H77,OFFSET(floors!$A$1,0,0,COUNTA(floors!$A:$A),MATCH(J$1,floors!$1:$1,0)-MATCH($H$1,floors!$1:$1,0)+1),MATCH(J$1,floors!$1:$1,0)-MATCH($H$1,floors!$1:$1,0)+1,FALSE)</f>
        <v>60</v>
      </c>
      <c r="K77" s="38" t="s">
        <v>53</v>
      </c>
      <c r="L77" s="20">
        <v>660</v>
      </c>
      <c r="M77" s="17" t="str">
        <f ca="1">VLOOKUP($L77,OFFSET([3]enemies!$A$1,0,0,COUNTA([3]enemies!$A:$A),MATCH(M$1,[3]enemies!$1:$1,0)-MATCH($L$1,[3]enemies!$1:$1,0)+1),MATCH(M$1,[3]enemies!$1:$1,0)-MATCH($L$1,[3]enemies!$1:$1,0)+1,FALSE)</f>
        <v>烏天狗 フウガ</v>
      </c>
      <c r="N77" s="17" t="str">
        <f ca="1">VLOOKUP($L77,OFFSET([3]enemies!$A$1,0,0,COUNTA([3]enemies!$A:$A),MATCH(N$1,[3]enemies!$1:$1,0)-MATCH($L$1,[3]enemies!$1:$1,0)+1),MATCH(N$1,[3]enemies!$1:$1,0)-MATCH($L$1,[3]enemies!$1:$1,0)+1,FALSE)</f>
        <v>green</v>
      </c>
      <c r="O77" s="17" t="str">
        <f ca="1">VLOOKUP($L77,OFFSET([4]characters!$A$1,0,0,COUNTA([4]characters!$A:$A),MATCH(O$1,[4]characters!$1:$1,0)-MATCH($L$1,[4]characters!$1:$1,0)+1),MATCH(O$1,[4]characters!$1:$1,0)-MATCH($L$1,[4]characters!$1:$1,0)+1,FALSE)</f>
        <v>PremiumSS</v>
      </c>
      <c r="P77" s="17" t="str">
        <f ca="1">VLOOKUP($L77,OFFSET([3]enemies!$A$1,0,0,COUNTA([3]enemies!$A:$A),MATCH(P$1,[3]enemies!$1:$1,0)-MATCH($L$1,[3]enemies!$1:$1,0)+1),MATCH(P$1,[3]enemies!$1:$1,0)-MATCH($L$1,[3]enemies!$1:$1,0)+1,FALSE)</f>
        <v>animal</v>
      </c>
      <c r="Q77" s="17">
        <f ca="1">VLOOKUP($L77,OFFSET([3]enemies!$A$1,0,0,COUNTA([3]enemies!$A:$A),MATCH(Q$1,[3]enemies!$1:$1,0)-MATCH($L$1,[3]enemies!$1:$1,0)+1),MATCH(Q$1,[3]enemies!$1:$1,0)-MATCH($L$1,[3]enemies!$1:$1,0)+1,FALSE)</f>
        <v>30</v>
      </c>
      <c r="R77" s="5">
        <v>60</v>
      </c>
      <c r="S77" s="25">
        <v>0.8</v>
      </c>
      <c r="T77" s="25">
        <v>1</v>
      </c>
      <c r="U77" s="5">
        <v>0</v>
      </c>
      <c r="V77" s="4" t="e">
        <f ca="1">VLOOKUP($W77,OFFSET([5]enemy_skill_sets!$B$1,0,0,COUNTA([5]enemy_skill_sets!$B:$B),MATCH(M$1,[5]enemy_skill_sets!$1:$1,0)-MATCH($W$1,[5]enemy_skill_sets!$1:$1,0)+2),MATCH(M$1,[5]enemy_skill_sets!$1:$1,0)-MATCH($W$1,[5]enemy_skill_sets!$1:$1,0)+2,FALSE)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77" s="4">
        <v>60001107</v>
      </c>
      <c r="X77" s="6">
        <v>1</v>
      </c>
      <c r="Y77" s="6">
        <v>100</v>
      </c>
      <c r="Z77" s="6">
        <v>0</v>
      </c>
      <c r="AA77" s="17">
        <f ca="1">VLOOKUP($L77,OFFSET([3]enemies!$A$1,0,0,COUNTA([3]enemies!$A:$A),MATCH(AA$1,[3]enemies!$1:$1,0)-MATCH($L$1,[3]enemies!$1:$1,0)+1),MATCH(AA$1,[3]enemies!$1:$1,0)-MATCH($L$1,[3]enemies!$1:$1,0)+1,FALSE)</f>
        <v>2</v>
      </c>
      <c r="AB77" s="24">
        <f>L77</f>
        <v>660</v>
      </c>
      <c r="AC77" s="4" t="str">
        <f ca="1">VLOOKUP($AB77,OFFSET([4]characters!$A$1,0,0,COUNTA([4]characters!$A:$A),MATCH(AC$1,[4]characters!$1:$1,0)-MATCH("character_id",[4]characters!$1:$1,0)+1),MATCH(AC$1,[4]characters!$1:$1,0)-MATCH("character_id",[4]characters!$1:$1,0)+1,FALSE)</f>
        <v>烏天狗 フウガ</v>
      </c>
      <c r="AD77" s="4">
        <f ca="1">VLOOKUP($AB77,OFFSET([4]characters!$A$1,0,0,COUNTA([4]characters!$A:$A),MATCH(AD$1,[4]characters!$1:$1,0)-MATCH("character_id",[4]characters!$1:$1,0)+1),MATCH(AD$1,[4]characters!$1:$1,0)-MATCH("character_id",[4]characters!$1:$1,0)+1,FALSE)</f>
        <v>4</v>
      </c>
      <c r="AE77" s="4" t="str">
        <f ca="1">VLOOKUP($AB77,OFFSET([4]characters!$A$1,0,0,COUNTA([4]characters!$A:$A),MATCH(AE$1,[4]characters!$1:$1,0)-MATCH("character_id",[4]characters!$1:$1,0)+1),MATCH(AE$1,[4]characters!$1:$1,0)-MATCH("character_id",[4]characters!$1:$1,0)+1,FALSE)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77" s="7">
        <v>1</v>
      </c>
      <c r="AG77" s="24">
        <f ca="1">AD77</f>
        <v>4</v>
      </c>
      <c r="AH77" s="8">
        <v>0</v>
      </c>
      <c r="AI77" s="7">
        <v>0</v>
      </c>
      <c r="AJ77" s="7">
        <v>0</v>
      </c>
      <c r="AK77" s="7">
        <v>0</v>
      </c>
      <c r="AL77" s="7">
        <v>0</v>
      </c>
      <c r="AM77" s="7">
        <v>1</v>
      </c>
      <c r="AN77" s="69">
        <v>1</v>
      </c>
    </row>
    <row r="78" spans="1:40" ht="21" customHeight="1">
      <c r="A78" s="16" t="str">
        <f t="shared" si="25"/>
        <v>60004_1-6/488&lt;lv70&gt;s3</v>
      </c>
      <c r="B78" s="22">
        <v>60004</v>
      </c>
      <c r="C78" s="21">
        <v>1</v>
      </c>
      <c r="D78" s="2" t="str">
        <f t="shared" ref="D78" si="30">B78&amp;"_"&amp;C78</f>
        <v>60004_1</v>
      </c>
      <c r="E78" s="4" t="str">
        <f ca="1">VLOOKUP($B78,OFFSET([2]quests!$A$1,0,0,COUNTA([2]quests!$A:$A),MATCH(E$1,[2]quests!$1:$1,0)-MATCH($B$1,[2]quests!$1:$1,0)+1),MATCH(E$1,[2]quests!$1:$1,0)-MATCH($B$1,[2]quests!$1:$1,0)+1,FALSE)</f>
        <v>ヘンペルチャレンジ</v>
      </c>
      <c r="F78" s="4" t="str">
        <f ca="1">VLOOKUP($D78,OFFSET([2]stages!$A$1,0,0,COUNTA([2]stages!$A:$A),MATCH(F$1,[2]stages!$2:$2,0)-MATCH($D$1,[2]stages!$2:$2,0)+1),MATCH(F$1,[2]stages!$2:$2,0)-MATCH($D$1,[2]stages!$2:$2,0)+1,FALSE)</f>
        <v>[ウィザード] 第4回　</v>
      </c>
      <c r="G78" s="21">
        <v>6</v>
      </c>
      <c r="H78" s="15" t="str">
        <f t="shared" ref="H78" si="31">B78&amp;"_"&amp;C78&amp;"-"&amp;G78</f>
        <v>60004_1-6</v>
      </c>
      <c r="I78" s="4">
        <f ca="1">VLOOKUP($H78,OFFSET(floors!$A$1,0,0,COUNTA(floors!$A:$A),MATCH(I$1,floors!$1:$1,0)-MATCH($H$1,floors!$1:$1,0)+1),MATCH(I$1,floors!$1:$1,0)-MATCH($H$1,floors!$1:$1,0)+1,FALSE)</f>
        <v>60</v>
      </c>
      <c r="J78" s="4">
        <f ca="1">VLOOKUP($H78,OFFSET(floors!$A$1,0,0,COUNTA(floors!$A:$A),MATCH(J$1,floors!$1:$1,0)-MATCH($H$1,floors!$1:$1,0)+1),MATCH(J$1,floors!$1:$1,0)-MATCH($H$1,floors!$1:$1,0)+1,FALSE)</f>
        <v>60</v>
      </c>
      <c r="K78" s="38">
        <v>1</v>
      </c>
      <c r="L78" s="20">
        <v>488</v>
      </c>
      <c r="M78" s="17" t="str">
        <f ca="1">VLOOKUP($L78,OFFSET([3]enemies!$A$1,0,0,COUNTA([3]enemies!$A:$A),MATCH(M$1,[3]enemies!$1:$1,0)-MATCH($L$1,[3]enemies!$1:$1,0)+1),MATCH(M$1,[3]enemies!$1:$1,0)-MATCH($L$1,[3]enemies!$1:$1,0)+1,FALSE)</f>
        <v>直観の異論 ヘンペル</v>
      </c>
      <c r="N78" s="17" t="str">
        <f ca="1">VLOOKUP($L78,OFFSET([3]enemies!$A$1,0,0,COUNTA([3]enemies!$A:$A),MATCH(N$1,[3]enemies!$1:$1,0)-MATCH($L$1,[3]enemies!$1:$1,0)+1),MATCH(N$1,[3]enemies!$1:$1,0)-MATCH($L$1,[3]enemies!$1:$1,0)+1,FALSE)</f>
        <v>blue</v>
      </c>
      <c r="O78" s="17" t="str">
        <f ca="1">VLOOKUP($L78,OFFSET([4]characters!$A$1,0,0,COUNTA([4]characters!$A:$A),MATCH(O$1,[4]characters!$1:$1,0)-MATCH($L$1,[4]characters!$1:$1,0)+1),MATCH(O$1,[4]characters!$1:$1,0)-MATCH($L$1,[4]characters!$1:$1,0)+1,FALSE)</f>
        <v>PremiumSSS</v>
      </c>
      <c r="P78" s="17" t="str">
        <f ca="1">VLOOKUP($L78,OFFSET([3]enemies!$A$1,0,0,COUNTA([3]enemies!$A:$A),MATCH(P$1,[3]enemies!$1:$1,0)-MATCH($L$1,[3]enemies!$1:$1,0)+1),MATCH(P$1,[3]enemies!$1:$1,0)-MATCH($L$1,[3]enemies!$1:$1,0)+1,FALSE)</f>
        <v>human</v>
      </c>
      <c r="Q78" s="17">
        <f ca="1">VLOOKUP($L78,OFFSET([3]enemies!$A$1,0,0,COUNTA([3]enemies!$A:$A),MATCH(Q$1,[3]enemies!$1:$1,0)-MATCH($L$1,[3]enemies!$1:$1,0)+1),MATCH(Q$1,[3]enemies!$1:$1,0)-MATCH($L$1,[3]enemies!$1:$1,0)+1,FALSE)</f>
        <v>60</v>
      </c>
      <c r="R78" s="5">
        <v>70</v>
      </c>
      <c r="S78" s="25">
        <v>0.9</v>
      </c>
      <c r="T78" s="25">
        <v>1</v>
      </c>
      <c r="U78" s="5">
        <v>0</v>
      </c>
      <c r="V78" s="4" t="e">
        <f ca="1">VLOOKUP($W78,OFFSET([5]enemy_skill_sets!$B$1,0,0,COUNTA([5]enemy_skill_sets!$B:$B),MATCH(M$1,[5]enemy_skill_sets!$1:$1,0)-MATCH($W$1,[5]enemy_skill_sets!$1:$1,0)+2),MATCH(M$1,[5]enemy_skill_sets!$1:$1,0)-MATCH($W$1,[5]enemy_skill_sets!$1:$1,0)+2,FALSE)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78" s="4">
        <v>60001108</v>
      </c>
      <c r="X78" s="6">
        <v>0</v>
      </c>
      <c r="Y78" s="6">
        <v>100</v>
      </c>
      <c r="Z78" s="6">
        <v>1</v>
      </c>
      <c r="AA78" s="17">
        <v>3</v>
      </c>
      <c r="AB78" s="24">
        <f t="shared" ref="AB78" si="32">L78</f>
        <v>488</v>
      </c>
      <c r="AC78" s="4" t="str">
        <f ca="1">VLOOKUP($AB78,OFFSET([4]characters!$A$1,0,0,COUNTA([4]characters!$A:$A),MATCH(AC$1,[4]characters!$1:$1,0)-MATCH("character_id",[4]characters!$1:$1,0)+1),MATCH(AC$1,[4]characters!$1:$1,0)-MATCH("character_id",[4]characters!$1:$1,0)+1,FALSE)</f>
        <v>直観の異論 ヘンペル</v>
      </c>
      <c r="AD78" s="4">
        <f ca="1">VLOOKUP($AB78,OFFSET([4]characters!$A$1,0,0,COUNTA([4]characters!$A:$A),MATCH(AD$1,[4]characters!$1:$1,0)-MATCH("character_id",[4]characters!$1:$1,0)+1),MATCH(AD$1,[4]characters!$1:$1,0)-MATCH("character_id",[4]characters!$1:$1,0)+1,FALSE)</f>
        <v>5</v>
      </c>
      <c r="AE78" s="4" t="str">
        <f ca="1">VLOOKUP($AB78,OFFSET([4]characters!$A$1,0,0,COUNTA([4]characters!$A:$A),MATCH(AE$1,[4]characters!$1:$1,0)-MATCH("character_id",[4]characters!$1:$1,0)+1),MATCH(AE$1,[4]characters!$1:$1,0)-MATCH("character_id",[4]characters!$1:$1,0)+1,FALSE)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78" s="7">
        <v>1</v>
      </c>
      <c r="AG78" s="24">
        <f t="shared" ref="AG78" ca="1" si="33">AD78</f>
        <v>5</v>
      </c>
      <c r="AH78" s="8">
        <v>0</v>
      </c>
      <c r="AI78" s="7">
        <v>0</v>
      </c>
      <c r="AJ78" s="7">
        <v>0</v>
      </c>
      <c r="AK78" s="7">
        <v>0</v>
      </c>
      <c r="AL78" s="7">
        <v>0</v>
      </c>
      <c r="AM78" s="7">
        <v>1</v>
      </c>
      <c r="AN78" s="69">
        <v>1</v>
      </c>
    </row>
  </sheetData>
  <sheetProtection selectLockedCells="1" selectUnlockedCells="1"/>
  <autoFilter ref="B1:AH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16" sqref="S16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>
      <c r="A2" s="16" t="str">
        <f>B2&amp;"_"&amp;C2&amp;"-"&amp;G2&amp;"/"&amp;M2&amp;"&lt;lv"&amp;S2&amp;"&gt;sq"&amp;K2&amp;"st"&amp;L2</f>
        <v>60001_1-4/582&lt;lv70&gt;sq1st2</v>
      </c>
      <c r="B2" s="22">
        <v>60001</v>
      </c>
      <c r="C2" s="21">
        <v>1</v>
      </c>
      <c r="D2" s="2" t="str">
        <f>B2&amp;"_"&amp;C2</f>
        <v>60001_1</v>
      </c>
      <c r="E2" s="4" t="str">
        <f ca="1">VLOOKUP($B2,OFFSET([2]quests!$A$1,0,0,COUNTA([2]quests!$A:$A),MATCH(E$1,[2]quests!$1:$1,0)-MATCH($B$1,[2]quests!$1:$1,0)+1),MATCH(E$1,[2]quests!$1:$1,0)-MATCH($B$1,[2]quests!$1:$1,0)+1,FALSE)</f>
        <v>ヘンペルチャレンジ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[ウィザード] 第一回</v>
      </c>
      <c r="G2" s="21">
        <v>4</v>
      </c>
      <c r="H2" s="15" t="str">
        <f>B2&amp;"_"&amp;C2&amp;"-"&amp;G2</f>
        <v>60001_1-4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582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空を駆る双鴉 フギンとムニン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machine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70</v>
      </c>
      <c r="T2" s="25">
        <v>1.2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" s="4">
        <v>60001105</v>
      </c>
      <c r="Y2" s="70">
        <v>2</v>
      </c>
    </row>
    <row r="3" spans="1:25" ht="21" customHeight="1">
      <c r="A3" s="16" t="str">
        <f t="shared" ref="A3:A4" si="0">B3&amp;"_"&amp;C3&amp;"-"&amp;G3&amp;"/"&amp;M3&amp;"&lt;lv"&amp;S3&amp;"&gt;sq"&amp;K3&amp;"st"&amp;L3</f>
        <v>60001_1-6/488&lt;lv70&gt;sq1st2</v>
      </c>
      <c r="B3" s="22">
        <v>60001</v>
      </c>
      <c r="C3" s="21">
        <v>1</v>
      </c>
      <c r="D3" s="2" t="str">
        <f t="shared" ref="D3:D4" si="1">B3&amp;"_"&amp;C3</f>
        <v>60001_1</v>
      </c>
      <c r="E3" s="4" t="str">
        <f ca="1">VLOOKUP($B3,OFFSET([2]quests!$A$1,0,0,COUNTA([2]quests!$A:$A),MATCH(E$1,[2]quests!$1:$1,0)-MATCH($B$1,[2]quests!$1:$1,0)+1),MATCH(E$1,[2]quests!$1:$1,0)-MATCH($B$1,[2]quests!$1:$1,0)+1,FALSE)</f>
        <v>ヘンペルチャレンジ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[ウィザード] 第一回</v>
      </c>
      <c r="G3" s="21">
        <v>6</v>
      </c>
      <c r="H3" s="15" t="str">
        <f t="shared" ref="H3:H4" si="2">B3&amp;"_"&amp;C3&amp;"-"&amp;G3</f>
        <v>60001_1-6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488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直観の異論 ヘンペル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70</v>
      </c>
      <c r="T3" s="25">
        <v>1.2</v>
      </c>
      <c r="U3" s="25">
        <v>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3" s="4">
        <v>60001109</v>
      </c>
      <c r="Y3" s="70">
        <v>1</v>
      </c>
    </row>
    <row r="4" spans="1:25" ht="21" customHeight="1">
      <c r="A4" s="16" t="str">
        <f t="shared" si="0"/>
        <v>60001_1-6/488&lt;lv70&gt;sq1st3</v>
      </c>
      <c r="B4" s="22">
        <v>60001</v>
      </c>
      <c r="C4" s="21">
        <v>1</v>
      </c>
      <c r="D4" s="2" t="str">
        <f t="shared" si="1"/>
        <v>60001_1</v>
      </c>
      <c r="E4" s="4" t="str">
        <f ca="1">VLOOKUP($B4,OFFSET([2]quests!$A$1,0,0,COUNTA([2]quests!$A:$A),MATCH(E$1,[2]quests!$1:$1,0)-MATCH($B$1,[2]quests!$1:$1,0)+1),MATCH(E$1,[2]quests!$1:$1,0)-MATCH($B$1,[2]quests!$1:$1,0)+1,FALSE)</f>
        <v>ヘンペルチャレンジ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[ウィザード] 第一回</v>
      </c>
      <c r="G4" s="21">
        <v>6</v>
      </c>
      <c r="H4" s="15" t="str">
        <f t="shared" si="2"/>
        <v>60001_1-6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3</v>
      </c>
      <c r="M4" s="20">
        <v>488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直観の異論 ヘンペル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70</v>
      </c>
      <c r="T4" s="25">
        <v>1.6</v>
      </c>
      <c r="U4" s="25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4" s="4">
        <v>60001110</v>
      </c>
      <c r="Y4" s="70">
        <v>1</v>
      </c>
    </row>
    <row r="5" spans="1:25" ht="21" customHeight="1">
      <c r="A5" s="16" t="str">
        <f>B5&amp;"_"&amp;C5&amp;"-"&amp;G5&amp;"/"&amp;M5&amp;"&lt;lv"&amp;S5&amp;"&gt;sq"&amp;K5&amp;"st"&amp;L5</f>
        <v>60002_1-4/582&lt;lv70&gt;sq1st2</v>
      </c>
      <c r="B5" s="22">
        <v>60002</v>
      </c>
      <c r="C5" s="21">
        <v>1</v>
      </c>
      <c r="D5" s="2" t="str">
        <f>B5&amp;"_"&amp;C5</f>
        <v>60002_1</v>
      </c>
      <c r="E5" s="4" t="str">
        <f ca="1">VLOOKUP($B5,OFFSET([2]quests!$A$1,0,0,COUNTA([2]quests!$A:$A),MATCH(E$1,[2]quests!$1:$1,0)-MATCH($B$1,[2]quests!$1:$1,0)+1),MATCH(E$1,[2]quests!$1:$1,0)-MATCH($B$1,[2]quests!$1:$1,0)+1,FALSE)</f>
        <v>ヘンペルチャレンジ</v>
      </c>
      <c r="F5" s="4" t="str">
        <f ca="1">VLOOKUP($D5,OFFSET([2]stages!$A$1,0,0,COUNTA([2]stages!$A:$A),MATCH(F$1,[2]stages!$2:$2,0)-MATCH($D$1,[2]stages!$2:$2,0)+1),MATCH(F$1,[2]stages!$2:$2,0)-MATCH($D$1,[2]stages!$2:$2,0)+1,FALSE)</f>
        <v>[超級] 第2回　※Wizと難易度は同じ</v>
      </c>
      <c r="G5" s="21">
        <v>4</v>
      </c>
      <c r="H5" s="15" t="str">
        <f>B5&amp;"_"&amp;C5&amp;"-"&amp;G5</f>
        <v>60002_1-4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38">
        <v>2</v>
      </c>
      <c r="M5" s="20">
        <v>582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空を駆る双鴉 フギンとムニン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machine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70</v>
      </c>
      <c r="T5" s="25">
        <v>1.2</v>
      </c>
      <c r="U5" s="25">
        <v>1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5" s="4">
        <v>60001105</v>
      </c>
      <c r="Y5" s="70">
        <v>2</v>
      </c>
    </row>
    <row r="6" spans="1:25" ht="21" customHeight="1">
      <c r="A6" s="16" t="str">
        <f t="shared" ref="A6:A7" si="3">B6&amp;"_"&amp;C6&amp;"-"&amp;G6&amp;"/"&amp;M6&amp;"&lt;lv"&amp;S6&amp;"&gt;sq"&amp;K6&amp;"st"&amp;L6</f>
        <v>60002_1-6/488&lt;lv70&gt;sq1st2</v>
      </c>
      <c r="B6" s="22">
        <v>60002</v>
      </c>
      <c r="C6" s="21">
        <v>1</v>
      </c>
      <c r="D6" s="2" t="str">
        <f t="shared" ref="D6:D7" si="4">B6&amp;"_"&amp;C6</f>
        <v>60002_1</v>
      </c>
      <c r="E6" s="4" t="str">
        <f ca="1">VLOOKUP($B6,OFFSET([2]quests!$A$1,0,0,COUNTA([2]quests!$A:$A),MATCH(E$1,[2]quests!$1:$1,0)-MATCH($B$1,[2]quests!$1:$1,0)+1),MATCH(E$1,[2]quests!$1:$1,0)-MATCH($B$1,[2]quests!$1:$1,0)+1,FALSE)</f>
        <v>ヘンペルチャレンジ</v>
      </c>
      <c r="F6" s="4" t="str">
        <f ca="1">VLOOKUP($D6,OFFSET([2]stages!$A$1,0,0,COUNTA([2]stages!$A:$A),MATCH(F$1,[2]stages!$2:$2,0)-MATCH($D$1,[2]stages!$2:$2,0)+1),MATCH(F$1,[2]stages!$2:$2,0)-MATCH($D$1,[2]stages!$2:$2,0)+1,FALSE)</f>
        <v>[超級] 第2回　※Wizと難易度は同じ</v>
      </c>
      <c r="G6" s="21">
        <v>6</v>
      </c>
      <c r="H6" s="15" t="str">
        <f t="shared" ref="H6:H7" si="5">B6&amp;"_"&amp;C6&amp;"-"&amp;G6</f>
        <v>60002_1-6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38">
        <v>2</v>
      </c>
      <c r="M6" s="20">
        <v>488</v>
      </c>
      <c r="N6" s="17" t="str">
        <f ca="1">VLOOKUP($M6,OFFSET([3]enemies!$A$1,0,0,COUNTA([3]enemies!$A:$A),MATCH(N$1,[3]enemies!$1:$1,0)-MATCH($M$1,[3]enemies!$1:$1,0)+1),MATCH(N$1,[3]enemies!$1:$1,0)-MATCH($M$1,[3]enemies!$1:$1,0)+1,FALSE)</f>
        <v>直観の異論 ヘンペル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PremiumSSS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70</v>
      </c>
      <c r="T6" s="25">
        <v>1.2</v>
      </c>
      <c r="U6" s="25">
        <v>1</v>
      </c>
      <c r="V6" s="5">
        <v>0</v>
      </c>
      <c r="W6" s="4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6" s="4">
        <v>60001109</v>
      </c>
      <c r="Y6" s="70">
        <v>1</v>
      </c>
    </row>
    <row r="7" spans="1:25" ht="21" customHeight="1">
      <c r="A7" s="16" t="str">
        <f t="shared" si="3"/>
        <v>60002_1-6/488&lt;lv70&gt;sq1st3</v>
      </c>
      <c r="B7" s="22">
        <v>60002</v>
      </c>
      <c r="C7" s="21">
        <v>1</v>
      </c>
      <c r="D7" s="2" t="str">
        <f t="shared" si="4"/>
        <v>60002_1</v>
      </c>
      <c r="E7" s="4" t="str">
        <f ca="1">VLOOKUP($B7,OFFSET([2]quests!$A$1,0,0,COUNTA([2]quests!$A:$A),MATCH(E$1,[2]quests!$1:$1,0)-MATCH($B$1,[2]quests!$1:$1,0)+1),MATCH(E$1,[2]quests!$1:$1,0)-MATCH($B$1,[2]quests!$1:$1,0)+1,FALSE)</f>
        <v>ヘンペルチャレンジ</v>
      </c>
      <c r="F7" s="4" t="str">
        <f ca="1">VLOOKUP($D7,OFFSET([2]stages!$A$1,0,0,COUNTA([2]stages!$A:$A),MATCH(F$1,[2]stages!$2:$2,0)-MATCH($D$1,[2]stages!$2:$2,0)+1),MATCH(F$1,[2]stages!$2:$2,0)-MATCH($D$1,[2]stages!$2:$2,0)+1,FALSE)</f>
        <v>[超級] 第2回　※Wizと難易度は同じ</v>
      </c>
      <c r="G7" s="21">
        <v>6</v>
      </c>
      <c r="H7" s="15" t="str">
        <f t="shared" si="5"/>
        <v>60002_1-6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38">
        <v>3</v>
      </c>
      <c r="M7" s="20">
        <v>488</v>
      </c>
      <c r="N7" s="17" t="str">
        <f ca="1">VLOOKUP($M7,OFFSET([3]enemies!$A$1,0,0,COUNTA([3]enemies!$A:$A),MATCH(N$1,[3]enemies!$1:$1,0)-MATCH($M$1,[3]enemies!$1:$1,0)+1),MATCH(N$1,[3]enemies!$1:$1,0)-MATCH($M$1,[3]enemies!$1:$1,0)+1,FALSE)</f>
        <v>直観の異論 ヘンペル</v>
      </c>
      <c r="O7" s="17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PremiumSSS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70</v>
      </c>
      <c r="T7" s="25">
        <v>1.6</v>
      </c>
      <c r="U7" s="25">
        <v>1</v>
      </c>
      <c r="V7" s="5">
        <v>0</v>
      </c>
      <c r="W7" s="4" t="e">
        <f ca="1">VLOOKUP($X7,OFFSET([5]enemy_skill_sets!$B$1,0,0,COUNTA([5]enemy_skill_sets!$B:$B),MATCH(N$1,[5]enemy_skill_sets!$1:$1,0)-MATCH($X$1,[5]enemy_skill_sets!$1:$1,0)+2),MATCH(N$1,[5]enemy_skill_sets!$1:$1,0)-MATCH($X$1,[5]enemy_skill_sets!$1:$1,0)+2,FALSE)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7" s="4">
        <v>60001110</v>
      </c>
      <c r="Y7" s="70">
        <v>1</v>
      </c>
    </row>
    <row r="8" spans="1:25" ht="21" customHeight="1">
      <c r="A8" s="16" t="str">
        <f>B8&amp;"_"&amp;C8&amp;"-"&amp;G8&amp;"/"&amp;M8&amp;"&lt;lv"&amp;S8&amp;"&gt;sq"&amp;K8&amp;"st"&amp;L8</f>
        <v>60002_2-4/582&lt;lv40&gt;sq1st2</v>
      </c>
      <c r="B8" s="22">
        <v>60002</v>
      </c>
      <c r="C8" s="21">
        <v>2</v>
      </c>
      <c r="D8" s="2" t="str">
        <f>B8&amp;"_"&amp;C8</f>
        <v>60002_2</v>
      </c>
      <c r="E8" s="4" t="str">
        <f ca="1">VLOOKUP($B8,OFFSET([2]quests!$A$1,0,0,COUNTA([2]quests!$A:$A),MATCH(E$1,[2]quests!$1:$1,0)-MATCH($B$1,[2]quests!$1:$1,0)+1),MATCH(E$1,[2]quests!$1:$1,0)-MATCH($B$1,[2]quests!$1:$1,0)+1,FALSE)</f>
        <v>ヘンペルチャレンジ</v>
      </c>
      <c r="F8" s="4" t="str">
        <f ca="1">VLOOKUP($D8,OFFSET([2]stages!$A$1,0,0,COUNTA([2]stages!$A:$A),MATCH(F$1,[2]stages!$2:$2,0)-MATCH($D$1,[2]stages!$2:$2,0)+1),MATCH(F$1,[2]stages!$2:$2,0)-MATCH($D$1,[2]stages!$2:$2,0)+1,FALSE)</f>
        <v>[ウィザード] 第2回　※Wizと難易度は同じ</v>
      </c>
      <c r="G8" s="21">
        <v>4</v>
      </c>
      <c r="H8" s="15" t="str">
        <f>B8&amp;"_"&amp;C8&amp;"-"&amp;G8</f>
        <v>60002_2-4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38">
        <v>2</v>
      </c>
      <c r="M8" s="20">
        <v>582</v>
      </c>
      <c r="N8" s="17" t="str">
        <f ca="1">VLOOKUP($M8,OFFSET([3]enemies!$A$1,0,0,COUNTA([3]enemies!$A:$A),MATCH(N$1,[3]enemies!$1:$1,0)-MATCH($M$1,[3]enemies!$1:$1,0)+1),MATCH(N$1,[3]enemies!$1:$1,0)-MATCH($M$1,[3]enemies!$1:$1,0)+1,FALSE)</f>
        <v>空を駆る双鴉 フギンとムニン</v>
      </c>
      <c r="O8" s="17" t="str">
        <f ca="1">VLOOKUP($M8,OFFSET([3]enemies!$A$1,0,0,COUNTA([3]enemies!$A:$A),MATCH(O$1,[3]enemies!$1:$1,0)-MATCH($M$1,[3]enemies!$1:$1,0)+1),MATCH(O$1,[3]enemies!$1:$1,0)-MATCH($M$1,[3]enemies!$1:$1,0)+1,FALSE)</f>
        <v>blue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machine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40</v>
      </c>
      <c r="T8" s="25">
        <v>1.2</v>
      </c>
      <c r="U8" s="25">
        <v>1</v>
      </c>
      <c r="V8" s="5">
        <v>0</v>
      </c>
      <c r="W8" s="4" t="e">
        <f ca="1">VLOOKUP($X8,OFFSET([5]enemy_skill_sets!$B$1,0,0,COUNTA([5]enemy_skill_sets!$B:$B),MATCH(N$1,[5]enemy_skill_sets!$1:$1,0)-MATCH($X$1,[5]enemy_skill_sets!$1:$1,0)+2),MATCH(N$1,[5]enemy_skill_sets!$1:$1,0)-MATCH($X$1,[5]enemy_skill_sets!$1:$1,0)+2,FALSE)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8" s="4">
        <v>60001105</v>
      </c>
      <c r="Y8" s="70">
        <v>2</v>
      </c>
    </row>
    <row r="9" spans="1:25" ht="21" customHeight="1">
      <c r="A9" s="16" t="str">
        <f t="shared" ref="A9:A10" si="6">B9&amp;"_"&amp;C9&amp;"-"&amp;G9&amp;"/"&amp;M9&amp;"&lt;lv"&amp;S9&amp;"&gt;sq"&amp;K9&amp;"st"&amp;L9</f>
        <v>60002_2-6/488&lt;lv40&gt;sq1st2</v>
      </c>
      <c r="B9" s="22">
        <v>60002</v>
      </c>
      <c r="C9" s="21">
        <v>2</v>
      </c>
      <c r="D9" s="2" t="str">
        <f t="shared" ref="D9:D10" si="7">B9&amp;"_"&amp;C9</f>
        <v>60002_2</v>
      </c>
      <c r="E9" s="4" t="str">
        <f ca="1">VLOOKUP($B9,OFFSET([2]quests!$A$1,0,0,COUNTA([2]quests!$A:$A),MATCH(E$1,[2]quests!$1:$1,0)-MATCH($B$1,[2]quests!$1:$1,0)+1),MATCH(E$1,[2]quests!$1:$1,0)-MATCH($B$1,[2]quests!$1:$1,0)+1,FALSE)</f>
        <v>ヘンペルチャレンジ</v>
      </c>
      <c r="F9" s="4" t="str">
        <f ca="1">VLOOKUP($D9,OFFSET([2]stages!$A$1,0,0,COUNTA([2]stages!$A:$A),MATCH(F$1,[2]stages!$2:$2,0)-MATCH($D$1,[2]stages!$2:$2,0)+1),MATCH(F$1,[2]stages!$2:$2,0)-MATCH($D$1,[2]stages!$2:$2,0)+1,FALSE)</f>
        <v>[ウィザード] 第2回　※Wizと難易度は同じ</v>
      </c>
      <c r="G9" s="21">
        <v>6</v>
      </c>
      <c r="H9" s="15" t="str">
        <f t="shared" ref="H9:H10" si="8">B9&amp;"_"&amp;C9&amp;"-"&amp;G9</f>
        <v>60002_2-6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38">
        <v>2</v>
      </c>
      <c r="M9" s="20">
        <v>488</v>
      </c>
      <c r="N9" s="17" t="str">
        <f ca="1">VLOOKUP($M9,OFFSET([3]enemies!$A$1,0,0,COUNTA([3]enemies!$A:$A),MATCH(N$1,[3]enemies!$1:$1,0)-MATCH($M$1,[3]enemies!$1:$1,0)+1),MATCH(N$1,[3]enemies!$1:$1,0)-MATCH($M$1,[3]enemies!$1:$1,0)+1,FALSE)</f>
        <v>直観の異論 ヘンペル</v>
      </c>
      <c r="O9" s="17" t="str">
        <f ca="1">VLOOKUP($M9,OFFSET([3]enemies!$A$1,0,0,COUNTA([3]enemies!$A:$A),MATCH(O$1,[3]enemies!$1:$1,0)-MATCH($M$1,[3]enemies!$1:$1,0)+1),MATCH(O$1,[3]enemies!$1:$1,0)-MATCH($M$1,[3]enemies!$1:$1,0)+1,FALSE)</f>
        <v>blue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PremiumSSS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40</v>
      </c>
      <c r="T9" s="25">
        <v>1.2</v>
      </c>
      <c r="U9" s="25">
        <v>1</v>
      </c>
      <c r="V9" s="5">
        <v>0</v>
      </c>
      <c r="W9" s="4" t="e">
        <f ca="1">VLOOKUP($X9,OFFSET([5]enemy_skill_sets!$B$1,0,0,COUNTA([5]enemy_skill_sets!$B:$B),MATCH(N$1,[5]enemy_skill_sets!$1:$1,0)-MATCH($X$1,[5]enemy_skill_sets!$1:$1,0)+2),MATCH(N$1,[5]enemy_skill_sets!$1:$1,0)-MATCH($X$1,[5]enemy_skill_sets!$1:$1,0)+2,FALSE)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9" s="4">
        <v>60001109</v>
      </c>
      <c r="Y9" s="70">
        <v>1</v>
      </c>
    </row>
    <row r="10" spans="1:25" ht="21" customHeight="1">
      <c r="A10" s="16" t="str">
        <f t="shared" si="6"/>
        <v>60002_2-6/488&lt;lv40&gt;sq1st3</v>
      </c>
      <c r="B10" s="22">
        <v>60002</v>
      </c>
      <c r="C10" s="21">
        <v>2</v>
      </c>
      <c r="D10" s="2" t="str">
        <f t="shared" si="7"/>
        <v>60002_2</v>
      </c>
      <c r="E10" s="4" t="str">
        <f ca="1">VLOOKUP($B10,OFFSET([2]quests!$A$1,0,0,COUNTA([2]quests!$A:$A),MATCH(E$1,[2]quests!$1:$1,0)-MATCH($B$1,[2]quests!$1:$1,0)+1),MATCH(E$1,[2]quests!$1:$1,0)-MATCH($B$1,[2]quests!$1:$1,0)+1,FALSE)</f>
        <v>ヘンペルチャレンジ</v>
      </c>
      <c r="F10" s="4" t="str">
        <f ca="1">VLOOKUP($D10,OFFSET([2]stages!$A$1,0,0,COUNTA([2]stages!$A:$A),MATCH(F$1,[2]stages!$2:$2,0)-MATCH($D$1,[2]stages!$2:$2,0)+1),MATCH(F$1,[2]stages!$2:$2,0)-MATCH($D$1,[2]stages!$2:$2,0)+1,FALSE)</f>
        <v>[ウィザード] 第2回　※Wizと難易度は同じ</v>
      </c>
      <c r="G10" s="21">
        <v>6</v>
      </c>
      <c r="H10" s="15" t="str">
        <f t="shared" si="8"/>
        <v>60002_2-6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1</v>
      </c>
      <c r="L10" s="38">
        <v>3</v>
      </c>
      <c r="M10" s="20">
        <v>488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直観の異論 ヘンペル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blue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PremiumSSS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human</v>
      </c>
      <c r="R10" s="17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40</v>
      </c>
      <c r="T10" s="25">
        <v>1.6</v>
      </c>
      <c r="U10" s="25">
        <v>1</v>
      </c>
      <c r="V10" s="5">
        <v>0</v>
      </c>
      <c r="W10" s="4" t="e">
        <f ca="1">VLOOKUP($X10,OFFSET([5]enemy_skill_sets!$B$1,0,0,COUNTA([5]enemy_skill_sets!$B:$B),MATCH(N$1,[5]enemy_skill_sets!$1:$1,0)-MATCH($X$1,[5]enemy_skill_sets!$1:$1,0)+2),MATCH(N$1,[5]enemy_skill_sets!$1:$1,0)-MATCH($X$1,[5]enemy_skill_sets!$1:$1,0)+2,FALSE)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10" s="4">
        <v>60001110</v>
      </c>
      <c r="Y10" s="70">
        <v>1</v>
      </c>
    </row>
    <row r="11" spans="1:25" ht="21" customHeight="1">
      <c r="A11" s="16" t="str">
        <f>B11&amp;"_"&amp;C11&amp;"-"&amp;G11&amp;"/"&amp;M11&amp;"&lt;lv"&amp;S11&amp;"&gt;sq"&amp;K11&amp;"st"&amp;L11</f>
        <v>60003_1-4/582&lt;lv20&gt;sq1st2</v>
      </c>
      <c r="B11" s="22">
        <v>60003</v>
      </c>
      <c r="C11" s="21">
        <v>1</v>
      </c>
      <c r="D11" s="2" t="str">
        <f>B11&amp;"_"&amp;C11</f>
        <v>60003_1</v>
      </c>
      <c r="E11" s="4" t="str">
        <f ca="1">VLOOKUP($B11,OFFSET([2]quests!$A$1,0,0,COUNTA([2]quests!$A:$A),MATCH(E$1,[2]quests!$1:$1,0)-MATCH($B$1,[2]quests!$1:$1,0)+1),MATCH(E$1,[2]quests!$1:$1,0)-MATCH($B$1,[2]quests!$1:$1,0)+1,FALSE)</f>
        <v>ヘンペルチャレンジ</v>
      </c>
      <c r="F11" s="4" t="str">
        <f ca="1">VLOOKUP($D11,OFFSET([2]stages!$A$1,0,0,COUNTA([2]stages!$A:$A),MATCH(F$1,[2]stages!$2:$2,0)-MATCH($D$1,[2]stages!$2:$2,0)+1),MATCH(F$1,[2]stages!$2:$2,0)-MATCH($D$1,[2]stages!$2:$2,0)+1,FALSE)</f>
        <v>[中級] 第3回　</v>
      </c>
      <c r="G11" s="21">
        <v>4</v>
      </c>
      <c r="H11" s="15" t="str">
        <f>B11&amp;"_"&amp;C11&amp;"-"&amp;G11</f>
        <v>60003_1-4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1</v>
      </c>
      <c r="L11" s="38">
        <v>2</v>
      </c>
      <c r="M11" s="20">
        <v>582</v>
      </c>
      <c r="N11" s="17" t="str">
        <f ca="1">VLOOKUP($M11,OFFSET([3]enemies!$A$1,0,0,COUNTA([3]enemies!$A:$A),MATCH(N$1,[3]enemies!$1:$1,0)-MATCH($M$1,[3]enemies!$1:$1,0)+1),MATCH(N$1,[3]enemies!$1:$1,0)-MATCH($M$1,[3]enemies!$1:$1,0)+1,FALSE)</f>
        <v>空を駆る双鴉 フギンとムニン</v>
      </c>
      <c r="O11" s="17" t="str">
        <f ca="1">VLOOKUP($M11,OFFSET([3]enemies!$A$1,0,0,COUNTA([3]enemies!$A:$A),MATCH(O$1,[3]enemies!$1:$1,0)-MATCH($M$1,[3]enemies!$1:$1,0)+1),MATCH(O$1,[3]enemies!$1:$1,0)-MATCH($M$1,[3]enemies!$1:$1,0)+1,FALSE)</f>
        <v>blue</v>
      </c>
      <c r="P11" s="17" t="str">
        <f ca="1">VLOOKUP($M11,OFFSET([4]characters!$A$1,0,0,COUNTA([4]characters!$A:$A),MATCH(P$1,[4]characters!$1:$1,0)-MATCH($M$1,[4]characters!$1:$1,0)+1),MATCH(P$1,[4]characters!$1:$1,0)-MATCH($M$1,[4]characters!$1:$1,0)+1,FALSE)</f>
        <v>DropWizS</v>
      </c>
      <c r="Q11" s="17" t="str">
        <f ca="1">VLOOKUP($M11,OFFSET([3]enemies!$A$1,0,0,COUNTA([3]enemies!$A:$A),MATCH(Q$1,[3]enemies!$1:$1,0)-MATCH($M$1,[3]enemies!$1:$1,0)+1),MATCH(Q$1,[3]enemies!$1:$1,0)-MATCH($M$1,[3]enemies!$1:$1,0)+1,FALSE)</f>
        <v>machine</v>
      </c>
      <c r="R11" s="17">
        <f ca="1">VLOOKUP($M11,OFFSET([3]enemies!$A$1,0,0,COUNTA([3]enemies!$A:$A),MATCH(R$1,[3]enemies!$1:$1,0)-MATCH($M$1,[3]enemies!$1:$1,0)+1),MATCH(R$1,[3]enemies!$1:$1,0)-MATCH($M$1,[3]enemies!$1:$1,0)+1,FALSE)</f>
        <v>60</v>
      </c>
      <c r="S11" s="5">
        <v>20</v>
      </c>
      <c r="T11" s="25">
        <v>1.2</v>
      </c>
      <c r="U11" s="25">
        <v>1</v>
      </c>
      <c r="V11" s="5">
        <v>0</v>
      </c>
      <c r="W11" s="4" t="e">
        <f ca="1">VLOOKUP($X11,OFFSET([5]enemy_skill_sets!$B$1,0,0,COUNTA([5]enemy_skill_sets!$B:$B),MATCH(N$1,[5]enemy_skill_sets!$1:$1,0)-MATCH($X$1,[5]enemy_skill_sets!$1:$1,0)+2),MATCH(N$1,[5]enemy_skill_sets!$1:$1,0)-MATCH($X$1,[5]enemy_skill_sets!$1:$1,0)+2,FALSE)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11" s="4">
        <v>60001105</v>
      </c>
      <c r="Y11" s="70">
        <v>2</v>
      </c>
    </row>
    <row r="12" spans="1:25" ht="21" customHeight="1">
      <c r="A12" s="16" t="str">
        <f t="shared" ref="A12:A13" si="9">B12&amp;"_"&amp;C12&amp;"-"&amp;G12&amp;"/"&amp;M12&amp;"&lt;lv"&amp;S12&amp;"&gt;sq"&amp;K12&amp;"st"&amp;L12</f>
        <v>60003_1-6/488&lt;lv30&gt;sq1st2</v>
      </c>
      <c r="B12" s="22">
        <v>60003</v>
      </c>
      <c r="C12" s="21">
        <v>1</v>
      </c>
      <c r="D12" s="2" t="str">
        <f t="shared" ref="D12:D13" si="10">B12&amp;"_"&amp;C12</f>
        <v>60003_1</v>
      </c>
      <c r="E12" s="4" t="str">
        <f ca="1">VLOOKUP($B12,OFFSET([2]quests!$A$1,0,0,COUNTA([2]quests!$A:$A),MATCH(E$1,[2]quests!$1:$1,0)-MATCH($B$1,[2]quests!$1:$1,0)+1),MATCH(E$1,[2]quests!$1:$1,0)-MATCH($B$1,[2]quests!$1:$1,0)+1,FALSE)</f>
        <v>ヘンペルチャレンジ</v>
      </c>
      <c r="F12" s="4" t="str">
        <f ca="1">VLOOKUP($D12,OFFSET([2]stages!$A$1,0,0,COUNTA([2]stages!$A:$A),MATCH(F$1,[2]stages!$2:$2,0)-MATCH($D$1,[2]stages!$2:$2,0)+1),MATCH(F$1,[2]stages!$2:$2,0)-MATCH($D$1,[2]stages!$2:$2,0)+1,FALSE)</f>
        <v>[中級] 第3回　</v>
      </c>
      <c r="G12" s="21">
        <v>6</v>
      </c>
      <c r="H12" s="15" t="str">
        <f t="shared" ref="H12:H13" si="11">B12&amp;"_"&amp;C12&amp;"-"&amp;G12</f>
        <v>60003_1-6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1</v>
      </c>
      <c r="L12" s="38">
        <v>2</v>
      </c>
      <c r="M12" s="20">
        <v>488</v>
      </c>
      <c r="N12" s="17" t="str">
        <f ca="1">VLOOKUP($M12,OFFSET([3]enemies!$A$1,0,0,COUNTA([3]enemies!$A:$A),MATCH(N$1,[3]enemies!$1:$1,0)-MATCH($M$1,[3]enemies!$1:$1,0)+1),MATCH(N$1,[3]enemies!$1:$1,0)-MATCH($M$1,[3]enemies!$1:$1,0)+1,FALSE)</f>
        <v>直観の異論 ヘンペル</v>
      </c>
      <c r="O12" s="17" t="str">
        <f ca="1">VLOOKUP($M12,OFFSET([3]enemies!$A$1,0,0,COUNTA([3]enemies!$A:$A),MATCH(O$1,[3]enemies!$1:$1,0)-MATCH($M$1,[3]enemies!$1:$1,0)+1),MATCH(O$1,[3]enemies!$1:$1,0)-MATCH($M$1,[3]enemies!$1:$1,0)+1,FALSE)</f>
        <v>blue</v>
      </c>
      <c r="P12" s="17" t="str">
        <f ca="1">VLOOKUP($M12,OFFSET([4]characters!$A$1,0,0,COUNTA([4]characters!$A:$A),MATCH(P$1,[4]characters!$1:$1,0)-MATCH($M$1,[4]characters!$1:$1,0)+1),MATCH(P$1,[4]characters!$1:$1,0)-MATCH($M$1,[4]characters!$1:$1,0)+1,FALSE)</f>
        <v>PremiumSSS</v>
      </c>
      <c r="Q12" s="17" t="str">
        <f ca="1">VLOOKUP($M12,OFFSET([3]enemies!$A$1,0,0,COUNTA([3]enemies!$A:$A),MATCH(Q$1,[3]enemies!$1:$1,0)-MATCH($M$1,[3]enemies!$1:$1,0)+1),MATCH(Q$1,[3]enemies!$1:$1,0)-MATCH($M$1,[3]enemies!$1:$1,0)+1,FALSE)</f>
        <v>human</v>
      </c>
      <c r="R12" s="17">
        <f ca="1">VLOOKUP($M12,OFFSET([3]enemies!$A$1,0,0,COUNTA([3]enemies!$A:$A),MATCH(R$1,[3]enemies!$1:$1,0)-MATCH($M$1,[3]enemies!$1:$1,0)+1),MATCH(R$1,[3]enemies!$1:$1,0)-MATCH($M$1,[3]enemies!$1:$1,0)+1,FALSE)</f>
        <v>60</v>
      </c>
      <c r="S12" s="5">
        <v>30</v>
      </c>
      <c r="T12" s="25">
        <v>1.2</v>
      </c>
      <c r="U12" s="25">
        <v>1</v>
      </c>
      <c r="V12" s="5">
        <v>0</v>
      </c>
      <c r="W12" s="4" t="e">
        <f ca="1">VLOOKUP($X12,OFFSET([5]enemy_skill_sets!$B$1,0,0,COUNTA([5]enemy_skill_sets!$B:$B),MATCH(N$1,[5]enemy_skill_sets!$1:$1,0)-MATCH($X$1,[5]enemy_skill_sets!$1:$1,0)+2),MATCH(N$1,[5]enemy_skill_sets!$1:$1,0)-MATCH($X$1,[5]enemy_skill_sets!$1:$1,0)+2,FALSE)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12" s="4">
        <v>60001109</v>
      </c>
      <c r="Y12" s="70">
        <v>1</v>
      </c>
    </row>
    <row r="13" spans="1:25" ht="21" customHeight="1">
      <c r="A13" s="16" t="str">
        <f t="shared" si="9"/>
        <v>60003_1-6/488&lt;lv30&gt;sq1st3</v>
      </c>
      <c r="B13" s="22">
        <v>60003</v>
      </c>
      <c r="C13" s="21">
        <v>1</v>
      </c>
      <c r="D13" s="2" t="str">
        <f t="shared" si="10"/>
        <v>60003_1</v>
      </c>
      <c r="E13" s="4" t="str">
        <f ca="1">VLOOKUP($B13,OFFSET([2]quests!$A$1,0,0,COUNTA([2]quests!$A:$A),MATCH(E$1,[2]quests!$1:$1,0)-MATCH($B$1,[2]quests!$1:$1,0)+1),MATCH(E$1,[2]quests!$1:$1,0)-MATCH($B$1,[2]quests!$1:$1,0)+1,FALSE)</f>
        <v>ヘンペルチャレンジ</v>
      </c>
      <c r="F13" s="4" t="str">
        <f ca="1">VLOOKUP($D13,OFFSET([2]stages!$A$1,0,0,COUNTA([2]stages!$A:$A),MATCH(F$1,[2]stages!$2:$2,0)-MATCH($D$1,[2]stages!$2:$2,0)+1),MATCH(F$1,[2]stages!$2:$2,0)-MATCH($D$1,[2]stages!$2:$2,0)+1,FALSE)</f>
        <v>[中級] 第3回　</v>
      </c>
      <c r="G13" s="21">
        <v>6</v>
      </c>
      <c r="H13" s="15" t="str">
        <f t="shared" si="11"/>
        <v>60003_1-6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1</v>
      </c>
      <c r="L13" s="38">
        <v>3</v>
      </c>
      <c r="M13" s="20">
        <v>488</v>
      </c>
      <c r="N13" s="17" t="str">
        <f ca="1">VLOOKUP($M13,OFFSET([3]enemies!$A$1,0,0,COUNTA([3]enemies!$A:$A),MATCH(N$1,[3]enemies!$1:$1,0)-MATCH($M$1,[3]enemies!$1:$1,0)+1),MATCH(N$1,[3]enemies!$1:$1,0)-MATCH($M$1,[3]enemies!$1:$1,0)+1,FALSE)</f>
        <v>直観の異論 ヘンペル</v>
      </c>
      <c r="O13" s="17" t="str">
        <f ca="1">VLOOKUP($M13,OFFSET([3]enemies!$A$1,0,0,COUNTA([3]enemies!$A:$A),MATCH(O$1,[3]enemies!$1:$1,0)-MATCH($M$1,[3]enemies!$1:$1,0)+1),MATCH(O$1,[3]enemies!$1:$1,0)-MATCH($M$1,[3]enemies!$1:$1,0)+1,FALSE)</f>
        <v>blue</v>
      </c>
      <c r="P13" s="17" t="str">
        <f ca="1">VLOOKUP($M13,OFFSET([4]characters!$A$1,0,0,COUNTA([4]characters!$A:$A),MATCH(P$1,[4]characters!$1:$1,0)-MATCH($M$1,[4]characters!$1:$1,0)+1),MATCH(P$1,[4]characters!$1:$1,0)-MATCH($M$1,[4]characters!$1:$1,0)+1,FALSE)</f>
        <v>PremiumSSS</v>
      </c>
      <c r="Q13" s="17" t="str">
        <f ca="1">VLOOKUP($M13,OFFSET([3]enemies!$A$1,0,0,COUNTA([3]enemies!$A:$A),MATCH(Q$1,[3]enemies!$1:$1,0)-MATCH($M$1,[3]enemies!$1:$1,0)+1),MATCH(Q$1,[3]enemies!$1:$1,0)-MATCH($M$1,[3]enemies!$1:$1,0)+1,FALSE)</f>
        <v>human</v>
      </c>
      <c r="R13" s="17">
        <f ca="1">VLOOKUP($M13,OFFSET([3]enemies!$A$1,0,0,COUNTA([3]enemies!$A:$A),MATCH(R$1,[3]enemies!$1:$1,0)-MATCH($M$1,[3]enemies!$1:$1,0)+1),MATCH(R$1,[3]enemies!$1:$1,0)-MATCH($M$1,[3]enemies!$1:$1,0)+1,FALSE)</f>
        <v>60</v>
      </c>
      <c r="S13" s="5">
        <v>30</v>
      </c>
      <c r="T13" s="25">
        <v>1.6</v>
      </c>
      <c r="U13" s="25">
        <v>1</v>
      </c>
      <c r="V13" s="5">
        <v>0</v>
      </c>
      <c r="W13" s="4" t="e">
        <f ca="1">VLOOKUP($X13,OFFSET([5]enemy_skill_sets!$B$1,0,0,COUNTA([5]enemy_skill_sets!$B:$B),MATCH(N$1,[5]enemy_skill_sets!$1:$1,0)-MATCH($X$1,[5]enemy_skill_sets!$1:$1,0)+2),MATCH(N$1,[5]enemy_skill_sets!$1:$1,0)-MATCH($X$1,[5]enemy_skill_sets!$1:$1,0)+2,FALSE)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13" s="4">
        <v>60001110</v>
      </c>
      <c r="Y13" s="70">
        <v>1</v>
      </c>
    </row>
    <row r="14" spans="1:25" ht="21" customHeight="1">
      <c r="A14" s="16" t="str">
        <f>B14&amp;"_"&amp;C14&amp;"-"&amp;G14&amp;"/"&amp;M14&amp;"&lt;lv"&amp;S14&amp;"&gt;sq"&amp;K14&amp;"st"&amp;L14</f>
        <v>60003_2-4/582&lt;lv40&gt;sq1st2</v>
      </c>
      <c r="B14" s="22">
        <v>60003</v>
      </c>
      <c r="C14" s="21">
        <v>2</v>
      </c>
      <c r="D14" s="2" t="str">
        <f>B14&amp;"_"&amp;C14</f>
        <v>60003_2</v>
      </c>
      <c r="E14" s="4" t="str">
        <f ca="1">VLOOKUP($B14,OFFSET([2]quests!$A$1,0,0,COUNTA([2]quests!$A:$A),MATCH(E$1,[2]quests!$1:$1,0)-MATCH($B$1,[2]quests!$1:$1,0)+1),MATCH(E$1,[2]quests!$1:$1,0)-MATCH($B$1,[2]quests!$1:$1,0)+1,FALSE)</f>
        <v>ヘンペルチャレンジ</v>
      </c>
      <c r="F14" s="4" t="str">
        <f ca="1">VLOOKUP($D14,OFFSET([2]stages!$A$1,0,0,COUNTA([2]stages!$A:$A),MATCH(F$1,[2]stages!$2:$2,0)-MATCH($D$1,[2]stages!$2:$2,0)+1),MATCH(F$1,[2]stages!$2:$2,0)-MATCH($D$1,[2]stages!$2:$2,0)+1,FALSE)</f>
        <v>[超級] 第3回　</v>
      </c>
      <c r="G14" s="21">
        <v>4</v>
      </c>
      <c r="H14" s="15" t="str">
        <f>B14&amp;"_"&amp;C14&amp;"-"&amp;G14</f>
        <v>60003_2-4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>
        <v>1</v>
      </c>
      <c r="L14" s="38">
        <v>2</v>
      </c>
      <c r="M14" s="20">
        <v>582</v>
      </c>
      <c r="N14" s="17" t="str">
        <f ca="1">VLOOKUP($M14,OFFSET([3]enemies!$A$1,0,0,COUNTA([3]enemies!$A:$A),MATCH(N$1,[3]enemies!$1:$1,0)-MATCH($M$1,[3]enemies!$1:$1,0)+1),MATCH(N$1,[3]enemies!$1:$1,0)-MATCH($M$1,[3]enemies!$1:$1,0)+1,FALSE)</f>
        <v>空を駆る双鴉 フギンとムニン</v>
      </c>
      <c r="O14" s="17" t="str">
        <f ca="1">VLOOKUP($M14,OFFSET([3]enemies!$A$1,0,0,COUNTA([3]enemies!$A:$A),MATCH(O$1,[3]enemies!$1:$1,0)-MATCH($M$1,[3]enemies!$1:$1,0)+1),MATCH(O$1,[3]enemies!$1:$1,0)-MATCH($M$1,[3]enemies!$1:$1,0)+1,FALSE)</f>
        <v>blue</v>
      </c>
      <c r="P14" s="17" t="str">
        <f ca="1">VLOOKUP($M14,OFFSET([4]characters!$A$1,0,0,COUNTA([4]characters!$A:$A),MATCH(P$1,[4]characters!$1:$1,0)-MATCH($M$1,[4]characters!$1:$1,0)+1),MATCH(P$1,[4]characters!$1:$1,0)-MATCH($M$1,[4]characters!$1:$1,0)+1,FALSE)</f>
        <v>DropWizS</v>
      </c>
      <c r="Q14" s="17" t="str">
        <f ca="1">VLOOKUP($M14,OFFSET([3]enemies!$A$1,0,0,COUNTA([3]enemies!$A:$A),MATCH(Q$1,[3]enemies!$1:$1,0)-MATCH($M$1,[3]enemies!$1:$1,0)+1),MATCH(Q$1,[3]enemies!$1:$1,0)-MATCH($M$1,[3]enemies!$1:$1,0)+1,FALSE)</f>
        <v>machine</v>
      </c>
      <c r="R14" s="17">
        <f ca="1">VLOOKUP($M14,OFFSET([3]enemies!$A$1,0,0,COUNTA([3]enemies!$A:$A),MATCH(R$1,[3]enemies!$1:$1,0)-MATCH($M$1,[3]enemies!$1:$1,0)+1),MATCH(R$1,[3]enemies!$1:$1,0)-MATCH($M$1,[3]enemies!$1:$1,0)+1,FALSE)</f>
        <v>60</v>
      </c>
      <c r="S14" s="5">
        <v>40</v>
      </c>
      <c r="T14" s="25">
        <v>1.2</v>
      </c>
      <c r="U14" s="25">
        <v>1</v>
      </c>
      <c r="V14" s="5">
        <v>0</v>
      </c>
      <c r="W14" s="4" t="e">
        <f ca="1">VLOOKUP($X14,OFFSET([5]enemy_skill_sets!$B$1,0,0,COUNTA([5]enemy_skill_sets!$B:$B),MATCH(N$1,[5]enemy_skill_sets!$1:$1,0)-MATCH($X$1,[5]enemy_skill_sets!$1:$1,0)+2),MATCH(N$1,[5]enemy_skill_sets!$1:$1,0)-MATCH($X$1,[5]enemy_skill_sets!$1:$1,0)+2,FALSE)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14" s="4">
        <v>60001105</v>
      </c>
      <c r="Y14" s="70">
        <v>2</v>
      </c>
    </row>
    <row r="15" spans="1:25" ht="21" customHeight="1">
      <c r="A15" s="16" t="str">
        <f t="shared" ref="A15:A16" si="12">B15&amp;"_"&amp;C15&amp;"-"&amp;G15&amp;"/"&amp;M15&amp;"&lt;lv"&amp;S15&amp;"&gt;sq"&amp;K15&amp;"st"&amp;L15</f>
        <v>60003_2-6/488&lt;lv40&gt;sq1st2</v>
      </c>
      <c r="B15" s="22">
        <v>60003</v>
      </c>
      <c r="C15" s="21">
        <v>2</v>
      </c>
      <c r="D15" s="2" t="str">
        <f t="shared" ref="D15:D16" si="13">B15&amp;"_"&amp;C15</f>
        <v>60003_2</v>
      </c>
      <c r="E15" s="4" t="str">
        <f ca="1">VLOOKUP($B15,OFFSET([2]quests!$A$1,0,0,COUNTA([2]quests!$A:$A),MATCH(E$1,[2]quests!$1:$1,0)-MATCH($B$1,[2]quests!$1:$1,0)+1),MATCH(E$1,[2]quests!$1:$1,0)-MATCH($B$1,[2]quests!$1:$1,0)+1,FALSE)</f>
        <v>ヘンペルチャレンジ</v>
      </c>
      <c r="F15" s="4" t="str">
        <f ca="1">VLOOKUP($D15,OFFSET([2]stages!$A$1,0,0,COUNTA([2]stages!$A:$A),MATCH(F$1,[2]stages!$2:$2,0)-MATCH($D$1,[2]stages!$2:$2,0)+1),MATCH(F$1,[2]stages!$2:$2,0)-MATCH($D$1,[2]stages!$2:$2,0)+1,FALSE)</f>
        <v>[超級] 第3回　</v>
      </c>
      <c r="G15" s="21">
        <v>6</v>
      </c>
      <c r="H15" s="15" t="str">
        <f t="shared" ref="H15:H16" si="14">B15&amp;"_"&amp;C15&amp;"-"&amp;G15</f>
        <v>60003_2-6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1</v>
      </c>
      <c r="L15" s="38">
        <v>2</v>
      </c>
      <c r="M15" s="20">
        <v>488</v>
      </c>
      <c r="N15" s="17" t="str">
        <f ca="1">VLOOKUP($M15,OFFSET([3]enemies!$A$1,0,0,COUNTA([3]enemies!$A:$A),MATCH(N$1,[3]enemies!$1:$1,0)-MATCH($M$1,[3]enemies!$1:$1,0)+1),MATCH(N$1,[3]enemies!$1:$1,0)-MATCH($M$1,[3]enemies!$1:$1,0)+1,FALSE)</f>
        <v>直観の異論 ヘンペル</v>
      </c>
      <c r="O15" s="17" t="str">
        <f ca="1">VLOOKUP($M15,OFFSET([3]enemies!$A$1,0,0,COUNTA([3]enemies!$A:$A),MATCH(O$1,[3]enemies!$1:$1,0)-MATCH($M$1,[3]enemies!$1:$1,0)+1),MATCH(O$1,[3]enemies!$1:$1,0)-MATCH($M$1,[3]enemies!$1:$1,0)+1,FALSE)</f>
        <v>blue</v>
      </c>
      <c r="P15" s="17" t="str">
        <f ca="1">VLOOKUP($M15,OFFSET([4]characters!$A$1,0,0,COUNTA([4]characters!$A:$A),MATCH(P$1,[4]characters!$1:$1,0)-MATCH($M$1,[4]characters!$1:$1,0)+1),MATCH(P$1,[4]characters!$1:$1,0)-MATCH($M$1,[4]characters!$1:$1,0)+1,FALSE)</f>
        <v>PremiumSSS</v>
      </c>
      <c r="Q15" s="17" t="str">
        <f ca="1">VLOOKUP($M15,OFFSET([3]enemies!$A$1,0,0,COUNTA([3]enemies!$A:$A),MATCH(Q$1,[3]enemies!$1:$1,0)-MATCH($M$1,[3]enemies!$1:$1,0)+1),MATCH(Q$1,[3]enemies!$1:$1,0)-MATCH($M$1,[3]enemies!$1:$1,0)+1,FALSE)</f>
        <v>human</v>
      </c>
      <c r="R15" s="17">
        <f ca="1">VLOOKUP($M15,OFFSET([3]enemies!$A$1,0,0,COUNTA([3]enemies!$A:$A),MATCH(R$1,[3]enemies!$1:$1,0)-MATCH($M$1,[3]enemies!$1:$1,0)+1),MATCH(R$1,[3]enemies!$1:$1,0)-MATCH($M$1,[3]enemies!$1:$1,0)+1,FALSE)</f>
        <v>60</v>
      </c>
      <c r="S15" s="5">
        <v>40</v>
      </c>
      <c r="T15" s="25">
        <v>1.2</v>
      </c>
      <c r="U15" s="25">
        <v>1</v>
      </c>
      <c r="V15" s="5">
        <v>0</v>
      </c>
      <c r="W15" s="4" t="e">
        <f ca="1">VLOOKUP($X15,OFFSET([5]enemy_skill_sets!$B$1,0,0,COUNTA([5]enemy_skill_sets!$B:$B),MATCH(N$1,[5]enemy_skill_sets!$1:$1,0)-MATCH($X$1,[5]enemy_skill_sets!$1:$1,0)+2),MATCH(N$1,[5]enemy_skill_sets!$1:$1,0)-MATCH($X$1,[5]enemy_skill_sets!$1:$1,0)+2,FALSE)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15" s="4">
        <v>60001109</v>
      </c>
      <c r="Y15" s="70">
        <v>1</v>
      </c>
    </row>
    <row r="16" spans="1:25" ht="21" customHeight="1">
      <c r="A16" s="16" t="str">
        <f t="shared" si="12"/>
        <v>60003_2-6/488&lt;lv40&gt;sq1st3</v>
      </c>
      <c r="B16" s="22">
        <v>60003</v>
      </c>
      <c r="C16" s="21">
        <v>2</v>
      </c>
      <c r="D16" s="2" t="str">
        <f t="shared" si="13"/>
        <v>60003_2</v>
      </c>
      <c r="E16" s="4" t="str">
        <f ca="1">VLOOKUP($B16,OFFSET([2]quests!$A$1,0,0,COUNTA([2]quests!$A:$A),MATCH(E$1,[2]quests!$1:$1,0)-MATCH($B$1,[2]quests!$1:$1,0)+1),MATCH(E$1,[2]quests!$1:$1,0)-MATCH($B$1,[2]quests!$1:$1,0)+1,FALSE)</f>
        <v>ヘンペルチャレンジ</v>
      </c>
      <c r="F16" s="4" t="str">
        <f ca="1">VLOOKUP($D16,OFFSET([2]stages!$A$1,0,0,COUNTA([2]stages!$A:$A),MATCH(F$1,[2]stages!$2:$2,0)-MATCH($D$1,[2]stages!$2:$2,0)+1),MATCH(F$1,[2]stages!$2:$2,0)-MATCH($D$1,[2]stages!$2:$2,0)+1,FALSE)</f>
        <v>[超級] 第3回　</v>
      </c>
      <c r="G16" s="21">
        <v>6</v>
      </c>
      <c r="H16" s="15" t="str">
        <f t="shared" si="14"/>
        <v>60003_2-6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>
        <v>1</v>
      </c>
      <c r="L16" s="38">
        <v>3</v>
      </c>
      <c r="M16" s="20">
        <v>488</v>
      </c>
      <c r="N16" s="17" t="str">
        <f ca="1">VLOOKUP($M16,OFFSET([3]enemies!$A$1,0,0,COUNTA([3]enemies!$A:$A),MATCH(N$1,[3]enemies!$1:$1,0)-MATCH($M$1,[3]enemies!$1:$1,0)+1),MATCH(N$1,[3]enemies!$1:$1,0)-MATCH($M$1,[3]enemies!$1:$1,0)+1,FALSE)</f>
        <v>直観の異論 ヘンペル</v>
      </c>
      <c r="O16" s="17" t="str">
        <f ca="1">VLOOKUP($M16,OFFSET([3]enemies!$A$1,0,0,COUNTA([3]enemies!$A:$A),MATCH(O$1,[3]enemies!$1:$1,0)-MATCH($M$1,[3]enemies!$1:$1,0)+1),MATCH(O$1,[3]enemies!$1:$1,0)-MATCH($M$1,[3]enemies!$1:$1,0)+1,FALSE)</f>
        <v>blue</v>
      </c>
      <c r="P16" s="17" t="str">
        <f ca="1">VLOOKUP($M16,OFFSET([4]characters!$A$1,0,0,COUNTA([4]characters!$A:$A),MATCH(P$1,[4]characters!$1:$1,0)-MATCH($M$1,[4]characters!$1:$1,0)+1),MATCH(P$1,[4]characters!$1:$1,0)-MATCH($M$1,[4]characters!$1:$1,0)+1,FALSE)</f>
        <v>PremiumSSS</v>
      </c>
      <c r="Q16" s="17" t="str">
        <f ca="1">VLOOKUP($M16,OFFSET([3]enemies!$A$1,0,0,COUNTA([3]enemies!$A:$A),MATCH(Q$1,[3]enemies!$1:$1,0)-MATCH($M$1,[3]enemies!$1:$1,0)+1),MATCH(Q$1,[3]enemies!$1:$1,0)-MATCH($M$1,[3]enemies!$1:$1,0)+1,FALSE)</f>
        <v>human</v>
      </c>
      <c r="R16" s="17">
        <f ca="1">VLOOKUP($M16,OFFSET([3]enemies!$A$1,0,0,COUNTA([3]enemies!$A:$A),MATCH(R$1,[3]enemies!$1:$1,0)-MATCH($M$1,[3]enemies!$1:$1,0)+1),MATCH(R$1,[3]enemies!$1:$1,0)-MATCH($M$1,[3]enemies!$1:$1,0)+1,FALSE)</f>
        <v>60</v>
      </c>
      <c r="S16" s="5">
        <v>40</v>
      </c>
      <c r="T16" s="25">
        <v>1.6</v>
      </c>
      <c r="U16" s="25">
        <v>1</v>
      </c>
      <c r="V16" s="5">
        <v>0</v>
      </c>
      <c r="W16" s="4" t="e">
        <f ca="1">VLOOKUP($X16,OFFSET([5]enemy_skill_sets!$B$1,0,0,COUNTA([5]enemy_skill_sets!$B:$B),MATCH(N$1,[5]enemy_skill_sets!$1:$1,0)-MATCH($X$1,[5]enemy_skill_sets!$1:$1,0)+2),MATCH(N$1,[5]enemy_skill_sets!$1:$1,0)-MATCH($X$1,[5]enemy_skill_sets!$1:$1,0)+2,FALSE)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16" s="4">
        <v>60001110</v>
      </c>
      <c r="Y16" s="70">
        <v>1</v>
      </c>
    </row>
    <row r="17" spans="1:25" ht="21" customHeight="1">
      <c r="A17" s="16" t="str">
        <f>B17&amp;"_"&amp;C17&amp;"-"&amp;G17&amp;"/"&amp;M17&amp;"&lt;lv"&amp;S17&amp;"&gt;sq"&amp;K17&amp;"st"&amp;L17</f>
        <v>60003_3-4/582&lt;lv70&gt;sq1st2</v>
      </c>
      <c r="B17" s="22">
        <v>60003</v>
      </c>
      <c r="C17" s="21">
        <v>3</v>
      </c>
      <c r="D17" s="2" t="str">
        <f>B17&amp;"_"&amp;C17</f>
        <v>60003_3</v>
      </c>
      <c r="E17" s="4" t="str">
        <f ca="1">VLOOKUP($B17,OFFSET([2]quests!$A$1,0,0,COUNTA([2]quests!$A:$A),MATCH(E$1,[2]quests!$1:$1,0)-MATCH($B$1,[2]quests!$1:$1,0)+1),MATCH(E$1,[2]quests!$1:$1,0)-MATCH($B$1,[2]quests!$1:$1,0)+1,FALSE)</f>
        <v>ヘンペルチャレンジ</v>
      </c>
      <c r="F17" s="4" t="str">
        <f ca="1">VLOOKUP($D17,OFFSET([2]stages!$A$1,0,0,COUNTA([2]stages!$A:$A),MATCH(F$1,[2]stages!$2:$2,0)-MATCH($D$1,[2]stages!$2:$2,0)+1),MATCH(F$1,[2]stages!$2:$2,0)-MATCH($D$1,[2]stages!$2:$2,0)+1,FALSE)</f>
        <v>[ウィザード] 第3回　</v>
      </c>
      <c r="G17" s="21">
        <v>4</v>
      </c>
      <c r="H17" s="15" t="str">
        <f>B17&amp;"_"&amp;C17&amp;"-"&amp;G17</f>
        <v>60003_3-4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>
        <v>1</v>
      </c>
      <c r="L17" s="38">
        <v>2</v>
      </c>
      <c r="M17" s="20">
        <v>582</v>
      </c>
      <c r="N17" s="17" t="str">
        <f ca="1">VLOOKUP($M17,OFFSET([3]enemies!$A$1,0,0,COUNTA([3]enemies!$A:$A),MATCH(N$1,[3]enemies!$1:$1,0)-MATCH($M$1,[3]enemies!$1:$1,0)+1),MATCH(N$1,[3]enemies!$1:$1,0)-MATCH($M$1,[3]enemies!$1:$1,0)+1,FALSE)</f>
        <v>空を駆る双鴉 フギンとムニン</v>
      </c>
      <c r="O17" s="17" t="str">
        <f ca="1">VLOOKUP($M17,OFFSET([3]enemies!$A$1,0,0,COUNTA([3]enemies!$A:$A),MATCH(O$1,[3]enemies!$1:$1,0)-MATCH($M$1,[3]enemies!$1:$1,0)+1),MATCH(O$1,[3]enemies!$1:$1,0)-MATCH($M$1,[3]enemies!$1:$1,0)+1,FALSE)</f>
        <v>blue</v>
      </c>
      <c r="P17" s="17" t="str">
        <f ca="1">VLOOKUP($M17,OFFSET([4]characters!$A$1,0,0,COUNTA([4]characters!$A:$A),MATCH(P$1,[4]characters!$1:$1,0)-MATCH($M$1,[4]characters!$1:$1,0)+1),MATCH(P$1,[4]characters!$1:$1,0)-MATCH($M$1,[4]characters!$1:$1,0)+1,FALSE)</f>
        <v>DropWizS</v>
      </c>
      <c r="Q17" s="17" t="str">
        <f ca="1">VLOOKUP($M17,OFFSET([3]enemies!$A$1,0,0,COUNTA([3]enemies!$A:$A),MATCH(Q$1,[3]enemies!$1:$1,0)-MATCH($M$1,[3]enemies!$1:$1,0)+1),MATCH(Q$1,[3]enemies!$1:$1,0)-MATCH($M$1,[3]enemies!$1:$1,0)+1,FALSE)</f>
        <v>machine</v>
      </c>
      <c r="R17" s="17">
        <f ca="1">VLOOKUP($M17,OFFSET([3]enemies!$A$1,0,0,COUNTA([3]enemies!$A:$A),MATCH(R$1,[3]enemies!$1:$1,0)-MATCH($M$1,[3]enemies!$1:$1,0)+1),MATCH(R$1,[3]enemies!$1:$1,0)-MATCH($M$1,[3]enemies!$1:$1,0)+1,FALSE)</f>
        <v>60</v>
      </c>
      <c r="S17" s="5">
        <v>70</v>
      </c>
      <c r="T17" s="25">
        <v>1.2</v>
      </c>
      <c r="U17" s="25">
        <v>1</v>
      </c>
      <c r="V17" s="5">
        <v>0</v>
      </c>
      <c r="W17" s="4" t="e">
        <f ca="1">VLOOKUP($X17,OFFSET([5]enemy_skill_sets!$B$1,0,0,COUNTA([5]enemy_skill_sets!$B:$B),MATCH(N$1,[5]enemy_skill_sets!$1:$1,0)-MATCH($X$1,[5]enemy_skill_sets!$1:$1,0)+2),MATCH(N$1,[5]enemy_skill_sets!$1:$1,0)-MATCH($X$1,[5]enemy_skill_sets!$1:$1,0)+2,FALSE)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17" s="4">
        <v>60001105</v>
      </c>
      <c r="Y17" s="70">
        <v>2</v>
      </c>
    </row>
    <row r="18" spans="1:25" ht="21" customHeight="1">
      <c r="A18" s="16" t="str">
        <f t="shared" ref="A18:A19" si="15">B18&amp;"_"&amp;C18&amp;"-"&amp;G18&amp;"/"&amp;M18&amp;"&lt;lv"&amp;S18&amp;"&gt;sq"&amp;K18&amp;"st"&amp;L18</f>
        <v>60003_3-6/488&lt;lv70&gt;sq1st2</v>
      </c>
      <c r="B18" s="22">
        <v>60003</v>
      </c>
      <c r="C18" s="21">
        <v>3</v>
      </c>
      <c r="D18" s="2" t="str">
        <f t="shared" ref="D18:D19" si="16">B18&amp;"_"&amp;C18</f>
        <v>60003_3</v>
      </c>
      <c r="E18" s="4" t="str">
        <f ca="1">VLOOKUP($B18,OFFSET([2]quests!$A$1,0,0,COUNTA([2]quests!$A:$A),MATCH(E$1,[2]quests!$1:$1,0)-MATCH($B$1,[2]quests!$1:$1,0)+1),MATCH(E$1,[2]quests!$1:$1,0)-MATCH($B$1,[2]quests!$1:$1,0)+1,FALSE)</f>
        <v>ヘンペルチャレンジ</v>
      </c>
      <c r="F18" s="4" t="str">
        <f ca="1">VLOOKUP($D18,OFFSET([2]stages!$A$1,0,0,COUNTA([2]stages!$A:$A),MATCH(F$1,[2]stages!$2:$2,0)-MATCH($D$1,[2]stages!$2:$2,0)+1),MATCH(F$1,[2]stages!$2:$2,0)-MATCH($D$1,[2]stages!$2:$2,0)+1,FALSE)</f>
        <v>[ウィザード] 第3回　</v>
      </c>
      <c r="G18" s="21">
        <v>6</v>
      </c>
      <c r="H18" s="15" t="str">
        <f t="shared" ref="H18:H19" si="17">B18&amp;"_"&amp;C18&amp;"-"&amp;G18</f>
        <v>60003_3-6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>
        <v>1</v>
      </c>
      <c r="L18" s="38">
        <v>2</v>
      </c>
      <c r="M18" s="20">
        <v>488</v>
      </c>
      <c r="N18" s="17" t="str">
        <f ca="1">VLOOKUP($M18,OFFSET([3]enemies!$A$1,0,0,COUNTA([3]enemies!$A:$A),MATCH(N$1,[3]enemies!$1:$1,0)-MATCH($M$1,[3]enemies!$1:$1,0)+1),MATCH(N$1,[3]enemies!$1:$1,0)-MATCH($M$1,[3]enemies!$1:$1,0)+1,FALSE)</f>
        <v>直観の異論 ヘンペル</v>
      </c>
      <c r="O18" s="17" t="str">
        <f ca="1">VLOOKUP($M18,OFFSET([3]enemies!$A$1,0,0,COUNTA([3]enemies!$A:$A),MATCH(O$1,[3]enemies!$1:$1,0)-MATCH($M$1,[3]enemies!$1:$1,0)+1),MATCH(O$1,[3]enemies!$1:$1,0)-MATCH($M$1,[3]enemies!$1:$1,0)+1,FALSE)</f>
        <v>blue</v>
      </c>
      <c r="P18" s="17" t="str">
        <f ca="1">VLOOKUP($M18,OFFSET([4]characters!$A$1,0,0,COUNTA([4]characters!$A:$A),MATCH(P$1,[4]characters!$1:$1,0)-MATCH($M$1,[4]characters!$1:$1,0)+1),MATCH(P$1,[4]characters!$1:$1,0)-MATCH($M$1,[4]characters!$1:$1,0)+1,FALSE)</f>
        <v>PremiumSSS</v>
      </c>
      <c r="Q18" s="17" t="str">
        <f ca="1">VLOOKUP($M18,OFFSET([3]enemies!$A$1,0,0,COUNTA([3]enemies!$A:$A),MATCH(Q$1,[3]enemies!$1:$1,0)-MATCH($M$1,[3]enemies!$1:$1,0)+1),MATCH(Q$1,[3]enemies!$1:$1,0)-MATCH($M$1,[3]enemies!$1:$1,0)+1,FALSE)</f>
        <v>human</v>
      </c>
      <c r="R18" s="17">
        <f ca="1">VLOOKUP($M18,OFFSET([3]enemies!$A$1,0,0,COUNTA([3]enemies!$A:$A),MATCH(R$1,[3]enemies!$1:$1,0)-MATCH($M$1,[3]enemies!$1:$1,0)+1),MATCH(R$1,[3]enemies!$1:$1,0)-MATCH($M$1,[3]enemies!$1:$1,0)+1,FALSE)</f>
        <v>60</v>
      </c>
      <c r="S18" s="5">
        <v>70</v>
      </c>
      <c r="T18" s="25">
        <v>1.2</v>
      </c>
      <c r="U18" s="25">
        <v>1</v>
      </c>
      <c r="V18" s="5">
        <v>0</v>
      </c>
      <c r="W18" s="4" t="e">
        <f ca="1">VLOOKUP($X18,OFFSET([5]enemy_skill_sets!$B$1,0,0,COUNTA([5]enemy_skill_sets!$B:$B),MATCH(N$1,[5]enemy_skill_sets!$1:$1,0)-MATCH($X$1,[5]enemy_skill_sets!$1:$1,0)+2),MATCH(N$1,[5]enemy_skill_sets!$1:$1,0)-MATCH($X$1,[5]enemy_skill_sets!$1:$1,0)+2,FALSE)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18" s="4">
        <v>60001109</v>
      </c>
      <c r="Y18" s="70">
        <v>1</v>
      </c>
    </row>
    <row r="19" spans="1:25" ht="21" customHeight="1">
      <c r="A19" s="16" t="str">
        <f t="shared" si="15"/>
        <v>60003_3-6/488&lt;lv70&gt;sq1st3</v>
      </c>
      <c r="B19" s="22">
        <v>60003</v>
      </c>
      <c r="C19" s="21">
        <v>3</v>
      </c>
      <c r="D19" s="2" t="str">
        <f t="shared" si="16"/>
        <v>60003_3</v>
      </c>
      <c r="E19" s="4" t="str">
        <f ca="1">VLOOKUP($B19,OFFSET([2]quests!$A$1,0,0,COUNTA([2]quests!$A:$A),MATCH(E$1,[2]quests!$1:$1,0)-MATCH($B$1,[2]quests!$1:$1,0)+1),MATCH(E$1,[2]quests!$1:$1,0)-MATCH($B$1,[2]quests!$1:$1,0)+1,FALSE)</f>
        <v>ヘンペルチャレンジ</v>
      </c>
      <c r="F19" s="4" t="str">
        <f ca="1">VLOOKUP($D19,OFFSET([2]stages!$A$1,0,0,COUNTA([2]stages!$A:$A),MATCH(F$1,[2]stages!$2:$2,0)-MATCH($D$1,[2]stages!$2:$2,0)+1),MATCH(F$1,[2]stages!$2:$2,0)-MATCH($D$1,[2]stages!$2:$2,0)+1,FALSE)</f>
        <v>[ウィザード] 第3回　</v>
      </c>
      <c r="G19" s="21">
        <v>6</v>
      </c>
      <c r="H19" s="15" t="str">
        <f t="shared" si="17"/>
        <v>60003_3-6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>
        <v>1</v>
      </c>
      <c r="L19" s="38">
        <v>3</v>
      </c>
      <c r="M19" s="20">
        <v>488</v>
      </c>
      <c r="N19" s="17" t="str">
        <f ca="1">VLOOKUP($M19,OFFSET([3]enemies!$A$1,0,0,COUNTA([3]enemies!$A:$A),MATCH(N$1,[3]enemies!$1:$1,0)-MATCH($M$1,[3]enemies!$1:$1,0)+1),MATCH(N$1,[3]enemies!$1:$1,0)-MATCH($M$1,[3]enemies!$1:$1,0)+1,FALSE)</f>
        <v>直観の異論 ヘンペル</v>
      </c>
      <c r="O19" s="17" t="str">
        <f ca="1">VLOOKUP($M19,OFFSET([3]enemies!$A$1,0,0,COUNTA([3]enemies!$A:$A),MATCH(O$1,[3]enemies!$1:$1,0)-MATCH($M$1,[3]enemies!$1:$1,0)+1),MATCH(O$1,[3]enemies!$1:$1,0)-MATCH($M$1,[3]enemies!$1:$1,0)+1,FALSE)</f>
        <v>blue</v>
      </c>
      <c r="P19" s="17" t="str">
        <f ca="1">VLOOKUP($M19,OFFSET([4]characters!$A$1,0,0,COUNTA([4]characters!$A:$A),MATCH(P$1,[4]characters!$1:$1,0)-MATCH($M$1,[4]characters!$1:$1,0)+1),MATCH(P$1,[4]characters!$1:$1,0)-MATCH($M$1,[4]characters!$1:$1,0)+1,FALSE)</f>
        <v>PremiumSSS</v>
      </c>
      <c r="Q19" s="17" t="str">
        <f ca="1">VLOOKUP($M19,OFFSET([3]enemies!$A$1,0,0,COUNTA([3]enemies!$A:$A),MATCH(Q$1,[3]enemies!$1:$1,0)-MATCH($M$1,[3]enemies!$1:$1,0)+1),MATCH(Q$1,[3]enemies!$1:$1,0)-MATCH($M$1,[3]enemies!$1:$1,0)+1,FALSE)</f>
        <v>human</v>
      </c>
      <c r="R19" s="17">
        <f ca="1">VLOOKUP($M19,OFFSET([3]enemies!$A$1,0,0,COUNTA([3]enemies!$A:$A),MATCH(R$1,[3]enemies!$1:$1,0)-MATCH($M$1,[3]enemies!$1:$1,0)+1),MATCH(R$1,[3]enemies!$1:$1,0)-MATCH($M$1,[3]enemies!$1:$1,0)+1,FALSE)</f>
        <v>60</v>
      </c>
      <c r="S19" s="5">
        <v>70</v>
      </c>
      <c r="T19" s="25">
        <v>1.6</v>
      </c>
      <c r="U19" s="25">
        <v>1</v>
      </c>
      <c r="V19" s="5">
        <v>0</v>
      </c>
      <c r="W19" s="4" t="e">
        <f ca="1">VLOOKUP($X19,OFFSET([5]enemy_skill_sets!$B$1,0,0,COUNTA([5]enemy_skill_sets!$B:$B),MATCH(N$1,[5]enemy_skill_sets!$1:$1,0)-MATCH($X$1,[5]enemy_skill_sets!$1:$1,0)+2),MATCH(N$1,[5]enemy_skill_sets!$1:$1,0)-MATCH($X$1,[5]enemy_skill_sets!$1:$1,0)+2,FALSE)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19" s="4">
        <v>60001110</v>
      </c>
      <c r="Y19" s="70">
        <v>1</v>
      </c>
    </row>
    <row r="20" spans="1:25" ht="21" customHeight="1">
      <c r="A20" s="16" t="str">
        <f>B20&amp;"_"&amp;C20&amp;"-"&amp;G20&amp;"/"&amp;M20&amp;"&lt;lv"&amp;S20&amp;"&gt;sq"&amp;K20&amp;"st"&amp;L20</f>
        <v>60004_1-4/582&lt;lv70&gt;sq1st2</v>
      </c>
      <c r="B20" s="22">
        <v>60004</v>
      </c>
      <c r="C20" s="21">
        <v>1</v>
      </c>
      <c r="D20" s="2" t="str">
        <f>B20&amp;"_"&amp;C20</f>
        <v>60004_1</v>
      </c>
      <c r="E20" s="4" t="str">
        <f ca="1">VLOOKUP($B20,OFFSET([2]quests!$A$1,0,0,COUNTA([2]quests!$A:$A),MATCH(E$1,[2]quests!$1:$1,0)-MATCH($B$1,[2]quests!$1:$1,0)+1),MATCH(E$1,[2]quests!$1:$1,0)-MATCH($B$1,[2]quests!$1:$1,0)+1,FALSE)</f>
        <v>ヘンペルチャレンジ</v>
      </c>
      <c r="F20" s="4" t="str">
        <f ca="1">VLOOKUP($D20,OFFSET([2]stages!$A$1,0,0,COUNTA([2]stages!$A:$A),MATCH(F$1,[2]stages!$2:$2,0)-MATCH($D$1,[2]stages!$2:$2,0)+1),MATCH(F$1,[2]stages!$2:$2,0)-MATCH($D$1,[2]stages!$2:$2,0)+1,FALSE)</f>
        <v>[ウィザード] 第4回　</v>
      </c>
      <c r="G20" s="21">
        <v>4</v>
      </c>
      <c r="H20" s="15" t="str">
        <f>B20&amp;"_"&amp;C20&amp;"-"&amp;G20</f>
        <v>60004_1-4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>
        <v>1</v>
      </c>
      <c r="L20" s="38">
        <v>2</v>
      </c>
      <c r="M20" s="20">
        <v>582</v>
      </c>
      <c r="N20" s="17" t="str">
        <f ca="1">VLOOKUP($M20,OFFSET([3]enemies!$A$1,0,0,COUNTA([3]enemies!$A:$A),MATCH(N$1,[3]enemies!$1:$1,0)-MATCH($M$1,[3]enemies!$1:$1,0)+1),MATCH(N$1,[3]enemies!$1:$1,0)-MATCH($M$1,[3]enemies!$1:$1,0)+1,FALSE)</f>
        <v>空を駆る双鴉 フギンとムニン</v>
      </c>
      <c r="O20" s="17" t="str">
        <f ca="1">VLOOKUP($M20,OFFSET([3]enemies!$A$1,0,0,COUNTA([3]enemies!$A:$A),MATCH(O$1,[3]enemies!$1:$1,0)-MATCH($M$1,[3]enemies!$1:$1,0)+1),MATCH(O$1,[3]enemies!$1:$1,0)-MATCH($M$1,[3]enemies!$1:$1,0)+1,FALSE)</f>
        <v>blue</v>
      </c>
      <c r="P20" s="17" t="str">
        <f ca="1">VLOOKUP($M20,OFFSET([4]characters!$A$1,0,0,COUNTA([4]characters!$A:$A),MATCH(P$1,[4]characters!$1:$1,0)-MATCH($M$1,[4]characters!$1:$1,0)+1),MATCH(P$1,[4]characters!$1:$1,0)-MATCH($M$1,[4]characters!$1:$1,0)+1,FALSE)</f>
        <v>DropWizS</v>
      </c>
      <c r="Q20" s="17" t="str">
        <f ca="1">VLOOKUP($M20,OFFSET([3]enemies!$A$1,0,0,COUNTA([3]enemies!$A:$A),MATCH(Q$1,[3]enemies!$1:$1,0)-MATCH($M$1,[3]enemies!$1:$1,0)+1),MATCH(Q$1,[3]enemies!$1:$1,0)-MATCH($M$1,[3]enemies!$1:$1,0)+1,FALSE)</f>
        <v>machine</v>
      </c>
      <c r="R20" s="17">
        <f ca="1">VLOOKUP($M20,OFFSET([3]enemies!$A$1,0,0,COUNTA([3]enemies!$A:$A),MATCH(R$1,[3]enemies!$1:$1,0)-MATCH($M$1,[3]enemies!$1:$1,0)+1),MATCH(R$1,[3]enemies!$1:$1,0)-MATCH($M$1,[3]enemies!$1:$1,0)+1,FALSE)</f>
        <v>60</v>
      </c>
      <c r="S20" s="5">
        <v>70</v>
      </c>
      <c r="T20" s="25">
        <v>1.2</v>
      </c>
      <c r="U20" s="25">
        <v>1</v>
      </c>
      <c r="V20" s="5">
        <v>0</v>
      </c>
      <c r="W20" s="4" t="e">
        <f ca="1">VLOOKUP($X20,OFFSET([5]enemy_skill_sets!$B$1,0,0,COUNTA([5]enemy_skill_sets!$B:$B),MATCH(N$1,[5]enemy_skill_sets!$1:$1,0)-MATCH($X$1,[5]enemy_skill_sets!$1:$1,0)+2),MATCH(N$1,[5]enemy_skill_sets!$1:$1,0)-MATCH($X$1,[5]enemy_skill_sets!$1:$1,0)+2,FALSE)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0" s="4">
        <v>60001105</v>
      </c>
      <c r="Y20" s="70">
        <v>2</v>
      </c>
    </row>
    <row r="21" spans="1:25" ht="21" customHeight="1">
      <c r="A21" s="16" t="str">
        <f t="shared" ref="A21:A22" si="18">B21&amp;"_"&amp;C21&amp;"-"&amp;G21&amp;"/"&amp;M21&amp;"&lt;lv"&amp;S21&amp;"&gt;sq"&amp;K21&amp;"st"&amp;L21</f>
        <v>60004_1-6/488&lt;lv70&gt;sq1st2</v>
      </c>
      <c r="B21" s="22">
        <v>60004</v>
      </c>
      <c r="C21" s="21">
        <v>1</v>
      </c>
      <c r="D21" s="2" t="str">
        <f t="shared" ref="D21:D22" si="19">B21&amp;"_"&amp;C21</f>
        <v>60004_1</v>
      </c>
      <c r="E21" s="4" t="str">
        <f ca="1">VLOOKUP($B21,OFFSET([2]quests!$A$1,0,0,COUNTA([2]quests!$A:$A),MATCH(E$1,[2]quests!$1:$1,0)-MATCH($B$1,[2]quests!$1:$1,0)+1),MATCH(E$1,[2]quests!$1:$1,0)-MATCH($B$1,[2]quests!$1:$1,0)+1,FALSE)</f>
        <v>ヘンペルチャレンジ</v>
      </c>
      <c r="F21" s="4" t="str">
        <f ca="1">VLOOKUP($D21,OFFSET([2]stages!$A$1,0,0,COUNTA([2]stages!$A:$A),MATCH(F$1,[2]stages!$2:$2,0)-MATCH($D$1,[2]stages!$2:$2,0)+1),MATCH(F$1,[2]stages!$2:$2,0)-MATCH($D$1,[2]stages!$2:$2,0)+1,FALSE)</f>
        <v>[ウィザード] 第4回　</v>
      </c>
      <c r="G21" s="21">
        <v>6</v>
      </c>
      <c r="H21" s="15" t="str">
        <f t="shared" ref="H21:H22" si="20">B21&amp;"_"&amp;C21&amp;"-"&amp;G21</f>
        <v>60004_1-6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8">
        <v>1</v>
      </c>
      <c r="L21" s="38">
        <v>2</v>
      </c>
      <c r="M21" s="20">
        <v>488</v>
      </c>
      <c r="N21" s="17" t="str">
        <f ca="1">VLOOKUP($M21,OFFSET([3]enemies!$A$1,0,0,COUNTA([3]enemies!$A:$A),MATCH(N$1,[3]enemies!$1:$1,0)-MATCH($M$1,[3]enemies!$1:$1,0)+1),MATCH(N$1,[3]enemies!$1:$1,0)-MATCH($M$1,[3]enemies!$1:$1,0)+1,FALSE)</f>
        <v>直観の異論 ヘンペル</v>
      </c>
      <c r="O21" s="17" t="str">
        <f ca="1">VLOOKUP($M21,OFFSET([3]enemies!$A$1,0,0,COUNTA([3]enemies!$A:$A),MATCH(O$1,[3]enemies!$1:$1,0)-MATCH($M$1,[3]enemies!$1:$1,0)+1),MATCH(O$1,[3]enemies!$1:$1,0)-MATCH($M$1,[3]enemies!$1:$1,0)+1,FALSE)</f>
        <v>blue</v>
      </c>
      <c r="P21" s="17" t="str">
        <f ca="1">VLOOKUP($M21,OFFSET([4]characters!$A$1,0,0,COUNTA([4]characters!$A:$A),MATCH(P$1,[4]characters!$1:$1,0)-MATCH($M$1,[4]characters!$1:$1,0)+1),MATCH(P$1,[4]characters!$1:$1,0)-MATCH($M$1,[4]characters!$1:$1,0)+1,FALSE)</f>
        <v>PremiumSSS</v>
      </c>
      <c r="Q21" s="17" t="str">
        <f ca="1">VLOOKUP($M21,OFFSET([3]enemies!$A$1,0,0,COUNTA([3]enemies!$A:$A),MATCH(Q$1,[3]enemies!$1:$1,0)-MATCH($M$1,[3]enemies!$1:$1,0)+1),MATCH(Q$1,[3]enemies!$1:$1,0)-MATCH($M$1,[3]enemies!$1:$1,0)+1,FALSE)</f>
        <v>human</v>
      </c>
      <c r="R21" s="17">
        <f ca="1">VLOOKUP($M21,OFFSET([3]enemies!$A$1,0,0,COUNTA([3]enemies!$A:$A),MATCH(R$1,[3]enemies!$1:$1,0)-MATCH($M$1,[3]enemies!$1:$1,0)+1),MATCH(R$1,[3]enemies!$1:$1,0)-MATCH($M$1,[3]enemies!$1:$1,0)+1,FALSE)</f>
        <v>60</v>
      </c>
      <c r="S21" s="5">
        <v>70</v>
      </c>
      <c r="T21" s="25">
        <v>1.2</v>
      </c>
      <c r="U21" s="25">
        <v>1</v>
      </c>
      <c r="V21" s="5">
        <v>0</v>
      </c>
      <c r="W21" s="4" t="e">
        <f ca="1">VLOOKUP($X21,OFFSET([5]enemy_skill_sets!$B$1,0,0,COUNTA([5]enemy_skill_sets!$B:$B),MATCH(N$1,[5]enemy_skill_sets!$1:$1,0)-MATCH($X$1,[5]enemy_skill_sets!$1:$1,0)+2),MATCH(N$1,[5]enemy_skill_sets!$1:$1,0)-MATCH($X$1,[5]enemy_skill_sets!$1:$1,0)+2,FALSE)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1" s="4">
        <v>60001109</v>
      </c>
      <c r="Y21" s="70">
        <v>1</v>
      </c>
    </row>
    <row r="22" spans="1:25" ht="21" customHeight="1">
      <c r="A22" s="16" t="str">
        <f t="shared" si="18"/>
        <v>60004_1-6/488&lt;lv70&gt;sq1st3</v>
      </c>
      <c r="B22" s="22">
        <v>60004</v>
      </c>
      <c r="C22" s="21">
        <v>1</v>
      </c>
      <c r="D22" s="2" t="str">
        <f t="shared" si="19"/>
        <v>60004_1</v>
      </c>
      <c r="E22" s="4" t="str">
        <f ca="1">VLOOKUP($B22,OFFSET([2]quests!$A$1,0,0,COUNTA([2]quests!$A:$A),MATCH(E$1,[2]quests!$1:$1,0)-MATCH($B$1,[2]quests!$1:$1,0)+1),MATCH(E$1,[2]quests!$1:$1,0)-MATCH($B$1,[2]quests!$1:$1,0)+1,FALSE)</f>
        <v>ヘンペルチャレンジ</v>
      </c>
      <c r="F22" s="4" t="str">
        <f ca="1">VLOOKUP($D22,OFFSET([2]stages!$A$1,0,0,COUNTA([2]stages!$A:$A),MATCH(F$1,[2]stages!$2:$2,0)-MATCH($D$1,[2]stages!$2:$2,0)+1),MATCH(F$1,[2]stages!$2:$2,0)-MATCH($D$1,[2]stages!$2:$2,0)+1,FALSE)</f>
        <v>[ウィザード] 第4回　</v>
      </c>
      <c r="G22" s="21">
        <v>6</v>
      </c>
      <c r="H22" s="15" t="str">
        <f t="shared" si="20"/>
        <v>60004_1-6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>
        <v>1</v>
      </c>
      <c r="L22" s="38">
        <v>3</v>
      </c>
      <c r="M22" s="20">
        <v>488</v>
      </c>
      <c r="N22" s="17" t="str">
        <f ca="1">VLOOKUP($M22,OFFSET([3]enemies!$A$1,0,0,COUNTA([3]enemies!$A:$A),MATCH(N$1,[3]enemies!$1:$1,0)-MATCH($M$1,[3]enemies!$1:$1,0)+1),MATCH(N$1,[3]enemies!$1:$1,0)-MATCH($M$1,[3]enemies!$1:$1,0)+1,FALSE)</f>
        <v>直観の異論 ヘンペル</v>
      </c>
      <c r="O22" s="17" t="str">
        <f ca="1">VLOOKUP($M22,OFFSET([3]enemies!$A$1,0,0,COUNTA([3]enemies!$A:$A),MATCH(O$1,[3]enemies!$1:$1,0)-MATCH($M$1,[3]enemies!$1:$1,0)+1),MATCH(O$1,[3]enemies!$1:$1,0)-MATCH($M$1,[3]enemies!$1:$1,0)+1,FALSE)</f>
        <v>blue</v>
      </c>
      <c r="P22" s="17" t="str">
        <f ca="1">VLOOKUP($M22,OFFSET([4]characters!$A$1,0,0,COUNTA([4]characters!$A:$A),MATCH(P$1,[4]characters!$1:$1,0)-MATCH($M$1,[4]characters!$1:$1,0)+1),MATCH(P$1,[4]characters!$1:$1,0)-MATCH($M$1,[4]characters!$1:$1,0)+1,FALSE)</f>
        <v>PremiumSSS</v>
      </c>
      <c r="Q22" s="17" t="str">
        <f ca="1">VLOOKUP($M22,OFFSET([3]enemies!$A$1,0,0,COUNTA([3]enemies!$A:$A),MATCH(Q$1,[3]enemies!$1:$1,0)-MATCH($M$1,[3]enemies!$1:$1,0)+1),MATCH(Q$1,[3]enemies!$1:$1,0)-MATCH($M$1,[3]enemies!$1:$1,0)+1,FALSE)</f>
        <v>human</v>
      </c>
      <c r="R22" s="17">
        <f ca="1">VLOOKUP($M22,OFFSET([3]enemies!$A$1,0,0,COUNTA([3]enemies!$A:$A),MATCH(R$1,[3]enemies!$1:$1,0)-MATCH($M$1,[3]enemies!$1:$1,0)+1),MATCH(R$1,[3]enemies!$1:$1,0)-MATCH($M$1,[3]enemies!$1:$1,0)+1,FALSE)</f>
        <v>60</v>
      </c>
      <c r="S22" s="5">
        <v>70</v>
      </c>
      <c r="T22" s="25">
        <v>1.6</v>
      </c>
      <c r="U22" s="25">
        <v>1</v>
      </c>
      <c r="V22" s="5">
        <v>0</v>
      </c>
      <c r="W22" s="4" t="e">
        <f ca="1">VLOOKUP($X22,OFFSET([5]enemy_skill_sets!$B$1,0,0,COUNTA([5]enemy_skill_sets!$B:$B),MATCH(N$1,[5]enemy_skill_sets!$1:$1,0)-MATCH($X$1,[5]enemy_skill_sets!$1:$1,0)+2),MATCH(N$1,[5]enemy_skill_sets!$1:$1,0)-MATCH($X$1,[5]enemy_skill_sets!$1:$1,0)+2,FALSE)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2" s="4">
        <v>60001110</v>
      </c>
      <c r="Y22" s="70">
        <v>1</v>
      </c>
    </row>
  </sheetData>
  <sheetProtection selectLockedCells="1" selectUnlockedCells="1"/>
  <autoFilter ref="B1:Y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5"/>
  <sheetViews>
    <sheetView showGridLines="0" workbookViewId="0">
      <pane xSplit="5" ySplit="1" topLeftCell="F4" activePane="bottomRight" state="frozen"/>
      <selection pane="topRight"/>
      <selection pane="bottomLeft"/>
      <selection pane="bottomRight" activeCell="H12" sqref="H12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" si="0">B2&amp;"_"&amp;C2</f>
        <v>60001100_60001100</v>
      </c>
      <c r="B2" s="47">
        <v>60001100</v>
      </c>
      <c r="C2" s="47">
        <v>60001100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ようこそランキングクエストへ！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ヘンペルチャレンジスタート！</v>
      </c>
      <c r="F2" s="47">
        <v>60001100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>
      <c r="A3" s="39" t="str">
        <f t="shared" ref="A3:A30" si="1">B3&amp;"_"&amp;C3</f>
        <v>60001101_60001101</v>
      </c>
      <c r="B3" s="47">
        <v>60001101</v>
      </c>
      <c r="C3" s="47">
        <v>60001101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先手必勝！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先制攻撃</v>
      </c>
      <c r="F3" s="47">
        <v>60001101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>
      <c r="A4" s="39" t="str">
        <f t="shared" si="1"/>
        <v>60001102_60001102</v>
      </c>
      <c r="B4" s="47">
        <v>60001102</v>
      </c>
      <c r="C4" s="47">
        <v>60001102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３連斬り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３回連続攻撃</v>
      </c>
      <c r="F4" s="47">
        <v>60001102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" s="47"/>
      <c r="Q4" s="47"/>
      <c r="R4" s="47"/>
    </row>
    <row r="5" spans="1:18" ht="21" customHeight="1">
      <c r="A5" s="39" t="str">
        <f t="shared" si="1"/>
        <v>60001103_60001103</v>
      </c>
      <c r="B5" s="47">
        <v>60001103</v>
      </c>
      <c r="C5" s="47">
        <v>60001103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りんご速報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この果実たちはターン０になると自爆する！</v>
      </c>
      <c r="F5" s="47">
        <v>60001103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>
      <c r="A6" s="39" t="str">
        <f t="shared" si="1"/>
        <v>60001103_60001104</v>
      </c>
      <c r="B6" s="47">
        <v>60001103</v>
      </c>
      <c r="C6" s="47">
        <v>60001104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生命の爆発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自爆攻撃</v>
      </c>
      <c r="F6" s="47">
        <v>60001104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>
      <c r="A7" s="39" t="str">
        <f t="shared" si="1"/>
        <v>60001104_60001105</v>
      </c>
      <c r="B7" s="47">
        <v>60001104</v>
      </c>
      <c r="C7" s="47">
        <v>60001105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警戒すべし！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" s="47">
        <v>60001105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>
      <c r="A8" s="39" t="str">
        <f t="shared" si="1"/>
        <v>60001104_60001106</v>
      </c>
      <c r="B8" s="47">
        <v>60001104</v>
      </c>
      <c r="C8" s="47">
        <v>60001106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ダブルレイヴン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連続攻撃</v>
      </c>
      <c r="F8" s="47">
        <v>60001106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>
      <c r="A9" s="39" t="str">
        <f t="shared" si="1"/>
        <v>60001104_60001107</v>
      </c>
      <c r="B9" s="47">
        <v>60001104</v>
      </c>
      <c r="C9" s="47">
        <v>60001107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ウィルス検索中である！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緑パネルドロップ率ゼロ＆ 次のターン緑パネル破壊攻撃</v>
      </c>
      <c r="F9" s="47">
        <v>60001107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>
      <c r="A10" s="39" t="str">
        <f t="shared" si="1"/>
        <v>60001104_60001108</v>
      </c>
      <c r="B10" s="47">
        <v>60001104</v>
      </c>
      <c r="C10" s="47">
        <v>60001108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データ破壊実行！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緑パネル破壊攻撃</v>
      </c>
      <c r="F10" s="47">
        <v>60001108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>
      <c r="A11" s="39" t="str">
        <f t="shared" si="1"/>
        <v>60001105_60001109</v>
      </c>
      <c r="B11" s="47">
        <v>60001105</v>
      </c>
      <c r="C11" s="47">
        <v>60001109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セキュリティを再構築せよ！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先制攻撃＋状態異常無効</v>
      </c>
      <c r="F11" s="47">
        <v>60001109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>
      <c r="A12" s="39" t="str">
        <f t="shared" si="1"/>
        <v>60001105_60001110</v>
      </c>
      <c r="B12" s="47">
        <v>60001105</v>
      </c>
      <c r="C12" s="47">
        <v>60001110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シャドーレイヴンズ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2" s="47">
        <v>60001110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>
      <c r="A13" s="39" t="str">
        <f t="shared" si="1"/>
        <v>60001105_60001111</v>
      </c>
      <c r="B13" s="47">
        <v>60001105</v>
      </c>
      <c r="C13" s="47">
        <v>60001111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CPUオーバーヒート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ハートパネルを赤パネルに変換</v>
      </c>
      <c r="F13" s="47">
        <v>60001111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>
      <c r="A14" s="39" t="str">
        <f t="shared" si="1"/>
        <v>60001105_60001112</v>
      </c>
      <c r="B14" s="47">
        <v>60001105</v>
      </c>
      <c r="C14" s="47">
        <v>60001112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レイヴンズトリック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ランダムで威力が変わる攻撃</v>
      </c>
      <c r="F14" s="47">
        <v>60001112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>
      <c r="A15" s="39" t="str">
        <f t="shared" si="1"/>
        <v>60001105_60001113</v>
      </c>
      <c r="B15" s="47">
        <v>60001105</v>
      </c>
      <c r="C15" s="47">
        <v>60001113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レイヴンズトリック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ランダムで威力が変わる攻撃</v>
      </c>
      <c r="F15" s="47">
        <v>60001113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15" s="47"/>
      <c r="Q15" s="47"/>
      <c r="R15" s="47"/>
    </row>
    <row r="16" spans="1:18" ht="21" customHeight="1">
      <c r="A16" s="39" t="str">
        <f t="shared" si="1"/>
        <v>60001105_60001114</v>
      </c>
      <c r="B16" s="47">
        <v>60001105</v>
      </c>
      <c r="C16" s="47">
        <v>60001114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レイヴンズトリック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ランダムで威力が変わる攻撃</v>
      </c>
      <c r="F16" s="47">
        <v>60001114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6" s="47"/>
      <c r="Q16" s="47"/>
      <c r="R16" s="47"/>
    </row>
    <row r="17" spans="1:18" ht="21" customHeight="1">
      <c r="A17" s="39" t="str">
        <f t="shared" si="1"/>
        <v>60001106_60001115</v>
      </c>
      <c r="B17" s="47">
        <v>60001106</v>
      </c>
      <c r="C17" s="47">
        <v>60001115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くっ・・・目が疼く・・・！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次のターンに強力な攻撃</v>
      </c>
      <c r="F17" s="47">
        <v>60001115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>
      <c r="A18" s="39" t="str">
        <f t="shared" si="1"/>
        <v>60001106_60001116</v>
      </c>
      <c r="B18" s="47">
        <v>60001106</v>
      </c>
      <c r="C18" s="47">
        <v>60001116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ティラトーレ・シェルト！！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強力な攻撃</v>
      </c>
      <c r="F18" s="47">
        <v>60001116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>
      <c r="A19" s="39" t="str">
        <f t="shared" si="1"/>
        <v>60001107_60001117</v>
      </c>
      <c r="B19" s="47">
        <v>60001107</v>
      </c>
      <c r="C19" s="47">
        <v>60001117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俺たちが相手だ…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封印術・禁癒</v>
      </c>
      <c r="F19" s="47">
        <v>60001117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>
      <c r="A20" s="39" t="str">
        <f t="shared" si="1"/>
        <v>60001107_60001118</v>
      </c>
      <c r="B20" s="47">
        <v>60001107</v>
      </c>
      <c r="C20" s="47">
        <v>60001118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封印術・禁火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1ターン赤パネルが使えない！</v>
      </c>
      <c r="F20" s="47">
        <v>60001118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>
      <c r="A21" s="39" t="str">
        <f t="shared" si="1"/>
        <v>60001107_60001119</v>
      </c>
      <c r="B21" s="47">
        <v>60001107</v>
      </c>
      <c r="C21" s="47">
        <v>60001119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封印術・禁風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1ターン緑パネルが使えない！</v>
      </c>
      <c r="F21" s="47">
        <v>60001119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>
      <c r="A22" s="39" t="str">
        <f t="shared" si="1"/>
        <v>60001107_60001120</v>
      </c>
      <c r="B22" s="47">
        <v>60001107</v>
      </c>
      <c r="C22" s="47">
        <v>60001120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封印術・禁氷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1ターン青パネルが使えない！</v>
      </c>
      <c r="F22" s="47">
        <v>60001120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>
      <c r="A23" s="39" t="str">
        <f t="shared" si="1"/>
        <v>60001107_60001121</v>
      </c>
      <c r="B23" s="47">
        <v>60001107</v>
      </c>
      <c r="C23" s="47">
        <v>60001121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封印術・禁雷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1ターン黄パネルが使えない！</v>
      </c>
      <c r="F23" s="47">
        <v>60001121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>
      <c r="A24" s="39" t="str">
        <f t="shared" si="1"/>
        <v>60001107_60001122</v>
      </c>
      <c r="B24" s="47">
        <v>60001107</v>
      </c>
      <c r="C24" s="47">
        <v>60001122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疾風迅雷の術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八咫烏の行動頻度がUP</v>
      </c>
      <c r="F24" s="47">
        <v>60001122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>
      <c r="A25" s="39" t="str">
        <f t="shared" si="1"/>
        <v>60001108_60001123</v>
      </c>
      <c r="B25" s="47">
        <v>60001108</v>
      </c>
      <c r="C25" s="47">
        <v>60001123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君は[player_ranking_grade]の挑戦者か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全力を出したまへ</v>
      </c>
      <c r="F25" s="47">
        <v>60001123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>
      <c r="A26" s="39" t="str">
        <f t="shared" si="1"/>
        <v>60001108_60001124</v>
      </c>
      <c r="B26" s="47">
        <v>60001108</v>
      </c>
      <c r="C26" s="47">
        <v>60001124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こんなものか…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強力な攻撃</v>
      </c>
      <c r="F26" s="47">
        <v>60001124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>
      <c r="A27" s="39" t="str">
        <f t="shared" si="1"/>
        <v>60001109_60001125</v>
      </c>
      <c r="B27" s="47">
        <v>60001109</v>
      </c>
      <c r="C27" s="47">
        <v>60001125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次のステップに行こうか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7" s="47">
        <v>60001125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>
      <c r="A28" s="39" t="str">
        <f t="shared" si="1"/>
        <v>60001109_60001126</v>
      </c>
      <c r="B28" s="47">
        <v>60001109</v>
      </c>
      <c r="C28" s="47">
        <v>60001126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数えきれるかい？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連続攻撃</v>
      </c>
      <c r="F28" s="47">
        <v>60001126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8" s="47"/>
      <c r="Q28" s="47"/>
      <c r="R28" s="47"/>
    </row>
    <row r="29" spans="1:18" ht="21" customHeight="1">
      <c r="A29" s="39" t="str">
        <f t="shared" si="1"/>
        <v>60001109_60001127</v>
      </c>
      <c r="B29" s="47">
        <v>60001109</v>
      </c>
      <c r="C29" s="47">
        <v>60001127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人間はカラスではない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ヒューマンキラー</v>
      </c>
      <c r="F29" s="47">
        <v>60001127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>
      <c r="A30" s="39" t="str">
        <f t="shared" si="1"/>
        <v>60001109_60001128</v>
      </c>
      <c r="B30" s="47">
        <v>60001109</v>
      </c>
      <c r="C30" s="47">
        <v>60001128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すべてのカラスは黒い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この戦闘の間パネルの色が分からなくなる！</v>
      </c>
      <c r="F30" s="47">
        <v>60001128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>
      <c r="A31" s="39" t="str">
        <f t="shared" ref="A31:A33" si="2">B31&amp;"_"&amp;C31</f>
        <v>60001110_60001129</v>
      </c>
      <c r="B31" s="47">
        <v>60001110</v>
      </c>
      <c r="C31" s="47">
        <v>60001129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君の直観を見せてくれ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暗闇解除＋タップ時間制限【5秒】</v>
      </c>
      <c r="F31" s="47">
        <v>60001129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>
      <c r="A32" s="39" t="str">
        <f t="shared" si="2"/>
        <v>60001110_60001130</v>
      </c>
      <c r="B32" s="47">
        <v>60001110</v>
      </c>
      <c r="C32" s="47">
        <v>60001130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反論の実証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連続攻撃</v>
      </c>
      <c r="F32" s="47">
        <v>60001130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2" s="47"/>
      <c r="Q32" s="47"/>
      <c r="R32" s="47"/>
    </row>
    <row r="33" spans="1:18" ht="21" customHeight="1">
      <c r="A33" s="39" t="str">
        <f t="shared" si="2"/>
        <v>60001110_60001131</v>
      </c>
      <c r="B33" s="47">
        <v>60001110</v>
      </c>
      <c r="C33" s="47">
        <v>60001131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クロウ・トゥルース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フィーバーケージ減少＋全体攻撃</v>
      </c>
      <c r="F33" s="47">
        <v>60001131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3" s="47"/>
      <c r="Q33" s="47"/>
      <c r="R33" s="47"/>
    </row>
    <row r="34" spans="1:18" ht="21" customHeight="1">
      <c r="B34" s="47"/>
      <c r="C34" s="47"/>
      <c r="D34" s="46"/>
      <c r="E34" s="46"/>
      <c r="F34" s="47"/>
      <c r="G34" s="48"/>
      <c r="H34" s="48"/>
      <c r="I34" s="48"/>
      <c r="J34" s="48"/>
      <c r="K34" s="48"/>
      <c r="L34" s="48"/>
      <c r="M34" s="48"/>
      <c r="N34" s="48"/>
      <c r="O34" s="48"/>
    </row>
    <row r="35" spans="1:18" ht="21" customHeight="1">
      <c r="B35" s="47"/>
      <c r="C35" s="47"/>
      <c r="D35" s="46"/>
      <c r="E35" s="46"/>
      <c r="F35" s="47"/>
      <c r="G35" s="48"/>
      <c r="H35" s="48"/>
      <c r="I35" s="48"/>
      <c r="J35" s="48"/>
      <c r="K35" s="48"/>
      <c r="L35" s="48"/>
      <c r="M35" s="48"/>
      <c r="N35" s="48"/>
      <c r="O35" s="48"/>
    </row>
  </sheetData>
  <autoFilter ref="A1:R1"/>
  <phoneticPr fontId="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3"/>
  <sheetViews>
    <sheetView showGridLines="0" topLeftCell="C1" zoomScale="75" zoomScaleNormal="75" zoomScalePageLayoutView="75" workbookViewId="0">
      <pane ySplit="1" topLeftCell="A5" activePane="bottomLeft" state="frozenSplit"/>
      <selection pane="bottomLeft" activeCell="Y35" sqref="Y35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>
      <c r="A2" s="47">
        <v>60001100</v>
      </c>
      <c r="B2" s="109" t="s">
        <v>356</v>
      </c>
      <c r="C2" s="50">
        <v>3</v>
      </c>
      <c r="D2" s="50" t="s">
        <v>128</v>
      </c>
      <c r="E2" s="51" t="s">
        <v>384</v>
      </c>
      <c r="F2" s="51" t="s">
        <v>383</v>
      </c>
      <c r="G2" s="63" t="str">
        <f>IFERROR(LEFT(B2,FIND("],",B2)),B2)</f>
        <v>[effect:fix_speed, target:enemy_blue, turn:1]</v>
      </c>
      <c r="H2" s="63">
        <f>FIND("effect:",G2)+7</f>
        <v>9</v>
      </c>
      <c r="I2" s="63">
        <f>IFERROR(FIND(",",G2),LEN(G2))</f>
        <v>18</v>
      </c>
      <c r="J2" s="63">
        <f>FIND("target:",G2)+7</f>
        <v>27</v>
      </c>
      <c r="K2" s="63">
        <f>FIND(",",G2,I2+1)</f>
        <v>37</v>
      </c>
      <c r="L2" s="63" t="str">
        <f>IFERROR(VLOOKUP(MID(G2,J2,K2-J2),[6]skilldef!$C:$D,2,FALSE),"-") &amp; " / " &amp; IFERROR(VLOOKUP(MID(G2,H2,I2-H2),[6]skilldef!$A:$B,2,FALSE),"-")</f>
        <v>青の敵に / 行動値設定</v>
      </c>
      <c r="M2" s="63" t="str">
        <f>IFERROR(RIGHT(B2,LEN(B2)-FIND("],",B2)-1),"none")</f>
        <v>[effect:fix_speed, target:enemy_red, turn:2],[effect:fix_speed, target:enemy_yellow, turn:3],[effect:fix_speed, target:enemy_green, turn:4]</v>
      </c>
      <c r="N2" s="48" t="str">
        <f>IFERROR(LEFT(M2,FIND("],",M2)+S12),M2)</f>
        <v>[effect:fix_speed, target:enemy_red, turn:2],[effect:fix_speed, target:enemy_yellow, turn:3],[effect:fix_speed, target:enemy_green, turn:4]</v>
      </c>
      <c r="O2" s="63">
        <f>FIND("effect:",N2)+7</f>
        <v>9</v>
      </c>
      <c r="P2" s="63">
        <f>IFERROR(FIND(",",N2),LEN(N2))</f>
        <v>18</v>
      </c>
      <c r="Q2" s="63">
        <f>FIND("target:",N2)+7</f>
        <v>27</v>
      </c>
      <c r="R2" s="63">
        <f>FIND(",",N2,P2+1)</f>
        <v>36</v>
      </c>
      <c r="S2" s="63" t="str">
        <f>IFERROR(VLOOKUP(MID(N2,Q2,R2-Q2),[6]skilldef!$C:$D,2,FALSE),"-") &amp; " / " &amp; IFERROR(VLOOKUP(MID(N2,O2,P2-O2),[6]skilldef!$A:$B,2,FALSE),"-")</f>
        <v>赤の敵に / 行動値設定</v>
      </c>
      <c r="T2" s="48" t="str">
        <f>IFERROR(RIGHT(M2,LEN(M2)-FIND("],",M2)-1),"none")</f>
        <v>[effect:fix_speed, target:enemy_yellow, turn:3],[effect:fix_speed, target:enemy_green, turn:4]</v>
      </c>
      <c r="U2" s="63">
        <f>FIND("effect:",T2)+7</f>
        <v>9</v>
      </c>
      <c r="V2" s="63">
        <f>IFERROR(FIND(",",T2),LEN(T2))</f>
        <v>18</v>
      </c>
      <c r="W2" s="63">
        <f>FIND("target:",T2)+7</f>
        <v>27</v>
      </c>
      <c r="X2" s="63">
        <f>FIND(",",T2,V2+1)</f>
        <v>39</v>
      </c>
      <c r="Y2" s="63" t="str">
        <f>IFERROR(VLOOKUP(MID(T2,W2,X2-W2),[6]skilldef!$C:$D,2,FALSE),"-") &amp; " / " &amp; IFERROR(VLOOKUP(MID(T2,U2,V2-U2),[6]skilldef!$A:$B,2,FALSE),"-")</f>
        <v>黄の敵に / 行動値設定</v>
      </c>
      <c r="Z2" s="50"/>
      <c r="AA2" s="52"/>
      <c r="AB2" s="50"/>
    </row>
    <row r="3" spans="1:28" ht="21" customHeight="1">
      <c r="A3" s="47">
        <v>60001101</v>
      </c>
      <c r="B3" s="47" t="s">
        <v>386</v>
      </c>
      <c r="C3" s="50">
        <v>3</v>
      </c>
      <c r="D3" s="50" t="s">
        <v>128</v>
      </c>
      <c r="E3" s="51" t="s">
        <v>355</v>
      </c>
      <c r="F3" s="51" t="s">
        <v>268</v>
      </c>
      <c r="G3" s="63" t="str">
        <f t="shared" ref="G3:G25" si="0">IFERROR(LEFT(B3,FIND("],",B3)),B3)</f>
        <v>[effect:critical, val:1.0, animation:enemy_critical]</v>
      </c>
      <c r="H3" s="63">
        <f t="shared" ref="H3:H33" si="1">FIND("effect:",G3)+7</f>
        <v>9</v>
      </c>
      <c r="I3" s="63">
        <f t="shared" ref="I3:I25" si="2">IFERROR(FIND(",",G3),LEN(G3))</f>
        <v>17</v>
      </c>
      <c r="J3" s="63" t="e">
        <f t="shared" ref="J3:J25" si="3">FIND("target:",G3)+7</f>
        <v>#VALUE!</v>
      </c>
      <c r="K3" s="63">
        <f t="shared" ref="K3:K25" si="4">FIND(",",G3,I3+1)</f>
        <v>26</v>
      </c>
      <c r="L3" s="63" t="str">
        <f>IFERROR(VLOOKUP(MID(G3,J3,K3-J3),[6]skilldef!$C:$D,2,FALSE),"-") &amp; " / " &amp; IFERROR(VLOOKUP(MID(G3,H3,I3-H3),[6]skilldef!$A:$B,2,FALSE),"-")</f>
        <v>- / 大攻撃</v>
      </c>
      <c r="M3" s="63" t="str">
        <f t="shared" ref="M3:M25" si="5">IFERROR(RIGHT(B3,LEN(B3)-FIND("],",B3)-1),"none")</f>
        <v>[effect:fix_speed,target:enemy_human,turn:2],[effect:fix_speed,target:enemy_animal,turn:3]</v>
      </c>
      <c r="N3" s="48" t="str">
        <f t="shared" ref="N3:N16" si="6">IFERROR(LEFT(M3,FIND("],",M3)+S13),M3)</f>
        <v>[effect:fix_speed,target:enemy_human,turn:2],[effect:fix_speed,target:enemy_animal,turn:3]</v>
      </c>
      <c r="O3" s="63">
        <f t="shared" ref="O3:O33" si="7">FIND("effect:",N3)+7</f>
        <v>9</v>
      </c>
      <c r="P3" s="63">
        <f t="shared" ref="P3:P25" si="8">IFERROR(FIND(",",N3),LEN(N3))</f>
        <v>18</v>
      </c>
      <c r="Q3" s="63">
        <f t="shared" ref="Q3:Q25" si="9">FIND("target:",N3)+7</f>
        <v>26</v>
      </c>
      <c r="R3" s="63">
        <f t="shared" ref="R3:R25" si="10">FIND(",",N3,P3+1)</f>
        <v>37</v>
      </c>
      <c r="S3" s="63" t="str">
        <f>IFERROR(VLOOKUP(MID(N3,Q3,R3-Q3),[6]skilldef!$C:$D,2,FALSE),"-") &amp; " / " &amp; IFERROR(VLOOKUP(MID(N3,O3,P3-O3),[6]skilldef!$A:$B,2,FALSE),"-")</f>
        <v>- / 行動値設定</v>
      </c>
      <c r="T3" s="48" t="str">
        <f t="shared" ref="T3:T25" si="11">IFERROR(RIGHT(M3,LEN(M3)-FIND("],",M3)-1),"none")</f>
        <v>[effect:fix_speed,target:enemy_animal,turn:3]</v>
      </c>
      <c r="U3" s="63">
        <f t="shared" ref="U3:U33" si="12">FIND("effect:",T3)+7</f>
        <v>9</v>
      </c>
      <c r="V3" s="63">
        <f t="shared" ref="V3:V25" si="13">IFERROR(FIND(",",T3),LEN(T3))</f>
        <v>18</v>
      </c>
      <c r="W3" s="63">
        <f t="shared" ref="W3:W25" si="14">FIND("target:",T3)+7</f>
        <v>26</v>
      </c>
      <c r="X3" s="63">
        <f t="shared" ref="X3:X25" si="15">FIND(",",T3,V3+1)</f>
        <v>38</v>
      </c>
      <c r="Y3" s="63" t="str">
        <f>IFERROR(VLOOKUP(MID(T3,W3,X3-W3),[6]skilldef!$C:$D,2,FALSE),"-") &amp; " / " &amp; IFERROR(VLOOKUP(MID(T3,U3,V3-U3),[6]skilldef!$A:$B,2,FALSE),"-")</f>
        <v>- / 行動値設定</v>
      </c>
      <c r="Z3" s="50"/>
      <c r="AA3" s="52"/>
      <c r="AB3" s="50"/>
    </row>
    <row r="4" spans="1:28" ht="21" customHeight="1">
      <c r="A4" s="47">
        <v>60001102</v>
      </c>
      <c r="B4" s="47" t="s">
        <v>385</v>
      </c>
      <c r="C4" s="50">
        <v>3</v>
      </c>
      <c r="D4" s="50" t="s">
        <v>128</v>
      </c>
      <c r="E4" s="51" t="s">
        <v>270</v>
      </c>
      <c r="F4" s="51" t="s">
        <v>269</v>
      </c>
      <c r="G4" s="63" t="str">
        <f t="shared" si="0"/>
        <v>[effect:rush,count:3,val:0.5]</v>
      </c>
      <c r="H4" s="63">
        <f t="shared" si="1"/>
        <v>9</v>
      </c>
      <c r="I4" s="63">
        <f t="shared" si="2"/>
        <v>13</v>
      </c>
      <c r="J4" s="63" t="e">
        <f t="shared" si="3"/>
        <v>#VALUE!</v>
      </c>
      <c r="K4" s="63">
        <f t="shared" si="4"/>
        <v>21</v>
      </c>
      <c r="L4" s="63" t="str">
        <f>IFERROR(VLOOKUP(MID(G4,J4,K4-J4),[6]skilldef!$C:$D,2,FALSE),"-") &amp; " / " &amp; IFERROR(VLOOKUP(MID(G4,H4,I4-H4),[6]skilldef!$A:$B,2,FALSE),"-")</f>
        <v>- / 連続攻撃</v>
      </c>
      <c r="M4" s="63" t="str">
        <f t="shared" si="5"/>
        <v>none</v>
      </c>
      <c r="N4" s="48" t="str">
        <f t="shared" si="6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>
      <c r="A5" s="47">
        <v>60001103</v>
      </c>
      <c r="B5" s="47" t="s">
        <v>359</v>
      </c>
      <c r="C5" s="50">
        <v>3</v>
      </c>
      <c r="D5" s="50" t="s">
        <v>272</v>
      </c>
      <c r="E5" s="47" t="s">
        <v>273</v>
      </c>
      <c r="F5" s="51" t="s">
        <v>358</v>
      </c>
      <c r="G5" s="50"/>
      <c r="H5" s="50"/>
      <c r="I5" s="50"/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ref="M5" si="16">IFERROR(RIGHT(B5,LEN(B5)-FIND("],",B5)-1),"none")</f>
        <v>none</v>
      </c>
      <c r="N5" s="48" t="str">
        <f t="shared" ref="N5" si="17">IFERROR(LEFT(M5,FIND("],",M5)+S15),M5)</f>
        <v>none</v>
      </c>
      <c r="O5" s="63" t="e">
        <f t="shared" si="7"/>
        <v>#VALUE!</v>
      </c>
      <c r="P5" s="63">
        <f t="shared" ref="P5" si="18">IFERROR(FIND(",",N5),LEN(N5))</f>
        <v>4</v>
      </c>
      <c r="Q5" s="63" t="e">
        <f t="shared" ref="Q5" si="19">FIND("target:",N5)+7</f>
        <v>#VALUE!</v>
      </c>
      <c r="R5" s="63" t="e">
        <f t="shared" ref="R5" si="20">FIND(",",N5,P5+1)</f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ref="T5" si="21">IFERROR(RIGHT(M5,LEN(M5)-FIND("],",M5)-1),"none")</f>
        <v>none</v>
      </c>
      <c r="U5" s="63" t="e">
        <f t="shared" si="12"/>
        <v>#VALUE!</v>
      </c>
      <c r="V5" s="63">
        <f t="shared" ref="V5" si="22">IFERROR(FIND(",",T5),LEN(T5))</f>
        <v>4</v>
      </c>
      <c r="W5" s="63" t="e">
        <f t="shared" ref="W5" si="23">FIND("target:",T5)+7</f>
        <v>#VALUE!</v>
      </c>
      <c r="X5" s="63" t="e">
        <f t="shared" ref="X5" si="24">FIND(",",T5,V5+1)</f>
        <v>#VALUE!</v>
      </c>
      <c r="Y5" s="63" t="str">
        <f>IFERROR(VLOOKUP(MID(T5,W5,X5-W5),[6]skilldef!$C:$D,2,FALSE),"-") &amp; " / " &amp; IFERROR(VLOOKUP(MID(T5,U5,V5-U5),[6]skilldef!$A:$B,2,FALSE),"-")</f>
        <v>- / -</v>
      </c>
    </row>
    <row r="6" spans="1:28" ht="21" customHeight="1">
      <c r="A6" s="47">
        <v>60001104</v>
      </c>
      <c r="B6" s="47" t="s">
        <v>360</v>
      </c>
      <c r="C6" s="50">
        <v>3</v>
      </c>
      <c r="D6" s="50" t="s">
        <v>128</v>
      </c>
      <c r="E6" s="51" t="s">
        <v>271</v>
      </c>
      <c r="F6" s="51" t="s">
        <v>275</v>
      </c>
      <c r="G6" s="63" t="str">
        <f t="shared" si="0"/>
        <v>[effect:kamikaze, val:200.0, animation:enemy_kamikaze]</v>
      </c>
      <c r="H6" s="63">
        <f t="shared" si="1"/>
        <v>9</v>
      </c>
      <c r="I6" s="63">
        <f t="shared" si="2"/>
        <v>17</v>
      </c>
      <c r="J6" s="63" t="e">
        <f t="shared" si="3"/>
        <v>#VALUE!</v>
      </c>
      <c r="K6" s="63">
        <f t="shared" si="4"/>
        <v>28</v>
      </c>
      <c r="L6" s="63" t="str">
        <f>IFERROR(VLOOKUP(MID(G6,J6,K6-J6),[6]skilldef!$C:$D,2,FALSE),"-") &amp; " / " &amp; IFERROR(VLOOKUP(MID(G6,H6,I6-H6),[6]skilldef!$A:$B,2,FALSE),"-")</f>
        <v>- / 自爆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>
      <c r="A7" s="47">
        <v>60001105</v>
      </c>
      <c r="B7" s="110" t="s">
        <v>276</v>
      </c>
      <c r="C7" s="50">
        <v>3</v>
      </c>
      <c r="D7" s="50" t="s">
        <v>128</v>
      </c>
      <c r="E7" s="51" t="s">
        <v>277</v>
      </c>
      <c r="F7" s="51" t="s">
        <v>278</v>
      </c>
      <c r="G7" s="63" t="str">
        <f t="shared" si="0"/>
        <v>[effect:tolerance, target:myself, turn:-1, tolerance_effect:hungup, count:-1]</v>
      </c>
      <c r="H7" s="63">
        <f t="shared" si="1"/>
        <v>9</v>
      </c>
      <c r="I7" s="63">
        <f t="shared" si="2"/>
        <v>18</v>
      </c>
      <c r="J7" s="63">
        <f t="shared" si="3"/>
        <v>27</v>
      </c>
      <c r="K7" s="63">
        <f t="shared" si="4"/>
        <v>33</v>
      </c>
      <c r="L7" s="63" t="str">
        <f>IFERROR(VLOOKUP(MID(G7,J7,K7-J7),[6]skilldef!$C:$D,2,FALSE),"-") &amp; " / " &amp; IFERROR(VLOOKUP(MID(G7,H7,I7-H7),[6]skilldef!$A:$B,2,FALSE),"-")</f>
        <v>自分自身に / 状態異常耐性</v>
      </c>
      <c r="M7" s="63" t="str">
        <f t="shared" si="5"/>
        <v>[effect:tolerance, target:myself, turn:-1, tolerance_effect:virus, count:-1],[effect:tolerance, target:myself, turn:-1, tolerance_effect:sleep, count:-1, animation:enemy_tolerance]</v>
      </c>
      <c r="N7" s="48" t="str">
        <f t="shared" si="6"/>
        <v>[effect:tolerance, target:myself, turn:-1, tolerance_effect:virus, count:-1],[effect:tolerance, target:myself, turn:-1, tolerance_effect:sleep, count:-1, animation:enemy_tolerance]</v>
      </c>
      <c r="O7" s="63">
        <f t="shared" si="7"/>
        <v>9</v>
      </c>
      <c r="P7" s="63">
        <f t="shared" si="8"/>
        <v>18</v>
      </c>
      <c r="Q7" s="63">
        <f t="shared" si="9"/>
        <v>27</v>
      </c>
      <c r="R7" s="63">
        <f t="shared" si="10"/>
        <v>33</v>
      </c>
      <c r="S7" s="63" t="str">
        <f>IFERROR(VLOOKUP(MID(N7,Q7,R7-Q7),[6]skilldef!$C:$D,2,FALSE),"-") &amp; " / " &amp; IFERROR(VLOOKUP(MID(N7,O7,P7-O7),[6]skilldef!$A:$B,2,FALSE),"-")</f>
        <v>自分自身に / 状態異常耐性</v>
      </c>
      <c r="T7" s="48" t="str">
        <f t="shared" si="11"/>
        <v>[effect:tolerance, target:myself, turn:-1, tolerance_effect:sleep, count:-1, animation:enemy_tolerance]</v>
      </c>
      <c r="U7" s="63">
        <f t="shared" si="12"/>
        <v>9</v>
      </c>
      <c r="V7" s="63">
        <f t="shared" si="13"/>
        <v>18</v>
      </c>
      <c r="W7" s="63">
        <f t="shared" si="14"/>
        <v>27</v>
      </c>
      <c r="X7" s="63">
        <f t="shared" si="15"/>
        <v>33</v>
      </c>
      <c r="Y7" s="63" t="str">
        <f>IFERROR(VLOOKUP(MID(T7,W7,X7-W7),[6]skilldef!$C:$D,2,FALSE),"-") &amp; " / " &amp; IFERROR(VLOOKUP(MID(T7,U7,V7-U7),[6]skilldef!$A:$B,2,FALSE),"-")</f>
        <v>自分自身に / 状態異常耐性</v>
      </c>
      <c r="Z7" s="50"/>
      <c r="AA7" s="52"/>
      <c r="AB7" s="50"/>
    </row>
    <row r="8" spans="1:28" ht="21" customHeight="1">
      <c r="A8" s="47">
        <v>60001106</v>
      </c>
      <c r="B8" s="111" t="s">
        <v>283</v>
      </c>
      <c r="C8" s="50">
        <v>3</v>
      </c>
      <c r="D8" s="50" t="s">
        <v>128</v>
      </c>
      <c r="E8" s="51" t="s">
        <v>281</v>
      </c>
      <c r="F8" s="51" t="s">
        <v>279</v>
      </c>
      <c r="G8" s="63" t="str">
        <f t="shared" si="0"/>
        <v>[effect:rush, count:2, val:0.7]</v>
      </c>
      <c r="H8" s="63">
        <f t="shared" si="1"/>
        <v>9</v>
      </c>
      <c r="I8" s="63">
        <f t="shared" si="2"/>
        <v>13</v>
      </c>
      <c r="J8" s="63" t="e">
        <f t="shared" si="3"/>
        <v>#VALUE!</v>
      </c>
      <c r="K8" s="63">
        <f t="shared" si="4"/>
        <v>22</v>
      </c>
      <c r="L8" s="63" t="str">
        <f>IFERROR(VLOOKUP(MID(G8,J8,K8-J8),[6]skilldef!$C:$D,2,FALSE),"-") &amp; " / " &amp; IFERROR(VLOOKUP(MID(G8,H8,I8-H8),[6]skilldef!$A:$B,2,FALSE),"-")</f>
        <v>- / 連続攻撃</v>
      </c>
      <c r="M8" s="63" t="str">
        <f t="shared" si="5"/>
        <v>none</v>
      </c>
      <c r="N8" s="48" t="str">
        <f t="shared" si="6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>
      <c r="A9" s="47">
        <v>60001107</v>
      </c>
      <c r="B9" s="47" t="s">
        <v>280</v>
      </c>
      <c r="C9" s="50">
        <v>3</v>
      </c>
      <c r="D9" s="50" t="s">
        <v>128</v>
      </c>
      <c r="E9" s="51" t="s">
        <v>284</v>
      </c>
      <c r="F9" s="51" t="s">
        <v>339</v>
      </c>
      <c r="G9" s="63" t="str">
        <f t="shared" si="0"/>
        <v>[effect:rush, count:1, val:0.8]</v>
      </c>
      <c r="H9" s="63">
        <f t="shared" si="1"/>
        <v>9</v>
      </c>
      <c r="I9" s="63">
        <f t="shared" si="2"/>
        <v>13</v>
      </c>
      <c r="J9" s="63" t="e">
        <f t="shared" si="3"/>
        <v>#VALUE!</v>
      </c>
      <c r="K9" s="63">
        <f t="shared" si="4"/>
        <v>22</v>
      </c>
      <c r="L9" s="63" t="str">
        <f>IFERROR(VLOOKUP(MID(G9,J9,K9-J9),[6]skilldef!$C:$D,2,FALSE),"-") &amp; " / " &amp; IFERROR(VLOOKUP(MID(G9,H9,I9-H9),[6]skilldef!$A:$B,2,FALSE),"-")</f>
        <v>- / 連続攻撃</v>
      </c>
      <c r="M9" s="63" t="str">
        <f t="shared" si="5"/>
        <v>[effect:change_panel_ratio, turn:2, block_type:green, val:0, animation:block_incidence04]</v>
      </c>
      <c r="N9" s="48" t="str">
        <f t="shared" si="6"/>
        <v>[effect:change_panel_ratio, turn:2, block_type:green, val:0, animation:block_incidence04]</v>
      </c>
      <c r="O9" s="63">
        <f t="shared" si="7"/>
        <v>9</v>
      </c>
      <c r="P9" s="63">
        <f t="shared" si="8"/>
        <v>27</v>
      </c>
      <c r="Q9" s="63" t="e">
        <f t="shared" si="9"/>
        <v>#VALUE!</v>
      </c>
      <c r="R9" s="63">
        <f t="shared" si="10"/>
        <v>35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>
      <c r="A10" s="47">
        <v>60001108</v>
      </c>
      <c r="B10" s="47" t="s">
        <v>282</v>
      </c>
      <c r="C10" s="50">
        <v>3</v>
      </c>
      <c r="D10" s="50" t="s">
        <v>128</v>
      </c>
      <c r="E10" s="51" t="s">
        <v>285</v>
      </c>
      <c r="F10" s="51" t="s">
        <v>340</v>
      </c>
      <c r="G10" s="63" t="str">
        <f t="shared" si="0"/>
        <v>[effect:break_attack_fix, val:800, lowest_val:800, count:-1, block:block_green, target:unit_all]</v>
      </c>
      <c r="H10" s="63">
        <f t="shared" si="1"/>
        <v>9</v>
      </c>
      <c r="I10" s="63">
        <f t="shared" si="2"/>
        <v>25</v>
      </c>
      <c r="J10" s="63">
        <f t="shared" si="3"/>
        <v>88</v>
      </c>
      <c r="K10" s="63">
        <f t="shared" si="4"/>
        <v>34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5"/>
        <v>none</v>
      </c>
      <c r="N10" s="48" t="str">
        <f t="shared" si="6"/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>
      <c r="A11" s="47">
        <v>60001109</v>
      </c>
      <c r="B11" s="47" t="s">
        <v>287</v>
      </c>
      <c r="C11" s="50">
        <v>3</v>
      </c>
      <c r="D11" s="50" t="s">
        <v>128</v>
      </c>
      <c r="E11" s="51" t="s">
        <v>286</v>
      </c>
      <c r="F11" s="51" t="s">
        <v>288</v>
      </c>
      <c r="G11" s="63" t="str">
        <f t="shared" si="0"/>
        <v>[effect:critical,val:0.8,animation:enemy_critical]</v>
      </c>
      <c r="H11" s="63">
        <f t="shared" si="1"/>
        <v>9</v>
      </c>
      <c r="I11" s="63">
        <f t="shared" si="2"/>
        <v>17</v>
      </c>
      <c r="J11" s="63" t="e">
        <f t="shared" si="3"/>
        <v>#VALUE!</v>
      </c>
      <c r="K11" s="63">
        <f t="shared" si="4"/>
        <v>25</v>
      </c>
      <c r="L11" s="63" t="str">
        <f>IFERROR(VLOOKUP(MID(G11,J11,K11-J11),[6]skilldef!$C:$D,2,FALSE),"-") &amp; " / " &amp; IFERROR(VLOOKUP(MID(G11,H11,I11-H11),[6]skilldef!$A:$B,2,FALSE),"-")</f>
        <v>- / 大攻撃</v>
      </c>
      <c r="M11" s="63" t="str">
        <f t="shared" si="5"/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N11" s="48" t="str">
        <f t="shared" si="6"/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O11" s="63">
        <f t="shared" si="7"/>
        <v>9</v>
      </c>
      <c r="P11" s="63">
        <f t="shared" si="8"/>
        <v>18</v>
      </c>
      <c r="Q11" s="63">
        <f t="shared" si="9"/>
        <v>27</v>
      </c>
      <c r="R11" s="63">
        <f t="shared" si="10"/>
        <v>33</v>
      </c>
      <c r="S11" s="63" t="str">
        <f>IFERROR(VLOOKUP(MID(N11,Q11,R11-Q11),[6]skilldef!$C:$D,2,FALSE),"-") &amp; " / " &amp; IFERROR(VLOOKUP(MID(N11,O11,P11-O11),[6]skilldef!$A:$B,2,FALSE),"-")</f>
        <v>自分自身に / 状態異常耐性</v>
      </c>
      <c r="T11" s="48" t="str">
        <f t="shared" si="11"/>
        <v>[effect:tolerance, target:myself, turn:-1, tolerance_effect:virus, count:-1],[effect:tolerance, target:myself, turn:-1, tolerance_effect:sleep, count:-1, animation:enemy_tolerance]</v>
      </c>
      <c r="U11" s="63">
        <f t="shared" si="12"/>
        <v>9</v>
      </c>
      <c r="V11" s="63">
        <f t="shared" si="13"/>
        <v>18</v>
      </c>
      <c r="W11" s="63">
        <f t="shared" si="14"/>
        <v>27</v>
      </c>
      <c r="X11" s="63">
        <f t="shared" si="15"/>
        <v>33</v>
      </c>
      <c r="Y11" s="63" t="str">
        <f>IFERROR(VLOOKUP(MID(T11,W11,X11-W11),[6]skilldef!$C:$D,2,FALSE),"-") &amp; " / " &amp; IFERROR(VLOOKUP(MID(T11,U11,V11-U11),[6]skilldef!$A:$B,2,FALSE),"-")</f>
        <v>自分自身に / 状態異常耐性</v>
      </c>
      <c r="Z11" s="50"/>
      <c r="AA11" s="52"/>
      <c r="AB11" s="50"/>
    </row>
    <row r="12" spans="1:28" ht="21" customHeight="1">
      <c r="A12" s="47">
        <v>60001110</v>
      </c>
      <c r="B12" s="47" t="s">
        <v>289</v>
      </c>
      <c r="C12" s="50">
        <v>3</v>
      </c>
      <c r="D12" s="50" t="s">
        <v>128</v>
      </c>
      <c r="E12" s="51" t="s">
        <v>290</v>
      </c>
      <c r="F12" s="51" t="s">
        <v>279</v>
      </c>
      <c r="G12" s="63" t="str">
        <f t="shared" si="0"/>
        <v>[effect:rush, count:5, val:0.3]</v>
      </c>
      <c r="H12" s="63">
        <f t="shared" si="1"/>
        <v>9</v>
      </c>
      <c r="I12" s="63">
        <f t="shared" si="2"/>
        <v>13</v>
      </c>
      <c r="J12" s="63" t="e">
        <f t="shared" si="3"/>
        <v>#VALUE!</v>
      </c>
      <c r="K12" s="63">
        <f t="shared" si="4"/>
        <v>22</v>
      </c>
      <c r="L12" s="63" t="str">
        <f>IFERROR(VLOOKUP(MID(G12,J12,K12-J12),[6]skilldef!$C:$D,2,FALSE),"-") &amp; " / " &amp; IFERROR(VLOOKUP(MID(G12,H12,I12-H12),[6]skilldef!$A:$B,2,FALSE),"-")</f>
        <v>- / 連続攻撃</v>
      </c>
      <c r="M12" s="63" t="str">
        <f t="shared" si="5"/>
        <v>none</v>
      </c>
      <c r="N12" s="48" t="str">
        <f t="shared" si="6"/>
        <v>none</v>
      </c>
      <c r="O12" s="63" t="e">
        <f t="shared" si="7"/>
        <v>#VALUE!</v>
      </c>
      <c r="P12" s="63">
        <f t="shared" si="8"/>
        <v>4</v>
      </c>
      <c r="Q12" s="63" t="e">
        <f t="shared" si="9"/>
        <v>#VALUE!</v>
      </c>
      <c r="R12" s="63" t="e">
        <f t="shared" si="10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>
      <c r="A13" s="47">
        <v>60001111</v>
      </c>
      <c r="B13" s="47" t="s">
        <v>291</v>
      </c>
      <c r="C13" s="50">
        <v>3</v>
      </c>
      <c r="D13" s="50" t="s">
        <v>128</v>
      </c>
      <c r="E13" s="51" t="s">
        <v>292</v>
      </c>
      <c r="F13" s="51" t="s">
        <v>293</v>
      </c>
      <c r="G13" s="63" t="str">
        <f t="shared" si="0"/>
        <v>[effect:heal, target:enemy_one, val:0.1, animation:enemy_heal][effect:change_block, new_block:block_red, target:block_heart, count:0, val:0, animation:change_block]</v>
      </c>
      <c r="H13" s="63">
        <f t="shared" si="1"/>
        <v>9</v>
      </c>
      <c r="I13" s="63">
        <f t="shared" si="2"/>
        <v>13</v>
      </c>
      <c r="J13" s="63">
        <f t="shared" si="3"/>
        <v>22</v>
      </c>
      <c r="K13" s="63">
        <f t="shared" si="4"/>
        <v>31</v>
      </c>
      <c r="L13" s="63" t="str">
        <f>IFERROR(VLOOKUP(MID(G13,J13,K13-J13),[6]skilldef!$C:$D,2,FALSE),"-") &amp; " / " &amp; IFERROR(VLOOKUP(MID(G13,H13,I13-H13),[6]skilldef!$A:$B,2,FALSE),"-")</f>
        <v>敵単体に / 回復</v>
      </c>
      <c r="M13" s="63" t="str">
        <f t="shared" si="5"/>
        <v>[effect:rush, count:1, val:1]</v>
      </c>
      <c r="N13" s="48" t="str">
        <f t="shared" si="6"/>
        <v>[effect:rush, count:1, val:1]</v>
      </c>
      <c r="O13" s="63">
        <f t="shared" si="7"/>
        <v>9</v>
      </c>
      <c r="P13" s="63">
        <f t="shared" si="8"/>
        <v>13</v>
      </c>
      <c r="Q13" s="63" t="e">
        <f t="shared" si="9"/>
        <v>#VALUE!</v>
      </c>
      <c r="R13" s="63">
        <f t="shared" si="10"/>
        <v>22</v>
      </c>
      <c r="S13" s="63" t="str">
        <f>IFERROR(VLOOKUP(MID(N13,Q13,R13-Q13),[6]skilldef!$C:$D,2,FALSE),"-") &amp; " / " &amp; IFERROR(VLOOKUP(MID(N13,O13,P13-O13),[6]skilldef!$A:$B,2,FALSE),"-")</f>
        <v>- / 連続攻撃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>
      <c r="A14" s="47">
        <v>60001112</v>
      </c>
      <c r="B14" s="47" t="s">
        <v>297</v>
      </c>
      <c r="C14" s="50">
        <v>3</v>
      </c>
      <c r="D14" s="50" t="s">
        <v>128</v>
      </c>
      <c r="E14" s="51" t="s">
        <v>295</v>
      </c>
      <c r="F14" s="51" t="s">
        <v>296</v>
      </c>
      <c r="G14" s="63" t="str">
        <f t="shared" si="0"/>
        <v>[effect:rush, count:3, val:0.4]</v>
      </c>
      <c r="H14" s="63">
        <f t="shared" si="1"/>
        <v>9</v>
      </c>
      <c r="I14" s="63">
        <f t="shared" si="2"/>
        <v>13</v>
      </c>
      <c r="J14" s="63" t="e">
        <f t="shared" si="3"/>
        <v>#VALUE!</v>
      </c>
      <c r="K14" s="63">
        <f t="shared" si="4"/>
        <v>22</v>
      </c>
      <c r="L14" s="63" t="str">
        <f>IFERROR(VLOOKUP(MID(G14,J14,K14-J14),[6]skilldef!$C:$D,2,FALSE),"-") &amp; " / " &amp; IFERROR(VLOOKUP(MID(G14,H14,I14-H14),[6]skilldef!$A:$B,2,FALSE),"-")</f>
        <v>- / 連続攻撃</v>
      </c>
      <c r="M14" s="63" t="str">
        <f t="shared" si="5"/>
        <v>none</v>
      </c>
      <c r="N14" s="48" t="str">
        <f t="shared" si="6"/>
        <v>none</v>
      </c>
      <c r="O14" s="63" t="e">
        <f t="shared" si="7"/>
        <v>#VALUE!</v>
      </c>
      <c r="P14" s="63">
        <f t="shared" si="8"/>
        <v>4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>
      <c r="A15" s="47">
        <v>60001113</v>
      </c>
      <c r="B15" s="47" t="s">
        <v>298</v>
      </c>
      <c r="C15" s="50">
        <v>3</v>
      </c>
      <c r="D15" s="50" t="s">
        <v>128</v>
      </c>
      <c r="E15" s="51" t="s">
        <v>295</v>
      </c>
      <c r="F15" s="51" t="s">
        <v>296</v>
      </c>
      <c r="G15" s="63" t="str">
        <f t="shared" si="0"/>
        <v>[effect:rush, count:3, val:0.5]</v>
      </c>
      <c r="H15" s="63">
        <f t="shared" si="1"/>
        <v>9</v>
      </c>
      <c r="I15" s="63">
        <f t="shared" si="2"/>
        <v>13</v>
      </c>
      <c r="J15" s="63" t="e">
        <f t="shared" si="3"/>
        <v>#VALUE!</v>
      </c>
      <c r="K15" s="63">
        <f t="shared" si="4"/>
        <v>22</v>
      </c>
      <c r="L15" s="63" t="str">
        <f>IFERROR(VLOOKUP(MID(G15,J15,K15-J15),[6]skilldef!$C:$D,2,FALSE),"-") &amp; " / " &amp; IFERROR(VLOOKUP(MID(G15,H15,I15-H15),[6]skilldef!$A:$B,2,FALSE),"-")</f>
        <v>- / 連続攻撃</v>
      </c>
      <c r="M15" s="63" t="str">
        <f t="shared" si="5"/>
        <v>none</v>
      </c>
      <c r="N15" s="48" t="str">
        <f t="shared" si="6"/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>
      <c r="A16" s="47">
        <v>60001114</v>
      </c>
      <c r="B16" s="47" t="s">
        <v>294</v>
      </c>
      <c r="C16" s="50">
        <v>3</v>
      </c>
      <c r="D16" s="50" t="s">
        <v>128</v>
      </c>
      <c r="E16" s="51" t="s">
        <v>295</v>
      </c>
      <c r="F16" s="51" t="s">
        <v>296</v>
      </c>
      <c r="G16" s="63" t="str">
        <f t="shared" si="0"/>
        <v>[effect:rush, count:3, val:0.6]</v>
      </c>
      <c r="H16" s="63">
        <f t="shared" si="1"/>
        <v>9</v>
      </c>
      <c r="I16" s="63">
        <f t="shared" si="2"/>
        <v>13</v>
      </c>
      <c r="J16" s="63" t="e">
        <f t="shared" si="3"/>
        <v>#VALUE!</v>
      </c>
      <c r="K16" s="63">
        <f t="shared" si="4"/>
        <v>22</v>
      </c>
      <c r="L16" s="63" t="str">
        <f>IFERROR(VLOOKUP(MID(G16,J16,K16-J16),[6]skilldef!$C:$D,2,FALSE),"-") &amp; " / " &amp; IFERROR(VLOOKUP(MID(G16,H16,I16-H16),[6]skilldef!$A:$B,2,FALSE),"-")</f>
        <v>- / 連続攻撃</v>
      </c>
      <c r="M16" s="63" t="str">
        <f t="shared" si="5"/>
        <v>none</v>
      </c>
      <c r="N16" s="48" t="str">
        <f t="shared" si="6"/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>
      <c r="A17" s="47">
        <v>60001115</v>
      </c>
      <c r="B17" s="47" t="s">
        <v>274</v>
      </c>
      <c r="C17" s="50">
        <v>3</v>
      </c>
      <c r="D17" s="50" t="s">
        <v>272</v>
      </c>
      <c r="E17" s="47" t="s">
        <v>299</v>
      </c>
      <c r="F17" s="51" t="s">
        <v>300</v>
      </c>
      <c r="G17" s="63" t="str">
        <f t="shared" si="0"/>
        <v>[effect:fix_speed,target:myself,turn:5]</v>
      </c>
      <c r="H17" s="63">
        <f t="shared" si="1"/>
        <v>9</v>
      </c>
      <c r="I17" s="63">
        <f t="shared" si="2"/>
        <v>18</v>
      </c>
      <c r="J17" s="63">
        <f t="shared" si="3"/>
        <v>26</v>
      </c>
      <c r="K17" s="63">
        <f t="shared" si="4"/>
        <v>32</v>
      </c>
      <c r="L17" s="63" t="str">
        <f>IFERROR(VLOOKUP(MID(G17,J17,K17-J17),[6]skilldef!$C:$D,2,FALSE),"-") &amp; " / " &amp; IFERROR(VLOOKUP(MID(G17,H17,I17-H17),[6]skilldef!$A:$B,2,FALSE),"-")</f>
        <v>自分自身に / 行動値設定</v>
      </c>
      <c r="M17" s="63" t="str">
        <f t="shared" si="5"/>
        <v>none</v>
      </c>
      <c r="N17" s="48" t="str">
        <f t="shared" ref="N17:N22" si="25">IFERROR(LEFT(M17,FIND("],",M17)+S28),M17)</f>
        <v>none</v>
      </c>
      <c r="O17" s="63" t="e">
        <f t="shared" si="7"/>
        <v>#VALUE!</v>
      </c>
      <c r="P17" s="63">
        <f t="shared" si="8"/>
        <v>4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>
      <c r="A18" s="47">
        <v>60001116</v>
      </c>
      <c r="B18" s="47" t="s">
        <v>304</v>
      </c>
      <c r="C18" s="50">
        <v>3</v>
      </c>
      <c r="D18" s="50" t="s">
        <v>128</v>
      </c>
      <c r="E18" s="51" t="s">
        <v>301</v>
      </c>
      <c r="F18" s="51" t="s">
        <v>302</v>
      </c>
      <c r="G18" s="63" t="str">
        <f t="shared" si="0"/>
        <v>[effect:critical, val:1.6, animation:enemy_critical]</v>
      </c>
      <c r="H18" s="63">
        <f t="shared" si="1"/>
        <v>9</v>
      </c>
      <c r="I18" s="63">
        <f t="shared" si="2"/>
        <v>17</v>
      </c>
      <c r="J18" s="63" t="e">
        <f t="shared" si="3"/>
        <v>#VALUE!</v>
      </c>
      <c r="K18" s="63">
        <f t="shared" si="4"/>
        <v>26</v>
      </c>
      <c r="L18" s="63" t="str">
        <f>IFERROR(VLOOKUP(MID(G18,J18,K18-J18),[6]skilldef!$C:$D,2,FALSE),"-") &amp; " / " &amp; IFERROR(VLOOKUP(MID(G18,H18,I18-H18),[6]skilldef!$A:$B,2,FALSE),"-")</f>
        <v>- / 大攻撃</v>
      </c>
      <c r="M18" s="63" t="str">
        <f t="shared" si="5"/>
        <v>none</v>
      </c>
      <c r="N18" s="48" t="str">
        <f t="shared" si="25"/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>
      <c r="A19" s="47">
        <v>60001117</v>
      </c>
      <c r="B19" s="47" t="s">
        <v>305</v>
      </c>
      <c r="C19" s="50">
        <v>3</v>
      </c>
      <c r="D19" s="50" t="s">
        <v>128</v>
      </c>
      <c r="E19" s="51" t="s">
        <v>381</v>
      </c>
      <c r="F19" s="51" t="s">
        <v>375</v>
      </c>
      <c r="G19" s="63" t="str">
        <f t="shared" si="0"/>
        <v>[effect:fix_speed,target:myself,turn:1]</v>
      </c>
      <c r="H19" s="63">
        <f t="shared" si="1"/>
        <v>9</v>
      </c>
      <c r="I19" s="63">
        <f t="shared" si="2"/>
        <v>18</v>
      </c>
      <c r="J19" s="63">
        <f t="shared" si="3"/>
        <v>26</v>
      </c>
      <c r="K19" s="63">
        <f t="shared" si="4"/>
        <v>32</v>
      </c>
      <c r="L19" s="63" t="str">
        <f>IFERROR(VLOOKUP(MID(G19,J19,K19-J19),[6]skilldef!$C:$D,2,FALSE),"-") &amp; " / " &amp; IFERROR(VLOOKUP(MID(G19,H19,I19-H19),[6]skilldef!$A:$B,2,FALSE),"-")</f>
        <v>自分自身に / 行動値設定</v>
      </c>
      <c r="M19" s="63" t="str">
        <f t="shared" si="5"/>
        <v>[effect:degrade_unit, target:unit_all, turn:-1, status:heal, val:1.0, calc:mul, animation:degrade_unit_all_heal]</v>
      </c>
      <c r="N19" s="48" t="str">
        <f t="shared" si="25"/>
        <v>[effect:degrade_unit, target:unit_all, turn:-1, status:heal, val:1.0, calc:mul, animation:degrade_unit_all_heal]</v>
      </c>
      <c r="O19" s="63">
        <f t="shared" si="7"/>
        <v>9</v>
      </c>
      <c r="P19" s="63">
        <f t="shared" si="8"/>
        <v>21</v>
      </c>
      <c r="Q19" s="63">
        <f t="shared" si="9"/>
        <v>30</v>
      </c>
      <c r="R19" s="63">
        <f t="shared" si="10"/>
        <v>38</v>
      </c>
      <c r="S19" s="63" t="str">
        <f>IFERROR(VLOOKUP(MID(N19,Q19,R19-Q19),[6]skilldef!$C:$D,2,FALSE),"-") &amp; " / " &amp; IFERROR(VLOOKUP(MID(N19,O19,P19-O19),[6]skilldef!$A:$B,2,FALSE),"-")</f>
        <v>味方全体に / ステータスDOWN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>
      <c r="A20" s="47">
        <v>60001118</v>
      </c>
      <c r="B20" s="47" t="s">
        <v>307</v>
      </c>
      <c r="C20" s="50">
        <v>3</v>
      </c>
      <c r="D20" s="50" t="s">
        <v>272</v>
      </c>
      <c r="E20" s="51" t="s">
        <v>376</v>
      </c>
      <c r="F20" s="51" t="s">
        <v>311</v>
      </c>
      <c r="G20" s="63" t="str">
        <f t="shared" si="0"/>
        <v>[effect:dis_panel, target:block_red, turn:1, animation:enemy_dis_red]</v>
      </c>
      <c r="H20" s="63">
        <f t="shared" si="1"/>
        <v>9</v>
      </c>
      <c r="I20" s="63">
        <f t="shared" si="2"/>
        <v>18</v>
      </c>
      <c r="J20" s="63">
        <f t="shared" si="3"/>
        <v>27</v>
      </c>
      <c r="K20" s="63">
        <f t="shared" si="4"/>
        <v>36</v>
      </c>
      <c r="L20" s="63" t="str">
        <f>IFERROR(VLOOKUP(MID(G20,J20,K20-J20),[6]skilldef!$C:$D,2,FALSE),"-") &amp; " / " &amp; IFERROR(VLOOKUP(MID(G20,H20,I20-H20),[6]skilldef!$A:$B,2,FALSE),"-")</f>
        <v>赤パネルを / ディスパネル</v>
      </c>
      <c r="M20" s="63" t="str">
        <f t="shared" si="5"/>
        <v>none</v>
      </c>
      <c r="N20" s="48" t="str">
        <f t="shared" si="25"/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>
      <c r="A21" s="47">
        <v>60001119</v>
      </c>
      <c r="B21" s="47" t="s">
        <v>308</v>
      </c>
      <c r="C21" s="50">
        <v>3</v>
      </c>
      <c r="D21" s="50" t="s">
        <v>272</v>
      </c>
      <c r="E21" s="51" t="s">
        <v>377</v>
      </c>
      <c r="F21" s="51" t="s">
        <v>312</v>
      </c>
      <c r="G21" s="63" t="str">
        <f t="shared" si="0"/>
        <v>[effect:dis_panel, target:block_green, turn:1, animation:enemy_dis_green]</v>
      </c>
      <c r="H21" s="63">
        <f t="shared" si="1"/>
        <v>9</v>
      </c>
      <c r="I21" s="63">
        <f t="shared" si="2"/>
        <v>18</v>
      </c>
      <c r="J21" s="63">
        <f t="shared" si="3"/>
        <v>27</v>
      </c>
      <c r="K21" s="63">
        <f t="shared" si="4"/>
        <v>38</v>
      </c>
      <c r="L21" s="63" t="str">
        <f>IFERROR(VLOOKUP(MID(G21,J21,K21-J21),[6]skilldef!$C:$D,2,FALSE),"-") &amp; " / " &amp; IFERROR(VLOOKUP(MID(G21,H21,I21-H21),[6]skilldef!$A:$B,2,FALSE),"-")</f>
        <v>緑パネルを / ディスパネル</v>
      </c>
      <c r="M21" s="63" t="str">
        <f t="shared" si="5"/>
        <v>none</v>
      </c>
      <c r="N21" s="48" t="str">
        <f t="shared" si="25"/>
        <v>none</v>
      </c>
      <c r="O21" s="63" t="e">
        <f t="shared" si="7"/>
        <v>#VALUE!</v>
      </c>
      <c r="P21" s="63">
        <f t="shared" si="8"/>
        <v>4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>
      <c r="A22" s="47">
        <v>60001120</v>
      </c>
      <c r="B22" s="47" t="s">
        <v>309</v>
      </c>
      <c r="C22" s="50">
        <v>3</v>
      </c>
      <c r="D22" s="50" t="s">
        <v>306</v>
      </c>
      <c r="E22" s="51" t="s">
        <v>379</v>
      </c>
      <c r="F22" s="51" t="s">
        <v>313</v>
      </c>
      <c r="G22" s="63" t="str">
        <f t="shared" si="0"/>
        <v>[effect:dis_panel, target:block_blue, turn:1, animation:enemy_dis_blue]</v>
      </c>
      <c r="H22" s="63">
        <f t="shared" si="1"/>
        <v>9</v>
      </c>
      <c r="I22" s="63">
        <f t="shared" si="2"/>
        <v>18</v>
      </c>
      <c r="J22" s="63">
        <f t="shared" si="3"/>
        <v>27</v>
      </c>
      <c r="K22" s="63">
        <f t="shared" si="4"/>
        <v>37</v>
      </c>
      <c r="L22" s="63" t="str">
        <f>IFERROR(VLOOKUP(MID(G22,J22,K22-J22),[6]skilldef!$C:$D,2,FALSE),"-") &amp; " / " &amp; IFERROR(VLOOKUP(MID(G22,H22,I22-H22),[6]skilldef!$A:$B,2,FALSE),"-")</f>
        <v>青パネルを / ディスパネル</v>
      </c>
      <c r="M22" s="63" t="str">
        <f t="shared" si="5"/>
        <v>none</v>
      </c>
      <c r="N22" s="48" t="str">
        <f t="shared" si="25"/>
        <v>none</v>
      </c>
      <c r="O22" s="63" t="e">
        <f t="shared" si="7"/>
        <v>#VALUE!</v>
      </c>
      <c r="P22" s="63">
        <f t="shared" si="8"/>
        <v>4</v>
      </c>
      <c r="Q22" s="63" t="e">
        <f t="shared" si="9"/>
        <v>#VALUE!</v>
      </c>
      <c r="R22" s="63" t="e">
        <f t="shared" si="10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>
      <c r="A23" s="47">
        <v>60001121</v>
      </c>
      <c r="B23" s="47" t="s">
        <v>310</v>
      </c>
      <c r="C23" s="50">
        <v>3</v>
      </c>
      <c r="D23" s="50" t="s">
        <v>272</v>
      </c>
      <c r="E23" s="51" t="s">
        <v>378</v>
      </c>
      <c r="F23" s="51" t="s">
        <v>314</v>
      </c>
      <c r="G23" s="63" t="str">
        <f t="shared" si="0"/>
        <v>[effect:dis_panel, target:block_yellow, turn:1, animation:enemy_dis_yellow]</v>
      </c>
      <c r="H23" s="63">
        <f t="shared" si="1"/>
        <v>9</v>
      </c>
      <c r="I23" s="63">
        <f t="shared" si="2"/>
        <v>18</v>
      </c>
      <c r="J23" s="63">
        <f t="shared" si="3"/>
        <v>27</v>
      </c>
      <c r="K23" s="63">
        <f t="shared" si="4"/>
        <v>39</v>
      </c>
      <c r="L23" s="63" t="str">
        <f>IFERROR(VLOOKUP(MID(G23,J23,K23-J23),[6]skilldef!$C:$D,2,FALSE),"-") &amp; " / " &amp; IFERROR(VLOOKUP(MID(G23,H23,I23-H23),[6]skilldef!$A:$B,2,FALSE),"-")</f>
        <v>黄色パネルを / ディスパネル</v>
      </c>
      <c r="M23" s="63" t="str">
        <f t="shared" si="5"/>
        <v>none</v>
      </c>
      <c r="N23" s="48" t="str">
        <f>IFERROR(LEFT(M23,FIND("],",M23)+S27),M23)</f>
        <v>none</v>
      </c>
      <c r="O23" s="63" t="e">
        <f t="shared" si="7"/>
        <v>#VALUE!</v>
      </c>
      <c r="P23" s="63">
        <f t="shared" si="8"/>
        <v>4</v>
      </c>
      <c r="Q23" s="63" t="e">
        <f t="shared" si="9"/>
        <v>#VALUE!</v>
      </c>
      <c r="R23" s="63" t="e">
        <f t="shared" si="10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>
      <c r="A24" s="47">
        <v>60001122</v>
      </c>
      <c r="B24" s="47" t="s">
        <v>315</v>
      </c>
      <c r="C24" s="50">
        <v>3</v>
      </c>
      <c r="D24" s="50" t="s">
        <v>128</v>
      </c>
      <c r="E24" s="51" t="s">
        <v>380</v>
      </c>
      <c r="F24" s="51" t="s">
        <v>382</v>
      </c>
      <c r="G24" s="63" t="str">
        <f t="shared" si="0"/>
        <v>[effect:freq_turn, target:enemy_green, turn:1, val:1, animation:enemy_freq_turn]</v>
      </c>
      <c r="H24" s="63">
        <f t="shared" si="1"/>
        <v>9</v>
      </c>
      <c r="I24" s="63">
        <f t="shared" si="2"/>
        <v>18</v>
      </c>
      <c r="J24" s="63">
        <f t="shared" si="3"/>
        <v>27</v>
      </c>
      <c r="K24" s="63">
        <f t="shared" si="4"/>
        <v>38</v>
      </c>
      <c r="L24" s="63" t="str">
        <f>IFERROR(VLOOKUP(MID(G24,J24,K24-J24),[6]skilldef!$C:$D,2,FALSE),"-") &amp; " / " &amp; IFERROR(VLOOKUP(MID(G24,H24,I24-H24),[6]skilldef!$A:$B,2,FALSE),"-")</f>
        <v>緑の敵に / 攻撃頻度がUP</v>
      </c>
      <c r="M24" s="63" t="str">
        <f t="shared" si="5"/>
        <v>none</v>
      </c>
      <c r="N24" s="48" t="str">
        <f>IFERROR(LEFT(M24,FIND("],",M24)+#REF!),M24)</f>
        <v>none</v>
      </c>
      <c r="O24" s="63" t="e">
        <f t="shared" si="7"/>
        <v>#VALUE!</v>
      </c>
      <c r="P24" s="63">
        <f t="shared" si="8"/>
        <v>4</v>
      </c>
      <c r="Q24" s="63" t="e">
        <f t="shared" si="9"/>
        <v>#VALUE!</v>
      </c>
      <c r="R24" s="63" t="e">
        <f t="shared" si="10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>
      <c r="A25" s="47">
        <v>60001123</v>
      </c>
      <c r="B25" s="47" t="s">
        <v>329</v>
      </c>
      <c r="C25" s="50">
        <v>3</v>
      </c>
      <c r="D25" s="50" t="s">
        <v>128</v>
      </c>
      <c r="E25" s="51" t="s">
        <v>387</v>
      </c>
      <c r="F25" s="51" t="s">
        <v>316</v>
      </c>
      <c r="G25" s="63" t="str">
        <f t="shared" si="0"/>
        <v>[effect:fix_speed,target:myself,turn:1]</v>
      </c>
      <c r="H25" s="63">
        <f t="shared" si="1"/>
        <v>9</v>
      </c>
      <c r="I25" s="63">
        <f t="shared" si="2"/>
        <v>18</v>
      </c>
      <c r="J25" s="63">
        <f t="shared" si="3"/>
        <v>26</v>
      </c>
      <c r="K25" s="63">
        <f t="shared" si="4"/>
        <v>32</v>
      </c>
      <c r="L25" s="63" t="str">
        <f>IFERROR(VLOOKUP(MID(G25,J25,K25-J25),[6]skilldef!$C:$D,2,FALSE),"-") &amp; " / " &amp; IFERROR(VLOOKUP(MID(G25,H25,I25-H25),[6]skilldef!$A:$B,2,FALSE),"-")</f>
        <v>自分自身に / 行動値設定</v>
      </c>
      <c r="M25" s="63" t="str">
        <f t="shared" si="5"/>
        <v>[effect:tolerance, target:myself, turn:-1, tolerance_effect:hungup, count:-1],[effect:tolerance, target:myself, turn:-1, tolerance_effect:sleep, count:-1, animation:enemy_tolerance],[effect:hungup, target:unit_all, turn:1, rate:1, animation:hungup01],[effect:force_change_block, new_block:jammer, target:block_all, count:0, val:0, animation:change_block],[effect:enhance_fever, val:1000.0, animation:fevergauge_up04]</v>
      </c>
      <c r="N25" s="48" t="str">
        <f>IFERROR(LEFT(M25,FIND("],",M25)+S34),M25)</f>
        <v>[effect:tolerance, target:myself, turn:-1, tolerance_effect:hungup, count:-1]</v>
      </c>
      <c r="O25" s="63">
        <f t="shared" si="7"/>
        <v>9</v>
      </c>
      <c r="P25" s="63">
        <f t="shared" si="8"/>
        <v>18</v>
      </c>
      <c r="Q25" s="63">
        <f t="shared" si="9"/>
        <v>27</v>
      </c>
      <c r="R25" s="63">
        <f t="shared" si="10"/>
        <v>33</v>
      </c>
      <c r="S25" s="63" t="str">
        <f>IFERROR(VLOOKUP(MID(N25,Q25,R25-Q25),[6]skilldef!$C:$D,2,FALSE),"-") &amp; " / " &amp; IFERROR(VLOOKUP(MID(N25,O25,P25-O25),[6]skilldef!$A:$B,2,FALSE),"-")</f>
        <v>自分自身に / 状態異常耐性</v>
      </c>
      <c r="T25" s="48" t="str">
        <f t="shared" si="11"/>
        <v>[effect:tolerance, target:myself, turn:-1, tolerance_effect:sleep, count:-1, animation:enemy_tolerance],[effect:hungup, target:unit_all, turn:1, rate:1, animation:hungup01],[effect:force_change_block, new_block:jammer, target:block_all, count:0, val:0, animation:change_block],[effect:enhance_fever, val:1000.0, animation:fevergauge_up04]</v>
      </c>
      <c r="U25" s="63">
        <f t="shared" si="12"/>
        <v>9</v>
      </c>
      <c r="V25" s="63">
        <f t="shared" si="13"/>
        <v>18</v>
      </c>
      <c r="W25" s="63">
        <f t="shared" si="14"/>
        <v>27</v>
      </c>
      <c r="X25" s="63">
        <f t="shared" si="15"/>
        <v>33</v>
      </c>
      <c r="Y25" s="63" t="str">
        <f>IFERROR(VLOOKUP(MID(T25,W25,X25-W25),[6]skilldef!$C:$D,2,FALSE),"-") &amp; " / " &amp; IFERROR(VLOOKUP(MID(T25,U25,V25-U25),[6]skilldef!$A:$B,2,FALSE),"-")</f>
        <v>自分自身に / 状態異常耐性</v>
      </c>
      <c r="Z25" s="50"/>
      <c r="AA25" s="52"/>
      <c r="AB25" s="50"/>
    </row>
    <row r="26" spans="1:28" ht="21" customHeight="1">
      <c r="A26" s="47">
        <v>60001124</v>
      </c>
      <c r="B26" s="47" t="s">
        <v>303</v>
      </c>
      <c r="C26" s="50">
        <v>3</v>
      </c>
      <c r="D26" s="50" t="s">
        <v>128</v>
      </c>
      <c r="E26" s="51" t="s">
        <v>388</v>
      </c>
      <c r="F26" s="51" t="s">
        <v>302</v>
      </c>
      <c r="G26" s="63" t="str">
        <f t="shared" ref="G26:G33" si="26">IFERROR(LEFT(B26,FIND("],",B26)),B26)</f>
        <v>[effect:critical, val:2.0, animation:enemy_critical]</v>
      </c>
      <c r="H26" s="63">
        <f t="shared" si="1"/>
        <v>9</v>
      </c>
      <c r="I26" s="63">
        <f t="shared" ref="I26:I33" si="27">IFERROR(FIND(",",G26),LEN(G26))</f>
        <v>17</v>
      </c>
      <c r="J26" s="63" t="e">
        <f t="shared" ref="J26:J33" si="28">FIND("target:",G26)+7</f>
        <v>#VALUE!</v>
      </c>
      <c r="K26" s="63">
        <f t="shared" ref="K26:K33" si="29">FIND(",",G26,I26+1)</f>
        <v>26</v>
      </c>
      <c r="L26" s="63" t="str">
        <f>IFERROR(VLOOKUP(MID(G26,J26,K26-J26),[6]skilldef!$C:$D,2,FALSE),"-") &amp; " / " &amp; IFERROR(VLOOKUP(MID(G26,H26,I26-H26),[6]skilldef!$A:$B,2,FALSE),"-")</f>
        <v>- / 大攻撃</v>
      </c>
      <c r="M26" s="63" t="str">
        <f t="shared" ref="M26:M33" si="30">IFERROR(RIGHT(B26,LEN(B26)-FIND("],",B26)-1),"none")</f>
        <v>none</v>
      </c>
      <c r="N26" s="48" t="str">
        <f>IFERROR(LEFT(M26,FIND("],",M26)+S35),M26)</f>
        <v>none</v>
      </c>
      <c r="O26" s="63" t="e">
        <f t="shared" si="7"/>
        <v>#VALUE!</v>
      </c>
      <c r="P26" s="63">
        <f t="shared" ref="P26:P33" si="31">IFERROR(FIND(",",N26),LEN(N26))</f>
        <v>4</v>
      </c>
      <c r="Q26" s="63" t="e">
        <f t="shared" ref="Q26:Q33" si="32">FIND("target:",N26)+7</f>
        <v>#VALUE!</v>
      </c>
      <c r="R26" s="63" t="e">
        <f t="shared" ref="R26:R33" si="33">FIND(",",N26,P26+1)</f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ref="T26:T33" si="34">IFERROR(RIGHT(M26,LEN(M26)-FIND("],",M26)-1),"none")</f>
        <v>none</v>
      </c>
      <c r="U26" s="63" t="e">
        <f t="shared" si="12"/>
        <v>#VALUE!</v>
      </c>
      <c r="V26" s="63">
        <f t="shared" ref="V26:V33" si="35">IFERROR(FIND(",",T26),LEN(T26))</f>
        <v>4</v>
      </c>
      <c r="W26" s="63" t="e">
        <f t="shared" ref="W26:W33" si="36">FIND("target:",T26)+7</f>
        <v>#VALUE!</v>
      </c>
      <c r="X26" s="63" t="e">
        <f t="shared" ref="X26:X33" si="37">FIND(",",T26,V26+1)</f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>
      <c r="A27" s="47">
        <v>60001125</v>
      </c>
      <c r="B27" s="111" t="s">
        <v>350</v>
      </c>
      <c r="C27" s="50">
        <v>3</v>
      </c>
      <c r="D27" s="50" t="s">
        <v>128</v>
      </c>
      <c r="E27" s="51" t="s">
        <v>348</v>
      </c>
      <c r="F27" s="51" t="s">
        <v>349</v>
      </c>
      <c r="G27" s="63" t="str">
        <f t="shared" ref="G27" si="38">IFERROR(LEFT(B27,FIND("],",B27)),B27)</f>
        <v>[effect:fix_speed,target:myself,turn:1]</v>
      </c>
      <c r="H27" s="63">
        <f>FIND("effect:",G27)+7</f>
        <v>9</v>
      </c>
      <c r="I27" s="63">
        <f t="shared" ref="I27" si="39">IFERROR(FIND(",",G27),LEN(G27))</f>
        <v>18</v>
      </c>
      <c r="J27" s="63">
        <f t="shared" ref="J27" si="40">FIND("target:",G27)+7</f>
        <v>26</v>
      </c>
      <c r="K27" s="63">
        <f t="shared" ref="K27" si="41">FIND(",",G27,I27+1)</f>
        <v>32</v>
      </c>
      <c r="L27" s="63" t="str">
        <f>IFERROR(VLOOKUP(MID(G27,J27,K27-J27),[6]skilldef!$C:$D,2,FALSE),"-") &amp; " / " &amp; IFERROR(VLOOKUP(MID(G27,H27,I27-H27),[6]skilldef!$A:$B,2,FALSE),"-")</f>
        <v>自分自身に / 行動値設定</v>
      </c>
      <c r="M27" s="63" t="str">
        <f t="shared" ref="M27" si="42">IFERROR(RIGHT(B27,LEN(B27)-FIND("],",B27)-1),"none")</f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N27" s="48" t="str">
        <f>IFERROR(LEFT(M27,FIND("],",M27)+S42),M27)</f>
        <v>[effect:tolerance, target:myself, turn:-1, tolerance_effect:hungup, count:-1]</v>
      </c>
      <c r="O27" s="63">
        <f>FIND("effect:",N27)+7</f>
        <v>9</v>
      </c>
      <c r="P27" s="63">
        <f t="shared" ref="P27" si="43">IFERROR(FIND(",",N27),LEN(N27))</f>
        <v>18</v>
      </c>
      <c r="Q27" s="63">
        <f t="shared" ref="Q27" si="44">FIND("target:",N27)+7</f>
        <v>27</v>
      </c>
      <c r="R27" s="63">
        <f t="shared" ref="R27" si="45">FIND(",",N27,P27+1)</f>
        <v>33</v>
      </c>
      <c r="S27" s="63" t="str">
        <f>IFERROR(VLOOKUP(MID(N27,Q27,R27-Q27),[6]skilldef!$C:$D,2,FALSE),"-") &amp; " / " &amp; IFERROR(VLOOKUP(MID(N27,O27,P27-O27),[6]skilldef!$A:$B,2,FALSE),"-")</f>
        <v>自分自身に / 状態異常耐性</v>
      </c>
      <c r="T27" s="48" t="str">
        <f t="shared" ref="T27" si="46">IFERROR(RIGHT(M27,LEN(M27)-FIND("],",M27)-1),"none")</f>
        <v>[effect:tolerance, target:myself, turn:-1, tolerance_effect:virus, count:-1],[effect:tolerance, target:myself, turn:-1, tolerance_effect:sleep, count:-1, animation:enemy_tolerance]</v>
      </c>
      <c r="U27" s="63">
        <f>FIND("effect:",T27)+7</f>
        <v>9</v>
      </c>
      <c r="V27" s="63">
        <f t="shared" ref="V27" si="47">IFERROR(FIND(",",T27),LEN(T27))</f>
        <v>18</v>
      </c>
      <c r="W27" s="63">
        <f t="shared" ref="W27" si="48">FIND("target:",T27)+7</f>
        <v>27</v>
      </c>
      <c r="X27" s="63">
        <f t="shared" ref="X27" si="49">FIND(",",T27,V27+1)</f>
        <v>33</v>
      </c>
      <c r="Y27" s="63" t="str">
        <f>IFERROR(VLOOKUP(MID(T27,W27,X27-W27),[6]skilldef!$C:$D,2,FALSE),"-") &amp; " / " &amp; IFERROR(VLOOKUP(MID(T27,U27,V27-U27),[6]skilldef!$A:$B,2,FALSE),"-")</f>
        <v>自分自身に / 状態異常耐性</v>
      </c>
      <c r="Z27" s="50"/>
      <c r="AA27" s="52"/>
      <c r="AB27" s="50"/>
    </row>
    <row r="28" spans="1:28" ht="21" customHeight="1">
      <c r="A28" s="47">
        <v>60001126</v>
      </c>
      <c r="B28" s="47" t="s">
        <v>317</v>
      </c>
      <c r="C28" s="50">
        <v>3</v>
      </c>
      <c r="D28" s="50" t="s">
        <v>128</v>
      </c>
      <c r="E28" s="51" t="s">
        <v>318</v>
      </c>
      <c r="F28" s="51" t="s">
        <v>279</v>
      </c>
      <c r="G28" s="63" t="str">
        <f t="shared" si="26"/>
        <v>[effect:rush, count:15, val:0.1]</v>
      </c>
      <c r="H28" s="63">
        <f t="shared" si="1"/>
        <v>9</v>
      </c>
      <c r="I28" s="63">
        <f t="shared" si="27"/>
        <v>13</v>
      </c>
      <c r="J28" s="63" t="e">
        <f t="shared" si="28"/>
        <v>#VALUE!</v>
      </c>
      <c r="K28" s="63">
        <f t="shared" si="29"/>
        <v>23</v>
      </c>
      <c r="L28" s="63" t="str">
        <f>IFERROR(VLOOKUP(MID(G28,J28,K28-J28),[6]skilldef!$C:$D,2,FALSE),"-") &amp; " / " &amp; IFERROR(VLOOKUP(MID(G28,H28,I28-H28),[6]skilldef!$A:$B,2,FALSE),"-")</f>
        <v>- / 連続攻撃</v>
      </c>
      <c r="M28" s="63" t="str">
        <f t="shared" si="30"/>
        <v>none</v>
      </c>
      <c r="N28" s="48" t="str">
        <f t="shared" ref="N28:N33" si="50">IFERROR(LEFT(M28,FIND("],",M28)+S36),M28)</f>
        <v>none</v>
      </c>
      <c r="O28" s="63" t="e">
        <f t="shared" si="7"/>
        <v>#VALUE!</v>
      </c>
      <c r="P28" s="63">
        <f t="shared" si="31"/>
        <v>4</v>
      </c>
      <c r="Q28" s="63" t="e">
        <f t="shared" si="32"/>
        <v>#VALUE!</v>
      </c>
      <c r="R28" s="63" t="e">
        <f t="shared" si="33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34"/>
        <v>none</v>
      </c>
      <c r="U28" s="63" t="e">
        <f t="shared" si="12"/>
        <v>#VALUE!</v>
      </c>
      <c r="V28" s="63">
        <f t="shared" si="35"/>
        <v>4</v>
      </c>
      <c r="W28" s="63" t="e">
        <f t="shared" si="36"/>
        <v>#VALUE!</v>
      </c>
      <c r="X28" s="63" t="e">
        <f t="shared" si="37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>
      <c r="A29" s="47">
        <v>60001127</v>
      </c>
      <c r="B29" s="47" t="s">
        <v>319</v>
      </c>
      <c r="C29" s="50">
        <v>3</v>
      </c>
      <c r="D29" s="50" t="s">
        <v>128</v>
      </c>
      <c r="E29" s="51" t="s">
        <v>320</v>
      </c>
      <c r="F29" s="51" t="s">
        <v>321</v>
      </c>
      <c r="G29" s="63" t="str">
        <f t="shared" si="26"/>
        <v xml:space="preserve">[effect:damage_anti_tribe, target:unit_all, tribe:human, val1:0.75, val2:0.25]    </v>
      </c>
      <c r="H29" s="63">
        <f t="shared" si="1"/>
        <v>9</v>
      </c>
      <c r="I29" s="63">
        <f t="shared" si="27"/>
        <v>26</v>
      </c>
      <c r="J29" s="63">
        <f t="shared" si="28"/>
        <v>35</v>
      </c>
      <c r="K29" s="63">
        <f t="shared" si="29"/>
        <v>43</v>
      </c>
      <c r="L29" s="63" t="str">
        <f>IFERROR(VLOOKUP(MID(G29,J29,K29-J29),[6]skilldef!$C:$D,2,FALSE),"-") &amp; " / " &amp; IFERROR(VLOOKUP(MID(G29,H29,I29-H29),[6]skilldef!$A:$B,2,FALSE),"-")</f>
        <v>味方全体に / 種族キラー</v>
      </c>
      <c r="M29" s="63" t="str">
        <f t="shared" si="30"/>
        <v>none</v>
      </c>
      <c r="N29" s="48" t="str">
        <f t="shared" si="50"/>
        <v>none</v>
      </c>
      <c r="O29" s="63" t="e">
        <f t="shared" si="7"/>
        <v>#VALUE!</v>
      </c>
      <c r="P29" s="63">
        <f t="shared" si="31"/>
        <v>4</v>
      </c>
      <c r="Q29" s="63" t="e">
        <f t="shared" si="32"/>
        <v>#VALUE!</v>
      </c>
      <c r="R29" s="63" t="e">
        <f t="shared" si="33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34"/>
        <v>none</v>
      </c>
      <c r="U29" s="63" t="e">
        <f t="shared" si="12"/>
        <v>#VALUE!</v>
      </c>
      <c r="V29" s="63">
        <f t="shared" si="35"/>
        <v>4</v>
      </c>
      <c r="W29" s="63" t="e">
        <f t="shared" si="36"/>
        <v>#VALUE!</v>
      </c>
      <c r="X29" s="63" t="e">
        <f t="shared" si="37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>
      <c r="A30" s="47">
        <v>60001128</v>
      </c>
      <c r="B30" s="47" t="s">
        <v>322</v>
      </c>
      <c r="C30" s="50">
        <v>3</v>
      </c>
      <c r="D30" s="50" t="s">
        <v>128</v>
      </c>
      <c r="E30" s="51" t="s">
        <v>323</v>
      </c>
      <c r="F30" s="51" t="s">
        <v>324</v>
      </c>
      <c r="G30" s="63" t="str">
        <f t="shared" si="26"/>
        <v>[effect:dark, turn:-1,target:unit_all,animation:enemy_dark]</v>
      </c>
      <c r="H30" s="63">
        <f t="shared" si="1"/>
        <v>9</v>
      </c>
      <c r="I30" s="63">
        <f t="shared" si="27"/>
        <v>13</v>
      </c>
      <c r="J30" s="63">
        <f t="shared" si="28"/>
        <v>30</v>
      </c>
      <c r="K30" s="63">
        <f t="shared" si="29"/>
        <v>22</v>
      </c>
      <c r="L30" s="63" t="str">
        <f>IFERROR(VLOOKUP(MID(G30,J30,K30-J30),[6]skilldef!$C:$D,2,FALSE),"-") &amp; " / " &amp; IFERROR(VLOOKUP(MID(G30,H30,I30-H30),[6]skilldef!$A:$B,2,FALSE),"-")</f>
        <v>- / 暗黒</v>
      </c>
      <c r="M30" s="63" t="str">
        <f t="shared" si="30"/>
        <v>none</v>
      </c>
      <c r="N30" s="48" t="str">
        <f t="shared" si="50"/>
        <v>none</v>
      </c>
      <c r="O30" s="63" t="e">
        <f t="shared" si="7"/>
        <v>#VALUE!</v>
      </c>
      <c r="P30" s="63">
        <f t="shared" si="31"/>
        <v>4</v>
      </c>
      <c r="Q30" s="63" t="e">
        <f t="shared" si="32"/>
        <v>#VALUE!</v>
      </c>
      <c r="R30" s="63" t="e">
        <f t="shared" si="33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34"/>
        <v>none</v>
      </c>
      <c r="U30" s="63" t="e">
        <f t="shared" si="12"/>
        <v>#VALUE!</v>
      </c>
      <c r="V30" s="63">
        <f t="shared" si="35"/>
        <v>4</v>
      </c>
      <c r="W30" s="63" t="e">
        <f t="shared" si="36"/>
        <v>#VALUE!</v>
      </c>
      <c r="X30" s="63" t="e">
        <f t="shared" si="37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>
      <c r="A31" s="47">
        <v>60001129</v>
      </c>
      <c r="B31" s="47" t="s">
        <v>325</v>
      </c>
      <c r="C31" s="50">
        <v>3</v>
      </c>
      <c r="D31" s="50" t="s">
        <v>128</v>
      </c>
      <c r="E31" s="51" t="s">
        <v>353</v>
      </c>
      <c r="F31" s="51" t="s">
        <v>328</v>
      </c>
      <c r="G31" s="63" t="str">
        <f t="shared" si="26"/>
        <v>[effect:cure, bad_status:dark, animation:cure01]</v>
      </c>
      <c r="H31" s="63">
        <f t="shared" si="1"/>
        <v>9</v>
      </c>
      <c r="I31" s="63">
        <f t="shared" si="27"/>
        <v>13</v>
      </c>
      <c r="J31" s="63" t="e">
        <f t="shared" si="28"/>
        <v>#VALUE!</v>
      </c>
      <c r="K31" s="63">
        <f t="shared" si="29"/>
        <v>30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si="30"/>
        <v>[effect:fix_speed,target:myself,turn:1],[effect:time_limit,count:5,turn:-1,animation:enemy_time_limit]</v>
      </c>
      <c r="N31" s="48" t="str">
        <f t="shared" si="50"/>
        <v>[effect:fix_speed,target:myself,turn:1]</v>
      </c>
      <c r="O31" s="63">
        <f t="shared" si="7"/>
        <v>9</v>
      </c>
      <c r="P31" s="63">
        <f t="shared" si="31"/>
        <v>18</v>
      </c>
      <c r="Q31" s="63">
        <f t="shared" si="32"/>
        <v>26</v>
      </c>
      <c r="R31" s="63">
        <f t="shared" si="33"/>
        <v>32</v>
      </c>
      <c r="S31" s="63" t="str">
        <f>IFERROR(VLOOKUP(MID(N31,Q31,R31-Q31),[6]skilldef!$C:$D,2,FALSE),"-") &amp; " / " &amp; IFERROR(VLOOKUP(MID(N31,O31,P31-O31),[6]skilldef!$A:$B,2,FALSE),"-")</f>
        <v>自分自身に / 行動値設定</v>
      </c>
      <c r="T31" s="48" t="str">
        <f t="shared" si="34"/>
        <v>[effect:time_limit,count:5,turn:-1,animation:enemy_time_limit]</v>
      </c>
      <c r="U31" s="63">
        <f t="shared" si="12"/>
        <v>9</v>
      </c>
      <c r="V31" s="63">
        <f t="shared" si="35"/>
        <v>19</v>
      </c>
      <c r="W31" s="63" t="e">
        <f t="shared" si="36"/>
        <v>#VALUE!</v>
      </c>
      <c r="X31" s="63">
        <f t="shared" si="37"/>
        <v>27</v>
      </c>
      <c r="Y31" s="63" t="str">
        <f>IFERROR(VLOOKUP(MID(T31,W31,X31-W31),[6]skilldef!$C:$D,2,FALSE),"-") &amp; " / " &amp; IFERROR(VLOOKUP(MID(T31,U31,V31-U31),[6]skilldef!$A:$B,2,FALSE),"-")</f>
        <v>- / タップ制限時間</v>
      </c>
      <c r="Z31" s="50"/>
      <c r="AA31" s="52"/>
      <c r="AB31" s="50"/>
    </row>
    <row r="32" spans="1:28" ht="21" customHeight="1">
      <c r="A32" s="47">
        <v>60001130</v>
      </c>
      <c r="B32" s="47" t="s">
        <v>326</v>
      </c>
      <c r="C32" s="50">
        <v>3</v>
      </c>
      <c r="D32" s="50" t="s">
        <v>128</v>
      </c>
      <c r="E32" s="51" t="s">
        <v>331</v>
      </c>
      <c r="F32" s="51" t="s">
        <v>279</v>
      </c>
      <c r="G32" s="63" t="str">
        <f t="shared" si="26"/>
        <v>[effect:rush, count:15, val:0.12]</v>
      </c>
      <c r="H32" s="63">
        <f t="shared" si="1"/>
        <v>9</v>
      </c>
      <c r="I32" s="63">
        <f t="shared" si="27"/>
        <v>13</v>
      </c>
      <c r="J32" s="63" t="e">
        <f t="shared" si="28"/>
        <v>#VALUE!</v>
      </c>
      <c r="K32" s="63">
        <f t="shared" si="29"/>
        <v>23</v>
      </c>
      <c r="L32" s="63" t="str">
        <f>IFERROR(VLOOKUP(MID(G32,J32,K32-J32),[6]skilldef!$C:$D,2,FALSE),"-") &amp; " / " &amp; IFERROR(VLOOKUP(MID(G32,H32,I32-H32),[6]skilldef!$A:$B,2,FALSE),"-")</f>
        <v>- / 連続攻撃</v>
      </c>
      <c r="M32" s="63" t="str">
        <f t="shared" si="30"/>
        <v>none</v>
      </c>
      <c r="N32" s="48" t="str">
        <f t="shared" si="50"/>
        <v>none</v>
      </c>
      <c r="O32" s="63" t="e">
        <f t="shared" si="7"/>
        <v>#VALUE!</v>
      </c>
      <c r="P32" s="63">
        <f t="shared" si="31"/>
        <v>4</v>
      </c>
      <c r="Q32" s="63" t="e">
        <f t="shared" si="32"/>
        <v>#VALUE!</v>
      </c>
      <c r="R32" s="63" t="e">
        <f t="shared" si="33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34"/>
        <v>none</v>
      </c>
      <c r="U32" s="63" t="e">
        <f t="shared" si="12"/>
        <v>#VALUE!</v>
      </c>
      <c r="V32" s="63">
        <f t="shared" si="35"/>
        <v>4</v>
      </c>
      <c r="W32" s="63" t="e">
        <f t="shared" si="36"/>
        <v>#VALUE!</v>
      </c>
      <c r="X32" s="63" t="e">
        <f t="shared" si="37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>
      <c r="A33" s="47">
        <v>60001131</v>
      </c>
      <c r="B33" s="47" t="s">
        <v>330</v>
      </c>
      <c r="C33" s="50">
        <v>3</v>
      </c>
      <c r="D33" s="50" t="s">
        <v>128</v>
      </c>
      <c r="E33" s="51" t="s">
        <v>327</v>
      </c>
      <c r="F33" s="51" t="s">
        <v>332</v>
      </c>
      <c r="G33" s="63" t="str">
        <f t="shared" si="26"/>
        <v>[effect:degrade_fever, val:1000, animation:fevergauge_down]</v>
      </c>
      <c r="H33" s="63">
        <f t="shared" si="1"/>
        <v>9</v>
      </c>
      <c r="I33" s="63">
        <f t="shared" si="27"/>
        <v>22</v>
      </c>
      <c r="J33" s="63" t="e">
        <f t="shared" si="28"/>
        <v>#VALUE!</v>
      </c>
      <c r="K33" s="63">
        <f t="shared" si="29"/>
        <v>32</v>
      </c>
      <c r="L33" s="63" t="str">
        <f>IFERROR(VLOOKUP(MID(G33,J33,K33-J33),[6]skilldef!$C:$D,2,FALSE),"-") &amp; " / " &amp; IFERROR(VLOOKUP(MID(G33,H33,I33-H33),[6]skilldef!$A:$B,2,FALSE),"-")</f>
        <v>- / フィーバーゲージ減少</v>
      </c>
      <c r="M33" s="63" t="str">
        <f t="shared" si="30"/>
        <v>[effect:spread, val:0.5]</v>
      </c>
      <c r="N33" s="48" t="str">
        <f t="shared" si="50"/>
        <v>[effect:spread, val:0.5]</v>
      </c>
      <c r="O33" s="63">
        <f t="shared" si="7"/>
        <v>9</v>
      </c>
      <c r="P33" s="63">
        <f t="shared" si="31"/>
        <v>15</v>
      </c>
      <c r="Q33" s="63" t="e">
        <f t="shared" si="32"/>
        <v>#VALUE!</v>
      </c>
      <c r="R33" s="63" t="e">
        <f t="shared" si="33"/>
        <v>#VALUE!</v>
      </c>
      <c r="S33" s="63" t="str">
        <f>IFERROR(VLOOKUP(MID(N33,Q33,R33-Q33),[6]skilldef!$C:$D,2,FALSE),"-") &amp; " / " &amp; IFERROR(VLOOKUP(MID(N33,O33,P33-O33),[6]skilldef!$A:$B,2,FALSE),"-")</f>
        <v>- / 全体攻撃</v>
      </c>
      <c r="T33" s="48" t="str">
        <f t="shared" si="34"/>
        <v>none</v>
      </c>
      <c r="U33" s="63" t="e">
        <f t="shared" si="12"/>
        <v>#VALUE!</v>
      </c>
      <c r="V33" s="63">
        <f t="shared" si="35"/>
        <v>4</v>
      </c>
      <c r="W33" s="63" t="e">
        <f t="shared" si="36"/>
        <v>#VALUE!</v>
      </c>
      <c r="X33" s="63" t="e">
        <f t="shared" si="37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</sheetData>
  <autoFilter ref="A1:AB1"/>
  <phoneticPr fontId="6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3"/>
  <sheetViews>
    <sheetView showGridLines="0" zoomScale="75" zoomScaleNormal="75" zoomScalePageLayoutView="75" workbookViewId="0">
      <pane ySplit="1" topLeftCell="A14" activePane="bottomLeft" state="frozenSplit"/>
      <selection pane="bottomLeft" activeCell="E33" sqref="E33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>
      <c r="A2" s="47">
        <v>60001100</v>
      </c>
      <c r="B2" s="47">
        <v>1</v>
      </c>
      <c r="C2" s="47" t="s">
        <v>89</v>
      </c>
      <c r="D2" s="47">
        <v>100</v>
      </c>
      <c r="E2" s="47" t="s">
        <v>333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>
      <c r="A3" s="47">
        <v>60001101</v>
      </c>
      <c r="B3" s="47">
        <v>1</v>
      </c>
      <c r="C3" s="47" t="s">
        <v>89</v>
      </c>
      <c r="D3" s="47">
        <v>100</v>
      </c>
      <c r="E3" s="47" t="s">
        <v>334</v>
      </c>
      <c r="F3" s="47" t="s">
        <v>90</v>
      </c>
      <c r="G3" s="47">
        <v>1</v>
      </c>
      <c r="H3" s="47" t="s">
        <v>90</v>
      </c>
      <c r="I3" s="47" t="s">
        <v>90</v>
      </c>
      <c r="J3" s="48">
        <f t="shared" ref="J3:J32" si="1">D3</f>
        <v>100</v>
      </c>
    </row>
    <row r="4" spans="1:11" ht="21" customHeight="1">
      <c r="A4" s="47">
        <v>60001102</v>
      </c>
      <c r="B4" s="47">
        <v>0</v>
      </c>
      <c r="C4" s="47" t="s">
        <v>89</v>
      </c>
      <c r="D4" s="47">
        <v>60</v>
      </c>
      <c r="E4" s="47" t="s">
        <v>335</v>
      </c>
      <c r="F4" s="47" t="s">
        <v>90</v>
      </c>
      <c r="G4" s="47">
        <v>3</v>
      </c>
      <c r="H4" s="47" t="s">
        <v>90</v>
      </c>
      <c r="I4" s="47" t="s">
        <v>90</v>
      </c>
      <c r="J4" s="48">
        <f t="shared" si="1"/>
        <v>60</v>
      </c>
    </row>
    <row r="5" spans="1:11" ht="21" customHeight="1">
      <c r="A5" s="47">
        <v>60001103</v>
      </c>
      <c r="B5" s="47">
        <v>1</v>
      </c>
      <c r="C5" s="47" t="s">
        <v>89</v>
      </c>
      <c r="D5" s="47">
        <v>100</v>
      </c>
      <c r="E5" s="47" t="s">
        <v>336</v>
      </c>
      <c r="F5" s="47" t="s">
        <v>90</v>
      </c>
      <c r="G5" s="47">
        <v>1</v>
      </c>
      <c r="H5" s="47" t="s">
        <v>90</v>
      </c>
      <c r="I5" s="47" t="s">
        <v>90</v>
      </c>
      <c r="J5" s="48">
        <f t="shared" si="1"/>
        <v>100</v>
      </c>
    </row>
    <row r="6" spans="1:11" ht="21" customHeight="1">
      <c r="A6" s="47">
        <v>60001104</v>
      </c>
      <c r="B6" s="47">
        <v>0</v>
      </c>
      <c r="C6" s="47" t="s">
        <v>89</v>
      </c>
      <c r="D6" s="47">
        <v>100</v>
      </c>
      <c r="E6" s="47" t="s">
        <v>336</v>
      </c>
      <c r="F6" s="47" t="s">
        <v>90</v>
      </c>
      <c r="G6" s="47">
        <v>1</v>
      </c>
      <c r="H6" s="47" t="s">
        <v>90</v>
      </c>
      <c r="I6" s="47" t="s">
        <v>90</v>
      </c>
      <c r="J6" s="48">
        <f t="shared" si="1"/>
        <v>100</v>
      </c>
    </row>
    <row r="7" spans="1:11" ht="21" customHeight="1">
      <c r="A7" s="47">
        <v>60001105</v>
      </c>
      <c r="B7" s="47">
        <v>1</v>
      </c>
      <c r="C7" s="47" t="s">
        <v>89</v>
      </c>
      <c r="D7" s="47">
        <v>100</v>
      </c>
      <c r="E7" s="47" t="s">
        <v>337</v>
      </c>
      <c r="F7" s="47" t="s">
        <v>90</v>
      </c>
      <c r="G7" s="47">
        <v>1</v>
      </c>
      <c r="H7" s="47" t="s">
        <v>90</v>
      </c>
      <c r="I7" s="47" t="s">
        <v>90</v>
      </c>
      <c r="J7" s="48">
        <f t="shared" si="1"/>
        <v>100</v>
      </c>
    </row>
    <row r="8" spans="1:11" ht="21" customHeight="1">
      <c r="A8" s="47">
        <v>60001106</v>
      </c>
      <c r="B8" s="47">
        <v>0</v>
      </c>
      <c r="C8" s="47" t="s">
        <v>89</v>
      </c>
      <c r="D8" s="47">
        <v>100</v>
      </c>
      <c r="E8" s="47" t="s">
        <v>336</v>
      </c>
      <c r="F8" s="47" t="s">
        <v>90</v>
      </c>
      <c r="G8" s="47" t="s">
        <v>336</v>
      </c>
      <c r="H8" s="47">
        <v>2</v>
      </c>
      <c r="I8" s="47" t="s">
        <v>90</v>
      </c>
      <c r="J8" s="48">
        <f t="shared" si="1"/>
        <v>100</v>
      </c>
    </row>
    <row r="9" spans="1:11" ht="21" customHeight="1">
      <c r="A9" s="47">
        <v>60001107</v>
      </c>
      <c r="B9" s="47">
        <v>0</v>
      </c>
      <c r="C9" s="47">
        <v>2</v>
      </c>
      <c r="D9" s="47">
        <v>100</v>
      </c>
      <c r="E9" s="47">
        <v>70</v>
      </c>
      <c r="F9" s="47" t="s">
        <v>90</v>
      </c>
      <c r="G9" s="47">
        <v>1</v>
      </c>
      <c r="H9" s="47" t="s">
        <v>90</v>
      </c>
      <c r="I9" s="47" t="s">
        <v>90</v>
      </c>
      <c r="J9" s="48">
        <f t="shared" si="1"/>
        <v>100</v>
      </c>
    </row>
    <row r="10" spans="1:11" ht="21" customHeight="1">
      <c r="A10" s="47">
        <v>60001108</v>
      </c>
      <c r="B10" s="47">
        <v>0</v>
      </c>
      <c r="C10" s="47">
        <v>1</v>
      </c>
      <c r="D10" s="47">
        <v>100</v>
      </c>
      <c r="E10" s="47">
        <v>70</v>
      </c>
      <c r="F10" s="47" t="s">
        <v>90</v>
      </c>
      <c r="G10" s="47">
        <v>1</v>
      </c>
      <c r="H10" s="47" t="s">
        <v>90</v>
      </c>
      <c r="I10" s="47" t="s">
        <v>90</v>
      </c>
      <c r="J10" s="48">
        <f t="shared" si="1"/>
        <v>100</v>
      </c>
    </row>
    <row r="11" spans="1:11" ht="21" customHeight="1">
      <c r="A11" s="47">
        <v>60001109</v>
      </c>
      <c r="B11" s="47">
        <v>1</v>
      </c>
      <c r="C11" s="47" t="s">
        <v>89</v>
      </c>
      <c r="D11" s="47">
        <v>100</v>
      </c>
      <c r="E11" s="47" t="s">
        <v>341</v>
      </c>
      <c r="F11" s="47" t="s">
        <v>90</v>
      </c>
      <c r="G11" s="47">
        <v>1</v>
      </c>
      <c r="H11" s="47" t="s">
        <v>338</v>
      </c>
      <c r="I11" s="47" t="s">
        <v>90</v>
      </c>
      <c r="J11" s="48">
        <f t="shared" si="1"/>
        <v>100</v>
      </c>
    </row>
    <row r="12" spans="1:11" ht="21" customHeight="1">
      <c r="A12" s="47">
        <v>60001110</v>
      </c>
      <c r="B12" s="47">
        <v>0</v>
      </c>
      <c r="C12" s="47" t="s">
        <v>89</v>
      </c>
      <c r="D12" s="47">
        <v>100</v>
      </c>
      <c r="E12" s="47" t="s">
        <v>342</v>
      </c>
      <c r="F12" s="47" t="s">
        <v>90</v>
      </c>
      <c r="G12" s="47">
        <v>1</v>
      </c>
      <c r="H12" s="47" t="s">
        <v>90</v>
      </c>
      <c r="I12" s="47" t="s">
        <v>90</v>
      </c>
      <c r="J12" s="48">
        <f t="shared" si="1"/>
        <v>100</v>
      </c>
    </row>
    <row r="13" spans="1:11" ht="21" customHeight="1">
      <c r="A13" s="47">
        <v>60001111</v>
      </c>
      <c r="B13" s="47">
        <v>0</v>
      </c>
      <c r="C13" s="47" t="s">
        <v>89</v>
      </c>
      <c r="D13" s="47">
        <v>100</v>
      </c>
      <c r="E13" s="47" t="s">
        <v>343</v>
      </c>
      <c r="F13" s="47" t="s">
        <v>90</v>
      </c>
      <c r="G13" s="47">
        <v>1</v>
      </c>
      <c r="H13" s="47" t="s">
        <v>90</v>
      </c>
      <c r="I13" s="47" t="s">
        <v>90</v>
      </c>
      <c r="J13" s="48">
        <f t="shared" si="1"/>
        <v>100</v>
      </c>
    </row>
    <row r="14" spans="1:11" ht="21" customHeight="1">
      <c r="A14" s="47">
        <v>60001112</v>
      </c>
      <c r="B14" s="47">
        <v>0</v>
      </c>
      <c r="C14" s="47">
        <v>4</v>
      </c>
      <c r="D14" s="47">
        <v>100</v>
      </c>
      <c r="E14" s="47">
        <v>60</v>
      </c>
      <c r="F14" s="47" t="s">
        <v>90</v>
      </c>
      <c r="G14" s="47">
        <v>1</v>
      </c>
      <c r="H14" s="47" t="s">
        <v>90</v>
      </c>
      <c r="I14" s="47" t="s">
        <v>90</v>
      </c>
      <c r="J14" s="48">
        <f t="shared" si="1"/>
        <v>100</v>
      </c>
    </row>
    <row r="15" spans="1:11" ht="21" customHeight="1">
      <c r="A15" s="47">
        <v>60001113</v>
      </c>
      <c r="B15" s="47">
        <v>0</v>
      </c>
      <c r="C15" s="47">
        <v>3</v>
      </c>
      <c r="D15" s="47">
        <v>90</v>
      </c>
      <c r="E15" s="47">
        <v>60</v>
      </c>
      <c r="F15" s="47" t="s">
        <v>90</v>
      </c>
      <c r="G15" s="47">
        <v>1</v>
      </c>
      <c r="H15" s="47" t="s">
        <v>90</v>
      </c>
      <c r="I15" s="47" t="s">
        <v>90</v>
      </c>
      <c r="J15" s="48">
        <f t="shared" si="1"/>
        <v>90</v>
      </c>
    </row>
    <row r="16" spans="1:11" ht="21" customHeight="1">
      <c r="A16" s="47">
        <v>60001114</v>
      </c>
      <c r="B16" s="47">
        <v>0</v>
      </c>
      <c r="C16" s="47">
        <v>2</v>
      </c>
      <c r="D16" s="47">
        <v>80</v>
      </c>
      <c r="E16" s="47">
        <v>60</v>
      </c>
      <c r="F16" s="47" t="s">
        <v>90</v>
      </c>
      <c r="G16" s="47">
        <v>1</v>
      </c>
      <c r="H16" s="47" t="s">
        <v>90</v>
      </c>
      <c r="I16" s="47" t="s">
        <v>90</v>
      </c>
      <c r="J16" s="48">
        <f t="shared" si="1"/>
        <v>80</v>
      </c>
    </row>
    <row r="17" spans="1:10" ht="21" customHeight="1">
      <c r="A17" s="47">
        <v>60001115</v>
      </c>
      <c r="B17" s="47">
        <v>1</v>
      </c>
      <c r="C17" s="47" t="s">
        <v>89</v>
      </c>
      <c r="D17" s="47">
        <v>100</v>
      </c>
      <c r="E17" s="47" t="s">
        <v>336</v>
      </c>
      <c r="F17" s="47" t="s">
        <v>90</v>
      </c>
      <c r="G17" s="47">
        <v>1</v>
      </c>
      <c r="H17" s="47" t="s">
        <v>90</v>
      </c>
      <c r="I17" s="47" t="s">
        <v>90</v>
      </c>
      <c r="J17" s="48">
        <f t="shared" si="1"/>
        <v>100</v>
      </c>
    </row>
    <row r="18" spans="1:10" ht="21" customHeight="1">
      <c r="A18" s="47">
        <v>60001116</v>
      </c>
      <c r="B18" s="47">
        <v>0</v>
      </c>
      <c r="C18" s="47" t="s">
        <v>89</v>
      </c>
      <c r="D18" s="47">
        <v>100</v>
      </c>
      <c r="E18" s="47" t="s">
        <v>344</v>
      </c>
      <c r="F18" s="47" t="s">
        <v>90</v>
      </c>
      <c r="G18" s="47">
        <v>3</v>
      </c>
      <c r="H18" s="47" t="s">
        <v>90</v>
      </c>
      <c r="I18" s="47" t="s">
        <v>90</v>
      </c>
      <c r="J18" s="48">
        <f t="shared" si="1"/>
        <v>100</v>
      </c>
    </row>
    <row r="19" spans="1:10" ht="21" customHeight="1">
      <c r="A19" s="47">
        <v>60001117</v>
      </c>
      <c r="B19" s="47">
        <v>1</v>
      </c>
      <c r="C19" s="47" t="s">
        <v>89</v>
      </c>
      <c r="D19" s="47">
        <v>100</v>
      </c>
      <c r="E19" s="47" t="s">
        <v>345</v>
      </c>
      <c r="F19" s="47" t="s">
        <v>90</v>
      </c>
      <c r="G19" s="47">
        <v>1</v>
      </c>
      <c r="H19" s="47" t="s">
        <v>90</v>
      </c>
      <c r="I19" s="47" t="s">
        <v>90</v>
      </c>
      <c r="J19" s="48">
        <f t="shared" si="1"/>
        <v>100</v>
      </c>
    </row>
    <row r="20" spans="1:10" ht="21" customHeight="1">
      <c r="A20" s="47">
        <v>60001118</v>
      </c>
      <c r="B20" s="47">
        <v>0</v>
      </c>
      <c r="C20" s="47" t="s">
        <v>89</v>
      </c>
      <c r="D20" s="47">
        <v>100</v>
      </c>
      <c r="E20" s="47" t="s">
        <v>345</v>
      </c>
      <c r="F20" s="47" t="s">
        <v>90</v>
      </c>
      <c r="G20" s="47">
        <v>1</v>
      </c>
      <c r="H20" s="47" t="s">
        <v>90</v>
      </c>
      <c r="I20" s="47" t="s">
        <v>90</v>
      </c>
      <c r="J20" s="48">
        <f t="shared" si="1"/>
        <v>100</v>
      </c>
    </row>
    <row r="21" spans="1:10" ht="21" customHeight="1">
      <c r="A21" s="47">
        <v>60001119</v>
      </c>
      <c r="B21" s="47">
        <v>0</v>
      </c>
      <c r="C21" s="47" t="s">
        <v>89</v>
      </c>
      <c r="D21" s="47">
        <v>100</v>
      </c>
      <c r="E21" s="47" t="s">
        <v>345</v>
      </c>
      <c r="F21" s="47" t="s">
        <v>90</v>
      </c>
      <c r="G21" s="47">
        <v>1</v>
      </c>
      <c r="H21" s="47" t="s">
        <v>90</v>
      </c>
      <c r="I21" s="47" t="s">
        <v>90</v>
      </c>
      <c r="J21" s="48">
        <f t="shared" si="1"/>
        <v>100</v>
      </c>
    </row>
    <row r="22" spans="1:10" ht="21" customHeight="1">
      <c r="A22" s="47">
        <v>60001120</v>
      </c>
      <c r="B22" s="47">
        <v>0</v>
      </c>
      <c r="C22" s="47" t="s">
        <v>89</v>
      </c>
      <c r="D22" s="47">
        <v>100</v>
      </c>
      <c r="E22" s="47" t="s">
        <v>345</v>
      </c>
      <c r="F22" s="47" t="s">
        <v>90</v>
      </c>
      <c r="G22" s="47">
        <v>1</v>
      </c>
      <c r="H22" s="47" t="s">
        <v>90</v>
      </c>
      <c r="I22" s="47" t="s">
        <v>90</v>
      </c>
      <c r="J22" s="48">
        <f t="shared" si="1"/>
        <v>100</v>
      </c>
    </row>
    <row r="23" spans="1:10" ht="21" customHeight="1">
      <c r="A23" s="47">
        <v>60001121</v>
      </c>
      <c r="B23" s="47">
        <v>0</v>
      </c>
      <c r="C23" s="47" t="s">
        <v>89</v>
      </c>
      <c r="D23" s="47">
        <v>100</v>
      </c>
      <c r="E23" s="47" t="s">
        <v>345</v>
      </c>
      <c r="F23" s="47" t="s">
        <v>90</v>
      </c>
      <c r="G23" s="47">
        <v>1</v>
      </c>
      <c r="H23" s="47" t="s">
        <v>90</v>
      </c>
      <c r="I23" s="47" t="s">
        <v>338</v>
      </c>
      <c r="J23" s="48">
        <f t="shared" si="1"/>
        <v>100</v>
      </c>
    </row>
    <row r="24" spans="1:10" ht="21" customHeight="1">
      <c r="A24" s="47">
        <v>60001122</v>
      </c>
      <c r="B24" s="47">
        <v>0</v>
      </c>
      <c r="C24" s="47" t="s">
        <v>89</v>
      </c>
      <c r="D24" s="47">
        <v>100</v>
      </c>
      <c r="E24" s="47" t="s">
        <v>346</v>
      </c>
      <c r="F24" s="47" t="s">
        <v>90</v>
      </c>
      <c r="G24" s="47" t="s">
        <v>357</v>
      </c>
      <c r="H24" s="47">
        <v>2</v>
      </c>
      <c r="I24" s="47" t="s">
        <v>90</v>
      </c>
      <c r="J24" s="48">
        <f t="shared" si="1"/>
        <v>100</v>
      </c>
    </row>
    <row r="25" spans="1:10" ht="21" customHeight="1">
      <c r="A25" s="47">
        <v>60001123</v>
      </c>
      <c r="B25" s="47">
        <v>1</v>
      </c>
      <c r="C25" s="47" t="s">
        <v>89</v>
      </c>
      <c r="D25" s="47">
        <v>100</v>
      </c>
      <c r="E25" s="47" t="s">
        <v>347</v>
      </c>
      <c r="F25" s="47" t="s">
        <v>90</v>
      </c>
      <c r="G25" s="47">
        <v>1</v>
      </c>
      <c r="H25" s="47" t="s">
        <v>90</v>
      </c>
      <c r="I25" s="47" t="s">
        <v>90</v>
      </c>
      <c r="J25" s="48">
        <f t="shared" si="1"/>
        <v>100</v>
      </c>
    </row>
    <row r="26" spans="1:10" ht="21" customHeight="1">
      <c r="A26" s="47">
        <v>60001124</v>
      </c>
      <c r="B26" s="47">
        <v>0</v>
      </c>
      <c r="C26" s="47" t="s">
        <v>89</v>
      </c>
      <c r="D26" s="47">
        <v>100</v>
      </c>
      <c r="E26" s="47" t="s">
        <v>336</v>
      </c>
      <c r="F26" s="47" t="s">
        <v>90</v>
      </c>
      <c r="G26" s="47">
        <v>1</v>
      </c>
      <c r="H26" s="47">
        <v>1</v>
      </c>
      <c r="I26" s="47" t="s">
        <v>90</v>
      </c>
      <c r="J26" s="48">
        <f t="shared" si="1"/>
        <v>100</v>
      </c>
    </row>
    <row r="27" spans="1:10" ht="21" customHeight="1">
      <c r="A27" s="47">
        <v>60001125</v>
      </c>
      <c r="B27" s="47">
        <v>1</v>
      </c>
      <c r="C27" s="47" t="s">
        <v>89</v>
      </c>
      <c r="D27" s="47">
        <v>100</v>
      </c>
      <c r="E27" s="47" t="s">
        <v>351</v>
      </c>
      <c r="F27" s="47" t="s">
        <v>90</v>
      </c>
      <c r="G27" s="47">
        <v>1</v>
      </c>
      <c r="H27" s="47" t="s">
        <v>90</v>
      </c>
      <c r="I27" s="47" t="s">
        <v>90</v>
      </c>
      <c r="J27" s="48">
        <f t="shared" si="1"/>
        <v>100</v>
      </c>
    </row>
    <row r="28" spans="1:10" ht="21" customHeight="1">
      <c r="A28" s="47">
        <v>60001126</v>
      </c>
      <c r="B28" s="47">
        <v>0</v>
      </c>
      <c r="C28" s="47">
        <v>1</v>
      </c>
      <c r="D28" s="47">
        <v>60</v>
      </c>
      <c r="E28" s="47" t="s">
        <v>336</v>
      </c>
      <c r="F28" s="47" t="s">
        <v>90</v>
      </c>
      <c r="G28" s="47">
        <v>2</v>
      </c>
      <c r="H28" s="47" t="s">
        <v>90</v>
      </c>
      <c r="I28" s="47" t="s">
        <v>90</v>
      </c>
      <c r="J28" s="48">
        <f t="shared" si="1"/>
        <v>60</v>
      </c>
    </row>
    <row r="29" spans="1:10" ht="21" customHeight="1">
      <c r="A29" s="47">
        <v>60001127</v>
      </c>
      <c r="B29" s="47">
        <v>0</v>
      </c>
      <c r="C29" s="47">
        <v>2</v>
      </c>
      <c r="D29" s="47">
        <v>100</v>
      </c>
      <c r="E29" s="47">
        <v>50</v>
      </c>
      <c r="F29" s="47" t="s">
        <v>90</v>
      </c>
      <c r="G29" s="47">
        <v>1</v>
      </c>
      <c r="H29" s="47" t="s">
        <v>90</v>
      </c>
      <c r="I29" s="47" t="s">
        <v>90</v>
      </c>
      <c r="J29" s="48">
        <f t="shared" si="1"/>
        <v>100</v>
      </c>
    </row>
    <row r="30" spans="1:10" ht="21" customHeight="1">
      <c r="A30" s="47">
        <v>60001128</v>
      </c>
      <c r="B30" s="47">
        <v>0</v>
      </c>
      <c r="C30" s="47">
        <v>3</v>
      </c>
      <c r="D30" s="47">
        <v>100</v>
      </c>
      <c r="E30" s="47">
        <v>30</v>
      </c>
      <c r="F30" s="47" t="s">
        <v>90</v>
      </c>
      <c r="G30" s="47">
        <v>1</v>
      </c>
      <c r="H30" s="47" t="s">
        <v>90</v>
      </c>
      <c r="I30" s="47" t="s">
        <v>90</v>
      </c>
      <c r="J30" s="48">
        <f t="shared" si="1"/>
        <v>100</v>
      </c>
    </row>
    <row r="31" spans="1:10" ht="21" customHeight="1">
      <c r="A31" s="47">
        <v>60001129</v>
      </c>
      <c r="B31" s="47">
        <v>1</v>
      </c>
      <c r="C31" s="47" t="s">
        <v>89</v>
      </c>
      <c r="D31" s="47">
        <v>100</v>
      </c>
      <c r="E31" s="47" t="s">
        <v>351</v>
      </c>
      <c r="F31" s="47" t="s">
        <v>90</v>
      </c>
      <c r="G31" s="47">
        <v>1</v>
      </c>
      <c r="H31" s="47" t="s">
        <v>90</v>
      </c>
      <c r="I31" s="47" t="s">
        <v>90</v>
      </c>
      <c r="J31" s="48">
        <f t="shared" si="1"/>
        <v>100</v>
      </c>
    </row>
    <row r="32" spans="1:10" ht="21" customHeight="1">
      <c r="A32" s="47">
        <v>60001130</v>
      </c>
      <c r="B32" s="47">
        <v>0</v>
      </c>
      <c r="C32" s="47" t="s">
        <v>89</v>
      </c>
      <c r="D32" s="47">
        <v>60</v>
      </c>
      <c r="E32" s="47" t="s">
        <v>352</v>
      </c>
      <c r="F32" s="47" t="s">
        <v>90</v>
      </c>
      <c r="G32" s="47">
        <v>1</v>
      </c>
      <c r="H32" s="47" t="s">
        <v>90</v>
      </c>
      <c r="I32" s="47" t="s">
        <v>90</v>
      </c>
      <c r="J32" s="48">
        <f t="shared" si="1"/>
        <v>60</v>
      </c>
    </row>
    <row r="33" spans="1:10" ht="21" customHeight="1">
      <c r="A33" s="47">
        <v>60001131</v>
      </c>
      <c r="B33" s="47">
        <v>0</v>
      </c>
      <c r="C33" s="47" t="s">
        <v>89</v>
      </c>
      <c r="D33" s="47">
        <v>70</v>
      </c>
      <c r="E33" s="47">
        <v>50</v>
      </c>
      <c r="F33" s="47" t="s">
        <v>90</v>
      </c>
      <c r="G33" s="47">
        <v>1</v>
      </c>
      <c r="H33" s="47" t="s">
        <v>90</v>
      </c>
      <c r="I33" s="47" t="s">
        <v>90</v>
      </c>
      <c r="J33" s="48">
        <f t="shared" ref="J33" si="2">D33</f>
        <v>70</v>
      </c>
    </row>
  </sheetData>
  <autoFilter ref="A1:G1"/>
  <phoneticPr fontId="6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8"/>
  <sheetViews>
    <sheetView workbookViewId="0">
      <selection activeCell="C15" sqref="C15"/>
    </sheetView>
  </sheetViews>
  <sheetFormatPr baseColWidth="12" defaultRowHeight="18" x14ac:dyDescent="0"/>
  <cols>
    <col min="17" max="18" width="19" bestFit="1" customWidth="1"/>
  </cols>
  <sheetData>
    <row r="1" spans="1:18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>
      <c r="A2" s="57">
        <f>floors!C2</f>
        <v>60001</v>
      </c>
      <c r="B2" s="57">
        <v>1</v>
      </c>
      <c r="C2" s="71" t="str">
        <f>A2&amp; "_"&amp;B2</f>
        <v>60001_1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169</v>
      </c>
      <c r="G2" s="57">
        <v>1000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171</v>
      </c>
      <c r="R2" s="57" t="s">
        <v>172</v>
      </c>
    </row>
    <row r="3" spans="1:18">
      <c r="A3" s="57">
        <v>60002</v>
      </c>
      <c r="B3" s="57">
        <v>1</v>
      </c>
      <c r="C3" s="71" t="str">
        <f>A3&amp; "_"&amp;B3</f>
        <v>60002_1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7">
        <v>1</v>
      </c>
      <c r="F3" s="57" t="s">
        <v>169</v>
      </c>
      <c r="G3" s="57">
        <v>1000</v>
      </c>
      <c r="H3" s="57" t="s">
        <v>170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100</v>
      </c>
      <c r="Q3" s="57" t="s">
        <v>171</v>
      </c>
      <c r="R3" s="57" t="s">
        <v>172</v>
      </c>
    </row>
    <row r="4" spans="1:18">
      <c r="A4" s="57">
        <v>60002</v>
      </c>
      <c r="B4" s="57">
        <v>2</v>
      </c>
      <c r="C4" s="71" t="str">
        <f>A4&amp; "_"&amp;B4</f>
        <v>60002_2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7">
        <v>1</v>
      </c>
      <c r="F4" s="57" t="s">
        <v>169</v>
      </c>
      <c r="G4" s="57">
        <v>1000</v>
      </c>
      <c r="H4" s="57" t="s">
        <v>53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100</v>
      </c>
      <c r="Q4" s="57" t="s">
        <v>171</v>
      </c>
      <c r="R4" s="57" t="s">
        <v>172</v>
      </c>
    </row>
    <row r="5" spans="1:18">
      <c r="A5" s="57">
        <v>60003</v>
      </c>
      <c r="B5" s="57">
        <v>1</v>
      </c>
      <c r="C5" s="71" t="str">
        <f t="shared" ref="C5:C8" si="0">A5&amp; "_"&amp;B5</f>
        <v>60003_1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7">
        <v>1</v>
      </c>
      <c r="F5" s="57" t="s">
        <v>169</v>
      </c>
      <c r="G5" s="57">
        <v>1000</v>
      </c>
      <c r="H5" s="57" t="s">
        <v>170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100</v>
      </c>
      <c r="Q5" s="57" t="s">
        <v>171</v>
      </c>
      <c r="R5" s="57" t="s">
        <v>172</v>
      </c>
    </row>
    <row r="6" spans="1:18">
      <c r="A6" s="57">
        <v>60003</v>
      </c>
      <c r="B6" s="57">
        <v>2</v>
      </c>
      <c r="C6" s="71" t="str">
        <f t="shared" ref="C6" si="1">A6&amp; "_"&amp;B6</f>
        <v>60003_2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7">
        <v>1</v>
      </c>
      <c r="F6" s="57" t="s">
        <v>169</v>
      </c>
      <c r="G6" s="57">
        <v>1000</v>
      </c>
      <c r="H6" s="57" t="s">
        <v>53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100</v>
      </c>
      <c r="Q6" s="57" t="s">
        <v>171</v>
      </c>
      <c r="R6" s="57" t="s">
        <v>172</v>
      </c>
    </row>
    <row r="7" spans="1:18">
      <c r="A7" s="57">
        <v>60003</v>
      </c>
      <c r="B7" s="57">
        <v>3</v>
      </c>
      <c r="C7" s="71" t="str">
        <f t="shared" ref="C7" si="2">A7&amp; "_"&amp;B7</f>
        <v>60003_3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7">
        <v>1</v>
      </c>
      <c r="F7" s="57" t="s">
        <v>169</v>
      </c>
      <c r="G7" s="57">
        <v>1000</v>
      </c>
      <c r="H7" s="57" t="s">
        <v>53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100</v>
      </c>
      <c r="Q7" s="57" t="s">
        <v>171</v>
      </c>
      <c r="R7" s="57" t="s">
        <v>172</v>
      </c>
    </row>
    <row r="8" spans="1:18">
      <c r="A8" s="57">
        <v>60004</v>
      </c>
      <c r="B8" s="57">
        <v>1</v>
      </c>
      <c r="C8" s="71" t="str">
        <f t="shared" si="0"/>
        <v>60004_1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7">
        <v>1</v>
      </c>
      <c r="F8" s="57" t="s">
        <v>169</v>
      </c>
      <c r="G8" s="57">
        <v>1000</v>
      </c>
      <c r="H8" s="57" t="s">
        <v>170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100</v>
      </c>
      <c r="Q8" s="57" t="s">
        <v>171</v>
      </c>
      <c r="R8" s="57" t="s">
        <v>172</v>
      </c>
    </row>
  </sheetData>
  <phoneticPr fontId="6"/>
  <dataValidations disablePrompts="1" count="1">
    <dataValidation type="list" allowBlank="1" showInputMessage="1" showErrorMessage="1" sqref="F2:F8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92"/>
  <sheetViews>
    <sheetView showGridLines="0" workbookViewId="0">
      <pane ySplit="1" topLeftCell="A7" activePane="bottomLeft" state="frozen"/>
      <selection pane="bottomLeft" activeCell="I27" sqref="I27"/>
    </sheetView>
  </sheetViews>
  <sheetFormatPr baseColWidth="12" defaultColWidth="13" defaultRowHeight="18" outlineLevelCol="1" x14ac:dyDescent="0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>
      <c r="A1" s="77" t="s">
        <v>189</v>
      </c>
      <c r="B1" s="73" t="s">
        <v>190</v>
      </c>
      <c r="C1" s="78" t="s">
        <v>191</v>
      </c>
      <c r="D1" s="78" t="s">
        <v>33</v>
      </c>
      <c r="E1" s="73" t="s">
        <v>192</v>
      </c>
      <c r="F1" s="78" t="s">
        <v>193</v>
      </c>
      <c r="G1" s="78" t="s">
        <v>33</v>
      </c>
      <c r="H1" s="73" t="s">
        <v>194</v>
      </c>
      <c r="I1" s="93" t="s">
        <v>196</v>
      </c>
      <c r="J1" s="80" t="s">
        <v>127</v>
      </c>
      <c r="K1" s="79" t="s">
        <v>188</v>
      </c>
      <c r="L1" s="94" t="s">
        <v>187</v>
      </c>
      <c r="M1" s="81" t="s">
        <v>197</v>
      </c>
    </row>
    <row r="2" spans="1:13">
      <c r="A2" s="82" t="s">
        <v>202</v>
      </c>
      <c r="B2" s="83">
        <f>floors!$C$2</f>
        <v>60001</v>
      </c>
      <c r="C2" s="84" t="str">
        <f ca="1">VLOOKUP($B2,OFFSET([2]quests!$A$1,0,0,COUNTA([2]quests!$A:$A),MATCH(C$1,[2]quests!$1:$1,0)-MATCH($B$1,[2]quests!$1:$1,0)+1),MATCH(C$1,[2]quests!$1:$1,0)-MATCH($B$1,[2]quests!$1:$1,0)+1,FALSE)</f>
        <v>ヘンペルチャレンジ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ランキング1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[ウィザード] 第一回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ランキング1</v>
      </c>
      <c r="H2" s="86">
        <v>1</v>
      </c>
      <c r="I2">
        <v>12</v>
      </c>
      <c r="J2" s="85" t="s">
        <v>199</v>
      </c>
      <c r="K2" s="95" t="str">
        <f>VLOOKUP(I2,[7]stage_hints!$A:$C,3,FALSE)</f>
        <v>ユニットのお気に入り登録</v>
      </c>
      <c r="L2" s="96" t="str">
        <f>VLOOKUP(I2,[7]stage_hints!$A:$D,4,FALSE)</f>
        <v>大事なユニットを誤って消さないように_x000D_フォルダから「お気に入り登録」しましょう</v>
      </c>
      <c r="M2" s="57" t="s">
        <v>213</v>
      </c>
    </row>
    <row r="3" spans="1:13">
      <c r="A3" s="82" t="s">
        <v>202</v>
      </c>
      <c r="B3" s="83">
        <f>floors!$C$2</f>
        <v>60001</v>
      </c>
      <c r="C3" s="84" t="str">
        <f ca="1">VLOOKUP($B3,OFFSET([2]quests!$A$1,0,0,COUNTA([2]quests!$A:$A),MATCH(C$1,[2]quests!$1:$1,0)-MATCH($B$1,[2]quests!$1:$1,0)+1),MATCH(C$1,[2]quests!$1:$1,0)-MATCH($B$1,[2]quests!$1:$1,0)+1,FALSE)</f>
        <v>ヘンペルチャレンジ</v>
      </c>
      <c r="D3" s="84" t="str">
        <f ca="1">VLOOKUP($B3,OFFSET([2]quests!$A$1,0,0,COUNTA([2]quests!$A:$A),MATCH(D$1,[2]quests!$1:$1,0)-MATCH($B$1,[2]quests!$1:$1,0)+1),MATCH(D$1,[2]quests!$1:$1,0)-MATCH($B$1,[2]quests!$1:$1,0)+1,FALSE)</f>
        <v>ランキング1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[ウィザード] 第一回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ランキング1</v>
      </c>
      <c r="H3" s="86">
        <v>1</v>
      </c>
      <c r="I3">
        <v>17</v>
      </c>
      <c r="J3" s="85" t="s">
        <v>199</v>
      </c>
      <c r="K3" s="95" t="str">
        <f>VLOOKUP(I3,[7]stage_hints!$A:$C,3,FALSE)</f>
        <v>リンクガチャ</v>
      </c>
      <c r="L3" s="96" t="str">
        <f>VLOOKUP(I3,[7]stage_hints!$A:$D,4,FALSE)</f>
        <v>無料のリンクガチャを回して_x000D_経験値素材や売却素材を獲得しましょう</v>
      </c>
      <c r="M3" s="57" t="s">
        <v>213</v>
      </c>
    </row>
    <row r="4" spans="1:13">
      <c r="A4" s="82" t="s">
        <v>202</v>
      </c>
      <c r="B4" s="83">
        <f>floors!$C$2</f>
        <v>60001</v>
      </c>
      <c r="C4" s="84" t="str">
        <f ca="1">VLOOKUP($B4,OFFSET([2]quests!$A$1,0,0,COUNTA([2]quests!$A:$A),MATCH(C$1,[2]quests!$1:$1,0)-MATCH($B$1,[2]quests!$1:$1,0)+1),MATCH(C$1,[2]quests!$1:$1,0)-MATCH($B$1,[2]quests!$1:$1,0)+1,FALSE)</f>
        <v>ヘンペルチャレンジ</v>
      </c>
      <c r="D4" s="84" t="str">
        <f ca="1">VLOOKUP($B4,OFFSET([2]quests!$A$1,0,0,COUNTA([2]quests!$A:$A),MATCH(D$1,[2]quests!$1:$1,0)-MATCH($B$1,[2]quests!$1:$1,0)+1),MATCH(D$1,[2]quests!$1:$1,0)-MATCH($B$1,[2]quests!$1:$1,0)+1,FALSE)</f>
        <v>ランキング1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[ウィザード] 第一回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ランキング1</v>
      </c>
      <c r="H4" s="86">
        <v>1</v>
      </c>
      <c r="I4">
        <v>19</v>
      </c>
      <c r="J4" s="85" t="s">
        <v>199</v>
      </c>
      <c r="K4" s="95" t="str">
        <f>VLOOKUP(I4,[7]stage_hints!$A:$C,3,FALSE)</f>
        <v>ソロ専用チャレンジタワー</v>
      </c>
      <c r="L4" s="96" t="str">
        <f>VLOOKUP(I4,[7]stage_hints!$A:$D,4,FALSE)</f>
        <v>ソロ専用の「チャレンジタワー」では_x000D_各フロアごとにクリア報酬がもらえます</v>
      </c>
      <c r="M4" s="57" t="s">
        <v>213</v>
      </c>
    </row>
    <row r="5" spans="1:13">
      <c r="A5" s="82" t="s">
        <v>202</v>
      </c>
      <c r="B5" s="83">
        <f>floors!$C$2</f>
        <v>60001</v>
      </c>
      <c r="C5" s="84" t="str">
        <f ca="1">VLOOKUP($B5,OFFSET([2]quests!$A$1,0,0,COUNTA([2]quests!$A:$A),MATCH(C$1,[2]quests!$1:$1,0)-MATCH($B$1,[2]quests!$1:$1,0)+1),MATCH(C$1,[2]quests!$1:$1,0)-MATCH($B$1,[2]quests!$1:$1,0)+1,FALSE)</f>
        <v>ヘンペルチャレンジ</v>
      </c>
      <c r="D5" s="84" t="str">
        <f ca="1">VLOOKUP($B5,OFFSET([2]quests!$A$1,0,0,COUNTA([2]quests!$A:$A),MATCH(D$1,[2]quests!$1:$1,0)-MATCH($B$1,[2]quests!$1:$1,0)+1),MATCH(D$1,[2]quests!$1:$1,0)-MATCH($B$1,[2]quests!$1:$1,0)+1,FALSE)</f>
        <v>ランキング1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[ウィザード] 第一回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ランキング1</v>
      </c>
      <c r="H5" s="86">
        <v>1</v>
      </c>
      <c r="I5">
        <v>21</v>
      </c>
      <c r="J5" s="85" t="s">
        <v>199</v>
      </c>
      <c r="K5" s="95" t="str">
        <f>VLOOKUP(I5,[7]stage_hints!$A:$C,3,FALSE)</f>
        <v>スキルを有効に</v>
      </c>
      <c r="L5" s="96" t="str">
        <f>VLOOKUP(I5,[7]stage_hints!$A:$D,4,FALSE)</f>
        <v>ターン経過でユニットのスキルが使えます_x000D_強力スキルでバトルを有利に進めましょう</v>
      </c>
      <c r="M5" s="57" t="s">
        <v>213</v>
      </c>
    </row>
    <row r="6" spans="1:13">
      <c r="A6" s="82" t="s">
        <v>202</v>
      </c>
      <c r="B6" s="83">
        <f>floors!$C$2</f>
        <v>60001</v>
      </c>
      <c r="C6" s="84" t="str">
        <f ca="1">VLOOKUP($B6,OFFSET([2]quests!$A$1,0,0,COUNTA([2]quests!$A:$A),MATCH(C$1,[2]quests!$1:$1,0)-MATCH($B$1,[2]quests!$1:$1,0)+1),MATCH(C$1,[2]quests!$1:$1,0)-MATCH($B$1,[2]quests!$1:$1,0)+1,FALSE)</f>
        <v>ヘンペルチャレンジ</v>
      </c>
      <c r="D6" s="84" t="str">
        <f ca="1">VLOOKUP($B6,OFFSET([2]quests!$A$1,0,0,COUNTA([2]quests!$A:$A),MATCH(D$1,[2]quests!$1:$1,0)-MATCH($B$1,[2]quests!$1:$1,0)+1),MATCH(D$1,[2]quests!$1:$1,0)-MATCH($B$1,[2]quests!$1:$1,0)+1,FALSE)</f>
        <v>ランキング1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[ウィザード] 第一回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ランキング1</v>
      </c>
      <c r="H6" s="86">
        <v>1</v>
      </c>
      <c r="I6">
        <v>29</v>
      </c>
      <c r="J6" s="85" t="s">
        <v>199</v>
      </c>
      <c r="K6" s="95" t="str">
        <f>VLOOKUP(I6,[7]stage_hints!$A:$C,3,FALSE)</f>
        <v>「バグ」のメリット</v>
      </c>
      <c r="L6" s="96" t="str">
        <f>VLOOKUP(I6,[7]stage_hints!$A:$D,4,FALSE)</f>
        <v>ユニットの「バグ」を増やすと_x000D_報酬をもらえる確率がアップします</v>
      </c>
      <c r="M6" s="57" t="s">
        <v>213</v>
      </c>
    </row>
    <row r="7" spans="1:13">
      <c r="A7" s="82" t="s">
        <v>202</v>
      </c>
      <c r="B7" s="83">
        <f>floors!$C$2</f>
        <v>60001</v>
      </c>
      <c r="C7" s="84" t="str">
        <f ca="1">VLOOKUP($B7,OFFSET([2]quests!$A$1,0,0,COUNTA([2]quests!$A:$A),MATCH(C$1,[2]quests!$1:$1,0)-MATCH($B$1,[2]quests!$1:$1,0)+1),MATCH(C$1,[2]quests!$1:$1,0)-MATCH($B$1,[2]quests!$1:$1,0)+1,FALSE)</f>
        <v>ヘンペルチャレンジ</v>
      </c>
      <c r="D7" s="84" t="str">
        <f ca="1">VLOOKUP($B7,OFFSET([2]quests!$A$1,0,0,COUNTA([2]quests!$A:$A),MATCH(D$1,[2]quests!$1:$1,0)-MATCH($B$1,[2]quests!$1:$1,0)+1),MATCH(D$1,[2]quests!$1:$1,0)-MATCH($B$1,[2]quests!$1:$1,0)+1,FALSE)</f>
        <v>ランキング1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[ウィザード] 第一回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ランキング1</v>
      </c>
      <c r="H7" s="86">
        <v>1</v>
      </c>
      <c r="I7">
        <v>30</v>
      </c>
      <c r="J7" s="85" t="s">
        <v>199</v>
      </c>
      <c r="K7" s="95" t="str">
        <f>VLOOKUP(I7,[7]stage_hints!$A:$C,3,FALSE)</f>
        <v>「バグ」の増やし方</v>
      </c>
      <c r="L7" s="96" t="str">
        <f>VLOOKUP(I7,[7]stage_hints!$A:$D,4,FALSE)</f>
        <v>同じユニット同士を強化で合成すると_x000D_「バグ」を増やすことができます</v>
      </c>
      <c r="M7" s="57" t="s">
        <v>213</v>
      </c>
    </row>
    <row r="8" spans="1:13">
      <c r="A8" s="82" t="s">
        <v>202</v>
      </c>
      <c r="B8" s="83">
        <f>floors!$C$2</f>
        <v>60001</v>
      </c>
      <c r="C8" s="84" t="str">
        <f ca="1">VLOOKUP($B8,OFFSET([2]quests!$A$1,0,0,COUNTA([2]quests!$A:$A),MATCH(C$1,[2]quests!$1:$1,0)-MATCH($B$1,[2]quests!$1:$1,0)+1),MATCH(C$1,[2]quests!$1:$1,0)-MATCH($B$1,[2]quests!$1:$1,0)+1,FALSE)</f>
        <v>ヘンペルチャレンジ</v>
      </c>
      <c r="D8" s="84" t="str">
        <f ca="1">VLOOKUP($B8,OFFSET([2]quests!$A$1,0,0,COUNTA([2]quests!$A:$A),MATCH(D$1,[2]quests!$1:$1,0)-MATCH($B$1,[2]quests!$1:$1,0)+1),MATCH(D$1,[2]quests!$1:$1,0)-MATCH($B$1,[2]quests!$1:$1,0)+1,FALSE)</f>
        <v>ランキング1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[ウィザード] 第一回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ランキング1</v>
      </c>
      <c r="H8" s="86">
        <v>1</v>
      </c>
      <c r="I8">
        <v>32</v>
      </c>
      <c r="J8" s="85" t="s">
        <v>199</v>
      </c>
      <c r="K8" s="95" t="str">
        <f>VLOOKUP(I8,[7]stage_hints!$A:$C,3,FALSE)</f>
        <v>敵の連続攻撃には</v>
      </c>
      <c r="L8" s="96" t="str">
        <f>VLOOKUP(I8,[7]stage_hints!$A:$D,4,FALSE)</f>
        <v>カウンタースキルを持つユニットがいれば_x000D_ダメージ回数分の反撃ができます</v>
      </c>
      <c r="M8" s="57" t="s">
        <v>213</v>
      </c>
    </row>
    <row r="9" spans="1:13">
      <c r="A9" s="82" t="s">
        <v>202</v>
      </c>
      <c r="B9" s="83">
        <f>floors!$C$2</f>
        <v>60001</v>
      </c>
      <c r="C9" s="84" t="str">
        <f ca="1">VLOOKUP($B9,OFFSET([2]quests!$A$1,0,0,COUNTA([2]quests!$A:$A),MATCH(C$1,[2]quests!$1:$1,0)-MATCH($B$1,[2]quests!$1:$1,0)+1),MATCH(C$1,[2]quests!$1:$1,0)-MATCH($B$1,[2]quests!$1:$1,0)+1,FALSE)</f>
        <v>ヘンペルチャレンジ</v>
      </c>
      <c r="D9" s="84" t="str">
        <f ca="1">VLOOKUP($B9,OFFSET([2]quests!$A$1,0,0,COUNTA([2]quests!$A:$A),MATCH(D$1,[2]quests!$1:$1,0)-MATCH($B$1,[2]quests!$1:$1,0)+1),MATCH(D$1,[2]quests!$1:$1,0)-MATCH($B$1,[2]quests!$1:$1,0)+1,FALSE)</f>
        <v>ランキング1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[ウィザード] 第一回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ランキング1</v>
      </c>
      <c r="H9" s="86">
        <v>1</v>
      </c>
      <c r="I9">
        <v>33</v>
      </c>
      <c r="J9" s="85" t="s">
        <v>199</v>
      </c>
      <c r="K9" s="95" t="str">
        <f>VLOOKUP(I9,[7]stage_hints!$A:$C,3,FALSE)</f>
        <v>敵のカウンター攻撃には</v>
      </c>
      <c r="L9" s="96" t="str">
        <f>VLOOKUP(I9,[7]stage_hints!$A:$D,4,FALSE)</f>
        <v>カウンターブレイクスキルを持っていれば_x000D_敵のカウンターを解除して攻撃ができます</v>
      </c>
      <c r="M9" s="57" t="s">
        <v>213</v>
      </c>
    </row>
    <row r="10" spans="1:13">
      <c r="A10" s="82" t="s">
        <v>202</v>
      </c>
      <c r="B10" s="83">
        <f>floors!$C$2</f>
        <v>60001</v>
      </c>
      <c r="C10" s="84" t="str">
        <f ca="1">VLOOKUP($B10,OFFSET([2]quests!$A$1,0,0,COUNTA([2]quests!$A:$A),MATCH(C$1,[2]quests!$1:$1,0)-MATCH($B$1,[2]quests!$1:$1,0)+1),MATCH(C$1,[2]quests!$1:$1,0)-MATCH($B$1,[2]quests!$1:$1,0)+1,FALSE)</f>
        <v>ヘンペルチャレンジ</v>
      </c>
      <c r="D10" s="84" t="str">
        <f ca="1">VLOOKUP($B10,OFFSET([2]quests!$A$1,0,0,COUNTA([2]quests!$A:$A),MATCH(D$1,[2]quests!$1:$1,0)-MATCH($B$1,[2]quests!$1:$1,0)+1),MATCH(D$1,[2]quests!$1:$1,0)-MATCH($B$1,[2]quests!$1:$1,0)+1,FALSE)</f>
        <v>ランキング1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[ウィザード] 第一回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ランキング1</v>
      </c>
      <c r="H10" s="86">
        <v>1</v>
      </c>
      <c r="I10">
        <v>34</v>
      </c>
      <c r="J10" s="85" t="s">
        <v>199</v>
      </c>
      <c r="K10" s="95" t="str">
        <f>VLOOKUP(I10,[7]stage_hints!$A:$C,3,FALSE)</f>
        <v>ステータスをスキルで下げられたら</v>
      </c>
      <c r="L10" s="96" t="str">
        <f>VLOOKUP(I10,[7]stage_hints!$A:$D,4,FALSE)</f>
        <v>ステータスダウンのスキルを受けたら_x000D_ステータスアップスキルで上書きしましょう</v>
      </c>
      <c r="M10" s="57" t="s">
        <v>213</v>
      </c>
    </row>
    <row r="11" spans="1:13">
      <c r="A11" s="82" t="s">
        <v>202</v>
      </c>
      <c r="B11" s="83">
        <f>floors!$C$2</f>
        <v>60001</v>
      </c>
      <c r="C11" s="84" t="str">
        <f ca="1">VLOOKUP($B11,OFFSET([2]quests!$A$1,0,0,COUNTA([2]quests!$A:$A),MATCH(C$1,[2]quests!$1:$1,0)-MATCH($B$1,[2]quests!$1:$1,0)+1),MATCH(C$1,[2]quests!$1:$1,0)-MATCH($B$1,[2]quests!$1:$1,0)+1,FALSE)</f>
        <v>ヘンペルチャレンジ</v>
      </c>
      <c r="D11" s="84" t="str">
        <f ca="1">VLOOKUP($B11,OFFSET([2]quests!$A$1,0,0,COUNTA([2]quests!$A:$A),MATCH(D$1,[2]quests!$1:$1,0)-MATCH($B$1,[2]quests!$1:$1,0)+1),MATCH(D$1,[2]quests!$1:$1,0)-MATCH($B$1,[2]quests!$1:$1,0)+1,FALSE)</f>
        <v>ランキング1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[ウィザード] 第一回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ランキング1</v>
      </c>
      <c r="H11" s="86">
        <v>1</v>
      </c>
      <c r="I11">
        <v>35</v>
      </c>
      <c r="J11" s="85" t="s">
        <v>199</v>
      </c>
      <c r="K11" s="95" t="str">
        <f>VLOOKUP(I11,[7]stage_hints!$A:$C,3,FALSE)</f>
        <v>敵のステータスがスキルで上がったら</v>
      </c>
      <c r="L11" s="96" t="str">
        <f>VLOOKUP(I11,[7]stage_hints!$A:$D,4,FALSE)</f>
        <v>敵のステータスがスキルでアップしたときは_x000D_ステータスダウンスキルで上書きしましょう</v>
      </c>
      <c r="M11" s="57" t="s">
        <v>213</v>
      </c>
    </row>
    <row r="12" spans="1:13">
      <c r="A12" s="82" t="s">
        <v>202</v>
      </c>
      <c r="B12" s="83">
        <f>floors!$C$2</f>
        <v>60001</v>
      </c>
      <c r="C12" s="84" t="str">
        <f ca="1">VLOOKUP($B12,OFFSET([2]quests!$A$1,0,0,COUNTA([2]quests!$A:$A),MATCH(C$1,[2]quests!$1:$1,0)-MATCH($B$1,[2]quests!$1:$1,0)+1),MATCH(C$1,[2]quests!$1:$1,0)-MATCH($B$1,[2]quests!$1:$1,0)+1,FALSE)</f>
        <v>ヘンペルチャレンジ</v>
      </c>
      <c r="D12" s="84" t="str">
        <f ca="1">VLOOKUP($B12,OFFSET([2]quests!$A$1,0,0,COUNTA([2]quests!$A:$A),MATCH(D$1,[2]quests!$1:$1,0)-MATCH($B$1,[2]quests!$1:$1,0)+1),MATCH(D$1,[2]quests!$1:$1,0)-MATCH($B$1,[2]quests!$1:$1,0)+1,FALSE)</f>
        <v>ランキング1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[ウィザード] 第一回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ランキング1</v>
      </c>
      <c r="H12" s="86">
        <v>1</v>
      </c>
      <c r="I12">
        <v>36</v>
      </c>
      <c r="J12" s="85" t="s">
        <v>199</v>
      </c>
      <c r="K12" s="95" t="str">
        <f>VLOOKUP(I12,[7]stage_hints!$A:$C,3,FALSE)</f>
        <v>チャレンジタワーのボス</v>
      </c>
      <c r="L12" s="96" t="str">
        <f>VLOOKUP(I12,[7]stage_hints!$A:$D,4,FALSE)</f>
        <v>チャレンジタワーでのみ登場するボスは_x000D_一定確率で獲得することができます</v>
      </c>
      <c r="M12" s="57" t="s">
        <v>213</v>
      </c>
    </row>
    <row r="13" spans="1:13">
      <c r="A13" s="82" t="s">
        <v>202</v>
      </c>
      <c r="B13" s="83">
        <f>floors!$C$2</f>
        <v>60001</v>
      </c>
      <c r="C13" s="84" t="str">
        <f ca="1">VLOOKUP($B13,OFFSET([2]quests!$A$1,0,0,COUNTA([2]quests!$A:$A),MATCH(C$1,[2]quests!$1:$1,0)-MATCH($B$1,[2]quests!$1:$1,0)+1),MATCH(C$1,[2]quests!$1:$1,0)-MATCH($B$1,[2]quests!$1:$1,0)+1,FALSE)</f>
        <v>ヘンペルチャレンジ</v>
      </c>
      <c r="D13" s="84" t="str">
        <f ca="1">VLOOKUP($B13,OFFSET([2]quests!$A$1,0,0,COUNTA([2]quests!$A:$A),MATCH(D$1,[2]quests!$1:$1,0)-MATCH($B$1,[2]quests!$1:$1,0)+1),MATCH(D$1,[2]quests!$1:$1,0)-MATCH($B$1,[2]quests!$1:$1,0)+1,FALSE)</f>
        <v>ランキング1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[ウィザード] 第一回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ランキング1</v>
      </c>
      <c r="H13" s="86">
        <v>1</v>
      </c>
      <c r="I13">
        <v>37</v>
      </c>
      <c r="J13" s="85" t="s">
        <v>199</v>
      </c>
      <c r="K13" s="95" t="str">
        <f>VLOOKUP(I13,[7]stage_hints!$A:$C,3,FALSE)</f>
        <v>限界突破値の引き継ぎ</v>
      </c>
      <c r="L13" s="96" t="str">
        <f>VLOOKUP(I13,[7]stage_hints!$A:$D,4,FALSE)</f>
        <v>同じユニットを強化で合成すると_x000D_限界突破値を引き継げます（覚醒前後も可）</v>
      </c>
      <c r="M13" s="57" t="s">
        <v>213</v>
      </c>
    </row>
    <row r="14" spans="1:13">
      <c r="A14" s="82" t="s">
        <v>202</v>
      </c>
      <c r="B14" s="83">
        <f>floors!$C$2</f>
        <v>60001</v>
      </c>
      <c r="C14" s="84" t="str">
        <f ca="1">VLOOKUP($B14,OFFSET([2]quests!$A$1,0,0,COUNTA([2]quests!$A:$A),MATCH(C$1,[2]quests!$1:$1,0)-MATCH($B$1,[2]quests!$1:$1,0)+1),MATCH(C$1,[2]quests!$1:$1,0)-MATCH($B$1,[2]quests!$1:$1,0)+1,FALSE)</f>
        <v>ヘンペルチャレンジ</v>
      </c>
      <c r="D14" s="84" t="str">
        <f ca="1">VLOOKUP($B14,OFFSET([2]quests!$A$1,0,0,COUNTA([2]quests!$A:$A),MATCH(D$1,[2]quests!$1:$1,0)-MATCH($B$1,[2]quests!$1:$1,0)+1),MATCH(D$1,[2]quests!$1:$1,0)-MATCH($B$1,[2]quests!$1:$1,0)+1,FALSE)</f>
        <v>ランキング1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[ウィザード] 第一回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ランキング1</v>
      </c>
      <c r="H14" s="86">
        <v>1</v>
      </c>
      <c r="I14">
        <v>39</v>
      </c>
      <c r="J14" s="85" t="s">
        <v>199</v>
      </c>
      <c r="K14" s="95" t="str">
        <f>VLOOKUP(I14,[7]stage_hints!$A:$C,3,FALSE)</f>
        <v>システム適合者を確認</v>
      </c>
      <c r="L14" s="96" t="str">
        <f>VLOOKUP(I14,[7]stage_hints!$A:$D,4,FALSE)</f>
        <v>ALICEが「アナタ」を呼んでいます</v>
      </c>
      <c r="M14" s="57" t="s">
        <v>213</v>
      </c>
    </row>
    <row r="15" spans="1:13">
      <c r="A15" s="82" t="s">
        <v>202</v>
      </c>
      <c r="B15" s="83">
        <v>60002</v>
      </c>
      <c r="C15" s="84" t="str">
        <f ca="1">VLOOKUP($B15,OFFSET([2]quests!$A$1,0,0,COUNTA([2]quests!$A:$A),MATCH(C$1,[2]quests!$1:$1,0)-MATCH($B$1,[2]quests!$1:$1,0)+1),MATCH(C$1,[2]quests!$1:$1,0)-MATCH($B$1,[2]quests!$1:$1,0)+1,FALSE)</f>
        <v>ヘンペルチャレンジ</v>
      </c>
      <c r="D15" s="84" t="str">
        <f ca="1">VLOOKUP($B15,OFFSET([2]quests!$A$1,0,0,COUNTA([2]quests!$A:$A),MATCH(D$1,[2]quests!$1:$1,0)-MATCH($B$1,[2]quests!$1:$1,0)+1),MATCH(D$1,[2]quests!$1:$1,0)-MATCH($B$1,[2]quests!$1:$1,0)+1,FALSE)</f>
        <v>ランキング1</v>
      </c>
      <c r="E15" s="88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[超級] 第2回　※Wizと難易度は同じ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ランキング1</v>
      </c>
      <c r="H15" s="86">
        <v>1</v>
      </c>
      <c r="I15">
        <v>12</v>
      </c>
      <c r="J15" s="85" t="s">
        <v>199</v>
      </c>
      <c r="K15" s="95" t="str">
        <f>VLOOKUP(I15,[7]stage_hints!$A:$C,3,FALSE)</f>
        <v>ユニットのお気に入り登録</v>
      </c>
      <c r="L15" s="96" t="str">
        <f>VLOOKUP(I15,[7]stage_hints!$A:$D,4,FALSE)</f>
        <v>大事なユニットを誤って消さないように_x000D_フォルダから「お気に入り登録」しましょう</v>
      </c>
      <c r="M15" s="57" t="s">
        <v>213</v>
      </c>
    </row>
    <row r="16" spans="1:13">
      <c r="A16" s="82" t="s">
        <v>202</v>
      </c>
      <c r="B16" s="83">
        <v>60002</v>
      </c>
      <c r="C16" s="84" t="str">
        <f ca="1">VLOOKUP($B16,OFFSET([2]quests!$A$1,0,0,COUNTA([2]quests!$A:$A),MATCH(C$1,[2]quests!$1:$1,0)-MATCH($B$1,[2]quests!$1:$1,0)+1),MATCH(C$1,[2]quests!$1:$1,0)-MATCH($B$1,[2]quests!$1:$1,0)+1,FALSE)</f>
        <v>ヘンペルチャレンジ</v>
      </c>
      <c r="D16" s="84" t="str">
        <f ca="1">VLOOKUP($B16,OFFSET([2]quests!$A$1,0,0,COUNTA([2]quests!$A:$A),MATCH(D$1,[2]quests!$1:$1,0)-MATCH($B$1,[2]quests!$1:$1,0)+1),MATCH(D$1,[2]quests!$1:$1,0)-MATCH($B$1,[2]quests!$1:$1,0)+1,FALSE)</f>
        <v>ランキング1</v>
      </c>
      <c r="E16" s="88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[超級] 第2回　※Wizと難易度は同じ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ランキング1</v>
      </c>
      <c r="H16" s="86">
        <v>1</v>
      </c>
      <c r="I16">
        <v>17</v>
      </c>
      <c r="J16" s="85" t="s">
        <v>199</v>
      </c>
      <c r="K16" s="95" t="str">
        <f>VLOOKUP(I16,[7]stage_hints!$A:$C,3,FALSE)</f>
        <v>リンクガチャ</v>
      </c>
      <c r="L16" s="96" t="str">
        <f>VLOOKUP(I16,[7]stage_hints!$A:$D,4,FALSE)</f>
        <v>無料のリンクガチャを回して_x000D_経験値素材や売却素材を獲得しましょう</v>
      </c>
      <c r="M16" s="57" t="s">
        <v>213</v>
      </c>
    </row>
    <row r="17" spans="1:13">
      <c r="A17" s="82" t="s">
        <v>202</v>
      </c>
      <c r="B17" s="83">
        <v>60002</v>
      </c>
      <c r="C17" s="84" t="str">
        <f ca="1">VLOOKUP($B17,OFFSET([2]quests!$A$1,0,0,COUNTA([2]quests!$A:$A),MATCH(C$1,[2]quests!$1:$1,0)-MATCH($B$1,[2]quests!$1:$1,0)+1),MATCH(C$1,[2]quests!$1:$1,0)-MATCH($B$1,[2]quests!$1:$1,0)+1,FALSE)</f>
        <v>ヘンペルチャレンジ</v>
      </c>
      <c r="D17" s="84" t="str">
        <f ca="1">VLOOKUP($B17,OFFSET([2]quests!$A$1,0,0,COUNTA([2]quests!$A:$A),MATCH(D$1,[2]quests!$1:$1,0)-MATCH($B$1,[2]quests!$1:$1,0)+1),MATCH(D$1,[2]quests!$1:$1,0)-MATCH($B$1,[2]quests!$1:$1,0)+1,FALSE)</f>
        <v>ランキング1</v>
      </c>
      <c r="E17" s="88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[超級] 第2回　※Wizと難易度は同じ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ランキング1</v>
      </c>
      <c r="H17" s="86">
        <v>1</v>
      </c>
      <c r="I17">
        <v>19</v>
      </c>
      <c r="J17" s="85" t="s">
        <v>199</v>
      </c>
      <c r="K17" s="95" t="str">
        <f>VLOOKUP(I17,[7]stage_hints!$A:$C,3,FALSE)</f>
        <v>ソロ専用チャレンジタワー</v>
      </c>
      <c r="L17" s="96" t="str">
        <f>VLOOKUP(I17,[7]stage_hints!$A:$D,4,FALSE)</f>
        <v>ソロ専用の「チャレンジタワー」では_x000D_各フロアごとにクリア報酬がもらえます</v>
      </c>
      <c r="M17" s="57" t="s">
        <v>213</v>
      </c>
    </row>
    <row r="18" spans="1:13">
      <c r="A18" s="82" t="s">
        <v>202</v>
      </c>
      <c r="B18" s="83">
        <v>60002</v>
      </c>
      <c r="C18" s="84" t="str">
        <f ca="1">VLOOKUP($B18,OFFSET([2]quests!$A$1,0,0,COUNTA([2]quests!$A:$A),MATCH(C$1,[2]quests!$1:$1,0)-MATCH($B$1,[2]quests!$1:$1,0)+1),MATCH(C$1,[2]quests!$1:$1,0)-MATCH($B$1,[2]quests!$1:$1,0)+1,FALSE)</f>
        <v>ヘンペルチャレンジ</v>
      </c>
      <c r="D18" s="84" t="str">
        <f ca="1">VLOOKUP($B18,OFFSET([2]quests!$A$1,0,0,COUNTA([2]quests!$A:$A),MATCH(D$1,[2]quests!$1:$1,0)-MATCH($B$1,[2]quests!$1:$1,0)+1),MATCH(D$1,[2]quests!$1:$1,0)-MATCH($B$1,[2]quests!$1:$1,0)+1,FALSE)</f>
        <v>ランキング1</v>
      </c>
      <c r="E18" s="88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[超級] 第2回　※Wizと難易度は同じ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ランキング1</v>
      </c>
      <c r="H18" s="86">
        <v>1</v>
      </c>
      <c r="I18">
        <v>21</v>
      </c>
      <c r="J18" s="85" t="s">
        <v>199</v>
      </c>
      <c r="K18" s="95" t="str">
        <f>VLOOKUP(I18,[7]stage_hints!$A:$C,3,FALSE)</f>
        <v>スキルを有効に</v>
      </c>
      <c r="L18" s="96" t="str">
        <f>VLOOKUP(I18,[7]stage_hints!$A:$D,4,FALSE)</f>
        <v>ターン経過でユニットのスキルが使えます_x000D_強力スキルでバトルを有利に進めましょう</v>
      </c>
      <c r="M18" s="57" t="s">
        <v>213</v>
      </c>
    </row>
    <row r="19" spans="1:13">
      <c r="A19" s="82" t="s">
        <v>202</v>
      </c>
      <c r="B19" s="83">
        <v>60002</v>
      </c>
      <c r="C19" s="84" t="str">
        <f ca="1">VLOOKUP($B19,OFFSET([2]quests!$A$1,0,0,COUNTA([2]quests!$A:$A),MATCH(C$1,[2]quests!$1:$1,0)-MATCH($B$1,[2]quests!$1:$1,0)+1),MATCH(C$1,[2]quests!$1:$1,0)-MATCH($B$1,[2]quests!$1:$1,0)+1,FALSE)</f>
        <v>ヘンペルチャレンジ</v>
      </c>
      <c r="D19" s="84" t="str">
        <f ca="1">VLOOKUP($B19,OFFSET([2]quests!$A$1,0,0,COUNTA([2]quests!$A:$A),MATCH(D$1,[2]quests!$1:$1,0)-MATCH($B$1,[2]quests!$1:$1,0)+1),MATCH(D$1,[2]quests!$1:$1,0)-MATCH($B$1,[2]quests!$1:$1,0)+1,FALSE)</f>
        <v>ランキング1</v>
      </c>
      <c r="E19" s="88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[超級] 第2回　※Wizと難易度は同じ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ランキング1</v>
      </c>
      <c r="H19" s="86">
        <v>1</v>
      </c>
      <c r="I19">
        <v>29</v>
      </c>
      <c r="J19" s="85" t="s">
        <v>199</v>
      </c>
      <c r="K19" s="95" t="str">
        <f>VLOOKUP(I19,[7]stage_hints!$A:$C,3,FALSE)</f>
        <v>「バグ」のメリット</v>
      </c>
      <c r="L19" s="96" t="str">
        <f>VLOOKUP(I19,[7]stage_hints!$A:$D,4,FALSE)</f>
        <v>ユニットの「バグ」を増やすと_x000D_報酬をもらえる確率がアップします</v>
      </c>
      <c r="M19" s="57" t="s">
        <v>213</v>
      </c>
    </row>
    <row r="20" spans="1:13">
      <c r="A20" s="82" t="s">
        <v>202</v>
      </c>
      <c r="B20" s="83">
        <v>60002</v>
      </c>
      <c r="C20" s="84" t="str">
        <f ca="1">VLOOKUP($B20,OFFSET([2]quests!$A$1,0,0,COUNTA([2]quests!$A:$A),MATCH(C$1,[2]quests!$1:$1,0)-MATCH($B$1,[2]quests!$1:$1,0)+1),MATCH(C$1,[2]quests!$1:$1,0)-MATCH($B$1,[2]quests!$1:$1,0)+1,FALSE)</f>
        <v>ヘンペルチャレンジ</v>
      </c>
      <c r="D20" s="84" t="str">
        <f ca="1">VLOOKUP($B20,OFFSET([2]quests!$A$1,0,0,COUNTA([2]quests!$A:$A),MATCH(D$1,[2]quests!$1:$1,0)-MATCH($B$1,[2]quests!$1:$1,0)+1),MATCH(D$1,[2]quests!$1:$1,0)-MATCH($B$1,[2]quests!$1:$1,0)+1,FALSE)</f>
        <v>ランキング1</v>
      </c>
      <c r="E20" s="88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[超級] 第2回　※Wizと難易度は同じ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ランキング1</v>
      </c>
      <c r="H20" s="86">
        <v>1</v>
      </c>
      <c r="I20">
        <v>30</v>
      </c>
      <c r="J20" s="85" t="s">
        <v>199</v>
      </c>
      <c r="K20" s="95" t="str">
        <f>VLOOKUP(I20,[7]stage_hints!$A:$C,3,FALSE)</f>
        <v>「バグ」の増やし方</v>
      </c>
      <c r="L20" s="96" t="str">
        <f>VLOOKUP(I20,[7]stage_hints!$A:$D,4,FALSE)</f>
        <v>同じユニット同士を強化で合成すると_x000D_「バグ」を増やすことができます</v>
      </c>
      <c r="M20" s="57" t="s">
        <v>213</v>
      </c>
    </row>
    <row r="21" spans="1:13">
      <c r="A21" s="82" t="s">
        <v>202</v>
      </c>
      <c r="B21" s="83">
        <v>60002</v>
      </c>
      <c r="C21" s="84" t="str">
        <f ca="1">VLOOKUP($B21,OFFSET([2]quests!$A$1,0,0,COUNTA([2]quests!$A:$A),MATCH(C$1,[2]quests!$1:$1,0)-MATCH($B$1,[2]quests!$1:$1,0)+1),MATCH(C$1,[2]quests!$1:$1,0)-MATCH($B$1,[2]quests!$1:$1,0)+1,FALSE)</f>
        <v>ヘンペルチャレンジ</v>
      </c>
      <c r="D21" s="84" t="str">
        <f ca="1">VLOOKUP($B21,OFFSET([2]quests!$A$1,0,0,COUNTA([2]quests!$A:$A),MATCH(D$1,[2]quests!$1:$1,0)-MATCH($B$1,[2]quests!$1:$1,0)+1),MATCH(D$1,[2]quests!$1:$1,0)-MATCH($B$1,[2]quests!$1:$1,0)+1,FALSE)</f>
        <v>ランキング1</v>
      </c>
      <c r="E21" s="88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[超級] 第2回　※Wizと難易度は同じ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ランキング1</v>
      </c>
      <c r="H21" s="86">
        <v>1</v>
      </c>
      <c r="I21">
        <v>32</v>
      </c>
      <c r="J21" s="85" t="s">
        <v>199</v>
      </c>
      <c r="K21" s="95" t="str">
        <f>VLOOKUP(I21,[7]stage_hints!$A:$C,3,FALSE)</f>
        <v>敵の連続攻撃には</v>
      </c>
      <c r="L21" s="96" t="str">
        <f>VLOOKUP(I21,[7]stage_hints!$A:$D,4,FALSE)</f>
        <v>カウンタースキルを持つユニットがいれば_x000D_ダメージ回数分の反撃ができます</v>
      </c>
      <c r="M21" s="57" t="s">
        <v>213</v>
      </c>
    </row>
    <row r="22" spans="1:13">
      <c r="A22" s="82" t="s">
        <v>202</v>
      </c>
      <c r="B22" s="83">
        <v>60002</v>
      </c>
      <c r="C22" s="84" t="str">
        <f ca="1">VLOOKUP($B22,OFFSET([2]quests!$A$1,0,0,COUNTA([2]quests!$A:$A),MATCH(C$1,[2]quests!$1:$1,0)-MATCH($B$1,[2]quests!$1:$1,0)+1),MATCH(C$1,[2]quests!$1:$1,0)-MATCH($B$1,[2]quests!$1:$1,0)+1,FALSE)</f>
        <v>ヘンペルチャレンジ</v>
      </c>
      <c r="D22" s="84" t="str">
        <f ca="1">VLOOKUP($B22,OFFSET([2]quests!$A$1,0,0,COUNTA([2]quests!$A:$A),MATCH(D$1,[2]quests!$1:$1,0)-MATCH($B$1,[2]quests!$1:$1,0)+1),MATCH(D$1,[2]quests!$1:$1,0)-MATCH($B$1,[2]quests!$1:$1,0)+1,FALSE)</f>
        <v>ランキング1</v>
      </c>
      <c r="E22" s="88">
        <v>1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[超級] 第2回　※Wizと難易度は同じ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ランキング1</v>
      </c>
      <c r="H22" s="86">
        <v>1</v>
      </c>
      <c r="I22">
        <v>33</v>
      </c>
      <c r="J22" s="85" t="s">
        <v>199</v>
      </c>
      <c r="K22" s="95" t="str">
        <f>VLOOKUP(I22,[7]stage_hints!$A:$C,3,FALSE)</f>
        <v>敵のカウンター攻撃には</v>
      </c>
      <c r="L22" s="96" t="str">
        <f>VLOOKUP(I22,[7]stage_hints!$A:$D,4,FALSE)</f>
        <v>カウンターブレイクスキルを持っていれば_x000D_敵のカウンターを解除して攻撃ができます</v>
      </c>
      <c r="M22" s="57" t="s">
        <v>213</v>
      </c>
    </row>
    <row r="23" spans="1:13">
      <c r="A23" s="82" t="s">
        <v>202</v>
      </c>
      <c r="B23" s="83">
        <v>60002</v>
      </c>
      <c r="C23" s="84" t="str">
        <f ca="1">VLOOKUP($B23,OFFSET([2]quests!$A$1,0,0,COUNTA([2]quests!$A:$A),MATCH(C$1,[2]quests!$1:$1,0)-MATCH($B$1,[2]quests!$1:$1,0)+1),MATCH(C$1,[2]quests!$1:$1,0)-MATCH($B$1,[2]quests!$1:$1,0)+1,FALSE)</f>
        <v>ヘンペルチャレンジ</v>
      </c>
      <c r="D23" s="84" t="str">
        <f ca="1">VLOOKUP($B23,OFFSET([2]quests!$A$1,0,0,COUNTA([2]quests!$A:$A),MATCH(D$1,[2]quests!$1:$1,0)-MATCH($B$1,[2]quests!$1:$1,0)+1),MATCH(D$1,[2]quests!$1:$1,0)-MATCH($B$1,[2]quests!$1:$1,0)+1,FALSE)</f>
        <v>ランキング1</v>
      </c>
      <c r="E23" s="88">
        <v>1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[超級] 第2回　※Wizと難易度は同じ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ランキング1</v>
      </c>
      <c r="H23" s="86">
        <v>1</v>
      </c>
      <c r="I23">
        <v>34</v>
      </c>
      <c r="J23" s="85" t="s">
        <v>199</v>
      </c>
      <c r="K23" s="95" t="str">
        <f>VLOOKUP(I23,[7]stage_hints!$A:$C,3,FALSE)</f>
        <v>ステータスをスキルで下げられたら</v>
      </c>
      <c r="L23" s="96" t="str">
        <f>VLOOKUP(I23,[7]stage_hints!$A:$D,4,FALSE)</f>
        <v>ステータスダウンのスキルを受けたら_x000D_ステータスアップスキルで上書きしましょう</v>
      </c>
      <c r="M23" s="57" t="s">
        <v>213</v>
      </c>
    </row>
    <row r="24" spans="1:13">
      <c r="A24" s="82" t="s">
        <v>202</v>
      </c>
      <c r="B24" s="83">
        <v>60002</v>
      </c>
      <c r="C24" s="84" t="str">
        <f ca="1">VLOOKUP($B24,OFFSET([2]quests!$A$1,0,0,COUNTA([2]quests!$A:$A),MATCH(C$1,[2]quests!$1:$1,0)-MATCH($B$1,[2]quests!$1:$1,0)+1),MATCH(C$1,[2]quests!$1:$1,0)-MATCH($B$1,[2]quests!$1:$1,0)+1,FALSE)</f>
        <v>ヘンペルチャレンジ</v>
      </c>
      <c r="D24" s="84" t="str">
        <f ca="1">VLOOKUP($B24,OFFSET([2]quests!$A$1,0,0,COUNTA([2]quests!$A:$A),MATCH(D$1,[2]quests!$1:$1,0)-MATCH($B$1,[2]quests!$1:$1,0)+1),MATCH(D$1,[2]quests!$1:$1,0)-MATCH($B$1,[2]quests!$1:$1,0)+1,FALSE)</f>
        <v>ランキング1</v>
      </c>
      <c r="E24" s="88">
        <v>1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[超級] 第2回　※Wizと難易度は同じ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ランキング1</v>
      </c>
      <c r="H24" s="86">
        <v>1</v>
      </c>
      <c r="I24">
        <v>35</v>
      </c>
      <c r="J24" s="85" t="s">
        <v>199</v>
      </c>
      <c r="K24" s="95" t="str">
        <f>VLOOKUP(I24,[7]stage_hints!$A:$C,3,FALSE)</f>
        <v>敵のステータスがスキルで上がったら</v>
      </c>
      <c r="L24" s="96" t="str">
        <f>VLOOKUP(I24,[7]stage_hints!$A:$D,4,FALSE)</f>
        <v>敵のステータスがスキルでアップしたときは_x000D_ステータスダウンスキルで上書きしましょう</v>
      </c>
      <c r="M24" s="57" t="s">
        <v>213</v>
      </c>
    </row>
    <row r="25" spans="1:13">
      <c r="A25" s="82" t="s">
        <v>202</v>
      </c>
      <c r="B25" s="83">
        <v>60002</v>
      </c>
      <c r="C25" s="84" t="str">
        <f ca="1">VLOOKUP($B25,OFFSET([2]quests!$A$1,0,0,COUNTA([2]quests!$A:$A),MATCH(C$1,[2]quests!$1:$1,0)-MATCH($B$1,[2]quests!$1:$1,0)+1),MATCH(C$1,[2]quests!$1:$1,0)-MATCH($B$1,[2]quests!$1:$1,0)+1,FALSE)</f>
        <v>ヘンペルチャレンジ</v>
      </c>
      <c r="D25" s="84" t="str">
        <f ca="1">VLOOKUP($B25,OFFSET([2]quests!$A$1,0,0,COUNTA([2]quests!$A:$A),MATCH(D$1,[2]quests!$1:$1,0)-MATCH($B$1,[2]quests!$1:$1,0)+1),MATCH(D$1,[2]quests!$1:$1,0)-MATCH($B$1,[2]quests!$1:$1,0)+1,FALSE)</f>
        <v>ランキング1</v>
      </c>
      <c r="E25" s="88">
        <v>1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[超級] 第2回　※Wizと難易度は同じ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ランキング1</v>
      </c>
      <c r="H25" s="86">
        <v>1</v>
      </c>
      <c r="I25">
        <v>36</v>
      </c>
      <c r="J25" s="85" t="s">
        <v>199</v>
      </c>
      <c r="K25" s="95" t="str">
        <f>VLOOKUP(I25,[7]stage_hints!$A:$C,3,FALSE)</f>
        <v>チャレンジタワーのボス</v>
      </c>
      <c r="L25" s="96" t="str">
        <f>VLOOKUP(I25,[7]stage_hints!$A:$D,4,FALSE)</f>
        <v>チャレンジタワーでのみ登場するボスは_x000D_一定確率で獲得することができます</v>
      </c>
      <c r="M25" s="57" t="s">
        <v>213</v>
      </c>
    </row>
    <row r="26" spans="1:13">
      <c r="A26" s="82" t="s">
        <v>202</v>
      </c>
      <c r="B26" s="83">
        <v>60002</v>
      </c>
      <c r="C26" s="84" t="str">
        <f ca="1">VLOOKUP($B26,OFFSET([2]quests!$A$1,0,0,COUNTA([2]quests!$A:$A),MATCH(C$1,[2]quests!$1:$1,0)-MATCH($B$1,[2]quests!$1:$1,0)+1),MATCH(C$1,[2]quests!$1:$1,0)-MATCH($B$1,[2]quests!$1:$1,0)+1,FALSE)</f>
        <v>ヘンペルチャレンジ</v>
      </c>
      <c r="D26" s="84" t="str">
        <f ca="1">VLOOKUP($B26,OFFSET([2]quests!$A$1,0,0,COUNTA([2]quests!$A:$A),MATCH(D$1,[2]quests!$1:$1,0)-MATCH($B$1,[2]quests!$1:$1,0)+1),MATCH(D$1,[2]quests!$1:$1,0)-MATCH($B$1,[2]quests!$1:$1,0)+1,FALSE)</f>
        <v>ランキング1</v>
      </c>
      <c r="E26" s="88">
        <v>1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[超級] 第2回　※Wizと難易度は同じ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ランキング1</v>
      </c>
      <c r="H26" s="86">
        <v>1</v>
      </c>
      <c r="I26">
        <v>37</v>
      </c>
      <c r="J26" s="85" t="s">
        <v>199</v>
      </c>
      <c r="K26" s="95" t="str">
        <f>VLOOKUP(I26,[7]stage_hints!$A:$C,3,FALSE)</f>
        <v>限界突破値の引き継ぎ</v>
      </c>
      <c r="L26" s="96" t="str">
        <f>VLOOKUP(I26,[7]stage_hints!$A:$D,4,FALSE)</f>
        <v>同じユニットを強化で合成すると_x000D_限界突破値を引き継げます（覚醒前後も可）</v>
      </c>
      <c r="M26" s="57" t="s">
        <v>213</v>
      </c>
    </row>
    <row r="27" spans="1:13">
      <c r="A27" s="82" t="s">
        <v>202</v>
      </c>
      <c r="B27" s="83">
        <v>60002</v>
      </c>
      <c r="C27" s="84" t="str">
        <f ca="1">VLOOKUP($B27,OFFSET([2]quests!$A$1,0,0,COUNTA([2]quests!$A:$A),MATCH(C$1,[2]quests!$1:$1,0)-MATCH($B$1,[2]quests!$1:$1,0)+1),MATCH(C$1,[2]quests!$1:$1,0)-MATCH($B$1,[2]quests!$1:$1,0)+1,FALSE)</f>
        <v>ヘンペルチャレンジ</v>
      </c>
      <c r="D27" s="84" t="str">
        <f ca="1">VLOOKUP($B27,OFFSET([2]quests!$A$1,0,0,COUNTA([2]quests!$A:$A),MATCH(D$1,[2]quests!$1:$1,0)-MATCH($B$1,[2]quests!$1:$1,0)+1),MATCH(D$1,[2]quests!$1:$1,0)-MATCH($B$1,[2]quests!$1:$1,0)+1,FALSE)</f>
        <v>ランキング1</v>
      </c>
      <c r="E27" s="88">
        <v>1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[超級] 第2回　※Wizと難易度は同じ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ランキング1</v>
      </c>
      <c r="H27" s="86">
        <v>1</v>
      </c>
      <c r="I27">
        <v>39</v>
      </c>
      <c r="J27" s="85" t="s">
        <v>199</v>
      </c>
      <c r="K27" s="95" t="str">
        <f>VLOOKUP(I27,[7]stage_hints!$A:$C,3,FALSE)</f>
        <v>システム適合者を確認</v>
      </c>
      <c r="L27" s="96" t="str">
        <f>VLOOKUP(I27,[7]stage_hints!$A:$D,4,FALSE)</f>
        <v>ALICEが「アナタ」を呼んでいます</v>
      </c>
      <c r="M27" s="57" t="s">
        <v>213</v>
      </c>
    </row>
    <row r="28" spans="1:13">
      <c r="A28" s="82" t="s">
        <v>202</v>
      </c>
      <c r="B28" s="83">
        <v>60002</v>
      </c>
      <c r="C28" s="84" t="str">
        <f ca="1">VLOOKUP($B28,OFFSET([2]quests!$A$1,0,0,COUNTA([2]quests!$A:$A),MATCH(C$1,[2]quests!$1:$1,0)-MATCH($B$1,[2]quests!$1:$1,0)+1),MATCH(C$1,[2]quests!$1:$1,0)-MATCH($B$1,[2]quests!$1:$1,0)+1,FALSE)</f>
        <v>ヘンペルチャレンジ</v>
      </c>
      <c r="D28" s="84" t="str">
        <f ca="1">VLOOKUP($B28,OFFSET([2]quests!$A$1,0,0,COUNTA([2]quests!$A:$A),MATCH(D$1,[2]quests!$1:$1,0)-MATCH($B$1,[2]quests!$1:$1,0)+1),MATCH(D$1,[2]quests!$1:$1,0)-MATCH($B$1,[2]quests!$1:$1,0)+1,FALSE)</f>
        <v>ランキング1</v>
      </c>
      <c r="E28" s="88">
        <v>2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[ウィザード] 第2回　※Wizと難易度は同じ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ランキング1</v>
      </c>
      <c r="H28" s="86">
        <v>1</v>
      </c>
      <c r="I28">
        <v>12</v>
      </c>
      <c r="J28" s="85" t="s">
        <v>199</v>
      </c>
      <c r="K28" s="95" t="str">
        <f>VLOOKUP(I28,[7]stage_hints!$A:$C,3,FALSE)</f>
        <v>ユニットのお気に入り登録</v>
      </c>
      <c r="L28" s="96" t="str">
        <f>VLOOKUP(I28,[7]stage_hints!$A:$D,4,FALSE)</f>
        <v>大事なユニットを誤って消さないように_x000D_フォルダから「お気に入り登録」しましょう</v>
      </c>
      <c r="M28" s="57" t="s">
        <v>213</v>
      </c>
    </row>
    <row r="29" spans="1:13">
      <c r="A29" s="82" t="s">
        <v>202</v>
      </c>
      <c r="B29" s="83">
        <v>60002</v>
      </c>
      <c r="C29" s="84" t="str">
        <f ca="1">VLOOKUP($B29,OFFSET([2]quests!$A$1,0,0,COUNTA([2]quests!$A:$A),MATCH(C$1,[2]quests!$1:$1,0)-MATCH($B$1,[2]quests!$1:$1,0)+1),MATCH(C$1,[2]quests!$1:$1,0)-MATCH($B$1,[2]quests!$1:$1,0)+1,FALSE)</f>
        <v>ヘンペルチャレンジ</v>
      </c>
      <c r="D29" s="84" t="str">
        <f ca="1">VLOOKUP($B29,OFFSET([2]quests!$A$1,0,0,COUNTA([2]quests!$A:$A),MATCH(D$1,[2]quests!$1:$1,0)-MATCH($B$1,[2]quests!$1:$1,0)+1),MATCH(D$1,[2]quests!$1:$1,0)-MATCH($B$1,[2]quests!$1:$1,0)+1,FALSE)</f>
        <v>ランキング1</v>
      </c>
      <c r="E29" s="88">
        <v>2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[ウィザード] 第2回　※Wizと難易度は同じ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ランキング1</v>
      </c>
      <c r="H29" s="86">
        <v>1</v>
      </c>
      <c r="I29">
        <v>17</v>
      </c>
      <c r="J29" s="85" t="s">
        <v>199</v>
      </c>
      <c r="K29" s="95" t="str">
        <f>VLOOKUP(I29,[7]stage_hints!$A:$C,3,FALSE)</f>
        <v>リンクガチャ</v>
      </c>
      <c r="L29" s="96" t="str">
        <f>VLOOKUP(I29,[7]stage_hints!$A:$D,4,FALSE)</f>
        <v>無料のリンクガチャを回して_x000D_経験値素材や売却素材を獲得しましょう</v>
      </c>
      <c r="M29" s="57" t="s">
        <v>213</v>
      </c>
    </row>
    <row r="30" spans="1:13">
      <c r="A30" s="82" t="s">
        <v>202</v>
      </c>
      <c r="B30" s="83">
        <v>60002</v>
      </c>
      <c r="C30" s="84" t="str">
        <f ca="1">VLOOKUP($B30,OFFSET([2]quests!$A$1,0,0,COUNTA([2]quests!$A:$A),MATCH(C$1,[2]quests!$1:$1,0)-MATCH($B$1,[2]quests!$1:$1,0)+1),MATCH(C$1,[2]quests!$1:$1,0)-MATCH($B$1,[2]quests!$1:$1,0)+1,FALSE)</f>
        <v>ヘンペルチャレンジ</v>
      </c>
      <c r="D30" s="84" t="str">
        <f ca="1">VLOOKUP($B30,OFFSET([2]quests!$A$1,0,0,COUNTA([2]quests!$A:$A),MATCH(D$1,[2]quests!$1:$1,0)-MATCH($B$1,[2]quests!$1:$1,0)+1),MATCH(D$1,[2]quests!$1:$1,0)-MATCH($B$1,[2]quests!$1:$1,0)+1,FALSE)</f>
        <v>ランキング1</v>
      </c>
      <c r="E30" s="88">
        <v>2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[ウィザード] 第2回　※Wizと難易度は同じ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ランキング1</v>
      </c>
      <c r="H30" s="86">
        <v>1</v>
      </c>
      <c r="I30">
        <v>19</v>
      </c>
      <c r="J30" s="85" t="s">
        <v>199</v>
      </c>
      <c r="K30" s="95" t="str">
        <f>VLOOKUP(I30,[7]stage_hints!$A:$C,3,FALSE)</f>
        <v>ソロ専用チャレンジタワー</v>
      </c>
      <c r="L30" s="96" t="str">
        <f>VLOOKUP(I30,[7]stage_hints!$A:$D,4,FALSE)</f>
        <v>ソロ専用の「チャレンジタワー」では_x000D_各フロアごとにクリア報酬がもらえます</v>
      </c>
      <c r="M30" s="57" t="s">
        <v>213</v>
      </c>
    </row>
    <row r="31" spans="1:13">
      <c r="A31" s="82" t="s">
        <v>202</v>
      </c>
      <c r="B31" s="83">
        <v>60002</v>
      </c>
      <c r="C31" s="84" t="str">
        <f ca="1">VLOOKUP($B31,OFFSET([2]quests!$A$1,0,0,COUNTA([2]quests!$A:$A),MATCH(C$1,[2]quests!$1:$1,0)-MATCH($B$1,[2]quests!$1:$1,0)+1),MATCH(C$1,[2]quests!$1:$1,0)-MATCH($B$1,[2]quests!$1:$1,0)+1,FALSE)</f>
        <v>ヘンペルチャレンジ</v>
      </c>
      <c r="D31" s="84" t="str">
        <f ca="1">VLOOKUP($B31,OFFSET([2]quests!$A$1,0,0,COUNTA([2]quests!$A:$A),MATCH(D$1,[2]quests!$1:$1,0)-MATCH($B$1,[2]quests!$1:$1,0)+1),MATCH(D$1,[2]quests!$1:$1,0)-MATCH($B$1,[2]quests!$1:$1,0)+1,FALSE)</f>
        <v>ランキング1</v>
      </c>
      <c r="E31" s="88">
        <v>2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[ウィザード] 第2回　※Wizと難易度は同じ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ランキング1</v>
      </c>
      <c r="H31" s="86">
        <v>1</v>
      </c>
      <c r="I31">
        <v>21</v>
      </c>
      <c r="J31" s="85" t="s">
        <v>199</v>
      </c>
      <c r="K31" s="95" t="str">
        <f>VLOOKUP(I31,[7]stage_hints!$A:$C,3,FALSE)</f>
        <v>スキルを有効に</v>
      </c>
      <c r="L31" s="96" t="str">
        <f>VLOOKUP(I31,[7]stage_hints!$A:$D,4,FALSE)</f>
        <v>ターン経過でユニットのスキルが使えます_x000D_強力スキルでバトルを有利に進めましょう</v>
      </c>
      <c r="M31" s="57" t="s">
        <v>213</v>
      </c>
    </row>
    <row r="32" spans="1:13">
      <c r="A32" s="82" t="s">
        <v>202</v>
      </c>
      <c r="B32" s="83">
        <v>60002</v>
      </c>
      <c r="C32" s="84" t="str">
        <f ca="1">VLOOKUP($B32,OFFSET([2]quests!$A$1,0,0,COUNTA([2]quests!$A:$A),MATCH(C$1,[2]quests!$1:$1,0)-MATCH($B$1,[2]quests!$1:$1,0)+1),MATCH(C$1,[2]quests!$1:$1,0)-MATCH($B$1,[2]quests!$1:$1,0)+1,FALSE)</f>
        <v>ヘンペルチャレンジ</v>
      </c>
      <c r="D32" s="84" t="str">
        <f ca="1">VLOOKUP($B32,OFFSET([2]quests!$A$1,0,0,COUNTA([2]quests!$A:$A),MATCH(D$1,[2]quests!$1:$1,0)-MATCH($B$1,[2]quests!$1:$1,0)+1),MATCH(D$1,[2]quests!$1:$1,0)-MATCH($B$1,[2]quests!$1:$1,0)+1,FALSE)</f>
        <v>ランキング1</v>
      </c>
      <c r="E32" s="88">
        <v>2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[ウィザード] 第2回　※Wizと難易度は同じ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ランキング1</v>
      </c>
      <c r="H32" s="86">
        <v>1</v>
      </c>
      <c r="I32">
        <v>29</v>
      </c>
      <c r="J32" s="85" t="s">
        <v>199</v>
      </c>
      <c r="K32" s="95" t="str">
        <f>VLOOKUP(I32,[7]stage_hints!$A:$C,3,FALSE)</f>
        <v>「バグ」のメリット</v>
      </c>
      <c r="L32" s="96" t="str">
        <f>VLOOKUP(I32,[7]stage_hints!$A:$D,4,FALSE)</f>
        <v>ユニットの「バグ」を増やすと_x000D_報酬をもらえる確率がアップします</v>
      </c>
      <c r="M32" s="57" t="s">
        <v>213</v>
      </c>
    </row>
    <row r="33" spans="1:13">
      <c r="A33" s="82" t="s">
        <v>202</v>
      </c>
      <c r="B33" s="83">
        <v>60002</v>
      </c>
      <c r="C33" s="84" t="str">
        <f ca="1">VLOOKUP($B33,OFFSET([2]quests!$A$1,0,0,COUNTA([2]quests!$A:$A),MATCH(C$1,[2]quests!$1:$1,0)-MATCH($B$1,[2]quests!$1:$1,0)+1),MATCH(C$1,[2]quests!$1:$1,0)-MATCH($B$1,[2]quests!$1:$1,0)+1,FALSE)</f>
        <v>ヘンペルチャレンジ</v>
      </c>
      <c r="D33" s="84" t="str">
        <f ca="1">VLOOKUP($B33,OFFSET([2]quests!$A$1,0,0,COUNTA([2]quests!$A:$A),MATCH(D$1,[2]quests!$1:$1,0)-MATCH($B$1,[2]quests!$1:$1,0)+1),MATCH(D$1,[2]quests!$1:$1,0)-MATCH($B$1,[2]quests!$1:$1,0)+1,FALSE)</f>
        <v>ランキング1</v>
      </c>
      <c r="E33" s="88">
        <v>2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[ウィザード] 第2回　※Wizと難易度は同じ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ランキング1</v>
      </c>
      <c r="H33" s="86">
        <v>1</v>
      </c>
      <c r="I33">
        <v>30</v>
      </c>
      <c r="J33" s="85" t="s">
        <v>199</v>
      </c>
      <c r="K33" s="95" t="str">
        <f>VLOOKUP(I33,[7]stage_hints!$A:$C,3,FALSE)</f>
        <v>「バグ」の増やし方</v>
      </c>
      <c r="L33" s="96" t="str">
        <f>VLOOKUP(I33,[7]stage_hints!$A:$D,4,FALSE)</f>
        <v>同じユニット同士を強化で合成すると_x000D_「バグ」を増やすことができます</v>
      </c>
      <c r="M33" s="57" t="s">
        <v>213</v>
      </c>
    </row>
    <row r="34" spans="1:13">
      <c r="A34" s="82" t="s">
        <v>202</v>
      </c>
      <c r="B34" s="83">
        <v>60002</v>
      </c>
      <c r="C34" s="84" t="str">
        <f ca="1">VLOOKUP($B34,OFFSET([2]quests!$A$1,0,0,COUNTA([2]quests!$A:$A),MATCH(C$1,[2]quests!$1:$1,0)-MATCH($B$1,[2]quests!$1:$1,0)+1),MATCH(C$1,[2]quests!$1:$1,0)-MATCH($B$1,[2]quests!$1:$1,0)+1,FALSE)</f>
        <v>ヘンペルチャレンジ</v>
      </c>
      <c r="D34" s="84" t="str">
        <f ca="1">VLOOKUP($B34,OFFSET([2]quests!$A$1,0,0,COUNTA([2]quests!$A:$A),MATCH(D$1,[2]quests!$1:$1,0)-MATCH($B$1,[2]quests!$1:$1,0)+1),MATCH(D$1,[2]quests!$1:$1,0)-MATCH($B$1,[2]quests!$1:$1,0)+1,FALSE)</f>
        <v>ランキング1</v>
      </c>
      <c r="E34" s="88">
        <v>2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[ウィザード] 第2回　※Wizと難易度は同じ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ランキング1</v>
      </c>
      <c r="H34" s="86">
        <v>1</v>
      </c>
      <c r="I34">
        <v>32</v>
      </c>
      <c r="J34" s="85" t="s">
        <v>199</v>
      </c>
      <c r="K34" s="95" t="str">
        <f>VLOOKUP(I34,[7]stage_hints!$A:$C,3,FALSE)</f>
        <v>敵の連続攻撃には</v>
      </c>
      <c r="L34" s="96" t="str">
        <f>VLOOKUP(I34,[7]stage_hints!$A:$D,4,FALSE)</f>
        <v>カウンタースキルを持つユニットがいれば_x000D_ダメージ回数分の反撃ができます</v>
      </c>
      <c r="M34" s="57" t="s">
        <v>213</v>
      </c>
    </row>
    <row r="35" spans="1:13">
      <c r="A35" s="82" t="s">
        <v>202</v>
      </c>
      <c r="B35" s="83">
        <v>60002</v>
      </c>
      <c r="C35" s="84" t="str">
        <f ca="1">VLOOKUP($B35,OFFSET([2]quests!$A$1,0,0,COUNTA([2]quests!$A:$A),MATCH(C$1,[2]quests!$1:$1,0)-MATCH($B$1,[2]quests!$1:$1,0)+1),MATCH(C$1,[2]quests!$1:$1,0)-MATCH($B$1,[2]quests!$1:$1,0)+1,FALSE)</f>
        <v>ヘンペルチャレンジ</v>
      </c>
      <c r="D35" s="84" t="str">
        <f ca="1">VLOOKUP($B35,OFFSET([2]quests!$A$1,0,0,COUNTA([2]quests!$A:$A),MATCH(D$1,[2]quests!$1:$1,0)-MATCH($B$1,[2]quests!$1:$1,0)+1),MATCH(D$1,[2]quests!$1:$1,0)-MATCH($B$1,[2]quests!$1:$1,0)+1,FALSE)</f>
        <v>ランキング1</v>
      </c>
      <c r="E35" s="88">
        <v>2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[ウィザード] 第2回　※Wizと難易度は同じ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ランキング1</v>
      </c>
      <c r="H35" s="86">
        <v>1</v>
      </c>
      <c r="I35">
        <v>33</v>
      </c>
      <c r="J35" s="85" t="s">
        <v>199</v>
      </c>
      <c r="K35" s="95" t="str">
        <f>VLOOKUP(I35,[7]stage_hints!$A:$C,3,FALSE)</f>
        <v>敵のカウンター攻撃には</v>
      </c>
      <c r="L35" s="96" t="str">
        <f>VLOOKUP(I35,[7]stage_hints!$A:$D,4,FALSE)</f>
        <v>カウンターブレイクスキルを持っていれば_x000D_敵のカウンターを解除して攻撃ができます</v>
      </c>
      <c r="M35" s="57" t="s">
        <v>213</v>
      </c>
    </row>
    <row r="36" spans="1:13">
      <c r="A36" s="82" t="s">
        <v>202</v>
      </c>
      <c r="B36" s="83">
        <v>60002</v>
      </c>
      <c r="C36" s="84" t="str">
        <f ca="1">VLOOKUP($B36,OFFSET([2]quests!$A$1,0,0,COUNTA([2]quests!$A:$A),MATCH(C$1,[2]quests!$1:$1,0)-MATCH($B$1,[2]quests!$1:$1,0)+1),MATCH(C$1,[2]quests!$1:$1,0)-MATCH($B$1,[2]quests!$1:$1,0)+1,FALSE)</f>
        <v>ヘンペルチャレンジ</v>
      </c>
      <c r="D36" s="84" t="str">
        <f ca="1">VLOOKUP($B36,OFFSET([2]quests!$A$1,0,0,COUNTA([2]quests!$A:$A),MATCH(D$1,[2]quests!$1:$1,0)-MATCH($B$1,[2]quests!$1:$1,0)+1),MATCH(D$1,[2]quests!$1:$1,0)-MATCH($B$1,[2]quests!$1:$1,0)+1,FALSE)</f>
        <v>ランキング1</v>
      </c>
      <c r="E36" s="88">
        <v>2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[ウィザード] 第2回　※Wizと難易度は同じ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ランキング1</v>
      </c>
      <c r="H36" s="86">
        <v>1</v>
      </c>
      <c r="I36">
        <v>34</v>
      </c>
      <c r="J36" s="85" t="s">
        <v>199</v>
      </c>
      <c r="K36" s="95" t="str">
        <f>VLOOKUP(I36,[7]stage_hints!$A:$C,3,FALSE)</f>
        <v>ステータスをスキルで下げられたら</v>
      </c>
      <c r="L36" s="96" t="str">
        <f>VLOOKUP(I36,[7]stage_hints!$A:$D,4,FALSE)</f>
        <v>ステータスダウンのスキルを受けたら_x000D_ステータスアップスキルで上書きしましょう</v>
      </c>
      <c r="M36" s="57" t="s">
        <v>213</v>
      </c>
    </row>
    <row r="37" spans="1:13">
      <c r="A37" s="82" t="s">
        <v>202</v>
      </c>
      <c r="B37" s="83">
        <v>60002</v>
      </c>
      <c r="C37" s="84" t="str">
        <f ca="1">VLOOKUP($B37,OFFSET([2]quests!$A$1,0,0,COUNTA([2]quests!$A:$A),MATCH(C$1,[2]quests!$1:$1,0)-MATCH($B$1,[2]quests!$1:$1,0)+1),MATCH(C$1,[2]quests!$1:$1,0)-MATCH($B$1,[2]quests!$1:$1,0)+1,FALSE)</f>
        <v>ヘンペルチャレンジ</v>
      </c>
      <c r="D37" s="84" t="str">
        <f ca="1">VLOOKUP($B37,OFFSET([2]quests!$A$1,0,0,COUNTA([2]quests!$A:$A),MATCH(D$1,[2]quests!$1:$1,0)-MATCH($B$1,[2]quests!$1:$1,0)+1),MATCH(D$1,[2]quests!$1:$1,0)-MATCH($B$1,[2]quests!$1:$1,0)+1,FALSE)</f>
        <v>ランキング1</v>
      </c>
      <c r="E37" s="88">
        <v>2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[ウィザード] 第2回　※Wizと難易度は同じ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ランキング1</v>
      </c>
      <c r="H37" s="86">
        <v>1</v>
      </c>
      <c r="I37">
        <v>35</v>
      </c>
      <c r="J37" s="85" t="s">
        <v>199</v>
      </c>
      <c r="K37" s="95" t="str">
        <f>VLOOKUP(I37,[7]stage_hints!$A:$C,3,FALSE)</f>
        <v>敵のステータスがスキルで上がったら</v>
      </c>
      <c r="L37" s="96" t="str">
        <f>VLOOKUP(I37,[7]stage_hints!$A:$D,4,FALSE)</f>
        <v>敵のステータスがスキルでアップしたときは_x000D_ステータスダウンスキルで上書きしましょう</v>
      </c>
      <c r="M37" s="57" t="s">
        <v>213</v>
      </c>
    </row>
    <row r="38" spans="1:13">
      <c r="A38" s="82" t="s">
        <v>202</v>
      </c>
      <c r="B38" s="83">
        <v>60002</v>
      </c>
      <c r="C38" s="84" t="str">
        <f ca="1">VLOOKUP($B38,OFFSET([2]quests!$A$1,0,0,COUNTA([2]quests!$A:$A),MATCH(C$1,[2]quests!$1:$1,0)-MATCH($B$1,[2]quests!$1:$1,0)+1),MATCH(C$1,[2]quests!$1:$1,0)-MATCH($B$1,[2]quests!$1:$1,0)+1,FALSE)</f>
        <v>ヘンペルチャレンジ</v>
      </c>
      <c r="D38" s="84" t="str">
        <f ca="1">VLOOKUP($B38,OFFSET([2]quests!$A$1,0,0,COUNTA([2]quests!$A:$A),MATCH(D$1,[2]quests!$1:$1,0)-MATCH($B$1,[2]quests!$1:$1,0)+1),MATCH(D$1,[2]quests!$1:$1,0)-MATCH($B$1,[2]quests!$1:$1,0)+1,FALSE)</f>
        <v>ランキング1</v>
      </c>
      <c r="E38" s="88">
        <v>2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[ウィザード] 第2回　※Wizと難易度は同じ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ランキング1</v>
      </c>
      <c r="H38" s="86">
        <v>1</v>
      </c>
      <c r="I38">
        <v>36</v>
      </c>
      <c r="J38" s="85" t="s">
        <v>199</v>
      </c>
      <c r="K38" s="95" t="str">
        <f>VLOOKUP(I38,[7]stage_hints!$A:$C,3,FALSE)</f>
        <v>チャレンジタワーのボス</v>
      </c>
      <c r="L38" s="96" t="str">
        <f>VLOOKUP(I38,[7]stage_hints!$A:$D,4,FALSE)</f>
        <v>チャレンジタワーでのみ登場するボスは_x000D_一定確率で獲得することができます</v>
      </c>
      <c r="M38" s="57" t="s">
        <v>213</v>
      </c>
    </row>
    <row r="39" spans="1:13">
      <c r="A39" s="82" t="s">
        <v>202</v>
      </c>
      <c r="B39" s="83">
        <v>60002</v>
      </c>
      <c r="C39" s="84" t="str">
        <f ca="1">VLOOKUP($B39,OFFSET([2]quests!$A$1,0,0,COUNTA([2]quests!$A:$A),MATCH(C$1,[2]quests!$1:$1,0)-MATCH($B$1,[2]quests!$1:$1,0)+1),MATCH(C$1,[2]quests!$1:$1,0)-MATCH($B$1,[2]quests!$1:$1,0)+1,FALSE)</f>
        <v>ヘンペルチャレンジ</v>
      </c>
      <c r="D39" s="84" t="str">
        <f ca="1">VLOOKUP($B39,OFFSET([2]quests!$A$1,0,0,COUNTA([2]quests!$A:$A),MATCH(D$1,[2]quests!$1:$1,0)-MATCH($B$1,[2]quests!$1:$1,0)+1),MATCH(D$1,[2]quests!$1:$1,0)-MATCH($B$1,[2]quests!$1:$1,0)+1,FALSE)</f>
        <v>ランキング1</v>
      </c>
      <c r="E39" s="88">
        <v>2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[ウィザード] 第2回　※Wizと難易度は同じ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ランキング1</v>
      </c>
      <c r="H39" s="86">
        <v>1</v>
      </c>
      <c r="I39">
        <v>37</v>
      </c>
      <c r="J39" s="85" t="s">
        <v>199</v>
      </c>
      <c r="K39" s="95" t="str">
        <f>VLOOKUP(I39,[7]stage_hints!$A:$C,3,FALSE)</f>
        <v>限界突破値の引き継ぎ</v>
      </c>
      <c r="L39" s="96" t="str">
        <f>VLOOKUP(I39,[7]stage_hints!$A:$D,4,FALSE)</f>
        <v>同じユニットを強化で合成すると_x000D_限界突破値を引き継げます（覚醒前後も可）</v>
      </c>
      <c r="M39" s="57" t="s">
        <v>213</v>
      </c>
    </row>
    <row r="40" spans="1:13">
      <c r="A40" s="82" t="s">
        <v>202</v>
      </c>
      <c r="B40" s="83">
        <v>60002</v>
      </c>
      <c r="C40" s="84" t="str">
        <f ca="1">VLOOKUP($B40,OFFSET([2]quests!$A$1,0,0,COUNTA([2]quests!$A:$A),MATCH(C$1,[2]quests!$1:$1,0)-MATCH($B$1,[2]quests!$1:$1,0)+1),MATCH(C$1,[2]quests!$1:$1,0)-MATCH($B$1,[2]quests!$1:$1,0)+1,FALSE)</f>
        <v>ヘンペルチャレンジ</v>
      </c>
      <c r="D40" s="84" t="str">
        <f ca="1">VLOOKUP($B40,OFFSET([2]quests!$A$1,0,0,COUNTA([2]quests!$A:$A),MATCH(D$1,[2]quests!$1:$1,0)-MATCH($B$1,[2]quests!$1:$1,0)+1),MATCH(D$1,[2]quests!$1:$1,0)-MATCH($B$1,[2]quests!$1:$1,0)+1,FALSE)</f>
        <v>ランキング1</v>
      </c>
      <c r="E40" s="88">
        <v>2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[ウィザード] 第2回　※Wizと難易度は同じ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ランキング1</v>
      </c>
      <c r="H40" s="86">
        <v>1</v>
      </c>
      <c r="I40">
        <v>39</v>
      </c>
      <c r="J40" s="85" t="s">
        <v>199</v>
      </c>
      <c r="K40" s="95" t="str">
        <f>VLOOKUP(I40,[7]stage_hints!$A:$C,3,FALSE)</f>
        <v>システム適合者を確認</v>
      </c>
      <c r="L40" s="96" t="str">
        <f>VLOOKUP(I40,[7]stage_hints!$A:$D,4,FALSE)</f>
        <v>ALICEが「アナタ」を呼んでいます</v>
      </c>
      <c r="M40" s="57" t="s">
        <v>213</v>
      </c>
    </row>
    <row r="41" spans="1:13">
      <c r="A41" s="82" t="s">
        <v>202</v>
      </c>
      <c r="B41" s="83">
        <v>60003</v>
      </c>
      <c r="C41" s="84" t="str">
        <f ca="1">VLOOKUP($B41,OFFSET([2]quests!$A$1,0,0,COUNTA([2]quests!$A:$A),MATCH(C$1,[2]quests!$1:$1,0)-MATCH($B$1,[2]quests!$1:$1,0)+1),MATCH(C$1,[2]quests!$1:$1,0)-MATCH($B$1,[2]quests!$1:$1,0)+1,FALSE)</f>
        <v>ヘンペルチャレンジ</v>
      </c>
      <c r="D41" s="84" t="str">
        <f ca="1">VLOOKUP($B41,OFFSET([2]quests!$A$1,0,0,COUNTA([2]quests!$A:$A),MATCH(D$1,[2]quests!$1:$1,0)-MATCH($B$1,[2]quests!$1:$1,0)+1),MATCH(D$1,[2]quests!$1:$1,0)-MATCH($B$1,[2]quests!$1:$1,0)+1,FALSE)</f>
        <v>ランキング1</v>
      </c>
      <c r="E41" s="88">
        <v>1</v>
      </c>
      <c r="F41" s="84" t="str">
        <f ca="1">VLOOKUP($B41&amp;"_"&amp;$E41,OFFSET([2]stages!$A$1,0,0,COUNTA([2]stages!$A:$A),MATCH(F$1,[2]stages!$2:$2,0)-MATCH("temp_stage",[2]stages!$2:$2,0)+1),MATCH(F$1,[2]stages!$2:$2,0)-MATCH("temp_stage",[2]stages!$2:$2,0)+1,FALSE)</f>
        <v>[中級] 第3回　</v>
      </c>
      <c r="G41" s="84" t="str">
        <f ca="1">VLOOKUP($B41&amp;"_"&amp;$E41,OFFSET([2]stages!$A$1,0,0,COUNTA([2]stages!$A:$A),MATCH(G$1,[2]stages!$2:$2,0)-MATCH("temp_stage",[2]stages!$2:$2,0)+1),MATCH(G$1,[2]stages!$2:$2,0)-MATCH("temp_stage",[2]stages!$2:$2,0)+1,FALSE)</f>
        <v>ランキング1</v>
      </c>
      <c r="H41" s="86">
        <v>1</v>
      </c>
      <c r="I41">
        <v>12</v>
      </c>
      <c r="J41" s="85" t="s">
        <v>199</v>
      </c>
      <c r="K41" s="95" t="str">
        <f>VLOOKUP(I41,[7]stage_hints!$A:$C,3,FALSE)</f>
        <v>ユニットのお気に入り登録</v>
      </c>
      <c r="L41" s="96" t="str">
        <f>VLOOKUP(I41,[7]stage_hints!$A:$D,4,FALSE)</f>
        <v>大事なユニットを誤って消さないように_x000D_フォルダから「お気に入り登録」しましょう</v>
      </c>
      <c r="M41" s="57" t="s">
        <v>213</v>
      </c>
    </row>
    <row r="42" spans="1:13">
      <c r="A42" s="82" t="s">
        <v>202</v>
      </c>
      <c r="B42" s="83">
        <v>60003</v>
      </c>
      <c r="C42" s="84" t="str">
        <f ca="1">VLOOKUP($B42,OFFSET([2]quests!$A$1,0,0,COUNTA([2]quests!$A:$A),MATCH(C$1,[2]quests!$1:$1,0)-MATCH($B$1,[2]quests!$1:$1,0)+1),MATCH(C$1,[2]quests!$1:$1,0)-MATCH($B$1,[2]quests!$1:$1,0)+1,FALSE)</f>
        <v>ヘンペルチャレンジ</v>
      </c>
      <c r="D42" s="84" t="str">
        <f ca="1">VLOOKUP($B42,OFFSET([2]quests!$A$1,0,0,COUNTA([2]quests!$A:$A),MATCH(D$1,[2]quests!$1:$1,0)-MATCH($B$1,[2]quests!$1:$1,0)+1),MATCH(D$1,[2]quests!$1:$1,0)-MATCH($B$1,[2]quests!$1:$1,0)+1,FALSE)</f>
        <v>ランキング1</v>
      </c>
      <c r="E42" s="88">
        <v>1</v>
      </c>
      <c r="F42" s="84" t="str">
        <f ca="1">VLOOKUP($B42&amp;"_"&amp;$E42,OFFSET([2]stages!$A$1,0,0,COUNTA([2]stages!$A:$A),MATCH(F$1,[2]stages!$2:$2,0)-MATCH("temp_stage",[2]stages!$2:$2,0)+1),MATCH(F$1,[2]stages!$2:$2,0)-MATCH("temp_stage",[2]stages!$2:$2,0)+1,FALSE)</f>
        <v>[中級] 第3回　</v>
      </c>
      <c r="G42" s="84" t="str">
        <f ca="1">VLOOKUP($B42&amp;"_"&amp;$E42,OFFSET([2]stages!$A$1,0,0,COUNTA([2]stages!$A:$A),MATCH(G$1,[2]stages!$2:$2,0)-MATCH("temp_stage",[2]stages!$2:$2,0)+1),MATCH(G$1,[2]stages!$2:$2,0)-MATCH("temp_stage",[2]stages!$2:$2,0)+1,FALSE)</f>
        <v>ランキング1</v>
      </c>
      <c r="H42" s="86">
        <v>1</v>
      </c>
      <c r="I42">
        <v>17</v>
      </c>
      <c r="J42" s="85" t="s">
        <v>199</v>
      </c>
      <c r="K42" s="95" t="str">
        <f>VLOOKUP(I42,[7]stage_hints!$A:$C,3,FALSE)</f>
        <v>リンクガチャ</v>
      </c>
      <c r="L42" s="96" t="str">
        <f>VLOOKUP(I42,[7]stage_hints!$A:$D,4,FALSE)</f>
        <v>無料のリンクガチャを回して_x000D_経験値素材や売却素材を獲得しましょう</v>
      </c>
      <c r="M42" s="57" t="s">
        <v>213</v>
      </c>
    </row>
    <row r="43" spans="1:13">
      <c r="A43" s="82" t="s">
        <v>202</v>
      </c>
      <c r="B43" s="83">
        <v>60003</v>
      </c>
      <c r="C43" s="84" t="str">
        <f ca="1">VLOOKUP($B43,OFFSET([2]quests!$A$1,0,0,COUNTA([2]quests!$A:$A),MATCH(C$1,[2]quests!$1:$1,0)-MATCH($B$1,[2]quests!$1:$1,0)+1),MATCH(C$1,[2]quests!$1:$1,0)-MATCH($B$1,[2]quests!$1:$1,0)+1,FALSE)</f>
        <v>ヘンペルチャレンジ</v>
      </c>
      <c r="D43" s="84" t="str">
        <f ca="1">VLOOKUP($B43,OFFSET([2]quests!$A$1,0,0,COUNTA([2]quests!$A:$A),MATCH(D$1,[2]quests!$1:$1,0)-MATCH($B$1,[2]quests!$1:$1,0)+1),MATCH(D$1,[2]quests!$1:$1,0)-MATCH($B$1,[2]quests!$1:$1,0)+1,FALSE)</f>
        <v>ランキング1</v>
      </c>
      <c r="E43" s="88">
        <v>1</v>
      </c>
      <c r="F43" s="84" t="str">
        <f ca="1">VLOOKUP($B43&amp;"_"&amp;$E43,OFFSET([2]stages!$A$1,0,0,COUNTA([2]stages!$A:$A),MATCH(F$1,[2]stages!$2:$2,0)-MATCH("temp_stage",[2]stages!$2:$2,0)+1),MATCH(F$1,[2]stages!$2:$2,0)-MATCH("temp_stage",[2]stages!$2:$2,0)+1,FALSE)</f>
        <v>[中級] 第3回　</v>
      </c>
      <c r="G43" s="84" t="str">
        <f ca="1">VLOOKUP($B43&amp;"_"&amp;$E43,OFFSET([2]stages!$A$1,0,0,COUNTA([2]stages!$A:$A),MATCH(G$1,[2]stages!$2:$2,0)-MATCH("temp_stage",[2]stages!$2:$2,0)+1),MATCH(G$1,[2]stages!$2:$2,0)-MATCH("temp_stage",[2]stages!$2:$2,0)+1,FALSE)</f>
        <v>ランキング1</v>
      </c>
      <c r="H43" s="86">
        <v>1</v>
      </c>
      <c r="I43">
        <v>19</v>
      </c>
      <c r="J43" s="85" t="s">
        <v>199</v>
      </c>
      <c r="K43" s="95" t="str">
        <f>VLOOKUP(I43,[7]stage_hints!$A:$C,3,FALSE)</f>
        <v>ソロ専用チャレンジタワー</v>
      </c>
      <c r="L43" s="96" t="str">
        <f>VLOOKUP(I43,[7]stage_hints!$A:$D,4,FALSE)</f>
        <v>ソロ専用の「チャレンジタワー」では_x000D_各フロアごとにクリア報酬がもらえます</v>
      </c>
      <c r="M43" s="57" t="s">
        <v>213</v>
      </c>
    </row>
    <row r="44" spans="1:13">
      <c r="A44" s="82" t="s">
        <v>202</v>
      </c>
      <c r="B44" s="83">
        <v>60003</v>
      </c>
      <c r="C44" s="84" t="str">
        <f ca="1">VLOOKUP($B44,OFFSET([2]quests!$A$1,0,0,COUNTA([2]quests!$A:$A),MATCH(C$1,[2]quests!$1:$1,0)-MATCH($B$1,[2]quests!$1:$1,0)+1),MATCH(C$1,[2]quests!$1:$1,0)-MATCH($B$1,[2]quests!$1:$1,0)+1,FALSE)</f>
        <v>ヘンペルチャレンジ</v>
      </c>
      <c r="D44" s="84" t="str">
        <f ca="1">VLOOKUP($B44,OFFSET([2]quests!$A$1,0,0,COUNTA([2]quests!$A:$A),MATCH(D$1,[2]quests!$1:$1,0)-MATCH($B$1,[2]quests!$1:$1,0)+1),MATCH(D$1,[2]quests!$1:$1,0)-MATCH($B$1,[2]quests!$1:$1,0)+1,FALSE)</f>
        <v>ランキング1</v>
      </c>
      <c r="E44" s="88">
        <v>1</v>
      </c>
      <c r="F44" s="84" t="str">
        <f ca="1">VLOOKUP($B44&amp;"_"&amp;$E44,OFFSET([2]stages!$A$1,0,0,COUNTA([2]stages!$A:$A),MATCH(F$1,[2]stages!$2:$2,0)-MATCH("temp_stage",[2]stages!$2:$2,0)+1),MATCH(F$1,[2]stages!$2:$2,0)-MATCH("temp_stage",[2]stages!$2:$2,0)+1,FALSE)</f>
        <v>[中級] 第3回　</v>
      </c>
      <c r="G44" s="84" t="str">
        <f ca="1">VLOOKUP($B44&amp;"_"&amp;$E44,OFFSET([2]stages!$A$1,0,0,COUNTA([2]stages!$A:$A),MATCH(G$1,[2]stages!$2:$2,0)-MATCH("temp_stage",[2]stages!$2:$2,0)+1),MATCH(G$1,[2]stages!$2:$2,0)-MATCH("temp_stage",[2]stages!$2:$2,0)+1,FALSE)</f>
        <v>ランキング1</v>
      </c>
      <c r="H44" s="86">
        <v>1</v>
      </c>
      <c r="I44">
        <v>21</v>
      </c>
      <c r="J44" s="85" t="s">
        <v>199</v>
      </c>
      <c r="K44" s="95" t="str">
        <f>VLOOKUP(I44,[7]stage_hints!$A:$C,3,FALSE)</f>
        <v>スキルを有効に</v>
      </c>
      <c r="L44" s="96" t="str">
        <f>VLOOKUP(I44,[7]stage_hints!$A:$D,4,FALSE)</f>
        <v>ターン経過でユニットのスキルが使えます_x000D_強力スキルでバトルを有利に進めましょう</v>
      </c>
      <c r="M44" s="57" t="s">
        <v>213</v>
      </c>
    </row>
    <row r="45" spans="1:13">
      <c r="A45" s="82" t="s">
        <v>202</v>
      </c>
      <c r="B45" s="83">
        <v>60003</v>
      </c>
      <c r="C45" s="84" t="str">
        <f ca="1">VLOOKUP($B45,OFFSET([2]quests!$A$1,0,0,COUNTA([2]quests!$A:$A),MATCH(C$1,[2]quests!$1:$1,0)-MATCH($B$1,[2]quests!$1:$1,0)+1),MATCH(C$1,[2]quests!$1:$1,0)-MATCH($B$1,[2]quests!$1:$1,0)+1,FALSE)</f>
        <v>ヘンペルチャレンジ</v>
      </c>
      <c r="D45" s="84" t="str">
        <f ca="1">VLOOKUP($B45,OFFSET([2]quests!$A$1,0,0,COUNTA([2]quests!$A:$A),MATCH(D$1,[2]quests!$1:$1,0)-MATCH($B$1,[2]quests!$1:$1,0)+1),MATCH(D$1,[2]quests!$1:$1,0)-MATCH($B$1,[2]quests!$1:$1,0)+1,FALSE)</f>
        <v>ランキング1</v>
      </c>
      <c r="E45" s="88">
        <v>1</v>
      </c>
      <c r="F45" s="84" t="str">
        <f ca="1">VLOOKUP($B45&amp;"_"&amp;$E45,OFFSET([2]stages!$A$1,0,0,COUNTA([2]stages!$A:$A),MATCH(F$1,[2]stages!$2:$2,0)-MATCH("temp_stage",[2]stages!$2:$2,0)+1),MATCH(F$1,[2]stages!$2:$2,0)-MATCH("temp_stage",[2]stages!$2:$2,0)+1,FALSE)</f>
        <v>[中級] 第3回　</v>
      </c>
      <c r="G45" s="84" t="str">
        <f ca="1">VLOOKUP($B45&amp;"_"&amp;$E45,OFFSET([2]stages!$A$1,0,0,COUNTA([2]stages!$A:$A),MATCH(G$1,[2]stages!$2:$2,0)-MATCH("temp_stage",[2]stages!$2:$2,0)+1),MATCH(G$1,[2]stages!$2:$2,0)-MATCH("temp_stage",[2]stages!$2:$2,0)+1,FALSE)</f>
        <v>ランキング1</v>
      </c>
      <c r="H45" s="86">
        <v>1</v>
      </c>
      <c r="I45">
        <v>29</v>
      </c>
      <c r="J45" s="85" t="s">
        <v>199</v>
      </c>
      <c r="K45" s="95" t="str">
        <f>VLOOKUP(I45,[7]stage_hints!$A:$C,3,FALSE)</f>
        <v>「バグ」のメリット</v>
      </c>
      <c r="L45" s="96" t="str">
        <f>VLOOKUP(I45,[7]stage_hints!$A:$D,4,FALSE)</f>
        <v>ユニットの「バグ」を増やすと_x000D_報酬をもらえる確率がアップします</v>
      </c>
      <c r="M45" s="57" t="s">
        <v>213</v>
      </c>
    </row>
    <row r="46" spans="1:13">
      <c r="A46" s="82" t="s">
        <v>202</v>
      </c>
      <c r="B46" s="83">
        <v>60003</v>
      </c>
      <c r="C46" s="84" t="str">
        <f ca="1">VLOOKUP($B46,OFFSET([2]quests!$A$1,0,0,COUNTA([2]quests!$A:$A),MATCH(C$1,[2]quests!$1:$1,0)-MATCH($B$1,[2]quests!$1:$1,0)+1),MATCH(C$1,[2]quests!$1:$1,0)-MATCH($B$1,[2]quests!$1:$1,0)+1,FALSE)</f>
        <v>ヘンペルチャレンジ</v>
      </c>
      <c r="D46" s="84" t="str">
        <f ca="1">VLOOKUP($B46,OFFSET([2]quests!$A$1,0,0,COUNTA([2]quests!$A:$A),MATCH(D$1,[2]quests!$1:$1,0)-MATCH($B$1,[2]quests!$1:$1,0)+1),MATCH(D$1,[2]quests!$1:$1,0)-MATCH($B$1,[2]quests!$1:$1,0)+1,FALSE)</f>
        <v>ランキング1</v>
      </c>
      <c r="E46" s="88">
        <v>1</v>
      </c>
      <c r="F46" s="84" t="str">
        <f ca="1">VLOOKUP($B46&amp;"_"&amp;$E46,OFFSET([2]stages!$A$1,0,0,COUNTA([2]stages!$A:$A),MATCH(F$1,[2]stages!$2:$2,0)-MATCH("temp_stage",[2]stages!$2:$2,0)+1),MATCH(F$1,[2]stages!$2:$2,0)-MATCH("temp_stage",[2]stages!$2:$2,0)+1,FALSE)</f>
        <v>[中級] 第3回　</v>
      </c>
      <c r="G46" s="84" t="str">
        <f ca="1">VLOOKUP($B46&amp;"_"&amp;$E46,OFFSET([2]stages!$A$1,0,0,COUNTA([2]stages!$A:$A),MATCH(G$1,[2]stages!$2:$2,0)-MATCH("temp_stage",[2]stages!$2:$2,0)+1),MATCH(G$1,[2]stages!$2:$2,0)-MATCH("temp_stage",[2]stages!$2:$2,0)+1,FALSE)</f>
        <v>ランキング1</v>
      </c>
      <c r="H46" s="86">
        <v>1</v>
      </c>
      <c r="I46">
        <v>30</v>
      </c>
      <c r="J46" s="85" t="s">
        <v>199</v>
      </c>
      <c r="K46" s="95" t="str">
        <f>VLOOKUP(I46,[7]stage_hints!$A:$C,3,FALSE)</f>
        <v>「バグ」の増やし方</v>
      </c>
      <c r="L46" s="96" t="str">
        <f>VLOOKUP(I46,[7]stage_hints!$A:$D,4,FALSE)</f>
        <v>同じユニット同士を強化で合成すると_x000D_「バグ」を増やすことができます</v>
      </c>
      <c r="M46" s="57" t="s">
        <v>213</v>
      </c>
    </row>
    <row r="47" spans="1:13">
      <c r="A47" s="82" t="s">
        <v>202</v>
      </c>
      <c r="B47" s="83">
        <v>60003</v>
      </c>
      <c r="C47" s="84" t="str">
        <f ca="1">VLOOKUP($B47,OFFSET([2]quests!$A$1,0,0,COUNTA([2]quests!$A:$A),MATCH(C$1,[2]quests!$1:$1,0)-MATCH($B$1,[2]quests!$1:$1,0)+1),MATCH(C$1,[2]quests!$1:$1,0)-MATCH($B$1,[2]quests!$1:$1,0)+1,FALSE)</f>
        <v>ヘンペルチャレンジ</v>
      </c>
      <c r="D47" s="84" t="str">
        <f ca="1">VLOOKUP($B47,OFFSET([2]quests!$A$1,0,0,COUNTA([2]quests!$A:$A),MATCH(D$1,[2]quests!$1:$1,0)-MATCH($B$1,[2]quests!$1:$1,0)+1),MATCH(D$1,[2]quests!$1:$1,0)-MATCH($B$1,[2]quests!$1:$1,0)+1,FALSE)</f>
        <v>ランキング1</v>
      </c>
      <c r="E47" s="88">
        <v>1</v>
      </c>
      <c r="F47" s="84" t="str">
        <f ca="1">VLOOKUP($B47&amp;"_"&amp;$E47,OFFSET([2]stages!$A$1,0,0,COUNTA([2]stages!$A:$A),MATCH(F$1,[2]stages!$2:$2,0)-MATCH("temp_stage",[2]stages!$2:$2,0)+1),MATCH(F$1,[2]stages!$2:$2,0)-MATCH("temp_stage",[2]stages!$2:$2,0)+1,FALSE)</f>
        <v>[中級] 第3回　</v>
      </c>
      <c r="G47" s="84" t="str">
        <f ca="1">VLOOKUP($B47&amp;"_"&amp;$E47,OFFSET([2]stages!$A$1,0,0,COUNTA([2]stages!$A:$A),MATCH(G$1,[2]stages!$2:$2,0)-MATCH("temp_stage",[2]stages!$2:$2,0)+1),MATCH(G$1,[2]stages!$2:$2,0)-MATCH("temp_stage",[2]stages!$2:$2,0)+1,FALSE)</f>
        <v>ランキング1</v>
      </c>
      <c r="H47" s="86">
        <v>1</v>
      </c>
      <c r="I47">
        <v>32</v>
      </c>
      <c r="J47" s="85" t="s">
        <v>199</v>
      </c>
      <c r="K47" s="95" t="str">
        <f>VLOOKUP(I47,[7]stage_hints!$A:$C,3,FALSE)</f>
        <v>敵の連続攻撃には</v>
      </c>
      <c r="L47" s="96" t="str">
        <f>VLOOKUP(I47,[7]stage_hints!$A:$D,4,FALSE)</f>
        <v>カウンタースキルを持つユニットがいれば_x000D_ダメージ回数分の反撃ができます</v>
      </c>
      <c r="M47" s="57" t="s">
        <v>213</v>
      </c>
    </row>
    <row r="48" spans="1:13">
      <c r="A48" s="82" t="s">
        <v>202</v>
      </c>
      <c r="B48" s="83">
        <v>60003</v>
      </c>
      <c r="C48" s="84" t="str">
        <f ca="1">VLOOKUP($B48,OFFSET([2]quests!$A$1,0,0,COUNTA([2]quests!$A:$A),MATCH(C$1,[2]quests!$1:$1,0)-MATCH($B$1,[2]quests!$1:$1,0)+1),MATCH(C$1,[2]quests!$1:$1,0)-MATCH($B$1,[2]quests!$1:$1,0)+1,FALSE)</f>
        <v>ヘンペルチャレンジ</v>
      </c>
      <c r="D48" s="84" t="str">
        <f ca="1">VLOOKUP($B48,OFFSET([2]quests!$A$1,0,0,COUNTA([2]quests!$A:$A),MATCH(D$1,[2]quests!$1:$1,0)-MATCH($B$1,[2]quests!$1:$1,0)+1),MATCH(D$1,[2]quests!$1:$1,0)-MATCH($B$1,[2]quests!$1:$1,0)+1,FALSE)</f>
        <v>ランキング1</v>
      </c>
      <c r="E48" s="88">
        <v>1</v>
      </c>
      <c r="F48" s="84" t="str">
        <f ca="1">VLOOKUP($B48&amp;"_"&amp;$E48,OFFSET([2]stages!$A$1,0,0,COUNTA([2]stages!$A:$A),MATCH(F$1,[2]stages!$2:$2,0)-MATCH("temp_stage",[2]stages!$2:$2,0)+1),MATCH(F$1,[2]stages!$2:$2,0)-MATCH("temp_stage",[2]stages!$2:$2,0)+1,FALSE)</f>
        <v>[中級] 第3回　</v>
      </c>
      <c r="G48" s="84" t="str">
        <f ca="1">VLOOKUP($B48&amp;"_"&amp;$E48,OFFSET([2]stages!$A$1,0,0,COUNTA([2]stages!$A:$A),MATCH(G$1,[2]stages!$2:$2,0)-MATCH("temp_stage",[2]stages!$2:$2,0)+1),MATCH(G$1,[2]stages!$2:$2,0)-MATCH("temp_stage",[2]stages!$2:$2,0)+1,FALSE)</f>
        <v>ランキング1</v>
      </c>
      <c r="H48" s="86">
        <v>1</v>
      </c>
      <c r="I48">
        <v>33</v>
      </c>
      <c r="J48" s="85" t="s">
        <v>199</v>
      </c>
      <c r="K48" s="95" t="str">
        <f>VLOOKUP(I48,[7]stage_hints!$A:$C,3,FALSE)</f>
        <v>敵のカウンター攻撃には</v>
      </c>
      <c r="L48" s="96" t="str">
        <f>VLOOKUP(I48,[7]stage_hints!$A:$D,4,FALSE)</f>
        <v>カウンターブレイクスキルを持っていれば_x000D_敵のカウンターを解除して攻撃ができます</v>
      </c>
      <c r="M48" s="57" t="s">
        <v>213</v>
      </c>
    </row>
    <row r="49" spans="1:13">
      <c r="A49" s="82" t="s">
        <v>202</v>
      </c>
      <c r="B49" s="83">
        <v>60003</v>
      </c>
      <c r="C49" s="84" t="str">
        <f ca="1">VLOOKUP($B49,OFFSET([2]quests!$A$1,0,0,COUNTA([2]quests!$A:$A),MATCH(C$1,[2]quests!$1:$1,0)-MATCH($B$1,[2]quests!$1:$1,0)+1),MATCH(C$1,[2]quests!$1:$1,0)-MATCH($B$1,[2]quests!$1:$1,0)+1,FALSE)</f>
        <v>ヘンペルチャレンジ</v>
      </c>
      <c r="D49" s="84" t="str">
        <f ca="1">VLOOKUP($B49,OFFSET([2]quests!$A$1,0,0,COUNTA([2]quests!$A:$A),MATCH(D$1,[2]quests!$1:$1,0)-MATCH($B$1,[2]quests!$1:$1,0)+1),MATCH(D$1,[2]quests!$1:$1,0)-MATCH($B$1,[2]quests!$1:$1,0)+1,FALSE)</f>
        <v>ランキング1</v>
      </c>
      <c r="E49" s="88">
        <v>1</v>
      </c>
      <c r="F49" s="84" t="str">
        <f ca="1">VLOOKUP($B49&amp;"_"&amp;$E49,OFFSET([2]stages!$A$1,0,0,COUNTA([2]stages!$A:$A),MATCH(F$1,[2]stages!$2:$2,0)-MATCH("temp_stage",[2]stages!$2:$2,0)+1),MATCH(F$1,[2]stages!$2:$2,0)-MATCH("temp_stage",[2]stages!$2:$2,0)+1,FALSE)</f>
        <v>[中級] 第3回　</v>
      </c>
      <c r="G49" s="84" t="str">
        <f ca="1">VLOOKUP($B49&amp;"_"&amp;$E49,OFFSET([2]stages!$A$1,0,0,COUNTA([2]stages!$A:$A),MATCH(G$1,[2]stages!$2:$2,0)-MATCH("temp_stage",[2]stages!$2:$2,0)+1),MATCH(G$1,[2]stages!$2:$2,0)-MATCH("temp_stage",[2]stages!$2:$2,0)+1,FALSE)</f>
        <v>ランキング1</v>
      </c>
      <c r="H49" s="86">
        <v>1</v>
      </c>
      <c r="I49">
        <v>34</v>
      </c>
      <c r="J49" s="85" t="s">
        <v>199</v>
      </c>
      <c r="K49" s="95" t="str">
        <f>VLOOKUP(I49,[7]stage_hints!$A:$C,3,FALSE)</f>
        <v>ステータスをスキルで下げられたら</v>
      </c>
      <c r="L49" s="96" t="str">
        <f>VLOOKUP(I49,[7]stage_hints!$A:$D,4,FALSE)</f>
        <v>ステータスダウンのスキルを受けたら_x000D_ステータスアップスキルで上書きしましょう</v>
      </c>
      <c r="M49" s="57" t="s">
        <v>213</v>
      </c>
    </row>
    <row r="50" spans="1:13">
      <c r="A50" s="82" t="s">
        <v>202</v>
      </c>
      <c r="B50" s="83">
        <v>60003</v>
      </c>
      <c r="C50" s="84" t="str">
        <f ca="1">VLOOKUP($B50,OFFSET([2]quests!$A$1,0,0,COUNTA([2]quests!$A:$A),MATCH(C$1,[2]quests!$1:$1,0)-MATCH($B$1,[2]quests!$1:$1,0)+1),MATCH(C$1,[2]quests!$1:$1,0)-MATCH($B$1,[2]quests!$1:$1,0)+1,FALSE)</f>
        <v>ヘンペルチャレンジ</v>
      </c>
      <c r="D50" s="84" t="str">
        <f ca="1">VLOOKUP($B50,OFFSET([2]quests!$A$1,0,0,COUNTA([2]quests!$A:$A),MATCH(D$1,[2]quests!$1:$1,0)-MATCH($B$1,[2]quests!$1:$1,0)+1),MATCH(D$1,[2]quests!$1:$1,0)-MATCH($B$1,[2]quests!$1:$1,0)+1,FALSE)</f>
        <v>ランキング1</v>
      </c>
      <c r="E50" s="88">
        <v>1</v>
      </c>
      <c r="F50" s="84" t="str">
        <f ca="1">VLOOKUP($B50&amp;"_"&amp;$E50,OFFSET([2]stages!$A$1,0,0,COUNTA([2]stages!$A:$A),MATCH(F$1,[2]stages!$2:$2,0)-MATCH("temp_stage",[2]stages!$2:$2,0)+1),MATCH(F$1,[2]stages!$2:$2,0)-MATCH("temp_stage",[2]stages!$2:$2,0)+1,FALSE)</f>
        <v>[中級] 第3回　</v>
      </c>
      <c r="G50" s="84" t="str">
        <f ca="1">VLOOKUP($B50&amp;"_"&amp;$E50,OFFSET([2]stages!$A$1,0,0,COUNTA([2]stages!$A:$A),MATCH(G$1,[2]stages!$2:$2,0)-MATCH("temp_stage",[2]stages!$2:$2,0)+1),MATCH(G$1,[2]stages!$2:$2,0)-MATCH("temp_stage",[2]stages!$2:$2,0)+1,FALSE)</f>
        <v>ランキング1</v>
      </c>
      <c r="H50" s="86">
        <v>1</v>
      </c>
      <c r="I50">
        <v>35</v>
      </c>
      <c r="J50" s="85" t="s">
        <v>199</v>
      </c>
      <c r="K50" s="95" t="str">
        <f>VLOOKUP(I50,[7]stage_hints!$A:$C,3,FALSE)</f>
        <v>敵のステータスがスキルで上がったら</v>
      </c>
      <c r="L50" s="96" t="str">
        <f>VLOOKUP(I50,[7]stage_hints!$A:$D,4,FALSE)</f>
        <v>敵のステータスがスキルでアップしたときは_x000D_ステータスダウンスキルで上書きしましょう</v>
      </c>
      <c r="M50" s="57" t="s">
        <v>213</v>
      </c>
    </row>
    <row r="51" spans="1:13">
      <c r="A51" s="82" t="s">
        <v>202</v>
      </c>
      <c r="B51" s="83">
        <v>60003</v>
      </c>
      <c r="C51" s="84" t="str">
        <f ca="1">VLOOKUP($B51,OFFSET([2]quests!$A$1,0,0,COUNTA([2]quests!$A:$A),MATCH(C$1,[2]quests!$1:$1,0)-MATCH($B$1,[2]quests!$1:$1,0)+1),MATCH(C$1,[2]quests!$1:$1,0)-MATCH($B$1,[2]quests!$1:$1,0)+1,FALSE)</f>
        <v>ヘンペルチャレンジ</v>
      </c>
      <c r="D51" s="84" t="str">
        <f ca="1">VLOOKUP($B51,OFFSET([2]quests!$A$1,0,0,COUNTA([2]quests!$A:$A),MATCH(D$1,[2]quests!$1:$1,0)-MATCH($B$1,[2]quests!$1:$1,0)+1),MATCH(D$1,[2]quests!$1:$1,0)-MATCH($B$1,[2]quests!$1:$1,0)+1,FALSE)</f>
        <v>ランキング1</v>
      </c>
      <c r="E51" s="88">
        <v>1</v>
      </c>
      <c r="F51" s="84" t="str">
        <f ca="1">VLOOKUP($B51&amp;"_"&amp;$E51,OFFSET([2]stages!$A$1,0,0,COUNTA([2]stages!$A:$A),MATCH(F$1,[2]stages!$2:$2,0)-MATCH("temp_stage",[2]stages!$2:$2,0)+1),MATCH(F$1,[2]stages!$2:$2,0)-MATCH("temp_stage",[2]stages!$2:$2,0)+1,FALSE)</f>
        <v>[中級] 第3回　</v>
      </c>
      <c r="G51" s="84" t="str">
        <f ca="1">VLOOKUP($B51&amp;"_"&amp;$E51,OFFSET([2]stages!$A$1,0,0,COUNTA([2]stages!$A:$A),MATCH(G$1,[2]stages!$2:$2,0)-MATCH("temp_stage",[2]stages!$2:$2,0)+1),MATCH(G$1,[2]stages!$2:$2,0)-MATCH("temp_stage",[2]stages!$2:$2,0)+1,FALSE)</f>
        <v>ランキング1</v>
      </c>
      <c r="H51" s="86">
        <v>1</v>
      </c>
      <c r="I51">
        <v>36</v>
      </c>
      <c r="J51" s="85" t="s">
        <v>199</v>
      </c>
      <c r="K51" s="95" t="str">
        <f>VLOOKUP(I51,[7]stage_hints!$A:$C,3,FALSE)</f>
        <v>チャレンジタワーのボス</v>
      </c>
      <c r="L51" s="96" t="str">
        <f>VLOOKUP(I51,[7]stage_hints!$A:$D,4,FALSE)</f>
        <v>チャレンジタワーでのみ登場するボスは_x000D_一定確率で獲得することができます</v>
      </c>
      <c r="M51" s="57" t="s">
        <v>213</v>
      </c>
    </row>
    <row r="52" spans="1:13">
      <c r="A52" s="82" t="s">
        <v>202</v>
      </c>
      <c r="B52" s="83">
        <v>60003</v>
      </c>
      <c r="C52" s="84" t="str">
        <f ca="1">VLOOKUP($B52,OFFSET([2]quests!$A$1,0,0,COUNTA([2]quests!$A:$A),MATCH(C$1,[2]quests!$1:$1,0)-MATCH($B$1,[2]quests!$1:$1,0)+1),MATCH(C$1,[2]quests!$1:$1,0)-MATCH($B$1,[2]quests!$1:$1,0)+1,FALSE)</f>
        <v>ヘンペルチャレンジ</v>
      </c>
      <c r="D52" s="84" t="str">
        <f ca="1">VLOOKUP($B52,OFFSET([2]quests!$A$1,0,0,COUNTA([2]quests!$A:$A),MATCH(D$1,[2]quests!$1:$1,0)-MATCH($B$1,[2]quests!$1:$1,0)+1),MATCH(D$1,[2]quests!$1:$1,0)-MATCH($B$1,[2]quests!$1:$1,0)+1,FALSE)</f>
        <v>ランキング1</v>
      </c>
      <c r="E52" s="88">
        <v>1</v>
      </c>
      <c r="F52" s="84" t="str">
        <f ca="1">VLOOKUP($B52&amp;"_"&amp;$E52,OFFSET([2]stages!$A$1,0,0,COUNTA([2]stages!$A:$A),MATCH(F$1,[2]stages!$2:$2,0)-MATCH("temp_stage",[2]stages!$2:$2,0)+1),MATCH(F$1,[2]stages!$2:$2,0)-MATCH("temp_stage",[2]stages!$2:$2,0)+1,FALSE)</f>
        <v>[中級] 第3回　</v>
      </c>
      <c r="G52" s="84" t="str">
        <f ca="1">VLOOKUP($B52&amp;"_"&amp;$E52,OFFSET([2]stages!$A$1,0,0,COUNTA([2]stages!$A:$A),MATCH(G$1,[2]stages!$2:$2,0)-MATCH("temp_stage",[2]stages!$2:$2,0)+1),MATCH(G$1,[2]stages!$2:$2,0)-MATCH("temp_stage",[2]stages!$2:$2,0)+1,FALSE)</f>
        <v>ランキング1</v>
      </c>
      <c r="H52" s="86">
        <v>1</v>
      </c>
      <c r="I52">
        <v>37</v>
      </c>
      <c r="J52" s="85" t="s">
        <v>199</v>
      </c>
      <c r="K52" s="95" t="str">
        <f>VLOOKUP(I52,[7]stage_hints!$A:$C,3,FALSE)</f>
        <v>限界突破値の引き継ぎ</v>
      </c>
      <c r="L52" s="96" t="str">
        <f>VLOOKUP(I52,[7]stage_hints!$A:$D,4,FALSE)</f>
        <v>同じユニットを強化で合成すると_x000D_限界突破値を引き継げます（覚醒前後も可）</v>
      </c>
      <c r="M52" s="57" t="s">
        <v>213</v>
      </c>
    </row>
    <row r="53" spans="1:13">
      <c r="A53" s="82" t="s">
        <v>202</v>
      </c>
      <c r="B53" s="83">
        <v>60003</v>
      </c>
      <c r="C53" s="84" t="str">
        <f ca="1">VLOOKUP($B53,OFFSET([2]quests!$A$1,0,0,COUNTA([2]quests!$A:$A),MATCH(C$1,[2]quests!$1:$1,0)-MATCH($B$1,[2]quests!$1:$1,0)+1),MATCH(C$1,[2]quests!$1:$1,0)-MATCH($B$1,[2]quests!$1:$1,0)+1,FALSE)</f>
        <v>ヘンペルチャレンジ</v>
      </c>
      <c r="D53" s="84" t="str">
        <f ca="1">VLOOKUP($B53,OFFSET([2]quests!$A$1,0,0,COUNTA([2]quests!$A:$A),MATCH(D$1,[2]quests!$1:$1,0)-MATCH($B$1,[2]quests!$1:$1,0)+1),MATCH(D$1,[2]quests!$1:$1,0)-MATCH($B$1,[2]quests!$1:$1,0)+1,FALSE)</f>
        <v>ランキング1</v>
      </c>
      <c r="E53" s="88">
        <v>1</v>
      </c>
      <c r="F53" s="84" t="str">
        <f ca="1">VLOOKUP($B53&amp;"_"&amp;$E53,OFFSET([2]stages!$A$1,0,0,COUNTA([2]stages!$A:$A),MATCH(F$1,[2]stages!$2:$2,0)-MATCH("temp_stage",[2]stages!$2:$2,0)+1),MATCH(F$1,[2]stages!$2:$2,0)-MATCH("temp_stage",[2]stages!$2:$2,0)+1,FALSE)</f>
        <v>[中級] 第3回　</v>
      </c>
      <c r="G53" s="84" t="str">
        <f ca="1">VLOOKUP($B53&amp;"_"&amp;$E53,OFFSET([2]stages!$A$1,0,0,COUNTA([2]stages!$A:$A),MATCH(G$1,[2]stages!$2:$2,0)-MATCH("temp_stage",[2]stages!$2:$2,0)+1),MATCH(G$1,[2]stages!$2:$2,0)-MATCH("temp_stage",[2]stages!$2:$2,0)+1,FALSE)</f>
        <v>ランキング1</v>
      </c>
      <c r="H53" s="86">
        <v>1</v>
      </c>
      <c r="I53">
        <v>39</v>
      </c>
      <c r="J53" s="85" t="s">
        <v>199</v>
      </c>
      <c r="K53" s="95" t="str">
        <f>VLOOKUP(I53,[7]stage_hints!$A:$C,3,FALSE)</f>
        <v>システム適合者を確認</v>
      </c>
      <c r="L53" s="96" t="str">
        <f>VLOOKUP(I53,[7]stage_hints!$A:$D,4,FALSE)</f>
        <v>ALICEが「アナタ」を呼んでいます</v>
      </c>
      <c r="M53" s="57" t="s">
        <v>213</v>
      </c>
    </row>
    <row r="54" spans="1:13">
      <c r="A54" s="82" t="s">
        <v>202</v>
      </c>
      <c r="B54" s="83">
        <v>60003</v>
      </c>
      <c r="C54" s="84" t="str">
        <f ca="1">VLOOKUP($B54,OFFSET([2]quests!$A$1,0,0,COUNTA([2]quests!$A:$A),MATCH(C$1,[2]quests!$1:$1,0)-MATCH($B$1,[2]quests!$1:$1,0)+1),MATCH(C$1,[2]quests!$1:$1,0)-MATCH($B$1,[2]quests!$1:$1,0)+1,FALSE)</f>
        <v>ヘンペルチャレンジ</v>
      </c>
      <c r="D54" s="84" t="str">
        <f ca="1">VLOOKUP($B54,OFFSET([2]quests!$A$1,0,0,COUNTA([2]quests!$A:$A),MATCH(D$1,[2]quests!$1:$1,0)-MATCH($B$1,[2]quests!$1:$1,0)+1),MATCH(D$1,[2]quests!$1:$1,0)-MATCH($B$1,[2]quests!$1:$1,0)+1,FALSE)</f>
        <v>ランキング1</v>
      </c>
      <c r="E54" s="88">
        <v>2</v>
      </c>
      <c r="F54" s="84" t="str">
        <f ca="1">VLOOKUP($B54&amp;"_"&amp;$E54,OFFSET([2]stages!$A$1,0,0,COUNTA([2]stages!$A:$A),MATCH(F$1,[2]stages!$2:$2,0)-MATCH("temp_stage",[2]stages!$2:$2,0)+1),MATCH(F$1,[2]stages!$2:$2,0)-MATCH("temp_stage",[2]stages!$2:$2,0)+1,FALSE)</f>
        <v>[超級] 第3回　</v>
      </c>
      <c r="G54" s="84" t="str">
        <f ca="1">VLOOKUP($B54&amp;"_"&amp;$E54,OFFSET([2]stages!$A$1,0,0,COUNTA([2]stages!$A:$A),MATCH(G$1,[2]stages!$2:$2,0)-MATCH("temp_stage",[2]stages!$2:$2,0)+1),MATCH(G$1,[2]stages!$2:$2,0)-MATCH("temp_stage",[2]stages!$2:$2,0)+1,FALSE)</f>
        <v>ランキング1</v>
      </c>
      <c r="H54" s="86">
        <v>1</v>
      </c>
      <c r="I54">
        <v>12</v>
      </c>
      <c r="J54" s="85" t="s">
        <v>199</v>
      </c>
      <c r="K54" s="95" t="str">
        <f>VLOOKUP(I54,[7]stage_hints!$A:$C,3,FALSE)</f>
        <v>ユニットのお気に入り登録</v>
      </c>
      <c r="L54" s="96" t="str">
        <f>VLOOKUP(I54,[7]stage_hints!$A:$D,4,FALSE)</f>
        <v>大事なユニットを誤って消さないように_x000D_フォルダから「お気に入り登録」しましょう</v>
      </c>
      <c r="M54" s="57" t="s">
        <v>213</v>
      </c>
    </row>
    <row r="55" spans="1:13">
      <c r="A55" s="82" t="s">
        <v>202</v>
      </c>
      <c r="B55" s="83">
        <v>60003</v>
      </c>
      <c r="C55" s="84" t="str">
        <f ca="1">VLOOKUP($B55,OFFSET([2]quests!$A$1,0,0,COUNTA([2]quests!$A:$A),MATCH(C$1,[2]quests!$1:$1,0)-MATCH($B$1,[2]quests!$1:$1,0)+1),MATCH(C$1,[2]quests!$1:$1,0)-MATCH($B$1,[2]quests!$1:$1,0)+1,FALSE)</f>
        <v>ヘンペルチャレンジ</v>
      </c>
      <c r="D55" s="84" t="str">
        <f ca="1">VLOOKUP($B55,OFFSET([2]quests!$A$1,0,0,COUNTA([2]quests!$A:$A),MATCH(D$1,[2]quests!$1:$1,0)-MATCH($B$1,[2]quests!$1:$1,0)+1),MATCH(D$1,[2]quests!$1:$1,0)-MATCH($B$1,[2]quests!$1:$1,0)+1,FALSE)</f>
        <v>ランキング1</v>
      </c>
      <c r="E55" s="88">
        <v>2</v>
      </c>
      <c r="F55" s="84" t="str">
        <f ca="1">VLOOKUP($B55&amp;"_"&amp;$E55,OFFSET([2]stages!$A$1,0,0,COUNTA([2]stages!$A:$A),MATCH(F$1,[2]stages!$2:$2,0)-MATCH("temp_stage",[2]stages!$2:$2,0)+1),MATCH(F$1,[2]stages!$2:$2,0)-MATCH("temp_stage",[2]stages!$2:$2,0)+1,FALSE)</f>
        <v>[超級] 第3回　</v>
      </c>
      <c r="G55" s="84" t="str">
        <f ca="1">VLOOKUP($B55&amp;"_"&amp;$E55,OFFSET([2]stages!$A$1,0,0,COUNTA([2]stages!$A:$A),MATCH(G$1,[2]stages!$2:$2,0)-MATCH("temp_stage",[2]stages!$2:$2,0)+1),MATCH(G$1,[2]stages!$2:$2,0)-MATCH("temp_stage",[2]stages!$2:$2,0)+1,FALSE)</f>
        <v>ランキング1</v>
      </c>
      <c r="H55" s="86">
        <v>1</v>
      </c>
      <c r="I55">
        <v>17</v>
      </c>
      <c r="J55" s="85" t="s">
        <v>199</v>
      </c>
      <c r="K55" s="95" t="str">
        <f>VLOOKUP(I55,[7]stage_hints!$A:$C,3,FALSE)</f>
        <v>リンクガチャ</v>
      </c>
      <c r="L55" s="96" t="str">
        <f>VLOOKUP(I55,[7]stage_hints!$A:$D,4,FALSE)</f>
        <v>無料のリンクガチャを回して_x000D_経験値素材や売却素材を獲得しましょう</v>
      </c>
      <c r="M55" s="57" t="s">
        <v>213</v>
      </c>
    </row>
    <row r="56" spans="1:13">
      <c r="A56" s="82" t="s">
        <v>202</v>
      </c>
      <c r="B56" s="83">
        <v>60003</v>
      </c>
      <c r="C56" s="84" t="str">
        <f ca="1">VLOOKUP($B56,OFFSET([2]quests!$A$1,0,0,COUNTA([2]quests!$A:$A),MATCH(C$1,[2]quests!$1:$1,0)-MATCH($B$1,[2]quests!$1:$1,0)+1),MATCH(C$1,[2]quests!$1:$1,0)-MATCH($B$1,[2]quests!$1:$1,0)+1,FALSE)</f>
        <v>ヘンペルチャレンジ</v>
      </c>
      <c r="D56" s="84" t="str">
        <f ca="1">VLOOKUP($B56,OFFSET([2]quests!$A$1,0,0,COUNTA([2]quests!$A:$A),MATCH(D$1,[2]quests!$1:$1,0)-MATCH($B$1,[2]quests!$1:$1,0)+1),MATCH(D$1,[2]quests!$1:$1,0)-MATCH($B$1,[2]quests!$1:$1,0)+1,FALSE)</f>
        <v>ランキング1</v>
      </c>
      <c r="E56" s="88">
        <v>2</v>
      </c>
      <c r="F56" s="84" t="str">
        <f ca="1">VLOOKUP($B56&amp;"_"&amp;$E56,OFFSET([2]stages!$A$1,0,0,COUNTA([2]stages!$A:$A),MATCH(F$1,[2]stages!$2:$2,0)-MATCH("temp_stage",[2]stages!$2:$2,0)+1),MATCH(F$1,[2]stages!$2:$2,0)-MATCH("temp_stage",[2]stages!$2:$2,0)+1,FALSE)</f>
        <v>[超級] 第3回　</v>
      </c>
      <c r="G56" s="84" t="str">
        <f ca="1">VLOOKUP($B56&amp;"_"&amp;$E56,OFFSET([2]stages!$A$1,0,0,COUNTA([2]stages!$A:$A),MATCH(G$1,[2]stages!$2:$2,0)-MATCH("temp_stage",[2]stages!$2:$2,0)+1),MATCH(G$1,[2]stages!$2:$2,0)-MATCH("temp_stage",[2]stages!$2:$2,0)+1,FALSE)</f>
        <v>ランキング1</v>
      </c>
      <c r="H56" s="86">
        <v>1</v>
      </c>
      <c r="I56">
        <v>19</v>
      </c>
      <c r="J56" s="85" t="s">
        <v>199</v>
      </c>
      <c r="K56" s="95" t="str">
        <f>VLOOKUP(I56,[7]stage_hints!$A:$C,3,FALSE)</f>
        <v>ソロ専用チャレンジタワー</v>
      </c>
      <c r="L56" s="96" t="str">
        <f>VLOOKUP(I56,[7]stage_hints!$A:$D,4,FALSE)</f>
        <v>ソロ専用の「チャレンジタワー」では_x000D_各フロアごとにクリア報酬がもらえます</v>
      </c>
      <c r="M56" s="57" t="s">
        <v>213</v>
      </c>
    </row>
    <row r="57" spans="1:13">
      <c r="A57" s="82" t="s">
        <v>202</v>
      </c>
      <c r="B57" s="83">
        <v>60003</v>
      </c>
      <c r="C57" s="84" t="str">
        <f ca="1">VLOOKUP($B57,OFFSET([2]quests!$A$1,0,0,COUNTA([2]quests!$A:$A),MATCH(C$1,[2]quests!$1:$1,0)-MATCH($B$1,[2]quests!$1:$1,0)+1),MATCH(C$1,[2]quests!$1:$1,0)-MATCH($B$1,[2]quests!$1:$1,0)+1,FALSE)</f>
        <v>ヘンペルチャレンジ</v>
      </c>
      <c r="D57" s="84" t="str">
        <f ca="1">VLOOKUP($B57,OFFSET([2]quests!$A$1,0,0,COUNTA([2]quests!$A:$A),MATCH(D$1,[2]quests!$1:$1,0)-MATCH($B$1,[2]quests!$1:$1,0)+1),MATCH(D$1,[2]quests!$1:$1,0)-MATCH($B$1,[2]quests!$1:$1,0)+1,FALSE)</f>
        <v>ランキング1</v>
      </c>
      <c r="E57" s="88">
        <v>2</v>
      </c>
      <c r="F57" s="84" t="str">
        <f ca="1">VLOOKUP($B57&amp;"_"&amp;$E57,OFFSET([2]stages!$A$1,0,0,COUNTA([2]stages!$A:$A),MATCH(F$1,[2]stages!$2:$2,0)-MATCH("temp_stage",[2]stages!$2:$2,0)+1),MATCH(F$1,[2]stages!$2:$2,0)-MATCH("temp_stage",[2]stages!$2:$2,0)+1,FALSE)</f>
        <v>[超級] 第3回　</v>
      </c>
      <c r="G57" s="84" t="str">
        <f ca="1">VLOOKUP($B57&amp;"_"&amp;$E57,OFFSET([2]stages!$A$1,0,0,COUNTA([2]stages!$A:$A),MATCH(G$1,[2]stages!$2:$2,0)-MATCH("temp_stage",[2]stages!$2:$2,0)+1),MATCH(G$1,[2]stages!$2:$2,0)-MATCH("temp_stage",[2]stages!$2:$2,0)+1,FALSE)</f>
        <v>ランキング1</v>
      </c>
      <c r="H57" s="86">
        <v>1</v>
      </c>
      <c r="I57">
        <v>21</v>
      </c>
      <c r="J57" s="85" t="s">
        <v>199</v>
      </c>
      <c r="K57" s="95" t="str">
        <f>VLOOKUP(I57,[7]stage_hints!$A:$C,3,FALSE)</f>
        <v>スキルを有効に</v>
      </c>
      <c r="L57" s="96" t="str">
        <f>VLOOKUP(I57,[7]stage_hints!$A:$D,4,FALSE)</f>
        <v>ターン経過でユニットのスキルが使えます_x000D_強力スキルでバトルを有利に進めましょう</v>
      </c>
      <c r="M57" s="57" t="s">
        <v>213</v>
      </c>
    </row>
    <row r="58" spans="1:13">
      <c r="A58" s="82" t="s">
        <v>202</v>
      </c>
      <c r="B58" s="83">
        <v>60003</v>
      </c>
      <c r="C58" s="84" t="str">
        <f ca="1">VLOOKUP($B58,OFFSET([2]quests!$A$1,0,0,COUNTA([2]quests!$A:$A),MATCH(C$1,[2]quests!$1:$1,0)-MATCH($B$1,[2]quests!$1:$1,0)+1),MATCH(C$1,[2]quests!$1:$1,0)-MATCH($B$1,[2]quests!$1:$1,0)+1,FALSE)</f>
        <v>ヘンペルチャレンジ</v>
      </c>
      <c r="D58" s="84" t="str">
        <f ca="1">VLOOKUP($B58,OFFSET([2]quests!$A$1,0,0,COUNTA([2]quests!$A:$A),MATCH(D$1,[2]quests!$1:$1,0)-MATCH($B$1,[2]quests!$1:$1,0)+1),MATCH(D$1,[2]quests!$1:$1,0)-MATCH($B$1,[2]quests!$1:$1,0)+1,FALSE)</f>
        <v>ランキング1</v>
      </c>
      <c r="E58" s="88">
        <v>2</v>
      </c>
      <c r="F58" s="84" t="str">
        <f ca="1">VLOOKUP($B58&amp;"_"&amp;$E58,OFFSET([2]stages!$A$1,0,0,COUNTA([2]stages!$A:$A),MATCH(F$1,[2]stages!$2:$2,0)-MATCH("temp_stage",[2]stages!$2:$2,0)+1),MATCH(F$1,[2]stages!$2:$2,0)-MATCH("temp_stage",[2]stages!$2:$2,0)+1,FALSE)</f>
        <v>[超級] 第3回　</v>
      </c>
      <c r="G58" s="84" t="str">
        <f ca="1">VLOOKUP($B58&amp;"_"&amp;$E58,OFFSET([2]stages!$A$1,0,0,COUNTA([2]stages!$A:$A),MATCH(G$1,[2]stages!$2:$2,0)-MATCH("temp_stage",[2]stages!$2:$2,0)+1),MATCH(G$1,[2]stages!$2:$2,0)-MATCH("temp_stage",[2]stages!$2:$2,0)+1,FALSE)</f>
        <v>ランキング1</v>
      </c>
      <c r="H58" s="86">
        <v>1</v>
      </c>
      <c r="I58">
        <v>29</v>
      </c>
      <c r="J58" s="85" t="s">
        <v>199</v>
      </c>
      <c r="K58" s="95" t="str">
        <f>VLOOKUP(I58,[7]stage_hints!$A:$C,3,FALSE)</f>
        <v>「バグ」のメリット</v>
      </c>
      <c r="L58" s="96" t="str">
        <f>VLOOKUP(I58,[7]stage_hints!$A:$D,4,FALSE)</f>
        <v>ユニットの「バグ」を増やすと_x000D_報酬をもらえる確率がアップします</v>
      </c>
      <c r="M58" s="57" t="s">
        <v>213</v>
      </c>
    </row>
    <row r="59" spans="1:13">
      <c r="A59" s="82" t="s">
        <v>202</v>
      </c>
      <c r="B59" s="83">
        <v>60003</v>
      </c>
      <c r="C59" s="84" t="str">
        <f ca="1">VLOOKUP($B59,OFFSET([2]quests!$A$1,0,0,COUNTA([2]quests!$A:$A),MATCH(C$1,[2]quests!$1:$1,0)-MATCH($B$1,[2]quests!$1:$1,0)+1),MATCH(C$1,[2]quests!$1:$1,0)-MATCH($B$1,[2]quests!$1:$1,0)+1,FALSE)</f>
        <v>ヘンペルチャレンジ</v>
      </c>
      <c r="D59" s="84" t="str">
        <f ca="1">VLOOKUP($B59,OFFSET([2]quests!$A$1,0,0,COUNTA([2]quests!$A:$A),MATCH(D$1,[2]quests!$1:$1,0)-MATCH($B$1,[2]quests!$1:$1,0)+1),MATCH(D$1,[2]quests!$1:$1,0)-MATCH($B$1,[2]quests!$1:$1,0)+1,FALSE)</f>
        <v>ランキング1</v>
      </c>
      <c r="E59" s="88">
        <v>2</v>
      </c>
      <c r="F59" s="84" t="str">
        <f ca="1">VLOOKUP($B59&amp;"_"&amp;$E59,OFFSET([2]stages!$A$1,0,0,COUNTA([2]stages!$A:$A),MATCH(F$1,[2]stages!$2:$2,0)-MATCH("temp_stage",[2]stages!$2:$2,0)+1),MATCH(F$1,[2]stages!$2:$2,0)-MATCH("temp_stage",[2]stages!$2:$2,0)+1,FALSE)</f>
        <v>[超級] 第3回　</v>
      </c>
      <c r="G59" s="84" t="str">
        <f ca="1">VLOOKUP($B59&amp;"_"&amp;$E59,OFFSET([2]stages!$A$1,0,0,COUNTA([2]stages!$A:$A),MATCH(G$1,[2]stages!$2:$2,0)-MATCH("temp_stage",[2]stages!$2:$2,0)+1),MATCH(G$1,[2]stages!$2:$2,0)-MATCH("temp_stage",[2]stages!$2:$2,0)+1,FALSE)</f>
        <v>ランキング1</v>
      </c>
      <c r="H59" s="86">
        <v>1</v>
      </c>
      <c r="I59">
        <v>30</v>
      </c>
      <c r="J59" s="85" t="s">
        <v>199</v>
      </c>
      <c r="K59" s="95" t="str">
        <f>VLOOKUP(I59,[7]stage_hints!$A:$C,3,FALSE)</f>
        <v>「バグ」の増やし方</v>
      </c>
      <c r="L59" s="96" t="str">
        <f>VLOOKUP(I59,[7]stage_hints!$A:$D,4,FALSE)</f>
        <v>同じユニット同士を強化で合成すると_x000D_「バグ」を増やすことができます</v>
      </c>
      <c r="M59" s="57" t="s">
        <v>213</v>
      </c>
    </row>
    <row r="60" spans="1:13">
      <c r="A60" s="82" t="s">
        <v>202</v>
      </c>
      <c r="B60" s="83">
        <v>60003</v>
      </c>
      <c r="C60" s="84" t="str">
        <f ca="1">VLOOKUP($B60,OFFSET([2]quests!$A$1,0,0,COUNTA([2]quests!$A:$A),MATCH(C$1,[2]quests!$1:$1,0)-MATCH($B$1,[2]quests!$1:$1,0)+1),MATCH(C$1,[2]quests!$1:$1,0)-MATCH($B$1,[2]quests!$1:$1,0)+1,FALSE)</f>
        <v>ヘンペルチャレンジ</v>
      </c>
      <c r="D60" s="84" t="str">
        <f ca="1">VLOOKUP($B60,OFFSET([2]quests!$A$1,0,0,COUNTA([2]quests!$A:$A),MATCH(D$1,[2]quests!$1:$1,0)-MATCH($B$1,[2]quests!$1:$1,0)+1),MATCH(D$1,[2]quests!$1:$1,0)-MATCH($B$1,[2]quests!$1:$1,0)+1,FALSE)</f>
        <v>ランキング1</v>
      </c>
      <c r="E60" s="88">
        <v>2</v>
      </c>
      <c r="F60" s="84" t="str">
        <f ca="1">VLOOKUP($B60&amp;"_"&amp;$E60,OFFSET([2]stages!$A$1,0,0,COUNTA([2]stages!$A:$A),MATCH(F$1,[2]stages!$2:$2,0)-MATCH("temp_stage",[2]stages!$2:$2,0)+1),MATCH(F$1,[2]stages!$2:$2,0)-MATCH("temp_stage",[2]stages!$2:$2,0)+1,FALSE)</f>
        <v>[超級] 第3回　</v>
      </c>
      <c r="G60" s="84" t="str">
        <f ca="1">VLOOKUP($B60&amp;"_"&amp;$E60,OFFSET([2]stages!$A$1,0,0,COUNTA([2]stages!$A:$A),MATCH(G$1,[2]stages!$2:$2,0)-MATCH("temp_stage",[2]stages!$2:$2,0)+1),MATCH(G$1,[2]stages!$2:$2,0)-MATCH("temp_stage",[2]stages!$2:$2,0)+1,FALSE)</f>
        <v>ランキング1</v>
      </c>
      <c r="H60" s="86">
        <v>1</v>
      </c>
      <c r="I60">
        <v>32</v>
      </c>
      <c r="J60" s="85" t="s">
        <v>199</v>
      </c>
      <c r="K60" s="95" t="str">
        <f>VLOOKUP(I60,[7]stage_hints!$A:$C,3,FALSE)</f>
        <v>敵の連続攻撃には</v>
      </c>
      <c r="L60" s="96" t="str">
        <f>VLOOKUP(I60,[7]stage_hints!$A:$D,4,FALSE)</f>
        <v>カウンタースキルを持つユニットがいれば_x000D_ダメージ回数分の反撃ができます</v>
      </c>
      <c r="M60" s="57" t="s">
        <v>213</v>
      </c>
    </row>
    <row r="61" spans="1:13">
      <c r="A61" s="82" t="s">
        <v>202</v>
      </c>
      <c r="B61" s="83">
        <v>60003</v>
      </c>
      <c r="C61" s="84" t="str">
        <f ca="1">VLOOKUP($B61,OFFSET([2]quests!$A$1,0,0,COUNTA([2]quests!$A:$A),MATCH(C$1,[2]quests!$1:$1,0)-MATCH($B$1,[2]quests!$1:$1,0)+1),MATCH(C$1,[2]quests!$1:$1,0)-MATCH($B$1,[2]quests!$1:$1,0)+1,FALSE)</f>
        <v>ヘンペルチャレンジ</v>
      </c>
      <c r="D61" s="84" t="str">
        <f ca="1">VLOOKUP($B61,OFFSET([2]quests!$A$1,0,0,COUNTA([2]quests!$A:$A),MATCH(D$1,[2]quests!$1:$1,0)-MATCH($B$1,[2]quests!$1:$1,0)+1),MATCH(D$1,[2]quests!$1:$1,0)-MATCH($B$1,[2]quests!$1:$1,0)+1,FALSE)</f>
        <v>ランキング1</v>
      </c>
      <c r="E61" s="88">
        <v>2</v>
      </c>
      <c r="F61" s="84" t="str">
        <f ca="1">VLOOKUP($B61&amp;"_"&amp;$E61,OFFSET([2]stages!$A$1,0,0,COUNTA([2]stages!$A:$A),MATCH(F$1,[2]stages!$2:$2,0)-MATCH("temp_stage",[2]stages!$2:$2,0)+1),MATCH(F$1,[2]stages!$2:$2,0)-MATCH("temp_stage",[2]stages!$2:$2,0)+1,FALSE)</f>
        <v>[超級] 第3回　</v>
      </c>
      <c r="G61" s="84" t="str">
        <f ca="1">VLOOKUP($B61&amp;"_"&amp;$E61,OFFSET([2]stages!$A$1,0,0,COUNTA([2]stages!$A:$A),MATCH(G$1,[2]stages!$2:$2,0)-MATCH("temp_stage",[2]stages!$2:$2,0)+1),MATCH(G$1,[2]stages!$2:$2,0)-MATCH("temp_stage",[2]stages!$2:$2,0)+1,FALSE)</f>
        <v>ランキング1</v>
      </c>
      <c r="H61" s="86">
        <v>1</v>
      </c>
      <c r="I61">
        <v>33</v>
      </c>
      <c r="J61" s="85" t="s">
        <v>199</v>
      </c>
      <c r="K61" s="95" t="str">
        <f>VLOOKUP(I61,[7]stage_hints!$A:$C,3,FALSE)</f>
        <v>敵のカウンター攻撃には</v>
      </c>
      <c r="L61" s="96" t="str">
        <f>VLOOKUP(I61,[7]stage_hints!$A:$D,4,FALSE)</f>
        <v>カウンターブレイクスキルを持っていれば_x000D_敵のカウンターを解除して攻撃ができます</v>
      </c>
      <c r="M61" s="57" t="s">
        <v>213</v>
      </c>
    </row>
    <row r="62" spans="1:13">
      <c r="A62" s="82" t="s">
        <v>202</v>
      </c>
      <c r="B62" s="83">
        <v>60003</v>
      </c>
      <c r="C62" s="84" t="str">
        <f ca="1">VLOOKUP($B62,OFFSET([2]quests!$A$1,0,0,COUNTA([2]quests!$A:$A),MATCH(C$1,[2]quests!$1:$1,0)-MATCH($B$1,[2]quests!$1:$1,0)+1),MATCH(C$1,[2]quests!$1:$1,0)-MATCH($B$1,[2]quests!$1:$1,0)+1,FALSE)</f>
        <v>ヘンペルチャレンジ</v>
      </c>
      <c r="D62" s="84" t="str">
        <f ca="1">VLOOKUP($B62,OFFSET([2]quests!$A$1,0,0,COUNTA([2]quests!$A:$A),MATCH(D$1,[2]quests!$1:$1,0)-MATCH($B$1,[2]quests!$1:$1,0)+1),MATCH(D$1,[2]quests!$1:$1,0)-MATCH($B$1,[2]quests!$1:$1,0)+1,FALSE)</f>
        <v>ランキング1</v>
      </c>
      <c r="E62" s="88">
        <v>2</v>
      </c>
      <c r="F62" s="84" t="str">
        <f ca="1">VLOOKUP($B62&amp;"_"&amp;$E62,OFFSET([2]stages!$A$1,0,0,COUNTA([2]stages!$A:$A),MATCH(F$1,[2]stages!$2:$2,0)-MATCH("temp_stage",[2]stages!$2:$2,0)+1),MATCH(F$1,[2]stages!$2:$2,0)-MATCH("temp_stage",[2]stages!$2:$2,0)+1,FALSE)</f>
        <v>[超級] 第3回　</v>
      </c>
      <c r="G62" s="84" t="str">
        <f ca="1">VLOOKUP($B62&amp;"_"&amp;$E62,OFFSET([2]stages!$A$1,0,0,COUNTA([2]stages!$A:$A),MATCH(G$1,[2]stages!$2:$2,0)-MATCH("temp_stage",[2]stages!$2:$2,0)+1),MATCH(G$1,[2]stages!$2:$2,0)-MATCH("temp_stage",[2]stages!$2:$2,0)+1,FALSE)</f>
        <v>ランキング1</v>
      </c>
      <c r="H62" s="86">
        <v>1</v>
      </c>
      <c r="I62">
        <v>34</v>
      </c>
      <c r="J62" s="85" t="s">
        <v>199</v>
      </c>
      <c r="K62" s="95" t="str">
        <f>VLOOKUP(I62,[7]stage_hints!$A:$C,3,FALSE)</f>
        <v>ステータスをスキルで下げられたら</v>
      </c>
      <c r="L62" s="96" t="str">
        <f>VLOOKUP(I62,[7]stage_hints!$A:$D,4,FALSE)</f>
        <v>ステータスダウンのスキルを受けたら_x000D_ステータスアップスキルで上書きしましょう</v>
      </c>
      <c r="M62" s="57" t="s">
        <v>213</v>
      </c>
    </row>
    <row r="63" spans="1:13">
      <c r="A63" s="82" t="s">
        <v>202</v>
      </c>
      <c r="B63" s="83">
        <v>60003</v>
      </c>
      <c r="C63" s="84" t="str">
        <f ca="1">VLOOKUP($B63,OFFSET([2]quests!$A$1,0,0,COUNTA([2]quests!$A:$A),MATCH(C$1,[2]quests!$1:$1,0)-MATCH($B$1,[2]quests!$1:$1,0)+1),MATCH(C$1,[2]quests!$1:$1,0)-MATCH($B$1,[2]quests!$1:$1,0)+1,FALSE)</f>
        <v>ヘンペルチャレンジ</v>
      </c>
      <c r="D63" s="84" t="str">
        <f ca="1">VLOOKUP($B63,OFFSET([2]quests!$A$1,0,0,COUNTA([2]quests!$A:$A),MATCH(D$1,[2]quests!$1:$1,0)-MATCH($B$1,[2]quests!$1:$1,0)+1),MATCH(D$1,[2]quests!$1:$1,0)-MATCH($B$1,[2]quests!$1:$1,0)+1,FALSE)</f>
        <v>ランキング1</v>
      </c>
      <c r="E63" s="88">
        <v>2</v>
      </c>
      <c r="F63" s="84" t="str">
        <f ca="1">VLOOKUP($B63&amp;"_"&amp;$E63,OFFSET([2]stages!$A$1,0,0,COUNTA([2]stages!$A:$A),MATCH(F$1,[2]stages!$2:$2,0)-MATCH("temp_stage",[2]stages!$2:$2,0)+1),MATCH(F$1,[2]stages!$2:$2,0)-MATCH("temp_stage",[2]stages!$2:$2,0)+1,FALSE)</f>
        <v>[超級] 第3回　</v>
      </c>
      <c r="G63" s="84" t="str">
        <f ca="1">VLOOKUP($B63&amp;"_"&amp;$E63,OFFSET([2]stages!$A$1,0,0,COUNTA([2]stages!$A:$A),MATCH(G$1,[2]stages!$2:$2,0)-MATCH("temp_stage",[2]stages!$2:$2,0)+1),MATCH(G$1,[2]stages!$2:$2,0)-MATCH("temp_stage",[2]stages!$2:$2,0)+1,FALSE)</f>
        <v>ランキング1</v>
      </c>
      <c r="H63" s="86">
        <v>1</v>
      </c>
      <c r="I63">
        <v>35</v>
      </c>
      <c r="J63" s="85" t="s">
        <v>199</v>
      </c>
      <c r="K63" s="95" t="str">
        <f>VLOOKUP(I63,[7]stage_hints!$A:$C,3,FALSE)</f>
        <v>敵のステータスがスキルで上がったら</v>
      </c>
      <c r="L63" s="96" t="str">
        <f>VLOOKUP(I63,[7]stage_hints!$A:$D,4,FALSE)</f>
        <v>敵のステータスがスキルでアップしたときは_x000D_ステータスダウンスキルで上書きしましょう</v>
      </c>
      <c r="M63" s="57" t="s">
        <v>213</v>
      </c>
    </row>
    <row r="64" spans="1:13">
      <c r="A64" s="82" t="s">
        <v>202</v>
      </c>
      <c r="B64" s="83">
        <v>60003</v>
      </c>
      <c r="C64" s="84" t="str">
        <f ca="1">VLOOKUP($B64,OFFSET([2]quests!$A$1,0,0,COUNTA([2]quests!$A:$A),MATCH(C$1,[2]quests!$1:$1,0)-MATCH($B$1,[2]quests!$1:$1,0)+1),MATCH(C$1,[2]quests!$1:$1,0)-MATCH($B$1,[2]quests!$1:$1,0)+1,FALSE)</f>
        <v>ヘンペルチャレンジ</v>
      </c>
      <c r="D64" s="84" t="str">
        <f ca="1">VLOOKUP($B64,OFFSET([2]quests!$A$1,0,0,COUNTA([2]quests!$A:$A),MATCH(D$1,[2]quests!$1:$1,0)-MATCH($B$1,[2]quests!$1:$1,0)+1),MATCH(D$1,[2]quests!$1:$1,0)-MATCH($B$1,[2]quests!$1:$1,0)+1,FALSE)</f>
        <v>ランキング1</v>
      </c>
      <c r="E64" s="88">
        <v>2</v>
      </c>
      <c r="F64" s="84" t="str">
        <f ca="1">VLOOKUP($B64&amp;"_"&amp;$E64,OFFSET([2]stages!$A$1,0,0,COUNTA([2]stages!$A:$A),MATCH(F$1,[2]stages!$2:$2,0)-MATCH("temp_stage",[2]stages!$2:$2,0)+1),MATCH(F$1,[2]stages!$2:$2,0)-MATCH("temp_stage",[2]stages!$2:$2,0)+1,FALSE)</f>
        <v>[超級] 第3回　</v>
      </c>
      <c r="G64" s="84" t="str">
        <f ca="1">VLOOKUP($B64&amp;"_"&amp;$E64,OFFSET([2]stages!$A$1,0,0,COUNTA([2]stages!$A:$A),MATCH(G$1,[2]stages!$2:$2,0)-MATCH("temp_stage",[2]stages!$2:$2,0)+1),MATCH(G$1,[2]stages!$2:$2,0)-MATCH("temp_stage",[2]stages!$2:$2,0)+1,FALSE)</f>
        <v>ランキング1</v>
      </c>
      <c r="H64" s="86">
        <v>1</v>
      </c>
      <c r="I64">
        <v>36</v>
      </c>
      <c r="J64" s="85" t="s">
        <v>199</v>
      </c>
      <c r="K64" s="95" t="str">
        <f>VLOOKUP(I64,[7]stage_hints!$A:$C,3,FALSE)</f>
        <v>チャレンジタワーのボス</v>
      </c>
      <c r="L64" s="96" t="str">
        <f>VLOOKUP(I64,[7]stage_hints!$A:$D,4,FALSE)</f>
        <v>チャレンジタワーでのみ登場するボスは_x000D_一定確率で獲得することができます</v>
      </c>
      <c r="M64" s="57" t="s">
        <v>213</v>
      </c>
    </row>
    <row r="65" spans="1:13">
      <c r="A65" s="82" t="s">
        <v>202</v>
      </c>
      <c r="B65" s="83">
        <v>60003</v>
      </c>
      <c r="C65" s="84" t="str">
        <f ca="1">VLOOKUP($B65,OFFSET([2]quests!$A$1,0,0,COUNTA([2]quests!$A:$A),MATCH(C$1,[2]quests!$1:$1,0)-MATCH($B$1,[2]quests!$1:$1,0)+1),MATCH(C$1,[2]quests!$1:$1,0)-MATCH($B$1,[2]quests!$1:$1,0)+1,FALSE)</f>
        <v>ヘンペルチャレンジ</v>
      </c>
      <c r="D65" s="84" t="str">
        <f ca="1">VLOOKUP($B65,OFFSET([2]quests!$A$1,0,0,COUNTA([2]quests!$A:$A),MATCH(D$1,[2]quests!$1:$1,0)-MATCH($B$1,[2]quests!$1:$1,0)+1),MATCH(D$1,[2]quests!$1:$1,0)-MATCH($B$1,[2]quests!$1:$1,0)+1,FALSE)</f>
        <v>ランキング1</v>
      </c>
      <c r="E65" s="88">
        <v>2</v>
      </c>
      <c r="F65" s="84" t="str">
        <f ca="1">VLOOKUP($B65&amp;"_"&amp;$E65,OFFSET([2]stages!$A$1,0,0,COUNTA([2]stages!$A:$A),MATCH(F$1,[2]stages!$2:$2,0)-MATCH("temp_stage",[2]stages!$2:$2,0)+1),MATCH(F$1,[2]stages!$2:$2,0)-MATCH("temp_stage",[2]stages!$2:$2,0)+1,FALSE)</f>
        <v>[超級] 第3回　</v>
      </c>
      <c r="G65" s="84" t="str">
        <f ca="1">VLOOKUP($B65&amp;"_"&amp;$E65,OFFSET([2]stages!$A$1,0,0,COUNTA([2]stages!$A:$A),MATCH(G$1,[2]stages!$2:$2,0)-MATCH("temp_stage",[2]stages!$2:$2,0)+1),MATCH(G$1,[2]stages!$2:$2,0)-MATCH("temp_stage",[2]stages!$2:$2,0)+1,FALSE)</f>
        <v>ランキング1</v>
      </c>
      <c r="H65" s="86">
        <v>1</v>
      </c>
      <c r="I65">
        <v>37</v>
      </c>
      <c r="J65" s="85" t="s">
        <v>199</v>
      </c>
      <c r="K65" s="95" t="str">
        <f>VLOOKUP(I65,[7]stage_hints!$A:$C,3,FALSE)</f>
        <v>限界突破値の引き継ぎ</v>
      </c>
      <c r="L65" s="96" t="str">
        <f>VLOOKUP(I65,[7]stage_hints!$A:$D,4,FALSE)</f>
        <v>同じユニットを強化で合成すると_x000D_限界突破値を引き継げます（覚醒前後も可）</v>
      </c>
      <c r="M65" s="57" t="s">
        <v>213</v>
      </c>
    </row>
    <row r="66" spans="1:13">
      <c r="A66" s="82" t="s">
        <v>202</v>
      </c>
      <c r="B66" s="83">
        <v>60003</v>
      </c>
      <c r="C66" s="84" t="str">
        <f ca="1">VLOOKUP($B66,OFFSET([2]quests!$A$1,0,0,COUNTA([2]quests!$A:$A),MATCH(C$1,[2]quests!$1:$1,0)-MATCH($B$1,[2]quests!$1:$1,0)+1),MATCH(C$1,[2]quests!$1:$1,0)-MATCH($B$1,[2]quests!$1:$1,0)+1,FALSE)</f>
        <v>ヘンペルチャレンジ</v>
      </c>
      <c r="D66" s="84" t="str">
        <f ca="1">VLOOKUP($B66,OFFSET([2]quests!$A$1,0,0,COUNTA([2]quests!$A:$A),MATCH(D$1,[2]quests!$1:$1,0)-MATCH($B$1,[2]quests!$1:$1,0)+1),MATCH(D$1,[2]quests!$1:$1,0)-MATCH($B$1,[2]quests!$1:$1,0)+1,FALSE)</f>
        <v>ランキング1</v>
      </c>
      <c r="E66" s="88">
        <v>2</v>
      </c>
      <c r="F66" s="84" t="str">
        <f ca="1">VLOOKUP($B66&amp;"_"&amp;$E66,OFFSET([2]stages!$A$1,0,0,COUNTA([2]stages!$A:$A),MATCH(F$1,[2]stages!$2:$2,0)-MATCH("temp_stage",[2]stages!$2:$2,0)+1),MATCH(F$1,[2]stages!$2:$2,0)-MATCH("temp_stage",[2]stages!$2:$2,0)+1,FALSE)</f>
        <v>[超級] 第3回　</v>
      </c>
      <c r="G66" s="84" t="str">
        <f ca="1">VLOOKUP($B66&amp;"_"&amp;$E66,OFFSET([2]stages!$A$1,0,0,COUNTA([2]stages!$A:$A),MATCH(G$1,[2]stages!$2:$2,0)-MATCH("temp_stage",[2]stages!$2:$2,0)+1),MATCH(G$1,[2]stages!$2:$2,0)-MATCH("temp_stage",[2]stages!$2:$2,0)+1,FALSE)</f>
        <v>ランキング1</v>
      </c>
      <c r="H66" s="86">
        <v>1</v>
      </c>
      <c r="I66">
        <v>39</v>
      </c>
      <c r="J66" s="85" t="s">
        <v>199</v>
      </c>
      <c r="K66" s="95" t="str">
        <f>VLOOKUP(I66,[7]stage_hints!$A:$C,3,FALSE)</f>
        <v>システム適合者を確認</v>
      </c>
      <c r="L66" s="96" t="str">
        <f>VLOOKUP(I66,[7]stage_hints!$A:$D,4,FALSE)</f>
        <v>ALICEが「アナタ」を呼んでいます</v>
      </c>
      <c r="M66" s="57" t="s">
        <v>213</v>
      </c>
    </row>
    <row r="67" spans="1:13">
      <c r="A67" s="82" t="s">
        <v>202</v>
      </c>
      <c r="B67" s="83">
        <v>60003</v>
      </c>
      <c r="C67" s="84" t="str">
        <f ca="1">VLOOKUP($B67,OFFSET([2]quests!$A$1,0,0,COUNTA([2]quests!$A:$A),MATCH(C$1,[2]quests!$1:$1,0)-MATCH($B$1,[2]quests!$1:$1,0)+1),MATCH(C$1,[2]quests!$1:$1,0)-MATCH($B$1,[2]quests!$1:$1,0)+1,FALSE)</f>
        <v>ヘンペルチャレンジ</v>
      </c>
      <c r="D67" s="84" t="str">
        <f ca="1">VLOOKUP($B67,OFFSET([2]quests!$A$1,0,0,COUNTA([2]quests!$A:$A),MATCH(D$1,[2]quests!$1:$1,0)-MATCH($B$1,[2]quests!$1:$1,0)+1),MATCH(D$1,[2]quests!$1:$1,0)-MATCH($B$1,[2]quests!$1:$1,0)+1,FALSE)</f>
        <v>ランキング1</v>
      </c>
      <c r="E67" s="88">
        <v>3</v>
      </c>
      <c r="F67" s="84" t="str">
        <f ca="1">VLOOKUP($B67&amp;"_"&amp;$E67,OFFSET([2]stages!$A$1,0,0,COUNTA([2]stages!$A:$A),MATCH(F$1,[2]stages!$2:$2,0)-MATCH("temp_stage",[2]stages!$2:$2,0)+1),MATCH(F$1,[2]stages!$2:$2,0)-MATCH("temp_stage",[2]stages!$2:$2,0)+1,FALSE)</f>
        <v>[ウィザード] 第3回　</v>
      </c>
      <c r="G67" s="84" t="str">
        <f ca="1">VLOOKUP($B67&amp;"_"&amp;$E67,OFFSET([2]stages!$A$1,0,0,COUNTA([2]stages!$A:$A),MATCH(G$1,[2]stages!$2:$2,0)-MATCH("temp_stage",[2]stages!$2:$2,0)+1),MATCH(G$1,[2]stages!$2:$2,0)-MATCH("temp_stage",[2]stages!$2:$2,0)+1,FALSE)</f>
        <v>ランキング1</v>
      </c>
      <c r="H67" s="86">
        <v>1</v>
      </c>
      <c r="I67">
        <v>12</v>
      </c>
      <c r="J67" s="85" t="s">
        <v>199</v>
      </c>
      <c r="K67" s="95" t="str">
        <f>VLOOKUP(I67,[7]stage_hints!$A:$C,3,FALSE)</f>
        <v>ユニットのお気に入り登録</v>
      </c>
      <c r="L67" s="96" t="str">
        <f>VLOOKUP(I67,[7]stage_hints!$A:$D,4,FALSE)</f>
        <v>大事なユニットを誤って消さないように_x000D_フォルダから「お気に入り登録」しましょう</v>
      </c>
      <c r="M67" s="57" t="s">
        <v>213</v>
      </c>
    </row>
    <row r="68" spans="1:13">
      <c r="A68" s="82" t="s">
        <v>202</v>
      </c>
      <c r="B68" s="83">
        <v>60003</v>
      </c>
      <c r="C68" s="84" t="str">
        <f ca="1">VLOOKUP($B68,OFFSET([2]quests!$A$1,0,0,COUNTA([2]quests!$A:$A),MATCH(C$1,[2]quests!$1:$1,0)-MATCH($B$1,[2]quests!$1:$1,0)+1),MATCH(C$1,[2]quests!$1:$1,0)-MATCH($B$1,[2]quests!$1:$1,0)+1,FALSE)</f>
        <v>ヘンペルチャレンジ</v>
      </c>
      <c r="D68" s="84" t="str">
        <f ca="1">VLOOKUP($B68,OFFSET([2]quests!$A$1,0,0,COUNTA([2]quests!$A:$A),MATCH(D$1,[2]quests!$1:$1,0)-MATCH($B$1,[2]quests!$1:$1,0)+1),MATCH(D$1,[2]quests!$1:$1,0)-MATCH($B$1,[2]quests!$1:$1,0)+1,FALSE)</f>
        <v>ランキング1</v>
      </c>
      <c r="E68" s="88">
        <v>3</v>
      </c>
      <c r="F68" s="84" t="str">
        <f ca="1">VLOOKUP($B68&amp;"_"&amp;$E68,OFFSET([2]stages!$A$1,0,0,COUNTA([2]stages!$A:$A),MATCH(F$1,[2]stages!$2:$2,0)-MATCH("temp_stage",[2]stages!$2:$2,0)+1),MATCH(F$1,[2]stages!$2:$2,0)-MATCH("temp_stage",[2]stages!$2:$2,0)+1,FALSE)</f>
        <v>[ウィザード] 第3回　</v>
      </c>
      <c r="G68" s="84" t="str">
        <f ca="1">VLOOKUP($B68&amp;"_"&amp;$E68,OFFSET([2]stages!$A$1,0,0,COUNTA([2]stages!$A:$A),MATCH(G$1,[2]stages!$2:$2,0)-MATCH("temp_stage",[2]stages!$2:$2,0)+1),MATCH(G$1,[2]stages!$2:$2,0)-MATCH("temp_stage",[2]stages!$2:$2,0)+1,FALSE)</f>
        <v>ランキング1</v>
      </c>
      <c r="H68" s="86">
        <v>1</v>
      </c>
      <c r="I68">
        <v>17</v>
      </c>
      <c r="J68" s="85" t="s">
        <v>199</v>
      </c>
      <c r="K68" s="95" t="str">
        <f>VLOOKUP(I68,[7]stage_hints!$A:$C,3,FALSE)</f>
        <v>リンクガチャ</v>
      </c>
      <c r="L68" s="96" t="str">
        <f>VLOOKUP(I68,[7]stage_hints!$A:$D,4,FALSE)</f>
        <v>無料のリンクガチャを回して_x000D_経験値素材や売却素材を獲得しましょう</v>
      </c>
      <c r="M68" s="57" t="s">
        <v>213</v>
      </c>
    </row>
    <row r="69" spans="1:13">
      <c r="A69" s="82" t="s">
        <v>202</v>
      </c>
      <c r="B69" s="83">
        <v>60003</v>
      </c>
      <c r="C69" s="84" t="str">
        <f ca="1">VLOOKUP($B69,OFFSET([2]quests!$A$1,0,0,COUNTA([2]quests!$A:$A),MATCH(C$1,[2]quests!$1:$1,0)-MATCH($B$1,[2]quests!$1:$1,0)+1),MATCH(C$1,[2]quests!$1:$1,0)-MATCH($B$1,[2]quests!$1:$1,0)+1,FALSE)</f>
        <v>ヘンペルチャレンジ</v>
      </c>
      <c r="D69" s="84" t="str">
        <f ca="1">VLOOKUP($B69,OFFSET([2]quests!$A$1,0,0,COUNTA([2]quests!$A:$A),MATCH(D$1,[2]quests!$1:$1,0)-MATCH($B$1,[2]quests!$1:$1,0)+1),MATCH(D$1,[2]quests!$1:$1,0)-MATCH($B$1,[2]quests!$1:$1,0)+1,FALSE)</f>
        <v>ランキング1</v>
      </c>
      <c r="E69" s="88">
        <v>3</v>
      </c>
      <c r="F69" s="84" t="str">
        <f ca="1">VLOOKUP($B69&amp;"_"&amp;$E69,OFFSET([2]stages!$A$1,0,0,COUNTA([2]stages!$A:$A),MATCH(F$1,[2]stages!$2:$2,0)-MATCH("temp_stage",[2]stages!$2:$2,0)+1),MATCH(F$1,[2]stages!$2:$2,0)-MATCH("temp_stage",[2]stages!$2:$2,0)+1,FALSE)</f>
        <v>[ウィザード] 第3回　</v>
      </c>
      <c r="G69" s="84" t="str">
        <f ca="1">VLOOKUP($B69&amp;"_"&amp;$E69,OFFSET([2]stages!$A$1,0,0,COUNTA([2]stages!$A:$A),MATCH(G$1,[2]stages!$2:$2,0)-MATCH("temp_stage",[2]stages!$2:$2,0)+1),MATCH(G$1,[2]stages!$2:$2,0)-MATCH("temp_stage",[2]stages!$2:$2,0)+1,FALSE)</f>
        <v>ランキング1</v>
      </c>
      <c r="H69" s="86">
        <v>1</v>
      </c>
      <c r="I69">
        <v>19</v>
      </c>
      <c r="J69" s="85" t="s">
        <v>199</v>
      </c>
      <c r="K69" s="95" t="str">
        <f>VLOOKUP(I69,[7]stage_hints!$A:$C,3,FALSE)</f>
        <v>ソロ専用チャレンジタワー</v>
      </c>
      <c r="L69" s="96" t="str">
        <f>VLOOKUP(I69,[7]stage_hints!$A:$D,4,FALSE)</f>
        <v>ソロ専用の「チャレンジタワー」では_x000D_各フロアごとにクリア報酬がもらえます</v>
      </c>
      <c r="M69" s="57" t="s">
        <v>213</v>
      </c>
    </row>
    <row r="70" spans="1:13">
      <c r="A70" s="82" t="s">
        <v>202</v>
      </c>
      <c r="B70" s="83">
        <v>60003</v>
      </c>
      <c r="C70" s="84" t="str">
        <f ca="1">VLOOKUP($B70,OFFSET([2]quests!$A$1,0,0,COUNTA([2]quests!$A:$A),MATCH(C$1,[2]quests!$1:$1,0)-MATCH($B$1,[2]quests!$1:$1,0)+1),MATCH(C$1,[2]quests!$1:$1,0)-MATCH($B$1,[2]quests!$1:$1,0)+1,FALSE)</f>
        <v>ヘンペルチャレンジ</v>
      </c>
      <c r="D70" s="84" t="str">
        <f ca="1">VLOOKUP($B70,OFFSET([2]quests!$A$1,0,0,COUNTA([2]quests!$A:$A),MATCH(D$1,[2]quests!$1:$1,0)-MATCH($B$1,[2]quests!$1:$1,0)+1),MATCH(D$1,[2]quests!$1:$1,0)-MATCH($B$1,[2]quests!$1:$1,0)+1,FALSE)</f>
        <v>ランキング1</v>
      </c>
      <c r="E70" s="88">
        <v>3</v>
      </c>
      <c r="F70" s="84" t="str">
        <f ca="1">VLOOKUP($B70&amp;"_"&amp;$E70,OFFSET([2]stages!$A$1,0,0,COUNTA([2]stages!$A:$A),MATCH(F$1,[2]stages!$2:$2,0)-MATCH("temp_stage",[2]stages!$2:$2,0)+1),MATCH(F$1,[2]stages!$2:$2,0)-MATCH("temp_stage",[2]stages!$2:$2,0)+1,FALSE)</f>
        <v>[ウィザード] 第3回　</v>
      </c>
      <c r="G70" s="84" t="str">
        <f ca="1">VLOOKUP($B70&amp;"_"&amp;$E70,OFFSET([2]stages!$A$1,0,0,COUNTA([2]stages!$A:$A),MATCH(G$1,[2]stages!$2:$2,0)-MATCH("temp_stage",[2]stages!$2:$2,0)+1),MATCH(G$1,[2]stages!$2:$2,0)-MATCH("temp_stage",[2]stages!$2:$2,0)+1,FALSE)</f>
        <v>ランキング1</v>
      </c>
      <c r="H70" s="86">
        <v>1</v>
      </c>
      <c r="I70">
        <v>21</v>
      </c>
      <c r="J70" s="85" t="s">
        <v>199</v>
      </c>
      <c r="K70" s="95" t="str">
        <f>VLOOKUP(I70,[7]stage_hints!$A:$C,3,FALSE)</f>
        <v>スキルを有効に</v>
      </c>
      <c r="L70" s="96" t="str">
        <f>VLOOKUP(I70,[7]stage_hints!$A:$D,4,FALSE)</f>
        <v>ターン経過でユニットのスキルが使えます_x000D_強力スキルでバトルを有利に進めましょう</v>
      </c>
      <c r="M70" s="57" t="s">
        <v>213</v>
      </c>
    </row>
    <row r="71" spans="1:13">
      <c r="A71" s="82" t="s">
        <v>202</v>
      </c>
      <c r="B71" s="83">
        <v>60003</v>
      </c>
      <c r="C71" s="84" t="str">
        <f ca="1">VLOOKUP($B71,OFFSET([2]quests!$A$1,0,0,COUNTA([2]quests!$A:$A),MATCH(C$1,[2]quests!$1:$1,0)-MATCH($B$1,[2]quests!$1:$1,0)+1),MATCH(C$1,[2]quests!$1:$1,0)-MATCH($B$1,[2]quests!$1:$1,0)+1,FALSE)</f>
        <v>ヘンペルチャレンジ</v>
      </c>
      <c r="D71" s="84" t="str">
        <f ca="1">VLOOKUP($B71,OFFSET([2]quests!$A$1,0,0,COUNTA([2]quests!$A:$A),MATCH(D$1,[2]quests!$1:$1,0)-MATCH($B$1,[2]quests!$1:$1,0)+1),MATCH(D$1,[2]quests!$1:$1,0)-MATCH($B$1,[2]quests!$1:$1,0)+1,FALSE)</f>
        <v>ランキング1</v>
      </c>
      <c r="E71" s="88">
        <v>3</v>
      </c>
      <c r="F71" s="84" t="str">
        <f ca="1">VLOOKUP($B71&amp;"_"&amp;$E71,OFFSET([2]stages!$A$1,0,0,COUNTA([2]stages!$A:$A),MATCH(F$1,[2]stages!$2:$2,0)-MATCH("temp_stage",[2]stages!$2:$2,0)+1),MATCH(F$1,[2]stages!$2:$2,0)-MATCH("temp_stage",[2]stages!$2:$2,0)+1,FALSE)</f>
        <v>[ウィザード] 第3回　</v>
      </c>
      <c r="G71" s="84" t="str">
        <f ca="1">VLOOKUP($B71&amp;"_"&amp;$E71,OFFSET([2]stages!$A$1,0,0,COUNTA([2]stages!$A:$A),MATCH(G$1,[2]stages!$2:$2,0)-MATCH("temp_stage",[2]stages!$2:$2,0)+1),MATCH(G$1,[2]stages!$2:$2,0)-MATCH("temp_stage",[2]stages!$2:$2,0)+1,FALSE)</f>
        <v>ランキング1</v>
      </c>
      <c r="H71" s="86">
        <v>1</v>
      </c>
      <c r="I71">
        <v>29</v>
      </c>
      <c r="J71" s="85" t="s">
        <v>199</v>
      </c>
      <c r="K71" s="95" t="str">
        <f>VLOOKUP(I71,[7]stage_hints!$A:$C,3,FALSE)</f>
        <v>「バグ」のメリット</v>
      </c>
      <c r="L71" s="96" t="str">
        <f>VLOOKUP(I71,[7]stage_hints!$A:$D,4,FALSE)</f>
        <v>ユニットの「バグ」を増やすと_x000D_報酬をもらえる確率がアップします</v>
      </c>
      <c r="M71" s="57" t="s">
        <v>213</v>
      </c>
    </row>
    <row r="72" spans="1:13">
      <c r="A72" s="82" t="s">
        <v>202</v>
      </c>
      <c r="B72" s="83">
        <v>60003</v>
      </c>
      <c r="C72" s="84" t="str">
        <f ca="1">VLOOKUP($B72,OFFSET([2]quests!$A$1,0,0,COUNTA([2]quests!$A:$A),MATCH(C$1,[2]quests!$1:$1,0)-MATCH($B$1,[2]quests!$1:$1,0)+1),MATCH(C$1,[2]quests!$1:$1,0)-MATCH($B$1,[2]quests!$1:$1,0)+1,FALSE)</f>
        <v>ヘンペルチャレンジ</v>
      </c>
      <c r="D72" s="84" t="str">
        <f ca="1">VLOOKUP($B72,OFFSET([2]quests!$A$1,0,0,COUNTA([2]quests!$A:$A),MATCH(D$1,[2]quests!$1:$1,0)-MATCH($B$1,[2]quests!$1:$1,0)+1),MATCH(D$1,[2]quests!$1:$1,0)-MATCH($B$1,[2]quests!$1:$1,0)+1,FALSE)</f>
        <v>ランキング1</v>
      </c>
      <c r="E72" s="88">
        <v>3</v>
      </c>
      <c r="F72" s="84" t="str">
        <f ca="1">VLOOKUP($B72&amp;"_"&amp;$E72,OFFSET([2]stages!$A$1,0,0,COUNTA([2]stages!$A:$A),MATCH(F$1,[2]stages!$2:$2,0)-MATCH("temp_stage",[2]stages!$2:$2,0)+1),MATCH(F$1,[2]stages!$2:$2,0)-MATCH("temp_stage",[2]stages!$2:$2,0)+1,FALSE)</f>
        <v>[ウィザード] 第3回　</v>
      </c>
      <c r="G72" s="84" t="str">
        <f ca="1">VLOOKUP($B72&amp;"_"&amp;$E72,OFFSET([2]stages!$A$1,0,0,COUNTA([2]stages!$A:$A),MATCH(G$1,[2]stages!$2:$2,0)-MATCH("temp_stage",[2]stages!$2:$2,0)+1),MATCH(G$1,[2]stages!$2:$2,0)-MATCH("temp_stage",[2]stages!$2:$2,0)+1,FALSE)</f>
        <v>ランキング1</v>
      </c>
      <c r="H72" s="86">
        <v>1</v>
      </c>
      <c r="I72">
        <v>30</v>
      </c>
      <c r="J72" s="85" t="s">
        <v>199</v>
      </c>
      <c r="K72" s="95" t="str">
        <f>VLOOKUP(I72,[7]stage_hints!$A:$C,3,FALSE)</f>
        <v>「バグ」の増やし方</v>
      </c>
      <c r="L72" s="96" t="str">
        <f>VLOOKUP(I72,[7]stage_hints!$A:$D,4,FALSE)</f>
        <v>同じユニット同士を強化で合成すると_x000D_「バグ」を増やすことができます</v>
      </c>
      <c r="M72" s="57" t="s">
        <v>213</v>
      </c>
    </row>
    <row r="73" spans="1:13">
      <c r="A73" s="82" t="s">
        <v>202</v>
      </c>
      <c r="B73" s="83">
        <v>60003</v>
      </c>
      <c r="C73" s="84" t="str">
        <f ca="1">VLOOKUP($B73,OFFSET([2]quests!$A$1,0,0,COUNTA([2]quests!$A:$A),MATCH(C$1,[2]quests!$1:$1,0)-MATCH($B$1,[2]quests!$1:$1,0)+1),MATCH(C$1,[2]quests!$1:$1,0)-MATCH($B$1,[2]quests!$1:$1,0)+1,FALSE)</f>
        <v>ヘンペルチャレンジ</v>
      </c>
      <c r="D73" s="84" t="str">
        <f ca="1">VLOOKUP($B73,OFFSET([2]quests!$A$1,0,0,COUNTA([2]quests!$A:$A),MATCH(D$1,[2]quests!$1:$1,0)-MATCH($B$1,[2]quests!$1:$1,0)+1),MATCH(D$1,[2]quests!$1:$1,0)-MATCH($B$1,[2]quests!$1:$1,0)+1,FALSE)</f>
        <v>ランキング1</v>
      </c>
      <c r="E73" s="88">
        <v>3</v>
      </c>
      <c r="F73" s="84" t="str">
        <f ca="1">VLOOKUP($B73&amp;"_"&amp;$E73,OFFSET([2]stages!$A$1,0,0,COUNTA([2]stages!$A:$A),MATCH(F$1,[2]stages!$2:$2,0)-MATCH("temp_stage",[2]stages!$2:$2,0)+1),MATCH(F$1,[2]stages!$2:$2,0)-MATCH("temp_stage",[2]stages!$2:$2,0)+1,FALSE)</f>
        <v>[ウィザード] 第3回　</v>
      </c>
      <c r="G73" s="84" t="str">
        <f ca="1">VLOOKUP($B73&amp;"_"&amp;$E73,OFFSET([2]stages!$A$1,0,0,COUNTA([2]stages!$A:$A),MATCH(G$1,[2]stages!$2:$2,0)-MATCH("temp_stage",[2]stages!$2:$2,0)+1),MATCH(G$1,[2]stages!$2:$2,0)-MATCH("temp_stage",[2]stages!$2:$2,0)+1,FALSE)</f>
        <v>ランキング1</v>
      </c>
      <c r="H73" s="86">
        <v>1</v>
      </c>
      <c r="I73">
        <v>32</v>
      </c>
      <c r="J73" s="85" t="s">
        <v>199</v>
      </c>
      <c r="K73" s="95" t="str">
        <f>VLOOKUP(I73,[7]stage_hints!$A:$C,3,FALSE)</f>
        <v>敵の連続攻撃には</v>
      </c>
      <c r="L73" s="96" t="str">
        <f>VLOOKUP(I73,[7]stage_hints!$A:$D,4,FALSE)</f>
        <v>カウンタースキルを持つユニットがいれば_x000D_ダメージ回数分の反撃ができます</v>
      </c>
      <c r="M73" s="57" t="s">
        <v>213</v>
      </c>
    </row>
    <row r="74" spans="1:13">
      <c r="A74" s="82" t="s">
        <v>202</v>
      </c>
      <c r="B74" s="83">
        <v>60003</v>
      </c>
      <c r="C74" s="84" t="str">
        <f ca="1">VLOOKUP($B74,OFFSET([2]quests!$A$1,0,0,COUNTA([2]quests!$A:$A),MATCH(C$1,[2]quests!$1:$1,0)-MATCH($B$1,[2]quests!$1:$1,0)+1),MATCH(C$1,[2]quests!$1:$1,0)-MATCH($B$1,[2]quests!$1:$1,0)+1,FALSE)</f>
        <v>ヘンペルチャレンジ</v>
      </c>
      <c r="D74" s="84" t="str">
        <f ca="1">VLOOKUP($B74,OFFSET([2]quests!$A$1,0,0,COUNTA([2]quests!$A:$A),MATCH(D$1,[2]quests!$1:$1,0)-MATCH($B$1,[2]quests!$1:$1,0)+1),MATCH(D$1,[2]quests!$1:$1,0)-MATCH($B$1,[2]quests!$1:$1,0)+1,FALSE)</f>
        <v>ランキング1</v>
      </c>
      <c r="E74" s="88">
        <v>3</v>
      </c>
      <c r="F74" s="84" t="str">
        <f ca="1">VLOOKUP($B74&amp;"_"&amp;$E74,OFFSET([2]stages!$A$1,0,0,COUNTA([2]stages!$A:$A),MATCH(F$1,[2]stages!$2:$2,0)-MATCH("temp_stage",[2]stages!$2:$2,0)+1),MATCH(F$1,[2]stages!$2:$2,0)-MATCH("temp_stage",[2]stages!$2:$2,0)+1,FALSE)</f>
        <v>[ウィザード] 第3回　</v>
      </c>
      <c r="G74" s="84" t="str">
        <f ca="1">VLOOKUP($B74&amp;"_"&amp;$E74,OFFSET([2]stages!$A$1,0,0,COUNTA([2]stages!$A:$A),MATCH(G$1,[2]stages!$2:$2,0)-MATCH("temp_stage",[2]stages!$2:$2,0)+1),MATCH(G$1,[2]stages!$2:$2,0)-MATCH("temp_stage",[2]stages!$2:$2,0)+1,FALSE)</f>
        <v>ランキング1</v>
      </c>
      <c r="H74" s="86">
        <v>1</v>
      </c>
      <c r="I74">
        <v>33</v>
      </c>
      <c r="J74" s="85" t="s">
        <v>199</v>
      </c>
      <c r="K74" s="95" t="str">
        <f>VLOOKUP(I74,[7]stage_hints!$A:$C,3,FALSE)</f>
        <v>敵のカウンター攻撃には</v>
      </c>
      <c r="L74" s="96" t="str">
        <f>VLOOKUP(I74,[7]stage_hints!$A:$D,4,FALSE)</f>
        <v>カウンターブレイクスキルを持っていれば_x000D_敵のカウンターを解除して攻撃ができます</v>
      </c>
      <c r="M74" s="57" t="s">
        <v>213</v>
      </c>
    </row>
    <row r="75" spans="1:13">
      <c r="A75" s="82" t="s">
        <v>202</v>
      </c>
      <c r="B75" s="83">
        <v>60003</v>
      </c>
      <c r="C75" s="84" t="str">
        <f ca="1">VLOOKUP($B75,OFFSET([2]quests!$A$1,0,0,COUNTA([2]quests!$A:$A),MATCH(C$1,[2]quests!$1:$1,0)-MATCH($B$1,[2]quests!$1:$1,0)+1),MATCH(C$1,[2]quests!$1:$1,0)-MATCH($B$1,[2]quests!$1:$1,0)+1,FALSE)</f>
        <v>ヘンペルチャレンジ</v>
      </c>
      <c r="D75" s="84" t="str">
        <f ca="1">VLOOKUP($B75,OFFSET([2]quests!$A$1,0,0,COUNTA([2]quests!$A:$A),MATCH(D$1,[2]quests!$1:$1,0)-MATCH($B$1,[2]quests!$1:$1,0)+1),MATCH(D$1,[2]quests!$1:$1,0)-MATCH($B$1,[2]quests!$1:$1,0)+1,FALSE)</f>
        <v>ランキング1</v>
      </c>
      <c r="E75" s="88">
        <v>3</v>
      </c>
      <c r="F75" s="84" t="str">
        <f ca="1">VLOOKUP($B75&amp;"_"&amp;$E75,OFFSET([2]stages!$A$1,0,0,COUNTA([2]stages!$A:$A),MATCH(F$1,[2]stages!$2:$2,0)-MATCH("temp_stage",[2]stages!$2:$2,0)+1),MATCH(F$1,[2]stages!$2:$2,0)-MATCH("temp_stage",[2]stages!$2:$2,0)+1,FALSE)</f>
        <v>[ウィザード] 第3回　</v>
      </c>
      <c r="G75" s="84" t="str">
        <f ca="1">VLOOKUP($B75&amp;"_"&amp;$E75,OFFSET([2]stages!$A$1,0,0,COUNTA([2]stages!$A:$A),MATCH(G$1,[2]stages!$2:$2,0)-MATCH("temp_stage",[2]stages!$2:$2,0)+1),MATCH(G$1,[2]stages!$2:$2,0)-MATCH("temp_stage",[2]stages!$2:$2,0)+1,FALSE)</f>
        <v>ランキング1</v>
      </c>
      <c r="H75" s="86">
        <v>1</v>
      </c>
      <c r="I75">
        <v>34</v>
      </c>
      <c r="J75" s="85" t="s">
        <v>199</v>
      </c>
      <c r="K75" s="95" t="str">
        <f>VLOOKUP(I75,[7]stage_hints!$A:$C,3,FALSE)</f>
        <v>ステータスをスキルで下げられたら</v>
      </c>
      <c r="L75" s="96" t="str">
        <f>VLOOKUP(I75,[7]stage_hints!$A:$D,4,FALSE)</f>
        <v>ステータスダウンのスキルを受けたら_x000D_ステータスアップスキルで上書きしましょう</v>
      </c>
      <c r="M75" s="57" t="s">
        <v>213</v>
      </c>
    </row>
    <row r="76" spans="1:13">
      <c r="A76" s="82" t="s">
        <v>202</v>
      </c>
      <c r="B76" s="83">
        <v>60003</v>
      </c>
      <c r="C76" s="84" t="str">
        <f ca="1">VLOOKUP($B76,OFFSET([2]quests!$A$1,0,0,COUNTA([2]quests!$A:$A),MATCH(C$1,[2]quests!$1:$1,0)-MATCH($B$1,[2]quests!$1:$1,0)+1),MATCH(C$1,[2]quests!$1:$1,0)-MATCH($B$1,[2]quests!$1:$1,0)+1,FALSE)</f>
        <v>ヘンペルチャレンジ</v>
      </c>
      <c r="D76" s="84" t="str">
        <f ca="1">VLOOKUP($B76,OFFSET([2]quests!$A$1,0,0,COUNTA([2]quests!$A:$A),MATCH(D$1,[2]quests!$1:$1,0)-MATCH($B$1,[2]quests!$1:$1,0)+1),MATCH(D$1,[2]quests!$1:$1,0)-MATCH($B$1,[2]quests!$1:$1,0)+1,FALSE)</f>
        <v>ランキング1</v>
      </c>
      <c r="E76" s="88">
        <v>3</v>
      </c>
      <c r="F76" s="84" t="str">
        <f ca="1">VLOOKUP($B76&amp;"_"&amp;$E76,OFFSET([2]stages!$A$1,0,0,COUNTA([2]stages!$A:$A),MATCH(F$1,[2]stages!$2:$2,0)-MATCH("temp_stage",[2]stages!$2:$2,0)+1),MATCH(F$1,[2]stages!$2:$2,0)-MATCH("temp_stage",[2]stages!$2:$2,0)+1,FALSE)</f>
        <v>[ウィザード] 第3回　</v>
      </c>
      <c r="G76" s="84" t="str">
        <f ca="1">VLOOKUP($B76&amp;"_"&amp;$E76,OFFSET([2]stages!$A$1,0,0,COUNTA([2]stages!$A:$A),MATCH(G$1,[2]stages!$2:$2,0)-MATCH("temp_stage",[2]stages!$2:$2,0)+1),MATCH(G$1,[2]stages!$2:$2,0)-MATCH("temp_stage",[2]stages!$2:$2,0)+1,FALSE)</f>
        <v>ランキング1</v>
      </c>
      <c r="H76" s="86">
        <v>1</v>
      </c>
      <c r="I76">
        <v>35</v>
      </c>
      <c r="J76" s="85" t="s">
        <v>199</v>
      </c>
      <c r="K76" s="95" t="str">
        <f>VLOOKUP(I76,[7]stage_hints!$A:$C,3,FALSE)</f>
        <v>敵のステータスがスキルで上がったら</v>
      </c>
      <c r="L76" s="96" t="str">
        <f>VLOOKUP(I76,[7]stage_hints!$A:$D,4,FALSE)</f>
        <v>敵のステータスがスキルでアップしたときは_x000D_ステータスダウンスキルで上書きしましょう</v>
      </c>
      <c r="M76" s="57" t="s">
        <v>213</v>
      </c>
    </row>
    <row r="77" spans="1:13">
      <c r="A77" s="82" t="s">
        <v>202</v>
      </c>
      <c r="B77" s="83">
        <v>60003</v>
      </c>
      <c r="C77" s="84" t="str">
        <f ca="1">VLOOKUP($B77,OFFSET([2]quests!$A$1,0,0,COUNTA([2]quests!$A:$A),MATCH(C$1,[2]quests!$1:$1,0)-MATCH($B$1,[2]quests!$1:$1,0)+1),MATCH(C$1,[2]quests!$1:$1,0)-MATCH($B$1,[2]quests!$1:$1,0)+1,FALSE)</f>
        <v>ヘンペルチャレンジ</v>
      </c>
      <c r="D77" s="84" t="str">
        <f ca="1">VLOOKUP($B77,OFFSET([2]quests!$A$1,0,0,COUNTA([2]quests!$A:$A),MATCH(D$1,[2]quests!$1:$1,0)-MATCH($B$1,[2]quests!$1:$1,0)+1),MATCH(D$1,[2]quests!$1:$1,0)-MATCH($B$1,[2]quests!$1:$1,0)+1,FALSE)</f>
        <v>ランキング1</v>
      </c>
      <c r="E77" s="88">
        <v>3</v>
      </c>
      <c r="F77" s="84" t="str">
        <f ca="1">VLOOKUP($B77&amp;"_"&amp;$E77,OFFSET([2]stages!$A$1,0,0,COUNTA([2]stages!$A:$A),MATCH(F$1,[2]stages!$2:$2,0)-MATCH("temp_stage",[2]stages!$2:$2,0)+1),MATCH(F$1,[2]stages!$2:$2,0)-MATCH("temp_stage",[2]stages!$2:$2,0)+1,FALSE)</f>
        <v>[ウィザード] 第3回　</v>
      </c>
      <c r="G77" s="84" t="str">
        <f ca="1">VLOOKUP($B77&amp;"_"&amp;$E77,OFFSET([2]stages!$A$1,0,0,COUNTA([2]stages!$A:$A),MATCH(G$1,[2]stages!$2:$2,0)-MATCH("temp_stage",[2]stages!$2:$2,0)+1),MATCH(G$1,[2]stages!$2:$2,0)-MATCH("temp_stage",[2]stages!$2:$2,0)+1,FALSE)</f>
        <v>ランキング1</v>
      </c>
      <c r="H77" s="86">
        <v>1</v>
      </c>
      <c r="I77">
        <v>36</v>
      </c>
      <c r="J77" s="85" t="s">
        <v>199</v>
      </c>
      <c r="K77" s="95" t="str">
        <f>VLOOKUP(I77,[7]stage_hints!$A:$C,3,FALSE)</f>
        <v>チャレンジタワーのボス</v>
      </c>
      <c r="L77" s="96" t="str">
        <f>VLOOKUP(I77,[7]stage_hints!$A:$D,4,FALSE)</f>
        <v>チャレンジタワーでのみ登場するボスは_x000D_一定確率で獲得することができます</v>
      </c>
      <c r="M77" s="57" t="s">
        <v>213</v>
      </c>
    </row>
    <row r="78" spans="1:13">
      <c r="A78" s="82" t="s">
        <v>202</v>
      </c>
      <c r="B78" s="83">
        <v>60003</v>
      </c>
      <c r="C78" s="84" t="str">
        <f ca="1">VLOOKUP($B78,OFFSET([2]quests!$A$1,0,0,COUNTA([2]quests!$A:$A),MATCH(C$1,[2]quests!$1:$1,0)-MATCH($B$1,[2]quests!$1:$1,0)+1),MATCH(C$1,[2]quests!$1:$1,0)-MATCH($B$1,[2]quests!$1:$1,0)+1,FALSE)</f>
        <v>ヘンペルチャレンジ</v>
      </c>
      <c r="D78" s="84" t="str">
        <f ca="1">VLOOKUP($B78,OFFSET([2]quests!$A$1,0,0,COUNTA([2]quests!$A:$A),MATCH(D$1,[2]quests!$1:$1,0)-MATCH($B$1,[2]quests!$1:$1,0)+1),MATCH(D$1,[2]quests!$1:$1,0)-MATCH($B$1,[2]quests!$1:$1,0)+1,FALSE)</f>
        <v>ランキング1</v>
      </c>
      <c r="E78" s="88">
        <v>3</v>
      </c>
      <c r="F78" s="84" t="str">
        <f ca="1">VLOOKUP($B78&amp;"_"&amp;$E78,OFFSET([2]stages!$A$1,0,0,COUNTA([2]stages!$A:$A),MATCH(F$1,[2]stages!$2:$2,0)-MATCH("temp_stage",[2]stages!$2:$2,0)+1),MATCH(F$1,[2]stages!$2:$2,0)-MATCH("temp_stage",[2]stages!$2:$2,0)+1,FALSE)</f>
        <v>[ウィザード] 第3回　</v>
      </c>
      <c r="G78" s="84" t="str">
        <f ca="1">VLOOKUP($B78&amp;"_"&amp;$E78,OFFSET([2]stages!$A$1,0,0,COUNTA([2]stages!$A:$A),MATCH(G$1,[2]stages!$2:$2,0)-MATCH("temp_stage",[2]stages!$2:$2,0)+1),MATCH(G$1,[2]stages!$2:$2,0)-MATCH("temp_stage",[2]stages!$2:$2,0)+1,FALSE)</f>
        <v>ランキング1</v>
      </c>
      <c r="H78" s="86">
        <v>1</v>
      </c>
      <c r="I78">
        <v>37</v>
      </c>
      <c r="J78" s="85" t="s">
        <v>199</v>
      </c>
      <c r="K78" s="95" t="str">
        <f>VLOOKUP(I78,[7]stage_hints!$A:$C,3,FALSE)</f>
        <v>限界突破値の引き継ぎ</v>
      </c>
      <c r="L78" s="96" t="str">
        <f>VLOOKUP(I78,[7]stage_hints!$A:$D,4,FALSE)</f>
        <v>同じユニットを強化で合成すると_x000D_限界突破値を引き継げます（覚醒前後も可）</v>
      </c>
      <c r="M78" s="57" t="s">
        <v>213</v>
      </c>
    </row>
    <row r="79" spans="1:13">
      <c r="A79" s="82" t="s">
        <v>202</v>
      </c>
      <c r="B79" s="83">
        <v>60003</v>
      </c>
      <c r="C79" s="84" t="str">
        <f ca="1">VLOOKUP($B79,OFFSET([2]quests!$A$1,0,0,COUNTA([2]quests!$A:$A),MATCH(C$1,[2]quests!$1:$1,0)-MATCH($B$1,[2]quests!$1:$1,0)+1),MATCH(C$1,[2]quests!$1:$1,0)-MATCH($B$1,[2]quests!$1:$1,0)+1,FALSE)</f>
        <v>ヘンペルチャレンジ</v>
      </c>
      <c r="D79" s="84" t="str">
        <f ca="1">VLOOKUP($B79,OFFSET([2]quests!$A$1,0,0,COUNTA([2]quests!$A:$A),MATCH(D$1,[2]quests!$1:$1,0)-MATCH($B$1,[2]quests!$1:$1,0)+1),MATCH(D$1,[2]quests!$1:$1,0)-MATCH($B$1,[2]quests!$1:$1,0)+1,FALSE)</f>
        <v>ランキング1</v>
      </c>
      <c r="E79" s="88">
        <v>3</v>
      </c>
      <c r="F79" s="84" t="str">
        <f ca="1">VLOOKUP($B79&amp;"_"&amp;$E79,OFFSET([2]stages!$A$1,0,0,COUNTA([2]stages!$A:$A),MATCH(F$1,[2]stages!$2:$2,0)-MATCH("temp_stage",[2]stages!$2:$2,0)+1),MATCH(F$1,[2]stages!$2:$2,0)-MATCH("temp_stage",[2]stages!$2:$2,0)+1,FALSE)</f>
        <v>[ウィザード] 第3回　</v>
      </c>
      <c r="G79" s="84" t="str">
        <f ca="1">VLOOKUP($B79&amp;"_"&amp;$E79,OFFSET([2]stages!$A$1,0,0,COUNTA([2]stages!$A:$A),MATCH(G$1,[2]stages!$2:$2,0)-MATCH("temp_stage",[2]stages!$2:$2,0)+1),MATCH(G$1,[2]stages!$2:$2,0)-MATCH("temp_stage",[2]stages!$2:$2,0)+1,FALSE)</f>
        <v>ランキング1</v>
      </c>
      <c r="H79" s="86">
        <v>1</v>
      </c>
      <c r="I79">
        <v>39</v>
      </c>
      <c r="J79" s="85" t="s">
        <v>199</v>
      </c>
      <c r="K79" s="95" t="str">
        <f>VLOOKUP(I79,[7]stage_hints!$A:$C,3,FALSE)</f>
        <v>システム適合者を確認</v>
      </c>
      <c r="L79" s="96" t="str">
        <f>VLOOKUP(I79,[7]stage_hints!$A:$D,4,FALSE)</f>
        <v>ALICEが「アナタ」を呼んでいます</v>
      </c>
      <c r="M79" s="57" t="s">
        <v>213</v>
      </c>
    </row>
    <row r="80" spans="1:13">
      <c r="A80" s="82" t="s">
        <v>202</v>
      </c>
      <c r="B80" s="83">
        <v>60004</v>
      </c>
      <c r="C80" s="84" t="str">
        <f ca="1">VLOOKUP($B80,OFFSET([2]quests!$A$1,0,0,COUNTA([2]quests!$A:$A),MATCH(C$1,[2]quests!$1:$1,0)-MATCH($B$1,[2]quests!$1:$1,0)+1),MATCH(C$1,[2]quests!$1:$1,0)-MATCH($B$1,[2]quests!$1:$1,0)+1,FALSE)</f>
        <v>ヘンペルチャレンジ</v>
      </c>
      <c r="D80" s="84" t="str">
        <f ca="1">VLOOKUP($B80,OFFSET([2]quests!$A$1,0,0,COUNTA([2]quests!$A:$A),MATCH(D$1,[2]quests!$1:$1,0)-MATCH($B$1,[2]quests!$1:$1,0)+1),MATCH(D$1,[2]quests!$1:$1,0)-MATCH($B$1,[2]quests!$1:$1,0)+1,FALSE)</f>
        <v>ランキング1</v>
      </c>
      <c r="E80" s="88">
        <v>1</v>
      </c>
      <c r="F80" s="84" t="str">
        <f ca="1">VLOOKUP($B80&amp;"_"&amp;$E80,OFFSET([2]stages!$A$1,0,0,COUNTA([2]stages!$A:$A),MATCH(F$1,[2]stages!$2:$2,0)-MATCH("temp_stage",[2]stages!$2:$2,0)+1),MATCH(F$1,[2]stages!$2:$2,0)-MATCH("temp_stage",[2]stages!$2:$2,0)+1,FALSE)</f>
        <v>[ウィザード] 第4回　</v>
      </c>
      <c r="G80" s="84" t="str">
        <f ca="1">VLOOKUP($B80&amp;"_"&amp;$E80,OFFSET([2]stages!$A$1,0,0,COUNTA([2]stages!$A:$A),MATCH(G$1,[2]stages!$2:$2,0)-MATCH("temp_stage",[2]stages!$2:$2,0)+1),MATCH(G$1,[2]stages!$2:$2,0)-MATCH("temp_stage",[2]stages!$2:$2,0)+1,FALSE)</f>
        <v>ランキング1</v>
      </c>
      <c r="H80" s="86">
        <v>1</v>
      </c>
      <c r="I80">
        <v>12</v>
      </c>
      <c r="J80" s="85" t="s">
        <v>199</v>
      </c>
      <c r="K80" s="95" t="str">
        <f>VLOOKUP(I80,[7]stage_hints!$A:$C,3,FALSE)</f>
        <v>ユニットのお気に入り登録</v>
      </c>
      <c r="L80" s="96" t="str">
        <f>VLOOKUP(I80,[7]stage_hints!$A:$D,4,FALSE)</f>
        <v>大事なユニットを誤って消さないように_x000D_フォルダから「お気に入り登録」しましょう</v>
      </c>
      <c r="M80" s="57" t="s">
        <v>213</v>
      </c>
    </row>
    <row r="81" spans="1:13">
      <c r="A81" s="82" t="s">
        <v>202</v>
      </c>
      <c r="B81" s="83">
        <v>60004</v>
      </c>
      <c r="C81" s="84" t="str">
        <f ca="1">VLOOKUP($B81,OFFSET([2]quests!$A$1,0,0,COUNTA([2]quests!$A:$A),MATCH(C$1,[2]quests!$1:$1,0)-MATCH($B$1,[2]quests!$1:$1,0)+1),MATCH(C$1,[2]quests!$1:$1,0)-MATCH($B$1,[2]quests!$1:$1,0)+1,FALSE)</f>
        <v>ヘンペルチャレンジ</v>
      </c>
      <c r="D81" s="84" t="str">
        <f ca="1">VLOOKUP($B81,OFFSET([2]quests!$A$1,0,0,COUNTA([2]quests!$A:$A),MATCH(D$1,[2]quests!$1:$1,0)-MATCH($B$1,[2]quests!$1:$1,0)+1),MATCH(D$1,[2]quests!$1:$1,0)-MATCH($B$1,[2]quests!$1:$1,0)+1,FALSE)</f>
        <v>ランキング1</v>
      </c>
      <c r="E81" s="88">
        <v>1</v>
      </c>
      <c r="F81" s="84" t="str">
        <f ca="1">VLOOKUP($B81&amp;"_"&amp;$E81,OFFSET([2]stages!$A$1,0,0,COUNTA([2]stages!$A:$A),MATCH(F$1,[2]stages!$2:$2,0)-MATCH("temp_stage",[2]stages!$2:$2,0)+1),MATCH(F$1,[2]stages!$2:$2,0)-MATCH("temp_stage",[2]stages!$2:$2,0)+1,FALSE)</f>
        <v>[ウィザード] 第4回　</v>
      </c>
      <c r="G81" s="84" t="str">
        <f ca="1">VLOOKUP($B81&amp;"_"&amp;$E81,OFFSET([2]stages!$A$1,0,0,COUNTA([2]stages!$A:$A),MATCH(G$1,[2]stages!$2:$2,0)-MATCH("temp_stage",[2]stages!$2:$2,0)+1),MATCH(G$1,[2]stages!$2:$2,0)-MATCH("temp_stage",[2]stages!$2:$2,0)+1,FALSE)</f>
        <v>ランキング1</v>
      </c>
      <c r="H81" s="86">
        <v>1</v>
      </c>
      <c r="I81">
        <v>17</v>
      </c>
      <c r="J81" s="85" t="s">
        <v>199</v>
      </c>
      <c r="K81" s="95" t="str">
        <f>VLOOKUP(I81,[7]stage_hints!$A:$C,3,FALSE)</f>
        <v>リンクガチャ</v>
      </c>
      <c r="L81" s="96" t="str">
        <f>VLOOKUP(I81,[7]stage_hints!$A:$D,4,FALSE)</f>
        <v>無料のリンクガチャを回して_x000D_経験値素材や売却素材を獲得しましょう</v>
      </c>
      <c r="M81" s="57" t="s">
        <v>213</v>
      </c>
    </row>
    <row r="82" spans="1:13">
      <c r="A82" s="82" t="s">
        <v>202</v>
      </c>
      <c r="B82" s="83">
        <v>60004</v>
      </c>
      <c r="C82" s="84" t="str">
        <f ca="1">VLOOKUP($B82,OFFSET([2]quests!$A$1,0,0,COUNTA([2]quests!$A:$A),MATCH(C$1,[2]quests!$1:$1,0)-MATCH($B$1,[2]quests!$1:$1,0)+1),MATCH(C$1,[2]quests!$1:$1,0)-MATCH($B$1,[2]quests!$1:$1,0)+1,FALSE)</f>
        <v>ヘンペルチャレンジ</v>
      </c>
      <c r="D82" s="84" t="str">
        <f ca="1">VLOOKUP($B82,OFFSET([2]quests!$A$1,0,0,COUNTA([2]quests!$A:$A),MATCH(D$1,[2]quests!$1:$1,0)-MATCH($B$1,[2]quests!$1:$1,0)+1),MATCH(D$1,[2]quests!$1:$1,0)-MATCH($B$1,[2]quests!$1:$1,0)+1,FALSE)</f>
        <v>ランキング1</v>
      </c>
      <c r="E82" s="88">
        <v>1</v>
      </c>
      <c r="F82" s="84" t="str">
        <f ca="1">VLOOKUP($B82&amp;"_"&amp;$E82,OFFSET([2]stages!$A$1,0,0,COUNTA([2]stages!$A:$A),MATCH(F$1,[2]stages!$2:$2,0)-MATCH("temp_stage",[2]stages!$2:$2,0)+1),MATCH(F$1,[2]stages!$2:$2,0)-MATCH("temp_stage",[2]stages!$2:$2,0)+1,FALSE)</f>
        <v>[ウィザード] 第4回　</v>
      </c>
      <c r="G82" s="84" t="str">
        <f ca="1">VLOOKUP($B82&amp;"_"&amp;$E82,OFFSET([2]stages!$A$1,0,0,COUNTA([2]stages!$A:$A),MATCH(G$1,[2]stages!$2:$2,0)-MATCH("temp_stage",[2]stages!$2:$2,0)+1),MATCH(G$1,[2]stages!$2:$2,0)-MATCH("temp_stage",[2]stages!$2:$2,0)+1,FALSE)</f>
        <v>ランキング1</v>
      </c>
      <c r="H82" s="86">
        <v>1</v>
      </c>
      <c r="I82">
        <v>19</v>
      </c>
      <c r="J82" s="85" t="s">
        <v>199</v>
      </c>
      <c r="K82" s="95" t="str">
        <f>VLOOKUP(I82,[7]stage_hints!$A:$C,3,FALSE)</f>
        <v>ソロ専用チャレンジタワー</v>
      </c>
      <c r="L82" s="96" t="str">
        <f>VLOOKUP(I82,[7]stage_hints!$A:$D,4,FALSE)</f>
        <v>ソロ専用の「チャレンジタワー」では_x000D_各フロアごとにクリア報酬がもらえます</v>
      </c>
      <c r="M82" s="57" t="s">
        <v>213</v>
      </c>
    </row>
    <row r="83" spans="1:13">
      <c r="A83" s="82" t="s">
        <v>202</v>
      </c>
      <c r="B83" s="83">
        <v>60004</v>
      </c>
      <c r="C83" s="84" t="str">
        <f ca="1">VLOOKUP($B83,OFFSET([2]quests!$A$1,0,0,COUNTA([2]quests!$A:$A),MATCH(C$1,[2]quests!$1:$1,0)-MATCH($B$1,[2]quests!$1:$1,0)+1),MATCH(C$1,[2]quests!$1:$1,0)-MATCH($B$1,[2]quests!$1:$1,0)+1,FALSE)</f>
        <v>ヘンペルチャレンジ</v>
      </c>
      <c r="D83" s="84" t="str">
        <f ca="1">VLOOKUP($B83,OFFSET([2]quests!$A$1,0,0,COUNTA([2]quests!$A:$A),MATCH(D$1,[2]quests!$1:$1,0)-MATCH($B$1,[2]quests!$1:$1,0)+1),MATCH(D$1,[2]quests!$1:$1,0)-MATCH($B$1,[2]quests!$1:$1,0)+1,FALSE)</f>
        <v>ランキング1</v>
      </c>
      <c r="E83" s="88">
        <v>1</v>
      </c>
      <c r="F83" s="84" t="str">
        <f ca="1">VLOOKUP($B83&amp;"_"&amp;$E83,OFFSET([2]stages!$A$1,0,0,COUNTA([2]stages!$A:$A),MATCH(F$1,[2]stages!$2:$2,0)-MATCH("temp_stage",[2]stages!$2:$2,0)+1),MATCH(F$1,[2]stages!$2:$2,0)-MATCH("temp_stage",[2]stages!$2:$2,0)+1,FALSE)</f>
        <v>[ウィザード] 第4回　</v>
      </c>
      <c r="G83" s="84" t="str">
        <f ca="1">VLOOKUP($B83&amp;"_"&amp;$E83,OFFSET([2]stages!$A$1,0,0,COUNTA([2]stages!$A:$A),MATCH(G$1,[2]stages!$2:$2,0)-MATCH("temp_stage",[2]stages!$2:$2,0)+1),MATCH(G$1,[2]stages!$2:$2,0)-MATCH("temp_stage",[2]stages!$2:$2,0)+1,FALSE)</f>
        <v>ランキング1</v>
      </c>
      <c r="H83" s="86">
        <v>1</v>
      </c>
      <c r="I83">
        <v>21</v>
      </c>
      <c r="J83" s="85" t="s">
        <v>199</v>
      </c>
      <c r="K83" s="95" t="str">
        <f>VLOOKUP(I83,[7]stage_hints!$A:$C,3,FALSE)</f>
        <v>スキルを有効に</v>
      </c>
      <c r="L83" s="96" t="str">
        <f>VLOOKUP(I83,[7]stage_hints!$A:$D,4,FALSE)</f>
        <v>ターン経過でユニットのスキルが使えます_x000D_強力スキルでバトルを有利に進めましょう</v>
      </c>
      <c r="M83" s="57" t="s">
        <v>213</v>
      </c>
    </row>
    <row r="84" spans="1:13">
      <c r="A84" s="82" t="s">
        <v>202</v>
      </c>
      <c r="B84" s="83">
        <v>60004</v>
      </c>
      <c r="C84" s="84" t="str">
        <f ca="1">VLOOKUP($B84,OFFSET([2]quests!$A$1,0,0,COUNTA([2]quests!$A:$A),MATCH(C$1,[2]quests!$1:$1,0)-MATCH($B$1,[2]quests!$1:$1,0)+1),MATCH(C$1,[2]quests!$1:$1,0)-MATCH($B$1,[2]quests!$1:$1,0)+1,FALSE)</f>
        <v>ヘンペルチャレンジ</v>
      </c>
      <c r="D84" s="84" t="str">
        <f ca="1">VLOOKUP($B84,OFFSET([2]quests!$A$1,0,0,COUNTA([2]quests!$A:$A),MATCH(D$1,[2]quests!$1:$1,0)-MATCH($B$1,[2]quests!$1:$1,0)+1),MATCH(D$1,[2]quests!$1:$1,0)-MATCH($B$1,[2]quests!$1:$1,0)+1,FALSE)</f>
        <v>ランキング1</v>
      </c>
      <c r="E84" s="88">
        <v>1</v>
      </c>
      <c r="F84" s="84" t="str">
        <f ca="1">VLOOKUP($B84&amp;"_"&amp;$E84,OFFSET([2]stages!$A$1,0,0,COUNTA([2]stages!$A:$A),MATCH(F$1,[2]stages!$2:$2,0)-MATCH("temp_stage",[2]stages!$2:$2,0)+1),MATCH(F$1,[2]stages!$2:$2,0)-MATCH("temp_stage",[2]stages!$2:$2,0)+1,FALSE)</f>
        <v>[ウィザード] 第4回　</v>
      </c>
      <c r="G84" s="84" t="str">
        <f ca="1">VLOOKUP($B84&amp;"_"&amp;$E84,OFFSET([2]stages!$A$1,0,0,COUNTA([2]stages!$A:$A),MATCH(G$1,[2]stages!$2:$2,0)-MATCH("temp_stage",[2]stages!$2:$2,0)+1),MATCH(G$1,[2]stages!$2:$2,0)-MATCH("temp_stage",[2]stages!$2:$2,0)+1,FALSE)</f>
        <v>ランキング1</v>
      </c>
      <c r="H84" s="86">
        <v>1</v>
      </c>
      <c r="I84">
        <v>29</v>
      </c>
      <c r="J84" s="85" t="s">
        <v>199</v>
      </c>
      <c r="K84" s="95" t="str">
        <f>VLOOKUP(I84,[7]stage_hints!$A:$C,3,FALSE)</f>
        <v>「バグ」のメリット</v>
      </c>
      <c r="L84" s="96" t="str">
        <f>VLOOKUP(I84,[7]stage_hints!$A:$D,4,FALSE)</f>
        <v>ユニットの「バグ」を増やすと_x000D_報酬をもらえる確率がアップします</v>
      </c>
      <c r="M84" s="57" t="s">
        <v>213</v>
      </c>
    </row>
    <row r="85" spans="1:13">
      <c r="A85" s="82" t="s">
        <v>202</v>
      </c>
      <c r="B85" s="83">
        <v>60004</v>
      </c>
      <c r="C85" s="84" t="str">
        <f ca="1">VLOOKUP($B85,OFFSET([2]quests!$A$1,0,0,COUNTA([2]quests!$A:$A),MATCH(C$1,[2]quests!$1:$1,0)-MATCH($B$1,[2]quests!$1:$1,0)+1),MATCH(C$1,[2]quests!$1:$1,0)-MATCH($B$1,[2]quests!$1:$1,0)+1,FALSE)</f>
        <v>ヘンペルチャレンジ</v>
      </c>
      <c r="D85" s="84" t="str">
        <f ca="1">VLOOKUP($B85,OFFSET([2]quests!$A$1,0,0,COUNTA([2]quests!$A:$A),MATCH(D$1,[2]quests!$1:$1,0)-MATCH($B$1,[2]quests!$1:$1,0)+1),MATCH(D$1,[2]quests!$1:$1,0)-MATCH($B$1,[2]quests!$1:$1,0)+1,FALSE)</f>
        <v>ランキング1</v>
      </c>
      <c r="E85" s="88">
        <v>1</v>
      </c>
      <c r="F85" s="84" t="str">
        <f ca="1">VLOOKUP($B85&amp;"_"&amp;$E85,OFFSET([2]stages!$A$1,0,0,COUNTA([2]stages!$A:$A),MATCH(F$1,[2]stages!$2:$2,0)-MATCH("temp_stage",[2]stages!$2:$2,0)+1),MATCH(F$1,[2]stages!$2:$2,0)-MATCH("temp_stage",[2]stages!$2:$2,0)+1,FALSE)</f>
        <v>[ウィザード] 第4回　</v>
      </c>
      <c r="G85" s="84" t="str">
        <f ca="1">VLOOKUP($B85&amp;"_"&amp;$E85,OFFSET([2]stages!$A$1,0,0,COUNTA([2]stages!$A:$A),MATCH(G$1,[2]stages!$2:$2,0)-MATCH("temp_stage",[2]stages!$2:$2,0)+1),MATCH(G$1,[2]stages!$2:$2,0)-MATCH("temp_stage",[2]stages!$2:$2,0)+1,FALSE)</f>
        <v>ランキング1</v>
      </c>
      <c r="H85" s="86">
        <v>1</v>
      </c>
      <c r="I85">
        <v>30</v>
      </c>
      <c r="J85" s="85" t="s">
        <v>199</v>
      </c>
      <c r="K85" s="95" t="str">
        <f>VLOOKUP(I85,[7]stage_hints!$A:$C,3,FALSE)</f>
        <v>「バグ」の増やし方</v>
      </c>
      <c r="L85" s="96" t="str">
        <f>VLOOKUP(I85,[7]stage_hints!$A:$D,4,FALSE)</f>
        <v>同じユニット同士を強化で合成すると_x000D_「バグ」を増やすことができます</v>
      </c>
      <c r="M85" s="57" t="s">
        <v>213</v>
      </c>
    </row>
    <row r="86" spans="1:13">
      <c r="A86" s="82" t="s">
        <v>202</v>
      </c>
      <c r="B86" s="83">
        <v>60004</v>
      </c>
      <c r="C86" s="84" t="str">
        <f ca="1">VLOOKUP($B86,OFFSET([2]quests!$A$1,0,0,COUNTA([2]quests!$A:$A),MATCH(C$1,[2]quests!$1:$1,0)-MATCH($B$1,[2]quests!$1:$1,0)+1),MATCH(C$1,[2]quests!$1:$1,0)-MATCH($B$1,[2]quests!$1:$1,0)+1,FALSE)</f>
        <v>ヘンペルチャレンジ</v>
      </c>
      <c r="D86" s="84" t="str">
        <f ca="1">VLOOKUP($B86,OFFSET([2]quests!$A$1,0,0,COUNTA([2]quests!$A:$A),MATCH(D$1,[2]quests!$1:$1,0)-MATCH($B$1,[2]quests!$1:$1,0)+1),MATCH(D$1,[2]quests!$1:$1,0)-MATCH($B$1,[2]quests!$1:$1,0)+1,FALSE)</f>
        <v>ランキング1</v>
      </c>
      <c r="E86" s="88">
        <v>1</v>
      </c>
      <c r="F86" s="84" t="str">
        <f ca="1">VLOOKUP($B86&amp;"_"&amp;$E86,OFFSET([2]stages!$A$1,0,0,COUNTA([2]stages!$A:$A),MATCH(F$1,[2]stages!$2:$2,0)-MATCH("temp_stage",[2]stages!$2:$2,0)+1),MATCH(F$1,[2]stages!$2:$2,0)-MATCH("temp_stage",[2]stages!$2:$2,0)+1,FALSE)</f>
        <v>[ウィザード] 第4回　</v>
      </c>
      <c r="G86" s="84" t="str">
        <f ca="1">VLOOKUP($B86&amp;"_"&amp;$E86,OFFSET([2]stages!$A$1,0,0,COUNTA([2]stages!$A:$A),MATCH(G$1,[2]stages!$2:$2,0)-MATCH("temp_stage",[2]stages!$2:$2,0)+1),MATCH(G$1,[2]stages!$2:$2,0)-MATCH("temp_stage",[2]stages!$2:$2,0)+1,FALSE)</f>
        <v>ランキング1</v>
      </c>
      <c r="H86" s="86">
        <v>1</v>
      </c>
      <c r="I86">
        <v>32</v>
      </c>
      <c r="J86" s="85" t="s">
        <v>199</v>
      </c>
      <c r="K86" s="95" t="str">
        <f>VLOOKUP(I86,[7]stage_hints!$A:$C,3,FALSE)</f>
        <v>敵の連続攻撃には</v>
      </c>
      <c r="L86" s="96" t="str">
        <f>VLOOKUP(I86,[7]stage_hints!$A:$D,4,FALSE)</f>
        <v>カウンタースキルを持つユニットがいれば_x000D_ダメージ回数分の反撃ができます</v>
      </c>
      <c r="M86" s="57" t="s">
        <v>213</v>
      </c>
    </row>
    <row r="87" spans="1:13">
      <c r="A87" s="82" t="s">
        <v>202</v>
      </c>
      <c r="B87" s="83">
        <v>60004</v>
      </c>
      <c r="C87" s="84" t="str">
        <f ca="1">VLOOKUP($B87,OFFSET([2]quests!$A$1,0,0,COUNTA([2]quests!$A:$A),MATCH(C$1,[2]quests!$1:$1,0)-MATCH($B$1,[2]quests!$1:$1,0)+1),MATCH(C$1,[2]quests!$1:$1,0)-MATCH($B$1,[2]quests!$1:$1,0)+1,FALSE)</f>
        <v>ヘンペルチャレンジ</v>
      </c>
      <c r="D87" s="84" t="str">
        <f ca="1">VLOOKUP($B87,OFFSET([2]quests!$A$1,0,0,COUNTA([2]quests!$A:$A),MATCH(D$1,[2]quests!$1:$1,0)-MATCH($B$1,[2]quests!$1:$1,0)+1),MATCH(D$1,[2]quests!$1:$1,0)-MATCH($B$1,[2]quests!$1:$1,0)+1,FALSE)</f>
        <v>ランキング1</v>
      </c>
      <c r="E87" s="88">
        <v>1</v>
      </c>
      <c r="F87" s="84" t="str">
        <f ca="1">VLOOKUP($B87&amp;"_"&amp;$E87,OFFSET([2]stages!$A$1,0,0,COUNTA([2]stages!$A:$A),MATCH(F$1,[2]stages!$2:$2,0)-MATCH("temp_stage",[2]stages!$2:$2,0)+1),MATCH(F$1,[2]stages!$2:$2,0)-MATCH("temp_stage",[2]stages!$2:$2,0)+1,FALSE)</f>
        <v>[ウィザード] 第4回　</v>
      </c>
      <c r="G87" s="84" t="str">
        <f ca="1">VLOOKUP($B87&amp;"_"&amp;$E87,OFFSET([2]stages!$A$1,0,0,COUNTA([2]stages!$A:$A),MATCH(G$1,[2]stages!$2:$2,0)-MATCH("temp_stage",[2]stages!$2:$2,0)+1),MATCH(G$1,[2]stages!$2:$2,0)-MATCH("temp_stage",[2]stages!$2:$2,0)+1,FALSE)</f>
        <v>ランキング1</v>
      </c>
      <c r="H87" s="86">
        <v>1</v>
      </c>
      <c r="I87">
        <v>33</v>
      </c>
      <c r="J87" s="85" t="s">
        <v>199</v>
      </c>
      <c r="K87" s="95" t="str">
        <f>VLOOKUP(I87,[7]stage_hints!$A:$C,3,FALSE)</f>
        <v>敵のカウンター攻撃には</v>
      </c>
      <c r="L87" s="96" t="str">
        <f>VLOOKUP(I87,[7]stage_hints!$A:$D,4,FALSE)</f>
        <v>カウンターブレイクスキルを持っていれば_x000D_敵のカウンターを解除して攻撃ができます</v>
      </c>
      <c r="M87" s="57" t="s">
        <v>213</v>
      </c>
    </row>
    <row r="88" spans="1:13">
      <c r="A88" s="82" t="s">
        <v>202</v>
      </c>
      <c r="B88" s="83">
        <v>60004</v>
      </c>
      <c r="C88" s="84" t="str">
        <f ca="1">VLOOKUP($B88,OFFSET([2]quests!$A$1,0,0,COUNTA([2]quests!$A:$A),MATCH(C$1,[2]quests!$1:$1,0)-MATCH($B$1,[2]quests!$1:$1,0)+1),MATCH(C$1,[2]quests!$1:$1,0)-MATCH($B$1,[2]quests!$1:$1,0)+1,FALSE)</f>
        <v>ヘンペルチャレンジ</v>
      </c>
      <c r="D88" s="84" t="str">
        <f ca="1">VLOOKUP($B88,OFFSET([2]quests!$A$1,0,0,COUNTA([2]quests!$A:$A),MATCH(D$1,[2]quests!$1:$1,0)-MATCH($B$1,[2]quests!$1:$1,0)+1),MATCH(D$1,[2]quests!$1:$1,0)-MATCH($B$1,[2]quests!$1:$1,0)+1,FALSE)</f>
        <v>ランキング1</v>
      </c>
      <c r="E88" s="88">
        <v>1</v>
      </c>
      <c r="F88" s="84" t="str">
        <f ca="1">VLOOKUP($B88&amp;"_"&amp;$E88,OFFSET([2]stages!$A$1,0,0,COUNTA([2]stages!$A:$A),MATCH(F$1,[2]stages!$2:$2,0)-MATCH("temp_stage",[2]stages!$2:$2,0)+1),MATCH(F$1,[2]stages!$2:$2,0)-MATCH("temp_stage",[2]stages!$2:$2,0)+1,FALSE)</f>
        <v>[ウィザード] 第4回　</v>
      </c>
      <c r="G88" s="84" t="str">
        <f ca="1">VLOOKUP($B88&amp;"_"&amp;$E88,OFFSET([2]stages!$A$1,0,0,COUNTA([2]stages!$A:$A),MATCH(G$1,[2]stages!$2:$2,0)-MATCH("temp_stage",[2]stages!$2:$2,0)+1),MATCH(G$1,[2]stages!$2:$2,0)-MATCH("temp_stage",[2]stages!$2:$2,0)+1,FALSE)</f>
        <v>ランキング1</v>
      </c>
      <c r="H88" s="86">
        <v>1</v>
      </c>
      <c r="I88">
        <v>34</v>
      </c>
      <c r="J88" s="85" t="s">
        <v>199</v>
      </c>
      <c r="K88" s="95" t="str">
        <f>VLOOKUP(I88,[7]stage_hints!$A:$C,3,FALSE)</f>
        <v>ステータスをスキルで下げられたら</v>
      </c>
      <c r="L88" s="96" t="str">
        <f>VLOOKUP(I88,[7]stage_hints!$A:$D,4,FALSE)</f>
        <v>ステータスダウンのスキルを受けたら_x000D_ステータスアップスキルで上書きしましょう</v>
      </c>
      <c r="M88" s="57" t="s">
        <v>213</v>
      </c>
    </row>
    <row r="89" spans="1:13">
      <c r="A89" s="82" t="s">
        <v>202</v>
      </c>
      <c r="B89" s="83">
        <v>60004</v>
      </c>
      <c r="C89" s="84" t="str">
        <f ca="1">VLOOKUP($B89,OFFSET([2]quests!$A$1,0,0,COUNTA([2]quests!$A:$A),MATCH(C$1,[2]quests!$1:$1,0)-MATCH($B$1,[2]quests!$1:$1,0)+1),MATCH(C$1,[2]quests!$1:$1,0)-MATCH($B$1,[2]quests!$1:$1,0)+1,FALSE)</f>
        <v>ヘンペルチャレンジ</v>
      </c>
      <c r="D89" s="84" t="str">
        <f ca="1">VLOOKUP($B89,OFFSET([2]quests!$A$1,0,0,COUNTA([2]quests!$A:$A),MATCH(D$1,[2]quests!$1:$1,0)-MATCH($B$1,[2]quests!$1:$1,0)+1),MATCH(D$1,[2]quests!$1:$1,0)-MATCH($B$1,[2]quests!$1:$1,0)+1,FALSE)</f>
        <v>ランキング1</v>
      </c>
      <c r="E89" s="88">
        <v>1</v>
      </c>
      <c r="F89" s="84" t="str">
        <f ca="1">VLOOKUP($B89&amp;"_"&amp;$E89,OFFSET([2]stages!$A$1,0,0,COUNTA([2]stages!$A:$A),MATCH(F$1,[2]stages!$2:$2,0)-MATCH("temp_stage",[2]stages!$2:$2,0)+1),MATCH(F$1,[2]stages!$2:$2,0)-MATCH("temp_stage",[2]stages!$2:$2,0)+1,FALSE)</f>
        <v>[ウィザード] 第4回　</v>
      </c>
      <c r="G89" s="84" t="str">
        <f ca="1">VLOOKUP($B89&amp;"_"&amp;$E89,OFFSET([2]stages!$A$1,0,0,COUNTA([2]stages!$A:$A),MATCH(G$1,[2]stages!$2:$2,0)-MATCH("temp_stage",[2]stages!$2:$2,0)+1),MATCH(G$1,[2]stages!$2:$2,0)-MATCH("temp_stage",[2]stages!$2:$2,0)+1,FALSE)</f>
        <v>ランキング1</v>
      </c>
      <c r="H89" s="86">
        <v>1</v>
      </c>
      <c r="I89">
        <v>35</v>
      </c>
      <c r="J89" s="85" t="s">
        <v>199</v>
      </c>
      <c r="K89" s="95" t="str">
        <f>VLOOKUP(I89,[7]stage_hints!$A:$C,3,FALSE)</f>
        <v>敵のステータスがスキルで上がったら</v>
      </c>
      <c r="L89" s="96" t="str">
        <f>VLOOKUP(I89,[7]stage_hints!$A:$D,4,FALSE)</f>
        <v>敵のステータスがスキルでアップしたときは_x000D_ステータスダウンスキルで上書きしましょう</v>
      </c>
      <c r="M89" s="57" t="s">
        <v>213</v>
      </c>
    </row>
    <row r="90" spans="1:13">
      <c r="A90" s="82" t="s">
        <v>202</v>
      </c>
      <c r="B90" s="83">
        <v>60004</v>
      </c>
      <c r="C90" s="84" t="str">
        <f ca="1">VLOOKUP($B90,OFFSET([2]quests!$A$1,0,0,COUNTA([2]quests!$A:$A),MATCH(C$1,[2]quests!$1:$1,0)-MATCH($B$1,[2]quests!$1:$1,0)+1),MATCH(C$1,[2]quests!$1:$1,0)-MATCH($B$1,[2]quests!$1:$1,0)+1,FALSE)</f>
        <v>ヘンペルチャレンジ</v>
      </c>
      <c r="D90" s="84" t="str">
        <f ca="1">VLOOKUP($B90,OFFSET([2]quests!$A$1,0,0,COUNTA([2]quests!$A:$A),MATCH(D$1,[2]quests!$1:$1,0)-MATCH($B$1,[2]quests!$1:$1,0)+1),MATCH(D$1,[2]quests!$1:$1,0)-MATCH($B$1,[2]quests!$1:$1,0)+1,FALSE)</f>
        <v>ランキング1</v>
      </c>
      <c r="E90" s="88">
        <v>1</v>
      </c>
      <c r="F90" s="84" t="str">
        <f ca="1">VLOOKUP($B90&amp;"_"&amp;$E90,OFFSET([2]stages!$A$1,0,0,COUNTA([2]stages!$A:$A),MATCH(F$1,[2]stages!$2:$2,0)-MATCH("temp_stage",[2]stages!$2:$2,0)+1),MATCH(F$1,[2]stages!$2:$2,0)-MATCH("temp_stage",[2]stages!$2:$2,0)+1,FALSE)</f>
        <v>[ウィザード] 第4回　</v>
      </c>
      <c r="G90" s="84" t="str">
        <f ca="1">VLOOKUP($B90&amp;"_"&amp;$E90,OFFSET([2]stages!$A$1,0,0,COUNTA([2]stages!$A:$A),MATCH(G$1,[2]stages!$2:$2,0)-MATCH("temp_stage",[2]stages!$2:$2,0)+1),MATCH(G$1,[2]stages!$2:$2,0)-MATCH("temp_stage",[2]stages!$2:$2,0)+1,FALSE)</f>
        <v>ランキング1</v>
      </c>
      <c r="H90" s="86">
        <v>1</v>
      </c>
      <c r="I90">
        <v>36</v>
      </c>
      <c r="J90" s="85" t="s">
        <v>199</v>
      </c>
      <c r="K90" s="95" t="str">
        <f>VLOOKUP(I90,[7]stage_hints!$A:$C,3,FALSE)</f>
        <v>チャレンジタワーのボス</v>
      </c>
      <c r="L90" s="96" t="str">
        <f>VLOOKUP(I90,[7]stage_hints!$A:$D,4,FALSE)</f>
        <v>チャレンジタワーでのみ登場するボスは_x000D_一定確率で獲得することができます</v>
      </c>
      <c r="M90" s="57" t="s">
        <v>213</v>
      </c>
    </row>
    <row r="91" spans="1:13">
      <c r="A91" s="82" t="s">
        <v>202</v>
      </c>
      <c r="B91" s="83">
        <v>60004</v>
      </c>
      <c r="C91" s="84" t="str">
        <f ca="1">VLOOKUP($B91,OFFSET([2]quests!$A$1,0,0,COUNTA([2]quests!$A:$A),MATCH(C$1,[2]quests!$1:$1,0)-MATCH($B$1,[2]quests!$1:$1,0)+1),MATCH(C$1,[2]quests!$1:$1,0)-MATCH($B$1,[2]quests!$1:$1,0)+1,FALSE)</f>
        <v>ヘンペルチャレンジ</v>
      </c>
      <c r="D91" s="84" t="str">
        <f ca="1">VLOOKUP($B91,OFFSET([2]quests!$A$1,0,0,COUNTA([2]quests!$A:$A),MATCH(D$1,[2]quests!$1:$1,0)-MATCH($B$1,[2]quests!$1:$1,0)+1),MATCH(D$1,[2]quests!$1:$1,0)-MATCH($B$1,[2]quests!$1:$1,0)+1,FALSE)</f>
        <v>ランキング1</v>
      </c>
      <c r="E91" s="88">
        <v>1</v>
      </c>
      <c r="F91" s="84" t="str">
        <f ca="1">VLOOKUP($B91&amp;"_"&amp;$E91,OFFSET([2]stages!$A$1,0,0,COUNTA([2]stages!$A:$A),MATCH(F$1,[2]stages!$2:$2,0)-MATCH("temp_stage",[2]stages!$2:$2,0)+1),MATCH(F$1,[2]stages!$2:$2,0)-MATCH("temp_stage",[2]stages!$2:$2,0)+1,FALSE)</f>
        <v>[ウィザード] 第4回　</v>
      </c>
      <c r="G91" s="84" t="str">
        <f ca="1">VLOOKUP($B91&amp;"_"&amp;$E91,OFFSET([2]stages!$A$1,0,0,COUNTA([2]stages!$A:$A),MATCH(G$1,[2]stages!$2:$2,0)-MATCH("temp_stage",[2]stages!$2:$2,0)+1),MATCH(G$1,[2]stages!$2:$2,0)-MATCH("temp_stage",[2]stages!$2:$2,0)+1,FALSE)</f>
        <v>ランキング1</v>
      </c>
      <c r="H91" s="86">
        <v>1</v>
      </c>
      <c r="I91">
        <v>37</v>
      </c>
      <c r="J91" s="85" t="s">
        <v>199</v>
      </c>
      <c r="K91" s="95" t="str">
        <f>VLOOKUP(I91,[7]stage_hints!$A:$C,3,FALSE)</f>
        <v>限界突破値の引き継ぎ</v>
      </c>
      <c r="L91" s="96" t="str">
        <f>VLOOKUP(I91,[7]stage_hints!$A:$D,4,FALSE)</f>
        <v>同じユニットを強化で合成すると_x000D_限界突破値を引き継げます（覚醒前後も可）</v>
      </c>
      <c r="M91" s="57" t="s">
        <v>213</v>
      </c>
    </row>
    <row r="92" spans="1:13">
      <c r="A92" s="82" t="s">
        <v>202</v>
      </c>
      <c r="B92" s="83">
        <v>60004</v>
      </c>
      <c r="C92" s="84" t="str">
        <f ca="1">VLOOKUP($B92,OFFSET([2]quests!$A$1,0,0,COUNTA([2]quests!$A:$A),MATCH(C$1,[2]quests!$1:$1,0)-MATCH($B$1,[2]quests!$1:$1,0)+1),MATCH(C$1,[2]quests!$1:$1,0)-MATCH($B$1,[2]quests!$1:$1,0)+1,FALSE)</f>
        <v>ヘンペルチャレンジ</v>
      </c>
      <c r="D92" s="84" t="str">
        <f ca="1">VLOOKUP($B92,OFFSET([2]quests!$A$1,0,0,COUNTA([2]quests!$A:$A),MATCH(D$1,[2]quests!$1:$1,0)-MATCH($B$1,[2]quests!$1:$1,0)+1),MATCH(D$1,[2]quests!$1:$1,0)-MATCH($B$1,[2]quests!$1:$1,0)+1,FALSE)</f>
        <v>ランキング1</v>
      </c>
      <c r="E92" s="88">
        <v>1</v>
      </c>
      <c r="F92" s="84" t="str">
        <f ca="1">VLOOKUP($B92&amp;"_"&amp;$E92,OFFSET([2]stages!$A$1,0,0,COUNTA([2]stages!$A:$A),MATCH(F$1,[2]stages!$2:$2,0)-MATCH("temp_stage",[2]stages!$2:$2,0)+1),MATCH(F$1,[2]stages!$2:$2,0)-MATCH("temp_stage",[2]stages!$2:$2,0)+1,FALSE)</f>
        <v>[ウィザード] 第4回　</v>
      </c>
      <c r="G92" s="84" t="str">
        <f ca="1">VLOOKUP($B92&amp;"_"&amp;$E92,OFFSET([2]stages!$A$1,0,0,COUNTA([2]stages!$A:$A),MATCH(G$1,[2]stages!$2:$2,0)-MATCH("temp_stage",[2]stages!$2:$2,0)+1),MATCH(G$1,[2]stages!$2:$2,0)-MATCH("temp_stage",[2]stages!$2:$2,0)+1,FALSE)</f>
        <v>ランキング1</v>
      </c>
      <c r="H92" s="86">
        <v>1</v>
      </c>
      <c r="I92">
        <v>39</v>
      </c>
      <c r="J92" s="85" t="s">
        <v>199</v>
      </c>
      <c r="K92" s="95" t="str">
        <f>VLOOKUP(I92,[7]stage_hints!$A:$C,3,FALSE)</f>
        <v>システム適合者を確認</v>
      </c>
      <c r="L92" s="96" t="str">
        <f>VLOOKUP(I92,[7]stage_hints!$A:$D,4,FALSE)</f>
        <v>ALICEが「アナタ」を呼んでいます</v>
      </c>
      <c r="M92" s="57" t="s">
        <v>213</v>
      </c>
    </row>
  </sheetData>
  <phoneticPr fontId="6"/>
  <dataValidations count="1">
    <dataValidation type="list" allowBlank="1" showInputMessage="1" showErrorMessage="1" sqref="A2:A9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5"/>
  <sheetViews>
    <sheetView showGridLines="0" workbookViewId="0">
      <pane ySplit="1" topLeftCell="A2" activePane="bottomLeft" state="frozen"/>
      <selection pane="bottomLeft" activeCell="L29" sqref="L29"/>
    </sheetView>
  </sheetViews>
  <sheetFormatPr baseColWidth="12" defaultColWidth="13" defaultRowHeight="18" outlineLevelCol="1" x14ac:dyDescent="0"/>
  <cols>
    <col min="1" max="1" width="13" style="90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>
      <c r="A1" s="77" t="s">
        <v>189</v>
      </c>
      <c r="B1" s="73" t="s">
        <v>151</v>
      </c>
      <c r="C1" s="78" t="s">
        <v>191</v>
      </c>
      <c r="D1" s="78" t="s">
        <v>33</v>
      </c>
      <c r="E1" s="73" t="s">
        <v>192</v>
      </c>
      <c r="F1" s="78" t="s">
        <v>18</v>
      </c>
      <c r="G1" s="78" t="s">
        <v>33</v>
      </c>
      <c r="H1" s="73" t="s">
        <v>194</v>
      </c>
      <c r="I1" s="91" t="s">
        <v>195</v>
      </c>
      <c r="J1" s="93" t="s">
        <v>196</v>
      </c>
      <c r="K1" s="80" t="s">
        <v>127</v>
      </c>
      <c r="L1" s="79" t="s">
        <v>188</v>
      </c>
      <c r="M1" s="94" t="s">
        <v>187</v>
      </c>
      <c r="N1" s="81" t="s">
        <v>197</v>
      </c>
    </row>
    <row r="2" spans="1:14">
      <c r="A2" s="82" t="s">
        <v>198</v>
      </c>
      <c r="B2" s="83">
        <f>floors!$C$2</f>
        <v>60001</v>
      </c>
      <c r="C2" s="84" t="str">
        <f ca="1">VLOOKUP($B2,OFFSET([2]quests!$A$1,0,0,COUNTA([2]quests!$A:$A),MATCH(C$1,[2]quests!$1:$1,0)-MATCH($B$1,[2]quests!$1:$1,0)+1),MATCH(C$1,[2]quests!$1:$1,0)-MATCH($B$1,[2]quests!$1:$1,0)+1,FALSE)</f>
        <v>ヘンペルチャレンジ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ランキング1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[ウィザード] 第一回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ランキング1</v>
      </c>
      <c r="H2" s="86">
        <v>0</v>
      </c>
      <c r="I2" s="92">
        <f>ROW()-1</f>
        <v>1</v>
      </c>
      <c r="J2" s="87" t="str">
        <f>B2&amp;TEXT(I2,"00")</f>
        <v>6000101</v>
      </c>
      <c r="K2" s="85" t="s">
        <v>199</v>
      </c>
      <c r="L2" s="88" t="s">
        <v>200</v>
      </c>
      <c r="M2" s="89" t="s">
        <v>203</v>
      </c>
      <c r="N2" s="57" t="s">
        <v>201</v>
      </c>
    </row>
    <row r="3" spans="1:14">
      <c r="A3" s="82" t="s">
        <v>198</v>
      </c>
      <c r="B3" s="83">
        <v>60002</v>
      </c>
      <c r="C3" s="84" t="str">
        <f ca="1">VLOOKUP($B3,OFFSET([2]quests!$A$1,0,0,COUNTA([2]quests!$A:$A),MATCH(C$1,[2]quests!$1:$1,0)-MATCH($B$1,[2]quests!$1:$1,0)+1),MATCH(C$1,[2]quests!$1:$1,0)-MATCH($B$1,[2]quests!$1:$1,0)+1,FALSE)</f>
        <v>ヘンペルチャレンジ</v>
      </c>
      <c r="D3" s="84" t="str">
        <f ca="1">VLOOKUP($B3,OFFSET([2]quests!$A$1,0,0,COUNTA([2]quests!$A:$A),MATCH(D$1,[2]quests!$1:$1,0)-MATCH($B$1,[2]quests!$1:$1,0)+1),MATCH(D$1,[2]quests!$1:$1,0)-MATCH($B$1,[2]quests!$1:$1,0)+1,FALSE)</f>
        <v>ランキング1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[超級] 第2回　※Wizと難易度は同じ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ランキング1</v>
      </c>
      <c r="H3" s="86">
        <v>0</v>
      </c>
      <c r="I3" s="92">
        <f>ROW()-1</f>
        <v>2</v>
      </c>
      <c r="J3" s="87" t="str">
        <f>B3&amp;TEXT(I3,"00")</f>
        <v>6000202</v>
      </c>
      <c r="K3" s="85" t="s">
        <v>199</v>
      </c>
      <c r="L3" s="88" t="s">
        <v>200</v>
      </c>
      <c r="M3" s="89" t="s">
        <v>203</v>
      </c>
      <c r="N3" s="57" t="s">
        <v>201</v>
      </c>
    </row>
    <row r="4" spans="1:14">
      <c r="A4" s="82" t="s">
        <v>198</v>
      </c>
      <c r="B4" s="83">
        <v>60003</v>
      </c>
      <c r="C4" s="84" t="str">
        <f ca="1">VLOOKUP($B4,OFFSET([2]quests!$A$1,0,0,COUNTA([2]quests!$A:$A),MATCH(C$1,[2]quests!$1:$1,0)-MATCH($B$1,[2]quests!$1:$1,0)+1),MATCH(C$1,[2]quests!$1:$1,0)-MATCH($B$1,[2]quests!$1:$1,0)+1,FALSE)</f>
        <v>ヘンペルチャレンジ</v>
      </c>
      <c r="D4" s="84" t="str">
        <f ca="1">VLOOKUP($B4,OFFSET([2]quests!$A$1,0,0,COUNTA([2]quests!$A:$A),MATCH(D$1,[2]quests!$1:$1,0)-MATCH($B$1,[2]quests!$1:$1,0)+1),MATCH(D$1,[2]quests!$1:$1,0)-MATCH($B$1,[2]quests!$1:$1,0)+1,FALSE)</f>
        <v>ランキング1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[中級] 第3回　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ランキング1</v>
      </c>
      <c r="H4" s="86">
        <v>0</v>
      </c>
      <c r="I4" s="92">
        <f>ROW()-1</f>
        <v>3</v>
      </c>
      <c r="J4" s="87" t="str">
        <f>B4&amp;TEXT(I4,"00")</f>
        <v>6000303</v>
      </c>
      <c r="K4" s="85" t="s">
        <v>199</v>
      </c>
      <c r="L4" s="88" t="s">
        <v>200</v>
      </c>
      <c r="M4" s="89" t="s">
        <v>203</v>
      </c>
      <c r="N4" s="57" t="s">
        <v>201</v>
      </c>
    </row>
    <row r="5" spans="1:14">
      <c r="A5" s="82" t="s">
        <v>198</v>
      </c>
      <c r="B5" s="83">
        <v>60004</v>
      </c>
      <c r="C5" s="84" t="str">
        <f ca="1">VLOOKUP($B5,OFFSET([2]quests!$A$1,0,0,COUNTA([2]quests!$A:$A),MATCH(C$1,[2]quests!$1:$1,0)-MATCH($B$1,[2]quests!$1:$1,0)+1),MATCH(C$1,[2]quests!$1:$1,0)-MATCH($B$1,[2]quests!$1:$1,0)+1,FALSE)</f>
        <v>ヘンペルチャレンジ</v>
      </c>
      <c r="D5" s="84" t="str">
        <f ca="1">VLOOKUP($B5,OFFSET([2]quests!$A$1,0,0,COUNTA([2]quests!$A:$A),MATCH(D$1,[2]quests!$1:$1,0)-MATCH($B$1,[2]quests!$1:$1,0)+1),MATCH(D$1,[2]quests!$1:$1,0)-MATCH($B$1,[2]quests!$1:$1,0)+1,FALSE)</f>
        <v>ランキング1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[ウィザード] 第4回　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ランキング1</v>
      </c>
      <c r="H5" s="86">
        <v>0</v>
      </c>
      <c r="I5" s="92">
        <f>ROW()-1</f>
        <v>4</v>
      </c>
      <c r="J5" s="87" t="str">
        <f>B5&amp;TEXT(I5,"00")</f>
        <v>6000404</v>
      </c>
      <c r="K5" s="85" t="s">
        <v>199</v>
      </c>
      <c r="L5" s="88" t="s">
        <v>200</v>
      </c>
      <c r="M5" s="89" t="s">
        <v>203</v>
      </c>
      <c r="N5" s="57" t="s">
        <v>201</v>
      </c>
    </row>
  </sheetData>
  <phoneticPr fontId="6"/>
  <dataValidations count="1">
    <dataValidation type="list" allowBlank="1" showInputMessage="1" showErrorMessage="1" sqref="A2:A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ranking_ACH</vt:lpstr>
      <vt:lpstr>ranking_gift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福谷 優大</cp:lastModifiedBy>
  <dcterms:created xsi:type="dcterms:W3CDTF">2015-01-30T13:36:44Z</dcterms:created>
  <dcterms:modified xsi:type="dcterms:W3CDTF">2016-03-17T08:56:11Z</dcterms:modified>
</cp:coreProperties>
</file>