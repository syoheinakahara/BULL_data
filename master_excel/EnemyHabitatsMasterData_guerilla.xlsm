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1140" yWindow="1800" windowWidth="26920" windowHeight="14960" activeTab="5"/>
  </bookViews>
  <sheets>
    <sheet name="output" sheetId="7" r:id="rId1"/>
    <sheet name="floors" sheetId="2" r:id="rId2"/>
    <sheet name="enemy_habitats" sheetId="1" r:id="rId3"/>
    <sheet name="enemy_habitat_S" sheetId="8" r:id="rId4"/>
    <sheet name="enemy_skill_sets" sheetId="9" r:id="rId5"/>
    <sheet name="enemy_skills" sheetId="10" r:id="rId6"/>
    <sheet name="enemy_skill_triggers" sheetId="11" r:id="rId7"/>
    <sheet name="Sheet1" sheetId="12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enemy_habitat_S!$B$1:$Y$2</definedName>
    <definedName name="_xlnm._FilterDatabase" localSheetId="2" hidden="1">enemy_habitats!$B$1:$AH$57</definedName>
    <definedName name="_xlnm._FilterDatabase" localSheetId="4" hidden="1">enemy_skill_sets!$A$1:$S$1</definedName>
    <definedName name="_xlnm._FilterDatabase" localSheetId="6" hidden="1">enemy_skill_triggers!$A$1:$G$1</definedName>
    <definedName name="_xlnm._FilterDatabase" localSheetId="5" hidden="1">enemy_skills!$A$1:$I$1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9" l="1"/>
  <c r="V93" i="1"/>
  <c r="V92" i="1"/>
  <c r="V91" i="1"/>
  <c r="V90" i="1"/>
  <c r="A2" i="8"/>
  <c r="D2" i="8"/>
  <c r="E2" i="8"/>
  <c r="F2" i="8"/>
  <c r="H2" i="8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I2" i="8"/>
  <c r="J2" i="8"/>
  <c r="N2" i="8"/>
  <c r="O2" i="8"/>
  <c r="P2" i="8"/>
  <c r="Q2" i="8"/>
  <c r="R2" i="8"/>
  <c r="X2" i="8"/>
  <c r="K2" i="11"/>
  <c r="P2" i="9"/>
  <c r="J2" i="11"/>
  <c r="O2" i="9"/>
  <c r="N2" i="9"/>
  <c r="M2" i="9"/>
  <c r="L2" i="9"/>
  <c r="K2" i="9"/>
  <c r="J2" i="9"/>
  <c r="I2" i="9"/>
  <c r="H2" i="9"/>
  <c r="G2" i="9"/>
  <c r="D2" i="9"/>
  <c r="A2" i="9"/>
  <c r="H62" i="1"/>
  <c r="AB85" i="1"/>
  <c r="AD85" i="1"/>
  <c r="AG85" i="1"/>
  <c r="AE85" i="1"/>
  <c r="AC85" i="1"/>
  <c r="W85" i="1"/>
  <c r="V85" i="1"/>
  <c r="Q85" i="1"/>
  <c r="P85" i="1"/>
  <c r="O85" i="1"/>
  <c r="N85" i="1"/>
  <c r="M85" i="1"/>
  <c r="H85" i="1"/>
  <c r="J85" i="1"/>
  <c r="I85" i="1"/>
  <c r="D85" i="1"/>
  <c r="F85" i="1"/>
  <c r="E85" i="1"/>
  <c r="A85" i="1"/>
  <c r="AB84" i="1"/>
  <c r="AD84" i="1"/>
  <c r="AG84" i="1"/>
  <c r="AE84" i="1"/>
  <c r="AC84" i="1"/>
  <c r="W84" i="1"/>
  <c r="V84" i="1"/>
  <c r="Q84" i="1"/>
  <c r="P84" i="1"/>
  <c r="O84" i="1"/>
  <c r="N84" i="1"/>
  <c r="M84" i="1"/>
  <c r="H84" i="1"/>
  <c r="J84" i="1"/>
  <c r="I84" i="1"/>
  <c r="D84" i="1"/>
  <c r="F84" i="1"/>
  <c r="E84" i="1"/>
  <c r="A84" i="1"/>
  <c r="AB83" i="1"/>
  <c r="AD83" i="1"/>
  <c r="AG83" i="1"/>
  <c r="AE83" i="1"/>
  <c r="AC83" i="1"/>
  <c r="W83" i="1"/>
  <c r="V83" i="1"/>
  <c r="Q83" i="1"/>
  <c r="P83" i="1"/>
  <c r="O83" i="1"/>
  <c r="N83" i="1"/>
  <c r="M83" i="1"/>
  <c r="H83" i="1"/>
  <c r="J83" i="1"/>
  <c r="I83" i="1"/>
  <c r="D83" i="1"/>
  <c r="F83" i="1"/>
  <c r="E83" i="1"/>
  <c r="A83" i="1"/>
  <c r="AB82" i="1"/>
  <c r="AD82" i="1"/>
  <c r="AG82" i="1"/>
  <c r="AE82" i="1"/>
  <c r="AC82" i="1"/>
  <c r="W82" i="1"/>
  <c r="V82" i="1"/>
  <c r="Q82" i="1"/>
  <c r="P82" i="1"/>
  <c r="O82" i="1"/>
  <c r="N82" i="1"/>
  <c r="M82" i="1"/>
  <c r="H82" i="1"/>
  <c r="J82" i="1"/>
  <c r="I82" i="1"/>
  <c r="D82" i="1"/>
  <c r="F82" i="1"/>
  <c r="E82" i="1"/>
  <c r="A82" i="1"/>
  <c r="AB93" i="1"/>
  <c r="AD93" i="1"/>
  <c r="AG93" i="1"/>
  <c r="AE93" i="1"/>
  <c r="AC93" i="1"/>
  <c r="Q93" i="1"/>
  <c r="P93" i="1"/>
  <c r="O93" i="1"/>
  <c r="N93" i="1"/>
  <c r="M93" i="1"/>
  <c r="H93" i="1"/>
  <c r="J93" i="1"/>
  <c r="I93" i="1"/>
  <c r="D93" i="1"/>
  <c r="F93" i="1"/>
  <c r="E93" i="1"/>
  <c r="A93" i="1"/>
  <c r="AB92" i="1"/>
  <c r="AD92" i="1"/>
  <c r="AG92" i="1"/>
  <c r="AE92" i="1"/>
  <c r="AC92" i="1"/>
  <c r="Q92" i="1"/>
  <c r="P92" i="1"/>
  <c r="O92" i="1"/>
  <c r="N92" i="1"/>
  <c r="M92" i="1"/>
  <c r="H92" i="1"/>
  <c r="J92" i="1"/>
  <c r="I92" i="1"/>
  <c r="D92" i="1"/>
  <c r="F92" i="1"/>
  <c r="E92" i="1"/>
  <c r="A92" i="1"/>
  <c r="AB91" i="1"/>
  <c r="AD91" i="1"/>
  <c r="AG91" i="1"/>
  <c r="AE91" i="1"/>
  <c r="AC91" i="1"/>
  <c r="Q91" i="1"/>
  <c r="P91" i="1"/>
  <c r="O91" i="1"/>
  <c r="N91" i="1"/>
  <c r="M91" i="1"/>
  <c r="H91" i="1"/>
  <c r="J91" i="1"/>
  <c r="I91" i="1"/>
  <c r="D91" i="1"/>
  <c r="F91" i="1"/>
  <c r="E91" i="1"/>
  <c r="A91" i="1"/>
  <c r="AB90" i="1"/>
  <c r="AD90" i="1"/>
  <c r="AG90" i="1"/>
  <c r="AE90" i="1"/>
  <c r="AC90" i="1"/>
  <c r="Q90" i="1"/>
  <c r="P90" i="1"/>
  <c r="O90" i="1"/>
  <c r="N90" i="1"/>
  <c r="M90" i="1"/>
  <c r="H90" i="1"/>
  <c r="J90" i="1"/>
  <c r="I90" i="1"/>
  <c r="D90" i="1"/>
  <c r="F90" i="1"/>
  <c r="E90" i="1"/>
  <c r="A90" i="1"/>
  <c r="AB81" i="1"/>
  <c r="AD81" i="1"/>
  <c r="AG81" i="1"/>
  <c r="AE81" i="1"/>
  <c r="AC81" i="1"/>
  <c r="W81" i="1"/>
  <c r="V81" i="1"/>
  <c r="Q81" i="1"/>
  <c r="P81" i="1"/>
  <c r="O81" i="1"/>
  <c r="N81" i="1"/>
  <c r="M81" i="1"/>
  <c r="H81" i="1"/>
  <c r="J81" i="1"/>
  <c r="I81" i="1"/>
  <c r="D81" i="1"/>
  <c r="F81" i="1"/>
  <c r="E81" i="1"/>
  <c r="A81" i="1"/>
  <c r="AB80" i="1"/>
  <c r="AD80" i="1"/>
  <c r="AG80" i="1"/>
  <c r="AE80" i="1"/>
  <c r="AC80" i="1"/>
  <c r="W80" i="1"/>
  <c r="V80" i="1"/>
  <c r="Q80" i="1"/>
  <c r="P80" i="1"/>
  <c r="O80" i="1"/>
  <c r="N80" i="1"/>
  <c r="M80" i="1"/>
  <c r="H80" i="1"/>
  <c r="J80" i="1"/>
  <c r="I80" i="1"/>
  <c r="D80" i="1"/>
  <c r="F80" i="1"/>
  <c r="E80" i="1"/>
  <c r="A80" i="1"/>
  <c r="AB79" i="1"/>
  <c r="AD79" i="1"/>
  <c r="AG79" i="1"/>
  <c r="AE79" i="1"/>
  <c r="AC79" i="1"/>
  <c r="W79" i="1"/>
  <c r="V79" i="1"/>
  <c r="Q79" i="1"/>
  <c r="P79" i="1"/>
  <c r="O79" i="1"/>
  <c r="N79" i="1"/>
  <c r="M79" i="1"/>
  <c r="H79" i="1"/>
  <c r="J79" i="1"/>
  <c r="I79" i="1"/>
  <c r="D79" i="1"/>
  <c r="F79" i="1"/>
  <c r="E79" i="1"/>
  <c r="A79" i="1"/>
  <c r="AB78" i="1"/>
  <c r="AD78" i="1"/>
  <c r="AG78" i="1"/>
  <c r="AE78" i="1"/>
  <c r="AC78" i="1"/>
  <c r="W78" i="1"/>
  <c r="V78" i="1"/>
  <c r="Q78" i="1"/>
  <c r="P78" i="1"/>
  <c r="O78" i="1"/>
  <c r="N78" i="1"/>
  <c r="M78" i="1"/>
  <c r="H78" i="1"/>
  <c r="J78" i="1"/>
  <c r="I78" i="1"/>
  <c r="D78" i="1"/>
  <c r="F78" i="1"/>
  <c r="E78" i="1"/>
  <c r="A78" i="1"/>
  <c r="AB77" i="1"/>
  <c r="AD77" i="1"/>
  <c r="AG77" i="1"/>
  <c r="AE77" i="1"/>
  <c r="AC77" i="1"/>
  <c r="W77" i="1"/>
  <c r="V77" i="1"/>
  <c r="Q77" i="1"/>
  <c r="P77" i="1"/>
  <c r="O77" i="1"/>
  <c r="N77" i="1"/>
  <c r="M77" i="1"/>
  <c r="H77" i="1"/>
  <c r="J77" i="1"/>
  <c r="I77" i="1"/>
  <c r="D77" i="1"/>
  <c r="F77" i="1"/>
  <c r="E77" i="1"/>
  <c r="A77" i="1"/>
  <c r="AB76" i="1"/>
  <c r="AD76" i="1"/>
  <c r="AG76" i="1"/>
  <c r="AE76" i="1"/>
  <c r="AC76" i="1"/>
  <c r="W76" i="1"/>
  <c r="V76" i="1"/>
  <c r="Q76" i="1"/>
  <c r="P76" i="1"/>
  <c r="O76" i="1"/>
  <c r="N76" i="1"/>
  <c r="M76" i="1"/>
  <c r="H76" i="1"/>
  <c r="J76" i="1"/>
  <c r="I76" i="1"/>
  <c r="D76" i="1"/>
  <c r="F76" i="1"/>
  <c r="E76" i="1"/>
  <c r="A76" i="1"/>
  <c r="AB75" i="1"/>
  <c r="AD75" i="1"/>
  <c r="AG75" i="1"/>
  <c r="AE75" i="1"/>
  <c r="AC75" i="1"/>
  <c r="W75" i="1"/>
  <c r="V75" i="1"/>
  <c r="Q75" i="1"/>
  <c r="P75" i="1"/>
  <c r="O75" i="1"/>
  <c r="N75" i="1"/>
  <c r="M75" i="1"/>
  <c r="H75" i="1"/>
  <c r="J75" i="1"/>
  <c r="I75" i="1"/>
  <c r="D75" i="1"/>
  <c r="F75" i="1"/>
  <c r="E75" i="1"/>
  <c r="A75" i="1"/>
  <c r="AB74" i="1"/>
  <c r="AD74" i="1"/>
  <c r="AG74" i="1"/>
  <c r="AE74" i="1"/>
  <c r="AC74" i="1"/>
  <c r="W74" i="1"/>
  <c r="V74" i="1"/>
  <c r="Q74" i="1"/>
  <c r="P74" i="1"/>
  <c r="O74" i="1"/>
  <c r="N74" i="1"/>
  <c r="M74" i="1"/>
  <c r="H74" i="1"/>
  <c r="J74" i="1"/>
  <c r="I74" i="1"/>
  <c r="D74" i="1"/>
  <c r="F74" i="1"/>
  <c r="E74" i="1"/>
  <c r="A74" i="1"/>
  <c r="AB73" i="1"/>
  <c r="AD73" i="1"/>
  <c r="AG73" i="1"/>
  <c r="AE73" i="1"/>
  <c r="AC73" i="1"/>
  <c r="W73" i="1"/>
  <c r="V73" i="1"/>
  <c r="Q73" i="1"/>
  <c r="P73" i="1"/>
  <c r="O73" i="1"/>
  <c r="N73" i="1"/>
  <c r="M73" i="1"/>
  <c r="H73" i="1"/>
  <c r="J73" i="1"/>
  <c r="I73" i="1"/>
  <c r="D73" i="1"/>
  <c r="F73" i="1"/>
  <c r="E73" i="1"/>
  <c r="A73" i="1"/>
  <c r="AB72" i="1"/>
  <c r="AD72" i="1"/>
  <c r="AG72" i="1"/>
  <c r="AE72" i="1"/>
  <c r="AC72" i="1"/>
  <c r="W72" i="1"/>
  <c r="V72" i="1"/>
  <c r="Q72" i="1"/>
  <c r="P72" i="1"/>
  <c r="O72" i="1"/>
  <c r="N72" i="1"/>
  <c r="M72" i="1"/>
  <c r="H72" i="1"/>
  <c r="J72" i="1"/>
  <c r="I72" i="1"/>
  <c r="D72" i="1"/>
  <c r="F72" i="1"/>
  <c r="E72" i="1"/>
  <c r="A72" i="1"/>
  <c r="AB71" i="1"/>
  <c r="AD71" i="1"/>
  <c r="AG71" i="1"/>
  <c r="AE71" i="1"/>
  <c r="AC71" i="1"/>
  <c r="W71" i="1"/>
  <c r="V71" i="1"/>
  <c r="Q71" i="1"/>
  <c r="P71" i="1"/>
  <c r="O71" i="1"/>
  <c r="N71" i="1"/>
  <c r="M71" i="1"/>
  <c r="H71" i="1"/>
  <c r="J71" i="1"/>
  <c r="I71" i="1"/>
  <c r="D71" i="1"/>
  <c r="F71" i="1"/>
  <c r="E71" i="1"/>
  <c r="A71" i="1"/>
  <c r="AB70" i="1"/>
  <c r="AD70" i="1"/>
  <c r="AG70" i="1"/>
  <c r="AE70" i="1"/>
  <c r="AC70" i="1"/>
  <c r="W70" i="1"/>
  <c r="V70" i="1"/>
  <c r="Q70" i="1"/>
  <c r="P70" i="1"/>
  <c r="O70" i="1"/>
  <c r="N70" i="1"/>
  <c r="M70" i="1"/>
  <c r="H70" i="1"/>
  <c r="J70" i="1"/>
  <c r="I70" i="1"/>
  <c r="D70" i="1"/>
  <c r="F70" i="1"/>
  <c r="E70" i="1"/>
  <c r="A70" i="1"/>
  <c r="AB65" i="1"/>
  <c r="AD65" i="1"/>
  <c r="AG65" i="1"/>
  <c r="AE65" i="1"/>
  <c r="AC65" i="1"/>
  <c r="W65" i="1"/>
  <c r="V65" i="1"/>
  <c r="Q65" i="1"/>
  <c r="P65" i="1"/>
  <c r="O65" i="1"/>
  <c r="N65" i="1"/>
  <c r="M65" i="1"/>
  <c r="H65" i="1"/>
  <c r="J65" i="1"/>
  <c r="I65" i="1"/>
  <c r="D65" i="1"/>
  <c r="F65" i="1"/>
  <c r="E65" i="1"/>
  <c r="A65" i="1"/>
  <c r="AB64" i="1"/>
  <c r="AD64" i="1"/>
  <c r="AG64" i="1"/>
  <c r="AE64" i="1"/>
  <c r="AC64" i="1"/>
  <c r="W64" i="1"/>
  <c r="V64" i="1"/>
  <c r="Q64" i="1"/>
  <c r="P64" i="1"/>
  <c r="O64" i="1"/>
  <c r="N64" i="1"/>
  <c r="M64" i="1"/>
  <c r="H64" i="1"/>
  <c r="J64" i="1"/>
  <c r="I64" i="1"/>
  <c r="D64" i="1"/>
  <c r="F64" i="1"/>
  <c r="E64" i="1"/>
  <c r="A64" i="1"/>
  <c r="AB61" i="1"/>
  <c r="AD61" i="1"/>
  <c r="AG61" i="1"/>
  <c r="AE61" i="1"/>
  <c r="AC61" i="1"/>
  <c r="W61" i="1"/>
  <c r="V61" i="1"/>
  <c r="Q61" i="1"/>
  <c r="P61" i="1"/>
  <c r="O61" i="1"/>
  <c r="N61" i="1"/>
  <c r="M61" i="1"/>
  <c r="H61" i="1"/>
  <c r="J61" i="1"/>
  <c r="I61" i="1"/>
  <c r="D61" i="1"/>
  <c r="F61" i="1"/>
  <c r="E61" i="1"/>
  <c r="A61" i="1"/>
  <c r="AB60" i="1"/>
  <c r="AD60" i="1"/>
  <c r="AG60" i="1"/>
  <c r="AE60" i="1"/>
  <c r="AC60" i="1"/>
  <c r="W60" i="1"/>
  <c r="V60" i="1"/>
  <c r="Q60" i="1"/>
  <c r="P60" i="1"/>
  <c r="O60" i="1"/>
  <c r="N60" i="1"/>
  <c r="M60" i="1"/>
  <c r="H60" i="1"/>
  <c r="J60" i="1"/>
  <c r="I60" i="1"/>
  <c r="D60" i="1"/>
  <c r="F60" i="1"/>
  <c r="E60" i="1"/>
  <c r="A60" i="1"/>
  <c r="AB59" i="1"/>
  <c r="AD59" i="1"/>
  <c r="AG59" i="1"/>
  <c r="AE59" i="1"/>
  <c r="AC59" i="1"/>
  <c r="W59" i="1"/>
  <c r="V59" i="1"/>
  <c r="Q59" i="1"/>
  <c r="P59" i="1"/>
  <c r="O59" i="1"/>
  <c r="N59" i="1"/>
  <c r="M59" i="1"/>
  <c r="H59" i="1"/>
  <c r="J59" i="1"/>
  <c r="I59" i="1"/>
  <c r="D59" i="1"/>
  <c r="F59" i="1"/>
  <c r="E59" i="1"/>
  <c r="A59" i="1"/>
  <c r="AB58" i="1"/>
  <c r="AD58" i="1"/>
  <c r="AG58" i="1"/>
  <c r="AE58" i="1"/>
  <c r="AC58" i="1"/>
  <c r="W58" i="1"/>
  <c r="V58" i="1"/>
  <c r="Q58" i="1"/>
  <c r="P58" i="1"/>
  <c r="O58" i="1"/>
  <c r="N58" i="1"/>
  <c r="M58" i="1"/>
  <c r="H58" i="1"/>
  <c r="J58" i="1"/>
  <c r="I58" i="1"/>
  <c r="D58" i="1"/>
  <c r="F58" i="1"/>
  <c r="E58" i="1"/>
  <c r="A58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63" i="1"/>
  <c r="H66" i="1"/>
  <c r="H67" i="1"/>
  <c r="H68" i="1"/>
  <c r="H69" i="1"/>
  <c r="H86" i="1"/>
  <c r="H87" i="1"/>
  <c r="H88" i="1"/>
  <c r="H89" i="1"/>
  <c r="O6" i="12"/>
  <c r="N6" i="12"/>
  <c r="M6" i="12"/>
  <c r="O5" i="12"/>
  <c r="O4" i="12"/>
  <c r="O3" i="12"/>
  <c r="O2" i="12"/>
  <c r="N5" i="12"/>
  <c r="M5" i="12"/>
  <c r="N4" i="12"/>
  <c r="M4" i="12"/>
  <c r="N3" i="12"/>
  <c r="M3" i="12"/>
  <c r="N2" i="12"/>
  <c r="M2" i="12"/>
  <c r="AB89" i="1"/>
  <c r="AE89" i="1"/>
  <c r="AD89" i="1"/>
  <c r="AC89" i="1"/>
  <c r="AB88" i="1"/>
  <c r="AE88" i="1"/>
  <c r="AD88" i="1"/>
  <c r="AC88" i="1"/>
  <c r="AB87" i="1"/>
  <c r="AE87" i="1"/>
  <c r="AD87" i="1"/>
  <c r="AC87" i="1"/>
  <c r="AB86" i="1"/>
  <c r="AE86" i="1"/>
  <c r="AD86" i="1"/>
  <c r="AC86" i="1"/>
  <c r="AB69" i="1"/>
  <c r="AE69" i="1"/>
  <c r="AD69" i="1"/>
  <c r="AC69" i="1"/>
  <c r="AB68" i="1"/>
  <c r="AE68" i="1"/>
  <c r="AD68" i="1"/>
  <c r="AC68" i="1"/>
  <c r="AB67" i="1"/>
  <c r="AE67" i="1"/>
  <c r="AD67" i="1"/>
  <c r="AC67" i="1"/>
  <c r="AB66" i="1"/>
  <c r="AE66" i="1"/>
  <c r="AD66" i="1"/>
  <c r="AC66" i="1"/>
  <c r="AB63" i="1"/>
  <c r="AE63" i="1"/>
  <c r="AD63" i="1"/>
  <c r="AC63" i="1"/>
  <c r="AB62" i="1"/>
  <c r="AE62" i="1"/>
  <c r="AD62" i="1"/>
  <c r="AC62" i="1"/>
  <c r="AB57" i="1"/>
  <c r="AE57" i="1"/>
  <c r="AD57" i="1"/>
  <c r="AC57" i="1"/>
  <c r="AB56" i="1"/>
  <c r="AE56" i="1"/>
  <c r="AD56" i="1"/>
  <c r="AC56" i="1"/>
  <c r="AB55" i="1"/>
  <c r="AE55" i="1"/>
  <c r="AD55" i="1"/>
  <c r="AC55" i="1"/>
  <c r="AB54" i="1"/>
  <c r="AE54" i="1"/>
  <c r="AD54" i="1"/>
  <c r="AC54" i="1"/>
  <c r="AB53" i="1"/>
  <c r="AE53" i="1"/>
  <c r="AD53" i="1"/>
  <c r="AC53" i="1"/>
  <c r="AB52" i="1"/>
  <c r="AE52" i="1"/>
  <c r="AD52" i="1"/>
  <c r="AC52" i="1"/>
  <c r="AB51" i="1"/>
  <c r="AE51" i="1"/>
  <c r="AD51" i="1"/>
  <c r="AC51" i="1"/>
  <c r="AB50" i="1"/>
  <c r="AE50" i="1"/>
  <c r="AD50" i="1"/>
  <c r="AC50" i="1"/>
  <c r="AB49" i="1"/>
  <c r="AE49" i="1"/>
  <c r="AD49" i="1"/>
  <c r="AC49" i="1"/>
  <c r="AB48" i="1"/>
  <c r="AE48" i="1"/>
  <c r="AD48" i="1"/>
  <c r="AC48" i="1"/>
  <c r="AB47" i="1"/>
  <c r="AE47" i="1"/>
  <c r="AD47" i="1"/>
  <c r="AC47" i="1"/>
  <c r="AB46" i="1"/>
  <c r="AE46" i="1"/>
  <c r="AD46" i="1"/>
  <c r="AC46" i="1"/>
  <c r="AB45" i="1"/>
  <c r="AE45" i="1"/>
  <c r="AD45" i="1"/>
  <c r="AC45" i="1"/>
  <c r="AB44" i="1"/>
  <c r="AE44" i="1"/>
  <c r="AD44" i="1"/>
  <c r="AC44" i="1"/>
  <c r="AB43" i="1"/>
  <c r="AE43" i="1"/>
  <c r="AD43" i="1"/>
  <c r="AC43" i="1"/>
  <c r="AB42" i="1"/>
  <c r="AE42" i="1"/>
  <c r="AD42" i="1"/>
  <c r="AC42" i="1"/>
  <c r="AB41" i="1"/>
  <c r="AE41" i="1"/>
  <c r="AD41" i="1"/>
  <c r="AC41" i="1"/>
  <c r="AB40" i="1"/>
  <c r="AE40" i="1"/>
  <c r="AD40" i="1"/>
  <c r="AC40" i="1"/>
  <c r="AB39" i="1"/>
  <c r="AE39" i="1"/>
  <c r="AD39" i="1"/>
  <c r="AC39" i="1"/>
  <c r="AB38" i="1"/>
  <c r="AE38" i="1"/>
  <c r="AD38" i="1"/>
  <c r="AC38" i="1"/>
  <c r="AB37" i="1"/>
  <c r="AE37" i="1"/>
  <c r="AD37" i="1"/>
  <c r="AC37" i="1"/>
  <c r="AB36" i="1"/>
  <c r="AE36" i="1"/>
  <c r="AD36" i="1"/>
  <c r="AC36" i="1"/>
  <c r="AB35" i="1"/>
  <c r="AE35" i="1"/>
  <c r="AD35" i="1"/>
  <c r="AC35" i="1"/>
  <c r="AB34" i="1"/>
  <c r="AE34" i="1"/>
  <c r="AD34" i="1"/>
  <c r="AC34" i="1"/>
  <c r="AB33" i="1"/>
  <c r="AE33" i="1"/>
  <c r="AD33" i="1"/>
  <c r="AC33" i="1"/>
  <c r="AB32" i="1"/>
  <c r="AE32" i="1"/>
  <c r="AD32" i="1"/>
  <c r="AC32" i="1"/>
  <c r="AB31" i="1"/>
  <c r="AE31" i="1"/>
  <c r="AD31" i="1"/>
  <c r="AC31" i="1"/>
  <c r="AB30" i="1"/>
  <c r="AE30" i="1"/>
  <c r="AD30" i="1"/>
  <c r="AC30" i="1"/>
  <c r="AB29" i="1"/>
  <c r="AE29" i="1"/>
  <c r="AD29" i="1"/>
  <c r="AC29" i="1"/>
  <c r="AB28" i="1"/>
  <c r="AE28" i="1"/>
  <c r="AD28" i="1"/>
  <c r="AC28" i="1"/>
  <c r="AB27" i="1"/>
  <c r="AE27" i="1"/>
  <c r="AD27" i="1"/>
  <c r="AC27" i="1"/>
  <c r="AB26" i="1"/>
  <c r="AE26" i="1"/>
  <c r="AD26" i="1"/>
  <c r="AC26" i="1"/>
  <c r="AB25" i="1"/>
  <c r="AE25" i="1"/>
  <c r="AD25" i="1"/>
  <c r="AC25" i="1"/>
  <c r="AB24" i="1"/>
  <c r="AE24" i="1"/>
  <c r="AD24" i="1"/>
  <c r="AC24" i="1"/>
  <c r="AB23" i="1"/>
  <c r="AE23" i="1"/>
  <c r="AD23" i="1"/>
  <c r="AC23" i="1"/>
  <c r="AB22" i="1"/>
  <c r="AE22" i="1"/>
  <c r="AD22" i="1"/>
  <c r="AC22" i="1"/>
  <c r="AB21" i="1"/>
  <c r="AE21" i="1"/>
  <c r="AD21" i="1"/>
  <c r="AC21" i="1"/>
  <c r="AB20" i="1"/>
  <c r="AE20" i="1"/>
  <c r="AD20" i="1"/>
  <c r="AC20" i="1"/>
  <c r="AB19" i="1"/>
  <c r="AE19" i="1"/>
  <c r="AD19" i="1"/>
  <c r="AC19" i="1"/>
  <c r="AB18" i="1"/>
  <c r="AE18" i="1"/>
  <c r="AD18" i="1"/>
  <c r="AC18" i="1"/>
  <c r="AB17" i="1"/>
  <c r="AE17" i="1"/>
  <c r="AD17" i="1"/>
  <c r="AC17" i="1"/>
  <c r="AB16" i="1"/>
  <c r="AE16" i="1"/>
  <c r="AD16" i="1"/>
  <c r="AC16" i="1"/>
  <c r="AB15" i="1"/>
  <c r="AE15" i="1"/>
  <c r="AD15" i="1"/>
  <c r="AC15" i="1"/>
  <c r="AB14" i="1"/>
  <c r="AE14" i="1"/>
  <c r="AD14" i="1"/>
  <c r="AC14" i="1"/>
  <c r="AB13" i="1"/>
  <c r="AE13" i="1"/>
  <c r="AD13" i="1"/>
  <c r="AC13" i="1"/>
  <c r="AB12" i="1"/>
  <c r="AE12" i="1"/>
  <c r="AD12" i="1"/>
  <c r="AC12" i="1"/>
  <c r="AB11" i="1"/>
  <c r="AE11" i="1"/>
  <c r="AD11" i="1"/>
  <c r="AC11" i="1"/>
  <c r="AB10" i="1"/>
  <c r="AE10" i="1"/>
  <c r="AD10" i="1"/>
  <c r="AC10" i="1"/>
  <c r="AB9" i="1"/>
  <c r="AE9" i="1"/>
  <c r="AD9" i="1"/>
  <c r="AC9" i="1"/>
  <c r="AB8" i="1"/>
  <c r="AE8" i="1"/>
  <c r="AD8" i="1"/>
  <c r="AC8" i="1"/>
  <c r="AB7" i="1"/>
  <c r="AE7" i="1"/>
  <c r="AD7" i="1"/>
  <c r="AC7" i="1"/>
  <c r="AB6" i="1"/>
  <c r="AE6" i="1"/>
  <c r="AD6" i="1"/>
  <c r="AC6" i="1"/>
  <c r="AB5" i="1"/>
  <c r="AE5" i="1"/>
  <c r="AD5" i="1"/>
  <c r="AC5" i="1"/>
  <c r="AB4" i="1"/>
  <c r="AE4" i="1"/>
  <c r="AD4" i="1"/>
  <c r="AC4" i="1"/>
  <c r="AB3" i="1"/>
  <c r="AE3" i="1"/>
  <c r="AD3" i="1"/>
  <c r="AC3" i="1"/>
  <c r="AB2" i="1"/>
  <c r="AE2" i="1"/>
  <c r="AD2" i="1"/>
  <c r="AC2" i="1"/>
  <c r="J89" i="1"/>
  <c r="I89" i="1"/>
  <c r="J88" i="1"/>
  <c r="I88" i="1"/>
  <c r="J87" i="1"/>
  <c r="I87" i="1"/>
  <c r="J86" i="1"/>
  <c r="I86" i="1"/>
  <c r="J69" i="1"/>
  <c r="I69" i="1"/>
  <c r="J68" i="1"/>
  <c r="I68" i="1"/>
  <c r="J67" i="1"/>
  <c r="I67" i="1"/>
  <c r="J66" i="1"/>
  <c r="I66" i="1"/>
  <c r="J63" i="1"/>
  <c r="I63" i="1"/>
  <c r="J62" i="1"/>
  <c r="I62" i="1"/>
  <c r="J57" i="1"/>
  <c r="I57" i="1"/>
  <c r="J56" i="1"/>
  <c r="I56" i="1"/>
  <c r="J55" i="1"/>
  <c r="I55" i="1"/>
  <c r="J54" i="1"/>
  <c r="I54" i="1"/>
  <c r="J53" i="1"/>
  <c r="I53" i="1"/>
  <c r="J52" i="1"/>
  <c r="I52" i="1"/>
  <c r="J51" i="1"/>
  <c r="I51" i="1"/>
  <c r="J50" i="1"/>
  <c r="I50" i="1"/>
  <c r="J49" i="1"/>
  <c r="I49" i="1"/>
  <c r="J48" i="1"/>
  <c r="I48" i="1"/>
  <c r="J47" i="1"/>
  <c r="I47" i="1"/>
  <c r="J46" i="1"/>
  <c r="I46" i="1"/>
  <c r="J45" i="1"/>
  <c r="I45" i="1"/>
  <c r="J44" i="1"/>
  <c r="I44" i="1"/>
  <c r="J43" i="1"/>
  <c r="I43" i="1"/>
  <c r="J42" i="1"/>
  <c r="I42" i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  <c r="J2" i="1"/>
  <c r="I2" i="1"/>
  <c r="E2" i="1"/>
  <c r="E8" i="7"/>
  <c r="E7" i="7"/>
  <c r="E6" i="7"/>
  <c r="E5" i="7"/>
  <c r="E4" i="7"/>
  <c r="E3" i="7"/>
  <c r="E2" i="7"/>
  <c r="W89" i="1"/>
  <c r="W88" i="1"/>
  <c r="W87" i="1"/>
  <c r="W86" i="1"/>
  <c r="W69" i="1"/>
  <c r="W68" i="1"/>
  <c r="W67" i="1"/>
  <c r="W66" i="1"/>
  <c r="W63" i="1"/>
  <c r="W62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Q89" i="1"/>
  <c r="P89" i="1"/>
  <c r="O89" i="1"/>
  <c r="N89" i="1"/>
  <c r="M89" i="1"/>
  <c r="Q88" i="1"/>
  <c r="P88" i="1"/>
  <c r="O88" i="1"/>
  <c r="N88" i="1"/>
  <c r="M88" i="1"/>
  <c r="Q87" i="1"/>
  <c r="P87" i="1"/>
  <c r="O87" i="1"/>
  <c r="N87" i="1"/>
  <c r="M87" i="1"/>
  <c r="Q86" i="1"/>
  <c r="P86" i="1"/>
  <c r="O86" i="1"/>
  <c r="N86" i="1"/>
  <c r="M86" i="1"/>
  <c r="Q69" i="1"/>
  <c r="P69" i="1"/>
  <c r="O69" i="1"/>
  <c r="N69" i="1"/>
  <c r="M69" i="1"/>
  <c r="Q68" i="1"/>
  <c r="P68" i="1"/>
  <c r="O68" i="1"/>
  <c r="N68" i="1"/>
  <c r="M68" i="1"/>
  <c r="Q67" i="1"/>
  <c r="P67" i="1"/>
  <c r="O67" i="1"/>
  <c r="N67" i="1"/>
  <c r="M67" i="1"/>
  <c r="Q66" i="1"/>
  <c r="P66" i="1"/>
  <c r="O66" i="1"/>
  <c r="N66" i="1"/>
  <c r="M66" i="1"/>
  <c r="Q63" i="1"/>
  <c r="P63" i="1"/>
  <c r="O63" i="1"/>
  <c r="N63" i="1"/>
  <c r="M63" i="1"/>
  <c r="Q62" i="1"/>
  <c r="P62" i="1"/>
  <c r="O62" i="1"/>
  <c r="N62" i="1"/>
  <c r="M62" i="1"/>
  <c r="Q57" i="1"/>
  <c r="P57" i="1"/>
  <c r="O57" i="1"/>
  <c r="N57" i="1"/>
  <c r="M57" i="1"/>
  <c r="Q56" i="1"/>
  <c r="P56" i="1"/>
  <c r="O56" i="1"/>
  <c r="N56" i="1"/>
  <c r="M56" i="1"/>
  <c r="Q55" i="1"/>
  <c r="P55" i="1"/>
  <c r="O55" i="1"/>
  <c r="N55" i="1"/>
  <c r="M55" i="1"/>
  <c r="Q54" i="1"/>
  <c r="P54" i="1"/>
  <c r="O54" i="1"/>
  <c r="N54" i="1"/>
  <c r="M54" i="1"/>
  <c r="Q53" i="1"/>
  <c r="P53" i="1"/>
  <c r="O53" i="1"/>
  <c r="N53" i="1"/>
  <c r="M53" i="1"/>
  <c r="Q52" i="1"/>
  <c r="P52" i="1"/>
  <c r="O52" i="1"/>
  <c r="N52" i="1"/>
  <c r="M52" i="1"/>
  <c r="Q51" i="1"/>
  <c r="P51" i="1"/>
  <c r="O51" i="1"/>
  <c r="N51" i="1"/>
  <c r="M51" i="1"/>
  <c r="Q50" i="1"/>
  <c r="P50" i="1"/>
  <c r="O50" i="1"/>
  <c r="N50" i="1"/>
  <c r="M50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O2" i="1"/>
  <c r="Q2" i="1"/>
  <c r="P2" i="1"/>
  <c r="N2" i="1"/>
  <c r="M2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A89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62" i="1"/>
  <c r="A63" i="1"/>
  <c r="A66" i="1"/>
  <c r="A67" i="1"/>
  <c r="A68" i="1"/>
  <c r="A69" i="1"/>
  <c r="A86" i="1"/>
  <c r="A87" i="1"/>
  <c r="A88" i="1"/>
  <c r="AG89" i="1"/>
  <c r="AG88" i="1"/>
  <c r="AG87" i="1"/>
  <c r="AG86" i="1"/>
  <c r="AG69" i="1"/>
  <c r="AG68" i="1"/>
  <c r="AG67" i="1"/>
  <c r="AG66" i="1"/>
  <c r="AG63" i="1"/>
  <c r="AG62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V89" i="1"/>
  <c r="D89" i="1"/>
  <c r="F89" i="1"/>
  <c r="E89" i="1"/>
  <c r="V88" i="1"/>
  <c r="D88" i="1"/>
  <c r="F88" i="1"/>
  <c r="E88" i="1"/>
  <c r="V87" i="1"/>
  <c r="D87" i="1"/>
  <c r="F87" i="1"/>
  <c r="E87" i="1"/>
  <c r="V86" i="1"/>
  <c r="D86" i="1"/>
  <c r="F86" i="1"/>
  <c r="E86" i="1"/>
  <c r="V69" i="1"/>
  <c r="D69" i="1"/>
  <c r="F69" i="1"/>
  <c r="E69" i="1"/>
  <c r="V68" i="1"/>
  <c r="D68" i="1"/>
  <c r="F68" i="1"/>
  <c r="E68" i="1"/>
  <c r="V67" i="1"/>
  <c r="D67" i="1"/>
  <c r="F67" i="1"/>
  <c r="E67" i="1"/>
  <c r="V66" i="1"/>
  <c r="D66" i="1"/>
  <c r="F66" i="1"/>
  <c r="E66" i="1"/>
  <c r="V63" i="1"/>
  <c r="D63" i="1"/>
  <c r="F63" i="1"/>
  <c r="E63" i="1"/>
  <c r="V62" i="1"/>
  <c r="D62" i="1"/>
  <c r="F62" i="1"/>
  <c r="E62" i="1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D2" i="1"/>
  <c r="F2" i="1"/>
  <c r="V2" i="1"/>
  <c r="E3" i="1"/>
  <c r="D3" i="1"/>
  <c r="F3" i="1"/>
  <c r="V3" i="1"/>
  <c r="E4" i="1"/>
  <c r="D4" i="1"/>
  <c r="F4" i="1"/>
  <c r="V4" i="1"/>
  <c r="E5" i="1"/>
  <c r="D5" i="1"/>
  <c r="F5" i="1"/>
  <c r="V5" i="1"/>
  <c r="E6" i="1"/>
  <c r="D6" i="1"/>
  <c r="F6" i="1"/>
  <c r="V6" i="1"/>
  <c r="E7" i="1"/>
  <c r="D7" i="1"/>
  <c r="F7" i="1"/>
  <c r="V7" i="1"/>
  <c r="E8" i="1"/>
  <c r="D8" i="1"/>
  <c r="F8" i="1"/>
  <c r="V8" i="1"/>
  <c r="E9" i="1"/>
  <c r="D9" i="1"/>
  <c r="F9" i="1"/>
  <c r="V9" i="1"/>
  <c r="E10" i="1"/>
  <c r="D10" i="1"/>
  <c r="F10" i="1"/>
  <c r="V10" i="1"/>
  <c r="E11" i="1"/>
  <c r="D11" i="1"/>
  <c r="F11" i="1"/>
  <c r="V11" i="1"/>
  <c r="E12" i="1"/>
  <c r="D12" i="1"/>
  <c r="F12" i="1"/>
  <c r="V12" i="1"/>
  <c r="E13" i="1"/>
  <c r="D13" i="1"/>
  <c r="F13" i="1"/>
  <c r="V13" i="1"/>
  <c r="E14" i="1"/>
  <c r="D14" i="1"/>
  <c r="F14" i="1"/>
  <c r="V14" i="1"/>
  <c r="E15" i="1"/>
  <c r="D15" i="1"/>
  <c r="F15" i="1"/>
  <c r="V15" i="1"/>
  <c r="E16" i="1"/>
  <c r="D16" i="1"/>
  <c r="F16" i="1"/>
  <c r="V16" i="1"/>
  <c r="E17" i="1"/>
  <c r="D17" i="1"/>
  <c r="F17" i="1"/>
  <c r="V17" i="1"/>
  <c r="E18" i="1"/>
  <c r="D18" i="1"/>
  <c r="F18" i="1"/>
  <c r="V18" i="1"/>
  <c r="E19" i="1"/>
  <c r="D19" i="1"/>
  <c r="F19" i="1"/>
  <c r="V19" i="1"/>
  <c r="E20" i="1"/>
  <c r="D20" i="1"/>
  <c r="F20" i="1"/>
  <c r="V20" i="1"/>
  <c r="E21" i="1"/>
  <c r="D21" i="1"/>
  <c r="F21" i="1"/>
  <c r="V21" i="1"/>
  <c r="E22" i="1"/>
  <c r="D22" i="1"/>
  <c r="F22" i="1"/>
  <c r="V22" i="1"/>
  <c r="E23" i="1"/>
  <c r="D23" i="1"/>
  <c r="F23" i="1"/>
  <c r="V23" i="1"/>
  <c r="E24" i="1"/>
  <c r="D24" i="1"/>
  <c r="F24" i="1"/>
  <c r="V24" i="1"/>
  <c r="E25" i="1"/>
  <c r="D25" i="1"/>
  <c r="F25" i="1"/>
  <c r="V25" i="1"/>
  <c r="E26" i="1"/>
  <c r="D26" i="1"/>
  <c r="F26" i="1"/>
  <c r="V26" i="1"/>
  <c r="E27" i="1"/>
  <c r="D27" i="1"/>
  <c r="F27" i="1"/>
  <c r="V27" i="1"/>
  <c r="E28" i="1"/>
  <c r="D28" i="1"/>
  <c r="F28" i="1"/>
  <c r="V28" i="1"/>
  <c r="E29" i="1"/>
  <c r="D29" i="1"/>
  <c r="F29" i="1"/>
  <c r="V29" i="1"/>
  <c r="E30" i="1"/>
  <c r="D30" i="1"/>
  <c r="F30" i="1"/>
  <c r="V30" i="1"/>
  <c r="E31" i="1"/>
  <c r="D31" i="1"/>
  <c r="F31" i="1"/>
  <c r="V31" i="1"/>
  <c r="E32" i="1"/>
  <c r="D32" i="1"/>
  <c r="F32" i="1"/>
  <c r="V32" i="1"/>
  <c r="E33" i="1"/>
  <c r="D33" i="1"/>
  <c r="F33" i="1"/>
  <c r="V33" i="1"/>
  <c r="E34" i="1"/>
  <c r="D34" i="1"/>
  <c r="F34" i="1"/>
  <c r="V34" i="1"/>
  <c r="E35" i="1"/>
  <c r="D35" i="1"/>
  <c r="F35" i="1"/>
  <c r="V35" i="1"/>
  <c r="E36" i="1"/>
  <c r="D36" i="1"/>
  <c r="F36" i="1"/>
  <c r="V36" i="1"/>
  <c r="E37" i="1"/>
  <c r="D37" i="1"/>
  <c r="F37" i="1"/>
  <c r="V37" i="1"/>
  <c r="E38" i="1"/>
  <c r="D38" i="1"/>
  <c r="F38" i="1"/>
  <c r="V38" i="1"/>
  <c r="E39" i="1"/>
  <c r="D39" i="1"/>
  <c r="F39" i="1"/>
  <c r="V39" i="1"/>
  <c r="E40" i="1"/>
  <c r="D40" i="1"/>
  <c r="F40" i="1"/>
  <c r="V40" i="1"/>
  <c r="E41" i="1"/>
  <c r="D41" i="1"/>
  <c r="F41" i="1"/>
  <c r="V41" i="1"/>
  <c r="E42" i="1"/>
  <c r="D42" i="1"/>
  <c r="F42" i="1"/>
  <c r="V42" i="1"/>
  <c r="E43" i="1"/>
  <c r="D43" i="1"/>
  <c r="F43" i="1"/>
  <c r="V43" i="1"/>
  <c r="E44" i="1"/>
  <c r="D44" i="1"/>
  <c r="F44" i="1"/>
  <c r="V44" i="1"/>
  <c r="E45" i="1"/>
  <c r="D45" i="1"/>
  <c r="F45" i="1"/>
  <c r="V45" i="1"/>
  <c r="E46" i="1"/>
  <c r="D46" i="1"/>
  <c r="F46" i="1"/>
  <c r="V46" i="1"/>
  <c r="E47" i="1"/>
  <c r="D47" i="1"/>
  <c r="F47" i="1"/>
  <c r="V47" i="1"/>
  <c r="E48" i="1"/>
  <c r="D48" i="1"/>
  <c r="F48" i="1"/>
  <c r="V48" i="1"/>
  <c r="E49" i="1"/>
  <c r="D49" i="1"/>
  <c r="F49" i="1"/>
  <c r="V49" i="1"/>
  <c r="E50" i="1"/>
  <c r="D50" i="1"/>
  <c r="F50" i="1"/>
  <c r="V50" i="1"/>
  <c r="E51" i="1"/>
  <c r="D51" i="1"/>
  <c r="F51" i="1"/>
  <c r="V51" i="1"/>
  <c r="E52" i="1"/>
  <c r="D52" i="1"/>
  <c r="F52" i="1"/>
  <c r="V52" i="1"/>
  <c r="E53" i="1"/>
  <c r="D53" i="1"/>
  <c r="F53" i="1"/>
  <c r="V53" i="1"/>
  <c r="E54" i="1"/>
  <c r="D54" i="1"/>
  <c r="F54" i="1"/>
  <c r="V54" i="1"/>
  <c r="E55" i="1"/>
  <c r="D55" i="1"/>
  <c r="F55" i="1"/>
  <c r="V55" i="1"/>
  <c r="E56" i="1"/>
  <c r="D56" i="1"/>
  <c r="F56" i="1"/>
  <c r="V56" i="1"/>
  <c r="E57" i="1"/>
  <c r="D57" i="1"/>
  <c r="F57" i="1"/>
  <c r="V57" i="1"/>
  <c r="H11" i="2"/>
  <c r="H10" i="2"/>
  <c r="H9" i="2"/>
  <c r="H8" i="2"/>
  <c r="H7" i="2"/>
  <c r="H6" i="2"/>
  <c r="H5" i="2"/>
  <c r="H4" i="2"/>
  <c r="H3" i="2"/>
  <c r="H2" i="2"/>
  <c r="E11" i="2"/>
  <c r="D11" i="2"/>
  <c r="B11" i="2"/>
  <c r="E10" i="2"/>
  <c r="D10" i="2"/>
  <c r="B10" i="2"/>
  <c r="E9" i="2"/>
  <c r="D9" i="2"/>
  <c r="B9" i="2"/>
  <c r="E8" i="2"/>
  <c r="D8" i="2"/>
  <c r="B8" i="2"/>
  <c r="E7" i="2"/>
  <c r="D7" i="2"/>
  <c r="B7" i="2"/>
  <c r="E6" i="2"/>
  <c r="D6" i="2"/>
  <c r="B6" i="2"/>
  <c r="E5" i="2"/>
  <c r="D5" i="2"/>
  <c r="B5" i="2"/>
  <c r="E4" i="2"/>
  <c r="D4" i="2"/>
  <c r="B4" i="2"/>
  <c r="E3" i="2"/>
  <c r="D3" i="2"/>
  <c r="B3" i="2"/>
  <c r="AG2" i="1"/>
  <c r="B2" i="2"/>
  <c r="E2" i="2"/>
  <c r="D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P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K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<sst xmlns="http://schemas.openxmlformats.org/spreadsheetml/2006/main" count="329" uniqueCount="167">
  <si>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</si>
  <si>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</si>
  <si>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</si>
  <si>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</si>
  <si>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</si>
  <si>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</si>
  <si>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</si>
  <si>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</si>
  <si>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</si>
  <si>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</si>
  <si>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</si>
  <si>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</si>
  <si>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</si>
  <si>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</si>
  <si>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</si>
  <si>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</si>
  <si>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</si>
  <si>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</si>
  <si>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</si>
  <si>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</si>
  <si>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</si>
  <si>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</si>
  <si>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</si>
  <si>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</si>
  <si>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</si>
  <si>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</si>
  <si>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</si>
  <si>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</si>
  <si>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</si>
  <si>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</si>
  <si>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</si>
  <si>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</si>
  <si>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</si>
  <si>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</si>
  <si>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</si>
  <si>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</si>
  <si>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</si>
  <si>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</si>
  <si>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</si>
  <si>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</si>
  <si>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</si>
  <si>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</si>
  <si>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</si>
  <si>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</si>
  <si>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</si>
  <si>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</si>
  <si>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drop_label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</si>
  <si>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</si>
  <si>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</si>
  <si>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</si>
  <si>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</si>
  <si>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</si>
  <si>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</si>
  <si>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</si>
  <si>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</si>
  <si>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</si>
  <si>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</si>
  <si>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</si>
  <si>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</si>
  <si>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</si>
  <si>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old</t>
    <phoneticPr fontId="4"/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</si>
  <si>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</si>
  <si>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</si>
  <si>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</si>
  <si>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</si>
  <si>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enemy_habitats</t>
    <phoneticPr fontId="4"/>
  </si>
  <si>
    <t>seq_no</t>
    <phoneticPr fontId="4"/>
  </si>
  <si>
    <t>enemy_habitat_S_</t>
    <phoneticPr fontId="4"/>
  </si>
  <si>
    <t>enemy_habitat_S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</si>
  <si>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</si>
  <si>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</si>
  <si>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</si>
  <si>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</si>
  <si>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</si>
  <si>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old</t>
    <phoneticPr fontId="4"/>
  </si>
  <si>
    <t>enemy_skill_sets_</t>
    <phoneticPr fontId="4"/>
  </si>
  <si>
    <t>.tmp</t>
    <phoneticPr fontId="4"/>
  </si>
  <si>
    <t>enemy_skill_sets</t>
    <phoneticPr fontId="4"/>
  </si>
  <si>
    <t>skill_id</t>
  </si>
  <si>
    <t>skill_trigger_id</t>
  </si>
  <si>
    <t>old</t>
    <phoneticPr fontId="4"/>
  </si>
  <si>
    <t>enemy_skills_tmp_</t>
    <phoneticPr fontId="4"/>
  </si>
  <si>
    <t>.tmp</t>
    <phoneticPr fontId="4"/>
  </si>
  <si>
    <t>enemy_skills</t>
    <phoneticPr fontId="4"/>
  </si>
  <si>
    <t>enemy_skill_id</t>
  </si>
  <si>
    <t>effect_param</t>
    <phoneticPr fontId="4"/>
  </si>
  <si>
    <t>valid_flg</t>
  </si>
  <si>
    <t>old</t>
    <phoneticPr fontId="4"/>
  </si>
  <si>
    <t>enemy_skills_i18n_</t>
    <phoneticPr fontId="4"/>
  </si>
  <si>
    <t>.tmp</t>
    <phoneticPr fontId="4"/>
  </si>
  <si>
    <t>enemy_skills</t>
    <phoneticPr fontId="4"/>
  </si>
  <si>
    <t>language</t>
  </si>
  <si>
    <t>name</t>
  </si>
  <si>
    <t>comment</t>
  </si>
  <si>
    <t>enemy_skill_triggers_</t>
    <phoneticPr fontId="4"/>
  </si>
  <si>
    <t>.tmp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</si>
  <si>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</si>
  <si>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</si>
  <si>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</si>
  <si>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</si>
  <si>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</si>
  <si>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</si>
  <si>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</si>
  <si>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</si>
  <si>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</si>
  <si>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</si>
  <si>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temp_habitats</t>
    <phoneticPr fontId="4"/>
  </si>
  <si>
    <t>temp_stage</t>
    <phoneticPr fontId="4"/>
  </si>
  <si>
    <t>name</t>
    <phoneticPr fontId="4"/>
  </si>
  <si>
    <t>name</t>
    <phoneticPr fontId="4"/>
  </si>
  <si>
    <t>floor_id</t>
    <phoneticPr fontId="4"/>
  </si>
  <si>
    <t>temp_floor</t>
    <phoneticPr fontId="4"/>
  </si>
  <si>
    <t>seq_no</t>
    <phoneticPr fontId="4"/>
  </si>
  <si>
    <t>state_no</t>
    <phoneticPr fontId="4"/>
  </si>
  <si>
    <t>color</t>
    <phoneticPr fontId="4"/>
  </si>
  <si>
    <t>drop_label</t>
    <phoneticPr fontId="4"/>
  </si>
  <si>
    <t>character_main_tribe_id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</si>
  <si>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</si>
  <si>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</si>
  <si>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</si>
  <si>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</si>
  <si>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</si>
  <si>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</si>
  <si>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</si>
  <si>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</si>
  <si>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</si>
  <si>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</si>
  <si>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</si>
  <si>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</si>
  <si>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neighbor_dead_id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</si>
  <si>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</si>
  <si>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</si>
  <si>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</si>
  <si>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</si>
  <si>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effect_param</t>
    <phoneticPr fontId="4"/>
  </si>
  <si>
    <t>language</t>
    <phoneticPr fontId="4"/>
  </si>
  <si>
    <t>name</t>
    <phoneticPr fontId="6"/>
  </si>
  <si>
    <t>comment</t>
    <phoneticPr fontId="6"/>
  </si>
  <si>
    <t>ja</t>
    <phoneticPr fontId="4"/>
  </si>
  <si>
    <t>skill_trigger_id</t>
    <phoneticPr fontId="6"/>
  </si>
  <si>
    <t>first_time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</si>
  <si>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</si>
  <si>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</si>
  <si>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</si>
  <si>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</si>
  <si>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invoke_weight</t>
    <phoneticPr fontId="4"/>
  </si>
  <si>
    <t>重複チェック</t>
    <rPh sb="0" eb="2">
      <t>チョウフク</t>
    </rPh>
    <phoneticPr fontId="4"/>
  </si>
  <si>
    <t>null</t>
    <phoneticPr fontId="4"/>
  </si>
  <si>
    <t>seq_no</t>
    <phoneticPr fontId="4"/>
  </si>
  <si>
    <t>null</t>
    <phoneticPr fontId="4"/>
  </si>
  <si>
    <t>null</t>
    <phoneticPr fontId="4"/>
  </si>
  <si>
    <t>吉澤</t>
    <rPh sb="0" eb="2">
      <t>ヨシザワ</t>
    </rPh>
    <phoneticPr fontId="4"/>
  </si>
  <si>
    <t>null</t>
    <phoneticPr fontId="4"/>
  </si>
  <si>
    <t>name</t>
    <phoneticPr fontId="4"/>
  </si>
  <si>
    <t>ピヨピヨ</t>
    <phoneticPr fontId="4"/>
  </si>
  <si>
    <t>チック</t>
    <phoneticPr fontId="4"/>
  </si>
  <si>
    <t>ダック</t>
    <phoneticPr fontId="4"/>
  </si>
  <si>
    <t>ジェントル</t>
    <phoneticPr fontId="4"/>
  </si>
  <si>
    <t>Lv.</t>
    <phoneticPr fontId="4"/>
  </si>
  <si>
    <t>HP</t>
    <phoneticPr fontId="4"/>
  </si>
  <si>
    <t>Attack</t>
    <phoneticPr fontId="4"/>
  </si>
  <si>
    <t>Defense</t>
    <phoneticPr fontId="4"/>
  </si>
  <si>
    <t>Speed</t>
    <phoneticPr fontId="4"/>
  </si>
  <si>
    <t>skip</t>
    <phoneticPr fontId="4"/>
  </si>
  <si>
    <t>なんと、メタルジェントルがあらわれた！</t>
    <phoneticPr fontId="4"/>
  </si>
  <si>
    <t>[effect:enemy_message, val1:2.5]</t>
    <phoneticPr fontId="4"/>
  </si>
  <si>
    <t>登場するとこ 間違えたグワッ！ Σ(ﾟДﾟ)</t>
    <rPh sb="7" eb="9">
      <t>マチガエタ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</si>
</sst>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4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52"/>
      <name val="lr oSVbN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sz val="12"/>
      <color indexed="17"/>
      <name val="lr oSVbN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55"/>
        <bgColor indexed="23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5"/>
        <bgColor indexed="29"/>
      </patternFill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318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>
      <alignment vertical="center"/>
    </xf>
    <xf numFmtId="0" fontId="16" fillId="0" borderId="0"/>
    <xf numFmtId="38" fontId="17" fillId="0" borderId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1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0" borderId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3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3" borderId="0" applyNumberFormat="0" applyBorder="0" applyAlignment="0" applyProtection="0"/>
    <xf numFmtId="0" fontId="26" fillId="18" borderId="0" applyNumberFormat="0" applyBorder="0" applyAlignment="0" applyProtection="0"/>
    <xf numFmtId="0" fontId="26" fillId="15" borderId="0" applyNumberFormat="0" applyBorder="0" applyAlignment="0" applyProtection="0"/>
    <xf numFmtId="0" fontId="26" fillId="13" borderId="0" applyNumberFormat="0" applyBorder="0" applyAlignment="0" applyProtection="0"/>
    <xf numFmtId="0" fontId="26" fillId="19" borderId="0" applyNumberFormat="0" applyBorder="0" applyAlignment="0" applyProtection="0"/>
    <xf numFmtId="0" fontId="26" fillId="14" borderId="0" applyNumberFormat="0" applyBorder="0" applyAlignment="0" applyProtection="0"/>
    <xf numFmtId="0" fontId="27" fillId="20" borderId="0" applyNumberFormat="0" applyBorder="0" applyAlignment="0" applyProtection="0"/>
    <xf numFmtId="0" fontId="27" fillId="18" borderId="0" applyNumberFormat="0" applyBorder="0" applyAlignment="0" applyProtection="0"/>
    <xf numFmtId="0" fontId="27" fillId="15" borderId="0" applyNumberFormat="0" applyBorder="0" applyAlignment="0" applyProtection="0"/>
    <xf numFmtId="0" fontId="27" fillId="13" borderId="0" applyNumberFormat="0" applyBorder="0" applyAlignment="0" applyProtection="0"/>
    <xf numFmtId="0" fontId="27" fillId="20" borderId="0" applyNumberFormat="0" applyBorder="0" applyAlignment="0" applyProtection="0"/>
    <xf numFmtId="0" fontId="27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21" borderId="11" applyNumberFormat="0" applyAlignment="0" applyProtection="0"/>
    <xf numFmtId="0" fontId="27" fillId="20" borderId="0" applyNumberFormat="0" applyBorder="0" applyAlignment="0" applyProtection="0"/>
    <xf numFmtId="0" fontId="27" fillId="22" borderId="0" applyNumberFormat="0" applyBorder="0" applyAlignment="0" applyProtection="0"/>
    <xf numFmtId="0" fontId="27" fillId="15" borderId="0" applyNumberFormat="0" applyBorder="0" applyAlignment="0" applyProtection="0"/>
    <xf numFmtId="0" fontId="27" fillId="23" borderId="0" applyNumberFormat="0" applyBorder="0" applyAlignment="0" applyProtection="0"/>
    <xf numFmtId="0" fontId="27" fillId="20" borderId="0" applyNumberFormat="0" applyBorder="0" applyAlignment="0" applyProtection="0"/>
    <xf numFmtId="0" fontId="27" fillId="18" borderId="0" applyNumberFormat="0" applyBorder="0" applyAlignment="0" applyProtection="0"/>
    <xf numFmtId="0" fontId="30" fillId="17" borderId="12" applyNumberFormat="0" applyAlignment="0" applyProtection="0"/>
    <xf numFmtId="0" fontId="31" fillId="0" borderId="13" applyNumberFormat="0" applyFill="0" applyAlignment="0" applyProtection="0"/>
    <xf numFmtId="0" fontId="32" fillId="14" borderId="0" applyNumberFormat="0" applyBorder="0" applyAlignment="0" applyProtection="0"/>
    <xf numFmtId="0" fontId="33" fillId="24" borderId="0" applyNumberFormat="0" applyBorder="0" applyAlignment="0" applyProtection="0"/>
    <xf numFmtId="0" fontId="34" fillId="25" borderId="14" applyNumberFormat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5" applyNumberFormat="0" applyFill="0" applyAlignment="0" applyProtection="0"/>
    <xf numFmtId="0" fontId="37" fillId="0" borderId="16" applyNumberFormat="0" applyFill="0" applyAlignment="0" applyProtection="0"/>
    <xf numFmtId="0" fontId="38" fillId="0" borderId="17" applyNumberFormat="0" applyFill="0" applyAlignment="0" applyProtection="0"/>
    <xf numFmtId="0" fontId="39" fillId="0" borderId="18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19" applyNumberFormat="0" applyFill="0" applyAlignment="0" applyProtection="0"/>
    <xf numFmtId="0" fontId="41" fillId="13" borderId="20" applyNumberFormat="0" applyAlignment="0" applyProtection="0"/>
    <xf numFmtId="0" fontId="41" fillId="25" borderId="20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13" borderId="14" applyNumberFormat="0" applyAlignment="0" applyProtection="0"/>
    <xf numFmtId="0" fontId="43" fillId="14" borderId="14" applyNumberFormat="0" applyAlignment="0" applyProtection="0"/>
    <xf numFmtId="0" fontId="32" fillId="14" borderId="0" applyNumberFormat="0" applyBorder="0" applyAlignment="0" applyProtection="0"/>
    <xf numFmtId="0" fontId="44" fillId="26" borderId="0" applyNumberFormat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</cellStyleXfs>
  <cellXfs count="6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2" fillId="8" borderId="7" xfId="530" applyFont="1" applyFill="1" applyBorder="1" applyAlignment="1"/>
    <xf numFmtId="0" fontId="12" fillId="8" borderId="7" xfId="0" applyFont="1" applyFill="1" applyBorder="1"/>
    <xf numFmtId="0" fontId="0" fillId="8" borderId="7" xfId="0" applyFill="1" applyBorder="1"/>
    <xf numFmtId="0" fontId="14" fillId="0" borderId="7" xfId="530" applyBorder="1" applyAlignment="1"/>
    <xf numFmtId="0" fontId="0" fillId="0" borderId="7" xfId="0" applyBorder="1"/>
    <xf numFmtId="0" fontId="0" fillId="6" borderId="7" xfId="0" applyFill="1" applyBorder="1"/>
    <xf numFmtId="0" fontId="15" fillId="9" borderId="7" xfId="0" applyFont="1" applyFill="1" applyBorder="1"/>
    <xf numFmtId="0" fontId="11" fillId="7" borderId="0" xfId="0" applyFont="1" applyFill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24" fillId="6" borderId="7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7" xfId="0" applyFont="1" applyFill="1" applyBorder="1" applyAlignment="1">
      <alignment vertical="center"/>
    </xf>
    <xf numFmtId="0" fontId="24" fillId="3" borderId="7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10" fillId="6" borderId="2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24" fillId="0" borderId="7" xfId="0" applyFont="1" applyFill="1" applyBorder="1" applyAlignment="1">
      <alignment horizontal="left" vertical="center"/>
    </xf>
    <xf numFmtId="0" fontId="24" fillId="0" borderId="7" xfId="0" applyFont="1" applyFill="1" applyBorder="1" applyAlignment="1">
      <alignment horizontal="left" vertical="center" wrapText="1"/>
    </xf>
    <xf numFmtId="14" fontId="24" fillId="0" borderId="7" xfId="0" applyNumberFormat="1" applyFont="1" applyFill="1" applyBorder="1" applyAlignment="1">
      <alignment horizontal="left" vertical="center"/>
    </xf>
  </cellXfs>
  <cellStyles count="1318">
    <cellStyle name="20% - ANZg1" xfId="1268"/>
    <cellStyle name="20% - ANZg2" xfId="1269"/>
    <cellStyle name="20% - ANZg3" xfId="1270"/>
    <cellStyle name="20% - ANZg4" xfId="1271"/>
    <cellStyle name="20% - ANZg5" xfId="1272"/>
    <cellStyle name="20% - ANZg6" xfId="1273"/>
    <cellStyle name="40% - ANZg1" xfId="1274"/>
    <cellStyle name="40% - ANZg2" xfId="1275"/>
    <cellStyle name="40% - ANZg3" xfId="1276"/>
    <cellStyle name="40% - ANZg4" xfId="1277"/>
    <cellStyle name="40% - ANZg5" xfId="1278"/>
    <cellStyle name="40% - ANZg6" xfId="1279"/>
    <cellStyle name="60% - ANZg1" xfId="1280"/>
    <cellStyle name="60% - ANZg2" xfId="1281"/>
    <cellStyle name="60% - ANZg3" xfId="1282"/>
    <cellStyle name="60% - ANZg4" xfId="1283"/>
    <cellStyle name="60% - ANZg5" xfId="1284"/>
    <cellStyle name="60% - ANZg6" xfId="1285"/>
    <cellStyle name="Excel Built-in Normal" xfId="531"/>
    <cellStyle name="^Cg" xfId="1286"/>
    <cellStyle name="`FbN Z" xfId="1287"/>
    <cellStyle name="ANZg 1" xfId="1288"/>
    <cellStyle name="ANZg 2" xfId="1289"/>
    <cellStyle name="ANZg 3" xfId="1290"/>
    <cellStyle name="ANZg 4" xfId="1291"/>
    <cellStyle name="ANZg 5" xfId="1292"/>
    <cellStyle name="ANZg 6" xfId="1293"/>
    <cellStyle name="" xfId="1294"/>
    <cellStyle name="N Z" xfId="1295"/>
    <cellStyle name="_" xfId="1296"/>
    <cellStyle name="«¢" xfId="1297"/>
    <cellStyle name="vZ" xfId="1298"/>
    <cellStyle name="x÷" xfId="1299"/>
    <cellStyle name="x¶" xfId="1300"/>
    <cellStyle name="ýo_ 1" xfId="1301"/>
    <cellStyle name="©oµ 1" xfId="1302"/>
    <cellStyle name="©oµ 2" xfId="1303"/>
    <cellStyle name="©oµ 3" xfId="1304"/>
    <cellStyle name="©oµ 4" xfId="1305"/>
    <cellStyle name="v" xfId="1306"/>
    <cellStyle name="o_" xfId="1307"/>
    <cellStyle name="oÍ" xfId="1308"/>
    <cellStyle name="__÷" xfId="1309"/>
    <cellStyle name="à¾¶" xfId="1310"/>
    <cellStyle name="__" xfId="1311"/>
    <cellStyle name="üÍ" xfId="1312"/>
    <cellStyle name="Ê" xfId="1313"/>
    <cellStyle name="Ç¢" xfId="131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桁区切り 2" xfId="532"/>
    <cellStyle name="桁区切り 2 2" xfId="1315"/>
    <cellStyle name="標準" xfId="0" builtinId="0"/>
    <cellStyle name="標準 2" xfId="535"/>
    <cellStyle name="標準 2 2" xfId="536"/>
    <cellStyle name="標準 3" xfId="530"/>
    <cellStyle name="標準 4" xfId="11"/>
    <cellStyle name="標準 4 2" xfId="1266"/>
    <cellStyle name="標準 5" xfId="1316"/>
    <cellStyle name="標準 5 2" xfId="1317"/>
    <cellStyle name="標準 6" xfId="1267"/>
    <cellStyle name="無題1" xfId="53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赤字強調" xfId="534"/>
    <cellStyle name="青字強調" xfId="533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externalLink" Target="externalLinks/externalLink5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20016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30035</v>
          </cell>
        </row>
        <row r="146">
          <cell r="A146">
            <v>30036</v>
          </cell>
        </row>
        <row r="147">
          <cell r="A147">
            <v>39001</v>
          </cell>
        </row>
        <row r="148">
          <cell r="A148">
            <v>39002</v>
          </cell>
        </row>
        <row r="149">
          <cell r="A149">
            <v>39003</v>
          </cell>
        </row>
        <row r="150">
          <cell r="A150">
            <v>39004</v>
          </cell>
        </row>
        <row r="151">
          <cell r="A151">
            <v>39005</v>
          </cell>
        </row>
        <row r="152">
          <cell r="A152">
            <v>40001</v>
          </cell>
        </row>
        <row r="153">
          <cell r="A153">
            <v>40002</v>
          </cell>
        </row>
        <row r="154">
          <cell r="A154">
            <v>40003</v>
          </cell>
        </row>
        <row r="155">
          <cell r="A155">
            <v>40004</v>
          </cell>
        </row>
        <row r="156">
          <cell r="A156">
            <v>40005</v>
          </cell>
        </row>
        <row r="157">
          <cell r="A157">
            <v>40006</v>
          </cell>
        </row>
        <row r="158">
          <cell r="A158">
            <v>40007</v>
          </cell>
        </row>
        <row r="159">
          <cell r="A159">
            <v>40008</v>
          </cell>
        </row>
        <row r="160">
          <cell r="A160">
            <v>40009</v>
          </cell>
        </row>
        <row r="161">
          <cell r="A161">
            <v>40010</v>
          </cell>
        </row>
        <row r="162">
          <cell r="A162">
            <v>40011</v>
          </cell>
        </row>
        <row r="163">
          <cell r="A163">
            <v>40012</v>
          </cell>
        </row>
        <row r="164">
          <cell r="A164">
            <v>40013</v>
          </cell>
        </row>
        <row r="165">
          <cell r="A165">
            <v>40014</v>
          </cell>
        </row>
        <row r="166">
          <cell r="A166">
            <v>40015</v>
          </cell>
        </row>
        <row r="167">
          <cell r="A167">
            <v>40016</v>
          </cell>
        </row>
        <row r="168">
          <cell r="A168">
            <v>40017</v>
          </cell>
        </row>
        <row r="169">
          <cell r="A169">
            <v>40018</v>
          </cell>
        </row>
        <row r="170">
          <cell r="A170">
            <v>40019</v>
          </cell>
        </row>
        <row r="171">
          <cell r="A171">
            <v>48001</v>
          </cell>
        </row>
        <row r="172">
          <cell r="A172">
            <v>41001</v>
          </cell>
        </row>
        <row r="173">
          <cell r="A173">
            <v>41002</v>
          </cell>
        </row>
        <row r="174">
          <cell r="A174">
            <v>41003</v>
          </cell>
        </row>
        <row r="175">
          <cell r="A175">
            <v>41004</v>
          </cell>
        </row>
        <row r="176">
          <cell r="A176">
            <v>41005</v>
          </cell>
        </row>
        <row r="177">
          <cell r="A177">
            <v>41006</v>
          </cell>
        </row>
        <row r="178">
          <cell r="A178">
            <v>41007</v>
          </cell>
        </row>
        <row r="179">
          <cell r="A179">
            <v>41008</v>
          </cell>
        </row>
        <row r="180">
          <cell r="A180">
            <v>49001</v>
          </cell>
        </row>
        <row r="181">
          <cell r="A181">
            <v>49002</v>
          </cell>
        </row>
        <row r="182">
          <cell r="A182">
            <v>49003</v>
          </cell>
        </row>
        <row r="183">
          <cell r="A183">
            <v>49004</v>
          </cell>
        </row>
        <row r="184">
          <cell r="A184">
            <v>49005</v>
          </cell>
        </row>
        <row r="185">
          <cell r="A185">
            <v>50001</v>
          </cell>
        </row>
        <row r="186">
          <cell r="A186">
            <v>50002</v>
          </cell>
        </row>
        <row r="187">
          <cell r="A187">
            <v>50003</v>
          </cell>
        </row>
        <row r="188">
          <cell r="A188">
            <v>50004</v>
          </cell>
        </row>
        <row r="189">
          <cell r="A189">
            <v>51001</v>
          </cell>
        </row>
        <row r="190">
          <cell r="A190">
            <v>51002</v>
          </cell>
        </row>
        <row r="191">
          <cell r="A191">
            <v>60001</v>
          </cell>
        </row>
        <row r="192">
          <cell r="A192">
            <v>60002</v>
          </cell>
        </row>
        <row r="193">
          <cell r="A193">
            <v>60003</v>
          </cell>
        </row>
        <row r="194">
          <cell r="A194">
            <v>60004</v>
          </cell>
        </row>
        <row r="195">
          <cell r="A195">
            <v>60005</v>
          </cell>
        </row>
        <row r="196">
          <cell r="A196">
            <v>60006</v>
          </cell>
        </row>
        <row r="197">
          <cell r="A197">
            <v>60007</v>
          </cell>
        </row>
        <row r="198">
          <cell r="A198">
            <v>60010</v>
          </cell>
        </row>
        <row r="199">
          <cell r="A199">
            <v>65535</v>
          </cell>
        </row>
        <row r="200">
          <cell r="A200">
            <v>60021</v>
          </cell>
        </row>
        <row r="201">
          <cell r="A201">
            <v>60022</v>
          </cell>
        </row>
        <row r="202">
          <cell r="A202">
            <v>60023</v>
          </cell>
        </row>
        <row r="203">
          <cell r="A2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20016_1</v>
          </cell>
        </row>
        <row r="394">
          <cell r="A394" t="str">
            <v>20016_2</v>
          </cell>
        </row>
        <row r="395">
          <cell r="A395" t="str">
            <v>20016_3</v>
          </cell>
        </row>
        <row r="396">
          <cell r="A396" t="str">
            <v>30001_1</v>
          </cell>
        </row>
        <row r="397">
          <cell r="A397" t="str">
            <v>30001_2</v>
          </cell>
        </row>
        <row r="398">
          <cell r="A398" t="str">
            <v>30001_3</v>
          </cell>
        </row>
        <row r="399">
          <cell r="A399" t="str">
            <v>30002_1</v>
          </cell>
        </row>
        <row r="400">
          <cell r="A400" t="str">
            <v>30002_2</v>
          </cell>
        </row>
        <row r="401">
          <cell r="A401" t="str">
            <v>30002_3</v>
          </cell>
        </row>
        <row r="402">
          <cell r="A402" t="str">
            <v>30003_1</v>
          </cell>
        </row>
        <row r="403">
          <cell r="A403" t="str">
            <v>30003_2</v>
          </cell>
        </row>
        <row r="404">
          <cell r="A404" t="str">
            <v>30003_3</v>
          </cell>
        </row>
        <row r="405">
          <cell r="A405" t="str">
            <v>30004_1</v>
          </cell>
        </row>
        <row r="406">
          <cell r="A406" t="str">
            <v>30004_2</v>
          </cell>
        </row>
        <row r="407">
          <cell r="A407" t="str">
            <v>30004_3</v>
          </cell>
        </row>
        <row r="408">
          <cell r="A408" t="str">
            <v>30005_1</v>
          </cell>
        </row>
        <row r="409">
          <cell r="A409" t="str">
            <v>30005_2</v>
          </cell>
        </row>
        <row r="410">
          <cell r="A410" t="str">
            <v>30005_3</v>
          </cell>
        </row>
        <row r="411">
          <cell r="A411" t="str">
            <v>30006_1</v>
          </cell>
        </row>
        <row r="412">
          <cell r="A412" t="str">
            <v>30006_2</v>
          </cell>
        </row>
        <row r="413">
          <cell r="A413" t="str">
            <v>30006_3</v>
          </cell>
        </row>
        <row r="414">
          <cell r="A414" t="str">
            <v>30007_1</v>
          </cell>
        </row>
        <row r="415">
          <cell r="A415" t="str">
            <v>30007_2</v>
          </cell>
        </row>
        <row r="416">
          <cell r="A416" t="str">
            <v>30007_3</v>
          </cell>
        </row>
        <row r="417">
          <cell r="A417" t="str">
            <v>30008_1</v>
          </cell>
        </row>
        <row r="418">
          <cell r="A418" t="str">
            <v>30008_2</v>
          </cell>
        </row>
        <row r="419">
          <cell r="A419" t="str">
            <v>30008_3</v>
          </cell>
        </row>
        <row r="420">
          <cell r="A420" t="str">
            <v>30009_3</v>
          </cell>
        </row>
        <row r="421">
          <cell r="A421" t="str">
            <v>30009_1</v>
          </cell>
        </row>
        <row r="422">
          <cell r="A422" t="str">
            <v>30009_2</v>
          </cell>
        </row>
        <row r="423">
          <cell r="A423" t="str">
            <v>30010_1</v>
          </cell>
        </row>
        <row r="424">
          <cell r="A424" t="str">
            <v>30010_2</v>
          </cell>
        </row>
        <row r="425">
          <cell r="A425" t="str">
            <v>30010_3</v>
          </cell>
        </row>
        <row r="426">
          <cell r="A426" t="str">
            <v>30011_1</v>
          </cell>
        </row>
        <row r="427">
          <cell r="A427" t="str">
            <v>30011_2</v>
          </cell>
        </row>
        <row r="428">
          <cell r="A428" t="str">
            <v>30011_3</v>
          </cell>
        </row>
        <row r="429">
          <cell r="A429" t="str">
            <v>30012_1</v>
          </cell>
        </row>
        <row r="430">
          <cell r="A430" t="str">
            <v>30012_2</v>
          </cell>
        </row>
        <row r="431">
          <cell r="A431" t="str">
            <v>30012_3</v>
          </cell>
        </row>
        <row r="432">
          <cell r="A432" t="str">
            <v>30013_1</v>
          </cell>
        </row>
        <row r="433">
          <cell r="A433" t="str">
            <v>30013_2</v>
          </cell>
        </row>
        <row r="434">
          <cell r="A434" t="str">
            <v>30014_1</v>
          </cell>
        </row>
        <row r="435">
          <cell r="A435" t="str">
            <v>30014_2</v>
          </cell>
        </row>
        <row r="436">
          <cell r="A436" t="str">
            <v>30015_1</v>
          </cell>
        </row>
        <row r="437">
          <cell r="A437" t="str">
            <v>30015_2</v>
          </cell>
        </row>
        <row r="438">
          <cell r="A438" t="str">
            <v>30016_1</v>
          </cell>
        </row>
        <row r="439">
          <cell r="A439" t="str">
            <v>30016_2</v>
          </cell>
        </row>
        <row r="440">
          <cell r="A440" t="str">
            <v>30017_1</v>
          </cell>
        </row>
        <row r="441">
          <cell r="A441" t="str">
            <v>30017_2</v>
          </cell>
        </row>
        <row r="442">
          <cell r="A442" t="str">
            <v>30018_1</v>
          </cell>
        </row>
        <row r="443">
          <cell r="A443" t="str">
            <v>30018_2</v>
          </cell>
        </row>
        <row r="444">
          <cell r="A444" t="str">
            <v>30019_1</v>
          </cell>
        </row>
        <row r="445">
          <cell r="A445" t="str">
            <v>30019_2</v>
          </cell>
        </row>
        <row r="446">
          <cell r="A446" t="str">
            <v>30020_1</v>
          </cell>
        </row>
        <row r="447">
          <cell r="A447" t="str">
            <v>30020_2</v>
          </cell>
        </row>
        <row r="448">
          <cell r="A448" t="str">
            <v>30021_1</v>
          </cell>
        </row>
        <row r="449">
          <cell r="A449" t="str">
            <v>30021_2</v>
          </cell>
        </row>
        <row r="450">
          <cell r="A450" t="str">
            <v>30021_3</v>
          </cell>
        </row>
        <row r="451">
          <cell r="A451" t="str">
            <v>30022_1</v>
          </cell>
        </row>
        <row r="452">
          <cell r="A452" t="str">
            <v>30022_2</v>
          </cell>
        </row>
        <row r="453">
          <cell r="A453" t="str">
            <v>30023_1</v>
          </cell>
        </row>
        <row r="454">
          <cell r="A454" t="str">
            <v>30023_2</v>
          </cell>
        </row>
        <row r="455">
          <cell r="A455" t="str">
            <v>30023_3</v>
          </cell>
        </row>
        <row r="456">
          <cell r="A456" t="str">
            <v>30024_1</v>
          </cell>
        </row>
        <row r="457">
          <cell r="A457" t="str">
            <v>30024_2</v>
          </cell>
        </row>
        <row r="458">
          <cell r="A458" t="str">
            <v>30024_3</v>
          </cell>
        </row>
        <row r="459">
          <cell r="A459" t="str">
            <v>30025_1</v>
          </cell>
        </row>
        <row r="460">
          <cell r="A460" t="str">
            <v>30025_2</v>
          </cell>
        </row>
        <row r="461">
          <cell r="A461" t="str">
            <v>30025_3</v>
          </cell>
        </row>
        <row r="462">
          <cell r="A462" t="str">
            <v>30026_1</v>
          </cell>
        </row>
        <row r="463">
          <cell r="A463" t="str">
            <v>30026_2</v>
          </cell>
        </row>
        <row r="464">
          <cell r="A464" t="str">
            <v>30026_3</v>
          </cell>
        </row>
        <row r="465">
          <cell r="A465" t="str">
            <v>30027_1</v>
          </cell>
        </row>
        <row r="466">
          <cell r="A466" t="str">
            <v>30027_2</v>
          </cell>
        </row>
        <row r="467">
          <cell r="A467" t="str">
            <v>30027_3</v>
          </cell>
        </row>
        <row r="468">
          <cell r="A468" t="str">
            <v>30028_1</v>
          </cell>
        </row>
        <row r="469">
          <cell r="A469" t="str">
            <v>30028_2</v>
          </cell>
        </row>
        <row r="470">
          <cell r="A470" t="str">
            <v>30028_3</v>
          </cell>
        </row>
        <row r="471">
          <cell r="A471" t="str">
            <v>30029_1</v>
          </cell>
        </row>
        <row r="472">
          <cell r="A472" t="str">
            <v>30029_2</v>
          </cell>
        </row>
        <row r="473">
          <cell r="A473" t="str">
            <v>30029_3</v>
          </cell>
        </row>
        <row r="474">
          <cell r="A474" t="str">
            <v>30030_1</v>
          </cell>
        </row>
        <row r="475">
          <cell r="A475" t="str">
            <v>30030_2</v>
          </cell>
        </row>
        <row r="476">
          <cell r="A476" t="str">
            <v>30030_3</v>
          </cell>
        </row>
        <row r="477">
          <cell r="A477" t="str">
            <v>30031_1</v>
          </cell>
        </row>
        <row r="478">
          <cell r="A478" t="str">
            <v>30031_2</v>
          </cell>
        </row>
        <row r="479">
          <cell r="A479" t="str">
            <v>30031_3</v>
          </cell>
        </row>
        <row r="480">
          <cell r="A480" t="str">
            <v>30032_1</v>
          </cell>
        </row>
        <row r="481">
          <cell r="A481" t="str">
            <v>30032_2</v>
          </cell>
        </row>
        <row r="482">
          <cell r="A482" t="str">
            <v>30032_3</v>
          </cell>
        </row>
        <row r="483">
          <cell r="A483" t="str">
            <v>30033_1</v>
          </cell>
        </row>
        <row r="484">
          <cell r="A484" t="str">
            <v>30033_2</v>
          </cell>
        </row>
        <row r="485">
          <cell r="A485" t="str">
            <v>30033_3</v>
          </cell>
        </row>
        <row r="486">
          <cell r="A486" t="str">
            <v>30034_1</v>
          </cell>
        </row>
        <row r="487">
          <cell r="A487" t="str">
            <v>30034_2</v>
          </cell>
        </row>
        <row r="488">
          <cell r="A488" t="str">
            <v>30034_3</v>
          </cell>
        </row>
        <row r="489">
          <cell r="A489" t="str">
            <v>30035_1</v>
          </cell>
        </row>
        <row r="490">
          <cell r="A490" t="str">
            <v>30035_2</v>
          </cell>
        </row>
        <row r="491">
          <cell r="A491" t="str">
            <v>30035_3</v>
          </cell>
        </row>
        <row r="492">
          <cell r="A492" t="str">
            <v>30036_1</v>
          </cell>
        </row>
        <row r="493">
          <cell r="A493" t="str">
            <v>30036_2</v>
          </cell>
        </row>
        <row r="494">
          <cell r="A494" t="str">
            <v>30036_3</v>
          </cell>
        </row>
        <row r="495">
          <cell r="A495" t="str">
            <v>39001_1</v>
          </cell>
        </row>
        <row r="496">
          <cell r="A496" t="str">
            <v>39001_2</v>
          </cell>
        </row>
        <row r="497">
          <cell r="A497" t="str">
            <v>39001_3</v>
          </cell>
        </row>
        <row r="498">
          <cell r="A498" t="str">
            <v>39001_4</v>
          </cell>
        </row>
        <row r="499">
          <cell r="A499" t="str">
            <v>39001_5</v>
          </cell>
        </row>
        <row r="500">
          <cell r="A500" t="str">
            <v>39002_1</v>
          </cell>
        </row>
        <row r="501">
          <cell r="A501" t="str">
            <v>39002_2</v>
          </cell>
        </row>
        <row r="502">
          <cell r="A502" t="str">
            <v>39002_3</v>
          </cell>
        </row>
        <row r="503">
          <cell r="A503" t="str">
            <v>39002_4</v>
          </cell>
        </row>
        <row r="504">
          <cell r="A504" t="str">
            <v>39003_1</v>
          </cell>
        </row>
        <row r="505">
          <cell r="A505" t="str">
            <v>39003_2</v>
          </cell>
        </row>
        <row r="506">
          <cell r="A506" t="str">
            <v>39003_3</v>
          </cell>
        </row>
        <row r="507">
          <cell r="A507" t="str">
            <v>39003_4</v>
          </cell>
        </row>
        <row r="508">
          <cell r="A508" t="str">
            <v>39004_1</v>
          </cell>
        </row>
        <row r="509">
          <cell r="A509" t="str">
            <v>39004_2</v>
          </cell>
        </row>
        <row r="510">
          <cell r="A510" t="str">
            <v>39004_3</v>
          </cell>
        </row>
        <row r="511">
          <cell r="A511" t="str">
            <v>39004_4</v>
          </cell>
        </row>
        <row r="512">
          <cell r="A512" t="str">
            <v>39005_1</v>
          </cell>
        </row>
        <row r="513">
          <cell r="A513" t="str">
            <v>39005_2</v>
          </cell>
        </row>
        <row r="514">
          <cell r="A514" t="str">
            <v>39005_3</v>
          </cell>
        </row>
        <row r="515">
          <cell r="A515" t="str">
            <v>39005_4</v>
          </cell>
        </row>
        <row r="516">
          <cell r="A516" t="str">
            <v>39005_5</v>
          </cell>
        </row>
        <row r="517">
          <cell r="A517" t="str">
            <v>40001_1</v>
          </cell>
        </row>
        <row r="518">
          <cell r="A518" t="str">
            <v>40002_1</v>
          </cell>
        </row>
        <row r="519">
          <cell r="A519" t="str">
            <v>40002_2</v>
          </cell>
        </row>
        <row r="520">
          <cell r="A520" t="str">
            <v>40002_3</v>
          </cell>
        </row>
        <row r="521">
          <cell r="A521" t="str">
            <v>40003_1</v>
          </cell>
        </row>
        <row r="522">
          <cell r="A522" t="str">
            <v>40004_1</v>
          </cell>
        </row>
        <row r="523">
          <cell r="A523" t="str">
            <v>40005_1</v>
          </cell>
        </row>
        <row r="524">
          <cell r="A524" t="str">
            <v>40006_1</v>
          </cell>
        </row>
        <row r="525">
          <cell r="A525" t="str">
            <v>40007_1</v>
          </cell>
        </row>
        <row r="526">
          <cell r="A526" t="str">
            <v>40008_1</v>
          </cell>
        </row>
        <row r="527">
          <cell r="A527" t="str">
            <v>40009_1</v>
          </cell>
        </row>
        <row r="528">
          <cell r="A528" t="str">
            <v>40010_1</v>
          </cell>
        </row>
        <row r="529">
          <cell r="A529" t="str">
            <v>40011_1</v>
          </cell>
        </row>
        <row r="530">
          <cell r="A530" t="str">
            <v>40012_1</v>
          </cell>
        </row>
        <row r="531">
          <cell r="A531" t="str">
            <v>40013_1</v>
          </cell>
        </row>
        <row r="532">
          <cell r="A532" t="str">
            <v>40014_1</v>
          </cell>
        </row>
        <row r="533">
          <cell r="A533" t="str">
            <v>40015_1</v>
          </cell>
        </row>
        <row r="534">
          <cell r="A534" t="str">
            <v>40016_1</v>
          </cell>
        </row>
        <row r="535">
          <cell r="A535" t="str">
            <v>40016_2</v>
          </cell>
        </row>
        <row r="536">
          <cell r="A536" t="str">
            <v>40017_1</v>
          </cell>
        </row>
        <row r="537">
          <cell r="A537" t="str">
            <v>40017_2</v>
          </cell>
        </row>
        <row r="538">
          <cell r="A538" t="str">
            <v>40017_3</v>
          </cell>
        </row>
        <row r="539">
          <cell r="A539" t="str">
            <v>40018_1</v>
          </cell>
        </row>
        <row r="540">
          <cell r="A540" t="str">
            <v>40018_2</v>
          </cell>
        </row>
        <row r="541">
          <cell r="A541" t="str">
            <v>40018_3</v>
          </cell>
        </row>
        <row r="542">
          <cell r="A542" t="str">
            <v>40019_1</v>
          </cell>
        </row>
        <row r="543">
          <cell r="A543" t="str">
            <v>40019_2</v>
          </cell>
        </row>
        <row r="544">
          <cell r="A544" t="str">
            <v>40019_3</v>
          </cell>
        </row>
        <row r="545">
          <cell r="A545" t="str">
            <v>48001_1</v>
          </cell>
        </row>
        <row r="546">
          <cell r="A546" t="str">
            <v>41001_1</v>
          </cell>
        </row>
        <row r="547">
          <cell r="A547" t="str">
            <v>41001_2</v>
          </cell>
        </row>
        <row r="548">
          <cell r="A548" t="str">
            <v>41001_3</v>
          </cell>
        </row>
        <row r="549">
          <cell r="A549" t="str">
            <v>41002_1</v>
          </cell>
        </row>
        <row r="550">
          <cell r="A550" t="str">
            <v>41002_2</v>
          </cell>
        </row>
        <row r="551">
          <cell r="A551" t="str">
            <v>41002_3</v>
          </cell>
        </row>
        <row r="552">
          <cell r="A552" t="str">
            <v>41003_1</v>
          </cell>
        </row>
        <row r="553">
          <cell r="A553" t="str">
            <v>41003_2</v>
          </cell>
        </row>
        <row r="554">
          <cell r="A554" t="str">
            <v>41003_3</v>
          </cell>
        </row>
        <row r="555">
          <cell r="A555" t="str">
            <v>41004_1</v>
          </cell>
        </row>
        <row r="556">
          <cell r="A556" t="str">
            <v>41004_2</v>
          </cell>
        </row>
        <row r="557">
          <cell r="A557" t="str">
            <v>41004_3</v>
          </cell>
        </row>
        <row r="558">
          <cell r="A558" t="str">
            <v>41005_1</v>
          </cell>
        </row>
        <row r="559">
          <cell r="A559" t="str">
            <v>41005_2</v>
          </cell>
        </row>
        <row r="560">
          <cell r="A560" t="str">
            <v>41005_3</v>
          </cell>
        </row>
        <row r="561">
          <cell r="A561" t="str">
            <v>41006_1</v>
          </cell>
        </row>
        <row r="562">
          <cell r="A562" t="str">
            <v>41006_2</v>
          </cell>
        </row>
        <row r="563">
          <cell r="A563" t="str">
            <v>41006_3</v>
          </cell>
        </row>
        <row r="564">
          <cell r="A564" t="str">
            <v>41007_1</v>
          </cell>
        </row>
        <row r="565">
          <cell r="A565" t="str">
            <v>41007_2</v>
          </cell>
        </row>
        <row r="566">
          <cell r="A566" t="str">
            <v>41007_3</v>
          </cell>
        </row>
        <row r="567">
          <cell r="A567" t="str">
            <v>41008_1</v>
          </cell>
        </row>
        <row r="568">
          <cell r="A568" t="str">
            <v>41008_2</v>
          </cell>
        </row>
        <row r="569">
          <cell r="A569" t="str">
            <v>41008_3</v>
          </cell>
        </row>
        <row r="570">
          <cell r="A570" t="str">
            <v>49001_1</v>
          </cell>
        </row>
        <row r="571">
          <cell r="A571" t="str">
            <v>49002_1</v>
          </cell>
        </row>
        <row r="572">
          <cell r="A572" t="str">
            <v>49002_2</v>
          </cell>
        </row>
        <row r="573">
          <cell r="A573" t="str">
            <v>49003_1</v>
          </cell>
        </row>
        <row r="574">
          <cell r="A574" t="str">
            <v>49003_2</v>
          </cell>
        </row>
        <row r="575">
          <cell r="A575" t="str">
            <v>49004_1</v>
          </cell>
        </row>
        <row r="576">
          <cell r="A576" t="str">
            <v>49004_2</v>
          </cell>
        </row>
        <row r="577">
          <cell r="A577" t="str">
            <v>49004_3</v>
          </cell>
        </row>
        <row r="578">
          <cell r="A578" t="str">
            <v>49005_1</v>
          </cell>
        </row>
        <row r="579">
          <cell r="A579" t="str">
            <v>50001_1</v>
          </cell>
        </row>
        <row r="580">
          <cell r="A580" t="str">
            <v>50002_1</v>
          </cell>
        </row>
        <row r="581">
          <cell r="A581" t="str">
            <v>50003_1</v>
          </cell>
        </row>
        <row r="582">
          <cell r="A582" t="str">
            <v>50004_1</v>
          </cell>
        </row>
        <row r="583">
          <cell r="A583" t="str">
            <v>51001_1</v>
          </cell>
        </row>
        <row r="584">
          <cell r="A584" t="str">
            <v>51002_1</v>
          </cell>
        </row>
        <row r="585">
          <cell r="A585" t="str">
            <v>60001_1</v>
          </cell>
        </row>
        <row r="586">
          <cell r="A586" t="str">
            <v>60002_1</v>
          </cell>
        </row>
        <row r="587">
          <cell r="A587" t="str">
            <v>60002_2</v>
          </cell>
        </row>
        <row r="588">
          <cell r="A588" t="str">
            <v>60003_1</v>
          </cell>
        </row>
        <row r="589">
          <cell r="A589" t="str">
            <v>60003_2</v>
          </cell>
        </row>
        <row r="590">
          <cell r="A590" t="str">
            <v>60003_3</v>
          </cell>
        </row>
        <row r="591">
          <cell r="A591" t="str">
            <v>60004_1</v>
          </cell>
        </row>
        <row r="592">
          <cell r="A592" t="str">
            <v>60005_1</v>
          </cell>
        </row>
        <row r="593">
          <cell r="A593" t="str">
            <v>60006_1</v>
          </cell>
        </row>
        <row r="594">
          <cell r="A594" t="str">
            <v>60006_2</v>
          </cell>
        </row>
        <row r="595">
          <cell r="A595" t="str">
            <v>60006_3</v>
          </cell>
        </row>
        <row r="596">
          <cell r="A596" t="str">
            <v>60007_1</v>
          </cell>
        </row>
        <row r="597">
          <cell r="A597" t="str">
            <v>60007_2</v>
          </cell>
        </row>
        <row r="598">
          <cell r="A598" t="str">
            <v>60007_3</v>
          </cell>
        </row>
        <row r="599">
          <cell r="A599" t="str">
            <v>60010_1</v>
          </cell>
        </row>
        <row r="600">
          <cell r="A600" t="str">
            <v>65535_1</v>
          </cell>
        </row>
        <row r="601">
          <cell r="A601" t="str">
            <v>65535_2</v>
          </cell>
        </row>
        <row r="602">
          <cell r="A602" t="str">
            <v>65535_3</v>
          </cell>
        </row>
        <row r="603">
          <cell r="A603" t="str">
            <v>65535_4</v>
          </cell>
        </row>
        <row r="604">
          <cell r="A604" t="str">
            <v>65535_5</v>
          </cell>
        </row>
        <row r="605">
          <cell r="A605" t="str">
            <v>65535_6</v>
          </cell>
        </row>
        <row r="606">
          <cell r="A606" t="str">
            <v>65535_7</v>
          </cell>
        </row>
        <row r="607">
          <cell r="A607" t="str">
            <v>65535_8</v>
          </cell>
        </row>
        <row r="608">
          <cell r="A608" t="str">
            <v>60021_3</v>
          </cell>
        </row>
        <row r="609">
          <cell r="A609" t="str">
            <v>60022_3</v>
          </cell>
        </row>
        <row r="610">
          <cell r="A610" t="str">
            <v>60023_3</v>
          </cell>
        </row>
        <row r="611">
          <cell r="A61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8001</v>
          </cell>
        </row>
        <row r="1071">
          <cell r="A1071">
            <v>8002</v>
          </cell>
        </row>
        <row r="1072">
          <cell r="A1072">
            <v>8003</v>
          </cell>
        </row>
        <row r="1073">
          <cell r="A1073">
            <v>8004</v>
          </cell>
        </row>
        <row r="1074">
          <cell r="A1074">
            <v>8005</v>
          </cell>
        </row>
        <row r="1075">
          <cell r="A1075">
            <v>8006</v>
          </cell>
        </row>
        <row r="1076">
          <cell r="A1076">
            <v>8007</v>
          </cell>
        </row>
        <row r="1077">
          <cell r="A1077">
            <v>8008</v>
          </cell>
        </row>
        <row r="1078">
          <cell r="A1078">
            <v>8009</v>
          </cell>
        </row>
        <row r="1079">
          <cell r="A1079">
            <v>8010</v>
          </cell>
        </row>
        <row r="1080">
          <cell r="A1080">
            <v>8011</v>
          </cell>
        </row>
        <row r="1081">
          <cell r="A1081">
            <v>8012</v>
          </cell>
        </row>
        <row r="1082">
          <cell r="A1082">
            <v>8013</v>
          </cell>
        </row>
        <row r="1083">
          <cell r="A1083">
            <v>8014</v>
          </cell>
        </row>
        <row r="1084">
          <cell r="A1084">
            <v>8015</v>
          </cell>
        </row>
        <row r="1085">
          <cell r="A1085">
            <v>8016</v>
          </cell>
        </row>
        <row r="1086">
          <cell r="A1086">
            <v>8017</v>
          </cell>
        </row>
        <row r="1087">
          <cell r="A1087">
            <v>8018</v>
          </cell>
        </row>
        <row r="1088">
          <cell r="A1088">
            <v>8019</v>
          </cell>
        </row>
        <row r="1089">
          <cell r="A1089">
            <v>8020</v>
          </cell>
        </row>
        <row r="1090">
          <cell r="A1090">
            <v>8021</v>
          </cell>
        </row>
        <row r="1091">
          <cell r="A1091">
            <v>8022</v>
          </cell>
        </row>
        <row r="1092">
          <cell r="A1092">
            <v>8023</v>
          </cell>
        </row>
        <row r="1093">
          <cell r="A1093">
            <v>8024</v>
          </cell>
        </row>
        <row r="1094">
          <cell r="A1094">
            <v>8025</v>
          </cell>
        </row>
        <row r="1095">
          <cell r="A1095">
            <v>8026</v>
          </cell>
        </row>
        <row r="1096">
          <cell r="A1096">
            <v>8027</v>
          </cell>
        </row>
        <row r="1097">
          <cell r="A1097">
            <v>8028</v>
          </cell>
        </row>
        <row r="1098">
          <cell r="A1098">
            <v>8029</v>
          </cell>
        </row>
        <row r="1099">
          <cell r="A109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8001</v>
          </cell>
        </row>
        <row r="1071">
          <cell r="A1071">
            <v>8002</v>
          </cell>
        </row>
        <row r="1072">
          <cell r="A1072">
            <v>8003</v>
          </cell>
        </row>
        <row r="1073">
          <cell r="A1073">
            <v>8004</v>
          </cell>
        </row>
        <row r="1074">
          <cell r="A1074">
            <v>8005</v>
          </cell>
        </row>
        <row r="1075">
          <cell r="A1075">
            <v>8006</v>
          </cell>
        </row>
        <row r="1076">
          <cell r="A1076">
            <v>8007</v>
          </cell>
        </row>
        <row r="1077">
          <cell r="A1077">
            <v>8008</v>
          </cell>
        </row>
        <row r="1078">
          <cell r="A1078">
            <v>8009</v>
          </cell>
        </row>
        <row r="1079">
          <cell r="A1079">
            <v>8010</v>
          </cell>
        </row>
        <row r="1080">
          <cell r="A1080">
            <v>8011</v>
          </cell>
        </row>
        <row r="1081">
          <cell r="A1081">
            <v>8012</v>
          </cell>
        </row>
        <row r="1082">
          <cell r="A1082">
            <v>8013</v>
          </cell>
        </row>
        <row r="1083">
          <cell r="A1083">
            <v>8014</v>
          </cell>
        </row>
        <row r="1084">
          <cell r="A1084">
            <v>8015</v>
          </cell>
        </row>
        <row r="1085">
          <cell r="A1085">
            <v>8016</v>
          </cell>
        </row>
        <row r="1086">
          <cell r="A1086">
            <v>8017</v>
          </cell>
        </row>
        <row r="1087">
          <cell r="A1087">
            <v>8018</v>
          </cell>
        </row>
        <row r="1088">
          <cell r="A1088">
            <v>8019</v>
          </cell>
        </row>
        <row r="1089">
          <cell r="A1089">
            <v>8020</v>
          </cell>
        </row>
        <row r="1090">
          <cell r="A1090">
            <v>8021</v>
          </cell>
        </row>
        <row r="1091">
          <cell r="A1091">
            <v>8022</v>
          </cell>
        </row>
        <row r="1092">
          <cell r="A1092">
            <v>8023</v>
          </cell>
        </row>
        <row r="1093">
          <cell r="A1093">
            <v>8024</v>
          </cell>
        </row>
        <row r="1094">
          <cell r="A1094">
            <v>8025</v>
          </cell>
        </row>
        <row r="1095">
          <cell r="A1095">
            <v>8026</v>
          </cell>
        </row>
        <row r="1096">
          <cell r="A1096">
            <v>8027</v>
          </cell>
        </row>
        <row r="1097">
          <cell r="A1097">
            <v>8028</v>
          </cell>
        </row>
        <row r="1098">
          <cell r="A1098">
            <v>8029</v>
          </cell>
        </row>
        <row r="1099">
          <cell r="A109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zoomScale="75" zoomScaleNormal="75" zoomScalePageLayoutView="75" workbookViewId="0">
      <selection activeCell="A5" sqref="A5"/>
    </sheetView>
  </sheetViews>
  <sheetFormatPr baseColWidth="12" defaultRowHeight="15" x14ac:dyDescent="0.15"/>
  <cols>
    <col min="2" max="2" width="18.1640625" bestFit="1" customWidth="1"/>
    <col min="5" max="5" width="17.6640625" bestFit="1" customWidth="1"/>
    <col min="6" max="6" width="22.1640625" bestFit="1" customWidth="1"/>
  </cols>
  <sheetData>
    <row r="1" spans="1:29" x14ac:dyDescent="0.15">
      <c r="A1" s="31" t="s">
        <v>53</v>
      </c>
      <c r="B1" s="32" t="s">
        <v>54</v>
      </c>
      <c r="C1" s="32" t="s">
        <v>55</v>
      </c>
      <c r="D1" s="32" t="s">
        <v>56</v>
      </c>
      <c r="E1" s="32" t="s">
        <v>57</v>
      </c>
      <c r="F1" s="32" t="s">
        <v>58</v>
      </c>
      <c r="G1" s="32" t="s">
        <v>59</v>
      </c>
      <c r="H1" s="32"/>
      <c r="I1" s="32"/>
      <c r="J1" s="32"/>
      <c r="K1" s="32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</row>
    <row r="2" spans="1:29" x14ac:dyDescent="0.15">
      <c r="A2" s="34" t="s">
        <v>60</v>
      </c>
      <c r="B2" s="35" t="s">
        <v>61</v>
      </c>
      <c r="C2" s="35">
        <v>12001</v>
      </c>
      <c r="D2" s="35" t="s">
        <v>62</v>
      </c>
      <c r="E2" s="33" t="str">
        <f>B2&amp;C2&amp;D2</f>
        <v>floors_12001.tmp</v>
      </c>
      <c r="F2" s="35" t="s">
        <v>63</v>
      </c>
      <c r="G2" s="36" t="s">
        <v>0</v>
      </c>
      <c r="H2" s="36" t="s">
        <v>1</v>
      </c>
      <c r="I2" s="36" t="s">
        <v>13</v>
      </c>
      <c r="J2" s="36" t="s">
        <v>14</v>
      </c>
      <c r="K2" s="36" t="s">
        <v>15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</row>
    <row r="3" spans="1:29" x14ac:dyDescent="0.15">
      <c r="A3" s="34" t="s">
        <v>60</v>
      </c>
      <c r="B3" s="35" t="s">
        <v>64</v>
      </c>
      <c r="C3" s="35">
        <v>12001</v>
      </c>
      <c r="D3" s="35" t="s">
        <v>62</v>
      </c>
      <c r="E3" s="33" t="str">
        <f>B3&amp;C3&amp;D3</f>
        <v>enemy_habitats_12001.tmp</v>
      </c>
      <c r="F3" s="35" t="s">
        <v>65</v>
      </c>
      <c r="G3" s="36" t="s">
        <v>0</v>
      </c>
      <c r="H3" s="36" t="s">
        <v>1</v>
      </c>
      <c r="I3" s="36" t="s">
        <v>13</v>
      </c>
      <c r="J3" s="36" t="s">
        <v>2</v>
      </c>
      <c r="K3" s="36" t="s">
        <v>3</v>
      </c>
      <c r="L3" s="36" t="s">
        <v>50</v>
      </c>
      <c r="M3" s="36" t="s">
        <v>51</v>
      </c>
      <c r="N3" s="36" t="s">
        <v>52</v>
      </c>
      <c r="O3" s="36" t="s">
        <v>22</v>
      </c>
      <c r="P3" s="36" t="s">
        <v>5</v>
      </c>
      <c r="Q3" s="36" t="s">
        <v>6</v>
      </c>
      <c r="R3" s="36" t="s">
        <v>7</v>
      </c>
      <c r="S3" s="36" t="s">
        <v>8</v>
      </c>
      <c r="T3" s="36" t="s">
        <v>9</v>
      </c>
      <c r="U3" s="36" t="s">
        <v>10</v>
      </c>
      <c r="V3" s="36" t="s">
        <v>11</v>
      </c>
      <c r="W3" s="36" t="s">
        <v>12</v>
      </c>
      <c r="X3" s="36" t="s">
        <v>36</v>
      </c>
      <c r="Y3" s="36" t="s">
        <v>38</v>
      </c>
      <c r="Z3" s="36" t="s">
        <v>40</v>
      </c>
      <c r="AA3" s="36" t="s">
        <v>42</v>
      </c>
      <c r="AB3" s="36" t="s">
        <v>44</v>
      </c>
      <c r="AC3" s="36" t="s">
        <v>66</v>
      </c>
    </row>
    <row r="4" spans="1:29" x14ac:dyDescent="0.15">
      <c r="A4" s="34" t="s">
        <v>163</v>
      </c>
      <c r="B4" s="35" t="s">
        <v>67</v>
      </c>
      <c r="C4" s="35">
        <v>12001</v>
      </c>
      <c r="D4" s="35" t="s">
        <v>62</v>
      </c>
      <c r="E4" s="33" t="str">
        <f>B4&amp;C4&amp;D4</f>
        <v>enemy_habitat_S_12001.tmp</v>
      </c>
      <c r="F4" s="35" t="s">
        <v>68</v>
      </c>
      <c r="G4" s="36" t="s">
        <v>0</v>
      </c>
      <c r="H4" s="36" t="s">
        <v>1</v>
      </c>
      <c r="I4" s="36" t="s">
        <v>13</v>
      </c>
      <c r="J4" s="36" t="s">
        <v>66</v>
      </c>
      <c r="K4" s="36" t="s">
        <v>69</v>
      </c>
      <c r="L4" s="36" t="s">
        <v>70</v>
      </c>
      <c r="M4" s="36" t="s">
        <v>71</v>
      </c>
      <c r="N4" s="36" t="s">
        <v>72</v>
      </c>
      <c r="O4" s="36" t="s">
        <v>73</v>
      </c>
      <c r="P4" s="36" t="s">
        <v>47</v>
      </c>
      <c r="Q4" s="36" t="s">
        <v>48</v>
      </c>
      <c r="R4" s="36" t="s">
        <v>49</v>
      </c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 x14ac:dyDescent="0.15">
      <c r="A5" s="34" t="s">
        <v>74</v>
      </c>
      <c r="B5" s="35" t="s">
        <v>75</v>
      </c>
      <c r="C5" s="35">
        <v>12001</v>
      </c>
      <c r="D5" s="35" t="s">
        <v>76</v>
      </c>
      <c r="E5" s="33" t="str">
        <f>B5&amp;C5&amp;D5</f>
        <v>enemy_skill_sets_12001.tmp</v>
      </c>
      <c r="F5" s="35" t="s">
        <v>77</v>
      </c>
      <c r="G5" s="37" t="s">
        <v>22</v>
      </c>
      <c r="H5" s="37" t="s">
        <v>78</v>
      </c>
      <c r="I5" s="37" t="s">
        <v>79</v>
      </c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</row>
    <row r="6" spans="1:29" x14ac:dyDescent="0.15">
      <c r="A6" s="34" t="s">
        <v>80</v>
      </c>
      <c r="B6" s="35" t="s">
        <v>81</v>
      </c>
      <c r="C6" s="35">
        <v>12001</v>
      </c>
      <c r="D6" s="35" t="s">
        <v>82</v>
      </c>
      <c r="E6" s="33" t="str">
        <f t="shared" ref="E6:E8" si="0">B6&amp;C6&amp;D6</f>
        <v>enemy_skills_tmp_12001.tmp</v>
      </c>
      <c r="F6" s="35" t="s">
        <v>83</v>
      </c>
      <c r="G6" s="36" t="s">
        <v>84</v>
      </c>
      <c r="H6" s="36" t="s">
        <v>85</v>
      </c>
      <c r="I6" s="36" t="s">
        <v>86</v>
      </c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</row>
    <row r="7" spans="1:29" x14ac:dyDescent="0.15">
      <c r="A7" s="34" t="s">
        <v>87</v>
      </c>
      <c r="B7" s="35" t="s">
        <v>88</v>
      </c>
      <c r="C7" s="35">
        <v>12001</v>
      </c>
      <c r="D7" s="35" t="s">
        <v>89</v>
      </c>
      <c r="E7" s="33" t="str">
        <f>B7&amp;C7&amp;D7</f>
        <v>enemy_skills_i18n_12001.tmp</v>
      </c>
      <c r="F7" s="35" t="s">
        <v>90</v>
      </c>
      <c r="G7" s="36" t="s">
        <v>84</v>
      </c>
      <c r="H7" s="36" t="s">
        <v>91</v>
      </c>
      <c r="I7" s="36" t="s">
        <v>92</v>
      </c>
      <c r="J7" s="36" t="s">
        <v>93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</row>
    <row r="8" spans="1:29" x14ac:dyDescent="0.15">
      <c r="A8" s="34" t="s">
        <v>80</v>
      </c>
      <c r="B8" s="35" t="s">
        <v>94</v>
      </c>
      <c r="C8" s="35">
        <v>12001</v>
      </c>
      <c r="D8" s="35" t="s">
        <v>95</v>
      </c>
      <c r="E8" s="33" t="str">
        <f t="shared" si="0"/>
        <v>enemy_skill_triggers_12001.tmp</v>
      </c>
      <c r="F8" s="35" t="s">
        <v>96</v>
      </c>
      <c r="G8" s="36" t="s">
        <v>79</v>
      </c>
      <c r="H8" s="36" t="s">
        <v>97</v>
      </c>
      <c r="I8" s="36" t="s">
        <v>98</v>
      </c>
      <c r="J8" s="36" t="s">
        <v>99</v>
      </c>
      <c r="K8" s="36" t="s">
        <v>100</v>
      </c>
      <c r="L8" s="36" t="s">
        <v>101</v>
      </c>
      <c r="M8" s="36" t="s">
        <v>102</v>
      </c>
      <c r="N8" s="36" t="s">
        <v>103</v>
      </c>
      <c r="O8" s="36" t="s">
        <v>104</v>
      </c>
      <c r="P8" s="36" t="s">
        <v>105</v>
      </c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zoomScale="75" zoomScaleNormal="75" zoomScalePageLayoutView="75" workbookViewId="0">
      <pane ySplit="1" topLeftCell="A2" activePane="bottomLeft" state="frozen"/>
      <selection activeCell="V2" sqref="V2:X34"/>
      <selection pane="bottomLeft" activeCell="J16" sqref="J16:K16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8.33203125" style="4" customWidth="1" outlineLevel="1"/>
    <col min="5" max="5" width="11.33203125" style="4" bestFit="1" customWidth="1" outlineLevel="1"/>
    <col min="6" max="6" width="7" style="4" bestFit="1" customWidth="1"/>
    <col min="7" max="7" width="9.33203125" style="23" bestFit="1" customWidth="1" outlineLevel="1"/>
    <col min="8" max="8" width="34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29</v>
      </c>
      <c r="B1" s="17" t="s">
        <v>35</v>
      </c>
      <c r="C1" s="1" t="s">
        <v>0</v>
      </c>
      <c r="D1" s="2" t="s">
        <v>18</v>
      </c>
      <c r="E1" s="16" t="s">
        <v>32</v>
      </c>
      <c r="F1" s="1" t="s">
        <v>1</v>
      </c>
      <c r="G1" s="27" t="s">
        <v>31</v>
      </c>
      <c r="H1" s="16" t="s">
        <v>33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:A11" si="0">G2&amp;"-"&amp;I2</f>
        <v>12001_1-1</v>
      </c>
      <c r="B2" s="17" t="str">
        <f>IF(COUNTIF(enemy_habitats!$H:$H,A2),"OK","NG")</f>
        <v>OK</v>
      </c>
      <c r="C2" s="8">
        <v>12001</v>
      </c>
      <c r="D2" s="12" t="str">
        <f ca="1">VLOOKUP($C2,OFFSET([2]quests!$A$1,0,0,COUNTA([2]quests!$A:$A),MATCH(D$1,[2]quests!$1:$1,0)-MATCH($C$1,[2]quests!$1:$1,0)+1),MATCH(D$1,[2]quests!$1:$1,0)-MATCH($C$1,[2]quests!$1:$1,0)+1,FALSE)</f>
        <v>【緊急！！】 アヒル捕獲作戦</v>
      </c>
      <c r="E2" s="22" t="str">
        <f ca="1">VLOOKUP($C2,OFFSET([2]quests!$A$1,0,0,COUNTA([2]quests!$A:$A),MATCH(E$1,[2]quests!$1:$1,0)-MATCH($C$1,[2]quests!$1:$1,0)+1),MATCH(E$1,[2]quests!$1:$1,0)-MATCH($C$1,[2]quests!$1:$1,0)+1,FALSE)</f>
        <v>ゲリラクエスト</v>
      </c>
      <c r="F2" s="25">
        <v>1</v>
      </c>
      <c r="G2" s="27" t="str">
        <f t="shared" ref="G2:G11" si="1">C2&amp;"_"&amp;F2</f>
        <v>12001_1</v>
      </c>
      <c r="H2" s="16" t="str">
        <f ca="1">VLOOKUP($G2,OFFSET([2]stages!$A$1,0,0,COUNTA([2]stages!$A:$A),MATCH(H$1,[2]stages!$2:$2,0)-MATCH($G$1,[2]stages!$2:$2,0)+1),MATCH(H$1,[2]stages!$2:$2,0)-MATCH($G$1,[2]stages!$2:$2,0)+1,FALSE)</f>
        <v xml:space="preserve">【初級】メタルダックを捕獲せよ！ </v>
      </c>
      <c r="I2" s="25">
        <v>1</v>
      </c>
      <c r="J2" s="13">
        <v>60</v>
      </c>
      <c r="K2" s="13">
        <v>60</v>
      </c>
    </row>
    <row r="3" spans="1:11" ht="21" customHeight="1" x14ac:dyDescent="0.15">
      <c r="A3" s="17" t="str">
        <f t="shared" si="0"/>
        <v>12001_1-2</v>
      </c>
      <c r="B3" s="17" t="str">
        <f>IF(COUNTIF(enemy_habitats!$H:$H,A3),"OK","NG")</f>
        <v>OK</v>
      </c>
      <c r="C3" s="8">
        <v>12001</v>
      </c>
      <c r="D3" s="12" t="str">
        <f ca="1">VLOOKUP($C3,OFFSET([2]quests!$A$1,0,0,COUNTA([2]quests!$A:$A),MATCH(D$1,[2]quests!$1:$1,0)-MATCH($C$1,[2]quests!$1:$1,0)+1),MATCH(D$1,[2]quests!$1:$1,0)-MATCH($C$1,[2]quests!$1:$1,0)+1,FALSE)</f>
        <v>【緊急！！】 アヒル捕獲作戦</v>
      </c>
      <c r="E3" s="22" t="str">
        <f ca="1">VLOOKUP($C3,OFFSET([2]quests!$A$1,0,0,COUNTA([2]quests!$A:$A),MATCH(E$1,[2]quests!$1:$1,0)-MATCH($C$1,[2]quests!$1:$1,0)+1),MATCH(E$1,[2]quests!$1:$1,0)-MATCH($C$1,[2]quests!$1:$1,0)+1,FALSE)</f>
        <v>ゲリラクエスト</v>
      </c>
      <c r="F3" s="25">
        <v>1</v>
      </c>
      <c r="G3" s="27" t="str">
        <f t="shared" si="1"/>
        <v>12001_1</v>
      </c>
      <c r="H3" s="16" t="str">
        <f ca="1">VLOOKUP($G3,OFFSET([2]stages!$A$1,0,0,COUNTA([2]stages!$A:$A),MATCH(H$1,[2]stages!$2:$2,0)-MATCH($G$1,[2]stages!$2:$2,0)+1),MATCH(H$1,[2]stages!$2:$2,0)-MATCH($G$1,[2]stages!$2:$2,0)+1,FALSE)</f>
        <v xml:space="preserve">【初級】メタルダックを捕獲せよ！ </v>
      </c>
      <c r="I3" s="25">
        <v>2</v>
      </c>
      <c r="J3" s="13">
        <v>60</v>
      </c>
      <c r="K3" s="13">
        <v>60</v>
      </c>
    </row>
    <row r="4" spans="1:11" ht="21" customHeight="1" x14ac:dyDescent="0.15">
      <c r="A4" s="17" t="str">
        <f t="shared" si="0"/>
        <v>12001_1-3</v>
      </c>
      <c r="B4" s="17" t="str">
        <f>IF(COUNTIF(enemy_habitats!$H:$H,A4),"OK","NG")</f>
        <v>OK</v>
      </c>
      <c r="C4" s="8">
        <v>12001</v>
      </c>
      <c r="D4" s="12" t="str">
        <f ca="1">VLOOKUP($C4,OFFSET([2]quests!$A$1,0,0,COUNTA([2]quests!$A:$A),MATCH(D$1,[2]quests!$1:$1,0)-MATCH($C$1,[2]quests!$1:$1,0)+1),MATCH(D$1,[2]quests!$1:$1,0)-MATCH($C$1,[2]quests!$1:$1,0)+1,FALSE)</f>
        <v>【緊急！！】 アヒル捕獲作戦</v>
      </c>
      <c r="E4" s="22" t="str">
        <f ca="1">VLOOKUP($C4,OFFSET([2]quests!$A$1,0,0,COUNTA([2]quests!$A:$A),MATCH(E$1,[2]quests!$1:$1,0)-MATCH($C$1,[2]quests!$1:$1,0)+1),MATCH(E$1,[2]quests!$1:$1,0)-MATCH($C$1,[2]quests!$1:$1,0)+1,FALSE)</f>
        <v>ゲリラクエスト</v>
      </c>
      <c r="F4" s="25">
        <v>1</v>
      </c>
      <c r="G4" s="27" t="str">
        <f t="shared" si="1"/>
        <v>12001_1</v>
      </c>
      <c r="H4" s="16" t="str">
        <f ca="1">VLOOKUP($G4,OFFSET([2]stages!$A$1,0,0,COUNTA([2]stages!$A:$A),MATCH(H$1,[2]stages!$2:$2,0)-MATCH($G$1,[2]stages!$2:$2,0)+1),MATCH(H$1,[2]stages!$2:$2,0)-MATCH($G$1,[2]stages!$2:$2,0)+1,FALSE)</f>
        <v xml:space="preserve">【初級】メタルダックを捕獲せよ！ </v>
      </c>
      <c r="I4" s="25">
        <v>3</v>
      </c>
      <c r="J4" s="13">
        <v>60</v>
      </c>
      <c r="K4" s="13">
        <v>60</v>
      </c>
    </row>
    <row r="5" spans="1:11" ht="21" customHeight="1" x14ac:dyDescent="0.15">
      <c r="A5" s="17" t="str">
        <f t="shared" si="0"/>
        <v>12001_1-4</v>
      </c>
      <c r="B5" s="17" t="str">
        <f>IF(COUNTIF(enemy_habitats!$H:$H,A5),"OK","NG")</f>
        <v>OK</v>
      </c>
      <c r="C5" s="8">
        <v>12001</v>
      </c>
      <c r="D5" s="12" t="str">
        <f ca="1">VLOOKUP($C5,OFFSET([2]quests!$A$1,0,0,COUNTA([2]quests!$A:$A),MATCH(D$1,[2]quests!$1:$1,0)-MATCH($C$1,[2]quests!$1:$1,0)+1),MATCH(D$1,[2]quests!$1:$1,0)-MATCH($C$1,[2]quests!$1:$1,0)+1,FALSE)</f>
        <v>【緊急！！】 アヒル捕獲作戦</v>
      </c>
      <c r="E5" s="22" t="str">
        <f ca="1">VLOOKUP($C5,OFFSET([2]quests!$A$1,0,0,COUNTA([2]quests!$A:$A),MATCH(E$1,[2]quests!$1:$1,0)-MATCH($C$1,[2]quests!$1:$1,0)+1),MATCH(E$1,[2]quests!$1:$1,0)-MATCH($C$1,[2]quests!$1:$1,0)+1,FALSE)</f>
        <v>ゲリラクエスト</v>
      </c>
      <c r="F5" s="25">
        <v>1</v>
      </c>
      <c r="G5" s="27" t="str">
        <f t="shared" si="1"/>
        <v>12001_1</v>
      </c>
      <c r="H5" s="16" t="str">
        <f ca="1">VLOOKUP($G5,OFFSET([2]stages!$A$1,0,0,COUNTA([2]stages!$A:$A),MATCH(H$1,[2]stages!$2:$2,0)-MATCH($G$1,[2]stages!$2:$2,0)+1),MATCH(H$1,[2]stages!$2:$2,0)-MATCH($G$1,[2]stages!$2:$2,0)+1,FALSE)</f>
        <v xml:space="preserve">【初級】メタルダックを捕獲せよ！ </v>
      </c>
      <c r="I5" s="25">
        <v>4</v>
      </c>
      <c r="J5" s="13">
        <v>60</v>
      </c>
      <c r="K5" s="13">
        <v>60</v>
      </c>
    </row>
    <row r="6" spans="1:11" ht="21" customHeight="1" x14ac:dyDescent="0.15">
      <c r="A6" s="17" t="str">
        <f t="shared" si="0"/>
        <v>12001_1-5</v>
      </c>
      <c r="B6" s="17" t="str">
        <f>IF(COUNTIF(enemy_habitats!$H:$H,A6),"OK","NG")</f>
        <v>OK</v>
      </c>
      <c r="C6" s="8">
        <v>12001</v>
      </c>
      <c r="D6" s="12" t="str">
        <f ca="1">VLOOKUP($C6,OFFSET([2]quests!$A$1,0,0,COUNTA([2]quests!$A:$A),MATCH(D$1,[2]quests!$1:$1,0)-MATCH($C$1,[2]quests!$1:$1,0)+1),MATCH(D$1,[2]quests!$1:$1,0)-MATCH($C$1,[2]quests!$1:$1,0)+1,FALSE)</f>
        <v>【緊急！！】 アヒル捕獲作戦</v>
      </c>
      <c r="E6" s="22" t="str">
        <f ca="1">VLOOKUP($C6,OFFSET([2]quests!$A$1,0,0,COUNTA([2]quests!$A:$A),MATCH(E$1,[2]quests!$1:$1,0)-MATCH($C$1,[2]quests!$1:$1,0)+1),MATCH(E$1,[2]quests!$1:$1,0)-MATCH($C$1,[2]quests!$1:$1,0)+1,FALSE)</f>
        <v>ゲリラクエスト</v>
      </c>
      <c r="F6" s="25">
        <v>1</v>
      </c>
      <c r="G6" s="27" t="str">
        <f t="shared" si="1"/>
        <v>12001_1</v>
      </c>
      <c r="H6" s="16" t="str">
        <f ca="1">VLOOKUP($G6,OFFSET([2]stages!$A$1,0,0,COUNTA([2]stages!$A:$A),MATCH(H$1,[2]stages!$2:$2,0)-MATCH($G$1,[2]stages!$2:$2,0)+1),MATCH(H$1,[2]stages!$2:$2,0)-MATCH($G$1,[2]stages!$2:$2,0)+1,FALSE)</f>
        <v xml:space="preserve">【初級】メタルダックを捕獲せよ！ </v>
      </c>
      <c r="I6" s="25">
        <v>5</v>
      </c>
      <c r="J6" s="13">
        <v>50</v>
      </c>
      <c r="K6" s="13">
        <v>50</v>
      </c>
    </row>
    <row r="7" spans="1:11" ht="21" customHeight="1" x14ac:dyDescent="0.15">
      <c r="A7" s="17" t="str">
        <f t="shared" si="0"/>
        <v>12001_2-1</v>
      </c>
      <c r="B7" s="17" t="str">
        <f>IF(COUNTIF(enemy_habitats!$H:$H,A7),"OK","NG")</f>
        <v>OK</v>
      </c>
      <c r="C7" s="8">
        <v>12001</v>
      </c>
      <c r="D7" s="12" t="str">
        <f ca="1">VLOOKUP($C7,OFFSET([2]quests!$A$1,0,0,COUNTA([2]quests!$A:$A),MATCH(D$1,[2]quests!$1:$1,0)-MATCH($C$1,[2]quests!$1:$1,0)+1),MATCH(D$1,[2]quests!$1:$1,0)-MATCH($C$1,[2]quests!$1:$1,0)+1,FALSE)</f>
        <v>【緊急！！】 アヒル捕獲作戦</v>
      </c>
      <c r="E7" s="22" t="str">
        <f ca="1">VLOOKUP($C7,OFFSET([2]quests!$A$1,0,0,COUNTA([2]quests!$A:$A),MATCH(E$1,[2]quests!$1:$1,0)-MATCH($C$1,[2]quests!$1:$1,0)+1),MATCH(E$1,[2]quests!$1:$1,0)-MATCH($C$1,[2]quests!$1:$1,0)+1,FALSE)</f>
        <v>ゲリラクエスト</v>
      </c>
      <c r="F7" s="25">
        <v>2</v>
      </c>
      <c r="G7" s="27" t="str">
        <f t="shared" si="1"/>
        <v>12001_2</v>
      </c>
      <c r="H7" s="16" t="str">
        <f ca="1">VLOOKUP($G7,OFFSET([2]stages!$A$1,0,0,COUNTA([2]stages!$A:$A),MATCH(H$1,[2]stages!$2:$2,0)-MATCH($G$1,[2]stages!$2:$2,0)+1),MATCH(H$1,[2]stages!$2:$2,0)-MATCH($G$1,[2]stages!$2:$2,0)+1,FALSE)</f>
        <v xml:space="preserve">【上級】メタルダックを捕獲せよ！ </v>
      </c>
      <c r="I7" s="25">
        <v>1</v>
      </c>
      <c r="J7" s="13">
        <v>60</v>
      </c>
      <c r="K7" s="13">
        <v>60</v>
      </c>
    </row>
    <row r="8" spans="1:11" ht="21" customHeight="1" x14ac:dyDescent="0.15">
      <c r="A8" s="17" t="str">
        <f t="shared" si="0"/>
        <v>12001_2-2</v>
      </c>
      <c r="B8" s="17" t="str">
        <f>IF(COUNTIF(enemy_habitats!$H:$H,A8),"OK","NG")</f>
        <v>OK</v>
      </c>
      <c r="C8" s="8">
        <v>12001</v>
      </c>
      <c r="D8" s="12" t="str">
        <f ca="1">VLOOKUP($C8,OFFSET([2]quests!$A$1,0,0,COUNTA([2]quests!$A:$A),MATCH(D$1,[2]quests!$1:$1,0)-MATCH($C$1,[2]quests!$1:$1,0)+1),MATCH(D$1,[2]quests!$1:$1,0)-MATCH($C$1,[2]quests!$1:$1,0)+1,FALSE)</f>
        <v>【緊急！！】 アヒル捕獲作戦</v>
      </c>
      <c r="E8" s="22" t="str">
        <f ca="1">VLOOKUP($C8,OFFSET([2]quests!$A$1,0,0,COUNTA([2]quests!$A:$A),MATCH(E$1,[2]quests!$1:$1,0)-MATCH($C$1,[2]quests!$1:$1,0)+1),MATCH(E$1,[2]quests!$1:$1,0)-MATCH($C$1,[2]quests!$1:$1,0)+1,FALSE)</f>
        <v>ゲリラクエスト</v>
      </c>
      <c r="F8" s="25">
        <v>2</v>
      </c>
      <c r="G8" s="27" t="str">
        <f t="shared" si="1"/>
        <v>12001_2</v>
      </c>
      <c r="H8" s="16" t="str">
        <f ca="1">VLOOKUP($G8,OFFSET([2]stages!$A$1,0,0,COUNTA([2]stages!$A:$A),MATCH(H$1,[2]stages!$2:$2,0)-MATCH($G$1,[2]stages!$2:$2,0)+1),MATCH(H$1,[2]stages!$2:$2,0)-MATCH($G$1,[2]stages!$2:$2,0)+1,FALSE)</f>
        <v xml:space="preserve">【上級】メタルダックを捕獲せよ！ </v>
      </c>
      <c r="I8" s="25">
        <v>2</v>
      </c>
      <c r="J8" s="13">
        <v>50</v>
      </c>
      <c r="K8" s="13">
        <v>50</v>
      </c>
    </row>
    <row r="9" spans="1:11" ht="21" customHeight="1" x14ac:dyDescent="0.15">
      <c r="A9" s="17" t="str">
        <f t="shared" si="0"/>
        <v>12001_2-3</v>
      </c>
      <c r="B9" s="17" t="str">
        <f>IF(COUNTIF(enemy_habitats!$H:$H,A9),"OK","NG")</f>
        <v>OK</v>
      </c>
      <c r="C9" s="8">
        <v>12001</v>
      </c>
      <c r="D9" s="12" t="str">
        <f ca="1">VLOOKUP($C9,OFFSET([2]quests!$A$1,0,0,COUNTA([2]quests!$A:$A),MATCH(D$1,[2]quests!$1:$1,0)-MATCH($C$1,[2]quests!$1:$1,0)+1),MATCH(D$1,[2]quests!$1:$1,0)-MATCH($C$1,[2]quests!$1:$1,0)+1,FALSE)</f>
        <v>【緊急！！】 アヒル捕獲作戦</v>
      </c>
      <c r="E9" s="22" t="str">
        <f ca="1">VLOOKUP($C9,OFFSET([2]quests!$A$1,0,0,COUNTA([2]quests!$A:$A),MATCH(E$1,[2]quests!$1:$1,0)-MATCH($C$1,[2]quests!$1:$1,0)+1),MATCH(E$1,[2]quests!$1:$1,0)-MATCH($C$1,[2]quests!$1:$1,0)+1,FALSE)</f>
        <v>ゲリラクエスト</v>
      </c>
      <c r="F9" s="25">
        <v>2</v>
      </c>
      <c r="G9" s="27" t="str">
        <f t="shared" si="1"/>
        <v>12001_2</v>
      </c>
      <c r="H9" s="16" t="str">
        <f ca="1">VLOOKUP($G9,OFFSET([2]stages!$A$1,0,0,COUNTA([2]stages!$A:$A),MATCH(H$1,[2]stages!$2:$2,0)-MATCH($G$1,[2]stages!$2:$2,0)+1),MATCH(H$1,[2]stages!$2:$2,0)-MATCH($G$1,[2]stages!$2:$2,0)+1,FALSE)</f>
        <v xml:space="preserve">【上級】メタルダックを捕獲せよ！ </v>
      </c>
      <c r="I9" s="25">
        <v>3</v>
      </c>
      <c r="J9" s="13">
        <v>50</v>
      </c>
      <c r="K9" s="13">
        <v>50</v>
      </c>
    </row>
    <row r="10" spans="1:11" ht="21" customHeight="1" x14ac:dyDescent="0.15">
      <c r="A10" s="17" t="str">
        <f t="shared" si="0"/>
        <v>12001_2-4</v>
      </c>
      <c r="B10" s="17" t="str">
        <f>IF(COUNTIF(enemy_habitats!$H:$H,A10),"OK","NG")</f>
        <v>OK</v>
      </c>
      <c r="C10" s="8">
        <v>12001</v>
      </c>
      <c r="D10" s="12" t="str">
        <f ca="1">VLOOKUP($C10,OFFSET([2]quests!$A$1,0,0,COUNTA([2]quests!$A:$A),MATCH(D$1,[2]quests!$1:$1,0)-MATCH($C$1,[2]quests!$1:$1,0)+1),MATCH(D$1,[2]quests!$1:$1,0)-MATCH($C$1,[2]quests!$1:$1,0)+1,FALSE)</f>
        <v>【緊急！！】 アヒル捕獲作戦</v>
      </c>
      <c r="E10" s="22" t="str">
        <f ca="1">VLOOKUP($C10,OFFSET([2]quests!$A$1,0,0,COUNTA([2]quests!$A:$A),MATCH(E$1,[2]quests!$1:$1,0)-MATCH($C$1,[2]quests!$1:$1,0)+1),MATCH(E$1,[2]quests!$1:$1,0)-MATCH($C$1,[2]quests!$1:$1,0)+1,FALSE)</f>
        <v>ゲリラクエスト</v>
      </c>
      <c r="F10" s="25">
        <v>2</v>
      </c>
      <c r="G10" s="27" t="str">
        <f t="shared" si="1"/>
        <v>12001_2</v>
      </c>
      <c r="H10" s="16" t="str">
        <f ca="1">VLOOKUP($G10,OFFSET([2]stages!$A$1,0,0,COUNTA([2]stages!$A:$A),MATCH(H$1,[2]stages!$2:$2,0)-MATCH($G$1,[2]stages!$2:$2,0)+1),MATCH(H$1,[2]stages!$2:$2,0)-MATCH($G$1,[2]stages!$2:$2,0)+1,FALSE)</f>
        <v xml:space="preserve">【上級】メタルダックを捕獲せよ！ </v>
      </c>
      <c r="I10" s="25">
        <v>4</v>
      </c>
      <c r="J10" s="13">
        <v>50</v>
      </c>
      <c r="K10" s="13">
        <v>50</v>
      </c>
    </row>
    <row r="11" spans="1:11" ht="21" customHeight="1" x14ac:dyDescent="0.15">
      <c r="A11" s="17" t="str">
        <f t="shared" si="0"/>
        <v>12001_2-5</v>
      </c>
      <c r="B11" s="17" t="str">
        <f>IF(COUNTIF(enemy_habitats!$H:$H,A11),"OK","NG")</f>
        <v>OK</v>
      </c>
      <c r="C11" s="8">
        <v>12001</v>
      </c>
      <c r="D11" s="12" t="str">
        <f ca="1">VLOOKUP($C11,OFFSET([2]quests!$A$1,0,0,COUNTA([2]quests!$A:$A),MATCH(D$1,[2]quests!$1:$1,0)-MATCH($C$1,[2]quests!$1:$1,0)+1),MATCH(D$1,[2]quests!$1:$1,0)-MATCH($C$1,[2]quests!$1:$1,0)+1,FALSE)</f>
        <v>【緊急！！】 アヒル捕獲作戦</v>
      </c>
      <c r="E11" s="22" t="str">
        <f ca="1">VLOOKUP($C11,OFFSET([2]quests!$A$1,0,0,COUNTA([2]quests!$A:$A),MATCH(E$1,[2]quests!$1:$1,0)-MATCH($C$1,[2]quests!$1:$1,0)+1),MATCH(E$1,[2]quests!$1:$1,0)-MATCH($C$1,[2]quests!$1:$1,0)+1,FALSE)</f>
        <v>ゲリラクエスト</v>
      </c>
      <c r="F11" s="25">
        <v>2</v>
      </c>
      <c r="G11" s="27" t="str">
        <f t="shared" si="1"/>
        <v>12001_2</v>
      </c>
      <c r="H11" s="16" t="str">
        <f ca="1">VLOOKUP($G11,OFFSET([2]stages!$A$1,0,0,COUNTA([2]stages!$A:$A),MATCH(H$1,[2]stages!$2:$2,0)-MATCH($G$1,[2]stages!$2:$2,0)+1),MATCH(H$1,[2]stages!$2:$2,0)-MATCH($G$1,[2]stages!$2:$2,0)+1,FALSE)</f>
        <v xml:space="preserve">【上級】メタルダックを捕獲せよ！ </v>
      </c>
      <c r="I11" s="25">
        <v>5</v>
      </c>
      <c r="J11" s="13">
        <v>60</v>
      </c>
      <c r="K11" s="13">
        <v>60</v>
      </c>
    </row>
    <row r="12" spans="1:11" ht="21" customHeight="1" x14ac:dyDescent="0.15">
      <c r="A12" s="17" t="str">
        <f t="shared" ref="A12:A16" si="2">G12&amp;"-"&amp;I12</f>
        <v>12001_3-1</v>
      </c>
      <c r="B12" s="17" t="str">
        <f>IF(COUNTIF(enemy_habitats!$H:$H,A12),"OK","NG")</f>
        <v>OK</v>
      </c>
      <c r="C12" s="8">
        <v>12001</v>
      </c>
      <c r="D12" s="12" t="str">
        <f ca="1">VLOOKUP($C12,OFFSET([2]quests!$A$1,0,0,COUNTA([2]quests!$A:$A),MATCH(D$1,[2]quests!$1:$1,0)-MATCH($C$1,[2]quests!$1:$1,0)+1),MATCH(D$1,[2]quests!$1:$1,0)-MATCH($C$1,[2]quests!$1:$1,0)+1,FALSE)</f>
        <v>【緊急！！】 アヒル捕獲作戦</v>
      </c>
      <c r="E12" s="22" t="str">
        <f ca="1">VLOOKUP($C12,OFFSET([2]quests!$A$1,0,0,COUNTA([2]quests!$A:$A),MATCH(E$1,[2]quests!$1:$1,0)-MATCH($C$1,[2]quests!$1:$1,0)+1),MATCH(E$1,[2]quests!$1:$1,0)-MATCH($C$1,[2]quests!$1:$1,0)+1,FALSE)</f>
        <v>ゲリラクエスト</v>
      </c>
      <c r="F12" s="25">
        <v>3</v>
      </c>
      <c r="G12" s="27" t="str">
        <f t="shared" ref="G12:G16" si="3">C12&amp;"_"&amp;F12</f>
        <v>12001_3</v>
      </c>
      <c r="H12" s="16" t="str">
        <f ca="1">VLOOKUP($G12,OFFSET([2]stages!$A$1,0,0,COUNTA([2]stages!$A:$A),MATCH(H$1,[2]stages!$2:$2,0)-MATCH($G$1,[2]stages!$2:$2,0)+1),MATCH(H$1,[2]stages!$2:$2,0)-MATCH($G$1,[2]stages!$2:$2,0)+1,FALSE)</f>
        <v xml:space="preserve">【超級】メタルダックを捕獲せよ！ </v>
      </c>
      <c r="I12" s="25">
        <v>1</v>
      </c>
      <c r="J12" s="13">
        <v>20</v>
      </c>
      <c r="K12" s="13">
        <v>20</v>
      </c>
    </row>
    <row r="13" spans="1:11" ht="21" customHeight="1" x14ac:dyDescent="0.15">
      <c r="A13" s="17" t="str">
        <f t="shared" si="2"/>
        <v>12001_3-2</v>
      </c>
      <c r="B13" s="17" t="str">
        <f>IF(COUNTIF(enemy_habitats!$H:$H,A13),"OK","NG")</f>
        <v>OK</v>
      </c>
      <c r="C13" s="8">
        <v>12001</v>
      </c>
      <c r="D13" s="12" t="str">
        <f ca="1">VLOOKUP($C13,OFFSET([2]quests!$A$1,0,0,COUNTA([2]quests!$A:$A),MATCH(D$1,[2]quests!$1:$1,0)-MATCH($C$1,[2]quests!$1:$1,0)+1),MATCH(D$1,[2]quests!$1:$1,0)-MATCH($C$1,[2]quests!$1:$1,0)+1,FALSE)</f>
        <v>【緊急！！】 アヒル捕獲作戦</v>
      </c>
      <c r="E13" s="22" t="str">
        <f ca="1">VLOOKUP($C13,OFFSET([2]quests!$A$1,0,0,COUNTA([2]quests!$A:$A),MATCH(E$1,[2]quests!$1:$1,0)-MATCH($C$1,[2]quests!$1:$1,0)+1),MATCH(E$1,[2]quests!$1:$1,0)-MATCH($C$1,[2]quests!$1:$1,0)+1,FALSE)</f>
        <v>ゲリラクエスト</v>
      </c>
      <c r="F13" s="25">
        <v>3</v>
      </c>
      <c r="G13" s="27" t="str">
        <f t="shared" si="3"/>
        <v>12001_3</v>
      </c>
      <c r="H13" s="16" t="str">
        <f ca="1">VLOOKUP($G13,OFFSET([2]stages!$A$1,0,0,COUNTA([2]stages!$A:$A),MATCH(H$1,[2]stages!$2:$2,0)-MATCH($G$1,[2]stages!$2:$2,0)+1),MATCH(H$1,[2]stages!$2:$2,0)-MATCH($G$1,[2]stages!$2:$2,0)+1,FALSE)</f>
        <v xml:space="preserve">【超級】メタルダックを捕獲せよ！ </v>
      </c>
      <c r="I13" s="25">
        <v>2</v>
      </c>
      <c r="J13" s="13">
        <v>35</v>
      </c>
      <c r="K13" s="13">
        <v>35</v>
      </c>
    </row>
    <row r="14" spans="1:11" ht="21" customHeight="1" x14ac:dyDescent="0.15">
      <c r="A14" s="17" t="str">
        <f t="shared" si="2"/>
        <v>12001_3-3</v>
      </c>
      <c r="B14" s="17" t="str">
        <f>IF(COUNTIF(enemy_habitats!$H:$H,A14),"OK","NG")</f>
        <v>OK</v>
      </c>
      <c r="C14" s="8">
        <v>12001</v>
      </c>
      <c r="D14" s="12" t="str">
        <f ca="1">VLOOKUP($C14,OFFSET([2]quests!$A$1,0,0,COUNTA([2]quests!$A:$A),MATCH(D$1,[2]quests!$1:$1,0)-MATCH($C$1,[2]quests!$1:$1,0)+1),MATCH(D$1,[2]quests!$1:$1,0)-MATCH($C$1,[2]quests!$1:$1,0)+1,FALSE)</f>
        <v>【緊急！！】 アヒル捕獲作戦</v>
      </c>
      <c r="E14" s="22" t="str">
        <f ca="1">VLOOKUP($C14,OFFSET([2]quests!$A$1,0,0,COUNTA([2]quests!$A:$A),MATCH(E$1,[2]quests!$1:$1,0)-MATCH($C$1,[2]quests!$1:$1,0)+1),MATCH(E$1,[2]quests!$1:$1,0)-MATCH($C$1,[2]quests!$1:$1,0)+1,FALSE)</f>
        <v>ゲリラクエスト</v>
      </c>
      <c r="F14" s="25">
        <v>3</v>
      </c>
      <c r="G14" s="27" t="str">
        <f t="shared" si="3"/>
        <v>12001_3</v>
      </c>
      <c r="H14" s="16" t="str">
        <f ca="1">VLOOKUP($G14,OFFSET([2]stages!$A$1,0,0,COUNTA([2]stages!$A:$A),MATCH(H$1,[2]stages!$2:$2,0)-MATCH($G$1,[2]stages!$2:$2,0)+1),MATCH(H$1,[2]stages!$2:$2,0)-MATCH($G$1,[2]stages!$2:$2,0)+1,FALSE)</f>
        <v xml:space="preserve">【超級】メタルダックを捕獲せよ！ </v>
      </c>
      <c r="I14" s="25">
        <v>3</v>
      </c>
      <c r="J14" s="13">
        <v>50</v>
      </c>
      <c r="K14" s="13">
        <v>50</v>
      </c>
    </row>
    <row r="15" spans="1:11" ht="21" customHeight="1" x14ac:dyDescent="0.15">
      <c r="A15" s="17" t="str">
        <f t="shared" si="2"/>
        <v>12001_3-4</v>
      </c>
      <c r="B15" s="17" t="str">
        <f>IF(COUNTIF(enemy_habitats!$H:$H,A15),"OK","NG")</f>
        <v>OK</v>
      </c>
      <c r="C15" s="8">
        <v>12001</v>
      </c>
      <c r="D15" s="12" t="str">
        <f ca="1">VLOOKUP($C15,OFFSET([2]quests!$A$1,0,0,COUNTA([2]quests!$A:$A),MATCH(D$1,[2]quests!$1:$1,0)-MATCH($C$1,[2]quests!$1:$1,0)+1),MATCH(D$1,[2]quests!$1:$1,0)-MATCH($C$1,[2]quests!$1:$1,0)+1,FALSE)</f>
        <v>【緊急！！】 アヒル捕獲作戦</v>
      </c>
      <c r="E15" s="22" t="str">
        <f ca="1">VLOOKUP($C15,OFFSET([2]quests!$A$1,0,0,COUNTA([2]quests!$A:$A),MATCH(E$1,[2]quests!$1:$1,0)-MATCH($C$1,[2]quests!$1:$1,0)+1),MATCH(E$1,[2]quests!$1:$1,0)-MATCH($C$1,[2]quests!$1:$1,0)+1,FALSE)</f>
        <v>ゲリラクエスト</v>
      </c>
      <c r="F15" s="25">
        <v>3</v>
      </c>
      <c r="G15" s="27" t="str">
        <f t="shared" si="3"/>
        <v>12001_3</v>
      </c>
      <c r="H15" s="16" t="str">
        <f ca="1">VLOOKUP($G15,OFFSET([2]stages!$A$1,0,0,COUNTA([2]stages!$A:$A),MATCH(H$1,[2]stages!$2:$2,0)-MATCH($G$1,[2]stages!$2:$2,0)+1),MATCH(H$1,[2]stages!$2:$2,0)-MATCH($G$1,[2]stages!$2:$2,0)+1,FALSE)</f>
        <v xml:space="preserve">【超級】メタルダックを捕獲せよ！ </v>
      </c>
      <c r="I15" s="25">
        <v>4</v>
      </c>
      <c r="J15" s="13">
        <v>40</v>
      </c>
      <c r="K15" s="13">
        <v>40</v>
      </c>
    </row>
    <row r="16" spans="1:11" ht="21" customHeight="1" x14ac:dyDescent="0.15">
      <c r="A16" s="17" t="str">
        <f t="shared" si="2"/>
        <v>12001_3-5</v>
      </c>
      <c r="B16" s="17" t="str">
        <f>IF(COUNTIF(enemy_habitats!$H:$H,A16),"OK","NG")</f>
        <v>OK</v>
      </c>
      <c r="C16" s="8">
        <v>12001</v>
      </c>
      <c r="D16" s="12" t="str">
        <f ca="1">VLOOKUP($C16,OFFSET([2]quests!$A$1,0,0,COUNTA([2]quests!$A:$A),MATCH(D$1,[2]quests!$1:$1,0)-MATCH($C$1,[2]quests!$1:$1,0)+1),MATCH(D$1,[2]quests!$1:$1,0)-MATCH($C$1,[2]quests!$1:$1,0)+1,FALSE)</f>
        <v>【緊急！！】 アヒル捕獲作戦</v>
      </c>
      <c r="E16" s="22" t="str">
        <f ca="1">VLOOKUP($C16,OFFSET([2]quests!$A$1,0,0,COUNTA([2]quests!$A:$A),MATCH(E$1,[2]quests!$1:$1,0)-MATCH($C$1,[2]quests!$1:$1,0)+1),MATCH(E$1,[2]quests!$1:$1,0)-MATCH($C$1,[2]quests!$1:$1,0)+1,FALSE)</f>
        <v>ゲリラクエスト</v>
      </c>
      <c r="F16" s="25">
        <v>3</v>
      </c>
      <c r="G16" s="27" t="str">
        <f t="shared" si="3"/>
        <v>12001_3</v>
      </c>
      <c r="H16" s="16" t="str">
        <f ca="1">VLOOKUP($G16,OFFSET([2]stages!$A$1,0,0,COUNTA([2]stages!$A:$A),MATCH(H$1,[2]stages!$2:$2,0)-MATCH($G$1,[2]stages!$2:$2,0)+1),MATCH(H$1,[2]stages!$2:$2,0)-MATCH($G$1,[2]stages!$2:$2,0)+1,FALSE)</f>
        <v xml:space="preserve">【超級】メタルダックを捕獲せよ！ </v>
      </c>
      <c r="I16" s="25">
        <v>5</v>
      </c>
      <c r="J16" s="13">
        <v>60</v>
      </c>
      <c r="K16" s="13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93"/>
  <sheetViews>
    <sheetView showGridLines="0" zoomScale="75" zoomScaleNormal="75" zoomScalePageLayoutView="75" workbookViewId="0">
      <pane xSplit="17" ySplit="1" topLeftCell="R83" activePane="bottomRight" state="frozen"/>
      <selection pane="topRight" activeCell="N1" sqref="N1"/>
      <selection pane="bottomLeft" activeCell="A2" sqref="A2"/>
      <selection pane="bottomRight" activeCell="X90" sqref="X90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6" width="15.6640625" style="4" hidden="1" customWidth="1" outlineLevel="1"/>
    <col min="7" max="7" width="11.83203125" style="4" bestFit="1" customWidth="1"/>
    <col min="8" max="8" width="11.83203125" style="4" customWidth="1" outlineLevel="1"/>
    <col min="9" max="10" width="12.33203125" style="4" customWidth="1" outlineLevel="1"/>
    <col min="11" max="11" width="13" style="4"/>
    <col min="12" max="12" width="15.33203125" style="10" bestFit="1" customWidth="1"/>
    <col min="13" max="13" width="17.6640625" style="4" customWidth="1" collapsed="1"/>
    <col min="14" max="14" width="10.33203125" style="4" hidden="1" customWidth="1" outlineLevel="1"/>
    <col min="15" max="15" width="13.6640625" style="4" hidden="1" customWidth="1" outlineLevel="1"/>
    <col min="16" max="16" width="22.83203125" style="4" hidden="1" customWidth="1" outlineLevel="1"/>
    <col min="17" max="17" width="11.6640625" style="4" hidden="1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39" ht="21" customHeight="1" x14ac:dyDescent="0.15">
      <c r="A1" s="17" t="s">
        <v>28</v>
      </c>
      <c r="B1" s="1" t="s">
        <v>0</v>
      </c>
      <c r="C1" s="1" t="s">
        <v>1</v>
      </c>
      <c r="D1" s="16" t="s">
        <v>27</v>
      </c>
      <c r="E1" s="2" t="s">
        <v>20</v>
      </c>
      <c r="F1" s="2" t="s">
        <v>20</v>
      </c>
      <c r="G1" s="1" t="s">
        <v>19</v>
      </c>
      <c r="H1" s="16" t="s">
        <v>34</v>
      </c>
      <c r="I1" s="39" t="s">
        <v>14</v>
      </c>
      <c r="J1" s="39" t="s">
        <v>15</v>
      </c>
      <c r="K1" s="1" t="s">
        <v>148</v>
      </c>
      <c r="L1" s="1" t="s">
        <v>2</v>
      </c>
      <c r="M1" s="19" t="s">
        <v>21</v>
      </c>
      <c r="N1" s="16" t="s">
        <v>23</v>
      </c>
      <c r="O1" s="16" t="s">
        <v>46</v>
      </c>
      <c r="P1" s="21" t="s">
        <v>25</v>
      </c>
      <c r="Q1" s="2" t="s">
        <v>24</v>
      </c>
      <c r="R1" s="1" t="s">
        <v>3</v>
      </c>
      <c r="S1" s="29" t="s">
        <v>47</v>
      </c>
      <c r="T1" s="29" t="s">
        <v>48</v>
      </c>
      <c r="U1" s="29" t="s">
        <v>49</v>
      </c>
      <c r="V1" s="16" t="s">
        <v>30</v>
      </c>
      <c r="W1" s="1" t="s">
        <v>4</v>
      </c>
      <c r="X1" s="1" t="s">
        <v>5</v>
      </c>
      <c r="Y1" s="1" t="s">
        <v>6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26</v>
      </c>
      <c r="AF1" s="3" t="s">
        <v>10</v>
      </c>
      <c r="AG1" s="1" t="s">
        <v>11</v>
      </c>
      <c r="AH1" s="1" t="s">
        <v>12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45</v>
      </c>
    </row>
    <row r="2" spans="1:39" ht="21" customHeight="1" x14ac:dyDescent="0.15">
      <c r="A2" s="17" t="str">
        <f t="shared" ref="A2:A33" ca="1" si="0">B2&amp;"_"&amp;C2&amp;"-"&amp;G2&amp;"/"&amp;L2&amp;"&lt;lv"&amp;R2&amp;"&gt;s"&amp;AA2</f>
        <v>12001_1-1/332&lt;lv1&gt;s1</v>
      </c>
      <c r="B2" s="26">
        <v>12001</v>
      </c>
      <c r="C2" s="25">
        <v>1</v>
      </c>
      <c r="D2" s="2" t="str">
        <f t="shared" ref="D2:D5" si="1">B2&amp;"_"&amp;C2</f>
        <v>12001_1</v>
      </c>
      <c r="E2" s="5" t="str">
        <f ca="1">VLOOKUP($B2,OFFSET([2]quests!$A$1,0,0,COUNTA([2]quests!$A:$A),MATCH(E$1,[2]quests!$1:$1,0)-MATCH($B$1,[2]quests!$1:$1,0)+1),MATCH(E$1,[2]quests!$1:$1,0)-MATCH($B$1,[2]quests!$1:$1,0)+1,FALSE)</f>
        <v>【緊急！！】 アヒル捕獲作戦</v>
      </c>
      <c r="F2" s="5" t="str">
        <f ca="1">VLOOKUP($D2,OFFSET([2]stages!$A$1,0,0,COUNTA([2]stages!$A:$A),MATCH(F$1,[2]stages!$2:$2,0)-MATCH($D$1,[2]stages!$2:$2,0)+1),MATCH(F$1,[2]stages!$2:$2,0)-MATCH($D$1,[2]stages!$2:$2,0)+1,FALSE)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" s="25">
        <v>1</v>
      </c>
      <c r="H2" s="16" t="str">
        <f t="shared" ref="H2" si="2">B2&amp;"_"&amp;C2&amp;"-"&amp;G2</f>
        <v>12001_1-1</v>
      </c>
      <c r="I2" s="5">
        <f ca="1">VLOOKUP($H2,OFFSET(floors!$A$1,0,0,COUNTA(floors!$A:$A),MATCH(I$1,floors!$1:$1,0)-MATCH($H$1,floors!$1:$1,0)+1),MATCH(I$1,floors!$1:$1,0)-MATCH($H$1,floors!$1:$1,0)+1,FALSE)</f>
        <v>60</v>
      </c>
      <c r="J2" s="5">
        <f ca="1">VLOOKUP($H2,OFFSET(floors!$A$1,0,0,COUNTA(floors!$A:$A),MATCH(J$1,floors!$1:$1,0)-MATCH($H$1,floors!$1:$1,0)+1),MATCH(J$1,floors!$1:$1,0)-MATCH($H$1,floors!$1:$1,0)+1,FALSE)</f>
        <v>60</v>
      </c>
      <c r="K2" s="8" t="s">
        <v>149</v>
      </c>
      <c r="L2" s="24">
        <v>332</v>
      </c>
      <c r="M2" s="20" t="str">
        <f ca="1">VLOOKUP($L2,OFFSET([3]enemies!$A$1,0,0,COUNTA([3]enemies!$A:$A),MATCH(M$1,[3]enemies!$1:$1,0)-MATCH($L$1,[3]enemies!$1:$1,0)+1),MATCH(M$1,[3]enemies!$1:$1,0)-MATCH($L$1,[3]enemies!$1:$1,0)+1,FALSE)</f>
        <v>炎のメタルピヨピヨ</v>
      </c>
      <c r="N2" s="20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20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15</v>
      </c>
      <c r="R2" s="6">
        <v>1</v>
      </c>
      <c r="S2" s="30">
        <v>1</v>
      </c>
      <c r="T2" s="30">
        <v>30</v>
      </c>
      <c r="U2" s="6">
        <v>0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1</v>
      </c>
      <c r="Y2" s="7">
        <v>100</v>
      </c>
      <c r="Z2" s="7">
        <v>0</v>
      </c>
      <c r="AA2" s="20">
        <f ca="1">VLOOKUP($L2,OFFSET([3]enemies!$A$1,0,0,COUNTA([3]enemies!$A:$A),MATCH(AA$1,[3]enemies!$1:$1,0)-MATCH($L$1,[3]enemies!$1:$1,0)+1),MATCH(AA$1,[3]enemies!$1:$1,0)-MATCH($L$1,[3]enemies!$1:$1,0)+1,FALSE)</f>
        <v>1</v>
      </c>
      <c r="AB2" s="2">
        <f>L2</f>
        <v>332</v>
      </c>
      <c r="AC2" s="5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2" s="5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5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8">
        <v>1</v>
      </c>
      <c r="AG2" s="28">
        <f t="shared" ref="AG2:AG5" ca="1" si="3">AD2</f>
        <v>3</v>
      </c>
      <c r="AH2" s="9">
        <v>100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</row>
    <row r="3" spans="1:39" ht="21" customHeight="1" x14ac:dyDescent="0.15">
      <c r="A3" s="17" t="str">
        <f t="shared" ca="1" si="0"/>
        <v>12001_1-1/336&lt;lv1&gt;s1</v>
      </c>
      <c r="B3" s="26">
        <v>12001</v>
      </c>
      <c r="C3" s="25">
        <v>1</v>
      </c>
      <c r="D3" s="2" t="str">
        <f t="shared" si="1"/>
        <v>12001_1</v>
      </c>
      <c r="E3" s="5" t="str">
        <f ca="1">VLOOKUP($B3,OFFSET([2]quests!$A$1,0,0,COUNTA([2]quests!$A:$A),MATCH(E$1,[2]quests!$1:$1,0)-MATCH($B$1,[2]quests!$1:$1,0)+1),MATCH(E$1,[2]quests!$1:$1,0)-MATCH($B$1,[2]quests!$1:$1,0)+1,FALSE)</f>
        <v>【緊急！！】 アヒル捕獲作戦</v>
      </c>
      <c r="F3" s="5" t="str">
        <f ca="1">VLOOKUP($D3,OFFSET([2]stages!$A$1,0,0,COUNTA([2]stages!$A:$A),MATCH(F$1,[2]stages!$2:$2,0)-MATCH($D$1,[2]stages!$2:$2,0)+1),MATCH(F$1,[2]stages!$2:$2,0)-MATCH($D$1,[2]stages!$2:$2,0)+1,FALSE)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3" s="25">
        <v>1</v>
      </c>
      <c r="H3" s="16" t="str">
        <f t="shared" ref="H3:H68" si="4">B3&amp;"_"&amp;C3&amp;"-"&amp;G3</f>
        <v>12001_1-1</v>
      </c>
      <c r="I3" s="5">
        <f ca="1">VLOOKUP($H3,OFFSET(floors!$A$1,0,0,COUNTA(floors!$A:$A),MATCH(I$1,floors!$1:$1,0)-MATCH($H$1,floors!$1:$1,0)+1),MATCH(I$1,floors!$1:$1,0)-MATCH($H$1,floors!$1:$1,0)+1,FALSE)</f>
        <v>60</v>
      </c>
      <c r="J3" s="5">
        <f ca="1">VLOOKUP($H3,OFFSET(floors!$A$1,0,0,COUNTA(floors!$A:$A),MATCH(J$1,floors!$1:$1,0)-MATCH($H$1,floors!$1:$1,0)+1),MATCH(J$1,floors!$1:$1,0)-MATCH($H$1,floors!$1:$1,0)+1,FALSE)</f>
        <v>60</v>
      </c>
      <c r="K3" s="8" t="s">
        <v>149</v>
      </c>
      <c r="L3" s="24">
        <v>336</v>
      </c>
      <c r="M3" s="20" t="str">
        <f ca="1">VLOOKUP($L3,OFFSET([3]enemies!$A$1,0,0,COUNTA([3]enemies!$A:$A),MATCH(M$1,[3]enemies!$1:$1,0)-MATCH($L$1,[3]enemies!$1:$1,0)+1),MATCH(M$1,[3]enemies!$1:$1,0)-MATCH($L$1,[3]enemies!$1:$1,0)+1,FALSE)</f>
        <v>森のメタルピヨピヨ</v>
      </c>
      <c r="N3" s="20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20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2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20">
        <f ca="1">VLOOKUP($L3,OFFSET([3]enemies!$A$1,0,0,COUNTA([3]enemies!$A:$A),MATCH(Q$1,[3]enemies!$1:$1,0)-MATCH($L$1,[3]enemies!$1:$1,0)+1),MATCH(Q$1,[3]enemies!$1:$1,0)-MATCH($L$1,[3]enemies!$1:$1,0)+1,FALSE)</f>
        <v>15</v>
      </c>
      <c r="R3" s="6">
        <v>1</v>
      </c>
      <c r="S3" s="30">
        <v>1</v>
      </c>
      <c r="T3" s="30">
        <v>30</v>
      </c>
      <c r="U3" s="6">
        <v>0</v>
      </c>
      <c r="V3" s="5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5">
        <f ca="1">VLOOKUP($L3,OFFSET([3]enemies!$A$1,0,0,COUNTA([3]enemies!$A:$A),MATCH(W$1,[3]enemies!$1:$1,0)-MATCH($L$1,[3]enemies!$1:$1,0)+1),MATCH(W$1,[3]enemies!$1:$1,0)-MATCH($L$1,[3]enemies!$1:$1,0)+1,FALSE)</f>
        <v>0</v>
      </c>
      <c r="X3" s="7">
        <v>1</v>
      </c>
      <c r="Y3" s="7">
        <v>100</v>
      </c>
      <c r="Z3" s="7">
        <v>0</v>
      </c>
      <c r="AA3" s="20">
        <f ca="1">VLOOKUP($L3,OFFSET([3]enemies!$A$1,0,0,COUNTA([3]enemies!$A:$A),MATCH(AA$1,[3]enemies!$1:$1,0)-MATCH($L$1,[3]enemies!$1:$1,0)+1),MATCH(AA$1,[3]enemies!$1:$1,0)-MATCH($L$1,[3]enemies!$1:$1,0)+1,FALSE)</f>
        <v>1</v>
      </c>
      <c r="AB3" s="2">
        <f t="shared" ref="AB3:AB57" si="5">L3</f>
        <v>336</v>
      </c>
      <c r="AC3" s="5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3" s="5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5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8">
        <v>1</v>
      </c>
      <c r="AG3" s="28">
        <f t="shared" ca="1" si="3"/>
        <v>3</v>
      </c>
      <c r="AH3" s="9">
        <v>100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</row>
    <row r="4" spans="1:39" ht="21" customHeight="1" x14ac:dyDescent="0.15">
      <c r="A4" s="17" t="str">
        <f t="shared" ca="1" si="0"/>
        <v>12001_1-1/340&lt;lv1&gt;s1</v>
      </c>
      <c r="B4" s="26">
        <v>12001</v>
      </c>
      <c r="C4" s="25">
        <v>1</v>
      </c>
      <c r="D4" s="2" t="str">
        <f t="shared" si="1"/>
        <v>12001_1</v>
      </c>
      <c r="E4" s="5" t="str">
        <f ca="1">VLOOKUP($B4,OFFSET([2]quests!$A$1,0,0,COUNTA([2]quests!$A:$A),MATCH(E$1,[2]quests!$1:$1,0)-MATCH($B$1,[2]quests!$1:$1,0)+1),MATCH(E$1,[2]quests!$1:$1,0)-MATCH($B$1,[2]quests!$1:$1,0)+1,FALSE)</f>
        <v>【緊急！！】 アヒル捕獲作戦</v>
      </c>
      <c r="F4" s="5" t="str">
        <f ca="1">VLOOKUP($D4,OFFSET([2]stages!$A$1,0,0,COUNTA([2]stages!$A:$A),MATCH(F$1,[2]stages!$2:$2,0)-MATCH($D$1,[2]stages!$2:$2,0)+1),MATCH(F$1,[2]stages!$2:$2,0)-MATCH($D$1,[2]stages!$2:$2,0)+1,FALSE)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4" s="25">
        <v>1</v>
      </c>
      <c r="H4" s="16" t="str">
        <f t="shared" si="4"/>
        <v>12001_1-1</v>
      </c>
      <c r="I4" s="5">
        <f ca="1">VLOOKUP($H4,OFFSET(floors!$A$1,0,0,COUNTA(floors!$A:$A),MATCH(I$1,floors!$1:$1,0)-MATCH($H$1,floors!$1:$1,0)+1),MATCH(I$1,floors!$1:$1,0)-MATCH($H$1,floors!$1:$1,0)+1,FALSE)</f>
        <v>60</v>
      </c>
      <c r="J4" s="5">
        <f ca="1">VLOOKUP($H4,OFFSET(floors!$A$1,0,0,COUNTA(floors!$A:$A),MATCH(J$1,floors!$1:$1,0)-MATCH($H$1,floors!$1:$1,0)+1),MATCH(J$1,floors!$1:$1,0)-MATCH($H$1,floors!$1:$1,0)+1,FALSE)</f>
        <v>60</v>
      </c>
      <c r="K4" s="8" t="s">
        <v>149</v>
      </c>
      <c r="L4" s="24">
        <v>340</v>
      </c>
      <c r="M4" s="20" t="str">
        <f ca="1">VLOOKUP($L4,OFFSET([3]enemies!$A$1,0,0,COUNTA([3]enemies!$A:$A),MATCH(M$1,[3]enemies!$1:$1,0)-MATCH($L$1,[3]enemies!$1:$1,0)+1),MATCH(M$1,[3]enemies!$1:$1,0)-MATCH($L$1,[3]enemies!$1:$1,0)+1,FALSE)</f>
        <v>水のメタルピヨピヨ</v>
      </c>
      <c r="N4" s="20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20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20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20">
        <f ca="1">VLOOKUP($L4,OFFSET([3]enemies!$A$1,0,0,COUNTA([3]enemies!$A:$A),MATCH(Q$1,[3]enemies!$1:$1,0)-MATCH($L$1,[3]enemies!$1:$1,0)+1),MATCH(Q$1,[3]enemies!$1:$1,0)-MATCH($L$1,[3]enemies!$1:$1,0)+1,FALSE)</f>
        <v>15</v>
      </c>
      <c r="R4" s="6">
        <v>1</v>
      </c>
      <c r="S4" s="30">
        <v>1</v>
      </c>
      <c r="T4" s="30">
        <v>30</v>
      </c>
      <c r="U4" s="6">
        <v>0</v>
      </c>
      <c r="V4" s="5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5">
        <f ca="1">VLOOKUP($L4,OFFSET([3]enemies!$A$1,0,0,COUNTA([3]enemies!$A:$A),MATCH(W$1,[3]enemies!$1:$1,0)-MATCH($L$1,[3]enemies!$1:$1,0)+1),MATCH(W$1,[3]enemies!$1:$1,0)-MATCH($L$1,[3]enemies!$1:$1,0)+1,FALSE)</f>
        <v>0</v>
      </c>
      <c r="X4" s="7">
        <v>1</v>
      </c>
      <c r="Y4" s="7">
        <v>100</v>
      </c>
      <c r="Z4" s="7">
        <v>0</v>
      </c>
      <c r="AA4" s="20">
        <f ca="1">VLOOKUP($L4,OFFSET([3]enemies!$A$1,0,0,COUNTA([3]enemies!$A:$A),MATCH(AA$1,[3]enemies!$1:$1,0)-MATCH($L$1,[3]enemies!$1:$1,0)+1),MATCH(AA$1,[3]enemies!$1:$1,0)-MATCH($L$1,[3]enemies!$1:$1,0)+1,FALSE)</f>
        <v>1</v>
      </c>
      <c r="AB4" s="2">
        <f t="shared" si="5"/>
        <v>340</v>
      </c>
      <c r="AC4" s="5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4" s="5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5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8">
        <v>1</v>
      </c>
      <c r="AG4" s="28">
        <f t="shared" ca="1" si="3"/>
        <v>3</v>
      </c>
      <c r="AH4" s="9">
        <v>100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</row>
    <row r="5" spans="1:39" ht="21" customHeight="1" x14ac:dyDescent="0.15">
      <c r="A5" s="17" t="str">
        <f t="shared" ca="1" si="0"/>
        <v>12001_1-1/344&lt;lv1&gt;s1</v>
      </c>
      <c r="B5" s="26">
        <v>12001</v>
      </c>
      <c r="C5" s="25">
        <v>1</v>
      </c>
      <c r="D5" s="2" t="str">
        <f t="shared" si="1"/>
        <v>12001_1</v>
      </c>
      <c r="E5" s="5" t="str">
        <f ca="1">VLOOKUP($B5,OFFSET([2]quests!$A$1,0,0,COUNTA([2]quests!$A:$A),MATCH(E$1,[2]quests!$1:$1,0)-MATCH($B$1,[2]quests!$1:$1,0)+1),MATCH(E$1,[2]quests!$1:$1,0)-MATCH($B$1,[2]quests!$1:$1,0)+1,FALSE)</f>
        <v>【緊急！！】 アヒル捕獲作戦</v>
      </c>
      <c r="F5" s="5" t="str">
        <f ca="1">VLOOKUP($D5,OFFSET([2]stages!$A$1,0,0,COUNTA([2]stages!$A:$A),MATCH(F$1,[2]stages!$2:$2,0)-MATCH($D$1,[2]stages!$2:$2,0)+1),MATCH(F$1,[2]stages!$2:$2,0)-MATCH($D$1,[2]stages!$2:$2,0)+1,FALSE)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5" s="25">
        <v>1</v>
      </c>
      <c r="H5" s="16" t="str">
        <f t="shared" si="4"/>
        <v>12001_1-1</v>
      </c>
      <c r="I5" s="5">
        <f ca="1">VLOOKUP($H5,OFFSET(floors!$A$1,0,0,COUNTA(floors!$A:$A),MATCH(I$1,floors!$1:$1,0)-MATCH($H$1,floors!$1:$1,0)+1),MATCH(I$1,floors!$1:$1,0)-MATCH($H$1,floors!$1:$1,0)+1,FALSE)</f>
        <v>60</v>
      </c>
      <c r="J5" s="5">
        <f ca="1">VLOOKUP($H5,OFFSET(floors!$A$1,0,0,COUNTA(floors!$A:$A),MATCH(J$1,floors!$1:$1,0)-MATCH($H$1,floors!$1:$1,0)+1),MATCH(J$1,floors!$1:$1,0)-MATCH($H$1,floors!$1:$1,0)+1,FALSE)</f>
        <v>60</v>
      </c>
      <c r="K5" s="8" t="s">
        <v>149</v>
      </c>
      <c r="L5" s="24">
        <v>344</v>
      </c>
      <c r="M5" s="20" t="str">
        <f ca="1">VLOOKUP($L5,OFFSET([3]enemies!$A$1,0,0,COUNTA([3]enemies!$A:$A),MATCH(M$1,[3]enemies!$1:$1,0)-MATCH($L$1,[3]enemies!$1:$1,0)+1),MATCH(M$1,[3]enemies!$1:$1,0)-MATCH($L$1,[3]enemies!$1:$1,0)+1,FALSE)</f>
        <v>雷のメタルピヨピヨ</v>
      </c>
      <c r="N5" s="20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20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15</v>
      </c>
      <c r="R5" s="6">
        <v>1</v>
      </c>
      <c r="S5" s="30">
        <v>1</v>
      </c>
      <c r="T5" s="30">
        <v>30</v>
      </c>
      <c r="U5" s="6">
        <v>0</v>
      </c>
      <c r="V5" s="5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5">
        <f ca="1">VLOOKUP($L5,OFFSET([3]enemies!$A$1,0,0,COUNTA([3]enemies!$A:$A),MATCH(W$1,[3]enemies!$1:$1,0)-MATCH($L$1,[3]enemies!$1:$1,0)+1),MATCH(W$1,[3]enemies!$1:$1,0)-MATCH($L$1,[3]enemies!$1:$1,0)+1,FALSE)</f>
        <v>0</v>
      </c>
      <c r="X5" s="7">
        <v>1</v>
      </c>
      <c r="Y5" s="7">
        <v>100</v>
      </c>
      <c r="Z5" s="7">
        <v>0</v>
      </c>
      <c r="AA5" s="20">
        <f ca="1">VLOOKUP($L5,OFFSET([3]enemies!$A$1,0,0,COUNTA([3]enemies!$A:$A),MATCH(AA$1,[3]enemies!$1:$1,0)-MATCH($L$1,[3]enemies!$1:$1,0)+1),MATCH(AA$1,[3]enemies!$1:$1,0)-MATCH($L$1,[3]enemies!$1:$1,0)+1,FALSE)</f>
        <v>1</v>
      </c>
      <c r="AB5" s="2">
        <f t="shared" si="5"/>
        <v>344</v>
      </c>
      <c r="AC5" s="5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5" s="5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5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8">
        <v>1</v>
      </c>
      <c r="AG5" s="28">
        <f t="shared" ca="1" si="3"/>
        <v>3</v>
      </c>
      <c r="AH5" s="9">
        <v>100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</row>
    <row r="6" spans="1:39" ht="21" customHeight="1" x14ac:dyDescent="0.15">
      <c r="A6" s="17" t="str">
        <f t="shared" ca="1" si="0"/>
        <v>12001_1-2/332&lt;lv1&gt;s1</v>
      </c>
      <c r="B6" s="26">
        <v>12001</v>
      </c>
      <c r="C6" s="25">
        <v>1</v>
      </c>
      <c r="D6" s="2" t="str">
        <f t="shared" ref="D6:D13" si="6">B6&amp;"_"&amp;C6</f>
        <v>12001_1</v>
      </c>
      <c r="E6" s="5" t="str">
        <f ca="1">VLOOKUP($B6,OFFSET([2]quests!$A$1,0,0,COUNTA([2]quests!$A:$A),MATCH(E$1,[2]quests!$1:$1,0)-MATCH($B$1,[2]quests!$1:$1,0)+1),MATCH(E$1,[2]quests!$1:$1,0)-MATCH($B$1,[2]quests!$1:$1,0)+1,FALSE)</f>
        <v>【緊急！！】 アヒル捕獲作戦</v>
      </c>
      <c r="F6" s="5" t="str">
        <f ca="1">VLOOKUP($D6,OFFSET([2]stages!$A$1,0,0,COUNTA([2]stages!$A:$A),MATCH(F$1,[2]stages!$2:$2,0)-MATCH($D$1,[2]stages!$2:$2,0)+1),MATCH(F$1,[2]stages!$2:$2,0)-MATCH($D$1,[2]stages!$2:$2,0)+1,FALSE)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6" s="25">
        <v>2</v>
      </c>
      <c r="H6" s="16" t="str">
        <f t="shared" si="4"/>
        <v>12001_1-2</v>
      </c>
      <c r="I6" s="5">
        <f ca="1">VLOOKUP($H6,OFFSET(floors!$A$1,0,0,COUNTA(floors!$A:$A),MATCH(I$1,floors!$1:$1,0)-MATCH($H$1,floors!$1:$1,0)+1),MATCH(I$1,floors!$1:$1,0)-MATCH($H$1,floors!$1:$1,0)+1,FALSE)</f>
        <v>60</v>
      </c>
      <c r="J6" s="5">
        <f ca="1">VLOOKUP($H6,OFFSET(floors!$A$1,0,0,COUNTA(floors!$A:$A),MATCH(J$1,floors!$1:$1,0)-MATCH($H$1,floors!$1:$1,0)+1),MATCH(J$1,floors!$1:$1,0)-MATCH($H$1,floors!$1:$1,0)+1,FALSE)</f>
        <v>60</v>
      </c>
      <c r="K6" s="8" t="s">
        <v>149</v>
      </c>
      <c r="L6" s="24">
        <v>332</v>
      </c>
      <c r="M6" s="20" t="str">
        <f ca="1">VLOOKUP($L6,OFFSET([3]enemies!$A$1,0,0,COUNTA([3]enemies!$A:$A),MATCH(M$1,[3]enemies!$1:$1,0)-MATCH($L$1,[3]enemies!$1:$1,0)+1),MATCH(M$1,[3]enemies!$1:$1,0)-MATCH($L$1,[3]enemies!$1:$1,0)+1,FALSE)</f>
        <v>炎のメタルピヨピヨ</v>
      </c>
      <c r="N6" s="20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20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15</v>
      </c>
      <c r="R6" s="6">
        <v>1</v>
      </c>
      <c r="S6" s="30">
        <v>1</v>
      </c>
      <c r="T6" s="30">
        <v>30</v>
      </c>
      <c r="U6" s="6">
        <v>0</v>
      </c>
      <c r="V6" s="5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5">
        <f ca="1">VLOOKUP($L6,OFFSET([3]enemies!$A$1,0,0,COUNTA([3]enemies!$A:$A),MATCH(W$1,[3]enemies!$1:$1,0)-MATCH($L$1,[3]enemies!$1:$1,0)+1),MATCH(W$1,[3]enemies!$1:$1,0)-MATCH($L$1,[3]enemies!$1:$1,0)+1,FALSE)</f>
        <v>0</v>
      </c>
      <c r="X6" s="7">
        <v>0</v>
      </c>
      <c r="Y6" s="7">
        <v>100</v>
      </c>
      <c r="Z6" s="7">
        <v>0</v>
      </c>
      <c r="AA6" s="20">
        <f ca="1">VLOOKUP($L6,OFFSET([3]enemies!$A$1,0,0,COUNTA([3]enemies!$A:$A),MATCH(AA$1,[3]enemies!$1:$1,0)-MATCH($L$1,[3]enemies!$1:$1,0)+1),MATCH(AA$1,[3]enemies!$1:$1,0)-MATCH($L$1,[3]enemies!$1:$1,0)+1,FALSE)</f>
        <v>1</v>
      </c>
      <c r="AB6" s="2">
        <f t="shared" si="5"/>
        <v>332</v>
      </c>
      <c r="AC6" s="5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6" s="5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5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8">
        <v>1</v>
      </c>
      <c r="AG6" s="28">
        <f t="shared" ref="AG6:AG13" ca="1" si="7">AD6</f>
        <v>3</v>
      </c>
      <c r="AH6" s="9">
        <v>100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</row>
    <row r="7" spans="1:39" ht="21" customHeight="1" x14ac:dyDescent="0.15">
      <c r="A7" s="17" t="str">
        <f t="shared" ca="1" si="0"/>
        <v>12001_1-2/336&lt;lv1&gt;s1</v>
      </c>
      <c r="B7" s="26">
        <v>12001</v>
      </c>
      <c r="C7" s="25">
        <v>1</v>
      </c>
      <c r="D7" s="2" t="str">
        <f t="shared" si="6"/>
        <v>12001_1</v>
      </c>
      <c r="E7" s="5" t="str">
        <f ca="1">VLOOKUP($B7,OFFSET([2]quests!$A$1,0,0,COUNTA([2]quests!$A:$A),MATCH(E$1,[2]quests!$1:$1,0)-MATCH($B$1,[2]quests!$1:$1,0)+1),MATCH(E$1,[2]quests!$1:$1,0)-MATCH($B$1,[2]quests!$1:$1,0)+1,FALSE)</f>
        <v>【緊急！！】 アヒル捕獲作戦</v>
      </c>
      <c r="F7" s="5" t="str">
        <f ca="1">VLOOKUP($D7,OFFSET([2]stages!$A$1,0,0,COUNTA([2]stages!$A:$A),MATCH(F$1,[2]stages!$2:$2,0)-MATCH($D$1,[2]stages!$2:$2,0)+1),MATCH(F$1,[2]stages!$2:$2,0)-MATCH($D$1,[2]stages!$2:$2,0)+1,FALSE)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7" s="25">
        <v>2</v>
      </c>
      <c r="H7" s="16" t="str">
        <f t="shared" si="4"/>
        <v>12001_1-2</v>
      </c>
      <c r="I7" s="5">
        <f ca="1">VLOOKUP($H7,OFFSET(floors!$A$1,0,0,COUNTA(floors!$A:$A),MATCH(I$1,floors!$1:$1,0)-MATCH($H$1,floors!$1:$1,0)+1),MATCH(I$1,floors!$1:$1,0)-MATCH($H$1,floors!$1:$1,0)+1,FALSE)</f>
        <v>60</v>
      </c>
      <c r="J7" s="5">
        <f ca="1">VLOOKUP($H7,OFFSET(floors!$A$1,0,0,COUNTA(floors!$A:$A),MATCH(J$1,floors!$1:$1,0)-MATCH($H$1,floors!$1:$1,0)+1),MATCH(J$1,floors!$1:$1,0)-MATCH($H$1,floors!$1:$1,0)+1,FALSE)</f>
        <v>60</v>
      </c>
      <c r="K7" s="8" t="s">
        <v>149</v>
      </c>
      <c r="L7" s="24">
        <v>336</v>
      </c>
      <c r="M7" s="20" t="str">
        <f ca="1">VLOOKUP($L7,OFFSET([3]enemies!$A$1,0,0,COUNTA([3]enemies!$A:$A),MATCH(M$1,[3]enemies!$1:$1,0)-MATCH($L$1,[3]enemies!$1:$1,0)+1),MATCH(M$1,[3]enemies!$1:$1,0)-MATCH($L$1,[3]enemies!$1:$1,0)+1,FALSE)</f>
        <v>森のメタルピヨピヨ</v>
      </c>
      <c r="N7" s="20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20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15</v>
      </c>
      <c r="R7" s="6">
        <v>1</v>
      </c>
      <c r="S7" s="30">
        <v>1</v>
      </c>
      <c r="T7" s="30">
        <v>30</v>
      </c>
      <c r="U7" s="6">
        <v>0</v>
      </c>
      <c r="V7" s="5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5">
        <f ca="1">VLOOKUP($L7,OFFSET([3]enemies!$A$1,0,0,COUNTA([3]enemies!$A:$A),MATCH(W$1,[3]enemies!$1:$1,0)-MATCH($L$1,[3]enemies!$1:$1,0)+1),MATCH(W$1,[3]enemies!$1:$1,0)-MATCH($L$1,[3]enemies!$1:$1,0)+1,FALSE)</f>
        <v>0</v>
      </c>
      <c r="X7" s="7">
        <v>0</v>
      </c>
      <c r="Y7" s="7">
        <v>100</v>
      </c>
      <c r="Z7" s="7">
        <v>0</v>
      </c>
      <c r="AA7" s="20">
        <f ca="1">VLOOKUP($L7,OFFSET([3]enemies!$A$1,0,0,COUNTA([3]enemies!$A:$A),MATCH(AA$1,[3]enemies!$1:$1,0)-MATCH($L$1,[3]enemies!$1:$1,0)+1),MATCH(AA$1,[3]enemies!$1:$1,0)-MATCH($L$1,[3]enemies!$1:$1,0)+1,FALSE)</f>
        <v>1</v>
      </c>
      <c r="AB7" s="2">
        <f t="shared" si="5"/>
        <v>336</v>
      </c>
      <c r="AC7" s="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7" s="5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8">
        <v>1</v>
      </c>
      <c r="AG7" s="28">
        <f t="shared" ca="1" si="7"/>
        <v>3</v>
      </c>
      <c r="AH7" s="9">
        <v>100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</row>
    <row r="8" spans="1:39" ht="21" customHeight="1" x14ac:dyDescent="0.15">
      <c r="A8" s="17" t="str">
        <f t="shared" ca="1" si="0"/>
        <v>12001_1-2/340&lt;lv1&gt;s1</v>
      </c>
      <c r="B8" s="26">
        <v>12001</v>
      </c>
      <c r="C8" s="25">
        <v>1</v>
      </c>
      <c r="D8" s="2" t="str">
        <f t="shared" si="6"/>
        <v>12001_1</v>
      </c>
      <c r="E8" s="5" t="str">
        <f ca="1">VLOOKUP($B8,OFFSET([2]quests!$A$1,0,0,COUNTA([2]quests!$A:$A),MATCH(E$1,[2]quests!$1:$1,0)-MATCH($B$1,[2]quests!$1:$1,0)+1),MATCH(E$1,[2]quests!$1:$1,0)-MATCH($B$1,[2]quests!$1:$1,0)+1,FALSE)</f>
        <v>【緊急！！】 アヒル捕獲作戦</v>
      </c>
      <c r="F8" s="5" t="str">
        <f ca="1">VLOOKUP($D8,OFFSET([2]stages!$A$1,0,0,COUNTA([2]stages!$A:$A),MATCH(F$1,[2]stages!$2:$2,0)-MATCH($D$1,[2]stages!$2:$2,0)+1),MATCH(F$1,[2]stages!$2:$2,0)-MATCH($D$1,[2]stages!$2:$2,0)+1,FALSE)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8" s="25">
        <v>2</v>
      </c>
      <c r="H8" s="16" t="str">
        <f t="shared" si="4"/>
        <v>12001_1-2</v>
      </c>
      <c r="I8" s="5">
        <f ca="1">VLOOKUP($H8,OFFSET(floors!$A$1,0,0,COUNTA(floors!$A:$A),MATCH(I$1,floors!$1:$1,0)-MATCH($H$1,floors!$1:$1,0)+1),MATCH(I$1,floors!$1:$1,0)-MATCH($H$1,floors!$1:$1,0)+1,FALSE)</f>
        <v>60</v>
      </c>
      <c r="J8" s="5">
        <f ca="1">VLOOKUP($H8,OFFSET(floors!$A$1,0,0,COUNTA(floors!$A:$A),MATCH(J$1,floors!$1:$1,0)-MATCH($H$1,floors!$1:$1,0)+1),MATCH(J$1,floors!$1:$1,0)-MATCH($H$1,floors!$1:$1,0)+1,FALSE)</f>
        <v>60</v>
      </c>
      <c r="K8" s="8" t="s">
        <v>149</v>
      </c>
      <c r="L8" s="24">
        <v>340</v>
      </c>
      <c r="M8" s="20" t="str">
        <f ca="1">VLOOKUP($L8,OFFSET([3]enemies!$A$1,0,0,COUNTA([3]enemies!$A:$A),MATCH(M$1,[3]enemies!$1:$1,0)-MATCH($L$1,[3]enemies!$1:$1,0)+1),MATCH(M$1,[3]enemies!$1:$1,0)-MATCH($L$1,[3]enemies!$1:$1,0)+1,FALSE)</f>
        <v>水のメタルピヨピヨ</v>
      </c>
      <c r="N8" s="20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20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2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20">
        <f ca="1">VLOOKUP($L8,OFFSET([3]enemies!$A$1,0,0,COUNTA([3]enemies!$A:$A),MATCH(Q$1,[3]enemies!$1:$1,0)-MATCH($L$1,[3]enemies!$1:$1,0)+1),MATCH(Q$1,[3]enemies!$1:$1,0)-MATCH($L$1,[3]enemies!$1:$1,0)+1,FALSE)</f>
        <v>15</v>
      </c>
      <c r="R8" s="6">
        <v>1</v>
      </c>
      <c r="S8" s="30">
        <v>1</v>
      </c>
      <c r="T8" s="30">
        <v>30</v>
      </c>
      <c r="U8" s="6">
        <v>0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5">
        <f ca="1">VLOOKUP($L8,OFFSET([3]enemies!$A$1,0,0,COUNTA([3]enemies!$A:$A),MATCH(W$1,[3]enemies!$1:$1,0)-MATCH($L$1,[3]enemies!$1:$1,0)+1),MATCH(W$1,[3]enemies!$1:$1,0)-MATCH($L$1,[3]enemies!$1:$1,0)+1,FALSE)</f>
        <v>0</v>
      </c>
      <c r="X8" s="7">
        <v>0</v>
      </c>
      <c r="Y8" s="7">
        <v>100</v>
      </c>
      <c r="Z8" s="7">
        <v>0</v>
      </c>
      <c r="AA8" s="20">
        <f ca="1">VLOOKUP($L8,OFFSET([3]enemies!$A$1,0,0,COUNTA([3]enemies!$A:$A),MATCH(AA$1,[3]enemies!$1:$1,0)-MATCH($L$1,[3]enemies!$1:$1,0)+1),MATCH(AA$1,[3]enemies!$1:$1,0)-MATCH($L$1,[3]enemies!$1:$1,0)+1,FALSE)</f>
        <v>1</v>
      </c>
      <c r="AB8" s="2">
        <f t="shared" si="5"/>
        <v>340</v>
      </c>
      <c r="AC8" s="5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8" s="5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5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8">
        <v>1</v>
      </c>
      <c r="AG8" s="28">
        <f t="shared" ca="1" si="7"/>
        <v>3</v>
      </c>
      <c r="AH8" s="9">
        <v>100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</row>
    <row r="9" spans="1:39" ht="21" customHeight="1" x14ac:dyDescent="0.15">
      <c r="A9" s="17" t="str">
        <f t="shared" ca="1" si="0"/>
        <v>12001_1-2/344&lt;lv1&gt;s1</v>
      </c>
      <c r="B9" s="26">
        <v>12001</v>
      </c>
      <c r="C9" s="25">
        <v>1</v>
      </c>
      <c r="D9" s="2" t="str">
        <f t="shared" si="6"/>
        <v>12001_1</v>
      </c>
      <c r="E9" s="5" t="str">
        <f ca="1">VLOOKUP($B9,OFFSET([2]quests!$A$1,0,0,COUNTA([2]quests!$A:$A),MATCH(E$1,[2]quests!$1:$1,0)-MATCH($B$1,[2]quests!$1:$1,0)+1),MATCH(E$1,[2]quests!$1:$1,0)-MATCH($B$1,[2]quests!$1:$1,0)+1,FALSE)</f>
        <v>【緊急！！】 アヒル捕獲作戦</v>
      </c>
      <c r="F9" s="5" t="str">
        <f ca="1">VLOOKUP($D9,OFFSET([2]stages!$A$1,0,0,COUNTA([2]stages!$A:$A),MATCH(F$1,[2]stages!$2:$2,0)-MATCH($D$1,[2]stages!$2:$2,0)+1),MATCH(F$1,[2]stages!$2:$2,0)-MATCH($D$1,[2]stages!$2:$2,0)+1,FALSE)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9" s="25">
        <v>2</v>
      </c>
      <c r="H9" s="16" t="str">
        <f t="shared" si="4"/>
        <v>12001_1-2</v>
      </c>
      <c r="I9" s="5">
        <f ca="1">VLOOKUP($H9,OFFSET(floors!$A$1,0,0,COUNTA(floors!$A:$A),MATCH(I$1,floors!$1:$1,0)-MATCH($H$1,floors!$1:$1,0)+1),MATCH(I$1,floors!$1:$1,0)-MATCH($H$1,floors!$1:$1,0)+1,FALSE)</f>
        <v>60</v>
      </c>
      <c r="J9" s="5">
        <f ca="1">VLOOKUP($H9,OFFSET(floors!$A$1,0,0,COUNTA(floors!$A:$A),MATCH(J$1,floors!$1:$1,0)-MATCH($H$1,floors!$1:$1,0)+1),MATCH(J$1,floors!$1:$1,0)-MATCH($H$1,floors!$1:$1,0)+1,FALSE)</f>
        <v>60</v>
      </c>
      <c r="K9" s="8" t="s">
        <v>149</v>
      </c>
      <c r="L9" s="24">
        <v>344</v>
      </c>
      <c r="M9" s="20" t="str">
        <f ca="1">VLOOKUP($L9,OFFSET([3]enemies!$A$1,0,0,COUNTA([3]enemies!$A:$A),MATCH(M$1,[3]enemies!$1:$1,0)-MATCH($L$1,[3]enemies!$1:$1,0)+1),MATCH(M$1,[3]enemies!$1:$1,0)-MATCH($L$1,[3]enemies!$1:$1,0)+1,FALSE)</f>
        <v>雷のメタルピヨピヨ</v>
      </c>
      <c r="N9" s="20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20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20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20">
        <f ca="1">VLOOKUP($L9,OFFSET([3]enemies!$A$1,0,0,COUNTA([3]enemies!$A:$A),MATCH(Q$1,[3]enemies!$1:$1,0)-MATCH($L$1,[3]enemies!$1:$1,0)+1),MATCH(Q$1,[3]enemies!$1:$1,0)-MATCH($L$1,[3]enemies!$1:$1,0)+1,FALSE)</f>
        <v>15</v>
      </c>
      <c r="R9" s="6">
        <v>1</v>
      </c>
      <c r="S9" s="30">
        <v>1</v>
      </c>
      <c r="T9" s="30">
        <v>30</v>
      </c>
      <c r="U9" s="6">
        <v>0</v>
      </c>
      <c r="V9" s="5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5">
        <f ca="1">VLOOKUP($L9,OFFSET([3]enemies!$A$1,0,0,COUNTA([3]enemies!$A:$A),MATCH(W$1,[3]enemies!$1:$1,0)-MATCH($L$1,[3]enemies!$1:$1,0)+1),MATCH(W$1,[3]enemies!$1:$1,0)-MATCH($L$1,[3]enemies!$1:$1,0)+1,FALSE)</f>
        <v>0</v>
      </c>
      <c r="X9" s="7">
        <v>0</v>
      </c>
      <c r="Y9" s="7">
        <v>100</v>
      </c>
      <c r="Z9" s="7">
        <v>0</v>
      </c>
      <c r="AA9" s="20">
        <f ca="1">VLOOKUP($L9,OFFSET([3]enemies!$A$1,0,0,COUNTA([3]enemies!$A:$A),MATCH(AA$1,[3]enemies!$1:$1,0)-MATCH($L$1,[3]enemies!$1:$1,0)+1),MATCH(AA$1,[3]enemies!$1:$1,0)-MATCH($L$1,[3]enemies!$1:$1,0)+1,FALSE)</f>
        <v>1</v>
      </c>
      <c r="AB9" s="2">
        <f t="shared" si="5"/>
        <v>344</v>
      </c>
      <c r="AC9" s="5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9" s="5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5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8">
        <v>1</v>
      </c>
      <c r="AG9" s="28">
        <f t="shared" ca="1" si="7"/>
        <v>3</v>
      </c>
      <c r="AH9" s="9">
        <v>100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</row>
    <row r="10" spans="1:39" ht="21" customHeight="1" x14ac:dyDescent="0.15">
      <c r="A10" s="17" t="str">
        <f t="shared" ca="1" si="0"/>
        <v>12001_1-2/333&lt;lv1&gt;s2</v>
      </c>
      <c r="B10" s="26">
        <v>12001</v>
      </c>
      <c r="C10" s="25">
        <v>1</v>
      </c>
      <c r="D10" s="2" t="str">
        <f t="shared" si="6"/>
        <v>12001_1</v>
      </c>
      <c r="E10" s="5" t="str">
        <f ca="1">VLOOKUP($B10,OFFSET([2]quests!$A$1,0,0,COUNTA([2]quests!$A:$A),MATCH(E$1,[2]quests!$1:$1,0)-MATCH($B$1,[2]quests!$1:$1,0)+1),MATCH(E$1,[2]quests!$1:$1,0)-MATCH($B$1,[2]quests!$1:$1,0)+1,FALSE)</f>
        <v>【緊急！！】 アヒル捕獲作戦</v>
      </c>
      <c r="F10" s="5" t="str">
        <f ca="1">VLOOKUP($D10,OFFSET([2]stages!$A$1,0,0,COUNTA([2]stages!$A:$A),MATCH(F$1,[2]stages!$2:$2,0)-MATCH($D$1,[2]stages!$2:$2,0)+1),MATCH(F$1,[2]stages!$2:$2,0)-MATCH($D$1,[2]stages!$2:$2,0)+1,FALSE)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0" s="25">
        <v>2</v>
      </c>
      <c r="H10" s="16" t="str">
        <f t="shared" si="4"/>
        <v>12001_1-2</v>
      </c>
      <c r="I10" s="5">
        <f ca="1">VLOOKUP($H10,OFFSET(floors!$A$1,0,0,COUNTA(floors!$A:$A),MATCH(I$1,floors!$1:$1,0)-MATCH($H$1,floors!$1:$1,0)+1),MATCH(I$1,floors!$1:$1,0)-MATCH($H$1,floors!$1:$1,0)+1,FALSE)</f>
        <v>60</v>
      </c>
      <c r="J10" s="5">
        <f ca="1">VLOOKUP($H10,OFFSET(floors!$A$1,0,0,COUNTA(floors!$A:$A),MATCH(J$1,floors!$1:$1,0)-MATCH($H$1,floors!$1:$1,0)+1),MATCH(J$1,floors!$1:$1,0)-MATCH($H$1,floors!$1:$1,0)+1,FALSE)</f>
        <v>60</v>
      </c>
      <c r="K10" s="8" t="s">
        <v>149</v>
      </c>
      <c r="L10" s="24">
        <v>333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炎のメタルチック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20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15</v>
      </c>
      <c r="R10" s="6">
        <v>1</v>
      </c>
      <c r="S10" s="30">
        <v>1</v>
      </c>
      <c r="T10" s="30">
        <v>30</v>
      </c>
      <c r="U10" s="6">
        <v>-1000</v>
      </c>
      <c r="V10" s="5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5">
        <f ca="1">VLOOKUP($L10,OFFSET([3]enemies!$A$1,0,0,COUNTA([3]enemies!$A:$A),MATCH(W$1,[3]enemies!$1:$1,0)-MATCH($L$1,[3]enemies!$1:$1,0)+1),MATCH(W$1,[3]enemies!$1:$1,0)-MATCH($L$1,[3]enemies!$1:$1,0)+1,FALSE)</f>
        <v>0</v>
      </c>
      <c r="X10" s="7">
        <v>0</v>
      </c>
      <c r="Y10" s="7">
        <v>25</v>
      </c>
      <c r="Z10" s="7">
        <v>0</v>
      </c>
      <c r="AA10" s="20">
        <f ca="1">VLOOKUP($L10,OFFSET([3]enemies!$A$1,0,0,COUNTA([3]enemies!$A:$A),MATCH(AA$1,[3]enemies!$1:$1,0)-MATCH($L$1,[3]enemies!$1:$1,0)+1),MATCH(AA$1,[3]enemies!$1:$1,0)-MATCH($L$1,[3]enemies!$1:$1,0)+1,FALSE)</f>
        <v>2</v>
      </c>
      <c r="AB10" s="2">
        <f t="shared" si="5"/>
        <v>333</v>
      </c>
      <c r="AC10" s="5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0" s="5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5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8">
        <v>1</v>
      </c>
      <c r="AG10" s="28">
        <f t="shared" ca="1" si="7"/>
        <v>4</v>
      </c>
      <c r="AH10" s="9">
        <v>10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</row>
    <row r="11" spans="1:39" ht="21" customHeight="1" x14ac:dyDescent="0.15">
      <c r="A11" s="17" t="str">
        <f t="shared" ca="1" si="0"/>
        <v>12001_1-2/337&lt;lv1&gt;s2</v>
      </c>
      <c r="B11" s="26">
        <v>12001</v>
      </c>
      <c r="C11" s="25">
        <v>1</v>
      </c>
      <c r="D11" s="2" t="str">
        <f t="shared" si="6"/>
        <v>12001_1</v>
      </c>
      <c r="E11" s="5" t="str">
        <f ca="1">VLOOKUP($B11,OFFSET([2]quests!$A$1,0,0,COUNTA([2]quests!$A:$A),MATCH(E$1,[2]quests!$1:$1,0)-MATCH($B$1,[2]quests!$1:$1,0)+1),MATCH(E$1,[2]quests!$1:$1,0)-MATCH($B$1,[2]quests!$1:$1,0)+1,FALSE)</f>
        <v>【緊急！！】 アヒル捕獲作戦</v>
      </c>
      <c r="F11" s="5" t="str">
        <f ca="1">VLOOKUP($D11,OFFSET([2]stages!$A$1,0,0,COUNTA([2]stages!$A:$A),MATCH(F$1,[2]stages!$2:$2,0)-MATCH($D$1,[2]stages!$2:$2,0)+1),MATCH(F$1,[2]stages!$2:$2,0)-MATCH($D$1,[2]stages!$2:$2,0)+1,FALSE)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1" s="25">
        <v>2</v>
      </c>
      <c r="H11" s="16" t="str">
        <f t="shared" si="4"/>
        <v>12001_1-2</v>
      </c>
      <c r="I11" s="5">
        <f ca="1">VLOOKUP($H11,OFFSET(floors!$A$1,0,0,COUNTA(floors!$A:$A),MATCH(I$1,floors!$1:$1,0)-MATCH($H$1,floors!$1:$1,0)+1),MATCH(I$1,floors!$1:$1,0)-MATCH($H$1,floors!$1:$1,0)+1,FALSE)</f>
        <v>60</v>
      </c>
      <c r="J11" s="5">
        <f ca="1">VLOOKUP($H11,OFFSET(floors!$A$1,0,0,COUNTA(floors!$A:$A),MATCH(J$1,floors!$1:$1,0)-MATCH($H$1,floors!$1:$1,0)+1),MATCH(J$1,floors!$1:$1,0)-MATCH($H$1,floors!$1:$1,0)+1,FALSE)</f>
        <v>60</v>
      </c>
      <c r="K11" s="8" t="s">
        <v>149</v>
      </c>
      <c r="L11" s="24">
        <v>337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森のメタルチック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20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15</v>
      </c>
      <c r="R11" s="6">
        <v>1</v>
      </c>
      <c r="S11" s="30">
        <v>1</v>
      </c>
      <c r="T11" s="30">
        <v>30</v>
      </c>
      <c r="U11" s="6">
        <v>-1000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25</v>
      </c>
      <c r="Z11" s="7">
        <v>0</v>
      </c>
      <c r="AA11" s="20">
        <f ca="1">VLOOKUP($L11,OFFSET([3]enemies!$A$1,0,0,COUNTA([3]enemies!$A:$A),MATCH(AA$1,[3]enemies!$1:$1,0)-MATCH($L$1,[3]enemies!$1:$1,0)+1),MATCH(AA$1,[3]enemies!$1:$1,0)-MATCH($L$1,[3]enemies!$1:$1,0)+1,FALSE)</f>
        <v>2</v>
      </c>
      <c r="AB11" s="2">
        <f t="shared" si="5"/>
        <v>337</v>
      </c>
      <c r="AC11" s="5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1" s="5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5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8">
        <v>1</v>
      </c>
      <c r="AG11" s="28">
        <f t="shared" ca="1" si="7"/>
        <v>4</v>
      </c>
      <c r="AH11" s="9">
        <v>10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</row>
    <row r="12" spans="1:39" ht="21" customHeight="1" x14ac:dyDescent="0.15">
      <c r="A12" s="17" t="str">
        <f t="shared" ca="1" si="0"/>
        <v>12001_1-2/341&lt;lv1&gt;s2</v>
      </c>
      <c r="B12" s="26">
        <v>12001</v>
      </c>
      <c r="C12" s="25">
        <v>1</v>
      </c>
      <c r="D12" s="2" t="str">
        <f t="shared" si="6"/>
        <v>12001_1</v>
      </c>
      <c r="E12" s="5" t="str">
        <f ca="1">VLOOKUP($B12,OFFSET([2]quests!$A$1,0,0,COUNTA([2]quests!$A:$A),MATCH(E$1,[2]quests!$1:$1,0)-MATCH($B$1,[2]quests!$1:$1,0)+1),MATCH(E$1,[2]quests!$1:$1,0)-MATCH($B$1,[2]quests!$1:$1,0)+1,FALSE)</f>
        <v>【緊急！！】 アヒル捕獲作戦</v>
      </c>
      <c r="F12" s="5" t="str">
        <f ca="1">VLOOKUP($D12,OFFSET([2]stages!$A$1,0,0,COUNTA([2]stages!$A:$A),MATCH(F$1,[2]stages!$2:$2,0)-MATCH($D$1,[2]stages!$2:$2,0)+1),MATCH(F$1,[2]stages!$2:$2,0)-MATCH($D$1,[2]stages!$2:$2,0)+1,FALSE)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2" s="25">
        <v>2</v>
      </c>
      <c r="H12" s="16" t="str">
        <f t="shared" si="4"/>
        <v>12001_1-2</v>
      </c>
      <c r="I12" s="5">
        <f ca="1">VLOOKUP($H12,OFFSET(floors!$A$1,0,0,COUNTA(floors!$A:$A),MATCH(I$1,floors!$1:$1,0)-MATCH($H$1,floors!$1:$1,0)+1),MATCH(I$1,floors!$1:$1,0)-MATCH($H$1,floors!$1:$1,0)+1,FALSE)</f>
        <v>60</v>
      </c>
      <c r="J12" s="5">
        <f ca="1">VLOOKUP($H12,OFFSET(floors!$A$1,0,0,COUNTA(floors!$A:$A),MATCH(J$1,floors!$1:$1,0)-MATCH($H$1,floors!$1:$1,0)+1),MATCH(J$1,floors!$1:$1,0)-MATCH($H$1,floors!$1:$1,0)+1,FALSE)</f>
        <v>60</v>
      </c>
      <c r="K12" s="8" t="s">
        <v>149</v>
      </c>
      <c r="L12" s="24">
        <v>341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水のメタルチック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20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15</v>
      </c>
      <c r="R12" s="6">
        <v>1</v>
      </c>
      <c r="S12" s="30">
        <v>1</v>
      </c>
      <c r="T12" s="30">
        <v>30</v>
      </c>
      <c r="U12" s="6">
        <v>-1000</v>
      </c>
      <c r="V12" s="5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5">
        <f ca="1">VLOOKUP($L12,OFFSET([3]enemies!$A$1,0,0,COUNTA([3]enemies!$A:$A),MATCH(W$1,[3]enemies!$1:$1,0)-MATCH($L$1,[3]enemies!$1:$1,0)+1),MATCH(W$1,[3]enemies!$1:$1,0)-MATCH($L$1,[3]enemies!$1:$1,0)+1,FALSE)</f>
        <v>0</v>
      </c>
      <c r="X12" s="7">
        <v>0</v>
      </c>
      <c r="Y12" s="7">
        <v>25</v>
      </c>
      <c r="Z12" s="7">
        <v>0</v>
      </c>
      <c r="AA12" s="20">
        <f ca="1">VLOOKUP($L12,OFFSET([3]enemies!$A$1,0,0,COUNTA([3]enemies!$A:$A),MATCH(AA$1,[3]enemies!$1:$1,0)-MATCH($L$1,[3]enemies!$1:$1,0)+1),MATCH(AA$1,[3]enemies!$1:$1,0)-MATCH($L$1,[3]enemies!$1:$1,0)+1,FALSE)</f>
        <v>2</v>
      </c>
      <c r="AB12" s="2">
        <f t="shared" si="5"/>
        <v>341</v>
      </c>
      <c r="AC12" s="5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12" s="5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5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" s="8">
        <v>1</v>
      </c>
      <c r="AG12" s="28">
        <f t="shared" ca="1" si="7"/>
        <v>4</v>
      </c>
      <c r="AH12" s="9">
        <v>10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</row>
    <row r="13" spans="1:39" ht="21" customHeight="1" x14ac:dyDescent="0.15">
      <c r="A13" s="17" t="str">
        <f t="shared" ca="1" si="0"/>
        <v>12001_1-2/345&lt;lv1&gt;s2</v>
      </c>
      <c r="B13" s="26">
        <v>12001</v>
      </c>
      <c r="C13" s="25">
        <v>1</v>
      </c>
      <c r="D13" s="2" t="str">
        <f t="shared" si="6"/>
        <v>12001_1</v>
      </c>
      <c r="E13" s="5" t="str">
        <f ca="1">VLOOKUP($B13,OFFSET([2]quests!$A$1,0,0,COUNTA([2]quests!$A:$A),MATCH(E$1,[2]quests!$1:$1,0)-MATCH($B$1,[2]quests!$1:$1,0)+1),MATCH(E$1,[2]quests!$1:$1,0)-MATCH($B$1,[2]quests!$1:$1,0)+1,FALSE)</f>
        <v>【緊急！！】 アヒル捕獲作戦</v>
      </c>
      <c r="F13" s="5" t="str">
        <f ca="1">VLOOKUP($D13,OFFSET([2]stages!$A$1,0,0,COUNTA([2]stages!$A:$A),MATCH(F$1,[2]stages!$2:$2,0)-MATCH($D$1,[2]stages!$2:$2,0)+1),MATCH(F$1,[2]stages!$2:$2,0)-MATCH($D$1,[2]stages!$2:$2,0)+1,FALSE)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3" s="25">
        <v>2</v>
      </c>
      <c r="H13" s="16" t="str">
        <f t="shared" si="4"/>
        <v>12001_1-2</v>
      </c>
      <c r="I13" s="5">
        <f ca="1">VLOOKUP($H13,OFFSET(floors!$A$1,0,0,COUNTA(floors!$A:$A),MATCH(I$1,floors!$1:$1,0)-MATCH($H$1,floors!$1:$1,0)+1),MATCH(I$1,floors!$1:$1,0)-MATCH($H$1,floors!$1:$1,0)+1,FALSE)</f>
        <v>60</v>
      </c>
      <c r="J13" s="5">
        <f ca="1">VLOOKUP($H13,OFFSET(floors!$A$1,0,0,COUNTA(floors!$A:$A),MATCH(J$1,floors!$1:$1,0)-MATCH($H$1,floors!$1:$1,0)+1),MATCH(J$1,floors!$1:$1,0)-MATCH($H$1,floors!$1:$1,0)+1,FALSE)</f>
        <v>60</v>
      </c>
      <c r="K13" s="8" t="s">
        <v>149</v>
      </c>
      <c r="L13" s="24">
        <v>345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雷のメタルチック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20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20">
        <f ca="1">VLOOKUP($L13,OFFSET([3]enemies!$A$1,0,0,COUNTA([3]enemies!$A:$A),MATCH(Q$1,[3]enemies!$1:$1,0)-MATCH($L$1,[3]enemies!$1:$1,0)+1),MATCH(Q$1,[3]enemies!$1:$1,0)-MATCH($L$1,[3]enemies!$1:$1,0)+1,FALSE)</f>
        <v>15</v>
      </c>
      <c r="R13" s="6">
        <v>1</v>
      </c>
      <c r="S13" s="30">
        <v>1</v>
      </c>
      <c r="T13" s="30">
        <v>30</v>
      </c>
      <c r="U13" s="6">
        <v>-1000</v>
      </c>
      <c r="V13" s="5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5">
        <f ca="1">VLOOKUP($L13,OFFSET([3]enemies!$A$1,0,0,COUNTA([3]enemies!$A:$A),MATCH(W$1,[3]enemies!$1:$1,0)-MATCH($L$1,[3]enemies!$1:$1,0)+1),MATCH(W$1,[3]enemies!$1:$1,0)-MATCH($L$1,[3]enemies!$1:$1,0)+1,FALSE)</f>
        <v>0</v>
      </c>
      <c r="X13" s="7">
        <v>0</v>
      </c>
      <c r="Y13" s="7">
        <v>25</v>
      </c>
      <c r="Z13" s="7">
        <v>0</v>
      </c>
      <c r="AA13" s="20">
        <f ca="1">VLOOKUP($L13,OFFSET([3]enemies!$A$1,0,0,COUNTA([3]enemies!$A:$A),MATCH(AA$1,[3]enemies!$1:$1,0)-MATCH($L$1,[3]enemies!$1:$1,0)+1),MATCH(AA$1,[3]enemies!$1:$1,0)-MATCH($L$1,[3]enemies!$1:$1,0)+1,FALSE)</f>
        <v>2</v>
      </c>
      <c r="AB13" s="2">
        <f t="shared" si="5"/>
        <v>345</v>
      </c>
      <c r="AC13" s="5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3" s="5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5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8">
        <v>1</v>
      </c>
      <c r="AG13" s="28">
        <f t="shared" ca="1" si="7"/>
        <v>4</v>
      </c>
      <c r="AH13" s="9">
        <v>10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</row>
    <row r="14" spans="1:39" ht="21" customHeight="1" x14ac:dyDescent="0.15">
      <c r="A14" s="17" t="str">
        <f t="shared" ca="1" si="0"/>
        <v>12001_1-3/332&lt;lv1&gt;s1</v>
      </c>
      <c r="B14" s="26">
        <v>12001</v>
      </c>
      <c r="C14" s="25">
        <v>1</v>
      </c>
      <c r="D14" s="2" t="str">
        <f t="shared" ref="D14:D19" si="8">B14&amp;"_"&amp;C14</f>
        <v>12001_1</v>
      </c>
      <c r="E14" s="5" t="str">
        <f ca="1">VLOOKUP($B14,OFFSET([2]quests!$A$1,0,0,COUNTA([2]quests!$A:$A),MATCH(E$1,[2]quests!$1:$1,0)-MATCH($B$1,[2]quests!$1:$1,0)+1),MATCH(E$1,[2]quests!$1:$1,0)-MATCH($B$1,[2]quests!$1:$1,0)+1,FALSE)</f>
        <v>【緊急！！】 アヒル捕獲作戦</v>
      </c>
      <c r="F14" s="5" t="str">
        <f ca="1">VLOOKUP($D14,OFFSET([2]stages!$A$1,0,0,COUNTA([2]stages!$A:$A),MATCH(F$1,[2]stages!$2:$2,0)-MATCH($D$1,[2]stages!$2:$2,0)+1),MATCH(F$1,[2]stages!$2:$2,0)-MATCH($D$1,[2]stages!$2:$2,0)+1,FALSE)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4" s="25">
        <v>3</v>
      </c>
      <c r="H14" s="16" t="str">
        <f t="shared" si="4"/>
        <v>12001_1-3</v>
      </c>
      <c r="I14" s="5">
        <f ca="1">VLOOKUP($H14,OFFSET(floors!$A$1,0,0,COUNTA(floors!$A:$A),MATCH(I$1,floors!$1:$1,0)-MATCH($H$1,floors!$1:$1,0)+1),MATCH(I$1,floors!$1:$1,0)-MATCH($H$1,floors!$1:$1,0)+1,FALSE)</f>
        <v>60</v>
      </c>
      <c r="J14" s="5">
        <f ca="1">VLOOKUP($H14,OFFSET(floors!$A$1,0,0,COUNTA(floors!$A:$A),MATCH(J$1,floors!$1:$1,0)-MATCH($H$1,floors!$1:$1,0)+1),MATCH(J$1,floors!$1:$1,0)-MATCH($H$1,floors!$1:$1,0)+1,FALSE)</f>
        <v>60</v>
      </c>
      <c r="K14" s="8" t="s">
        <v>149</v>
      </c>
      <c r="L14" s="24">
        <v>332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炎のメタルピヨピヨ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20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20">
        <f ca="1">VLOOKUP($L14,OFFSET([3]enemies!$A$1,0,0,COUNTA([3]enemies!$A:$A),MATCH(Q$1,[3]enemies!$1:$1,0)-MATCH($L$1,[3]enemies!$1:$1,0)+1),MATCH(Q$1,[3]enemies!$1:$1,0)-MATCH($L$1,[3]enemies!$1:$1,0)+1,FALSE)</f>
        <v>15</v>
      </c>
      <c r="R14" s="6">
        <v>1</v>
      </c>
      <c r="S14" s="30">
        <v>1</v>
      </c>
      <c r="T14" s="30">
        <v>30</v>
      </c>
      <c r="U14" s="6">
        <v>0</v>
      </c>
      <c r="V14" s="5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5">
        <f ca="1">VLOOKUP($L14,OFFSET([3]enemies!$A$1,0,0,COUNTA([3]enemies!$A:$A),MATCH(W$1,[3]enemies!$1:$1,0)-MATCH($L$1,[3]enemies!$1:$1,0)+1),MATCH(W$1,[3]enemies!$1:$1,0)-MATCH($L$1,[3]enemies!$1:$1,0)+1,FALSE)</f>
        <v>0</v>
      </c>
      <c r="X14" s="7">
        <v>0</v>
      </c>
      <c r="Y14" s="7">
        <v>100</v>
      </c>
      <c r="Z14" s="7">
        <v>0</v>
      </c>
      <c r="AA14" s="20">
        <f ca="1">VLOOKUP($L14,OFFSET([3]enemies!$A$1,0,0,COUNTA([3]enemies!$A:$A),MATCH(AA$1,[3]enemies!$1:$1,0)-MATCH($L$1,[3]enemies!$1:$1,0)+1),MATCH(AA$1,[3]enemies!$1:$1,0)-MATCH($L$1,[3]enemies!$1:$1,0)+1,FALSE)</f>
        <v>1</v>
      </c>
      <c r="AB14" s="2">
        <f t="shared" si="5"/>
        <v>332</v>
      </c>
      <c r="AC14" s="5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14" s="5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5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8">
        <v>1</v>
      </c>
      <c r="AG14" s="28">
        <f t="shared" ref="AG14:AG19" ca="1" si="9">AD14</f>
        <v>3</v>
      </c>
      <c r="AH14" s="9">
        <v>100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</row>
    <row r="15" spans="1:39" ht="21" customHeight="1" x14ac:dyDescent="0.15">
      <c r="A15" s="17" t="str">
        <f t="shared" ca="1" si="0"/>
        <v>12001_1-3/336&lt;lv1&gt;s1</v>
      </c>
      <c r="B15" s="26">
        <v>12001</v>
      </c>
      <c r="C15" s="25">
        <v>1</v>
      </c>
      <c r="D15" s="2" t="str">
        <f t="shared" si="8"/>
        <v>12001_1</v>
      </c>
      <c r="E15" s="5" t="str">
        <f ca="1">VLOOKUP($B15,OFFSET([2]quests!$A$1,0,0,COUNTA([2]quests!$A:$A),MATCH(E$1,[2]quests!$1:$1,0)-MATCH($B$1,[2]quests!$1:$1,0)+1),MATCH(E$1,[2]quests!$1:$1,0)-MATCH($B$1,[2]quests!$1:$1,0)+1,FALSE)</f>
        <v>【緊急！！】 アヒル捕獲作戦</v>
      </c>
      <c r="F15" s="5" t="str">
        <f ca="1">VLOOKUP($D15,OFFSET([2]stages!$A$1,0,0,COUNTA([2]stages!$A:$A),MATCH(F$1,[2]stages!$2:$2,0)-MATCH($D$1,[2]stages!$2:$2,0)+1),MATCH(F$1,[2]stages!$2:$2,0)-MATCH($D$1,[2]stages!$2:$2,0)+1,FALSE)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5" s="25">
        <v>3</v>
      </c>
      <c r="H15" s="16" t="str">
        <f t="shared" si="4"/>
        <v>12001_1-3</v>
      </c>
      <c r="I15" s="5">
        <f ca="1">VLOOKUP($H15,OFFSET(floors!$A$1,0,0,COUNTA(floors!$A:$A),MATCH(I$1,floors!$1:$1,0)-MATCH($H$1,floors!$1:$1,0)+1),MATCH(I$1,floors!$1:$1,0)-MATCH($H$1,floors!$1:$1,0)+1,FALSE)</f>
        <v>60</v>
      </c>
      <c r="J15" s="5">
        <f ca="1">VLOOKUP($H15,OFFSET(floors!$A$1,0,0,COUNTA(floors!$A:$A),MATCH(J$1,floors!$1:$1,0)-MATCH($H$1,floors!$1:$1,0)+1),MATCH(J$1,floors!$1:$1,0)-MATCH($H$1,floors!$1:$1,0)+1,FALSE)</f>
        <v>60</v>
      </c>
      <c r="K15" s="8" t="s">
        <v>149</v>
      </c>
      <c r="L15" s="24">
        <v>336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森のメタルピヨピヨ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20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15</v>
      </c>
      <c r="R15" s="6">
        <v>1</v>
      </c>
      <c r="S15" s="30">
        <v>1</v>
      </c>
      <c r="T15" s="30">
        <v>30</v>
      </c>
      <c r="U15" s="6">
        <v>0</v>
      </c>
      <c r="V15" s="5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5">
        <f ca="1">VLOOKUP($L15,OFFSET([3]enemies!$A$1,0,0,COUNTA([3]enemies!$A:$A),MATCH(W$1,[3]enemies!$1:$1,0)-MATCH($L$1,[3]enemies!$1:$1,0)+1),MATCH(W$1,[3]enemies!$1:$1,0)-MATCH($L$1,[3]enemies!$1:$1,0)+1,FALSE)</f>
        <v>0</v>
      </c>
      <c r="X15" s="7">
        <v>0</v>
      </c>
      <c r="Y15" s="7">
        <v>100</v>
      </c>
      <c r="Z15" s="7">
        <v>0</v>
      </c>
      <c r="AA15" s="20">
        <f ca="1">VLOOKUP($L15,OFFSET([3]enemies!$A$1,0,0,COUNTA([3]enemies!$A:$A),MATCH(AA$1,[3]enemies!$1:$1,0)-MATCH($L$1,[3]enemies!$1:$1,0)+1),MATCH(AA$1,[3]enemies!$1:$1,0)-MATCH($L$1,[3]enemies!$1:$1,0)+1,FALSE)</f>
        <v>1</v>
      </c>
      <c r="AB15" s="2">
        <f t="shared" si="5"/>
        <v>336</v>
      </c>
      <c r="AC15" s="5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15" s="5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5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8">
        <v>1</v>
      </c>
      <c r="AG15" s="28">
        <f t="shared" ca="1" si="9"/>
        <v>3</v>
      </c>
      <c r="AH15" s="9">
        <v>100</v>
      </c>
      <c r="AI15" s="8">
        <v>0</v>
      </c>
      <c r="AJ15" s="8">
        <v>0</v>
      </c>
      <c r="AK15" s="8">
        <v>0</v>
      </c>
      <c r="AL15" s="8">
        <v>0</v>
      </c>
      <c r="AM15" s="8">
        <v>1</v>
      </c>
    </row>
    <row r="16" spans="1:39" ht="21" customHeight="1" x14ac:dyDescent="0.15">
      <c r="A16" s="17" t="str">
        <f t="shared" ca="1" si="0"/>
        <v>12001_1-3/340&lt;lv1&gt;s1</v>
      </c>
      <c r="B16" s="26">
        <v>12001</v>
      </c>
      <c r="C16" s="25">
        <v>1</v>
      </c>
      <c r="D16" s="2" t="str">
        <f t="shared" si="8"/>
        <v>12001_1</v>
      </c>
      <c r="E16" s="5" t="str">
        <f ca="1">VLOOKUP($B16,OFFSET([2]quests!$A$1,0,0,COUNTA([2]quests!$A:$A),MATCH(E$1,[2]quests!$1:$1,0)-MATCH($B$1,[2]quests!$1:$1,0)+1),MATCH(E$1,[2]quests!$1:$1,0)-MATCH($B$1,[2]quests!$1:$1,0)+1,FALSE)</f>
        <v>【緊急！！】 アヒル捕獲作戦</v>
      </c>
      <c r="F16" s="5" t="str">
        <f ca="1">VLOOKUP($D16,OFFSET([2]stages!$A$1,0,0,COUNTA([2]stages!$A:$A),MATCH(F$1,[2]stages!$2:$2,0)-MATCH($D$1,[2]stages!$2:$2,0)+1),MATCH(F$1,[2]stages!$2:$2,0)-MATCH($D$1,[2]stages!$2:$2,0)+1,FALSE)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6" s="25">
        <v>3</v>
      </c>
      <c r="H16" s="16" t="str">
        <f t="shared" si="4"/>
        <v>12001_1-3</v>
      </c>
      <c r="I16" s="5">
        <f ca="1">VLOOKUP($H16,OFFSET(floors!$A$1,0,0,COUNTA(floors!$A:$A),MATCH(I$1,floors!$1:$1,0)-MATCH($H$1,floors!$1:$1,0)+1),MATCH(I$1,floors!$1:$1,0)-MATCH($H$1,floors!$1:$1,0)+1,FALSE)</f>
        <v>60</v>
      </c>
      <c r="J16" s="5">
        <f ca="1">VLOOKUP($H16,OFFSET(floors!$A$1,0,0,COUNTA(floors!$A:$A),MATCH(J$1,floors!$1:$1,0)-MATCH($H$1,floors!$1:$1,0)+1),MATCH(J$1,floors!$1:$1,0)-MATCH($H$1,floors!$1:$1,0)+1,FALSE)</f>
        <v>60</v>
      </c>
      <c r="K16" s="8" t="s">
        <v>149</v>
      </c>
      <c r="L16" s="24">
        <v>340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水のメタルピヨピヨ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20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15</v>
      </c>
      <c r="R16" s="6">
        <v>1</v>
      </c>
      <c r="S16" s="30">
        <v>1</v>
      </c>
      <c r="T16" s="30">
        <v>30</v>
      </c>
      <c r="U16" s="6">
        <v>0</v>
      </c>
      <c r="V16" s="5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5">
        <f ca="1">VLOOKUP($L16,OFFSET([3]enemies!$A$1,0,0,COUNTA([3]enemies!$A:$A),MATCH(W$1,[3]enemies!$1:$1,0)-MATCH($L$1,[3]enemies!$1:$1,0)+1),MATCH(W$1,[3]enemies!$1:$1,0)-MATCH($L$1,[3]enemies!$1:$1,0)+1,FALSE)</f>
        <v>0</v>
      </c>
      <c r="X16" s="7">
        <v>0</v>
      </c>
      <c r="Y16" s="7">
        <v>100</v>
      </c>
      <c r="Z16" s="7">
        <v>0</v>
      </c>
      <c r="AA16" s="20">
        <f ca="1">VLOOKUP($L16,OFFSET([3]enemies!$A$1,0,0,COUNTA([3]enemies!$A:$A),MATCH(AA$1,[3]enemies!$1:$1,0)-MATCH($L$1,[3]enemies!$1:$1,0)+1),MATCH(AA$1,[3]enemies!$1:$1,0)-MATCH($L$1,[3]enemies!$1:$1,0)+1,FALSE)</f>
        <v>1</v>
      </c>
      <c r="AB16" s="2">
        <f t="shared" si="5"/>
        <v>340</v>
      </c>
      <c r="AC16" s="5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16" s="5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5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8">
        <v>1</v>
      </c>
      <c r="AG16" s="28">
        <f t="shared" ca="1" si="9"/>
        <v>3</v>
      </c>
      <c r="AH16" s="9">
        <v>100</v>
      </c>
      <c r="AI16" s="8">
        <v>0</v>
      </c>
      <c r="AJ16" s="8">
        <v>0</v>
      </c>
      <c r="AK16" s="8">
        <v>0</v>
      </c>
      <c r="AL16" s="8">
        <v>0</v>
      </c>
      <c r="AM16" s="8">
        <v>1</v>
      </c>
    </row>
    <row r="17" spans="1:39" ht="21" customHeight="1" x14ac:dyDescent="0.15">
      <c r="A17" s="17" t="str">
        <f t="shared" ca="1" si="0"/>
        <v>12001_1-3/344&lt;lv1&gt;s1</v>
      </c>
      <c r="B17" s="26">
        <v>12001</v>
      </c>
      <c r="C17" s="25">
        <v>1</v>
      </c>
      <c r="D17" s="2" t="str">
        <f t="shared" si="8"/>
        <v>12001_1</v>
      </c>
      <c r="E17" s="5" t="str">
        <f ca="1">VLOOKUP($B17,OFFSET([2]quests!$A$1,0,0,COUNTA([2]quests!$A:$A),MATCH(E$1,[2]quests!$1:$1,0)-MATCH($B$1,[2]quests!$1:$1,0)+1),MATCH(E$1,[2]quests!$1:$1,0)-MATCH($B$1,[2]quests!$1:$1,0)+1,FALSE)</f>
        <v>【緊急！！】 アヒル捕獲作戦</v>
      </c>
      <c r="F17" s="5" t="str">
        <f ca="1">VLOOKUP($D17,OFFSET([2]stages!$A$1,0,0,COUNTA([2]stages!$A:$A),MATCH(F$1,[2]stages!$2:$2,0)-MATCH($D$1,[2]stages!$2:$2,0)+1),MATCH(F$1,[2]stages!$2:$2,0)-MATCH($D$1,[2]stages!$2:$2,0)+1,FALSE)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7" s="25">
        <v>3</v>
      </c>
      <c r="H17" s="16" t="str">
        <f t="shared" si="4"/>
        <v>12001_1-3</v>
      </c>
      <c r="I17" s="5">
        <f ca="1">VLOOKUP($H17,OFFSET(floors!$A$1,0,0,COUNTA(floors!$A:$A),MATCH(I$1,floors!$1:$1,0)-MATCH($H$1,floors!$1:$1,0)+1),MATCH(I$1,floors!$1:$1,0)-MATCH($H$1,floors!$1:$1,0)+1,FALSE)</f>
        <v>60</v>
      </c>
      <c r="J17" s="5">
        <f ca="1">VLOOKUP($H17,OFFSET(floors!$A$1,0,0,COUNTA(floors!$A:$A),MATCH(J$1,floors!$1:$1,0)-MATCH($H$1,floors!$1:$1,0)+1),MATCH(J$1,floors!$1:$1,0)-MATCH($H$1,floors!$1:$1,0)+1,FALSE)</f>
        <v>60</v>
      </c>
      <c r="K17" s="8" t="s">
        <v>149</v>
      </c>
      <c r="L17" s="24">
        <v>344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雷のメタルピヨピヨ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20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20">
        <f ca="1">VLOOKUP($L17,OFFSET([3]enemies!$A$1,0,0,COUNTA([3]enemies!$A:$A),MATCH(Q$1,[3]enemies!$1:$1,0)-MATCH($L$1,[3]enemies!$1:$1,0)+1),MATCH(Q$1,[3]enemies!$1:$1,0)-MATCH($L$1,[3]enemies!$1:$1,0)+1,FALSE)</f>
        <v>15</v>
      </c>
      <c r="R17" s="6">
        <v>1</v>
      </c>
      <c r="S17" s="30">
        <v>1</v>
      </c>
      <c r="T17" s="30">
        <v>30</v>
      </c>
      <c r="U17" s="6">
        <v>0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5">
        <f ca="1">VLOOKUP($L17,OFFSET([3]enemies!$A$1,0,0,COUNTA([3]enemies!$A:$A),MATCH(W$1,[3]enemies!$1:$1,0)-MATCH($L$1,[3]enemies!$1:$1,0)+1),MATCH(W$1,[3]enemies!$1:$1,0)-MATCH($L$1,[3]enemies!$1:$1,0)+1,FALSE)</f>
        <v>0</v>
      </c>
      <c r="X17" s="7">
        <v>0</v>
      </c>
      <c r="Y17" s="7">
        <v>100</v>
      </c>
      <c r="Z17" s="7">
        <v>0</v>
      </c>
      <c r="AA17" s="20">
        <f ca="1">VLOOKUP($L17,OFFSET([3]enemies!$A$1,0,0,COUNTA([3]enemies!$A:$A),MATCH(AA$1,[3]enemies!$1:$1,0)-MATCH($L$1,[3]enemies!$1:$1,0)+1),MATCH(AA$1,[3]enemies!$1:$1,0)-MATCH($L$1,[3]enemies!$1:$1,0)+1,FALSE)</f>
        <v>1</v>
      </c>
      <c r="AB17" s="2">
        <f t="shared" si="5"/>
        <v>344</v>
      </c>
      <c r="AC17" s="5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17" s="5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5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8">
        <v>1</v>
      </c>
      <c r="AG17" s="28">
        <f t="shared" ca="1" si="9"/>
        <v>3</v>
      </c>
      <c r="AH17" s="9">
        <v>100</v>
      </c>
      <c r="AI17" s="8">
        <v>0</v>
      </c>
      <c r="AJ17" s="8">
        <v>0</v>
      </c>
      <c r="AK17" s="8">
        <v>0</v>
      </c>
      <c r="AL17" s="8">
        <v>0</v>
      </c>
      <c r="AM17" s="8">
        <v>1</v>
      </c>
    </row>
    <row r="18" spans="1:39" ht="21" customHeight="1" x14ac:dyDescent="0.15">
      <c r="A18" s="17" t="str">
        <f t="shared" ca="1" si="0"/>
        <v>12001_1-3/333&lt;lv1&gt;s2</v>
      </c>
      <c r="B18" s="26">
        <v>12001</v>
      </c>
      <c r="C18" s="25">
        <v>1</v>
      </c>
      <c r="D18" s="2" t="str">
        <f t="shared" si="8"/>
        <v>12001_1</v>
      </c>
      <c r="E18" s="5" t="str">
        <f ca="1">VLOOKUP($B18,OFFSET([2]quests!$A$1,0,0,COUNTA([2]quests!$A:$A),MATCH(E$1,[2]quests!$1:$1,0)-MATCH($B$1,[2]quests!$1:$1,0)+1),MATCH(E$1,[2]quests!$1:$1,0)-MATCH($B$1,[2]quests!$1:$1,0)+1,FALSE)</f>
        <v>【緊急！！】 アヒル捕獲作戦</v>
      </c>
      <c r="F18" s="5" t="str">
        <f ca="1">VLOOKUP($D18,OFFSET([2]stages!$A$1,0,0,COUNTA([2]stages!$A:$A),MATCH(F$1,[2]stages!$2:$2,0)-MATCH($D$1,[2]stages!$2:$2,0)+1),MATCH(F$1,[2]stages!$2:$2,0)-MATCH($D$1,[2]stages!$2:$2,0)+1,FALSE)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8" s="25">
        <v>3</v>
      </c>
      <c r="H18" s="16" t="str">
        <f t="shared" si="4"/>
        <v>12001_1-3</v>
      </c>
      <c r="I18" s="5">
        <f ca="1">VLOOKUP($H18,OFFSET(floors!$A$1,0,0,COUNTA(floors!$A:$A),MATCH(I$1,floors!$1:$1,0)-MATCH($H$1,floors!$1:$1,0)+1),MATCH(I$1,floors!$1:$1,0)-MATCH($H$1,floors!$1:$1,0)+1,FALSE)</f>
        <v>60</v>
      </c>
      <c r="J18" s="5">
        <f ca="1">VLOOKUP($H18,OFFSET(floors!$A$1,0,0,COUNTA(floors!$A:$A),MATCH(J$1,floors!$1:$1,0)-MATCH($H$1,floors!$1:$1,0)+1),MATCH(J$1,floors!$1:$1,0)-MATCH($H$1,floors!$1:$1,0)+1,FALSE)</f>
        <v>60</v>
      </c>
      <c r="K18" s="8" t="s">
        <v>149</v>
      </c>
      <c r="L18" s="24">
        <v>333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炎のメタルチック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20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20">
        <f ca="1">VLOOKUP($L18,OFFSET([3]enemies!$A$1,0,0,COUNTA([3]enemies!$A:$A),MATCH(Q$1,[3]enemies!$1:$1,0)-MATCH($L$1,[3]enemies!$1:$1,0)+1),MATCH(Q$1,[3]enemies!$1:$1,0)-MATCH($L$1,[3]enemies!$1:$1,0)+1,FALSE)</f>
        <v>15</v>
      </c>
      <c r="R18" s="6">
        <v>1</v>
      </c>
      <c r="S18" s="30">
        <v>1</v>
      </c>
      <c r="T18" s="30">
        <v>30</v>
      </c>
      <c r="U18" s="6">
        <v>-1000</v>
      </c>
      <c r="V18" s="5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5">
        <f ca="1">VLOOKUP($L18,OFFSET([3]enemies!$A$1,0,0,COUNTA([3]enemies!$A:$A),MATCH(W$1,[3]enemies!$1:$1,0)-MATCH($L$1,[3]enemies!$1:$1,0)+1),MATCH(W$1,[3]enemies!$1:$1,0)-MATCH($L$1,[3]enemies!$1:$1,0)+1,FALSE)</f>
        <v>0</v>
      </c>
      <c r="X18" s="7">
        <v>1</v>
      </c>
      <c r="Y18" s="7">
        <v>0</v>
      </c>
      <c r="Z18" s="7">
        <v>2</v>
      </c>
      <c r="AA18" s="20">
        <f ca="1">VLOOKUP($L18,OFFSET([3]enemies!$A$1,0,0,COUNTA([3]enemies!$A:$A),MATCH(AA$1,[3]enemies!$1:$1,0)-MATCH($L$1,[3]enemies!$1:$1,0)+1),MATCH(AA$1,[3]enemies!$1:$1,0)-MATCH($L$1,[3]enemies!$1:$1,0)+1,FALSE)</f>
        <v>2</v>
      </c>
      <c r="AB18" s="2">
        <f t="shared" si="5"/>
        <v>333</v>
      </c>
      <c r="AC18" s="5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8" s="5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5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8">
        <v>1</v>
      </c>
      <c r="AG18" s="28">
        <f t="shared" ca="1" si="9"/>
        <v>4</v>
      </c>
      <c r="AH18" s="9">
        <v>30</v>
      </c>
      <c r="AI18" s="8">
        <v>0</v>
      </c>
      <c r="AJ18" s="8">
        <v>0</v>
      </c>
      <c r="AK18" s="8">
        <v>0</v>
      </c>
      <c r="AL18" s="8">
        <v>0</v>
      </c>
      <c r="AM18" s="8">
        <v>1</v>
      </c>
    </row>
    <row r="19" spans="1:39" ht="21" customHeight="1" x14ac:dyDescent="0.15">
      <c r="A19" s="17" t="str">
        <f t="shared" ca="1" si="0"/>
        <v>12001_1-3/345&lt;lv1&gt;s2</v>
      </c>
      <c r="B19" s="26">
        <v>12001</v>
      </c>
      <c r="C19" s="25">
        <v>1</v>
      </c>
      <c r="D19" s="2" t="str">
        <f t="shared" si="8"/>
        <v>12001_1</v>
      </c>
      <c r="E19" s="5" t="str">
        <f ca="1">VLOOKUP($B19,OFFSET([2]quests!$A$1,0,0,COUNTA([2]quests!$A:$A),MATCH(E$1,[2]quests!$1:$1,0)-MATCH($B$1,[2]quests!$1:$1,0)+1),MATCH(E$1,[2]quests!$1:$1,0)-MATCH($B$1,[2]quests!$1:$1,0)+1,FALSE)</f>
        <v>【緊急！！】 アヒル捕獲作戦</v>
      </c>
      <c r="F19" s="5" t="str">
        <f ca="1">VLOOKUP($D19,OFFSET([2]stages!$A$1,0,0,COUNTA([2]stages!$A:$A),MATCH(F$1,[2]stages!$2:$2,0)-MATCH($D$1,[2]stages!$2:$2,0)+1),MATCH(F$1,[2]stages!$2:$2,0)-MATCH($D$1,[2]stages!$2:$2,0)+1,FALSE)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19" s="25">
        <v>3</v>
      </c>
      <c r="H19" s="16" t="str">
        <f t="shared" si="4"/>
        <v>12001_1-3</v>
      </c>
      <c r="I19" s="5">
        <f ca="1">VLOOKUP($H19,OFFSET(floors!$A$1,0,0,COUNTA(floors!$A:$A),MATCH(I$1,floors!$1:$1,0)-MATCH($H$1,floors!$1:$1,0)+1),MATCH(I$1,floors!$1:$1,0)-MATCH($H$1,floors!$1:$1,0)+1,FALSE)</f>
        <v>60</v>
      </c>
      <c r="J19" s="5">
        <f ca="1">VLOOKUP($H19,OFFSET(floors!$A$1,0,0,COUNTA(floors!$A:$A),MATCH(J$1,floors!$1:$1,0)-MATCH($H$1,floors!$1:$1,0)+1),MATCH(J$1,floors!$1:$1,0)-MATCH($H$1,floors!$1:$1,0)+1,FALSE)</f>
        <v>60</v>
      </c>
      <c r="K19" s="8" t="s">
        <v>149</v>
      </c>
      <c r="L19" s="24">
        <v>345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雷のメタルチック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20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20">
        <f ca="1">VLOOKUP($L19,OFFSET([3]enemies!$A$1,0,0,COUNTA([3]enemies!$A:$A),MATCH(Q$1,[3]enemies!$1:$1,0)-MATCH($L$1,[3]enemies!$1:$1,0)+1),MATCH(Q$1,[3]enemies!$1:$1,0)-MATCH($L$1,[3]enemies!$1:$1,0)+1,FALSE)</f>
        <v>15</v>
      </c>
      <c r="R19" s="6">
        <v>1</v>
      </c>
      <c r="S19" s="30">
        <v>1</v>
      </c>
      <c r="T19" s="30">
        <v>30</v>
      </c>
      <c r="U19" s="6">
        <v>-1000</v>
      </c>
      <c r="V19" s="5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5">
        <f ca="1">VLOOKUP($L19,OFFSET([3]enemies!$A$1,0,0,COUNTA([3]enemies!$A:$A),MATCH(W$1,[3]enemies!$1:$1,0)-MATCH($L$1,[3]enemies!$1:$1,0)+1),MATCH(W$1,[3]enemies!$1:$1,0)-MATCH($L$1,[3]enemies!$1:$1,0)+1,FALSE)</f>
        <v>0</v>
      </c>
      <c r="X19" s="7">
        <v>1</v>
      </c>
      <c r="Y19" s="7">
        <v>0</v>
      </c>
      <c r="Z19" s="7">
        <v>2</v>
      </c>
      <c r="AA19" s="20">
        <f ca="1">VLOOKUP($L19,OFFSET([3]enemies!$A$1,0,0,COUNTA([3]enemies!$A:$A),MATCH(AA$1,[3]enemies!$1:$1,0)-MATCH($L$1,[3]enemies!$1:$1,0)+1),MATCH(AA$1,[3]enemies!$1:$1,0)-MATCH($L$1,[3]enemies!$1:$1,0)+1,FALSE)</f>
        <v>2</v>
      </c>
      <c r="AB19" s="2">
        <f t="shared" si="5"/>
        <v>345</v>
      </c>
      <c r="AC19" s="5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9" s="5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5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8">
        <v>1</v>
      </c>
      <c r="AG19" s="28">
        <f t="shared" ca="1" si="9"/>
        <v>4</v>
      </c>
      <c r="AH19" s="9">
        <v>30</v>
      </c>
      <c r="AI19" s="8">
        <v>0</v>
      </c>
      <c r="AJ19" s="8">
        <v>0</v>
      </c>
      <c r="AK19" s="8">
        <v>0</v>
      </c>
      <c r="AL19" s="8">
        <v>0</v>
      </c>
      <c r="AM19" s="8">
        <v>1</v>
      </c>
    </row>
    <row r="20" spans="1:39" ht="21" customHeight="1" x14ac:dyDescent="0.15">
      <c r="A20" s="17" t="str">
        <f t="shared" ca="1" si="0"/>
        <v>12001_1-4/333&lt;lv1&gt;s2</v>
      </c>
      <c r="B20" s="26">
        <v>12001</v>
      </c>
      <c r="C20" s="25">
        <v>1</v>
      </c>
      <c r="D20" s="2" t="str">
        <f t="shared" ref="D20:D23" si="10">B20&amp;"_"&amp;C20</f>
        <v>12001_1</v>
      </c>
      <c r="E20" s="5" t="str">
        <f ca="1">VLOOKUP($B20,OFFSET([2]quests!$A$1,0,0,COUNTA([2]quests!$A:$A),MATCH(E$1,[2]quests!$1:$1,0)-MATCH($B$1,[2]quests!$1:$1,0)+1),MATCH(E$1,[2]quests!$1:$1,0)-MATCH($B$1,[2]quests!$1:$1,0)+1,FALSE)</f>
        <v>【緊急！！】 アヒル捕獲作戦</v>
      </c>
      <c r="F20" s="5" t="str">
        <f ca="1">VLOOKUP($D20,OFFSET([2]stages!$A$1,0,0,COUNTA([2]stages!$A:$A),MATCH(F$1,[2]stages!$2:$2,0)-MATCH($D$1,[2]stages!$2:$2,0)+1),MATCH(F$1,[2]stages!$2:$2,0)-MATCH($D$1,[2]stages!$2:$2,0)+1,FALSE)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0" s="25">
        <v>4</v>
      </c>
      <c r="H20" s="16" t="str">
        <f t="shared" si="4"/>
        <v>12001_1-4</v>
      </c>
      <c r="I20" s="5">
        <f ca="1">VLOOKUP($H20,OFFSET(floors!$A$1,0,0,COUNTA(floors!$A:$A),MATCH(I$1,floors!$1:$1,0)-MATCH($H$1,floors!$1:$1,0)+1),MATCH(I$1,floors!$1:$1,0)-MATCH($H$1,floors!$1:$1,0)+1,FALSE)</f>
        <v>60</v>
      </c>
      <c r="J20" s="5">
        <f ca="1">VLOOKUP($H20,OFFSET(floors!$A$1,0,0,COUNTA(floors!$A:$A),MATCH(J$1,floors!$1:$1,0)-MATCH($H$1,floors!$1:$1,0)+1),MATCH(J$1,floors!$1:$1,0)-MATCH($H$1,floors!$1:$1,0)+1,FALSE)</f>
        <v>60</v>
      </c>
      <c r="K20" s="8" t="s">
        <v>149</v>
      </c>
      <c r="L20" s="24">
        <v>333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炎のメタルチック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20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15</v>
      </c>
      <c r="R20" s="6">
        <v>1</v>
      </c>
      <c r="S20" s="30">
        <v>1</v>
      </c>
      <c r="T20" s="30">
        <v>30</v>
      </c>
      <c r="U20" s="6">
        <v>-1000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5">
        <f ca="1">VLOOKUP($L20,OFFSET([3]enemies!$A$1,0,0,COUNTA([3]enemies!$A:$A),MATCH(W$1,[3]enemies!$1:$1,0)-MATCH($L$1,[3]enemies!$1:$1,0)+1),MATCH(W$1,[3]enemies!$1:$1,0)-MATCH($L$1,[3]enemies!$1:$1,0)+1,FALSE)</f>
        <v>0</v>
      </c>
      <c r="X20" s="7">
        <v>1</v>
      </c>
      <c r="Y20" s="7">
        <v>100</v>
      </c>
      <c r="Z20" s="7">
        <v>0</v>
      </c>
      <c r="AA20" s="20">
        <f ca="1">VLOOKUP($L20,OFFSET([3]enemies!$A$1,0,0,COUNTA([3]enemies!$A:$A),MATCH(AA$1,[3]enemies!$1:$1,0)-MATCH($L$1,[3]enemies!$1:$1,0)+1),MATCH(AA$1,[3]enemies!$1:$1,0)-MATCH($L$1,[3]enemies!$1:$1,0)+1,FALSE)</f>
        <v>2</v>
      </c>
      <c r="AB20" s="2">
        <f t="shared" si="5"/>
        <v>333</v>
      </c>
      <c r="AC20" s="5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20" s="5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5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8">
        <v>1</v>
      </c>
      <c r="AG20" s="28">
        <f t="shared" ref="AG20:AG23" ca="1" si="11">AD20</f>
        <v>4</v>
      </c>
      <c r="AH20" s="9">
        <v>100</v>
      </c>
      <c r="AI20" s="8">
        <v>0</v>
      </c>
      <c r="AJ20" s="8">
        <v>0</v>
      </c>
      <c r="AK20" s="8">
        <v>0</v>
      </c>
      <c r="AL20" s="8">
        <v>0</v>
      </c>
      <c r="AM20" s="8">
        <v>1</v>
      </c>
    </row>
    <row r="21" spans="1:39" ht="21" customHeight="1" x14ac:dyDescent="0.15">
      <c r="A21" s="17" t="str">
        <f t="shared" ca="1" si="0"/>
        <v>12001_1-4/337&lt;lv1&gt;s2</v>
      </c>
      <c r="B21" s="26">
        <v>12001</v>
      </c>
      <c r="C21" s="25">
        <v>1</v>
      </c>
      <c r="D21" s="2" t="str">
        <f t="shared" si="10"/>
        <v>12001_1</v>
      </c>
      <c r="E21" s="5" t="str">
        <f ca="1">VLOOKUP($B21,OFFSET([2]quests!$A$1,0,0,COUNTA([2]quests!$A:$A),MATCH(E$1,[2]quests!$1:$1,0)-MATCH($B$1,[2]quests!$1:$1,0)+1),MATCH(E$1,[2]quests!$1:$1,0)-MATCH($B$1,[2]quests!$1:$1,0)+1,FALSE)</f>
        <v>【緊急！！】 アヒル捕獲作戦</v>
      </c>
      <c r="F21" s="5" t="str">
        <f ca="1">VLOOKUP($D21,OFFSET([2]stages!$A$1,0,0,COUNTA([2]stages!$A:$A),MATCH(F$1,[2]stages!$2:$2,0)-MATCH($D$1,[2]stages!$2:$2,0)+1),MATCH(F$1,[2]stages!$2:$2,0)-MATCH($D$1,[2]stages!$2:$2,0)+1,FALSE)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1" s="25">
        <v>4</v>
      </c>
      <c r="H21" s="16" t="str">
        <f t="shared" si="4"/>
        <v>12001_1-4</v>
      </c>
      <c r="I21" s="5">
        <f ca="1">VLOOKUP($H21,OFFSET(floors!$A$1,0,0,COUNTA(floors!$A:$A),MATCH(I$1,floors!$1:$1,0)-MATCH($H$1,floors!$1:$1,0)+1),MATCH(I$1,floors!$1:$1,0)-MATCH($H$1,floors!$1:$1,0)+1,FALSE)</f>
        <v>60</v>
      </c>
      <c r="J21" s="5">
        <f ca="1">VLOOKUP($H21,OFFSET(floors!$A$1,0,0,COUNTA(floors!$A:$A),MATCH(J$1,floors!$1:$1,0)-MATCH($H$1,floors!$1:$1,0)+1),MATCH(J$1,floors!$1:$1,0)-MATCH($H$1,floors!$1:$1,0)+1,FALSE)</f>
        <v>60</v>
      </c>
      <c r="K21" s="8" t="s">
        <v>149</v>
      </c>
      <c r="L21" s="24">
        <v>337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森のメタルチック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20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20">
        <f ca="1">VLOOKUP($L21,OFFSET([3]enemies!$A$1,0,0,COUNTA([3]enemies!$A:$A),MATCH(Q$1,[3]enemies!$1:$1,0)-MATCH($L$1,[3]enemies!$1:$1,0)+1),MATCH(Q$1,[3]enemies!$1:$1,0)-MATCH($L$1,[3]enemies!$1:$1,0)+1,FALSE)</f>
        <v>15</v>
      </c>
      <c r="R21" s="6">
        <v>1</v>
      </c>
      <c r="S21" s="30">
        <v>1</v>
      </c>
      <c r="T21" s="30">
        <v>30</v>
      </c>
      <c r="U21" s="6">
        <v>-1000</v>
      </c>
      <c r="V21" s="5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5">
        <f ca="1">VLOOKUP($L21,OFFSET([3]enemies!$A$1,0,0,COUNTA([3]enemies!$A:$A),MATCH(W$1,[3]enemies!$1:$1,0)-MATCH($L$1,[3]enemies!$1:$1,0)+1),MATCH(W$1,[3]enemies!$1:$1,0)-MATCH($L$1,[3]enemies!$1:$1,0)+1,FALSE)</f>
        <v>0</v>
      </c>
      <c r="X21" s="7">
        <v>1</v>
      </c>
      <c r="Y21" s="7">
        <v>100</v>
      </c>
      <c r="Z21" s="7">
        <v>0</v>
      </c>
      <c r="AA21" s="20">
        <f ca="1">VLOOKUP($L21,OFFSET([3]enemies!$A$1,0,0,COUNTA([3]enemies!$A:$A),MATCH(AA$1,[3]enemies!$1:$1,0)-MATCH($L$1,[3]enemies!$1:$1,0)+1),MATCH(AA$1,[3]enemies!$1:$1,0)-MATCH($L$1,[3]enemies!$1:$1,0)+1,FALSE)</f>
        <v>2</v>
      </c>
      <c r="AB21" s="2">
        <f t="shared" si="5"/>
        <v>337</v>
      </c>
      <c r="AC21" s="5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1" s="5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5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8">
        <v>1</v>
      </c>
      <c r="AG21" s="28">
        <f t="shared" ca="1" si="11"/>
        <v>4</v>
      </c>
      <c r="AH21" s="9">
        <v>100</v>
      </c>
      <c r="AI21" s="8">
        <v>0</v>
      </c>
      <c r="AJ21" s="8">
        <v>0</v>
      </c>
      <c r="AK21" s="8">
        <v>0</v>
      </c>
      <c r="AL21" s="8">
        <v>0</v>
      </c>
      <c r="AM21" s="8">
        <v>1</v>
      </c>
    </row>
    <row r="22" spans="1:39" ht="21" customHeight="1" x14ac:dyDescent="0.15">
      <c r="A22" s="17" t="str">
        <f t="shared" ca="1" si="0"/>
        <v>12001_1-4/341&lt;lv1&gt;s2</v>
      </c>
      <c r="B22" s="26">
        <v>12001</v>
      </c>
      <c r="C22" s="25">
        <v>1</v>
      </c>
      <c r="D22" s="2" t="str">
        <f t="shared" si="10"/>
        <v>12001_1</v>
      </c>
      <c r="E22" s="5" t="str">
        <f ca="1">VLOOKUP($B22,OFFSET([2]quests!$A$1,0,0,COUNTA([2]quests!$A:$A),MATCH(E$1,[2]quests!$1:$1,0)-MATCH($B$1,[2]quests!$1:$1,0)+1),MATCH(E$1,[2]quests!$1:$1,0)-MATCH($B$1,[2]quests!$1:$1,0)+1,FALSE)</f>
        <v>【緊急！！】 アヒル捕獲作戦</v>
      </c>
      <c r="F22" s="5" t="str">
        <f ca="1">VLOOKUP($D22,OFFSET([2]stages!$A$1,0,0,COUNTA([2]stages!$A:$A),MATCH(F$1,[2]stages!$2:$2,0)-MATCH($D$1,[2]stages!$2:$2,0)+1),MATCH(F$1,[2]stages!$2:$2,0)-MATCH($D$1,[2]stages!$2:$2,0)+1,FALSE)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2" s="25">
        <v>4</v>
      </c>
      <c r="H22" s="16" t="str">
        <f t="shared" si="4"/>
        <v>12001_1-4</v>
      </c>
      <c r="I22" s="5">
        <f ca="1">VLOOKUP($H22,OFFSET(floors!$A$1,0,0,COUNTA(floors!$A:$A),MATCH(I$1,floors!$1:$1,0)-MATCH($H$1,floors!$1:$1,0)+1),MATCH(I$1,floors!$1:$1,0)-MATCH($H$1,floors!$1:$1,0)+1,FALSE)</f>
        <v>60</v>
      </c>
      <c r="J22" s="5">
        <f ca="1">VLOOKUP($H22,OFFSET(floors!$A$1,0,0,COUNTA(floors!$A:$A),MATCH(J$1,floors!$1:$1,0)-MATCH($H$1,floors!$1:$1,0)+1),MATCH(J$1,floors!$1:$1,0)-MATCH($H$1,floors!$1:$1,0)+1,FALSE)</f>
        <v>60</v>
      </c>
      <c r="K22" s="8" t="s">
        <v>149</v>
      </c>
      <c r="L22" s="24">
        <v>341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水のメタルチック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20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20">
        <f ca="1">VLOOKUP($L22,OFFSET([3]enemies!$A$1,0,0,COUNTA([3]enemies!$A:$A),MATCH(Q$1,[3]enemies!$1:$1,0)-MATCH($L$1,[3]enemies!$1:$1,0)+1),MATCH(Q$1,[3]enemies!$1:$1,0)-MATCH($L$1,[3]enemies!$1:$1,0)+1,FALSE)</f>
        <v>15</v>
      </c>
      <c r="R22" s="6">
        <v>1</v>
      </c>
      <c r="S22" s="30">
        <v>1</v>
      </c>
      <c r="T22" s="30">
        <v>30</v>
      </c>
      <c r="U22" s="6">
        <v>-1000</v>
      </c>
      <c r="V22" s="5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5">
        <f ca="1">VLOOKUP($L22,OFFSET([3]enemies!$A$1,0,0,COUNTA([3]enemies!$A:$A),MATCH(W$1,[3]enemies!$1:$1,0)-MATCH($L$1,[3]enemies!$1:$1,0)+1),MATCH(W$1,[3]enemies!$1:$1,0)-MATCH($L$1,[3]enemies!$1:$1,0)+1,FALSE)</f>
        <v>0</v>
      </c>
      <c r="X22" s="7">
        <v>1</v>
      </c>
      <c r="Y22" s="7">
        <v>100</v>
      </c>
      <c r="Z22" s="7">
        <v>0</v>
      </c>
      <c r="AA22" s="20">
        <f ca="1">VLOOKUP($L22,OFFSET([3]enemies!$A$1,0,0,COUNTA([3]enemies!$A:$A),MATCH(AA$1,[3]enemies!$1:$1,0)-MATCH($L$1,[3]enemies!$1:$1,0)+1),MATCH(AA$1,[3]enemies!$1:$1,0)-MATCH($L$1,[3]enemies!$1:$1,0)+1,FALSE)</f>
        <v>2</v>
      </c>
      <c r="AB22" s="2">
        <f t="shared" si="5"/>
        <v>341</v>
      </c>
      <c r="AC22" s="5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22" s="5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5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8">
        <v>1</v>
      </c>
      <c r="AG22" s="28">
        <f t="shared" ca="1" si="11"/>
        <v>4</v>
      </c>
      <c r="AH22" s="9">
        <v>100</v>
      </c>
      <c r="AI22" s="8">
        <v>0</v>
      </c>
      <c r="AJ22" s="8">
        <v>0</v>
      </c>
      <c r="AK22" s="8">
        <v>0</v>
      </c>
      <c r="AL22" s="8">
        <v>0</v>
      </c>
      <c r="AM22" s="8">
        <v>1</v>
      </c>
    </row>
    <row r="23" spans="1:39" ht="21" customHeight="1" x14ac:dyDescent="0.15">
      <c r="A23" s="17" t="str">
        <f t="shared" ca="1" si="0"/>
        <v>12001_1-4/345&lt;lv1&gt;s2</v>
      </c>
      <c r="B23" s="26">
        <v>12001</v>
      </c>
      <c r="C23" s="25">
        <v>1</v>
      </c>
      <c r="D23" s="2" t="str">
        <f t="shared" si="10"/>
        <v>12001_1</v>
      </c>
      <c r="E23" s="5" t="str">
        <f ca="1">VLOOKUP($B23,OFFSET([2]quests!$A$1,0,0,COUNTA([2]quests!$A:$A),MATCH(E$1,[2]quests!$1:$1,0)-MATCH($B$1,[2]quests!$1:$1,0)+1),MATCH(E$1,[2]quests!$1:$1,0)-MATCH($B$1,[2]quests!$1:$1,0)+1,FALSE)</f>
        <v>【緊急！！】 アヒル捕獲作戦</v>
      </c>
      <c r="F23" s="5" t="str">
        <f ca="1">VLOOKUP($D23,OFFSET([2]stages!$A$1,0,0,COUNTA([2]stages!$A:$A),MATCH(F$1,[2]stages!$2:$2,0)-MATCH($D$1,[2]stages!$2:$2,0)+1),MATCH(F$1,[2]stages!$2:$2,0)-MATCH($D$1,[2]stages!$2:$2,0)+1,FALSE)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3" s="25">
        <v>4</v>
      </c>
      <c r="H23" s="16" t="str">
        <f t="shared" si="4"/>
        <v>12001_1-4</v>
      </c>
      <c r="I23" s="5">
        <f ca="1">VLOOKUP($H23,OFFSET(floors!$A$1,0,0,COUNTA(floors!$A:$A),MATCH(I$1,floors!$1:$1,0)-MATCH($H$1,floors!$1:$1,0)+1),MATCH(I$1,floors!$1:$1,0)-MATCH($H$1,floors!$1:$1,0)+1,FALSE)</f>
        <v>60</v>
      </c>
      <c r="J23" s="5">
        <f ca="1">VLOOKUP($H23,OFFSET(floors!$A$1,0,0,COUNTA(floors!$A:$A),MATCH(J$1,floors!$1:$1,0)-MATCH($H$1,floors!$1:$1,0)+1),MATCH(J$1,floors!$1:$1,0)-MATCH($H$1,floors!$1:$1,0)+1,FALSE)</f>
        <v>60</v>
      </c>
      <c r="K23" s="8" t="s">
        <v>149</v>
      </c>
      <c r="L23" s="24">
        <v>345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雷のメタルチック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20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20">
        <f ca="1">VLOOKUP($L23,OFFSET([3]enemies!$A$1,0,0,COUNTA([3]enemies!$A:$A),MATCH(Q$1,[3]enemies!$1:$1,0)-MATCH($L$1,[3]enemies!$1:$1,0)+1),MATCH(Q$1,[3]enemies!$1:$1,0)-MATCH($L$1,[3]enemies!$1:$1,0)+1,FALSE)</f>
        <v>15</v>
      </c>
      <c r="R23" s="6">
        <v>1</v>
      </c>
      <c r="S23" s="30">
        <v>1</v>
      </c>
      <c r="T23" s="30">
        <v>30</v>
      </c>
      <c r="U23" s="6">
        <v>-1000</v>
      </c>
      <c r="V23" s="5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5">
        <f ca="1">VLOOKUP($L23,OFFSET([3]enemies!$A$1,0,0,COUNTA([3]enemies!$A:$A),MATCH(W$1,[3]enemies!$1:$1,0)-MATCH($L$1,[3]enemies!$1:$1,0)+1),MATCH(W$1,[3]enemies!$1:$1,0)-MATCH($L$1,[3]enemies!$1:$1,0)+1,FALSE)</f>
        <v>0</v>
      </c>
      <c r="X23" s="7">
        <v>1</v>
      </c>
      <c r="Y23" s="7">
        <v>100</v>
      </c>
      <c r="Z23" s="7">
        <v>0</v>
      </c>
      <c r="AA23" s="20">
        <f ca="1">VLOOKUP($L23,OFFSET([3]enemies!$A$1,0,0,COUNTA([3]enemies!$A:$A),MATCH(AA$1,[3]enemies!$1:$1,0)-MATCH($L$1,[3]enemies!$1:$1,0)+1),MATCH(AA$1,[3]enemies!$1:$1,0)-MATCH($L$1,[3]enemies!$1:$1,0)+1,FALSE)</f>
        <v>2</v>
      </c>
      <c r="AB23" s="2">
        <f t="shared" si="5"/>
        <v>345</v>
      </c>
      <c r="AC23" s="5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23" s="5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5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8">
        <v>1</v>
      </c>
      <c r="AG23" s="28">
        <f t="shared" ca="1" si="11"/>
        <v>4</v>
      </c>
      <c r="AH23" s="9">
        <v>100</v>
      </c>
      <c r="AI23" s="8">
        <v>0</v>
      </c>
      <c r="AJ23" s="8">
        <v>0</v>
      </c>
      <c r="AK23" s="8">
        <v>0</v>
      </c>
      <c r="AL23" s="8">
        <v>0</v>
      </c>
      <c r="AM23" s="8">
        <v>1</v>
      </c>
    </row>
    <row r="24" spans="1:39" ht="21" customHeight="1" x14ac:dyDescent="0.15">
      <c r="A24" s="17" t="str">
        <f t="shared" ca="1" si="0"/>
        <v>12001_1-5/337&lt;lv1&gt;s2</v>
      </c>
      <c r="B24" s="26">
        <v>12001</v>
      </c>
      <c r="C24" s="25">
        <v>1</v>
      </c>
      <c r="D24" s="2" t="str">
        <f t="shared" ref="D24:D25" si="12">B24&amp;"_"&amp;C24</f>
        <v>12001_1</v>
      </c>
      <c r="E24" s="5" t="str">
        <f ca="1">VLOOKUP($B24,OFFSET([2]quests!$A$1,0,0,COUNTA([2]quests!$A:$A),MATCH(E$1,[2]quests!$1:$1,0)-MATCH($B$1,[2]quests!$1:$1,0)+1),MATCH(E$1,[2]quests!$1:$1,0)-MATCH($B$1,[2]quests!$1:$1,0)+1,FALSE)</f>
        <v>【緊急！！】 アヒル捕獲作戦</v>
      </c>
      <c r="F24" s="5" t="str">
        <f ca="1">VLOOKUP($D24,OFFSET([2]stages!$A$1,0,0,COUNTA([2]stages!$A:$A),MATCH(F$1,[2]stages!$2:$2,0)-MATCH($D$1,[2]stages!$2:$2,0)+1),MATCH(F$1,[2]stages!$2:$2,0)-MATCH($D$1,[2]stages!$2:$2,0)+1,FALSE)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4" s="25">
        <v>5</v>
      </c>
      <c r="H24" s="16" t="str">
        <f t="shared" si="4"/>
        <v>12001_1-5</v>
      </c>
      <c r="I24" s="5">
        <f ca="1">VLOOKUP($H24,OFFSET(floors!$A$1,0,0,COUNTA(floors!$A:$A),MATCH(I$1,floors!$1:$1,0)-MATCH($H$1,floors!$1:$1,0)+1),MATCH(I$1,floors!$1:$1,0)-MATCH($H$1,floors!$1:$1,0)+1,FALSE)</f>
        <v>50</v>
      </c>
      <c r="J24" s="5">
        <f ca="1">VLOOKUP($H24,OFFSET(floors!$A$1,0,0,COUNTA(floors!$A:$A),MATCH(J$1,floors!$1:$1,0)-MATCH($H$1,floors!$1:$1,0)+1),MATCH(J$1,floors!$1:$1,0)-MATCH($H$1,floors!$1:$1,0)+1,FALSE)</f>
        <v>50</v>
      </c>
      <c r="K24" s="8" t="s">
        <v>149</v>
      </c>
      <c r="L24" s="24">
        <v>337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森のメタルチック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20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20">
        <f ca="1">VLOOKUP($L24,OFFSET([3]enemies!$A$1,0,0,COUNTA([3]enemies!$A:$A),MATCH(Q$1,[3]enemies!$1:$1,0)-MATCH($L$1,[3]enemies!$1:$1,0)+1),MATCH(Q$1,[3]enemies!$1:$1,0)-MATCH($L$1,[3]enemies!$1:$1,0)+1,FALSE)</f>
        <v>15</v>
      </c>
      <c r="R24" s="6">
        <v>1</v>
      </c>
      <c r="S24" s="30">
        <v>1</v>
      </c>
      <c r="T24" s="30">
        <v>30</v>
      </c>
      <c r="U24" s="6">
        <v>-1000</v>
      </c>
      <c r="V24" s="5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" s="5">
        <f ca="1">VLOOKUP($L24,OFFSET([3]enemies!$A$1,0,0,COUNTA([3]enemies!$A:$A),MATCH(W$1,[3]enemies!$1:$1,0)-MATCH($L$1,[3]enemies!$1:$1,0)+1),MATCH(W$1,[3]enemies!$1:$1,0)-MATCH($L$1,[3]enemies!$1:$1,0)+1,FALSE)</f>
        <v>0</v>
      </c>
      <c r="X24" s="7">
        <v>1</v>
      </c>
      <c r="Y24" s="7">
        <v>100</v>
      </c>
      <c r="Z24" s="7">
        <v>0</v>
      </c>
      <c r="AA24" s="20">
        <f ca="1">VLOOKUP($L24,OFFSET([3]enemies!$A$1,0,0,COUNTA([3]enemies!$A:$A),MATCH(AA$1,[3]enemies!$1:$1,0)-MATCH($L$1,[3]enemies!$1:$1,0)+1),MATCH(AA$1,[3]enemies!$1:$1,0)-MATCH($L$1,[3]enemies!$1:$1,0)+1,FALSE)</f>
        <v>2</v>
      </c>
      <c r="AB24" s="2">
        <f t="shared" si="5"/>
        <v>337</v>
      </c>
      <c r="AC24" s="5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4" s="5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5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8">
        <v>1</v>
      </c>
      <c r="AG24" s="28">
        <f t="shared" ref="AG24:AG25" ca="1" si="13">AD24</f>
        <v>4</v>
      </c>
      <c r="AH24" s="9">
        <v>100</v>
      </c>
      <c r="AI24" s="8">
        <v>0</v>
      </c>
      <c r="AJ24" s="8">
        <v>0</v>
      </c>
      <c r="AK24" s="8">
        <v>0</v>
      </c>
      <c r="AL24" s="8">
        <v>0</v>
      </c>
      <c r="AM24" s="8">
        <v>1</v>
      </c>
    </row>
    <row r="25" spans="1:39" ht="21" customHeight="1" x14ac:dyDescent="0.15">
      <c r="A25" s="17" t="str">
        <f t="shared" ca="1" si="0"/>
        <v>12001_1-5/341&lt;lv1&gt;s2</v>
      </c>
      <c r="B25" s="26">
        <v>12001</v>
      </c>
      <c r="C25" s="25">
        <v>1</v>
      </c>
      <c r="D25" s="2" t="str">
        <f t="shared" si="12"/>
        <v>12001_1</v>
      </c>
      <c r="E25" s="5" t="str">
        <f ca="1">VLOOKUP($B25,OFFSET([2]quests!$A$1,0,0,COUNTA([2]quests!$A:$A),MATCH(E$1,[2]quests!$1:$1,0)-MATCH($B$1,[2]quests!$1:$1,0)+1),MATCH(E$1,[2]quests!$1:$1,0)-MATCH($B$1,[2]quests!$1:$1,0)+1,FALSE)</f>
        <v>【緊急！！】 アヒル捕獲作戦</v>
      </c>
      <c r="F25" s="5" t="str">
        <f ca="1">VLOOKUP($D25,OFFSET([2]stages!$A$1,0,0,COUNTA([2]stages!$A:$A),MATCH(F$1,[2]stages!$2:$2,0)-MATCH($D$1,[2]stages!$2:$2,0)+1),MATCH(F$1,[2]stages!$2:$2,0)-MATCH($D$1,[2]stages!$2:$2,0)+1,FALSE)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5" s="25">
        <v>5</v>
      </c>
      <c r="H25" s="16" t="str">
        <f t="shared" si="4"/>
        <v>12001_1-5</v>
      </c>
      <c r="I25" s="5">
        <f ca="1">VLOOKUP($H25,OFFSET(floors!$A$1,0,0,COUNTA(floors!$A:$A),MATCH(I$1,floors!$1:$1,0)-MATCH($H$1,floors!$1:$1,0)+1),MATCH(I$1,floors!$1:$1,0)-MATCH($H$1,floors!$1:$1,0)+1,FALSE)</f>
        <v>50</v>
      </c>
      <c r="J25" s="5">
        <f ca="1">VLOOKUP($H25,OFFSET(floors!$A$1,0,0,COUNTA(floors!$A:$A),MATCH(J$1,floors!$1:$1,0)-MATCH($H$1,floors!$1:$1,0)+1),MATCH(J$1,floors!$1:$1,0)-MATCH($H$1,floors!$1:$1,0)+1,FALSE)</f>
        <v>50</v>
      </c>
      <c r="K25" s="8" t="s">
        <v>149</v>
      </c>
      <c r="L25" s="24">
        <v>341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水のメタルチック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20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20">
        <f ca="1">VLOOKUP($L25,OFFSET([3]enemies!$A$1,0,0,COUNTA([3]enemies!$A:$A),MATCH(Q$1,[3]enemies!$1:$1,0)-MATCH($L$1,[3]enemies!$1:$1,0)+1),MATCH(Q$1,[3]enemies!$1:$1,0)-MATCH($L$1,[3]enemies!$1:$1,0)+1,FALSE)</f>
        <v>15</v>
      </c>
      <c r="R25" s="6">
        <v>1</v>
      </c>
      <c r="S25" s="30">
        <v>1</v>
      </c>
      <c r="T25" s="30">
        <v>30</v>
      </c>
      <c r="U25" s="6">
        <v>-1000</v>
      </c>
      <c r="V25" s="5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5">
        <f ca="1">VLOOKUP($L25,OFFSET([3]enemies!$A$1,0,0,COUNTA([3]enemies!$A:$A),MATCH(W$1,[3]enemies!$1:$1,0)-MATCH($L$1,[3]enemies!$1:$1,0)+1),MATCH(W$1,[3]enemies!$1:$1,0)-MATCH($L$1,[3]enemies!$1:$1,0)+1,FALSE)</f>
        <v>0</v>
      </c>
      <c r="X25" s="7">
        <v>1</v>
      </c>
      <c r="Y25" s="7">
        <v>100</v>
      </c>
      <c r="Z25" s="7">
        <v>0</v>
      </c>
      <c r="AA25" s="20">
        <f ca="1">VLOOKUP($L25,OFFSET([3]enemies!$A$1,0,0,COUNTA([3]enemies!$A:$A),MATCH(AA$1,[3]enemies!$1:$1,0)-MATCH($L$1,[3]enemies!$1:$1,0)+1),MATCH(AA$1,[3]enemies!$1:$1,0)-MATCH($L$1,[3]enemies!$1:$1,0)+1,FALSE)</f>
        <v>2</v>
      </c>
      <c r="AB25" s="2">
        <f t="shared" si="5"/>
        <v>341</v>
      </c>
      <c r="AC25" s="5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25" s="5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5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8">
        <v>1</v>
      </c>
      <c r="AG25" s="28">
        <f t="shared" ca="1" si="13"/>
        <v>4</v>
      </c>
      <c r="AH25" s="9">
        <v>100</v>
      </c>
      <c r="AI25" s="8">
        <v>0</v>
      </c>
      <c r="AJ25" s="8">
        <v>0</v>
      </c>
      <c r="AK25" s="8">
        <v>0</v>
      </c>
      <c r="AL25" s="8">
        <v>0</v>
      </c>
      <c r="AM25" s="8">
        <v>1</v>
      </c>
    </row>
    <row r="26" spans="1:39" ht="21" customHeight="1" x14ac:dyDescent="0.15">
      <c r="A26" s="17" t="str">
        <f t="shared" ca="1" si="0"/>
        <v>12001_1-5/334&lt;lv1&gt;s3</v>
      </c>
      <c r="B26" s="26">
        <v>12001</v>
      </c>
      <c r="C26" s="25">
        <v>1</v>
      </c>
      <c r="D26" s="2" t="str">
        <f t="shared" ref="D26:D33" si="14">B26&amp;"_"&amp;C26</f>
        <v>12001_1</v>
      </c>
      <c r="E26" s="5" t="str">
        <f ca="1">VLOOKUP($B26,OFFSET([2]quests!$A$1,0,0,COUNTA([2]quests!$A:$A),MATCH(E$1,[2]quests!$1:$1,0)-MATCH($B$1,[2]quests!$1:$1,0)+1),MATCH(E$1,[2]quests!$1:$1,0)-MATCH($B$1,[2]quests!$1:$1,0)+1,FALSE)</f>
        <v>【緊急！！】 アヒル捕獲作戦</v>
      </c>
      <c r="F26" s="5" t="str">
        <f ca="1">VLOOKUP($D26,OFFSET([2]stages!$A$1,0,0,COUNTA([2]stages!$A:$A),MATCH(F$1,[2]stages!$2:$2,0)-MATCH($D$1,[2]stages!$2:$2,0)+1),MATCH(F$1,[2]stages!$2:$2,0)-MATCH($D$1,[2]stages!$2:$2,0)+1,FALSE)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6" s="25">
        <v>5</v>
      </c>
      <c r="H26" s="16" t="str">
        <f t="shared" si="4"/>
        <v>12001_1-5</v>
      </c>
      <c r="I26" s="5">
        <f ca="1">VLOOKUP($H26,OFFSET(floors!$A$1,0,0,COUNTA(floors!$A:$A),MATCH(I$1,floors!$1:$1,0)-MATCH($H$1,floors!$1:$1,0)+1),MATCH(I$1,floors!$1:$1,0)-MATCH($H$1,floors!$1:$1,0)+1,FALSE)</f>
        <v>50</v>
      </c>
      <c r="J26" s="5">
        <f ca="1">VLOOKUP($H26,OFFSET(floors!$A$1,0,0,COUNTA(floors!$A:$A),MATCH(J$1,floors!$1:$1,0)-MATCH($H$1,floors!$1:$1,0)+1),MATCH(J$1,floors!$1:$1,0)-MATCH($H$1,floors!$1:$1,0)+1,FALSE)</f>
        <v>50</v>
      </c>
      <c r="K26" s="8" t="s">
        <v>149</v>
      </c>
      <c r="L26" s="24">
        <v>334</v>
      </c>
      <c r="M26" s="20" t="str">
        <f ca="1">VLOOKUP($L26,OFFSET([3]enemies!$A$1,0,0,COUNTA([3]enemies!$A:$A),MATCH(M$1,[3]enemies!$1:$1,0)-MATCH($L$1,[3]enemies!$1:$1,0)+1),MATCH(M$1,[3]enemies!$1:$1,0)-MATCH($L$1,[3]enemies!$1:$1,0)+1,FALSE)</f>
        <v>炎のメタルダック</v>
      </c>
      <c r="N26" s="20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20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20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20">
        <f ca="1">VLOOKUP($L26,OFFSET([3]enemies!$A$1,0,0,COUNTA([3]enemies!$A:$A),MATCH(Q$1,[3]enemies!$1:$1,0)-MATCH($L$1,[3]enemies!$1:$1,0)+1),MATCH(Q$1,[3]enemies!$1:$1,0)-MATCH($L$1,[3]enemies!$1:$1,0)+1,FALSE)</f>
        <v>20</v>
      </c>
      <c r="R26" s="6">
        <v>1</v>
      </c>
      <c r="S26" s="30">
        <v>1</v>
      </c>
      <c r="T26" s="30">
        <v>30</v>
      </c>
      <c r="U26" s="6">
        <v>-5000</v>
      </c>
      <c r="V26" s="5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5">
        <f ca="1">VLOOKUP($L26,OFFSET([3]enemies!$A$1,0,0,COUNTA([3]enemies!$A:$A),MATCH(W$1,[3]enemies!$1:$1,0)-MATCH($L$1,[3]enemies!$1:$1,0)+1),MATCH(W$1,[3]enemies!$1:$1,0)-MATCH($L$1,[3]enemies!$1:$1,0)+1,FALSE)</f>
        <v>0</v>
      </c>
      <c r="X26" s="7">
        <v>0</v>
      </c>
      <c r="Y26" s="7">
        <v>100</v>
      </c>
      <c r="Z26" s="7">
        <v>1</v>
      </c>
      <c r="AA26" s="20">
        <f ca="1">VLOOKUP($L26,OFFSET([3]enemies!$A$1,0,0,COUNTA([3]enemies!$A:$A),MATCH(AA$1,[3]enemies!$1:$1,0)-MATCH($L$1,[3]enemies!$1:$1,0)+1),MATCH(AA$1,[3]enemies!$1:$1,0)-MATCH($L$1,[3]enemies!$1:$1,0)+1,FALSE)</f>
        <v>3</v>
      </c>
      <c r="AB26" s="2">
        <f t="shared" si="5"/>
        <v>334</v>
      </c>
      <c r="AC26" s="5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26" s="5">
        <f ca="1">VLOOKUP($AB26,OFFSET([4]characters!$A$1,0,0,COUNTA([4]characters!$A:$A),MATCH(AD$1,[4]characters!$1:$1,0)-MATCH("character_id",[4]characters!$1:$1,0)+1),MATCH(AD$1,[4]characters!$1:$1,0)-MATCH("character_id",[4]characters!$1:$1,0)+1,FALSE)</f>
        <v>5</v>
      </c>
      <c r="AE26" s="5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8">
        <v>1</v>
      </c>
      <c r="AG26" s="28">
        <f t="shared" ref="AG26:AG33" ca="1" si="15">AD26</f>
        <v>5</v>
      </c>
      <c r="AH26" s="9">
        <v>25</v>
      </c>
      <c r="AI26" s="8">
        <v>0</v>
      </c>
      <c r="AJ26" s="8">
        <v>0</v>
      </c>
      <c r="AK26" s="8">
        <v>0</v>
      </c>
      <c r="AL26" s="8">
        <v>0</v>
      </c>
      <c r="AM26" s="8">
        <v>1</v>
      </c>
    </row>
    <row r="27" spans="1:39" ht="21" customHeight="1" x14ac:dyDescent="0.15">
      <c r="A27" s="17" t="str">
        <f t="shared" ca="1" si="0"/>
        <v>12001_1-5/338&lt;lv1&gt;s3</v>
      </c>
      <c r="B27" s="26">
        <v>12001</v>
      </c>
      <c r="C27" s="25">
        <v>1</v>
      </c>
      <c r="D27" s="2" t="str">
        <f t="shared" si="14"/>
        <v>12001_1</v>
      </c>
      <c r="E27" s="5" t="str">
        <f ca="1">VLOOKUP($B27,OFFSET([2]quests!$A$1,0,0,COUNTA([2]quests!$A:$A),MATCH(E$1,[2]quests!$1:$1,0)-MATCH($B$1,[2]quests!$1:$1,0)+1),MATCH(E$1,[2]quests!$1:$1,0)-MATCH($B$1,[2]quests!$1:$1,0)+1,FALSE)</f>
        <v>【緊急！！】 アヒル捕獲作戦</v>
      </c>
      <c r="F27" s="5" t="str">
        <f ca="1">VLOOKUP($D27,OFFSET([2]stages!$A$1,0,0,COUNTA([2]stages!$A:$A),MATCH(F$1,[2]stages!$2:$2,0)-MATCH($D$1,[2]stages!$2:$2,0)+1),MATCH(F$1,[2]stages!$2:$2,0)-MATCH($D$1,[2]stages!$2:$2,0)+1,FALSE)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7" s="25">
        <v>5</v>
      </c>
      <c r="H27" s="16" t="str">
        <f t="shared" si="4"/>
        <v>12001_1-5</v>
      </c>
      <c r="I27" s="5">
        <f ca="1">VLOOKUP($H27,OFFSET(floors!$A$1,0,0,COUNTA(floors!$A:$A),MATCH(I$1,floors!$1:$1,0)-MATCH($H$1,floors!$1:$1,0)+1),MATCH(I$1,floors!$1:$1,0)-MATCH($H$1,floors!$1:$1,0)+1,FALSE)</f>
        <v>50</v>
      </c>
      <c r="J27" s="5">
        <f ca="1">VLOOKUP($H27,OFFSET(floors!$A$1,0,0,COUNTA(floors!$A:$A),MATCH(J$1,floors!$1:$1,0)-MATCH($H$1,floors!$1:$1,0)+1),MATCH(J$1,floors!$1:$1,0)-MATCH($H$1,floors!$1:$1,0)+1,FALSE)</f>
        <v>50</v>
      </c>
      <c r="K27" s="8" t="s">
        <v>149</v>
      </c>
      <c r="L27" s="24">
        <v>338</v>
      </c>
      <c r="M27" s="20" t="str">
        <f ca="1">VLOOKUP($L27,OFFSET([3]enemies!$A$1,0,0,COUNTA([3]enemies!$A:$A),MATCH(M$1,[3]enemies!$1:$1,0)-MATCH($L$1,[3]enemies!$1:$1,0)+1),MATCH(M$1,[3]enemies!$1:$1,0)-MATCH($L$1,[3]enemies!$1:$1,0)+1,FALSE)</f>
        <v>森のメタルダック</v>
      </c>
      <c r="N27" s="20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20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20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20">
        <f ca="1">VLOOKUP($L27,OFFSET([3]enemies!$A$1,0,0,COUNTA([3]enemies!$A:$A),MATCH(Q$1,[3]enemies!$1:$1,0)-MATCH($L$1,[3]enemies!$1:$1,0)+1),MATCH(Q$1,[3]enemies!$1:$1,0)-MATCH($L$1,[3]enemies!$1:$1,0)+1,FALSE)</f>
        <v>20</v>
      </c>
      <c r="R27" s="6">
        <v>1</v>
      </c>
      <c r="S27" s="30">
        <v>1</v>
      </c>
      <c r="T27" s="30">
        <v>30</v>
      </c>
      <c r="U27" s="6">
        <v>-5000</v>
      </c>
      <c r="V27" s="5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5">
        <f ca="1">VLOOKUP($L27,OFFSET([3]enemies!$A$1,0,0,COUNTA([3]enemies!$A:$A),MATCH(W$1,[3]enemies!$1:$1,0)-MATCH($L$1,[3]enemies!$1:$1,0)+1),MATCH(W$1,[3]enemies!$1:$1,0)-MATCH($L$1,[3]enemies!$1:$1,0)+1,FALSE)</f>
        <v>0</v>
      </c>
      <c r="X27" s="7">
        <v>0</v>
      </c>
      <c r="Y27" s="7">
        <v>100</v>
      </c>
      <c r="Z27" s="7">
        <v>1</v>
      </c>
      <c r="AA27" s="20">
        <f ca="1">VLOOKUP($L27,OFFSET([3]enemies!$A$1,0,0,COUNTA([3]enemies!$A:$A),MATCH(AA$1,[3]enemies!$1:$1,0)-MATCH($L$1,[3]enemies!$1:$1,0)+1),MATCH(AA$1,[3]enemies!$1:$1,0)-MATCH($L$1,[3]enemies!$1:$1,0)+1,FALSE)</f>
        <v>3</v>
      </c>
      <c r="AB27" s="2">
        <f t="shared" si="5"/>
        <v>338</v>
      </c>
      <c r="AC27" s="5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7" s="5">
        <f ca="1">VLOOKUP($AB27,OFFSET([4]characters!$A$1,0,0,COUNTA([4]characters!$A:$A),MATCH(AD$1,[4]characters!$1:$1,0)-MATCH("character_id",[4]characters!$1:$1,0)+1),MATCH(AD$1,[4]characters!$1:$1,0)-MATCH("character_id",[4]characters!$1:$1,0)+1,FALSE)</f>
        <v>5</v>
      </c>
      <c r="AE27" s="5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8">
        <v>1</v>
      </c>
      <c r="AG27" s="28">
        <f t="shared" ca="1" si="15"/>
        <v>5</v>
      </c>
      <c r="AH27" s="9">
        <v>25</v>
      </c>
      <c r="AI27" s="8">
        <v>0</v>
      </c>
      <c r="AJ27" s="8">
        <v>0</v>
      </c>
      <c r="AK27" s="8">
        <v>0</v>
      </c>
      <c r="AL27" s="8">
        <v>0</v>
      </c>
      <c r="AM27" s="8">
        <v>1</v>
      </c>
    </row>
    <row r="28" spans="1:39" ht="21" customHeight="1" x14ac:dyDescent="0.15">
      <c r="A28" s="17" t="str">
        <f t="shared" ca="1" si="0"/>
        <v>12001_1-5/342&lt;lv1&gt;s3</v>
      </c>
      <c r="B28" s="26">
        <v>12001</v>
      </c>
      <c r="C28" s="25">
        <v>1</v>
      </c>
      <c r="D28" s="2" t="str">
        <f t="shared" si="14"/>
        <v>12001_1</v>
      </c>
      <c r="E28" s="5" t="str">
        <f ca="1">VLOOKUP($B28,OFFSET([2]quests!$A$1,0,0,COUNTA([2]quests!$A:$A),MATCH(E$1,[2]quests!$1:$1,0)-MATCH($B$1,[2]quests!$1:$1,0)+1),MATCH(E$1,[2]quests!$1:$1,0)-MATCH($B$1,[2]quests!$1:$1,0)+1,FALSE)</f>
        <v>【緊急！！】 アヒル捕獲作戦</v>
      </c>
      <c r="F28" s="5" t="str">
        <f ca="1">VLOOKUP($D28,OFFSET([2]stages!$A$1,0,0,COUNTA([2]stages!$A:$A),MATCH(F$1,[2]stages!$2:$2,0)-MATCH($D$1,[2]stages!$2:$2,0)+1),MATCH(F$1,[2]stages!$2:$2,0)-MATCH($D$1,[2]stages!$2:$2,0)+1,FALSE)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8" s="25">
        <v>5</v>
      </c>
      <c r="H28" s="16" t="str">
        <f t="shared" si="4"/>
        <v>12001_1-5</v>
      </c>
      <c r="I28" s="5">
        <f ca="1">VLOOKUP($H28,OFFSET(floors!$A$1,0,0,COUNTA(floors!$A:$A),MATCH(I$1,floors!$1:$1,0)-MATCH($H$1,floors!$1:$1,0)+1),MATCH(I$1,floors!$1:$1,0)-MATCH($H$1,floors!$1:$1,0)+1,FALSE)</f>
        <v>50</v>
      </c>
      <c r="J28" s="5">
        <f ca="1">VLOOKUP($H28,OFFSET(floors!$A$1,0,0,COUNTA(floors!$A:$A),MATCH(J$1,floors!$1:$1,0)-MATCH($H$1,floors!$1:$1,0)+1),MATCH(J$1,floors!$1:$1,0)-MATCH($H$1,floors!$1:$1,0)+1,FALSE)</f>
        <v>50</v>
      </c>
      <c r="K28" s="8" t="s">
        <v>149</v>
      </c>
      <c r="L28" s="24">
        <v>342</v>
      </c>
      <c r="M28" s="20" t="str">
        <f ca="1">VLOOKUP($L28,OFFSET([3]enemies!$A$1,0,0,COUNTA([3]enemies!$A:$A),MATCH(M$1,[3]enemies!$1:$1,0)-MATCH($L$1,[3]enemies!$1:$1,0)+1),MATCH(M$1,[3]enemies!$1:$1,0)-MATCH($L$1,[3]enemies!$1:$1,0)+1,FALSE)</f>
        <v>水のメタルダック</v>
      </c>
      <c r="N28" s="20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20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20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20">
        <f ca="1">VLOOKUP($L28,OFFSET([3]enemies!$A$1,0,0,COUNTA([3]enemies!$A:$A),MATCH(Q$1,[3]enemies!$1:$1,0)-MATCH($L$1,[3]enemies!$1:$1,0)+1),MATCH(Q$1,[3]enemies!$1:$1,0)-MATCH($L$1,[3]enemies!$1:$1,0)+1,FALSE)</f>
        <v>20</v>
      </c>
      <c r="R28" s="6">
        <v>1</v>
      </c>
      <c r="S28" s="30">
        <v>1</v>
      </c>
      <c r="T28" s="30">
        <v>30</v>
      </c>
      <c r="U28" s="6">
        <v>-5000</v>
      </c>
      <c r="V28" s="5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5">
        <f ca="1">VLOOKUP($L28,OFFSET([3]enemies!$A$1,0,0,COUNTA([3]enemies!$A:$A),MATCH(W$1,[3]enemies!$1:$1,0)-MATCH($L$1,[3]enemies!$1:$1,0)+1),MATCH(W$1,[3]enemies!$1:$1,0)-MATCH($L$1,[3]enemies!$1:$1,0)+1,FALSE)</f>
        <v>0</v>
      </c>
      <c r="X28" s="7">
        <v>0</v>
      </c>
      <c r="Y28" s="7">
        <v>100</v>
      </c>
      <c r="Z28" s="7">
        <v>1</v>
      </c>
      <c r="AA28" s="20">
        <f ca="1">VLOOKUP($L28,OFFSET([3]enemies!$A$1,0,0,COUNTA([3]enemies!$A:$A),MATCH(AA$1,[3]enemies!$1:$1,0)-MATCH($L$1,[3]enemies!$1:$1,0)+1),MATCH(AA$1,[3]enemies!$1:$1,0)-MATCH($L$1,[3]enemies!$1:$1,0)+1,FALSE)</f>
        <v>3</v>
      </c>
      <c r="AB28" s="2">
        <f t="shared" si="5"/>
        <v>342</v>
      </c>
      <c r="AC28" s="5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28" s="5">
        <f ca="1">VLOOKUP($AB28,OFFSET([4]characters!$A$1,0,0,COUNTA([4]characters!$A:$A),MATCH(AD$1,[4]characters!$1:$1,0)-MATCH("character_id",[4]characters!$1:$1,0)+1),MATCH(AD$1,[4]characters!$1:$1,0)-MATCH("character_id",[4]characters!$1:$1,0)+1,FALSE)</f>
        <v>5</v>
      </c>
      <c r="AE28" s="5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8">
        <v>1</v>
      </c>
      <c r="AG28" s="28">
        <f t="shared" ca="1" si="15"/>
        <v>5</v>
      </c>
      <c r="AH28" s="9">
        <v>25</v>
      </c>
      <c r="AI28" s="8">
        <v>0</v>
      </c>
      <c r="AJ28" s="8">
        <v>0</v>
      </c>
      <c r="AK28" s="8">
        <v>0</v>
      </c>
      <c r="AL28" s="8">
        <v>0</v>
      </c>
      <c r="AM28" s="8">
        <v>1</v>
      </c>
    </row>
    <row r="29" spans="1:39" ht="21" customHeight="1" x14ac:dyDescent="0.15">
      <c r="A29" s="17" t="str">
        <f t="shared" ca="1" si="0"/>
        <v>12001_1-5/346&lt;lv1&gt;s3</v>
      </c>
      <c r="B29" s="26">
        <v>12001</v>
      </c>
      <c r="C29" s="25">
        <v>1</v>
      </c>
      <c r="D29" s="2" t="str">
        <f t="shared" si="14"/>
        <v>12001_1</v>
      </c>
      <c r="E29" s="5" t="str">
        <f ca="1">VLOOKUP($B29,OFFSET([2]quests!$A$1,0,0,COUNTA([2]quests!$A:$A),MATCH(E$1,[2]quests!$1:$1,0)-MATCH($B$1,[2]quests!$1:$1,0)+1),MATCH(E$1,[2]quests!$1:$1,0)-MATCH($B$1,[2]quests!$1:$1,0)+1,FALSE)</f>
        <v>【緊急！！】 アヒル捕獲作戦</v>
      </c>
      <c r="F29" s="5" t="str">
        <f ca="1">VLOOKUP($D29,OFFSET([2]stages!$A$1,0,0,COUNTA([2]stages!$A:$A),MATCH(F$1,[2]stages!$2:$2,0)-MATCH($D$1,[2]stages!$2:$2,0)+1),MATCH(F$1,[2]stages!$2:$2,0)-MATCH($D$1,[2]stages!$2:$2,0)+1,FALSE)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9" s="25">
        <v>5</v>
      </c>
      <c r="H29" s="16" t="str">
        <f t="shared" si="4"/>
        <v>12001_1-5</v>
      </c>
      <c r="I29" s="5">
        <f ca="1">VLOOKUP($H29,OFFSET(floors!$A$1,0,0,COUNTA(floors!$A:$A),MATCH(I$1,floors!$1:$1,0)-MATCH($H$1,floors!$1:$1,0)+1),MATCH(I$1,floors!$1:$1,0)-MATCH($H$1,floors!$1:$1,0)+1,FALSE)</f>
        <v>50</v>
      </c>
      <c r="J29" s="5">
        <f ca="1">VLOOKUP($H29,OFFSET(floors!$A$1,0,0,COUNTA(floors!$A:$A),MATCH(J$1,floors!$1:$1,0)-MATCH($H$1,floors!$1:$1,0)+1),MATCH(J$1,floors!$1:$1,0)-MATCH($H$1,floors!$1:$1,0)+1,FALSE)</f>
        <v>50</v>
      </c>
      <c r="K29" s="8" t="s">
        <v>149</v>
      </c>
      <c r="L29" s="24">
        <v>346</v>
      </c>
      <c r="M29" s="20" t="str">
        <f ca="1">VLOOKUP($L29,OFFSET([3]enemies!$A$1,0,0,COUNTA([3]enemies!$A:$A),MATCH(M$1,[3]enemies!$1:$1,0)-MATCH($L$1,[3]enemies!$1:$1,0)+1),MATCH(M$1,[3]enemies!$1:$1,0)-MATCH($L$1,[3]enemies!$1:$1,0)+1,FALSE)</f>
        <v>雷のメタルダック</v>
      </c>
      <c r="N29" s="20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20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0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0">
        <f ca="1">VLOOKUP($L29,OFFSET([3]enemies!$A$1,0,0,COUNTA([3]enemies!$A:$A),MATCH(Q$1,[3]enemies!$1:$1,0)-MATCH($L$1,[3]enemies!$1:$1,0)+1),MATCH(Q$1,[3]enemies!$1:$1,0)-MATCH($L$1,[3]enemies!$1:$1,0)+1,FALSE)</f>
        <v>20</v>
      </c>
      <c r="R29" s="6">
        <v>1</v>
      </c>
      <c r="S29" s="30">
        <v>1</v>
      </c>
      <c r="T29" s="30">
        <v>30</v>
      </c>
      <c r="U29" s="6">
        <v>-5000</v>
      </c>
      <c r="V29" s="5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5">
        <f ca="1">VLOOKUP($L29,OFFSET([3]enemies!$A$1,0,0,COUNTA([3]enemies!$A:$A),MATCH(W$1,[3]enemies!$1:$1,0)-MATCH($L$1,[3]enemies!$1:$1,0)+1),MATCH(W$1,[3]enemies!$1:$1,0)-MATCH($L$1,[3]enemies!$1:$1,0)+1,FALSE)</f>
        <v>0</v>
      </c>
      <c r="X29" s="7">
        <v>0</v>
      </c>
      <c r="Y29" s="7">
        <v>100</v>
      </c>
      <c r="Z29" s="7">
        <v>1</v>
      </c>
      <c r="AA29" s="20">
        <f ca="1">VLOOKUP($L29,OFFSET([3]enemies!$A$1,0,0,COUNTA([3]enemies!$A:$A),MATCH(AA$1,[3]enemies!$1:$1,0)-MATCH($L$1,[3]enemies!$1:$1,0)+1),MATCH(AA$1,[3]enemies!$1:$1,0)-MATCH($L$1,[3]enemies!$1:$1,0)+1,FALSE)</f>
        <v>3</v>
      </c>
      <c r="AB29" s="2">
        <f t="shared" si="5"/>
        <v>346</v>
      </c>
      <c r="AC29" s="5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29" s="5">
        <f ca="1">VLOOKUP($AB29,OFFSET([4]characters!$A$1,0,0,COUNTA([4]characters!$A:$A),MATCH(AD$1,[4]characters!$1:$1,0)-MATCH("character_id",[4]characters!$1:$1,0)+1),MATCH(AD$1,[4]characters!$1:$1,0)-MATCH("character_id",[4]characters!$1:$1,0)+1,FALSE)</f>
        <v>5</v>
      </c>
      <c r="AE29" s="5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8">
        <v>1</v>
      </c>
      <c r="AG29" s="28">
        <f t="shared" ca="1" si="15"/>
        <v>5</v>
      </c>
      <c r="AH29" s="9">
        <v>25</v>
      </c>
      <c r="AI29" s="8">
        <v>0</v>
      </c>
      <c r="AJ29" s="8">
        <v>0</v>
      </c>
      <c r="AK29" s="8">
        <v>0</v>
      </c>
      <c r="AL29" s="8">
        <v>0</v>
      </c>
      <c r="AM29" s="8">
        <v>1</v>
      </c>
    </row>
    <row r="30" spans="1:39" ht="21" customHeight="1" x14ac:dyDescent="0.15">
      <c r="A30" s="17" t="str">
        <f t="shared" ca="1" si="0"/>
        <v>12001_2-1/333&lt;lv3&gt;s2</v>
      </c>
      <c r="B30" s="26">
        <v>12001</v>
      </c>
      <c r="C30" s="25">
        <v>2</v>
      </c>
      <c r="D30" s="2" t="str">
        <f t="shared" si="14"/>
        <v>12001_2</v>
      </c>
      <c r="E30" s="5" t="str">
        <f ca="1">VLOOKUP($B30,OFFSET([2]quests!$A$1,0,0,COUNTA([2]quests!$A:$A),MATCH(E$1,[2]quests!$1:$1,0)-MATCH($B$1,[2]quests!$1:$1,0)+1),MATCH(E$1,[2]quests!$1:$1,0)-MATCH($B$1,[2]quests!$1:$1,0)+1,FALSE)</f>
        <v>【緊急！！】 アヒル捕獲作戦</v>
      </c>
      <c r="F30" s="5" t="str">
        <f ca="1">VLOOKUP($D30,OFFSET([2]stages!$A$1,0,0,COUNTA([2]stages!$A:$A),MATCH(F$1,[2]stages!$2:$2,0)-MATCH($D$1,[2]stages!$2:$2,0)+1),MATCH(F$1,[2]stages!$2:$2,0)-MATCH($D$1,[2]stages!$2:$2,0)+1,FALSE)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0" s="25">
        <v>1</v>
      </c>
      <c r="H30" s="16" t="str">
        <f t="shared" si="4"/>
        <v>12001_2-1</v>
      </c>
      <c r="I30" s="5">
        <f ca="1">VLOOKUP($H30,OFFSET(floors!$A$1,0,0,COUNTA(floors!$A:$A),MATCH(I$1,floors!$1:$1,0)-MATCH($H$1,floors!$1:$1,0)+1),MATCH(I$1,floors!$1:$1,0)-MATCH($H$1,floors!$1:$1,0)+1,FALSE)</f>
        <v>60</v>
      </c>
      <c r="J30" s="5">
        <f ca="1">VLOOKUP($H30,OFFSET(floors!$A$1,0,0,COUNTA(floors!$A:$A),MATCH(J$1,floors!$1:$1,0)-MATCH($H$1,floors!$1:$1,0)+1),MATCH(J$1,floors!$1:$1,0)-MATCH($H$1,floors!$1:$1,0)+1,FALSE)</f>
        <v>60</v>
      </c>
      <c r="K30" s="8" t="s">
        <v>149</v>
      </c>
      <c r="L30" s="24">
        <v>333</v>
      </c>
      <c r="M30" s="20" t="str">
        <f ca="1">VLOOKUP($L30,OFFSET([3]enemies!$A$1,0,0,COUNTA([3]enemies!$A:$A),MATCH(M$1,[3]enemies!$1:$1,0)-MATCH($L$1,[3]enemies!$1:$1,0)+1),MATCH(M$1,[3]enemies!$1:$1,0)-MATCH($L$1,[3]enemies!$1:$1,0)+1,FALSE)</f>
        <v>炎のメタルチック</v>
      </c>
      <c r="N30" s="20" t="str">
        <f ca="1">VLOOKUP($L30,OFFSET([3]enemies!$A$1,0,0,COUNTA([3]enemies!$A:$A),MATCH(N$1,[3]enemies!$1:$1,0)-MATCH($L$1,[3]enemies!$1:$1,0)+1),MATCH(N$1,[3]enemies!$1:$1,0)-MATCH($L$1,[3]enemies!$1:$1,0)+1,FALSE)</f>
        <v>red</v>
      </c>
      <c r="O30" s="20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20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20">
        <f ca="1">VLOOKUP($L30,OFFSET([3]enemies!$A$1,0,0,COUNTA([3]enemies!$A:$A),MATCH(Q$1,[3]enemies!$1:$1,0)-MATCH($L$1,[3]enemies!$1:$1,0)+1),MATCH(Q$1,[3]enemies!$1:$1,0)-MATCH($L$1,[3]enemies!$1:$1,0)+1,FALSE)</f>
        <v>15</v>
      </c>
      <c r="R30" s="8">
        <v>3</v>
      </c>
      <c r="S30" s="30">
        <v>1</v>
      </c>
      <c r="T30" s="30">
        <v>35</v>
      </c>
      <c r="U30" s="6">
        <v>-2000</v>
      </c>
      <c r="V30" s="5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" s="5">
        <f ca="1">VLOOKUP($L30,OFFSET([3]enemies!$A$1,0,0,COUNTA([3]enemies!$A:$A),MATCH(W$1,[3]enemies!$1:$1,0)-MATCH($L$1,[3]enemies!$1:$1,0)+1),MATCH(W$1,[3]enemies!$1:$1,0)-MATCH($L$1,[3]enemies!$1:$1,0)+1,FALSE)</f>
        <v>0</v>
      </c>
      <c r="X30" s="7">
        <v>1</v>
      </c>
      <c r="Y30" s="7">
        <v>100</v>
      </c>
      <c r="Z30" s="7">
        <v>0</v>
      </c>
      <c r="AA30" s="20">
        <f ca="1">VLOOKUP($L30,OFFSET([3]enemies!$A$1,0,0,COUNTA([3]enemies!$A:$A),MATCH(AA$1,[3]enemies!$1:$1,0)-MATCH($L$1,[3]enemies!$1:$1,0)+1),MATCH(AA$1,[3]enemies!$1:$1,0)-MATCH($L$1,[3]enemies!$1:$1,0)+1,FALSE)</f>
        <v>2</v>
      </c>
      <c r="AB30" s="2">
        <f t="shared" si="5"/>
        <v>333</v>
      </c>
      <c r="AC30" s="5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30" s="5">
        <f ca="1">VLOOKUP($AB30,OFFSET([4]characters!$A$1,0,0,COUNTA([4]characters!$A:$A),MATCH(AD$1,[4]characters!$1:$1,0)-MATCH("character_id",[4]characters!$1:$1,0)+1),MATCH(AD$1,[4]characters!$1:$1,0)-MATCH("character_id",[4]characters!$1:$1,0)+1,FALSE)</f>
        <v>4</v>
      </c>
      <c r="AE30" s="5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8">
        <v>1</v>
      </c>
      <c r="AG30" s="28">
        <f t="shared" ca="1" si="15"/>
        <v>4</v>
      </c>
      <c r="AH30" s="9">
        <v>100</v>
      </c>
      <c r="AI30" s="8">
        <v>0</v>
      </c>
      <c r="AJ30" s="8">
        <v>0</v>
      </c>
      <c r="AK30" s="8">
        <v>0</v>
      </c>
      <c r="AL30" s="8">
        <v>0</v>
      </c>
      <c r="AM30" s="8">
        <v>1</v>
      </c>
    </row>
    <row r="31" spans="1:39" ht="21" customHeight="1" x14ac:dyDescent="0.15">
      <c r="A31" s="17" t="str">
        <f t="shared" ca="1" si="0"/>
        <v>12001_2-1/337&lt;lv3&gt;s2</v>
      </c>
      <c r="B31" s="26">
        <v>12001</v>
      </c>
      <c r="C31" s="25">
        <v>2</v>
      </c>
      <c r="D31" s="2" t="str">
        <f t="shared" si="14"/>
        <v>12001_2</v>
      </c>
      <c r="E31" s="5" t="str">
        <f ca="1">VLOOKUP($B31,OFFSET([2]quests!$A$1,0,0,COUNTA([2]quests!$A:$A),MATCH(E$1,[2]quests!$1:$1,0)-MATCH($B$1,[2]quests!$1:$1,0)+1),MATCH(E$1,[2]quests!$1:$1,0)-MATCH($B$1,[2]quests!$1:$1,0)+1,FALSE)</f>
        <v>【緊急！！】 アヒル捕獲作戦</v>
      </c>
      <c r="F31" s="5" t="str">
        <f ca="1">VLOOKUP($D31,OFFSET([2]stages!$A$1,0,0,COUNTA([2]stages!$A:$A),MATCH(F$1,[2]stages!$2:$2,0)-MATCH($D$1,[2]stages!$2:$2,0)+1),MATCH(F$1,[2]stages!$2:$2,0)-MATCH($D$1,[2]stages!$2:$2,0)+1,FALSE)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1" s="25">
        <v>1</v>
      </c>
      <c r="H31" s="16" t="str">
        <f t="shared" si="4"/>
        <v>12001_2-1</v>
      </c>
      <c r="I31" s="5">
        <f ca="1">VLOOKUP($H31,OFFSET(floors!$A$1,0,0,COUNTA(floors!$A:$A),MATCH(I$1,floors!$1:$1,0)-MATCH($H$1,floors!$1:$1,0)+1),MATCH(I$1,floors!$1:$1,0)-MATCH($H$1,floors!$1:$1,0)+1,FALSE)</f>
        <v>60</v>
      </c>
      <c r="J31" s="5">
        <f ca="1">VLOOKUP($H31,OFFSET(floors!$A$1,0,0,COUNTA(floors!$A:$A),MATCH(J$1,floors!$1:$1,0)-MATCH($H$1,floors!$1:$1,0)+1),MATCH(J$1,floors!$1:$1,0)-MATCH($H$1,floors!$1:$1,0)+1,FALSE)</f>
        <v>60</v>
      </c>
      <c r="K31" s="8" t="s">
        <v>149</v>
      </c>
      <c r="L31" s="24">
        <v>337</v>
      </c>
      <c r="M31" s="20" t="str">
        <f ca="1">VLOOKUP($L31,OFFSET([3]enemies!$A$1,0,0,COUNTA([3]enemies!$A:$A),MATCH(M$1,[3]enemies!$1:$1,0)-MATCH($L$1,[3]enemies!$1:$1,0)+1),MATCH(M$1,[3]enemies!$1:$1,0)-MATCH($L$1,[3]enemies!$1:$1,0)+1,FALSE)</f>
        <v>森のメタルチック</v>
      </c>
      <c r="N31" s="20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20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20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20">
        <f ca="1">VLOOKUP($L31,OFFSET([3]enemies!$A$1,0,0,COUNTA([3]enemies!$A:$A),MATCH(Q$1,[3]enemies!$1:$1,0)-MATCH($L$1,[3]enemies!$1:$1,0)+1),MATCH(Q$1,[3]enemies!$1:$1,0)-MATCH($L$1,[3]enemies!$1:$1,0)+1,FALSE)</f>
        <v>15</v>
      </c>
      <c r="R31" s="8">
        <v>3</v>
      </c>
      <c r="S31" s="30">
        <v>1</v>
      </c>
      <c r="T31" s="30">
        <v>35</v>
      </c>
      <c r="U31" s="6">
        <v>-2000</v>
      </c>
      <c r="V31" s="5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" s="5">
        <f ca="1">VLOOKUP($L31,OFFSET([3]enemies!$A$1,0,0,COUNTA([3]enemies!$A:$A),MATCH(W$1,[3]enemies!$1:$1,0)-MATCH($L$1,[3]enemies!$1:$1,0)+1),MATCH(W$1,[3]enemies!$1:$1,0)-MATCH($L$1,[3]enemies!$1:$1,0)+1,FALSE)</f>
        <v>0</v>
      </c>
      <c r="X31" s="7">
        <v>1</v>
      </c>
      <c r="Y31" s="7">
        <v>100</v>
      </c>
      <c r="Z31" s="7">
        <v>0</v>
      </c>
      <c r="AA31" s="20">
        <f ca="1">VLOOKUP($L31,OFFSET([3]enemies!$A$1,0,0,COUNTA([3]enemies!$A:$A),MATCH(AA$1,[3]enemies!$1:$1,0)-MATCH($L$1,[3]enemies!$1:$1,0)+1),MATCH(AA$1,[3]enemies!$1:$1,0)-MATCH($L$1,[3]enemies!$1:$1,0)+1,FALSE)</f>
        <v>2</v>
      </c>
      <c r="AB31" s="2">
        <f t="shared" si="5"/>
        <v>337</v>
      </c>
      <c r="AC31" s="5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31" s="5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5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8">
        <v>1</v>
      </c>
      <c r="AG31" s="28">
        <f t="shared" ca="1" si="15"/>
        <v>4</v>
      </c>
      <c r="AH31" s="9">
        <v>100</v>
      </c>
      <c r="AI31" s="8">
        <v>0</v>
      </c>
      <c r="AJ31" s="8">
        <v>0</v>
      </c>
      <c r="AK31" s="8">
        <v>0</v>
      </c>
      <c r="AL31" s="8">
        <v>0</v>
      </c>
      <c r="AM31" s="8">
        <v>1</v>
      </c>
    </row>
    <row r="32" spans="1:39" ht="21" customHeight="1" x14ac:dyDescent="0.15">
      <c r="A32" s="17" t="str">
        <f t="shared" ca="1" si="0"/>
        <v>12001_2-1/341&lt;lv3&gt;s2</v>
      </c>
      <c r="B32" s="26">
        <v>12001</v>
      </c>
      <c r="C32" s="25">
        <v>2</v>
      </c>
      <c r="D32" s="2" t="str">
        <f t="shared" si="14"/>
        <v>12001_2</v>
      </c>
      <c r="E32" s="5" t="str">
        <f ca="1">VLOOKUP($B32,OFFSET([2]quests!$A$1,0,0,COUNTA([2]quests!$A:$A),MATCH(E$1,[2]quests!$1:$1,0)-MATCH($B$1,[2]quests!$1:$1,0)+1),MATCH(E$1,[2]quests!$1:$1,0)-MATCH($B$1,[2]quests!$1:$1,0)+1,FALSE)</f>
        <v>【緊急！！】 アヒル捕獲作戦</v>
      </c>
      <c r="F32" s="5" t="str">
        <f ca="1">VLOOKUP($D32,OFFSET([2]stages!$A$1,0,0,COUNTA([2]stages!$A:$A),MATCH(F$1,[2]stages!$2:$2,0)-MATCH($D$1,[2]stages!$2:$2,0)+1),MATCH(F$1,[2]stages!$2:$2,0)-MATCH($D$1,[2]stages!$2:$2,0)+1,FALSE)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2" s="25">
        <v>1</v>
      </c>
      <c r="H32" s="16" t="str">
        <f t="shared" si="4"/>
        <v>12001_2-1</v>
      </c>
      <c r="I32" s="5">
        <f ca="1">VLOOKUP($H32,OFFSET(floors!$A$1,0,0,COUNTA(floors!$A:$A),MATCH(I$1,floors!$1:$1,0)-MATCH($H$1,floors!$1:$1,0)+1),MATCH(I$1,floors!$1:$1,0)-MATCH($H$1,floors!$1:$1,0)+1,FALSE)</f>
        <v>60</v>
      </c>
      <c r="J32" s="5">
        <f ca="1">VLOOKUP($H32,OFFSET(floors!$A$1,0,0,COUNTA(floors!$A:$A),MATCH(J$1,floors!$1:$1,0)-MATCH($H$1,floors!$1:$1,0)+1),MATCH(J$1,floors!$1:$1,0)-MATCH($H$1,floors!$1:$1,0)+1,FALSE)</f>
        <v>60</v>
      </c>
      <c r="K32" s="8" t="s">
        <v>149</v>
      </c>
      <c r="L32" s="24">
        <v>341</v>
      </c>
      <c r="M32" s="20" t="str">
        <f ca="1">VLOOKUP($L32,OFFSET([3]enemies!$A$1,0,0,COUNTA([3]enemies!$A:$A),MATCH(M$1,[3]enemies!$1:$1,0)-MATCH($L$1,[3]enemies!$1:$1,0)+1),MATCH(M$1,[3]enemies!$1:$1,0)-MATCH($L$1,[3]enemies!$1:$1,0)+1,FALSE)</f>
        <v>水のメタルチック</v>
      </c>
      <c r="N32" s="20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20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20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20">
        <f ca="1">VLOOKUP($L32,OFFSET([3]enemies!$A$1,0,0,COUNTA([3]enemies!$A:$A),MATCH(Q$1,[3]enemies!$1:$1,0)-MATCH($L$1,[3]enemies!$1:$1,0)+1),MATCH(Q$1,[3]enemies!$1:$1,0)-MATCH($L$1,[3]enemies!$1:$1,0)+1,FALSE)</f>
        <v>15</v>
      </c>
      <c r="R32" s="8">
        <v>3</v>
      </c>
      <c r="S32" s="30">
        <v>1</v>
      </c>
      <c r="T32" s="30">
        <v>35</v>
      </c>
      <c r="U32" s="6">
        <v>-2000</v>
      </c>
      <c r="V32" s="5" t="str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2" s="5">
        <f ca="1">VLOOKUP($L32,OFFSET([3]enemies!$A$1,0,0,COUNTA([3]enemies!$A:$A),MATCH(W$1,[3]enemies!$1:$1,0)-MATCH($L$1,[3]enemies!$1:$1,0)+1),MATCH(W$1,[3]enemies!$1:$1,0)-MATCH($L$1,[3]enemies!$1:$1,0)+1,FALSE)</f>
        <v>0</v>
      </c>
      <c r="X32" s="7">
        <v>1</v>
      </c>
      <c r="Y32" s="7">
        <v>100</v>
      </c>
      <c r="Z32" s="7">
        <v>0</v>
      </c>
      <c r="AA32" s="20">
        <f ca="1">VLOOKUP($L32,OFFSET([3]enemies!$A$1,0,0,COUNTA([3]enemies!$A:$A),MATCH(AA$1,[3]enemies!$1:$1,0)-MATCH($L$1,[3]enemies!$1:$1,0)+1),MATCH(AA$1,[3]enemies!$1:$1,0)-MATCH($L$1,[3]enemies!$1:$1,0)+1,FALSE)</f>
        <v>2</v>
      </c>
      <c r="AB32" s="2">
        <f t="shared" si="5"/>
        <v>341</v>
      </c>
      <c r="AC32" s="5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2" s="5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5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8">
        <v>1</v>
      </c>
      <c r="AG32" s="28">
        <f t="shared" ca="1" si="15"/>
        <v>4</v>
      </c>
      <c r="AH32" s="9">
        <v>100</v>
      </c>
      <c r="AI32" s="8">
        <v>0</v>
      </c>
      <c r="AJ32" s="8">
        <v>0</v>
      </c>
      <c r="AK32" s="8">
        <v>0</v>
      </c>
      <c r="AL32" s="8">
        <v>0</v>
      </c>
      <c r="AM32" s="8">
        <v>1</v>
      </c>
    </row>
    <row r="33" spans="1:39" ht="21" customHeight="1" x14ac:dyDescent="0.15">
      <c r="A33" s="17" t="str">
        <f t="shared" ca="1" si="0"/>
        <v>12001_2-1/345&lt;lv3&gt;s2</v>
      </c>
      <c r="B33" s="26">
        <v>12001</v>
      </c>
      <c r="C33" s="25">
        <v>2</v>
      </c>
      <c r="D33" s="2" t="str">
        <f t="shared" si="14"/>
        <v>12001_2</v>
      </c>
      <c r="E33" s="5" t="str">
        <f ca="1">VLOOKUP($B33,OFFSET([2]quests!$A$1,0,0,COUNTA([2]quests!$A:$A),MATCH(E$1,[2]quests!$1:$1,0)-MATCH($B$1,[2]quests!$1:$1,0)+1),MATCH(E$1,[2]quests!$1:$1,0)-MATCH($B$1,[2]quests!$1:$1,0)+1,FALSE)</f>
        <v>【緊急！！】 アヒル捕獲作戦</v>
      </c>
      <c r="F33" s="5" t="str">
        <f ca="1">VLOOKUP($D33,OFFSET([2]stages!$A$1,0,0,COUNTA([2]stages!$A:$A),MATCH(F$1,[2]stages!$2:$2,0)-MATCH($D$1,[2]stages!$2:$2,0)+1),MATCH(F$1,[2]stages!$2:$2,0)-MATCH($D$1,[2]stages!$2:$2,0)+1,FALSE)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3" s="25">
        <v>1</v>
      </c>
      <c r="H33" s="16" t="str">
        <f t="shared" si="4"/>
        <v>12001_2-1</v>
      </c>
      <c r="I33" s="5">
        <f ca="1">VLOOKUP($H33,OFFSET(floors!$A$1,0,0,COUNTA(floors!$A:$A),MATCH(I$1,floors!$1:$1,0)-MATCH($H$1,floors!$1:$1,0)+1),MATCH(I$1,floors!$1:$1,0)-MATCH($H$1,floors!$1:$1,0)+1,FALSE)</f>
        <v>60</v>
      </c>
      <c r="J33" s="5">
        <f ca="1">VLOOKUP($H33,OFFSET(floors!$A$1,0,0,COUNTA(floors!$A:$A),MATCH(J$1,floors!$1:$1,0)-MATCH($H$1,floors!$1:$1,0)+1),MATCH(J$1,floors!$1:$1,0)-MATCH($H$1,floors!$1:$1,0)+1,FALSE)</f>
        <v>60</v>
      </c>
      <c r="K33" s="8" t="s">
        <v>149</v>
      </c>
      <c r="L33" s="24">
        <v>345</v>
      </c>
      <c r="M33" s="20" t="str">
        <f ca="1">VLOOKUP($L33,OFFSET([3]enemies!$A$1,0,0,COUNTA([3]enemies!$A:$A),MATCH(M$1,[3]enemies!$1:$1,0)-MATCH($L$1,[3]enemies!$1:$1,0)+1),MATCH(M$1,[3]enemies!$1:$1,0)-MATCH($L$1,[3]enemies!$1:$1,0)+1,FALSE)</f>
        <v>雷のメタルチック</v>
      </c>
      <c r="N33" s="20" t="str">
        <f ca="1">VLOOKUP($L33,OFFSET([3]enemies!$A$1,0,0,COUNTA([3]enemies!$A:$A),MATCH(N$1,[3]enemies!$1:$1,0)-MATCH($L$1,[3]enemies!$1:$1,0)+1),MATCH(N$1,[3]enemies!$1:$1,0)-MATCH($L$1,[3]enemies!$1:$1,0)+1,FALSE)</f>
        <v>yellow</v>
      </c>
      <c r="O33" s="20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20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20">
        <f ca="1">VLOOKUP($L33,OFFSET([3]enemies!$A$1,0,0,COUNTA([3]enemies!$A:$A),MATCH(Q$1,[3]enemies!$1:$1,0)-MATCH($L$1,[3]enemies!$1:$1,0)+1),MATCH(Q$1,[3]enemies!$1:$1,0)-MATCH($L$1,[3]enemies!$1:$1,0)+1,FALSE)</f>
        <v>15</v>
      </c>
      <c r="R33" s="8">
        <v>3</v>
      </c>
      <c r="S33" s="30">
        <v>1</v>
      </c>
      <c r="T33" s="30">
        <v>35</v>
      </c>
      <c r="U33" s="6">
        <v>-2000</v>
      </c>
      <c r="V33" s="5" t="str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3" s="5">
        <f ca="1">VLOOKUP($L33,OFFSET([3]enemies!$A$1,0,0,COUNTA([3]enemies!$A:$A),MATCH(W$1,[3]enemies!$1:$1,0)-MATCH($L$1,[3]enemies!$1:$1,0)+1),MATCH(W$1,[3]enemies!$1:$1,0)-MATCH($L$1,[3]enemies!$1:$1,0)+1,FALSE)</f>
        <v>0</v>
      </c>
      <c r="X33" s="7">
        <v>1</v>
      </c>
      <c r="Y33" s="7">
        <v>100</v>
      </c>
      <c r="Z33" s="7">
        <v>0</v>
      </c>
      <c r="AA33" s="20">
        <f ca="1">VLOOKUP($L33,OFFSET([3]enemies!$A$1,0,0,COUNTA([3]enemies!$A:$A),MATCH(AA$1,[3]enemies!$1:$1,0)-MATCH($L$1,[3]enemies!$1:$1,0)+1),MATCH(AA$1,[3]enemies!$1:$1,0)-MATCH($L$1,[3]enemies!$1:$1,0)+1,FALSE)</f>
        <v>2</v>
      </c>
      <c r="AB33" s="2">
        <f t="shared" si="5"/>
        <v>345</v>
      </c>
      <c r="AC33" s="5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33" s="5">
        <f ca="1">VLOOKUP($AB33,OFFSET([4]characters!$A$1,0,0,COUNTA([4]characters!$A:$A),MATCH(AD$1,[4]characters!$1:$1,0)-MATCH("character_id",[4]characters!$1:$1,0)+1),MATCH(AD$1,[4]characters!$1:$1,0)-MATCH("character_id",[4]characters!$1:$1,0)+1,FALSE)</f>
        <v>4</v>
      </c>
      <c r="AE33" s="5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8">
        <v>1</v>
      </c>
      <c r="AG33" s="28">
        <f t="shared" ca="1" si="15"/>
        <v>4</v>
      </c>
      <c r="AH33" s="9">
        <v>100</v>
      </c>
      <c r="AI33" s="8">
        <v>0</v>
      </c>
      <c r="AJ33" s="8">
        <v>0</v>
      </c>
      <c r="AK33" s="8">
        <v>0</v>
      </c>
      <c r="AL33" s="8">
        <v>0</v>
      </c>
      <c r="AM33" s="8">
        <v>1</v>
      </c>
    </row>
    <row r="34" spans="1:39" ht="21" customHeight="1" x14ac:dyDescent="0.15">
      <c r="A34" s="17" t="str">
        <f t="shared" ref="A34:A67" ca="1" si="16">B34&amp;"_"&amp;C34&amp;"-"&amp;G34&amp;"/"&amp;L34&amp;"&lt;lv"&amp;R34&amp;"&gt;s"&amp;AA34</f>
        <v>12001_2-2/337&lt;lv3&gt;s2</v>
      </c>
      <c r="B34" s="26">
        <v>12001</v>
      </c>
      <c r="C34" s="25">
        <v>2</v>
      </c>
      <c r="D34" s="2" t="str">
        <f t="shared" ref="D34:D35" si="17">B34&amp;"_"&amp;C34</f>
        <v>12001_2</v>
      </c>
      <c r="E34" s="5" t="str">
        <f ca="1">VLOOKUP($B34,OFFSET([2]quests!$A$1,0,0,COUNTA([2]quests!$A:$A),MATCH(E$1,[2]quests!$1:$1,0)-MATCH($B$1,[2]quests!$1:$1,0)+1),MATCH(E$1,[2]quests!$1:$1,0)-MATCH($B$1,[2]quests!$1:$1,0)+1,FALSE)</f>
        <v>【緊急！！】 アヒル捕獲作戦</v>
      </c>
      <c r="F34" s="5" t="str">
        <f ca="1">VLOOKUP($D34,OFFSET([2]stages!$A$1,0,0,COUNTA([2]stages!$A:$A),MATCH(F$1,[2]stages!$2:$2,0)-MATCH($D$1,[2]stages!$2:$2,0)+1),MATCH(F$1,[2]stages!$2:$2,0)-MATCH($D$1,[2]stages!$2:$2,0)+1,FALSE)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4" s="25">
        <v>2</v>
      </c>
      <c r="H34" s="16" t="str">
        <f t="shared" si="4"/>
        <v>12001_2-2</v>
      </c>
      <c r="I34" s="5">
        <f ca="1">VLOOKUP($H34,OFFSET(floors!$A$1,0,0,COUNTA(floors!$A:$A),MATCH(I$1,floors!$1:$1,0)-MATCH($H$1,floors!$1:$1,0)+1),MATCH(I$1,floors!$1:$1,0)-MATCH($H$1,floors!$1:$1,0)+1,FALSE)</f>
        <v>50</v>
      </c>
      <c r="J34" s="5">
        <f ca="1">VLOOKUP($H34,OFFSET(floors!$A$1,0,0,COUNTA(floors!$A:$A),MATCH(J$1,floors!$1:$1,0)-MATCH($H$1,floors!$1:$1,0)+1),MATCH(J$1,floors!$1:$1,0)-MATCH($H$1,floors!$1:$1,0)+1,FALSE)</f>
        <v>50</v>
      </c>
      <c r="K34" s="8" t="s">
        <v>149</v>
      </c>
      <c r="L34" s="24">
        <v>337</v>
      </c>
      <c r="M34" s="20" t="str">
        <f ca="1">VLOOKUP($L34,OFFSET([3]enemies!$A$1,0,0,COUNTA([3]enemies!$A:$A),MATCH(M$1,[3]enemies!$1:$1,0)-MATCH($L$1,[3]enemies!$1:$1,0)+1),MATCH(M$1,[3]enemies!$1:$1,0)-MATCH($L$1,[3]enemies!$1:$1,0)+1,FALSE)</f>
        <v>森のメタルチック</v>
      </c>
      <c r="N34" s="20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20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20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20">
        <f ca="1">VLOOKUP($L34,OFFSET([3]enemies!$A$1,0,0,COUNTA([3]enemies!$A:$A),MATCH(Q$1,[3]enemies!$1:$1,0)-MATCH($L$1,[3]enemies!$1:$1,0)+1),MATCH(Q$1,[3]enemies!$1:$1,0)-MATCH($L$1,[3]enemies!$1:$1,0)+1,FALSE)</f>
        <v>15</v>
      </c>
      <c r="R34" s="8">
        <v>3</v>
      </c>
      <c r="S34" s="30">
        <v>1</v>
      </c>
      <c r="T34" s="30">
        <v>35</v>
      </c>
      <c r="U34" s="6">
        <v>-2000</v>
      </c>
      <c r="V34" s="5" t="str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4" s="5">
        <f ca="1">VLOOKUP($L34,OFFSET([3]enemies!$A$1,0,0,COUNTA([3]enemies!$A:$A),MATCH(W$1,[3]enemies!$1:$1,0)-MATCH($L$1,[3]enemies!$1:$1,0)+1),MATCH(W$1,[3]enemies!$1:$1,0)-MATCH($L$1,[3]enemies!$1:$1,0)+1,FALSE)</f>
        <v>0</v>
      </c>
      <c r="X34" s="7">
        <v>1</v>
      </c>
      <c r="Y34" s="7">
        <v>0</v>
      </c>
      <c r="Z34" s="7">
        <v>2</v>
      </c>
      <c r="AA34" s="20">
        <f ca="1">VLOOKUP($L34,OFFSET([3]enemies!$A$1,0,0,COUNTA([3]enemies!$A:$A),MATCH(AA$1,[3]enemies!$1:$1,0)-MATCH($L$1,[3]enemies!$1:$1,0)+1),MATCH(AA$1,[3]enemies!$1:$1,0)-MATCH($L$1,[3]enemies!$1:$1,0)+1,FALSE)</f>
        <v>2</v>
      </c>
      <c r="AB34" s="2">
        <f t="shared" si="5"/>
        <v>337</v>
      </c>
      <c r="AC34" s="5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34" s="5">
        <f ca="1">VLOOKUP($AB34,OFFSET([4]characters!$A$1,0,0,COUNTA([4]characters!$A:$A),MATCH(AD$1,[4]characters!$1:$1,0)-MATCH("character_id",[4]characters!$1:$1,0)+1),MATCH(AD$1,[4]characters!$1:$1,0)-MATCH("character_id",[4]characters!$1:$1,0)+1,FALSE)</f>
        <v>4</v>
      </c>
      <c r="AE34" s="5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4" s="8">
        <v>1</v>
      </c>
      <c r="AG34" s="28">
        <f t="shared" ref="AG34:AG35" ca="1" si="18">AD34</f>
        <v>4</v>
      </c>
      <c r="AH34" s="9">
        <v>100</v>
      </c>
      <c r="AI34" s="8">
        <v>0</v>
      </c>
      <c r="AJ34" s="8">
        <v>0</v>
      </c>
      <c r="AK34" s="8">
        <v>0</v>
      </c>
      <c r="AL34" s="8">
        <v>0</v>
      </c>
      <c r="AM34" s="8">
        <v>1</v>
      </c>
    </row>
    <row r="35" spans="1:39" ht="21" customHeight="1" x14ac:dyDescent="0.15">
      <c r="A35" s="17" t="str">
        <f t="shared" ca="1" si="16"/>
        <v>12001_2-2/341&lt;lv3&gt;s2</v>
      </c>
      <c r="B35" s="26">
        <v>12001</v>
      </c>
      <c r="C35" s="25">
        <v>2</v>
      </c>
      <c r="D35" s="2" t="str">
        <f t="shared" si="17"/>
        <v>12001_2</v>
      </c>
      <c r="E35" s="5" t="str">
        <f ca="1">VLOOKUP($B35,OFFSET([2]quests!$A$1,0,0,COUNTA([2]quests!$A:$A),MATCH(E$1,[2]quests!$1:$1,0)-MATCH($B$1,[2]quests!$1:$1,0)+1),MATCH(E$1,[2]quests!$1:$1,0)-MATCH($B$1,[2]quests!$1:$1,0)+1,FALSE)</f>
        <v>【緊急！！】 アヒル捕獲作戦</v>
      </c>
      <c r="F35" s="5" t="str">
        <f ca="1">VLOOKUP($D35,OFFSET([2]stages!$A$1,0,0,COUNTA([2]stages!$A:$A),MATCH(F$1,[2]stages!$2:$2,0)-MATCH($D$1,[2]stages!$2:$2,0)+1),MATCH(F$1,[2]stages!$2:$2,0)-MATCH($D$1,[2]stages!$2:$2,0)+1,FALSE)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5" s="25">
        <v>2</v>
      </c>
      <c r="H35" s="16" t="str">
        <f t="shared" si="4"/>
        <v>12001_2-2</v>
      </c>
      <c r="I35" s="5">
        <f ca="1">VLOOKUP($H35,OFFSET(floors!$A$1,0,0,COUNTA(floors!$A:$A),MATCH(I$1,floors!$1:$1,0)-MATCH($H$1,floors!$1:$1,0)+1),MATCH(I$1,floors!$1:$1,0)-MATCH($H$1,floors!$1:$1,0)+1,FALSE)</f>
        <v>50</v>
      </c>
      <c r="J35" s="5">
        <f ca="1">VLOOKUP($H35,OFFSET(floors!$A$1,0,0,COUNTA(floors!$A:$A),MATCH(J$1,floors!$1:$1,0)-MATCH($H$1,floors!$1:$1,0)+1),MATCH(J$1,floors!$1:$1,0)-MATCH($H$1,floors!$1:$1,0)+1,FALSE)</f>
        <v>50</v>
      </c>
      <c r="K35" s="8" t="s">
        <v>149</v>
      </c>
      <c r="L35" s="24">
        <v>341</v>
      </c>
      <c r="M35" s="20" t="str">
        <f ca="1">VLOOKUP($L35,OFFSET([3]enemies!$A$1,0,0,COUNTA([3]enemies!$A:$A),MATCH(M$1,[3]enemies!$1:$1,0)-MATCH($L$1,[3]enemies!$1:$1,0)+1),MATCH(M$1,[3]enemies!$1:$1,0)-MATCH($L$1,[3]enemies!$1:$1,0)+1,FALSE)</f>
        <v>水のメタルチック</v>
      </c>
      <c r="N35" s="20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20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20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20">
        <f ca="1">VLOOKUP($L35,OFFSET([3]enemies!$A$1,0,0,COUNTA([3]enemies!$A:$A),MATCH(Q$1,[3]enemies!$1:$1,0)-MATCH($L$1,[3]enemies!$1:$1,0)+1),MATCH(Q$1,[3]enemies!$1:$1,0)-MATCH($L$1,[3]enemies!$1:$1,0)+1,FALSE)</f>
        <v>15</v>
      </c>
      <c r="R35" s="8">
        <v>3</v>
      </c>
      <c r="S35" s="30">
        <v>1</v>
      </c>
      <c r="T35" s="30">
        <v>35</v>
      </c>
      <c r="U35" s="6">
        <v>-2000</v>
      </c>
      <c r="V35" s="5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5">
        <f ca="1">VLOOKUP($L35,OFFSET([3]enemies!$A$1,0,0,COUNTA([3]enemies!$A:$A),MATCH(W$1,[3]enemies!$1:$1,0)-MATCH($L$1,[3]enemies!$1:$1,0)+1),MATCH(W$1,[3]enemies!$1:$1,0)-MATCH($L$1,[3]enemies!$1:$1,0)+1,FALSE)</f>
        <v>0</v>
      </c>
      <c r="X35" s="7">
        <v>1</v>
      </c>
      <c r="Y35" s="7">
        <v>0</v>
      </c>
      <c r="Z35" s="7">
        <v>2</v>
      </c>
      <c r="AA35" s="20">
        <f ca="1">VLOOKUP($L35,OFFSET([3]enemies!$A$1,0,0,COUNTA([3]enemies!$A:$A),MATCH(AA$1,[3]enemies!$1:$1,0)-MATCH($L$1,[3]enemies!$1:$1,0)+1),MATCH(AA$1,[3]enemies!$1:$1,0)-MATCH($L$1,[3]enemies!$1:$1,0)+1,FALSE)</f>
        <v>2</v>
      </c>
      <c r="AB35" s="2">
        <f t="shared" si="5"/>
        <v>341</v>
      </c>
      <c r="AC35" s="5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5" s="5">
        <f ca="1">VLOOKUP($AB35,OFFSET([4]characters!$A$1,0,0,COUNTA([4]characters!$A:$A),MATCH(AD$1,[4]characters!$1:$1,0)-MATCH("character_id",[4]characters!$1:$1,0)+1),MATCH(AD$1,[4]characters!$1:$1,0)-MATCH("character_id",[4]characters!$1:$1,0)+1,FALSE)</f>
        <v>4</v>
      </c>
      <c r="AE35" s="5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8">
        <v>1</v>
      </c>
      <c r="AG35" s="28">
        <f t="shared" ca="1" si="18"/>
        <v>4</v>
      </c>
      <c r="AH35" s="9">
        <v>100</v>
      </c>
      <c r="AI35" s="8">
        <v>0</v>
      </c>
      <c r="AJ35" s="8">
        <v>0</v>
      </c>
      <c r="AK35" s="8">
        <v>0</v>
      </c>
      <c r="AL35" s="8">
        <v>0</v>
      </c>
      <c r="AM35" s="8">
        <v>1</v>
      </c>
    </row>
    <row r="36" spans="1:39" ht="21" customHeight="1" x14ac:dyDescent="0.15">
      <c r="A36" s="17" t="str">
        <f t="shared" ca="1" si="16"/>
        <v>12001_2-2/334&lt;lv1&gt;s3</v>
      </c>
      <c r="B36" s="26">
        <v>12001</v>
      </c>
      <c r="C36" s="25">
        <v>2</v>
      </c>
      <c r="D36" s="2" t="str">
        <f t="shared" ref="D36:D41" si="19">B36&amp;"_"&amp;C36</f>
        <v>12001_2</v>
      </c>
      <c r="E36" s="5" t="str">
        <f ca="1">VLOOKUP($B36,OFFSET([2]quests!$A$1,0,0,COUNTA([2]quests!$A:$A),MATCH(E$1,[2]quests!$1:$1,0)-MATCH($B$1,[2]quests!$1:$1,0)+1),MATCH(E$1,[2]quests!$1:$1,0)-MATCH($B$1,[2]quests!$1:$1,0)+1,FALSE)</f>
        <v>【緊急！！】 アヒル捕獲作戦</v>
      </c>
      <c r="F36" s="5" t="str">
        <f ca="1">VLOOKUP($D36,OFFSET([2]stages!$A$1,0,0,COUNTA([2]stages!$A:$A),MATCH(F$1,[2]stages!$2:$2,0)-MATCH($D$1,[2]stages!$2:$2,0)+1),MATCH(F$1,[2]stages!$2:$2,0)-MATCH($D$1,[2]stages!$2:$2,0)+1,FALSE)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6" s="25">
        <v>2</v>
      </c>
      <c r="H36" s="16" t="str">
        <f t="shared" si="4"/>
        <v>12001_2-2</v>
      </c>
      <c r="I36" s="5">
        <f ca="1">VLOOKUP($H36,OFFSET(floors!$A$1,0,0,COUNTA(floors!$A:$A),MATCH(I$1,floors!$1:$1,0)-MATCH($H$1,floors!$1:$1,0)+1),MATCH(I$1,floors!$1:$1,0)-MATCH($H$1,floors!$1:$1,0)+1,FALSE)</f>
        <v>50</v>
      </c>
      <c r="J36" s="5">
        <f ca="1">VLOOKUP($H36,OFFSET(floors!$A$1,0,0,COUNTA(floors!$A:$A),MATCH(J$1,floors!$1:$1,0)-MATCH($H$1,floors!$1:$1,0)+1),MATCH(J$1,floors!$1:$1,0)-MATCH($H$1,floors!$1:$1,0)+1,FALSE)</f>
        <v>50</v>
      </c>
      <c r="K36" s="8" t="s">
        <v>149</v>
      </c>
      <c r="L36" s="24">
        <v>334</v>
      </c>
      <c r="M36" s="20" t="str">
        <f ca="1">VLOOKUP($L36,OFFSET([3]enemies!$A$1,0,0,COUNTA([3]enemies!$A:$A),MATCH(M$1,[3]enemies!$1:$1,0)-MATCH($L$1,[3]enemies!$1:$1,0)+1),MATCH(M$1,[3]enemies!$1:$1,0)-MATCH($L$1,[3]enemies!$1:$1,0)+1,FALSE)</f>
        <v>炎のメタルダック</v>
      </c>
      <c r="N36" s="20" t="str">
        <f ca="1">VLOOKUP($L36,OFFSET([3]enemies!$A$1,0,0,COUNTA([3]enemies!$A:$A),MATCH(N$1,[3]enemies!$1:$1,0)-MATCH($L$1,[3]enemies!$1:$1,0)+1),MATCH(N$1,[3]enemies!$1:$1,0)-MATCH($L$1,[3]enemies!$1:$1,0)+1,FALSE)</f>
        <v>red</v>
      </c>
      <c r="O36" s="20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20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20">
        <f ca="1">VLOOKUP($L36,OFFSET([3]enemies!$A$1,0,0,COUNTA([3]enemies!$A:$A),MATCH(Q$1,[3]enemies!$1:$1,0)-MATCH($L$1,[3]enemies!$1:$1,0)+1),MATCH(Q$1,[3]enemies!$1:$1,0)-MATCH($L$1,[3]enemies!$1:$1,0)+1,FALSE)</f>
        <v>20</v>
      </c>
      <c r="R36" s="8">
        <v>1</v>
      </c>
      <c r="S36" s="30">
        <v>1</v>
      </c>
      <c r="T36" s="30">
        <v>35</v>
      </c>
      <c r="U36" s="6">
        <v>-5000</v>
      </c>
      <c r="V36" s="5" t="str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6" s="5">
        <f ca="1">VLOOKUP($L36,OFFSET([3]enemies!$A$1,0,0,COUNTA([3]enemies!$A:$A),MATCH(W$1,[3]enemies!$1:$1,0)-MATCH($L$1,[3]enemies!$1:$1,0)+1),MATCH(W$1,[3]enemies!$1:$1,0)-MATCH($L$1,[3]enemies!$1:$1,0)+1,FALSE)</f>
        <v>0</v>
      </c>
      <c r="X36" s="7">
        <v>0</v>
      </c>
      <c r="Y36" s="7">
        <v>100</v>
      </c>
      <c r="Z36" s="7">
        <v>1</v>
      </c>
      <c r="AA36" s="20">
        <f ca="1">VLOOKUP($L36,OFFSET([3]enemies!$A$1,0,0,COUNTA([3]enemies!$A:$A),MATCH(AA$1,[3]enemies!$1:$1,0)-MATCH($L$1,[3]enemies!$1:$1,0)+1),MATCH(AA$1,[3]enemies!$1:$1,0)-MATCH($L$1,[3]enemies!$1:$1,0)+1,FALSE)</f>
        <v>3</v>
      </c>
      <c r="AB36" s="2">
        <f t="shared" si="5"/>
        <v>334</v>
      </c>
      <c r="AC36" s="5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36" s="5">
        <f ca="1">VLOOKUP($AB36,OFFSET([4]characters!$A$1,0,0,COUNTA([4]characters!$A:$A),MATCH(AD$1,[4]characters!$1:$1,0)-MATCH("character_id",[4]characters!$1:$1,0)+1),MATCH(AD$1,[4]characters!$1:$1,0)-MATCH("character_id",[4]characters!$1:$1,0)+1,FALSE)</f>
        <v>5</v>
      </c>
      <c r="AE36" s="5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8">
        <v>1</v>
      </c>
      <c r="AG36" s="28">
        <f t="shared" ref="AG36:AG41" ca="1" si="20">AD36</f>
        <v>5</v>
      </c>
      <c r="AH36" s="9">
        <v>30</v>
      </c>
      <c r="AI36" s="8">
        <v>0</v>
      </c>
      <c r="AJ36" s="8">
        <v>0</v>
      </c>
      <c r="AK36" s="8">
        <v>0</v>
      </c>
      <c r="AL36" s="8">
        <v>0</v>
      </c>
      <c r="AM36" s="8">
        <v>1</v>
      </c>
    </row>
    <row r="37" spans="1:39" ht="21" customHeight="1" x14ac:dyDescent="0.15">
      <c r="A37" s="17" t="str">
        <f t="shared" ca="1" si="16"/>
        <v>12001_2-2/338&lt;lv1&gt;s3</v>
      </c>
      <c r="B37" s="26">
        <v>12001</v>
      </c>
      <c r="C37" s="25">
        <v>2</v>
      </c>
      <c r="D37" s="2" t="str">
        <f t="shared" si="19"/>
        <v>12001_2</v>
      </c>
      <c r="E37" s="5" t="str">
        <f ca="1">VLOOKUP($B37,OFFSET([2]quests!$A$1,0,0,COUNTA([2]quests!$A:$A),MATCH(E$1,[2]quests!$1:$1,0)-MATCH($B$1,[2]quests!$1:$1,0)+1),MATCH(E$1,[2]quests!$1:$1,0)-MATCH($B$1,[2]quests!$1:$1,0)+1,FALSE)</f>
        <v>【緊急！！】 アヒル捕獲作戦</v>
      </c>
      <c r="F37" s="5" t="str">
        <f ca="1">VLOOKUP($D37,OFFSET([2]stages!$A$1,0,0,COUNTA([2]stages!$A:$A),MATCH(F$1,[2]stages!$2:$2,0)-MATCH($D$1,[2]stages!$2:$2,0)+1),MATCH(F$1,[2]stages!$2:$2,0)-MATCH($D$1,[2]stages!$2:$2,0)+1,FALSE)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7" s="25">
        <v>2</v>
      </c>
      <c r="H37" s="16" t="str">
        <f t="shared" si="4"/>
        <v>12001_2-2</v>
      </c>
      <c r="I37" s="5">
        <f ca="1">VLOOKUP($H37,OFFSET(floors!$A$1,0,0,COUNTA(floors!$A:$A),MATCH(I$1,floors!$1:$1,0)-MATCH($H$1,floors!$1:$1,0)+1),MATCH(I$1,floors!$1:$1,0)-MATCH($H$1,floors!$1:$1,0)+1,FALSE)</f>
        <v>50</v>
      </c>
      <c r="J37" s="5">
        <f ca="1">VLOOKUP($H37,OFFSET(floors!$A$1,0,0,COUNTA(floors!$A:$A),MATCH(J$1,floors!$1:$1,0)-MATCH($H$1,floors!$1:$1,0)+1),MATCH(J$1,floors!$1:$1,0)-MATCH($H$1,floors!$1:$1,0)+1,FALSE)</f>
        <v>50</v>
      </c>
      <c r="K37" s="8" t="s">
        <v>149</v>
      </c>
      <c r="L37" s="24">
        <v>338</v>
      </c>
      <c r="M37" s="20" t="str">
        <f ca="1">VLOOKUP($L37,OFFSET([3]enemies!$A$1,0,0,COUNTA([3]enemies!$A:$A),MATCH(M$1,[3]enemies!$1:$1,0)-MATCH($L$1,[3]enemies!$1:$1,0)+1),MATCH(M$1,[3]enemies!$1:$1,0)-MATCH($L$1,[3]enemies!$1:$1,0)+1,FALSE)</f>
        <v>森のメタルダック</v>
      </c>
      <c r="N37" s="20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20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20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20">
        <f ca="1">VLOOKUP($L37,OFFSET([3]enemies!$A$1,0,0,COUNTA([3]enemies!$A:$A),MATCH(Q$1,[3]enemies!$1:$1,0)-MATCH($L$1,[3]enemies!$1:$1,0)+1),MATCH(Q$1,[3]enemies!$1:$1,0)-MATCH($L$1,[3]enemies!$1:$1,0)+1,FALSE)</f>
        <v>20</v>
      </c>
      <c r="R37" s="8">
        <v>1</v>
      </c>
      <c r="S37" s="30">
        <v>1</v>
      </c>
      <c r="T37" s="30">
        <v>35</v>
      </c>
      <c r="U37" s="6">
        <v>-5000</v>
      </c>
      <c r="V37" s="5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7" s="5">
        <f ca="1">VLOOKUP($L37,OFFSET([3]enemies!$A$1,0,0,COUNTA([3]enemies!$A:$A),MATCH(W$1,[3]enemies!$1:$1,0)-MATCH($L$1,[3]enemies!$1:$1,0)+1),MATCH(W$1,[3]enemies!$1:$1,0)-MATCH($L$1,[3]enemies!$1:$1,0)+1,FALSE)</f>
        <v>0</v>
      </c>
      <c r="X37" s="7">
        <v>0</v>
      </c>
      <c r="Y37" s="7">
        <v>100</v>
      </c>
      <c r="Z37" s="7">
        <v>1</v>
      </c>
      <c r="AA37" s="20">
        <f ca="1">VLOOKUP($L37,OFFSET([3]enemies!$A$1,0,0,COUNTA([3]enemies!$A:$A),MATCH(AA$1,[3]enemies!$1:$1,0)-MATCH($L$1,[3]enemies!$1:$1,0)+1),MATCH(AA$1,[3]enemies!$1:$1,0)-MATCH($L$1,[3]enemies!$1:$1,0)+1,FALSE)</f>
        <v>3</v>
      </c>
      <c r="AB37" s="2">
        <f t="shared" si="5"/>
        <v>338</v>
      </c>
      <c r="AC37" s="5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37" s="5">
        <f ca="1">VLOOKUP($AB37,OFFSET([4]characters!$A$1,0,0,COUNTA([4]characters!$A:$A),MATCH(AD$1,[4]characters!$1:$1,0)-MATCH("character_id",[4]characters!$1:$1,0)+1),MATCH(AD$1,[4]characters!$1:$1,0)-MATCH("character_id",[4]characters!$1:$1,0)+1,FALSE)</f>
        <v>5</v>
      </c>
      <c r="AE37" s="5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8">
        <v>1</v>
      </c>
      <c r="AG37" s="28">
        <f t="shared" ca="1" si="20"/>
        <v>5</v>
      </c>
      <c r="AH37" s="9">
        <v>30</v>
      </c>
      <c r="AI37" s="8">
        <v>0</v>
      </c>
      <c r="AJ37" s="8">
        <v>0</v>
      </c>
      <c r="AK37" s="8">
        <v>0</v>
      </c>
      <c r="AL37" s="8">
        <v>0</v>
      </c>
      <c r="AM37" s="8">
        <v>1</v>
      </c>
    </row>
    <row r="38" spans="1:39" ht="21" customHeight="1" x14ac:dyDescent="0.15">
      <c r="A38" s="17" t="str">
        <f t="shared" ca="1" si="16"/>
        <v>12001_2-2/342&lt;lv1&gt;s3</v>
      </c>
      <c r="B38" s="26">
        <v>12001</v>
      </c>
      <c r="C38" s="25">
        <v>2</v>
      </c>
      <c r="D38" s="2" t="str">
        <f t="shared" si="19"/>
        <v>12001_2</v>
      </c>
      <c r="E38" s="5" t="str">
        <f ca="1">VLOOKUP($B38,OFFSET([2]quests!$A$1,0,0,COUNTA([2]quests!$A:$A),MATCH(E$1,[2]quests!$1:$1,0)-MATCH($B$1,[2]quests!$1:$1,0)+1),MATCH(E$1,[2]quests!$1:$1,0)-MATCH($B$1,[2]quests!$1:$1,0)+1,FALSE)</f>
        <v>【緊急！！】 アヒル捕獲作戦</v>
      </c>
      <c r="F38" s="5" t="str">
        <f ca="1">VLOOKUP($D38,OFFSET([2]stages!$A$1,0,0,COUNTA([2]stages!$A:$A),MATCH(F$1,[2]stages!$2:$2,0)-MATCH($D$1,[2]stages!$2:$2,0)+1),MATCH(F$1,[2]stages!$2:$2,0)-MATCH($D$1,[2]stages!$2:$2,0)+1,FALSE)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8" s="25">
        <v>2</v>
      </c>
      <c r="H38" s="16" t="str">
        <f t="shared" si="4"/>
        <v>12001_2-2</v>
      </c>
      <c r="I38" s="5">
        <f ca="1">VLOOKUP($H38,OFFSET(floors!$A$1,0,0,COUNTA(floors!$A:$A),MATCH(I$1,floors!$1:$1,0)-MATCH($H$1,floors!$1:$1,0)+1),MATCH(I$1,floors!$1:$1,0)-MATCH($H$1,floors!$1:$1,0)+1,FALSE)</f>
        <v>50</v>
      </c>
      <c r="J38" s="5">
        <f ca="1">VLOOKUP($H38,OFFSET(floors!$A$1,0,0,COUNTA(floors!$A:$A),MATCH(J$1,floors!$1:$1,0)-MATCH($H$1,floors!$1:$1,0)+1),MATCH(J$1,floors!$1:$1,0)-MATCH($H$1,floors!$1:$1,0)+1,FALSE)</f>
        <v>50</v>
      </c>
      <c r="K38" s="8" t="s">
        <v>149</v>
      </c>
      <c r="L38" s="24">
        <v>342</v>
      </c>
      <c r="M38" s="20" t="str">
        <f ca="1">VLOOKUP($L38,OFFSET([3]enemies!$A$1,0,0,COUNTA([3]enemies!$A:$A),MATCH(M$1,[3]enemies!$1:$1,0)-MATCH($L$1,[3]enemies!$1:$1,0)+1),MATCH(M$1,[3]enemies!$1:$1,0)-MATCH($L$1,[3]enemies!$1:$1,0)+1,FALSE)</f>
        <v>水のメタルダック</v>
      </c>
      <c r="N38" s="20" t="str">
        <f ca="1">VLOOKUP($L38,OFFSET([3]enemies!$A$1,0,0,COUNTA([3]enemies!$A:$A),MATCH(N$1,[3]enemies!$1:$1,0)-MATCH($L$1,[3]enemies!$1:$1,0)+1),MATCH(N$1,[3]enemies!$1:$1,0)-MATCH($L$1,[3]enemies!$1:$1,0)+1,FALSE)</f>
        <v>blue</v>
      </c>
      <c r="O38" s="20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20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20">
        <f ca="1">VLOOKUP($L38,OFFSET([3]enemies!$A$1,0,0,COUNTA([3]enemies!$A:$A),MATCH(Q$1,[3]enemies!$1:$1,0)-MATCH($L$1,[3]enemies!$1:$1,0)+1),MATCH(Q$1,[3]enemies!$1:$1,0)-MATCH($L$1,[3]enemies!$1:$1,0)+1,FALSE)</f>
        <v>20</v>
      </c>
      <c r="R38" s="8">
        <v>1</v>
      </c>
      <c r="S38" s="30">
        <v>1</v>
      </c>
      <c r="T38" s="30">
        <v>35</v>
      </c>
      <c r="U38" s="6">
        <v>-5000</v>
      </c>
      <c r="V38" s="5" t="str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8" s="5">
        <f ca="1">VLOOKUP($L38,OFFSET([3]enemies!$A$1,0,0,COUNTA([3]enemies!$A:$A),MATCH(W$1,[3]enemies!$1:$1,0)-MATCH($L$1,[3]enemies!$1:$1,0)+1),MATCH(W$1,[3]enemies!$1:$1,0)-MATCH($L$1,[3]enemies!$1:$1,0)+1,FALSE)</f>
        <v>0</v>
      </c>
      <c r="X38" s="7">
        <v>0</v>
      </c>
      <c r="Y38" s="7">
        <v>100</v>
      </c>
      <c r="Z38" s="7">
        <v>1</v>
      </c>
      <c r="AA38" s="20">
        <f ca="1">VLOOKUP($L38,OFFSET([3]enemies!$A$1,0,0,COUNTA([3]enemies!$A:$A),MATCH(AA$1,[3]enemies!$1:$1,0)-MATCH($L$1,[3]enemies!$1:$1,0)+1),MATCH(AA$1,[3]enemies!$1:$1,0)-MATCH($L$1,[3]enemies!$1:$1,0)+1,FALSE)</f>
        <v>3</v>
      </c>
      <c r="AB38" s="2">
        <f t="shared" si="5"/>
        <v>342</v>
      </c>
      <c r="AC38" s="5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38" s="5">
        <f ca="1">VLOOKUP($AB38,OFFSET([4]characters!$A$1,0,0,COUNTA([4]characters!$A:$A),MATCH(AD$1,[4]characters!$1:$1,0)-MATCH("character_id",[4]characters!$1:$1,0)+1),MATCH(AD$1,[4]characters!$1:$1,0)-MATCH("character_id",[4]characters!$1:$1,0)+1,FALSE)</f>
        <v>5</v>
      </c>
      <c r="AE38" s="5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8">
        <v>1</v>
      </c>
      <c r="AG38" s="28">
        <f t="shared" ca="1" si="20"/>
        <v>5</v>
      </c>
      <c r="AH38" s="9">
        <v>30</v>
      </c>
      <c r="AI38" s="8">
        <v>0</v>
      </c>
      <c r="AJ38" s="8">
        <v>0</v>
      </c>
      <c r="AK38" s="8">
        <v>0</v>
      </c>
      <c r="AL38" s="8">
        <v>0</v>
      </c>
      <c r="AM38" s="8">
        <v>1</v>
      </c>
    </row>
    <row r="39" spans="1:39" ht="21" customHeight="1" x14ac:dyDescent="0.15">
      <c r="A39" s="17" t="str">
        <f t="shared" ca="1" si="16"/>
        <v>12001_2-2/346&lt;lv1&gt;s3</v>
      </c>
      <c r="B39" s="26">
        <v>12001</v>
      </c>
      <c r="C39" s="25">
        <v>2</v>
      </c>
      <c r="D39" s="2" t="str">
        <f t="shared" si="19"/>
        <v>12001_2</v>
      </c>
      <c r="E39" s="5" t="str">
        <f ca="1">VLOOKUP($B39,OFFSET([2]quests!$A$1,0,0,COUNTA([2]quests!$A:$A),MATCH(E$1,[2]quests!$1:$1,0)-MATCH($B$1,[2]quests!$1:$1,0)+1),MATCH(E$1,[2]quests!$1:$1,0)-MATCH($B$1,[2]quests!$1:$1,0)+1,FALSE)</f>
        <v>【緊急！！】 アヒル捕獲作戦</v>
      </c>
      <c r="F39" s="5" t="str">
        <f ca="1">VLOOKUP($D39,OFFSET([2]stages!$A$1,0,0,COUNTA([2]stages!$A:$A),MATCH(F$1,[2]stages!$2:$2,0)-MATCH($D$1,[2]stages!$2:$2,0)+1),MATCH(F$1,[2]stages!$2:$2,0)-MATCH($D$1,[2]stages!$2:$2,0)+1,FALSE)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39" s="25">
        <v>2</v>
      </c>
      <c r="H39" s="16" t="str">
        <f t="shared" si="4"/>
        <v>12001_2-2</v>
      </c>
      <c r="I39" s="5">
        <f ca="1">VLOOKUP($H39,OFFSET(floors!$A$1,0,0,COUNTA(floors!$A:$A),MATCH(I$1,floors!$1:$1,0)-MATCH($H$1,floors!$1:$1,0)+1),MATCH(I$1,floors!$1:$1,0)-MATCH($H$1,floors!$1:$1,0)+1,FALSE)</f>
        <v>50</v>
      </c>
      <c r="J39" s="5">
        <f ca="1">VLOOKUP($H39,OFFSET(floors!$A$1,0,0,COUNTA(floors!$A:$A),MATCH(J$1,floors!$1:$1,0)-MATCH($H$1,floors!$1:$1,0)+1),MATCH(J$1,floors!$1:$1,0)-MATCH($H$1,floors!$1:$1,0)+1,FALSE)</f>
        <v>50</v>
      </c>
      <c r="K39" s="8" t="s">
        <v>149</v>
      </c>
      <c r="L39" s="24">
        <v>346</v>
      </c>
      <c r="M39" s="20" t="str">
        <f ca="1">VLOOKUP($L39,OFFSET([3]enemies!$A$1,0,0,COUNTA([3]enemies!$A:$A),MATCH(M$1,[3]enemies!$1:$1,0)-MATCH($L$1,[3]enemies!$1:$1,0)+1),MATCH(M$1,[3]enemies!$1:$1,0)-MATCH($L$1,[3]enemies!$1:$1,0)+1,FALSE)</f>
        <v>雷のメタルダック</v>
      </c>
      <c r="N39" s="20" t="str">
        <f ca="1">VLOOKUP($L39,OFFSET([3]enemies!$A$1,0,0,COUNTA([3]enemies!$A:$A),MATCH(N$1,[3]enemies!$1:$1,0)-MATCH($L$1,[3]enemies!$1:$1,0)+1),MATCH(N$1,[3]enemies!$1:$1,0)-MATCH($L$1,[3]enemies!$1:$1,0)+1,FALSE)</f>
        <v>yellow</v>
      </c>
      <c r="O39" s="20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20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20">
        <f ca="1">VLOOKUP($L39,OFFSET([3]enemies!$A$1,0,0,COUNTA([3]enemies!$A:$A),MATCH(Q$1,[3]enemies!$1:$1,0)-MATCH($L$1,[3]enemies!$1:$1,0)+1),MATCH(Q$1,[3]enemies!$1:$1,0)-MATCH($L$1,[3]enemies!$1:$1,0)+1,FALSE)</f>
        <v>20</v>
      </c>
      <c r="R39" s="8">
        <v>1</v>
      </c>
      <c r="S39" s="30">
        <v>1</v>
      </c>
      <c r="T39" s="30">
        <v>35</v>
      </c>
      <c r="U39" s="6">
        <v>-5000</v>
      </c>
      <c r="V39" s="5" t="str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9" s="5">
        <f ca="1">VLOOKUP($L39,OFFSET([3]enemies!$A$1,0,0,COUNTA([3]enemies!$A:$A),MATCH(W$1,[3]enemies!$1:$1,0)-MATCH($L$1,[3]enemies!$1:$1,0)+1),MATCH(W$1,[3]enemies!$1:$1,0)-MATCH($L$1,[3]enemies!$1:$1,0)+1,FALSE)</f>
        <v>0</v>
      </c>
      <c r="X39" s="7">
        <v>0</v>
      </c>
      <c r="Y39" s="7">
        <v>100</v>
      </c>
      <c r="Z39" s="7">
        <v>1</v>
      </c>
      <c r="AA39" s="20">
        <f ca="1">VLOOKUP($L39,OFFSET([3]enemies!$A$1,0,0,COUNTA([3]enemies!$A:$A),MATCH(AA$1,[3]enemies!$1:$1,0)-MATCH($L$1,[3]enemies!$1:$1,0)+1),MATCH(AA$1,[3]enemies!$1:$1,0)-MATCH($L$1,[3]enemies!$1:$1,0)+1,FALSE)</f>
        <v>3</v>
      </c>
      <c r="AB39" s="2">
        <f t="shared" si="5"/>
        <v>346</v>
      </c>
      <c r="AC39" s="5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39" s="5">
        <f ca="1">VLOOKUP($AB39,OFFSET([4]characters!$A$1,0,0,COUNTA([4]characters!$A:$A),MATCH(AD$1,[4]characters!$1:$1,0)-MATCH("character_id",[4]characters!$1:$1,0)+1),MATCH(AD$1,[4]characters!$1:$1,0)-MATCH("character_id",[4]characters!$1:$1,0)+1,FALSE)</f>
        <v>5</v>
      </c>
      <c r="AE39" s="5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8">
        <v>1</v>
      </c>
      <c r="AG39" s="28">
        <f t="shared" ca="1" si="20"/>
        <v>5</v>
      </c>
      <c r="AH39" s="9">
        <v>30</v>
      </c>
      <c r="AI39" s="8">
        <v>0</v>
      </c>
      <c r="AJ39" s="8">
        <v>0</v>
      </c>
      <c r="AK39" s="8">
        <v>0</v>
      </c>
      <c r="AL39" s="8">
        <v>0</v>
      </c>
      <c r="AM39" s="8">
        <v>1</v>
      </c>
    </row>
    <row r="40" spans="1:39" ht="21" customHeight="1" x14ac:dyDescent="0.15">
      <c r="A40" s="17" t="str">
        <f t="shared" ca="1" si="16"/>
        <v>12001_2-3/333&lt;lv3&gt;s2</v>
      </c>
      <c r="B40" s="26">
        <v>12001</v>
      </c>
      <c r="C40" s="25">
        <v>2</v>
      </c>
      <c r="D40" s="2" t="str">
        <f t="shared" si="19"/>
        <v>12001_2</v>
      </c>
      <c r="E40" s="5" t="str">
        <f ca="1">VLOOKUP($B40,OFFSET([2]quests!$A$1,0,0,COUNTA([2]quests!$A:$A),MATCH(E$1,[2]quests!$1:$1,0)-MATCH($B$1,[2]quests!$1:$1,0)+1),MATCH(E$1,[2]quests!$1:$1,0)-MATCH($B$1,[2]quests!$1:$1,0)+1,FALSE)</f>
        <v>【緊急！！】 アヒル捕獲作戦</v>
      </c>
      <c r="F40" s="5" t="str">
        <f ca="1">VLOOKUP($D40,OFFSET([2]stages!$A$1,0,0,COUNTA([2]stages!$A:$A),MATCH(F$1,[2]stages!$2:$2,0)-MATCH($D$1,[2]stages!$2:$2,0)+1),MATCH(F$1,[2]stages!$2:$2,0)-MATCH($D$1,[2]stages!$2:$2,0)+1,FALSE)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0" s="25">
        <v>3</v>
      </c>
      <c r="H40" s="16" t="str">
        <f t="shared" si="4"/>
        <v>12001_2-3</v>
      </c>
      <c r="I40" s="5">
        <f ca="1">VLOOKUP($H40,OFFSET(floors!$A$1,0,0,COUNTA(floors!$A:$A),MATCH(I$1,floors!$1:$1,0)-MATCH($H$1,floors!$1:$1,0)+1),MATCH(I$1,floors!$1:$1,0)-MATCH($H$1,floors!$1:$1,0)+1,FALSE)</f>
        <v>50</v>
      </c>
      <c r="J40" s="5">
        <f ca="1">VLOOKUP($H40,OFFSET(floors!$A$1,0,0,COUNTA(floors!$A:$A),MATCH(J$1,floors!$1:$1,0)-MATCH($H$1,floors!$1:$1,0)+1),MATCH(J$1,floors!$1:$1,0)-MATCH($H$1,floors!$1:$1,0)+1,FALSE)</f>
        <v>50</v>
      </c>
      <c r="K40" s="8" t="s">
        <v>149</v>
      </c>
      <c r="L40" s="24">
        <v>333</v>
      </c>
      <c r="M40" s="20" t="str">
        <f ca="1">VLOOKUP($L40,OFFSET([3]enemies!$A$1,0,0,COUNTA([3]enemies!$A:$A),MATCH(M$1,[3]enemies!$1:$1,0)-MATCH($L$1,[3]enemies!$1:$1,0)+1),MATCH(M$1,[3]enemies!$1:$1,0)-MATCH($L$1,[3]enemies!$1:$1,0)+1,FALSE)</f>
        <v>炎のメタルチック</v>
      </c>
      <c r="N40" s="20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20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20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20">
        <f ca="1">VLOOKUP($L40,OFFSET([3]enemies!$A$1,0,0,COUNTA([3]enemies!$A:$A),MATCH(Q$1,[3]enemies!$1:$1,0)-MATCH($L$1,[3]enemies!$1:$1,0)+1),MATCH(Q$1,[3]enemies!$1:$1,0)-MATCH($L$1,[3]enemies!$1:$1,0)+1,FALSE)</f>
        <v>15</v>
      </c>
      <c r="R40" s="8">
        <v>3</v>
      </c>
      <c r="S40" s="30">
        <v>1</v>
      </c>
      <c r="T40" s="30">
        <v>35</v>
      </c>
      <c r="U40" s="6">
        <v>-2000</v>
      </c>
      <c r="V40" s="5" t="str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0" s="5">
        <f ca="1">VLOOKUP($L40,OFFSET([3]enemies!$A$1,0,0,COUNTA([3]enemies!$A:$A),MATCH(W$1,[3]enemies!$1:$1,0)-MATCH($L$1,[3]enemies!$1:$1,0)+1),MATCH(W$1,[3]enemies!$1:$1,0)-MATCH($L$1,[3]enemies!$1:$1,0)+1,FALSE)</f>
        <v>0</v>
      </c>
      <c r="X40" s="7">
        <v>1</v>
      </c>
      <c r="Y40" s="7">
        <v>0</v>
      </c>
      <c r="Z40" s="7">
        <v>2</v>
      </c>
      <c r="AA40" s="20">
        <f ca="1">VLOOKUP($L40,OFFSET([3]enemies!$A$1,0,0,COUNTA([3]enemies!$A:$A),MATCH(AA$1,[3]enemies!$1:$1,0)-MATCH($L$1,[3]enemies!$1:$1,0)+1),MATCH(AA$1,[3]enemies!$1:$1,0)-MATCH($L$1,[3]enemies!$1:$1,0)+1,FALSE)</f>
        <v>2</v>
      </c>
      <c r="AB40" s="2">
        <f t="shared" si="5"/>
        <v>333</v>
      </c>
      <c r="AC40" s="5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40" s="5">
        <f ca="1">VLOOKUP($AB40,OFFSET([4]characters!$A$1,0,0,COUNTA([4]characters!$A:$A),MATCH(AD$1,[4]characters!$1:$1,0)-MATCH("character_id",[4]characters!$1:$1,0)+1),MATCH(AD$1,[4]characters!$1:$1,0)-MATCH("character_id",[4]characters!$1:$1,0)+1,FALSE)</f>
        <v>4</v>
      </c>
      <c r="AE40" s="5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0" s="8">
        <v>1</v>
      </c>
      <c r="AG40" s="28">
        <f t="shared" ca="1" si="20"/>
        <v>4</v>
      </c>
      <c r="AH40" s="9">
        <v>100</v>
      </c>
      <c r="AI40" s="8">
        <v>0</v>
      </c>
      <c r="AJ40" s="8">
        <v>0</v>
      </c>
      <c r="AK40" s="8">
        <v>0</v>
      </c>
      <c r="AL40" s="8">
        <v>0</v>
      </c>
      <c r="AM40" s="8">
        <v>1</v>
      </c>
    </row>
    <row r="41" spans="1:39" ht="21" customHeight="1" x14ac:dyDescent="0.15">
      <c r="A41" s="17" t="str">
        <f t="shared" ca="1" si="16"/>
        <v>12001_2-3/345&lt;lv3&gt;s2</v>
      </c>
      <c r="B41" s="26">
        <v>12001</v>
      </c>
      <c r="C41" s="25">
        <v>2</v>
      </c>
      <c r="D41" s="2" t="str">
        <f t="shared" si="19"/>
        <v>12001_2</v>
      </c>
      <c r="E41" s="5" t="str">
        <f ca="1">VLOOKUP($B41,OFFSET([2]quests!$A$1,0,0,COUNTA([2]quests!$A:$A),MATCH(E$1,[2]quests!$1:$1,0)-MATCH($B$1,[2]quests!$1:$1,0)+1),MATCH(E$1,[2]quests!$1:$1,0)-MATCH($B$1,[2]quests!$1:$1,0)+1,FALSE)</f>
        <v>【緊急！！】 アヒル捕獲作戦</v>
      </c>
      <c r="F41" s="5" t="str">
        <f ca="1">VLOOKUP($D41,OFFSET([2]stages!$A$1,0,0,COUNTA([2]stages!$A:$A),MATCH(F$1,[2]stages!$2:$2,0)-MATCH($D$1,[2]stages!$2:$2,0)+1),MATCH(F$1,[2]stages!$2:$2,0)-MATCH($D$1,[2]stages!$2:$2,0)+1,FALSE)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1" s="25">
        <v>3</v>
      </c>
      <c r="H41" s="16" t="str">
        <f t="shared" si="4"/>
        <v>12001_2-3</v>
      </c>
      <c r="I41" s="5">
        <f ca="1">VLOOKUP($H41,OFFSET(floors!$A$1,0,0,COUNTA(floors!$A:$A),MATCH(I$1,floors!$1:$1,0)-MATCH($H$1,floors!$1:$1,0)+1),MATCH(I$1,floors!$1:$1,0)-MATCH($H$1,floors!$1:$1,0)+1,FALSE)</f>
        <v>50</v>
      </c>
      <c r="J41" s="5">
        <f ca="1">VLOOKUP($H41,OFFSET(floors!$A$1,0,0,COUNTA(floors!$A:$A),MATCH(J$1,floors!$1:$1,0)-MATCH($H$1,floors!$1:$1,0)+1),MATCH(J$1,floors!$1:$1,0)-MATCH($H$1,floors!$1:$1,0)+1,FALSE)</f>
        <v>50</v>
      </c>
      <c r="K41" s="8" t="s">
        <v>149</v>
      </c>
      <c r="L41" s="24">
        <v>345</v>
      </c>
      <c r="M41" s="20" t="str">
        <f ca="1">VLOOKUP($L41,OFFSET([3]enemies!$A$1,0,0,COUNTA([3]enemies!$A:$A),MATCH(M$1,[3]enemies!$1:$1,0)-MATCH($L$1,[3]enemies!$1:$1,0)+1),MATCH(M$1,[3]enemies!$1:$1,0)-MATCH($L$1,[3]enemies!$1:$1,0)+1,FALSE)</f>
        <v>雷のメタルチック</v>
      </c>
      <c r="N41" s="20" t="str">
        <f ca="1">VLOOKUP($L41,OFFSET([3]enemies!$A$1,0,0,COUNTA([3]enemies!$A:$A),MATCH(N$1,[3]enemies!$1:$1,0)-MATCH($L$1,[3]enemies!$1:$1,0)+1),MATCH(N$1,[3]enemies!$1:$1,0)-MATCH($L$1,[3]enemies!$1:$1,0)+1,FALSE)</f>
        <v>yellow</v>
      </c>
      <c r="O41" s="20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20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20">
        <f ca="1">VLOOKUP($L41,OFFSET([3]enemies!$A$1,0,0,COUNTA([3]enemies!$A:$A),MATCH(Q$1,[3]enemies!$1:$1,0)-MATCH($L$1,[3]enemies!$1:$1,0)+1),MATCH(Q$1,[3]enemies!$1:$1,0)-MATCH($L$1,[3]enemies!$1:$1,0)+1,FALSE)</f>
        <v>15</v>
      </c>
      <c r="R41" s="8">
        <v>3</v>
      </c>
      <c r="S41" s="30">
        <v>1</v>
      </c>
      <c r="T41" s="30">
        <v>35</v>
      </c>
      <c r="U41" s="6">
        <v>-2000</v>
      </c>
      <c r="V41" s="5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5">
        <f ca="1">VLOOKUP($L41,OFFSET([3]enemies!$A$1,0,0,COUNTA([3]enemies!$A:$A),MATCH(W$1,[3]enemies!$1:$1,0)-MATCH($L$1,[3]enemies!$1:$1,0)+1),MATCH(W$1,[3]enemies!$1:$1,0)-MATCH($L$1,[3]enemies!$1:$1,0)+1,FALSE)</f>
        <v>0</v>
      </c>
      <c r="X41" s="7">
        <v>1</v>
      </c>
      <c r="Y41" s="7">
        <v>0</v>
      </c>
      <c r="Z41" s="7">
        <v>2</v>
      </c>
      <c r="AA41" s="20">
        <f ca="1">VLOOKUP($L41,OFFSET([3]enemies!$A$1,0,0,COUNTA([3]enemies!$A:$A),MATCH(AA$1,[3]enemies!$1:$1,0)-MATCH($L$1,[3]enemies!$1:$1,0)+1),MATCH(AA$1,[3]enemies!$1:$1,0)-MATCH($L$1,[3]enemies!$1:$1,0)+1,FALSE)</f>
        <v>2</v>
      </c>
      <c r="AB41" s="2">
        <f t="shared" si="5"/>
        <v>345</v>
      </c>
      <c r="AC41" s="5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41" s="5">
        <f ca="1">VLOOKUP($AB41,OFFSET([4]characters!$A$1,0,0,COUNTA([4]characters!$A:$A),MATCH(AD$1,[4]characters!$1:$1,0)-MATCH("character_id",[4]characters!$1:$1,0)+1),MATCH(AD$1,[4]characters!$1:$1,0)-MATCH("character_id",[4]characters!$1:$1,0)+1,FALSE)</f>
        <v>4</v>
      </c>
      <c r="AE41" s="5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8">
        <v>1</v>
      </c>
      <c r="AG41" s="28">
        <f t="shared" ca="1" si="20"/>
        <v>4</v>
      </c>
      <c r="AH41" s="9">
        <v>100</v>
      </c>
      <c r="AI41" s="8">
        <v>0</v>
      </c>
      <c r="AJ41" s="8">
        <v>0</v>
      </c>
      <c r="AK41" s="8">
        <v>0</v>
      </c>
      <c r="AL41" s="8">
        <v>0</v>
      </c>
      <c r="AM41" s="8">
        <v>1</v>
      </c>
    </row>
    <row r="42" spans="1:39" ht="21" customHeight="1" x14ac:dyDescent="0.15">
      <c r="A42" s="17" t="str">
        <f t="shared" ca="1" si="16"/>
        <v>12001_2-3/334&lt;lv1&gt;s3</v>
      </c>
      <c r="B42" s="26">
        <v>12001</v>
      </c>
      <c r="C42" s="25">
        <v>2</v>
      </c>
      <c r="D42" s="2" t="str">
        <f t="shared" ref="D42:D49" si="21">B42&amp;"_"&amp;C42</f>
        <v>12001_2</v>
      </c>
      <c r="E42" s="5" t="str">
        <f ca="1">VLOOKUP($B42,OFFSET([2]quests!$A$1,0,0,COUNTA([2]quests!$A:$A),MATCH(E$1,[2]quests!$1:$1,0)-MATCH($B$1,[2]quests!$1:$1,0)+1),MATCH(E$1,[2]quests!$1:$1,0)-MATCH($B$1,[2]quests!$1:$1,0)+1,FALSE)</f>
        <v>【緊急！！】 アヒル捕獲作戦</v>
      </c>
      <c r="F42" s="5" t="str">
        <f ca="1">VLOOKUP($D42,OFFSET([2]stages!$A$1,0,0,COUNTA([2]stages!$A:$A),MATCH(F$1,[2]stages!$2:$2,0)-MATCH($D$1,[2]stages!$2:$2,0)+1),MATCH(F$1,[2]stages!$2:$2,0)-MATCH($D$1,[2]stages!$2:$2,0)+1,FALSE)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2" s="25">
        <v>3</v>
      </c>
      <c r="H42" s="16" t="str">
        <f t="shared" si="4"/>
        <v>12001_2-3</v>
      </c>
      <c r="I42" s="5">
        <f ca="1">VLOOKUP($H42,OFFSET(floors!$A$1,0,0,COUNTA(floors!$A:$A),MATCH(I$1,floors!$1:$1,0)-MATCH($H$1,floors!$1:$1,0)+1),MATCH(I$1,floors!$1:$1,0)-MATCH($H$1,floors!$1:$1,0)+1,FALSE)</f>
        <v>50</v>
      </c>
      <c r="J42" s="5">
        <f ca="1">VLOOKUP($H42,OFFSET(floors!$A$1,0,0,COUNTA(floors!$A:$A),MATCH(J$1,floors!$1:$1,0)-MATCH($H$1,floors!$1:$1,0)+1),MATCH(J$1,floors!$1:$1,0)-MATCH($H$1,floors!$1:$1,0)+1,FALSE)</f>
        <v>50</v>
      </c>
      <c r="K42" s="8" t="s">
        <v>149</v>
      </c>
      <c r="L42" s="24">
        <v>334</v>
      </c>
      <c r="M42" s="20" t="str">
        <f ca="1">VLOOKUP($L42,OFFSET([3]enemies!$A$1,0,0,COUNTA([3]enemies!$A:$A),MATCH(M$1,[3]enemies!$1:$1,0)-MATCH($L$1,[3]enemies!$1:$1,0)+1),MATCH(M$1,[3]enemies!$1:$1,0)-MATCH($L$1,[3]enemies!$1:$1,0)+1,FALSE)</f>
        <v>炎のメタルダック</v>
      </c>
      <c r="N42" s="20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20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20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20">
        <f ca="1">VLOOKUP($L42,OFFSET([3]enemies!$A$1,0,0,COUNTA([3]enemies!$A:$A),MATCH(Q$1,[3]enemies!$1:$1,0)-MATCH($L$1,[3]enemies!$1:$1,0)+1),MATCH(Q$1,[3]enemies!$1:$1,0)-MATCH($L$1,[3]enemies!$1:$1,0)+1,FALSE)</f>
        <v>20</v>
      </c>
      <c r="R42" s="8">
        <v>1</v>
      </c>
      <c r="S42" s="30">
        <v>1</v>
      </c>
      <c r="T42" s="30">
        <v>35</v>
      </c>
      <c r="U42" s="6">
        <v>-5000</v>
      </c>
      <c r="V42" s="5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5">
        <f ca="1">VLOOKUP($L42,OFFSET([3]enemies!$A$1,0,0,COUNTA([3]enemies!$A:$A),MATCH(W$1,[3]enemies!$1:$1,0)-MATCH($L$1,[3]enemies!$1:$1,0)+1),MATCH(W$1,[3]enemies!$1:$1,0)-MATCH($L$1,[3]enemies!$1:$1,0)+1,FALSE)</f>
        <v>0</v>
      </c>
      <c r="X42" s="7">
        <v>0</v>
      </c>
      <c r="Y42" s="7">
        <v>100</v>
      </c>
      <c r="Z42" s="7">
        <v>1</v>
      </c>
      <c r="AA42" s="20">
        <f ca="1">VLOOKUP($L42,OFFSET([3]enemies!$A$1,0,0,COUNTA([3]enemies!$A:$A),MATCH(AA$1,[3]enemies!$1:$1,0)-MATCH($L$1,[3]enemies!$1:$1,0)+1),MATCH(AA$1,[3]enemies!$1:$1,0)-MATCH($L$1,[3]enemies!$1:$1,0)+1,FALSE)</f>
        <v>3</v>
      </c>
      <c r="AB42" s="2">
        <f t="shared" si="5"/>
        <v>334</v>
      </c>
      <c r="AC42" s="5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42" s="5">
        <f ca="1">VLOOKUP($AB42,OFFSET([4]characters!$A$1,0,0,COUNTA([4]characters!$A:$A),MATCH(AD$1,[4]characters!$1:$1,0)-MATCH("character_id",[4]characters!$1:$1,0)+1),MATCH(AD$1,[4]characters!$1:$1,0)-MATCH("character_id",[4]characters!$1:$1,0)+1,FALSE)</f>
        <v>5</v>
      </c>
      <c r="AE42" s="5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8">
        <v>1</v>
      </c>
      <c r="AG42" s="28">
        <f t="shared" ref="AG42:AG49" ca="1" si="22">AD42</f>
        <v>5</v>
      </c>
      <c r="AH42" s="9">
        <v>82</v>
      </c>
      <c r="AI42" s="8">
        <v>0</v>
      </c>
      <c r="AJ42" s="8">
        <v>0</v>
      </c>
      <c r="AK42" s="8">
        <v>0</v>
      </c>
      <c r="AL42" s="8">
        <v>0</v>
      </c>
      <c r="AM42" s="8">
        <v>1</v>
      </c>
    </row>
    <row r="43" spans="1:39" ht="21" customHeight="1" x14ac:dyDescent="0.15">
      <c r="A43" s="17" t="str">
        <f t="shared" ca="1" si="16"/>
        <v>12001_2-3/338&lt;lv1&gt;s3</v>
      </c>
      <c r="B43" s="26">
        <v>12001</v>
      </c>
      <c r="C43" s="25">
        <v>2</v>
      </c>
      <c r="D43" s="2" t="str">
        <f t="shared" si="21"/>
        <v>12001_2</v>
      </c>
      <c r="E43" s="5" t="str">
        <f ca="1">VLOOKUP($B43,OFFSET([2]quests!$A$1,0,0,COUNTA([2]quests!$A:$A),MATCH(E$1,[2]quests!$1:$1,0)-MATCH($B$1,[2]quests!$1:$1,0)+1),MATCH(E$1,[2]quests!$1:$1,0)-MATCH($B$1,[2]quests!$1:$1,0)+1,FALSE)</f>
        <v>【緊急！！】 アヒル捕獲作戦</v>
      </c>
      <c r="F43" s="5" t="str">
        <f ca="1">VLOOKUP($D43,OFFSET([2]stages!$A$1,0,0,COUNTA([2]stages!$A:$A),MATCH(F$1,[2]stages!$2:$2,0)-MATCH($D$1,[2]stages!$2:$2,0)+1),MATCH(F$1,[2]stages!$2:$2,0)-MATCH($D$1,[2]stages!$2:$2,0)+1,FALSE)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3" s="25">
        <v>3</v>
      </c>
      <c r="H43" s="16" t="str">
        <f t="shared" si="4"/>
        <v>12001_2-3</v>
      </c>
      <c r="I43" s="5">
        <f ca="1">VLOOKUP($H43,OFFSET(floors!$A$1,0,0,COUNTA(floors!$A:$A),MATCH(I$1,floors!$1:$1,0)-MATCH($H$1,floors!$1:$1,0)+1),MATCH(I$1,floors!$1:$1,0)-MATCH($H$1,floors!$1:$1,0)+1,FALSE)</f>
        <v>50</v>
      </c>
      <c r="J43" s="5">
        <f ca="1">VLOOKUP($H43,OFFSET(floors!$A$1,0,0,COUNTA(floors!$A:$A),MATCH(J$1,floors!$1:$1,0)-MATCH($H$1,floors!$1:$1,0)+1),MATCH(J$1,floors!$1:$1,0)-MATCH($H$1,floors!$1:$1,0)+1,FALSE)</f>
        <v>50</v>
      </c>
      <c r="K43" s="8" t="s">
        <v>149</v>
      </c>
      <c r="L43" s="24">
        <v>338</v>
      </c>
      <c r="M43" s="20" t="str">
        <f ca="1">VLOOKUP($L43,OFFSET([3]enemies!$A$1,0,0,COUNTA([3]enemies!$A:$A),MATCH(M$1,[3]enemies!$1:$1,0)-MATCH($L$1,[3]enemies!$1:$1,0)+1),MATCH(M$1,[3]enemies!$1:$1,0)-MATCH($L$1,[3]enemies!$1:$1,0)+1,FALSE)</f>
        <v>森のメタルダック</v>
      </c>
      <c r="N43" s="20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20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20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20">
        <f ca="1">VLOOKUP($L43,OFFSET([3]enemies!$A$1,0,0,COUNTA([3]enemies!$A:$A),MATCH(Q$1,[3]enemies!$1:$1,0)-MATCH($L$1,[3]enemies!$1:$1,0)+1),MATCH(Q$1,[3]enemies!$1:$1,0)-MATCH($L$1,[3]enemies!$1:$1,0)+1,FALSE)</f>
        <v>20</v>
      </c>
      <c r="R43" s="8">
        <v>1</v>
      </c>
      <c r="S43" s="30">
        <v>1</v>
      </c>
      <c r="T43" s="30">
        <v>35</v>
      </c>
      <c r="U43" s="6">
        <v>-5000</v>
      </c>
      <c r="V43" s="5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5">
        <f ca="1">VLOOKUP($L43,OFFSET([3]enemies!$A$1,0,0,COUNTA([3]enemies!$A:$A),MATCH(W$1,[3]enemies!$1:$1,0)-MATCH($L$1,[3]enemies!$1:$1,0)+1),MATCH(W$1,[3]enemies!$1:$1,0)-MATCH($L$1,[3]enemies!$1:$1,0)+1,FALSE)</f>
        <v>0</v>
      </c>
      <c r="X43" s="7">
        <v>0</v>
      </c>
      <c r="Y43" s="7">
        <v>100</v>
      </c>
      <c r="Z43" s="7">
        <v>1</v>
      </c>
      <c r="AA43" s="20">
        <f ca="1">VLOOKUP($L43,OFFSET([3]enemies!$A$1,0,0,COUNTA([3]enemies!$A:$A),MATCH(AA$1,[3]enemies!$1:$1,0)-MATCH($L$1,[3]enemies!$1:$1,0)+1),MATCH(AA$1,[3]enemies!$1:$1,0)-MATCH($L$1,[3]enemies!$1:$1,0)+1,FALSE)</f>
        <v>3</v>
      </c>
      <c r="AB43" s="2">
        <f t="shared" si="5"/>
        <v>338</v>
      </c>
      <c r="AC43" s="5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43" s="5">
        <f ca="1">VLOOKUP($AB43,OFFSET([4]characters!$A$1,0,0,COUNTA([4]characters!$A:$A),MATCH(AD$1,[4]characters!$1:$1,0)-MATCH("character_id",[4]characters!$1:$1,0)+1),MATCH(AD$1,[4]characters!$1:$1,0)-MATCH("character_id",[4]characters!$1:$1,0)+1,FALSE)</f>
        <v>5</v>
      </c>
      <c r="AE43" s="5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8">
        <v>1</v>
      </c>
      <c r="AG43" s="28">
        <f t="shared" ca="1" si="22"/>
        <v>5</v>
      </c>
      <c r="AH43" s="9">
        <v>82</v>
      </c>
      <c r="AI43" s="8">
        <v>0</v>
      </c>
      <c r="AJ43" s="8">
        <v>0</v>
      </c>
      <c r="AK43" s="8">
        <v>0</v>
      </c>
      <c r="AL43" s="8">
        <v>0</v>
      </c>
      <c r="AM43" s="8">
        <v>1</v>
      </c>
    </row>
    <row r="44" spans="1:39" ht="21" customHeight="1" x14ac:dyDescent="0.15">
      <c r="A44" s="17" t="str">
        <f t="shared" ca="1" si="16"/>
        <v>12001_2-3/342&lt;lv1&gt;s3</v>
      </c>
      <c r="B44" s="26">
        <v>12001</v>
      </c>
      <c r="C44" s="25">
        <v>2</v>
      </c>
      <c r="D44" s="2" t="str">
        <f t="shared" si="21"/>
        <v>12001_2</v>
      </c>
      <c r="E44" s="5" t="str">
        <f ca="1">VLOOKUP($B44,OFFSET([2]quests!$A$1,0,0,COUNTA([2]quests!$A:$A),MATCH(E$1,[2]quests!$1:$1,0)-MATCH($B$1,[2]quests!$1:$1,0)+1),MATCH(E$1,[2]quests!$1:$1,0)-MATCH($B$1,[2]quests!$1:$1,0)+1,FALSE)</f>
        <v>【緊急！！】 アヒル捕獲作戦</v>
      </c>
      <c r="F44" s="5" t="str">
        <f ca="1">VLOOKUP($D44,OFFSET([2]stages!$A$1,0,0,COUNTA([2]stages!$A:$A),MATCH(F$1,[2]stages!$2:$2,0)-MATCH($D$1,[2]stages!$2:$2,0)+1),MATCH(F$1,[2]stages!$2:$2,0)-MATCH($D$1,[2]stages!$2:$2,0)+1,FALSE)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4" s="25">
        <v>3</v>
      </c>
      <c r="H44" s="16" t="str">
        <f t="shared" si="4"/>
        <v>12001_2-3</v>
      </c>
      <c r="I44" s="5">
        <f ca="1">VLOOKUP($H44,OFFSET(floors!$A$1,0,0,COUNTA(floors!$A:$A),MATCH(I$1,floors!$1:$1,0)-MATCH($H$1,floors!$1:$1,0)+1),MATCH(I$1,floors!$1:$1,0)-MATCH($H$1,floors!$1:$1,0)+1,FALSE)</f>
        <v>50</v>
      </c>
      <c r="J44" s="5">
        <f ca="1">VLOOKUP($H44,OFFSET(floors!$A$1,0,0,COUNTA(floors!$A:$A),MATCH(J$1,floors!$1:$1,0)-MATCH($H$1,floors!$1:$1,0)+1),MATCH(J$1,floors!$1:$1,0)-MATCH($H$1,floors!$1:$1,0)+1,FALSE)</f>
        <v>50</v>
      </c>
      <c r="K44" s="8" t="s">
        <v>149</v>
      </c>
      <c r="L44" s="24">
        <v>342</v>
      </c>
      <c r="M44" s="20" t="str">
        <f ca="1">VLOOKUP($L44,OFFSET([3]enemies!$A$1,0,0,COUNTA([3]enemies!$A:$A),MATCH(M$1,[3]enemies!$1:$1,0)-MATCH($L$1,[3]enemies!$1:$1,0)+1),MATCH(M$1,[3]enemies!$1:$1,0)-MATCH($L$1,[3]enemies!$1:$1,0)+1,FALSE)</f>
        <v>水のメタルダック</v>
      </c>
      <c r="N44" s="20" t="str">
        <f ca="1">VLOOKUP($L44,OFFSET([3]enemies!$A$1,0,0,COUNTA([3]enemies!$A:$A),MATCH(N$1,[3]enemies!$1:$1,0)-MATCH($L$1,[3]enemies!$1:$1,0)+1),MATCH(N$1,[3]enemies!$1:$1,0)-MATCH($L$1,[3]enemies!$1:$1,0)+1,FALSE)</f>
        <v>blue</v>
      </c>
      <c r="O44" s="20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20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20">
        <f ca="1">VLOOKUP($L44,OFFSET([3]enemies!$A$1,0,0,COUNTA([3]enemies!$A:$A),MATCH(Q$1,[3]enemies!$1:$1,0)-MATCH($L$1,[3]enemies!$1:$1,0)+1),MATCH(Q$1,[3]enemies!$1:$1,0)-MATCH($L$1,[3]enemies!$1:$1,0)+1,FALSE)</f>
        <v>20</v>
      </c>
      <c r="R44" s="8">
        <v>1</v>
      </c>
      <c r="S44" s="30">
        <v>1</v>
      </c>
      <c r="T44" s="30">
        <v>35</v>
      </c>
      <c r="U44" s="6">
        <v>-5000</v>
      </c>
      <c r="V44" s="5" t="str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4" s="5">
        <f ca="1">VLOOKUP($L44,OFFSET([3]enemies!$A$1,0,0,COUNTA([3]enemies!$A:$A),MATCH(W$1,[3]enemies!$1:$1,0)-MATCH($L$1,[3]enemies!$1:$1,0)+1),MATCH(W$1,[3]enemies!$1:$1,0)-MATCH($L$1,[3]enemies!$1:$1,0)+1,FALSE)</f>
        <v>0</v>
      </c>
      <c r="X44" s="7">
        <v>0</v>
      </c>
      <c r="Y44" s="7">
        <v>100</v>
      </c>
      <c r="Z44" s="7">
        <v>1</v>
      </c>
      <c r="AA44" s="20">
        <f ca="1">VLOOKUP($L44,OFFSET([3]enemies!$A$1,0,0,COUNTA([3]enemies!$A:$A),MATCH(AA$1,[3]enemies!$1:$1,0)-MATCH($L$1,[3]enemies!$1:$1,0)+1),MATCH(AA$1,[3]enemies!$1:$1,0)-MATCH($L$1,[3]enemies!$1:$1,0)+1,FALSE)</f>
        <v>3</v>
      </c>
      <c r="AB44" s="2">
        <f t="shared" si="5"/>
        <v>342</v>
      </c>
      <c r="AC44" s="5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44" s="5">
        <f ca="1">VLOOKUP($AB44,OFFSET([4]characters!$A$1,0,0,COUNTA([4]characters!$A:$A),MATCH(AD$1,[4]characters!$1:$1,0)-MATCH("character_id",[4]characters!$1:$1,0)+1),MATCH(AD$1,[4]characters!$1:$1,0)-MATCH("character_id",[4]characters!$1:$1,0)+1,FALSE)</f>
        <v>5</v>
      </c>
      <c r="AE44" s="5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8">
        <v>1</v>
      </c>
      <c r="AG44" s="28">
        <f t="shared" ca="1" si="22"/>
        <v>5</v>
      </c>
      <c r="AH44" s="9">
        <v>82</v>
      </c>
      <c r="AI44" s="8">
        <v>0</v>
      </c>
      <c r="AJ44" s="8">
        <v>0</v>
      </c>
      <c r="AK44" s="8">
        <v>0</v>
      </c>
      <c r="AL44" s="8">
        <v>0</v>
      </c>
      <c r="AM44" s="8">
        <v>1</v>
      </c>
    </row>
    <row r="45" spans="1:39" ht="21" customHeight="1" x14ac:dyDescent="0.15">
      <c r="A45" s="17" t="str">
        <f t="shared" ca="1" si="16"/>
        <v>12001_2-3/346&lt;lv1&gt;s3</v>
      </c>
      <c r="B45" s="26">
        <v>12001</v>
      </c>
      <c r="C45" s="25">
        <v>2</v>
      </c>
      <c r="D45" s="2" t="str">
        <f t="shared" si="21"/>
        <v>12001_2</v>
      </c>
      <c r="E45" s="5" t="str">
        <f ca="1">VLOOKUP($B45,OFFSET([2]quests!$A$1,0,0,COUNTA([2]quests!$A:$A),MATCH(E$1,[2]quests!$1:$1,0)-MATCH($B$1,[2]quests!$1:$1,0)+1),MATCH(E$1,[2]quests!$1:$1,0)-MATCH($B$1,[2]quests!$1:$1,0)+1,FALSE)</f>
        <v>【緊急！！】 アヒル捕獲作戦</v>
      </c>
      <c r="F45" s="5" t="str">
        <f ca="1">VLOOKUP($D45,OFFSET([2]stages!$A$1,0,0,COUNTA([2]stages!$A:$A),MATCH(F$1,[2]stages!$2:$2,0)-MATCH($D$1,[2]stages!$2:$2,0)+1),MATCH(F$1,[2]stages!$2:$2,0)-MATCH($D$1,[2]stages!$2:$2,0)+1,FALSE)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5" s="25">
        <v>3</v>
      </c>
      <c r="H45" s="16" t="str">
        <f t="shared" si="4"/>
        <v>12001_2-3</v>
      </c>
      <c r="I45" s="5">
        <f ca="1">VLOOKUP($H45,OFFSET(floors!$A$1,0,0,COUNTA(floors!$A:$A),MATCH(I$1,floors!$1:$1,0)-MATCH($H$1,floors!$1:$1,0)+1),MATCH(I$1,floors!$1:$1,0)-MATCH($H$1,floors!$1:$1,0)+1,FALSE)</f>
        <v>50</v>
      </c>
      <c r="J45" s="5">
        <f ca="1">VLOOKUP($H45,OFFSET(floors!$A$1,0,0,COUNTA(floors!$A:$A),MATCH(J$1,floors!$1:$1,0)-MATCH($H$1,floors!$1:$1,0)+1),MATCH(J$1,floors!$1:$1,0)-MATCH($H$1,floors!$1:$1,0)+1,FALSE)</f>
        <v>50</v>
      </c>
      <c r="K45" s="8" t="s">
        <v>149</v>
      </c>
      <c r="L45" s="24">
        <v>346</v>
      </c>
      <c r="M45" s="20" t="str">
        <f ca="1">VLOOKUP($L45,OFFSET([3]enemies!$A$1,0,0,COUNTA([3]enemies!$A:$A),MATCH(M$1,[3]enemies!$1:$1,0)-MATCH($L$1,[3]enemies!$1:$1,0)+1),MATCH(M$1,[3]enemies!$1:$1,0)-MATCH($L$1,[3]enemies!$1:$1,0)+1,FALSE)</f>
        <v>雷のメタルダック</v>
      </c>
      <c r="N45" s="20" t="str">
        <f ca="1">VLOOKUP($L45,OFFSET([3]enemies!$A$1,0,0,COUNTA([3]enemies!$A:$A),MATCH(N$1,[3]enemies!$1:$1,0)-MATCH($L$1,[3]enemies!$1:$1,0)+1),MATCH(N$1,[3]enemies!$1:$1,0)-MATCH($L$1,[3]enemies!$1:$1,0)+1,FALSE)</f>
        <v>yellow</v>
      </c>
      <c r="O45" s="20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20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20">
        <f ca="1">VLOOKUP($L45,OFFSET([3]enemies!$A$1,0,0,COUNTA([3]enemies!$A:$A),MATCH(Q$1,[3]enemies!$1:$1,0)-MATCH($L$1,[3]enemies!$1:$1,0)+1),MATCH(Q$1,[3]enemies!$1:$1,0)-MATCH($L$1,[3]enemies!$1:$1,0)+1,FALSE)</f>
        <v>20</v>
      </c>
      <c r="R45" s="8">
        <v>1</v>
      </c>
      <c r="S45" s="30">
        <v>1</v>
      </c>
      <c r="T45" s="30">
        <v>35</v>
      </c>
      <c r="U45" s="6">
        <v>-5000</v>
      </c>
      <c r="V45" s="5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5" s="5">
        <f ca="1">VLOOKUP($L45,OFFSET([3]enemies!$A$1,0,0,COUNTA([3]enemies!$A:$A),MATCH(W$1,[3]enemies!$1:$1,0)-MATCH($L$1,[3]enemies!$1:$1,0)+1),MATCH(W$1,[3]enemies!$1:$1,0)-MATCH($L$1,[3]enemies!$1:$1,0)+1,FALSE)</f>
        <v>0</v>
      </c>
      <c r="X45" s="7">
        <v>0</v>
      </c>
      <c r="Y45" s="7">
        <v>100</v>
      </c>
      <c r="Z45" s="7">
        <v>1</v>
      </c>
      <c r="AA45" s="20">
        <f ca="1">VLOOKUP($L45,OFFSET([3]enemies!$A$1,0,0,COUNTA([3]enemies!$A:$A),MATCH(AA$1,[3]enemies!$1:$1,0)-MATCH($L$1,[3]enemies!$1:$1,0)+1),MATCH(AA$1,[3]enemies!$1:$1,0)-MATCH($L$1,[3]enemies!$1:$1,0)+1,FALSE)</f>
        <v>3</v>
      </c>
      <c r="AB45" s="2">
        <f t="shared" si="5"/>
        <v>346</v>
      </c>
      <c r="AC45" s="5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45" s="5">
        <f ca="1">VLOOKUP($AB45,OFFSET([4]characters!$A$1,0,0,COUNTA([4]characters!$A:$A),MATCH(AD$1,[4]characters!$1:$1,0)-MATCH("character_id",[4]characters!$1:$1,0)+1),MATCH(AD$1,[4]characters!$1:$1,0)-MATCH("character_id",[4]characters!$1:$1,0)+1,FALSE)</f>
        <v>5</v>
      </c>
      <c r="AE45" s="5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5" s="8">
        <v>1</v>
      </c>
      <c r="AG45" s="28">
        <f t="shared" ca="1" si="22"/>
        <v>5</v>
      </c>
      <c r="AH45" s="9">
        <v>82</v>
      </c>
      <c r="AI45" s="8">
        <v>0</v>
      </c>
      <c r="AJ45" s="8">
        <v>0</v>
      </c>
      <c r="AK45" s="8">
        <v>0</v>
      </c>
      <c r="AL45" s="8">
        <v>0</v>
      </c>
      <c r="AM45" s="8">
        <v>1</v>
      </c>
    </row>
    <row r="46" spans="1:39" ht="21" customHeight="1" x14ac:dyDescent="0.15">
      <c r="A46" s="17" t="str">
        <f t="shared" ca="1" si="16"/>
        <v>12001_2-4/333&lt;lv3&gt;s2</v>
      </c>
      <c r="B46" s="26">
        <v>12001</v>
      </c>
      <c r="C46" s="25">
        <v>2</v>
      </c>
      <c r="D46" s="2" t="str">
        <f t="shared" si="21"/>
        <v>12001_2</v>
      </c>
      <c r="E46" s="5" t="str">
        <f ca="1">VLOOKUP($B46,OFFSET([2]quests!$A$1,0,0,COUNTA([2]quests!$A:$A),MATCH(E$1,[2]quests!$1:$1,0)-MATCH($B$1,[2]quests!$1:$1,0)+1),MATCH(E$1,[2]quests!$1:$1,0)-MATCH($B$1,[2]quests!$1:$1,0)+1,FALSE)</f>
        <v>【緊急！！】 アヒル捕獲作戦</v>
      </c>
      <c r="F46" s="5" t="str">
        <f ca="1">VLOOKUP($D46,OFFSET([2]stages!$A$1,0,0,COUNTA([2]stages!$A:$A),MATCH(F$1,[2]stages!$2:$2,0)-MATCH($D$1,[2]stages!$2:$2,0)+1),MATCH(F$1,[2]stages!$2:$2,0)-MATCH($D$1,[2]stages!$2:$2,0)+1,FALSE)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6" s="25">
        <v>4</v>
      </c>
      <c r="H46" s="16" t="str">
        <f t="shared" si="4"/>
        <v>12001_2-4</v>
      </c>
      <c r="I46" s="5">
        <f ca="1">VLOOKUP($H46,OFFSET(floors!$A$1,0,0,COUNTA(floors!$A:$A),MATCH(I$1,floors!$1:$1,0)-MATCH($H$1,floors!$1:$1,0)+1),MATCH(I$1,floors!$1:$1,0)-MATCH($H$1,floors!$1:$1,0)+1,FALSE)</f>
        <v>50</v>
      </c>
      <c r="J46" s="5">
        <f ca="1">VLOOKUP($H46,OFFSET(floors!$A$1,0,0,COUNTA(floors!$A:$A),MATCH(J$1,floors!$1:$1,0)-MATCH($H$1,floors!$1:$1,0)+1),MATCH(J$1,floors!$1:$1,0)-MATCH($H$1,floors!$1:$1,0)+1,FALSE)</f>
        <v>50</v>
      </c>
      <c r="K46" s="8" t="s">
        <v>149</v>
      </c>
      <c r="L46" s="24">
        <v>333</v>
      </c>
      <c r="M46" s="20" t="str">
        <f ca="1">VLOOKUP($L46,OFFSET([3]enemies!$A$1,0,0,COUNTA([3]enemies!$A:$A),MATCH(M$1,[3]enemies!$1:$1,0)-MATCH($L$1,[3]enemies!$1:$1,0)+1),MATCH(M$1,[3]enemies!$1:$1,0)-MATCH($L$1,[3]enemies!$1:$1,0)+1,FALSE)</f>
        <v>炎のメタルチック</v>
      </c>
      <c r="N46" s="20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20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20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20">
        <f ca="1">VLOOKUP($L46,OFFSET([3]enemies!$A$1,0,0,COUNTA([3]enemies!$A:$A),MATCH(Q$1,[3]enemies!$1:$1,0)-MATCH($L$1,[3]enemies!$1:$1,0)+1),MATCH(Q$1,[3]enemies!$1:$1,0)-MATCH($L$1,[3]enemies!$1:$1,0)+1,FALSE)</f>
        <v>15</v>
      </c>
      <c r="R46" s="8">
        <v>3</v>
      </c>
      <c r="S46" s="30">
        <v>1</v>
      </c>
      <c r="T46" s="30">
        <v>35</v>
      </c>
      <c r="U46" s="6">
        <v>-2000</v>
      </c>
      <c r="V46" s="5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6" s="5">
        <f ca="1">VLOOKUP($L46,OFFSET([3]enemies!$A$1,0,0,COUNTA([3]enemies!$A:$A),MATCH(W$1,[3]enemies!$1:$1,0)-MATCH($L$1,[3]enemies!$1:$1,0)+1),MATCH(W$1,[3]enemies!$1:$1,0)-MATCH($L$1,[3]enemies!$1:$1,0)+1,FALSE)</f>
        <v>0</v>
      </c>
      <c r="X46" s="7">
        <v>0</v>
      </c>
      <c r="Y46" s="7">
        <v>100</v>
      </c>
      <c r="Z46" s="7">
        <v>0</v>
      </c>
      <c r="AA46" s="20">
        <f ca="1">VLOOKUP($L46,OFFSET([3]enemies!$A$1,0,0,COUNTA([3]enemies!$A:$A),MATCH(AA$1,[3]enemies!$1:$1,0)-MATCH($L$1,[3]enemies!$1:$1,0)+1),MATCH(AA$1,[3]enemies!$1:$1,0)-MATCH($L$1,[3]enemies!$1:$1,0)+1,FALSE)</f>
        <v>2</v>
      </c>
      <c r="AB46" s="2">
        <f t="shared" si="5"/>
        <v>333</v>
      </c>
      <c r="AC46" s="5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46" s="5">
        <f ca="1">VLOOKUP($AB46,OFFSET([4]characters!$A$1,0,0,COUNTA([4]characters!$A:$A),MATCH(AD$1,[4]characters!$1:$1,0)-MATCH("character_id",[4]characters!$1:$1,0)+1),MATCH(AD$1,[4]characters!$1:$1,0)-MATCH("character_id",[4]characters!$1:$1,0)+1,FALSE)</f>
        <v>4</v>
      </c>
      <c r="AE46" s="5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6" s="8">
        <v>1</v>
      </c>
      <c r="AG46" s="28">
        <f t="shared" ca="1" si="22"/>
        <v>4</v>
      </c>
      <c r="AH46" s="9">
        <v>63.3</v>
      </c>
      <c r="AI46" s="8">
        <v>0</v>
      </c>
      <c r="AJ46" s="8">
        <v>0</v>
      </c>
      <c r="AK46" s="8">
        <v>0</v>
      </c>
      <c r="AL46" s="8">
        <v>0</v>
      </c>
      <c r="AM46" s="8">
        <v>1</v>
      </c>
    </row>
    <row r="47" spans="1:39" ht="21" customHeight="1" x14ac:dyDescent="0.15">
      <c r="A47" s="17" t="str">
        <f t="shared" ca="1" si="16"/>
        <v>12001_2-4/337&lt;lv3&gt;s2</v>
      </c>
      <c r="B47" s="26">
        <v>12001</v>
      </c>
      <c r="C47" s="25">
        <v>2</v>
      </c>
      <c r="D47" s="2" t="str">
        <f t="shared" si="21"/>
        <v>12001_2</v>
      </c>
      <c r="E47" s="5" t="str">
        <f ca="1">VLOOKUP($B47,OFFSET([2]quests!$A$1,0,0,COUNTA([2]quests!$A:$A),MATCH(E$1,[2]quests!$1:$1,0)-MATCH($B$1,[2]quests!$1:$1,0)+1),MATCH(E$1,[2]quests!$1:$1,0)-MATCH($B$1,[2]quests!$1:$1,0)+1,FALSE)</f>
        <v>【緊急！！】 アヒル捕獲作戦</v>
      </c>
      <c r="F47" s="5" t="str">
        <f ca="1">VLOOKUP($D47,OFFSET([2]stages!$A$1,0,0,COUNTA([2]stages!$A:$A),MATCH(F$1,[2]stages!$2:$2,0)-MATCH($D$1,[2]stages!$2:$2,0)+1),MATCH(F$1,[2]stages!$2:$2,0)-MATCH($D$1,[2]stages!$2:$2,0)+1,FALSE)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7" s="25">
        <v>4</v>
      </c>
      <c r="H47" s="16" t="str">
        <f t="shared" si="4"/>
        <v>12001_2-4</v>
      </c>
      <c r="I47" s="5">
        <f ca="1">VLOOKUP($H47,OFFSET(floors!$A$1,0,0,COUNTA(floors!$A:$A),MATCH(I$1,floors!$1:$1,0)-MATCH($H$1,floors!$1:$1,0)+1),MATCH(I$1,floors!$1:$1,0)-MATCH($H$1,floors!$1:$1,0)+1,FALSE)</f>
        <v>50</v>
      </c>
      <c r="J47" s="5">
        <f ca="1">VLOOKUP($H47,OFFSET(floors!$A$1,0,0,COUNTA(floors!$A:$A),MATCH(J$1,floors!$1:$1,0)-MATCH($H$1,floors!$1:$1,0)+1),MATCH(J$1,floors!$1:$1,0)-MATCH($H$1,floors!$1:$1,0)+1,FALSE)</f>
        <v>50</v>
      </c>
      <c r="K47" s="8" t="s">
        <v>149</v>
      </c>
      <c r="L47" s="24">
        <v>337</v>
      </c>
      <c r="M47" s="20" t="str">
        <f ca="1">VLOOKUP($L47,OFFSET([3]enemies!$A$1,0,0,COUNTA([3]enemies!$A:$A),MATCH(M$1,[3]enemies!$1:$1,0)-MATCH($L$1,[3]enemies!$1:$1,0)+1),MATCH(M$1,[3]enemies!$1:$1,0)-MATCH($L$1,[3]enemies!$1:$1,0)+1,FALSE)</f>
        <v>森のメタルチック</v>
      </c>
      <c r="N47" s="20" t="str">
        <f ca="1">VLOOKUP($L47,OFFSET([3]enemies!$A$1,0,0,COUNTA([3]enemies!$A:$A),MATCH(N$1,[3]enemies!$1:$1,0)-MATCH($L$1,[3]enemies!$1:$1,0)+1),MATCH(N$1,[3]enemies!$1:$1,0)-MATCH($L$1,[3]enemies!$1:$1,0)+1,FALSE)</f>
        <v>green</v>
      </c>
      <c r="O47" s="20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20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20">
        <f ca="1">VLOOKUP($L47,OFFSET([3]enemies!$A$1,0,0,COUNTA([3]enemies!$A:$A),MATCH(Q$1,[3]enemies!$1:$1,0)-MATCH($L$1,[3]enemies!$1:$1,0)+1),MATCH(Q$1,[3]enemies!$1:$1,0)-MATCH($L$1,[3]enemies!$1:$1,0)+1,FALSE)</f>
        <v>15</v>
      </c>
      <c r="R47" s="8">
        <v>3</v>
      </c>
      <c r="S47" s="30">
        <v>1</v>
      </c>
      <c r="T47" s="30">
        <v>35</v>
      </c>
      <c r="U47" s="6">
        <v>-2000</v>
      </c>
      <c r="V47" s="5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5">
        <f ca="1">VLOOKUP($L47,OFFSET([3]enemies!$A$1,0,0,COUNTA([3]enemies!$A:$A),MATCH(W$1,[3]enemies!$1:$1,0)-MATCH($L$1,[3]enemies!$1:$1,0)+1),MATCH(W$1,[3]enemies!$1:$1,0)-MATCH($L$1,[3]enemies!$1:$1,0)+1,FALSE)</f>
        <v>0</v>
      </c>
      <c r="X47" s="7">
        <v>0</v>
      </c>
      <c r="Y47" s="7">
        <v>100</v>
      </c>
      <c r="Z47" s="7">
        <v>0</v>
      </c>
      <c r="AA47" s="20">
        <f ca="1">VLOOKUP($L47,OFFSET([3]enemies!$A$1,0,0,COUNTA([3]enemies!$A:$A),MATCH(AA$1,[3]enemies!$1:$1,0)-MATCH($L$1,[3]enemies!$1:$1,0)+1),MATCH(AA$1,[3]enemies!$1:$1,0)-MATCH($L$1,[3]enemies!$1:$1,0)+1,FALSE)</f>
        <v>2</v>
      </c>
      <c r="AB47" s="2">
        <f t="shared" si="5"/>
        <v>337</v>
      </c>
      <c r="AC47" s="5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47" s="5">
        <f ca="1">VLOOKUP($AB47,OFFSET([4]characters!$A$1,0,0,COUNTA([4]characters!$A:$A),MATCH(AD$1,[4]characters!$1:$1,0)-MATCH("character_id",[4]characters!$1:$1,0)+1),MATCH(AD$1,[4]characters!$1:$1,0)-MATCH("character_id",[4]characters!$1:$1,0)+1,FALSE)</f>
        <v>4</v>
      </c>
      <c r="AE47" s="5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7" s="8">
        <v>1</v>
      </c>
      <c r="AG47" s="28">
        <f t="shared" ca="1" si="22"/>
        <v>4</v>
      </c>
      <c r="AH47" s="9">
        <v>63.3</v>
      </c>
      <c r="AI47" s="8">
        <v>0</v>
      </c>
      <c r="AJ47" s="8">
        <v>0</v>
      </c>
      <c r="AK47" s="8">
        <v>0</v>
      </c>
      <c r="AL47" s="8">
        <v>0</v>
      </c>
      <c r="AM47" s="8">
        <v>1</v>
      </c>
    </row>
    <row r="48" spans="1:39" ht="21" customHeight="1" x14ac:dyDescent="0.15">
      <c r="A48" s="17" t="str">
        <f t="shared" ca="1" si="16"/>
        <v>12001_2-4/341&lt;lv3&gt;s2</v>
      </c>
      <c r="B48" s="26">
        <v>12001</v>
      </c>
      <c r="C48" s="25">
        <v>2</v>
      </c>
      <c r="D48" s="2" t="str">
        <f t="shared" si="21"/>
        <v>12001_2</v>
      </c>
      <c r="E48" s="5" t="str">
        <f ca="1">VLOOKUP($B48,OFFSET([2]quests!$A$1,0,0,COUNTA([2]quests!$A:$A),MATCH(E$1,[2]quests!$1:$1,0)-MATCH($B$1,[2]quests!$1:$1,0)+1),MATCH(E$1,[2]quests!$1:$1,0)-MATCH($B$1,[2]quests!$1:$1,0)+1,FALSE)</f>
        <v>【緊急！！】 アヒル捕獲作戦</v>
      </c>
      <c r="F48" s="5" t="str">
        <f ca="1">VLOOKUP($D48,OFFSET([2]stages!$A$1,0,0,COUNTA([2]stages!$A:$A),MATCH(F$1,[2]stages!$2:$2,0)-MATCH($D$1,[2]stages!$2:$2,0)+1),MATCH(F$1,[2]stages!$2:$2,0)-MATCH($D$1,[2]stages!$2:$2,0)+1,FALSE)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8" s="25">
        <v>4</v>
      </c>
      <c r="H48" s="16" t="str">
        <f t="shared" si="4"/>
        <v>12001_2-4</v>
      </c>
      <c r="I48" s="5">
        <f ca="1">VLOOKUP($H48,OFFSET(floors!$A$1,0,0,COUNTA(floors!$A:$A),MATCH(I$1,floors!$1:$1,0)-MATCH($H$1,floors!$1:$1,0)+1),MATCH(I$1,floors!$1:$1,0)-MATCH($H$1,floors!$1:$1,0)+1,FALSE)</f>
        <v>50</v>
      </c>
      <c r="J48" s="5">
        <f ca="1">VLOOKUP($H48,OFFSET(floors!$A$1,0,0,COUNTA(floors!$A:$A),MATCH(J$1,floors!$1:$1,0)-MATCH($H$1,floors!$1:$1,0)+1),MATCH(J$1,floors!$1:$1,0)-MATCH($H$1,floors!$1:$1,0)+1,FALSE)</f>
        <v>50</v>
      </c>
      <c r="K48" s="8" t="s">
        <v>149</v>
      </c>
      <c r="L48" s="24">
        <v>341</v>
      </c>
      <c r="M48" s="20" t="str">
        <f ca="1">VLOOKUP($L48,OFFSET([3]enemies!$A$1,0,0,COUNTA([3]enemies!$A:$A),MATCH(M$1,[3]enemies!$1:$1,0)-MATCH($L$1,[3]enemies!$1:$1,0)+1),MATCH(M$1,[3]enemies!$1:$1,0)-MATCH($L$1,[3]enemies!$1:$1,0)+1,FALSE)</f>
        <v>水のメタルチック</v>
      </c>
      <c r="N48" s="20" t="str">
        <f ca="1">VLOOKUP($L48,OFFSET([3]enemies!$A$1,0,0,COUNTA([3]enemies!$A:$A),MATCH(N$1,[3]enemies!$1:$1,0)-MATCH($L$1,[3]enemies!$1:$1,0)+1),MATCH(N$1,[3]enemies!$1:$1,0)-MATCH($L$1,[3]enemies!$1:$1,0)+1,FALSE)</f>
        <v>blue</v>
      </c>
      <c r="O48" s="20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20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20">
        <f ca="1">VLOOKUP($L48,OFFSET([3]enemies!$A$1,0,0,COUNTA([3]enemies!$A:$A),MATCH(Q$1,[3]enemies!$1:$1,0)-MATCH($L$1,[3]enemies!$1:$1,0)+1),MATCH(Q$1,[3]enemies!$1:$1,0)-MATCH($L$1,[3]enemies!$1:$1,0)+1,FALSE)</f>
        <v>15</v>
      </c>
      <c r="R48" s="8">
        <v>3</v>
      </c>
      <c r="S48" s="30">
        <v>1</v>
      </c>
      <c r="T48" s="30">
        <v>35</v>
      </c>
      <c r="U48" s="6">
        <v>-2000</v>
      </c>
      <c r="V48" s="5" t="str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8" s="5">
        <f ca="1">VLOOKUP($L48,OFFSET([3]enemies!$A$1,0,0,COUNTA([3]enemies!$A:$A),MATCH(W$1,[3]enemies!$1:$1,0)-MATCH($L$1,[3]enemies!$1:$1,0)+1),MATCH(W$1,[3]enemies!$1:$1,0)-MATCH($L$1,[3]enemies!$1:$1,0)+1,FALSE)</f>
        <v>0</v>
      </c>
      <c r="X48" s="7">
        <v>0</v>
      </c>
      <c r="Y48" s="7">
        <v>100</v>
      </c>
      <c r="Z48" s="7">
        <v>0</v>
      </c>
      <c r="AA48" s="20">
        <f ca="1">VLOOKUP($L48,OFFSET([3]enemies!$A$1,0,0,COUNTA([3]enemies!$A:$A),MATCH(AA$1,[3]enemies!$1:$1,0)-MATCH($L$1,[3]enemies!$1:$1,0)+1),MATCH(AA$1,[3]enemies!$1:$1,0)-MATCH($L$1,[3]enemies!$1:$1,0)+1,FALSE)</f>
        <v>2</v>
      </c>
      <c r="AB48" s="2">
        <f t="shared" si="5"/>
        <v>341</v>
      </c>
      <c r="AC48" s="5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48" s="5">
        <f ca="1">VLOOKUP($AB48,OFFSET([4]characters!$A$1,0,0,COUNTA([4]characters!$A:$A),MATCH(AD$1,[4]characters!$1:$1,0)-MATCH("character_id",[4]characters!$1:$1,0)+1),MATCH(AD$1,[4]characters!$1:$1,0)-MATCH("character_id",[4]characters!$1:$1,0)+1,FALSE)</f>
        <v>4</v>
      </c>
      <c r="AE48" s="5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8">
        <v>1</v>
      </c>
      <c r="AG48" s="28">
        <f t="shared" ca="1" si="22"/>
        <v>4</v>
      </c>
      <c r="AH48" s="9">
        <v>63.3</v>
      </c>
      <c r="AI48" s="8">
        <v>0</v>
      </c>
      <c r="AJ48" s="8">
        <v>0</v>
      </c>
      <c r="AK48" s="8">
        <v>0</v>
      </c>
      <c r="AL48" s="8">
        <v>0</v>
      </c>
      <c r="AM48" s="8">
        <v>1</v>
      </c>
    </row>
    <row r="49" spans="1:39" ht="21" customHeight="1" x14ac:dyDescent="0.15">
      <c r="A49" s="17" t="str">
        <f t="shared" ca="1" si="16"/>
        <v>12001_2-4/345&lt;lv3&gt;s2</v>
      </c>
      <c r="B49" s="26">
        <v>12001</v>
      </c>
      <c r="C49" s="25">
        <v>2</v>
      </c>
      <c r="D49" s="2" t="str">
        <f t="shared" si="21"/>
        <v>12001_2</v>
      </c>
      <c r="E49" s="5" t="str">
        <f ca="1">VLOOKUP($B49,OFFSET([2]quests!$A$1,0,0,COUNTA([2]quests!$A:$A),MATCH(E$1,[2]quests!$1:$1,0)-MATCH($B$1,[2]quests!$1:$1,0)+1),MATCH(E$1,[2]quests!$1:$1,0)-MATCH($B$1,[2]quests!$1:$1,0)+1,FALSE)</f>
        <v>【緊急！！】 アヒル捕獲作戦</v>
      </c>
      <c r="F49" s="5" t="str">
        <f ca="1">VLOOKUP($D49,OFFSET([2]stages!$A$1,0,0,COUNTA([2]stages!$A:$A),MATCH(F$1,[2]stages!$2:$2,0)-MATCH($D$1,[2]stages!$2:$2,0)+1),MATCH(F$1,[2]stages!$2:$2,0)-MATCH($D$1,[2]stages!$2:$2,0)+1,FALSE)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49" s="25">
        <v>4</v>
      </c>
      <c r="H49" s="16" t="str">
        <f t="shared" si="4"/>
        <v>12001_2-4</v>
      </c>
      <c r="I49" s="5">
        <f ca="1">VLOOKUP($H49,OFFSET(floors!$A$1,0,0,COUNTA(floors!$A:$A),MATCH(I$1,floors!$1:$1,0)-MATCH($H$1,floors!$1:$1,0)+1),MATCH(I$1,floors!$1:$1,0)-MATCH($H$1,floors!$1:$1,0)+1,FALSE)</f>
        <v>50</v>
      </c>
      <c r="J49" s="5">
        <f ca="1">VLOOKUP($H49,OFFSET(floors!$A$1,0,0,COUNTA(floors!$A:$A),MATCH(J$1,floors!$1:$1,0)-MATCH($H$1,floors!$1:$1,0)+1),MATCH(J$1,floors!$1:$1,0)-MATCH($H$1,floors!$1:$1,0)+1,FALSE)</f>
        <v>50</v>
      </c>
      <c r="K49" s="8" t="s">
        <v>149</v>
      </c>
      <c r="L49" s="24">
        <v>345</v>
      </c>
      <c r="M49" s="20" t="str">
        <f ca="1">VLOOKUP($L49,OFFSET([3]enemies!$A$1,0,0,COUNTA([3]enemies!$A:$A),MATCH(M$1,[3]enemies!$1:$1,0)-MATCH($L$1,[3]enemies!$1:$1,0)+1),MATCH(M$1,[3]enemies!$1:$1,0)-MATCH($L$1,[3]enemies!$1:$1,0)+1,FALSE)</f>
        <v>雷のメタルチック</v>
      </c>
      <c r="N49" s="20" t="str">
        <f ca="1">VLOOKUP($L49,OFFSET([3]enemies!$A$1,0,0,COUNTA([3]enemies!$A:$A),MATCH(N$1,[3]enemies!$1:$1,0)-MATCH($L$1,[3]enemies!$1:$1,0)+1),MATCH(N$1,[3]enemies!$1:$1,0)-MATCH($L$1,[3]enemies!$1:$1,0)+1,FALSE)</f>
        <v>yellow</v>
      </c>
      <c r="O49" s="20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20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20">
        <f ca="1">VLOOKUP($L49,OFFSET([3]enemies!$A$1,0,0,COUNTA([3]enemies!$A:$A),MATCH(Q$1,[3]enemies!$1:$1,0)-MATCH($L$1,[3]enemies!$1:$1,0)+1),MATCH(Q$1,[3]enemies!$1:$1,0)-MATCH($L$1,[3]enemies!$1:$1,0)+1,FALSE)</f>
        <v>15</v>
      </c>
      <c r="R49" s="8">
        <v>3</v>
      </c>
      <c r="S49" s="30">
        <v>1</v>
      </c>
      <c r="T49" s="30">
        <v>35</v>
      </c>
      <c r="U49" s="6">
        <v>-2000</v>
      </c>
      <c r="V49" s="5" t="str">
        <f ca="1">VLOOKUP($W49,OFFSET([5]enemy_skill_sets!$B$1,0,0,COUNTA([5]enemy_skill_sets!$B:$B),MATCH(M$1,[5]enemy_skill_sets!$1:$1,0)-MATCH($W$1,[5]enemy_skill_sets!$1:$1,0)+2),MATCH(M$1,[5]enemy_skill_sets!$1:$1,0)-MATCH($W$1,[5]enemy_skill_sets!$1:$1,0)+2,FALSE)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9" s="5">
        <f ca="1">VLOOKUP($L49,OFFSET([3]enemies!$A$1,0,0,COUNTA([3]enemies!$A:$A),MATCH(W$1,[3]enemies!$1:$1,0)-MATCH($L$1,[3]enemies!$1:$1,0)+1),MATCH(W$1,[3]enemies!$1:$1,0)-MATCH($L$1,[3]enemies!$1:$1,0)+1,FALSE)</f>
        <v>0</v>
      </c>
      <c r="X49" s="7">
        <v>0</v>
      </c>
      <c r="Y49" s="7">
        <v>100</v>
      </c>
      <c r="Z49" s="7">
        <v>0</v>
      </c>
      <c r="AA49" s="20">
        <f ca="1">VLOOKUP($L49,OFFSET([3]enemies!$A$1,0,0,COUNTA([3]enemies!$A:$A),MATCH(AA$1,[3]enemies!$1:$1,0)-MATCH($L$1,[3]enemies!$1:$1,0)+1),MATCH(AA$1,[3]enemies!$1:$1,0)-MATCH($L$1,[3]enemies!$1:$1,0)+1,FALSE)</f>
        <v>2</v>
      </c>
      <c r="AB49" s="2">
        <f t="shared" si="5"/>
        <v>345</v>
      </c>
      <c r="AC49" s="5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49" s="5">
        <f ca="1">VLOOKUP($AB49,OFFSET([4]characters!$A$1,0,0,COUNTA([4]characters!$A:$A),MATCH(AD$1,[4]characters!$1:$1,0)-MATCH("character_id",[4]characters!$1:$1,0)+1),MATCH(AD$1,[4]characters!$1:$1,0)-MATCH("character_id",[4]characters!$1:$1,0)+1,FALSE)</f>
        <v>4</v>
      </c>
      <c r="AE49" s="5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9" s="8">
        <v>1</v>
      </c>
      <c r="AG49" s="28">
        <f t="shared" ca="1" si="22"/>
        <v>4</v>
      </c>
      <c r="AH49" s="9">
        <v>63.3</v>
      </c>
      <c r="AI49" s="8">
        <v>0</v>
      </c>
      <c r="AJ49" s="8">
        <v>0</v>
      </c>
      <c r="AK49" s="8">
        <v>0</v>
      </c>
      <c r="AL49" s="8">
        <v>0</v>
      </c>
      <c r="AM49" s="8">
        <v>1</v>
      </c>
    </row>
    <row r="50" spans="1:39" ht="21" customHeight="1" x14ac:dyDescent="0.15">
      <c r="A50" s="17" t="str">
        <f t="shared" ca="1" si="16"/>
        <v>12001_2-4/334&lt;lv1&gt;s3</v>
      </c>
      <c r="B50" s="26">
        <v>12001</v>
      </c>
      <c r="C50" s="25">
        <v>2</v>
      </c>
      <c r="D50" s="2" t="str">
        <f t="shared" ref="D50:D53" si="23">B50&amp;"_"&amp;C50</f>
        <v>12001_2</v>
      </c>
      <c r="E50" s="5" t="str">
        <f ca="1">VLOOKUP($B50,OFFSET([2]quests!$A$1,0,0,COUNTA([2]quests!$A:$A),MATCH(E$1,[2]quests!$1:$1,0)-MATCH($B$1,[2]quests!$1:$1,0)+1),MATCH(E$1,[2]quests!$1:$1,0)-MATCH($B$1,[2]quests!$1:$1,0)+1,FALSE)</f>
        <v>【緊急！！】 アヒル捕獲作戦</v>
      </c>
      <c r="F50" s="5" t="str">
        <f ca="1">VLOOKUP($D50,OFFSET([2]stages!$A$1,0,0,COUNTA([2]stages!$A:$A),MATCH(F$1,[2]stages!$2:$2,0)-MATCH($D$1,[2]stages!$2:$2,0)+1),MATCH(F$1,[2]stages!$2:$2,0)-MATCH($D$1,[2]stages!$2:$2,0)+1,FALSE)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0" s="25">
        <v>4</v>
      </c>
      <c r="H50" s="16" t="str">
        <f t="shared" si="4"/>
        <v>12001_2-4</v>
      </c>
      <c r="I50" s="5">
        <f ca="1">VLOOKUP($H50,OFFSET(floors!$A$1,0,0,COUNTA(floors!$A:$A),MATCH(I$1,floors!$1:$1,0)-MATCH($H$1,floors!$1:$1,0)+1),MATCH(I$1,floors!$1:$1,0)-MATCH($H$1,floors!$1:$1,0)+1,FALSE)</f>
        <v>50</v>
      </c>
      <c r="J50" s="5">
        <f ca="1">VLOOKUP($H50,OFFSET(floors!$A$1,0,0,COUNTA(floors!$A:$A),MATCH(J$1,floors!$1:$1,0)-MATCH($H$1,floors!$1:$1,0)+1),MATCH(J$1,floors!$1:$1,0)-MATCH($H$1,floors!$1:$1,0)+1,FALSE)</f>
        <v>50</v>
      </c>
      <c r="K50" s="8" t="s">
        <v>149</v>
      </c>
      <c r="L50" s="24">
        <v>334</v>
      </c>
      <c r="M50" s="20" t="str">
        <f ca="1">VLOOKUP($L50,OFFSET([3]enemies!$A$1,0,0,COUNTA([3]enemies!$A:$A),MATCH(M$1,[3]enemies!$1:$1,0)-MATCH($L$1,[3]enemies!$1:$1,0)+1),MATCH(M$1,[3]enemies!$1:$1,0)-MATCH($L$1,[3]enemies!$1:$1,0)+1,FALSE)</f>
        <v>炎のメタルダック</v>
      </c>
      <c r="N50" s="20" t="str">
        <f ca="1">VLOOKUP($L50,OFFSET([3]enemies!$A$1,0,0,COUNTA([3]enemies!$A:$A),MATCH(N$1,[3]enemies!$1:$1,0)-MATCH($L$1,[3]enemies!$1:$1,0)+1),MATCH(N$1,[3]enemies!$1:$1,0)-MATCH($L$1,[3]enemies!$1:$1,0)+1,FALSE)</f>
        <v>red</v>
      </c>
      <c r="O50" s="20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20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20">
        <f ca="1">VLOOKUP($L50,OFFSET([3]enemies!$A$1,0,0,COUNTA([3]enemies!$A:$A),MATCH(Q$1,[3]enemies!$1:$1,0)-MATCH($L$1,[3]enemies!$1:$1,0)+1),MATCH(Q$1,[3]enemies!$1:$1,0)-MATCH($L$1,[3]enemies!$1:$1,0)+1,FALSE)</f>
        <v>20</v>
      </c>
      <c r="R50" s="8">
        <v>1</v>
      </c>
      <c r="S50" s="30">
        <v>1</v>
      </c>
      <c r="T50" s="30">
        <v>35</v>
      </c>
      <c r="U50" s="6">
        <v>-5000</v>
      </c>
      <c r="V50" s="5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0" s="5">
        <f ca="1">VLOOKUP($L50,OFFSET([3]enemies!$A$1,0,0,COUNTA([3]enemies!$A:$A),MATCH(W$1,[3]enemies!$1:$1,0)-MATCH($L$1,[3]enemies!$1:$1,0)+1),MATCH(W$1,[3]enemies!$1:$1,0)-MATCH($L$1,[3]enemies!$1:$1,0)+1,FALSE)</f>
        <v>0</v>
      </c>
      <c r="X50" s="7">
        <v>0</v>
      </c>
      <c r="Y50" s="7">
        <v>100</v>
      </c>
      <c r="Z50" s="7">
        <v>2</v>
      </c>
      <c r="AA50" s="20">
        <f ca="1">VLOOKUP($L50,OFFSET([3]enemies!$A$1,0,0,COUNTA([3]enemies!$A:$A),MATCH(AA$1,[3]enemies!$1:$1,0)-MATCH($L$1,[3]enemies!$1:$1,0)+1),MATCH(AA$1,[3]enemies!$1:$1,0)-MATCH($L$1,[3]enemies!$1:$1,0)+1,FALSE)</f>
        <v>3</v>
      </c>
      <c r="AB50" s="2">
        <f t="shared" si="5"/>
        <v>334</v>
      </c>
      <c r="AC50" s="5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50" s="5">
        <f ca="1">VLOOKUP($AB50,OFFSET([4]characters!$A$1,0,0,COUNTA([4]characters!$A:$A),MATCH(AD$1,[4]characters!$1:$1,0)-MATCH("character_id",[4]characters!$1:$1,0)+1),MATCH(AD$1,[4]characters!$1:$1,0)-MATCH("character_id",[4]characters!$1:$1,0)+1,FALSE)</f>
        <v>5</v>
      </c>
      <c r="AE50" s="5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0" s="8">
        <v>1</v>
      </c>
      <c r="AG50" s="28">
        <f t="shared" ref="AG50:AG53" ca="1" si="24">AD50</f>
        <v>5</v>
      </c>
      <c r="AH50" s="9">
        <v>100</v>
      </c>
      <c r="AI50" s="8">
        <v>0</v>
      </c>
      <c r="AJ50" s="8">
        <v>0</v>
      </c>
      <c r="AK50" s="8">
        <v>0</v>
      </c>
      <c r="AL50" s="8">
        <v>0</v>
      </c>
      <c r="AM50" s="8">
        <v>1</v>
      </c>
    </row>
    <row r="51" spans="1:39" ht="21" customHeight="1" x14ac:dyDescent="0.15">
      <c r="A51" s="17" t="str">
        <f t="shared" ca="1" si="16"/>
        <v>12001_2-4/338&lt;lv1&gt;s3</v>
      </c>
      <c r="B51" s="26">
        <v>12001</v>
      </c>
      <c r="C51" s="25">
        <v>2</v>
      </c>
      <c r="D51" s="2" t="str">
        <f t="shared" si="23"/>
        <v>12001_2</v>
      </c>
      <c r="E51" s="5" t="str">
        <f ca="1">VLOOKUP($B51,OFFSET([2]quests!$A$1,0,0,COUNTA([2]quests!$A:$A),MATCH(E$1,[2]quests!$1:$1,0)-MATCH($B$1,[2]quests!$1:$1,0)+1),MATCH(E$1,[2]quests!$1:$1,0)-MATCH($B$1,[2]quests!$1:$1,0)+1,FALSE)</f>
        <v>【緊急！！】 アヒル捕獲作戦</v>
      </c>
      <c r="F51" s="5" t="str">
        <f ca="1">VLOOKUP($D51,OFFSET([2]stages!$A$1,0,0,COUNTA([2]stages!$A:$A),MATCH(F$1,[2]stages!$2:$2,0)-MATCH($D$1,[2]stages!$2:$2,0)+1),MATCH(F$1,[2]stages!$2:$2,0)-MATCH($D$1,[2]stages!$2:$2,0)+1,FALSE)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1" s="25">
        <v>4</v>
      </c>
      <c r="H51" s="16" t="str">
        <f t="shared" si="4"/>
        <v>12001_2-4</v>
      </c>
      <c r="I51" s="5">
        <f ca="1">VLOOKUP($H51,OFFSET(floors!$A$1,0,0,COUNTA(floors!$A:$A),MATCH(I$1,floors!$1:$1,0)-MATCH($H$1,floors!$1:$1,0)+1),MATCH(I$1,floors!$1:$1,0)-MATCH($H$1,floors!$1:$1,0)+1,FALSE)</f>
        <v>50</v>
      </c>
      <c r="J51" s="5">
        <f ca="1">VLOOKUP($H51,OFFSET(floors!$A$1,0,0,COUNTA(floors!$A:$A),MATCH(J$1,floors!$1:$1,0)-MATCH($H$1,floors!$1:$1,0)+1),MATCH(J$1,floors!$1:$1,0)-MATCH($H$1,floors!$1:$1,0)+1,FALSE)</f>
        <v>50</v>
      </c>
      <c r="K51" s="8" t="s">
        <v>149</v>
      </c>
      <c r="L51" s="24">
        <v>338</v>
      </c>
      <c r="M51" s="20" t="str">
        <f ca="1">VLOOKUP($L51,OFFSET([3]enemies!$A$1,0,0,COUNTA([3]enemies!$A:$A),MATCH(M$1,[3]enemies!$1:$1,0)-MATCH($L$1,[3]enemies!$1:$1,0)+1),MATCH(M$1,[3]enemies!$1:$1,0)-MATCH($L$1,[3]enemies!$1:$1,0)+1,FALSE)</f>
        <v>森のメタルダック</v>
      </c>
      <c r="N51" s="20" t="str">
        <f ca="1">VLOOKUP($L51,OFFSET([3]enemies!$A$1,0,0,COUNTA([3]enemies!$A:$A),MATCH(N$1,[3]enemies!$1:$1,0)-MATCH($L$1,[3]enemies!$1:$1,0)+1),MATCH(N$1,[3]enemies!$1:$1,0)-MATCH($L$1,[3]enemies!$1:$1,0)+1,FALSE)</f>
        <v>green</v>
      </c>
      <c r="O51" s="20" t="str">
        <f ca="1">VLOOKUP($L51,OFFSET([4]characters!$A$1,0,0,COUNTA([4]characters!$A:$A),MATCH(O$1,[4]characters!$1:$1,0)-MATCH($L$1,[4]characters!$1:$1,0)+1),MATCH(O$1,[4]characters!$1:$1,0)-MATCH($L$1,[4]characters!$1:$1,0)+1,FALSE)</f>
        <v>Material</v>
      </c>
      <c r="P51" s="20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20">
        <f ca="1">VLOOKUP($L51,OFFSET([3]enemies!$A$1,0,0,COUNTA([3]enemies!$A:$A),MATCH(Q$1,[3]enemies!$1:$1,0)-MATCH($L$1,[3]enemies!$1:$1,0)+1),MATCH(Q$1,[3]enemies!$1:$1,0)-MATCH($L$1,[3]enemies!$1:$1,0)+1,FALSE)</f>
        <v>20</v>
      </c>
      <c r="R51" s="8">
        <v>1</v>
      </c>
      <c r="S51" s="30">
        <v>1</v>
      </c>
      <c r="T51" s="30">
        <v>35</v>
      </c>
      <c r="U51" s="6">
        <v>-5000</v>
      </c>
      <c r="V51" s="5" t="str">
        <f ca="1">VLOOKUP($W51,OFFSET([5]enemy_skill_sets!$B$1,0,0,COUNTA([5]enemy_skill_sets!$B:$B),MATCH(M$1,[5]enemy_skill_sets!$1:$1,0)-MATCH($W$1,[5]enemy_skill_sets!$1:$1,0)+2),MATCH(M$1,[5]enemy_skill_sets!$1:$1,0)-MATCH($W$1,[5]enemy_skill_sets!$1:$1,0)+2,FALSE)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1" s="5">
        <f ca="1">VLOOKUP($L51,OFFSET([3]enemies!$A$1,0,0,COUNTA([3]enemies!$A:$A),MATCH(W$1,[3]enemies!$1:$1,0)-MATCH($L$1,[3]enemies!$1:$1,0)+1),MATCH(W$1,[3]enemies!$1:$1,0)-MATCH($L$1,[3]enemies!$1:$1,0)+1,FALSE)</f>
        <v>0</v>
      </c>
      <c r="X51" s="7">
        <v>0</v>
      </c>
      <c r="Y51" s="7">
        <v>100</v>
      </c>
      <c r="Z51" s="7">
        <v>2</v>
      </c>
      <c r="AA51" s="20">
        <f ca="1">VLOOKUP($L51,OFFSET([3]enemies!$A$1,0,0,COUNTA([3]enemies!$A:$A),MATCH(AA$1,[3]enemies!$1:$1,0)-MATCH($L$1,[3]enemies!$1:$1,0)+1),MATCH(AA$1,[3]enemies!$1:$1,0)-MATCH($L$1,[3]enemies!$1:$1,0)+1,FALSE)</f>
        <v>3</v>
      </c>
      <c r="AB51" s="2">
        <f t="shared" si="5"/>
        <v>338</v>
      </c>
      <c r="AC51" s="5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51" s="5">
        <f ca="1">VLOOKUP($AB51,OFFSET([4]characters!$A$1,0,0,COUNTA([4]characters!$A:$A),MATCH(AD$1,[4]characters!$1:$1,0)-MATCH("character_id",[4]characters!$1:$1,0)+1),MATCH(AD$1,[4]characters!$1:$1,0)-MATCH("character_id",[4]characters!$1:$1,0)+1,FALSE)</f>
        <v>5</v>
      </c>
      <c r="AE51" s="5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1" s="8">
        <v>1</v>
      </c>
      <c r="AG51" s="28">
        <f t="shared" ca="1" si="24"/>
        <v>5</v>
      </c>
      <c r="AH51" s="9">
        <v>100</v>
      </c>
      <c r="AI51" s="8">
        <v>0</v>
      </c>
      <c r="AJ51" s="8">
        <v>0</v>
      </c>
      <c r="AK51" s="8">
        <v>0</v>
      </c>
      <c r="AL51" s="8">
        <v>0</v>
      </c>
      <c r="AM51" s="8">
        <v>1</v>
      </c>
    </row>
    <row r="52" spans="1:39" ht="21" customHeight="1" x14ac:dyDescent="0.15">
      <c r="A52" s="17" t="str">
        <f t="shared" ca="1" si="16"/>
        <v>12001_2-4/342&lt;lv1&gt;s3</v>
      </c>
      <c r="B52" s="26">
        <v>12001</v>
      </c>
      <c r="C52" s="25">
        <v>2</v>
      </c>
      <c r="D52" s="2" t="str">
        <f t="shared" si="23"/>
        <v>12001_2</v>
      </c>
      <c r="E52" s="5" t="str">
        <f ca="1">VLOOKUP($B52,OFFSET([2]quests!$A$1,0,0,COUNTA([2]quests!$A:$A),MATCH(E$1,[2]quests!$1:$1,0)-MATCH($B$1,[2]quests!$1:$1,0)+1),MATCH(E$1,[2]quests!$1:$1,0)-MATCH($B$1,[2]quests!$1:$1,0)+1,FALSE)</f>
        <v>【緊急！！】 アヒル捕獲作戦</v>
      </c>
      <c r="F52" s="5" t="str">
        <f ca="1">VLOOKUP($D52,OFFSET([2]stages!$A$1,0,0,COUNTA([2]stages!$A:$A),MATCH(F$1,[2]stages!$2:$2,0)-MATCH($D$1,[2]stages!$2:$2,0)+1),MATCH(F$1,[2]stages!$2:$2,0)-MATCH($D$1,[2]stages!$2:$2,0)+1,FALSE)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2" s="25">
        <v>4</v>
      </c>
      <c r="H52" s="16" t="str">
        <f t="shared" si="4"/>
        <v>12001_2-4</v>
      </c>
      <c r="I52" s="5">
        <f ca="1">VLOOKUP($H52,OFFSET(floors!$A$1,0,0,COUNTA(floors!$A:$A),MATCH(I$1,floors!$1:$1,0)-MATCH($H$1,floors!$1:$1,0)+1),MATCH(I$1,floors!$1:$1,0)-MATCH($H$1,floors!$1:$1,0)+1,FALSE)</f>
        <v>50</v>
      </c>
      <c r="J52" s="5">
        <f ca="1">VLOOKUP($H52,OFFSET(floors!$A$1,0,0,COUNTA(floors!$A:$A),MATCH(J$1,floors!$1:$1,0)-MATCH($H$1,floors!$1:$1,0)+1),MATCH(J$1,floors!$1:$1,0)-MATCH($H$1,floors!$1:$1,0)+1,FALSE)</f>
        <v>50</v>
      </c>
      <c r="K52" s="8" t="s">
        <v>149</v>
      </c>
      <c r="L52" s="24">
        <v>342</v>
      </c>
      <c r="M52" s="20" t="str">
        <f ca="1">VLOOKUP($L52,OFFSET([3]enemies!$A$1,0,0,COUNTA([3]enemies!$A:$A),MATCH(M$1,[3]enemies!$1:$1,0)-MATCH($L$1,[3]enemies!$1:$1,0)+1),MATCH(M$1,[3]enemies!$1:$1,0)-MATCH($L$1,[3]enemies!$1:$1,0)+1,FALSE)</f>
        <v>水のメタルダック</v>
      </c>
      <c r="N52" s="20" t="str">
        <f ca="1">VLOOKUP($L52,OFFSET([3]enemies!$A$1,0,0,COUNTA([3]enemies!$A:$A),MATCH(N$1,[3]enemies!$1:$1,0)-MATCH($L$1,[3]enemies!$1:$1,0)+1),MATCH(N$1,[3]enemies!$1:$1,0)-MATCH($L$1,[3]enemies!$1:$1,0)+1,FALSE)</f>
        <v>blue</v>
      </c>
      <c r="O52" s="20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20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20">
        <f ca="1">VLOOKUP($L52,OFFSET([3]enemies!$A$1,0,0,COUNTA([3]enemies!$A:$A),MATCH(Q$1,[3]enemies!$1:$1,0)-MATCH($L$1,[3]enemies!$1:$1,0)+1),MATCH(Q$1,[3]enemies!$1:$1,0)-MATCH($L$1,[3]enemies!$1:$1,0)+1,FALSE)</f>
        <v>20</v>
      </c>
      <c r="R52" s="8">
        <v>1</v>
      </c>
      <c r="S52" s="30">
        <v>1</v>
      </c>
      <c r="T52" s="30">
        <v>35</v>
      </c>
      <c r="U52" s="6">
        <v>-5000</v>
      </c>
      <c r="V52" s="5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5">
        <f ca="1">VLOOKUP($L52,OFFSET([3]enemies!$A$1,0,0,COUNTA([3]enemies!$A:$A),MATCH(W$1,[3]enemies!$1:$1,0)-MATCH($L$1,[3]enemies!$1:$1,0)+1),MATCH(W$1,[3]enemies!$1:$1,0)-MATCH($L$1,[3]enemies!$1:$1,0)+1,FALSE)</f>
        <v>0</v>
      </c>
      <c r="X52" s="7">
        <v>0</v>
      </c>
      <c r="Y52" s="7">
        <v>100</v>
      </c>
      <c r="Z52" s="7">
        <v>2</v>
      </c>
      <c r="AA52" s="20">
        <f ca="1">VLOOKUP($L52,OFFSET([3]enemies!$A$1,0,0,COUNTA([3]enemies!$A:$A),MATCH(AA$1,[3]enemies!$1:$1,0)-MATCH($L$1,[3]enemies!$1:$1,0)+1),MATCH(AA$1,[3]enemies!$1:$1,0)-MATCH($L$1,[3]enemies!$1:$1,0)+1,FALSE)</f>
        <v>3</v>
      </c>
      <c r="AB52" s="2">
        <f t="shared" si="5"/>
        <v>342</v>
      </c>
      <c r="AC52" s="5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52" s="5">
        <f ca="1">VLOOKUP($AB52,OFFSET([4]characters!$A$1,0,0,COUNTA([4]characters!$A:$A),MATCH(AD$1,[4]characters!$1:$1,0)-MATCH("character_id",[4]characters!$1:$1,0)+1),MATCH(AD$1,[4]characters!$1:$1,0)-MATCH("character_id",[4]characters!$1:$1,0)+1,FALSE)</f>
        <v>5</v>
      </c>
      <c r="AE52" s="5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2" s="8">
        <v>1</v>
      </c>
      <c r="AG52" s="28">
        <f t="shared" ca="1" si="24"/>
        <v>5</v>
      </c>
      <c r="AH52" s="9">
        <v>100</v>
      </c>
      <c r="AI52" s="8">
        <v>0</v>
      </c>
      <c r="AJ52" s="8">
        <v>0</v>
      </c>
      <c r="AK52" s="8">
        <v>0</v>
      </c>
      <c r="AL52" s="8">
        <v>0</v>
      </c>
      <c r="AM52" s="8">
        <v>1</v>
      </c>
    </row>
    <row r="53" spans="1:39" ht="21" customHeight="1" x14ac:dyDescent="0.15">
      <c r="A53" s="17" t="str">
        <f t="shared" ca="1" si="16"/>
        <v>12001_2-4/346&lt;lv1&gt;s3</v>
      </c>
      <c r="B53" s="26">
        <v>12001</v>
      </c>
      <c r="C53" s="25">
        <v>2</v>
      </c>
      <c r="D53" s="2" t="str">
        <f t="shared" si="23"/>
        <v>12001_2</v>
      </c>
      <c r="E53" s="5" t="str">
        <f ca="1">VLOOKUP($B53,OFFSET([2]quests!$A$1,0,0,COUNTA([2]quests!$A:$A),MATCH(E$1,[2]quests!$1:$1,0)-MATCH($B$1,[2]quests!$1:$1,0)+1),MATCH(E$1,[2]quests!$1:$1,0)-MATCH($B$1,[2]quests!$1:$1,0)+1,FALSE)</f>
        <v>【緊急！！】 アヒル捕獲作戦</v>
      </c>
      <c r="F53" s="5" t="str">
        <f ca="1">VLOOKUP($D53,OFFSET([2]stages!$A$1,0,0,COUNTA([2]stages!$A:$A),MATCH(F$1,[2]stages!$2:$2,0)-MATCH($D$1,[2]stages!$2:$2,0)+1),MATCH(F$1,[2]stages!$2:$2,0)-MATCH($D$1,[2]stages!$2:$2,0)+1,FALSE)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3" s="25">
        <v>4</v>
      </c>
      <c r="H53" s="16" t="str">
        <f t="shared" si="4"/>
        <v>12001_2-4</v>
      </c>
      <c r="I53" s="5">
        <f ca="1">VLOOKUP($H53,OFFSET(floors!$A$1,0,0,COUNTA(floors!$A:$A),MATCH(I$1,floors!$1:$1,0)-MATCH($H$1,floors!$1:$1,0)+1),MATCH(I$1,floors!$1:$1,0)-MATCH($H$1,floors!$1:$1,0)+1,FALSE)</f>
        <v>50</v>
      </c>
      <c r="J53" s="5">
        <f ca="1">VLOOKUP($H53,OFFSET(floors!$A$1,0,0,COUNTA(floors!$A:$A),MATCH(J$1,floors!$1:$1,0)-MATCH($H$1,floors!$1:$1,0)+1),MATCH(J$1,floors!$1:$1,0)-MATCH($H$1,floors!$1:$1,0)+1,FALSE)</f>
        <v>50</v>
      </c>
      <c r="K53" s="8" t="s">
        <v>149</v>
      </c>
      <c r="L53" s="24">
        <v>346</v>
      </c>
      <c r="M53" s="20" t="str">
        <f ca="1">VLOOKUP($L53,OFFSET([3]enemies!$A$1,0,0,COUNTA([3]enemies!$A:$A),MATCH(M$1,[3]enemies!$1:$1,0)-MATCH($L$1,[3]enemies!$1:$1,0)+1),MATCH(M$1,[3]enemies!$1:$1,0)-MATCH($L$1,[3]enemies!$1:$1,0)+1,FALSE)</f>
        <v>雷のメタルダック</v>
      </c>
      <c r="N53" s="20" t="str">
        <f ca="1">VLOOKUP($L53,OFFSET([3]enemies!$A$1,0,0,COUNTA([3]enemies!$A:$A),MATCH(N$1,[3]enemies!$1:$1,0)-MATCH($L$1,[3]enemies!$1:$1,0)+1),MATCH(N$1,[3]enemies!$1:$1,0)-MATCH($L$1,[3]enemies!$1:$1,0)+1,FALSE)</f>
        <v>yellow</v>
      </c>
      <c r="O53" s="20" t="str">
        <f ca="1">VLOOKUP($L53,OFFSET([4]characters!$A$1,0,0,COUNTA([4]characters!$A:$A),MATCH(O$1,[4]characters!$1:$1,0)-MATCH($L$1,[4]characters!$1:$1,0)+1),MATCH(O$1,[4]characters!$1:$1,0)-MATCH($L$1,[4]characters!$1:$1,0)+1,FALSE)</f>
        <v>Material</v>
      </c>
      <c r="P53" s="20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20">
        <f ca="1">VLOOKUP($L53,OFFSET([3]enemies!$A$1,0,0,COUNTA([3]enemies!$A:$A),MATCH(Q$1,[3]enemies!$1:$1,0)-MATCH($L$1,[3]enemies!$1:$1,0)+1),MATCH(Q$1,[3]enemies!$1:$1,0)-MATCH($L$1,[3]enemies!$1:$1,0)+1,FALSE)</f>
        <v>20</v>
      </c>
      <c r="R53" s="8">
        <v>1</v>
      </c>
      <c r="S53" s="30">
        <v>1</v>
      </c>
      <c r="T53" s="30">
        <v>35</v>
      </c>
      <c r="U53" s="6">
        <v>-5000</v>
      </c>
      <c r="V53" s="5" t="str">
        <f ca="1">VLOOKUP($W53,OFFSET([5]enemy_skill_sets!$B$1,0,0,COUNTA([5]enemy_skill_sets!$B:$B),MATCH(M$1,[5]enemy_skill_sets!$1:$1,0)-MATCH($W$1,[5]enemy_skill_sets!$1:$1,0)+2),MATCH(M$1,[5]enemy_skill_sets!$1:$1,0)-MATCH($W$1,[5]enemy_skill_sets!$1:$1,0)+2,FALSE)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3" s="5">
        <f ca="1">VLOOKUP($L53,OFFSET([3]enemies!$A$1,0,0,COUNTA([3]enemies!$A:$A),MATCH(W$1,[3]enemies!$1:$1,0)-MATCH($L$1,[3]enemies!$1:$1,0)+1),MATCH(W$1,[3]enemies!$1:$1,0)-MATCH($L$1,[3]enemies!$1:$1,0)+1,FALSE)</f>
        <v>0</v>
      </c>
      <c r="X53" s="7">
        <v>0</v>
      </c>
      <c r="Y53" s="7">
        <v>100</v>
      </c>
      <c r="Z53" s="7">
        <v>2</v>
      </c>
      <c r="AA53" s="20">
        <f ca="1">VLOOKUP($L53,OFFSET([3]enemies!$A$1,0,0,COUNTA([3]enemies!$A:$A),MATCH(AA$1,[3]enemies!$1:$1,0)-MATCH($L$1,[3]enemies!$1:$1,0)+1),MATCH(AA$1,[3]enemies!$1:$1,0)-MATCH($L$1,[3]enemies!$1:$1,0)+1,FALSE)</f>
        <v>3</v>
      </c>
      <c r="AB53" s="2">
        <f t="shared" si="5"/>
        <v>346</v>
      </c>
      <c r="AC53" s="5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53" s="5">
        <f ca="1">VLOOKUP($AB53,OFFSET([4]characters!$A$1,0,0,COUNTA([4]characters!$A:$A),MATCH(AD$1,[4]characters!$1:$1,0)-MATCH("character_id",[4]characters!$1:$1,0)+1),MATCH(AD$1,[4]characters!$1:$1,0)-MATCH("character_id",[4]characters!$1:$1,0)+1,FALSE)</f>
        <v>5</v>
      </c>
      <c r="AE53" s="5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3" s="8">
        <v>1</v>
      </c>
      <c r="AG53" s="28">
        <f t="shared" ca="1" si="24"/>
        <v>5</v>
      </c>
      <c r="AH53" s="9">
        <v>100</v>
      </c>
      <c r="AI53" s="8">
        <v>0</v>
      </c>
      <c r="AJ53" s="8">
        <v>0</v>
      </c>
      <c r="AK53" s="8">
        <v>0</v>
      </c>
      <c r="AL53" s="8">
        <v>0</v>
      </c>
      <c r="AM53" s="8">
        <v>1</v>
      </c>
    </row>
    <row r="54" spans="1:39" ht="21" customHeight="1" x14ac:dyDescent="0.15">
      <c r="A54" s="17" t="str">
        <f t="shared" ca="1" si="16"/>
        <v>12001_2-5/334&lt;lv3&gt;s3</v>
      </c>
      <c r="B54" s="26">
        <v>12001</v>
      </c>
      <c r="C54" s="25">
        <v>2</v>
      </c>
      <c r="D54" s="2" t="str">
        <f t="shared" ref="D54:D69" si="25">B54&amp;"_"&amp;C54</f>
        <v>12001_2</v>
      </c>
      <c r="E54" s="5" t="str">
        <f ca="1">VLOOKUP($B54,OFFSET([2]quests!$A$1,0,0,COUNTA([2]quests!$A:$A),MATCH(E$1,[2]quests!$1:$1,0)-MATCH($B$1,[2]quests!$1:$1,0)+1),MATCH(E$1,[2]quests!$1:$1,0)-MATCH($B$1,[2]quests!$1:$1,0)+1,FALSE)</f>
        <v>【緊急！！】 アヒル捕獲作戦</v>
      </c>
      <c r="F54" s="5" t="str">
        <f ca="1">VLOOKUP($D54,OFFSET([2]stages!$A$1,0,0,COUNTA([2]stages!$A:$A),MATCH(F$1,[2]stages!$2:$2,0)-MATCH($D$1,[2]stages!$2:$2,0)+1),MATCH(F$1,[2]stages!$2:$2,0)-MATCH($D$1,[2]stages!$2:$2,0)+1,FALSE)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4" s="25">
        <v>5</v>
      </c>
      <c r="H54" s="16" t="str">
        <f t="shared" si="4"/>
        <v>12001_2-5</v>
      </c>
      <c r="I54" s="5">
        <f ca="1">VLOOKUP($H54,OFFSET(floors!$A$1,0,0,COUNTA(floors!$A:$A),MATCH(I$1,floors!$1:$1,0)-MATCH($H$1,floors!$1:$1,0)+1),MATCH(I$1,floors!$1:$1,0)-MATCH($H$1,floors!$1:$1,0)+1,FALSE)</f>
        <v>60</v>
      </c>
      <c r="J54" s="5">
        <f ca="1">VLOOKUP($H54,OFFSET(floors!$A$1,0,0,COUNTA(floors!$A:$A),MATCH(J$1,floors!$1:$1,0)-MATCH($H$1,floors!$1:$1,0)+1),MATCH(J$1,floors!$1:$1,0)-MATCH($H$1,floors!$1:$1,0)+1,FALSE)</f>
        <v>60</v>
      </c>
      <c r="K54" s="8" t="s">
        <v>149</v>
      </c>
      <c r="L54" s="24">
        <v>334</v>
      </c>
      <c r="M54" s="20" t="str">
        <f ca="1">VLOOKUP($L54,OFFSET([3]enemies!$A$1,0,0,COUNTA([3]enemies!$A:$A),MATCH(M$1,[3]enemies!$1:$1,0)-MATCH($L$1,[3]enemies!$1:$1,0)+1),MATCH(M$1,[3]enemies!$1:$1,0)-MATCH($L$1,[3]enemies!$1:$1,0)+1,FALSE)</f>
        <v>炎のメタルダック</v>
      </c>
      <c r="N54" s="20" t="str">
        <f ca="1">VLOOKUP($L54,OFFSET([3]enemies!$A$1,0,0,COUNTA([3]enemies!$A:$A),MATCH(N$1,[3]enemies!$1:$1,0)-MATCH($L$1,[3]enemies!$1:$1,0)+1),MATCH(N$1,[3]enemies!$1:$1,0)-MATCH($L$1,[3]enemies!$1:$1,0)+1,FALSE)</f>
        <v>red</v>
      </c>
      <c r="O54" s="20" t="str">
        <f ca="1">VLOOKUP($L54,OFFSET([4]characters!$A$1,0,0,COUNTA([4]characters!$A:$A),MATCH(O$1,[4]characters!$1:$1,0)-MATCH($L$1,[4]characters!$1:$1,0)+1),MATCH(O$1,[4]characters!$1:$1,0)-MATCH($L$1,[4]characters!$1:$1,0)+1,FALSE)</f>
        <v>Material</v>
      </c>
      <c r="P54" s="20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20">
        <f ca="1">VLOOKUP($L54,OFFSET([3]enemies!$A$1,0,0,COUNTA([3]enemies!$A:$A),MATCH(Q$1,[3]enemies!$1:$1,0)-MATCH($L$1,[3]enemies!$1:$1,0)+1),MATCH(Q$1,[3]enemies!$1:$1,0)-MATCH($L$1,[3]enemies!$1:$1,0)+1,FALSE)</f>
        <v>20</v>
      </c>
      <c r="R54" s="8">
        <v>3</v>
      </c>
      <c r="S54" s="30">
        <v>1</v>
      </c>
      <c r="T54" s="30">
        <v>35</v>
      </c>
      <c r="U54" s="6">
        <v>-9000</v>
      </c>
      <c r="V54" s="5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5">
        <f ca="1">VLOOKUP($L54,OFFSET([3]enemies!$A$1,0,0,COUNTA([3]enemies!$A:$A),MATCH(W$1,[3]enemies!$1:$1,0)-MATCH($L$1,[3]enemies!$1:$1,0)+1),MATCH(W$1,[3]enemies!$1:$1,0)-MATCH($L$1,[3]enemies!$1:$1,0)+1,FALSE)</f>
        <v>0</v>
      </c>
      <c r="X54" s="7">
        <v>0</v>
      </c>
      <c r="Y54" s="7">
        <v>100</v>
      </c>
      <c r="Z54" s="7">
        <v>0</v>
      </c>
      <c r="AA54" s="20">
        <f ca="1">VLOOKUP($L54,OFFSET([3]enemies!$A$1,0,0,COUNTA([3]enemies!$A:$A),MATCH(AA$1,[3]enemies!$1:$1,0)-MATCH($L$1,[3]enemies!$1:$1,0)+1),MATCH(AA$1,[3]enemies!$1:$1,0)-MATCH($L$1,[3]enemies!$1:$1,0)+1,FALSE)</f>
        <v>3</v>
      </c>
      <c r="AB54" s="2">
        <f t="shared" si="5"/>
        <v>334</v>
      </c>
      <c r="AC54" s="5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54" s="5">
        <f ca="1">VLOOKUP($AB54,OFFSET([4]characters!$A$1,0,0,COUNTA([4]characters!$A:$A),MATCH(AD$1,[4]characters!$1:$1,0)-MATCH("character_id",[4]characters!$1:$1,0)+1),MATCH(AD$1,[4]characters!$1:$1,0)-MATCH("character_id",[4]characters!$1:$1,0)+1,FALSE)</f>
        <v>5</v>
      </c>
      <c r="AE54" s="5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4" s="8">
        <v>1</v>
      </c>
      <c r="AG54" s="28">
        <f t="shared" ref="AG54:AG69" ca="1" si="26">AD54</f>
        <v>5</v>
      </c>
      <c r="AH54" s="9">
        <v>100</v>
      </c>
      <c r="AI54" s="8">
        <v>0</v>
      </c>
      <c r="AJ54" s="8">
        <v>0</v>
      </c>
      <c r="AK54" s="8">
        <v>0</v>
      </c>
      <c r="AL54" s="8">
        <v>0</v>
      </c>
      <c r="AM54" s="8">
        <v>1</v>
      </c>
    </row>
    <row r="55" spans="1:39" ht="21" customHeight="1" x14ac:dyDescent="0.15">
      <c r="A55" s="17" t="str">
        <f t="shared" ca="1" si="16"/>
        <v>12001_2-5/338&lt;lv3&gt;s3</v>
      </c>
      <c r="B55" s="26">
        <v>12001</v>
      </c>
      <c r="C55" s="25">
        <v>2</v>
      </c>
      <c r="D55" s="2" t="str">
        <f t="shared" si="25"/>
        <v>12001_2</v>
      </c>
      <c r="E55" s="5" t="str">
        <f ca="1">VLOOKUP($B55,OFFSET([2]quests!$A$1,0,0,COUNTA([2]quests!$A:$A),MATCH(E$1,[2]quests!$1:$1,0)-MATCH($B$1,[2]quests!$1:$1,0)+1),MATCH(E$1,[2]quests!$1:$1,0)-MATCH($B$1,[2]quests!$1:$1,0)+1,FALSE)</f>
        <v>【緊急！！】 アヒル捕獲作戦</v>
      </c>
      <c r="F55" s="5" t="str">
        <f ca="1">VLOOKUP($D55,OFFSET([2]stages!$A$1,0,0,COUNTA([2]stages!$A:$A),MATCH(F$1,[2]stages!$2:$2,0)-MATCH($D$1,[2]stages!$2:$2,0)+1),MATCH(F$1,[2]stages!$2:$2,0)-MATCH($D$1,[2]stages!$2:$2,0)+1,FALSE)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5" s="25">
        <v>5</v>
      </c>
      <c r="H55" s="16" t="str">
        <f t="shared" si="4"/>
        <v>12001_2-5</v>
      </c>
      <c r="I55" s="5">
        <f ca="1">VLOOKUP($H55,OFFSET(floors!$A$1,0,0,COUNTA(floors!$A:$A),MATCH(I$1,floors!$1:$1,0)-MATCH($H$1,floors!$1:$1,0)+1),MATCH(I$1,floors!$1:$1,0)-MATCH($H$1,floors!$1:$1,0)+1,FALSE)</f>
        <v>60</v>
      </c>
      <c r="J55" s="5">
        <f ca="1">VLOOKUP($H55,OFFSET(floors!$A$1,0,0,COUNTA(floors!$A:$A),MATCH(J$1,floors!$1:$1,0)-MATCH($H$1,floors!$1:$1,0)+1),MATCH(J$1,floors!$1:$1,0)-MATCH($H$1,floors!$1:$1,0)+1,FALSE)</f>
        <v>60</v>
      </c>
      <c r="K55" s="8" t="s">
        <v>149</v>
      </c>
      <c r="L55" s="24">
        <v>338</v>
      </c>
      <c r="M55" s="20" t="str">
        <f ca="1">VLOOKUP($L55,OFFSET([3]enemies!$A$1,0,0,COUNTA([3]enemies!$A:$A),MATCH(M$1,[3]enemies!$1:$1,0)-MATCH($L$1,[3]enemies!$1:$1,0)+1),MATCH(M$1,[3]enemies!$1:$1,0)-MATCH($L$1,[3]enemies!$1:$1,0)+1,FALSE)</f>
        <v>森のメタルダック</v>
      </c>
      <c r="N55" s="20" t="str">
        <f ca="1">VLOOKUP($L55,OFFSET([3]enemies!$A$1,0,0,COUNTA([3]enemies!$A:$A),MATCH(N$1,[3]enemies!$1:$1,0)-MATCH($L$1,[3]enemies!$1:$1,0)+1),MATCH(N$1,[3]enemies!$1:$1,0)-MATCH($L$1,[3]enemies!$1:$1,0)+1,FALSE)</f>
        <v>green</v>
      </c>
      <c r="O55" s="20" t="str">
        <f ca="1">VLOOKUP($L55,OFFSET([4]characters!$A$1,0,0,COUNTA([4]characters!$A:$A),MATCH(O$1,[4]characters!$1:$1,0)-MATCH($L$1,[4]characters!$1:$1,0)+1),MATCH(O$1,[4]characters!$1:$1,0)-MATCH($L$1,[4]characters!$1:$1,0)+1,FALSE)</f>
        <v>Material</v>
      </c>
      <c r="P55" s="20" t="str">
        <f ca="1">VLOOKUP($L55,OFFSET([3]enemies!$A$1,0,0,COUNTA([3]enemies!$A:$A),MATCH(P$1,[3]enemies!$1:$1,0)-MATCH($L$1,[3]enemies!$1:$1,0)+1),MATCH(P$1,[3]enemies!$1:$1,0)-MATCH($L$1,[3]enemies!$1:$1,0)+1,FALSE)</f>
        <v>unknown</v>
      </c>
      <c r="Q55" s="20">
        <f ca="1">VLOOKUP($L55,OFFSET([3]enemies!$A$1,0,0,COUNTA([3]enemies!$A:$A),MATCH(Q$1,[3]enemies!$1:$1,0)-MATCH($L$1,[3]enemies!$1:$1,0)+1),MATCH(Q$1,[3]enemies!$1:$1,0)-MATCH($L$1,[3]enemies!$1:$1,0)+1,FALSE)</f>
        <v>20</v>
      </c>
      <c r="R55" s="8">
        <v>3</v>
      </c>
      <c r="S55" s="30">
        <v>1</v>
      </c>
      <c r="T55" s="30">
        <v>35</v>
      </c>
      <c r="U55" s="6">
        <v>-9000</v>
      </c>
      <c r="V55" s="5" t="str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5" s="5">
        <f ca="1">VLOOKUP($L55,OFFSET([3]enemies!$A$1,0,0,COUNTA([3]enemies!$A:$A),MATCH(W$1,[3]enemies!$1:$1,0)-MATCH($L$1,[3]enemies!$1:$1,0)+1),MATCH(W$1,[3]enemies!$1:$1,0)-MATCH($L$1,[3]enemies!$1:$1,0)+1,FALSE)</f>
        <v>0</v>
      </c>
      <c r="X55" s="7">
        <v>0</v>
      </c>
      <c r="Y55" s="7">
        <v>100</v>
      </c>
      <c r="Z55" s="7">
        <v>0</v>
      </c>
      <c r="AA55" s="20">
        <f ca="1">VLOOKUP($L55,OFFSET([3]enemies!$A$1,0,0,COUNTA([3]enemies!$A:$A),MATCH(AA$1,[3]enemies!$1:$1,0)-MATCH($L$1,[3]enemies!$1:$1,0)+1),MATCH(AA$1,[3]enemies!$1:$1,0)-MATCH($L$1,[3]enemies!$1:$1,0)+1,FALSE)</f>
        <v>3</v>
      </c>
      <c r="AB55" s="2">
        <f t="shared" si="5"/>
        <v>338</v>
      </c>
      <c r="AC55" s="5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55" s="5">
        <f ca="1">VLOOKUP($AB55,OFFSET([4]characters!$A$1,0,0,COUNTA([4]characters!$A:$A),MATCH(AD$1,[4]characters!$1:$1,0)-MATCH("character_id",[4]characters!$1:$1,0)+1),MATCH(AD$1,[4]characters!$1:$1,0)-MATCH("character_id",[4]characters!$1:$1,0)+1,FALSE)</f>
        <v>5</v>
      </c>
      <c r="AE55" s="5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5" s="8">
        <v>1</v>
      </c>
      <c r="AG55" s="28">
        <f t="shared" ca="1" si="26"/>
        <v>5</v>
      </c>
      <c r="AH55" s="9">
        <v>100</v>
      </c>
      <c r="AI55" s="8">
        <v>0</v>
      </c>
      <c r="AJ55" s="8">
        <v>0</v>
      </c>
      <c r="AK55" s="8">
        <v>0</v>
      </c>
      <c r="AL55" s="8">
        <v>0</v>
      </c>
      <c r="AM55" s="8">
        <v>1</v>
      </c>
    </row>
    <row r="56" spans="1:39" ht="21" customHeight="1" x14ac:dyDescent="0.15">
      <c r="A56" s="17" t="str">
        <f t="shared" ca="1" si="16"/>
        <v>12001_2-5/342&lt;lv3&gt;s3</v>
      </c>
      <c r="B56" s="26">
        <v>12001</v>
      </c>
      <c r="C56" s="25">
        <v>2</v>
      </c>
      <c r="D56" s="2" t="str">
        <f t="shared" si="25"/>
        <v>12001_2</v>
      </c>
      <c r="E56" s="5" t="str">
        <f ca="1">VLOOKUP($B56,OFFSET([2]quests!$A$1,0,0,COUNTA([2]quests!$A:$A),MATCH(E$1,[2]quests!$1:$1,0)-MATCH($B$1,[2]quests!$1:$1,0)+1),MATCH(E$1,[2]quests!$1:$1,0)-MATCH($B$1,[2]quests!$1:$1,0)+1,FALSE)</f>
        <v>【緊急！！】 アヒル捕獲作戦</v>
      </c>
      <c r="F56" s="5" t="str">
        <f ca="1">VLOOKUP($D56,OFFSET([2]stages!$A$1,0,0,COUNTA([2]stages!$A:$A),MATCH(F$1,[2]stages!$2:$2,0)-MATCH($D$1,[2]stages!$2:$2,0)+1),MATCH(F$1,[2]stages!$2:$2,0)-MATCH($D$1,[2]stages!$2:$2,0)+1,FALSE)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6" s="25">
        <v>5</v>
      </c>
      <c r="H56" s="16" t="str">
        <f t="shared" si="4"/>
        <v>12001_2-5</v>
      </c>
      <c r="I56" s="5">
        <f ca="1">VLOOKUP($H56,OFFSET(floors!$A$1,0,0,COUNTA(floors!$A:$A),MATCH(I$1,floors!$1:$1,0)-MATCH($H$1,floors!$1:$1,0)+1),MATCH(I$1,floors!$1:$1,0)-MATCH($H$1,floors!$1:$1,0)+1,FALSE)</f>
        <v>60</v>
      </c>
      <c r="J56" s="5">
        <f ca="1">VLOOKUP($H56,OFFSET(floors!$A$1,0,0,COUNTA(floors!$A:$A),MATCH(J$1,floors!$1:$1,0)-MATCH($H$1,floors!$1:$1,0)+1),MATCH(J$1,floors!$1:$1,0)-MATCH($H$1,floors!$1:$1,0)+1,FALSE)</f>
        <v>60</v>
      </c>
      <c r="K56" s="8" t="s">
        <v>149</v>
      </c>
      <c r="L56" s="24">
        <v>342</v>
      </c>
      <c r="M56" s="20" t="str">
        <f ca="1">VLOOKUP($L56,OFFSET([3]enemies!$A$1,0,0,COUNTA([3]enemies!$A:$A),MATCH(M$1,[3]enemies!$1:$1,0)-MATCH($L$1,[3]enemies!$1:$1,0)+1),MATCH(M$1,[3]enemies!$1:$1,0)-MATCH($L$1,[3]enemies!$1:$1,0)+1,FALSE)</f>
        <v>水のメタルダック</v>
      </c>
      <c r="N56" s="20" t="str">
        <f ca="1">VLOOKUP($L56,OFFSET([3]enemies!$A$1,0,0,COUNTA([3]enemies!$A:$A),MATCH(N$1,[3]enemies!$1:$1,0)-MATCH($L$1,[3]enemies!$1:$1,0)+1),MATCH(N$1,[3]enemies!$1:$1,0)-MATCH($L$1,[3]enemies!$1:$1,0)+1,FALSE)</f>
        <v>blue</v>
      </c>
      <c r="O56" s="20" t="str">
        <f ca="1">VLOOKUP($L56,OFFSET([4]characters!$A$1,0,0,COUNTA([4]characters!$A:$A),MATCH(O$1,[4]characters!$1:$1,0)-MATCH($L$1,[4]characters!$1:$1,0)+1),MATCH(O$1,[4]characters!$1:$1,0)-MATCH($L$1,[4]characters!$1:$1,0)+1,FALSE)</f>
        <v>Material</v>
      </c>
      <c r="P56" s="20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20">
        <f ca="1">VLOOKUP($L56,OFFSET([3]enemies!$A$1,0,0,COUNTA([3]enemies!$A:$A),MATCH(Q$1,[3]enemies!$1:$1,0)-MATCH($L$1,[3]enemies!$1:$1,0)+1),MATCH(Q$1,[3]enemies!$1:$1,0)-MATCH($L$1,[3]enemies!$1:$1,0)+1,FALSE)</f>
        <v>20</v>
      </c>
      <c r="R56" s="8">
        <v>3</v>
      </c>
      <c r="S56" s="30">
        <v>1</v>
      </c>
      <c r="T56" s="30">
        <v>35</v>
      </c>
      <c r="U56" s="6">
        <v>-9000</v>
      </c>
      <c r="V56" s="5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6" s="5">
        <f ca="1">VLOOKUP($L56,OFFSET([3]enemies!$A$1,0,0,COUNTA([3]enemies!$A:$A),MATCH(W$1,[3]enemies!$1:$1,0)-MATCH($L$1,[3]enemies!$1:$1,0)+1),MATCH(W$1,[3]enemies!$1:$1,0)-MATCH($L$1,[3]enemies!$1:$1,0)+1,FALSE)</f>
        <v>0</v>
      </c>
      <c r="X56" s="7">
        <v>0</v>
      </c>
      <c r="Y56" s="7">
        <v>100</v>
      </c>
      <c r="Z56" s="7">
        <v>0</v>
      </c>
      <c r="AA56" s="20">
        <f ca="1">VLOOKUP($L56,OFFSET([3]enemies!$A$1,0,0,COUNTA([3]enemies!$A:$A),MATCH(AA$1,[3]enemies!$1:$1,0)-MATCH($L$1,[3]enemies!$1:$1,0)+1),MATCH(AA$1,[3]enemies!$1:$1,0)-MATCH($L$1,[3]enemies!$1:$1,0)+1,FALSE)</f>
        <v>3</v>
      </c>
      <c r="AB56" s="2">
        <f t="shared" si="5"/>
        <v>342</v>
      </c>
      <c r="AC56" s="5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56" s="5">
        <f ca="1">VLOOKUP($AB56,OFFSET([4]characters!$A$1,0,0,COUNTA([4]characters!$A:$A),MATCH(AD$1,[4]characters!$1:$1,0)-MATCH("character_id",[4]characters!$1:$1,0)+1),MATCH(AD$1,[4]characters!$1:$1,0)-MATCH("character_id",[4]characters!$1:$1,0)+1,FALSE)</f>
        <v>5</v>
      </c>
      <c r="AE56" s="5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6" s="8">
        <v>1</v>
      </c>
      <c r="AG56" s="28">
        <f t="shared" ca="1" si="26"/>
        <v>5</v>
      </c>
      <c r="AH56" s="9">
        <v>100</v>
      </c>
      <c r="AI56" s="8">
        <v>0</v>
      </c>
      <c r="AJ56" s="8">
        <v>0</v>
      </c>
      <c r="AK56" s="8">
        <v>0</v>
      </c>
      <c r="AL56" s="8">
        <v>0</v>
      </c>
      <c r="AM56" s="8">
        <v>1</v>
      </c>
    </row>
    <row r="57" spans="1:39" ht="21" customHeight="1" x14ac:dyDescent="0.15">
      <c r="A57" s="17" t="str">
        <f t="shared" ca="1" si="16"/>
        <v>12001_2-5/346&lt;lv3&gt;s3</v>
      </c>
      <c r="B57" s="26">
        <v>12001</v>
      </c>
      <c r="C57" s="25">
        <v>2</v>
      </c>
      <c r="D57" s="2" t="str">
        <f t="shared" si="25"/>
        <v>12001_2</v>
      </c>
      <c r="E57" s="5" t="str">
        <f ca="1">VLOOKUP($B57,OFFSET([2]quests!$A$1,0,0,COUNTA([2]quests!$A:$A),MATCH(E$1,[2]quests!$1:$1,0)-MATCH($B$1,[2]quests!$1:$1,0)+1),MATCH(E$1,[2]quests!$1:$1,0)-MATCH($B$1,[2]quests!$1:$1,0)+1,FALSE)</f>
        <v>【緊急！！】 アヒル捕獲作戦</v>
      </c>
      <c r="F57" s="5" t="str">
        <f ca="1">VLOOKUP($D57,OFFSET([2]stages!$A$1,0,0,COUNTA([2]stages!$A:$A),MATCH(F$1,[2]stages!$2:$2,0)-MATCH($D$1,[2]stages!$2:$2,0)+1),MATCH(F$1,[2]stages!$2:$2,0)-MATCH($D$1,[2]stages!$2:$2,0)+1,FALSE)</f>
        <v xml:space="preserve">【上級】メタルダックを捕獲せよ！ </v>
      </c>
      <c r="G57" s="25">
        <v>5</v>
      </c>
      <c r="H57" s="16" t="str">
        <f t="shared" si="4"/>
        <v>12001_2-5</v>
      </c>
      <c r="I57" s="5">
        <f ca="1">VLOOKUP($H57,OFFSET(floors!$A$1,0,0,COUNTA(floors!$A:$A),MATCH(I$1,floors!$1:$1,0)-MATCH($H$1,floors!$1:$1,0)+1),MATCH(I$1,floors!$1:$1,0)-MATCH($H$1,floors!$1:$1,0)+1,FALSE)</f>
        <v>60</v>
      </c>
      <c r="J57" s="5">
        <f ca="1">VLOOKUP($H57,OFFSET(floors!$A$1,0,0,COUNTA(floors!$A:$A),MATCH(J$1,floors!$1:$1,0)-MATCH($H$1,floors!$1:$1,0)+1),MATCH(J$1,floors!$1:$1,0)-MATCH($H$1,floors!$1:$1,0)+1,FALSE)</f>
        <v>60</v>
      </c>
      <c r="K57" s="8" t="s">
        <v>149</v>
      </c>
      <c r="L57" s="24">
        <v>346</v>
      </c>
      <c r="M57" s="20" t="str">
        <f ca="1">VLOOKUP($L57,OFFSET([3]enemies!$A$1,0,0,COUNTA([3]enemies!$A:$A),MATCH(M$1,[3]enemies!$1:$1,0)-MATCH($L$1,[3]enemies!$1:$1,0)+1),MATCH(M$1,[3]enemies!$1:$1,0)-MATCH($L$1,[3]enemies!$1:$1,0)+1,FALSE)</f>
        <v>雷のメタルダック</v>
      </c>
      <c r="N57" s="20" t="str">
        <f ca="1">VLOOKUP($L57,OFFSET([3]enemies!$A$1,0,0,COUNTA([3]enemies!$A:$A),MATCH(N$1,[3]enemies!$1:$1,0)-MATCH($L$1,[3]enemies!$1:$1,0)+1),MATCH(N$1,[3]enemies!$1:$1,0)-MATCH($L$1,[3]enemies!$1:$1,0)+1,FALSE)</f>
        <v>yellow</v>
      </c>
      <c r="O57" s="20" t="str">
        <f ca="1">VLOOKUP($L57,OFFSET([4]characters!$A$1,0,0,COUNTA([4]characters!$A:$A),MATCH(O$1,[4]characters!$1:$1,0)-MATCH($L$1,[4]characters!$1:$1,0)+1),MATCH(O$1,[4]characters!$1:$1,0)-MATCH($L$1,[4]characters!$1:$1,0)+1,FALSE)</f>
        <v>Material</v>
      </c>
      <c r="P57" s="20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20">
        <f ca="1">VLOOKUP($L57,OFFSET([3]enemies!$A$1,0,0,COUNTA([3]enemies!$A:$A),MATCH(Q$1,[3]enemies!$1:$1,0)-MATCH($L$1,[3]enemies!$1:$1,0)+1),MATCH(Q$1,[3]enemies!$1:$1,0)-MATCH($L$1,[3]enemies!$1:$1,0)+1,FALSE)</f>
        <v>20</v>
      </c>
      <c r="R57" s="8">
        <v>3</v>
      </c>
      <c r="S57" s="30">
        <v>1</v>
      </c>
      <c r="T57" s="30">
        <v>35</v>
      </c>
      <c r="U57" s="6">
        <v>-9000</v>
      </c>
      <c r="V57" s="5" t="str">
        <f ca="1">VLOOKUP($W57,OFFSET([5]enemy_skill_sets!$B$1,0,0,COUNTA([5]enemy_skill_sets!$B:$B),MATCH(M$1,[5]enemy_skill_sets!$1:$1,0)-MATCH($W$1,[5]enemy_skill_sets!$1:$1,0)+2),MATCH(M$1,[5]enemy_skill_sets!$1:$1,0)-MATCH($W$1,[5]enemy_skill_sets!$1:$1,0)+2,FALSE)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7" s="5">
        <f ca="1">VLOOKUP($L57,OFFSET([3]enemies!$A$1,0,0,COUNTA([3]enemies!$A:$A),MATCH(W$1,[3]enemies!$1:$1,0)-MATCH($L$1,[3]enemies!$1:$1,0)+1),MATCH(W$1,[3]enemies!$1:$1,0)-MATCH($L$1,[3]enemies!$1:$1,0)+1,FALSE)</f>
        <v>0</v>
      </c>
      <c r="X57" s="7">
        <v>0</v>
      </c>
      <c r="Y57" s="7">
        <v>100</v>
      </c>
      <c r="Z57" s="7">
        <v>0</v>
      </c>
      <c r="AA57" s="20">
        <f ca="1">VLOOKUP($L57,OFFSET([3]enemies!$A$1,0,0,COUNTA([3]enemies!$A:$A),MATCH(AA$1,[3]enemies!$1:$1,0)-MATCH($L$1,[3]enemies!$1:$1,0)+1),MATCH(AA$1,[3]enemies!$1:$1,0)-MATCH($L$1,[3]enemies!$1:$1,0)+1,FALSE)</f>
        <v>3</v>
      </c>
      <c r="AB57" s="2">
        <f t="shared" si="5"/>
        <v>346</v>
      </c>
      <c r="AC57" s="5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57" s="5">
        <f ca="1">VLOOKUP($AB57,OFFSET([4]characters!$A$1,0,0,COUNTA([4]characters!$A:$A),MATCH(AD$1,[4]characters!$1:$1,0)-MATCH("character_id",[4]characters!$1:$1,0)+1),MATCH(AD$1,[4]characters!$1:$1,0)-MATCH("character_id",[4]characters!$1:$1,0)+1,FALSE)</f>
        <v>5</v>
      </c>
      <c r="AE57" s="5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7" s="8">
        <v>1</v>
      </c>
      <c r="AG57" s="28">
        <f t="shared" ca="1" si="26"/>
        <v>5</v>
      </c>
      <c r="AH57" s="9">
        <v>100</v>
      </c>
      <c r="AI57" s="8">
        <v>0</v>
      </c>
      <c r="AJ57" s="8">
        <v>0</v>
      </c>
      <c r="AK57" s="8">
        <v>0</v>
      </c>
      <c r="AL57" s="8">
        <v>0</v>
      </c>
      <c r="AM57" s="8">
        <v>1</v>
      </c>
    </row>
    <row r="58" spans="1:39" ht="21" customHeight="1" x14ac:dyDescent="0.15">
      <c r="A58" s="17" t="str">
        <f t="shared" si="16"/>
        <v>12001_3-1/334&lt;lv10&gt;s2</v>
      </c>
      <c r="B58" s="26">
        <v>12001</v>
      </c>
      <c r="C58" s="25">
        <v>3</v>
      </c>
      <c r="D58" s="2" t="str">
        <f t="shared" si="25"/>
        <v>12001_3</v>
      </c>
      <c r="E58" s="5" t="str">
        <f ca="1">VLOOKUP($B58,OFFSET([2]quests!$A$1,0,0,COUNTA([2]quests!$A:$A),MATCH(E$1,[2]quests!$1:$1,0)-MATCH($B$1,[2]quests!$1:$1,0)+1),MATCH(E$1,[2]quests!$1:$1,0)-MATCH($B$1,[2]quests!$1:$1,0)+1,FALSE)</f>
        <v>【緊急！！】 アヒル捕獲作戦</v>
      </c>
      <c r="F58" s="5" t="str">
        <f ca="1">VLOOKUP($D58,OFFSET([2]stages!$A$1,0,0,COUNTA([2]stages!$A:$A),MATCH(F$1,[2]stages!$2:$2,0)-MATCH($D$1,[2]stages!$2:$2,0)+1),MATCH(F$1,[2]stages!$2:$2,0)-MATCH($D$1,[2]stages!$2:$2,0)+1,FALSE)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58" s="25">
        <v>1</v>
      </c>
      <c r="H58" s="16" t="str">
        <f t="shared" si="4"/>
        <v>12001_3-1</v>
      </c>
      <c r="I58" s="5">
        <f ca="1">VLOOKUP($H58,OFFSET(floors!$A$1,0,0,COUNTA(floors!$A:$A),MATCH(I$1,floors!$1:$1,0)-MATCH($H$1,floors!$1:$1,0)+1),MATCH(I$1,floors!$1:$1,0)-MATCH($H$1,floors!$1:$1,0)+1,FALSE)</f>
        <v>20</v>
      </c>
      <c r="J58" s="5">
        <f ca="1">VLOOKUP($H58,OFFSET(floors!$A$1,0,0,COUNTA(floors!$A:$A),MATCH(J$1,floors!$1:$1,0)-MATCH($H$1,floors!$1:$1,0)+1),MATCH(J$1,floors!$1:$1,0)-MATCH($H$1,floors!$1:$1,0)+1,FALSE)</f>
        <v>20</v>
      </c>
      <c r="K58" s="8" t="s">
        <v>147</v>
      </c>
      <c r="L58" s="24">
        <v>334</v>
      </c>
      <c r="M58" s="20" t="str">
        <f ca="1">VLOOKUP($L58,OFFSET([3]enemies!$A$1,0,0,COUNTA([3]enemies!$A:$A),MATCH(M$1,[3]enemies!$1:$1,0)-MATCH($L$1,[3]enemies!$1:$1,0)+1),MATCH(M$1,[3]enemies!$1:$1,0)-MATCH($L$1,[3]enemies!$1:$1,0)+1,FALSE)</f>
        <v>炎のメタルダック</v>
      </c>
      <c r="N58" s="20" t="str">
        <f ca="1">VLOOKUP($L58,OFFSET([3]enemies!$A$1,0,0,COUNTA([3]enemies!$A:$A),MATCH(N$1,[3]enemies!$1:$1,0)-MATCH($L$1,[3]enemies!$1:$1,0)+1),MATCH(N$1,[3]enemies!$1:$1,0)-MATCH($L$1,[3]enemies!$1:$1,0)+1,FALSE)</f>
        <v>red</v>
      </c>
      <c r="O58" s="20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20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20">
        <f ca="1">VLOOKUP($L58,OFFSET([3]enemies!$A$1,0,0,COUNTA([3]enemies!$A:$A),MATCH(Q$1,[3]enemies!$1:$1,0)-MATCH($L$1,[3]enemies!$1:$1,0)+1),MATCH(Q$1,[3]enemies!$1:$1,0)-MATCH($L$1,[3]enemies!$1:$1,0)+1,FALSE)</f>
        <v>20</v>
      </c>
      <c r="R58" s="8">
        <v>10</v>
      </c>
      <c r="S58" s="30">
        <v>0.5</v>
      </c>
      <c r="T58" s="30">
        <v>50</v>
      </c>
      <c r="U58" s="6">
        <v>-13000</v>
      </c>
      <c r="V58" s="5" t="str">
        <f ca="1">VLOOKUP($W58,OFFSET([5]enemy_skill_sets!$B$1,0,0,COUNTA([5]enemy_skill_sets!$B:$B),MATCH(M$1,[5]enemy_skill_sets!$1:$1,0)-MATCH($W$1,[5]enemy_skill_sets!$1:$1,0)+2),MATCH(M$1,[5]enemy_skill_sets!$1:$1,0)-MATCH($W$1,[5]enemy_skill_sets!$1:$1,0)+2,FALSE)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8" s="5">
        <f ca="1">VLOOKUP($L58,OFFSET([3]enemies!$A$1,0,0,COUNTA([3]enemies!$A:$A),MATCH(W$1,[3]enemies!$1:$1,0)-MATCH($L$1,[3]enemies!$1:$1,0)+1),MATCH(W$1,[3]enemies!$1:$1,0)-MATCH($L$1,[3]enemies!$1:$1,0)+1,FALSE)</f>
        <v>0</v>
      </c>
      <c r="X58" s="7">
        <v>0</v>
      </c>
      <c r="Y58" s="7">
        <v>100</v>
      </c>
      <c r="Z58" s="7">
        <v>0</v>
      </c>
      <c r="AA58" s="60">
        <v>2</v>
      </c>
      <c r="AB58" s="2">
        <f t="shared" ref="AB58:AB61" si="27">L58</f>
        <v>334</v>
      </c>
      <c r="AC58" s="5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58" s="5">
        <f ca="1">VLOOKUP($AB58,OFFSET([4]characters!$A$1,0,0,COUNTA([4]characters!$A:$A),MATCH(AD$1,[4]characters!$1:$1,0)-MATCH("character_id",[4]characters!$1:$1,0)+1),MATCH(AD$1,[4]characters!$1:$1,0)-MATCH("character_id",[4]characters!$1:$1,0)+1,FALSE)</f>
        <v>5</v>
      </c>
      <c r="AE58" s="5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8" s="8">
        <v>1</v>
      </c>
      <c r="AG58" s="28">
        <f t="shared" ca="1" si="26"/>
        <v>5</v>
      </c>
      <c r="AH58" s="9">
        <v>100</v>
      </c>
      <c r="AI58" s="8">
        <v>0</v>
      </c>
      <c r="AJ58" s="8">
        <v>0</v>
      </c>
      <c r="AK58" s="8">
        <v>0</v>
      </c>
      <c r="AL58" s="8">
        <v>0</v>
      </c>
      <c r="AM58" s="8">
        <v>1</v>
      </c>
    </row>
    <row r="59" spans="1:39" ht="21" customHeight="1" x14ac:dyDescent="0.15">
      <c r="A59" s="17" t="str">
        <f t="shared" si="16"/>
        <v>12001_3-1/338&lt;lv10&gt;s2</v>
      </c>
      <c r="B59" s="26">
        <v>12001</v>
      </c>
      <c r="C59" s="25">
        <v>3</v>
      </c>
      <c r="D59" s="2" t="str">
        <f t="shared" si="25"/>
        <v>12001_3</v>
      </c>
      <c r="E59" s="5" t="str">
        <f ca="1">VLOOKUP($B59,OFFSET([2]quests!$A$1,0,0,COUNTA([2]quests!$A:$A),MATCH(E$1,[2]quests!$1:$1,0)-MATCH($B$1,[2]quests!$1:$1,0)+1),MATCH(E$1,[2]quests!$1:$1,0)-MATCH($B$1,[2]quests!$1:$1,0)+1,FALSE)</f>
        <v>【緊急！！】 アヒル捕獲作戦</v>
      </c>
      <c r="F59" s="5" t="str">
        <f ca="1">VLOOKUP($D59,OFFSET([2]stages!$A$1,0,0,COUNTA([2]stages!$A:$A),MATCH(F$1,[2]stages!$2:$2,0)-MATCH($D$1,[2]stages!$2:$2,0)+1),MATCH(F$1,[2]stages!$2:$2,0)-MATCH($D$1,[2]stages!$2:$2,0)+1,FALSE)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59" s="25">
        <v>1</v>
      </c>
      <c r="H59" s="16" t="str">
        <f t="shared" si="4"/>
        <v>12001_3-1</v>
      </c>
      <c r="I59" s="5">
        <f ca="1">VLOOKUP($H59,OFFSET(floors!$A$1,0,0,COUNTA(floors!$A:$A),MATCH(I$1,floors!$1:$1,0)-MATCH($H$1,floors!$1:$1,0)+1),MATCH(I$1,floors!$1:$1,0)-MATCH($H$1,floors!$1:$1,0)+1,FALSE)</f>
        <v>20</v>
      </c>
      <c r="J59" s="5">
        <f ca="1">VLOOKUP($H59,OFFSET(floors!$A$1,0,0,COUNTA(floors!$A:$A),MATCH(J$1,floors!$1:$1,0)-MATCH($H$1,floors!$1:$1,0)+1),MATCH(J$1,floors!$1:$1,0)-MATCH($H$1,floors!$1:$1,0)+1,FALSE)</f>
        <v>20</v>
      </c>
      <c r="K59" s="8" t="s">
        <v>147</v>
      </c>
      <c r="L59" s="24">
        <v>338</v>
      </c>
      <c r="M59" s="20" t="str">
        <f ca="1">VLOOKUP($L59,OFFSET([3]enemies!$A$1,0,0,COUNTA([3]enemies!$A:$A),MATCH(M$1,[3]enemies!$1:$1,0)-MATCH($L$1,[3]enemies!$1:$1,0)+1),MATCH(M$1,[3]enemies!$1:$1,0)-MATCH($L$1,[3]enemies!$1:$1,0)+1,FALSE)</f>
        <v>森のメタルダック</v>
      </c>
      <c r="N59" s="20" t="str">
        <f ca="1">VLOOKUP($L59,OFFSET([3]enemies!$A$1,0,0,COUNTA([3]enemies!$A:$A),MATCH(N$1,[3]enemies!$1:$1,0)-MATCH($L$1,[3]enemies!$1:$1,0)+1),MATCH(N$1,[3]enemies!$1:$1,0)-MATCH($L$1,[3]enemies!$1:$1,0)+1,FALSE)</f>
        <v>green</v>
      </c>
      <c r="O59" s="20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20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20">
        <f ca="1">VLOOKUP($L59,OFFSET([3]enemies!$A$1,0,0,COUNTA([3]enemies!$A:$A),MATCH(Q$1,[3]enemies!$1:$1,0)-MATCH($L$1,[3]enemies!$1:$1,0)+1),MATCH(Q$1,[3]enemies!$1:$1,0)-MATCH($L$1,[3]enemies!$1:$1,0)+1,FALSE)</f>
        <v>20</v>
      </c>
      <c r="R59" s="8">
        <v>10</v>
      </c>
      <c r="S59" s="30">
        <v>0.5</v>
      </c>
      <c r="T59" s="30">
        <v>50</v>
      </c>
      <c r="U59" s="6">
        <v>-13000</v>
      </c>
      <c r="V59" s="5" t="str">
        <f ca="1">VLOOKUP($W59,OFFSET([5]enemy_skill_sets!$B$1,0,0,COUNTA([5]enemy_skill_sets!$B:$B),MATCH(M$1,[5]enemy_skill_sets!$1:$1,0)-MATCH($W$1,[5]enemy_skill_sets!$1:$1,0)+2),MATCH(M$1,[5]enemy_skill_sets!$1:$1,0)-MATCH($W$1,[5]enemy_skill_sets!$1:$1,0)+2,FALSE)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9" s="5">
        <f ca="1">VLOOKUP($L59,OFFSET([3]enemies!$A$1,0,0,COUNTA([3]enemies!$A:$A),MATCH(W$1,[3]enemies!$1:$1,0)-MATCH($L$1,[3]enemies!$1:$1,0)+1),MATCH(W$1,[3]enemies!$1:$1,0)-MATCH($L$1,[3]enemies!$1:$1,0)+1,FALSE)</f>
        <v>0</v>
      </c>
      <c r="X59" s="7">
        <v>0</v>
      </c>
      <c r="Y59" s="7">
        <v>100</v>
      </c>
      <c r="Z59" s="7">
        <v>0</v>
      </c>
      <c r="AA59" s="60">
        <v>2</v>
      </c>
      <c r="AB59" s="2">
        <f t="shared" si="27"/>
        <v>338</v>
      </c>
      <c r="AC59" s="5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59" s="5">
        <f ca="1">VLOOKUP($AB59,OFFSET([4]characters!$A$1,0,0,COUNTA([4]characters!$A:$A),MATCH(AD$1,[4]characters!$1:$1,0)-MATCH("character_id",[4]characters!$1:$1,0)+1),MATCH(AD$1,[4]characters!$1:$1,0)-MATCH("character_id",[4]characters!$1:$1,0)+1,FALSE)</f>
        <v>5</v>
      </c>
      <c r="AE59" s="5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9" s="8">
        <v>1</v>
      </c>
      <c r="AG59" s="28">
        <f t="shared" ca="1" si="26"/>
        <v>5</v>
      </c>
      <c r="AH59" s="9">
        <v>100</v>
      </c>
      <c r="AI59" s="8">
        <v>0</v>
      </c>
      <c r="AJ59" s="8">
        <v>0</v>
      </c>
      <c r="AK59" s="8">
        <v>0</v>
      </c>
      <c r="AL59" s="8">
        <v>0</v>
      </c>
      <c r="AM59" s="8">
        <v>1</v>
      </c>
    </row>
    <row r="60" spans="1:39" ht="21" customHeight="1" x14ac:dyDescent="0.15">
      <c r="A60" s="17" t="str">
        <f t="shared" si="16"/>
        <v>12001_3-1/342&lt;lv10&gt;s2</v>
      </c>
      <c r="B60" s="26">
        <v>12001</v>
      </c>
      <c r="C60" s="25">
        <v>3</v>
      </c>
      <c r="D60" s="2" t="str">
        <f t="shared" si="25"/>
        <v>12001_3</v>
      </c>
      <c r="E60" s="5" t="str">
        <f ca="1">VLOOKUP($B60,OFFSET([2]quests!$A$1,0,0,COUNTA([2]quests!$A:$A),MATCH(E$1,[2]quests!$1:$1,0)-MATCH($B$1,[2]quests!$1:$1,0)+1),MATCH(E$1,[2]quests!$1:$1,0)-MATCH($B$1,[2]quests!$1:$1,0)+1,FALSE)</f>
        <v>【緊急！！】 アヒル捕獲作戦</v>
      </c>
      <c r="F60" s="5" t="str">
        <f ca="1">VLOOKUP($D60,OFFSET([2]stages!$A$1,0,0,COUNTA([2]stages!$A:$A),MATCH(F$1,[2]stages!$2:$2,0)-MATCH($D$1,[2]stages!$2:$2,0)+1),MATCH(F$1,[2]stages!$2:$2,0)-MATCH($D$1,[2]stages!$2:$2,0)+1,FALSE)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0" s="25">
        <v>1</v>
      </c>
      <c r="H60" s="16" t="str">
        <f t="shared" si="4"/>
        <v>12001_3-1</v>
      </c>
      <c r="I60" s="5">
        <f ca="1">VLOOKUP($H60,OFFSET(floors!$A$1,0,0,COUNTA(floors!$A:$A),MATCH(I$1,floors!$1:$1,0)-MATCH($H$1,floors!$1:$1,0)+1),MATCH(I$1,floors!$1:$1,0)-MATCH($H$1,floors!$1:$1,0)+1,FALSE)</f>
        <v>20</v>
      </c>
      <c r="J60" s="5">
        <f ca="1">VLOOKUP($H60,OFFSET(floors!$A$1,0,0,COUNTA(floors!$A:$A),MATCH(J$1,floors!$1:$1,0)-MATCH($H$1,floors!$1:$1,0)+1),MATCH(J$1,floors!$1:$1,0)-MATCH($H$1,floors!$1:$1,0)+1,FALSE)</f>
        <v>20</v>
      </c>
      <c r="K60" s="8" t="s">
        <v>147</v>
      </c>
      <c r="L60" s="24">
        <v>342</v>
      </c>
      <c r="M60" s="20" t="str">
        <f ca="1">VLOOKUP($L60,OFFSET([3]enemies!$A$1,0,0,COUNTA([3]enemies!$A:$A),MATCH(M$1,[3]enemies!$1:$1,0)-MATCH($L$1,[3]enemies!$1:$1,0)+1),MATCH(M$1,[3]enemies!$1:$1,0)-MATCH($L$1,[3]enemies!$1:$1,0)+1,FALSE)</f>
        <v>水のメタルダック</v>
      </c>
      <c r="N60" s="20" t="str">
        <f ca="1">VLOOKUP($L60,OFFSET([3]enemies!$A$1,0,0,COUNTA([3]enemies!$A:$A),MATCH(N$1,[3]enemies!$1:$1,0)-MATCH($L$1,[3]enemies!$1:$1,0)+1),MATCH(N$1,[3]enemies!$1:$1,0)-MATCH($L$1,[3]enemies!$1:$1,0)+1,FALSE)</f>
        <v>blue</v>
      </c>
      <c r="O60" s="20" t="str">
        <f ca="1">VLOOKUP($L60,OFFSET([4]characters!$A$1,0,0,COUNTA([4]characters!$A:$A),MATCH(O$1,[4]characters!$1:$1,0)-MATCH($L$1,[4]characters!$1:$1,0)+1),MATCH(O$1,[4]characters!$1:$1,0)-MATCH($L$1,[4]characters!$1:$1,0)+1,FALSE)</f>
        <v>Material</v>
      </c>
      <c r="P60" s="20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20">
        <f ca="1">VLOOKUP($L60,OFFSET([3]enemies!$A$1,0,0,COUNTA([3]enemies!$A:$A),MATCH(Q$1,[3]enemies!$1:$1,0)-MATCH($L$1,[3]enemies!$1:$1,0)+1),MATCH(Q$1,[3]enemies!$1:$1,0)-MATCH($L$1,[3]enemies!$1:$1,0)+1,FALSE)</f>
        <v>20</v>
      </c>
      <c r="R60" s="8">
        <v>10</v>
      </c>
      <c r="S60" s="30">
        <v>0.5</v>
      </c>
      <c r="T60" s="30">
        <v>50</v>
      </c>
      <c r="U60" s="6">
        <v>-13000</v>
      </c>
      <c r="V60" s="5" t="str">
        <f ca="1">VLOOKUP($W60,OFFSET([5]enemy_skill_sets!$B$1,0,0,COUNTA([5]enemy_skill_sets!$B:$B),MATCH(M$1,[5]enemy_skill_sets!$1:$1,0)-MATCH($W$1,[5]enemy_skill_sets!$1:$1,0)+2),MATCH(M$1,[5]enemy_skill_sets!$1:$1,0)-MATCH($W$1,[5]enemy_skill_sets!$1:$1,0)+2,FALSE)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0" s="5">
        <f ca="1">VLOOKUP($L60,OFFSET([3]enemies!$A$1,0,0,COUNTA([3]enemies!$A:$A),MATCH(W$1,[3]enemies!$1:$1,0)-MATCH($L$1,[3]enemies!$1:$1,0)+1),MATCH(W$1,[3]enemies!$1:$1,0)-MATCH($L$1,[3]enemies!$1:$1,0)+1,FALSE)</f>
        <v>0</v>
      </c>
      <c r="X60" s="7">
        <v>0</v>
      </c>
      <c r="Y60" s="7">
        <v>100</v>
      </c>
      <c r="Z60" s="7">
        <v>0</v>
      </c>
      <c r="AA60" s="60">
        <v>2</v>
      </c>
      <c r="AB60" s="2">
        <f t="shared" si="27"/>
        <v>342</v>
      </c>
      <c r="AC60" s="5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60" s="5">
        <f ca="1">VLOOKUP($AB60,OFFSET([4]characters!$A$1,0,0,COUNTA([4]characters!$A:$A),MATCH(AD$1,[4]characters!$1:$1,0)-MATCH("character_id",[4]characters!$1:$1,0)+1),MATCH(AD$1,[4]characters!$1:$1,0)-MATCH("character_id",[4]characters!$1:$1,0)+1,FALSE)</f>
        <v>5</v>
      </c>
      <c r="AE60" s="5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0" s="8">
        <v>1</v>
      </c>
      <c r="AG60" s="28">
        <f t="shared" ca="1" si="26"/>
        <v>5</v>
      </c>
      <c r="AH60" s="9">
        <v>100</v>
      </c>
      <c r="AI60" s="8">
        <v>0</v>
      </c>
      <c r="AJ60" s="8">
        <v>0</v>
      </c>
      <c r="AK60" s="8">
        <v>0</v>
      </c>
      <c r="AL60" s="8">
        <v>0</v>
      </c>
      <c r="AM60" s="8">
        <v>1</v>
      </c>
    </row>
    <row r="61" spans="1:39" ht="21" customHeight="1" x14ac:dyDescent="0.15">
      <c r="A61" s="17" t="str">
        <f t="shared" si="16"/>
        <v>12001_3-1/346&lt;lv10&gt;s2</v>
      </c>
      <c r="B61" s="26">
        <v>12001</v>
      </c>
      <c r="C61" s="25">
        <v>3</v>
      </c>
      <c r="D61" s="2" t="str">
        <f t="shared" si="25"/>
        <v>12001_3</v>
      </c>
      <c r="E61" s="5" t="str">
        <f ca="1">VLOOKUP($B61,OFFSET([2]quests!$A$1,0,0,COUNTA([2]quests!$A:$A),MATCH(E$1,[2]quests!$1:$1,0)-MATCH($B$1,[2]quests!$1:$1,0)+1),MATCH(E$1,[2]quests!$1:$1,0)-MATCH($B$1,[2]quests!$1:$1,0)+1,FALSE)</f>
        <v>【緊急！！】 アヒル捕獲作戦</v>
      </c>
      <c r="F61" s="5" t="str">
        <f ca="1">VLOOKUP($D61,OFFSET([2]stages!$A$1,0,0,COUNTA([2]stages!$A:$A),MATCH(F$1,[2]stages!$2:$2,0)-MATCH($D$1,[2]stages!$2:$2,0)+1),MATCH(F$1,[2]stages!$2:$2,0)-MATCH($D$1,[2]stages!$2:$2,0)+1,FALSE)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1" s="25">
        <v>1</v>
      </c>
      <c r="H61" s="16" t="str">
        <f t="shared" si="4"/>
        <v>12001_3-1</v>
      </c>
      <c r="I61" s="5">
        <f ca="1">VLOOKUP($H61,OFFSET(floors!$A$1,0,0,COUNTA(floors!$A:$A),MATCH(I$1,floors!$1:$1,0)-MATCH($H$1,floors!$1:$1,0)+1),MATCH(I$1,floors!$1:$1,0)-MATCH($H$1,floors!$1:$1,0)+1,FALSE)</f>
        <v>20</v>
      </c>
      <c r="J61" s="5">
        <f ca="1">VLOOKUP($H61,OFFSET(floors!$A$1,0,0,COUNTA(floors!$A:$A),MATCH(J$1,floors!$1:$1,0)-MATCH($H$1,floors!$1:$1,0)+1),MATCH(J$1,floors!$1:$1,0)-MATCH($H$1,floors!$1:$1,0)+1,FALSE)</f>
        <v>20</v>
      </c>
      <c r="K61" s="8" t="s">
        <v>147</v>
      </c>
      <c r="L61" s="24">
        <v>346</v>
      </c>
      <c r="M61" s="20" t="str">
        <f ca="1">VLOOKUP($L61,OFFSET([3]enemies!$A$1,0,0,COUNTA([3]enemies!$A:$A),MATCH(M$1,[3]enemies!$1:$1,0)-MATCH($L$1,[3]enemies!$1:$1,0)+1),MATCH(M$1,[3]enemies!$1:$1,0)-MATCH($L$1,[3]enemies!$1:$1,0)+1,FALSE)</f>
        <v>雷のメタルダック</v>
      </c>
      <c r="N61" s="20" t="str">
        <f ca="1">VLOOKUP($L61,OFFSET([3]enemies!$A$1,0,0,COUNTA([3]enemies!$A:$A),MATCH(N$1,[3]enemies!$1:$1,0)-MATCH($L$1,[3]enemies!$1:$1,0)+1),MATCH(N$1,[3]enemies!$1:$1,0)-MATCH($L$1,[3]enemies!$1:$1,0)+1,FALSE)</f>
        <v>yellow</v>
      </c>
      <c r="O61" s="20" t="str">
        <f ca="1">VLOOKUP($L61,OFFSET([4]characters!$A$1,0,0,COUNTA([4]characters!$A:$A),MATCH(O$1,[4]characters!$1:$1,0)-MATCH($L$1,[4]characters!$1:$1,0)+1),MATCH(O$1,[4]characters!$1:$1,0)-MATCH($L$1,[4]characters!$1:$1,0)+1,FALSE)</f>
        <v>Material</v>
      </c>
      <c r="P61" s="20" t="str">
        <f ca="1">VLOOKUP($L61,OFFSET([3]enemies!$A$1,0,0,COUNTA([3]enemies!$A:$A),MATCH(P$1,[3]enemies!$1:$1,0)-MATCH($L$1,[3]enemies!$1:$1,0)+1),MATCH(P$1,[3]enemies!$1:$1,0)-MATCH($L$1,[3]enemies!$1:$1,0)+1,FALSE)</f>
        <v>unknown</v>
      </c>
      <c r="Q61" s="20">
        <f ca="1">VLOOKUP($L61,OFFSET([3]enemies!$A$1,0,0,COUNTA([3]enemies!$A:$A),MATCH(Q$1,[3]enemies!$1:$1,0)-MATCH($L$1,[3]enemies!$1:$1,0)+1),MATCH(Q$1,[3]enemies!$1:$1,0)-MATCH($L$1,[3]enemies!$1:$1,0)+1,FALSE)</f>
        <v>20</v>
      </c>
      <c r="R61" s="8">
        <v>10</v>
      </c>
      <c r="S61" s="30">
        <v>0.5</v>
      </c>
      <c r="T61" s="30">
        <v>50</v>
      </c>
      <c r="U61" s="6">
        <v>-13000</v>
      </c>
      <c r="V61" s="5" t="str">
        <f ca="1">VLOOKUP($W61,OFFSET([5]enemy_skill_sets!$B$1,0,0,COUNTA([5]enemy_skill_sets!$B:$B),MATCH(M$1,[5]enemy_skill_sets!$1:$1,0)-MATCH($W$1,[5]enemy_skill_sets!$1:$1,0)+2),MATCH(M$1,[5]enemy_skill_sets!$1:$1,0)-MATCH($W$1,[5]enemy_skill_sets!$1:$1,0)+2,FALSE)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1" s="5">
        <f ca="1">VLOOKUP($L61,OFFSET([3]enemies!$A$1,0,0,COUNTA([3]enemies!$A:$A),MATCH(W$1,[3]enemies!$1:$1,0)-MATCH($L$1,[3]enemies!$1:$1,0)+1),MATCH(W$1,[3]enemies!$1:$1,0)-MATCH($L$1,[3]enemies!$1:$1,0)+1,FALSE)</f>
        <v>0</v>
      </c>
      <c r="X61" s="7">
        <v>0</v>
      </c>
      <c r="Y61" s="7">
        <v>100</v>
      </c>
      <c r="Z61" s="7">
        <v>0</v>
      </c>
      <c r="AA61" s="60">
        <v>2</v>
      </c>
      <c r="AB61" s="2">
        <f t="shared" si="27"/>
        <v>346</v>
      </c>
      <c r="AC61" s="5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61" s="5">
        <f ca="1">VLOOKUP($AB61,OFFSET([4]characters!$A$1,0,0,COUNTA([4]characters!$A:$A),MATCH(AD$1,[4]characters!$1:$1,0)-MATCH("character_id",[4]characters!$1:$1,0)+1),MATCH(AD$1,[4]characters!$1:$1,0)-MATCH("character_id",[4]characters!$1:$1,0)+1,FALSE)</f>
        <v>5</v>
      </c>
      <c r="AE61" s="5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1" s="8">
        <v>1</v>
      </c>
      <c r="AG61" s="28">
        <f t="shared" ca="1" si="26"/>
        <v>5</v>
      </c>
      <c r="AH61" s="9">
        <v>100</v>
      </c>
      <c r="AI61" s="8">
        <v>0</v>
      </c>
      <c r="AJ61" s="8">
        <v>0</v>
      </c>
      <c r="AK61" s="8">
        <v>0</v>
      </c>
      <c r="AL61" s="8">
        <v>0</v>
      </c>
      <c r="AM61" s="8">
        <v>1</v>
      </c>
    </row>
    <row r="62" spans="1:39" ht="21" customHeight="1" x14ac:dyDescent="0.15">
      <c r="A62" s="17" t="str">
        <f>B62&amp;"_"&amp;C62&amp;"-"&amp;G62&amp;"/"&amp;L62&amp;"&lt;lv"&amp;R62&amp;"&gt;s"&amp;AA62</f>
        <v>12001_3-2/333&lt;lv10&gt;s1</v>
      </c>
      <c r="B62" s="26">
        <v>12001</v>
      </c>
      <c r="C62" s="25">
        <v>3</v>
      </c>
      <c r="D62" s="2" t="str">
        <f>B62&amp;"_"&amp;C62</f>
        <v>12001_3</v>
      </c>
      <c r="E62" s="5" t="str">
        <f ca="1">VLOOKUP($B62,OFFSET([2]quests!$A$1,0,0,COUNTA([2]quests!$A:$A),MATCH(E$1,[2]quests!$1:$1,0)-MATCH($B$1,[2]quests!$1:$1,0)+1),MATCH(E$1,[2]quests!$1:$1,0)-MATCH($B$1,[2]quests!$1:$1,0)+1,FALSE)</f>
        <v>【緊急！！】 アヒル捕獲作戦</v>
      </c>
      <c r="F62" s="5" t="str">
        <f ca="1">VLOOKUP($D62,OFFSET([2]stages!$A$1,0,0,COUNTA([2]stages!$A:$A),MATCH(F$1,[2]stages!$2:$2,0)-MATCH($D$1,[2]stages!$2:$2,0)+1),MATCH(F$1,[2]stages!$2:$2,0)-MATCH($D$1,[2]stages!$2:$2,0)+1,FALSE)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2" s="25">
        <v>2</v>
      </c>
      <c r="H62" s="16" t="str">
        <f>B62&amp;"_"&amp;C62&amp;"-"&amp;G62</f>
        <v>12001_3-2</v>
      </c>
      <c r="I62" s="5">
        <f ca="1">VLOOKUP($H62,OFFSET(floors!$A$1,0,0,COUNTA(floors!$A:$A),MATCH(I$1,floors!$1:$1,0)-MATCH($H$1,floors!$1:$1,0)+1),MATCH(I$1,floors!$1:$1,0)-MATCH($H$1,floors!$1:$1,0)+1,FALSE)</f>
        <v>35</v>
      </c>
      <c r="J62" s="5">
        <f ca="1">VLOOKUP($H62,OFFSET(floors!$A$1,0,0,COUNTA(floors!$A:$A),MATCH(J$1,floors!$1:$1,0)-MATCH($H$1,floors!$1:$1,0)+1),MATCH(J$1,floors!$1:$1,0)-MATCH($H$1,floors!$1:$1,0)+1,FALSE)</f>
        <v>35</v>
      </c>
      <c r="K62" s="8" t="s">
        <v>149</v>
      </c>
      <c r="L62" s="24">
        <v>333</v>
      </c>
      <c r="M62" s="20" t="str">
        <f ca="1">VLOOKUP($L62,OFFSET([3]enemies!$A$1,0,0,COUNTA([3]enemies!$A:$A),MATCH(M$1,[3]enemies!$1:$1,0)-MATCH($L$1,[3]enemies!$1:$1,0)+1),MATCH(M$1,[3]enemies!$1:$1,0)-MATCH($L$1,[3]enemies!$1:$1,0)+1,FALSE)</f>
        <v>炎のメタルチック</v>
      </c>
      <c r="N62" s="20" t="str">
        <f ca="1">VLOOKUP($L62,OFFSET([3]enemies!$A$1,0,0,COUNTA([3]enemies!$A:$A),MATCH(N$1,[3]enemies!$1:$1,0)-MATCH($L$1,[3]enemies!$1:$1,0)+1),MATCH(N$1,[3]enemies!$1:$1,0)-MATCH($L$1,[3]enemies!$1:$1,0)+1,FALSE)</f>
        <v>red</v>
      </c>
      <c r="O62" s="20" t="str">
        <f ca="1">VLOOKUP($L62,OFFSET([4]characters!$A$1,0,0,COUNTA([4]characters!$A:$A),MATCH(O$1,[4]characters!$1:$1,0)-MATCH($L$1,[4]characters!$1:$1,0)+1),MATCH(O$1,[4]characters!$1:$1,0)-MATCH($L$1,[4]characters!$1:$1,0)+1,FALSE)</f>
        <v>Material</v>
      </c>
      <c r="P62" s="20" t="str">
        <f ca="1">VLOOKUP($L62,OFFSET([3]enemies!$A$1,0,0,COUNTA([3]enemies!$A:$A),MATCH(P$1,[3]enemies!$1:$1,0)-MATCH($L$1,[3]enemies!$1:$1,0)+1),MATCH(P$1,[3]enemies!$1:$1,0)-MATCH($L$1,[3]enemies!$1:$1,0)+1,FALSE)</f>
        <v>unknown</v>
      </c>
      <c r="Q62" s="20">
        <f ca="1">VLOOKUP($L62,OFFSET([3]enemies!$A$1,0,0,COUNTA([3]enemies!$A:$A),MATCH(Q$1,[3]enemies!$1:$1,0)-MATCH($L$1,[3]enemies!$1:$1,0)+1),MATCH(Q$1,[3]enemies!$1:$1,0)-MATCH($L$1,[3]enemies!$1:$1,0)+1,FALSE)</f>
        <v>15</v>
      </c>
      <c r="R62" s="8">
        <v>10</v>
      </c>
      <c r="S62" s="30">
        <v>0.5</v>
      </c>
      <c r="T62" s="30">
        <v>60</v>
      </c>
      <c r="U62" s="6">
        <v>1600</v>
      </c>
      <c r="V62" s="5" t="str">
        <f ca="1">VLOOKUP($W62,OFFSET([5]enemy_skill_sets!$B$1,0,0,COUNTA([5]enemy_skill_sets!$B:$B),MATCH(M$1,[5]enemy_skill_sets!$1:$1,0)-MATCH($W$1,[5]enemy_skill_sets!$1:$1,0)+2),MATCH(M$1,[5]enemy_skill_sets!$1:$1,0)-MATCH($W$1,[5]enemy_skill_sets!$1:$1,0)+2,FALSE)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2" s="5">
        <f ca="1">VLOOKUP($L62,OFFSET([3]enemies!$A$1,0,0,COUNTA([3]enemies!$A:$A),MATCH(W$1,[3]enemies!$1:$1,0)-MATCH($L$1,[3]enemies!$1:$1,0)+1),MATCH(W$1,[3]enemies!$1:$1,0)-MATCH($L$1,[3]enemies!$1:$1,0)+1,FALSE)</f>
        <v>0</v>
      </c>
      <c r="X62" s="7">
        <v>0</v>
      </c>
      <c r="Y62" s="7">
        <v>25</v>
      </c>
      <c r="Z62" s="7">
        <v>0</v>
      </c>
      <c r="AA62" s="60">
        <v>1</v>
      </c>
      <c r="AB62" s="2">
        <f>L62</f>
        <v>333</v>
      </c>
      <c r="AC62" s="5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62" s="5">
        <f ca="1">VLOOKUP($AB62,OFFSET([4]characters!$A$1,0,0,COUNTA([4]characters!$A:$A),MATCH(AD$1,[4]characters!$1:$1,0)-MATCH("character_id",[4]characters!$1:$1,0)+1),MATCH(AD$1,[4]characters!$1:$1,0)-MATCH("character_id",[4]characters!$1:$1,0)+1,FALSE)</f>
        <v>4</v>
      </c>
      <c r="AE62" s="5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2" s="8">
        <v>1</v>
      </c>
      <c r="AG62" s="28">
        <f ca="1">AD62</f>
        <v>4</v>
      </c>
      <c r="AH62" s="9">
        <v>0</v>
      </c>
      <c r="AI62" s="8">
        <v>0</v>
      </c>
      <c r="AJ62" s="8">
        <v>0</v>
      </c>
      <c r="AK62" s="8">
        <v>0</v>
      </c>
      <c r="AL62" s="8">
        <v>0</v>
      </c>
      <c r="AM62" s="8">
        <v>1</v>
      </c>
    </row>
    <row r="63" spans="1:39" ht="21" customHeight="1" x14ac:dyDescent="0.15">
      <c r="A63" s="17" t="str">
        <f t="shared" si="16"/>
        <v>12001_3-2/337&lt;lv10&gt;s1</v>
      </c>
      <c r="B63" s="26">
        <v>12001</v>
      </c>
      <c r="C63" s="25">
        <v>3</v>
      </c>
      <c r="D63" s="2" t="str">
        <f t="shared" si="25"/>
        <v>12001_3</v>
      </c>
      <c r="E63" s="5" t="str">
        <f ca="1">VLOOKUP($B63,OFFSET([2]quests!$A$1,0,0,COUNTA([2]quests!$A:$A),MATCH(E$1,[2]quests!$1:$1,0)-MATCH($B$1,[2]quests!$1:$1,0)+1),MATCH(E$1,[2]quests!$1:$1,0)-MATCH($B$1,[2]quests!$1:$1,0)+1,FALSE)</f>
        <v>【緊急！！】 アヒル捕獲作戦</v>
      </c>
      <c r="F63" s="5" t="str">
        <f ca="1">VLOOKUP($D63,OFFSET([2]stages!$A$1,0,0,COUNTA([2]stages!$A:$A),MATCH(F$1,[2]stages!$2:$2,0)-MATCH($D$1,[2]stages!$2:$2,0)+1),MATCH(F$1,[2]stages!$2:$2,0)-MATCH($D$1,[2]stages!$2:$2,0)+1,FALSE)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3" s="25">
        <v>2</v>
      </c>
      <c r="H63" s="16" t="str">
        <f t="shared" si="4"/>
        <v>12001_3-2</v>
      </c>
      <c r="I63" s="5">
        <f ca="1">VLOOKUP($H63,OFFSET(floors!$A$1,0,0,COUNTA(floors!$A:$A),MATCH(I$1,floors!$1:$1,0)-MATCH($H$1,floors!$1:$1,0)+1),MATCH(I$1,floors!$1:$1,0)-MATCH($H$1,floors!$1:$1,0)+1,FALSE)</f>
        <v>35</v>
      </c>
      <c r="J63" s="5">
        <f ca="1">VLOOKUP($H63,OFFSET(floors!$A$1,0,0,COUNTA(floors!$A:$A),MATCH(J$1,floors!$1:$1,0)-MATCH($H$1,floors!$1:$1,0)+1),MATCH(J$1,floors!$1:$1,0)-MATCH($H$1,floors!$1:$1,0)+1,FALSE)</f>
        <v>35</v>
      </c>
      <c r="K63" s="8" t="s">
        <v>149</v>
      </c>
      <c r="L63" s="24">
        <v>337</v>
      </c>
      <c r="M63" s="20" t="str">
        <f ca="1">VLOOKUP($L63,OFFSET([3]enemies!$A$1,0,0,COUNTA([3]enemies!$A:$A),MATCH(M$1,[3]enemies!$1:$1,0)-MATCH($L$1,[3]enemies!$1:$1,0)+1),MATCH(M$1,[3]enemies!$1:$1,0)-MATCH($L$1,[3]enemies!$1:$1,0)+1,FALSE)</f>
        <v>森のメタルチック</v>
      </c>
      <c r="N63" s="20" t="str">
        <f ca="1">VLOOKUP($L63,OFFSET([3]enemies!$A$1,0,0,COUNTA([3]enemies!$A:$A),MATCH(N$1,[3]enemies!$1:$1,0)-MATCH($L$1,[3]enemies!$1:$1,0)+1),MATCH(N$1,[3]enemies!$1:$1,0)-MATCH($L$1,[3]enemies!$1:$1,0)+1,FALSE)</f>
        <v>green</v>
      </c>
      <c r="O63" s="20" t="str">
        <f ca="1">VLOOKUP($L63,OFFSET([4]characters!$A$1,0,0,COUNTA([4]characters!$A:$A),MATCH(O$1,[4]characters!$1:$1,0)-MATCH($L$1,[4]characters!$1:$1,0)+1),MATCH(O$1,[4]characters!$1:$1,0)-MATCH($L$1,[4]characters!$1:$1,0)+1,FALSE)</f>
        <v>Material</v>
      </c>
      <c r="P63" s="20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20">
        <f ca="1">VLOOKUP($L63,OFFSET([3]enemies!$A$1,0,0,COUNTA([3]enemies!$A:$A),MATCH(Q$1,[3]enemies!$1:$1,0)-MATCH($L$1,[3]enemies!$1:$1,0)+1),MATCH(Q$1,[3]enemies!$1:$1,0)-MATCH($L$1,[3]enemies!$1:$1,0)+1,FALSE)</f>
        <v>15</v>
      </c>
      <c r="R63" s="8">
        <v>10</v>
      </c>
      <c r="S63" s="30">
        <v>0.5</v>
      </c>
      <c r="T63" s="30">
        <v>60</v>
      </c>
      <c r="U63" s="6">
        <v>1600</v>
      </c>
      <c r="V63" s="5" t="str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3" s="5">
        <f ca="1">VLOOKUP($L63,OFFSET([3]enemies!$A$1,0,0,COUNTA([3]enemies!$A:$A),MATCH(W$1,[3]enemies!$1:$1,0)-MATCH($L$1,[3]enemies!$1:$1,0)+1),MATCH(W$1,[3]enemies!$1:$1,0)-MATCH($L$1,[3]enemies!$1:$1,0)+1,FALSE)</f>
        <v>0</v>
      </c>
      <c r="X63" s="7">
        <v>0</v>
      </c>
      <c r="Y63" s="7">
        <v>25</v>
      </c>
      <c r="Z63" s="7">
        <v>0</v>
      </c>
      <c r="AA63" s="60">
        <v>1</v>
      </c>
      <c r="AB63" s="2">
        <f t="shared" ref="AB63:AB89" si="28">L63</f>
        <v>337</v>
      </c>
      <c r="AC63" s="5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63" s="5">
        <f ca="1">VLOOKUP($AB63,OFFSET([4]characters!$A$1,0,0,COUNTA([4]characters!$A:$A),MATCH(AD$1,[4]characters!$1:$1,0)-MATCH("character_id",[4]characters!$1:$1,0)+1),MATCH(AD$1,[4]characters!$1:$1,0)-MATCH("character_id",[4]characters!$1:$1,0)+1,FALSE)</f>
        <v>4</v>
      </c>
      <c r="AE63" s="5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3" s="8">
        <v>1</v>
      </c>
      <c r="AG63" s="28">
        <f t="shared" ca="1" si="26"/>
        <v>4</v>
      </c>
      <c r="AH63" s="9">
        <v>0</v>
      </c>
      <c r="AI63" s="8">
        <v>0</v>
      </c>
      <c r="AJ63" s="8">
        <v>0</v>
      </c>
      <c r="AK63" s="8">
        <v>0</v>
      </c>
      <c r="AL63" s="8">
        <v>0</v>
      </c>
      <c r="AM63" s="8">
        <v>1</v>
      </c>
    </row>
    <row r="64" spans="1:39" ht="21" customHeight="1" x14ac:dyDescent="0.15">
      <c r="A64" s="17" t="str">
        <f>B64&amp;"_"&amp;C64&amp;"-"&amp;G64&amp;"/"&amp;L64&amp;"&lt;lv"&amp;R64&amp;"&gt;s"&amp;AA64</f>
        <v>12001_3-2/341&lt;lv10&gt;s1</v>
      </c>
      <c r="B64" s="26">
        <v>12001</v>
      </c>
      <c r="C64" s="25">
        <v>3</v>
      </c>
      <c r="D64" s="2" t="str">
        <f>B64&amp;"_"&amp;C64</f>
        <v>12001_3</v>
      </c>
      <c r="E64" s="5" t="str">
        <f ca="1">VLOOKUP($B64,OFFSET([2]quests!$A$1,0,0,COUNTA([2]quests!$A:$A),MATCH(E$1,[2]quests!$1:$1,0)-MATCH($B$1,[2]quests!$1:$1,0)+1),MATCH(E$1,[2]quests!$1:$1,0)-MATCH($B$1,[2]quests!$1:$1,0)+1,FALSE)</f>
        <v>【緊急！！】 アヒル捕獲作戦</v>
      </c>
      <c r="F64" s="5" t="str">
        <f ca="1">VLOOKUP($D64,OFFSET([2]stages!$A$1,0,0,COUNTA([2]stages!$A:$A),MATCH(F$1,[2]stages!$2:$2,0)-MATCH($D$1,[2]stages!$2:$2,0)+1),MATCH(F$1,[2]stages!$2:$2,0)-MATCH($D$1,[2]stages!$2:$2,0)+1,FALSE)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4" s="25">
        <v>2</v>
      </c>
      <c r="H64" s="16" t="str">
        <f>B64&amp;"_"&amp;C64&amp;"-"&amp;G64</f>
        <v>12001_3-2</v>
      </c>
      <c r="I64" s="5">
        <f ca="1">VLOOKUP($H64,OFFSET(floors!$A$1,0,0,COUNTA(floors!$A:$A),MATCH(I$1,floors!$1:$1,0)-MATCH($H$1,floors!$1:$1,0)+1),MATCH(I$1,floors!$1:$1,0)-MATCH($H$1,floors!$1:$1,0)+1,FALSE)</f>
        <v>35</v>
      </c>
      <c r="J64" s="5">
        <f ca="1">VLOOKUP($H64,OFFSET(floors!$A$1,0,0,COUNTA(floors!$A:$A),MATCH(J$1,floors!$1:$1,0)-MATCH($H$1,floors!$1:$1,0)+1),MATCH(J$1,floors!$1:$1,0)-MATCH($H$1,floors!$1:$1,0)+1,FALSE)</f>
        <v>35</v>
      </c>
      <c r="K64" s="8" t="s">
        <v>147</v>
      </c>
      <c r="L64" s="24">
        <v>341</v>
      </c>
      <c r="M64" s="20" t="str">
        <f ca="1">VLOOKUP($L64,OFFSET([3]enemies!$A$1,0,0,COUNTA([3]enemies!$A:$A),MATCH(M$1,[3]enemies!$1:$1,0)-MATCH($L$1,[3]enemies!$1:$1,0)+1),MATCH(M$1,[3]enemies!$1:$1,0)-MATCH($L$1,[3]enemies!$1:$1,0)+1,FALSE)</f>
        <v>水のメタルチック</v>
      </c>
      <c r="N64" s="20" t="str">
        <f ca="1">VLOOKUP($L64,OFFSET([3]enemies!$A$1,0,0,COUNTA([3]enemies!$A:$A),MATCH(N$1,[3]enemies!$1:$1,0)-MATCH($L$1,[3]enemies!$1:$1,0)+1),MATCH(N$1,[3]enemies!$1:$1,0)-MATCH($L$1,[3]enemies!$1:$1,0)+1,FALSE)</f>
        <v>blue</v>
      </c>
      <c r="O64" s="20" t="str">
        <f ca="1">VLOOKUP($L64,OFFSET([4]characters!$A$1,0,0,COUNTA([4]characters!$A:$A),MATCH(O$1,[4]characters!$1:$1,0)-MATCH($L$1,[4]characters!$1:$1,0)+1),MATCH(O$1,[4]characters!$1:$1,0)-MATCH($L$1,[4]characters!$1:$1,0)+1,FALSE)</f>
        <v>Material</v>
      </c>
      <c r="P64" s="20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20">
        <f ca="1">VLOOKUP($L64,OFFSET([3]enemies!$A$1,0,0,COUNTA([3]enemies!$A:$A),MATCH(Q$1,[3]enemies!$1:$1,0)-MATCH($L$1,[3]enemies!$1:$1,0)+1),MATCH(Q$1,[3]enemies!$1:$1,0)-MATCH($L$1,[3]enemies!$1:$1,0)+1,FALSE)</f>
        <v>15</v>
      </c>
      <c r="R64" s="8">
        <v>10</v>
      </c>
      <c r="S64" s="30">
        <v>0.5</v>
      </c>
      <c r="T64" s="30">
        <v>60</v>
      </c>
      <c r="U64" s="6">
        <v>1600</v>
      </c>
      <c r="V64" s="5" t="str">
        <f ca="1">VLOOKUP($W64,OFFSET([5]enemy_skill_sets!$B$1,0,0,COUNTA([5]enemy_skill_sets!$B:$B),MATCH(M$1,[5]enemy_skill_sets!$1:$1,0)-MATCH($W$1,[5]enemy_skill_sets!$1:$1,0)+2),MATCH(M$1,[5]enemy_skill_sets!$1:$1,0)-MATCH($W$1,[5]enemy_skill_sets!$1:$1,0)+2,FALSE)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4" s="5">
        <f ca="1">VLOOKUP($L64,OFFSET([3]enemies!$A$1,0,0,COUNTA([3]enemies!$A:$A),MATCH(W$1,[3]enemies!$1:$1,0)-MATCH($L$1,[3]enemies!$1:$1,0)+1),MATCH(W$1,[3]enemies!$1:$1,0)-MATCH($L$1,[3]enemies!$1:$1,0)+1,FALSE)</f>
        <v>0</v>
      </c>
      <c r="X64" s="7">
        <v>0</v>
      </c>
      <c r="Y64" s="7">
        <v>25</v>
      </c>
      <c r="Z64" s="7">
        <v>0</v>
      </c>
      <c r="AA64" s="60">
        <v>1</v>
      </c>
      <c r="AB64" s="2">
        <f>L64</f>
        <v>341</v>
      </c>
      <c r="AC64" s="5" t="str">
        <f ca="1">VLOOKUP($AB64,OFFSET([4]characters!$A$1,0,0,COUNTA([4]characters!$A:$A),MATCH(AC$1,[4]characters!$1:$1,0)-MATCH("character_id",[4]characters!$1:$1,0)+1),MATCH(AC$1,[4]characters!$1:$1,0)-MATCH("character_id",[4]characters!$1:$1,0)+1,FALSE)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64" s="5">
        <f ca="1">VLOOKUP($AB64,OFFSET([4]characters!$A$1,0,0,COUNTA([4]characters!$A:$A),MATCH(AD$1,[4]characters!$1:$1,0)-MATCH("character_id",[4]characters!$1:$1,0)+1),MATCH(AD$1,[4]characters!$1:$1,0)-MATCH("character_id",[4]characters!$1:$1,0)+1,FALSE)</f>
        <v>4</v>
      </c>
      <c r="AE64" s="5" t="str">
        <f ca="1">VLOOKUP($AB64,OFFSET([4]characters!$A$1,0,0,COUNTA([4]characters!$A:$A),MATCH(AE$1,[4]characters!$1:$1,0)-MATCH("character_id",[4]characters!$1:$1,0)+1),MATCH(AE$1,[4]characters!$1:$1,0)-MATCH("character_id",[4]characters!$1:$1,0)+1,FALSE)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4" s="8">
        <v>1</v>
      </c>
      <c r="AG64" s="28">
        <f ca="1">AD64</f>
        <v>4</v>
      </c>
      <c r="AH64" s="9">
        <v>0</v>
      </c>
      <c r="AI64" s="8">
        <v>0</v>
      </c>
      <c r="AJ64" s="8">
        <v>0</v>
      </c>
      <c r="AK64" s="8">
        <v>0</v>
      </c>
      <c r="AL64" s="8">
        <v>0</v>
      </c>
      <c r="AM64" s="8">
        <v>1</v>
      </c>
    </row>
    <row r="65" spans="1:39" ht="21" customHeight="1" x14ac:dyDescent="0.15">
      <c r="A65" s="17" t="str">
        <f t="shared" ref="A65" si="29">B65&amp;"_"&amp;C65&amp;"-"&amp;G65&amp;"/"&amp;L65&amp;"&lt;lv"&amp;R65&amp;"&gt;s"&amp;AA65</f>
        <v>12001_3-2/345&lt;lv10&gt;s1</v>
      </c>
      <c r="B65" s="26">
        <v>12001</v>
      </c>
      <c r="C65" s="25">
        <v>3</v>
      </c>
      <c r="D65" s="2" t="str">
        <f t="shared" ref="D65" si="30">B65&amp;"_"&amp;C65</f>
        <v>12001_3</v>
      </c>
      <c r="E65" s="5" t="str">
        <f ca="1">VLOOKUP($B65,OFFSET([2]quests!$A$1,0,0,COUNTA([2]quests!$A:$A),MATCH(E$1,[2]quests!$1:$1,0)-MATCH($B$1,[2]quests!$1:$1,0)+1),MATCH(E$1,[2]quests!$1:$1,0)-MATCH($B$1,[2]quests!$1:$1,0)+1,FALSE)</f>
        <v>【緊急！！】 アヒル捕獲作戦</v>
      </c>
      <c r="F65" s="5" t="str">
        <f ca="1">VLOOKUP($D65,OFFSET([2]stages!$A$1,0,0,COUNTA([2]stages!$A:$A),MATCH(F$1,[2]stages!$2:$2,0)-MATCH($D$1,[2]stages!$2:$2,0)+1),MATCH(F$1,[2]stages!$2:$2,0)-MATCH($D$1,[2]stages!$2:$2,0)+1,FALSE)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5" s="25">
        <v>2</v>
      </c>
      <c r="H65" s="16" t="str">
        <f t="shared" ref="H65" si="31">B65&amp;"_"&amp;C65&amp;"-"&amp;G65</f>
        <v>12001_3-2</v>
      </c>
      <c r="I65" s="5">
        <f ca="1">VLOOKUP($H65,OFFSET(floors!$A$1,0,0,COUNTA(floors!$A:$A),MATCH(I$1,floors!$1:$1,0)-MATCH($H$1,floors!$1:$1,0)+1),MATCH(I$1,floors!$1:$1,0)-MATCH($H$1,floors!$1:$1,0)+1,FALSE)</f>
        <v>35</v>
      </c>
      <c r="J65" s="5">
        <f ca="1">VLOOKUP($H65,OFFSET(floors!$A$1,0,0,COUNTA(floors!$A:$A),MATCH(J$1,floors!$1:$1,0)-MATCH($H$1,floors!$1:$1,0)+1),MATCH(J$1,floors!$1:$1,0)-MATCH($H$1,floors!$1:$1,0)+1,FALSE)</f>
        <v>35</v>
      </c>
      <c r="K65" s="8" t="s">
        <v>147</v>
      </c>
      <c r="L65" s="24">
        <v>345</v>
      </c>
      <c r="M65" s="20" t="str">
        <f ca="1">VLOOKUP($L65,OFFSET([3]enemies!$A$1,0,0,COUNTA([3]enemies!$A:$A),MATCH(M$1,[3]enemies!$1:$1,0)-MATCH($L$1,[3]enemies!$1:$1,0)+1),MATCH(M$1,[3]enemies!$1:$1,0)-MATCH($L$1,[3]enemies!$1:$1,0)+1,FALSE)</f>
        <v>雷のメタルチック</v>
      </c>
      <c r="N65" s="20" t="str">
        <f ca="1">VLOOKUP($L65,OFFSET([3]enemies!$A$1,0,0,COUNTA([3]enemies!$A:$A),MATCH(N$1,[3]enemies!$1:$1,0)-MATCH($L$1,[3]enemies!$1:$1,0)+1),MATCH(N$1,[3]enemies!$1:$1,0)-MATCH($L$1,[3]enemies!$1:$1,0)+1,FALSE)</f>
        <v>yellow</v>
      </c>
      <c r="O65" s="20" t="str">
        <f ca="1">VLOOKUP($L65,OFFSET([4]characters!$A$1,0,0,COUNTA([4]characters!$A:$A),MATCH(O$1,[4]characters!$1:$1,0)-MATCH($L$1,[4]characters!$1:$1,0)+1),MATCH(O$1,[4]characters!$1:$1,0)-MATCH($L$1,[4]characters!$1:$1,0)+1,FALSE)</f>
        <v>Material</v>
      </c>
      <c r="P65" s="20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20">
        <f ca="1">VLOOKUP($L65,OFFSET([3]enemies!$A$1,0,0,COUNTA([3]enemies!$A:$A),MATCH(Q$1,[3]enemies!$1:$1,0)-MATCH($L$1,[3]enemies!$1:$1,0)+1),MATCH(Q$1,[3]enemies!$1:$1,0)-MATCH($L$1,[3]enemies!$1:$1,0)+1,FALSE)</f>
        <v>15</v>
      </c>
      <c r="R65" s="8">
        <v>10</v>
      </c>
      <c r="S65" s="30">
        <v>0.5</v>
      </c>
      <c r="T65" s="30">
        <v>60</v>
      </c>
      <c r="U65" s="6">
        <v>1600</v>
      </c>
      <c r="V65" s="5" t="str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5" s="5">
        <f ca="1">VLOOKUP($L65,OFFSET([3]enemies!$A$1,0,0,COUNTA([3]enemies!$A:$A),MATCH(W$1,[3]enemies!$1:$1,0)-MATCH($L$1,[3]enemies!$1:$1,0)+1),MATCH(W$1,[3]enemies!$1:$1,0)-MATCH($L$1,[3]enemies!$1:$1,0)+1,FALSE)</f>
        <v>0</v>
      </c>
      <c r="X65" s="7">
        <v>0</v>
      </c>
      <c r="Y65" s="7">
        <v>25</v>
      </c>
      <c r="Z65" s="7">
        <v>0</v>
      </c>
      <c r="AA65" s="60">
        <v>1</v>
      </c>
      <c r="AB65" s="2">
        <f t="shared" ref="AB65" si="32">L65</f>
        <v>345</v>
      </c>
      <c r="AC65" s="5" t="str">
        <f ca="1">VLOOKUP($AB65,OFFSET([4]characters!$A$1,0,0,COUNTA([4]characters!$A:$A),MATCH(AC$1,[4]characters!$1:$1,0)-MATCH("character_id",[4]characters!$1:$1,0)+1),MATCH(AC$1,[4]characters!$1:$1,0)-MATCH("character_id",[4]characters!$1:$1,0)+1,FALSE)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65" s="5">
        <f ca="1">VLOOKUP($AB65,OFFSET([4]characters!$A$1,0,0,COUNTA([4]characters!$A:$A),MATCH(AD$1,[4]characters!$1:$1,0)-MATCH("character_id",[4]characters!$1:$1,0)+1),MATCH(AD$1,[4]characters!$1:$1,0)-MATCH("character_id",[4]characters!$1:$1,0)+1,FALSE)</f>
        <v>4</v>
      </c>
      <c r="AE65" s="5" t="str">
        <f ca="1">VLOOKUP($AB65,OFFSET([4]characters!$A$1,0,0,COUNTA([4]characters!$A:$A),MATCH(AE$1,[4]characters!$1:$1,0)-MATCH("character_id",[4]characters!$1:$1,0)+1),MATCH(AE$1,[4]characters!$1:$1,0)-MATCH("character_id",[4]characters!$1:$1,0)+1,FALSE)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5" s="8">
        <v>1</v>
      </c>
      <c r="AG65" s="28">
        <f t="shared" ref="AG65" ca="1" si="33">AD65</f>
        <v>4</v>
      </c>
      <c r="AH65" s="9">
        <v>0</v>
      </c>
      <c r="AI65" s="8">
        <v>0</v>
      </c>
      <c r="AJ65" s="8">
        <v>0</v>
      </c>
      <c r="AK65" s="8">
        <v>0</v>
      </c>
      <c r="AL65" s="8">
        <v>0</v>
      </c>
      <c r="AM65" s="8">
        <v>1</v>
      </c>
    </row>
    <row r="66" spans="1:39" ht="21" customHeight="1" x14ac:dyDescent="0.15">
      <c r="A66" s="17" t="str">
        <f t="shared" si="16"/>
        <v>12001_3-2/334&lt;lv10&gt;s2</v>
      </c>
      <c r="B66" s="26">
        <v>12001</v>
      </c>
      <c r="C66" s="25">
        <v>3</v>
      </c>
      <c r="D66" s="2" t="str">
        <f t="shared" si="25"/>
        <v>12001_3</v>
      </c>
      <c r="E66" s="5" t="str">
        <f ca="1">VLOOKUP($B66,OFFSET([2]quests!$A$1,0,0,COUNTA([2]quests!$A:$A),MATCH(E$1,[2]quests!$1:$1,0)-MATCH($B$1,[2]quests!$1:$1,0)+1),MATCH(E$1,[2]quests!$1:$1,0)-MATCH($B$1,[2]quests!$1:$1,0)+1,FALSE)</f>
        <v>【緊急！！】 アヒル捕獲作戦</v>
      </c>
      <c r="F66" s="5" t="str">
        <f ca="1">VLOOKUP($D66,OFFSET([2]stages!$A$1,0,0,COUNTA([2]stages!$A:$A),MATCH(F$1,[2]stages!$2:$2,0)-MATCH($D$1,[2]stages!$2:$2,0)+1),MATCH(F$1,[2]stages!$2:$2,0)-MATCH($D$1,[2]stages!$2:$2,0)+1,FALSE)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6" s="25">
        <v>2</v>
      </c>
      <c r="H66" s="16" t="str">
        <f t="shared" si="4"/>
        <v>12001_3-2</v>
      </c>
      <c r="I66" s="5">
        <f ca="1">VLOOKUP($H66,OFFSET(floors!$A$1,0,0,COUNTA(floors!$A:$A),MATCH(I$1,floors!$1:$1,0)-MATCH($H$1,floors!$1:$1,0)+1),MATCH(I$1,floors!$1:$1,0)-MATCH($H$1,floors!$1:$1,0)+1,FALSE)</f>
        <v>35</v>
      </c>
      <c r="J66" s="5">
        <f ca="1">VLOOKUP($H66,OFFSET(floors!$A$1,0,0,COUNTA(floors!$A:$A),MATCH(J$1,floors!$1:$1,0)-MATCH($H$1,floors!$1:$1,0)+1),MATCH(J$1,floors!$1:$1,0)-MATCH($H$1,floors!$1:$1,0)+1,FALSE)</f>
        <v>35</v>
      </c>
      <c r="K66" s="8" t="s">
        <v>149</v>
      </c>
      <c r="L66" s="24">
        <v>334</v>
      </c>
      <c r="M66" s="20" t="str">
        <f ca="1">VLOOKUP($L66,OFFSET([3]enemies!$A$1,0,0,COUNTA([3]enemies!$A:$A),MATCH(M$1,[3]enemies!$1:$1,0)-MATCH($L$1,[3]enemies!$1:$1,0)+1),MATCH(M$1,[3]enemies!$1:$1,0)-MATCH($L$1,[3]enemies!$1:$1,0)+1,FALSE)</f>
        <v>炎のメタルダック</v>
      </c>
      <c r="N66" s="20" t="str">
        <f ca="1">VLOOKUP($L66,OFFSET([3]enemies!$A$1,0,0,COUNTA([3]enemies!$A:$A),MATCH(N$1,[3]enemies!$1:$1,0)-MATCH($L$1,[3]enemies!$1:$1,0)+1),MATCH(N$1,[3]enemies!$1:$1,0)-MATCH($L$1,[3]enemies!$1:$1,0)+1,FALSE)</f>
        <v>red</v>
      </c>
      <c r="O66" s="20" t="str">
        <f ca="1">VLOOKUP($L66,OFFSET([4]characters!$A$1,0,0,COUNTA([4]characters!$A:$A),MATCH(O$1,[4]characters!$1:$1,0)-MATCH($L$1,[4]characters!$1:$1,0)+1),MATCH(O$1,[4]characters!$1:$1,0)-MATCH($L$1,[4]characters!$1:$1,0)+1,FALSE)</f>
        <v>Material</v>
      </c>
      <c r="P66" s="20" t="str">
        <f ca="1">VLOOKUP($L66,OFFSET([3]enemies!$A$1,0,0,COUNTA([3]enemies!$A:$A),MATCH(P$1,[3]enemies!$1:$1,0)-MATCH($L$1,[3]enemies!$1:$1,0)+1),MATCH(P$1,[3]enemies!$1:$1,0)-MATCH($L$1,[3]enemies!$1:$1,0)+1,FALSE)</f>
        <v>unknown</v>
      </c>
      <c r="Q66" s="20">
        <f ca="1">VLOOKUP($L66,OFFSET([3]enemies!$A$1,0,0,COUNTA([3]enemies!$A:$A),MATCH(Q$1,[3]enemies!$1:$1,0)-MATCH($L$1,[3]enemies!$1:$1,0)+1),MATCH(Q$1,[3]enemies!$1:$1,0)-MATCH($L$1,[3]enemies!$1:$1,0)+1,FALSE)</f>
        <v>20</v>
      </c>
      <c r="R66" s="8">
        <v>10</v>
      </c>
      <c r="S66" s="30">
        <v>0.5</v>
      </c>
      <c r="T66" s="30">
        <v>50</v>
      </c>
      <c r="U66" s="6">
        <v>-13000</v>
      </c>
      <c r="V66" s="5" t="str">
        <f ca="1">VLOOKUP($W66,OFFSET([5]enemy_skill_sets!$B$1,0,0,COUNTA([5]enemy_skill_sets!$B:$B),MATCH(M$1,[5]enemy_skill_sets!$1:$1,0)-MATCH($W$1,[5]enemy_skill_sets!$1:$1,0)+2),MATCH(M$1,[5]enemy_skill_sets!$1:$1,0)-MATCH($W$1,[5]enemy_skill_sets!$1:$1,0)+2,FALSE)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6" s="5">
        <f ca="1">VLOOKUP($L66,OFFSET([3]enemies!$A$1,0,0,COUNTA([3]enemies!$A:$A),MATCH(W$1,[3]enemies!$1:$1,0)-MATCH($L$1,[3]enemies!$1:$1,0)+1),MATCH(W$1,[3]enemies!$1:$1,0)-MATCH($L$1,[3]enemies!$1:$1,0)+1,FALSE)</f>
        <v>0</v>
      </c>
      <c r="X66" s="7">
        <v>0</v>
      </c>
      <c r="Y66" s="7">
        <v>25</v>
      </c>
      <c r="Z66" s="7">
        <v>1</v>
      </c>
      <c r="AA66" s="60">
        <v>2</v>
      </c>
      <c r="AB66" s="2">
        <f t="shared" si="28"/>
        <v>334</v>
      </c>
      <c r="AC66" s="5" t="str">
        <f ca="1">VLOOKUP($AB66,OFFSET([4]characters!$A$1,0,0,COUNTA([4]characters!$A:$A),MATCH(AC$1,[4]characters!$1:$1,0)-MATCH("character_id",[4]characters!$1:$1,0)+1),MATCH(AC$1,[4]characters!$1:$1,0)-MATCH("character_id",[4]characters!$1:$1,0)+1,FALSE)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66" s="5">
        <f ca="1">VLOOKUP($AB66,OFFSET([4]characters!$A$1,0,0,COUNTA([4]characters!$A:$A),MATCH(AD$1,[4]characters!$1:$1,0)-MATCH("character_id",[4]characters!$1:$1,0)+1),MATCH(AD$1,[4]characters!$1:$1,0)-MATCH("character_id",[4]characters!$1:$1,0)+1,FALSE)</f>
        <v>5</v>
      </c>
      <c r="AE66" s="5" t="str">
        <f ca="1">VLOOKUP($AB66,OFFSET([4]characters!$A$1,0,0,COUNTA([4]characters!$A:$A),MATCH(AE$1,[4]characters!$1:$1,0)-MATCH("character_id",[4]characters!$1:$1,0)+1),MATCH(AE$1,[4]characters!$1:$1,0)-MATCH("character_id",[4]characters!$1:$1,0)+1,FALSE)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6" s="8">
        <v>1</v>
      </c>
      <c r="AG66" s="28">
        <f t="shared" ca="1" si="26"/>
        <v>5</v>
      </c>
      <c r="AH66" s="9">
        <v>100</v>
      </c>
      <c r="AI66" s="8">
        <v>0</v>
      </c>
      <c r="AJ66" s="8">
        <v>0</v>
      </c>
      <c r="AK66" s="8">
        <v>0</v>
      </c>
      <c r="AL66" s="8">
        <v>0</v>
      </c>
      <c r="AM66" s="8">
        <v>1</v>
      </c>
    </row>
    <row r="67" spans="1:39" ht="21" customHeight="1" x14ac:dyDescent="0.15">
      <c r="A67" s="17" t="str">
        <f t="shared" si="16"/>
        <v>12001_3-2/338&lt;lv10&gt;s2</v>
      </c>
      <c r="B67" s="26">
        <v>12001</v>
      </c>
      <c r="C67" s="25">
        <v>3</v>
      </c>
      <c r="D67" s="2" t="str">
        <f t="shared" si="25"/>
        <v>12001_3</v>
      </c>
      <c r="E67" s="5" t="str">
        <f ca="1">VLOOKUP($B67,OFFSET([2]quests!$A$1,0,0,COUNTA([2]quests!$A:$A),MATCH(E$1,[2]quests!$1:$1,0)-MATCH($B$1,[2]quests!$1:$1,0)+1),MATCH(E$1,[2]quests!$1:$1,0)-MATCH($B$1,[2]quests!$1:$1,0)+1,FALSE)</f>
        <v>【緊急！！】 アヒル捕獲作戦</v>
      </c>
      <c r="F67" s="5" t="str">
        <f ca="1">VLOOKUP($D67,OFFSET([2]stages!$A$1,0,0,COUNTA([2]stages!$A:$A),MATCH(F$1,[2]stages!$2:$2,0)-MATCH($D$1,[2]stages!$2:$2,0)+1),MATCH(F$1,[2]stages!$2:$2,0)-MATCH($D$1,[2]stages!$2:$2,0)+1,FALSE)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7" s="25">
        <v>2</v>
      </c>
      <c r="H67" s="16" t="str">
        <f t="shared" si="4"/>
        <v>12001_3-2</v>
      </c>
      <c r="I67" s="5">
        <f ca="1">VLOOKUP($H67,OFFSET(floors!$A$1,0,0,COUNTA(floors!$A:$A),MATCH(I$1,floors!$1:$1,0)-MATCH($H$1,floors!$1:$1,0)+1),MATCH(I$1,floors!$1:$1,0)-MATCH($H$1,floors!$1:$1,0)+1,FALSE)</f>
        <v>35</v>
      </c>
      <c r="J67" s="5">
        <f ca="1">VLOOKUP($H67,OFFSET(floors!$A$1,0,0,COUNTA(floors!$A:$A),MATCH(J$1,floors!$1:$1,0)-MATCH($H$1,floors!$1:$1,0)+1),MATCH(J$1,floors!$1:$1,0)-MATCH($H$1,floors!$1:$1,0)+1,FALSE)</f>
        <v>35</v>
      </c>
      <c r="K67" s="8" t="s">
        <v>149</v>
      </c>
      <c r="L67" s="24">
        <v>338</v>
      </c>
      <c r="M67" s="20" t="str">
        <f ca="1">VLOOKUP($L67,OFFSET([3]enemies!$A$1,0,0,COUNTA([3]enemies!$A:$A),MATCH(M$1,[3]enemies!$1:$1,0)-MATCH($L$1,[3]enemies!$1:$1,0)+1),MATCH(M$1,[3]enemies!$1:$1,0)-MATCH($L$1,[3]enemies!$1:$1,0)+1,FALSE)</f>
        <v>森のメタルダック</v>
      </c>
      <c r="N67" s="20" t="str">
        <f ca="1">VLOOKUP($L67,OFFSET([3]enemies!$A$1,0,0,COUNTA([3]enemies!$A:$A),MATCH(N$1,[3]enemies!$1:$1,0)-MATCH($L$1,[3]enemies!$1:$1,0)+1),MATCH(N$1,[3]enemies!$1:$1,0)-MATCH($L$1,[3]enemies!$1:$1,0)+1,FALSE)</f>
        <v>green</v>
      </c>
      <c r="O67" s="20" t="str">
        <f ca="1">VLOOKUP($L67,OFFSET([4]characters!$A$1,0,0,COUNTA([4]characters!$A:$A),MATCH(O$1,[4]characters!$1:$1,0)-MATCH($L$1,[4]characters!$1:$1,0)+1),MATCH(O$1,[4]characters!$1:$1,0)-MATCH($L$1,[4]characters!$1:$1,0)+1,FALSE)</f>
        <v>Material</v>
      </c>
      <c r="P67" s="20" t="str">
        <f ca="1">VLOOKUP($L67,OFFSET([3]enemies!$A$1,0,0,COUNTA([3]enemies!$A:$A),MATCH(P$1,[3]enemies!$1:$1,0)-MATCH($L$1,[3]enemies!$1:$1,0)+1),MATCH(P$1,[3]enemies!$1:$1,0)-MATCH($L$1,[3]enemies!$1:$1,0)+1,FALSE)</f>
        <v>unknown</v>
      </c>
      <c r="Q67" s="20">
        <f ca="1">VLOOKUP($L67,OFFSET([3]enemies!$A$1,0,0,COUNTA([3]enemies!$A:$A),MATCH(Q$1,[3]enemies!$1:$1,0)-MATCH($L$1,[3]enemies!$1:$1,0)+1),MATCH(Q$1,[3]enemies!$1:$1,0)-MATCH($L$1,[3]enemies!$1:$1,0)+1,FALSE)</f>
        <v>20</v>
      </c>
      <c r="R67" s="8">
        <v>10</v>
      </c>
      <c r="S67" s="30">
        <v>0.5</v>
      </c>
      <c r="T67" s="30">
        <v>50</v>
      </c>
      <c r="U67" s="6">
        <v>-13000</v>
      </c>
      <c r="V67" s="5" t="str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7" s="5">
        <f ca="1">VLOOKUP($L67,OFFSET([3]enemies!$A$1,0,0,COUNTA([3]enemies!$A:$A),MATCH(W$1,[3]enemies!$1:$1,0)-MATCH($L$1,[3]enemies!$1:$1,0)+1),MATCH(W$1,[3]enemies!$1:$1,0)-MATCH($L$1,[3]enemies!$1:$1,0)+1,FALSE)</f>
        <v>0</v>
      </c>
      <c r="X67" s="7">
        <v>0</v>
      </c>
      <c r="Y67" s="7">
        <v>25</v>
      </c>
      <c r="Z67" s="7">
        <v>1</v>
      </c>
      <c r="AA67" s="60">
        <v>2</v>
      </c>
      <c r="AB67" s="2">
        <f t="shared" si="28"/>
        <v>338</v>
      </c>
      <c r="AC67" s="5" t="str">
        <f ca="1">VLOOKUP($AB67,OFFSET([4]characters!$A$1,0,0,COUNTA([4]characters!$A:$A),MATCH(AC$1,[4]characters!$1:$1,0)-MATCH("character_id",[4]characters!$1:$1,0)+1),MATCH(AC$1,[4]characters!$1:$1,0)-MATCH("character_id",[4]characters!$1:$1,0)+1,FALSE)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67" s="5">
        <f ca="1">VLOOKUP($AB67,OFFSET([4]characters!$A$1,0,0,COUNTA([4]characters!$A:$A),MATCH(AD$1,[4]characters!$1:$1,0)-MATCH("character_id",[4]characters!$1:$1,0)+1),MATCH(AD$1,[4]characters!$1:$1,0)-MATCH("character_id",[4]characters!$1:$1,0)+1,FALSE)</f>
        <v>5</v>
      </c>
      <c r="AE67" s="5" t="str">
        <f ca="1">VLOOKUP($AB67,OFFSET([4]characters!$A$1,0,0,COUNTA([4]characters!$A:$A),MATCH(AE$1,[4]characters!$1:$1,0)-MATCH("character_id",[4]characters!$1:$1,0)+1),MATCH(AE$1,[4]characters!$1:$1,0)-MATCH("character_id",[4]characters!$1:$1,0)+1,FALSE)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7" s="8">
        <v>1</v>
      </c>
      <c r="AG67" s="28">
        <f t="shared" ca="1" si="26"/>
        <v>5</v>
      </c>
      <c r="AH67" s="9">
        <v>100</v>
      </c>
      <c r="AI67" s="8">
        <v>0</v>
      </c>
      <c r="AJ67" s="8">
        <v>0</v>
      </c>
      <c r="AK67" s="8">
        <v>0</v>
      </c>
      <c r="AL67" s="8">
        <v>0</v>
      </c>
      <c r="AM67" s="8">
        <v>1</v>
      </c>
    </row>
    <row r="68" spans="1:39" ht="21" customHeight="1" x14ac:dyDescent="0.15">
      <c r="A68" s="17" t="str">
        <f t="shared" ref="A68:A89" si="34">B68&amp;"_"&amp;C68&amp;"-"&amp;G68&amp;"/"&amp;L68&amp;"&lt;lv"&amp;R68&amp;"&gt;s"&amp;AA68</f>
        <v>12001_3-2/342&lt;lv10&gt;s2</v>
      </c>
      <c r="B68" s="26">
        <v>12001</v>
      </c>
      <c r="C68" s="25">
        <v>3</v>
      </c>
      <c r="D68" s="2" t="str">
        <f t="shared" si="25"/>
        <v>12001_3</v>
      </c>
      <c r="E68" s="5" t="str">
        <f ca="1">VLOOKUP($B68,OFFSET([2]quests!$A$1,0,0,COUNTA([2]quests!$A:$A),MATCH(E$1,[2]quests!$1:$1,0)-MATCH($B$1,[2]quests!$1:$1,0)+1),MATCH(E$1,[2]quests!$1:$1,0)-MATCH($B$1,[2]quests!$1:$1,0)+1,FALSE)</f>
        <v>【緊急！！】 アヒル捕獲作戦</v>
      </c>
      <c r="F68" s="5" t="str">
        <f ca="1">VLOOKUP($D68,OFFSET([2]stages!$A$1,0,0,COUNTA([2]stages!$A:$A),MATCH(F$1,[2]stages!$2:$2,0)-MATCH($D$1,[2]stages!$2:$2,0)+1),MATCH(F$1,[2]stages!$2:$2,0)-MATCH($D$1,[2]stages!$2:$2,0)+1,FALSE)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8" s="25">
        <v>2</v>
      </c>
      <c r="H68" s="16" t="str">
        <f t="shared" si="4"/>
        <v>12001_3-2</v>
      </c>
      <c r="I68" s="5">
        <f ca="1">VLOOKUP($H68,OFFSET(floors!$A$1,0,0,COUNTA(floors!$A:$A),MATCH(I$1,floors!$1:$1,0)-MATCH($H$1,floors!$1:$1,0)+1),MATCH(I$1,floors!$1:$1,0)-MATCH($H$1,floors!$1:$1,0)+1,FALSE)</f>
        <v>35</v>
      </c>
      <c r="J68" s="5">
        <f ca="1">VLOOKUP($H68,OFFSET(floors!$A$1,0,0,COUNTA(floors!$A:$A),MATCH(J$1,floors!$1:$1,0)-MATCH($H$1,floors!$1:$1,0)+1),MATCH(J$1,floors!$1:$1,0)-MATCH($H$1,floors!$1:$1,0)+1,FALSE)</f>
        <v>35</v>
      </c>
      <c r="K68" s="8" t="s">
        <v>149</v>
      </c>
      <c r="L68" s="24">
        <v>342</v>
      </c>
      <c r="M68" s="20" t="str">
        <f ca="1">VLOOKUP($L68,OFFSET([3]enemies!$A$1,0,0,COUNTA([3]enemies!$A:$A),MATCH(M$1,[3]enemies!$1:$1,0)-MATCH($L$1,[3]enemies!$1:$1,0)+1),MATCH(M$1,[3]enemies!$1:$1,0)-MATCH($L$1,[3]enemies!$1:$1,0)+1,FALSE)</f>
        <v>水のメタルダック</v>
      </c>
      <c r="N68" s="20" t="str">
        <f ca="1">VLOOKUP($L68,OFFSET([3]enemies!$A$1,0,0,COUNTA([3]enemies!$A:$A),MATCH(N$1,[3]enemies!$1:$1,0)-MATCH($L$1,[3]enemies!$1:$1,0)+1),MATCH(N$1,[3]enemies!$1:$1,0)-MATCH($L$1,[3]enemies!$1:$1,0)+1,FALSE)</f>
        <v>blue</v>
      </c>
      <c r="O68" s="20" t="str">
        <f ca="1">VLOOKUP($L68,OFFSET([4]characters!$A$1,0,0,COUNTA([4]characters!$A:$A),MATCH(O$1,[4]characters!$1:$1,0)-MATCH($L$1,[4]characters!$1:$1,0)+1),MATCH(O$1,[4]characters!$1:$1,0)-MATCH($L$1,[4]characters!$1:$1,0)+1,FALSE)</f>
        <v>Material</v>
      </c>
      <c r="P68" s="20" t="str">
        <f ca="1">VLOOKUP($L68,OFFSET([3]enemies!$A$1,0,0,COUNTA([3]enemies!$A:$A),MATCH(P$1,[3]enemies!$1:$1,0)-MATCH($L$1,[3]enemies!$1:$1,0)+1),MATCH(P$1,[3]enemies!$1:$1,0)-MATCH($L$1,[3]enemies!$1:$1,0)+1,FALSE)</f>
        <v>unknown</v>
      </c>
      <c r="Q68" s="20">
        <f ca="1">VLOOKUP($L68,OFFSET([3]enemies!$A$1,0,0,COUNTA([3]enemies!$A:$A),MATCH(Q$1,[3]enemies!$1:$1,0)-MATCH($L$1,[3]enemies!$1:$1,0)+1),MATCH(Q$1,[3]enemies!$1:$1,0)-MATCH($L$1,[3]enemies!$1:$1,0)+1,FALSE)</f>
        <v>20</v>
      </c>
      <c r="R68" s="8">
        <v>10</v>
      </c>
      <c r="S68" s="30">
        <v>0.5</v>
      </c>
      <c r="T68" s="30">
        <v>50</v>
      </c>
      <c r="U68" s="6">
        <v>-13000</v>
      </c>
      <c r="V68" s="5" t="str">
        <f ca="1">VLOOKUP($W68,OFFSET([5]enemy_skill_sets!$B$1,0,0,COUNTA([5]enemy_skill_sets!$B:$B),MATCH(M$1,[5]enemy_skill_sets!$1:$1,0)-MATCH($W$1,[5]enemy_skill_sets!$1:$1,0)+2),MATCH(M$1,[5]enemy_skill_sets!$1:$1,0)-MATCH($W$1,[5]enemy_skill_sets!$1:$1,0)+2,FALSE)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8" s="5">
        <f ca="1">VLOOKUP($L68,OFFSET([3]enemies!$A$1,0,0,COUNTA([3]enemies!$A:$A),MATCH(W$1,[3]enemies!$1:$1,0)-MATCH($L$1,[3]enemies!$1:$1,0)+1),MATCH(W$1,[3]enemies!$1:$1,0)-MATCH($L$1,[3]enemies!$1:$1,0)+1,FALSE)</f>
        <v>0</v>
      </c>
      <c r="X68" s="7">
        <v>0</v>
      </c>
      <c r="Y68" s="7">
        <v>25</v>
      </c>
      <c r="Z68" s="7">
        <v>1</v>
      </c>
      <c r="AA68" s="60">
        <v>2</v>
      </c>
      <c r="AB68" s="2">
        <f t="shared" si="28"/>
        <v>342</v>
      </c>
      <c r="AC68" s="5" t="str">
        <f ca="1">VLOOKUP($AB68,OFFSET([4]characters!$A$1,0,0,COUNTA([4]characters!$A:$A),MATCH(AC$1,[4]characters!$1:$1,0)-MATCH("character_id",[4]characters!$1:$1,0)+1),MATCH(AC$1,[4]characters!$1:$1,0)-MATCH("character_id",[4]characters!$1:$1,0)+1,FALSE)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68" s="5">
        <f ca="1">VLOOKUP($AB68,OFFSET([4]characters!$A$1,0,0,COUNTA([4]characters!$A:$A),MATCH(AD$1,[4]characters!$1:$1,0)-MATCH("character_id",[4]characters!$1:$1,0)+1),MATCH(AD$1,[4]characters!$1:$1,0)-MATCH("character_id",[4]characters!$1:$1,0)+1,FALSE)</f>
        <v>5</v>
      </c>
      <c r="AE68" s="5" t="str">
        <f ca="1">VLOOKUP($AB68,OFFSET([4]characters!$A$1,0,0,COUNTA([4]characters!$A:$A),MATCH(AE$1,[4]characters!$1:$1,0)-MATCH("character_id",[4]characters!$1:$1,0)+1),MATCH(AE$1,[4]characters!$1:$1,0)-MATCH("character_id",[4]characters!$1:$1,0)+1,FALSE)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8" s="8">
        <v>1</v>
      </c>
      <c r="AG68" s="28">
        <f t="shared" ca="1" si="26"/>
        <v>5</v>
      </c>
      <c r="AH68" s="9">
        <v>100</v>
      </c>
      <c r="AI68" s="8">
        <v>0</v>
      </c>
      <c r="AJ68" s="8">
        <v>0</v>
      </c>
      <c r="AK68" s="8">
        <v>0</v>
      </c>
      <c r="AL68" s="8">
        <v>0</v>
      </c>
      <c r="AM68" s="8">
        <v>1</v>
      </c>
    </row>
    <row r="69" spans="1:39" ht="21" customHeight="1" x14ac:dyDescent="0.15">
      <c r="A69" s="17" t="str">
        <f t="shared" si="34"/>
        <v>12001_3-2/346&lt;lv10&gt;s2</v>
      </c>
      <c r="B69" s="26">
        <v>12001</v>
      </c>
      <c r="C69" s="25">
        <v>3</v>
      </c>
      <c r="D69" s="2" t="str">
        <f t="shared" si="25"/>
        <v>12001_3</v>
      </c>
      <c r="E69" s="5" t="str">
        <f ca="1">VLOOKUP($B69,OFFSET([2]quests!$A$1,0,0,COUNTA([2]quests!$A:$A),MATCH(E$1,[2]quests!$1:$1,0)-MATCH($B$1,[2]quests!$1:$1,0)+1),MATCH(E$1,[2]quests!$1:$1,0)-MATCH($B$1,[2]quests!$1:$1,0)+1,FALSE)</f>
        <v>【緊急！！】 アヒル捕獲作戦</v>
      </c>
      <c r="F69" s="5" t="str">
        <f ca="1">VLOOKUP($D69,OFFSET([2]stages!$A$1,0,0,COUNTA([2]stages!$A:$A),MATCH(F$1,[2]stages!$2:$2,0)-MATCH($D$1,[2]stages!$2:$2,0)+1),MATCH(F$1,[2]stages!$2:$2,0)-MATCH($D$1,[2]stages!$2:$2,0)+1,FALSE)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69" s="25">
        <v>2</v>
      </c>
      <c r="H69" s="16" t="str">
        <f t="shared" ref="H69:H89" si="35">B69&amp;"_"&amp;C69&amp;"-"&amp;G69</f>
        <v>12001_3-2</v>
      </c>
      <c r="I69" s="5">
        <f ca="1">VLOOKUP($H69,OFFSET(floors!$A$1,0,0,COUNTA(floors!$A:$A),MATCH(I$1,floors!$1:$1,0)-MATCH($H$1,floors!$1:$1,0)+1),MATCH(I$1,floors!$1:$1,0)-MATCH($H$1,floors!$1:$1,0)+1,FALSE)</f>
        <v>35</v>
      </c>
      <c r="J69" s="5">
        <f ca="1">VLOOKUP($H69,OFFSET(floors!$A$1,0,0,COUNTA(floors!$A:$A),MATCH(J$1,floors!$1:$1,0)-MATCH($H$1,floors!$1:$1,0)+1),MATCH(J$1,floors!$1:$1,0)-MATCH($H$1,floors!$1:$1,0)+1,FALSE)</f>
        <v>35</v>
      </c>
      <c r="K69" s="8" t="s">
        <v>149</v>
      </c>
      <c r="L69" s="24">
        <v>346</v>
      </c>
      <c r="M69" s="20" t="str">
        <f ca="1">VLOOKUP($L69,OFFSET([3]enemies!$A$1,0,0,COUNTA([3]enemies!$A:$A),MATCH(M$1,[3]enemies!$1:$1,0)-MATCH($L$1,[3]enemies!$1:$1,0)+1),MATCH(M$1,[3]enemies!$1:$1,0)-MATCH($L$1,[3]enemies!$1:$1,0)+1,FALSE)</f>
        <v>雷のメタルダック</v>
      </c>
      <c r="N69" s="20" t="str">
        <f ca="1">VLOOKUP($L69,OFFSET([3]enemies!$A$1,0,0,COUNTA([3]enemies!$A:$A),MATCH(N$1,[3]enemies!$1:$1,0)-MATCH($L$1,[3]enemies!$1:$1,0)+1),MATCH(N$1,[3]enemies!$1:$1,0)-MATCH($L$1,[3]enemies!$1:$1,0)+1,FALSE)</f>
        <v>yellow</v>
      </c>
      <c r="O69" s="20" t="str">
        <f ca="1">VLOOKUP($L69,OFFSET([4]characters!$A$1,0,0,COUNTA([4]characters!$A:$A),MATCH(O$1,[4]characters!$1:$1,0)-MATCH($L$1,[4]characters!$1:$1,0)+1),MATCH(O$1,[4]characters!$1:$1,0)-MATCH($L$1,[4]characters!$1:$1,0)+1,FALSE)</f>
        <v>Material</v>
      </c>
      <c r="P69" s="20" t="str">
        <f ca="1">VLOOKUP($L69,OFFSET([3]enemies!$A$1,0,0,COUNTA([3]enemies!$A:$A),MATCH(P$1,[3]enemies!$1:$1,0)-MATCH($L$1,[3]enemies!$1:$1,0)+1),MATCH(P$1,[3]enemies!$1:$1,0)-MATCH($L$1,[3]enemies!$1:$1,0)+1,FALSE)</f>
        <v>unknown</v>
      </c>
      <c r="Q69" s="20">
        <f ca="1">VLOOKUP($L69,OFFSET([3]enemies!$A$1,0,0,COUNTA([3]enemies!$A:$A),MATCH(Q$1,[3]enemies!$1:$1,0)-MATCH($L$1,[3]enemies!$1:$1,0)+1),MATCH(Q$1,[3]enemies!$1:$1,0)-MATCH($L$1,[3]enemies!$1:$1,0)+1,FALSE)</f>
        <v>20</v>
      </c>
      <c r="R69" s="8">
        <v>10</v>
      </c>
      <c r="S69" s="30">
        <v>0.5</v>
      </c>
      <c r="T69" s="30">
        <v>50</v>
      </c>
      <c r="U69" s="6">
        <v>-13000</v>
      </c>
      <c r="V69" s="5" t="str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9" s="5">
        <f ca="1">VLOOKUP($L69,OFFSET([3]enemies!$A$1,0,0,COUNTA([3]enemies!$A:$A),MATCH(W$1,[3]enemies!$1:$1,0)-MATCH($L$1,[3]enemies!$1:$1,0)+1),MATCH(W$1,[3]enemies!$1:$1,0)-MATCH($L$1,[3]enemies!$1:$1,0)+1,FALSE)</f>
        <v>0</v>
      </c>
      <c r="X69" s="7">
        <v>0</v>
      </c>
      <c r="Y69" s="7">
        <v>25</v>
      </c>
      <c r="Z69" s="7">
        <v>1</v>
      </c>
      <c r="AA69" s="60">
        <v>2</v>
      </c>
      <c r="AB69" s="2">
        <f t="shared" si="28"/>
        <v>346</v>
      </c>
      <c r="AC69" s="5" t="str">
        <f ca="1">VLOOKUP($AB69,OFFSET([4]characters!$A$1,0,0,COUNTA([4]characters!$A:$A),MATCH(AC$1,[4]characters!$1:$1,0)-MATCH("character_id",[4]characters!$1:$1,0)+1),MATCH(AC$1,[4]characters!$1:$1,0)-MATCH("character_id",[4]characters!$1:$1,0)+1,FALSE)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69" s="5">
        <f ca="1">VLOOKUP($AB69,OFFSET([4]characters!$A$1,0,0,COUNTA([4]characters!$A:$A),MATCH(AD$1,[4]characters!$1:$1,0)-MATCH("character_id",[4]characters!$1:$1,0)+1),MATCH(AD$1,[4]characters!$1:$1,0)-MATCH("character_id",[4]characters!$1:$1,0)+1,FALSE)</f>
        <v>5</v>
      </c>
      <c r="AE69" s="5" t="str">
        <f ca="1">VLOOKUP($AB69,OFFSET([4]characters!$A$1,0,0,COUNTA([4]characters!$A:$A),MATCH(AE$1,[4]characters!$1:$1,0)-MATCH("character_id",[4]characters!$1:$1,0)+1),MATCH(AE$1,[4]characters!$1:$1,0)-MATCH("character_id",[4]characters!$1:$1,0)+1,FALSE)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9" s="8">
        <v>1</v>
      </c>
      <c r="AG69" s="28">
        <f t="shared" ca="1" si="26"/>
        <v>5</v>
      </c>
      <c r="AH69" s="9">
        <v>100</v>
      </c>
      <c r="AI69" s="8">
        <v>0</v>
      </c>
      <c r="AJ69" s="8">
        <v>0</v>
      </c>
      <c r="AK69" s="8">
        <v>0</v>
      </c>
      <c r="AL69" s="8">
        <v>0</v>
      </c>
      <c r="AM69" s="8">
        <v>1</v>
      </c>
    </row>
    <row r="70" spans="1:39" ht="21" customHeight="1" x14ac:dyDescent="0.15">
      <c r="A70" s="17" t="str">
        <f>B70&amp;"_"&amp;C70&amp;"-"&amp;G70&amp;"/"&amp;L70&amp;"&lt;lv"&amp;R70&amp;"&gt;s"&amp;AA70</f>
        <v>12001_3-3/333&lt;lv10&gt;s1</v>
      </c>
      <c r="B70" s="26">
        <v>12001</v>
      </c>
      <c r="C70" s="25">
        <v>3</v>
      </c>
      <c r="D70" s="2" t="str">
        <f>B70&amp;"_"&amp;C70</f>
        <v>12001_3</v>
      </c>
      <c r="E70" s="5" t="str">
        <f ca="1">VLOOKUP($B70,OFFSET([2]quests!$A$1,0,0,COUNTA([2]quests!$A:$A),MATCH(E$1,[2]quests!$1:$1,0)-MATCH($B$1,[2]quests!$1:$1,0)+1),MATCH(E$1,[2]quests!$1:$1,0)-MATCH($B$1,[2]quests!$1:$1,0)+1,FALSE)</f>
        <v>【緊急！！】 アヒル捕獲作戦</v>
      </c>
      <c r="F70" s="5" t="str">
        <f ca="1">VLOOKUP($D70,OFFSET([2]stages!$A$1,0,0,COUNTA([2]stages!$A:$A),MATCH(F$1,[2]stages!$2:$2,0)-MATCH($D$1,[2]stages!$2:$2,0)+1),MATCH(F$1,[2]stages!$2:$2,0)-MATCH($D$1,[2]stages!$2:$2,0)+1,FALSE)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0" s="25">
        <v>3</v>
      </c>
      <c r="H70" s="16" t="str">
        <f>B70&amp;"_"&amp;C70&amp;"-"&amp;G70</f>
        <v>12001_3-3</v>
      </c>
      <c r="I70" s="5">
        <f ca="1">VLOOKUP($H70,OFFSET(floors!$A$1,0,0,COUNTA(floors!$A:$A),MATCH(I$1,floors!$1:$1,0)-MATCH($H$1,floors!$1:$1,0)+1),MATCH(I$1,floors!$1:$1,0)-MATCH($H$1,floors!$1:$1,0)+1,FALSE)</f>
        <v>50</v>
      </c>
      <c r="J70" s="5">
        <f ca="1">VLOOKUP($H70,OFFSET(floors!$A$1,0,0,COUNTA(floors!$A:$A),MATCH(J$1,floors!$1:$1,0)-MATCH($H$1,floors!$1:$1,0)+1),MATCH(J$1,floors!$1:$1,0)-MATCH($H$1,floors!$1:$1,0)+1,FALSE)</f>
        <v>50</v>
      </c>
      <c r="K70" s="8" t="s">
        <v>147</v>
      </c>
      <c r="L70" s="24">
        <v>333</v>
      </c>
      <c r="M70" s="20" t="str">
        <f ca="1">VLOOKUP($L70,OFFSET([3]enemies!$A$1,0,0,COUNTA([3]enemies!$A:$A),MATCH(M$1,[3]enemies!$1:$1,0)-MATCH($L$1,[3]enemies!$1:$1,0)+1),MATCH(M$1,[3]enemies!$1:$1,0)-MATCH($L$1,[3]enemies!$1:$1,0)+1,FALSE)</f>
        <v>炎のメタルチック</v>
      </c>
      <c r="N70" s="20" t="str">
        <f ca="1">VLOOKUP($L70,OFFSET([3]enemies!$A$1,0,0,COUNTA([3]enemies!$A:$A),MATCH(N$1,[3]enemies!$1:$1,0)-MATCH($L$1,[3]enemies!$1:$1,0)+1),MATCH(N$1,[3]enemies!$1:$1,0)-MATCH($L$1,[3]enemies!$1:$1,0)+1,FALSE)</f>
        <v>red</v>
      </c>
      <c r="O70" s="20" t="str">
        <f ca="1">VLOOKUP($L70,OFFSET([4]characters!$A$1,0,0,COUNTA([4]characters!$A:$A),MATCH(O$1,[4]characters!$1:$1,0)-MATCH($L$1,[4]characters!$1:$1,0)+1),MATCH(O$1,[4]characters!$1:$1,0)-MATCH($L$1,[4]characters!$1:$1,0)+1,FALSE)</f>
        <v>Material</v>
      </c>
      <c r="P70" s="20" t="str">
        <f ca="1">VLOOKUP($L70,OFFSET([3]enemies!$A$1,0,0,COUNTA([3]enemies!$A:$A),MATCH(P$1,[3]enemies!$1:$1,0)-MATCH($L$1,[3]enemies!$1:$1,0)+1),MATCH(P$1,[3]enemies!$1:$1,0)-MATCH($L$1,[3]enemies!$1:$1,0)+1,FALSE)</f>
        <v>unknown</v>
      </c>
      <c r="Q70" s="20">
        <f ca="1">VLOOKUP($L70,OFFSET([3]enemies!$A$1,0,0,COUNTA([3]enemies!$A:$A),MATCH(Q$1,[3]enemies!$1:$1,0)-MATCH($L$1,[3]enemies!$1:$1,0)+1),MATCH(Q$1,[3]enemies!$1:$1,0)-MATCH($L$1,[3]enemies!$1:$1,0)+1,FALSE)</f>
        <v>15</v>
      </c>
      <c r="R70" s="8">
        <v>10</v>
      </c>
      <c r="S70" s="30">
        <v>0.5</v>
      </c>
      <c r="T70" s="30">
        <v>60</v>
      </c>
      <c r="U70" s="6">
        <v>1600</v>
      </c>
      <c r="V70" s="5" t="str">
        <f ca="1">VLOOKUP($W70,OFFSET([5]enemy_skill_sets!$B$1,0,0,COUNTA([5]enemy_skill_sets!$B:$B),MATCH(M$1,[5]enemy_skill_sets!$1:$1,0)-MATCH($W$1,[5]enemy_skill_sets!$1:$1,0)+2),MATCH(M$1,[5]enemy_skill_sets!$1:$1,0)-MATCH($W$1,[5]enemy_skill_sets!$1:$1,0)+2,FALSE)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0" s="5">
        <f ca="1">VLOOKUP($L70,OFFSET([3]enemies!$A$1,0,0,COUNTA([3]enemies!$A:$A),MATCH(W$1,[3]enemies!$1:$1,0)-MATCH($L$1,[3]enemies!$1:$1,0)+1),MATCH(W$1,[3]enemies!$1:$1,0)-MATCH($L$1,[3]enemies!$1:$1,0)+1,FALSE)</f>
        <v>0</v>
      </c>
      <c r="X70" s="7">
        <v>0</v>
      </c>
      <c r="Y70" s="7">
        <v>25</v>
      </c>
      <c r="Z70" s="7">
        <v>0</v>
      </c>
      <c r="AA70" s="60">
        <v>1</v>
      </c>
      <c r="AB70" s="2">
        <f>L70</f>
        <v>333</v>
      </c>
      <c r="AC70" s="5" t="str">
        <f ca="1">VLOOKUP($AB70,OFFSET([4]characters!$A$1,0,0,COUNTA([4]characters!$A:$A),MATCH(AC$1,[4]characters!$1:$1,0)-MATCH("character_id",[4]characters!$1:$1,0)+1),MATCH(AC$1,[4]characters!$1:$1,0)-MATCH("character_id",[4]characters!$1:$1,0)+1,FALSE)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70" s="5">
        <f ca="1">VLOOKUP($AB70,OFFSET([4]characters!$A$1,0,0,COUNTA([4]characters!$A:$A),MATCH(AD$1,[4]characters!$1:$1,0)-MATCH("character_id",[4]characters!$1:$1,0)+1),MATCH(AD$1,[4]characters!$1:$1,0)-MATCH("character_id",[4]characters!$1:$1,0)+1,FALSE)</f>
        <v>4</v>
      </c>
      <c r="AE70" s="5" t="str">
        <f ca="1">VLOOKUP($AB70,OFFSET([4]characters!$A$1,0,0,COUNTA([4]characters!$A:$A),MATCH(AE$1,[4]characters!$1:$1,0)-MATCH("character_id",[4]characters!$1:$1,0)+1),MATCH(AE$1,[4]characters!$1:$1,0)-MATCH("character_id",[4]characters!$1:$1,0)+1,FALSE)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0" s="8">
        <v>1</v>
      </c>
      <c r="AG70" s="28">
        <f ca="1">AD70</f>
        <v>4</v>
      </c>
      <c r="AH70" s="9">
        <v>0</v>
      </c>
      <c r="AI70" s="8">
        <v>0</v>
      </c>
      <c r="AJ70" s="8">
        <v>0</v>
      </c>
      <c r="AK70" s="8">
        <v>0</v>
      </c>
      <c r="AL70" s="8">
        <v>0</v>
      </c>
      <c r="AM70" s="8">
        <v>1</v>
      </c>
    </row>
    <row r="71" spans="1:39" ht="21" customHeight="1" x14ac:dyDescent="0.15">
      <c r="A71" s="17" t="str">
        <f t="shared" ref="A71" si="36">B71&amp;"_"&amp;C71&amp;"-"&amp;G71&amp;"/"&amp;L71&amp;"&lt;lv"&amp;R71&amp;"&gt;s"&amp;AA71</f>
        <v>12001_3-3/337&lt;lv10&gt;s1</v>
      </c>
      <c r="B71" s="26">
        <v>12001</v>
      </c>
      <c r="C71" s="25">
        <v>3</v>
      </c>
      <c r="D71" s="2" t="str">
        <f t="shared" ref="D71" si="37">B71&amp;"_"&amp;C71</f>
        <v>12001_3</v>
      </c>
      <c r="E71" s="5" t="str">
        <f ca="1">VLOOKUP($B71,OFFSET([2]quests!$A$1,0,0,COUNTA([2]quests!$A:$A),MATCH(E$1,[2]quests!$1:$1,0)-MATCH($B$1,[2]quests!$1:$1,0)+1),MATCH(E$1,[2]quests!$1:$1,0)-MATCH($B$1,[2]quests!$1:$1,0)+1,FALSE)</f>
        <v>【緊急！！】 アヒル捕獲作戦</v>
      </c>
      <c r="F71" s="5" t="str">
        <f ca="1">VLOOKUP($D71,OFFSET([2]stages!$A$1,0,0,COUNTA([2]stages!$A:$A),MATCH(F$1,[2]stages!$2:$2,0)-MATCH($D$1,[2]stages!$2:$2,0)+1),MATCH(F$1,[2]stages!$2:$2,0)-MATCH($D$1,[2]stages!$2:$2,0)+1,FALSE)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1" s="25">
        <v>3</v>
      </c>
      <c r="H71" s="16" t="str">
        <f t="shared" ref="H71" si="38">B71&amp;"_"&amp;C71&amp;"-"&amp;G71</f>
        <v>12001_3-3</v>
      </c>
      <c r="I71" s="5">
        <f ca="1">VLOOKUP($H71,OFFSET(floors!$A$1,0,0,COUNTA(floors!$A:$A),MATCH(I$1,floors!$1:$1,0)-MATCH($H$1,floors!$1:$1,0)+1),MATCH(I$1,floors!$1:$1,0)-MATCH($H$1,floors!$1:$1,0)+1,FALSE)</f>
        <v>50</v>
      </c>
      <c r="J71" s="5">
        <f ca="1">VLOOKUP($H71,OFFSET(floors!$A$1,0,0,COUNTA(floors!$A:$A),MATCH(J$1,floors!$1:$1,0)-MATCH($H$1,floors!$1:$1,0)+1),MATCH(J$1,floors!$1:$1,0)-MATCH($H$1,floors!$1:$1,0)+1,FALSE)</f>
        <v>50</v>
      </c>
      <c r="K71" s="8" t="s">
        <v>147</v>
      </c>
      <c r="L71" s="24">
        <v>337</v>
      </c>
      <c r="M71" s="20" t="str">
        <f ca="1">VLOOKUP($L71,OFFSET([3]enemies!$A$1,0,0,COUNTA([3]enemies!$A:$A),MATCH(M$1,[3]enemies!$1:$1,0)-MATCH($L$1,[3]enemies!$1:$1,0)+1),MATCH(M$1,[3]enemies!$1:$1,0)-MATCH($L$1,[3]enemies!$1:$1,0)+1,FALSE)</f>
        <v>森のメタルチック</v>
      </c>
      <c r="N71" s="20" t="str">
        <f ca="1">VLOOKUP($L71,OFFSET([3]enemies!$A$1,0,0,COUNTA([3]enemies!$A:$A),MATCH(N$1,[3]enemies!$1:$1,0)-MATCH($L$1,[3]enemies!$1:$1,0)+1),MATCH(N$1,[3]enemies!$1:$1,0)-MATCH($L$1,[3]enemies!$1:$1,0)+1,FALSE)</f>
        <v>green</v>
      </c>
      <c r="O71" s="20" t="str">
        <f ca="1">VLOOKUP($L71,OFFSET([4]characters!$A$1,0,0,COUNTA([4]characters!$A:$A),MATCH(O$1,[4]characters!$1:$1,0)-MATCH($L$1,[4]characters!$1:$1,0)+1),MATCH(O$1,[4]characters!$1:$1,0)-MATCH($L$1,[4]characters!$1:$1,0)+1,FALSE)</f>
        <v>Material</v>
      </c>
      <c r="P71" s="20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20">
        <f ca="1">VLOOKUP($L71,OFFSET([3]enemies!$A$1,0,0,COUNTA([3]enemies!$A:$A),MATCH(Q$1,[3]enemies!$1:$1,0)-MATCH($L$1,[3]enemies!$1:$1,0)+1),MATCH(Q$1,[3]enemies!$1:$1,0)-MATCH($L$1,[3]enemies!$1:$1,0)+1,FALSE)</f>
        <v>15</v>
      </c>
      <c r="R71" s="8">
        <v>10</v>
      </c>
      <c r="S71" s="30">
        <v>0.5</v>
      </c>
      <c r="T71" s="30">
        <v>60</v>
      </c>
      <c r="U71" s="6">
        <v>1600</v>
      </c>
      <c r="V71" s="5" t="str">
        <f ca="1">VLOOKUP($W71,OFFSET([5]enemy_skill_sets!$B$1,0,0,COUNTA([5]enemy_skill_sets!$B:$B),MATCH(M$1,[5]enemy_skill_sets!$1:$1,0)-MATCH($W$1,[5]enemy_skill_sets!$1:$1,0)+2),MATCH(M$1,[5]enemy_skill_sets!$1:$1,0)-MATCH($W$1,[5]enemy_skill_sets!$1:$1,0)+2,FALSE)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1" s="5">
        <f ca="1">VLOOKUP($L71,OFFSET([3]enemies!$A$1,0,0,COUNTA([3]enemies!$A:$A),MATCH(W$1,[3]enemies!$1:$1,0)-MATCH($L$1,[3]enemies!$1:$1,0)+1),MATCH(W$1,[3]enemies!$1:$1,0)-MATCH($L$1,[3]enemies!$1:$1,0)+1,FALSE)</f>
        <v>0</v>
      </c>
      <c r="X71" s="7">
        <v>0</v>
      </c>
      <c r="Y71" s="7">
        <v>25</v>
      </c>
      <c r="Z71" s="7">
        <v>0</v>
      </c>
      <c r="AA71" s="60">
        <v>1</v>
      </c>
      <c r="AB71" s="2">
        <f t="shared" ref="AB71" si="39">L71</f>
        <v>337</v>
      </c>
      <c r="AC71" s="5" t="str">
        <f ca="1">VLOOKUP($AB71,OFFSET([4]characters!$A$1,0,0,COUNTA([4]characters!$A:$A),MATCH(AC$1,[4]characters!$1:$1,0)-MATCH("character_id",[4]characters!$1:$1,0)+1),MATCH(AC$1,[4]characters!$1:$1,0)-MATCH("character_id",[4]characters!$1:$1,0)+1,FALSE)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71" s="5">
        <f ca="1">VLOOKUP($AB71,OFFSET([4]characters!$A$1,0,0,COUNTA([4]characters!$A:$A),MATCH(AD$1,[4]characters!$1:$1,0)-MATCH("character_id",[4]characters!$1:$1,0)+1),MATCH(AD$1,[4]characters!$1:$1,0)-MATCH("character_id",[4]characters!$1:$1,0)+1,FALSE)</f>
        <v>4</v>
      </c>
      <c r="AE71" s="5" t="str">
        <f ca="1">VLOOKUP($AB71,OFFSET([4]characters!$A$1,0,0,COUNTA([4]characters!$A:$A),MATCH(AE$1,[4]characters!$1:$1,0)-MATCH("character_id",[4]characters!$1:$1,0)+1),MATCH(AE$1,[4]characters!$1:$1,0)-MATCH("character_id",[4]characters!$1:$1,0)+1,FALSE)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1" s="8">
        <v>1</v>
      </c>
      <c r="AG71" s="28">
        <f t="shared" ref="AG71" ca="1" si="40">AD71</f>
        <v>4</v>
      </c>
      <c r="AH71" s="9">
        <v>0</v>
      </c>
      <c r="AI71" s="8">
        <v>0</v>
      </c>
      <c r="AJ71" s="8">
        <v>0</v>
      </c>
      <c r="AK71" s="8">
        <v>0</v>
      </c>
      <c r="AL71" s="8">
        <v>0</v>
      </c>
      <c r="AM71" s="8">
        <v>1</v>
      </c>
    </row>
    <row r="72" spans="1:39" ht="21" customHeight="1" x14ac:dyDescent="0.15">
      <c r="A72" s="17" t="str">
        <f>B72&amp;"_"&amp;C72&amp;"-"&amp;G72&amp;"/"&amp;L72&amp;"&lt;lv"&amp;R72&amp;"&gt;s"&amp;AA72</f>
        <v>12001_3-3/341&lt;lv10&gt;s1</v>
      </c>
      <c r="B72" s="26">
        <v>12001</v>
      </c>
      <c r="C72" s="25">
        <v>3</v>
      </c>
      <c r="D72" s="2" t="str">
        <f>B72&amp;"_"&amp;C72</f>
        <v>12001_3</v>
      </c>
      <c r="E72" s="5" t="str">
        <f ca="1">VLOOKUP($B72,OFFSET([2]quests!$A$1,0,0,COUNTA([2]quests!$A:$A),MATCH(E$1,[2]quests!$1:$1,0)-MATCH($B$1,[2]quests!$1:$1,0)+1),MATCH(E$1,[2]quests!$1:$1,0)-MATCH($B$1,[2]quests!$1:$1,0)+1,FALSE)</f>
        <v>【緊急！！】 アヒル捕獲作戦</v>
      </c>
      <c r="F72" s="5" t="str">
        <f ca="1">VLOOKUP($D72,OFFSET([2]stages!$A$1,0,0,COUNTA([2]stages!$A:$A),MATCH(F$1,[2]stages!$2:$2,0)-MATCH($D$1,[2]stages!$2:$2,0)+1),MATCH(F$1,[2]stages!$2:$2,0)-MATCH($D$1,[2]stages!$2:$2,0)+1,FALSE)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2" s="25">
        <v>3</v>
      </c>
      <c r="H72" s="16" t="str">
        <f>B72&amp;"_"&amp;C72&amp;"-"&amp;G72</f>
        <v>12001_3-3</v>
      </c>
      <c r="I72" s="5">
        <f ca="1">VLOOKUP($H72,OFFSET(floors!$A$1,0,0,COUNTA(floors!$A:$A),MATCH(I$1,floors!$1:$1,0)-MATCH($H$1,floors!$1:$1,0)+1),MATCH(I$1,floors!$1:$1,0)-MATCH($H$1,floors!$1:$1,0)+1,FALSE)</f>
        <v>50</v>
      </c>
      <c r="J72" s="5">
        <f ca="1">VLOOKUP($H72,OFFSET(floors!$A$1,0,0,COUNTA(floors!$A:$A),MATCH(J$1,floors!$1:$1,0)-MATCH($H$1,floors!$1:$1,0)+1),MATCH(J$1,floors!$1:$1,0)-MATCH($H$1,floors!$1:$1,0)+1,FALSE)</f>
        <v>50</v>
      </c>
      <c r="K72" s="8" t="s">
        <v>147</v>
      </c>
      <c r="L72" s="24">
        <v>341</v>
      </c>
      <c r="M72" s="20" t="str">
        <f ca="1">VLOOKUP($L72,OFFSET([3]enemies!$A$1,0,0,COUNTA([3]enemies!$A:$A),MATCH(M$1,[3]enemies!$1:$1,0)-MATCH($L$1,[3]enemies!$1:$1,0)+1),MATCH(M$1,[3]enemies!$1:$1,0)-MATCH($L$1,[3]enemies!$1:$1,0)+1,FALSE)</f>
        <v>水のメタルチック</v>
      </c>
      <c r="N72" s="20" t="str">
        <f ca="1">VLOOKUP($L72,OFFSET([3]enemies!$A$1,0,0,COUNTA([3]enemies!$A:$A),MATCH(N$1,[3]enemies!$1:$1,0)-MATCH($L$1,[3]enemies!$1:$1,0)+1),MATCH(N$1,[3]enemies!$1:$1,0)-MATCH($L$1,[3]enemies!$1:$1,0)+1,FALSE)</f>
        <v>blue</v>
      </c>
      <c r="O72" s="20" t="str">
        <f ca="1">VLOOKUP($L72,OFFSET([4]characters!$A$1,0,0,COUNTA([4]characters!$A:$A),MATCH(O$1,[4]characters!$1:$1,0)-MATCH($L$1,[4]characters!$1:$1,0)+1),MATCH(O$1,[4]characters!$1:$1,0)-MATCH($L$1,[4]characters!$1:$1,0)+1,FALSE)</f>
        <v>Material</v>
      </c>
      <c r="P72" s="20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20">
        <f ca="1">VLOOKUP($L72,OFFSET([3]enemies!$A$1,0,0,COUNTA([3]enemies!$A:$A),MATCH(Q$1,[3]enemies!$1:$1,0)-MATCH($L$1,[3]enemies!$1:$1,0)+1),MATCH(Q$1,[3]enemies!$1:$1,0)-MATCH($L$1,[3]enemies!$1:$1,0)+1,FALSE)</f>
        <v>15</v>
      </c>
      <c r="R72" s="8">
        <v>10</v>
      </c>
      <c r="S72" s="30">
        <v>0.5</v>
      </c>
      <c r="T72" s="30">
        <v>60</v>
      </c>
      <c r="U72" s="6">
        <v>1600</v>
      </c>
      <c r="V72" s="5" t="str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2" s="5">
        <f ca="1">VLOOKUP($L72,OFFSET([3]enemies!$A$1,0,0,COUNTA([3]enemies!$A:$A),MATCH(W$1,[3]enemies!$1:$1,0)-MATCH($L$1,[3]enemies!$1:$1,0)+1),MATCH(W$1,[3]enemies!$1:$1,0)-MATCH($L$1,[3]enemies!$1:$1,0)+1,FALSE)</f>
        <v>0</v>
      </c>
      <c r="X72" s="7">
        <v>0</v>
      </c>
      <c r="Y72" s="7">
        <v>25</v>
      </c>
      <c r="Z72" s="7">
        <v>0</v>
      </c>
      <c r="AA72" s="60">
        <v>1</v>
      </c>
      <c r="AB72" s="2">
        <f>L72</f>
        <v>341</v>
      </c>
      <c r="AC72" s="5" t="str">
        <f ca="1">VLOOKUP($AB72,OFFSET([4]characters!$A$1,0,0,COUNTA([4]characters!$A:$A),MATCH(AC$1,[4]characters!$1:$1,0)-MATCH("character_id",[4]characters!$1:$1,0)+1),MATCH(AC$1,[4]characters!$1:$1,0)-MATCH("character_id",[4]characters!$1:$1,0)+1,FALSE)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72" s="5">
        <f ca="1">VLOOKUP($AB72,OFFSET([4]characters!$A$1,0,0,COUNTA([4]characters!$A:$A),MATCH(AD$1,[4]characters!$1:$1,0)-MATCH("character_id",[4]characters!$1:$1,0)+1),MATCH(AD$1,[4]characters!$1:$1,0)-MATCH("character_id",[4]characters!$1:$1,0)+1,FALSE)</f>
        <v>4</v>
      </c>
      <c r="AE72" s="5" t="str">
        <f ca="1">VLOOKUP($AB72,OFFSET([4]characters!$A$1,0,0,COUNTA([4]characters!$A:$A),MATCH(AE$1,[4]characters!$1:$1,0)-MATCH("character_id",[4]characters!$1:$1,0)+1),MATCH(AE$1,[4]characters!$1:$1,0)-MATCH("character_id",[4]characters!$1:$1,0)+1,FALSE)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2" s="8">
        <v>1</v>
      </c>
      <c r="AG72" s="28">
        <f ca="1">AD72</f>
        <v>4</v>
      </c>
      <c r="AH72" s="9">
        <v>0</v>
      </c>
      <c r="AI72" s="8">
        <v>0</v>
      </c>
      <c r="AJ72" s="8">
        <v>0</v>
      </c>
      <c r="AK72" s="8">
        <v>0</v>
      </c>
      <c r="AL72" s="8">
        <v>0</v>
      </c>
      <c r="AM72" s="8">
        <v>1</v>
      </c>
    </row>
    <row r="73" spans="1:39" ht="21" customHeight="1" x14ac:dyDescent="0.15">
      <c r="A73" s="17" t="str">
        <f t="shared" ref="A73:A77" si="41">B73&amp;"_"&amp;C73&amp;"-"&amp;G73&amp;"/"&amp;L73&amp;"&lt;lv"&amp;R73&amp;"&gt;s"&amp;AA73</f>
        <v>12001_3-3/345&lt;lv10&gt;s1</v>
      </c>
      <c r="B73" s="26">
        <v>12001</v>
      </c>
      <c r="C73" s="25">
        <v>3</v>
      </c>
      <c r="D73" s="2" t="str">
        <f t="shared" ref="D73:D77" si="42">B73&amp;"_"&amp;C73</f>
        <v>12001_3</v>
      </c>
      <c r="E73" s="5" t="str">
        <f ca="1">VLOOKUP($B73,OFFSET([2]quests!$A$1,0,0,COUNTA([2]quests!$A:$A),MATCH(E$1,[2]quests!$1:$1,0)-MATCH($B$1,[2]quests!$1:$1,0)+1),MATCH(E$1,[2]quests!$1:$1,0)-MATCH($B$1,[2]quests!$1:$1,0)+1,FALSE)</f>
        <v>【緊急！！】 アヒル捕獲作戦</v>
      </c>
      <c r="F73" s="5" t="str">
        <f ca="1">VLOOKUP($D73,OFFSET([2]stages!$A$1,0,0,COUNTA([2]stages!$A:$A),MATCH(F$1,[2]stages!$2:$2,0)-MATCH($D$1,[2]stages!$2:$2,0)+1),MATCH(F$1,[2]stages!$2:$2,0)-MATCH($D$1,[2]stages!$2:$2,0)+1,FALSE)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3" s="25">
        <v>3</v>
      </c>
      <c r="H73" s="16" t="str">
        <f t="shared" ref="H73:H77" si="43">B73&amp;"_"&amp;C73&amp;"-"&amp;G73</f>
        <v>12001_3-3</v>
      </c>
      <c r="I73" s="5">
        <f ca="1">VLOOKUP($H73,OFFSET(floors!$A$1,0,0,COUNTA(floors!$A:$A),MATCH(I$1,floors!$1:$1,0)-MATCH($H$1,floors!$1:$1,0)+1),MATCH(I$1,floors!$1:$1,0)-MATCH($H$1,floors!$1:$1,0)+1,FALSE)</f>
        <v>50</v>
      </c>
      <c r="J73" s="5">
        <f ca="1">VLOOKUP($H73,OFFSET(floors!$A$1,0,0,COUNTA(floors!$A:$A),MATCH(J$1,floors!$1:$1,0)-MATCH($H$1,floors!$1:$1,0)+1),MATCH(J$1,floors!$1:$1,0)-MATCH($H$1,floors!$1:$1,0)+1,FALSE)</f>
        <v>50</v>
      </c>
      <c r="K73" s="8" t="s">
        <v>147</v>
      </c>
      <c r="L73" s="24">
        <v>345</v>
      </c>
      <c r="M73" s="20" t="str">
        <f ca="1">VLOOKUP($L73,OFFSET([3]enemies!$A$1,0,0,COUNTA([3]enemies!$A:$A),MATCH(M$1,[3]enemies!$1:$1,0)-MATCH($L$1,[3]enemies!$1:$1,0)+1),MATCH(M$1,[3]enemies!$1:$1,0)-MATCH($L$1,[3]enemies!$1:$1,0)+1,FALSE)</f>
        <v>雷のメタルチック</v>
      </c>
      <c r="N73" s="20" t="str">
        <f ca="1">VLOOKUP($L73,OFFSET([3]enemies!$A$1,0,0,COUNTA([3]enemies!$A:$A),MATCH(N$1,[3]enemies!$1:$1,0)-MATCH($L$1,[3]enemies!$1:$1,0)+1),MATCH(N$1,[3]enemies!$1:$1,0)-MATCH($L$1,[3]enemies!$1:$1,0)+1,FALSE)</f>
        <v>yellow</v>
      </c>
      <c r="O73" s="20" t="str">
        <f ca="1">VLOOKUP($L73,OFFSET([4]characters!$A$1,0,0,COUNTA([4]characters!$A:$A),MATCH(O$1,[4]characters!$1:$1,0)-MATCH($L$1,[4]characters!$1:$1,0)+1),MATCH(O$1,[4]characters!$1:$1,0)-MATCH($L$1,[4]characters!$1:$1,0)+1,FALSE)</f>
        <v>Material</v>
      </c>
      <c r="P73" s="20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20">
        <f ca="1">VLOOKUP($L73,OFFSET([3]enemies!$A$1,0,0,COUNTA([3]enemies!$A:$A),MATCH(Q$1,[3]enemies!$1:$1,0)-MATCH($L$1,[3]enemies!$1:$1,0)+1),MATCH(Q$1,[3]enemies!$1:$1,0)-MATCH($L$1,[3]enemies!$1:$1,0)+1,FALSE)</f>
        <v>15</v>
      </c>
      <c r="R73" s="8">
        <v>10</v>
      </c>
      <c r="S73" s="30">
        <v>0.5</v>
      </c>
      <c r="T73" s="30">
        <v>60</v>
      </c>
      <c r="U73" s="6">
        <v>1600</v>
      </c>
      <c r="V73" s="5" t="str">
        <f ca="1">VLOOKUP($W73,OFFSET([5]enemy_skill_sets!$B$1,0,0,COUNTA([5]enemy_skill_sets!$B:$B),MATCH(M$1,[5]enemy_skill_sets!$1:$1,0)-MATCH($W$1,[5]enemy_skill_sets!$1:$1,0)+2),MATCH(M$1,[5]enemy_skill_sets!$1:$1,0)-MATCH($W$1,[5]enemy_skill_sets!$1:$1,0)+2,FALSE)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3" s="5">
        <f ca="1">VLOOKUP($L73,OFFSET([3]enemies!$A$1,0,0,COUNTA([3]enemies!$A:$A),MATCH(W$1,[3]enemies!$1:$1,0)-MATCH($L$1,[3]enemies!$1:$1,0)+1),MATCH(W$1,[3]enemies!$1:$1,0)-MATCH($L$1,[3]enemies!$1:$1,0)+1,FALSE)</f>
        <v>0</v>
      </c>
      <c r="X73" s="7">
        <v>0</v>
      </c>
      <c r="Y73" s="7">
        <v>25</v>
      </c>
      <c r="Z73" s="7">
        <v>0</v>
      </c>
      <c r="AA73" s="60">
        <v>1</v>
      </c>
      <c r="AB73" s="2">
        <f t="shared" ref="AB73:AB77" si="44">L73</f>
        <v>345</v>
      </c>
      <c r="AC73" s="5" t="str">
        <f ca="1">VLOOKUP($AB73,OFFSET([4]characters!$A$1,0,0,COUNTA([4]characters!$A:$A),MATCH(AC$1,[4]characters!$1:$1,0)-MATCH("character_id",[4]characters!$1:$1,0)+1),MATCH(AC$1,[4]characters!$1:$1,0)-MATCH("character_id",[4]characters!$1:$1,0)+1,FALSE)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73" s="5">
        <f ca="1">VLOOKUP($AB73,OFFSET([4]characters!$A$1,0,0,COUNTA([4]characters!$A:$A),MATCH(AD$1,[4]characters!$1:$1,0)-MATCH("character_id",[4]characters!$1:$1,0)+1),MATCH(AD$1,[4]characters!$1:$1,0)-MATCH("character_id",[4]characters!$1:$1,0)+1,FALSE)</f>
        <v>4</v>
      </c>
      <c r="AE73" s="5" t="str">
        <f ca="1">VLOOKUP($AB73,OFFSET([4]characters!$A$1,0,0,COUNTA([4]characters!$A:$A),MATCH(AE$1,[4]characters!$1:$1,0)-MATCH("character_id",[4]characters!$1:$1,0)+1),MATCH(AE$1,[4]characters!$1:$1,0)-MATCH("character_id",[4]characters!$1:$1,0)+1,FALSE)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3" s="8">
        <v>1</v>
      </c>
      <c r="AG73" s="28">
        <f t="shared" ref="AG73:AG77" ca="1" si="45">AD73</f>
        <v>4</v>
      </c>
      <c r="AH73" s="9">
        <v>0</v>
      </c>
      <c r="AI73" s="8">
        <v>0</v>
      </c>
      <c r="AJ73" s="8">
        <v>0</v>
      </c>
      <c r="AK73" s="8">
        <v>0</v>
      </c>
      <c r="AL73" s="8">
        <v>0</v>
      </c>
      <c r="AM73" s="8">
        <v>1</v>
      </c>
    </row>
    <row r="74" spans="1:39" ht="21" customHeight="1" x14ac:dyDescent="0.15">
      <c r="A74" s="17" t="str">
        <f t="shared" si="41"/>
        <v>12001_3-3/334&lt;lv10&gt;s2</v>
      </c>
      <c r="B74" s="26">
        <v>12001</v>
      </c>
      <c r="C74" s="25">
        <v>3</v>
      </c>
      <c r="D74" s="2" t="str">
        <f t="shared" si="42"/>
        <v>12001_3</v>
      </c>
      <c r="E74" s="5" t="str">
        <f ca="1">VLOOKUP($B74,OFFSET([2]quests!$A$1,0,0,COUNTA([2]quests!$A:$A),MATCH(E$1,[2]quests!$1:$1,0)-MATCH($B$1,[2]quests!$1:$1,0)+1),MATCH(E$1,[2]quests!$1:$1,0)-MATCH($B$1,[2]quests!$1:$1,0)+1,FALSE)</f>
        <v>【緊急！！】 アヒル捕獲作戦</v>
      </c>
      <c r="F74" s="5" t="str">
        <f ca="1">VLOOKUP($D74,OFFSET([2]stages!$A$1,0,0,COUNTA([2]stages!$A:$A),MATCH(F$1,[2]stages!$2:$2,0)-MATCH($D$1,[2]stages!$2:$2,0)+1),MATCH(F$1,[2]stages!$2:$2,0)-MATCH($D$1,[2]stages!$2:$2,0)+1,FALSE)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4" s="25">
        <v>3</v>
      </c>
      <c r="H74" s="16" t="str">
        <f t="shared" si="43"/>
        <v>12001_3-3</v>
      </c>
      <c r="I74" s="5">
        <f ca="1">VLOOKUP($H74,OFFSET(floors!$A$1,0,0,COUNTA(floors!$A:$A),MATCH(I$1,floors!$1:$1,0)-MATCH($H$1,floors!$1:$1,0)+1),MATCH(I$1,floors!$1:$1,0)-MATCH($H$1,floors!$1:$1,0)+1,FALSE)</f>
        <v>50</v>
      </c>
      <c r="J74" s="5">
        <f ca="1">VLOOKUP($H74,OFFSET(floors!$A$1,0,0,COUNTA(floors!$A:$A),MATCH(J$1,floors!$1:$1,0)-MATCH($H$1,floors!$1:$1,0)+1),MATCH(J$1,floors!$1:$1,0)-MATCH($H$1,floors!$1:$1,0)+1,FALSE)</f>
        <v>50</v>
      </c>
      <c r="K74" s="8" t="s">
        <v>147</v>
      </c>
      <c r="L74" s="24">
        <v>334</v>
      </c>
      <c r="M74" s="20" t="str">
        <f ca="1">VLOOKUP($L74,OFFSET([3]enemies!$A$1,0,0,COUNTA([3]enemies!$A:$A),MATCH(M$1,[3]enemies!$1:$1,0)-MATCH($L$1,[3]enemies!$1:$1,0)+1),MATCH(M$1,[3]enemies!$1:$1,0)-MATCH($L$1,[3]enemies!$1:$1,0)+1,FALSE)</f>
        <v>炎のメタルダック</v>
      </c>
      <c r="N74" s="20" t="str">
        <f ca="1">VLOOKUP($L74,OFFSET([3]enemies!$A$1,0,0,COUNTA([3]enemies!$A:$A),MATCH(N$1,[3]enemies!$1:$1,0)-MATCH($L$1,[3]enemies!$1:$1,0)+1),MATCH(N$1,[3]enemies!$1:$1,0)-MATCH($L$1,[3]enemies!$1:$1,0)+1,FALSE)</f>
        <v>red</v>
      </c>
      <c r="O74" s="20" t="str">
        <f ca="1">VLOOKUP($L74,OFFSET([4]characters!$A$1,0,0,COUNTA([4]characters!$A:$A),MATCH(O$1,[4]characters!$1:$1,0)-MATCH($L$1,[4]characters!$1:$1,0)+1),MATCH(O$1,[4]characters!$1:$1,0)-MATCH($L$1,[4]characters!$1:$1,0)+1,FALSE)</f>
        <v>Material</v>
      </c>
      <c r="P74" s="20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20">
        <f ca="1">VLOOKUP($L74,OFFSET([3]enemies!$A$1,0,0,COUNTA([3]enemies!$A:$A),MATCH(Q$1,[3]enemies!$1:$1,0)-MATCH($L$1,[3]enemies!$1:$1,0)+1),MATCH(Q$1,[3]enemies!$1:$1,0)-MATCH($L$1,[3]enemies!$1:$1,0)+1,FALSE)</f>
        <v>20</v>
      </c>
      <c r="R74" s="8">
        <v>10</v>
      </c>
      <c r="S74" s="30">
        <v>0.5</v>
      </c>
      <c r="T74" s="30">
        <v>50</v>
      </c>
      <c r="U74" s="6">
        <v>-13000</v>
      </c>
      <c r="V74" s="5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4" s="5">
        <f ca="1">VLOOKUP($L74,OFFSET([3]enemies!$A$1,0,0,COUNTA([3]enemies!$A:$A),MATCH(W$1,[3]enemies!$1:$1,0)-MATCH($L$1,[3]enemies!$1:$1,0)+1),MATCH(W$1,[3]enemies!$1:$1,0)-MATCH($L$1,[3]enemies!$1:$1,0)+1,FALSE)</f>
        <v>0</v>
      </c>
      <c r="X74" s="7">
        <v>0</v>
      </c>
      <c r="Y74" s="7">
        <v>25</v>
      </c>
      <c r="Z74" s="7">
        <v>1</v>
      </c>
      <c r="AA74" s="60">
        <v>2</v>
      </c>
      <c r="AB74" s="2">
        <f t="shared" si="44"/>
        <v>334</v>
      </c>
      <c r="AC74" s="5" t="str">
        <f ca="1">VLOOKUP($AB74,OFFSET([4]characters!$A$1,0,0,COUNTA([4]characters!$A:$A),MATCH(AC$1,[4]characters!$1:$1,0)-MATCH("character_id",[4]characters!$1:$1,0)+1),MATCH(AC$1,[4]characters!$1:$1,0)-MATCH("character_id",[4]characters!$1:$1,0)+1,FALSE)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74" s="5">
        <f ca="1">VLOOKUP($AB74,OFFSET([4]characters!$A$1,0,0,COUNTA([4]characters!$A:$A),MATCH(AD$1,[4]characters!$1:$1,0)-MATCH("character_id",[4]characters!$1:$1,0)+1),MATCH(AD$1,[4]characters!$1:$1,0)-MATCH("character_id",[4]characters!$1:$1,0)+1,FALSE)</f>
        <v>5</v>
      </c>
      <c r="AE74" s="5" t="str">
        <f ca="1">VLOOKUP($AB74,OFFSET([4]characters!$A$1,0,0,COUNTA([4]characters!$A:$A),MATCH(AE$1,[4]characters!$1:$1,0)-MATCH("character_id",[4]characters!$1:$1,0)+1),MATCH(AE$1,[4]characters!$1:$1,0)-MATCH("character_id",[4]characters!$1:$1,0)+1,FALSE)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4" s="8">
        <v>1</v>
      </c>
      <c r="AG74" s="28">
        <f t="shared" ca="1" si="45"/>
        <v>5</v>
      </c>
      <c r="AH74" s="9">
        <v>100</v>
      </c>
      <c r="AI74" s="8">
        <v>0</v>
      </c>
      <c r="AJ74" s="8">
        <v>0</v>
      </c>
      <c r="AK74" s="8">
        <v>0</v>
      </c>
      <c r="AL74" s="8">
        <v>0</v>
      </c>
      <c r="AM74" s="8">
        <v>1</v>
      </c>
    </row>
    <row r="75" spans="1:39" ht="21" customHeight="1" x14ac:dyDescent="0.15">
      <c r="A75" s="17" t="str">
        <f t="shared" si="41"/>
        <v>12001_3-3/338&lt;lv10&gt;s2</v>
      </c>
      <c r="B75" s="26">
        <v>12001</v>
      </c>
      <c r="C75" s="25">
        <v>3</v>
      </c>
      <c r="D75" s="2" t="str">
        <f t="shared" si="42"/>
        <v>12001_3</v>
      </c>
      <c r="E75" s="5" t="str">
        <f ca="1">VLOOKUP($B75,OFFSET([2]quests!$A$1,0,0,COUNTA([2]quests!$A:$A),MATCH(E$1,[2]quests!$1:$1,0)-MATCH($B$1,[2]quests!$1:$1,0)+1),MATCH(E$1,[2]quests!$1:$1,0)-MATCH($B$1,[2]quests!$1:$1,0)+1,FALSE)</f>
        <v>【緊急！！】 アヒル捕獲作戦</v>
      </c>
      <c r="F75" s="5" t="str">
        <f ca="1">VLOOKUP($D75,OFFSET([2]stages!$A$1,0,0,COUNTA([2]stages!$A:$A),MATCH(F$1,[2]stages!$2:$2,0)-MATCH($D$1,[2]stages!$2:$2,0)+1),MATCH(F$1,[2]stages!$2:$2,0)-MATCH($D$1,[2]stages!$2:$2,0)+1,FALSE)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5" s="25">
        <v>3</v>
      </c>
      <c r="H75" s="16" t="str">
        <f t="shared" si="43"/>
        <v>12001_3-3</v>
      </c>
      <c r="I75" s="5">
        <f ca="1">VLOOKUP($H75,OFFSET(floors!$A$1,0,0,COUNTA(floors!$A:$A),MATCH(I$1,floors!$1:$1,0)-MATCH($H$1,floors!$1:$1,0)+1),MATCH(I$1,floors!$1:$1,0)-MATCH($H$1,floors!$1:$1,0)+1,FALSE)</f>
        <v>50</v>
      </c>
      <c r="J75" s="5">
        <f ca="1">VLOOKUP($H75,OFFSET(floors!$A$1,0,0,COUNTA(floors!$A:$A),MATCH(J$1,floors!$1:$1,0)-MATCH($H$1,floors!$1:$1,0)+1),MATCH(J$1,floors!$1:$1,0)-MATCH($H$1,floors!$1:$1,0)+1,FALSE)</f>
        <v>50</v>
      </c>
      <c r="K75" s="8" t="s">
        <v>147</v>
      </c>
      <c r="L75" s="24">
        <v>338</v>
      </c>
      <c r="M75" s="20" t="str">
        <f ca="1">VLOOKUP($L75,OFFSET([3]enemies!$A$1,0,0,COUNTA([3]enemies!$A:$A),MATCH(M$1,[3]enemies!$1:$1,0)-MATCH($L$1,[3]enemies!$1:$1,0)+1),MATCH(M$1,[3]enemies!$1:$1,0)-MATCH($L$1,[3]enemies!$1:$1,0)+1,FALSE)</f>
        <v>森のメタルダック</v>
      </c>
      <c r="N75" s="20" t="str">
        <f ca="1">VLOOKUP($L75,OFFSET([3]enemies!$A$1,0,0,COUNTA([3]enemies!$A:$A),MATCH(N$1,[3]enemies!$1:$1,0)-MATCH($L$1,[3]enemies!$1:$1,0)+1),MATCH(N$1,[3]enemies!$1:$1,0)-MATCH($L$1,[3]enemies!$1:$1,0)+1,FALSE)</f>
        <v>green</v>
      </c>
      <c r="O75" s="20" t="str">
        <f ca="1">VLOOKUP($L75,OFFSET([4]characters!$A$1,0,0,COUNTA([4]characters!$A:$A),MATCH(O$1,[4]characters!$1:$1,0)-MATCH($L$1,[4]characters!$1:$1,0)+1),MATCH(O$1,[4]characters!$1:$1,0)-MATCH($L$1,[4]characters!$1:$1,0)+1,FALSE)</f>
        <v>Material</v>
      </c>
      <c r="P75" s="20" t="str">
        <f ca="1">VLOOKUP($L75,OFFSET([3]enemies!$A$1,0,0,COUNTA([3]enemies!$A:$A),MATCH(P$1,[3]enemies!$1:$1,0)-MATCH($L$1,[3]enemies!$1:$1,0)+1),MATCH(P$1,[3]enemies!$1:$1,0)-MATCH($L$1,[3]enemies!$1:$1,0)+1,FALSE)</f>
        <v>unknown</v>
      </c>
      <c r="Q75" s="20">
        <f ca="1">VLOOKUP($L75,OFFSET([3]enemies!$A$1,0,0,COUNTA([3]enemies!$A:$A),MATCH(Q$1,[3]enemies!$1:$1,0)-MATCH($L$1,[3]enemies!$1:$1,0)+1),MATCH(Q$1,[3]enemies!$1:$1,0)-MATCH($L$1,[3]enemies!$1:$1,0)+1,FALSE)</f>
        <v>20</v>
      </c>
      <c r="R75" s="8">
        <v>10</v>
      </c>
      <c r="S75" s="30">
        <v>0.5</v>
      </c>
      <c r="T75" s="30">
        <v>50</v>
      </c>
      <c r="U75" s="6">
        <v>-13000</v>
      </c>
      <c r="V75" s="5" t="str">
        <f ca="1">VLOOKUP($W75,OFFSET([5]enemy_skill_sets!$B$1,0,0,COUNTA([5]enemy_skill_sets!$B:$B),MATCH(M$1,[5]enemy_skill_sets!$1:$1,0)-MATCH($W$1,[5]enemy_skill_sets!$1:$1,0)+2),MATCH(M$1,[5]enemy_skill_sets!$1:$1,0)-MATCH($W$1,[5]enemy_skill_sets!$1:$1,0)+2,FALSE)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5" s="5">
        <f ca="1">VLOOKUP($L75,OFFSET([3]enemies!$A$1,0,0,COUNTA([3]enemies!$A:$A),MATCH(W$1,[3]enemies!$1:$1,0)-MATCH($L$1,[3]enemies!$1:$1,0)+1),MATCH(W$1,[3]enemies!$1:$1,0)-MATCH($L$1,[3]enemies!$1:$1,0)+1,FALSE)</f>
        <v>0</v>
      </c>
      <c r="X75" s="7">
        <v>0</v>
      </c>
      <c r="Y75" s="7">
        <v>25</v>
      </c>
      <c r="Z75" s="7">
        <v>1</v>
      </c>
      <c r="AA75" s="60">
        <v>2</v>
      </c>
      <c r="AB75" s="2">
        <f t="shared" si="44"/>
        <v>338</v>
      </c>
      <c r="AC75" s="5" t="str">
        <f ca="1">VLOOKUP($AB75,OFFSET([4]characters!$A$1,0,0,COUNTA([4]characters!$A:$A),MATCH(AC$1,[4]characters!$1:$1,0)-MATCH("character_id",[4]characters!$1:$1,0)+1),MATCH(AC$1,[4]characters!$1:$1,0)-MATCH("character_id",[4]characters!$1:$1,0)+1,FALSE)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75" s="5">
        <f ca="1">VLOOKUP($AB75,OFFSET([4]characters!$A$1,0,0,COUNTA([4]characters!$A:$A),MATCH(AD$1,[4]characters!$1:$1,0)-MATCH("character_id",[4]characters!$1:$1,0)+1),MATCH(AD$1,[4]characters!$1:$1,0)-MATCH("character_id",[4]characters!$1:$1,0)+1,FALSE)</f>
        <v>5</v>
      </c>
      <c r="AE75" s="5" t="str">
        <f ca="1">VLOOKUP($AB75,OFFSET([4]characters!$A$1,0,0,COUNTA([4]characters!$A:$A),MATCH(AE$1,[4]characters!$1:$1,0)-MATCH("character_id",[4]characters!$1:$1,0)+1),MATCH(AE$1,[4]characters!$1:$1,0)-MATCH("character_id",[4]characters!$1:$1,0)+1,FALSE)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5" s="8">
        <v>1</v>
      </c>
      <c r="AG75" s="28">
        <f t="shared" ca="1" si="45"/>
        <v>5</v>
      </c>
      <c r="AH75" s="9">
        <v>100</v>
      </c>
      <c r="AI75" s="8">
        <v>0</v>
      </c>
      <c r="AJ75" s="8">
        <v>0</v>
      </c>
      <c r="AK75" s="8">
        <v>0</v>
      </c>
      <c r="AL75" s="8">
        <v>0</v>
      </c>
      <c r="AM75" s="8">
        <v>1</v>
      </c>
    </row>
    <row r="76" spans="1:39" ht="21" customHeight="1" x14ac:dyDescent="0.15">
      <c r="A76" s="17" t="str">
        <f t="shared" si="41"/>
        <v>12001_3-3/342&lt;lv10&gt;s2</v>
      </c>
      <c r="B76" s="26">
        <v>12001</v>
      </c>
      <c r="C76" s="25">
        <v>3</v>
      </c>
      <c r="D76" s="2" t="str">
        <f t="shared" si="42"/>
        <v>12001_3</v>
      </c>
      <c r="E76" s="5" t="str">
        <f ca="1">VLOOKUP($B76,OFFSET([2]quests!$A$1,0,0,COUNTA([2]quests!$A:$A),MATCH(E$1,[2]quests!$1:$1,0)-MATCH($B$1,[2]quests!$1:$1,0)+1),MATCH(E$1,[2]quests!$1:$1,0)-MATCH($B$1,[2]quests!$1:$1,0)+1,FALSE)</f>
        <v>【緊急！！】 アヒル捕獲作戦</v>
      </c>
      <c r="F76" s="5" t="str">
        <f ca="1">VLOOKUP($D76,OFFSET([2]stages!$A$1,0,0,COUNTA([2]stages!$A:$A),MATCH(F$1,[2]stages!$2:$2,0)-MATCH($D$1,[2]stages!$2:$2,0)+1),MATCH(F$1,[2]stages!$2:$2,0)-MATCH($D$1,[2]stages!$2:$2,0)+1,FALSE)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6" s="25">
        <v>3</v>
      </c>
      <c r="H76" s="16" t="str">
        <f t="shared" si="43"/>
        <v>12001_3-3</v>
      </c>
      <c r="I76" s="5">
        <f ca="1">VLOOKUP($H76,OFFSET(floors!$A$1,0,0,COUNTA(floors!$A:$A),MATCH(I$1,floors!$1:$1,0)-MATCH($H$1,floors!$1:$1,0)+1),MATCH(I$1,floors!$1:$1,0)-MATCH($H$1,floors!$1:$1,0)+1,FALSE)</f>
        <v>50</v>
      </c>
      <c r="J76" s="5">
        <f ca="1">VLOOKUP($H76,OFFSET(floors!$A$1,0,0,COUNTA(floors!$A:$A),MATCH(J$1,floors!$1:$1,0)-MATCH($H$1,floors!$1:$1,0)+1),MATCH(J$1,floors!$1:$1,0)-MATCH($H$1,floors!$1:$1,0)+1,FALSE)</f>
        <v>50</v>
      </c>
      <c r="K76" s="8" t="s">
        <v>147</v>
      </c>
      <c r="L76" s="24">
        <v>342</v>
      </c>
      <c r="M76" s="20" t="str">
        <f ca="1">VLOOKUP($L76,OFFSET([3]enemies!$A$1,0,0,COUNTA([3]enemies!$A:$A),MATCH(M$1,[3]enemies!$1:$1,0)-MATCH($L$1,[3]enemies!$1:$1,0)+1),MATCH(M$1,[3]enemies!$1:$1,0)-MATCH($L$1,[3]enemies!$1:$1,0)+1,FALSE)</f>
        <v>水のメタルダック</v>
      </c>
      <c r="N76" s="20" t="str">
        <f ca="1">VLOOKUP($L76,OFFSET([3]enemies!$A$1,0,0,COUNTA([3]enemies!$A:$A),MATCH(N$1,[3]enemies!$1:$1,0)-MATCH($L$1,[3]enemies!$1:$1,0)+1),MATCH(N$1,[3]enemies!$1:$1,0)-MATCH($L$1,[3]enemies!$1:$1,0)+1,FALSE)</f>
        <v>blue</v>
      </c>
      <c r="O76" s="20" t="str">
        <f ca="1">VLOOKUP($L76,OFFSET([4]characters!$A$1,0,0,COUNTA([4]characters!$A:$A),MATCH(O$1,[4]characters!$1:$1,0)-MATCH($L$1,[4]characters!$1:$1,0)+1),MATCH(O$1,[4]characters!$1:$1,0)-MATCH($L$1,[4]characters!$1:$1,0)+1,FALSE)</f>
        <v>Material</v>
      </c>
      <c r="P76" s="20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20">
        <f ca="1">VLOOKUP($L76,OFFSET([3]enemies!$A$1,0,0,COUNTA([3]enemies!$A:$A),MATCH(Q$1,[3]enemies!$1:$1,0)-MATCH($L$1,[3]enemies!$1:$1,0)+1),MATCH(Q$1,[3]enemies!$1:$1,0)-MATCH($L$1,[3]enemies!$1:$1,0)+1,FALSE)</f>
        <v>20</v>
      </c>
      <c r="R76" s="8">
        <v>10</v>
      </c>
      <c r="S76" s="30">
        <v>0.5</v>
      </c>
      <c r="T76" s="30">
        <v>50</v>
      </c>
      <c r="U76" s="6">
        <v>-13000</v>
      </c>
      <c r="V76" s="5" t="str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6" s="5">
        <f ca="1">VLOOKUP($L76,OFFSET([3]enemies!$A$1,0,0,COUNTA([3]enemies!$A:$A),MATCH(W$1,[3]enemies!$1:$1,0)-MATCH($L$1,[3]enemies!$1:$1,0)+1),MATCH(W$1,[3]enemies!$1:$1,0)-MATCH($L$1,[3]enemies!$1:$1,0)+1,FALSE)</f>
        <v>0</v>
      </c>
      <c r="X76" s="7">
        <v>0</v>
      </c>
      <c r="Y76" s="7">
        <v>25</v>
      </c>
      <c r="Z76" s="7">
        <v>1</v>
      </c>
      <c r="AA76" s="60">
        <v>2</v>
      </c>
      <c r="AB76" s="2">
        <f t="shared" si="44"/>
        <v>342</v>
      </c>
      <c r="AC76" s="5" t="str">
        <f ca="1">VLOOKUP($AB76,OFFSET([4]characters!$A$1,0,0,COUNTA([4]characters!$A:$A),MATCH(AC$1,[4]characters!$1:$1,0)-MATCH("character_id",[4]characters!$1:$1,0)+1),MATCH(AC$1,[4]characters!$1:$1,0)-MATCH("character_id",[4]characters!$1:$1,0)+1,FALSE)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76" s="5">
        <f ca="1">VLOOKUP($AB76,OFFSET([4]characters!$A$1,0,0,COUNTA([4]characters!$A:$A),MATCH(AD$1,[4]characters!$1:$1,0)-MATCH("character_id",[4]characters!$1:$1,0)+1),MATCH(AD$1,[4]characters!$1:$1,0)-MATCH("character_id",[4]characters!$1:$1,0)+1,FALSE)</f>
        <v>5</v>
      </c>
      <c r="AE76" s="5" t="str">
        <f ca="1">VLOOKUP($AB76,OFFSET([4]characters!$A$1,0,0,COUNTA([4]characters!$A:$A),MATCH(AE$1,[4]characters!$1:$1,0)-MATCH("character_id",[4]characters!$1:$1,0)+1),MATCH(AE$1,[4]characters!$1:$1,0)-MATCH("character_id",[4]characters!$1:$1,0)+1,FALSE)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6" s="8">
        <v>1</v>
      </c>
      <c r="AG76" s="28">
        <f t="shared" ca="1" si="45"/>
        <v>5</v>
      </c>
      <c r="AH76" s="9">
        <v>100</v>
      </c>
      <c r="AI76" s="8">
        <v>0</v>
      </c>
      <c r="AJ76" s="8">
        <v>0</v>
      </c>
      <c r="AK76" s="8">
        <v>0</v>
      </c>
      <c r="AL76" s="8">
        <v>0</v>
      </c>
      <c r="AM76" s="8">
        <v>1</v>
      </c>
    </row>
    <row r="77" spans="1:39" ht="21" customHeight="1" x14ac:dyDescent="0.15">
      <c r="A77" s="17" t="str">
        <f t="shared" si="41"/>
        <v>12001_3-3/346&lt;lv10&gt;s2</v>
      </c>
      <c r="B77" s="26">
        <v>12001</v>
      </c>
      <c r="C77" s="25">
        <v>3</v>
      </c>
      <c r="D77" s="2" t="str">
        <f t="shared" si="42"/>
        <v>12001_3</v>
      </c>
      <c r="E77" s="5" t="str">
        <f ca="1">VLOOKUP($B77,OFFSET([2]quests!$A$1,0,0,COUNTA([2]quests!$A:$A),MATCH(E$1,[2]quests!$1:$1,0)-MATCH($B$1,[2]quests!$1:$1,0)+1),MATCH(E$1,[2]quests!$1:$1,0)-MATCH($B$1,[2]quests!$1:$1,0)+1,FALSE)</f>
        <v>【緊急！！】 アヒル捕獲作戦</v>
      </c>
      <c r="F77" s="5" t="str">
        <f ca="1">VLOOKUP($D77,OFFSET([2]stages!$A$1,0,0,COUNTA([2]stages!$A:$A),MATCH(F$1,[2]stages!$2:$2,0)-MATCH($D$1,[2]stages!$2:$2,0)+1),MATCH(F$1,[2]stages!$2:$2,0)-MATCH($D$1,[2]stages!$2:$2,0)+1,FALSE)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7" s="25">
        <v>3</v>
      </c>
      <c r="H77" s="16" t="str">
        <f t="shared" si="43"/>
        <v>12001_3-3</v>
      </c>
      <c r="I77" s="5">
        <f ca="1">VLOOKUP($H77,OFFSET(floors!$A$1,0,0,COUNTA(floors!$A:$A),MATCH(I$1,floors!$1:$1,0)-MATCH($H$1,floors!$1:$1,0)+1),MATCH(I$1,floors!$1:$1,0)-MATCH($H$1,floors!$1:$1,0)+1,FALSE)</f>
        <v>50</v>
      </c>
      <c r="J77" s="5">
        <f ca="1">VLOOKUP($H77,OFFSET(floors!$A$1,0,0,COUNTA(floors!$A:$A),MATCH(J$1,floors!$1:$1,0)-MATCH($H$1,floors!$1:$1,0)+1),MATCH(J$1,floors!$1:$1,0)-MATCH($H$1,floors!$1:$1,0)+1,FALSE)</f>
        <v>50</v>
      </c>
      <c r="K77" s="8" t="s">
        <v>147</v>
      </c>
      <c r="L77" s="24">
        <v>346</v>
      </c>
      <c r="M77" s="20" t="str">
        <f ca="1">VLOOKUP($L77,OFFSET([3]enemies!$A$1,0,0,COUNTA([3]enemies!$A:$A),MATCH(M$1,[3]enemies!$1:$1,0)-MATCH($L$1,[3]enemies!$1:$1,0)+1),MATCH(M$1,[3]enemies!$1:$1,0)-MATCH($L$1,[3]enemies!$1:$1,0)+1,FALSE)</f>
        <v>雷のメタルダック</v>
      </c>
      <c r="N77" s="20" t="str">
        <f ca="1">VLOOKUP($L77,OFFSET([3]enemies!$A$1,0,0,COUNTA([3]enemies!$A:$A),MATCH(N$1,[3]enemies!$1:$1,0)-MATCH($L$1,[3]enemies!$1:$1,0)+1),MATCH(N$1,[3]enemies!$1:$1,0)-MATCH($L$1,[3]enemies!$1:$1,0)+1,FALSE)</f>
        <v>yellow</v>
      </c>
      <c r="O77" s="20" t="str">
        <f ca="1">VLOOKUP($L77,OFFSET([4]characters!$A$1,0,0,COUNTA([4]characters!$A:$A),MATCH(O$1,[4]characters!$1:$1,0)-MATCH($L$1,[4]characters!$1:$1,0)+1),MATCH(O$1,[4]characters!$1:$1,0)-MATCH($L$1,[4]characters!$1:$1,0)+1,FALSE)</f>
        <v>Material</v>
      </c>
      <c r="P77" s="20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20">
        <f ca="1">VLOOKUP($L77,OFFSET([3]enemies!$A$1,0,0,COUNTA([3]enemies!$A:$A),MATCH(Q$1,[3]enemies!$1:$1,0)-MATCH($L$1,[3]enemies!$1:$1,0)+1),MATCH(Q$1,[3]enemies!$1:$1,0)-MATCH($L$1,[3]enemies!$1:$1,0)+1,FALSE)</f>
        <v>20</v>
      </c>
      <c r="R77" s="8">
        <v>10</v>
      </c>
      <c r="S77" s="30">
        <v>0.5</v>
      </c>
      <c r="T77" s="30">
        <v>50</v>
      </c>
      <c r="U77" s="6">
        <v>-13000</v>
      </c>
      <c r="V77" s="5" t="str">
        <f ca="1">VLOOKUP($W77,OFFSET([5]enemy_skill_sets!$B$1,0,0,COUNTA([5]enemy_skill_sets!$B:$B),MATCH(M$1,[5]enemy_skill_sets!$1:$1,0)-MATCH($W$1,[5]enemy_skill_sets!$1:$1,0)+2),MATCH(M$1,[5]enemy_skill_sets!$1:$1,0)-MATCH($W$1,[5]enemy_skill_sets!$1:$1,0)+2,FALSE)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7" s="5">
        <f ca="1">VLOOKUP($L77,OFFSET([3]enemies!$A$1,0,0,COUNTA([3]enemies!$A:$A),MATCH(W$1,[3]enemies!$1:$1,0)-MATCH($L$1,[3]enemies!$1:$1,0)+1),MATCH(W$1,[3]enemies!$1:$1,0)-MATCH($L$1,[3]enemies!$1:$1,0)+1,FALSE)</f>
        <v>0</v>
      </c>
      <c r="X77" s="7">
        <v>0</v>
      </c>
      <c r="Y77" s="7">
        <v>25</v>
      </c>
      <c r="Z77" s="7">
        <v>1</v>
      </c>
      <c r="AA77" s="60">
        <v>2</v>
      </c>
      <c r="AB77" s="2">
        <f t="shared" si="44"/>
        <v>346</v>
      </c>
      <c r="AC77" s="5" t="str">
        <f ca="1">VLOOKUP($AB77,OFFSET([4]characters!$A$1,0,0,COUNTA([4]characters!$A:$A),MATCH(AC$1,[4]characters!$1:$1,0)-MATCH("character_id",[4]characters!$1:$1,0)+1),MATCH(AC$1,[4]characters!$1:$1,0)-MATCH("character_id",[4]characters!$1:$1,0)+1,FALSE)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77" s="5">
        <f ca="1">VLOOKUP($AB77,OFFSET([4]characters!$A$1,0,0,COUNTA([4]characters!$A:$A),MATCH(AD$1,[4]characters!$1:$1,0)-MATCH("character_id",[4]characters!$1:$1,0)+1),MATCH(AD$1,[4]characters!$1:$1,0)-MATCH("character_id",[4]characters!$1:$1,0)+1,FALSE)</f>
        <v>5</v>
      </c>
      <c r="AE77" s="5" t="str">
        <f ca="1">VLOOKUP($AB77,OFFSET([4]characters!$A$1,0,0,COUNTA([4]characters!$A:$A),MATCH(AE$1,[4]characters!$1:$1,0)-MATCH("character_id",[4]characters!$1:$1,0)+1),MATCH(AE$1,[4]characters!$1:$1,0)-MATCH("character_id",[4]characters!$1:$1,0)+1,FALSE)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7" s="8">
        <v>1</v>
      </c>
      <c r="AG77" s="28">
        <f t="shared" ca="1" si="45"/>
        <v>5</v>
      </c>
      <c r="AH77" s="9">
        <v>100</v>
      </c>
      <c r="AI77" s="8">
        <v>0</v>
      </c>
      <c r="AJ77" s="8">
        <v>0</v>
      </c>
      <c r="AK77" s="8">
        <v>0</v>
      </c>
      <c r="AL77" s="8">
        <v>0</v>
      </c>
      <c r="AM77" s="8">
        <v>1</v>
      </c>
    </row>
    <row r="78" spans="1:39" ht="21" customHeight="1" x14ac:dyDescent="0.15">
      <c r="A78" s="17" t="str">
        <f t="shared" ref="A78:A85" si="46">B78&amp;"_"&amp;C78&amp;"-"&amp;G78&amp;"/"&amp;L78&amp;"&lt;lv"&amp;R78&amp;"&gt;s"&amp;AA78</f>
        <v>12001_3-4/334&lt;lv10&gt;s2</v>
      </c>
      <c r="B78" s="26">
        <v>12001</v>
      </c>
      <c r="C78" s="25">
        <v>3</v>
      </c>
      <c r="D78" s="2" t="str">
        <f t="shared" ref="D78:D85" si="47">B78&amp;"_"&amp;C78</f>
        <v>12001_3</v>
      </c>
      <c r="E78" s="5" t="str">
        <f ca="1">VLOOKUP($B78,OFFSET([2]quests!$A$1,0,0,COUNTA([2]quests!$A:$A),MATCH(E$1,[2]quests!$1:$1,0)-MATCH($B$1,[2]quests!$1:$1,0)+1),MATCH(E$1,[2]quests!$1:$1,0)-MATCH($B$1,[2]quests!$1:$1,0)+1,FALSE)</f>
        <v>【緊急！！】 アヒル捕獲作戦</v>
      </c>
      <c r="F78" s="5" t="str">
        <f ca="1">VLOOKUP($D78,OFFSET([2]stages!$A$1,0,0,COUNTA([2]stages!$A:$A),MATCH(F$1,[2]stages!$2:$2,0)-MATCH($D$1,[2]stages!$2:$2,0)+1),MATCH(F$1,[2]stages!$2:$2,0)-MATCH($D$1,[2]stages!$2:$2,0)+1,FALSE)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8" s="25">
        <v>4</v>
      </c>
      <c r="H78" s="16" t="str">
        <f t="shared" ref="H78:H85" si="48">B78&amp;"_"&amp;C78&amp;"-"&amp;G78</f>
        <v>12001_3-4</v>
      </c>
      <c r="I78" s="5">
        <f ca="1">VLOOKUP($H78,OFFSET(floors!$A$1,0,0,COUNTA(floors!$A:$A),MATCH(I$1,floors!$1:$1,0)-MATCH($H$1,floors!$1:$1,0)+1),MATCH(I$1,floors!$1:$1,0)-MATCH($H$1,floors!$1:$1,0)+1,FALSE)</f>
        <v>40</v>
      </c>
      <c r="J78" s="5">
        <f ca="1">VLOOKUP($H78,OFFSET(floors!$A$1,0,0,COUNTA(floors!$A:$A),MATCH(J$1,floors!$1:$1,0)-MATCH($H$1,floors!$1:$1,0)+1),MATCH(J$1,floors!$1:$1,0)-MATCH($H$1,floors!$1:$1,0)+1,FALSE)</f>
        <v>40</v>
      </c>
      <c r="K78" s="8" t="s">
        <v>147</v>
      </c>
      <c r="L78" s="24">
        <v>334</v>
      </c>
      <c r="M78" s="20" t="str">
        <f ca="1">VLOOKUP($L78,OFFSET([3]enemies!$A$1,0,0,COUNTA([3]enemies!$A:$A),MATCH(M$1,[3]enemies!$1:$1,0)-MATCH($L$1,[3]enemies!$1:$1,0)+1),MATCH(M$1,[3]enemies!$1:$1,0)-MATCH($L$1,[3]enemies!$1:$1,0)+1,FALSE)</f>
        <v>炎のメタルダック</v>
      </c>
      <c r="N78" s="20" t="str">
        <f ca="1">VLOOKUP($L78,OFFSET([3]enemies!$A$1,0,0,COUNTA([3]enemies!$A:$A),MATCH(N$1,[3]enemies!$1:$1,0)-MATCH($L$1,[3]enemies!$1:$1,0)+1),MATCH(N$1,[3]enemies!$1:$1,0)-MATCH($L$1,[3]enemies!$1:$1,0)+1,FALSE)</f>
        <v>red</v>
      </c>
      <c r="O78" s="20" t="str">
        <f ca="1">VLOOKUP($L78,OFFSET([4]characters!$A$1,0,0,COUNTA([4]characters!$A:$A),MATCH(O$1,[4]characters!$1:$1,0)-MATCH($L$1,[4]characters!$1:$1,0)+1),MATCH(O$1,[4]characters!$1:$1,0)-MATCH($L$1,[4]characters!$1:$1,0)+1,FALSE)</f>
        <v>Material</v>
      </c>
      <c r="P78" s="20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20">
        <f ca="1">VLOOKUP($L78,OFFSET([3]enemies!$A$1,0,0,COUNTA([3]enemies!$A:$A),MATCH(Q$1,[3]enemies!$1:$1,0)-MATCH($L$1,[3]enemies!$1:$1,0)+1),MATCH(Q$1,[3]enemies!$1:$1,0)-MATCH($L$1,[3]enemies!$1:$1,0)+1,FALSE)</f>
        <v>20</v>
      </c>
      <c r="R78" s="8">
        <v>10</v>
      </c>
      <c r="S78" s="30">
        <v>0.5</v>
      </c>
      <c r="T78" s="30">
        <v>50</v>
      </c>
      <c r="U78" s="6">
        <v>-13000</v>
      </c>
      <c r="V78" s="5" t="str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8" s="5">
        <f ca="1">VLOOKUP($L78,OFFSET([3]enemies!$A$1,0,0,COUNTA([3]enemies!$A:$A),MATCH(W$1,[3]enemies!$1:$1,0)-MATCH($L$1,[3]enemies!$1:$1,0)+1),MATCH(W$1,[3]enemies!$1:$1,0)-MATCH($L$1,[3]enemies!$1:$1,0)+1,FALSE)</f>
        <v>0</v>
      </c>
      <c r="X78" s="7">
        <v>0</v>
      </c>
      <c r="Y78" s="7">
        <v>25</v>
      </c>
      <c r="Z78" s="7">
        <v>0</v>
      </c>
      <c r="AA78" s="60">
        <v>2</v>
      </c>
      <c r="AB78" s="2">
        <f t="shared" ref="AB78:AB85" si="49">L78</f>
        <v>334</v>
      </c>
      <c r="AC78" s="5" t="str">
        <f ca="1">VLOOKUP($AB78,OFFSET([4]characters!$A$1,0,0,COUNTA([4]characters!$A:$A),MATCH(AC$1,[4]characters!$1:$1,0)-MATCH("character_id",[4]characters!$1:$1,0)+1),MATCH(AC$1,[4]characters!$1:$1,0)-MATCH("character_id",[4]characters!$1:$1,0)+1,FALSE)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78" s="5">
        <f ca="1">VLOOKUP($AB78,OFFSET([4]characters!$A$1,0,0,COUNTA([4]characters!$A:$A),MATCH(AD$1,[4]characters!$1:$1,0)-MATCH("character_id",[4]characters!$1:$1,0)+1),MATCH(AD$1,[4]characters!$1:$1,0)-MATCH("character_id",[4]characters!$1:$1,0)+1,FALSE)</f>
        <v>5</v>
      </c>
      <c r="AE78" s="5" t="str">
        <f ca="1">VLOOKUP($AB78,OFFSET([4]characters!$A$1,0,0,COUNTA([4]characters!$A:$A),MATCH(AE$1,[4]characters!$1:$1,0)-MATCH("character_id",[4]characters!$1:$1,0)+1),MATCH(AE$1,[4]characters!$1:$1,0)-MATCH("character_id",[4]characters!$1:$1,0)+1,FALSE)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8" s="8">
        <v>1</v>
      </c>
      <c r="AG78" s="28">
        <f t="shared" ref="AG78:AG85" ca="1" si="50">AD78</f>
        <v>5</v>
      </c>
      <c r="AH78" s="9">
        <v>100</v>
      </c>
      <c r="AI78" s="8">
        <v>0</v>
      </c>
      <c r="AJ78" s="8">
        <v>0</v>
      </c>
      <c r="AK78" s="8">
        <v>0</v>
      </c>
      <c r="AL78" s="8">
        <v>0</v>
      </c>
      <c r="AM78" s="8">
        <v>1</v>
      </c>
    </row>
    <row r="79" spans="1:39" ht="21" customHeight="1" x14ac:dyDescent="0.15">
      <c r="A79" s="17" t="str">
        <f t="shared" si="46"/>
        <v>12001_3-4/338&lt;lv10&gt;s2</v>
      </c>
      <c r="B79" s="26">
        <v>12001</v>
      </c>
      <c r="C79" s="25">
        <v>3</v>
      </c>
      <c r="D79" s="2" t="str">
        <f t="shared" si="47"/>
        <v>12001_3</v>
      </c>
      <c r="E79" s="5" t="str">
        <f ca="1">VLOOKUP($B79,OFFSET([2]quests!$A$1,0,0,COUNTA([2]quests!$A:$A),MATCH(E$1,[2]quests!$1:$1,0)-MATCH($B$1,[2]quests!$1:$1,0)+1),MATCH(E$1,[2]quests!$1:$1,0)-MATCH($B$1,[2]quests!$1:$1,0)+1,FALSE)</f>
        <v>【緊急！！】 アヒル捕獲作戦</v>
      </c>
      <c r="F79" s="5" t="str">
        <f ca="1">VLOOKUP($D79,OFFSET([2]stages!$A$1,0,0,COUNTA([2]stages!$A:$A),MATCH(F$1,[2]stages!$2:$2,0)-MATCH($D$1,[2]stages!$2:$2,0)+1),MATCH(F$1,[2]stages!$2:$2,0)-MATCH($D$1,[2]stages!$2:$2,0)+1,FALSE)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79" s="25">
        <v>4</v>
      </c>
      <c r="H79" s="16" t="str">
        <f t="shared" si="48"/>
        <v>12001_3-4</v>
      </c>
      <c r="I79" s="5">
        <f ca="1">VLOOKUP($H79,OFFSET(floors!$A$1,0,0,COUNTA(floors!$A:$A),MATCH(I$1,floors!$1:$1,0)-MATCH($H$1,floors!$1:$1,0)+1),MATCH(I$1,floors!$1:$1,0)-MATCH($H$1,floors!$1:$1,0)+1,FALSE)</f>
        <v>40</v>
      </c>
      <c r="J79" s="5">
        <f ca="1">VLOOKUP($H79,OFFSET(floors!$A$1,0,0,COUNTA(floors!$A:$A),MATCH(J$1,floors!$1:$1,0)-MATCH($H$1,floors!$1:$1,0)+1),MATCH(J$1,floors!$1:$1,0)-MATCH($H$1,floors!$1:$1,0)+1,FALSE)</f>
        <v>40</v>
      </c>
      <c r="K79" s="8" t="s">
        <v>147</v>
      </c>
      <c r="L79" s="24">
        <v>338</v>
      </c>
      <c r="M79" s="20" t="str">
        <f ca="1">VLOOKUP($L79,OFFSET([3]enemies!$A$1,0,0,COUNTA([3]enemies!$A:$A),MATCH(M$1,[3]enemies!$1:$1,0)-MATCH($L$1,[3]enemies!$1:$1,0)+1),MATCH(M$1,[3]enemies!$1:$1,0)-MATCH($L$1,[3]enemies!$1:$1,0)+1,FALSE)</f>
        <v>森のメタルダック</v>
      </c>
      <c r="N79" s="20" t="str">
        <f ca="1">VLOOKUP($L79,OFFSET([3]enemies!$A$1,0,0,COUNTA([3]enemies!$A:$A),MATCH(N$1,[3]enemies!$1:$1,0)-MATCH($L$1,[3]enemies!$1:$1,0)+1),MATCH(N$1,[3]enemies!$1:$1,0)-MATCH($L$1,[3]enemies!$1:$1,0)+1,FALSE)</f>
        <v>green</v>
      </c>
      <c r="O79" s="20" t="str">
        <f ca="1">VLOOKUP($L79,OFFSET([4]characters!$A$1,0,0,COUNTA([4]characters!$A:$A),MATCH(O$1,[4]characters!$1:$1,0)-MATCH($L$1,[4]characters!$1:$1,0)+1),MATCH(O$1,[4]characters!$1:$1,0)-MATCH($L$1,[4]characters!$1:$1,0)+1,FALSE)</f>
        <v>Material</v>
      </c>
      <c r="P79" s="20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20">
        <f ca="1">VLOOKUP($L79,OFFSET([3]enemies!$A$1,0,0,COUNTA([3]enemies!$A:$A),MATCH(Q$1,[3]enemies!$1:$1,0)-MATCH($L$1,[3]enemies!$1:$1,0)+1),MATCH(Q$1,[3]enemies!$1:$1,0)-MATCH($L$1,[3]enemies!$1:$1,0)+1,FALSE)</f>
        <v>20</v>
      </c>
      <c r="R79" s="8">
        <v>10</v>
      </c>
      <c r="S79" s="30">
        <v>0.5</v>
      </c>
      <c r="T79" s="30">
        <v>50</v>
      </c>
      <c r="U79" s="6">
        <v>-13000</v>
      </c>
      <c r="V79" s="5" t="str">
        <f ca="1">VLOOKUP($W79,OFFSET([5]enemy_skill_sets!$B$1,0,0,COUNTA([5]enemy_skill_sets!$B:$B),MATCH(M$1,[5]enemy_skill_sets!$1:$1,0)-MATCH($W$1,[5]enemy_skill_sets!$1:$1,0)+2),MATCH(M$1,[5]enemy_skill_sets!$1:$1,0)-MATCH($W$1,[5]enemy_skill_sets!$1:$1,0)+2,FALSE)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9" s="5">
        <f ca="1">VLOOKUP($L79,OFFSET([3]enemies!$A$1,0,0,COUNTA([3]enemies!$A:$A),MATCH(W$1,[3]enemies!$1:$1,0)-MATCH($L$1,[3]enemies!$1:$1,0)+1),MATCH(W$1,[3]enemies!$1:$1,0)-MATCH($L$1,[3]enemies!$1:$1,0)+1,FALSE)</f>
        <v>0</v>
      </c>
      <c r="X79" s="7">
        <v>0</v>
      </c>
      <c r="Y79" s="7">
        <v>25</v>
      </c>
      <c r="Z79" s="7">
        <v>0</v>
      </c>
      <c r="AA79" s="60">
        <v>2</v>
      </c>
      <c r="AB79" s="2">
        <f t="shared" si="49"/>
        <v>338</v>
      </c>
      <c r="AC79" s="5" t="str">
        <f ca="1">VLOOKUP($AB79,OFFSET([4]characters!$A$1,0,0,COUNTA([4]characters!$A:$A),MATCH(AC$1,[4]characters!$1:$1,0)-MATCH("character_id",[4]characters!$1:$1,0)+1),MATCH(AC$1,[4]characters!$1:$1,0)-MATCH("character_id",[4]characters!$1:$1,0)+1,FALSE)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79" s="5">
        <f ca="1">VLOOKUP($AB79,OFFSET([4]characters!$A$1,0,0,COUNTA([4]characters!$A:$A),MATCH(AD$1,[4]characters!$1:$1,0)-MATCH("character_id",[4]characters!$1:$1,0)+1),MATCH(AD$1,[4]characters!$1:$1,0)-MATCH("character_id",[4]characters!$1:$1,0)+1,FALSE)</f>
        <v>5</v>
      </c>
      <c r="AE79" s="5" t="str">
        <f ca="1">VLOOKUP($AB79,OFFSET([4]characters!$A$1,0,0,COUNTA([4]characters!$A:$A),MATCH(AE$1,[4]characters!$1:$1,0)-MATCH("character_id",[4]characters!$1:$1,0)+1),MATCH(AE$1,[4]characters!$1:$1,0)-MATCH("character_id",[4]characters!$1:$1,0)+1,FALSE)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9" s="8">
        <v>1</v>
      </c>
      <c r="AG79" s="28">
        <f t="shared" ca="1" si="50"/>
        <v>5</v>
      </c>
      <c r="AH79" s="9">
        <v>100</v>
      </c>
      <c r="AI79" s="8">
        <v>0</v>
      </c>
      <c r="AJ79" s="8">
        <v>0</v>
      </c>
      <c r="AK79" s="8">
        <v>0</v>
      </c>
      <c r="AL79" s="8">
        <v>0</v>
      </c>
      <c r="AM79" s="8">
        <v>1</v>
      </c>
    </row>
    <row r="80" spans="1:39" ht="21" customHeight="1" x14ac:dyDescent="0.15">
      <c r="A80" s="17" t="str">
        <f t="shared" si="46"/>
        <v>12001_3-4/342&lt;lv10&gt;s2</v>
      </c>
      <c r="B80" s="26">
        <v>12001</v>
      </c>
      <c r="C80" s="25">
        <v>3</v>
      </c>
      <c r="D80" s="2" t="str">
        <f t="shared" si="47"/>
        <v>12001_3</v>
      </c>
      <c r="E80" s="5" t="str">
        <f ca="1">VLOOKUP($B80,OFFSET([2]quests!$A$1,0,0,COUNTA([2]quests!$A:$A),MATCH(E$1,[2]quests!$1:$1,0)-MATCH($B$1,[2]quests!$1:$1,0)+1),MATCH(E$1,[2]quests!$1:$1,0)-MATCH($B$1,[2]quests!$1:$1,0)+1,FALSE)</f>
        <v>【緊急！！】 アヒル捕獲作戦</v>
      </c>
      <c r="F80" s="5" t="str">
        <f ca="1">VLOOKUP($D80,OFFSET([2]stages!$A$1,0,0,COUNTA([2]stages!$A:$A),MATCH(F$1,[2]stages!$2:$2,0)-MATCH($D$1,[2]stages!$2:$2,0)+1),MATCH(F$1,[2]stages!$2:$2,0)-MATCH($D$1,[2]stages!$2:$2,0)+1,FALSE)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0" s="25">
        <v>4</v>
      </c>
      <c r="H80" s="16" t="str">
        <f t="shared" si="48"/>
        <v>12001_3-4</v>
      </c>
      <c r="I80" s="5">
        <f ca="1">VLOOKUP($H80,OFFSET(floors!$A$1,0,0,COUNTA(floors!$A:$A),MATCH(I$1,floors!$1:$1,0)-MATCH($H$1,floors!$1:$1,0)+1),MATCH(I$1,floors!$1:$1,0)-MATCH($H$1,floors!$1:$1,0)+1,FALSE)</f>
        <v>40</v>
      </c>
      <c r="J80" s="5">
        <f ca="1">VLOOKUP($H80,OFFSET(floors!$A$1,0,0,COUNTA(floors!$A:$A),MATCH(J$1,floors!$1:$1,0)-MATCH($H$1,floors!$1:$1,0)+1),MATCH(J$1,floors!$1:$1,0)-MATCH($H$1,floors!$1:$1,0)+1,FALSE)</f>
        <v>40</v>
      </c>
      <c r="K80" s="8" t="s">
        <v>147</v>
      </c>
      <c r="L80" s="24">
        <v>342</v>
      </c>
      <c r="M80" s="20" t="str">
        <f ca="1">VLOOKUP($L80,OFFSET([3]enemies!$A$1,0,0,COUNTA([3]enemies!$A:$A),MATCH(M$1,[3]enemies!$1:$1,0)-MATCH($L$1,[3]enemies!$1:$1,0)+1),MATCH(M$1,[3]enemies!$1:$1,0)-MATCH($L$1,[3]enemies!$1:$1,0)+1,FALSE)</f>
        <v>水のメタルダック</v>
      </c>
      <c r="N80" s="20" t="str">
        <f ca="1">VLOOKUP($L80,OFFSET([3]enemies!$A$1,0,0,COUNTA([3]enemies!$A:$A),MATCH(N$1,[3]enemies!$1:$1,0)-MATCH($L$1,[3]enemies!$1:$1,0)+1),MATCH(N$1,[3]enemies!$1:$1,0)-MATCH($L$1,[3]enemies!$1:$1,0)+1,FALSE)</f>
        <v>blue</v>
      </c>
      <c r="O80" s="20" t="str">
        <f ca="1">VLOOKUP($L80,OFFSET([4]characters!$A$1,0,0,COUNTA([4]characters!$A:$A),MATCH(O$1,[4]characters!$1:$1,0)-MATCH($L$1,[4]characters!$1:$1,0)+1),MATCH(O$1,[4]characters!$1:$1,0)-MATCH($L$1,[4]characters!$1:$1,0)+1,FALSE)</f>
        <v>Material</v>
      </c>
      <c r="P80" s="20" t="str">
        <f ca="1">VLOOKUP($L80,OFFSET([3]enemies!$A$1,0,0,COUNTA([3]enemies!$A:$A),MATCH(P$1,[3]enemies!$1:$1,0)-MATCH($L$1,[3]enemies!$1:$1,0)+1),MATCH(P$1,[3]enemies!$1:$1,0)-MATCH($L$1,[3]enemies!$1:$1,0)+1,FALSE)</f>
        <v>unknown</v>
      </c>
      <c r="Q80" s="20">
        <f ca="1">VLOOKUP($L80,OFFSET([3]enemies!$A$1,0,0,COUNTA([3]enemies!$A:$A),MATCH(Q$1,[3]enemies!$1:$1,0)-MATCH($L$1,[3]enemies!$1:$1,0)+1),MATCH(Q$1,[3]enemies!$1:$1,0)-MATCH($L$1,[3]enemies!$1:$1,0)+1,FALSE)</f>
        <v>20</v>
      </c>
      <c r="R80" s="8">
        <v>10</v>
      </c>
      <c r="S80" s="30">
        <v>0.5</v>
      </c>
      <c r="T80" s="30">
        <v>50</v>
      </c>
      <c r="U80" s="6">
        <v>-13000</v>
      </c>
      <c r="V80" s="5" t="str">
        <f ca="1">VLOOKUP($W80,OFFSET([5]enemy_skill_sets!$B$1,0,0,COUNTA([5]enemy_skill_sets!$B:$B),MATCH(M$1,[5]enemy_skill_sets!$1:$1,0)-MATCH($W$1,[5]enemy_skill_sets!$1:$1,0)+2),MATCH(M$1,[5]enemy_skill_sets!$1:$1,0)-MATCH($W$1,[5]enemy_skill_sets!$1:$1,0)+2,FALSE)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0" s="5">
        <f ca="1">VLOOKUP($L80,OFFSET([3]enemies!$A$1,0,0,COUNTA([3]enemies!$A:$A),MATCH(W$1,[3]enemies!$1:$1,0)-MATCH($L$1,[3]enemies!$1:$1,0)+1),MATCH(W$1,[3]enemies!$1:$1,0)-MATCH($L$1,[3]enemies!$1:$1,0)+1,FALSE)</f>
        <v>0</v>
      </c>
      <c r="X80" s="7">
        <v>0</v>
      </c>
      <c r="Y80" s="7">
        <v>25</v>
      </c>
      <c r="Z80" s="7">
        <v>0</v>
      </c>
      <c r="AA80" s="60">
        <v>2</v>
      </c>
      <c r="AB80" s="2">
        <f t="shared" si="49"/>
        <v>342</v>
      </c>
      <c r="AC80" s="5" t="str">
        <f ca="1">VLOOKUP($AB80,OFFSET([4]characters!$A$1,0,0,COUNTA([4]characters!$A:$A),MATCH(AC$1,[4]characters!$1:$1,0)-MATCH("character_id",[4]characters!$1:$1,0)+1),MATCH(AC$1,[4]characters!$1:$1,0)-MATCH("character_id",[4]characters!$1:$1,0)+1,FALSE)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0" s="5">
        <f ca="1">VLOOKUP($AB80,OFFSET([4]characters!$A$1,0,0,COUNTA([4]characters!$A:$A),MATCH(AD$1,[4]characters!$1:$1,0)-MATCH("character_id",[4]characters!$1:$1,0)+1),MATCH(AD$1,[4]characters!$1:$1,0)-MATCH("character_id",[4]characters!$1:$1,0)+1,FALSE)</f>
        <v>5</v>
      </c>
      <c r="AE80" s="5" t="str">
        <f ca="1">VLOOKUP($AB80,OFFSET([4]characters!$A$1,0,0,COUNTA([4]characters!$A:$A),MATCH(AE$1,[4]characters!$1:$1,0)-MATCH("character_id",[4]characters!$1:$1,0)+1),MATCH(AE$1,[4]characters!$1:$1,0)-MATCH("character_id",[4]characters!$1:$1,0)+1,FALSE)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0" s="8">
        <v>1</v>
      </c>
      <c r="AG80" s="28">
        <f t="shared" ca="1" si="50"/>
        <v>5</v>
      </c>
      <c r="AH80" s="9">
        <v>100</v>
      </c>
      <c r="AI80" s="8">
        <v>0</v>
      </c>
      <c r="AJ80" s="8">
        <v>0</v>
      </c>
      <c r="AK80" s="8">
        <v>0</v>
      </c>
      <c r="AL80" s="8">
        <v>0</v>
      </c>
      <c r="AM80" s="8">
        <v>1</v>
      </c>
    </row>
    <row r="81" spans="1:39" ht="21" customHeight="1" x14ac:dyDescent="0.15">
      <c r="A81" s="17" t="str">
        <f t="shared" si="46"/>
        <v>12001_3-4/346&lt;lv10&gt;s2</v>
      </c>
      <c r="B81" s="26">
        <v>12001</v>
      </c>
      <c r="C81" s="25">
        <v>3</v>
      </c>
      <c r="D81" s="2" t="str">
        <f t="shared" si="47"/>
        <v>12001_3</v>
      </c>
      <c r="E81" s="5" t="str">
        <f ca="1">VLOOKUP($B81,OFFSET([2]quests!$A$1,0,0,COUNTA([2]quests!$A:$A),MATCH(E$1,[2]quests!$1:$1,0)-MATCH($B$1,[2]quests!$1:$1,0)+1),MATCH(E$1,[2]quests!$1:$1,0)-MATCH($B$1,[2]quests!$1:$1,0)+1,FALSE)</f>
        <v>【緊急！！】 アヒル捕獲作戦</v>
      </c>
      <c r="F81" s="5" t="str">
        <f ca="1">VLOOKUP($D81,OFFSET([2]stages!$A$1,0,0,COUNTA([2]stages!$A:$A),MATCH(F$1,[2]stages!$2:$2,0)-MATCH($D$1,[2]stages!$2:$2,0)+1),MATCH(F$1,[2]stages!$2:$2,0)-MATCH($D$1,[2]stages!$2:$2,0)+1,FALSE)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1" s="25">
        <v>4</v>
      </c>
      <c r="H81" s="16" t="str">
        <f t="shared" si="48"/>
        <v>12001_3-4</v>
      </c>
      <c r="I81" s="5">
        <f ca="1">VLOOKUP($H81,OFFSET(floors!$A$1,0,0,COUNTA(floors!$A:$A),MATCH(I$1,floors!$1:$1,0)-MATCH($H$1,floors!$1:$1,0)+1),MATCH(I$1,floors!$1:$1,0)-MATCH($H$1,floors!$1:$1,0)+1,FALSE)</f>
        <v>40</v>
      </c>
      <c r="J81" s="5">
        <f ca="1">VLOOKUP($H81,OFFSET(floors!$A$1,0,0,COUNTA(floors!$A:$A),MATCH(J$1,floors!$1:$1,0)-MATCH($H$1,floors!$1:$1,0)+1),MATCH(J$1,floors!$1:$1,0)-MATCH($H$1,floors!$1:$1,0)+1,FALSE)</f>
        <v>40</v>
      </c>
      <c r="K81" s="8" t="s">
        <v>147</v>
      </c>
      <c r="L81" s="24">
        <v>346</v>
      </c>
      <c r="M81" s="20" t="str">
        <f ca="1">VLOOKUP($L81,OFFSET([3]enemies!$A$1,0,0,COUNTA([3]enemies!$A:$A),MATCH(M$1,[3]enemies!$1:$1,0)-MATCH($L$1,[3]enemies!$1:$1,0)+1),MATCH(M$1,[3]enemies!$1:$1,0)-MATCH($L$1,[3]enemies!$1:$1,0)+1,FALSE)</f>
        <v>雷のメタルダック</v>
      </c>
      <c r="N81" s="20" t="str">
        <f ca="1">VLOOKUP($L81,OFFSET([3]enemies!$A$1,0,0,COUNTA([3]enemies!$A:$A),MATCH(N$1,[3]enemies!$1:$1,0)-MATCH($L$1,[3]enemies!$1:$1,0)+1),MATCH(N$1,[3]enemies!$1:$1,0)-MATCH($L$1,[3]enemies!$1:$1,0)+1,FALSE)</f>
        <v>yellow</v>
      </c>
      <c r="O81" s="20" t="str">
        <f ca="1">VLOOKUP($L81,OFFSET([4]characters!$A$1,0,0,COUNTA([4]characters!$A:$A),MATCH(O$1,[4]characters!$1:$1,0)-MATCH($L$1,[4]characters!$1:$1,0)+1),MATCH(O$1,[4]characters!$1:$1,0)-MATCH($L$1,[4]characters!$1:$1,0)+1,FALSE)</f>
        <v>Material</v>
      </c>
      <c r="P81" s="20" t="str">
        <f ca="1">VLOOKUP($L81,OFFSET([3]enemies!$A$1,0,0,COUNTA([3]enemies!$A:$A),MATCH(P$1,[3]enemies!$1:$1,0)-MATCH($L$1,[3]enemies!$1:$1,0)+1),MATCH(P$1,[3]enemies!$1:$1,0)-MATCH($L$1,[3]enemies!$1:$1,0)+1,FALSE)</f>
        <v>unknown</v>
      </c>
      <c r="Q81" s="20">
        <f ca="1">VLOOKUP($L81,OFFSET([3]enemies!$A$1,0,0,COUNTA([3]enemies!$A:$A),MATCH(Q$1,[3]enemies!$1:$1,0)-MATCH($L$1,[3]enemies!$1:$1,0)+1),MATCH(Q$1,[3]enemies!$1:$1,0)-MATCH($L$1,[3]enemies!$1:$1,0)+1,FALSE)</f>
        <v>20</v>
      </c>
      <c r="R81" s="8">
        <v>10</v>
      </c>
      <c r="S81" s="30">
        <v>0.5</v>
      </c>
      <c r="T81" s="30">
        <v>50</v>
      </c>
      <c r="U81" s="6">
        <v>-13000</v>
      </c>
      <c r="V81" s="5" t="str">
        <f ca="1">VLOOKUP($W81,OFFSET([5]enemy_skill_sets!$B$1,0,0,COUNTA([5]enemy_skill_sets!$B:$B),MATCH(M$1,[5]enemy_skill_sets!$1:$1,0)-MATCH($W$1,[5]enemy_skill_sets!$1:$1,0)+2),MATCH(M$1,[5]enemy_skill_sets!$1:$1,0)-MATCH($W$1,[5]enemy_skill_sets!$1:$1,0)+2,FALSE)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1" s="5">
        <f ca="1">VLOOKUP($L81,OFFSET([3]enemies!$A$1,0,0,COUNTA([3]enemies!$A:$A),MATCH(W$1,[3]enemies!$1:$1,0)-MATCH($L$1,[3]enemies!$1:$1,0)+1),MATCH(W$1,[3]enemies!$1:$1,0)-MATCH($L$1,[3]enemies!$1:$1,0)+1,FALSE)</f>
        <v>0</v>
      </c>
      <c r="X81" s="7">
        <v>0</v>
      </c>
      <c r="Y81" s="7">
        <v>25</v>
      </c>
      <c r="Z81" s="7">
        <v>0</v>
      </c>
      <c r="AA81" s="60">
        <v>2</v>
      </c>
      <c r="AB81" s="2">
        <f t="shared" si="49"/>
        <v>346</v>
      </c>
      <c r="AC81" s="5" t="str">
        <f ca="1">VLOOKUP($AB81,OFFSET([4]characters!$A$1,0,0,COUNTA([4]characters!$A:$A),MATCH(AC$1,[4]characters!$1:$1,0)-MATCH("character_id",[4]characters!$1:$1,0)+1),MATCH(AC$1,[4]characters!$1:$1,0)-MATCH("character_id",[4]characters!$1:$1,0)+1,FALSE)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81" s="5">
        <f ca="1">VLOOKUP($AB81,OFFSET([4]characters!$A$1,0,0,COUNTA([4]characters!$A:$A),MATCH(AD$1,[4]characters!$1:$1,0)-MATCH("character_id",[4]characters!$1:$1,0)+1),MATCH(AD$1,[4]characters!$1:$1,0)-MATCH("character_id",[4]characters!$1:$1,0)+1,FALSE)</f>
        <v>5</v>
      </c>
      <c r="AE81" s="5" t="str">
        <f ca="1">VLOOKUP($AB81,OFFSET([4]characters!$A$1,0,0,COUNTA([4]characters!$A:$A),MATCH(AE$1,[4]characters!$1:$1,0)-MATCH("character_id",[4]characters!$1:$1,0)+1),MATCH(AE$1,[4]characters!$1:$1,0)-MATCH("character_id",[4]characters!$1:$1,0)+1,FALSE)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1" s="8">
        <v>1</v>
      </c>
      <c r="AG81" s="28">
        <f t="shared" ca="1" si="50"/>
        <v>5</v>
      </c>
      <c r="AH81" s="9">
        <v>100</v>
      </c>
      <c r="AI81" s="8">
        <v>0</v>
      </c>
      <c r="AJ81" s="8">
        <v>0</v>
      </c>
      <c r="AK81" s="8">
        <v>0</v>
      </c>
      <c r="AL81" s="8">
        <v>0</v>
      </c>
      <c r="AM81" s="8">
        <v>1</v>
      </c>
    </row>
    <row r="82" spans="1:39" ht="21" customHeight="1" x14ac:dyDescent="0.15">
      <c r="A82" s="17" t="str">
        <f t="shared" si="46"/>
        <v>12001_3-5/334&lt;lv9&gt;s2</v>
      </c>
      <c r="B82" s="26">
        <v>12001</v>
      </c>
      <c r="C82" s="25">
        <v>3</v>
      </c>
      <c r="D82" s="2" t="str">
        <f t="shared" si="47"/>
        <v>12001_3</v>
      </c>
      <c r="E82" s="5" t="str">
        <f ca="1">VLOOKUP($B82,OFFSET([2]quests!$A$1,0,0,COUNTA([2]quests!$A:$A),MATCH(E$1,[2]quests!$1:$1,0)-MATCH($B$1,[2]quests!$1:$1,0)+1),MATCH(E$1,[2]quests!$1:$1,0)-MATCH($B$1,[2]quests!$1:$1,0)+1,FALSE)</f>
        <v>【緊急！！】 アヒル捕獲作戦</v>
      </c>
      <c r="F82" s="5" t="str">
        <f ca="1">VLOOKUP($D82,OFFSET([2]stages!$A$1,0,0,COUNTA([2]stages!$A:$A),MATCH(F$1,[2]stages!$2:$2,0)-MATCH($D$1,[2]stages!$2:$2,0)+1),MATCH(F$1,[2]stages!$2:$2,0)-MATCH($D$1,[2]stages!$2:$2,0)+1,FALSE)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2" s="25">
        <v>5</v>
      </c>
      <c r="H82" s="16" t="str">
        <f t="shared" si="48"/>
        <v>12001_3-5</v>
      </c>
      <c r="I82" s="5">
        <f ca="1">VLOOKUP($H82,OFFSET(floors!$A$1,0,0,COUNTA(floors!$A:$A),MATCH(I$1,floors!$1:$1,0)-MATCH($H$1,floors!$1:$1,0)+1),MATCH(I$1,floors!$1:$1,0)-MATCH($H$1,floors!$1:$1,0)+1,FALSE)</f>
        <v>60</v>
      </c>
      <c r="J82" s="5">
        <f ca="1">VLOOKUP($H82,OFFSET(floors!$A$1,0,0,COUNTA(floors!$A:$A),MATCH(J$1,floors!$1:$1,0)-MATCH($H$1,floors!$1:$1,0)+1),MATCH(J$1,floors!$1:$1,0)-MATCH($H$1,floors!$1:$1,0)+1,FALSE)</f>
        <v>60</v>
      </c>
      <c r="K82" s="8" t="s">
        <v>147</v>
      </c>
      <c r="L82" s="24">
        <v>334</v>
      </c>
      <c r="M82" s="20" t="str">
        <f ca="1">VLOOKUP($L82,OFFSET([3]enemies!$A$1,0,0,COUNTA([3]enemies!$A:$A),MATCH(M$1,[3]enemies!$1:$1,0)-MATCH($L$1,[3]enemies!$1:$1,0)+1),MATCH(M$1,[3]enemies!$1:$1,0)-MATCH($L$1,[3]enemies!$1:$1,0)+1,FALSE)</f>
        <v>炎のメタルダック</v>
      </c>
      <c r="N82" s="20" t="str">
        <f ca="1">VLOOKUP($L82,OFFSET([3]enemies!$A$1,0,0,COUNTA([3]enemies!$A:$A),MATCH(N$1,[3]enemies!$1:$1,0)-MATCH($L$1,[3]enemies!$1:$1,0)+1),MATCH(N$1,[3]enemies!$1:$1,0)-MATCH($L$1,[3]enemies!$1:$1,0)+1,FALSE)</f>
        <v>red</v>
      </c>
      <c r="O82" s="20" t="str">
        <f ca="1">VLOOKUP($L82,OFFSET([4]characters!$A$1,0,0,COUNTA([4]characters!$A:$A),MATCH(O$1,[4]characters!$1:$1,0)-MATCH($L$1,[4]characters!$1:$1,0)+1),MATCH(O$1,[4]characters!$1:$1,0)-MATCH($L$1,[4]characters!$1:$1,0)+1,FALSE)</f>
        <v>Material</v>
      </c>
      <c r="P82" s="20" t="str">
        <f ca="1">VLOOKUP($L82,OFFSET([3]enemies!$A$1,0,0,COUNTA([3]enemies!$A:$A),MATCH(P$1,[3]enemies!$1:$1,0)-MATCH($L$1,[3]enemies!$1:$1,0)+1),MATCH(P$1,[3]enemies!$1:$1,0)-MATCH($L$1,[3]enemies!$1:$1,0)+1,FALSE)</f>
        <v>unknown</v>
      </c>
      <c r="Q82" s="20">
        <f ca="1">VLOOKUP($L82,OFFSET([3]enemies!$A$1,0,0,COUNTA([3]enemies!$A:$A),MATCH(Q$1,[3]enemies!$1:$1,0)-MATCH($L$1,[3]enemies!$1:$1,0)+1),MATCH(Q$1,[3]enemies!$1:$1,0)-MATCH($L$1,[3]enemies!$1:$1,0)+1,FALSE)</f>
        <v>20</v>
      </c>
      <c r="R82" s="8">
        <v>9</v>
      </c>
      <c r="S82" s="30">
        <v>0.5</v>
      </c>
      <c r="T82" s="30">
        <v>50</v>
      </c>
      <c r="U82" s="6">
        <v>-13000</v>
      </c>
      <c r="V82" s="5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2" s="5">
        <f ca="1">VLOOKUP($L82,OFFSET([3]enemies!$A$1,0,0,COUNTA([3]enemies!$A:$A),MATCH(W$1,[3]enemies!$1:$1,0)-MATCH($L$1,[3]enemies!$1:$1,0)+1),MATCH(W$1,[3]enemies!$1:$1,0)-MATCH($L$1,[3]enemies!$1:$1,0)+1,FALSE)</f>
        <v>0</v>
      </c>
      <c r="X82" s="7">
        <v>0</v>
      </c>
      <c r="Y82" s="7">
        <v>200</v>
      </c>
      <c r="Z82" s="7">
        <v>0</v>
      </c>
      <c r="AA82" s="60">
        <v>2</v>
      </c>
      <c r="AB82" s="2">
        <f t="shared" si="49"/>
        <v>334</v>
      </c>
      <c r="AC82" s="5" t="str">
        <f ca="1">VLOOKUP($AB82,OFFSET([4]characters!$A$1,0,0,COUNTA([4]characters!$A:$A),MATCH(AC$1,[4]characters!$1:$1,0)-MATCH("character_id",[4]characters!$1:$1,0)+1),MATCH(AC$1,[4]characters!$1:$1,0)-MATCH("character_id",[4]characters!$1:$1,0)+1,FALSE)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82" s="5">
        <f ca="1">VLOOKUP($AB82,OFFSET([4]characters!$A$1,0,0,COUNTA([4]characters!$A:$A),MATCH(AD$1,[4]characters!$1:$1,0)-MATCH("character_id",[4]characters!$1:$1,0)+1),MATCH(AD$1,[4]characters!$1:$1,0)-MATCH("character_id",[4]characters!$1:$1,0)+1,FALSE)</f>
        <v>5</v>
      </c>
      <c r="AE82" s="5" t="str">
        <f ca="1">VLOOKUP($AB82,OFFSET([4]characters!$A$1,0,0,COUNTA([4]characters!$A:$A),MATCH(AE$1,[4]characters!$1:$1,0)-MATCH("character_id",[4]characters!$1:$1,0)+1),MATCH(AE$1,[4]characters!$1:$1,0)-MATCH("character_id",[4]characters!$1:$1,0)+1,FALSE)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2" s="8">
        <v>1</v>
      </c>
      <c r="AG82" s="28">
        <f t="shared" ca="1" si="50"/>
        <v>5</v>
      </c>
      <c r="AH82" s="9">
        <v>0</v>
      </c>
      <c r="AI82" s="8">
        <v>0</v>
      </c>
      <c r="AJ82" s="8">
        <v>0</v>
      </c>
      <c r="AK82" s="8">
        <v>0</v>
      </c>
      <c r="AL82" s="8">
        <v>0</v>
      </c>
      <c r="AM82" s="8">
        <v>1</v>
      </c>
    </row>
    <row r="83" spans="1:39" ht="21" customHeight="1" x14ac:dyDescent="0.15">
      <c r="A83" s="17" t="str">
        <f t="shared" si="46"/>
        <v>12001_3-5/338&lt;lv9&gt;s2</v>
      </c>
      <c r="B83" s="26">
        <v>12001</v>
      </c>
      <c r="C83" s="25">
        <v>3</v>
      </c>
      <c r="D83" s="2" t="str">
        <f t="shared" si="47"/>
        <v>12001_3</v>
      </c>
      <c r="E83" s="5" t="str">
        <f ca="1">VLOOKUP($B83,OFFSET([2]quests!$A$1,0,0,COUNTA([2]quests!$A:$A),MATCH(E$1,[2]quests!$1:$1,0)-MATCH($B$1,[2]quests!$1:$1,0)+1),MATCH(E$1,[2]quests!$1:$1,0)-MATCH($B$1,[2]quests!$1:$1,0)+1,FALSE)</f>
        <v>【緊急！！】 アヒル捕獲作戦</v>
      </c>
      <c r="F83" s="5" t="str">
        <f ca="1">VLOOKUP($D83,OFFSET([2]stages!$A$1,0,0,COUNTA([2]stages!$A:$A),MATCH(F$1,[2]stages!$2:$2,0)-MATCH($D$1,[2]stages!$2:$2,0)+1),MATCH(F$1,[2]stages!$2:$2,0)-MATCH($D$1,[2]stages!$2:$2,0)+1,FALSE)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3" s="25">
        <v>5</v>
      </c>
      <c r="H83" s="16" t="str">
        <f t="shared" si="48"/>
        <v>12001_3-5</v>
      </c>
      <c r="I83" s="5">
        <f ca="1">VLOOKUP($H83,OFFSET(floors!$A$1,0,0,COUNTA(floors!$A:$A),MATCH(I$1,floors!$1:$1,0)-MATCH($H$1,floors!$1:$1,0)+1),MATCH(I$1,floors!$1:$1,0)-MATCH($H$1,floors!$1:$1,0)+1,FALSE)</f>
        <v>60</v>
      </c>
      <c r="J83" s="5">
        <f ca="1">VLOOKUP($H83,OFFSET(floors!$A$1,0,0,COUNTA(floors!$A:$A),MATCH(J$1,floors!$1:$1,0)-MATCH($H$1,floors!$1:$1,0)+1),MATCH(J$1,floors!$1:$1,0)-MATCH($H$1,floors!$1:$1,0)+1,FALSE)</f>
        <v>60</v>
      </c>
      <c r="K83" s="8" t="s">
        <v>147</v>
      </c>
      <c r="L83" s="24">
        <v>338</v>
      </c>
      <c r="M83" s="20" t="str">
        <f ca="1">VLOOKUP($L83,OFFSET([3]enemies!$A$1,0,0,COUNTA([3]enemies!$A:$A),MATCH(M$1,[3]enemies!$1:$1,0)-MATCH($L$1,[3]enemies!$1:$1,0)+1),MATCH(M$1,[3]enemies!$1:$1,0)-MATCH($L$1,[3]enemies!$1:$1,0)+1,FALSE)</f>
        <v>森のメタルダック</v>
      </c>
      <c r="N83" s="20" t="str">
        <f ca="1">VLOOKUP($L83,OFFSET([3]enemies!$A$1,0,0,COUNTA([3]enemies!$A:$A),MATCH(N$1,[3]enemies!$1:$1,0)-MATCH($L$1,[3]enemies!$1:$1,0)+1),MATCH(N$1,[3]enemies!$1:$1,0)-MATCH($L$1,[3]enemies!$1:$1,0)+1,FALSE)</f>
        <v>green</v>
      </c>
      <c r="O83" s="20" t="str">
        <f ca="1">VLOOKUP($L83,OFFSET([4]characters!$A$1,0,0,COUNTA([4]characters!$A:$A),MATCH(O$1,[4]characters!$1:$1,0)-MATCH($L$1,[4]characters!$1:$1,0)+1),MATCH(O$1,[4]characters!$1:$1,0)-MATCH($L$1,[4]characters!$1:$1,0)+1,FALSE)</f>
        <v>Material</v>
      </c>
      <c r="P83" s="20" t="str">
        <f ca="1">VLOOKUP($L83,OFFSET([3]enemies!$A$1,0,0,COUNTA([3]enemies!$A:$A),MATCH(P$1,[3]enemies!$1:$1,0)-MATCH($L$1,[3]enemies!$1:$1,0)+1),MATCH(P$1,[3]enemies!$1:$1,0)-MATCH($L$1,[3]enemies!$1:$1,0)+1,FALSE)</f>
        <v>unknown</v>
      </c>
      <c r="Q83" s="20">
        <f ca="1">VLOOKUP($L83,OFFSET([3]enemies!$A$1,0,0,COUNTA([3]enemies!$A:$A),MATCH(Q$1,[3]enemies!$1:$1,0)-MATCH($L$1,[3]enemies!$1:$1,0)+1),MATCH(Q$1,[3]enemies!$1:$1,0)-MATCH($L$1,[3]enemies!$1:$1,0)+1,FALSE)</f>
        <v>20</v>
      </c>
      <c r="R83" s="8">
        <v>9</v>
      </c>
      <c r="S83" s="30">
        <v>0.5</v>
      </c>
      <c r="T83" s="30">
        <v>50</v>
      </c>
      <c r="U83" s="6">
        <v>-13000</v>
      </c>
      <c r="V83" s="5" t="str">
        <f ca="1">VLOOKUP($W83,OFFSET([5]enemy_skill_sets!$B$1,0,0,COUNTA([5]enemy_skill_sets!$B:$B),MATCH(M$1,[5]enemy_skill_sets!$1:$1,0)-MATCH($W$1,[5]enemy_skill_sets!$1:$1,0)+2),MATCH(M$1,[5]enemy_skill_sets!$1:$1,0)-MATCH($W$1,[5]enemy_skill_sets!$1:$1,0)+2,FALSE)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3" s="5">
        <f ca="1">VLOOKUP($L83,OFFSET([3]enemies!$A$1,0,0,COUNTA([3]enemies!$A:$A),MATCH(W$1,[3]enemies!$1:$1,0)-MATCH($L$1,[3]enemies!$1:$1,0)+1),MATCH(W$1,[3]enemies!$1:$1,0)-MATCH($L$1,[3]enemies!$1:$1,0)+1,FALSE)</f>
        <v>0</v>
      </c>
      <c r="X83" s="7">
        <v>0</v>
      </c>
      <c r="Y83" s="7">
        <v>200</v>
      </c>
      <c r="Z83" s="7">
        <v>0</v>
      </c>
      <c r="AA83" s="60">
        <v>2</v>
      </c>
      <c r="AB83" s="2">
        <f t="shared" si="49"/>
        <v>338</v>
      </c>
      <c r="AC83" s="5" t="str">
        <f ca="1">VLOOKUP($AB83,OFFSET([4]characters!$A$1,0,0,COUNTA([4]characters!$A:$A),MATCH(AC$1,[4]characters!$1:$1,0)-MATCH("character_id",[4]characters!$1:$1,0)+1),MATCH(AC$1,[4]characters!$1:$1,0)-MATCH("character_id",[4]characters!$1:$1,0)+1,FALSE)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83" s="5">
        <f ca="1">VLOOKUP($AB83,OFFSET([4]characters!$A$1,0,0,COUNTA([4]characters!$A:$A),MATCH(AD$1,[4]characters!$1:$1,0)-MATCH("character_id",[4]characters!$1:$1,0)+1),MATCH(AD$1,[4]characters!$1:$1,0)-MATCH("character_id",[4]characters!$1:$1,0)+1,FALSE)</f>
        <v>5</v>
      </c>
      <c r="AE83" s="5" t="str">
        <f ca="1">VLOOKUP($AB83,OFFSET([4]characters!$A$1,0,0,COUNTA([4]characters!$A:$A),MATCH(AE$1,[4]characters!$1:$1,0)-MATCH("character_id",[4]characters!$1:$1,0)+1),MATCH(AE$1,[4]characters!$1:$1,0)-MATCH("character_id",[4]characters!$1:$1,0)+1,FALSE)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3" s="8">
        <v>1</v>
      </c>
      <c r="AG83" s="28">
        <f t="shared" ca="1" si="50"/>
        <v>5</v>
      </c>
      <c r="AH83" s="9">
        <v>0</v>
      </c>
      <c r="AI83" s="8">
        <v>0</v>
      </c>
      <c r="AJ83" s="8">
        <v>0</v>
      </c>
      <c r="AK83" s="8">
        <v>0</v>
      </c>
      <c r="AL83" s="8">
        <v>0</v>
      </c>
      <c r="AM83" s="8">
        <v>1</v>
      </c>
    </row>
    <row r="84" spans="1:39" ht="21" customHeight="1" x14ac:dyDescent="0.15">
      <c r="A84" s="17" t="str">
        <f t="shared" si="46"/>
        <v>12001_3-5/342&lt;lv9&gt;s2</v>
      </c>
      <c r="B84" s="26">
        <v>12001</v>
      </c>
      <c r="C84" s="25">
        <v>3</v>
      </c>
      <c r="D84" s="2" t="str">
        <f t="shared" si="47"/>
        <v>12001_3</v>
      </c>
      <c r="E84" s="5" t="str">
        <f ca="1">VLOOKUP($B84,OFFSET([2]quests!$A$1,0,0,COUNTA([2]quests!$A:$A),MATCH(E$1,[2]quests!$1:$1,0)-MATCH($B$1,[2]quests!$1:$1,0)+1),MATCH(E$1,[2]quests!$1:$1,0)-MATCH($B$1,[2]quests!$1:$1,0)+1,FALSE)</f>
        <v>【緊急！！】 アヒル捕獲作戦</v>
      </c>
      <c r="F84" s="5" t="str">
        <f ca="1">VLOOKUP($D84,OFFSET([2]stages!$A$1,0,0,COUNTA([2]stages!$A:$A),MATCH(F$1,[2]stages!$2:$2,0)-MATCH($D$1,[2]stages!$2:$2,0)+1),MATCH(F$1,[2]stages!$2:$2,0)-MATCH($D$1,[2]stages!$2:$2,0)+1,FALSE)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4" s="25">
        <v>5</v>
      </c>
      <c r="H84" s="16" t="str">
        <f t="shared" si="48"/>
        <v>12001_3-5</v>
      </c>
      <c r="I84" s="5">
        <f ca="1">VLOOKUP($H84,OFFSET(floors!$A$1,0,0,COUNTA(floors!$A:$A),MATCH(I$1,floors!$1:$1,0)-MATCH($H$1,floors!$1:$1,0)+1),MATCH(I$1,floors!$1:$1,0)-MATCH($H$1,floors!$1:$1,0)+1,FALSE)</f>
        <v>60</v>
      </c>
      <c r="J84" s="5">
        <f ca="1">VLOOKUP($H84,OFFSET(floors!$A$1,0,0,COUNTA(floors!$A:$A),MATCH(J$1,floors!$1:$1,0)-MATCH($H$1,floors!$1:$1,0)+1),MATCH(J$1,floors!$1:$1,0)-MATCH($H$1,floors!$1:$1,0)+1,FALSE)</f>
        <v>60</v>
      </c>
      <c r="K84" s="8" t="s">
        <v>147</v>
      </c>
      <c r="L84" s="24">
        <v>342</v>
      </c>
      <c r="M84" s="20" t="str">
        <f ca="1">VLOOKUP($L84,OFFSET([3]enemies!$A$1,0,0,COUNTA([3]enemies!$A:$A),MATCH(M$1,[3]enemies!$1:$1,0)-MATCH($L$1,[3]enemies!$1:$1,0)+1),MATCH(M$1,[3]enemies!$1:$1,0)-MATCH($L$1,[3]enemies!$1:$1,0)+1,FALSE)</f>
        <v>水のメタルダック</v>
      </c>
      <c r="N84" s="20" t="str">
        <f ca="1">VLOOKUP($L84,OFFSET([3]enemies!$A$1,0,0,COUNTA([3]enemies!$A:$A),MATCH(N$1,[3]enemies!$1:$1,0)-MATCH($L$1,[3]enemies!$1:$1,0)+1),MATCH(N$1,[3]enemies!$1:$1,0)-MATCH($L$1,[3]enemies!$1:$1,0)+1,FALSE)</f>
        <v>blue</v>
      </c>
      <c r="O84" s="20" t="str">
        <f ca="1">VLOOKUP($L84,OFFSET([4]characters!$A$1,0,0,COUNTA([4]characters!$A:$A),MATCH(O$1,[4]characters!$1:$1,0)-MATCH($L$1,[4]characters!$1:$1,0)+1),MATCH(O$1,[4]characters!$1:$1,0)-MATCH($L$1,[4]characters!$1:$1,0)+1,FALSE)</f>
        <v>Material</v>
      </c>
      <c r="P84" s="20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20">
        <f ca="1">VLOOKUP($L84,OFFSET([3]enemies!$A$1,0,0,COUNTA([3]enemies!$A:$A),MATCH(Q$1,[3]enemies!$1:$1,0)-MATCH($L$1,[3]enemies!$1:$1,0)+1),MATCH(Q$1,[3]enemies!$1:$1,0)-MATCH($L$1,[3]enemies!$1:$1,0)+1,FALSE)</f>
        <v>20</v>
      </c>
      <c r="R84" s="8">
        <v>9</v>
      </c>
      <c r="S84" s="30">
        <v>0.5</v>
      </c>
      <c r="T84" s="30">
        <v>50</v>
      </c>
      <c r="U84" s="6">
        <v>-13000</v>
      </c>
      <c r="V84" s="5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4" s="5">
        <f ca="1">VLOOKUP($L84,OFFSET([3]enemies!$A$1,0,0,COUNTA([3]enemies!$A:$A),MATCH(W$1,[3]enemies!$1:$1,0)-MATCH($L$1,[3]enemies!$1:$1,0)+1),MATCH(W$1,[3]enemies!$1:$1,0)-MATCH($L$1,[3]enemies!$1:$1,0)+1,FALSE)</f>
        <v>0</v>
      </c>
      <c r="X84" s="7">
        <v>0</v>
      </c>
      <c r="Y84" s="7">
        <v>200</v>
      </c>
      <c r="Z84" s="7">
        <v>0</v>
      </c>
      <c r="AA84" s="60">
        <v>2</v>
      </c>
      <c r="AB84" s="2">
        <f t="shared" si="49"/>
        <v>342</v>
      </c>
      <c r="AC84" s="5" t="str">
        <f ca="1">VLOOKUP($AB84,OFFSET([4]characters!$A$1,0,0,COUNTA([4]characters!$A:$A),MATCH(AC$1,[4]characters!$1:$1,0)-MATCH("character_id",[4]characters!$1:$1,0)+1),MATCH(AC$1,[4]characters!$1:$1,0)-MATCH("character_id",[4]characters!$1:$1,0)+1,FALSE)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4" s="5">
        <f ca="1">VLOOKUP($AB84,OFFSET([4]characters!$A$1,0,0,COUNTA([4]characters!$A:$A),MATCH(AD$1,[4]characters!$1:$1,0)-MATCH("character_id",[4]characters!$1:$1,0)+1),MATCH(AD$1,[4]characters!$1:$1,0)-MATCH("character_id",[4]characters!$1:$1,0)+1,FALSE)</f>
        <v>5</v>
      </c>
      <c r="AE84" s="5" t="str">
        <f ca="1">VLOOKUP($AB84,OFFSET([4]characters!$A$1,0,0,COUNTA([4]characters!$A:$A),MATCH(AE$1,[4]characters!$1:$1,0)-MATCH("character_id",[4]characters!$1:$1,0)+1),MATCH(AE$1,[4]characters!$1:$1,0)-MATCH("character_id",[4]characters!$1:$1,0)+1,FALSE)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4" s="8">
        <v>1</v>
      </c>
      <c r="AG84" s="28">
        <f t="shared" ca="1" si="50"/>
        <v>5</v>
      </c>
      <c r="AH84" s="9">
        <v>0</v>
      </c>
      <c r="AI84" s="8">
        <v>0</v>
      </c>
      <c r="AJ84" s="8">
        <v>0</v>
      </c>
      <c r="AK84" s="8">
        <v>0</v>
      </c>
      <c r="AL84" s="8">
        <v>0</v>
      </c>
      <c r="AM84" s="8">
        <v>1</v>
      </c>
    </row>
    <row r="85" spans="1:39" ht="21" customHeight="1" x14ac:dyDescent="0.15">
      <c r="A85" s="17" t="str">
        <f t="shared" si="46"/>
        <v>12001_3-5/346&lt;lv9&gt;s2</v>
      </c>
      <c r="B85" s="26">
        <v>12001</v>
      </c>
      <c r="C85" s="25">
        <v>3</v>
      </c>
      <c r="D85" s="2" t="str">
        <f t="shared" si="47"/>
        <v>12001_3</v>
      </c>
      <c r="E85" s="5" t="str">
        <f ca="1">VLOOKUP($B85,OFFSET([2]quests!$A$1,0,0,COUNTA([2]quests!$A:$A),MATCH(E$1,[2]quests!$1:$1,0)-MATCH($B$1,[2]quests!$1:$1,0)+1),MATCH(E$1,[2]quests!$1:$1,0)-MATCH($B$1,[2]quests!$1:$1,0)+1,FALSE)</f>
        <v>【緊急！！】 アヒル捕獲作戦</v>
      </c>
      <c r="F85" s="5" t="str">
        <f ca="1">VLOOKUP($D85,OFFSET([2]stages!$A$1,0,0,COUNTA([2]stages!$A:$A),MATCH(F$1,[2]stages!$2:$2,0)-MATCH($D$1,[2]stages!$2:$2,0)+1),MATCH(F$1,[2]stages!$2:$2,0)-MATCH($D$1,[2]stages!$2:$2,0)+1,FALSE)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5" s="25">
        <v>5</v>
      </c>
      <c r="H85" s="16" t="str">
        <f t="shared" si="48"/>
        <v>12001_3-5</v>
      </c>
      <c r="I85" s="5">
        <f ca="1">VLOOKUP($H85,OFFSET(floors!$A$1,0,0,COUNTA(floors!$A:$A),MATCH(I$1,floors!$1:$1,0)-MATCH($H$1,floors!$1:$1,0)+1),MATCH(I$1,floors!$1:$1,0)-MATCH($H$1,floors!$1:$1,0)+1,FALSE)</f>
        <v>60</v>
      </c>
      <c r="J85" s="5">
        <f ca="1">VLOOKUP($H85,OFFSET(floors!$A$1,0,0,COUNTA(floors!$A:$A),MATCH(J$1,floors!$1:$1,0)-MATCH($H$1,floors!$1:$1,0)+1),MATCH(J$1,floors!$1:$1,0)-MATCH($H$1,floors!$1:$1,0)+1,FALSE)</f>
        <v>60</v>
      </c>
      <c r="K85" s="8" t="s">
        <v>147</v>
      </c>
      <c r="L85" s="24">
        <v>346</v>
      </c>
      <c r="M85" s="20" t="str">
        <f ca="1">VLOOKUP($L85,OFFSET([3]enemies!$A$1,0,0,COUNTA([3]enemies!$A:$A),MATCH(M$1,[3]enemies!$1:$1,0)-MATCH($L$1,[3]enemies!$1:$1,0)+1),MATCH(M$1,[3]enemies!$1:$1,0)-MATCH($L$1,[3]enemies!$1:$1,0)+1,FALSE)</f>
        <v>雷のメタルダック</v>
      </c>
      <c r="N85" s="20" t="str">
        <f ca="1">VLOOKUP($L85,OFFSET([3]enemies!$A$1,0,0,COUNTA([3]enemies!$A:$A),MATCH(N$1,[3]enemies!$1:$1,0)-MATCH($L$1,[3]enemies!$1:$1,0)+1),MATCH(N$1,[3]enemies!$1:$1,0)-MATCH($L$1,[3]enemies!$1:$1,0)+1,FALSE)</f>
        <v>yellow</v>
      </c>
      <c r="O85" s="20" t="str">
        <f ca="1">VLOOKUP($L85,OFFSET([4]characters!$A$1,0,0,COUNTA([4]characters!$A:$A),MATCH(O$1,[4]characters!$1:$1,0)-MATCH($L$1,[4]characters!$1:$1,0)+1),MATCH(O$1,[4]characters!$1:$1,0)-MATCH($L$1,[4]characters!$1:$1,0)+1,FALSE)</f>
        <v>Material</v>
      </c>
      <c r="P85" s="20" t="str">
        <f ca="1">VLOOKUP($L85,OFFSET([3]enemies!$A$1,0,0,COUNTA([3]enemies!$A:$A),MATCH(P$1,[3]enemies!$1:$1,0)-MATCH($L$1,[3]enemies!$1:$1,0)+1),MATCH(P$1,[3]enemies!$1:$1,0)-MATCH($L$1,[3]enemies!$1:$1,0)+1,FALSE)</f>
        <v>unknown</v>
      </c>
      <c r="Q85" s="20">
        <f ca="1">VLOOKUP($L85,OFFSET([3]enemies!$A$1,0,0,COUNTA([3]enemies!$A:$A),MATCH(Q$1,[3]enemies!$1:$1,0)-MATCH($L$1,[3]enemies!$1:$1,0)+1),MATCH(Q$1,[3]enemies!$1:$1,0)-MATCH($L$1,[3]enemies!$1:$1,0)+1,FALSE)</f>
        <v>20</v>
      </c>
      <c r="R85" s="8">
        <v>9</v>
      </c>
      <c r="S85" s="30">
        <v>0.5</v>
      </c>
      <c r="T85" s="30">
        <v>50</v>
      </c>
      <c r="U85" s="6">
        <v>-13000</v>
      </c>
      <c r="V85" s="5" t="str">
        <f ca="1">VLOOKUP($W85,OFFSET([5]enemy_skill_sets!$B$1,0,0,COUNTA([5]enemy_skill_sets!$B:$B),MATCH(M$1,[5]enemy_skill_sets!$1:$1,0)-MATCH($W$1,[5]enemy_skill_sets!$1:$1,0)+2),MATCH(M$1,[5]enemy_skill_sets!$1:$1,0)-MATCH($W$1,[5]enemy_skill_sets!$1:$1,0)+2,FALSE)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5" s="5">
        <f ca="1">VLOOKUP($L85,OFFSET([3]enemies!$A$1,0,0,COUNTA([3]enemies!$A:$A),MATCH(W$1,[3]enemies!$1:$1,0)-MATCH($L$1,[3]enemies!$1:$1,0)+1),MATCH(W$1,[3]enemies!$1:$1,0)-MATCH($L$1,[3]enemies!$1:$1,0)+1,FALSE)</f>
        <v>0</v>
      </c>
      <c r="X85" s="7">
        <v>0</v>
      </c>
      <c r="Y85" s="7">
        <v>200</v>
      </c>
      <c r="Z85" s="7">
        <v>0</v>
      </c>
      <c r="AA85" s="60">
        <v>2</v>
      </c>
      <c r="AB85" s="2">
        <f t="shared" si="49"/>
        <v>346</v>
      </c>
      <c r="AC85" s="5" t="str">
        <f ca="1">VLOOKUP($AB85,OFFSET([4]characters!$A$1,0,0,COUNTA([4]characters!$A:$A),MATCH(AC$1,[4]characters!$1:$1,0)-MATCH("character_id",[4]characters!$1:$1,0)+1),MATCH(AC$1,[4]characters!$1:$1,0)-MATCH("character_id",[4]characters!$1:$1,0)+1,FALSE)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85" s="5">
        <f ca="1">VLOOKUP($AB85,OFFSET([4]characters!$A$1,0,0,COUNTA([4]characters!$A:$A),MATCH(AD$1,[4]characters!$1:$1,0)-MATCH("character_id",[4]characters!$1:$1,0)+1),MATCH(AD$1,[4]characters!$1:$1,0)-MATCH("character_id",[4]characters!$1:$1,0)+1,FALSE)</f>
        <v>5</v>
      </c>
      <c r="AE85" s="5" t="str">
        <f ca="1">VLOOKUP($AB85,OFFSET([4]characters!$A$1,0,0,COUNTA([4]characters!$A:$A),MATCH(AE$1,[4]characters!$1:$1,0)-MATCH("character_id",[4]characters!$1:$1,0)+1),MATCH(AE$1,[4]characters!$1:$1,0)-MATCH("character_id",[4]characters!$1:$1,0)+1,FALSE)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5" s="8">
        <v>1</v>
      </c>
      <c r="AG85" s="28">
        <f t="shared" ca="1" si="50"/>
        <v>5</v>
      </c>
      <c r="AH85" s="9">
        <v>0</v>
      </c>
      <c r="AI85" s="8">
        <v>0</v>
      </c>
      <c r="AJ85" s="8">
        <v>0</v>
      </c>
      <c r="AK85" s="8">
        <v>0</v>
      </c>
      <c r="AL85" s="8">
        <v>0</v>
      </c>
      <c r="AM85" s="8">
        <v>1</v>
      </c>
    </row>
    <row r="86" spans="1:39" ht="21" customHeight="1" x14ac:dyDescent="0.15">
      <c r="A86" s="17" t="str">
        <f t="shared" si="34"/>
        <v>12001_3-5/334&lt;lv10&gt;s2</v>
      </c>
      <c r="B86" s="26">
        <v>12001</v>
      </c>
      <c r="C86" s="25">
        <v>3</v>
      </c>
      <c r="D86" s="2" t="str">
        <f t="shared" ref="D86:D89" si="51">B86&amp;"_"&amp;C86</f>
        <v>12001_3</v>
      </c>
      <c r="E86" s="5" t="str">
        <f ca="1">VLOOKUP($B86,OFFSET([2]quests!$A$1,0,0,COUNTA([2]quests!$A:$A),MATCH(E$1,[2]quests!$1:$1,0)-MATCH($B$1,[2]quests!$1:$1,0)+1),MATCH(E$1,[2]quests!$1:$1,0)-MATCH($B$1,[2]quests!$1:$1,0)+1,FALSE)</f>
        <v>【緊急！！】 アヒル捕獲作戦</v>
      </c>
      <c r="F86" s="5" t="str">
        <f ca="1">VLOOKUP($D86,OFFSET([2]stages!$A$1,0,0,COUNTA([2]stages!$A:$A),MATCH(F$1,[2]stages!$2:$2,0)-MATCH($D$1,[2]stages!$2:$2,0)+1),MATCH(F$1,[2]stages!$2:$2,0)-MATCH($D$1,[2]stages!$2:$2,0)+1,FALSE)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6" s="25">
        <v>5</v>
      </c>
      <c r="H86" s="16" t="str">
        <f t="shared" si="35"/>
        <v>12001_3-5</v>
      </c>
      <c r="I86" s="5">
        <f ca="1">VLOOKUP($H86,OFFSET(floors!$A$1,0,0,COUNTA(floors!$A:$A),MATCH(I$1,floors!$1:$1,0)-MATCH($H$1,floors!$1:$1,0)+1),MATCH(I$1,floors!$1:$1,0)-MATCH($H$1,floors!$1:$1,0)+1,FALSE)</f>
        <v>60</v>
      </c>
      <c r="J86" s="5">
        <f ca="1">VLOOKUP($H86,OFFSET(floors!$A$1,0,0,COUNTA(floors!$A:$A),MATCH(J$1,floors!$1:$1,0)-MATCH($H$1,floors!$1:$1,0)+1),MATCH(J$1,floors!$1:$1,0)-MATCH($H$1,floors!$1:$1,0)+1,FALSE)</f>
        <v>60</v>
      </c>
      <c r="K86" s="8" t="s">
        <v>149</v>
      </c>
      <c r="L86" s="24">
        <v>334</v>
      </c>
      <c r="M86" s="20" t="str">
        <f ca="1">VLOOKUP($L86,OFFSET([3]enemies!$A$1,0,0,COUNTA([3]enemies!$A:$A),MATCH(M$1,[3]enemies!$1:$1,0)-MATCH($L$1,[3]enemies!$1:$1,0)+1),MATCH(M$1,[3]enemies!$1:$1,0)-MATCH($L$1,[3]enemies!$1:$1,0)+1,FALSE)</f>
        <v>炎のメタルダック</v>
      </c>
      <c r="N86" s="20" t="str">
        <f ca="1">VLOOKUP($L86,OFFSET([3]enemies!$A$1,0,0,COUNTA([3]enemies!$A:$A),MATCH(N$1,[3]enemies!$1:$1,0)-MATCH($L$1,[3]enemies!$1:$1,0)+1),MATCH(N$1,[3]enemies!$1:$1,0)-MATCH($L$1,[3]enemies!$1:$1,0)+1,FALSE)</f>
        <v>red</v>
      </c>
      <c r="O86" s="20" t="str">
        <f ca="1">VLOOKUP($L86,OFFSET([4]characters!$A$1,0,0,COUNTA([4]characters!$A:$A),MATCH(O$1,[4]characters!$1:$1,0)-MATCH($L$1,[4]characters!$1:$1,0)+1),MATCH(O$1,[4]characters!$1:$1,0)-MATCH($L$1,[4]characters!$1:$1,0)+1,FALSE)</f>
        <v>Material</v>
      </c>
      <c r="P86" s="20" t="str">
        <f ca="1">VLOOKUP($L86,OFFSET([3]enemies!$A$1,0,0,COUNTA([3]enemies!$A:$A),MATCH(P$1,[3]enemies!$1:$1,0)-MATCH($L$1,[3]enemies!$1:$1,0)+1),MATCH(P$1,[3]enemies!$1:$1,0)-MATCH($L$1,[3]enemies!$1:$1,0)+1,FALSE)</f>
        <v>unknown</v>
      </c>
      <c r="Q86" s="20">
        <f ca="1">VLOOKUP($L86,OFFSET([3]enemies!$A$1,0,0,COUNTA([3]enemies!$A:$A),MATCH(Q$1,[3]enemies!$1:$1,0)-MATCH($L$1,[3]enemies!$1:$1,0)+1),MATCH(Q$1,[3]enemies!$1:$1,0)-MATCH($L$1,[3]enemies!$1:$1,0)+1,FALSE)</f>
        <v>20</v>
      </c>
      <c r="R86" s="8">
        <v>10</v>
      </c>
      <c r="S86" s="30">
        <v>0.5</v>
      </c>
      <c r="T86" s="30">
        <v>50</v>
      </c>
      <c r="U86" s="6">
        <v>-13000</v>
      </c>
      <c r="V86" s="5" t="str">
        <f ca="1">VLOOKUP($W86,OFFSET([5]enemy_skill_sets!$B$1,0,0,COUNTA([5]enemy_skill_sets!$B:$B),MATCH(M$1,[5]enemy_skill_sets!$1:$1,0)-MATCH($W$1,[5]enemy_skill_sets!$1:$1,0)+2),MATCH(M$1,[5]enemy_skill_sets!$1:$1,0)-MATCH($W$1,[5]enemy_skill_sets!$1:$1,0)+2,FALSE)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6" s="5">
        <f ca="1">VLOOKUP($L86,OFFSET([3]enemies!$A$1,0,0,COUNTA([3]enemies!$A:$A),MATCH(W$1,[3]enemies!$1:$1,0)-MATCH($L$1,[3]enemies!$1:$1,0)+1),MATCH(W$1,[3]enemies!$1:$1,0)-MATCH($L$1,[3]enemies!$1:$1,0)+1,FALSE)</f>
        <v>0</v>
      </c>
      <c r="X86" s="7">
        <v>0</v>
      </c>
      <c r="Y86" s="7">
        <v>22</v>
      </c>
      <c r="Z86" s="7">
        <v>1</v>
      </c>
      <c r="AA86" s="60">
        <v>2</v>
      </c>
      <c r="AB86" s="2">
        <f t="shared" si="28"/>
        <v>334</v>
      </c>
      <c r="AC86" s="5" t="str">
        <f ca="1">VLOOKUP($AB86,OFFSET([4]characters!$A$1,0,0,COUNTA([4]characters!$A:$A),MATCH(AC$1,[4]characters!$1:$1,0)-MATCH("character_id",[4]characters!$1:$1,0)+1),MATCH(AC$1,[4]characters!$1:$1,0)-MATCH("character_id",[4]characters!$1:$1,0)+1,FALSE)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86" s="5">
        <f ca="1">VLOOKUP($AB86,OFFSET([4]characters!$A$1,0,0,COUNTA([4]characters!$A:$A),MATCH(AD$1,[4]characters!$1:$1,0)-MATCH("character_id",[4]characters!$1:$1,0)+1),MATCH(AD$1,[4]characters!$1:$1,0)-MATCH("character_id",[4]characters!$1:$1,0)+1,FALSE)</f>
        <v>5</v>
      </c>
      <c r="AE86" s="5" t="str">
        <f ca="1">VLOOKUP($AB86,OFFSET([4]characters!$A$1,0,0,COUNTA([4]characters!$A:$A),MATCH(AE$1,[4]characters!$1:$1,0)-MATCH("character_id",[4]characters!$1:$1,0)+1),MATCH(AE$1,[4]characters!$1:$1,0)-MATCH("character_id",[4]characters!$1:$1,0)+1,FALSE)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6" s="8">
        <v>1</v>
      </c>
      <c r="AG86" s="28">
        <f t="shared" ref="AG86:AG89" ca="1" si="52">AD86</f>
        <v>5</v>
      </c>
      <c r="AH86" s="9">
        <v>100</v>
      </c>
      <c r="AI86" s="8">
        <v>0</v>
      </c>
      <c r="AJ86" s="8">
        <v>0</v>
      </c>
      <c r="AK86" s="8">
        <v>0</v>
      </c>
      <c r="AL86" s="8">
        <v>0</v>
      </c>
      <c r="AM86" s="8">
        <v>1</v>
      </c>
    </row>
    <row r="87" spans="1:39" ht="21" customHeight="1" x14ac:dyDescent="0.15">
      <c r="A87" s="17" t="str">
        <f t="shared" si="34"/>
        <v>12001_3-5/338&lt;lv10&gt;s2</v>
      </c>
      <c r="B87" s="26">
        <v>12001</v>
      </c>
      <c r="C87" s="25">
        <v>3</v>
      </c>
      <c r="D87" s="2" t="str">
        <f t="shared" si="51"/>
        <v>12001_3</v>
      </c>
      <c r="E87" s="5" t="str">
        <f ca="1">VLOOKUP($B87,OFFSET([2]quests!$A$1,0,0,COUNTA([2]quests!$A:$A),MATCH(E$1,[2]quests!$1:$1,0)-MATCH($B$1,[2]quests!$1:$1,0)+1),MATCH(E$1,[2]quests!$1:$1,0)-MATCH($B$1,[2]quests!$1:$1,0)+1,FALSE)</f>
        <v>【緊急！！】 アヒル捕獲作戦</v>
      </c>
      <c r="F87" s="5" t="str">
        <f ca="1">VLOOKUP($D87,OFFSET([2]stages!$A$1,0,0,COUNTA([2]stages!$A:$A),MATCH(F$1,[2]stages!$2:$2,0)-MATCH($D$1,[2]stages!$2:$2,0)+1),MATCH(F$1,[2]stages!$2:$2,0)-MATCH($D$1,[2]stages!$2:$2,0)+1,FALSE)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7" s="25">
        <v>5</v>
      </c>
      <c r="H87" s="16" t="str">
        <f t="shared" si="35"/>
        <v>12001_3-5</v>
      </c>
      <c r="I87" s="5">
        <f ca="1">VLOOKUP($H87,OFFSET(floors!$A$1,0,0,COUNTA(floors!$A:$A),MATCH(I$1,floors!$1:$1,0)-MATCH($H$1,floors!$1:$1,0)+1),MATCH(I$1,floors!$1:$1,0)-MATCH($H$1,floors!$1:$1,0)+1,FALSE)</f>
        <v>60</v>
      </c>
      <c r="J87" s="5">
        <f ca="1">VLOOKUP($H87,OFFSET(floors!$A$1,0,0,COUNTA(floors!$A:$A),MATCH(J$1,floors!$1:$1,0)-MATCH($H$1,floors!$1:$1,0)+1),MATCH(J$1,floors!$1:$1,0)-MATCH($H$1,floors!$1:$1,0)+1,FALSE)</f>
        <v>60</v>
      </c>
      <c r="K87" s="8" t="s">
        <v>149</v>
      </c>
      <c r="L87" s="24">
        <v>338</v>
      </c>
      <c r="M87" s="20" t="str">
        <f ca="1">VLOOKUP($L87,OFFSET([3]enemies!$A$1,0,0,COUNTA([3]enemies!$A:$A),MATCH(M$1,[3]enemies!$1:$1,0)-MATCH($L$1,[3]enemies!$1:$1,0)+1),MATCH(M$1,[3]enemies!$1:$1,0)-MATCH($L$1,[3]enemies!$1:$1,0)+1,FALSE)</f>
        <v>森のメタルダック</v>
      </c>
      <c r="N87" s="20" t="str">
        <f ca="1">VLOOKUP($L87,OFFSET([3]enemies!$A$1,0,0,COUNTA([3]enemies!$A:$A),MATCH(N$1,[3]enemies!$1:$1,0)-MATCH($L$1,[3]enemies!$1:$1,0)+1),MATCH(N$1,[3]enemies!$1:$1,0)-MATCH($L$1,[3]enemies!$1:$1,0)+1,FALSE)</f>
        <v>green</v>
      </c>
      <c r="O87" s="20" t="str">
        <f ca="1">VLOOKUP($L87,OFFSET([4]characters!$A$1,0,0,COUNTA([4]characters!$A:$A),MATCH(O$1,[4]characters!$1:$1,0)-MATCH($L$1,[4]characters!$1:$1,0)+1),MATCH(O$1,[4]characters!$1:$1,0)-MATCH($L$1,[4]characters!$1:$1,0)+1,FALSE)</f>
        <v>Material</v>
      </c>
      <c r="P87" s="20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20">
        <f ca="1">VLOOKUP($L87,OFFSET([3]enemies!$A$1,0,0,COUNTA([3]enemies!$A:$A),MATCH(Q$1,[3]enemies!$1:$1,0)-MATCH($L$1,[3]enemies!$1:$1,0)+1),MATCH(Q$1,[3]enemies!$1:$1,0)-MATCH($L$1,[3]enemies!$1:$1,0)+1,FALSE)</f>
        <v>20</v>
      </c>
      <c r="R87" s="8">
        <v>10</v>
      </c>
      <c r="S87" s="30">
        <v>0.5</v>
      </c>
      <c r="T87" s="30">
        <v>50</v>
      </c>
      <c r="U87" s="6">
        <v>-13000</v>
      </c>
      <c r="V87" s="5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5">
        <f ca="1">VLOOKUP($L87,OFFSET([3]enemies!$A$1,0,0,COUNTA([3]enemies!$A:$A),MATCH(W$1,[3]enemies!$1:$1,0)-MATCH($L$1,[3]enemies!$1:$1,0)+1),MATCH(W$1,[3]enemies!$1:$1,0)-MATCH($L$1,[3]enemies!$1:$1,0)+1,FALSE)</f>
        <v>0</v>
      </c>
      <c r="X87" s="7">
        <v>0</v>
      </c>
      <c r="Y87" s="7">
        <v>22</v>
      </c>
      <c r="Z87" s="7">
        <v>1</v>
      </c>
      <c r="AA87" s="60">
        <v>2</v>
      </c>
      <c r="AB87" s="2">
        <f t="shared" si="28"/>
        <v>338</v>
      </c>
      <c r="AC87" s="5" t="str">
        <f ca="1">VLOOKUP($AB87,OFFSET([4]characters!$A$1,0,0,COUNTA([4]characters!$A:$A),MATCH(AC$1,[4]characters!$1:$1,0)-MATCH("character_id",[4]characters!$1:$1,0)+1),MATCH(AC$1,[4]characters!$1:$1,0)-MATCH("character_id",[4]characters!$1:$1,0)+1,FALSE)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87" s="5">
        <f ca="1">VLOOKUP($AB87,OFFSET([4]characters!$A$1,0,0,COUNTA([4]characters!$A:$A),MATCH(AD$1,[4]characters!$1:$1,0)-MATCH("character_id",[4]characters!$1:$1,0)+1),MATCH(AD$1,[4]characters!$1:$1,0)-MATCH("character_id",[4]characters!$1:$1,0)+1,FALSE)</f>
        <v>5</v>
      </c>
      <c r="AE87" s="5" t="str">
        <f ca="1">VLOOKUP($AB87,OFFSET([4]characters!$A$1,0,0,COUNTA([4]characters!$A:$A),MATCH(AE$1,[4]characters!$1:$1,0)-MATCH("character_id",[4]characters!$1:$1,0)+1),MATCH(AE$1,[4]characters!$1:$1,0)-MATCH("character_id",[4]characters!$1:$1,0)+1,FALSE)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7" s="8">
        <v>1</v>
      </c>
      <c r="AG87" s="28">
        <f t="shared" ca="1" si="52"/>
        <v>5</v>
      </c>
      <c r="AH87" s="9">
        <v>100</v>
      </c>
      <c r="AI87" s="8">
        <v>0</v>
      </c>
      <c r="AJ87" s="8">
        <v>0</v>
      </c>
      <c r="AK87" s="8">
        <v>0</v>
      </c>
      <c r="AL87" s="8">
        <v>0</v>
      </c>
      <c r="AM87" s="8">
        <v>1</v>
      </c>
    </row>
    <row r="88" spans="1:39" ht="21" customHeight="1" x14ac:dyDescent="0.15">
      <c r="A88" s="17" t="str">
        <f t="shared" si="34"/>
        <v>12001_3-5/342&lt;lv10&gt;s2</v>
      </c>
      <c r="B88" s="26">
        <v>12001</v>
      </c>
      <c r="C88" s="25">
        <v>3</v>
      </c>
      <c r="D88" s="2" t="str">
        <f t="shared" si="51"/>
        <v>12001_3</v>
      </c>
      <c r="E88" s="5" t="str">
        <f ca="1">VLOOKUP($B88,OFFSET([2]quests!$A$1,0,0,COUNTA([2]quests!$A:$A),MATCH(E$1,[2]quests!$1:$1,0)-MATCH($B$1,[2]quests!$1:$1,0)+1),MATCH(E$1,[2]quests!$1:$1,0)-MATCH($B$1,[2]quests!$1:$1,0)+1,FALSE)</f>
        <v>【緊急！！】 アヒル捕獲作戦</v>
      </c>
      <c r="F88" s="5" t="str">
        <f ca="1">VLOOKUP($D88,OFFSET([2]stages!$A$1,0,0,COUNTA([2]stages!$A:$A),MATCH(F$1,[2]stages!$2:$2,0)-MATCH($D$1,[2]stages!$2:$2,0)+1),MATCH(F$1,[2]stages!$2:$2,0)-MATCH($D$1,[2]stages!$2:$2,0)+1,FALSE)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8" s="25">
        <v>5</v>
      </c>
      <c r="H88" s="16" t="str">
        <f t="shared" si="35"/>
        <v>12001_3-5</v>
      </c>
      <c r="I88" s="5">
        <f ca="1">VLOOKUP($H88,OFFSET(floors!$A$1,0,0,COUNTA(floors!$A:$A),MATCH(I$1,floors!$1:$1,0)-MATCH($H$1,floors!$1:$1,0)+1),MATCH(I$1,floors!$1:$1,0)-MATCH($H$1,floors!$1:$1,0)+1,FALSE)</f>
        <v>60</v>
      </c>
      <c r="J88" s="5">
        <f ca="1">VLOOKUP($H88,OFFSET(floors!$A$1,0,0,COUNTA(floors!$A:$A),MATCH(J$1,floors!$1:$1,0)-MATCH($H$1,floors!$1:$1,0)+1),MATCH(J$1,floors!$1:$1,0)-MATCH($H$1,floors!$1:$1,0)+1,FALSE)</f>
        <v>60</v>
      </c>
      <c r="K88" s="8" t="s">
        <v>149</v>
      </c>
      <c r="L88" s="24">
        <v>342</v>
      </c>
      <c r="M88" s="20" t="str">
        <f ca="1">VLOOKUP($L88,OFFSET([3]enemies!$A$1,0,0,COUNTA([3]enemies!$A:$A),MATCH(M$1,[3]enemies!$1:$1,0)-MATCH($L$1,[3]enemies!$1:$1,0)+1),MATCH(M$1,[3]enemies!$1:$1,0)-MATCH($L$1,[3]enemies!$1:$1,0)+1,FALSE)</f>
        <v>水のメタルダック</v>
      </c>
      <c r="N88" s="20" t="str">
        <f ca="1">VLOOKUP($L88,OFFSET([3]enemies!$A$1,0,0,COUNTA([3]enemies!$A:$A),MATCH(N$1,[3]enemies!$1:$1,0)-MATCH($L$1,[3]enemies!$1:$1,0)+1),MATCH(N$1,[3]enemies!$1:$1,0)-MATCH($L$1,[3]enemies!$1:$1,0)+1,FALSE)</f>
        <v>blue</v>
      </c>
      <c r="O88" s="20" t="str">
        <f ca="1">VLOOKUP($L88,OFFSET([4]characters!$A$1,0,0,COUNTA([4]characters!$A:$A),MATCH(O$1,[4]characters!$1:$1,0)-MATCH($L$1,[4]characters!$1:$1,0)+1),MATCH(O$1,[4]characters!$1:$1,0)-MATCH($L$1,[4]characters!$1:$1,0)+1,FALSE)</f>
        <v>Material</v>
      </c>
      <c r="P88" s="20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20">
        <f ca="1">VLOOKUP($L88,OFFSET([3]enemies!$A$1,0,0,COUNTA([3]enemies!$A:$A),MATCH(Q$1,[3]enemies!$1:$1,0)-MATCH($L$1,[3]enemies!$1:$1,0)+1),MATCH(Q$1,[3]enemies!$1:$1,0)-MATCH($L$1,[3]enemies!$1:$1,0)+1,FALSE)</f>
        <v>20</v>
      </c>
      <c r="R88" s="8">
        <v>10</v>
      </c>
      <c r="S88" s="30">
        <v>0.5</v>
      </c>
      <c r="T88" s="30">
        <v>50</v>
      </c>
      <c r="U88" s="6">
        <v>-13000</v>
      </c>
      <c r="V88" s="5" t="str">
        <f ca="1">VLOOKUP($W88,OFFSET([5]enemy_skill_sets!$B$1,0,0,COUNTA([5]enemy_skill_sets!$B:$B),MATCH(M$1,[5]enemy_skill_sets!$1:$1,0)-MATCH($W$1,[5]enemy_skill_sets!$1:$1,0)+2),MATCH(M$1,[5]enemy_skill_sets!$1:$1,0)-MATCH($W$1,[5]enemy_skill_sets!$1:$1,0)+2,FALSE)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8" s="5">
        <f ca="1">VLOOKUP($L88,OFFSET([3]enemies!$A$1,0,0,COUNTA([3]enemies!$A:$A),MATCH(W$1,[3]enemies!$1:$1,0)-MATCH($L$1,[3]enemies!$1:$1,0)+1),MATCH(W$1,[3]enemies!$1:$1,0)-MATCH($L$1,[3]enemies!$1:$1,0)+1,FALSE)</f>
        <v>0</v>
      </c>
      <c r="X88" s="7">
        <v>0</v>
      </c>
      <c r="Y88" s="7">
        <v>22</v>
      </c>
      <c r="Z88" s="7">
        <v>1</v>
      </c>
      <c r="AA88" s="60">
        <v>2</v>
      </c>
      <c r="AB88" s="2">
        <f t="shared" si="28"/>
        <v>342</v>
      </c>
      <c r="AC88" s="5" t="str">
        <f ca="1">VLOOKUP($AB88,OFFSET([4]characters!$A$1,0,0,COUNTA([4]characters!$A:$A),MATCH(AC$1,[4]characters!$1:$1,0)-MATCH("character_id",[4]characters!$1:$1,0)+1),MATCH(AC$1,[4]characters!$1:$1,0)-MATCH("character_id",[4]characters!$1:$1,0)+1,FALSE)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8" s="5">
        <f ca="1">VLOOKUP($AB88,OFFSET([4]characters!$A$1,0,0,COUNTA([4]characters!$A:$A),MATCH(AD$1,[4]characters!$1:$1,0)-MATCH("character_id",[4]characters!$1:$1,0)+1),MATCH(AD$1,[4]characters!$1:$1,0)-MATCH("character_id",[4]characters!$1:$1,0)+1,FALSE)</f>
        <v>5</v>
      </c>
      <c r="AE88" s="5" t="str">
        <f ca="1">VLOOKUP($AB88,OFFSET([4]characters!$A$1,0,0,COUNTA([4]characters!$A:$A),MATCH(AE$1,[4]characters!$1:$1,0)-MATCH("character_id",[4]characters!$1:$1,0)+1),MATCH(AE$1,[4]characters!$1:$1,0)-MATCH("character_id",[4]characters!$1:$1,0)+1,FALSE)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8" s="8">
        <v>1</v>
      </c>
      <c r="AG88" s="28">
        <f t="shared" ca="1" si="52"/>
        <v>5</v>
      </c>
      <c r="AH88" s="9">
        <v>100</v>
      </c>
      <c r="AI88" s="8">
        <v>0</v>
      </c>
      <c r="AJ88" s="8">
        <v>0</v>
      </c>
      <c r="AK88" s="8">
        <v>0</v>
      </c>
      <c r="AL88" s="8">
        <v>0</v>
      </c>
      <c r="AM88" s="8">
        <v>1</v>
      </c>
    </row>
    <row r="89" spans="1:39" ht="21" customHeight="1" x14ac:dyDescent="0.15">
      <c r="A89" s="17" t="str">
        <f t="shared" si="34"/>
        <v>12001_3-5/346&lt;lv10&gt;s2</v>
      </c>
      <c r="B89" s="26">
        <v>12001</v>
      </c>
      <c r="C89" s="25">
        <v>3</v>
      </c>
      <c r="D89" s="2" t="str">
        <f t="shared" si="51"/>
        <v>12001_3</v>
      </c>
      <c r="E89" s="5" t="str">
        <f ca="1">VLOOKUP($B89,OFFSET([2]quests!$A$1,0,0,COUNTA([2]quests!$A:$A),MATCH(E$1,[2]quests!$1:$1,0)-MATCH($B$1,[2]quests!$1:$1,0)+1),MATCH(E$1,[2]quests!$1:$1,0)-MATCH($B$1,[2]quests!$1:$1,0)+1,FALSE)</f>
        <v>【緊急！！】 アヒル捕獲作戦</v>
      </c>
      <c r="F89" s="5" t="str">
        <f ca="1">VLOOKUP($D89,OFFSET([2]stages!$A$1,0,0,COUNTA([2]stages!$A:$A),MATCH(F$1,[2]stages!$2:$2,0)-MATCH($D$1,[2]stages!$2:$2,0)+1),MATCH(F$1,[2]stages!$2:$2,0)-MATCH($D$1,[2]stages!$2:$2,0)+1,FALSE)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89" s="25">
        <v>5</v>
      </c>
      <c r="H89" s="16" t="str">
        <f t="shared" si="35"/>
        <v>12001_3-5</v>
      </c>
      <c r="I89" s="5">
        <f ca="1">VLOOKUP($H89,OFFSET(floors!$A$1,0,0,COUNTA(floors!$A:$A),MATCH(I$1,floors!$1:$1,0)-MATCH($H$1,floors!$1:$1,0)+1),MATCH(I$1,floors!$1:$1,0)-MATCH($H$1,floors!$1:$1,0)+1,FALSE)</f>
        <v>60</v>
      </c>
      <c r="J89" s="5">
        <f ca="1">VLOOKUP($H89,OFFSET(floors!$A$1,0,0,COUNTA(floors!$A:$A),MATCH(J$1,floors!$1:$1,0)-MATCH($H$1,floors!$1:$1,0)+1),MATCH(J$1,floors!$1:$1,0)-MATCH($H$1,floors!$1:$1,0)+1,FALSE)</f>
        <v>60</v>
      </c>
      <c r="K89" s="8" t="s">
        <v>149</v>
      </c>
      <c r="L89" s="24">
        <v>346</v>
      </c>
      <c r="M89" s="20" t="str">
        <f ca="1">VLOOKUP($L89,OFFSET([3]enemies!$A$1,0,0,COUNTA([3]enemies!$A:$A),MATCH(M$1,[3]enemies!$1:$1,0)-MATCH($L$1,[3]enemies!$1:$1,0)+1),MATCH(M$1,[3]enemies!$1:$1,0)-MATCH($L$1,[3]enemies!$1:$1,0)+1,FALSE)</f>
        <v>雷のメタルダック</v>
      </c>
      <c r="N89" s="20" t="str">
        <f ca="1">VLOOKUP($L89,OFFSET([3]enemies!$A$1,0,0,COUNTA([3]enemies!$A:$A),MATCH(N$1,[3]enemies!$1:$1,0)-MATCH($L$1,[3]enemies!$1:$1,0)+1),MATCH(N$1,[3]enemies!$1:$1,0)-MATCH($L$1,[3]enemies!$1:$1,0)+1,FALSE)</f>
        <v>yellow</v>
      </c>
      <c r="O89" s="20" t="str">
        <f ca="1">VLOOKUP($L89,OFFSET([4]characters!$A$1,0,0,COUNTA([4]characters!$A:$A),MATCH(O$1,[4]characters!$1:$1,0)-MATCH($L$1,[4]characters!$1:$1,0)+1),MATCH(O$1,[4]characters!$1:$1,0)-MATCH($L$1,[4]characters!$1:$1,0)+1,FALSE)</f>
        <v>Material</v>
      </c>
      <c r="P89" s="20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20">
        <f ca="1">VLOOKUP($L89,OFFSET([3]enemies!$A$1,0,0,COUNTA([3]enemies!$A:$A),MATCH(Q$1,[3]enemies!$1:$1,0)-MATCH($L$1,[3]enemies!$1:$1,0)+1),MATCH(Q$1,[3]enemies!$1:$1,0)-MATCH($L$1,[3]enemies!$1:$1,0)+1,FALSE)</f>
        <v>20</v>
      </c>
      <c r="R89" s="8">
        <v>10</v>
      </c>
      <c r="S89" s="30">
        <v>0.5</v>
      </c>
      <c r="T89" s="30">
        <v>50</v>
      </c>
      <c r="U89" s="6">
        <v>-13000</v>
      </c>
      <c r="V89" s="5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9" s="5">
        <f ca="1">VLOOKUP($L89,OFFSET([3]enemies!$A$1,0,0,COUNTA([3]enemies!$A:$A),MATCH(W$1,[3]enemies!$1:$1,0)-MATCH($L$1,[3]enemies!$1:$1,0)+1),MATCH(W$1,[3]enemies!$1:$1,0)-MATCH($L$1,[3]enemies!$1:$1,0)+1,FALSE)</f>
        <v>0</v>
      </c>
      <c r="X89" s="7">
        <v>0</v>
      </c>
      <c r="Y89" s="7">
        <v>22</v>
      </c>
      <c r="Z89" s="7">
        <v>1</v>
      </c>
      <c r="AA89" s="60">
        <v>2</v>
      </c>
      <c r="AB89" s="2">
        <f t="shared" si="28"/>
        <v>346</v>
      </c>
      <c r="AC89" s="5" t="str">
        <f ca="1">VLOOKUP($AB89,OFFSET([4]characters!$A$1,0,0,COUNTA([4]characters!$A:$A),MATCH(AC$1,[4]characters!$1:$1,0)-MATCH("character_id",[4]characters!$1:$1,0)+1),MATCH(AC$1,[4]characters!$1:$1,0)-MATCH("character_id",[4]characters!$1:$1,0)+1,FALSE)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89" s="5">
        <f ca="1">VLOOKUP($AB89,OFFSET([4]characters!$A$1,0,0,COUNTA([4]characters!$A:$A),MATCH(AD$1,[4]characters!$1:$1,0)-MATCH("character_id",[4]characters!$1:$1,0)+1),MATCH(AD$1,[4]characters!$1:$1,0)-MATCH("character_id",[4]characters!$1:$1,0)+1,FALSE)</f>
        <v>5</v>
      </c>
      <c r="AE89" s="5" t="str">
        <f ca="1">VLOOKUP($AB89,OFFSET([4]characters!$A$1,0,0,COUNTA([4]characters!$A:$A),MATCH(AE$1,[4]characters!$1:$1,0)-MATCH("character_id",[4]characters!$1:$1,0)+1),MATCH(AE$1,[4]characters!$1:$1,0)-MATCH("character_id",[4]characters!$1:$1,0)+1,FALSE)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9" s="8">
        <v>1</v>
      </c>
      <c r="AG89" s="28">
        <f t="shared" ca="1" si="52"/>
        <v>5</v>
      </c>
      <c r="AH89" s="9">
        <v>100</v>
      </c>
      <c r="AI89" s="8">
        <v>0</v>
      </c>
      <c r="AJ89" s="8">
        <v>0</v>
      </c>
      <c r="AK89" s="8">
        <v>0</v>
      </c>
      <c r="AL89" s="8">
        <v>0</v>
      </c>
      <c r="AM89" s="8">
        <v>1</v>
      </c>
    </row>
    <row r="90" spans="1:39" ht="21" customHeight="1" x14ac:dyDescent="0.15">
      <c r="A90" s="17" t="str">
        <f t="shared" ref="A90:A93" si="53">B90&amp;"_"&amp;C90&amp;"-"&amp;G90&amp;"/"&amp;L90&amp;"&lt;lv"&amp;R90&amp;"&gt;s"&amp;AA90</f>
        <v>12001_3-5/335&lt;lv10&gt;s3</v>
      </c>
      <c r="B90" s="26">
        <v>12001</v>
      </c>
      <c r="C90" s="25">
        <v>3</v>
      </c>
      <c r="D90" s="2" t="str">
        <f t="shared" ref="D90:D93" si="54">B90&amp;"_"&amp;C90</f>
        <v>12001_3</v>
      </c>
      <c r="E90" s="5" t="str">
        <f ca="1">VLOOKUP($B90,OFFSET([2]quests!$A$1,0,0,COUNTA([2]quests!$A:$A),MATCH(E$1,[2]quests!$1:$1,0)-MATCH($B$1,[2]quests!$1:$1,0)+1),MATCH(E$1,[2]quests!$1:$1,0)-MATCH($B$1,[2]quests!$1:$1,0)+1,FALSE)</f>
        <v>【緊急！！】 アヒル捕獲作戦</v>
      </c>
      <c r="F90" s="5" t="str">
        <f ca="1">VLOOKUP($D90,OFFSET([2]stages!$A$1,0,0,COUNTA([2]stages!$A:$A),MATCH(F$1,[2]stages!$2:$2,0)-MATCH($D$1,[2]stages!$2:$2,0)+1),MATCH(F$1,[2]stages!$2:$2,0)-MATCH($D$1,[2]stages!$2:$2,0)+1,FALSE)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90" s="25">
        <v>5</v>
      </c>
      <c r="H90" s="16" t="str">
        <f t="shared" ref="H90:H93" si="55">B90&amp;"_"&amp;C90&amp;"-"&amp;G90</f>
        <v>12001_3-5</v>
      </c>
      <c r="I90" s="5">
        <f ca="1">VLOOKUP($H90,OFFSET(floors!$A$1,0,0,COUNTA(floors!$A:$A),MATCH(I$1,floors!$1:$1,0)-MATCH($H$1,floors!$1:$1,0)+1),MATCH(I$1,floors!$1:$1,0)-MATCH($H$1,floors!$1:$1,0)+1,FALSE)</f>
        <v>60</v>
      </c>
      <c r="J90" s="5">
        <f ca="1">VLOOKUP($H90,OFFSET(floors!$A$1,0,0,COUNTA(floors!$A:$A),MATCH(J$1,floors!$1:$1,0)-MATCH($H$1,floors!$1:$1,0)+1),MATCH(J$1,floors!$1:$1,0)-MATCH($H$1,floors!$1:$1,0)+1,FALSE)</f>
        <v>60</v>
      </c>
      <c r="K90" s="8" t="s">
        <v>147</v>
      </c>
      <c r="L90" s="24">
        <v>335</v>
      </c>
      <c r="M90" s="20" t="str">
        <f ca="1">VLOOKUP($L90,OFFSET([3]enemies!$A$1,0,0,COUNTA([3]enemies!$A:$A),MATCH(M$1,[3]enemies!$1:$1,0)-MATCH($L$1,[3]enemies!$1:$1,0)+1),MATCH(M$1,[3]enemies!$1:$1,0)-MATCH($L$1,[3]enemies!$1:$1,0)+1,FALSE)</f>
        <v>炎のメタルジェントル</v>
      </c>
      <c r="N90" s="20" t="str">
        <f ca="1">VLOOKUP($L90,OFFSET([3]enemies!$A$1,0,0,COUNTA([3]enemies!$A:$A),MATCH(N$1,[3]enemies!$1:$1,0)-MATCH($L$1,[3]enemies!$1:$1,0)+1),MATCH(N$1,[3]enemies!$1:$1,0)-MATCH($L$1,[3]enemies!$1:$1,0)+1,FALSE)</f>
        <v>red</v>
      </c>
      <c r="O90" s="20" t="str">
        <f ca="1">VLOOKUP($L90,OFFSET([4]characters!$A$1,0,0,COUNTA([4]characters!$A:$A),MATCH(O$1,[4]characters!$1:$1,0)-MATCH($L$1,[4]characters!$1:$1,0)+1),MATCH(O$1,[4]characters!$1:$1,0)-MATCH($L$1,[4]characters!$1:$1,0)+1,FALSE)</f>
        <v>Material</v>
      </c>
      <c r="P90" s="20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20">
        <f ca="1">VLOOKUP($L90,OFFSET([3]enemies!$A$1,0,0,COUNTA([3]enemies!$A:$A),MATCH(Q$1,[3]enemies!$1:$1,0)-MATCH($L$1,[3]enemies!$1:$1,0)+1),MATCH(Q$1,[3]enemies!$1:$1,0)-MATCH($L$1,[3]enemies!$1:$1,0)+1,FALSE)</f>
        <v>20</v>
      </c>
      <c r="R90" s="8">
        <v>10</v>
      </c>
      <c r="S90" s="30">
        <v>0.3</v>
      </c>
      <c r="T90" s="30">
        <v>60</v>
      </c>
      <c r="U90" s="6">
        <v>-22000</v>
      </c>
      <c r="V90" s="5" t="str">
        <f ca="1">VLOOKUP($W90,OFFSET(enemy_skill_sets!$B$1,0,0,COUNTA(enemy_skill_sets!$B:$B),MATCH(M$1,enemy_skill_sets!$1:$1,0)-MATCH($W$1,enemy_skill_sets!$1:$1,0)+2),MATCH(M$1,enemy_skill_sets!$1:$1,0)-MATCH($W$1,enemy_skill_sets!$1:$1,0)+2,FALSE)</f>
        <v>なんと、メタルジェントルがあらわれた！</v>
      </c>
      <c r="W90" s="54">
        <v>12001350</v>
      </c>
      <c r="X90" s="7">
        <v>0</v>
      </c>
      <c r="Y90" s="7">
        <v>3</v>
      </c>
      <c r="Z90" s="7">
        <v>1</v>
      </c>
      <c r="AA90" s="60">
        <v>3</v>
      </c>
      <c r="AB90" s="2">
        <f t="shared" ref="AB90:AB93" si="56">L90</f>
        <v>335</v>
      </c>
      <c r="AC90" s="5" t="str">
        <f ca="1">VLOOKUP($AB90,OFFSET([4]characters!$A$1,0,0,COUNTA([4]characters!$A:$A),MATCH(AC$1,[4]characters!$1:$1,0)-MATCH("character_id",[4]characters!$1:$1,0)+1),MATCH(AC$1,[4]characters!$1:$1,0)-MATCH("character_id",[4]characters!$1:$1,0)+1,FALSE)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90" s="5">
        <f ca="1">VLOOKUP($AB90,OFFSET([4]characters!$A$1,0,0,COUNTA([4]characters!$A:$A),MATCH(AD$1,[4]characters!$1:$1,0)-MATCH("character_id",[4]characters!$1:$1,0)+1),MATCH(AD$1,[4]characters!$1:$1,0)-MATCH("character_id",[4]characters!$1:$1,0)+1,FALSE)</f>
        <v>6</v>
      </c>
      <c r="AE90" s="5" t="str">
        <f ca="1">VLOOKUP($AB90,OFFSET([4]characters!$A$1,0,0,COUNTA([4]characters!$A:$A),MATCH(AE$1,[4]characters!$1:$1,0)-MATCH("character_id",[4]characters!$1:$1,0)+1),MATCH(AE$1,[4]characters!$1:$1,0)-MATCH("character_id",[4]characters!$1:$1,0)+1,FALSE)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0" s="8">
        <v>1</v>
      </c>
      <c r="AG90" s="28">
        <f t="shared" ref="AG90:AG93" ca="1" si="57">AD90</f>
        <v>6</v>
      </c>
      <c r="AH90" s="9">
        <v>100</v>
      </c>
      <c r="AI90" s="8">
        <v>0</v>
      </c>
      <c r="AJ90" s="8">
        <v>0</v>
      </c>
      <c r="AK90" s="8">
        <v>0</v>
      </c>
      <c r="AL90" s="8">
        <v>0</v>
      </c>
      <c r="AM90" s="8">
        <v>1</v>
      </c>
    </row>
    <row r="91" spans="1:39" ht="21" customHeight="1" x14ac:dyDescent="0.15">
      <c r="A91" s="17" t="str">
        <f t="shared" si="53"/>
        <v>12001_3-5/339&lt;lv10&gt;s3</v>
      </c>
      <c r="B91" s="26">
        <v>12001</v>
      </c>
      <c r="C91" s="25">
        <v>3</v>
      </c>
      <c r="D91" s="2" t="str">
        <f t="shared" si="54"/>
        <v>12001_3</v>
      </c>
      <c r="E91" s="5" t="str">
        <f ca="1">VLOOKUP($B91,OFFSET([2]quests!$A$1,0,0,COUNTA([2]quests!$A:$A),MATCH(E$1,[2]quests!$1:$1,0)-MATCH($B$1,[2]quests!$1:$1,0)+1),MATCH(E$1,[2]quests!$1:$1,0)-MATCH($B$1,[2]quests!$1:$1,0)+1,FALSE)</f>
        <v>【緊急！！】 アヒル捕獲作戦</v>
      </c>
      <c r="F91" s="5" t="str">
        <f ca="1">VLOOKUP($D91,OFFSET([2]stages!$A$1,0,0,COUNTA([2]stages!$A:$A),MATCH(F$1,[2]stages!$2:$2,0)-MATCH($D$1,[2]stages!$2:$2,0)+1),MATCH(F$1,[2]stages!$2:$2,0)-MATCH($D$1,[2]stages!$2:$2,0)+1,FALSE)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91" s="25">
        <v>5</v>
      </c>
      <c r="H91" s="16" t="str">
        <f t="shared" si="55"/>
        <v>12001_3-5</v>
      </c>
      <c r="I91" s="5">
        <f ca="1">VLOOKUP($H91,OFFSET(floors!$A$1,0,0,COUNTA(floors!$A:$A),MATCH(I$1,floors!$1:$1,0)-MATCH($H$1,floors!$1:$1,0)+1),MATCH(I$1,floors!$1:$1,0)-MATCH($H$1,floors!$1:$1,0)+1,FALSE)</f>
        <v>60</v>
      </c>
      <c r="J91" s="5">
        <f ca="1">VLOOKUP($H91,OFFSET(floors!$A$1,0,0,COUNTA(floors!$A:$A),MATCH(J$1,floors!$1:$1,0)-MATCH($H$1,floors!$1:$1,0)+1),MATCH(J$1,floors!$1:$1,0)-MATCH($H$1,floors!$1:$1,0)+1,FALSE)</f>
        <v>60</v>
      </c>
      <c r="K91" s="8" t="s">
        <v>147</v>
      </c>
      <c r="L91" s="24">
        <v>339</v>
      </c>
      <c r="M91" s="20" t="str">
        <f ca="1">VLOOKUP($L91,OFFSET([3]enemies!$A$1,0,0,COUNTA([3]enemies!$A:$A),MATCH(M$1,[3]enemies!$1:$1,0)-MATCH($L$1,[3]enemies!$1:$1,0)+1),MATCH(M$1,[3]enemies!$1:$1,0)-MATCH($L$1,[3]enemies!$1:$1,0)+1,FALSE)</f>
        <v>森のメタルジェントル</v>
      </c>
      <c r="N91" s="20" t="str">
        <f ca="1">VLOOKUP($L91,OFFSET([3]enemies!$A$1,0,0,COUNTA([3]enemies!$A:$A),MATCH(N$1,[3]enemies!$1:$1,0)-MATCH($L$1,[3]enemies!$1:$1,0)+1),MATCH(N$1,[3]enemies!$1:$1,0)-MATCH($L$1,[3]enemies!$1:$1,0)+1,FALSE)</f>
        <v>green</v>
      </c>
      <c r="O91" s="20" t="str">
        <f ca="1">VLOOKUP($L91,OFFSET([4]characters!$A$1,0,0,COUNTA([4]characters!$A:$A),MATCH(O$1,[4]characters!$1:$1,0)-MATCH($L$1,[4]characters!$1:$1,0)+1),MATCH(O$1,[4]characters!$1:$1,0)-MATCH($L$1,[4]characters!$1:$1,0)+1,FALSE)</f>
        <v>Material</v>
      </c>
      <c r="P91" s="20" t="str">
        <f ca="1">VLOOKUP($L91,OFFSET([3]enemies!$A$1,0,0,COUNTA([3]enemies!$A:$A),MATCH(P$1,[3]enemies!$1:$1,0)-MATCH($L$1,[3]enemies!$1:$1,0)+1),MATCH(P$1,[3]enemies!$1:$1,0)-MATCH($L$1,[3]enemies!$1:$1,0)+1,FALSE)</f>
        <v>unknown</v>
      </c>
      <c r="Q91" s="20">
        <f ca="1">VLOOKUP($L91,OFFSET([3]enemies!$A$1,0,0,COUNTA([3]enemies!$A:$A),MATCH(Q$1,[3]enemies!$1:$1,0)-MATCH($L$1,[3]enemies!$1:$1,0)+1),MATCH(Q$1,[3]enemies!$1:$1,0)-MATCH($L$1,[3]enemies!$1:$1,0)+1,FALSE)</f>
        <v>20</v>
      </c>
      <c r="R91" s="8">
        <v>10</v>
      </c>
      <c r="S91" s="30">
        <v>0.3</v>
      </c>
      <c r="T91" s="30">
        <v>60</v>
      </c>
      <c r="U91" s="6">
        <v>-22000</v>
      </c>
      <c r="V91" s="5" t="str">
        <f ca="1">VLOOKUP($W91,OFFSET(enemy_skill_sets!$B$1,0,0,COUNTA(enemy_skill_sets!$B:$B),MATCH(M$1,enemy_skill_sets!$1:$1,0)-MATCH($W$1,enemy_skill_sets!$1:$1,0)+2),MATCH(M$1,enemy_skill_sets!$1:$1,0)-MATCH($W$1,enemy_skill_sets!$1:$1,0)+2,FALSE)</f>
        <v>なんと、メタルジェントルがあらわれた！</v>
      </c>
      <c r="W91" s="54">
        <v>12001350</v>
      </c>
      <c r="X91" s="7">
        <v>0</v>
      </c>
      <c r="Y91" s="7">
        <v>3</v>
      </c>
      <c r="Z91" s="7">
        <v>1</v>
      </c>
      <c r="AA91" s="60">
        <v>3</v>
      </c>
      <c r="AB91" s="2">
        <f t="shared" si="56"/>
        <v>339</v>
      </c>
      <c r="AC91" s="5" t="str">
        <f ca="1">VLOOKUP($AB91,OFFSET([4]characters!$A$1,0,0,COUNTA([4]characters!$A:$A),MATCH(AC$1,[4]characters!$1:$1,0)-MATCH("character_id",[4]characters!$1:$1,0)+1),MATCH(AC$1,[4]characters!$1:$1,0)-MATCH("character_id",[4]characters!$1:$1,0)+1,FALSE)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91" s="5">
        <f ca="1">VLOOKUP($AB91,OFFSET([4]characters!$A$1,0,0,COUNTA([4]characters!$A:$A),MATCH(AD$1,[4]characters!$1:$1,0)-MATCH("character_id",[4]characters!$1:$1,0)+1),MATCH(AD$1,[4]characters!$1:$1,0)-MATCH("character_id",[4]characters!$1:$1,0)+1,FALSE)</f>
        <v>6</v>
      </c>
      <c r="AE91" s="5" t="str">
        <f ca="1">VLOOKUP($AB91,OFFSET([4]characters!$A$1,0,0,COUNTA([4]characters!$A:$A),MATCH(AE$1,[4]characters!$1:$1,0)-MATCH("character_id",[4]characters!$1:$1,0)+1),MATCH(AE$1,[4]characters!$1:$1,0)-MATCH("character_id",[4]characters!$1:$1,0)+1,FALSE)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1" s="8">
        <v>1</v>
      </c>
      <c r="AG91" s="28">
        <f t="shared" ca="1" si="57"/>
        <v>6</v>
      </c>
      <c r="AH91" s="9">
        <v>100</v>
      </c>
      <c r="AI91" s="8">
        <v>0</v>
      </c>
      <c r="AJ91" s="8">
        <v>0</v>
      </c>
      <c r="AK91" s="8">
        <v>0</v>
      </c>
      <c r="AL91" s="8">
        <v>0</v>
      </c>
      <c r="AM91" s="8">
        <v>1</v>
      </c>
    </row>
    <row r="92" spans="1:39" ht="21" customHeight="1" x14ac:dyDescent="0.15">
      <c r="A92" s="17" t="str">
        <f t="shared" si="53"/>
        <v>12001_3-5/343&lt;lv10&gt;s3</v>
      </c>
      <c r="B92" s="26">
        <v>12001</v>
      </c>
      <c r="C92" s="25">
        <v>3</v>
      </c>
      <c r="D92" s="2" t="str">
        <f t="shared" si="54"/>
        <v>12001_3</v>
      </c>
      <c r="E92" s="5" t="str">
        <f ca="1">VLOOKUP($B92,OFFSET([2]quests!$A$1,0,0,COUNTA([2]quests!$A:$A),MATCH(E$1,[2]quests!$1:$1,0)-MATCH($B$1,[2]quests!$1:$1,0)+1),MATCH(E$1,[2]quests!$1:$1,0)-MATCH($B$1,[2]quests!$1:$1,0)+1,FALSE)</f>
        <v>【緊急！！】 アヒル捕獲作戦</v>
      </c>
      <c r="F92" s="5" t="str">
        <f ca="1">VLOOKUP($D92,OFFSET([2]stages!$A$1,0,0,COUNTA([2]stages!$A:$A),MATCH(F$1,[2]stages!$2:$2,0)-MATCH($D$1,[2]stages!$2:$2,0)+1),MATCH(F$1,[2]stages!$2:$2,0)-MATCH($D$1,[2]stages!$2:$2,0)+1,FALSE)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92" s="25">
        <v>5</v>
      </c>
      <c r="H92" s="16" t="str">
        <f t="shared" si="55"/>
        <v>12001_3-5</v>
      </c>
      <c r="I92" s="5">
        <f ca="1">VLOOKUP($H92,OFFSET(floors!$A$1,0,0,COUNTA(floors!$A:$A),MATCH(I$1,floors!$1:$1,0)-MATCH($H$1,floors!$1:$1,0)+1),MATCH(I$1,floors!$1:$1,0)-MATCH($H$1,floors!$1:$1,0)+1,FALSE)</f>
        <v>60</v>
      </c>
      <c r="J92" s="5">
        <f ca="1">VLOOKUP($H92,OFFSET(floors!$A$1,0,0,COUNTA(floors!$A:$A),MATCH(J$1,floors!$1:$1,0)-MATCH($H$1,floors!$1:$1,0)+1),MATCH(J$1,floors!$1:$1,0)-MATCH($H$1,floors!$1:$1,0)+1,FALSE)</f>
        <v>60</v>
      </c>
      <c r="K92" s="8" t="s">
        <v>147</v>
      </c>
      <c r="L92" s="24">
        <v>343</v>
      </c>
      <c r="M92" s="20" t="str">
        <f ca="1">VLOOKUP($L92,OFFSET([3]enemies!$A$1,0,0,COUNTA([3]enemies!$A:$A),MATCH(M$1,[3]enemies!$1:$1,0)-MATCH($L$1,[3]enemies!$1:$1,0)+1),MATCH(M$1,[3]enemies!$1:$1,0)-MATCH($L$1,[3]enemies!$1:$1,0)+1,FALSE)</f>
        <v>水のメタルジェントル</v>
      </c>
      <c r="N92" s="20" t="str">
        <f ca="1">VLOOKUP($L92,OFFSET([3]enemies!$A$1,0,0,COUNTA([3]enemies!$A:$A),MATCH(N$1,[3]enemies!$1:$1,0)-MATCH($L$1,[3]enemies!$1:$1,0)+1),MATCH(N$1,[3]enemies!$1:$1,0)-MATCH($L$1,[3]enemies!$1:$1,0)+1,FALSE)</f>
        <v>blue</v>
      </c>
      <c r="O92" s="20" t="str">
        <f ca="1">VLOOKUP($L92,OFFSET([4]characters!$A$1,0,0,COUNTA([4]characters!$A:$A),MATCH(O$1,[4]characters!$1:$1,0)-MATCH($L$1,[4]characters!$1:$1,0)+1),MATCH(O$1,[4]characters!$1:$1,0)-MATCH($L$1,[4]characters!$1:$1,0)+1,FALSE)</f>
        <v>Material</v>
      </c>
      <c r="P92" s="20" t="str">
        <f ca="1">VLOOKUP($L92,OFFSET([3]enemies!$A$1,0,0,COUNTA([3]enemies!$A:$A),MATCH(P$1,[3]enemies!$1:$1,0)-MATCH($L$1,[3]enemies!$1:$1,0)+1),MATCH(P$1,[3]enemies!$1:$1,0)-MATCH($L$1,[3]enemies!$1:$1,0)+1,FALSE)</f>
        <v>unknown</v>
      </c>
      <c r="Q92" s="20">
        <f ca="1">VLOOKUP($L92,OFFSET([3]enemies!$A$1,0,0,COUNTA([3]enemies!$A:$A),MATCH(Q$1,[3]enemies!$1:$1,0)-MATCH($L$1,[3]enemies!$1:$1,0)+1),MATCH(Q$1,[3]enemies!$1:$1,0)-MATCH($L$1,[3]enemies!$1:$1,0)+1,FALSE)</f>
        <v>20</v>
      </c>
      <c r="R92" s="8">
        <v>10</v>
      </c>
      <c r="S92" s="30">
        <v>0.3</v>
      </c>
      <c r="T92" s="30">
        <v>60</v>
      </c>
      <c r="U92" s="6">
        <v>-22000</v>
      </c>
      <c r="V92" s="5" t="str">
        <f ca="1">VLOOKUP($W92,OFFSET(enemy_skill_sets!$B$1,0,0,COUNTA(enemy_skill_sets!$B:$B),MATCH(M$1,enemy_skill_sets!$1:$1,0)-MATCH($W$1,enemy_skill_sets!$1:$1,0)+2),MATCH(M$1,enemy_skill_sets!$1:$1,0)-MATCH($W$1,enemy_skill_sets!$1:$1,0)+2,FALSE)</f>
        <v>なんと、メタルジェントルがあらわれた！</v>
      </c>
      <c r="W92" s="54">
        <v>12001350</v>
      </c>
      <c r="X92" s="7">
        <v>0</v>
      </c>
      <c r="Y92" s="7">
        <v>3</v>
      </c>
      <c r="Z92" s="7">
        <v>1</v>
      </c>
      <c r="AA92" s="60">
        <v>3</v>
      </c>
      <c r="AB92" s="2">
        <f t="shared" si="56"/>
        <v>343</v>
      </c>
      <c r="AC92" s="5" t="str">
        <f ca="1">VLOOKUP($AB92,OFFSET([4]characters!$A$1,0,0,COUNTA([4]characters!$A:$A),MATCH(AC$1,[4]characters!$1:$1,0)-MATCH("character_id",[4]characters!$1:$1,0)+1),MATCH(AC$1,[4]characters!$1:$1,0)-MATCH("character_id",[4]characters!$1:$1,0)+1,FALSE)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92" s="5">
        <f ca="1">VLOOKUP($AB92,OFFSET([4]characters!$A$1,0,0,COUNTA([4]characters!$A:$A),MATCH(AD$1,[4]characters!$1:$1,0)-MATCH("character_id",[4]characters!$1:$1,0)+1),MATCH(AD$1,[4]characters!$1:$1,0)-MATCH("character_id",[4]characters!$1:$1,0)+1,FALSE)</f>
        <v>6</v>
      </c>
      <c r="AE92" s="5" t="str">
        <f ca="1">VLOOKUP($AB92,OFFSET([4]characters!$A$1,0,0,COUNTA([4]characters!$A:$A),MATCH(AE$1,[4]characters!$1:$1,0)-MATCH("character_id",[4]characters!$1:$1,0)+1),MATCH(AE$1,[4]characters!$1:$1,0)-MATCH("character_id",[4]characters!$1:$1,0)+1,FALSE)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2" s="8">
        <v>1</v>
      </c>
      <c r="AG92" s="28">
        <f t="shared" ca="1" si="57"/>
        <v>6</v>
      </c>
      <c r="AH92" s="9">
        <v>100</v>
      </c>
      <c r="AI92" s="8">
        <v>0</v>
      </c>
      <c r="AJ92" s="8">
        <v>0</v>
      </c>
      <c r="AK92" s="8">
        <v>0</v>
      </c>
      <c r="AL92" s="8">
        <v>0</v>
      </c>
      <c r="AM92" s="8">
        <v>1</v>
      </c>
    </row>
    <row r="93" spans="1:39" ht="21" customHeight="1" x14ac:dyDescent="0.15">
      <c r="A93" s="17" t="str">
        <f t="shared" si="53"/>
        <v>12001_3-5/347&lt;lv10&gt;s3</v>
      </c>
      <c r="B93" s="26">
        <v>12001</v>
      </c>
      <c r="C93" s="25">
        <v>3</v>
      </c>
      <c r="D93" s="2" t="str">
        <f t="shared" si="54"/>
        <v>12001_3</v>
      </c>
      <c r="E93" s="5" t="str">
        <f ca="1">VLOOKUP($B93,OFFSET([2]quests!$A$1,0,0,COUNTA([2]quests!$A:$A),MATCH(E$1,[2]quests!$1:$1,0)-MATCH($B$1,[2]quests!$1:$1,0)+1),MATCH(E$1,[2]quests!$1:$1,0)-MATCH($B$1,[2]quests!$1:$1,0)+1,FALSE)</f>
        <v>【緊急！！】 アヒル捕獲作戦</v>
      </c>
      <c r="F93" s="5" t="str">
        <f ca="1">VLOOKUP($D93,OFFSET([2]stages!$A$1,0,0,COUNTA([2]stages!$A:$A),MATCH(F$1,[2]stages!$2:$2,0)-MATCH($D$1,[2]stages!$2:$2,0)+1),MATCH(F$1,[2]stages!$2:$2,0)-MATCH($D$1,[2]stages!$2:$2,0)+1,FALSE)</f>
        <v xml:space="preserve">【超級】メタルダックを捕獲せよ！ </v>
      </c>
      <c r="G93" s="25">
        <v>5</v>
      </c>
      <c r="H93" s="16" t="str">
        <f t="shared" si="55"/>
        <v>12001_3-5</v>
      </c>
      <c r="I93" s="5">
        <f ca="1">VLOOKUP($H93,OFFSET(floors!$A$1,0,0,COUNTA(floors!$A:$A),MATCH(I$1,floors!$1:$1,0)-MATCH($H$1,floors!$1:$1,0)+1),MATCH(I$1,floors!$1:$1,0)-MATCH($H$1,floors!$1:$1,0)+1,FALSE)</f>
        <v>60</v>
      </c>
      <c r="J93" s="5">
        <f ca="1">VLOOKUP($H93,OFFSET(floors!$A$1,0,0,COUNTA(floors!$A:$A),MATCH(J$1,floors!$1:$1,0)-MATCH($H$1,floors!$1:$1,0)+1),MATCH(J$1,floors!$1:$1,0)-MATCH($H$1,floors!$1:$1,0)+1,FALSE)</f>
        <v>60</v>
      </c>
      <c r="K93" s="8" t="s">
        <v>147</v>
      </c>
      <c r="L93" s="24">
        <v>347</v>
      </c>
      <c r="M93" s="20" t="str">
        <f ca="1">VLOOKUP($L93,OFFSET([3]enemies!$A$1,0,0,COUNTA([3]enemies!$A:$A),MATCH(M$1,[3]enemies!$1:$1,0)-MATCH($L$1,[3]enemies!$1:$1,0)+1),MATCH(M$1,[3]enemies!$1:$1,0)-MATCH($L$1,[3]enemies!$1:$1,0)+1,FALSE)</f>
        <v>雷のメタルジェントル</v>
      </c>
      <c r="N93" s="20" t="str">
        <f ca="1">VLOOKUP($L93,OFFSET([3]enemies!$A$1,0,0,COUNTA([3]enemies!$A:$A),MATCH(N$1,[3]enemies!$1:$1,0)-MATCH($L$1,[3]enemies!$1:$1,0)+1),MATCH(N$1,[3]enemies!$1:$1,0)-MATCH($L$1,[3]enemies!$1:$1,0)+1,FALSE)</f>
        <v>yellow</v>
      </c>
      <c r="O93" s="20" t="str">
        <f ca="1">VLOOKUP($L93,OFFSET([4]characters!$A$1,0,0,COUNTA([4]characters!$A:$A),MATCH(O$1,[4]characters!$1:$1,0)-MATCH($L$1,[4]characters!$1:$1,0)+1),MATCH(O$1,[4]characters!$1:$1,0)-MATCH($L$1,[4]characters!$1:$1,0)+1,FALSE)</f>
        <v>Material</v>
      </c>
      <c r="P93" s="20" t="str">
        <f ca="1">VLOOKUP($L93,OFFSET([3]enemies!$A$1,0,0,COUNTA([3]enemies!$A:$A),MATCH(P$1,[3]enemies!$1:$1,0)-MATCH($L$1,[3]enemies!$1:$1,0)+1),MATCH(P$1,[3]enemies!$1:$1,0)-MATCH($L$1,[3]enemies!$1:$1,0)+1,FALSE)</f>
        <v>unknown</v>
      </c>
      <c r="Q93" s="20">
        <f ca="1">VLOOKUP($L93,OFFSET([3]enemies!$A$1,0,0,COUNTA([3]enemies!$A:$A),MATCH(Q$1,[3]enemies!$1:$1,0)-MATCH($L$1,[3]enemies!$1:$1,0)+1),MATCH(Q$1,[3]enemies!$1:$1,0)-MATCH($L$1,[3]enemies!$1:$1,0)+1,FALSE)</f>
        <v>20</v>
      </c>
      <c r="R93" s="8">
        <v>10</v>
      </c>
      <c r="S93" s="30">
        <v>0.3</v>
      </c>
      <c r="T93" s="30">
        <v>60</v>
      </c>
      <c r="U93" s="6">
        <v>-22000</v>
      </c>
      <c r="V93" s="5" t="str">
        <f ca="1">VLOOKUP($W93,OFFSET(enemy_skill_sets!$B$1,0,0,COUNTA(enemy_skill_sets!$B:$B),MATCH(M$1,enemy_skill_sets!$1:$1,0)-MATCH($W$1,enemy_skill_sets!$1:$1,0)+2),MATCH(M$1,enemy_skill_sets!$1:$1,0)-MATCH($W$1,enemy_skill_sets!$1:$1,0)+2,FALSE)</f>
        <v>なんと、メタルジェントルがあらわれた！</v>
      </c>
      <c r="W93" s="54">
        <v>12001350</v>
      </c>
      <c r="X93" s="7">
        <v>0</v>
      </c>
      <c r="Y93" s="7">
        <v>3</v>
      </c>
      <c r="Z93" s="7">
        <v>1</v>
      </c>
      <c r="AA93" s="60">
        <v>3</v>
      </c>
      <c r="AB93" s="2">
        <f t="shared" si="56"/>
        <v>347</v>
      </c>
      <c r="AC93" s="5" t="str">
        <f ca="1">VLOOKUP($AB93,OFFSET([4]characters!$A$1,0,0,COUNTA([4]characters!$A:$A),MATCH(AC$1,[4]characters!$1:$1,0)-MATCH("character_id",[4]characters!$1:$1,0)+1),MATCH(AC$1,[4]characters!$1:$1,0)-MATCH("character_id",[4]characters!$1:$1,0)+1,FALSE)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93" s="5">
        <f ca="1">VLOOKUP($AB93,OFFSET([4]characters!$A$1,0,0,COUNTA([4]characters!$A:$A),MATCH(AD$1,[4]characters!$1:$1,0)-MATCH("character_id",[4]characters!$1:$1,0)+1),MATCH(AD$1,[4]characters!$1:$1,0)-MATCH("character_id",[4]characters!$1:$1,0)+1,FALSE)</f>
        <v>6</v>
      </c>
      <c r="AE93" s="5" t="str">
        <f ca="1">VLOOKUP($AB93,OFFSET([4]characters!$A$1,0,0,COUNTA([4]characters!$A:$A),MATCH(AE$1,[4]characters!$1:$1,0)-MATCH("character_id",[4]characters!$1:$1,0)+1),MATCH(AE$1,[4]characters!$1:$1,0)-MATCH("character_id",[4]characters!$1:$1,0)+1,FALSE)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3" s="8">
        <v>1</v>
      </c>
      <c r="AG93" s="28">
        <f t="shared" ca="1" si="57"/>
        <v>6</v>
      </c>
      <c r="AH93" s="9">
        <v>100</v>
      </c>
      <c r="AI93" s="8">
        <v>0</v>
      </c>
      <c r="AJ93" s="8">
        <v>0</v>
      </c>
      <c r="AK93" s="8">
        <v>0</v>
      </c>
      <c r="AL93" s="8">
        <v>0</v>
      </c>
      <c r="AM93" s="8">
        <v>1</v>
      </c>
    </row>
  </sheetData>
  <sheetProtection selectLockedCells="1" selectUnlockedCells="1"/>
  <autoFilter ref="B1:AH57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B2" sqref="B2:C2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12.16406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0" style="4" bestFit="1" customWidth="1"/>
    <col min="24" max="24" width="12.1640625" style="4" bestFit="1" customWidth="1" outlineLevel="1"/>
    <col min="25" max="25" width="9.33203125" style="4" bestFit="1" customWidth="1"/>
    <col min="26" max="16384" width="13" style="4"/>
  </cols>
  <sheetData>
    <row r="1" spans="1:25" s="43" customFormat="1" ht="21" customHeight="1" x14ac:dyDescent="0.15">
      <c r="A1" s="38" t="s">
        <v>106</v>
      </c>
      <c r="B1" s="29" t="s">
        <v>0</v>
      </c>
      <c r="C1" s="29" t="s">
        <v>1</v>
      </c>
      <c r="D1" s="39" t="s">
        <v>107</v>
      </c>
      <c r="E1" s="39" t="s">
        <v>108</v>
      </c>
      <c r="F1" s="39" t="s">
        <v>109</v>
      </c>
      <c r="G1" s="29" t="s">
        <v>110</v>
      </c>
      <c r="H1" s="39" t="s">
        <v>111</v>
      </c>
      <c r="I1" s="39" t="s">
        <v>14</v>
      </c>
      <c r="J1" s="39" t="s">
        <v>15</v>
      </c>
      <c r="K1" s="40" t="s">
        <v>112</v>
      </c>
      <c r="L1" s="40" t="s">
        <v>113</v>
      </c>
      <c r="M1" s="40" t="s">
        <v>2</v>
      </c>
      <c r="N1" s="41" t="s">
        <v>109</v>
      </c>
      <c r="O1" s="39" t="s">
        <v>114</v>
      </c>
      <c r="P1" s="39" t="s">
        <v>115</v>
      </c>
      <c r="Q1" s="42" t="s">
        <v>116</v>
      </c>
      <c r="R1" s="39" t="s">
        <v>24</v>
      </c>
      <c r="S1" s="29" t="s">
        <v>3</v>
      </c>
      <c r="T1" s="29" t="s">
        <v>47</v>
      </c>
      <c r="U1" s="29" t="s">
        <v>48</v>
      </c>
      <c r="V1" s="29" t="s">
        <v>49</v>
      </c>
      <c r="W1" s="29" t="s">
        <v>73</v>
      </c>
      <c r="X1" s="39" t="s">
        <v>30</v>
      </c>
      <c r="Y1" s="29" t="s">
        <v>8</v>
      </c>
    </row>
    <row r="2" spans="1:25" ht="21" customHeight="1" x14ac:dyDescent="0.15">
      <c r="A2" s="17" t="str">
        <f t="shared" ref="A2" si="0">B2&amp;"_"&amp;C2&amp;"-"&amp;G2&amp;"/"&amp;M2&amp;"&lt;lv"&amp;S2&amp;"&gt;sq"&amp;K2&amp;"st"&amp;L2</f>
        <v>12001_1-1/334&lt;lv10&gt;sq1st2</v>
      </c>
      <c r="B2" s="26">
        <v>12001</v>
      </c>
      <c r="C2" s="44">
        <v>1</v>
      </c>
      <c r="D2" s="2" t="str">
        <f t="shared" ref="D2" si="1">B2&amp;"_"&amp;C2</f>
        <v>12001_1</v>
      </c>
      <c r="E2" s="5" t="str">
        <f ca="1">VLOOKUP($B2,OFFSET([2]quests!$A$1,0,0,COUNTA([2]quests!$A:$A),MATCH(E$1,[2]quests!$1:$1,0)-MATCH($B$1,[2]quests!$1:$1,0)+1),MATCH(E$1,[2]quests!$1:$1,0)-MATCH($B$1,[2]quests!$1:$1,0)+1,FALSE)</f>
        <v>【緊急！！】 アヒル捕獲作戦</v>
      </c>
      <c r="F2" s="5" t="str">
        <f ca="1">VLOOKUP($D2,OFFSET([2]stages!$A$1,0,0,COUNTA([2]stages!$A:$A),MATCH(F$1,[2]stages!$2:$2,0)-MATCH($D$1,[2]stages!$2:$2,0)+1),MATCH(F$1,[2]stages!$2:$2,0)-MATCH($D$1,[2]stages!$2:$2,0)+1,FALSE)</f>
        <v xml:space="preserve">【初級】メタルダックを捕獲せよ！ </v>
      </c>
      <c r="G2" s="44">
        <v>1</v>
      </c>
      <c r="H2" s="16" t="str">
        <f t="shared" ref="H2" si="2">B2&amp;"_"&amp;C2&amp;"-"&amp;G2</f>
        <v>12001_1-1</v>
      </c>
      <c r="I2" s="5">
        <f ca="1">VLOOKUP($H2,OFFSET(floors!$A$1,0,0,COUNTA(floors!$A:$A),MATCH(I$1,floors!$1:$1,0)-MATCH($H$1,floors!$1:$1,0)+1),MATCH(I$1,floors!$1:$1,0)-MATCH($H$1,floors!$1:$1,0)+1,FALSE)</f>
        <v>60</v>
      </c>
      <c r="J2" s="5">
        <f ca="1">VLOOKUP($H2,OFFSET(floors!$A$1,0,0,COUNTA(floors!$A:$A),MATCH(J$1,floors!$1:$1,0)-MATCH($H$1,floors!$1:$1,0)+1),MATCH(J$1,floors!$1:$1,0)-MATCH($H$1,floors!$1:$1,0)+1,FALSE)</f>
        <v>60</v>
      </c>
      <c r="K2" s="45">
        <v>1</v>
      </c>
      <c r="L2" s="45">
        <v>2</v>
      </c>
      <c r="M2" s="46">
        <v>334</v>
      </c>
      <c r="N2" s="20" t="str">
        <f ca="1">VLOOKUP($M2,OFFSET([3]enemies!$A$1,0,0,COUNTA([3]enemies!$A:$A),MATCH(N$1,[3]enemies!$1:$1,0)-MATCH($M$1,[3]enemies!$1:$1,0)+1),MATCH(N$1,[3]enemies!$1:$1,0)-MATCH($M$1,[3]enemies!$1:$1,0)+1,FALSE)</f>
        <v>炎のメタルダック</v>
      </c>
      <c r="O2" s="20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20" t="str">
        <f ca="1">VLOOKUP($M2,OFFSET([4]characters!$A$1,0,0,COUNTA([4]characters!$A:$A),MATCH(P$1,[4]characters!$1:$1,0)-MATCH($M$1,[4]characters!$1:$1,0)+1),MATCH(P$1,[4]characters!$1:$1,0)-MATCH($M$1,[4]characters!$1:$1,0)+1,FALSE)</f>
        <v>Material</v>
      </c>
      <c r="Q2" s="20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20">
        <f ca="1">VLOOKUP($M2,OFFSET([3]enemies!$A$1,0,0,COUNTA([3]enemies!$A:$A),MATCH(R$1,[3]enemies!$1:$1,0)-MATCH($M$1,[3]enemies!$1:$1,0)+1),MATCH(R$1,[3]enemies!$1:$1,0)-MATCH($M$1,[3]enemies!$1:$1,0)+1,FALSE)</f>
        <v>20</v>
      </c>
      <c r="S2" s="6">
        <v>10</v>
      </c>
      <c r="T2" s="30">
        <v>0.5</v>
      </c>
      <c r="U2" s="30">
        <v>99</v>
      </c>
      <c r="V2" s="6">
        <v>-16889</v>
      </c>
      <c r="W2" s="59">
        <v>12001111</v>
      </c>
      <c r="X2" s="5" t="e">
        <f ca="1">VLOOKUP($W2,OFFSET(enemy_skill_sets!$B$1,0,0,COUNTA(enemy_skill_sets!$B:$B),MATCH("name",enemy_skill_sets!$1:$1,0)-MATCH($W$1,enemy_skill_sets!$1:$1,0)+2),MATCH("name",enemy_skill_sets!$1:$1,0)-MATCH($W$1,enemy_skill_sets!$1:$1,0)+2,FALSE)</f>
        <v>#N/A</v>
      </c>
      <c r="Y2" s="59">
        <v>2</v>
      </c>
    </row>
  </sheetData>
  <sheetProtection selectLockedCells="1" selectUnlockedCells="1"/>
  <autoFilter ref="B1:Y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2"/>
  <sheetViews>
    <sheetView showGridLines="0" zoomScale="75" zoomScaleNormal="75" zoomScalePageLayoutView="75" workbookViewId="0">
      <pane xSplit="5" ySplit="1" topLeftCell="F2" activePane="bottomRight" state="frozen"/>
      <selection activeCell="E25" sqref="E25"/>
      <selection pane="topRight" activeCell="E25" sqref="E25"/>
      <selection pane="bottomLeft" activeCell="E25" sqref="E25"/>
      <selection pane="bottomRight" activeCell="B2" sqref="B2"/>
    </sheetView>
  </sheetViews>
  <sheetFormatPr baseColWidth="12" defaultColWidth="12.83203125" defaultRowHeight="21" customHeight="1" outlineLevelCol="1" x14ac:dyDescent="0.15"/>
  <cols>
    <col min="1" max="1" width="11.33203125" style="47" bestFit="1" customWidth="1"/>
    <col min="2" max="2" width="14" style="56" bestFit="1" customWidth="1"/>
    <col min="3" max="3" width="11.1640625" style="56" bestFit="1" customWidth="1"/>
    <col min="4" max="4" width="30.1640625" style="56" customWidth="1" outlineLevel="1"/>
    <col min="5" max="5" width="44.1640625" style="56" bestFit="1" customWidth="1" outlineLevel="1"/>
    <col min="6" max="6" width="10.83203125" style="56" bestFit="1" customWidth="1"/>
    <col min="7" max="7" width="9.5" style="56" customWidth="1" outlineLevel="1"/>
    <col min="8" max="9" width="12.83203125" style="56" customWidth="1" outlineLevel="1"/>
    <col min="10" max="10" width="17.6640625" style="56" customWidth="1" outlineLevel="1"/>
    <col min="11" max="16" width="12.83203125" style="56" customWidth="1" outlineLevel="1"/>
    <col min="17" max="18" width="13.6640625" style="53" bestFit="1" customWidth="1"/>
    <col min="19" max="19" width="56.5" style="53" bestFit="1" customWidth="1"/>
    <col min="20" max="16384" width="12.83203125" style="53"/>
  </cols>
  <sheetData>
    <row r="1" spans="1:19" ht="21" customHeight="1" x14ac:dyDescent="0.15">
      <c r="A1" s="47" t="s">
        <v>117</v>
      </c>
      <c r="B1" s="48" t="s">
        <v>118</v>
      </c>
      <c r="C1" s="48" t="s">
        <v>119</v>
      </c>
      <c r="D1" s="49" t="s">
        <v>120</v>
      </c>
      <c r="E1" s="49" t="s">
        <v>121</v>
      </c>
      <c r="F1" s="50" t="s">
        <v>122</v>
      </c>
      <c r="G1" s="51" t="s">
        <v>123</v>
      </c>
      <c r="H1" s="51" t="s">
        <v>105</v>
      </c>
      <c r="I1" s="51" t="s">
        <v>124</v>
      </c>
      <c r="J1" s="51" t="s">
        <v>125</v>
      </c>
      <c r="K1" s="52" t="s">
        <v>126</v>
      </c>
      <c r="L1" s="52" t="s">
        <v>127</v>
      </c>
      <c r="M1" s="51" t="s">
        <v>128</v>
      </c>
      <c r="N1" s="51" t="s">
        <v>129</v>
      </c>
      <c r="O1" s="51" t="s">
        <v>153</v>
      </c>
      <c r="P1" s="51" t="s">
        <v>130</v>
      </c>
      <c r="Q1" s="49" t="s">
        <v>131</v>
      </c>
      <c r="R1" s="49" t="s">
        <v>132</v>
      </c>
      <c r="S1" s="49" t="s">
        <v>133</v>
      </c>
    </row>
    <row r="2" spans="1:19" ht="21" customHeight="1" x14ac:dyDescent="0.15">
      <c r="A2" s="47" t="str">
        <f t="shared" ref="A2" si="0">B2&amp;"_"&amp;C2</f>
        <v>12001350_12001350</v>
      </c>
      <c r="B2" s="54">
        <v>12001350</v>
      </c>
      <c r="C2" s="54">
        <v>12001350</v>
      </c>
      <c r="D2" s="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登場するとこ 間違えたグワッ！ Σ(ﾟДﾟ)</v>
      </c>
      <c r="E2" s="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なんと、メタルジェントルがあらわれた！</v>
      </c>
      <c r="F2" s="54">
        <v>12001350</v>
      </c>
      <c r="G2" s="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5" t="str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" s="5">
        <f ca="1">VLOOKUP($F2,OFFSET(enemy_skill_triggers!$A$1,0,0,COUNTA(enemy_skill_triggers!$A:$A),MATCH(P$1,enemy_skill_triggers!$1:$1,0)-MATCH($F$1,enemy_skill_triggers!$1:$1,0)+1),MATCH(P$1,enemy_skill_triggers!$1:$1,0)-MATCH($F$1,enemy_skill_triggers!$1:$1,0)+1,FALSE)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" s="54"/>
      <c r="R2" s="54"/>
      <c r="S2" s="54"/>
    </row>
  </sheetData>
  <autoFilter ref="A1:S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2"/>
  <sheetViews>
    <sheetView showGridLines="0" tabSelected="1" zoomScale="75" zoomScaleNormal="75" zoomScalePageLayoutView="75" workbookViewId="0">
      <pane ySplit="1" topLeftCell="A2" activePane="bottomLeft" state="frozenSplit"/>
      <selection activeCell="E25" sqref="E25"/>
      <selection pane="bottomLeft" activeCell="E3" sqref="E3"/>
    </sheetView>
  </sheetViews>
  <sheetFormatPr baseColWidth="12" defaultColWidth="12.83203125" defaultRowHeight="21" customHeight="1" x14ac:dyDescent="0.15"/>
  <cols>
    <col min="1" max="1" width="12.83203125" style="56"/>
    <col min="2" max="2" width="67.1640625" style="56" customWidth="1"/>
    <col min="3" max="4" width="12.83203125" style="56"/>
    <col min="5" max="5" width="35" style="56" customWidth="1"/>
    <col min="6" max="6" width="44.1640625" style="56" bestFit="1" customWidth="1"/>
    <col min="7" max="8" width="12.83203125" style="56"/>
    <col min="9" max="9" width="44.5" style="56" customWidth="1"/>
    <col min="10" max="16384" width="12.83203125" style="56"/>
  </cols>
  <sheetData>
    <row r="1" spans="1:9" ht="21" customHeight="1" x14ac:dyDescent="0.15">
      <c r="A1" s="48" t="s">
        <v>84</v>
      </c>
      <c r="B1" s="48" t="s">
        <v>134</v>
      </c>
      <c r="C1" s="48" t="s">
        <v>86</v>
      </c>
      <c r="D1" s="48" t="s">
        <v>135</v>
      </c>
      <c r="E1" s="48" t="s">
        <v>136</v>
      </c>
      <c r="F1" s="48" t="s">
        <v>137</v>
      </c>
      <c r="G1" s="49" t="s">
        <v>131</v>
      </c>
      <c r="H1" s="49" t="s">
        <v>132</v>
      </c>
      <c r="I1" s="49" t="s">
        <v>133</v>
      </c>
    </row>
    <row r="2" spans="1:9" ht="21" customHeight="1" x14ac:dyDescent="0.15">
      <c r="A2" s="54">
        <v>12001350</v>
      </c>
      <c r="B2" s="54" t="s">
        <v>165</v>
      </c>
      <c r="C2" s="61">
        <v>3</v>
      </c>
      <c r="D2" s="61" t="s">
        <v>138</v>
      </c>
      <c r="E2" s="62" t="s">
        <v>166</v>
      </c>
      <c r="F2" s="62" t="s">
        <v>164</v>
      </c>
      <c r="G2" s="61" t="s">
        <v>151</v>
      </c>
      <c r="H2" s="63"/>
      <c r="I2" s="61"/>
    </row>
  </sheetData>
  <autoFilter ref="A1:I1"/>
  <phoneticPr fontId="4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2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I18" sqref="I18"/>
    </sheetView>
  </sheetViews>
  <sheetFormatPr baseColWidth="12" defaultColWidth="12.83203125" defaultRowHeight="21" customHeight="1" outlineLevelCol="1" x14ac:dyDescent="0.15"/>
  <cols>
    <col min="1" max="1" width="16.1640625" style="56" bestFit="1" customWidth="1"/>
    <col min="2" max="2" width="13.33203125" style="56" bestFit="1" customWidth="1"/>
    <col min="3" max="3" width="11.83203125" style="56" bestFit="1" customWidth="1"/>
    <col min="4" max="4" width="14.6640625" style="56" bestFit="1" customWidth="1"/>
    <col min="5" max="5" width="15.6640625" style="56" bestFit="1" customWidth="1"/>
    <col min="6" max="6" width="17" style="56" bestFit="1" customWidth="1"/>
    <col min="7" max="7" width="15.6640625" style="56" bestFit="1" customWidth="1"/>
    <col min="8" max="9" width="14.6640625" style="56" customWidth="1"/>
    <col min="10" max="10" width="16.1640625" style="56" bestFit="1" customWidth="1" outlineLevel="1"/>
    <col min="11" max="11" width="14.6640625" style="56" bestFit="1" customWidth="1"/>
    <col min="12" max="12" width="22.83203125" style="47" bestFit="1" customWidth="1"/>
    <col min="13" max="16384" width="12.83203125" style="53"/>
  </cols>
  <sheetData>
    <row r="1" spans="1:12" ht="21" customHeight="1" x14ac:dyDescent="0.15">
      <c r="A1" s="50" t="s">
        <v>139</v>
      </c>
      <c r="B1" s="50" t="s">
        <v>140</v>
      </c>
      <c r="C1" s="50" t="s">
        <v>105</v>
      </c>
      <c r="D1" s="50" t="s">
        <v>124</v>
      </c>
      <c r="E1" s="50" t="s">
        <v>141</v>
      </c>
      <c r="F1" s="57" t="s">
        <v>142</v>
      </c>
      <c r="G1" s="57" t="s">
        <v>143</v>
      </c>
      <c r="H1" s="50" t="s">
        <v>144</v>
      </c>
      <c r="I1" s="50" t="s">
        <v>104</v>
      </c>
      <c r="J1" s="51" t="s">
        <v>153</v>
      </c>
      <c r="K1" s="50" t="s">
        <v>145</v>
      </c>
      <c r="L1" s="58" t="s">
        <v>146</v>
      </c>
    </row>
    <row r="2" spans="1:12" ht="21" customHeight="1" x14ac:dyDescent="0.15">
      <c r="A2" s="54">
        <v>12001350</v>
      </c>
      <c r="B2" s="54">
        <v>1</v>
      </c>
      <c r="C2" s="54" t="s">
        <v>147</v>
      </c>
      <c r="D2" s="54">
        <v>100</v>
      </c>
      <c r="E2" s="54" t="s">
        <v>150</v>
      </c>
      <c r="F2" s="54" t="s">
        <v>147</v>
      </c>
      <c r="G2" s="54">
        <v>1</v>
      </c>
      <c r="H2" s="54" t="s">
        <v>147</v>
      </c>
      <c r="I2" s="54" t="s">
        <v>152</v>
      </c>
      <c r="J2" s="20" t="str">
        <f ca="1">IFERROR(VLOOKUP($I2,OFFSET([3]enemies!$A$1,0,0,COUNTA([3]enemies!$A:$A),MATCH(J$1,[3]enemies!$1:$1,0)-MATCH("character_id",[3]enemies!$1:$1,0)+1),MATCH(J$1,[3]enemies!$1:$1,0)-MATCH("character_id",[3]enemies!$1:$1,0)+1,FALSE),"")</f>
        <v/>
      </c>
      <c r="K2" s="55">
        <f t="shared" ref="K2" si="0">D2</f>
        <v>100</v>
      </c>
    </row>
  </sheetData>
  <autoFilter ref="A1:G1"/>
  <phoneticPr fontId="4"/>
  <conditionalFormatting sqref="L3:L1048576 L1">
    <cfRule type="duplicateValues" dxfId="1" priority="39"/>
  </conditionalFormatting>
  <conditionalFormatting sqref="L2">
    <cfRule type="duplicateValues" dxfId="0" priority="37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1:P6"/>
  <sheetViews>
    <sheetView workbookViewId="0">
      <selection activeCell="I5" sqref="I5"/>
    </sheetView>
  </sheetViews>
  <sheetFormatPr baseColWidth="12" defaultRowHeight="15" x14ac:dyDescent="0.15"/>
  <cols>
    <col min="3" max="3" width="4" bestFit="1" customWidth="1"/>
    <col min="4" max="7" width="7.83203125" customWidth="1"/>
    <col min="8" max="8" width="4" customWidth="1"/>
    <col min="9" max="9" width="13" bestFit="1" customWidth="1"/>
    <col min="10" max="10" width="16.1640625" bestFit="1" customWidth="1"/>
    <col min="11" max="11" width="17.33203125" bestFit="1" customWidth="1"/>
    <col min="12" max="12" width="4" customWidth="1"/>
    <col min="13" max="16" width="8.5" customWidth="1"/>
  </cols>
  <sheetData>
    <row r="1" spans="2:16" x14ac:dyDescent="0.15">
      <c r="C1" t="s">
        <v>158</v>
      </c>
      <c r="D1" t="s">
        <v>159</v>
      </c>
      <c r="E1" t="s">
        <v>160</v>
      </c>
      <c r="F1" t="s">
        <v>161</v>
      </c>
      <c r="G1" t="s">
        <v>162</v>
      </c>
      <c r="I1" t="s">
        <v>50</v>
      </c>
      <c r="J1" t="s">
        <v>51</v>
      </c>
      <c r="K1" t="s">
        <v>52</v>
      </c>
      <c r="M1" t="s">
        <v>159</v>
      </c>
      <c r="N1" t="s">
        <v>160</v>
      </c>
      <c r="O1" t="s">
        <v>161</v>
      </c>
      <c r="P1" t="s">
        <v>162</v>
      </c>
    </row>
    <row r="2" spans="2:16" x14ac:dyDescent="0.15">
      <c r="B2" t="s">
        <v>154</v>
      </c>
      <c r="C2">
        <v>10</v>
      </c>
      <c r="D2">
        <v>35</v>
      </c>
      <c r="E2">
        <v>20</v>
      </c>
      <c r="F2">
        <v>2800</v>
      </c>
      <c r="G2">
        <v>1</v>
      </c>
      <c r="I2">
        <v>0.7</v>
      </c>
      <c r="J2">
        <v>66</v>
      </c>
      <c r="K2">
        <v>533</v>
      </c>
      <c r="M2">
        <f t="shared" ref="M2:N6" si="0">D2*I2</f>
        <v>24.5</v>
      </c>
      <c r="N2">
        <f t="shared" si="0"/>
        <v>1320</v>
      </c>
      <c r="O2">
        <f>F2+K2</f>
        <v>3333</v>
      </c>
      <c r="P2">
        <v>1</v>
      </c>
    </row>
    <row r="3" spans="2:16" x14ac:dyDescent="0.15">
      <c r="B3" t="s">
        <v>155</v>
      </c>
      <c r="C3">
        <v>10</v>
      </c>
      <c r="D3">
        <v>69</v>
      </c>
      <c r="E3">
        <v>27</v>
      </c>
      <c r="F3">
        <v>8400</v>
      </c>
      <c r="G3">
        <v>2</v>
      </c>
      <c r="I3">
        <v>0.5</v>
      </c>
      <c r="J3">
        <v>60</v>
      </c>
      <c r="K3">
        <v>1600</v>
      </c>
      <c r="M3">
        <f t="shared" si="0"/>
        <v>34.5</v>
      </c>
      <c r="N3">
        <f t="shared" si="0"/>
        <v>1620</v>
      </c>
      <c r="O3">
        <f t="shared" ref="O3:O5" si="1">F3+K3</f>
        <v>10000</v>
      </c>
      <c r="P3">
        <v>1</v>
      </c>
    </row>
    <row r="4" spans="2:16" x14ac:dyDescent="0.15">
      <c r="B4" t="s">
        <v>156</v>
      </c>
      <c r="C4">
        <v>10</v>
      </c>
      <c r="D4">
        <v>89</v>
      </c>
      <c r="E4">
        <v>43</v>
      </c>
      <c r="F4">
        <v>28000</v>
      </c>
      <c r="G4">
        <v>2</v>
      </c>
      <c r="I4">
        <v>0.5</v>
      </c>
      <c r="J4">
        <v>50</v>
      </c>
      <c r="K4">
        <v>-13000</v>
      </c>
      <c r="M4">
        <f t="shared" si="0"/>
        <v>44.5</v>
      </c>
      <c r="N4">
        <f t="shared" si="0"/>
        <v>2150</v>
      </c>
      <c r="O4">
        <f t="shared" si="1"/>
        <v>15000</v>
      </c>
      <c r="P4">
        <v>2</v>
      </c>
    </row>
    <row r="5" spans="2:16" x14ac:dyDescent="0.15">
      <c r="B5" t="s">
        <v>157</v>
      </c>
      <c r="C5">
        <v>10</v>
      </c>
      <c r="D5">
        <v>253</v>
      </c>
      <c r="E5">
        <v>51</v>
      </c>
      <c r="F5">
        <v>42000</v>
      </c>
      <c r="G5">
        <v>3</v>
      </c>
      <c r="I5">
        <v>0.3</v>
      </c>
      <c r="J5">
        <v>60</v>
      </c>
      <c r="K5">
        <v>-22000</v>
      </c>
      <c r="M5">
        <f t="shared" si="0"/>
        <v>75.899999999999991</v>
      </c>
      <c r="N5">
        <f t="shared" si="0"/>
        <v>3060</v>
      </c>
      <c r="O5">
        <f t="shared" si="1"/>
        <v>20000</v>
      </c>
      <c r="P5">
        <v>3</v>
      </c>
    </row>
    <row r="6" spans="2:16" x14ac:dyDescent="0.15">
      <c r="B6" t="s">
        <v>154</v>
      </c>
      <c r="C6">
        <v>99</v>
      </c>
      <c r="D6">
        <v>302</v>
      </c>
      <c r="E6">
        <v>170</v>
      </c>
      <c r="F6">
        <v>20600</v>
      </c>
      <c r="G6">
        <v>2</v>
      </c>
      <c r="I6">
        <v>0.2</v>
      </c>
      <c r="J6">
        <v>15</v>
      </c>
      <c r="K6">
        <v>1622</v>
      </c>
      <c r="M6">
        <f t="shared" si="0"/>
        <v>60.400000000000006</v>
      </c>
      <c r="N6">
        <f t="shared" si="0"/>
        <v>2550</v>
      </c>
      <c r="O6">
        <f>F6+K6</f>
        <v>22222</v>
      </c>
      <c r="P6">
        <v>1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2016-06-07T03:12:37Z</dcterms:modified>
</cp:coreProperties>
</file>