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0" yWindow="460" windowWidth="28800" windowHeight="16420" tabRatio="740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stage_hints_complete" sheetId="19" r:id="rId8"/>
    <sheet name="bugbonuses" sheetId="18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7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2" i="9" l="1"/>
  <c r="A33" i="9"/>
  <c r="A34" i="9"/>
  <c r="A35" i="9"/>
  <c r="A36" i="9"/>
  <c r="A37" i="9"/>
  <c r="A38" i="9"/>
  <c r="O38" i="9"/>
  <c r="N38" i="9"/>
  <c r="M38" i="9"/>
  <c r="L38" i="9"/>
  <c r="K38" i="9"/>
  <c r="J38" i="9"/>
  <c r="I38" i="9"/>
  <c r="H38" i="9"/>
  <c r="G38" i="9"/>
  <c r="E38" i="9"/>
  <c r="D38" i="9"/>
  <c r="O37" i="9"/>
  <c r="N37" i="9"/>
  <c r="M37" i="9"/>
  <c r="L37" i="9"/>
  <c r="K37" i="9"/>
  <c r="J37" i="9"/>
  <c r="I37" i="9"/>
  <c r="H37" i="9"/>
  <c r="G37" i="9"/>
  <c r="E37" i="9"/>
  <c r="D37" i="9"/>
  <c r="O36" i="9"/>
  <c r="N36" i="9"/>
  <c r="M36" i="9"/>
  <c r="L36" i="9"/>
  <c r="K36" i="9"/>
  <c r="J36" i="9"/>
  <c r="I36" i="9"/>
  <c r="H36" i="9"/>
  <c r="G36" i="9"/>
  <c r="E36" i="9"/>
  <c r="D36" i="9"/>
  <c r="O35" i="9"/>
  <c r="N35" i="9"/>
  <c r="M35" i="9"/>
  <c r="L35" i="9"/>
  <c r="K35" i="9"/>
  <c r="J35" i="9"/>
  <c r="I35" i="9"/>
  <c r="H35" i="9"/>
  <c r="G35" i="9"/>
  <c r="E35" i="9"/>
  <c r="D35" i="9"/>
  <c r="O34" i="9"/>
  <c r="N34" i="9"/>
  <c r="M34" i="9"/>
  <c r="L34" i="9"/>
  <c r="K34" i="9"/>
  <c r="J34" i="9"/>
  <c r="I34" i="9"/>
  <c r="H34" i="9"/>
  <c r="G34" i="9"/>
  <c r="E34" i="9"/>
  <c r="D34" i="9"/>
  <c r="O33" i="9"/>
  <c r="N33" i="9"/>
  <c r="M33" i="9"/>
  <c r="L33" i="9"/>
  <c r="K33" i="9"/>
  <c r="J33" i="9"/>
  <c r="I33" i="9"/>
  <c r="H33" i="9"/>
  <c r="G33" i="9"/>
  <c r="E33" i="9"/>
  <c r="D33" i="9"/>
  <c r="C13" i="16"/>
  <c r="C10" i="16"/>
  <c r="C12" i="16"/>
  <c r="C11" i="16"/>
  <c r="C9" i="16"/>
  <c r="C8" i="16"/>
  <c r="C7" i="16"/>
  <c r="C6" i="16"/>
  <c r="C4" i="16"/>
  <c r="C5" i="16"/>
  <c r="C3" i="16"/>
  <c r="A5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J32" i="11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J31" i="11"/>
  <c r="T6" i="1"/>
  <c r="A5" i="7"/>
  <c r="A4" i="7"/>
  <c r="A3" i="7"/>
  <c r="A2" i="7"/>
  <c r="W5" i="7"/>
  <c r="U5" i="7"/>
  <c r="R5" i="7"/>
  <c r="Q5" i="7"/>
  <c r="P5" i="7"/>
  <c r="O5" i="7"/>
  <c r="N5" i="7"/>
  <c r="H5" i="7"/>
  <c r="J5" i="7"/>
  <c r="I5" i="7"/>
  <c r="D5" i="7"/>
  <c r="F5" i="7"/>
  <c r="E5" i="7"/>
  <c r="W4" i="7"/>
  <c r="U4" i="7"/>
  <c r="R4" i="7"/>
  <c r="Q4" i="7"/>
  <c r="P4" i="7"/>
  <c r="O4" i="7"/>
  <c r="N4" i="7"/>
  <c r="H4" i="7"/>
  <c r="J4" i="7"/>
  <c r="I4" i="7"/>
  <c r="D4" i="7"/>
  <c r="F4" i="7"/>
  <c r="E4" i="7"/>
  <c r="W3" i="7"/>
  <c r="U3" i="7"/>
  <c r="R3" i="7"/>
  <c r="Q3" i="7"/>
  <c r="P3" i="7"/>
  <c r="O3" i="7"/>
  <c r="N3" i="7"/>
  <c r="H3" i="7"/>
  <c r="J3" i="7"/>
  <c r="I3" i="7"/>
  <c r="D3" i="7"/>
  <c r="F3" i="7"/>
  <c r="E3" i="7"/>
  <c r="W2" i="7"/>
  <c r="U2" i="7"/>
  <c r="R2" i="7"/>
  <c r="Q2" i="7"/>
  <c r="P2" i="7"/>
  <c r="O2" i="7"/>
  <c r="N2" i="7"/>
  <c r="H2" i="7"/>
  <c r="J2" i="7"/>
  <c r="I2" i="7"/>
  <c r="D2" i="7"/>
  <c r="F2" i="7"/>
  <c r="E2" i="7"/>
  <c r="G4" i="2"/>
  <c r="H4" i="2"/>
  <c r="E4" i="2"/>
  <c r="D4" i="2"/>
  <c r="A4" i="2"/>
  <c r="H2" i="1"/>
  <c r="H3" i="1"/>
  <c r="H4" i="1"/>
  <c r="H5" i="1"/>
  <c r="H6" i="1"/>
  <c r="H7" i="1"/>
  <c r="B4" i="2"/>
  <c r="A7" i="1"/>
  <c r="A6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D6" i="1"/>
  <c r="AF6" i="1"/>
  <c r="AI6" i="1"/>
  <c r="AG6" i="1"/>
  <c r="AE6" i="1"/>
  <c r="X6" i="1"/>
  <c r="V6" i="1"/>
  <c r="Q6" i="1"/>
  <c r="P6" i="1"/>
  <c r="O6" i="1"/>
  <c r="N6" i="1"/>
  <c r="M6" i="1"/>
  <c r="J6" i="1"/>
  <c r="I6" i="1"/>
  <c r="D6" i="1"/>
  <c r="F6" i="1"/>
  <c r="E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J2" i="1"/>
  <c r="I2" i="1"/>
  <c r="D2" i="1"/>
  <c r="F2" i="1"/>
  <c r="E2" i="1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4" i="9"/>
  <c r="A3" i="9"/>
  <c r="O32" i="9"/>
  <c r="N32" i="9"/>
  <c r="M32" i="9"/>
  <c r="L32" i="9"/>
  <c r="K32" i="9"/>
  <c r="J32" i="9"/>
  <c r="I32" i="9"/>
  <c r="H32" i="9"/>
  <c r="G32" i="9"/>
  <c r="E32" i="9"/>
  <c r="D32" i="9"/>
  <c r="O31" i="9"/>
  <c r="N31" i="9"/>
  <c r="M31" i="9"/>
  <c r="L31" i="9"/>
  <c r="K31" i="9"/>
  <c r="J31" i="9"/>
  <c r="I31" i="9"/>
  <c r="H31" i="9"/>
  <c r="G31" i="9"/>
  <c r="E31" i="9"/>
  <c r="D31" i="9"/>
  <c r="O30" i="9"/>
  <c r="N30" i="9"/>
  <c r="M30" i="9"/>
  <c r="L30" i="9"/>
  <c r="K30" i="9"/>
  <c r="J30" i="9"/>
  <c r="I30" i="9"/>
  <c r="H30" i="9"/>
  <c r="G30" i="9"/>
  <c r="E30" i="9"/>
  <c r="D30" i="9"/>
  <c r="O29" i="9"/>
  <c r="N29" i="9"/>
  <c r="M29" i="9"/>
  <c r="L29" i="9"/>
  <c r="K29" i="9"/>
  <c r="J29" i="9"/>
  <c r="I29" i="9"/>
  <c r="H29" i="9"/>
  <c r="G29" i="9"/>
  <c r="E29" i="9"/>
  <c r="D29" i="9"/>
  <c r="O28" i="9"/>
  <c r="N28" i="9"/>
  <c r="M28" i="9"/>
  <c r="L28" i="9"/>
  <c r="K28" i="9"/>
  <c r="J28" i="9"/>
  <c r="I28" i="9"/>
  <c r="H28" i="9"/>
  <c r="G28" i="9"/>
  <c r="E28" i="9"/>
  <c r="D28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G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4" i="9"/>
  <c r="N4" i="9"/>
  <c r="M4" i="9"/>
  <c r="L4" i="9"/>
  <c r="K4" i="9"/>
  <c r="J4" i="9"/>
  <c r="I4" i="9"/>
  <c r="H4" i="9"/>
  <c r="G4" i="9"/>
  <c r="E4" i="9"/>
  <c r="D4" i="9"/>
  <c r="O3" i="9"/>
  <c r="N3" i="9"/>
  <c r="M3" i="9"/>
  <c r="L3" i="9"/>
  <c r="K3" i="9"/>
  <c r="J3" i="9"/>
  <c r="I3" i="9"/>
  <c r="H3" i="9"/>
  <c r="G3" i="9"/>
  <c r="E3" i="9"/>
  <c r="D3" i="9"/>
  <c r="O2" i="9"/>
  <c r="N2" i="9"/>
  <c r="M2" i="9"/>
  <c r="L2" i="9"/>
  <c r="K2" i="9"/>
  <c r="J2" i="9"/>
  <c r="I2" i="9"/>
  <c r="H2" i="9"/>
  <c r="G2" i="9"/>
  <c r="E2" i="9"/>
  <c r="D2" i="9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C6" i="18"/>
  <c r="D6" i="18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G2" i="2"/>
  <c r="A2" i="2"/>
  <c r="G3" i="2"/>
  <c r="A3" i="2"/>
  <c r="C8" i="18"/>
  <c r="D8" i="18"/>
  <c r="C7" i="18"/>
  <c r="D7" i="18"/>
  <c r="C5" i="18"/>
  <c r="D5" i="18"/>
  <c r="C4" i="18"/>
  <c r="D4" i="18"/>
  <c r="C3" i="18"/>
  <c r="D3" i="18"/>
  <c r="C2" i="18"/>
  <c r="D2" i="18"/>
  <c r="N3" i="22"/>
  <c r="N2" i="22"/>
  <c r="H3" i="2"/>
  <c r="E3" i="2"/>
  <c r="D3" i="2"/>
  <c r="B3" i="2"/>
  <c r="A5" i="1"/>
  <c r="A3" i="1"/>
  <c r="A4" i="1"/>
  <c r="G3" i="22"/>
  <c r="F3" i="22"/>
  <c r="D3" i="22"/>
  <c r="C3" i="22"/>
  <c r="A3" i="22"/>
  <c r="E13" i="16"/>
  <c r="G2" i="22"/>
  <c r="F2" i="22"/>
  <c r="D2" i="22"/>
  <c r="C2" i="22"/>
  <c r="A2" i="22"/>
  <c r="E12" i="16"/>
  <c r="E11" i="16"/>
  <c r="E10" i="16"/>
  <c r="E9" i="16"/>
  <c r="E8" i="16"/>
  <c r="E7" i="16"/>
  <c r="E6" i="16"/>
  <c r="E5" i="16"/>
  <c r="E4" i="16"/>
  <c r="E3" i="16"/>
  <c r="E2" i="16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<sst xmlns="http://schemas.openxmlformats.org/spreadsheetml/2006/main" count="695" uniqueCount="342">
  <si>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</si>
  <si>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</si>
  <si>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</si>
  <si>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</si>
  <si>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</si>
  <si>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</si>
  <si>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</si>
  <si>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</si>
  <si>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</si>
  <si>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</si>
  <si>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</si>
  <si>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</si>
  <si>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</si>
  <si>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</si>
  <si>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</si>
  <si>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</si>
  <si>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</si>
  <si>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</si>
  <si>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</si>
  <si>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</si>
  <si>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</si>
  <si>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</si>
  <si>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</si>
  <si>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</si>
  <si>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</si>
  <si>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</si>
  <si>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</si>
  <si>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</si>
  <si>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</si>
  <si>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</si>
  <si>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</si>
  <si>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</si>
  <si>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</si>
  <si>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</si>
  <si>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</si>
  <si>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</si>
  <si>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</si>
  <si>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</si>
  <si>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</si>
  <si>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</si>
  <si>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</si>
  <si>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</si>
  <si>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</si>
  <si>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</si>
  <si>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</si>
  <si>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</si>
  <si>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</si>
  <si>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</si>
  <si>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</si>
  <si>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</si>
  <si>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</si>
  <si>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</si>
  <si>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</si>
  <si>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</si>
  <si>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</si>
  <si>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</si>
  <si>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</si>
  <si>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</si>
  <si>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</si>
  <si>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</si>
  <si>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</si>
  <si>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</si>
  <si>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</si>
  <si>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</si>
  <si>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</si>
  <si>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</si>
  <si>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</si>
  <si>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</si>
  <si>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</si>
  <si>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</si>
  <si>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</si>
  <si>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</si>
  <si>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</si>
  <si>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</si>
  <si>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</si>
  <si>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</si>
  <si>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</si>
  <si>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</si>
  <si>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</si>
  <si>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</si>
  <si>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</si>
  <si>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</si>
  <si>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</si>
  <si>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</si>
  <si>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</si>
  <si>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</si>
  <si>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</si>
  <si>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</si>
  <si>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</si>
  <si>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</si>
  <si>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</si>
  <si>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</si>
  <si>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</si>
  <si>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</si>
  <si>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</si>
  <si>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</si>
  <si>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</si>
  <si>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</si>
  <si>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</si>
  <si>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</si>
  <si>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</si>
  <si>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</si>
  <si>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</si>
  <si>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</si>
  <si>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</si>
  <si>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</si>
  <si>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</si>
  <si>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</si>
  <si>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</si>
  <si>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</si>
  <si>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</si>
  <si>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</si>
  <si>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</si>
  <si>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</si>
  <si>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</si>
  <si>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</si>
  <si>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</si>
  <si>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</si>
  <si>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</si>
  <si>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</si>
  <si>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</si>
  <si>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</si>
  <si>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</si>
  <si>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</si>
  <si>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</si>
  <si>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</si>
  <si>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</si>
  <si>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</si>
  <si>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</si>
  <si>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</si>
  <si>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</si>
  <si>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</si>
  <si>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</si>
  <si>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</si>
  <si>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</si>
  <si>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</si>
  <si>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</si>
  <si>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</si>
  <si>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</si>
  <si>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</si>
  <si>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</si>
  <si>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</si>
  <si>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</si>
  <si>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</si>
  <si>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</si>
  <si>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</si>
  <si>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</si>
  <si>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</si>
  <si>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</si>
  <si>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</si>
  <si>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</si>
  <si>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</si>
  <si>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</si>
  <si>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</si>
  <si>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</si>
  <si>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</si>
  <si>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</si>
  <si>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</si>
  <si>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</si>
  <si>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</si>
  <si>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</si>
  <si>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</si>
  <si>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</si>
  <si>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</si>
  <si>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</si>
  <si>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</si>
  <si>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</si>
  <si>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</si>
  <si>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</si>
  <si>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</si>
  <si>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</si>
  <si>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</si>
  <si>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</si>
  <si>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</si>
  <si>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</si>
  <si>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</si>
  <si>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</si>
  <si>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</si>
  <si>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</si>
  <si>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</si>
  <si>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</si>
  <si>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</si>
  <si>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</si>
  <si>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</si>
  <si>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</si>
  <si>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</si>
  <si>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</si>
  <si>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</si>
  <si>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</si>
  <si>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</si>
  <si>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</si>
  <si>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</si>
  <si>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</si>
  <si>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</si>
  <si>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</si>
  <si>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</si>
  <si>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</si>
  <si>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</si>
  <si>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</si>
  <si>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</si>
  <si>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</si>
  <si>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</si>
  <si>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</si>
  <si>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</si>
  <si>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</si>
  <si>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</si>
  <si>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</si>
  <si>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</si>
  <si>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</si>
  <si>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</si>
  <si>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</si>
  <si>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</si>
  <si>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</si>
  <si>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</si>
  <si>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</si>
  <si>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</si>
  <si>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</si>
  <si>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</si>
  <si>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</si>
  <si>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</si>
  <si>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</si>
  <si>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</si>
  <si>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</si>
  <si>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</si>
  <si>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</si>
  <si>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</si>
  <si>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</si>
  <si>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</si>
  <si>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</si>
  <si>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</si>
  <si>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</si>
  <si>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</si>
  <si>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</si>
  <si>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</si>
  <si>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</si>
  <si>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</si>
  <si>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</si>
  <si>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</si>
  <si>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</si>
  <si>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</si>
  <si>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</si>
  <si>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</si>
  <si>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</si>
  <si>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</si>
  <si>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</si>
  <si>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</si>
  <si>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</si>
  <si>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</si>
  <si>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</si>
  <si>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汝、選ばれし者か</t>
    <phoneticPr fontId="5"/>
  </si>
  <si>
    <t>コスト29以上＆ヒューマン以外キラー</t>
    <phoneticPr fontId="5"/>
  </si>
  <si>
    <t>old</t>
  </si>
  <si>
    <t>先制攻撃　ガエル　1.0秒表示 / 1.6秒表示　（制限内０．１、以外99.9）</t>
    <phoneticPr fontId="5"/>
  </si>
  <si>
    <t>singleonly</t>
    <phoneticPr fontId="5"/>
  </si>
  <si>
    <t>bit</t>
    <phoneticPr fontId="5"/>
  </si>
  <si>
    <t>unit</t>
    <phoneticPr fontId="5"/>
  </si>
  <si>
    <t>このフロアの敵は
ターンが経過すると攻撃力がUPします
なるべく早く抜けましょう</t>
    <rPh sb="13" eb="15">
      <t>ケイカ</t>
    </rPh>
    <rPh sb="33" eb="34">
      <t>ハヤク</t>
    </rPh>
    <rPh sb="35" eb="36">
      <t>ヌケテ</t>
    </rPh>
    <phoneticPr fontId="5"/>
  </si>
  <si>
    <t>ハートパネルが出現しないため
いかに生き残るかが重要となるフロアです
フィーバーは回復のために温存しましょう</t>
    <rPh sb="18" eb="19">
      <t>イキノコルカ</t>
    </rPh>
    <rPh sb="24" eb="26">
      <t>ジュウヨウ</t>
    </rPh>
    <rPh sb="42" eb="44">
      <t>カイフク</t>
    </rPh>
    <rPh sb="48" eb="50">
      <t>オンゾn</t>
    </rPh>
    <phoneticPr fontId="5"/>
  </si>
  <si>
    <t>回復タイプのユニットはスキルバインドを
受けてしまうため扱いにくいです
攻撃に寄せて押し切ると良いでしょう</t>
    <rPh sb="0" eb="2">
      <t>カイフク</t>
    </rPh>
    <rPh sb="20" eb="21">
      <t>ウケテ</t>
    </rPh>
    <rPh sb="28" eb="29">
      <t>アツカイニクイ</t>
    </rPh>
    <rPh sb="37" eb="39">
      <t>コウゲキ</t>
    </rPh>
    <rPh sb="40" eb="41">
      <t>ヨセテ</t>
    </rPh>
    <rPh sb="43" eb="44">
      <t>オシキル</t>
    </rPh>
    <rPh sb="48" eb="49">
      <t>ヨイ</t>
    </rPh>
    <phoneticPr fontId="5"/>
  </si>
  <si>
    <t>スフィンクスは各ゲージで
味方ユニットの援護をしてくれます
この援護を最大限に活用しましょう</t>
    <rPh sb="7" eb="8">
      <t>カクゲージ</t>
    </rPh>
    <rPh sb="13" eb="15">
      <t>ミカタ</t>
    </rPh>
    <rPh sb="20" eb="22">
      <t>エンゴ</t>
    </rPh>
    <rPh sb="33" eb="35">
      <t>エンゴ</t>
    </rPh>
    <rPh sb="36" eb="39">
      <t>サイダイゲン</t>
    </rPh>
    <rPh sb="40" eb="42">
      <t>カツヨウ</t>
    </rPh>
    <phoneticPr fontId="5"/>
  </si>
  <si>
    <t>null</t>
    <phoneticPr fontId="5"/>
  </si>
  <si>
    <t>セルフエンチャント</t>
    <phoneticPr fontId="5"/>
  </si>
  <si>
    <t>ja</t>
    <phoneticPr fontId="5"/>
  </si>
  <si>
    <t>慈悲なき刃</t>
    <rPh sb="0" eb="2">
      <t>ジヒ</t>
    </rPh>
    <rPh sb="4" eb="5">
      <t>ヤイバ</t>
    </rPh>
    <phoneticPr fontId="5"/>
  </si>
  <si>
    <t>ハートパネルが出現しない</t>
    <phoneticPr fontId="5"/>
  </si>
  <si>
    <t>トリプルスラッシュ</t>
    <phoneticPr fontId="5"/>
  </si>
  <si>
    <t>3回連続攻撃</t>
    <rPh sb="1" eb="2">
      <t>カイ</t>
    </rPh>
    <rPh sb="2" eb="4">
      <t>レンゾク</t>
    </rPh>
    <rPh sb="4" eb="6">
      <t>コウゲキ</t>
    </rPh>
    <phoneticPr fontId="5"/>
  </si>
  <si>
    <t>ja</t>
    <phoneticPr fontId="5"/>
  </si>
  <si>
    <t>陽光の盾</t>
    <rPh sb="0" eb="2">
      <t>ヨウコウノ</t>
    </rPh>
    <rPh sb="3" eb="4">
      <t>タテ</t>
    </rPh>
    <phoneticPr fontId="5"/>
  </si>
  <si>
    <t>状態異常耐性+全属性カウンター（威力小）</t>
    <rPh sb="0" eb="4">
      <t>ジョウタイイジョウ</t>
    </rPh>
    <rPh sb="4" eb="6">
      <t>タイセイ</t>
    </rPh>
    <rPh sb="7" eb="10">
      <t>ゼンゾクセイ</t>
    </rPh>
    <rPh sb="16" eb="18">
      <t>イリョクイ</t>
    </rPh>
    <rPh sb="18" eb="19">
      <t>チイサイ</t>
    </rPh>
    <phoneticPr fontId="5"/>
  </si>
  <si>
    <t>デルタフォール</t>
    <phoneticPr fontId="5"/>
  </si>
  <si>
    <t>ラジエイトブレイク</t>
    <phoneticPr fontId="5"/>
  </si>
  <si>
    <t>青パネルを吸収して全体攻撃（最大15個）</t>
    <phoneticPr fontId="5"/>
  </si>
  <si>
    <t>陽光の鎧</t>
    <rPh sb="0" eb="2">
      <t>ヨウコウノ</t>
    </rPh>
    <rPh sb="3" eb="4">
      <t>ヨロイ</t>
    </rPh>
    <phoneticPr fontId="5"/>
  </si>
  <si>
    <t>8ターン自身の防御力大UP+攻撃頻度UP</t>
    <rPh sb="4" eb="6">
      <t>ジシンノ</t>
    </rPh>
    <rPh sb="7" eb="10">
      <t>ボウギョリョク</t>
    </rPh>
    <rPh sb="10" eb="11">
      <t>ダイ</t>
    </rPh>
    <rPh sb="14" eb="18">
      <t>コウゲキヒンド</t>
    </rPh>
    <phoneticPr fontId="5"/>
  </si>
  <si>
    <t>面白い機構…もっと見せて…</t>
    <rPh sb="0" eb="2">
      <t>オモシロイ</t>
    </rPh>
    <rPh sb="3" eb="5">
      <t>キコウ</t>
    </rPh>
    <rPh sb="9" eb="10">
      <t>ミセテ</t>
    </rPh>
    <phoneticPr fontId="5"/>
  </si>
  <si>
    <t>アンチヒーラー</t>
    <phoneticPr fontId="5"/>
  </si>
  <si>
    <t>とっしん！</t>
    <phoneticPr fontId="5"/>
  </si>
  <si>
    <t>全体攻撃</t>
    <rPh sb="0" eb="2">
      <t>ゼンタイ</t>
    </rPh>
    <rPh sb="2" eb="4">
      <t>コウゲキ</t>
    </rPh>
    <phoneticPr fontId="5"/>
  </si>
  <si>
    <t>モフモフ・クローズ</t>
    <phoneticPr fontId="5"/>
  </si>
  <si>
    <t>フィーバーゲージ減少</t>
    <rPh sb="8" eb="10">
      <t>ゲンショウ</t>
    </rPh>
    <phoneticPr fontId="5"/>
  </si>
  <si>
    <t>ja</t>
    <phoneticPr fontId="5"/>
  </si>
  <si>
    <t>イヴァペレイト</t>
    <phoneticPr fontId="5"/>
  </si>
  <si>
    <t>自身以外の全ユニットに大ダメージ</t>
    <rPh sb="0" eb="2">
      <t>ジシン</t>
    </rPh>
    <rPh sb="2" eb="4">
      <t>イガイ</t>
    </rPh>
    <rPh sb="5" eb="6">
      <t>ゼン</t>
    </rPh>
    <rPh sb="11" eb="12">
      <t>ダイ</t>
    </rPh>
    <phoneticPr fontId="5"/>
  </si>
  <si>
    <t>バカな…押し切られる…！？</t>
    <rPh sb="4" eb="5">
      <t>オシキラレル</t>
    </rPh>
    <phoneticPr fontId="5"/>
  </si>
  <si>
    <t>あたしは味方だよ！</t>
    <rPh sb="4" eb="6">
      <t>ミカタダヨ</t>
    </rPh>
    <phoneticPr fontId="5"/>
  </si>
  <si>
    <t>ふぁいと！ふぁいと！</t>
    <phoneticPr fontId="5"/>
  </si>
  <si>
    <t>えーるをおくるよ！</t>
    <phoneticPr fontId="5"/>
  </si>
  <si>
    <t>えーるをおくるよ！</t>
    <phoneticPr fontId="5"/>
  </si>
  <si>
    <t>ja</t>
    <phoneticPr fontId="5"/>
  </si>
  <si>
    <t>ふぁいと！ふぁいと！</t>
    <phoneticPr fontId="5"/>
  </si>
  <si>
    <t>塔の結界・ヒューマン</t>
    <rPh sb="0" eb="1">
      <t>トウノ</t>
    </rPh>
    <rPh sb="2" eb="4">
      <t>ケッカイ</t>
    </rPh>
    <phoneticPr fontId="5"/>
  </si>
  <si>
    <t>「塔の結界・ヒューマン」はコスト31以上と
種族ヒューマン以外のユニットに
即死級のダメージを与えます
注意しましょう</t>
    <rPh sb="29" eb="31">
      <t>イガイノ</t>
    </rPh>
    <phoneticPr fontId="5"/>
  </si>
  <si>
    <t>[effect:enhance_enemy, target:myself, turn:-1, status:attack, val:1, animation:enemy_enhance_attack],[effect:enemy_message, val1:1.4, val2:1.6]</t>
    <phoneticPr fontId="5"/>
  </si>
  <si>
    <t>[effect:change_panel_ratio, turn:-1, block_type:heal, val:0, animation:block_incidence04],[effect:enemy_message, val1:1.4, val2:1.6]</t>
    <phoneticPr fontId="5"/>
  </si>
  <si>
    <t>[effect:rush, count:3, val:0.4],[effect:enemy_message, val1:1.4, val2:1.6]</t>
    <phoneticPr fontId="5"/>
  </si>
  <si>
    <t>[effect:rush, count:3, val:0.4],[effect:enemy_message, val1:1.4, val2:1.6]</t>
    <phoneticPr fontId="5"/>
  </si>
  <si>
    <t>[effect:break_attack_fix, target:unit_all, val:80, lowest_val:400, count:15, color:yellow, block01:block_blue],[effect:enemy_message, val1:1.4, val2:1.6]</t>
    <phoneticPr fontId="5"/>
  </si>
  <si>
    <t>[effect:enhance_enemy, target:myself, turn:8, status:defense, val:5000, calc:add, animation:enemy_enhance_defense],[effect:freq_turn, target:myself, turn:8, val:1, animation:enemy_freq_turn],[effect:enemy_message, val1:1.4, val2:1.6]</t>
    <phoneticPr fontId="5"/>
  </si>
  <si>
    <t>[effect:spread, val:0.3],[effect:enemy_message, val1:1.4, val2:1.6]</t>
    <phoneticPr fontId="5"/>
  </si>
  <si>
    <t>[effect:degrade_unit, target:unit_all, turn:3, status:attack, val:0.25],[effect:rush, count:1, val:0.8],[effect:enemy_message, val1:1.4, val2:1.8]</t>
    <phoneticPr fontId="5"/>
  </si>
  <si>
    <t>[effect:degrade_unit, target:unit_all, turn:3, status:attack, val:0.5],[effect:rush, count:1, val:0.8],[effect:enemy_message, val1:1.4, val2:1.8]</t>
    <phoneticPr fontId="5"/>
  </si>
  <si>
    <t>[effect:degrade_unit, target:unit_all, turn:3, status:attack, val:0.75],[effect:rush, count:1, val:0.8],[effect:enemy_message, val1:1.4, val2:1.8]</t>
    <phoneticPr fontId="5"/>
  </si>
  <si>
    <t>[effect:fix_speed, target:myself, turn:1],[effect:degrade_fever, val:1000, animation:fevergauge_down],[effect:enemy_message, val1:1.4, val2:1.6]</t>
    <phoneticPr fontId="5"/>
  </si>
  <si>
    <t>[effect:spread, val:0.25],[effect:suicide, val:1, dead_type:suicide, target:enemy_yellow, animation:enemy_suicide],[effect:enemy_message, val1:1.4, val2:1.8]</t>
    <phoneticPr fontId="5"/>
  </si>
  <si>
    <t>[effect:spread, val:0.25],[effect:suicide, val:1, dead_type:suicide, target:enemy_yellow, animation:enemy_suicide],[effect:enemy_message, val1:1.4, val2:1.8]</t>
    <phoneticPr fontId="5"/>
  </si>
  <si>
    <t>[effect:enemy_message, val1:1, val2:2.7],[effect:fix_speed, target:myself, turn:1],[effect:force_change_block, new_block:block_heart, target:block_all, count:0, val:0, animation:change_block],[effect:sp_boost, target:unit_yellow, val:99, animation:sp_boost_one03]</t>
    <phoneticPr fontId="5"/>
  </si>
  <si>
    <t>[effect:sp_boost, target:unit_machine, val:2, animation:sp_boost_one02],[effect:enemy_message, val1:1.4, val2:1.6]</t>
    <phoneticPr fontId="5"/>
  </si>
  <si>
    <t>種族マシンのスキルゲージ2上昇</t>
    <rPh sb="0" eb="2">
      <t>シュゾク</t>
    </rPh>
    <phoneticPr fontId="5"/>
  </si>
  <si>
    <t>なんだい、その力は…
偶然か？</t>
    <rPh sb="7" eb="8">
      <t>チカラ</t>
    </rPh>
    <rPh sb="11" eb="13">
      <t>グウゼン</t>
    </rPh>
    <phoneticPr fontId="5"/>
  </si>
  <si>
    <t>[effect:tolerance, target:myself, turn:-1, count:-1, tolerance_effect:all, animation:enemy_tolerance],[effect:enemy_counter, target:myself, invoke_condition:unit_all, counter_target:attacker, turn:-1, val:0.15, animation:enemy_counter],[effect:enemy_message, val1:1.4, val2:1.8]</t>
    <phoneticPr fontId="5"/>
  </si>
  <si>
    <t>フールズラッシュ</t>
    <phoneticPr fontId="5"/>
  </si>
  <si>
    <t>フールズソード</t>
    <phoneticPr fontId="5"/>
  </si>
  <si>
    <t>11回連続攻撃</t>
    <phoneticPr fontId="5"/>
  </si>
  <si>
    <t>全てのパネルをハートパネルに変換+
黄属性ユニットのスキルMAX</t>
    <rPh sb="0" eb="1">
      <t>スベテノ</t>
    </rPh>
    <rPh sb="14" eb="16">
      <t>ヘンカn</t>
    </rPh>
    <rPh sb="18" eb="19">
      <t>キイロ</t>
    </rPh>
    <rPh sb="19" eb="21">
      <t>ゾクセイ</t>
    </rPh>
    <phoneticPr fontId="5"/>
  </si>
  <si>
    <t>[effect:enemy_message, val1:1, val2:2.7],[effect:fix_speed, target:myself, turn:1],[effect:force_change_block, new_block:block_heart, target:block_all, count:0, val:0, animation:change_block],[effect:sp_boost, target:unit_yellow, val:99, animation:sp_boost_one03]</t>
    <phoneticPr fontId="5"/>
  </si>
  <si>
    <t>フールズリベンジ</t>
    <phoneticPr fontId="5"/>
  </si>
  <si>
    <t>ハンマースイング・雷</t>
    <phoneticPr fontId="5"/>
  </si>
  <si>
    <t>クリティカル！+
黄属性ユニットのスキルゲージ2上昇</t>
    <phoneticPr fontId="5"/>
  </si>
  <si>
    <t>[effect:critical, val:1.2, animation:enemy_critical],[effect:sp_boost, target:unit_yellow, val:2, animation:sp_boost_one03],[effect:enemy_message, val1:1.4, val2:1.6]</t>
    <phoneticPr fontId="5"/>
  </si>
  <si>
    <t>攻撃力超大UP</t>
    <rPh sb="0" eb="3">
      <t>コウゲキリョク</t>
    </rPh>
    <rPh sb="3" eb="5">
      <t>チョウダイ</t>
    </rPh>
    <phoneticPr fontId="5"/>
  </si>
  <si>
    <t>9ターン全ユニットの回復力25%DOWN+
種族サムライのユニットに大ダメージ</t>
    <rPh sb="22" eb="24">
      <t>シュゾク</t>
    </rPh>
    <rPh sb="34" eb="35">
      <t>ダイダメージ</t>
    </rPh>
    <phoneticPr fontId="5"/>
  </si>
  <si>
    <t>3ターン全ユニットの攻撃力25%DOWN+
単体攻撃</t>
    <rPh sb="4" eb="5">
      <t>ゼン</t>
    </rPh>
    <rPh sb="10" eb="13">
      <t>コウゲキリョク</t>
    </rPh>
    <rPh sb="22" eb="24">
      <t>タンタイ</t>
    </rPh>
    <rPh sb="24" eb="26">
      <t>コウゲキ</t>
    </rPh>
    <phoneticPr fontId="5"/>
  </si>
  <si>
    <t>3ターン全ユニットの攻撃力50%DOWN+
単体攻撃</t>
    <rPh sb="4" eb="5">
      <t>ゼン</t>
    </rPh>
    <rPh sb="10" eb="13">
      <t>コウゲキリョク</t>
    </rPh>
    <phoneticPr fontId="5"/>
  </si>
  <si>
    <t>3ターン全ユニットの攻撃力75%DOWN+
単体攻撃</t>
    <rPh sb="4" eb="5">
      <t>ゼン</t>
    </rPh>
    <rPh sb="10" eb="13">
      <t>コウゲキリョク</t>
    </rPh>
    <phoneticPr fontId="5"/>
  </si>
  <si>
    <t>全てのパネルをハートパネルに変換+
14ターン全ユニットの攻撃力超大UP</t>
    <rPh sb="0" eb="1">
      <t>スベテノ</t>
    </rPh>
    <rPh sb="14" eb="16">
      <t>ヘンカn</t>
    </rPh>
    <rPh sb="29" eb="31">
      <t>コウゲキリョク</t>
    </rPh>
    <phoneticPr fontId="5"/>
  </si>
  <si>
    <t>コスト31以上のユニットに大ダメージ+
種族ヒューマン以外のユニットに大ダメージ</t>
    <rPh sb="5" eb="7">
      <t>イジョウ</t>
    </rPh>
    <rPh sb="13" eb="14">
      <t>ダイ</t>
    </rPh>
    <rPh sb="20" eb="22">
      <t>シュゾク</t>
    </rPh>
    <rPh sb="27" eb="29">
      <t>イガイ</t>
    </rPh>
    <rPh sb="35" eb="36">
      <t>ダイダメージ</t>
    </rPh>
    <phoneticPr fontId="5"/>
  </si>
  <si>
    <t>状態異常耐性+
回復タイプのユニットに12ターンスキルバインド</t>
    <rPh sb="8" eb="10">
      <t>カイフク</t>
    </rPh>
    <phoneticPr fontId="5"/>
  </si>
  <si>
    <t>[effect:enemy_message, val1:1, val2:2.4],[effect:tolerance, target:myself, turn:-1, count:-1, tolerance_effect:all, animation:enemy_tolerance],[effect:hungup, target:unit_heal, turn:12, rate:1, animation:hungup01]</t>
    <phoneticPr fontId="5"/>
  </si>
  <si>
    <t>[effect:enhance_enemy, target:myself, turn:-1, status:attack, val:1, animation:enemy_enhance_attack],[effect:enemy_message, val1:1.4, val2:1.6]</t>
    <phoneticPr fontId="5"/>
  </si>
  <si>
    <t>キミの命運は
ここで終わりだよ</t>
    <rPh sb="3" eb="5">
      <t>メイウン</t>
    </rPh>
    <rPh sb="10" eb="11">
      <t>オワリ</t>
    </rPh>
    <phoneticPr fontId="5"/>
  </si>
  <si>
    <t>[effect:rush, count:11, val:0.13],[effect:enemy_message, val1:1.4, val2:1.8]</t>
    <phoneticPr fontId="5"/>
  </si>
  <si>
    <t>[effect:force_change_block, new_block:block_heart, target:block_all, ignore01:crash, ignore02:crack_bomb, ignore03:time_bomb, ignore04:jammer, count:5, val:0, animation:change_block],[effect:enemy_message, val1:1.4, val2:1.6]</t>
    <phoneticPr fontId="5"/>
  </si>
  <si>
    <t>[effect:force_change_block, new_block:block_heart, target:block_all, ignore01:crash, ignore02:crack_bomb, ignore03:time_bomb, ignore04:jammer, count:5, val:0, animation:change_block],[effect:enemy_message, val1:1.4, val2:1.6]</t>
    <phoneticPr fontId="5"/>
  </si>
  <si>
    <t>ハートパネル5個生成</t>
    <rPh sb="7" eb="8">
      <t>コ</t>
    </rPh>
    <rPh sb="8" eb="10">
      <t>セイセイ</t>
    </rPh>
    <phoneticPr fontId="5"/>
  </si>
  <si>
    <t>[effect:force_change_block, new_block:block_heart, target:block_all, ignore01:crash, ignore02:crack_bomb, ignore03:time_bomb, ignore04:jammer, count:5, val:0, animation:change_block],[effect:enemy_message, val1:1.4, val2:1.6]</t>
    <phoneticPr fontId="5"/>
  </si>
  <si>
    <t>解除されるまで全ての攻撃をカウンター+
体力タイプのスキルゲージ10上昇</t>
    <phoneticPr fontId="5"/>
  </si>
  <si>
    <t>[effect:enemy_message, val1:1, val2:2.8],[effect:damage_anti_cost, target:unit_all, lower:31, val1:50, val2:0.01, cost_type:unit],[effect:damage_anti_cost, target:unit_all, lower:31, val1:50, val2:0.01, cost_type:unit],[effect:damage_anti_tribe, target:unit_all, tribe:human, val1:0.01, val2:50]</t>
    <phoneticPr fontId="5"/>
  </si>
  <si>
    <t>13301_6</t>
    <phoneticPr fontId="5"/>
  </si>
  <si>
    <t>[effect:damage_anti_tribe, target:unit_all, tribe:samurai, val1:0.65, val2:0.15],[effect:degrade_unit, target:unit_all, turn:9, status:heal, val:0.25, animation:degrade_unit_all_heal],[effect:enemy_message, val1:1.4, val2:1.8]</t>
    <phoneticPr fontId="5"/>
  </si>
  <si>
    <t>[effect:enemy_counter, target:myself, invoke_condition:unit_all, counter_target:attacker, turn:-1, val:0.68, animation:enemy_counter],[effect:sp_boost, target:unit_hp, val:10, animation:sp_boost_one03],[effect:enemy_message, val1:1.4, val2:2.2]</t>
    <phoneticPr fontId="5"/>
  </si>
  <si>
    <t>[effect:enemy_message, val1:1, val2:2.7],[effect:fix_speed, target:myself, turn:1],[effect:force_change_block, new_block:block_heart, target:block_all, count:0, val:0, animation:change_block],[effect:enhance_unit, target:unit_all, turn:14, status:attack, val:1.9, calc:mul, animation:enhance_unit_all_attack03]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</si>
</sst>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13" borderId="7" xfId="0" applyFont="1" applyFill="1" applyBorder="1"/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13" borderId="3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6" fillId="0" borderId="7" xfId="0" applyFont="1" applyFill="1" applyBorder="1" applyAlignment="1">
      <alignment horizontal="center" vertical="center"/>
    </xf>
    <xf numFmtId="0" fontId="6" fillId="32" borderId="3" xfId="0" applyFont="1" applyFill="1" applyBorder="1" applyAlignment="1">
      <alignment vertical="center"/>
    </xf>
    <xf numFmtId="0" fontId="6" fillId="32" borderId="22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/>
    </xf>
    <xf numFmtId="0" fontId="16" fillId="13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1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11b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 refreshError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13300_11-1</v>
          </cell>
        </row>
        <row r="3">
          <cell r="A3" t="str">
            <v>13300_11-2</v>
          </cell>
        </row>
        <row r="4">
          <cell r="A4" t="str">
            <v>13300_11-3</v>
          </cell>
        </row>
      </sheetData>
      <sheetData sheetId="2" refreshError="1"/>
      <sheetData sheetId="3" refreshError="1"/>
      <sheetData sheetId="4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13300501</v>
          </cell>
        </row>
        <row r="3">
          <cell r="B3">
            <v>13300501</v>
          </cell>
        </row>
        <row r="4">
          <cell r="B4">
            <v>13300501</v>
          </cell>
        </row>
        <row r="5">
          <cell r="B5">
            <v>13300502</v>
          </cell>
        </row>
        <row r="6">
          <cell r="B6">
            <v>13300502</v>
          </cell>
        </row>
        <row r="7">
          <cell r="B7">
            <v>13300502</v>
          </cell>
        </row>
        <row r="8">
          <cell r="B8">
            <v>13300503</v>
          </cell>
        </row>
        <row r="9">
          <cell r="B9">
            <v>13300503</v>
          </cell>
        </row>
        <row r="10">
          <cell r="B10">
            <v>13300503</v>
          </cell>
        </row>
        <row r="11">
          <cell r="B11">
            <v>13300503</v>
          </cell>
        </row>
        <row r="12">
          <cell r="B12">
            <v>13300503</v>
          </cell>
        </row>
        <row r="13">
          <cell r="B13">
            <v>13300504</v>
          </cell>
        </row>
        <row r="14">
          <cell r="B14">
            <v>13300504</v>
          </cell>
        </row>
        <row r="15">
          <cell r="B15">
            <v>13300504</v>
          </cell>
        </row>
        <row r="16">
          <cell r="B16">
            <v>13300504</v>
          </cell>
        </row>
        <row r="17">
          <cell r="B17">
            <v>13300504</v>
          </cell>
        </row>
        <row r="18">
          <cell r="B18">
            <v>13300505</v>
          </cell>
        </row>
        <row r="19">
          <cell r="B19">
            <v>13300505</v>
          </cell>
        </row>
        <row r="20">
          <cell r="B20">
            <v>13300505</v>
          </cell>
        </row>
        <row r="21">
          <cell r="B21">
            <v>13300506</v>
          </cell>
        </row>
        <row r="22">
          <cell r="B22">
            <v>13300506</v>
          </cell>
        </row>
        <row r="23">
          <cell r="B23">
            <v>13300506</v>
          </cell>
        </row>
        <row r="24">
          <cell r="B24">
            <v>13300507</v>
          </cell>
        </row>
        <row r="25">
          <cell r="B25">
            <v>13300507</v>
          </cell>
        </row>
        <row r="26">
          <cell r="B26">
            <v>13300507</v>
          </cell>
        </row>
        <row r="27">
          <cell r="B27">
            <v>13300508</v>
          </cell>
        </row>
        <row r="28">
          <cell r="B28">
            <v>13300508</v>
          </cell>
        </row>
        <row r="29">
          <cell r="B29">
            <v>13300509</v>
          </cell>
        </row>
        <row r="30">
          <cell r="B30">
            <v>13300509</v>
          </cell>
        </row>
        <row r="31">
          <cell r="B31">
            <v>13300510</v>
          </cell>
        </row>
        <row r="32">
          <cell r="B32">
            <v>13300510</v>
          </cell>
        </row>
      </sheetData>
      <sheetData sheetId="5" refreshError="1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13300501</v>
          </cell>
        </row>
        <row r="3">
          <cell r="A3">
            <v>13300502</v>
          </cell>
        </row>
        <row r="4">
          <cell r="A4">
            <v>13300503</v>
          </cell>
        </row>
        <row r="5">
          <cell r="A5">
            <v>13300504</v>
          </cell>
        </row>
        <row r="6">
          <cell r="A6">
            <v>13300505</v>
          </cell>
        </row>
        <row r="7">
          <cell r="A7">
            <v>13300506</v>
          </cell>
        </row>
        <row r="8">
          <cell r="A8">
            <v>13300507</v>
          </cell>
        </row>
        <row r="9">
          <cell r="A9">
            <v>13300508</v>
          </cell>
        </row>
        <row r="10">
          <cell r="A10">
            <v>13300509</v>
          </cell>
        </row>
        <row r="11">
          <cell r="A11">
            <v>13300510</v>
          </cell>
        </row>
        <row r="12">
          <cell r="A12">
            <v>13300511</v>
          </cell>
        </row>
        <row r="13">
          <cell r="A13">
            <v>13300512</v>
          </cell>
        </row>
        <row r="14">
          <cell r="A14">
            <v>13300513</v>
          </cell>
        </row>
        <row r="15">
          <cell r="A15">
            <v>13300514</v>
          </cell>
        </row>
        <row r="16">
          <cell r="A16">
            <v>13300515</v>
          </cell>
        </row>
        <row r="17">
          <cell r="A17">
            <v>13300516</v>
          </cell>
        </row>
        <row r="18">
          <cell r="A18">
            <v>13300517</v>
          </cell>
        </row>
        <row r="19">
          <cell r="A19">
            <v>13300518</v>
          </cell>
        </row>
        <row r="20">
          <cell r="A20">
            <v>13300519</v>
          </cell>
        </row>
        <row r="21">
          <cell r="A21">
            <v>13300520</v>
          </cell>
        </row>
        <row r="22">
          <cell r="A22">
            <v>13300521</v>
          </cell>
        </row>
        <row r="23">
          <cell r="A23">
            <v>13300522</v>
          </cell>
        </row>
        <row r="24">
          <cell r="A24">
            <v>13300523</v>
          </cell>
        </row>
        <row r="25">
          <cell r="A25">
            <v>13300524</v>
          </cell>
        </row>
        <row r="26">
          <cell r="A26">
            <v>13300525</v>
          </cell>
        </row>
        <row r="27">
          <cell r="A27">
            <v>13300526</v>
          </cell>
        </row>
        <row r="28">
          <cell r="A28">
            <v>13300527</v>
          </cell>
        </row>
        <row r="29">
          <cell r="A29">
            <v>13300528</v>
          </cell>
        </row>
        <row r="30">
          <cell r="A30">
            <v>13300529</v>
          </cell>
        </row>
      </sheetData>
      <sheetData sheetId="6" refreshError="1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13300501</v>
          </cell>
        </row>
        <row r="3">
          <cell r="A3">
            <v>13300502</v>
          </cell>
        </row>
        <row r="4">
          <cell r="A4">
            <v>13300503</v>
          </cell>
        </row>
        <row r="5">
          <cell r="A5">
            <v>13300504</v>
          </cell>
        </row>
        <row r="6">
          <cell r="A6">
            <v>13300505</v>
          </cell>
        </row>
        <row r="7">
          <cell r="A7">
            <v>13300506</v>
          </cell>
        </row>
        <row r="8">
          <cell r="A8">
            <v>13300507</v>
          </cell>
        </row>
        <row r="9">
          <cell r="A9">
            <v>13300508</v>
          </cell>
        </row>
        <row r="10">
          <cell r="A10">
            <v>13300509</v>
          </cell>
        </row>
        <row r="11">
          <cell r="A11">
            <v>13300510</v>
          </cell>
        </row>
        <row r="12">
          <cell r="A12">
            <v>13300511</v>
          </cell>
        </row>
        <row r="13">
          <cell r="A13">
            <v>13300512</v>
          </cell>
        </row>
        <row r="14">
          <cell r="A14">
            <v>13300513</v>
          </cell>
        </row>
        <row r="15">
          <cell r="A15">
            <v>13300514</v>
          </cell>
        </row>
        <row r="16">
          <cell r="A16">
            <v>13300515</v>
          </cell>
        </row>
        <row r="17">
          <cell r="A17">
            <v>13300516</v>
          </cell>
        </row>
        <row r="18">
          <cell r="A18">
            <v>13300517</v>
          </cell>
        </row>
        <row r="19">
          <cell r="A19">
            <v>13300518</v>
          </cell>
        </row>
        <row r="20">
          <cell r="A20">
            <v>13300519</v>
          </cell>
        </row>
        <row r="21">
          <cell r="A21">
            <v>13300520</v>
          </cell>
        </row>
        <row r="22">
          <cell r="A22">
            <v>13300521</v>
          </cell>
        </row>
        <row r="23">
          <cell r="A23">
            <v>13300522</v>
          </cell>
        </row>
        <row r="24">
          <cell r="A24">
            <v>13300523</v>
          </cell>
        </row>
        <row r="25">
          <cell r="A25">
            <v>13300524</v>
          </cell>
        </row>
        <row r="26">
          <cell r="A26">
            <v>13300525</v>
          </cell>
        </row>
        <row r="27">
          <cell r="A27">
            <v>13300526</v>
          </cell>
        </row>
        <row r="28">
          <cell r="A28">
            <v>13300527</v>
          </cell>
        </row>
        <row r="29">
          <cell r="A29">
            <v>13300528</v>
          </cell>
        </row>
        <row r="30">
          <cell r="A30">
            <v>13300529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13300_11-1</v>
          </cell>
        </row>
        <row r="3">
          <cell r="A3" t="str">
            <v>13300_11-2</v>
          </cell>
        </row>
        <row r="4">
          <cell r="A4" t="str">
            <v>13300_11-3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zoomScale="110" zoomScaleNormal="110" zoomScalePageLayoutView="110" workbookViewId="0">
      <selection activeCell="B14" sqref="B14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251</v>
      </c>
      <c r="B2" s="55" t="s">
        <v>105</v>
      </c>
      <c r="C2" s="60" t="s">
        <v>338</v>
      </c>
      <c r="D2" s="55" t="s">
        <v>106</v>
      </c>
      <c r="E2" s="54" t="str">
        <f t="shared" ref="E2:E13" si="0">B2&amp;C2&amp;D2</f>
        <v>floors_13301_6.tmp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251</v>
      </c>
      <c r="B3" s="55" t="s">
        <v>108</v>
      </c>
      <c r="C3" s="60" t="str">
        <f t="shared" ref="C3:C13" si="1">C$2</f>
        <v>13301_6</v>
      </c>
      <c r="D3" s="55" t="s">
        <v>106</v>
      </c>
      <c r="E3" s="54" t="str">
        <f t="shared" si="0"/>
        <v>enemy_habitats_13301_6.tmp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175</v>
      </c>
    </row>
    <row r="4" spans="1:30" x14ac:dyDescent="0.15">
      <c r="A4" s="59" t="s">
        <v>251</v>
      </c>
      <c r="B4" s="55" t="s">
        <v>110</v>
      </c>
      <c r="C4" s="60" t="str">
        <f t="shared" si="1"/>
        <v>13301_6</v>
      </c>
      <c r="D4" s="55" t="s">
        <v>106</v>
      </c>
      <c r="E4" s="54" t="str">
        <f t="shared" si="0"/>
        <v>enemy_habitat_S_13301_6.tmp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251</v>
      </c>
      <c r="B5" s="55" t="s">
        <v>112</v>
      </c>
      <c r="C5" s="60" t="str">
        <f t="shared" si="1"/>
        <v>13301_6</v>
      </c>
      <c r="D5" s="55" t="s">
        <v>106</v>
      </c>
      <c r="E5" s="54" t="str">
        <f t="shared" si="0"/>
        <v>enemy_skill_sets_13301_6.tmp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251</v>
      </c>
      <c r="B6" s="55" t="s">
        <v>114</v>
      </c>
      <c r="C6" s="60" t="str">
        <f t="shared" si="1"/>
        <v>13301_6</v>
      </c>
      <c r="D6" s="55" t="s">
        <v>115</v>
      </c>
      <c r="E6" s="54" t="str">
        <f t="shared" si="0"/>
        <v>enemy_skills_tmp_13301_6.tmp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251</v>
      </c>
      <c r="B7" s="55" t="s">
        <v>116</v>
      </c>
      <c r="C7" s="60" t="str">
        <f t="shared" si="1"/>
        <v>13301_6</v>
      </c>
      <c r="D7" s="55" t="s">
        <v>106</v>
      </c>
      <c r="E7" s="54" t="str">
        <f t="shared" si="0"/>
        <v>enemy_skills_i18n_13301_6.tmp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251</v>
      </c>
      <c r="B8" s="55" t="s">
        <v>118</v>
      </c>
      <c r="C8" s="60" t="str">
        <f t="shared" si="1"/>
        <v>13301_6</v>
      </c>
      <c r="D8" s="55" t="s">
        <v>119</v>
      </c>
      <c r="E8" s="54" t="str">
        <f t="shared" si="0"/>
        <v>enemy_skill_triggers_13301_6.tmp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251</v>
      </c>
      <c r="B9" s="65" t="s">
        <v>174</v>
      </c>
      <c r="C9" s="60" t="str">
        <f t="shared" si="1"/>
        <v>13301_6</v>
      </c>
      <c r="D9" s="65" t="s">
        <v>168</v>
      </c>
      <c r="E9" s="66" t="str">
        <f t="shared" si="0"/>
        <v>stage_bug_bonuses_13301_6.tmp</v>
      </c>
      <c r="F9" s="65" t="s">
        <v>169</v>
      </c>
      <c r="G9" s="62" t="s">
        <v>148</v>
      </c>
      <c r="H9" s="62" t="s">
        <v>170</v>
      </c>
      <c r="I9" s="62" t="s">
        <v>171</v>
      </c>
      <c r="J9" s="64" t="s">
        <v>172</v>
      </c>
      <c r="K9" s="62" t="s">
        <v>173</v>
      </c>
      <c r="L9" s="62" t="s">
        <v>154</v>
      </c>
      <c r="M9" s="62" t="s">
        <v>155</v>
      </c>
      <c r="N9" s="62" t="s">
        <v>156</v>
      </c>
      <c r="O9" s="62" t="s">
        <v>157</v>
      </c>
      <c r="P9" s="62" t="s">
        <v>158</v>
      </c>
      <c r="Q9" s="62" t="s">
        <v>159</v>
      </c>
      <c r="R9" s="62" t="s">
        <v>160</v>
      </c>
      <c r="S9" s="62" t="s">
        <v>161</v>
      </c>
      <c r="T9" s="62" t="s">
        <v>162</v>
      </c>
      <c r="U9" s="62" t="s">
        <v>163</v>
      </c>
      <c r="V9" s="62" t="s">
        <v>164</v>
      </c>
      <c r="W9" s="62" t="s">
        <v>165</v>
      </c>
      <c r="X9" s="55"/>
      <c r="Y9" s="55"/>
      <c r="Z9" s="55"/>
      <c r="AA9" s="55"/>
      <c r="AB9" s="55"/>
      <c r="AC9" s="55"/>
      <c r="AD9" s="55"/>
    </row>
    <row r="10" spans="1:30" s="72" customFormat="1" x14ac:dyDescent="0.15">
      <c r="A10" s="59" t="s">
        <v>184</v>
      </c>
      <c r="B10" s="65" t="s">
        <v>198</v>
      </c>
      <c r="C10" s="60" t="str">
        <f t="shared" si="1"/>
        <v>13301_6</v>
      </c>
      <c r="D10" s="65" t="s">
        <v>177</v>
      </c>
      <c r="E10" s="66" t="str">
        <f t="shared" si="0"/>
        <v>stage_hints_data_c_13301_6.tmp</v>
      </c>
      <c r="F10" s="65" t="s">
        <v>206</v>
      </c>
      <c r="G10" s="70" t="s">
        <v>178</v>
      </c>
      <c r="H10" s="70" t="s">
        <v>170</v>
      </c>
      <c r="I10" s="71" t="s">
        <v>179</v>
      </c>
      <c r="J10" s="64" t="s">
        <v>180</v>
      </c>
      <c r="K10" s="64" t="s">
        <v>181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2" customFormat="1" x14ac:dyDescent="0.15">
      <c r="A11" s="59" t="s">
        <v>251</v>
      </c>
      <c r="B11" s="65" t="s">
        <v>199</v>
      </c>
      <c r="C11" s="60" t="str">
        <f t="shared" si="1"/>
        <v>13301_6</v>
      </c>
      <c r="D11" s="65" t="s">
        <v>168</v>
      </c>
      <c r="E11" s="66" t="str">
        <f t="shared" si="0"/>
        <v>stage_hints_data_f_13301_6.tmp</v>
      </c>
      <c r="F11" s="65" t="s">
        <v>207</v>
      </c>
      <c r="G11" s="70" t="s">
        <v>178</v>
      </c>
      <c r="H11" s="70" t="s">
        <v>170</v>
      </c>
      <c r="I11" s="71" t="s">
        <v>179</v>
      </c>
      <c r="J11" s="64" t="s">
        <v>180</v>
      </c>
      <c r="K11" s="64" t="s">
        <v>181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2" customFormat="1" x14ac:dyDescent="0.15">
      <c r="A12" s="59" t="s">
        <v>251</v>
      </c>
      <c r="B12" s="65" t="s">
        <v>200</v>
      </c>
      <c r="C12" s="60" t="str">
        <f t="shared" si="1"/>
        <v>13301_6</v>
      </c>
      <c r="D12" s="65" t="s">
        <v>168</v>
      </c>
      <c r="E12" s="66" t="str">
        <f t="shared" si="0"/>
        <v>stage_hints_i18n_13301_6.tmp</v>
      </c>
      <c r="F12" s="65" t="s">
        <v>208</v>
      </c>
      <c r="G12" s="71" t="s">
        <v>201</v>
      </c>
      <c r="H12" s="89" t="s">
        <v>202</v>
      </c>
      <c r="I12" s="70" t="s">
        <v>203</v>
      </c>
      <c r="J12" s="97" t="s">
        <v>204</v>
      </c>
      <c r="K12" s="64" t="s">
        <v>205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2" customFormat="1" x14ac:dyDescent="0.15">
      <c r="A13" s="59" t="s">
        <v>251</v>
      </c>
      <c r="B13" s="65" t="s">
        <v>246</v>
      </c>
      <c r="C13" s="60" t="str">
        <f t="shared" si="1"/>
        <v>13301_6</v>
      </c>
      <c r="D13" s="65" t="s">
        <v>227</v>
      </c>
      <c r="E13" s="66" t="str">
        <f t="shared" si="0"/>
        <v>stage_bonuses_13301_6.tmp</v>
      </c>
      <c r="F13" s="65" t="s">
        <v>226</v>
      </c>
      <c r="G13" s="70" t="s">
        <v>228</v>
      </c>
      <c r="H13" s="70" t="s">
        <v>229</v>
      </c>
      <c r="I13" s="70" t="s">
        <v>230</v>
      </c>
      <c r="J13" s="70" t="s">
        <v>231</v>
      </c>
      <c r="K13" s="70" t="s">
        <v>232</v>
      </c>
      <c r="L13" s="70" t="s">
        <v>233</v>
      </c>
      <c r="M13" s="70" t="s">
        <v>234</v>
      </c>
      <c r="N13" s="70" t="s">
        <v>235</v>
      </c>
      <c r="O13" s="70" t="s">
        <v>236</v>
      </c>
      <c r="P13" s="70" t="s">
        <v>237</v>
      </c>
      <c r="Q13" s="70" t="s">
        <v>238</v>
      </c>
      <c r="R13" s="70" t="s">
        <v>239</v>
      </c>
      <c r="S13" s="70" t="s">
        <v>240</v>
      </c>
      <c r="T13" s="70" t="s">
        <v>241</v>
      </c>
      <c r="U13" s="70" t="s">
        <v>242</v>
      </c>
      <c r="V13" s="70" t="s">
        <v>243</v>
      </c>
      <c r="W13" s="70" t="s">
        <v>244</v>
      </c>
      <c r="X13" s="70" t="s">
        <v>245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D6" sqref="D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13301_6-1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6</v>
      </c>
      <c r="G2" s="22" t="str">
        <f>C2&amp;"_"&amp;F2</f>
        <v>13301_6</v>
      </c>
      <c r="H2" s="15" t="str">
        <f ca="1">VLOOKUP($G2,OFFSET([2]stages!$A$1,0,0,COUNTA([2]stages!$A:$A),MATCH(H$1,[2]stages!$2:$2,0)-MATCH($G$1,[2]stages!$2:$2,0)+1),MATCH(H$1,[2]stages!$2:$2,0)-MATCH($G$1,[2]stages!$2:$2,0)+1,FALSE)</f>
        <v>6階 コスト30以下ヒューマン限定</v>
      </c>
      <c r="I2" s="20">
        <v>1</v>
      </c>
      <c r="J2" s="12">
        <v>40</v>
      </c>
      <c r="K2" s="12">
        <v>40</v>
      </c>
    </row>
    <row r="3" spans="1:11" ht="21" customHeight="1" x14ac:dyDescent="0.15">
      <c r="A3" s="16" t="str">
        <f>G3&amp;"-"&amp;I3</f>
        <v>13301_6-2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6</v>
      </c>
      <c r="G3" s="22" t="str">
        <f>C3&amp;"_"&amp;F3</f>
        <v>13301_6</v>
      </c>
      <c r="H3" s="15" t="str">
        <f ca="1">VLOOKUP($G3,OFFSET([2]stages!$A$1,0,0,COUNTA([2]stages!$A:$A),MATCH(H$1,[2]stages!$2:$2,0)-MATCH($G$1,[2]stages!$2:$2,0)+1),MATCH(H$1,[2]stages!$2:$2,0)-MATCH($G$1,[2]stages!$2:$2,0)+1,FALSE)</f>
        <v>6階 コスト30以下ヒューマン限定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13301_6-3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6</v>
      </c>
      <c r="G4" s="22" t="str">
        <f>C4&amp;"_"&amp;F4</f>
        <v>13301_6</v>
      </c>
      <c r="H4" s="15" t="str">
        <f ca="1">VLOOKUP($G4,OFFSET([2]stages!$A$1,0,0,COUNTA([2]stages!$A:$A),MATCH(H$1,[2]stages!$2:$2,0)-MATCH($G$1,[2]stages!$2:$2,0)+1),MATCH(H$1,[2]stages!$2:$2,0)-MATCH($G$1,[2]stages!$2:$2,0)+1,FALSE)</f>
        <v>6階 コスト30以下ヒューマン限定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1" sqref="S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6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8" t="s">
        <v>247</v>
      </c>
      <c r="U1" s="24" t="s">
        <v>50</v>
      </c>
      <c r="V1" s="98" t="s">
        <v>248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176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13301_6-1/56&lt;lv40&gt;s2</v>
      </c>
      <c r="B2" s="21">
        <v>13301</v>
      </c>
      <c r="C2" s="103">
        <v>6</v>
      </c>
      <c r="D2" s="15" t="str">
        <f t="shared" ref="D2:D7" si="1">B2&amp;"_"&amp;C2</f>
        <v>13301_6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6階 コスト30以下ヒューマン限定</v>
      </c>
      <c r="G2" s="103">
        <v>1</v>
      </c>
      <c r="H2" s="15" t="str">
        <f t="shared" ref="H2:H7" si="2">B2&amp;"_"&amp;C2&amp;"-"&amp;G2</f>
        <v>13301_6-1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88</v>
      </c>
      <c r="L2" s="104">
        <v>56</v>
      </c>
      <c r="M2" s="17" t="str">
        <f ca="1">VLOOKUP($L2,OFFSET([4]enemies!$A$1,0,0,COUNTA([4]enemies!$A:$A),MATCH(M$1,[4]enemies!$1:$1,0)-MATCH($L$1,[4]enemies!$1:$1,0)+1),MATCH(M$1,[4]enemies!$1:$1,0)-MATCH($L$1,[4]enemies!$1:$1,0)+1,FALSE)</f>
        <v>黄槌のレジスタンス マミコ</v>
      </c>
      <c r="N2" s="17" t="str">
        <f ca="1">VLOOKUP($L2,OFFSET([4]enemies!$A$1,0,0,COUNTA([4]enemies!$A:$A),MATCH(N$1,[4]enemies!$1:$1,0)-MATCH($L$1,[4]enemies!$1:$1,0)+1),MATCH(N$1,[4]enemies!$1:$1,0)-MATCH($L$1,[4]enemies!$1:$1,0)+1,FALSE)</f>
        <v>yellow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Drop1N</v>
      </c>
      <c r="P2" s="17" t="str">
        <f ca="1">VLOOKUP($L2,OFFSET([4]enemies!$A$1,0,0,COUNTA([4]enemies!$A:$A),MATCH(P$1,[4]enemies!$1:$1,0)-MATCH($L$1,[4]enemies!$1:$1,0)+1),MATCH(P$1,[4]enemies!$1:$1,0)-MATCH($L$1,[4]enemies!$1:$1,0)+1,FALSE)</f>
        <v>human</v>
      </c>
      <c r="Q2" s="17">
        <f ca="1">VLOOKUP($L2,OFFSET([4]enemies!$A$1,0,0,COUNTA([4]enemies!$A:$A),MATCH(Q$1,[4]enemies!$1:$1,0)-MATCH($L$1,[4]enemies!$1:$1,0)+1),MATCH(Q$1,[4]enemies!$1:$1,0)-MATCH($L$1,[4]enemies!$1:$1,0)+1,FALSE)</f>
        <v>20</v>
      </c>
      <c r="R2" s="5">
        <v>40</v>
      </c>
      <c r="S2" s="23">
        <v>1.5</v>
      </c>
      <c r="T2" s="99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37848</v>
      </c>
      <c r="U2" s="23">
        <v>0.6</v>
      </c>
      <c r="V2" s="99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2509.7999999999997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2" s="105">
        <v>13301501</v>
      </c>
      <c r="Z2" s="6">
        <v>1</v>
      </c>
      <c r="AA2" s="6">
        <v>100</v>
      </c>
      <c r="AB2" s="6">
        <v>0</v>
      </c>
      <c r="AC2" s="106">
        <v>2</v>
      </c>
      <c r="AD2" s="107">
        <f t="shared" ref="AD2:AD7" si="3">L2</f>
        <v>56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黄槌のレジスタンス マミコ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3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Drop1N</v>
      </c>
      <c r="AH2" s="108">
        <v>1</v>
      </c>
      <c r="AI2" s="107">
        <f t="shared" ref="AI2:AI7" ca="1" si="4">AF2</f>
        <v>3</v>
      </c>
      <c r="AJ2" s="8">
        <v>0</v>
      </c>
      <c r="AK2" s="108">
        <v>0</v>
      </c>
      <c r="AL2" s="108">
        <v>0</v>
      </c>
      <c r="AM2" s="108">
        <v>0</v>
      </c>
      <c r="AN2" s="108">
        <v>0</v>
      </c>
      <c r="AO2" s="108">
        <v>1</v>
      </c>
      <c r="AP2" s="67">
        <v>1</v>
      </c>
    </row>
    <row r="3" spans="1:42" ht="21" customHeight="1" x14ac:dyDescent="0.15">
      <c r="A3" s="16" t="str">
        <f t="shared" si="0"/>
        <v>13301_6-1/54&lt;lv40&gt;s1</v>
      </c>
      <c r="B3" s="21">
        <v>13301</v>
      </c>
      <c r="C3" s="103">
        <v>6</v>
      </c>
      <c r="D3" s="15" t="str">
        <f t="shared" si="1"/>
        <v>13301_6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6階 コスト30以下ヒューマン限定</v>
      </c>
      <c r="G3" s="103">
        <v>1</v>
      </c>
      <c r="H3" s="15" t="str">
        <f t="shared" si="2"/>
        <v>13301_6-1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88</v>
      </c>
      <c r="L3" s="104">
        <v>54</v>
      </c>
      <c r="M3" s="17" t="str">
        <f ca="1">VLOOKUP($L3,OFFSET([4]enemies!$A$1,0,0,COUNTA([4]enemies!$A:$A),MATCH(M$1,[4]enemies!$1:$1,0)-MATCH($L$1,[4]enemies!$1:$1,0)+1),MATCH(M$1,[4]enemies!$1:$1,0)-MATCH($L$1,[4]enemies!$1:$1,0)+1,FALSE)</f>
        <v>蒼斬のレジスタンス ケンジ</v>
      </c>
      <c r="N3" s="17" t="str">
        <f ca="1">VLOOKUP($L3,OFFSET([4]enemies!$A$1,0,0,COUNTA([4]enemies!$A:$A),MATCH(N$1,[4]enemies!$1:$1,0)-MATCH($L$1,[4]enemies!$1:$1,0)+1),MATCH(N$1,[4]enemies!$1:$1,0)-MATCH($L$1,[4]enemies!$1:$1,0)+1,FALSE)</f>
        <v>blue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Drop1N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human</v>
      </c>
      <c r="Q3" s="17">
        <f ca="1">VLOOKUP($L3,OFFSET([4]enemies!$A$1,0,0,COUNTA([4]enemies!$A:$A),MATCH(Q$1,[4]enemies!$1:$1,0)-MATCH($L$1,[4]enemies!$1:$1,0)+1),MATCH(Q$1,[4]enemies!$1:$1,0)-MATCH($L$1,[4]enemies!$1:$1,0)+1,FALSE)</f>
        <v>20</v>
      </c>
      <c r="R3" s="5">
        <v>40</v>
      </c>
      <c r="S3" s="23">
        <v>1.5</v>
      </c>
      <c r="T3" s="99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38620.5</v>
      </c>
      <c r="U3" s="23">
        <v>0.4</v>
      </c>
      <c r="V3" s="99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1623.6000000000001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3" s="105">
        <v>13301502</v>
      </c>
      <c r="Z3" s="6">
        <v>1</v>
      </c>
      <c r="AA3" s="6">
        <v>100</v>
      </c>
      <c r="AB3" s="6">
        <v>0</v>
      </c>
      <c r="AC3" s="106">
        <v>1</v>
      </c>
      <c r="AD3" s="107">
        <f t="shared" si="3"/>
        <v>54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蒼斬のレジスタンス ケンジ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Drop1N</v>
      </c>
      <c r="AH3" s="108">
        <v>1</v>
      </c>
      <c r="AI3" s="107">
        <f t="shared" ca="1" si="4"/>
        <v>3</v>
      </c>
      <c r="AJ3" s="8">
        <v>0</v>
      </c>
      <c r="AK3" s="108">
        <v>0</v>
      </c>
      <c r="AL3" s="108">
        <v>0</v>
      </c>
      <c r="AM3" s="108">
        <v>0</v>
      </c>
      <c r="AN3" s="108">
        <v>0</v>
      </c>
      <c r="AO3" s="108">
        <v>1</v>
      </c>
      <c r="AP3" s="67">
        <v>1</v>
      </c>
    </row>
    <row r="4" spans="1:42" ht="21" customHeight="1" x14ac:dyDescent="0.15">
      <c r="A4" s="16" t="str">
        <f t="shared" si="0"/>
        <v>13301_6-2/676&lt;lv60&gt;s2</v>
      </c>
      <c r="B4" s="21">
        <v>13301</v>
      </c>
      <c r="C4" s="103">
        <v>6</v>
      </c>
      <c r="D4" s="15" t="str">
        <f t="shared" si="1"/>
        <v>13301_6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6階 コスト30以下ヒューマン限定</v>
      </c>
      <c r="G4" s="103">
        <v>2</v>
      </c>
      <c r="H4" s="15" t="str">
        <f t="shared" si="2"/>
        <v>13301_6-2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88</v>
      </c>
      <c r="L4" s="109">
        <v>676</v>
      </c>
      <c r="M4" s="17" t="str">
        <f ca="1">VLOOKUP($L4,OFFSET([4]enemies!$A$1,0,0,COUNTA([4]enemies!$A:$A),MATCH(M$1,[4]enemies!$1:$1,0)-MATCH($L$1,[4]enemies!$1:$1,0)+1),MATCH(M$1,[4]enemies!$1:$1,0)-MATCH($L$1,[4]enemies!$1:$1,0)+1,FALSE)</f>
        <v>ヴィシュヌ</v>
      </c>
      <c r="N4" s="17" t="str">
        <f ca="1">VLOOKUP($L4,OFFSET([4]enemies!$A$1,0,0,COUNTA([4]enemies!$A:$A),MATCH(N$1,[4]enemies!$1:$1,0)-MATCH($L$1,[4]enemies!$1:$1,0)+1),MATCH(N$1,[4]enemies!$1:$1,0)-MATCH($L$1,[4]enemies!$1:$1,0)+1,FALSE)</f>
        <v>yellow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PremiumSS</v>
      </c>
      <c r="P4" s="17" t="str">
        <f ca="1">VLOOKUP($L4,OFFSET([4]enemies!$A$1,0,0,COUNTA([4]enemies!$A:$A),MATCH(P$1,[4]enemies!$1:$1,0)-MATCH($L$1,[4]enemies!$1:$1,0)+1),MATCH(P$1,[4]enemies!$1:$1,0)-MATCH($L$1,[4]enemies!$1:$1,0)+1,FALSE)</f>
        <v>god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60</v>
      </c>
      <c r="S4" s="23">
        <v>3.3</v>
      </c>
      <c r="T4" s="99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248216.09999999998</v>
      </c>
      <c r="U4" s="23">
        <v>0.5</v>
      </c>
      <c r="V4" s="99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4272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4" s="105">
        <v>13301503</v>
      </c>
      <c r="Z4" s="6">
        <v>0</v>
      </c>
      <c r="AA4" s="6">
        <v>100</v>
      </c>
      <c r="AB4" s="6">
        <v>0</v>
      </c>
      <c r="AC4" s="106">
        <v>2</v>
      </c>
      <c r="AD4" s="107">
        <f t="shared" si="3"/>
        <v>676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ヴィシュヌ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4" s="108">
        <v>1</v>
      </c>
      <c r="AI4" s="107">
        <f t="shared" ca="1" si="4"/>
        <v>4</v>
      </c>
      <c r="AJ4" s="8">
        <v>0</v>
      </c>
      <c r="AK4" s="108">
        <v>0</v>
      </c>
      <c r="AL4" s="108">
        <v>0</v>
      </c>
      <c r="AM4" s="108">
        <v>0</v>
      </c>
      <c r="AN4" s="108">
        <v>0</v>
      </c>
      <c r="AO4" s="108">
        <v>1</v>
      </c>
      <c r="AP4" s="67">
        <v>1</v>
      </c>
    </row>
    <row r="5" spans="1:42" ht="21" customHeight="1" x14ac:dyDescent="0.15">
      <c r="A5" s="16" t="str">
        <f t="shared" si="0"/>
        <v>13301_6-2/748&lt;lv60&gt;s2</v>
      </c>
      <c r="B5" s="21">
        <v>13301</v>
      </c>
      <c r="C5" s="103">
        <v>6</v>
      </c>
      <c r="D5" s="15" t="str">
        <f t="shared" si="1"/>
        <v>13301_6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6階 コスト30以下ヒューマン限定</v>
      </c>
      <c r="G5" s="103">
        <v>2</v>
      </c>
      <c r="H5" s="15" t="str">
        <f t="shared" si="2"/>
        <v>13301_6-2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88</v>
      </c>
      <c r="L5" s="109">
        <v>748</v>
      </c>
      <c r="M5" s="17" t="str">
        <f ca="1">VLOOKUP($L5,OFFSET([4]enemies!$A$1,0,0,COUNTA([4]enemies!$A:$A),MATCH(M$1,[4]enemies!$1:$1,0)-MATCH($L$1,[4]enemies!$1:$1,0)+1),MATCH(M$1,[4]enemies!$1:$1,0)-MATCH($L$1,[4]enemies!$1:$1,0)+1,FALSE)</f>
        <v>パーン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PremiumS</v>
      </c>
      <c r="P5" s="17" t="str">
        <f ca="1">VLOOKUP($L5,OFFSET([4]enemies!$A$1,0,0,COUNTA([4]enemies!$A:$A),MATCH(P$1,[4]enemies!$1:$1,0)-MATCH($L$1,[4]enemies!$1:$1,0)+1),MATCH(P$1,[4]enemies!$1:$1,0)-MATCH($L$1,[4]enemies!$1:$1,0)+1,FALSE)</f>
        <v>animal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60</v>
      </c>
      <c r="S5" s="23">
        <v>4.0999999999999996</v>
      </c>
      <c r="T5" s="99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256992.09999999998</v>
      </c>
      <c r="U5" s="23">
        <v>0.8</v>
      </c>
      <c r="V5" s="99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4323.2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5" s="105">
        <v>13301504</v>
      </c>
      <c r="Z5" s="6">
        <v>0</v>
      </c>
      <c r="AA5" s="6">
        <v>100</v>
      </c>
      <c r="AB5" s="6">
        <v>1</v>
      </c>
      <c r="AC5" s="106">
        <v>2</v>
      </c>
      <c r="AD5" s="107">
        <f t="shared" si="3"/>
        <v>748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パーン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5" s="108">
        <v>1</v>
      </c>
      <c r="AI5" s="107">
        <f t="shared" ca="1" si="4"/>
        <v>4</v>
      </c>
      <c r="AJ5" s="8">
        <v>0</v>
      </c>
      <c r="AK5" s="108">
        <v>0</v>
      </c>
      <c r="AL5" s="108">
        <v>0</v>
      </c>
      <c r="AM5" s="108">
        <v>0</v>
      </c>
      <c r="AN5" s="108">
        <v>0</v>
      </c>
      <c r="AO5" s="108">
        <v>1</v>
      </c>
      <c r="AP5" s="67">
        <v>1</v>
      </c>
    </row>
    <row r="6" spans="1:42" ht="21" customHeight="1" x14ac:dyDescent="0.15">
      <c r="A6" s="16" t="str">
        <f t="shared" si="0"/>
        <v>13301_6-3/479&lt;lv60&gt;s1</v>
      </c>
      <c r="B6" s="21">
        <v>13301</v>
      </c>
      <c r="C6" s="103">
        <v>6</v>
      </c>
      <c r="D6" s="15" t="str">
        <f t="shared" si="1"/>
        <v>13301_6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6階 コスト30以下ヒューマン限定</v>
      </c>
      <c r="G6" s="103">
        <v>3</v>
      </c>
      <c r="H6" s="15" t="str">
        <f t="shared" si="2"/>
        <v>13301_6-3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6">
        <v>1</v>
      </c>
      <c r="L6" s="104">
        <v>479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フール</v>
      </c>
      <c r="N6" s="17" t="str">
        <f ca="1">VLOOKUP($L6,OFFSET([4]enemies!$A$1,0,0,COUNTA([4]enemies!$A:$A),MATCH(N$1,[4]enemies!$1:$1,0)-MATCH($L$1,[4]enemies!$1:$1,0)+1),MATCH(N$1,[4]enemies!$1:$1,0)-MATCH($L$1,[4]enemies!$1:$1,0)+1,FALSE)</f>
        <v>blue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PremiumSS</v>
      </c>
      <c r="P6" s="17" t="str">
        <f ca="1">VLOOKUP($L6,OFFSET([4]enemies!$A$1,0,0,COUNTA([4]enemies!$A:$A),MATCH(P$1,[4]enemies!$1:$1,0)-MATCH($L$1,[4]enemies!$1:$1,0)+1),MATCH(P$1,[4]enemies!$1:$1,0)-MATCH($L$1,[4]enemies!$1:$1,0)+1,FALSE)</f>
        <v>god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60</v>
      </c>
      <c r="S6" s="23">
        <v>3.7</v>
      </c>
      <c r="T6" s="99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255584.90000000002</v>
      </c>
      <c r="U6" s="23">
        <v>1.1000000000000001</v>
      </c>
      <c r="V6" s="99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6171.0000000000009</v>
      </c>
      <c r="W6" s="5">
        <v>0</v>
      </c>
      <c r="X6" s="4" t="e">
        <f ca="1">VLOOKUP($Y6,OFFSET([3]enemy_skill_sets!$B$1,0,0,COUNTA([3]enemy_skill_sets!$B:$B),MATCH(M$1,[3]enemy_skill_sets!$1:$1,0)-MATCH($Y$1,[3]enemy_skill_sets!$1:$1,0)+2),MATCH(M$1,[3]enemy_skill_sets!$1:$1,0)-MATCH($Y$1,[3]enemy_skill_sets!$1:$1,0)+2,FALSE)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6" s="105">
        <v>13301505</v>
      </c>
      <c r="Z6" s="6">
        <v>0</v>
      </c>
      <c r="AA6" s="6">
        <v>100</v>
      </c>
      <c r="AB6" s="6">
        <v>0</v>
      </c>
      <c r="AC6" s="106">
        <v>1</v>
      </c>
      <c r="AD6" s="107">
        <f t="shared" si="3"/>
        <v>479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フール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6" s="108">
        <v>1</v>
      </c>
      <c r="AI6" s="107">
        <f t="shared" ca="1" si="4"/>
        <v>4</v>
      </c>
      <c r="AJ6" s="8">
        <v>0</v>
      </c>
      <c r="AK6" s="108">
        <v>0</v>
      </c>
      <c r="AL6" s="108">
        <v>0</v>
      </c>
      <c r="AM6" s="108">
        <v>0</v>
      </c>
      <c r="AN6" s="108">
        <v>0</v>
      </c>
      <c r="AO6" s="108">
        <v>1</v>
      </c>
      <c r="AP6" s="67">
        <v>1</v>
      </c>
    </row>
    <row r="7" spans="1:42" ht="21" customHeight="1" x14ac:dyDescent="0.15">
      <c r="A7" s="16" t="str">
        <f t="shared" si="0"/>
        <v>13301_6-3/388&lt;lv60&gt;s1</v>
      </c>
      <c r="B7" s="21">
        <v>13301</v>
      </c>
      <c r="C7" s="103">
        <v>6</v>
      </c>
      <c r="D7" s="15" t="str">
        <f t="shared" si="1"/>
        <v>13301_6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6階 コスト30以下ヒューマン限定</v>
      </c>
      <c r="G7" s="103">
        <v>3</v>
      </c>
      <c r="H7" s="15" t="str">
        <f t="shared" si="2"/>
        <v>13301_6-3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6">
        <v>2</v>
      </c>
      <c r="L7" s="104">
        <v>388</v>
      </c>
      <c r="M7" s="17" t="str">
        <f ca="1">VLOOKUP($L7,OFFSET([4]enemies!$A$1,0,0,COUNTA([4]enemies!$A:$A),MATCH(M$1,[4]enemies!$1:$1,0)-MATCH($L$1,[4]enemies!$1:$1,0)+1),MATCH(M$1,[4]enemies!$1:$1,0)-MATCH($L$1,[4]enemies!$1:$1,0)+1,FALSE)</f>
        <v>神円の恋姫 スフィンクス</v>
      </c>
      <c r="N7" s="17" t="str">
        <f ca="1">VLOOKUP($L7,OFFSET([4]enemies!$A$1,0,0,COUNTA([4]enemies!$A:$A),MATCH(N$1,[4]enemies!$1:$1,0)-MATCH($L$1,[4]enemies!$1:$1,0)+1),MATCH(N$1,[4]enemies!$1:$1,0)-MATCH($L$1,[4]enemies!$1:$1,0)+1,FALSE)</f>
        <v>yellow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PremiumS</v>
      </c>
      <c r="P7" s="17" t="str">
        <f ca="1">VLOOKUP($L7,OFFSET([4]enemies!$A$1,0,0,COUNTA([4]enemies!$A:$A),MATCH(P$1,[4]enemies!$1:$1,0)-MATCH($L$1,[4]enemies!$1:$1,0)+1),MATCH(P$1,[4]enemies!$1:$1,0)-MATCH($L$1,[4]enemies!$1:$1,0)+1,FALSE)</f>
        <v>animal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60</v>
      </c>
      <c r="S7" s="23">
        <v>3.7</v>
      </c>
      <c r="T7" s="99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231919.7</v>
      </c>
      <c r="U7" s="23">
        <v>1</v>
      </c>
      <c r="V7" s="99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5404</v>
      </c>
      <c r="W7" s="5">
        <v>0</v>
      </c>
      <c r="X7" s="4" t="e">
        <f ca="1">VLOOKUP($Y7,OFFSET([3]enemy_skill_sets!$B$1,0,0,COUNTA([3]enemy_skill_sets!$B:$B),MATCH(M$1,[3]enemy_skill_sets!$1:$1,0)-MATCH($Y$1,[3]enemy_skill_sets!$1:$1,0)+2),MATCH(M$1,[3]enemy_skill_sets!$1:$1,0)-MATCH($Y$1,[3]enemy_skill_sets!$1:$1,0)+2,FALSE)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7" s="105">
        <v>13301508</v>
      </c>
      <c r="Z7" s="6">
        <v>0</v>
      </c>
      <c r="AA7" s="6">
        <v>100</v>
      </c>
      <c r="AB7" s="6">
        <v>1</v>
      </c>
      <c r="AC7" s="106">
        <v>1</v>
      </c>
      <c r="AD7" s="107">
        <f t="shared" si="3"/>
        <v>388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神円の恋姫 スフィンクス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7" s="108">
        <v>1</v>
      </c>
      <c r="AI7" s="107">
        <f t="shared" ca="1" si="4"/>
        <v>4</v>
      </c>
      <c r="AJ7" s="8">
        <v>0</v>
      </c>
      <c r="AK7" s="108">
        <v>0</v>
      </c>
      <c r="AL7" s="108">
        <v>0</v>
      </c>
      <c r="AM7" s="108">
        <v>0</v>
      </c>
      <c r="AN7" s="108">
        <v>0</v>
      </c>
      <c r="AO7" s="108">
        <v>1</v>
      </c>
      <c r="AP7" s="67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T6" sqref="T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8" t="s">
        <v>247</v>
      </c>
      <c r="V1" s="24" t="s">
        <v>50</v>
      </c>
      <c r="W1" s="98" t="s">
        <v>248</v>
      </c>
      <c r="X1" s="24" t="s">
        <v>52</v>
      </c>
      <c r="Y1" s="26" t="s">
        <v>127</v>
      </c>
      <c r="Z1" s="27" t="s">
        <v>126</v>
      </c>
      <c r="AA1" s="26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13301_6-3/479&lt;lv60&gt;sq1st2</v>
      </c>
      <c r="B2" s="21">
        <v>13301</v>
      </c>
      <c r="C2" s="103">
        <v>6</v>
      </c>
      <c r="D2" s="15" t="str">
        <f>B2&amp;"_"&amp;C2</f>
        <v>13301_6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6階 コスト30以下ヒューマン限定</v>
      </c>
      <c r="G2" s="103">
        <v>3</v>
      </c>
      <c r="H2" s="15" t="str">
        <f>B2&amp;"_"&amp;C2&amp;"-"&amp;G2</f>
        <v>13301_6-3</v>
      </c>
      <c r="I2" s="4" t="e">
        <f ca="1">VLOOKUP($H2,OFFSET([6]floors!$A$1,0,0,COUNTA([6]floors!$A:$A),MATCH(I$1,[6]floors!$1:$1,0)-MATCH($H$1,[6]floors!$1:$1,0)+1),MATCH(I$1,[6]floors!$1:$1,0)-MATCH($H$1,[6]floors!$1:$1,0)+1,FALSE)</f>
        <v>#VALUE!</v>
      </c>
      <c r="J2" s="4" t="e">
        <f ca="1">VLOOKUP($H2,OFFSET([6]floors!$A$1,0,0,COUNTA([6]floors!$A:$A),MATCH(J$1,[6]floors!$1:$1,0)-MATCH($H$1,[6]floors!$1:$1,0)+1),MATCH(J$1,[6]floors!$1:$1,0)-MATCH($H$1,[6]floors!$1:$1,0)+1,FALSE)</f>
        <v>#VALUE!</v>
      </c>
      <c r="K2" s="36">
        <v>1</v>
      </c>
      <c r="L2" s="36">
        <v>2</v>
      </c>
      <c r="M2" s="104">
        <v>479</v>
      </c>
      <c r="N2" s="17" t="str">
        <f ca="1">VLOOKUP($M2,OFFSET([4]enemies!$A$1,0,0,COUNTA([4]enemies!$A:$A),MATCH(N$1,[4]enemies!$1:$1,0)-MATCH($M$1,[4]enemies!$1:$1,0)+1),MATCH(N$1,[4]enemies!$1:$1,0)-MATCH($M$1,[4]enemies!$1:$1,0)+1,FALSE)</f>
        <v>フール</v>
      </c>
      <c r="O2" s="17" t="str">
        <f ca="1">VLOOKUP($M2,OFFSET([4]enemies!$A$1,0,0,COUNTA([4]enemies!$A:$A),MATCH(O$1,[4]enemies!$1:$1,0)-MATCH($M$1,[4]enemies!$1:$1,0)+1),MATCH(O$1,[4]enemies!$1:$1,0)-MATCH($M$1,[4]enemies!$1:$1,0)+1,FALSE)</f>
        <v>blue</v>
      </c>
      <c r="P2" s="17" t="str">
        <f ca="1">VLOOKUP($M2,OFFSET([5]characters!$A$1,0,0,COUNTA([5]characters!$A:$A),MATCH(P$1,[5]characters!$1:$1,0)-MATCH($M$1,[5]characters!$1:$1,0)+1),MATCH(P$1,[5]characters!$1:$1,0)-MATCH($M$1,[5]characters!$1:$1,0)+1,FALSE)</f>
        <v>PremiumSS</v>
      </c>
      <c r="Q2" s="17" t="str">
        <f ca="1">VLOOKUP($M2,OFFSET([4]enemies!$A$1,0,0,COUNTA([4]enemies!$A:$A),MATCH(Q$1,[4]enemies!$1:$1,0)-MATCH($M$1,[4]enemies!$1:$1,0)+1),MATCH(Q$1,[4]enemies!$1:$1,0)-MATCH($M$1,[4]enemies!$1:$1,0)+1,FALSE)</f>
        <v>god</v>
      </c>
      <c r="R2" s="17">
        <f ca="1">VLOOKUP($M2,OFFSET([4]enemies!$A$1,0,0,COUNTA([4]enemies!$A:$A),MATCH(R$1,[4]enemies!$1:$1,0)-MATCH($M$1,[4]enemies!$1:$1,0)+1),MATCH(R$1,[4]enemies!$1:$1,0)-MATCH($M$1,[4]enemies!$1:$1,0)+1,FALSE)</f>
        <v>30</v>
      </c>
      <c r="S2" s="5">
        <v>60</v>
      </c>
      <c r="T2" s="23">
        <v>3.7</v>
      </c>
      <c r="U2" s="99">
        <f ca="1">ROUND(VLOOKUP(S2,[4]enemy_base_stats!$A:$F,2,FALSE)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INDIRECT("[EnemyMasterData.xlsm]enemies!AD"&amp;(M2+1))*[5]ステータス!$B$2,0)*T2</f>
        <v>255584.90000000002</v>
      </c>
      <c r="V2" s="23">
        <v>1.1000000000000001</v>
      </c>
      <c r="W2" s="99">
        <f ca="1">ROUND(VLOOKUP(S2,[4]enemy_base_stats!$A:$F,3,FALSE)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INDIRECT("[EnemyMasterData.xlsm]enemies!AE"&amp;(M2+1))*[5]ステータス!$C$2,0)*V2</f>
        <v>6171.0000000000009</v>
      </c>
      <c r="X2" s="5">
        <v>0</v>
      </c>
      <c r="Y2" s="4" t="e">
        <v>#VALUE!</v>
      </c>
      <c r="Z2" s="110">
        <v>13301506</v>
      </c>
      <c r="AA2" s="11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13301_6-3/479&lt;lv60&gt;sq1st3</v>
      </c>
      <c r="B3" s="21">
        <v>13301</v>
      </c>
      <c r="C3" s="103">
        <v>6</v>
      </c>
      <c r="D3" s="15" t="str">
        <f>B3&amp;"_"&amp;C3</f>
        <v>13301_6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6階 コスト30以下ヒューマン限定</v>
      </c>
      <c r="G3" s="103">
        <v>3</v>
      </c>
      <c r="H3" s="15" t="str">
        <f>B3&amp;"_"&amp;C3&amp;"-"&amp;G3</f>
        <v>13301_6-3</v>
      </c>
      <c r="I3" s="4" t="e">
        <f ca="1">VLOOKUP($H3,OFFSET([6]floors!$A$1,0,0,COUNTA([6]floors!$A:$A),MATCH(I$1,[6]floors!$1:$1,0)-MATCH($H$1,[6]floors!$1:$1,0)+1),MATCH(I$1,[6]floors!$1:$1,0)-MATCH($H$1,[6]floors!$1:$1,0)+1,FALSE)</f>
        <v>#VALUE!</v>
      </c>
      <c r="J3" s="4" t="e">
        <f ca="1">VLOOKUP($H3,OFFSET([6]floors!$A$1,0,0,COUNTA([6]floors!$A:$A),MATCH(J$1,[6]floors!$1:$1,0)-MATCH($H$1,[6]floors!$1:$1,0)+1),MATCH(J$1,[6]floors!$1:$1,0)-MATCH($H$1,[6]floors!$1:$1,0)+1,FALSE)</f>
        <v>#VALUE!</v>
      </c>
      <c r="K3" s="36">
        <v>1</v>
      </c>
      <c r="L3" s="36">
        <v>3</v>
      </c>
      <c r="M3" s="104">
        <v>479</v>
      </c>
      <c r="N3" s="17" t="str">
        <f ca="1">VLOOKUP($M3,OFFSET([4]enemies!$A$1,0,0,COUNTA([4]enemies!$A:$A),MATCH(N$1,[4]enemies!$1:$1,0)-MATCH($M$1,[4]enemies!$1:$1,0)+1),MATCH(N$1,[4]enemies!$1:$1,0)-MATCH($M$1,[4]enemies!$1:$1,0)+1,FALSE)</f>
        <v>フール</v>
      </c>
      <c r="O3" s="17" t="str">
        <f ca="1">VLOOKUP($M3,OFFSET([4]enemies!$A$1,0,0,COUNTA([4]enemies!$A:$A),MATCH(O$1,[4]enemies!$1:$1,0)-MATCH($M$1,[4]enemies!$1:$1,0)+1),MATCH(O$1,[4]enemies!$1:$1,0)-MATCH($M$1,[4]enemies!$1:$1,0)+1,FALSE)</f>
        <v>blue</v>
      </c>
      <c r="P3" s="17" t="str">
        <f ca="1">VLOOKUP($M3,OFFSET([5]characters!$A$1,0,0,COUNTA([5]characters!$A:$A),MATCH(P$1,[5]characters!$1:$1,0)-MATCH($M$1,[5]characters!$1:$1,0)+1),MATCH(P$1,[5]characters!$1:$1,0)-MATCH($M$1,[5]characters!$1:$1,0)+1,FALSE)</f>
        <v>PremiumSS</v>
      </c>
      <c r="Q3" s="17" t="str">
        <f ca="1">VLOOKUP($M3,OFFSET([4]enemies!$A$1,0,0,COUNTA([4]enemies!$A:$A),MATCH(Q$1,[4]enemies!$1:$1,0)-MATCH($M$1,[4]enemies!$1:$1,0)+1),MATCH(Q$1,[4]enemies!$1:$1,0)-MATCH($M$1,[4]enemies!$1:$1,0)+1,FALSE)</f>
        <v>god</v>
      </c>
      <c r="R3" s="17">
        <f ca="1">VLOOKUP($M3,OFFSET([4]enemies!$A$1,0,0,COUNTA([4]enemies!$A:$A),MATCH(R$1,[4]enemies!$1:$1,0)-MATCH($M$1,[4]enemies!$1:$1,0)+1),MATCH(R$1,[4]enemies!$1:$1,0)-MATCH($M$1,[4]enemies!$1:$1,0)+1,FALSE)</f>
        <v>30</v>
      </c>
      <c r="S3" s="5">
        <v>60</v>
      </c>
      <c r="T3" s="23">
        <v>3.7</v>
      </c>
      <c r="U3" s="99">
        <f ca="1">ROUND(VLOOKUP(S3,[4]enemy_base_stats!$A:$F,2,FALSE)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INDIRECT("[EnemyMasterData.xlsm]enemies!AD"&amp;(M3+1))*[5]ステータス!$B$2,0)*T3</f>
        <v>255584.90000000002</v>
      </c>
      <c r="V3" s="23">
        <v>1.1000000000000001</v>
      </c>
      <c r="W3" s="99">
        <f ca="1">ROUND(VLOOKUP(S3,[4]enemy_base_stats!$A:$F,3,FALSE)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INDIRECT("[EnemyMasterData.xlsm]enemies!AE"&amp;(M3+1))*[5]ステータス!$C$2,0)*V3</f>
        <v>6171.0000000000009</v>
      </c>
      <c r="X3" s="5">
        <v>0</v>
      </c>
      <c r="Y3" s="4" t="e">
        <v>#VALUE!</v>
      </c>
      <c r="Z3" s="110">
        <v>13301507</v>
      </c>
      <c r="AA3" s="11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13301_6-3/388&lt;lv60&gt;sq2st2</v>
      </c>
      <c r="B4" s="21">
        <v>13301</v>
      </c>
      <c r="C4" s="103">
        <v>6</v>
      </c>
      <c r="D4" s="15" t="str">
        <f>B4&amp;"_"&amp;C4</f>
        <v>13301_6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6階 コスト30以下ヒューマン限定</v>
      </c>
      <c r="G4" s="103">
        <v>3</v>
      </c>
      <c r="H4" s="15" t="str">
        <f>B4&amp;"_"&amp;C4&amp;"-"&amp;G4</f>
        <v>13301_6-3</v>
      </c>
      <c r="I4" s="4" t="e">
        <f ca="1">VLOOKUP($H4,OFFSET([6]floors!$A$1,0,0,COUNTA([6]floors!$A:$A),MATCH(I$1,[6]floors!$1:$1,0)-MATCH($H$1,[6]floors!$1:$1,0)+1),MATCH(I$1,[6]floors!$1:$1,0)-MATCH($H$1,[6]floors!$1:$1,0)+1,FALSE)</f>
        <v>#VALUE!</v>
      </c>
      <c r="J4" s="4" t="e">
        <f ca="1">VLOOKUP($H4,OFFSET([6]floors!$A$1,0,0,COUNTA([6]floors!$A:$A),MATCH(J$1,[6]floors!$1:$1,0)-MATCH($H$1,[6]floors!$1:$1,0)+1),MATCH(J$1,[6]floors!$1:$1,0)-MATCH($H$1,[6]floors!$1:$1,0)+1,FALSE)</f>
        <v>#VALUE!</v>
      </c>
      <c r="K4" s="36">
        <v>2</v>
      </c>
      <c r="L4" s="36">
        <v>2</v>
      </c>
      <c r="M4" s="104">
        <v>388</v>
      </c>
      <c r="N4" s="17" t="str">
        <f ca="1">VLOOKUP($M4,OFFSET([4]enemies!$A$1,0,0,COUNTA([4]enemies!$A:$A),MATCH(N$1,[4]enemies!$1:$1,0)-MATCH($M$1,[4]enemies!$1:$1,0)+1),MATCH(N$1,[4]enemies!$1:$1,0)-MATCH($M$1,[4]enemies!$1:$1,0)+1,FALSE)</f>
        <v>神円の恋姫 スフィンクス</v>
      </c>
      <c r="O4" s="17" t="str">
        <f ca="1">VLOOKUP($M4,OFFSET([4]enemies!$A$1,0,0,COUNTA([4]enemies!$A:$A),MATCH(O$1,[4]enemies!$1:$1,0)-MATCH($M$1,[4]enemies!$1:$1,0)+1),MATCH(O$1,[4]enemies!$1:$1,0)-MATCH($M$1,[4]enemies!$1:$1,0)+1,FALSE)</f>
        <v>yellow</v>
      </c>
      <c r="P4" s="17" t="str">
        <f ca="1">VLOOKUP($M4,OFFSET([5]characters!$A$1,0,0,COUNTA([5]characters!$A:$A),MATCH(P$1,[5]characters!$1:$1,0)-MATCH($M$1,[5]characters!$1:$1,0)+1),MATCH(P$1,[5]characters!$1:$1,0)-MATCH($M$1,[5]characters!$1:$1,0)+1,FALSE)</f>
        <v>PremiumS</v>
      </c>
      <c r="Q4" s="17" t="str">
        <f ca="1">VLOOKUP($M4,OFFSET([4]enemies!$A$1,0,0,COUNTA([4]enemies!$A:$A),MATCH(Q$1,[4]enemies!$1:$1,0)-MATCH($M$1,[4]enemies!$1:$1,0)+1),MATCH(Q$1,[4]enemies!$1:$1,0)-MATCH($M$1,[4]enemies!$1:$1,0)+1,FALSE)</f>
        <v>animal</v>
      </c>
      <c r="R4" s="17">
        <f ca="1">VLOOKUP($M4,OFFSET([4]enemies!$A$1,0,0,COUNTA([4]enemies!$A:$A),MATCH(R$1,[4]enemies!$1:$1,0)-MATCH($M$1,[4]enemies!$1:$1,0)+1),MATCH(R$1,[4]enemies!$1:$1,0)-MATCH($M$1,[4]enemies!$1:$1,0)+1,FALSE)</f>
        <v>30</v>
      </c>
      <c r="S4" s="5">
        <v>60</v>
      </c>
      <c r="T4" s="23">
        <v>3.7</v>
      </c>
      <c r="U4" s="99">
        <f ca="1">ROUND(VLOOKUP(S4,[4]enemy_base_stats!$A:$F,2,FALSE)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INDIRECT("[EnemyMasterData.xlsm]enemies!AD"&amp;(M4+1))*[5]ステータス!$B$2,0)*T4</f>
        <v>231919.7</v>
      </c>
      <c r="V4" s="23">
        <v>1</v>
      </c>
      <c r="W4" s="99">
        <f ca="1">ROUND(VLOOKUP(S4,[4]enemy_base_stats!$A:$F,3,FALSE)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INDIRECT("[EnemyMasterData.xlsm]enemies!AE"&amp;(M4+1))*[5]ステータス!$C$2,0)*V4</f>
        <v>5404</v>
      </c>
      <c r="X4" s="5">
        <v>0</v>
      </c>
      <c r="Y4" s="4" t="e">
        <v>#VALUE!</v>
      </c>
      <c r="Z4" s="110">
        <v>13301509</v>
      </c>
      <c r="AA4" s="111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13301_6-3/388&lt;lv60&gt;sq2st3</v>
      </c>
      <c r="B5" s="21">
        <v>13301</v>
      </c>
      <c r="C5" s="103">
        <v>6</v>
      </c>
      <c r="D5" s="15" t="str">
        <f>B5&amp;"_"&amp;C5</f>
        <v>13301_6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6階 コスト30以下ヒューマン限定</v>
      </c>
      <c r="G5" s="103">
        <v>3</v>
      </c>
      <c r="H5" s="15" t="str">
        <f>B5&amp;"_"&amp;C5&amp;"-"&amp;G5</f>
        <v>13301_6-3</v>
      </c>
      <c r="I5" s="4" t="e">
        <f ca="1">VLOOKUP($H5,OFFSET([6]floors!$A$1,0,0,COUNTA([6]floors!$A:$A),MATCH(I$1,[6]floors!$1:$1,0)-MATCH($H$1,[6]floors!$1:$1,0)+1),MATCH(I$1,[6]floors!$1:$1,0)-MATCH($H$1,[6]floors!$1:$1,0)+1,FALSE)</f>
        <v>#VALUE!</v>
      </c>
      <c r="J5" s="4" t="e">
        <f ca="1">VLOOKUP($H5,OFFSET([6]floors!$A$1,0,0,COUNTA([6]floors!$A:$A),MATCH(J$1,[6]floors!$1:$1,0)-MATCH($H$1,[6]floors!$1:$1,0)+1),MATCH(J$1,[6]floors!$1:$1,0)-MATCH($H$1,[6]floors!$1:$1,0)+1,FALSE)</f>
        <v>#VALUE!</v>
      </c>
      <c r="K5" s="36">
        <v>2</v>
      </c>
      <c r="L5" s="36">
        <v>3</v>
      </c>
      <c r="M5" s="104">
        <v>388</v>
      </c>
      <c r="N5" s="17" t="str">
        <f ca="1">VLOOKUP($M5,OFFSET([4]enemies!$A$1,0,0,COUNTA([4]enemies!$A:$A),MATCH(N$1,[4]enemies!$1:$1,0)-MATCH($M$1,[4]enemies!$1:$1,0)+1),MATCH(N$1,[4]enemies!$1:$1,0)-MATCH($M$1,[4]enemies!$1:$1,0)+1,FALSE)</f>
        <v>神円の恋姫 スフィンクス</v>
      </c>
      <c r="O5" s="17" t="str">
        <f ca="1">VLOOKUP($M5,OFFSET([4]enemies!$A$1,0,0,COUNTA([4]enemies!$A:$A),MATCH(O$1,[4]enemies!$1:$1,0)-MATCH($M$1,[4]enemies!$1:$1,0)+1),MATCH(O$1,[4]enemies!$1:$1,0)-MATCH($M$1,[4]enemies!$1:$1,0)+1,FALSE)</f>
        <v>yellow</v>
      </c>
      <c r="P5" s="17" t="str">
        <f ca="1">VLOOKUP($M5,OFFSET([5]characters!$A$1,0,0,COUNTA([5]characters!$A:$A),MATCH(P$1,[5]characters!$1:$1,0)-MATCH($M$1,[5]characters!$1:$1,0)+1),MATCH(P$1,[5]characters!$1:$1,0)-MATCH($M$1,[5]characters!$1:$1,0)+1,FALSE)</f>
        <v>PremiumS</v>
      </c>
      <c r="Q5" s="17" t="str">
        <f ca="1">VLOOKUP($M5,OFFSET([4]enemies!$A$1,0,0,COUNTA([4]enemies!$A:$A),MATCH(Q$1,[4]enemies!$1:$1,0)-MATCH($M$1,[4]enemies!$1:$1,0)+1),MATCH(Q$1,[4]enemies!$1:$1,0)-MATCH($M$1,[4]enemies!$1:$1,0)+1,FALSE)</f>
        <v>animal</v>
      </c>
      <c r="R5" s="17">
        <f ca="1">VLOOKUP($M5,OFFSET([4]enemies!$A$1,0,0,COUNTA([4]enemies!$A:$A),MATCH(R$1,[4]enemies!$1:$1,0)-MATCH($M$1,[4]enemies!$1:$1,0)+1),MATCH(R$1,[4]enemies!$1:$1,0)-MATCH($M$1,[4]enemies!$1:$1,0)+1,FALSE)</f>
        <v>30</v>
      </c>
      <c r="S5" s="5">
        <v>60</v>
      </c>
      <c r="T5" s="23">
        <v>3.7</v>
      </c>
      <c r="U5" s="99">
        <f ca="1">ROUND(VLOOKUP(S5,[4]enemy_base_stats!$A:$F,2,FALSE)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INDIRECT("[EnemyMasterData.xlsm]enemies!AD"&amp;(M5+1))*[5]ステータス!$B$2,0)*T5</f>
        <v>231919.7</v>
      </c>
      <c r="V5" s="23">
        <v>1</v>
      </c>
      <c r="W5" s="99">
        <f ca="1">ROUND(VLOOKUP(S5,[4]enemy_base_stats!$A:$F,3,FALSE)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INDIRECT("[EnemyMasterData.xlsm]enemies!AE"&amp;(M5+1))*[5]ステータス!$C$2,0)*V5</f>
        <v>5404</v>
      </c>
      <c r="X5" s="5">
        <v>0</v>
      </c>
      <c r="Y5" s="4" t="e">
        <v>#VALUE!</v>
      </c>
      <c r="Z5" s="110">
        <v>13301510</v>
      </c>
      <c r="AA5" s="111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8"/>
  <sheetViews>
    <sheetView showGridLines="0" zoomScale="140" zoomScaleNormal="140" zoomScalePageLayoutView="140" workbookViewId="0">
      <pane xSplit="5" ySplit="1" topLeftCell="F24" activePane="bottomRight" state="frozen"/>
      <selection pane="topRight"/>
      <selection pane="bottomLeft"/>
      <selection pane="bottomRight" activeCell="G39" sqref="G39"/>
    </sheetView>
  </sheetViews>
  <sheetFormatPr baseColWidth="12" defaultColWidth="12.83203125" defaultRowHeight="21" customHeight="1" outlineLevelCol="1" x14ac:dyDescent="0.15"/>
  <cols>
    <col min="1" max="1" width="15.83203125" style="37" customWidth="1"/>
    <col min="2" max="2" width="9.5" style="47" bestFit="1" customWidth="1"/>
    <col min="3" max="3" width="9.6640625" style="47" customWidth="1"/>
    <col min="4" max="4" width="6.6640625" style="47" customWidth="1" outlineLevel="1"/>
    <col min="5" max="5" width="8.1640625" style="47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:A38" si="0">B2&amp;"_"&amp;C2</f>
        <v>13301501_13301501</v>
      </c>
      <c r="B2" s="45">
        <v>13301501</v>
      </c>
      <c r="C2" s="45">
        <v>13301501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45">
        <v>13301501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si="0"/>
        <v>13301501_13301502</v>
      </c>
      <c r="B3" s="45">
        <v>13301501</v>
      </c>
      <c r="C3" s="45">
        <v>13301502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45">
        <v>13301502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si="0"/>
        <v>13301501_13301503</v>
      </c>
      <c r="B4" s="45">
        <v>13301501</v>
      </c>
      <c r="C4" s="45">
        <v>13301503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45">
        <v>13301503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>B5&amp;"_"&amp;C5</f>
        <v>13301502_13301504</v>
      </c>
      <c r="B5" s="45">
        <v>13301502</v>
      </c>
      <c r="C5" s="45">
        <v>13301504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45">
        <v>13301504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si="0"/>
        <v>13301502_13301505</v>
      </c>
      <c r="B6" s="45">
        <v>13301502</v>
      </c>
      <c r="C6" s="45">
        <v>13301505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45">
        <v>13301505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si="0"/>
        <v>13301502_13301506</v>
      </c>
      <c r="B7" s="45">
        <v>13301502</v>
      </c>
      <c r="C7" s="45">
        <v>13301506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45">
        <v>13301506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si="0"/>
        <v>13301503_13301507</v>
      </c>
      <c r="B8" s="45">
        <v>13301503</v>
      </c>
      <c r="C8" s="45">
        <v>13301507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45">
        <v>13301507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si="0"/>
        <v>13301503_13301508</v>
      </c>
      <c r="B9" s="45">
        <v>13301503</v>
      </c>
      <c r="C9" s="45">
        <v>13301508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45">
        <v>13301508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0"/>
        <v>13301503_13301509</v>
      </c>
      <c r="B10" s="45">
        <v>13301503</v>
      </c>
      <c r="C10" s="45">
        <v>13301509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45">
        <v>13301509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si="0"/>
        <v>13301503_13301510</v>
      </c>
      <c r="B11" s="45">
        <v>13301503</v>
      </c>
      <c r="C11" s="45">
        <v>13301510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45">
        <v>13301510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si="0"/>
        <v>13301503_13301511</v>
      </c>
      <c r="B12" s="45">
        <v>13301503</v>
      </c>
      <c r="C12" s="45">
        <v>13301511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45">
        <v>13301511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0"/>
        <v>13301504_13301512</v>
      </c>
      <c r="B13" s="45">
        <v>13301504</v>
      </c>
      <c r="C13" s="45">
        <v>13301512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45">
        <v>13301512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si="0"/>
        <v>13301504_13301513</v>
      </c>
      <c r="B14" s="45">
        <v>13301504</v>
      </c>
      <c r="C14" s="45">
        <v>13301513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45">
        <v>13301513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si="0"/>
        <v>13301504_13301514</v>
      </c>
      <c r="B15" s="45">
        <v>13301504</v>
      </c>
      <c r="C15" s="45">
        <v>13301514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45">
        <v>13301514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si="0"/>
        <v>13301504_13301515</v>
      </c>
      <c r="B16" s="45">
        <v>13301504</v>
      </c>
      <c r="C16" s="45">
        <v>13301515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45">
        <v>13301515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0"/>
        <v>13301504_13301516</v>
      </c>
      <c r="B17" s="45">
        <v>13301504</v>
      </c>
      <c r="C17" s="45">
        <v>13301516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45">
        <v>13301516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0"/>
        <v>13301505_13301517</v>
      </c>
      <c r="B18" s="45">
        <v>13301505</v>
      </c>
      <c r="C18" s="115">
        <v>13301517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15">
        <v>13301517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0"/>
        <v>13301505_13301518</v>
      </c>
      <c r="B19" s="45">
        <v>13301505</v>
      </c>
      <c r="C19" s="115">
        <v>13301518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15">
        <v>13301518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  <row r="20" spans="1:18" ht="21" customHeight="1" x14ac:dyDescent="0.15">
      <c r="A20" s="37" t="str">
        <f t="shared" si="0"/>
        <v>13301506_13301519</v>
      </c>
      <c r="B20" s="45">
        <v>13301506</v>
      </c>
      <c r="C20" s="115">
        <v>13301519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0" s="115">
        <v>13301519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0" s="45"/>
      <c r="Q20" s="45"/>
      <c r="R20" s="45"/>
    </row>
    <row r="21" spans="1:18" ht="21" customHeight="1" x14ac:dyDescent="0.15">
      <c r="A21" s="37" t="str">
        <f t="shared" si="0"/>
        <v>13301506_13301520</v>
      </c>
      <c r="B21" s="45">
        <v>13301506</v>
      </c>
      <c r="C21" s="115">
        <v>13301520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1" s="115">
        <v>13301520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1" s="45"/>
      <c r="Q21" s="45"/>
      <c r="R21" s="45"/>
    </row>
    <row r="22" spans="1:18" ht="21" customHeight="1" x14ac:dyDescent="0.15">
      <c r="A22" s="37" t="str">
        <f t="shared" si="0"/>
        <v>13301507_13301527</v>
      </c>
      <c r="B22" s="45">
        <v>13301507</v>
      </c>
      <c r="C22" s="115">
        <v>13301527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2" s="115">
        <v>13301527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2" s="45"/>
      <c r="Q22" s="45"/>
      <c r="R22" s="45"/>
    </row>
    <row r="23" spans="1:18" ht="21" customHeight="1" x14ac:dyDescent="0.15">
      <c r="A23" s="37" t="str">
        <f t="shared" si="0"/>
        <v>13301507_13301528</v>
      </c>
      <c r="B23" s="45">
        <v>13301507</v>
      </c>
      <c r="C23" s="115">
        <v>13301528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3" s="115">
        <v>13301528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3" s="45"/>
      <c r="Q23" s="45"/>
      <c r="R23" s="45"/>
    </row>
    <row r="24" spans="1:18" ht="21" customHeight="1" x14ac:dyDescent="0.15">
      <c r="A24" s="37" t="str">
        <f t="shared" si="0"/>
        <v>13301508_13301521</v>
      </c>
      <c r="B24" s="45">
        <v>13301508</v>
      </c>
      <c r="C24" s="112">
        <v>13301521</v>
      </c>
      <c r="D24" s="44" t="e">
        <f ca="1">VLOOKUP($C24,OFFSET([3]enemy_skills!$A$1,0,0,COUNTA([3]enemy_skills!$A:$A),MATCH(D$1,[3]enemy_skills!$1:$1,0)-MATCH("enemy_skill_id",[3]enemy_skills!$1:$1,0)+1),MATCH(D$1,[3]enemy_skills!$1:$1,0)-MATCH("enemy_skill_id",[3]enemy_skills!$1:$1,0)+1,FALSE)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4" s="44" t="e">
        <f ca="1">VLOOKUP($C24,OFFSET([3]enemy_skills!$A$1,0,0,COUNTA([3]enemy_skills!$A:$A),MATCH(E$1,[3]enemy_skills!$1:$1,0)-MATCH("enemy_skill_id",[3]enemy_skills!$1:$1,0)+1),MATCH(E$1,[3]enemy_skills!$1:$1,0)-MATCH("enemy_skill_id",[3]enemy_skills!$1:$1,0)+1,FALSE)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4" s="112">
        <v>13301521</v>
      </c>
      <c r="G24" s="46" t="e">
        <f ca="1">VLOOKUP($F24,OFFSET([3]enemy_skill_triggers!$A$1,0,0,COUNTA([3]enemy_skill_triggers!$A:$A),MATCH(G$1,[3]enemy_skill_triggers!$1:$1,0)-MATCH($F$1,[3]enemy_skill_triggers!$1:$1,0)+1),MATCH(G$1,[3]enemy_skill_triggers!$1:$1,0)-MATCH($F$1,[3]enemy_skill_triggers!$1:$1,0)+1,FALSE)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4" s="46" t="e">
        <f ca="1">VLOOKUP($F24,OFFSET([3]enemy_skill_triggers!$A$1,0,0,COUNTA([3]enemy_skill_triggers!$A:$A),MATCH(H$1,[3]enemy_skill_triggers!$1:$1,0)-MATCH($F$1,[3]enemy_skill_triggers!$1:$1,0)+1),MATCH(H$1,[3]enemy_skill_triggers!$1:$1,0)-MATCH($F$1,[3]enemy_skill_triggers!$1:$1,0)+1,FALSE)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4" s="46" t="e">
        <f ca="1">VLOOKUP($F24,OFFSET([3]enemy_skill_triggers!$A$1,0,0,COUNTA([3]enemy_skill_triggers!$A:$A),MATCH(I$1,[3]enemy_skill_triggers!$1:$1,0)-MATCH($F$1,[3]enemy_skill_triggers!$1:$1,0)+1),MATCH(I$1,[3]enemy_skill_triggers!$1:$1,0)-MATCH($F$1,[3]enemy_skill_triggers!$1:$1,0)+1,FALSE)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4" s="46" t="e">
        <f ca="1">VLOOKUP($F24,OFFSET([3]enemy_skill_triggers!$A$1,0,0,COUNTA([3]enemy_skill_triggers!$A:$A),MATCH(J$1,[3]enemy_skill_triggers!$1:$1,0)-MATCH($F$1,[3]enemy_skill_triggers!$1:$1,0)+1),MATCH(J$1,[3]enemy_skill_triggers!$1:$1,0)-MATCH($F$1,[3]enemy_skill_triggers!$1:$1,0)+1,FALSE)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4" s="46" t="e">
        <f ca="1">VLOOKUP($F24,OFFSET([3]enemy_skill_triggers!$A$1,0,0,COUNTA([3]enemy_skill_triggers!$A:$A),MATCH(K$1,[3]enemy_skill_triggers!$1:$1,0)-MATCH($F$1,[3]enemy_skill_triggers!$1:$1,0)+1),MATCH(K$1,[3]enemy_skill_triggers!$1:$1,0)-MATCH($F$1,[3]enemy_skill_triggers!$1:$1,0)+1,FALSE)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4" s="46" t="e">
        <f ca="1">VLOOKUP($F24,OFFSET([3]enemy_skill_triggers!$A$1,0,0,COUNTA([3]enemy_skill_triggers!$A:$A),MATCH(L$1,[3]enemy_skill_triggers!$1:$1,0)-MATCH($F$1,[3]enemy_skill_triggers!$1:$1,0)+1),MATCH(L$1,[3]enemy_skill_triggers!$1:$1,0)-MATCH($F$1,[3]enemy_skill_triggers!$1:$1,0)+1,FALSE)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4" s="46" t="e">
        <f ca="1">VLOOKUP($F24,OFFSET([3]enemy_skill_triggers!$A$1,0,0,COUNTA([3]enemy_skill_triggers!$A:$A),MATCH(M$1,[3]enemy_skill_triggers!$1:$1,0)-MATCH($F$1,[3]enemy_skill_triggers!$1:$1,0)+1),MATCH(M$1,[3]enemy_skill_triggers!$1:$1,0)-MATCH($F$1,[3]enemy_skill_triggers!$1:$1,0)+1,FALSE)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4" s="46" t="e">
        <f ca="1">VLOOKUP($F24,OFFSET([3]enemy_skill_triggers!$A$1,0,0,COUNTA([3]enemy_skill_triggers!$A:$A),MATCH(N$1,[3]enemy_skill_triggers!$1:$1,0)-MATCH($F$1,[3]enemy_skill_triggers!$1:$1,0)+1),MATCH(N$1,[3]enemy_skill_triggers!$1:$1,0)-MATCH($F$1,[3]enemy_skill_triggers!$1:$1,0)+1,FALSE)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4" s="46" t="e">
        <f ca="1">VLOOKUP($F24,OFFSET([3]enemy_skill_triggers!$A$1,0,0,COUNTA([3]enemy_skill_triggers!$A:$A),MATCH(O$1,[3]enemy_skill_triggers!$1:$1,0)-MATCH($F$1,[3]enemy_skill_triggers!$1:$1,0)+1),MATCH(O$1,[3]enemy_skill_triggers!$1:$1,0)-MATCH($F$1,[3]enemy_skill_triggers!$1:$1,0)+1,FALSE)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4" s="45"/>
      <c r="Q24" s="45"/>
      <c r="R24" s="45"/>
    </row>
    <row r="25" spans="1:18" ht="21" customHeight="1" x14ac:dyDescent="0.15">
      <c r="A25" s="37" t="str">
        <f t="shared" si="0"/>
        <v>13301508_13301522</v>
      </c>
      <c r="B25" s="45">
        <v>13301508</v>
      </c>
      <c r="C25" s="112">
        <v>13301522</v>
      </c>
      <c r="D25" s="44" t="e">
        <f ca="1">VLOOKUP($C25,OFFSET([3]enemy_skills!$A$1,0,0,COUNTA([3]enemy_skills!$A:$A),MATCH(D$1,[3]enemy_skills!$1:$1,0)-MATCH("enemy_skill_id",[3]enemy_skills!$1:$1,0)+1),MATCH(D$1,[3]enemy_skills!$1:$1,0)-MATCH("enemy_skill_id",[3]enemy_skills!$1:$1,0)+1,FALSE)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5" s="44" t="e">
        <f ca="1">VLOOKUP($C25,OFFSET([3]enemy_skills!$A$1,0,0,COUNTA([3]enemy_skills!$A:$A),MATCH(E$1,[3]enemy_skills!$1:$1,0)-MATCH("enemy_skill_id",[3]enemy_skills!$1:$1,0)+1),MATCH(E$1,[3]enemy_skills!$1:$1,0)-MATCH("enemy_skill_id",[3]enemy_skills!$1:$1,0)+1,FALSE)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5" s="112">
        <v>13301522</v>
      </c>
      <c r="G25" s="46" t="e">
        <f ca="1">VLOOKUP($F25,OFFSET([3]enemy_skill_triggers!$A$1,0,0,COUNTA([3]enemy_skill_triggers!$A:$A),MATCH(G$1,[3]enemy_skill_triggers!$1:$1,0)-MATCH($F$1,[3]enemy_skill_triggers!$1:$1,0)+1),MATCH(G$1,[3]enemy_skill_triggers!$1:$1,0)-MATCH($F$1,[3]enemy_skill_triggers!$1:$1,0)+1,FALSE)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5" s="46" t="e">
        <f ca="1">VLOOKUP($F25,OFFSET([3]enemy_skill_triggers!$A$1,0,0,COUNTA([3]enemy_skill_triggers!$A:$A),MATCH(H$1,[3]enemy_skill_triggers!$1:$1,0)-MATCH($F$1,[3]enemy_skill_triggers!$1:$1,0)+1),MATCH(H$1,[3]enemy_skill_triggers!$1:$1,0)-MATCH($F$1,[3]enemy_skill_triggers!$1:$1,0)+1,FALSE)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5" s="46" t="e">
        <f ca="1">VLOOKUP($F25,OFFSET([3]enemy_skill_triggers!$A$1,0,0,COUNTA([3]enemy_skill_triggers!$A:$A),MATCH(I$1,[3]enemy_skill_triggers!$1:$1,0)-MATCH($F$1,[3]enemy_skill_triggers!$1:$1,0)+1),MATCH(I$1,[3]enemy_skill_triggers!$1:$1,0)-MATCH($F$1,[3]enemy_skill_triggers!$1:$1,0)+1,FALSE)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5" s="46" t="e">
        <f ca="1">VLOOKUP($F25,OFFSET([3]enemy_skill_triggers!$A$1,0,0,COUNTA([3]enemy_skill_triggers!$A:$A),MATCH(J$1,[3]enemy_skill_triggers!$1:$1,0)-MATCH($F$1,[3]enemy_skill_triggers!$1:$1,0)+1),MATCH(J$1,[3]enemy_skill_triggers!$1:$1,0)-MATCH($F$1,[3]enemy_skill_triggers!$1:$1,0)+1,FALSE)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5" s="46" t="e">
        <f ca="1">VLOOKUP($F25,OFFSET([3]enemy_skill_triggers!$A$1,0,0,COUNTA([3]enemy_skill_triggers!$A:$A),MATCH(K$1,[3]enemy_skill_triggers!$1:$1,0)-MATCH($F$1,[3]enemy_skill_triggers!$1:$1,0)+1),MATCH(K$1,[3]enemy_skill_triggers!$1:$1,0)-MATCH($F$1,[3]enemy_skill_triggers!$1:$1,0)+1,FALSE)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5" s="46" t="e">
        <f ca="1">VLOOKUP($F25,OFFSET([3]enemy_skill_triggers!$A$1,0,0,COUNTA([3]enemy_skill_triggers!$A:$A),MATCH(L$1,[3]enemy_skill_triggers!$1:$1,0)-MATCH($F$1,[3]enemy_skill_triggers!$1:$1,0)+1),MATCH(L$1,[3]enemy_skill_triggers!$1:$1,0)-MATCH($F$1,[3]enemy_skill_triggers!$1:$1,0)+1,FALSE)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5" s="46" t="e">
        <f ca="1">VLOOKUP($F25,OFFSET([3]enemy_skill_triggers!$A$1,0,0,COUNTA([3]enemy_skill_triggers!$A:$A),MATCH(M$1,[3]enemy_skill_triggers!$1:$1,0)-MATCH($F$1,[3]enemy_skill_triggers!$1:$1,0)+1),MATCH(M$1,[3]enemy_skill_triggers!$1:$1,0)-MATCH($F$1,[3]enemy_skill_triggers!$1:$1,0)+1,FALSE)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5" s="46" t="e">
        <f ca="1">VLOOKUP($F25,OFFSET([3]enemy_skill_triggers!$A$1,0,0,COUNTA([3]enemy_skill_triggers!$A:$A),MATCH(N$1,[3]enemy_skill_triggers!$1:$1,0)-MATCH($F$1,[3]enemy_skill_triggers!$1:$1,0)+1),MATCH(N$1,[3]enemy_skill_triggers!$1:$1,0)-MATCH($F$1,[3]enemy_skill_triggers!$1:$1,0)+1,FALSE)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5" s="46" t="e">
        <f ca="1">VLOOKUP($F25,OFFSET([3]enemy_skill_triggers!$A$1,0,0,COUNTA([3]enemy_skill_triggers!$A:$A),MATCH(O$1,[3]enemy_skill_triggers!$1:$1,0)-MATCH($F$1,[3]enemy_skill_triggers!$1:$1,0)+1),MATCH(O$1,[3]enemy_skill_triggers!$1:$1,0)-MATCH($F$1,[3]enemy_skill_triggers!$1:$1,0)+1,FALSE)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5" s="45"/>
      <c r="Q25" s="45"/>
      <c r="R25" s="45"/>
    </row>
    <row r="26" spans="1:18" ht="21" customHeight="1" x14ac:dyDescent="0.15">
      <c r="A26" s="37" t="str">
        <f t="shared" si="0"/>
        <v>13301509_13301523</v>
      </c>
      <c r="B26" s="45">
        <v>13301509</v>
      </c>
      <c r="C26" s="112">
        <v>13301523</v>
      </c>
      <c r="D26" s="44" t="e">
        <f ca="1">VLOOKUP($C26,OFFSET([3]enemy_skills!$A$1,0,0,COUNTA([3]enemy_skills!$A:$A),MATCH(D$1,[3]enemy_skills!$1:$1,0)-MATCH("enemy_skill_id",[3]enemy_skills!$1:$1,0)+1),MATCH(D$1,[3]enemy_skills!$1:$1,0)-MATCH("enemy_skill_id",[3]enemy_skills!$1:$1,0)+1,FALSE)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6" s="44" t="e">
        <f ca="1">VLOOKUP($C26,OFFSET([3]enemy_skills!$A$1,0,0,COUNTA([3]enemy_skills!$A:$A),MATCH(E$1,[3]enemy_skills!$1:$1,0)-MATCH("enemy_skill_id",[3]enemy_skills!$1:$1,0)+1),MATCH(E$1,[3]enemy_skills!$1:$1,0)-MATCH("enemy_skill_id",[3]enemy_skills!$1:$1,0)+1,FALSE)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6" s="112">
        <v>13301523</v>
      </c>
      <c r="G26" s="46" t="e">
        <f ca="1">VLOOKUP($F26,OFFSET([3]enemy_skill_triggers!$A$1,0,0,COUNTA([3]enemy_skill_triggers!$A:$A),MATCH(G$1,[3]enemy_skill_triggers!$1:$1,0)-MATCH($F$1,[3]enemy_skill_triggers!$1:$1,0)+1),MATCH(G$1,[3]enemy_skill_triggers!$1:$1,0)-MATCH($F$1,[3]enemy_skill_triggers!$1:$1,0)+1,FALSE)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6" s="46" t="e">
        <f ca="1">VLOOKUP($F26,OFFSET([3]enemy_skill_triggers!$A$1,0,0,COUNTA([3]enemy_skill_triggers!$A:$A),MATCH(H$1,[3]enemy_skill_triggers!$1:$1,0)-MATCH($F$1,[3]enemy_skill_triggers!$1:$1,0)+1),MATCH(H$1,[3]enemy_skill_triggers!$1:$1,0)-MATCH($F$1,[3]enemy_skill_triggers!$1:$1,0)+1,FALSE)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6" s="46" t="e">
        <f ca="1">VLOOKUP($F26,OFFSET([3]enemy_skill_triggers!$A$1,0,0,COUNTA([3]enemy_skill_triggers!$A:$A),MATCH(I$1,[3]enemy_skill_triggers!$1:$1,0)-MATCH($F$1,[3]enemy_skill_triggers!$1:$1,0)+1),MATCH(I$1,[3]enemy_skill_triggers!$1:$1,0)-MATCH($F$1,[3]enemy_skill_triggers!$1:$1,0)+1,FALSE)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6" s="46" t="e">
        <f ca="1">VLOOKUP($F26,OFFSET([3]enemy_skill_triggers!$A$1,0,0,COUNTA([3]enemy_skill_triggers!$A:$A),MATCH(J$1,[3]enemy_skill_triggers!$1:$1,0)-MATCH($F$1,[3]enemy_skill_triggers!$1:$1,0)+1),MATCH(J$1,[3]enemy_skill_triggers!$1:$1,0)-MATCH($F$1,[3]enemy_skill_triggers!$1:$1,0)+1,FALSE)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6" s="46" t="e">
        <f ca="1">VLOOKUP($F26,OFFSET([3]enemy_skill_triggers!$A$1,0,0,COUNTA([3]enemy_skill_triggers!$A:$A),MATCH(K$1,[3]enemy_skill_triggers!$1:$1,0)-MATCH($F$1,[3]enemy_skill_triggers!$1:$1,0)+1),MATCH(K$1,[3]enemy_skill_triggers!$1:$1,0)-MATCH($F$1,[3]enemy_skill_triggers!$1:$1,0)+1,FALSE)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6" s="46" t="e">
        <f ca="1">VLOOKUP($F26,OFFSET([3]enemy_skill_triggers!$A$1,0,0,COUNTA([3]enemy_skill_triggers!$A:$A),MATCH(L$1,[3]enemy_skill_triggers!$1:$1,0)-MATCH($F$1,[3]enemy_skill_triggers!$1:$1,0)+1),MATCH(L$1,[3]enemy_skill_triggers!$1:$1,0)-MATCH($F$1,[3]enemy_skill_triggers!$1:$1,0)+1,FALSE)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6" s="46" t="e">
        <f ca="1">VLOOKUP($F26,OFFSET([3]enemy_skill_triggers!$A$1,0,0,COUNTA([3]enemy_skill_triggers!$A:$A),MATCH(M$1,[3]enemy_skill_triggers!$1:$1,0)-MATCH($F$1,[3]enemy_skill_triggers!$1:$1,0)+1),MATCH(M$1,[3]enemy_skill_triggers!$1:$1,0)-MATCH($F$1,[3]enemy_skill_triggers!$1:$1,0)+1,FALSE)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6" s="46" t="e">
        <f ca="1">VLOOKUP($F26,OFFSET([3]enemy_skill_triggers!$A$1,0,0,COUNTA([3]enemy_skill_triggers!$A:$A),MATCH(N$1,[3]enemy_skill_triggers!$1:$1,0)-MATCH($F$1,[3]enemy_skill_triggers!$1:$1,0)+1),MATCH(N$1,[3]enemy_skill_triggers!$1:$1,0)-MATCH($F$1,[3]enemy_skill_triggers!$1:$1,0)+1,FALSE)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6" s="46" t="e">
        <f ca="1">VLOOKUP($F26,OFFSET([3]enemy_skill_triggers!$A$1,0,0,COUNTA([3]enemy_skill_triggers!$A:$A),MATCH(O$1,[3]enemy_skill_triggers!$1:$1,0)-MATCH($F$1,[3]enemy_skill_triggers!$1:$1,0)+1),MATCH(O$1,[3]enemy_skill_triggers!$1:$1,0)-MATCH($F$1,[3]enemy_skill_triggers!$1:$1,0)+1,FALSE)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6" s="45"/>
      <c r="Q26" s="45"/>
      <c r="R26" s="45"/>
    </row>
    <row r="27" spans="1:18" ht="21" customHeight="1" x14ac:dyDescent="0.15">
      <c r="A27" s="37" t="str">
        <f t="shared" si="0"/>
        <v>13301509_13301524</v>
      </c>
      <c r="B27" s="45">
        <v>13301509</v>
      </c>
      <c r="C27" s="112">
        <v>13301524</v>
      </c>
      <c r="D27" s="44" t="e">
        <f ca="1">VLOOKUP($C27,OFFSET([3]enemy_skills!$A$1,0,0,COUNTA([3]enemy_skills!$A:$A),MATCH(D$1,[3]enemy_skills!$1:$1,0)-MATCH("enemy_skill_id",[3]enemy_skills!$1:$1,0)+1),MATCH(D$1,[3]enemy_skills!$1:$1,0)-MATCH("enemy_skill_id",[3]enemy_skills!$1:$1,0)+1,FALSE)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7" s="44" t="e">
        <f ca="1">VLOOKUP($C27,OFFSET([3]enemy_skills!$A$1,0,0,COUNTA([3]enemy_skills!$A:$A),MATCH(E$1,[3]enemy_skills!$1:$1,0)-MATCH("enemy_skill_id",[3]enemy_skills!$1:$1,0)+1),MATCH(E$1,[3]enemy_skills!$1:$1,0)-MATCH("enemy_skill_id",[3]enemy_skills!$1:$1,0)+1,FALSE)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7" s="112">
        <v>13301524</v>
      </c>
      <c r="G27" s="46" t="e">
        <f ca="1">VLOOKUP($F27,OFFSET([3]enemy_skill_triggers!$A$1,0,0,COUNTA([3]enemy_skill_triggers!$A:$A),MATCH(G$1,[3]enemy_skill_triggers!$1:$1,0)-MATCH($F$1,[3]enemy_skill_triggers!$1:$1,0)+1),MATCH(G$1,[3]enemy_skill_triggers!$1:$1,0)-MATCH($F$1,[3]enemy_skill_triggers!$1:$1,0)+1,FALSE)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7" s="46" t="e">
        <f ca="1">VLOOKUP($F27,OFFSET([3]enemy_skill_triggers!$A$1,0,0,COUNTA([3]enemy_skill_triggers!$A:$A),MATCH(H$1,[3]enemy_skill_triggers!$1:$1,0)-MATCH($F$1,[3]enemy_skill_triggers!$1:$1,0)+1),MATCH(H$1,[3]enemy_skill_triggers!$1:$1,0)-MATCH($F$1,[3]enemy_skill_triggers!$1:$1,0)+1,FALSE)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7" s="46" t="e">
        <f ca="1">VLOOKUP($F27,OFFSET([3]enemy_skill_triggers!$A$1,0,0,COUNTA([3]enemy_skill_triggers!$A:$A),MATCH(I$1,[3]enemy_skill_triggers!$1:$1,0)-MATCH($F$1,[3]enemy_skill_triggers!$1:$1,0)+1),MATCH(I$1,[3]enemy_skill_triggers!$1:$1,0)-MATCH($F$1,[3]enemy_skill_triggers!$1:$1,0)+1,FALSE)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7" s="46" t="e">
        <f ca="1">VLOOKUP($F27,OFFSET([3]enemy_skill_triggers!$A$1,0,0,COUNTA([3]enemy_skill_triggers!$A:$A),MATCH(J$1,[3]enemy_skill_triggers!$1:$1,0)-MATCH($F$1,[3]enemy_skill_triggers!$1:$1,0)+1),MATCH(J$1,[3]enemy_skill_triggers!$1:$1,0)-MATCH($F$1,[3]enemy_skill_triggers!$1:$1,0)+1,FALSE)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7" s="46" t="e">
        <f ca="1">VLOOKUP($F27,OFFSET([3]enemy_skill_triggers!$A$1,0,0,COUNTA([3]enemy_skill_triggers!$A:$A),MATCH(K$1,[3]enemy_skill_triggers!$1:$1,0)-MATCH($F$1,[3]enemy_skill_triggers!$1:$1,0)+1),MATCH(K$1,[3]enemy_skill_triggers!$1:$1,0)-MATCH($F$1,[3]enemy_skill_triggers!$1:$1,0)+1,FALSE)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7" s="46" t="e">
        <f ca="1">VLOOKUP($F27,OFFSET([3]enemy_skill_triggers!$A$1,0,0,COUNTA([3]enemy_skill_triggers!$A:$A),MATCH(L$1,[3]enemy_skill_triggers!$1:$1,0)-MATCH($F$1,[3]enemy_skill_triggers!$1:$1,0)+1),MATCH(L$1,[3]enemy_skill_triggers!$1:$1,0)-MATCH($F$1,[3]enemy_skill_triggers!$1:$1,0)+1,FALSE)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7" s="46" t="e">
        <f ca="1">VLOOKUP($F27,OFFSET([3]enemy_skill_triggers!$A$1,0,0,COUNTA([3]enemy_skill_triggers!$A:$A),MATCH(M$1,[3]enemy_skill_triggers!$1:$1,0)-MATCH($F$1,[3]enemy_skill_triggers!$1:$1,0)+1),MATCH(M$1,[3]enemy_skill_triggers!$1:$1,0)-MATCH($F$1,[3]enemy_skill_triggers!$1:$1,0)+1,FALSE)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7" s="46" t="e">
        <f ca="1">VLOOKUP($F27,OFFSET([3]enemy_skill_triggers!$A$1,0,0,COUNTA([3]enemy_skill_triggers!$A:$A),MATCH(N$1,[3]enemy_skill_triggers!$1:$1,0)-MATCH($F$1,[3]enemy_skill_triggers!$1:$1,0)+1),MATCH(N$1,[3]enemy_skill_triggers!$1:$1,0)-MATCH($F$1,[3]enemy_skill_triggers!$1:$1,0)+1,FALSE)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7" s="46" t="e">
        <f ca="1">VLOOKUP($F27,OFFSET([3]enemy_skill_triggers!$A$1,0,0,COUNTA([3]enemy_skill_triggers!$A:$A),MATCH(O$1,[3]enemy_skill_triggers!$1:$1,0)-MATCH($F$1,[3]enemy_skill_triggers!$1:$1,0)+1),MATCH(O$1,[3]enemy_skill_triggers!$1:$1,0)-MATCH($F$1,[3]enemy_skill_triggers!$1:$1,0)+1,FALSE)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7" s="45"/>
      <c r="Q27" s="45"/>
      <c r="R27" s="45"/>
    </row>
    <row r="28" spans="1:18" ht="21" customHeight="1" x14ac:dyDescent="0.15">
      <c r="A28" s="37" t="str">
        <f t="shared" si="0"/>
        <v>13301510_13301525</v>
      </c>
      <c r="B28" s="45">
        <v>13301510</v>
      </c>
      <c r="C28" s="112">
        <v>13301525</v>
      </c>
      <c r="D28" s="44" t="e">
        <f ca="1">VLOOKUP($C28,OFFSET([3]enemy_skills!$A$1,0,0,COUNTA([3]enemy_skills!$A:$A),MATCH(D$1,[3]enemy_skills!$1:$1,0)-MATCH("enemy_skill_id",[3]enemy_skills!$1:$1,0)+1),MATCH(D$1,[3]enemy_skills!$1:$1,0)-MATCH("enemy_skill_id",[3]enemy_skills!$1:$1,0)+1,FALSE)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8" s="44" t="e">
        <f ca="1">VLOOKUP($C28,OFFSET([3]enemy_skills!$A$1,0,0,COUNTA([3]enemy_skills!$A:$A),MATCH(E$1,[3]enemy_skills!$1:$1,0)-MATCH("enemy_skill_id",[3]enemy_skills!$1:$1,0)+1),MATCH(E$1,[3]enemy_skills!$1:$1,0)-MATCH("enemy_skill_id",[3]enemy_skills!$1:$1,0)+1,FALSE)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8" s="112">
        <v>13301525</v>
      </c>
      <c r="G28" s="46" t="e">
        <f ca="1">VLOOKUP($F28,OFFSET([3]enemy_skill_triggers!$A$1,0,0,COUNTA([3]enemy_skill_triggers!$A:$A),MATCH(G$1,[3]enemy_skill_triggers!$1:$1,0)-MATCH($F$1,[3]enemy_skill_triggers!$1:$1,0)+1),MATCH(G$1,[3]enemy_skill_triggers!$1:$1,0)-MATCH($F$1,[3]enemy_skill_triggers!$1:$1,0)+1,FALSE)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8" s="46" t="e">
        <f ca="1">VLOOKUP($F28,OFFSET([3]enemy_skill_triggers!$A$1,0,0,COUNTA([3]enemy_skill_triggers!$A:$A),MATCH(H$1,[3]enemy_skill_triggers!$1:$1,0)-MATCH($F$1,[3]enemy_skill_triggers!$1:$1,0)+1),MATCH(H$1,[3]enemy_skill_triggers!$1:$1,0)-MATCH($F$1,[3]enemy_skill_triggers!$1:$1,0)+1,FALSE)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8" s="46" t="e">
        <f ca="1">VLOOKUP($F28,OFFSET([3]enemy_skill_triggers!$A$1,0,0,COUNTA([3]enemy_skill_triggers!$A:$A),MATCH(I$1,[3]enemy_skill_triggers!$1:$1,0)-MATCH($F$1,[3]enemy_skill_triggers!$1:$1,0)+1),MATCH(I$1,[3]enemy_skill_triggers!$1:$1,0)-MATCH($F$1,[3]enemy_skill_triggers!$1:$1,0)+1,FALSE)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8" s="46" t="e">
        <f ca="1">VLOOKUP($F28,OFFSET([3]enemy_skill_triggers!$A$1,0,0,COUNTA([3]enemy_skill_triggers!$A:$A),MATCH(J$1,[3]enemy_skill_triggers!$1:$1,0)-MATCH($F$1,[3]enemy_skill_triggers!$1:$1,0)+1),MATCH(J$1,[3]enemy_skill_triggers!$1:$1,0)-MATCH($F$1,[3]enemy_skill_triggers!$1:$1,0)+1,FALSE)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8" s="46" t="e">
        <f ca="1">VLOOKUP($F28,OFFSET([3]enemy_skill_triggers!$A$1,0,0,COUNTA([3]enemy_skill_triggers!$A:$A),MATCH(K$1,[3]enemy_skill_triggers!$1:$1,0)-MATCH($F$1,[3]enemy_skill_triggers!$1:$1,0)+1),MATCH(K$1,[3]enemy_skill_triggers!$1:$1,0)-MATCH($F$1,[3]enemy_skill_triggers!$1:$1,0)+1,FALSE)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8" s="46" t="e">
        <f ca="1">VLOOKUP($F28,OFFSET([3]enemy_skill_triggers!$A$1,0,0,COUNTA([3]enemy_skill_triggers!$A:$A),MATCH(L$1,[3]enemy_skill_triggers!$1:$1,0)-MATCH($F$1,[3]enemy_skill_triggers!$1:$1,0)+1),MATCH(L$1,[3]enemy_skill_triggers!$1:$1,0)-MATCH($F$1,[3]enemy_skill_triggers!$1:$1,0)+1,FALSE)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8" s="46" t="e">
        <f ca="1">VLOOKUP($F28,OFFSET([3]enemy_skill_triggers!$A$1,0,0,COUNTA([3]enemy_skill_triggers!$A:$A),MATCH(M$1,[3]enemy_skill_triggers!$1:$1,0)-MATCH($F$1,[3]enemy_skill_triggers!$1:$1,0)+1),MATCH(M$1,[3]enemy_skill_triggers!$1:$1,0)-MATCH($F$1,[3]enemy_skill_triggers!$1:$1,0)+1,FALSE)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8" s="46" t="e">
        <f ca="1">VLOOKUP($F28,OFFSET([3]enemy_skill_triggers!$A$1,0,0,COUNTA([3]enemy_skill_triggers!$A:$A),MATCH(N$1,[3]enemy_skill_triggers!$1:$1,0)-MATCH($F$1,[3]enemy_skill_triggers!$1:$1,0)+1),MATCH(N$1,[3]enemy_skill_triggers!$1:$1,0)-MATCH($F$1,[3]enemy_skill_triggers!$1:$1,0)+1,FALSE)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8" s="46" t="e">
        <f ca="1">VLOOKUP($F28,OFFSET([3]enemy_skill_triggers!$A$1,0,0,COUNTA([3]enemy_skill_triggers!$A:$A),MATCH(O$1,[3]enemy_skill_triggers!$1:$1,0)-MATCH($F$1,[3]enemy_skill_triggers!$1:$1,0)+1),MATCH(O$1,[3]enemy_skill_triggers!$1:$1,0)-MATCH($F$1,[3]enemy_skill_triggers!$1:$1,0)+1,FALSE)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8" s="45"/>
      <c r="Q28" s="45"/>
      <c r="R28" s="45"/>
    </row>
    <row r="29" spans="1:18" ht="21" customHeight="1" x14ac:dyDescent="0.15">
      <c r="A29" s="37" t="str">
        <f t="shared" si="0"/>
        <v>13301510_13301526</v>
      </c>
      <c r="B29" s="45">
        <v>13301510</v>
      </c>
      <c r="C29" s="112">
        <v>13301526</v>
      </c>
      <c r="D29" s="44" t="e">
        <f ca="1">VLOOKUP($C29,OFFSET([3]enemy_skills!$A$1,0,0,COUNTA([3]enemy_skills!$A:$A),MATCH(D$1,[3]enemy_skills!$1:$1,0)-MATCH("enemy_skill_id",[3]enemy_skills!$1:$1,0)+1),MATCH(D$1,[3]enemy_skills!$1:$1,0)-MATCH("enemy_skill_id",[3]enemy_skills!$1:$1,0)+1,FALSE)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9" s="44" t="e">
        <f ca="1">VLOOKUP($C29,OFFSET([3]enemy_skills!$A$1,0,0,COUNTA([3]enemy_skills!$A:$A),MATCH(E$1,[3]enemy_skills!$1:$1,0)-MATCH("enemy_skill_id",[3]enemy_skills!$1:$1,0)+1),MATCH(E$1,[3]enemy_skills!$1:$1,0)-MATCH("enemy_skill_id",[3]enemy_skills!$1:$1,0)+1,FALSE)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9" s="112">
        <v>13301526</v>
      </c>
      <c r="G29" s="46" t="e">
        <f ca="1">VLOOKUP($F29,OFFSET([3]enemy_skill_triggers!$A$1,0,0,COUNTA([3]enemy_skill_triggers!$A:$A),MATCH(G$1,[3]enemy_skill_triggers!$1:$1,0)-MATCH($F$1,[3]enemy_skill_triggers!$1:$1,0)+1),MATCH(G$1,[3]enemy_skill_triggers!$1:$1,0)-MATCH($F$1,[3]enemy_skill_triggers!$1:$1,0)+1,FALSE)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9" s="46" t="e">
        <f ca="1">VLOOKUP($F29,OFFSET([3]enemy_skill_triggers!$A$1,0,0,COUNTA([3]enemy_skill_triggers!$A:$A),MATCH(H$1,[3]enemy_skill_triggers!$1:$1,0)-MATCH($F$1,[3]enemy_skill_triggers!$1:$1,0)+1),MATCH(H$1,[3]enemy_skill_triggers!$1:$1,0)-MATCH($F$1,[3]enemy_skill_triggers!$1:$1,0)+1,FALSE)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9" s="46" t="e">
        <f ca="1">VLOOKUP($F29,OFFSET([3]enemy_skill_triggers!$A$1,0,0,COUNTA([3]enemy_skill_triggers!$A:$A),MATCH(I$1,[3]enemy_skill_triggers!$1:$1,0)-MATCH($F$1,[3]enemy_skill_triggers!$1:$1,0)+1),MATCH(I$1,[3]enemy_skill_triggers!$1:$1,0)-MATCH($F$1,[3]enemy_skill_triggers!$1:$1,0)+1,FALSE)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9" s="46" t="e">
        <f ca="1">VLOOKUP($F29,OFFSET([3]enemy_skill_triggers!$A$1,0,0,COUNTA([3]enemy_skill_triggers!$A:$A),MATCH(J$1,[3]enemy_skill_triggers!$1:$1,0)-MATCH($F$1,[3]enemy_skill_triggers!$1:$1,0)+1),MATCH(J$1,[3]enemy_skill_triggers!$1:$1,0)-MATCH($F$1,[3]enemy_skill_triggers!$1:$1,0)+1,FALSE)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9" s="46" t="e">
        <f ca="1">VLOOKUP($F29,OFFSET([3]enemy_skill_triggers!$A$1,0,0,COUNTA([3]enemy_skill_triggers!$A:$A),MATCH(K$1,[3]enemy_skill_triggers!$1:$1,0)-MATCH($F$1,[3]enemy_skill_triggers!$1:$1,0)+1),MATCH(K$1,[3]enemy_skill_triggers!$1:$1,0)-MATCH($F$1,[3]enemy_skill_triggers!$1:$1,0)+1,FALSE)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9" s="46" t="e">
        <f ca="1">VLOOKUP($F29,OFFSET([3]enemy_skill_triggers!$A$1,0,0,COUNTA([3]enemy_skill_triggers!$A:$A),MATCH(L$1,[3]enemy_skill_triggers!$1:$1,0)-MATCH($F$1,[3]enemy_skill_triggers!$1:$1,0)+1),MATCH(L$1,[3]enemy_skill_triggers!$1:$1,0)-MATCH($F$1,[3]enemy_skill_triggers!$1:$1,0)+1,FALSE)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9" s="46" t="e">
        <f ca="1">VLOOKUP($F29,OFFSET([3]enemy_skill_triggers!$A$1,0,0,COUNTA([3]enemy_skill_triggers!$A:$A),MATCH(M$1,[3]enemy_skill_triggers!$1:$1,0)-MATCH($F$1,[3]enemy_skill_triggers!$1:$1,0)+1),MATCH(M$1,[3]enemy_skill_triggers!$1:$1,0)-MATCH($F$1,[3]enemy_skill_triggers!$1:$1,0)+1,FALSE)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9" s="46" t="e">
        <f ca="1">VLOOKUP($F29,OFFSET([3]enemy_skill_triggers!$A$1,0,0,COUNTA([3]enemy_skill_triggers!$A:$A),MATCH(N$1,[3]enemy_skill_triggers!$1:$1,0)-MATCH($F$1,[3]enemy_skill_triggers!$1:$1,0)+1),MATCH(N$1,[3]enemy_skill_triggers!$1:$1,0)-MATCH($F$1,[3]enemy_skill_triggers!$1:$1,0)+1,FALSE)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9" s="46" t="e">
        <f ca="1">VLOOKUP($F29,OFFSET([3]enemy_skill_triggers!$A$1,0,0,COUNTA([3]enemy_skill_triggers!$A:$A),MATCH(O$1,[3]enemy_skill_triggers!$1:$1,0)-MATCH($F$1,[3]enemy_skill_triggers!$1:$1,0)+1),MATCH(O$1,[3]enemy_skill_triggers!$1:$1,0)-MATCH($F$1,[3]enemy_skill_triggers!$1:$1,0)+1,FALSE)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9" s="45"/>
      <c r="Q29" s="45"/>
      <c r="R29" s="45"/>
    </row>
    <row r="30" spans="1:18" ht="21" customHeight="1" x14ac:dyDescent="0.15">
      <c r="A30" s="37" t="str">
        <f t="shared" si="0"/>
        <v>13301505_13301529</v>
      </c>
      <c r="B30" s="45">
        <v>13301505</v>
      </c>
      <c r="C30" s="45">
        <v>13301529</v>
      </c>
      <c r="D30" s="44" t="e">
        <f ca="1">VLOOKUP($C30,OFFSET([3]enemy_skills!$A$1,0,0,COUNTA([3]enemy_skills!$A:$A),MATCH(D$1,[3]enemy_skills!$1:$1,0)-MATCH("enemy_skill_id",[3]enemy_skills!$1:$1,0)+1),MATCH(D$1,[3]enemy_skills!$1:$1,0)-MATCH("enemy_skill_id",[3]enemy_skills!$1:$1,0)+1,FALSE)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0" s="44" t="e">
        <f ca="1">VLOOKUP($C30,OFFSET([3]enemy_skills!$A$1,0,0,COUNTA([3]enemy_skills!$A:$A),MATCH(E$1,[3]enemy_skills!$1:$1,0)-MATCH("enemy_skill_id",[3]enemy_skills!$1:$1,0)+1),MATCH(E$1,[3]enemy_skills!$1:$1,0)-MATCH("enemy_skill_id",[3]enemy_skills!$1:$1,0)+1,FALSE)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0" s="45">
        <v>13301529</v>
      </c>
      <c r="G30" s="46" t="e">
        <f ca="1">VLOOKUP($F30,OFFSET([3]enemy_skill_triggers!$A$1,0,0,COUNTA([3]enemy_skill_triggers!$A:$A),MATCH(G$1,[3]enemy_skill_triggers!$1:$1,0)-MATCH($F$1,[3]enemy_skill_triggers!$1:$1,0)+1),MATCH(G$1,[3]enemy_skill_triggers!$1:$1,0)-MATCH($F$1,[3]enemy_skill_triggers!$1:$1,0)+1,FALSE)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0" s="46" t="e">
        <f ca="1">VLOOKUP($F30,OFFSET([3]enemy_skill_triggers!$A$1,0,0,COUNTA([3]enemy_skill_triggers!$A:$A),MATCH(H$1,[3]enemy_skill_triggers!$1:$1,0)-MATCH($F$1,[3]enemy_skill_triggers!$1:$1,0)+1),MATCH(H$1,[3]enemy_skill_triggers!$1:$1,0)-MATCH($F$1,[3]enemy_skill_triggers!$1:$1,0)+1,FALSE)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0" s="46" t="e">
        <f ca="1">VLOOKUP($F30,OFFSET([3]enemy_skill_triggers!$A$1,0,0,COUNTA([3]enemy_skill_triggers!$A:$A),MATCH(I$1,[3]enemy_skill_triggers!$1:$1,0)-MATCH($F$1,[3]enemy_skill_triggers!$1:$1,0)+1),MATCH(I$1,[3]enemy_skill_triggers!$1:$1,0)-MATCH($F$1,[3]enemy_skill_triggers!$1:$1,0)+1,FALSE)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0" s="46" t="e">
        <f ca="1">VLOOKUP($F30,OFFSET([3]enemy_skill_triggers!$A$1,0,0,COUNTA([3]enemy_skill_triggers!$A:$A),MATCH(J$1,[3]enemy_skill_triggers!$1:$1,0)-MATCH($F$1,[3]enemy_skill_triggers!$1:$1,0)+1),MATCH(J$1,[3]enemy_skill_triggers!$1:$1,0)-MATCH($F$1,[3]enemy_skill_triggers!$1:$1,0)+1,FALSE)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0" s="46" t="e">
        <f ca="1">VLOOKUP($F30,OFFSET([3]enemy_skill_triggers!$A$1,0,0,COUNTA([3]enemy_skill_triggers!$A:$A),MATCH(K$1,[3]enemy_skill_triggers!$1:$1,0)-MATCH($F$1,[3]enemy_skill_triggers!$1:$1,0)+1),MATCH(K$1,[3]enemy_skill_triggers!$1:$1,0)-MATCH($F$1,[3]enemy_skill_triggers!$1:$1,0)+1,FALSE)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0" s="46" t="e">
        <f ca="1">VLOOKUP($F30,OFFSET([3]enemy_skill_triggers!$A$1,0,0,COUNTA([3]enemy_skill_triggers!$A:$A),MATCH(L$1,[3]enemy_skill_triggers!$1:$1,0)-MATCH($F$1,[3]enemy_skill_triggers!$1:$1,0)+1),MATCH(L$1,[3]enemy_skill_triggers!$1:$1,0)-MATCH($F$1,[3]enemy_skill_triggers!$1:$1,0)+1,FALSE)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0" s="46" t="e">
        <f ca="1">VLOOKUP($F30,OFFSET([3]enemy_skill_triggers!$A$1,0,0,COUNTA([3]enemy_skill_triggers!$A:$A),MATCH(M$1,[3]enemy_skill_triggers!$1:$1,0)-MATCH($F$1,[3]enemy_skill_triggers!$1:$1,0)+1),MATCH(M$1,[3]enemy_skill_triggers!$1:$1,0)-MATCH($F$1,[3]enemy_skill_triggers!$1:$1,0)+1,FALSE)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0" s="46" t="e">
        <f ca="1">VLOOKUP($F30,OFFSET([3]enemy_skill_triggers!$A$1,0,0,COUNTA([3]enemy_skill_triggers!$A:$A),MATCH(N$1,[3]enemy_skill_triggers!$1:$1,0)-MATCH($F$1,[3]enemy_skill_triggers!$1:$1,0)+1),MATCH(N$1,[3]enemy_skill_triggers!$1:$1,0)-MATCH($F$1,[3]enemy_skill_triggers!$1:$1,0)+1,FALSE)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0" s="46" t="e">
        <f ca="1">VLOOKUP($F30,OFFSET([3]enemy_skill_triggers!$A$1,0,0,COUNTA([3]enemy_skill_triggers!$A:$A),MATCH(O$1,[3]enemy_skill_triggers!$1:$1,0)-MATCH($F$1,[3]enemy_skill_triggers!$1:$1,0)+1),MATCH(O$1,[3]enemy_skill_triggers!$1:$1,0)-MATCH($F$1,[3]enemy_skill_triggers!$1:$1,0)+1,FALSE)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0" s="45"/>
      <c r="Q30" s="45"/>
      <c r="R30" s="45"/>
    </row>
    <row r="31" spans="1:18" ht="21" customHeight="1" x14ac:dyDescent="0.15">
      <c r="A31" s="37" t="str">
        <f t="shared" si="0"/>
        <v>13301505_13301530</v>
      </c>
      <c r="B31" s="45">
        <v>13301505</v>
      </c>
      <c r="C31" s="45">
        <v>13301530</v>
      </c>
      <c r="D31" s="44" t="e">
        <f ca="1">VLOOKUP($C31,OFFSET([3]enemy_skills!$A$1,0,0,COUNTA([3]enemy_skills!$A:$A),MATCH(D$1,[3]enemy_skills!$1:$1,0)-MATCH("enemy_skill_id",[3]enemy_skills!$1:$1,0)+1),MATCH(D$1,[3]enemy_skills!$1:$1,0)-MATCH("enemy_skill_id",[3]enemy_skills!$1:$1,0)+1,FALSE)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1" s="44" t="e">
        <f ca="1">VLOOKUP($C31,OFFSET([3]enemy_skills!$A$1,0,0,COUNTA([3]enemy_skills!$A:$A),MATCH(E$1,[3]enemy_skills!$1:$1,0)-MATCH("enemy_skill_id",[3]enemy_skills!$1:$1,0)+1),MATCH(E$1,[3]enemy_skills!$1:$1,0)-MATCH("enemy_skill_id",[3]enemy_skills!$1:$1,0)+1,FALSE)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1" s="45">
        <v>13301530</v>
      </c>
      <c r="G31" s="46" t="e">
        <f ca="1">VLOOKUP($F31,OFFSET([3]enemy_skill_triggers!$A$1,0,0,COUNTA([3]enemy_skill_triggers!$A:$A),MATCH(G$1,[3]enemy_skill_triggers!$1:$1,0)-MATCH($F$1,[3]enemy_skill_triggers!$1:$1,0)+1),MATCH(G$1,[3]enemy_skill_triggers!$1:$1,0)-MATCH($F$1,[3]enemy_skill_triggers!$1:$1,0)+1,FALSE)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1" s="46" t="e">
        <f ca="1">VLOOKUP($F31,OFFSET([3]enemy_skill_triggers!$A$1,0,0,COUNTA([3]enemy_skill_triggers!$A:$A),MATCH(H$1,[3]enemy_skill_triggers!$1:$1,0)-MATCH($F$1,[3]enemy_skill_triggers!$1:$1,0)+1),MATCH(H$1,[3]enemy_skill_triggers!$1:$1,0)-MATCH($F$1,[3]enemy_skill_triggers!$1:$1,0)+1,FALSE)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1" s="46" t="e">
        <f ca="1">VLOOKUP($F31,OFFSET([3]enemy_skill_triggers!$A$1,0,0,COUNTA([3]enemy_skill_triggers!$A:$A),MATCH(I$1,[3]enemy_skill_triggers!$1:$1,0)-MATCH($F$1,[3]enemy_skill_triggers!$1:$1,0)+1),MATCH(I$1,[3]enemy_skill_triggers!$1:$1,0)-MATCH($F$1,[3]enemy_skill_triggers!$1:$1,0)+1,FALSE)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1" s="46" t="e">
        <f ca="1">VLOOKUP($F31,OFFSET([3]enemy_skill_triggers!$A$1,0,0,COUNTA([3]enemy_skill_triggers!$A:$A),MATCH(J$1,[3]enemy_skill_triggers!$1:$1,0)-MATCH($F$1,[3]enemy_skill_triggers!$1:$1,0)+1),MATCH(J$1,[3]enemy_skill_triggers!$1:$1,0)-MATCH($F$1,[3]enemy_skill_triggers!$1:$1,0)+1,FALSE)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1" s="46" t="e">
        <f ca="1">VLOOKUP($F31,OFFSET([3]enemy_skill_triggers!$A$1,0,0,COUNTA([3]enemy_skill_triggers!$A:$A),MATCH(K$1,[3]enemy_skill_triggers!$1:$1,0)-MATCH($F$1,[3]enemy_skill_triggers!$1:$1,0)+1),MATCH(K$1,[3]enemy_skill_triggers!$1:$1,0)-MATCH($F$1,[3]enemy_skill_triggers!$1:$1,0)+1,FALSE)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1" s="46" t="e">
        <f ca="1">VLOOKUP($F31,OFFSET([3]enemy_skill_triggers!$A$1,0,0,COUNTA([3]enemy_skill_triggers!$A:$A),MATCH(L$1,[3]enemy_skill_triggers!$1:$1,0)-MATCH($F$1,[3]enemy_skill_triggers!$1:$1,0)+1),MATCH(L$1,[3]enemy_skill_triggers!$1:$1,0)-MATCH($F$1,[3]enemy_skill_triggers!$1:$1,0)+1,FALSE)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1" s="46" t="e">
        <f ca="1">VLOOKUP($F31,OFFSET([3]enemy_skill_triggers!$A$1,0,0,COUNTA([3]enemy_skill_triggers!$A:$A),MATCH(M$1,[3]enemy_skill_triggers!$1:$1,0)-MATCH($F$1,[3]enemy_skill_triggers!$1:$1,0)+1),MATCH(M$1,[3]enemy_skill_triggers!$1:$1,0)-MATCH($F$1,[3]enemy_skill_triggers!$1:$1,0)+1,FALSE)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1" s="46" t="e">
        <f ca="1">VLOOKUP($F31,OFFSET([3]enemy_skill_triggers!$A$1,0,0,COUNTA([3]enemy_skill_triggers!$A:$A),MATCH(N$1,[3]enemy_skill_triggers!$1:$1,0)-MATCH($F$1,[3]enemy_skill_triggers!$1:$1,0)+1),MATCH(N$1,[3]enemy_skill_triggers!$1:$1,0)-MATCH($F$1,[3]enemy_skill_triggers!$1:$1,0)+1,FALSE)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1" s="46" t="e">
        <f ca="1">VLOOKUP($F31,OFFSET([3]enemy_skill_triggers!$A$1,0,0,COUNTA([3]enemy_skill_triggers!$A:$A),MATCH(O$1,[3]enemy_skill_triggers!$1:$1,0)-MATCH($F$1,[3]enemy_skill_triggers!$1:$1,0)+1),MATCH(O$1,[3]enemy_skill_triggers!$1:$1,0)-MATCH($F$1,[3]enemy_skill_triggers!$1:$1,0)+1,FALSE)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1" s="45"/>
      <c r="Q31" s="45"/>
      <c r="R31" s="45"/>
    </row>
    <row r="32" spans="1:18" ht="21" customHeight="1" x14ac:dyDescent="0.15">
      <c r="A32" s="37" t="str">
        <f t="shared" si="0"/>
        <v>13301505_13301531</v>
      </c>
      <c r="B32" s="45">
        <v>13301505</v>
      </c>
      <c r="C32" s="45">
        <v>13301531</v>
      </c>
      <c r="D32" s="44" t="e">
        <f ca="1">VLOOKUP($C32,OFFSET([3]enemy_skills!$A$1,0,0,COUNTA([3]enemy_skills!$A:$A),MATCH(D$1,[3]enemy_skills!$1:$1,0)-MATCH("enemy_skill_id",[3]enemy_skills!$1:$1,0)+1),MATCH(D$1,[3]enemy_skills!$1:$1,0)-MATCH("enemy_skill_id",[3]enemy_skills!$1:$1,0)+1,FALSE)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2" s="44" t="e">
        <f ca="1">VLOOKUP($C32,OFFSET([3]enemy_skills!$A$1,0,0,COUNTA([3]enemy_skills!$A:$A),MATCH(E$1,[3]enemy_skills!$1:$1,0)-MATCH("enemy_skill_id",[3]enemy_skills!$1:$1,0)+1),MATCH(E$1,[3]enemy_skills!$1:$1,0)-MATCH("enemy_skill_id",[3]enemy_skills!$1:$1,0)+1,FALSE)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2" s="45">
        <v>13301531</v>
      </c>
      <c r="G32" s="46" t="e">
        <f ca="1">VLOOKUP($F32,OFFSET([3]enemy_skill_triggers!$A$1,0,0,COUNTA([3]enemy_skill_triggers!$A:$A),MATCH(G$1,[3]enemy_skill_triggers!$1:$1,0)-MATCH($F$1,[3]enemy_skill_triggers!$1:$1,0)+1),MATCH(G$1,[3]enemy_skill_triggers!$1:$1,0)-MATCH($F$1,[3]enemy_skill_triggers!$1:$1,0)+1,FALSE)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2" s="46" t="e">
        <f ca="1">VLOOKUP($F32,OFFSET([3]enemy_skill_triggers!$A$1,0,0,COUNTA([3]enemy_skill_triggers!$A:$A),MATCH(H$1,[3]enemy_skill_triggers!$1:$1,0)-MATCH($F$1,[3]enemy_skill_triggers!$1:$1,0)+1),MATCH(H$1,[3]enemy_skill_triggers!$1:$1,0)-MATCH($F$1,[3]enemy_skill_triggers!$1:$1,0)+1,FALSE)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2" s="46" t="e">
        <f ca="1">VLOOKUP($F32,OFFSET([3]enemy_skill_triggers!$A$1,0,0,COUNTA([3]enemy_skill_triggers!$A:$A),MATCH(I$1,[3]enemy_skill_triggers!$1:$1,0)-MATCH($F$1,[3]enemy_skill_triggers!$1:$1,0)+1),MATCH(I$1,[3]enemy_skill_triggers!$1:$1,0)-MATCH($F$1,[3]enemy_skill_triggers!$1:$1,0)+1,FALSE)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2" s="46" t="e">
        <f ca="1">VLOOKUP($F32,OFFSET([3]enemy_skill_triggers!$A$1,0,0,COUNTA([3]enemy_skill_triggers!$A:$A),MATCH(J$1,[3]enemy_skill_triggers!$1:$1,0)-MATCH($F$1,[3]enemy_skill_triggers!$1:$1,0)+1),MATCH(J$1,[3]enemy_skill_triggers!$1:$1,0)-MATCH($F$1,[3]enemy_skill_triggers!$1:$1,0)+1,FALSE)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2" s="46" t="e">
        <f ca="1">VLOOKUP($F32,OFFSET([3]enemy_skill_triggers!$A$1,0,0,COUNTA([3]enemy_skill_triggers!$A:$A),MATCH(K$1,[3]enemy_skill_triggers!$1:$1,0)-MATCH($F$1,[3]enemy_skill_triggers!$1:$1,0)+1),MATCH(K$1,[3]enemy_skill_triggers!$1:$1,0)-MATCH($F$1,[3]enemy_skill_triggers!$1:$1,0)+1,FALSE)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2" s="46" t="e">
        <f ca="1">VLOOKUP($F32,OFFSET([3]enemy_skill_triggers!$A$1,0,0,COUNTA([3]enemy_skill_triggers!$A:$A),MATCH(L$1,[3]enemy_skill_triggers!$1:$1,0)-MATCH($F$1,[3]enemy_skill_triggers!$1:$1,0)+1),MATCH(L$1,[3]enemy_skill_triggers!$1:$1,0)-MATCH($F$1,[3]enemy_skill_triggers!$1:$1,0)+1,FALSE)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2" s="46" t="e">
        <f ca="1">VLOOKUP($F32,OFFSET([3]enemy_skill_triggers!$A$1,0,0,COUNTA([3]enemy_skill_triggers!$A:$A),MATCH(M$1,[3]enemy_skill_triggers!$1:$1,0)-MATCH($F$1,[3]enemy_skill_triggers!$1:$1,0)+1),MATCH(M$1,[3]enemy_skill_triggers!$1:$1,0)-MATCH($F$1,[3]enemy_skill_triggers!$1:$1,0)+1,FALSE)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2" s="46" t="e">
        <f ca="1">VLOOKUP($F32,OFFSET([3]enemy_skill_triggers!$A$1,0,0,COUNTA([3]enemy_skill_triggers!$A:$A),MATCH(N$1,[3]enemy_skill_triggers!$1:$1,0)-MATCH($F$1,[3]enemy_skill_triggers!$1:$1,0)+1),MATCH(N$1,[3]enemy_skill_triggers!$1:$1,0)-MATCH($F$1,[3]enemy_skill_triggers!$1:$1,0)+1,FALSE)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2" s="46" t="e">
        <f ca="1">VLOOKUP($F32,OFFSET([3]enemy_skill_triggers!$A$1,0,0,COUNTA([3]enemy_skill_triggers!$A:$A),MATCH(O$1,[3]enemy_skill_triggers!$1:$1,0)-MATCH($F$1,[3]enemy_skill_triggers!$1:$1,0)+1),MATCH(O$1,[3]enemy_skill_triggers!$1:$1,0)-MATCH($F$1,[3]enemy_skill_triggers!$1:$1,0)+1,FALSE)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2" s="45"/>
      <c r="Q32" s="45"/>
      <c r="R32" s="45"/>
    </row>
    <row r="33" spans="1:18" ht="21" customHeight="1" x14ac:dyDescent="0.15">
      <c r="A33" s="37" t="str">
        <f t="shared" si="0"/>
        <v>13301506_13301529</v>
      </c>
      <c r="B33" s="45">
        <v>13301506</v>
      </c>
      <c r="C33" s="45">
        <v>13301529</v>
      </c>
      <c r="D33" s="44" t="e">
        <f ca="1">VLOOKUP($C33,OFFSET([3]enemy_skills!$A$1,0,0,COUNTA([3]enemy_skills!$A:$A),MATCH(D$1,[3]enemy_skills!$1:$1,0)-MATCH("enemy_skill_id",[3]enemy_skills!$1:$1,0)+1),MATCH(D$1,[3]enemy_skills!$1:$1,0)-MATCH("enemy_skill_id",[3]enemy_skills!$1:$1,0)+1,FALSE)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3" s="44" t="e">
        <f ca="1">VLOOKUP($C33,OFFSET([3]enemy_skills!$A$1,0,0,COUNTA([3]enemy_skills!$A:$A),MATCH(E$1,[3]enemy_skills!$1:$1,0)-MATCH("enemy_skill_id",[3]enemy_skills!$1:$1,0)+1),MATCH(E$1,[3]enemy_skills!$1:$1,0)-MATCH("enemy_skill_id",[3]enemy_skills!$1:$1,0)+1,FALSE)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3" s="45">
        <v>13301529</v>
      </c>
      <c r="G33" s="46" t="e">
        <f ca="1">VLOOKUP($F33,OFFSET([3]enemy_skill_triggers!$A$1,0,0,COUNTA([3]enemy_skill_triggers!$A:$A),MATCH(G$1,[3]enemy_skill_triggers!$1:$1,0)-MATCH($F$1,[3]enemy_skill_triggers!$1:$1,0)+1),MATCH(G$1,[3]enemy_skill_triggers!$1:$1,0)-MATCH($F$1,[3]enemy_skill_triggers!$1:$1,0)+1,FALSE)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3" s="46" t="e">
        <f ca="1">VLOOKUP($F33,OFFSET([3]enemy_skill_triggers!$A$1,0,0,COUNTA([3]enemy_skill_triggers!$A:$A),MATCH(H$1,[3]enemy_skill_triggers!$1:$1,0)-MATCH($F$1,[3]enemy_skill_triggers!$1:$1,0)+1),MATCH(H$1,[3]enemy_skill_triggers!$1:$1,0)-MATCH($F$1,[3]enemy_skill_triggers!$1:$1,0)+1,FALSE)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3" s="46" t="e">
        <f ca="1">VLOOKUP($F33,OFFSET([3]enemy_skill_triggers!$A$1,0,0,COUNTA([3]enemy_skill_triggers!$A:$A),MATCH(I$1,[3]enemy_skill_triggers!$1:$1,0)-MATCH($F$1,[3]enemy_skill_triggers!$1:$1,0)+1),MATCH(I$1,[3]enemy_skill_triggers!$1:$1,0)-MATCH($F$1,[3]enemy_skill_triggers!$1:$1,0)+1,FALSE)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3" s="46" t="e">
        <f ca="1">VLOOKUP($F33,OFFSET([3]enemy_skill_triggers!$A$1,0,0,COUNTA([3]enemy_skill_triggers!$A:$A),MATCH(J$1,[3]enemy_skill_triggers!$1:$1,0)-MATCH($F$1,[3]enemy_skill_triggers!$1:$1,0)+1),MATCH(J$1,[3]enemy_skill_triggers!$1:$1,0)-MATCH($F$1,[3]enemy_skill_triggers!$1:$1,0)+1,FALSE)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3" s="46" t="e">
        <f ca="1">VLOOKUP($F33,OFFSET([3]enemy_skill_triggers!$A$1,0,0,COUNTA([3]enemy_skill_triggers!$A:$A),MATCH(K$1,[3]enemy_skill_triggers!$1:$1,0)-MATCH($F$1,[3]enemy_skill_triggers!$1:$1,0)+1),MATCH(K$1,[3]enemy_skill_triggers!$1:$1,0)-MATCH($F$1,[3]enemy_skill_triggers!$1:$1,0)+1,FALSE)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3" s="46" t="e">
        <f ca="1">VLOOKUP($F33,OFFSET([3]enemy_skill_triggers!$A$1,0,0,COUNTA([3]enemy_skill_triggers!$A:$A),MATCH(L$1,[3]enemy_skill_triggers!$1:$1,0)-MATCH($F$1,[3]enemy_skill_triggers!$1:$1,0)+1),MATCH(L$1,[3]enemy_skill_triggers!$1:$1,0)-MATCH($F$1,[3]enemy_skill_triggers!$1:$1,0)+1,FALSE)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3" s="46" t="e">
        <f ca="1">VLOOKUP($F33,OFFSET([3]enemy_skill_triggers!$A$1,0,0,COUNTA([3]enemy_skill_triggers!$A:$A),MATCH(M$1,[3]enemy_skill_triggers!$1:$1,0)-MATCH($F$1,[3]enemy_skill_triggers!$1:$1,0)+1),MATCH(M$1,[3]enemy_skill_triggers!$1:$1,0)-MATCH($F$1,[3]enemy_skill_triggers!$1:$1,0)+1,FALSE)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3" s="46" t="e">
        <f ca="1">VLOOKUP($F33,OFFSET([3]enemy_skill_triggers!$A$1,0,0,COUNTA([3]enemy_skill_triggers!$A:$A),MATCH(N$1,[3]enemy_skill_triggers!$1:$1,0)-MATCH($F$1,[3]enemy_skill_triggers!$1:$1,0)+1),MATCH(N$1,[3]enemy_skill_triggers!$1:$1,0)-MATCH($F$1,[3]enemy_skill_triggers!$1:$1,0)+1,FALSE)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3" s="46" t="e">
        <f ca="1">VLOOKUP($F33,OFFSET([3]enemy_skill_triggers!$A$1,0,0,COUNTA([3]enemy_skill_triggers!$A:$A),MATCH(O$1,[3]enemy_skill_triggers!$1:$1,0)-MATCH($F$1,[3]enemy_skill_triggers!$1:$1,0)+1),MATCH(O$1,[3]enemy_skill_triggers!$1:$1,0)-MATCH($F$1,[3]enemy_skill_triggers!$1:$1,0)+1,FALSE)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3" s="45"/>
      <c r="Q33" s="45"/>
      <c r="R33" s="45"/>
    </row>
    <row r="34" spans="1:18" ht="21" customHeight="1" x14ac:dyDescent="0.15">
      <c r="A34" s="37" t="str">
        <f t="shared" si="0"/>
        <v>13301506_13301530</v>
      </c>
      <c r="B34" s="45">
        <v>13301506</v>
      </c>
      <c r="C34" s="45">
        <v>13301530</v>
      </c>
      <c r="D34" s="44" t="e">
        <f ca="1">VLOOKUP($C34,OFFSET([3]enemy_skills!$A$1,0,0,COUNTA([3]enemy_skills!$A:$A),MATCH(D$1,[3]enemy_skills!$1:$1,0)-MATCH("enemy_skill_id",[3]enemy_skills!$1:$1,0)+1),MATCH(D$1,[3]enemy_skills!$1:$1,0)-MATCH("enemy_skill_id",[3]enemy_skills!$1:$1,0)+1,FALSE)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4" s="44" t="e">
        <f ca="1">VLOOKUP($C34,OFFSET([3]enemy_skills!$A$1,0,0,COUNTA([3]enemy_skills!$A:$A),MATCH(E$1,[3]enemy_skills!$1:$1,0)-MATCH("enemy_skill_id",[3]enemy_skills!$1:$1,0)+1),MATCH(E$1,[3]enemy_skills!$1:$1,0)-MATCH("enemy_skill_id",[3]enemy_skills!$1:$1,0)+1,FALSE)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4" s="45">
        <v>13301530</v>
      </c>
      <c r="G34" s="46" t="e">
        <f ca="1">VLOOKUP($F34,OFFSET([3]enemy_skill_triggers!$A$1,0,0,COUNTA([3]enemy_skill_triggers!$A:$A),MATCH(G$1,[3]enemy_skill_triggers!$1:$1,0)-MATCH($F$1,[3]enemy_skill_triggers!$1:$1,0)+1),MATCH(G$1,[3]enemy_skill_triggers!$1:$1,0)-MATCH($F$1,[3]enemy_skill_triggers!$1:$1,0)+1,FALSE)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4" s="46" t="e">
        <f ca="1">VLOOKUP($F34,OFFSET([3]enemy_skill_triggers!$A$1,0,0,COUNTA([3]enemy_skill_triggers!$A:$A),MATCH(H$1,[3]enemy_skill_triggers!$1:$1,0)-MATCH($F$1,[3]enemy_skill_triggers!$1:$1,0)+1),MATCH(H$1,[3]enemy_skill_triggers!$1:$1,0)-MATCH($F$1,[3]enemy_skill_triggers!$1:$1,0)+1,FALSE)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4" s="46" t="e">
        <f ca="1">VLOOKUP($F34,OFFSET([3]enemy_skill_triggers!$A$1,0,0,COUNTA([3]enemy_skill_triggers!$A:$A),MATCH(I$1,[3]enemy_skill_triggers!$1:$1,0)-MATCH($F$1,[3]enemy_skill_triggers!$1:$1,0)+1),MATCH(I$1,[3]enemy_skill_triggers!$1:$1,0)-MATCH($F$1,[3]enemy_skill_triggers!$1:$1,0)+1,FALSE)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4" s="46" t="e">
        <f ca="1">VLOOKUP($F34,OFFSET([3]enemy_skill_triggers!$A$1,0,0,COUNTA([3]enemy_skill_triggers!$A:$A),MATCH(J$1,[3]enemy_skill_triggers!$1:$1,0)-MATCH($F$1,[3]enemy_skill_triggers!$1:$1,0)+1),MATCH(J$1,[3]enemy_skill_triggers!$1:$1,0)-MATCH($F$1,[3]enemy_skill_triggers!$1:$1,0)+1,FALSE)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4" s="46" t="e">
        <f ca="1">VLOOKUP($F34,OFFSET([3]enemy_skill_triggers!$A$1,0,0,COUNTA([3]enemy_skill_triggers!$A:$A),MATCH(K$1,[3]enemy_skill_triggers!$1:$1,0)-MATCH($F$1,[3]enemy_skill_triggers!$1:$1,0)+1),MATCH(K$1,[3]enemy_skill_triggers!$1:$1,0)-MATCH($F$1,[3]enemy_skill_triggers!$1:$1,0)+1,FALSE)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4" s="46" t="e">
        <f ca="1">VLOOKUP($F34,OFFSET([3]enemy_skill_triggers!$A$1,0,0,COUNTA([3]enemy_skill_triggers!$A:$A),MATCH(L$1,[3]enemy_skill_triggers!$1:$1,0)-MATCH($F$1,[3]enemy_skill_triggers!$1:$1,0)+1),MATCH(L$1,[3]enemy_skill_triggers!$1:$1,0)-MATCH($F$1,[3]enemy_skill_triggers!$1:$1,0)+1,FALSE)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4" s="46" t="e">
        <f ca="1">VLOOKUP($F34,OFFSET([3]enemy_skill_triggers!$A$1,0,0,COUNTA([3]enemy_skill_triggers!$A:$A),MATCH(M$1,[3]enemy_skill_triggers!$1:$1,0)-MATCH($F$1,[3]enemy_skill_triggers!$1:$1,0)+1),MATCH(M$1,[3]enemy_skill_triggers!$1:$1,0)-MATCH($F$1,[3]enemy_skill_triggers!$1:$1,0)+1,FALSE)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4" s="46" t="e">
        <f ca="1">VLOOKUP($F34,OFFSET([3]enemy_skill_triggers!$A$1,0,0,COUNTA([3]enemy_skill_triggers!$A:$A),MATCH(N$1,[3]enemy_skill_triggers!$1:$1,0)-MATCH($F$1,[3]enemy_skill_triggers!$1:$1,0)+1),MATCH(N$1,[3]enemy_skill_triggers!$1:$1,0)-MATCH($F$1,[3]enemy_skill_triggers!$1:$1,0)+1,FALSE)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4" s="46" t="e">
        <f ca="1">VLOOKUP($F34,OFFSET([3]enemy_skill_triggers!$A$1,0,0,COUNTA([3]enemy_skill_triggers!$A:$A),MATCH(O$1,[3]enemy_skill_triggers!$1:$1,0)-MATCH($F$1,[3]enemy_skill_triggers!$1:$1,0)+1),MATCH(O$1,[3]enemy_skill_triggers!$1:$1,0)-MATCH($F$1,[3]enemy_skill_triggers!$1:$1,0)+1,FALSE)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4" s="45"/>
      <c r="Q34" s="45"/>
      <c r="R34" s="45"/>
    </row>
    <row r="35" spans="1:18" ht="21" customHeight="1" x14ac:dyDescent="0.15">
      <c r="A35" s="37" t="str">
        <f t="shared" si="0"/>
        <v>13301506_13301531</v>
      </c>
      <c r="B35" s="45">
        <v>13301506</v>
      </c>
      <c r="C35" s="45">
        <v>13301531</v>
      </c>
      <c r="D35" s="44" t="e">
        <f ca="1">VLOOKUP($C35,OFFSET([3]enemy_skills!$A$1,0,0,COUNTA([3]enemy_skills!$A:$A),MATCH(D$1,[3]enemy_skills!$1:$1,0)-MATCH("enemy_skill_id",[3]enemy_skills!$1:$1,0)+1),MATCH(D$1,[3]enemy_skills!$1:$1,0)-MATCH("enemy_skill_id",[3]enemy_skills!$1:$1,0)+1,FALSE)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5" s="44" t="e">
        <f ca="1">VLOOKUP($C35,OFFSET([3]enemy_skills!$A$1,0,0,COUNTA([3]enemy_skills!$A:$A),MATCH(E$1,[3]enemy_skills!$1:$1,0)-MATCH("enemy_skill_id",[3]enemy_skills!$1:$1,0)+1),MATCH(E$1,[3]enemy_skills!$1:$1,0)-MATCH("enemy_skill_id",[3]enemy_skills!$1:$1,0)+1,FALSE)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5" s="45">
        <v>13301531</v>
      </c>
      <c r="G35" s="46" t="e">
        <f ca="1">VLOOKUP($F35,OFFSET([3]enemy_skill_triggers!$A$1,0,0,COUNTA([3]enemy_skill_triggers!$A:$A),MATCH(G$1,[3]enemy_skill_triggers!$1:$1,0)-MATCH($F$1,[3]enemy_skill_triggers!$1:$1,0)+1),MATCH(G$1,[3]enemy_skill_triggers!$1:$1,0)-MATCH($F$1,[3]enemy_skill_triggers!$1:$1,0)+1,FALSE)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5" s="46" t="e">
        <f ca="1">VLOOKUP($F35,OFFSET([3]enemy_skill_triggers!$A$1,0,0,COUNTA([3]enemy_skill_triggers!$A:$A),MATCH(H$1,[3]enemy_skill_triggers!$1:$1,0)-MATCH($F$1,[3]enemy_skill_triggers!$1:$1,0)+1),MATCH(H$1,[3]enemy_skill_triggers!$1:$1,0)-MATCH($F$1,[3]enemy_skill_triggers!$1:$1,0)+1,FALSE)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5" s="46" t="e">
        <f ca="1">VLOOKUP($F35,OFFSET([3]enemy_skill_triggers!$A$1,0,0,COUNTA([3]enemy_skill_triggers!$A:$A),MATCH(I$1,[3]enemy_skill_triggers!$1:$1,0)-MATCH($F$1,[3]enemy_skill_triggers!$1:$1,0)+1),MATCH(I$1,[3]enemy_skill_triggers!$1:$1,0)-MATCH($F$1,[3]enemy_skill_triggers!$1:$1,0)+1,FALSE)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5" s="46" t="e">
        <f ca="1">VLOOKUP($F35,OFFSET([3]enemy_skill_triggers!$A$1,0,0,COUNTA([3]enemy_skill_triggers!$A:$A),MATCH(J$1,[3]enemy_skill_triggers!$1:$1,0)-MATCH($F$1,[3]enemy_skill_triggers!$1:$1,0)+1),MATCH(J$1,[3]enemy_skill_triggers!$1:$1,0)-MATCH($F$1,[3]enemy_skill_triggers!$1:$1,0)+1,FALSE)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5" s="46" t="e">
        <f ca="1">VLOOKUP($F35,OFFSET([3]enemy_skill_triggers!$A$1,0,0,COUNTA([3]enemy_skill_triggers!$A:$A),MATCH(K$1,[3]enemy_skill_triggers!$1:$1,0)-MATCH($F$1,[3]enemy_skill_triggers!$1:$1,0)+1),MATCH(K$1,[3]enemy_skill_triggers!$1:$1,0)-MATCH($F$1,[3]enemy_skill_triggers!$1:$1,0)+1,FALSE)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5" s="46" t="e">
        <f ca="1">VLOOKUP($F35,OFFSET([3]enemy_skill_triggers!$A$1,0,0,COUNTA([3]enemy_skill_triggers!$A:$A),MATCH(L$1,[3]enemy_skill_triggers!$1:$1,0)-MATCH($F$1,[3]enemy_skill_triggers!$1:$1,0)+1),MATCH(L$1,[3]enemy_skill_triggers!$1:$1,0)-MATCH($F$1,[3]enemy_skill_triggers!$1:$1,0)+1,FALSE)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5" s="46" t="e">
        <f ca="1">VLOOKUP($F35,OFFSET([3]enemy_skill_triggers!$A$1,0,0,COUNTA([3]enemy_skill_triggers!$A:$A),MATCH(M$1,[3]enemy_skill_triggers!$1:$1,0)-MATCH($F$1,[3]enemy_skill_triggers!$1:$1,0)+1),MATCH(M$1,[3]enemy_skill_triggers!$1:$1,0)-MATCH($F$1,[3]enemy_skill_triggers!$1:$1,0)+1,FALSE)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5" s="46" t="e">
        <f ca="1">VLOOKUP($F35,OFFSET([3]enemy_skill_triggers!$A$1,0,0,COUNTA([3]enemy_skill_triggers!$A:$A),MATCH(N$1,[3]enemy_skill_triggers!$1:$1,0)-MATCH($F$1,[3]enemy_skill_triggers!$1:$1,0)+1),MATCH(N$1,[3]enemy_skill_triggers!$1:$1,0)-MATCH($F$1,[3]enemy_skill_triggers!$1:$1,0)+1,FALSE)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5" s="46" t="e">
        <f ca="1">VLOOKUP($F35,OFFSET([3]enemy_skill_triggers!$A$1,0,0,COUNTA([3]enemy_skill_triggers!$A:$A),MATCH(O$1,[3]enemy_skill_triggers!$1:$1,0)-MATCH($F$1,[3]enemy_skill_triggers!$1:$1,0)+1),MATCH(O$1,[3]enemy_skill_triggers!$1:$1,0)-MATCH($F$1,[3]enemy_skill_triggers!$1:$1,0)+1,FALSE)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5" s="45"/>
      <c r="Q35" s="45"/>
      <c r="R35" s="45"/>
    </row>
    <row r="36" spans="1:18" ht="21" customHeight="1" x14ac:dyDescent="0.15">
      <c r="A36" s="37" t="str">
        <f t="shared" si="0"/>
        <v>13301507_13301529</v>
      </c>
      <c r="B36" s="45">
        <v>13301507</v>
      </c>
      <c r="C36" s="45">
        <v>13301529</v>
      </c>
      <c r="D36" s="44" t="e">
        <f ca="1">VLOOKUP($C36,OFFSET([3]enemy_skills!$A$1,0,0,COUNTA([3]enemy_skills!$A:$A),MATCH(D$1,[3]enemy_skills!$1:$1,0)-MATCH("enemy_skill_id",[3]enemy_skills!$1:$1,0)+1),MATCH(D$1,[3]enemy_skills!$1:$1,0)-MATCH("enemy_skill_id",[3]enemy_skills!$1:$1,0)+1,FALSE)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6" s="44" t="e">
        <f ca="1">VLOOKUP($C36,OFFSET([3]enemy_skills!$A$1,0,0,COUNTA([3]enemy_skills!$A:$A),MATCH(E$1,[3]enemy_skills!$1:$1,0)-MATCH("enemy_skill_id",[3]enemy_skills!$1:$1,0)+1),MATCH(E$1,[3]enemy_skills!$1:$1,0)-MATCH("enemy_skill_id",[3]enemy_skills!$1:$1,0)+1,FALSE)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6" s="45">
        <v>13301529</v>
      </c>
      <c r="G36" s="46" t="e">
        <f ca="1">VLOOKUP($F36,OFFSET([3]enemy_skill_triggers!$A$1,0,0,COUNTA([3]enemy_skill_triggers!$A:$A),MATCH(G$1,[3]enemy_skill_triggers!$1:$1,0)-MATCH($F$1,[3]enemy_skill_triggers!$1:$1,0)+1),MATCH(G$1,[3]enemy_skill_triggers!$1:$1,0)-MATCH($F$1,[3]enemy_skill_triggers!$1:$1,0)+1,FALSE)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6" s="46" t="e">
        <f ca="1">VLOOKUP($F36,OFFSET([3]enemy_skill_triggers!$A$1,0,0,COUNTA([3]enemy_skill_triggers!$A:$A),MATCH(H$1,[3]enemy_skill_triggers!$1:$1,0)-MATCH($F$1,[3]enemy_skill_triggers!$1:$1,0)+1),MATCH(H$1,[3]enemy_skill_triggers!$1:$1,0)-MATCH($F$1,[3]enemy_skill_triggers!$1:$1,0)+1,FALSE)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6" s="46" t="e">
        <f ca="1">VLOOKUP($F36,OFFSET([3]enemy_skill_triggers!$A$1,0,0,COUNTA([3]enemy_skill_triggers!$A:$A),MATCH(I$1,[3]enemy_skill_triggers!$1:$1,0)-MATCH($F$1,[3]enemy_skill_triggers!$1:$1,0)+1),MATCH(I$1,[3]enemy_skill_triggers!$1:$1,0)-MATCH($F$1,[3]enemy_skill_triggers!$1:$1,0)+1,FALSE)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6" s="46" t="e">
        <f ca="1">VLOOKUP($F36,OFFSET([3]enemy_skill_triggers!$A$1,0,0,COUNTA([3]enemy_skill_triggers!$A:$A),MATCH(J$1,[3]enemy_skill_triggers!$1:$1,0)-MATCH($F$1,[3]enemy_skill_triggers!$1:$1,0)+1),MATCH(J$1,[3]enemy_skill_triggers!$1:$1,0)-MATCH($F$1,[3]enemy_skill_triggers!$1:$1,0)+1,FALSE)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6" s="46" t="e">
        <f ca="1">VLOOKUP($F36,OFFSET([3]enemy_skill_triggers!$A$1,0,0,COUNTA([3]enemy_skill_triggers!$A:$A),MATCH(K$1,[3]enemy_skill_triggers!$1:$1,0)-MATCH($F$1,[3]enemy_skill_triggers!$1:$1,0)+1),MATCH(K$1,[3]enemy_skill_triggers!$1:$1,0)-MATCH($F$1,[3]enemy_skill_triggers!$1:$1,0)+1,FALSE)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6" s="46" t="e">
        <f ca="1">VLOOKUP($F36,OFFSET([3]enemy_skill_triggers!$A$1,0,0,COUNTA([3]enemy_skill_triggers!$A:$A),MATCH(L$1,[3]enemy_skill_triggers!$1:$1,0)-MATCH($F$1,[3]enemy_skill_triggers!$1:$1,0)+1),MATCH(L$1,[3]enemy_skill_triggers!$1:$1,0)-MATCH($F$1,[3]enemy_skill_triggers!$1:$1,0)+1,FALSE)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6" s="46" t="e">
        <f ca="1">VLOOKUP($F36,OFFSET([3]enemy_skill_triggers!$A$1,0,0,COUNTA([3]enemy_skill_triggers!$A:$A),MATCH(M$1,[3]enemy_skill_triggers!$1:$1,0)-MATCH($F$1,[3]enemy_skill_triggers!$1:$1,0)+1),MATCH(M$1,[3]enemy_skill_triggers!$1:$1,0)-MATCH($F$1,[3]enemy_skill_triggers!$1:$1,0)+1,FALSE)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6" s="46" t="e">
        <f ca="1">VLOOKUP($F36,OFFSET([3]enemy_skill_triggers!$A$1,0,0,COUNTA([3]enemy_skill_triggers!$A:$A),MATCH(N$1,[3]enemy_skill_triggers!$1:$1,0)-MATCH($F$1,[3]enemy_skill_triggers!$1:$1,0)+1),MATCH(N$1,[3]enemy_skill_triggers!$1:$1,0)-MATCH($F$1,[3]enemy_skill_triggers!$1:$1,0)+1,FALSE)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6" s="46" t="e">
        <f ca="1">VLOOKUP($F36,OFFSET([3]enemy_skill_triggers!$A$1,0,0,COUNTA([3]enemy_skill_triggers!$A:$A),MATCH(O$1,[3]enemy_skill_triggers!$1:$1,0)-MATCH($F$1,[3]enemy_skill_triggers!$1:$1,0)+1),MATCH(O$1,[3]enemy_skill_triggers!$1:$1,0)-MATCH($F$1,[3]enemy_skill_triggers!$1:$1,0)+1,FALSE)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6" s="45"/>
      <c r="Q36" s="45"/>
      <c r="R36" s="45"/>
    </row>
    <row r="37" spans="1:18" ht="21" customHeight="1" x14ac:dyDescent="0.15">
      <c r="A37" s="37" t="str">
        <f t="shared" si="0"/>
        <v>13301507_13301530</v>
      </c>
      <c r="B37" s="45">
        <v>13301507</v>
      </c>
      <c r="C37" s="45">
        <v>13301530</v>
      </c>
      <c r="D37" s="44" t="e">
        <f ca="1">VLOOKUP($C37,OFFSET([3]enemy_skills!$A$1,0,0,COUNTA([3]enemy_skills!$A:$A),MATCH(D$1,[3]enemy_skills!$1:$1,0)-MATCH("enemy_skill_id",[3]enemy_skills!$1:$1,0)+1),MATCH(D$1,[3]enemy_skills!$1:$1,0)-MATCH("enemy_skill_id",[3]enemy_skills!$1:$1,0)+1,FALSE)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7" s="44" t="e">
        <f ca="1">VLOOKUP($C37,OFFSET([3]enemy_skills!$A$1,0,0,COUNTA([3]enemy_skills!$A:$A),MATCH(E$1,[3]enemy_skills!$1:$1,0)-MATCH("enemy_skill_id",[3]enemy_skills!$1:$1,0)+1),MATCH(E$1,[3]enemy_skills!$1:$1,0)-MATCH("enemy_skill_id",[3]enemy_skills!$1:$1,0)+1,FALSE)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7" s="45">
        <v>13301530</v>
      </c>
      <c r="G37" s="46" t="e">
        <f ca="1">VLOOKUP($F37,OFFSET([3]enemy_skill_triggers!$A$1,0,0,COUNTA([3]enemy_skill_triggers!$A:$A),MATCH(G$1,[3]enemy_skill_triggers!$1:$1,0)-MATCH($F$1,[3]enemy_skill_triggers!$1:$1,0)+1),MATCH(G$1,[3]enemy_skill_triggers!$1:$1,0)-MATCH($F$1,[3]enemy_skill_triggers!$1:$1,0)+1,FALSE)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7" s="46" t="e">
        <f ca="1">VLOOKUP($F37,OFFSET([3]enemy_skill_triggers!$A$1,0,0,COUNTA([3]enemy_skill_triggers!$A:$A),MATCH(H$1,[3]enemy_skill_triggers!$1:$1,0)-MATCH($F$1,[3]enemy_skill_triggers!$1:$1,0)+1),MATCH(H$1,[3]enemy_skill_triggers!$1:$1,0)-MATCH($F$1,[3]enemy_skill_triggers!$1:$1,0)+1,FALSE)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7" s="46" t="e">
        <f ca="1">VLOOKUP($F37,OFFSET([3]enemy_skill_triggers!$A$1,0,0,COUNTA([3]enemy_skill_triggers!$A:$A),MATCH(I$1,[3]enemy_skill_triggers!$1:$1,0)-MATCH($F$1,[3]enemy_skill_triggers!$1:$1,0)+1),MATCH(I$1,[3]enemy_skill_triggers!$1:$1,0)-MATCH($F$1,[3]enemy_skill_triggers!$1:$1,0)+1,FALSE)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7" s="46" t="e">
        <f ca="1">VLOOKUP($F37,OFFSET([3]enemy_skill_triggers!$A$1,0,0,COUNTA([3]enemy_skill_triggers!$A:$A),MATCH(J$1,[3]enemy_skill_triggers!$1:$1,0)-MATCH($F$1,[3]enemy_skill_triggers!$1:$1,0)+1),MATCH(J$1,[3]enemy_skill_triggers!$1:$1,0)-MATCH($F$1,[3]enemy_skill_triggers!$1:$1,0)+1,FALSE)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7" s="46" t="e">
        <f ca="1">VLOOKUP($F37,OFFSET([3]enemy_skill_triggers!$A$1,0,0,COUNTA([3]enemy_skill_triggers!$A:$A),MATCH(K$1,[3]enemy_skill_triggers!$1:$1,0)-MATCH($F$1,[3]enemy_skill_triggers!$1:$1,0)+1),MATCH(K$1,[3]enemy_skill_triggers!$1:$1,0)-MATCH($F$1,[3]enemy_skill_triggers!$1:$1,0)+1,FALSE)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7" s="46" t="e">
        <f ca="1">VLOOKUP($F37,OFFSET([3]enemy_skill_triggers!$A$1,0,0,COUNTA([3]enemy_skill_triggers!$A:$A),MATCH(L$1,[3]enemy_skill_triggers!$1:$1,0)-MATCH($F$1,[3]enemy_skill_triggers!$1:$1,0)+1),MATCH(L$1,[3]enemy_skill_triggers!$1:$1,0)-MATCH($F$1,[3]enemy_skill_triggers!$1:$1,0)+1,FALSE)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7" s="46" t="e">
        <f ca="1">VLOOKUP($F37,OFFSET([3]enemy_skill_triggers!$A$1,0,0,COUNTA([3]enemy_skill_triggers!$A:$A),MATCH(M$1,[3]enemy_skill_triggers!$1:$1,0)-MATCH($F$1,[3]enemy_skill_triggers!$1:$1,0)+1),MATCH(M$1,[3]enemy_skill_triggers!$1:$1,0)-MATCH($F$1,[3]enemy_skill_triggers!$1:$1,0)+1,FALSE)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7" s="46" t="e">
        <f ca="1">VLOOKUP($F37,OFFSET([3]enemy_skill_triggers!$A$1,0,0,COUNTA([3]enemy_skill_triggers!$A:$A),MATCH(N$1,[3]enemy_skill_triggers!$1:$1,0)-MATCH($F$1,[3]enemy_skill_triggers!$1:$1,0)+1),MATCH(N$1,[3]enemy_skill_triggers!$1:$1,0)-MATCH($F$1,[3]enemy_skill_triggers!$1:$1,0)+1,FALSE)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7" s="46" t="e">
        <f ca="1">VLOOKUP($F37,OFFSET([3]enemy_skill_triggers!$A$1,0,0,COUNTA([3]enemy_skill_triggers!$A:$A),MATCH(O$1,[3]enemy_skill_triggers!$1:$1,0)-MATCH($F$1,[3]enemy_skill_triggers!$1:$1,0)+1),MATCH(O$1,[3]enemy_skill_triggers!$1:$1,0)-MATCH($F$1,[3]enemy_skill_triggers!$1:$1,0)+1,FALSE)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7" s="45"/>
      <c r="Q37" s="45"/>
      <c r="R37" s="45"/>
    </row>
    <row r="38" spans="1:18" ht="21" customHeight="1" x14ac:dyDescent="0.15">
      <c r="A38" s="37" t="str">
        <f t="shared" si="0"/>
        <v>13301507_13301531</v>
      </c>
      <c r="B38" s="45">
        <v>13301507</v>
      </c>
      <c r="C38" s="45">
        <v>13301531</v>
      </c>
      <c r="D38" s="44" t="e">
        <f ca="1">VLOOKUP($C38,OFFSET([3]enemy_skills!$A$1,0,0,COUNTA([3]enemy_skills!$A:$A),MATCH(D$1,[3]enemy_skills!$1:$1,0)-MATCH("enemy_skill_id",[3]enemy_skills!$1:$1,0)+1),MATCH(D$1,[3]enemy_skills!$1:$1,0)-MATCH("enemy_skill_id",[3]enemy_skills!$1:$1,0)+1,FALSE)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8" s="44" t="e">
        <f ca="1">VLOOKUP($C38,OFFSET([3]enemy_skills!$A$1,0,0,COUNTA([3]enemy_skills!$A:$A),MATCH(E$1,[3]enemy_skills!$1:$1,0)-MATCH("enemy_skill_id",[3]enemy_skills!$1:$1,0)+1),MATCH(E$1,[3]enemy_skills!$1:$1,0)-MATCH("enemy_skill_id",[3]enemy_skills!$1:$1,0)+1,FALSE)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8" s="45">
        <v>13301531</v>
      </c>
      <c r="G38" s="46" t="e">
        <f ca="1">VLOOKUP($F38,OFFSET([3]enemy_skill_triggers!$A$1,0,0,COUNTA([3]enemy_skill_triggers!$A:$A),MATCH(G$1,[3]enemy_skill_triggers!$1:$1,0)-MATCH($F$1,[3]enemy_skill_triggers!$1:$1,0)+1),MATCH(G$1,[3]enemy_skill_triggers!$1:$1,0)-MATCH($F$1,[3]enemy_skill_triggers!$1:$1,0)+1,FALSE)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8" s="46" t="e">
        <f ca="1">VLOOKUP($F38,OFFSET([3]enemy_skill_triggers!$A$1,0,0,COUNTA([3]enemy_skill_triggers!$A:$A),MATCH(H$1,[3]enemy_skill_triggers!$1:$1,0)-MATCH($F$1,[3]enemy_skill_triggers!$1:$1,0)+1),MATCH(H$1,[3]enemy_skill_triggers!$1:$1,0)-MATCH($F$1,[3]enemy_skill_triggers!$1:$1,0)+1,FALSE)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8" s="46" t="e">
        <f ca="1">VLOOKUP($F38,OFFSET([3]enemy_skill_triggers!$A$1,0,0,COUNTA([3]enemy_skill_triggers!$A:$A),MATCH(I$1,[3]enemy_skill_triggers!$1:$1,0)-MATCH($F$1,[3]enemy_skill_triggers!$1:$1,0)+1),MATCH(I$1,[3]enemy_skill_triggers!$1:$1,0)-MATCH($F$1,[3]enemy_skill_triggers!$1:$1,0)+1,FALSE)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8" s="46" t="e">
        <f ca="1">VLOOKUP($F38,OFFSET([3]enemy_skill_triggers!$A$1,0,0,COUNTA([3]enemy_skill_triggers!$A:$A),MATCH(J$1,[3]enemy_skill_triggers!$1:$1,0)-MATCH($F$1,[3]enemy_skill_triggers!$1:$1,0)+1),MATCH(J$1,[3]enemy_skill_triggers!$1:$1,0)-MATCH($F$1,[3]enemy_skill_triggers!$1:$1,0)+1,FALSE)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8" s="46" t="e">
        <f ca="1">VLOOKUP($F38,OFFSET([3]enemy_skill_triggers!$A$1,0,0,COUNTA([3]enemy_skill_triggers!$A:$A),MATCH(K$1,[3]enemy_skill_triggers!$1:$1,0)-MATCH($F$1,[3]enemy_skill_triggers!$1:$1,0)+1),MATCH(K$1,[3]enemy_skill_triggers!$1:$1,0)-MATCH($F$1,[3]enemy_skill_triggers!$1:$1,0)+1,FALSE)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8" s="46" t="e">
        <f ca="1">VLOOKUP($F38,OFFSET([3]enemy_skill_triggers!$A$1,0,0,COUNTA([3]enemy_skill_triggers!$A:$A),MATCH(L$1,[3]enemy_skill_triggers!$1:$1,0)-MATCH($F$1,[3]enemy_skill_triggers!$1:$1,0)+1),MATCH(L$1,[3]enemy_skill_triggers!$1:$1,0)-MATCH($F$1,[3]enemy_skill_triggers!$1:$1,0)+1,FALSE)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8" s="46" t="e">
        <f ca="1">VLOOKUP($F38,OFFSET([3]enemy_skill_triggers!$A$1,0,0,COUNTA([3]enemy_skill_triggers!$A:$A),MATCH(M$1,[3]enemy_skill_triggers!$1:$1,0)-MATCH($F$1,[3]enemy_skill_triggers!$1:$1,0)+1),MATCH(M$1,[3]enemy_skill_triggers!$1:$1,0)-MATCH($F$1,[3]enemy_skill_triggers!$1:$1,0)+1,FALSE)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8" s="46" t="e">
        <f ca="1">VLOOKUP($F38,OFFSET([3]enemy_skill_triggers!$A$1,0,0,COUNTA([3]enemy_skill_triggers!$A:$A),MATCH(N$1,[3]enemy_skill_triggers!$1:$1,0)-MATCH($F$1,[3]enemy_skill_triggers!$1:$1,0)+1),MATCH(N$1,[3]enemy_skill_triggers!$1:$1,0)-MATCH($F$1,[3]enemy_skill_triggers!$1:$1,0)+1,FALSE)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8" s="46" t="e">
        <f ca="1">VLOOKUP($F38,OFFSET([3]enemy_skill_triggers!$A$1,0,0,COUNTA([3]enemy_skill_triggers!$A:$A),MATCH(O$1,[3]enemy_skill_triggers!$1:$1,0)-MATCH($F$1,[3]enemy_skill_triggers!$1:$1,0)+1),MATCH(O$1,[3]enemy_skill_triggers!$1:$1,0)-MATCH($F$1,[3]enemy_skill_triggers!$1:$1,0)+1,FALSE)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8" s="45"/>
      <c r="Q38" s="45"/>
      <c r="R38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2"/>
  <sheetViews>
    <sheetView showGridLines="0" zoomScale="120" zoomScaleNormal="120" zoomScalePageLayoutView="120" workbookViewId="0">
      <pane ySplit="1" topLeftCell="A16" activePane="bottomLeft" state="frozenSplit"/>
      <selection pane="bottomLeft" activeCell="E24" sqref="E24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5.1640625" style="47" customWidth="1"/>
    <col min="3" max="3" width="4.33203125" style="47" customWidth="1"/>
    <col min="4" max="4" width="6.5" style="47" customWidth="1"/>
    <col min="5" max="5" width="26.83203125" style="47" customWidth="1"/>
    <col min="6" max="6" width="57.332031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12" style="47" customWidth="1" collapsed="1"/>
    <col min="13" max="18" width="23.6640625" style="47" hidden="1" customWidth="1" outlineLevel="1"/>
    <col min="19" max="19" width="10.83203125" style="47" customWidth="1" collapsed="1"/>
    <col min="20" max="24" width="23.6640625" style="47" hidden="1" customWidth="1" outlineLevel="1"/>
    <col min="25" max="25" width="9.5" style="47" customWidth="1" collapsed="1"/>
    <col min="26" max="27" width="12.83203125" style="47"/>
    <col min="28" max="28" width="62.3320312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125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</row>
    <row r="2" spans="1:28" ht="36" customHeight="1" x14ac:dyDescent="0.15">
      <c r="A2" s="45">
        <v>13301501</v>
      </c>
      <c r="B2" s="45" t="s">
        <v>337</v>
      </c>
      <c r="C2" s="48">
        <v>3</v>
      </c>
      <c r="D2" s="48" t="s">
        <v>195</v>
      </c>
      <c r="E2" s="49" t="s">
        <v>291</v>
      </c>
      <c r="F2" s="49" t="s">
        <v>326</v>
      </c>
      <c r="G2" s="61" t="str">
        <f t="shared" ref="G2:G30" si="0">IFERROR(LEFT(B2,FIND("],",B2)),B2)</f>
        <v>[effect:enemy_message, val1:1, val2:2.8]</v>
      </c>
      <c r="H2" s="61">
        <f t="shared" ref="H2:H30" si="1">FIND("effect:",G2)+7</f>
        <v>9</v>
      </c>
      <c r="I2" s="61">
        <f t="shared" ref="I2:I30" si="2">IFERROR(FIND(",",G2),LEN(G2))</f>
        <v>22</v>
      </c>
      <c r="J2" s="61" t="e">
        <f t="shared" ref="J2:J30" si="3">FIND("target:",G2)+7</f>
        <v>#VALUE!</v>
      </c>
      <c r="K2" s="61">
        <f t="shared" ref="K2:K30" si="4">FIND(",",G2,I2+1)</f>
        <v>30</v>
      </c>
      <c r="L2" s="61" t="str">
        <f>IFERROR(VLOOKUP(MID(G2,J2,K2-J2),[7]skilldef!$C:$D,2,FALSE),"-") &amp; " / " &amp; IFERROR(VLOOKUP(MID(G2,H2,I2-H2),[7]skilldef!$A:$B,2,FALSE),"-")</f>
        <v>- / -</v>
      </c>
      <c r="M2" s="61" t="str">
        <f t="shared" ref="M2:M30" si="5">IFERROR(RIGHT(B2,LEN(B2)-FIND("],",B2)-1),"none")</f>
        <v>[effect:damage_anti_cost, target:unit_all, lower:31, val1:50, val2:0.01, cost_type:unit],[effect:damage_anti_cost, target:unit_all, lower:31, val1:50, val2:0.01, cost_type:unit],[effect:damage_anti_tribe, target:unit_all, tribe:human, val1:0.01, val2:50]</v>
      </c>
      <c r="N2" s="46" t="str">
        <f t="shared" ref="N2:N19" si="6">IFERROR(LEFT(M2,FIND("],",M2)+S12),M2)</f>
        <v>[effect:damage_anti_cost, target:unit_all, lower:31, val1:50, val2:0.01, cost_type:unit],[effect:damage_anti_cost, target:unit_all, lower:31, val1:50, val2:0.01, cost_type:unit],[effect:damage_anti_tribe, target:unit_all, tribe:human, val1:0.01, val2:50]</v>
      </c>
      <c r="O2" s="61">
        <f t="shared" ref="O2:O30" si="7">FIND("effect:",N2)+7</f>
        <v>9</v>
      </c>
      <c r="P2" s="61">
        <f t="shared" ref="P2:P30" si="8">IFERROR(FIND(",",N2),LEN(N2))</f>
        <v>25</v>
      </c>
      <c r="Q2" s="61">
        <f t="shared" ref="Q2:Q30" si="9">FIND("target:",N2)+7</f>
        <v>34</v>
      </c>
      <c r="R2" s="61">
        <f t="shared" ref="R2:R30" si="10">FIND(",",N2,P2+1)</f>
        <v>42</v>
      </c>
      <c r="S2" s="61" t="str">
        <f>IFERROR(VLOOKUP(MID(N2,Q2,R2-Q2),[7]skilldef!$C:$D,2,FALSE),"-") &amp; " / " &amp; IFERROR(VLOOKUP(MID(N2,O2,P2-O2),[7]skilldef!$A:$B,2,FALSE),"-")</f>
        <v>味方全体に / -</v>
      </c>
      <c r="T2" s="46" t="str">
        <f t="shared" ref="T2:T30" si="11">IFERROR(RIGHT(M2,LEN(M2)-FIND("],",M2)-1),"none")</f>
        <v>[effect:damage_anti_cost, target:unit_all, lower:31, val1:50, val2:0.01, cost_type:unit],[effect:damage_anti_tribe, target:unit_all, tribe:human, val1:0.01, val2:50]</v>
      </c>
      <c r="U2" s="61">
        <f t="shared" ref="U2:U30" si="12">FIND("effect:",T2)+7</f>
        <v>9</v>
      </c>
      <c r="V2" s="61">
        <f t="shared" ref="V2:V30" si="13">IFERROR(FIND(",",T2),LEN(T2))</f>
        <v>25</v>
      </c>
      <c r="W2" s="61">
        <f t="shared" ref="W2:W30" si="14">FIND("target:",T2)+7</f>
        <v>34</v>
      </c>
      <c r="X2" s="61">
        <f t="shared" ref="X2:X30" si="15">FIND(",",T2,V2+1)</f>
        <v>42</v>
      </c>
      <c r="Y2" s="61" t="str">
        <f>IFERROR(VLOOKUP(MID(T2,W2,X2-W2),[7]skilldef!$C:$D,2,FALSE),"-") &amp; " / " &amp; IFERROR(VLOOKUP(MID(T2,U2,V2-U2),[7]skilldef!$A:$B,2,FALSE),"-")</f>
        <v>味方全体に / -</v>
      </c>
      <c r="Z2" s="48"/>
      <c r="AA2" s="50"/>
      <c r="AB2" s="48"/>
    </row>
    <row r="3" spans="1:28" ht="35" customHeight="1" x14ac:dyDescent="0.15">
      <c r="A3" s="45">
        <v>13301502</v>
      </c>
      <c r="B3" s="45" t="s">
        <v>319</v>
      </c>
      <c r="C3" s="48">
        <v>3</v>
      </c>
      <c r="D3" s="48" t="s">
        <v>195</v>
      </c>
      <c r="E3" s="49" t="s">
        <v>317</v>
      </c>
      <c r="F3" s="49" t="s">
        <v>318</v>
      </c>
      <c r="G3" s="61" t="str">
        <f t="shared" si="0"/>
        <v>[effect:critical, val:1.2, animation:enemy_critical]</v>
      </c>
      <c r="H3" s="61">
        <f t="shared" si="1"/>
        <v>9</v>
      </c>
      <c r="I3" s="61">
        <f t="shared" si="2"/>
        <v>17</v>
      </c>
      <c r="J3" s="61" t="e">
        <f t="shared" si="3"/>
        <v>#VALUE!</v>
      </c>
      <c r="K3" s="61">
        <f t="shared" si="4"/>
        <v>26</v>
      </c>
      <c r="L3" s="61" t="str">
        <f>IFERROR(VLOOKUP(MID(G3,J3,K3-J3),[7]skilldef!$C:$D,2,FALSE),"-") &amp; " / " &amp; IFERROR(VLOOKUP(MID(G3,H3,I3-H3),[7]skilldef!$A:$B,2,FALSE),"-")</f>
        <v>- / 大攻撃</v>
      </c>
      <c r="M3" s="61" t="str">
        <f t="shared" si="5"/>
        <v>[effect:sp_boost, target:unit_yellow, val:2, animation:sp_boost_one03],[effect:enemy_message, val1:1.4, val2:1.6]</v>
      </c>
      <c r="N3" s="46" t="str">
        <f t="shared" si="6"/>
        <v>[effect:sp_boost, target:unit_yellow, val:2, animation:sp_boost_one03],[effect:enemy_message, val1:1.4, val2:1.6]</v>
      </c>
      <c r="O3" s="61">
        <f t="shared" si="7"/>
        <v>9</v>
      </c>
      <c r="P3" s="61">
        <f t="shared" si="8"/>
        <v>17</v>
      </c>
      <c r="Q3" s="61">
        <f t="shared" si="9"/>
        <v>26</v>
      </c>
      <c r="R3" s="61">
        <f t="shared" si="10"/>
        <v>37</v>
      </c>
      <c r="S3" s="61" t="str">
        <f>IFERROR(VLOOKUP(MID(N3,Q3,R3-Q3),[7]skilldef!$C:$D,2,FALSE),"-") &amp; " / " &amp; IFERROR(VLOOKUP(MID(N3,O3,P3-O3),[7]skilldef!$A:$B,2,FALSE),"-")</f>
        <v>黄の味方に / -</v>
      </c>
      <c r="T3" s="46" t="str">
        <f t="shared" si="11"/>
        <v>[effect:enemy_message, val1:1.4, val2:1.6]</v>
      </c>
      <c r="U3" s="61">
        <f t="shared" si="12"/>
        <v>9</v>
      </c>
      <c r="V3" s="61">
        <f t="shared" si="13"/>
        <v>22</v>
      </c>
      <c r="W3" s="61" t="e">
        <f t="shared" si="14"/>
        <v>#VALUE!</v>
      </c>
      <c r="X3" s="61">
        <f t="shared" si="15"/>
        <v>32</v>
      </c>
      <c r="Y3" s="61" t="str">
        <f>IFERROR(VLOOKUP(MID(T3,W3,X3-W3),[7]skilldef!$C:$D,2,FALSE),"-") &amp; " / " &amp; IFERROR(VLOOKUP(MID(T3,U3,V3-U3),[7]skilldef!$A:$B,2,FALSE),"-")</f>
        <v>- / -</v>
      </c>
      <c r="Z3" s="48"/>
      <c r="AA3" s="50"/>
      <c r="AB3" s="48"/>
    </row>
    <row r="4" spans="1:28" ht="21" customHeight="1" x14ac:dyDescent="0.15">
      <c r="A4" s="45">
        <v>13301503</v>
      </c>
      <c r="B4" s="45" t="s">
        <v>329</v>
      </c>
      <c r="C4" s="48">
        <v>3</v>
      </c>
      <c r="D4" s="48" t="s">
        <v>195</v>
      </c>
      <c r="E4" s="49" t="s">
        <v>261</v>
      </c>
      <c r="F4" s="49" t="s">
        <v>320</v>
      </c>
      <c r="G4" s="61" t="str">
        <f t="shared" si="0"/>
        <v>[effect:enhance_enemy, target:myself, turn:-1, status:attack, val:1, animation:enemy_enhance_attack]</v>
      </c>
      <c r="H4" s="61">
        <f t="shared" si="1"/>
        <v>9</v>
      </c>
      <c r="I4" s="61">
        <f t="shared" si="2"/>
        <v>22</v>
      </c>
      <c r="J4" s="61">
        <f t="shared" si="3"/>
        <v>31</v>
      </c>
      <c r="K4" s="61">
        <f t="shared" si="4"/>
        <v>37</v>
      </c>
      <c r="L4" s="61" t="str">
        <f>IFERROR(VLOOKUP(MID(G4,J4,K4-J4),[7]skilldef!$C:$D,2,FALSE),"-") &amp; " / " &amp; IFERROR(VLOOKUP(MID(G4,H4,I4-H4),[7]skilldef!$A:$B,2,FALSE),"-")</f>
        <v>自分自身に / ステータス強化</v>
      </c>
      <c r="M4" s="61" t="str">
        <f t="shared" si="5"/>
        <v>[effect:enemy_message, val1:1.4, val2:1.6]</v>
      </c>
      <c r="N4" s="46" t="str">
        <f t="shared" si="6"/>
        <v>[effect:enemy_message, val1:1.4, val2:1.6]</v>
      </c>
      <c r="O4" s="61">
        <f t="shared" si="7"/>
        <v>9</v>
      </c>
      <c r="P4" s="61">
        <f t="shared" si="8"/>
        <v>22</v>
      </c>
      <c r="Q4" s="61" t="e">
        <f t="shared" si="9"/>
        <v>#VALUE!</v>
      </c>
      <c r="R4" s="61">
        <f t="shared" si="10"/>
        <v>32</v>
      </c>
      <c r="S4" s="61" t="str">
        <f>IFERROR(VLOOKUP(MID(N4,Q4,R4-Q4),[7]skilldef!$C:$D,2,FALSE),"-") &amp; " / " &amp; IFERROR(VLOOKUP(MID(N4,O4,P4-O4),[7]skilldef!$A:$B,2,FALSE),"-")</f>
        <v>- / -</v>
      </c>
      <c r="T4" s="46" t="str">
        <f t="shared" si="11"/>
        <v>none</v>
      </c>
      <c r="U4" s="61" t="e">
        <f t="shared" si="12"/>
        <v>#VALUE!</v>
      </c>
      <c r="V4" s="61">
        <f t="shared" si="13"/>
        <v>4</v>
      </c>
      <c r="W4" s="61" t="e">
        <f t="shared" si="14"/>
        <v>#VALUE!</v>
      </c>
      <c r="X4" s="61" t="e">
        <f t="shared" si="15"/>
        <v>#VALUE!</v>
      </c>
      <c r="Y4" s="61" t="str">
        <f>IFERROR(VLOOKUP(MID(T4,W4,X4-W4),[7]skilldef!$C:$D,2,FALSE),"-") &amp; " / " &amp; IFERROR(VLOOKUP(MID(T4,U4,V4-U4),[7]skilldef!$A:$B,2,FALSE),"-")</f>
        <v>- / -</v>
      </c>
      <c r="Z4" s="48"/>
      <c r="AA4" s="50"/>
      <c r="AB4" s="48"/>
    </row>
    <row r="5" spans="1:28" ht="21" customHeight="1" x14ac:dyDescent="0.15">
      <c r="A5" s="45">
        <v>13301504</v>
      </c>
      <c r="B5" s="45" t="s">
        <v>294</v>
      </c>
      <c r="C5" s="48">
        <v>3</v>
      </c>
      <c r="D5" s="48" t="s">
        <v>262</v>
      </c>
      <c r="E5" s="49" t="s">
        <v>263</v>
      </c>
      <c r="F5" s="49" t="s">
        <v>264</v>
      </c>
      <c r="G5" s="61" t="str">
        <f t="shared" si="0"/>
        <v>[effect:change_panel_ratio, turn:-1, block_type:heal, val:0, animation:block_incidence04]</v>
      </c>
      <c r="H5" s="61">
        <f t="shared" si="1"/>
        <v>9</v>
      </c>
      <c r="I5" s="61">
        <f t="shared" si="2"/>
        <v>27</v>
      </c>
      <c r="J5" s="61" t="e">
        <f t="shared" si="3"/>
        <v>#VALUE!</v>
      </c>
      <c r="K5" s="61">
        <f t="shared" si="4"/>
        <v>36</v>
      </c>
      <c r="L5" s="61" t="str">
        <f>IFERROR(VLOOKUP(MID(G5,J5,K5-J5),[7]skilldef!$C:$D,2,FALSE),"-") &amp; " / " &amp; IFERROR(VLOOKUP(MID(G5,H5,I5-H5),[7]skilldef!$A:$B,2,FALSE),"-")</f>
        <v>- / -</v>
      </c>
      <c r="M5" s="61" t="str">
        <f t="shared" si="5"/>
        <v>[effect:enemy_message, val1:1.4, val2:1.6]</v>
      </c>
      <c r="N5" s="46" t="str">
        <f t="shared" si="6"/>
        <v>[effect:enemy_message, val1:1.4, val2:1.6]</v>
      </c>
      <c r="O5" s="61">
        <f t="shared" si="7"/>
        <v>9</v>
      </c>
      <c r="P5" s="61">
        <f t="shared" si="8"/>
        <v>22</v>
      </c>
      <c r="Q5" s="61" t="e">
        <f t="shared" si="9"/>
        <v>#VALUE!</v>
      </c>
      <c r="R5" s="61">
        <f t="shared" si="10"/>
        <v>32</v>
      </c>
      <c r="S5" s="61" t="str">
        <f>IFERROR(VLOOKUP(MID(N5,Q5,R5-Q5),[7]skilldef!$C:$D,2,FALSE),"-") &amp; " / " &amp; IFERROR(VLOOKUP(MID(N5,O5,P5-O5),[7]skilldef!$A:$B,2,FALSE),"-")</f>
        <v>- / -</v>
      </c>
      <c r="T5" s="46" t="str">
        <f t="shared" si="11"/>
        <v>none</v>
      </c>
      <c r="U5" s="61" t="e">
        <f t="shared" si="12"/>
        <v>#VALUE!</v>
      </c>
      <c r="V5" s="61">
        <f t="shared" si="13"/>
        <v>4</v>
      </c>
      <c r="W5" s="61" t="e">
        <f t="shared" si="14"/>
        <v>#VALUE!</v>
      </c>
      <c r="X5" s="61" t="e">
        <f t="shared" si="15"/>
        <v>#VALUE!</v>
      </c>
      <c r="Y5" s="61" t="str">
        <f>IFERROR(VLOOKUP(MID(T5,W5,X5-W5),[7]skilldef!$C:$D,2,FALSE),"-") &amp; " / " &amp; IFERROR(VLOOKUP(MID(T5,U5,V5-U5),[7]skilldef!$A:$B,2,FALSE),"-")</f>
        <v>- / -</v>
      </c>
      <c r="Z5" s="48"/>
      <c r="AA5" s="50"/>
      <c r="AB5" s="48"/>
    </row>
    <row r="6" spans="1:28" ht="21" customHeight="1" x14ac:dyDescent="0.15">
      <c r="A6" s="45">
        <v>13301505</v>
      </c>
      <c r="B6" s="45" t="s">
        <v>296</v>
      </c>
      <c r="C6" s="48">
        <v>3</v>
      </c>
      <c r="D6" s="48" t="s">
        <v>195</v>
      </c>
      <c r="E6" s="49" t="s">
        <v>265</v>
      </c>
      <c r="F6" s="49" t="s">
        <v>266</v>
      </c>
      <c r="G6" s="61" t="str">
        <f t="shared" si="0"/>
        <v>[effect:rush, count:3, val:0.4]</v>
      </c>
      <c r="H6" s="61">
        <f t="shared" si="1"/>
        <v>9</v>
      </c>
      <c r="I6" s="61">
        <f t="shared" si="2"/>
        <v>13</v>
      </c>
      <c r="J6" s="61" t="e">
        <f t="shared" si="3"/>
        <v>#VALUE!</v>
      </c>
      <c r="K6" s="61">
        <f t="shared" si="4"/>
        <v>22</v>
      </c>
      <c r="L6" s="61" t="str">
        <f>IFERROR(VLOOKUP(MID(G6,J6,K6-J6),[7]skilldef!$C:$D,2,FALSE),"-") &amp; " / " &amp; IFERROR(VLOOKUP(MID(G6,H6,I6-H6),[7]skilldef!$A:$B,2,FALSE),"-")</f>
        <v>- / 連続攻撃</v>
      </c>
      <c r="M6" s="61" t="str">
        <f t="shared" si="5"/>
        <v>[effect:enemy_message, val1:1.4, val2:1.6]</v>
      </c>
      <c r="N6" s="46" t="str">
        <f t="shared" si="6"/>
        <v>[effect:enemy_message, val1:1.4, val2:1.6]</v>
      </c>
      <c r="O6" s="61">
        <f t="shared" si="7"/>
        <v>9</v>
      </c>
      <c r="P6" s="61">
        <f t="shared" si="8"/>
        <v>22</v>
      </c>
      <c r="Q6" s="61" t="e">
        <f t="shared" si="9"/>
        <v>#VALUE!</v>
      </c>
      <c r="R6" s="61">
        <f t="shared" si="10"/>
        <v>32</v>
      </c>
      <c r="S6" s="61" t="str">
        <f>IFERROR(VLOOKUP(MID(N6,Q6,R6-Q6),[7]skilldef!$C:$D,2,FALSE),"-") &amp; " / " &amp; IFERROR(VLOOKUP(MID(N6,O6,P6-O6),[7]skilldef!$A:$B,2,FALSE),"-")</f>
        <v>- / -</v>
      </c>
      <c r="T6" s="46" t="str">
        <f t="shared" si="11"/>
        <v>none</v>
      </c>
      <c r="U6" s="61" t="e">
        <f t="shared" si="12"/>
        <v>#VALUE!</v>
      </c>
      <c r="V6" s="61">
        <f t="shared" si="13"/>
        <v>4</v>
      </c>
      <c r="W6" s="61" t="e">
        <f t="shared" si="14"/>
        <v>#VALUE!</v>
      </c>
      <c r="X6" s="61" t="e">
        <f t="shared" si="15"/>
        <v>#VALUE!</v>
      </c>
      <c r="Y6" s="61" t="str">
        <f>IFERROR(VLOOKUP(MID(T6,W6,X6-W6),[7]skilldef!$C:$D,2,FALSE),"-") &amp; " / " &amp; IFERROR(VLOOKUP(MID(T6,U6,V6-U6),[7]skilldef!$A:$B,2,FALSE),"-")</f>
        <v>- / -</v>
      </c>
      <c r="Z6" s="48"/>
      <c r="AA6" s="50"/>
      <c r="AB6" s="48"/>
    </row>
    <row r="7" spans="1:28" ht="21" customHeight="1" x14ac:dyDescent="0.15">
      <c r="A7" s="45">
        <v>13301506</v>
      </c>
      <c r="B7" s="45" t="s">
        <v>293</v>
      </c>
      <c r="C7" s="48">
        <v>3</v>
      </c>
      <c r="D7" s="48" t="s">
        <v>195</v>
      </c>
      <c r="E7" s="49" t="s">
        <v>261</v>
      </c>
      <c r="F7" s="49" t="s">
        <v>320</v>
      </c>
      <c r="G7" s="61" t="str">
        <f t="shared" si="0"/>
        <v>[effect:enhance_enemy, target:myself, turn:-1, status:attack, val:1, animation:enemy_enhance_attack]</v>
      </c>
      <c r="H7" s="61">
        <f t="shared" si="1"/>
        <v>9</v>
      </c>
      <c r="I7" s="61">
        <f t="shared" si="2"/>
        <v>22</v>
      </c>
      <c r="J7" s="61">
        <f t="shared" si="3"/>
        <v>31</v>
      </c>
      <c r="K7" s="61">
        <f t="shared" si="4"/>
        <v>37</v>
      </c>
      <c r="L7" s="61" t="str">
        <f>IFERROR(VLOOKUP(MID(G7,J7,K7-J7),[7]skilldef!$C:$D,2,FALSE),"-") &amp; " / " &amp; IFERROR(VLOOKUP(MID(G7,H7,I7-H7),[7]skilldef!$A:$B,2,FALSE),"-")</f>
        <v>自分自身に / ステータス強化</v>
      </c>
      <c r="M7" s="61" t="str">
        <f t="shared" si="5"/>
        <v>[effect:enemy_message, val1:1.4, val2:1.6]</v>
      </c>
      <c r="N7" s="46" t="str">
        <f t="shared" si="6"/>
        <v>[effect:enemy_message, val1:1.4, val2:1.6]</v>
      </c>
      <c r="O7" s="61">
        <f t="shared" si="7"/>
        <v>9</v>
      </c>
      <c r="P7" s="61">
        <f t="shared" si="8"/>
        <v>22</v>
      </c>
      <c r="Q7" s="61" t="e">
        <f t="shared" si="9"/>
        <v>#VALUE!</v>
      </c>
      <c r="R7" s="61">
        <f t="shared" si="10"/>
        <v>32</v>
      </c>
      <c r="S7" s="61" t="str">
        <f>IFERROR(VLOOKUP(MID(N7,Q7,R7-Q7),[7]skilldef!$C:$D,2,FALSE),"-") &amp; " / " &amp; IFERROR(VLOOKUP(MID(N7,O7,P7-O7),[7]skilldef!$A:$B,2,FALSE),"-")</f>
        <v>- / -</v>
      </c>
      <c r="T7" s="46" t="str">
        <f t="shared" si="11"/>
        <v>none</v>
      </c>
      <c r="U7" s="61" t="e">
        <f t="shared" si="12"/>
        <v>#VALUE!</v>
      </c>
      <c r="V7" s="61">
        <f t="shared" si="13"/>
        <v>4</v>
      </c>
      <c r="W7" s="61" t="e">
        <f t="shared" si="14"/>
        <v>#VALUE!</v>
      </c>
      <c r="X7" s="61" t="e">
        <f t="shared" si="15"/>
        <v>#VALUE!</v>
      </c>
      <c r="Y7" s="61" t="str">
        <f>IFERROR(VLOOKUP(MID(T7,W7,X7-W7),[7]skilldef!$C:$D,2,FALSE),"-") &amp; " / " &amp; IFERROR(VLOOKUP(MID(T7,U7,V7-U7),[7]skilldef!$A:$B,2,FALSE),"-")</f>
        <v>- / -</v>
      </c>
      <c r="Z7" s="48"/>
      <c r="AA7" s="50"/>
      <c r="AB7" s="48"/>
    </row>
    <row r="8" spans="1:28" ht="21" customHeight="1" x14ac:dyDescent="0.15">
      <c r="A8" s="45">
        <v>13301507</v>
      </c>
      <c r="B8" s="45" t="s">
        <v>310</v>
      </c>
      <c r="C8" s="48">
        <v>3</v>
      </c>
      <c r="D8" s="48" t="s">
        <v>267</v>
      </c>
      <c r="E8" s="49" t="s">
        <v>268</v>
      </c>
      <c r="F8" s="49" t="s">
        <v>269</v>
      </c>
      <c r="G8" s="61" t="str">
        <f t="shared" si="0"/>
        <v>[effect:tolerance, target:myself, turn:-1, count:-1, tolerance_effect:all, animation:enemy_tolerance]</v>
      </c>
      <c r="H8" s="61">
        <f t="shared" si="1"/>
        <v>9</v>
      </c>
      <c r="I8" s="61">
        <f t="shared" si="2"/>
        <v>18</v>
      </c>
      <c r="J8" s="61">
        <f t="shared" si="3"/>
        <v>27</v>
      </c>
      <c r="K8" s="61">
        <f t="shared" si="4"/>
        <v>33</v>
      </c>
      <c r="L8" s="61" t="str">
        <f>IFERROR(VLOOKUP(MID(G8,J8,K8-J8),[7]skilldef!$C:$D,2,FALSE),"-") &amp; " / " &amp; IFERROR(VLOOKUP(MID(G8,H8,I8-H8),[7]skilldef!$A:$B,2,FALSE),"-")</f>
        <v>自分自身に / 状態異常耐性</v>
      </c>
      <c r="M8" s="61" t="str">
        <f t="shared" si="5"/>
        <v>[effect:enemy_counter, target:myself, invoke_condition:unit_all, counter_target:attacker, turn:-1, val:0.15, animation:enemy_counter],[effect:enemy_message, val1:1.4, val2:1.8]</v>
      </c>
      <c r="N8" s="46" t="str">
        <f t="shared" si="6"/>
        <v>[effect:enemy_counter, target:myself, invoke_condition:unit_all, counter_target:attacker, turn:-1, val:0.15, animation:enemy_counter],[effect:enemy_message, val1:1.4, val2:1.8]</v>
      </c>
      <c r="O8" s="61">
        <f t="shared" si="7"/>
        <v>9</v>
      </c>
      <c r="P8" s="61">
        <f t="shared" si="8"/>
        <v>22</v>
      </c>
      <c r="Q8" s="61">
        <f t="shared" si="9"/>
        <v>31</v>
      </c>
      <c r="R8" s="61">
        <f t="shared" si="10"/>
        <v>37</v>
      </c>
      <c r="S8" s="61" t="str">
        <f>IFERROR(VLOOKUP(MID(N8,Q8,R8-Q8),[7]skilldef!$C:$D,2,FALSE),"-") &amp; " / " &amp; IFERROR(VLOOKUP(MID(N8,O8,P8-O8),[7]skilldef!$A:$B,2,FALSE),"-")</f>
        <v>自分自身に / カウンター</v>
      </c>
      <c r="T8" s="46" t="str">
        <f t="shared" si="11"/>
        <v>[effect:enemy_message, val1:1.4, val2:1.8]</v>
      </c>
      <c r="U8" s="61">
        <f t="shared" si="12"/>
        <v>9</v>
      </c>
      <c r="V8" s="61">
        <f t="shared" si="13"/>
        <v>22</v>
      </c>
      <c r="W8" s="61" t="e">
        <f t="shared" si="14"/>
        <v>#VALUE!</v>
      </c>
      <c r="X8" s="61">
        <f t="shared" si="15"/>
        <v>32</v>
      </c>
      <c r="Y8" s="61" t="str">
        <f>IFERROR(VLOOKUP(MID(T8,W8,X8-W8),[7]skilldef!$C:$D,2,FALSE),"-") &amp; " / " &amp; IFERROR(VLOOKUP(MID(T8,U8,V8-U8),[7]skilldef!$A:$B,2,FALSE),"-")</f>
        <v>- / -</v>
      </c>
      <c r="Z8" s="48"/>
      <c r="AA8" s="50"/>
      <c r="AB8" s="48"/>
    </row>
    <row r="9" spans="1:28" ht="21" customHeight="1" x14ac:dyDescent="0.15">
      <c r="A9" s="45">
        <v>13301508</v>
      </c>
      <c r="B9" s="45" t="s">
        <v>295</v>
      </c>
      <c r="C9" s="48">
        <v>3</v>
      </c>
      <c r="D9" s="48" t="s">
        <v>262</v>
      </c>
      <c r="E9" s="49" t="s">
        <v>270</v>
      </c>
      <c r="F9" s="49" t="s">
        <v>266</v>
      </c>
      <c r="G9" s="61" t="str">
        <f t="shared" si="0"/>
        <v>[effect:rush, count:3, val:0.4]</v>
      </c>
      <c r="H9" s="61">
        <f t="shared" si="1"/>
        <v>9</v>
      </c>
      <c r="I9" s="61">
        <f t="shared" si="2"/>
        <v>13</v>
      </c>
      <c r="J9" s="61" t="e">
        <f t="shared" si="3"/>
        <v>#VALUE!</v>
      </c>
      <c r="K9" s="61">
        <f t="shared" si="4"/>
        <v>22</v>
      </c>
      <c r="L9" s="61" t="str">
        <f>IFERROR(VLOOKUP(MID(G9,J9,K9-J9),[7]skilldef!$C:$D,2,FALSE),"-") &amp; " / " &amp; IFERROR(VLOOKUP(MID(G9,H9,I9-H9),[7]skilldef!$A:$B,2,FALSE),"-")</f>
        <v>- / 連続攻撃</v>
      </c>
      <c r="M9" s="61" t="str">
        <f t="shared" si="5"/>
        <v>[effect:enemy_message, val1:1.4, val2:1.6]</v>
      </c>
      <c r="N9" s="46" t="str">
        <f t="shared" si="6"/>
        <v>[effect:enemy_message, val1:1.4, val2:1.6]</v>
      </c>
      <c r="O9" s="61">
        <f t="shared" si="7"/>
        <v>9</v>
      </c>
      <c r="P9" s="61">
        <f t="shared" si="8"/>
        <v>22</v>
      </c>
      <c r="Q9" s="61" t="e">
        <f t="shared" si="9"/>
        <v>#VALUE!</v>
      </c>
      <c r="R9" s="61">
        <f t="shared" si="10"/>
        <v>32</v>
      </c>
      <c r="S9" s="61" t="str">
        <f>IFERROR(VLOOKUP(MID(N9,Q9,R9-Q9),[7]skilldef!$C:$D,2,FALSE),"-") &amp; " / " &amp; IFERROR(VLOOKUP(MID(N9,O9,P9-O9),[7]skilldef!$A:$B,2,FALSE),"-")</f>
        <v>- / -</v>
      </c>
      <c r="T9" s="46" t="str">
        <f t="shared" si="11"/>
        <v>none</v>
      </c>
      <c r="U9" s="61" t="e">
        <f t="shared" si="12"/>
        <v>#VALUE!</v>
      </c>
      <c r="V9" s="61">
        <f t="shared" si="13"/>
        <v>4</v>
      </c>
      <c r="W9" s="61" t="e">
        <f t="shared" si="14"/>
        <v>#VALUE!</v>
      </c>
      <c r="X9" s="61" t="e">
        <f t="shared" si="15"/>
        <v>#VALUE!</v>
      </c>
      <c r="Y9" s="61" t="str">
        <f>IFERROR(VLOOKUP(MID(T9,W9,X9-W9),[7]skilldef!$C:$D,2,FALSE),"-") &amp; " / " &amp; IFERROR(VLOOKUP(MID(T9,U9,V9-U9),[7]skilldef!$A:$B,2,FALSE),"-")</f>
        <v>- / -</v>
      </c>
      <c r="Z9" s="48"/>
      <c r="AA9" s="50"/>
      <c r="AB9" s="48"/>
    </row>
    <row r="10" spans="1:28" ht="21" customHeight="1" x14ac:dyDescent="0.15">
      <c r="A10" s="45">
        <v>13301509</v>
      </c>
      <c r="B10" s="45" t="s">
        <v>297</v>
      </c>
      <c r="C10" s="48">
        <v>3</v>
      </c>
      <c r="D10" s="48" t="s">
        <v>195</v>
      </c>
      <c r="E10" s="49" t="s">
        <v>271</v>
      </c>
      <c r="F10" s="49" t="s">
        <v>272</v>
      </c>
      <c r="G10" s="61" t="str">
        <f t="shared" si="0"/>
        <v>[effect:break_attack_fix, target:unit_all, val:80, lowest_val:400, count:15, color:yellow, block01:block_blue]</v>
      </c>
      <c r="H10" s="61">
        <f t="shared" si="1"/>
        <v>9</v>
      </c>
      <c r="I10" s="61">
        <f t="shared" si="2"/>
        <v>25</v>
      </c>
      <c r="J10" s="61">
        <f t="shared" si="3"/>
        <v>34</v>
      </c>
      <c r="K10" s="61">
        <f t="shared" si="4"/>
        <v>42</v>
      </c>
      <c r="L10" s="61" t="str">
        <f>IFERROR(VLOOKUP(MID(G10,J10,K10-J10),[7]skilldef!$C:$D,2,FALSE),"-") &amp; " / " &amp; IFERROR(VLOOKUP(MID(G10,H10,I10-H10),[7]skilldef!$A:$B,2,FALSE),"-")</f>
        <v>味方全体に / -</v>
      </c>
      <c r="M10" s="61" t="str">
        <f t="shared" si="5"/>
        <v>[effect:enemy_message, val1:1.4, val2:1.6]</v>
      </c>
      <c r="N10" s="46" t="str">
        <f t="shared" si="6"/>
        <v>[effect:enemy_message, val1:1.4, val2:1.6]</v>
      </c>
      <c r="O10" s="61">
        <f t="shared" si="7"/>
        <v>9</v>
      </c>
      <c r="P10" s="61">
        <f t="shared" si="8"/>
        <v>22</v>
      </c>
      <c r="Q10" s="61" t="e">
        <f t="shared" si="9"/>
        <v>#VALUE!</v>
      </c>
      <c r="R10" s="61">
        <f t="shared" si="10"/>
        <v>32</v>
      </c>
      <c r="S10" s="61" t="str">
        <f>IFERROR(VLOOKUP(MID(N10,Q10,R10-Q10),[7]skilldef!$C:$D,2,FALSE),"-") &amp; " / " &amp; IFERROR(VLOOKUP(MID(N10,O10,P10-O10),[7]skilldef!$A:$B,2,FALSE),"-")</f>
        <v>- / -</v>
      </c>
      <c r="T10" s="46" t="str">
        <f t="shared" si="11"/>
        <v>none</v>
      </c>
      <c r="U10" s="61" t="e">
        <f t="shared" si="12"/>
        <v>#VALUE!</v>
      </c>
      <c r="V10" s="61">
        <f t="shared" si="13"/>
        <v>4</v>
      </c>
      <c r="W10" s="61" t="e">
        <f t="shared" si="14"/>
        <v>#VALUE!</v>
      </c>
      <c r="X10" s="61" t="e">
        <f t="shared" si="15"/>
        <v>#VALUE!</v>
      </c>
      <c r="Y10" s="61" t="str">
        <f>IFERROR(VLOOKUP(MID(T10,W10,X10-W10),[7]skilldef!$C:$D,2,FALSE),"-") &amp; " / " &amp; IFERROR(VLOOKUP(MID(T10,U10,V10-U10),[7]skilldef!$A:$B,2,FALSE),"-")</f>
        <v>- / -</v>
      </c>
      <c r="Z10" s="48"/>
      <c r="AA10" s="50"/>
      <c r="AB10" s="48"/>
    </row>
    <row r="11" spans="1:28" ht="21" customHeight="1" x14ac:dyDescent="0.15">
      <c r="A11" s="45">
        <v>13301510</v>
      </c>
      <c r="B11" s="45" t="s">
        <v>298</v>
      </c>
      <c r="C11" s="48">
        <v>3</v>
      </c>
      <c r="D11" s="48" t="s">
        <v>267</v>
      </c>
      <c r="E11" s="49" t="s">
        <v>273</v>
      </c>
      <c r="F11" s="49" t="s">
        <v>274</v>
      </c>
      <c r="G11" s="61" t="str">
        <f t="shared" si="0"/>
        <v>[effect:enhance_enemy, target:myself, turn:8, status:defense, val:5000, calc:add, animation:enemy_enhance_defense]</v>
      </c>
      <c r="H11" s="61">
        <f t="shared" si="1"/>
        <v>9</v>
      </c>
      <c r="I11" s="61">
        <f t="shared" si="2"/>
        <v>22</v>
      </c>
      <c r="J11" s="61">
        <f t="shared" si="3"/>
        <v>31</v>
      </c>
      <c r="K11" s="61">
        <f t="shared" si="4"/>
        <v>37</v>
      </c>
      <c r="L11" s="61" t="str">
        <f>IFERROR(VLOOKUP(MID(G11,J11,K11-J11),[7]skilldef!$C:$D,2,FALSE),"-") &amp; " / " &amp; IFERROR(VLOOKUP(MID(G11,H11,I11-H11),[7]skilldef!$A:$B,2,FALSE),"-")</f>
        <v>自分自身に / ステータス強化</v>
      </c>
      <c r="M11" s="61" t="str">
        <f t="shared" si="5"/>
        <v>[effect:freq_turn, target:myself, turn:8, val:1, animation:enemy_freq_turn],[effect:enemy_message, val1:1.4, val2:1.6]</v>
      </c>
      <c r="N11" s="46" t="str">
        <f t="shared" si="6"/>
        <v>[effect:freq_turn, target:myself, turn:8, val:1, animation:enemy_freq_turn],[effect:enemy_message, val1:1.4, val2:1.6]</v>
      </c>
      <c r="O11" s="61">
        <f t="shared" si="7"/>
        <v>9</v>
      </c>
      <c r="P11" s="61">
        <f t="shared" si="8"/>
        <v>18</v>
      </c>
      <c r="Q11" s="61">
        <f t="shared" si="9"/>
        <v>27</v>
      </c>
      <c r="R11" s="61">
        <f t="shared" si="10"/>
        <v>33</v>
      </c>
      <c r="S11" s="61" t="str">
        <f>IFERROR(VLOOKUP(MID(N11,Q11,R11-Q11),[7]skilldef!$C:$D,2,FALSE),"-") &amp; " / " &amp; IFERROR(VLOOKUP(MID(N11,O11,P11-O11),[7]skilldef!$A:$B,2,FALSE),"-")</f>
        <v>自分自身に / 攻撃頻度がUP</v>
      </c>
      <c r="T11" s="46" t="str">
        <f t="shared" si="11"/>
        <v>[effect:enemy_message, val1:1.4, val2:1.6]</v>
      </c>
      <c r="U11" s="61">
        <f t="shared" si="12"/>
        <v>9</v>
      </c>
      <c r="V11" s="61">
        <f t="shared" si="13"/>
        <v>22</v>
      </c>
      <c r="W11" s="61" t="e">
        <f t="shared" si="14"/>
        <v>#VALUE!</v>
      </c>
      <c r="X11" s="61">
        <f t="shared" si="15"/>
        <v>32</v>
      </c>
      <c r="Y11" s="61" t="str">
        <f>IFERROR(VLOOKUP(MID(T11,W11,X11-W11),[7]skilldef!$C:$D,2,FALSE),"-") &amp; " / " &amp; IFERROR(VLOOKUP(MID(T11,U11,V11-U11),[7]skilldef!$A:$B,2,FALSE),"-")</f>
        <v>- / -</v>
      </c>
      <c r="Z11" s="48"/>
      <c r="AA11" s="50"/>
      <c r="AB11" s="48"/>
    </row>
    <row r="12" spans="1:28" ht="21" customHeight="1" x14ac:dyDescent="0.15">
      <c r="A12" s="45">
        <v>13301511</v>
      </c>
      <c r="B12" s="45" t="s">
        <v>307</v>
      </c>
      <c r="C12" s="48">
        <v>3</v>
      </c>
      <c r="D12" s="48" t="s">
        <v>195</v>
      </c>
      <c r="E12" s="49" t="s">
        <v>275</v>
      </c>
      <c r="F12" s="49" t="s">
        <v>308</v>
      </c>
      <c r="G12" s="61" t="str">
        <f t="shared" si="0"/>
        <v>[effect:sp_boost, target:unit_machine, val:2, animation:sp_boost_one02]</v>
      </c>
      <c r="H12" s="61">
        <f t="shared" si="1"/>
        <v>9</v>
      </c>
      <c r="I12" s="61">
        <f t="shared" si="2"/>
        <v>17</v>
      </c>
      <c r="J12" s="61">
        <f t="shared" si="3"/>
        <v>26</v>
      </c>
      <c r="K12" s="61">
        <f t="shared" si="4"/>
        <v>38</v>
      </c>
      <c r="L12" s="61" t="str">
        <f>IFERROR(VLOOKUP(MID(G12,J12,K12-J12),[7]skilldef!$C:$D,2,FALSE),"-") &amp; " / " &amp; IFERROR(VLOOKUP(MID(G12,H12,I12-H12),[7]skilldef!$A:$B,2,FALSE),"-")</f>
        <v>- / -</v>
      </c>
      <c r="M12" s="61" t="str">
        <f t="shared" si="5"/>
        <v>[effect:enemy_message, val1:1.4, val2:1.6]</v>
      </c>
      <c r="N12" s="46" t="str">
        <f t="shared" si="6"/>
        <v>[effect:enemy_message, val1:1.4, val2:1.6]</v>
      </c>
      <c r="O12" s="61">
        <f t="shared" si="7"/>
        <v>9</v>
      </c>
      <c r="P12" s="61">
        <f t="shared" si="8"/>
        <v>22</v>
      </c>
      <c r="Q12" s="61" t="e">
        <f t="shared" si="9"/>
        <v>#VALUE!</v>
      </c>
      <c r="R12" s="61">
        <f t="shared" si="10"/>
        <v>32</v>
      </c>
      <c r="S12" s="61" t="str">
        <f>IFERROR(VLOOKUP(MID(N12,Q12,R12-Q12),[7]skilldef!$C:$D,2,FALSE),"-") &amp; " / " &amp; IFERROR(VLOOKUP(MID(N12,O12,P12-O12),[7]skilldef!$A:$B,2,FALSE),"-")</f>
        <v>- / -</v>
      </c>
      <c r="T12" s="46" t="str">
        <f t="shared" si="11"/>
        <v>none</v>
      </c>
      <c r="U12" s="61" t="e">
        <f t="shared" si="12"/>
        <v>#VALUE!</v>
      </c>
      <c r="V12" s="61">
        <f t="shared" si="13"/>
        <v>4</v>
      </c>
      <c r="W12" s="61" t="e">
        <f t="shared" si="14"/>
        <v>#VALUE!</v>
      </c>
      <c r="X12" s="61" t="e">
        <f t="shared" si="15"/>
        <v>#VALUE!</v>
      </c>
      <c r="Y12" s="61" t="str">
        <f>IFERROR(VLOOKUP(MID(T12,W12,X12-W12),[7]skilldef!$C:$D,2,FALSE),"-") &amp; " / " &amp; IFERROR(VLOOKUP(MID(T12,U12,V12-U12),[7]skilldef!$A:$B,2,FALSE),"-")</f>
        <v>- / -</v>
      </c>
      <c r="Z12" s="48"/>
      <c r="AA12" s="50"/>
      <c r="AB12" s="48"/>
    </row>
    <row r="13" spans="1:28" ht="41" customHeight="1" x14ac:dyDescent="0.15">
      <c r="A13" s="45">
        <v>13301512</v>
      </c>
      <c r="B13" s="45" t="s">
        <v>328</v>
      </c>
      <c r="C13" s="48">
        <v>3</v>
      </c>
      <c r="D13" s="48" t="s">
        <v>195</v>
      </c>
      <c r="E13" s="49" t="s">
        <v>276</v>
      </c>
      <c r="F13" s="49" t="s">
        <v>327</v>
      </c>
      <c r="G13" s="61" t="str">
        <f t="shared" si="0"/>
        <v>[effect:enemy_message, val1:1, val2:2.4]</v>
      </c>
      <c r="H13" s="61">
        <f t="shared" si="1"/>
        <v>9</v>
      </c>
      <c r="I13" s="61">
        <f t="shared" si="2"/>
        <v>22</v>
      </c>
      <c r="J13" s="61" t="e">
        <f t="shared" si="3"/>
        <v>#VALUE!</v>
      </c>
      <c r="K13" s="61">
        <f t="shared" si="4"/>
        <v>30</v>
      </c>
      <c r="L13" s="61" t="str">
        <f>IFERROR(VLOOKUP(MID(G13,J13,K13-J13),[7]skilldef!$C:$D,2,FALSE),"-") &amp; " / " &amp; IFERROR(VLOOKUP(MID(G13,H13,I13-H13),[7]skilldef!$A:$B,2,FALSE),"-")</f>
        <v>- / -</v>
      </c>
      <c r="M13" s="61" t="str">
        <f t="shared" si="5"/>
        <v>[effect:tolerance, target:myself, turn:-1, count:-1, tolerance_effect:all, animation:enemy_tolerance],[effect:hungup, target:unit_heal, turn:12, rate:1, animation:hungup01]</v>
      </c>
      <c r="N13" s="46" t="str">
        <f t="shared" si="6"/>
        <v>[effect:tolerance, target:myself, turn:-1, count:-1, tolerance_effect:all, animation:enemy_tolerance],[effect:hungup, target:unit_heal, turn:12, rate:1, animation:hungup01]</v>
      </c>
      <c r="O13" s="61">
        <f t="shared" si="7"/>
        <v>9</v>
      </c>
      <c r="P13" s="61">
        <f t="shared" si="8"/>
        <v>18</v>
      </c>
      <c r="Q13" s="61">
        <f t="shared" si="9"/>
        <v>27</v>
      </c>
      <c r="R13" s="61">
        <f t="shared" si="10"/>
        <v>33</v>
      </c>
      <c r="S13" s="61" t="str">
        <f>IFERROR(VLOOKUP(MID(N13,Q13,R13-Q13),[7]skilldef!$C:$D,2,FALSE),"-") &amp; " / " &amp; IFERROR(VLOOKUP(MID(N13,O13,P13-O13),[7]skilldef!$A:$B,2,FALSE),"-")</f>
        <v>自分自身に / 状態異常耐性</v>
      </c>
      <c r="T13" s="46" t="str">
        <f t="shared" si="11"/>
        <v>[effect:hungup, target:unit_heal, turn:12, rate:1, animation:hungup01]</v>
      </c>
      <c r="U13" s="61">
        <f t="shared" si="12"/>
        <v>9</v>
      </c>
      <c r="V13" s="61">
        <f t="shared" si="13"/>
        <v>15</v>
      </c>
      <c r="W13" s="61">
        <f t="shared" si="14"/>
        <v>24</v>
      </c>
      <c r="X13" s="61">
        <f t="shared" si="15"/>
        <v>33</v>
      </c>
      <c r="Y13" s="61" t="str">
        <f>IFERROR(VLOOKUP(MID(T13,W13,X13-W13),[7]skilldef!$C:$D,2,FALSE),"-") &amp; " / " &amp; IFERROR(VLOOKUP(MID(T13,U13,V13-U13),[7]skilldef!$A:$B,2,FALSE),"-")</f>
        <v>回復タイプの味方に / ハングアップ</v>
      </c>
      <c r="Z13" s="48"/>
      <c r="AA13" s="50"/>
      <c r="AB13" s="48"/>
    </row>
    <row r="14" spans="1:28" ht="21" customHeight="1" x14ac:dyDescent="0.15">
      <c r="A14" s="45">
        <v>13301513</v>
      </c>
      <c r="B14" s="45" t="s">
        <v>299</v>
      </c>
      <c r="C14" s="48">
        <v>3</v>
      </c>
      <c r="D14" s="48" t="s">
        <v>195</v>
      </c>
      <c r="E14" s="49" t="s">
        <v>277</v>
      </c>
      <c r="F14" s="49" t="s">
        <v>278</v>
      </c>
      <c r="G14" s="61" t="str">
        <f t="shared" si="0"/>
        <v>[effect:spread, val:0.3]</v>
      </c>
      <c r="H14" s="61">
        <f t="shared" si="1"/>
        <v>9</v>
      </c>
      <c r="I14" s="61">
        <f t="shared" si="2"/>
        <v>15</v>
      </c>
      <c r="J14" s="61" t="e">
        <f t="shared" si="3"/>
        <v>#VALUE!</v>
      </c>
      <c r="K14" s="61" t="e">
        <f t="shared" si="4"/>
        <v>#VALUE!</v>
      </c>
      <c r="L14" s="61" t="str">
        <f>IFERROR(VLOOKUP(MID(G14,J14,K14-J14),[7]skilldef!$C:$D,2,FALSE),"-") &amp; " / " &amp; IFERROR(VLOOKUP(MID(G14,H14,I14-H14),[7]skilldef!$A:$B,2,FALSE),"-")</f>
        <v>- / 全体攻撃</v>
      </c>
      <c r="M14" s="61" t="str">
        <f t="shared" si="5"/>
        <v>[effect:enemy_message, val1:1.4, val2:1.6]</v>
      </c>
      <c r="N14" s="46" t="str">
        <f t="shared" si="6"/>
        <v>[effect:enemy_message, val1:1.4, val2:1.6]</v>
      </c>
      <c r="O14" s="61">
        <f t="shared" si="7"/>
        <v>9</v>
      </c>
      <c r="P14" s="61">
        <f t="shared" si="8"/>
        <v>22</v>
      </c>
      <c r="Q14" s="61" t="e">
        <f t="shared" si="9"/>
        <v>#VALUE!</v>
      </c>
      <c r="R14" s="61">
        <f t="shared" si="10"/>
        <v>32</v>
      </c>
      <c r="S14" s="61" t="str">
        <f>IFERROR(VLOOKUP(MID(N14,Q14,R14-Q14),[7]skilldef!$C:$D,2,FALSE),"-") &amp; " / " &amp; IFERROR(VLOOKUP(MID(N14,O14,P14-O14),[7]skilldef!$A:$B,2,FALSE),"-")</f>
        <v>- / -</v>
      </c>
      <c r="T14" s="46" t="str">
        <f t="shared" si="11"/>
        <v>none</v>
      </c>
      <c r="U14" s="61" t="e">
        <f t="shared" si="12"/>
        <v>#VALUE!</v>
      </c>
      <c r="V14" s="61">
        <f t="shared" si="13"/>
        <v>4</v>
      </c>
      <c r="W14" s="61" t="e">
        <f t="shared" si="14"/>
        <v>#VALUE!</v>
      </c>
      <c r="X14" s="61" t="e">
        <f t="shared" si="15"/>
        <v>#VALUE!</v>
      </c>
      <c r="Y14" s="61" t="str">
        <f>IFERROR(VLOOKUP(MID(T14,W14,X14-W14),[7]skilldef!$C:$D,2,FALSE),"-") &amp; " / " &amp; IFERROR(VLOOKUP(MID(T14,U14,V14-U14),[7]skilldef!$A:$B,2,FALSE),"-")</f>
        <v>- / -</v>
      </c>
      <c r="Z14" s="48"/>
      <c r="AA14" s="50"/>
      <c r="AB14" s="48"/>
    </row>
    <row r="15" spans="1:28" ht="28" customHeight="1" x14ac:dyDescent="0.15">
      <c r="A15" s="45">
        <v>13301514</v>
      </c>
      <c r="B15" s="45" t="s">
        <v>300</v>
      </c>
      <c r="C15" s="48">
        <v>3</v>
      </c>
      <c r="D15" s="48" t="s">
        <v>267</v>
      </c>
      <c r="E15" s="49" t="s">
        <v>279</v>
      </c>
      <c r="F15" s="49" t="s">
        <v>322</v>
      </c>
      <c r="G15" s="61" t="str">
        <f t="shared" si="0"/>
        <v>[effect:degrade_unit, target:unit_all, turn:3, status:attack, val:0.25]</v>
      </c>
      <c r="H15" s="61">
        <f t="shared" si="1"/>
        <v>9</v>
      </c>
      <c r="I15" s="61">
        <f t="shared" si="2"/>
        <v>21</v>
      </c>
      <c r="J15" s="61">
        <f t="shared" si="3"/>
        <v>30</v>
      </c>
      <c r="K15" s="61">
        <f t="shared" si="4"/>
        <v>38</v>
      </c>
      <c r="L15" s="61" t="str">
        <f>IFERROR(VLOOKUP(MID(G15,J15,K15-J15),[7]skilldef!$C:$D,2,FALSE),"-") &amp; " / " &amp; IFERROR(VLOOKUP(MID(G15,H15,I15-H15),[7]skilldef!$A:$B,2,FALSE),"-")</f>
        <v>味方全体に / ステータスDOWN</v>
      </c>
      <c r="M15" s="61" t="str">
        <f t="shared" si="5"/>
        <v>[effect:rush, count:1, val:0.8],[effect:enemy_message, val1:1.4, val2:1.8]</v>
      </c>
      <c r="N15" s="46" t="str">
        <f t="shared" si="6"/>
        <v>[effect:rush, count:1, val:0.8],[effect:enemy_message, val1:1.4, val2:1.8]</v>
      </c>
      <c r="O15" s="61">
        <f t="shared" si="7"/>
        <v>9</v>
      </c>
      <c r="P15" s="61">
        <f t="shared" si="8"/>
        <v>13</v>
      </c>
      <c r="Q15" s="61" t="e">
        <f t="shared" si="9"/>
        <v>#VALUE!</v>
      </c>
      <c r="R15" s="61">
        <f t="shared" si="10"/>
        <v>22</v>
      </c>
      <c r="S15" s="61" t="str">
        <f>IFERROR(VLOOKUP(MID(N15,Q15,R15-Q15),[7]skilldef!$C:$D,2,FALSE),"-") &amp; " / " &amp; IFERROR(VLOOKUP(MID(N15,O15,P15-O15),[7]skilldef!$A:$B,2,FALSE),"-")</f>
        <v>- / 連続攻撃</v>
      </c>
      <c r="T15" s="46" t="str">
        <f t="shared" si="11"/>
        <v>[effect:enemy_message, val1:1.4, val2:1.8]</v>
      </c>
      <c r="U15" s="61">
        <f t="shared" si="12"/>
        <v>9</v>
      </c>
      <c r="V15" s="61">
        <f t="shared" si="13"/>
        <v>22</v>
      </c>
      <c r="W15" s="61" t="e">
        <f t="shared" si="14"/>
        <v>#VALUE!</v>
      </c>
      <c r="X15" s="61">
        <f t="shared" si="15"/>
        <v>32</v>
      </c>
      <c r="Y15" s="61" t="str">
        <f>IFERROR(VLOOKUP(MID(T15,W15,X15-W15),[7]skilldef!$C:$D,2,FALSE),"-") &amp; " / " &amp; IFERROR(VLOOKUP(MID(T15,U15,V15-U15),[7]skilldef!$A:$B,2,FALSE),"-")</f>
        <v>- / -</v>
      </c>
      <c r="Z15" s="48"/>
      <c r="AA15" s="50"/>
      <c r="AB15" s="48"/>
    </row>
    <row r="16" spans="1:28" ht="29" customHeight="1" x14ac:dyDescent="0.15">
      <c r="A16" s="45">
        <v>13301515</v>
      </c>
      <c r="B16" s="45" t="s">
        <v>301</v>
      </c>
      <c r="C16" s="48">
        <v>3</v>
      </c>
      <c r="D16" s="48" t="s">
        <v>267</v>
      </c>
      <c r="E16" s="49" t="s">
        <v>279</v>
      </c>
      <c r="F16" s="49" t="s">
        <v>323</v>
      </c>
      <c r="G16" s="61" t="str">
        <f t="shared" si="0"/>
        <v>[effect:degrade_unit, target:unit_all, turn:3, status:attack, val:0.5]</v>
      </c>
      <c r="H16" s="61">
        <f t="shared" si="1"/>
        <v>9</v>
      </c>
      <c r="I16" s="61">
        <f t="shared" si="2"/>
        <v>21</v>
      </c>
      <c r="J16" s="61">
        <f t="shared" si="3"/>
        <v>30</v>
      </c>
      <c r="K16" s="61">
        <f t="shared" si="4"/>
        <v>38</v>
      </c>
      <c r="L16" s="61" t="str">
        <f>IFERROR(VLOOKUP(MID(G16,J16,K16-J16),[7]skilldef!$C:$D,2,FALSE),"-") &amp; " / " &amp; IFERROR(VLOOKUP(MID(G16,H16,I16-H16),[7]skilldef!$A:$B,2,FALSE),"-")</f>
        <v>味方全体に / ステータスDOWN</v>
      </c>
      <c r="M16" s="61" t="str">
        <f t="shared" si="5"/>
        <v>[effect:rush, count:1, val:0.8],[effect:enemy_message, val1:1.4, val2:1.8]</v>
      </c>
      <c r="N16" s="46" t="str">
        <f t="shared" si="6"/>
        <v>[effect:rush, count:1, val:0.8],[effect:enemy_message, val1:1.4, val2:1.8]</v>
      </c>
      <c r="O16" s="61">
        <f t="shared" si="7"/>
        <v>9</v>
      </c>
      <c r="P16" s="61">
        <f t="shared" si="8"/>
        <v>13</v>
      </c>
      <c r="Q16" s="61" t="e">
        <f t="shared" si="9"/>
        <v>#VALUE!</v>
      </c>
      <c r="R16" s="61">
        <f t="shared" si="10"/>
        <v>22</v>
      </c>
      <c r="S16" s="61" t="str">
        <f>IFERROR(VLOOKUP(MID(N16,Q16,R16-Q16),[7]skilldef!$C:$D,2,FALSE),"-") &amp; " / " &amp; IFERROR(VLOOKUP(MID(N16,O16,P16-O16),[7]skilldef!$A:$B,2,FALSE),"-")</f>
        <v>- / 連続攻撃</v>
      </c>
      <c r="T16" s="46" t="str">
        <f t="shared" si="11"/>
        <v>[effect:enemy_message, val1:1.4, val2:1.8]</v>
      </c>
      <c r="U16" s="61">
        <f t="shared" si="12"/>
        <v>9</v>
      </c>
      <c r="V16" s="61">
        <f t="shared" si="13"/>
        <v>22</v>
      </c>
      <c r="W16" s="61" t="e">
        <f t="shared" si="14"/>
        <v>#VALUE!</v>
      </c>
      <c r="X16" s="61">
        <f t="shared" si="15"/>
        <v>32</v>
      </c>
      <c r="Y16" s="61" t="str">
        <f>IFERROR(VLOOKUP(MID(T16,W16,X16-W16),[7]skilldef!$C:$D,2,FALSE),"-") &amp; " / " &amp; IFERROR(VLOOKUP(MID(T16,U16,V16-U16),[7]skilldef!$A:$B,2,FALSE),"-")</f>
        <v>- / -</v>
      </c>
      <c r="Z16" s="48"/>
      <c r="AA16" s="50"/>
      <c r="AB16" s="48"/>
    </row>
    <row r="17" spans="1:28" ht="33" customHeight="1" x14ac:dyDescent="0.15">
      <c r="A17" s="45">
        <v>13301516</v>
      </c>
      <c r="B17" s="45" t="s">
        <v>302</v>
      </c>
      <c r="C17" s="48">
        <v>3</v>
      </c>
      <c r="D17" s="48" t="s">
        <v>267</v>
      </c>
      <c r="E17" s="49" t="s">
        <v>279</v>
      </c>
      <c r="F17" s="49" t="s">
        <v>324</v>
      </c>
      <c r="G17" s="61" t="str">
        <f t="shared" si="0"/>
        <v>[effect:degrade_unit, target:unit_all, turn:3, status:attack, val:0.75]</v>
      </c>
      <c r="H17" s="61">
        <f t="shared" si="1"/>
        <v>9</v>
      </c>
      <c r="I17" s="61">
        <f t="shared" si="2"/>
        <v>21</v>
      </c>
      <c r="J17" s="61">
        <f t="shared" si="3"/>
        <v>30</v>
      </c>
      <c r="K17" s="61">
        <f t="shared" si="4"/>
        <v>38</v>
      </c>
      <c r="L17" s="61" t="str">
        <f>IFERROR(VLOOKUP(MID(G17,J17,K17-J17),[7]skilldef!$C:$D,2,FALSE),"-") &amp; " / " &amp; IFERROR(VLOOKUP(MID(G17,H17,I17-H17),[7]skilldef!$A:$B,2,FALSE),"-")</f>
        <v>味方全体に / ステータスDOWN</v>
      </c>
      <c r="M17" s="61" t="str">
        <f t="shared" si="5"/>
        <v>[effect:rush, count:1, val:0.8],[effect:enemy_message, val1:1.4, val2:1.8]</v>
      </c>
      <c r="N17" s="46" t="str">
        <f t="shared" si="6"/>
        <v>[effect:rush, count:1, val:0.8],[effect:enemy_message, val1:1.4, val2:1.8]</v>
      </c>
      <c r="O17" s="61">
        <f t="shared" si="7"/>
        <v>9</v>
      </c>
      <c r="P17" s="61">
        <f t="shared" si="8"/>
        <v>13</v>
      </c>
      <c r="Q17" s="61" t="e">
        <f t="shared" si="9"/>
        <v>#VALUE!</v>
      </c>
      <c r="R17" s="61">
        <f t="shared" si="10"/>
        <v>22</v>
      </c>
      <c r="S17" s="61" t="str">
        <f>IFERROR(VLOOKUP(MID(N17,Q17,R17-Q17),[7]skilldef!$C:$D,2,FALSE),"-") &amp; " / " &amp; IFERROR(VLOOKUP(MID(N17,O17,P17-O17),[7]skilldef!$A:$B,2,FALSE),"-")</f>
        <v>- / 連続攻撃</v>
      </c>
      <c r="T17" s="46" t="str">
        <f t="shared" si="11"/>
        <v>[effect:enemy_message, val1:1.4, val2:1.8]</v>
      </c>
      <c r="U17" s="61">
        <f t="shared" si="12"/>
        <v>9</v>
      </c>
      <c r="V17" s="61">
        <f t="shared" si="13"/>
        <v>22</v>
      </c>
      <c r="W17" s="61" t="e">
        <f t="shared" si="14"/>
        <v>#VALUE!</v>
      </c>
      <c r="X17" s="61">
        <f t="shared" si="15"/>
        <v>32</v>
      </c>
      <c r="Y17" s="61" t="str">
        <f>IFERROR(VLOOKUP(MID(T17,W17,X17-W17),[7]skilldef!$C:$D,2,FALSE),"-") &amp; " / " &amp; IFERROR(VLOOKUP(MID(T17,U17,V17-U17),[7]skilldef!$A:$B,2,FALSE),"-")</f>
        <v>- / -</v>
      </c>
      <c r="Z17" s="48"/>
      <c r="AA17" s="50"/>
      <c r="AB17" s="48"/>
    </row>
    <row r="18" spans="1:28" ht="43" customHeight="1" x14ac:dyDescent="0.15">
      <c r="A18" s="115">
        <v>13301517</v>
      </c>
      <c r="B18" s="115" t="s">
        <v>303</v>
      </c>
      <c r="C18" s="116">
        <v>3</v>
      </c>
      <c r="D18" s="116" t="s">
        <v>195</v>
      </c>
      <c r="E18" s="117" t="s">
        <v>330</v>
      </c>
      <c r="F18" s="117" t="s">
        <v>280</v>
      </c>
      <c r="G18" s="61" t="str">
        <f t="shared" si="0"/>
        <v>[effect:fix_speed, target:myself, turn:1]</v>
      </c>
      <c r="H18" s="61">
        <f t="shared" si="1"/>
        <v>9</v>
      </c>
      <c r="I18" s="61">
        <f t="shared" si="2"/>
        <v>18</v>
      </c>
      <c r="J18" s="61">
        <f t="shared" si="3"/>
        <v>27</v>
      </c>
      <c r="K18" s="61">
        <f t="shared" si="4"/>
        <v>33</v>
      </c>
      <c r="L18" s="61" t="str">
        <f>IFERROR(VLOOKUP(MID(G18,J18,K18-J18),[7]skilldef!$C:$D,2,FALSE),"-") &amp; " / " &amp; IFERROR(VLOOKUP(MID(G18,H18,I18-H18),[7]skilldef!$A:$B,2,FALSE),"-")</f>
        <v>自分自身に / 行動値設定</v>
      </c>
      <c r="M18" s="61" t="str">
        <f t="shared" si="5"/>
        <v>[effect:degrade_fever, val:1000, animation:fevergauge_down],[effect:enemy_message, val1:1.4, val2:1.6]</v>
      </c>
      <c r="N18" s="46" t="str">
        <f t="shared" si="6"/>
        <v>[effect:degrade_fever, val:1000, animation:fevergauge_down],[effect:enemy_message, val1:1.4, val2:1.6]</v>
      </c>
      <c r="O18" s="61">
        <f t="shared" si="7"/>
        <v>9</v>
      </c>
      <c r="P18" s="61">
        <f t="shared" si="8"/>
        <v>22</v>
      </c>
      <c r="Q18" s="61" t="e">
        <f t="shared" si="9"/>
        <v>#VALUE!</v>
      </c>
      <c r="R18" s="61">
        <f t="shared" si="10"/>
        <v>32</v>
      </c>
      <c r="S18" s="61" t="str">
        <f>IFERROR(VLOOKUP(MID(N18,Q18,R18-Q18),[7]skilldef!$C:$D,2,FALSE),"-") &amp; " / " &amp; IFERROR(VLOOKUP(MID(N18,O18,P18-O18),[7]skilldef!$A:$B,2,FALSE),"-")</f>
        <v>- / フィーバーゲージ減少</v>
      </c>
      <c r="T18" s="46" t="str">
        <f t="shared" si="11"/>
        <v>[effect:enemy_message, val1:1.4, val2:1.6]</v>
      </c>
      <c r="U18" s="61">
        <f t="shared" si="12"/>
        <v>9</v>
      </c>
      <c r="V18" s="61">
        <f t="shared" si="13"/>
        <v>22</v>
      </c>
      <c r="W18" s="61" t="e">
        <f t="shared" si="14"/>
        <v>#VALUE!</v>
      </c>
      <c r="X18" s="61">
        <f t="shared" si="15"/>
        <v>32</v>
      </c>
      <c r="Y18" s="61" t="str">
        <f>IFERROR(VLOOKUP(MID(T18,W18,X18-W18),[7]skilldef!$C:$D,2,FALSE),"-") &amp; " / " &amp; IFERROR(VLOOKUP(MID(T18,U18,V18-U18),[7]skilldef!$A:$B,2,FALSE),"-")</f>
        <v>- / -</v>
      </c>
      <c r="Z18" s="48"/>
      <c r="AA18" s="50"/>
      <c r="AB18" s="48"/>
    </row>
    <row r="19" spans="1:28" ht="21" customHeight="1" x14ac:dyDescent="0.15">
      <c r="A19" s="115">
        <v>13301518</v>
      </c>
      <c r="B19" s="115" t="s">
        <v>304</v>
      </c>
      <c r="C19" s="116">
        <v>3</v>
      </c>
      <c r="D19" s="116" t="s">
        <v>281</v>
      </c>
      <c r="E19" s="117" t="s">
        <v>282</v>
      </c>
      <c r="F19" s="117" t="s">
        <v>283</v>
      </c>
      <c r="G19" s="61" t="str">
        <f t="shared" si="0"/>
        <v>[effect:spread, val:0.25]</v>
      </c>
      <c r="H19" s="61">
        <f t="shared" si="1"/>
        <v>9</v>
      </c>
      <c r="I19" s="61">
        <f t="shared" si="2"/>
        <v>15</v>
      </c>
      <c r="J19" s="61" t="e">
        <f t="shared" si="3"/>
        <v>#VALUE!</v>
      </c>
      <c r="K19" s="61" t="e">
        <f t="shared" si="4"/>
        <v>#VALUE!</v>
      </c>
      <c r="L19" s="61" t="str">
        <f>IFERROR(VLOOKUP(MID(G19,J19,K19-J19),[7]skilldef!$C:$D,2,FALSE),"-") &amp; " / " &amp; IFERROR(VLOOKUP(MID(G19,H19,I19-H19),[7]skilldef!$A:$B,2,FALSE),"-")</f>
        <v>- / 全体攻撃</v>
      </c>
      <c r="M19" s="61" t="str">
        <f t="shared" si="5"/>
        <v>[effect:suicide, val:1, dead_type:suicide, target:enemy_yellow, animation:enemy_suicide],[effect:enemy_message, val1:1.4, val2:1.8]</v>
      </c>
      <c r="N19" s="46" t="str">
        <f t="shared" si="6"/>
        <v>[effect:suicide, val:1, dead_type:suicide, target:enemy_yellow, animation:enemy_suicide],[effect:enemy_message, val1:1.4, val2:1.8]</v>
      </c>
      <c r="O19" s="61">
        <f t="shared" si="7"/>
        <v>9</v>
      </c>
      <c r="P19" s="61">
        <f t="shared" si="8"/>
        <v>16</v>
      </c>
      <c r="Q19" s="61">
        <f t="shared" si="9"/>
        <v>51</v>
      </c>
      <c r="R19" s="61">
        <f t="shared" si="10"/>
        <v>23</v>
      </c>
      <c r="S19" s="61" t="str">
        <f>IFERROR(VLOOKUP(MID(N19,Q19,R19-Q19),[7]skilldef!$C:$D,2,FALSE),"-") &amp; " / " &amp; IFERROR(VLOOKUP(MID(N19,O19,P19-O19),[7]skilldef!$A:$B,2,FALSE),"-")</f>
        <v>- / -</v>
      </c>
      <c r="T19" s="46" t="str">
        <f t="shared" si="11"/>
        <v>[effect:enemy_message, val1:1.4, val2:1.8]</v>
      </c>
      <c r="U19" s="61">
        <f t="shared" si="12"/>
        <v>9</v>
      </c>
      <c r="V19" s="61">
        <f t="shared" si="13"/>
        <v>22</v>
      </c>
      <c r="W19" s="61" t="e">
        <f t="shared" si="14"/>
        <v>#VALUE!</v>
      </c>
      <c r="X19" s="61">
        <f t="shared" si="15"/>
        <v>32</v>
      </c>
      <c r="Y19" s="61" t="str">
        <f>IFERROR(VLOOKUP(MID(T19,W19,X19-W19),[7]skilldef!$C:$D,2,FALSE),"-") &amp; " / " &amp; IFERROR(VLOOKUP(MID(T19,U19,V19-U19),[7]skilldef!$A:$B,2,FALSE),"-")</f>
        <v>- / -</v>
      </c>
      <c r="Z19" s="48"/>
      <c r="AA19" s="50"/>
      <c r="AB19" s="48"/>
    </row>
    <row r="20" spans="1:28" ht="38" customHeight="1" x14ac:dyDescent="0.15">
      <c r="A20" s="115">
        <v>13301519</v>
      </c>
      <c r="B20" s="115" t="s">
        <v>303</v>
      </c>
      <c r="C20" s="116">
        <v>3</v>
      </c>
      <c r="D20" s="116" t="s">
        <v>195</v>
      </c>
      <c r="E20" s="117" t="s">
        <v>309</v>
      </c>
      <c r="F20" s="117" t="s">
        <v>280</v>
      </c>
      <c r="G20" s="61" t="str">
        <f t="shared" si="0"/>
        <v>[effect:fix_speed, target:myself, turn:1]</v>
      </c>
      <c r="H20" s="61">
        <f t="shared" si="1"/>
        <v>9</v>
      </c>
      <c r="I20" s="61">
        <f t="shared" si="2"/>
        <v>18</v>
      </c>
      <c r="J20" s="61">
        <f t="shared" si="3"/>
        <v>27</v>
      </c>
      <c r="K20" s="61">
        <f t="shared" si="4"/>
        <v>33</v>
      </c>
      <c r="L20" s="61" t="str">
        <f>IFERROR(VLOOKUP(MID(G20,J20,K20-J20),[7]skilldef!$C:$D,2,FALSE),"-") &amp; " / " &amp; IFERROR(VLOOKUP(MID(G20,H20,I20-H20),[7]skilldef!$A:$B,2,FALSE),"-")</f>
        <v>自分自身に / 行動値設定</v>
      </c>
      <c r="M20" s="61" t="str">
        <f t="shared" si="5"/>
        <v>[effect:degrade_fever, val:1000, animation:fevergauge_down],[effect:enemy_message, val1:1.4, val2:1.6]</v>
      </c>
      <c r="N20" s="46" t="str">
        <f>IFERROR(LEFT(M20,FIND("],",M20)+#REF!),M20)</f>
        <v>[effect:degrade_fever, val:1000, animation:fevergauge_down],[effect:enemy_message, val1:1.4, val2:1.6]</v>
      </c>
      <c r="O20" s="61">
        <f t="shared" si="7"/>
        <v>9</v>
      </c>
      <c r="P20" s="61">
        <f t="shared" si="8"/>
        <v>22</v>
      </c>
      <c r="Q20" s="61" t="e">
        <f t="shared" si="9"/>
        <v>#VALUE!</v>
      </c>
      <c r="R20" s="61">
        <f t="shared" si="10"/>
        <v>32</v>
      </c>
      <c r="S20" s="61" t="str">
        <f>IFERROR(VLOOKUP(MID(N20,Q20,R20-Q20),[7]skilldef!$C:$D,2,FALSE),"-") &amp; " / " &amp; IFERROR(VLOOKUP(MID(N20,O20,P20-O20),[7]skilldef!$A:$B,2,FALSE),"-")</f>
        <v>- / フィーバーゲージ減少</v>
      </c>
      <c r="T20" s="46" t="str">
        <f t="shared" si="11"/>
        <v>[effect:enemy_message, val1:1.4, val2:1.6]</v>
      </c>
      <c r="U20" s="61">
        <f t="shared" si="12"/>
        <v>9</v>
      </c>
      <c r="V20" s="61">
        <f t="shared" si="13"/>
        <v>22</v>
      </c>
      <c r="W20" s="61" t="e">
        <f t="shared" si="14"/>
        <v>#VALUE!</v>
      </c>
      <c r="X20" s="61">
        <f t="shared" si="15"/>
        <v>32</v>
      </c>
      <c r="Y20" s="61" t="str">
        <f>IFERROR(VLOOKUP(MID(T20,W20,X20-W20),[7]skilldef!$C:$D,2,FALSE),"-") &amp; " / " &amp; IFERROR(VLOOKUP(MID(T20,U20,V20-U20),[7]skilldef!$A:$B,2,FALSE),"-")</f>
        <v>- / -</v>
      </c>
      <c r="Z20" s="48"/>
      <c r="AA20" s="50"/>
      <c r="AB20" s="48"/>
    </row>
    <row r="21" spans="1:28" ht="21" customHeight="1" x14ac:dyDescent="0.15">
      <c r="A21" s="115">
        <v>13301520</v>
      </c>
      <c r="B21" s="115" t="s">
        <v>305</v>
      </c>
      <c r="C21" s="116">
        <v>3</v>
      </c>
      <c r="D21" s="116" t="s">
        <v>195</v>
      </c>
      <c r="E21" s="117" t="s">
        <v>282</v>
      </c>
      <c r="F21" s="117" t="s">
        <v>283</v>
      </c>
      <c r="G21" s="61" t="str">
        <f t="shared" si="0"/>
        <v>[effect:spread, val:0.25]</v>
      </c>
      <c r="H21" s="61">
        <f t="shared" si="1"/>
        <v>9</v>
      </c>
      <c r="I21" s="61">
        <f t="shared" si="2"/>
        <v>15</v>
      </c>
      <c r="J21" s="61" t="e">
        <f t="shared" si="3"/>
        <v>#VALUE!</v>
      </c>
      <c r="K21" s="61" t="e">
        <f t="shared" si="4"/>
        <v>#VALUE!</v>
      </c>
      <c r="L21" s="61" t="str">
        <f>IFERROR(VLOOKUP(MID(G21,J21,K21-J21),[7]skilldef!$C:$D,2,FALSE),"-") &amp; " / " &amp; IFERROR(VLOOKUP(MID(G21,H21,I21-H21),[7]skilldef!$A:$B,2,FALSE),"-")</f>
        <v>- / 全体攻撃</v>
      </c>
      <c r="M21" s="61" t="str">
        <f t="shared" si="5"/>
        <v>[effect:suicide, val:1, dead_type:suicide, target:enemy_yellow, animation:enemy_suicide],[effect:enemy_message, val1:1.4, val2:1.8]</v>
      </c>
      <c r="N21" s="46" t="str">
        <f>IFERROR(LEFT(M21,FIND("],",M21)+#REF!),M21)</f>
        <v>[effect:suicide, val:1, dead_type:suicide, target:enemy_yellow, animation:enemy_suicide],[effect:enemy_message, val1:1.4, val2:1.8]</v>
      </c>
      <c r="O21" s="61">
        <f t="shared" si="7"/>
        <v>9</v>
      </c>
      <c r="P21" s="61">
        <f t="shared" si="8"/>
        <v>16</v>
      </c>
      <c r="Q21" s="61">
        <f t="shared" si="9"/>
        <v>51</v>
      </c>
      <c r="R21" s="61">
        <f t="shared" si="10"/>
        <v>23</v>
      </c>
      <c r="S21" s="61" t="str">
        <f>IFERROR(VLOOKUP(MID(N21,Q21,R21-Q21),[7]skilldef!$C:$D,2,FALSE),"-") &amp; " / " &amp; IFERROR(VLOOKUP(MID(N21,O21,P21-O21),[7]skilldef!$A:$B,2,FALSE),"-")</f>
        <v>- / -</v>
      </c>
      <c r="T21" s="46" t="str">
        <f t="shared" si="11"/>
        <v>[effect:enemy_message, val1:1.4, val2:1.8]</v>
      </c>
      <c r="U21" s="61">
        <f t="shared" si="12"/>
        <v>9</v>
      </c>
      <c r="V21" s="61">
        <f t="shared" si="13"/>
        <v>22</v>
      </c>
      <c r="W21" s="61" t="e">
        <f t="shared" si="14"/>
        <v>#VALUE!</v>
      </c>
      <c r="X21" s="61">
        <f t="shared" si="15"/>
        <v>32</v>
      </c>
      <c r="Y21" s="61" t="str">
        <f>IFERROR(VLOOKUP(MID(T21,W21,X21-W21),[7]skilldef!$C:$D,2,FALSE),"-") &amp; " / " &amp; IFERROR(VLOOKUP(MID(T21,U21,V21-U21),[7]skilldef!$A:$B,2,FALSE),"-")</f>
        <v>- / -</v>
      </c>
      <c r="Z21" s="48"/>
      <c r="AA21" s="50"/>
      <c r="AB21" s="48"/>
    </row>
    <row r="22" spans="1:28" ht="21" customHeight="1" x14ac:dyDescent="0.15">
      <c r="A22" s="115">
        <v>13301527</v>
      </c>
      <c r="B22" s="115" t="s">
        <v>303</v>
      </c>
      <c r="C22" s="116">
        <v>3</v>
      </c>
      <c r="D22" s="116" t="s">
        <v>195</v>
      </c>
      <c r="E22" s="117" t="s">
        <v>284</v>
      </c>
      <c r="F22" s="117" t="s">
        <v>280</v>
      </c>
      <c r="G22" s="61" t="str">
        <f t="shared" si="0"/>
        <v>[effect:fix_speed, target:myself, turn:1]</v>
      </c>
      <c r="H22" s="61">
        <f t="shared" si="1"/>
        <v>9</v>
      </c>
      <c r="I22" s="61">
        <f t="shared" si="2"/>
        <v>18</v>
      </c>
      <c r="J22" s="61">
        <f t="shared" si="3"/>
        <v>27</v>
      </c>
      <c r="K22" s="61">
        <f t="shared" si="4"/>
        <v>33</v>
      </c>
      <c r="L22" s="61" t="str">
        <f>IFERROR(VLOOKUP(MID(G22,J22,K22-J22),[7]skilldef!$C:$D,2,FALSE),"-") &amp; " / " &amp; IFERROR(VLOOKUP(MID(G22,H22,I22-H22),[7]skilldef!$A:$B,2,FALSE),"-")</f>
        <v>自分自身に / 行動値設定</v>
      </c>
      <c r="M22" s="61" t="str">
        <f t="shared" si="5"/>
        <v>[effect:degrade_fever, val:1000, animation:fevergauge_down],[effect:enemy_message, val1:1.4, val2:1.6]</v>
      </c>
      <c r="N22" s="46" t="str">
        <f t="shared" ref="N22:N24" si="16">IFERROR(LEFT(M22,FIND("],",M22)+S30),M22)</f>
        <v>[effect:degrade_fever, val:1000, animation:fevergauge_down],[effect:enemy_message, val1:1.4, val2:1.6]</v>
      </c>
      <c r="O22" s="61">
        <f t="shared" si="7"/>
        <v>9</v>
      </c>
      <c r="P22" s="61">
        <f t="shared" si="8"/>
        <v>22</v>
      </c>
      <c r="Q22" s="61" t="e">
        <f t="shared" si="9"/>
        <v>#VALUE!</v>
      </c>
      <c r="R22" s="61">
        <f t="shared" si="10"/>
        <v>32</v>
      </c>
      <c r="S22" s="61" t="str">
        <f>IFERROR(VLOOKUP(MID(N22,Q22,R22-Q22),[7]skilldef!$C:$D,2,FALSE),"-") &amp; " / " &amp; IFERROR(VLOOKUP(MID(N22,O22,P22-O22),[7]skilldef!$A:$B,2,FALSE),"-")</f>
        <v>- / フィーバーゲージ減少</v>
      </c>
      <c r="T22" s="46" t="str">
        <f t="shared" si="11"/>
        <v>[effect:enemy_message, val1:1.4, val2:1.6]</v>
      </c>
      <c r="U22" s="61">
        <f t="shared" si="12"/>
        <v>9</v>
      </c>
      <c r="V22" s="61">
        <f t="shared" si="13"/>
        <v>22</v>
      </c>
      <c r="W22" s="61" t="e">
        <f t="shared" si="14"/>
        <v>#VALUE!</v>
      </c>
      <c r="X22" s="61">
        <f t="shared" si="15"/>
        <v>32</v>
      </c>
      <c r="Y22" s="61" t="str">
        <f>IFERROR(VLOOKUP(MID(T22,W22,X22-W22),[7]skilldef!$C:$D,2,FALSE),"-") &amp; " / " &amp; IFERROR(VLOOKUP(MID(T22,U22,V22-U22),[7]skilldef!$A:$B,2,FALSE),"-")</f>
        <v>- / -</v>
      </c>
      <c r="Z22" s="48"/>
      <c r="AA22" s="50"/>
      <c r="AB22" s="48"/>
    </row>
    <row r="23" spans="1:28" ht="21" customHeight="1" x14ac:dyDescent="0.15">
      <c r="A23" s="115">
        <v>13301528</v>
      </c>
      <c r="B23" s="115" t="s">
        <v>304</v>
      </c>
      <c r="C23" s="116">
        <v>3</v>
      </c>
      <c r="D23" s="116" t="s">
        <v>195</v>
      </c>
      <c r="E23" s="117" t="s">
        <v>282</v>
      </c>
      <c r="F23" s="117" t="s">
        <v>283</v>
      </c>
      <c r="G23" s="61" t="str">
        <f t="shared" si="0"/>
        <v>[effect:spread, val:0.25]</v>
      </c>
      <c r="H23" s="61">
        <f t="shared" si="1"/>
        <v>9</v>
      </c>
      <c r="I23" s="61">
        <f t="shared" si="2"/>
        <v>15</v>
      </c>
      <c r="J23" s="61" t="e">
        <f t="shared" si="3"/>
        <v>#VALUE!</v>
      </c>
      <c r="K23" s="61" t="e">
        <f t="shared" si="4"/>
        <v>#VALUE!</v>
      </c>
      <c r="L23" s="61" t="str">
        <f>IFERROR(VLOOKUP(MID(G23,J23,K23-J23),[7]skilldef!$C:$D,2,FALSE),"-") &amp; " / " &amp; IFERROR(VLOOKUP(MID(G23,H23,I23-H23),[7]skilldef!$A:$B,2,FALSE),"-")</f>
        <v>- / 全体攻撃</v>
      </c>
      <c r="M23" s="61" t="str">
        <f t="shared" si="5"/>
        <v>[effect:suicide, val:1, dead_type:suicide, target:enemy_yellow, animation:enemy_suicide],[effect:enemy_message, val1:1.4, val2:1.8]</v>
      </c>
      <c r="N23" s="46" t="str">
        <f t="shared" si="16"/>
        <v>[effect:suicide, val:1, dead_type:suicide, target:enemy_yellow, animation:enemy_suicide],[effect:enemy_message, val1:1.4, val2:1.8]</v>
      </c>
      <c r="O23" s="61">
        <f t="shared" si="7"/>
        <v>9</v>
      </c>
      <c r="P23" s="61">
        <f t="shared" si="8"/>
        <v>16</v>
      </c>
      <c r="Q23" s="61">
        <f t="shared" si="9"/>
        <v>51</v>
      </c>
      <c r="R23" s="61">
        <f t="shared" si="10"/>
        <v>23</v>
      </c>
      <c r="S23" s="61" t="str">
        <f>IFERROR(VLOOKUP(MID(N23,Q23,R23-Q23),[7]skilldef!$C:$D,2,FALSE),"-") &amp; " / " &amp; IFERROR(VLOOKUP(MID(N23,O23,P23-O23),[7]skilldef!$A:$B,2,FALSE),"-")</f>
        <v>- / -</v>
      </c>
      <c r="T23" s="46" t="str">
        <f t="shared" si="11"/>
        <v>[effect:enemy_message, val1:1.4, val2:1.8]</v>
      </c>
      <c r="U23" s="61">
        <f t="shared" si="12"/>
        <v>9</v>
      </c>
      <c r="V23" s="61">
        <f t="shared" si="13"/>
        <v>22</v>
      </c>
      <c r="W23" s="61" t="e">
        <f t="shared" si="14"/>
        <v>#VALUE!</v>
      </c>
      <c r="X23" s="61">
        <f t="shared" si="15"/>
        <v>32</v>
      </c>
      <c r="Y23" s="61" t="str">
        <f>IFERROR(VLOOKUP(MID(T23,W23,X23-W23),[7]skilldef!$C:$D,2,FALSE),"-") &amp; " / " &amp; IFERROR(VLOOKUP(MID(T23,U23,V23-U23),[7]skilldef!$A:$B,2,FALSE),"-")</f>
        <v>- / -</v>
      </c>
      <c r="Z23" s="48"/>
      <c r="AA23" s="50"/>
      <c r="AB23" s="48"/>
    </row>
    <row r="24" spans="1:28" ht="42" customHeight="1" x14ac:dyDescent="0.15">
      <c r="A24" s="112">
        <v>13301521</v>
      </c>
      <c r="B24" s="112" t="s">
        <v>341</v>
      </c>
      <c r="C24" s="113">
        <v>3</v>
      </c>
      <c r="D24" s="113" t="s">
        <v>195</v>
      </c>
      <c r="E24" s="114" t="s">
        <v>285</v>
      </c>
      <c r="F24" s="114" t="s">
        <v>325</v>
      </c>
      <c r="G24" s="61" t="str">
        <f t="shared" si="0"/>
        <v>[effect:enemy_message, val1:1, val2:2.7]</v>
      </c>
      <c r="H24" s="61">
        <f t="shared" si="1"/>
        <v>9</v>
      </c>
      <c r="I24" s="61">
        <f t="shared" si="2"/>
        <v>22</v>
      </c>
      <c r="J24" s="61" t="e">
        <f t="shared" si="3"/>
        <v>#VALUE!</v>
      </c>
      <c r="K24" s="61">
        <f t="shared" si="4"/>
        <v>30</v>
      </c>
      <c r="L24" s="61" t="str">
        <f>IFERROR(VLOOKUP(MID(G24,J24,K24-J24),[7]skilldef!$C:$D,2,FALSE),"-") &amp; " / " &amp; IFERROR(VLOOKUP(MID(G24,H24,I24-H24),[7]skilldef!$A:$B,2,FALSE),"-")</f>
        <v>- / -</v>
      </c>
      <c r="M24" s="61" t="str">
        <f t="shared" si="5"/>
        <v>[effect:fix_speed, target:myself, turn:1],[effect:force_change_block, new_block:block_heart, target:block_all, count:0, val:0, animation:change_block],[effect:enhance_unit, target:unit_all, turn:14, status:attack, val:1.9, calc:mul, animation:enhance_unit_all_attack03]</v>
      </c>
      <c r="N24" s="46" t="str">
        <f t="shared" si="16"/>
        <v>[effect:fix_speed, target:myself, turn:1],[effect:force_change_block, new_block:block_heart, target:block_all, count:0, val:0, animation:change_block],[effect:enhance_unit, target:unit_all, turn:14, status:attack, val:1.9, calc:mul, animation:enhance_unit_all_attack03]</v>
      </c>
      <c r="O24" s="61">
        <f t="shared" si="7"/>
        <v>9</v>
      </c>
      <c r="P24" s="61">
        <f t="shared" si="8"/>
        <v>18</v>
      </c>
      <c r="Q24" s="61">
        <f t="shared" si="9"/>
        <v>27</v>
      </c>
      <c r="R24" s="61">
        <f t="shared" si="10"/>
        <v>33</v>
      </c>
      <c r="S24" s="61" t="str">
        <f>IFERROR(VLOOKUP(MID(N24,Q24,R24-Q24),[7]skilldef!$C:$D,2,FALSE),"-") &amp; " / " &amp; IFERROR(VLOOKUP(MID(N24,O24,P24-O24),[7]skilldef!$A:$B,2,FALSE),"-")</f>
        <v>自分自身に / 行動値設定</v>
      </c>
      <c r="T24" s="46" t="str">
        <f t="shared" si="11"/>
        <v>[effect:force_change_block, new_block:block_heart, target:block_all, count:0, val:0, animation:change_block],[effect:enhance_unit, target:unit_all, turn:14, status:attack, val:1.9, calc:mul, animation:enhance_unit_all_attack03]</v>
      </c>
      <c r="U24" s="61">
        <f t="shared" si="12"/>
        <v>9</v>
      </c>
      <c r="V24" s="61">
        <f t="shared" si="13"/>
        <v>27</v>
      </c>
      <c r="W24" s="61">
        <f t="shared" si="14"/>
        <v>59</v>
      </c>
      <c r="X24" s="61">
        <f t="shared" si="15"/>
        <v>50</v>
      </c>
      <c r="Y24" s="61" t="str">
        <f>IFERROR(VLOOKUP(MID(T24,W24,X24-W24),[7]skilldef!$C:$D,2,FALSE),"-") &amp; " / " &amp; IFERROR(VLOOKUP(MID(T24,U24,V24-U24),[7]skilldef!$A:$B,2,FALSE),"-")</f>
        <v>- / -</v>
      </c>
      <c r="Z24" s="48"/>
      <c r="AA24" s="50"/>
      <c r="AB24" s="48"/>
    </row>
    <row r="25" spans="1:28" ht="21" customHeight="1" x14ac:dyDescent="0.15">
      <c r="A25" s="112">
        <v>13301522</v>
      </c>
      <c r="B25" s="112" t="s">
        <v>335</v>
      </c>
      <c r="C25" s="113">
        <v>3</v>
      </c>
      <c r="D25" s="113" t="s">
        <v>195</v>
      </c>
      <c r="E25" s="114" t="s">
        <v>286</v>
      </c>
      <c r="F25" s="114" t="s">
        <v>334</v>
      </c>
      <c r="G25" s="61" t="str">
        <f t="shared" si="0"/>
        <v>[effect:force_change_block, new_block:block_heart, target:block_all, ignore01:crash, ignore02:crack_bomb, ignore03:time_bomb, ignore04:jammer, count:5, val:0, animation:change_block]</v>
      </c>
      <c r="H25" s="61">
        <f t="shared" si="1"/>
        <v>9</v>
      </c>
      <c r="I25" s="61">
        <f t="shared" si="2"/>
        <v>27</v>
      </c>
      <c r="J25" s="61">
        <f t="shared" si="3"/>
        <v>59</v>
      </c>
      <c r="K25" s="61">
        <f t="shared" si="4"/>
        <v>50</v>
      </c>
      <c r="L25" s="61" t="str">
        <f>IFERROR(VLOOKUP(MID(G25,J25,K25-J25),[7]skilldef!$C:$D,2,FALSE),"-") &amp; " / " &amp; IFERROR(VLOOKUP(MID(G25,H25,I25-H25),[7]skilldef!$A:$B,2,FALSE),"-")</f>
        <v>- / -</v>
      </c>
      <c r="M25" s="61" t="str">
        <f t="shared" si="5"/>
        <v>[effect:enemy_message, val1:1.4, val2:1.6]</v>
      </c>
      <c r="N25" s="46" t="str">
        <f>IFERROR(LEFT(M25,FIND("],",M25)+#REF!),M25)</f>
        <v>[effect:enemy_message, val1:1.4, val2:1.6]</v>
      </c>
      <c r="O25" s="61">
        <f t="shared" si="7"/>
        <v>9</v>
      </c>
      <c r="P25" s="61">
        <f t="shared" si="8"/>
        <v>22</v>
      </c>
      <c r="Q25" s="61" t="e">
        <f t="shared" si="9"/>
        <v>#VALUE!</v>
      </c>
      <c r="R25" s="61">
        <f t="shared" si="10"/>
        <v>32</v>
      </c>
      <c r="S25" s="61" t="str">
        <f>IFERROR(VLOOKUP(MID(N25,Q25,R25-Q25),[7]skilldef!$C:$D,2,FALSE),"-") &amp; " / " &amp; IFERROR(VLOOKUP(MID(N25,O25,P25-O25),[7]skilldef!$A:$B,2,FALSE),"-")</f>
        <v>- / -</v>
      </c>
      <c r="T25" s="46" t="str">
        <f t="shared" si="11"/>
        <v>none</v>
      </c>
      <c r="U25" s="61" t="e">
        <f t="shared" si="12"/>
        <v>#VALUE!</v>
      </c>
      <c r="V25" s="61">
        <f t="shared" si="13"/>
        <v>4</v>
      </c>
      <c r="W25" s="61" t="e">
        <f t="shared" si="14"/>
        <v>#VALUE!</v>
      </c>
      <c r="X25" s="61" t="e">
        <f t="shared" si="15"/>
        <v>#VALUE!</v>
      </c>
      <c r="Y25" s="61" t="str">
        <f>IFERROR(VLOOKUP(MID(T25,W25,X25-W25),[7]skilldef!$C:$D,2,FALSE),"-") &amp; " / " &amp; IFERROR(VLOOKUP(MID(T25,U25,V25-U25),[7]skilldef!$A:$B,2,FALSE),"-")</f>
        <v>- / -</v>
      </c>
      <c r="Z25" s="48"/>
      <c r="AA25" s="50"/>
      <c r="AB25" s="48"/>
    </row>
    <row r="26" spans="1:28" ht="34" customHeight="1" x14ac:dyDescent="0.15">
      <c r="A26" s="112">
        <v>13301523</v>
      </c>
      <c r="B26" s="112" t="s">
        <v>315</v>
      </c>
      <c r="C26" s="113">
        <v>3</v>
      </c>
      <c r="D26" s="113" t="s">
        <v>195</v>
      </c>
      <c r="E26" s="114" t="s">
        <v>287</v>
      </c>
      <c r="F26" s="114" t="s">
        <v>314</v>
      </c>
      <c r="G26" s="61" t="str">
        <f t="shared" si="0"/>
        <v>[effect:enemy_message, val1:1, val2:2.7]</v>
      </c>
      <c r="H26" s="61">
        <f t="shared" si="1"/>
        <v>9</v>
      </c>
      <c r="I26" s="61">
        <f t="shared" si="2"/>
        <v>22</v>
      </c>
      <c r="J26" s="61" t="e">
        <f t="shared" si="3"/>
        <v>#VALUE!</v>
      </c>
      <c r="K26" s="61">
        <f t="shared" si="4"/>
        <v>30</v>
      </c>
      <c r="L26" s="61" t="str">
        <f>IFERROR(VLOOKUP(MID(G26,J26,K26-J26),[7]skilldef!$C:$D,2,FALSE),"-") &amp; " / " &amp; IFERROR(VLOOKUP(MID(G26,H26,I26-H26),[7]skilldef!$A:$B,2,FALSE),"-")</f>
        <v>- / -</v>
      </c>
      <c r="M26" s="61" t="str">
        <f t="shared" si="5"/>
        <v>[effect:fix_speed, target:myself, turn:1],[effect:force_change_block, new_block:block_heart, target:block_all, count:0, val:0, animation:change_block],[effect:sp_boost, target:unit_yellow, val:99, animation:sp_boost_one03]</v>
      </c>
      <c r="N26" s="46" t="str">
        <f>IFERROR(LEFT(M26,FIND("],",M26)+#REF!),M26)</f>
        <v>[effect:fix_speed, target:myself, turn:1],[effect:force_change_block, new_block:block_heart, target:block_all, count:0, val:0, animation:change_block],[effect:sp_boost, target:unit_yellow, val:99, animation:sp_boost_one03]</v>
      </c>
      <c r="O26" s="61">
        <f t="shared" si="7"/>
        <v>9</v>
      </c>
      <c r="P26" s="61">
        <f t="shared" si="8"/>
        <v>18</v>
      </c>
      <c r="Q26" s="61">
        <f t="shared" si="9"/>
        <v>27</v>
      </c>
      <c r="R26" s="61">
        <f t="shared" si="10"/>
        <v>33</v>
      </c>
      <c r="S26" s="61" t="str">
        <f>IFERROR(VLOOKUP(MID(N26,Q26,R26-Q26),[7]skilldef!$C:$D,2,FALSE),"-") &amp; " / " &amp; IFERROR(VLOOKUP(MID(N26,O26,P26-O26),[7]skilldef!$A:$B,2,FALSE),"-")</f>
        <v>自分自身に / 行動値設定</v>
      </c>
      <c r="T26" s="46" t="str">
        <f t="shared" si="11"/>
        <v>[effect:force_change_block, new_block:block_heart, target:block_all, count:0, val:0, animation:change_block],[effect:sp_boost, target:unit_yellow, val:99, animation:sp_boost_one03]</v>
      </c>
      <c r="U26" s="61">
        <f t="shared" si="12"/>
        <v>9</v>
      </c>
      <c r="V26" s="61">
        <f t="shared" si="13"/>
        <v>27</v>
      </c>
      <c r="W26" s="61">
        <f t="shared" si="14"/>
        <v>59</v>
      </c>
      <c r="X26" s="61">
        <f t="shared" si="15"/>
        <v>50</v>
      </c>
      <c r="Y26" s="61" t="str">
        <f>IFERROR(VLOOKUP(MID(T26,W26,X26-W26),[7]skilldef!$C:$D,2,FALSE),"-") &amp; " / " &amp; IFERROR(VLOOKUP(MID(T26,U26,V26-U26),[7]skilldef!$A:$B,2,FALSE),"-")</f>
        <v>- / -</v>
      </c>
      <c r="Z26" s="48"/>
      <c r="AA26" s="50"/>
      <c r="AB26" s="48"/>
    </row>
    <row r="27" spans="1:28" ht="28" customHeight="1" x14ac:dyDescent="0.15">
      <c r="A27" s="112">
        <v>13301524</v>
      </c>
      <c r="B27" s="112" t="s">
        <v>333</v>
      </c>
      <c r="C27" s="113">
        <v>3</v>
      </c>
      <c r="D27" s="113" t="s">
        <v>195</v>
      </c>
      <c r="E27" s="114" t="s">
        <v>286</v>
      </c>
      <c r="F27" s="114" t="s">
        <v>334</v>
      </c>
      <c r="G27" s="61" t="str">
        <f t="shared" si="0"/>
        <v>[effect:force_change_block, new_block:block_heart, target:block_all, ignore01:crash, ignore02:crack_bomb, ignore03:time_bomb, ignore04:jammer, count:5, val:0, animation:change_block]</v>
      </c>
      <c r="H27" s="61">
        <f t="shared" si="1"/>
        <v>9</v>
      </c>
      <c r="I27" s="61">
        <f t="shared" si="2"/>
        <v>27</v>
      </c>
      <c r="J27" s="61">
        <f t="shared" si="3"/>
        <v>59</v>
      </c>
      <c r="K27" s="61">
        <f t="shared" si="4"/>
        <v>50</v>
      </c>
      <c r="L27" s="61" t="str">
        <f>IFERROR(VLOOKUP(MID(G27,J27,K27-J27),[7]skilldef!$C:$D,2,FALSE),"-") &amp; " / " &amp; IFERROR(VLOOKUP(MID(G27,H27,I27-H27),[7]skilldef!$A:$B,2,FALSE),"-")</f>
        <v>- / -</v>
      </c>
      <c r="M27" s="61" t="str">
        <f t="shared" si="5"/>
        <v>[effect:enemy_message, val1:1.4, val2:1.6]</v>
      </c>
      <c r="N27" s="46" t="str">
        <f>IFERROR(LEFT(M27,FIND("],",M27)+#REF!),M27)</f>
        <v>[effect:enemy_message, val1:1.4, val2:1.6]</v>
      </c>
      <c r="O27" s="61">
        <f t="shared" si="7"/>
        <v>9</v>
      </c>
      <c r="P27" s="61">
        <f t="shared" si="8"/>
        <v>22</v>
      </c>
      <c r="Q27" s="61" t="e">
        <f t="shared" si="9"/>
        <v>#VALUE!</v>
      </c>
      <c r="R27" s="61">
        <f t="shared" si="10"/>
        <v>32</v>
      </c>
      <c r="S27" s="61" t="str">
        <f>IFERROR(VLOOKUP(MID(N27,Q27,R27-Q27),[7]skilldef!$C:$D,2,FALSE),"-") &amp; " / " &amp; IFERROR(VLOOKUP(MID(N27,O27,P27-O27),[7]skilldef!$A:$B,2,FALSE),"-")</f>
        <v>- / -</v>
      </c>
      <c r="T27" s="46" t="str">
        <f t="shared" si="11"/>
        <v>none</v>
      </c>
      <c r="U27" s="61" t="e">
        <f t="shared" si="12"/>
        <v>#VALUE!</v>
      </c>
      <c r="V27" s="61">
        <f t="shared" si="13"/>
        <v>4</v>
      </c>
      <c r="W27" s="61" t="e">
        <f t="shared" si="14"/>
        <v>#VALUE!</v>
      </c>
      <c r="X27" s="61" t="e">
        <f t="shared" si="15"/>
        <v>#VALUE!</v>
      </c>
      <c r="Y27" s="61" t="str">
        <f>IFERROR(VLOOKUP(MID(T27,W27,X27-W27),[7]skilldef!$C:$D,2,FALSE),"-") &amp; " / " &amp; IFERROR(VLOOKUP(MID(T27,U27,V27-U27),[7]skilldef!$A:$B,2,FALSE),"-")</f>
        <v>- / -</v>
      </c>
      <c r="Z27" s="48"/>
      <c r="AA27" s="50"/>
      <c r="AB27" s="48"/>
    </row>
    <row r="28" spans="1:28" ht="29" customHeight="1" x14ac:dyDescent="0.15">
      <c r="A28" s="112">
        <v>13301525</v>
      </c>
      <c r="B28" s="112" t="s">
        <v>306</v>
      </c>
      <c r="C28" s="113">
        <v>3</v>
      </c>
      <c r="D28" s="113" t="s">
        <v>195</v>
      </c>
      <c r="E28" s="114" t="s">
        <v>288</v>
      </c>
      <c r="F28" s="114" t="s">
        <v>314</v>
      </c>
      <c r="G28" s="61" t="str">
        <f t="shared" si="0"/>
        <v>[effect:enemy_message, val1:1, val2:2.7]</v>
      </c>
      <c r="H28" s="61">
        <f t="shared" si="1"/>
        <v>9</v>
      </c>
      <c r="I28" s="61">
        <f t="shared" si="2"/>
        <v>22</v>
      </c>
      <c r="J28" s="61" t="e">
        <f t="shared" si="3"/>
        <v>#VALUE!</v>
      </c>
      <c r="K28" s="61">
        <f t="shared" si="4"/>
        <v>30</v>
      </c>
      <c r="L28" s="61" t="str">
        <f>IFERROR(VLOOKUP(MID(G28,J28,K28-J28),[7]skilldef!$C:$D,2,FALSE),"-") &amp; " / " &amp; IFERROR(VLOOKUP(MID(G28,H28,I28-H28),[7]skilldef!$A:$B,2,FALSE),"-")</f>
        <v>- / -</v>
      </c>
      <c r="M28" s="61" t="str">
        <f t="shared" si="5"/>
        <v>[effect:fix_speed, target:myself, turn:1],[effect:force_change_block, new_block:block_heart, target:block_all, count:0, val:0, animation:change_block],[effect:sp_boost, target:unit_yellow, val:99, animation:sp_boost_one03]</v>
      </c>
      <c r="N28" s="46" t="str">
        <f>IFERROR(LEFT(M28,FIND("],",M28)+#REF!),M28)</f>
        <v>[effect:fix_speed, target:myself, turn:1],[effect:force_change_block, new_block:block_heart, target:block_all, count:0, val:0, animation:change_block],[effect:sp_boost, target:unit_yellow, val:99, animation:sp_boost_one03]</v>
      </c>
      <c r="O28" s="61">
        <f t="shared" si="7"/>
        <v>9</v>
      </c>
      <c r="P28" s="61">
        <f t="shared" si="8"/>
        <v>18</v>
      </c>
      <c r="Q28" s="61">
        <f t="shared" si="9"/>
        <v>27</v>
      </c>
      <c r="R28" s="61">
        <f t="shared" si="10"/>
        <v>33</v>
      </c>
      <c r="S28" s="61" t="str">
        <f>IFERROR(VLOOKUP(MID(N28,Q28,R28-Q28),[7]skilldef!$C:$D,2,FALSE),"-") &amp; " / " &amp; IFERROR(VLOOKUP(MID(N28,O28,P28-O28),[7]skilldef!$A:$B,2,FALSE),"-")</f>
        <v>自分自身に / 行動値設定</v>
      </c>
      <c r="T28" s="46" t="str">
        <f t="shared" si="11"/>
        <v>[effect:force_change_block, new_block:block_heart, target:block_all, count:0, val:0, animation:change_block],[effect:sp_boost, target:unit_yellow, val:99, animation:sp_boost_one03]</v>
      </c>
      <c r="U28" s="61">
        <f t="shared" si="12"/>
        <v>9</v>
      </c>
      <c r="V28" s="61">
        <f t="shared" si="13"/>
        <v>27</v>
      </c>
      <c r="W28" s="61">
        <f t="shared" si="14"/>
        <v>59</v>
      </c>
      <c r="X28" s="61">
        <f t="shared" si="15"/>
        <v>50</v>
      </c>
      <c r="Y28" s="61" t="str">
        <f>IFERROR(VLOOKUP(MID(T28,W28,X28-W28),[7]skilldef!$C:$D,2,FALSE),"-") &amp; " / " &amp; IFERROR(VLOOKUP(MID(T28,U28,V28-U28),[7]skilldef!$A:$B,2,FALSE),"-")</f>
        <v>- / -</v>
      </c>
      <c r="Z28" s="48"/>
      <c r="AA28" s="50"/>
      <c r="AB28" s="48"/>
    </row>
    <row r="29" spans="1:28" ht="31" customHeight="1" x14ac:dyDescent="0.15">
      <c r="A29" s="112">
        <v>13301526</v>
      </c>
      <c r="B29" s="112" t="s">
        <v>332</v>
      </c>
      <c r="C29" s="113">
        <v>3</v>
      </c>
      <c r="D29" s="113" t="s">
        <v>289</v>
      </c>
      <c r="E29" s="114" t="s">
        <v>290</v>
      </c>
      <c r="F29" s="114" t="s">
        <v>334</v>
      </c>
      <c r="G29" s="61" t="str">
        <f t="shared" si="0"/>
        <v>[effect:force_change_block, new_block:block_heart, target:block_all, ignore01:crash, ignore02:crack_bomb, ignore03:time_bomb, ignore04:jammer, count:5, val:0, animation:change_block]</v>
      </c>
      <c r="H29" s="61">
        <f t="shared" si="1"/>
        <v>9</v>
      </c>
      <c r="I29" s="61">
        <f t="shared" si="2"/>
        <v>27</v>
      </c>
      <c r="J29" s="61">
        <f t="shared" si="3"/>
        <v>59</v>
      </c>
      <c r="K29" s="61">
        <f t="shared" si="4"/>
        <v>50</v>
      </c>
      <c r="L29" s="61" t="str">
        <f>IFERROR(VLOOKUP(MID(G29,J29,K29-J29),[7]skilldef!$C:$D,2,FALSE),"-") &amp; " / " &amp; IFERROR(VLOOKUP(MID(G29,H29,I29-H29),[7]skilldef!$A:$B,2,FALSE),"-")</f>
        <v>- / -</v>
      </c>
      <c r="M29" s="61" t="str">
        <f t="shared" si="5"/>
        <v>[effect:enemy_message, val1:1.4, val2:1.6]</v>
      </c>
      <c r="N29" s="46" t="str">
        <f>IFERROR(LEFT(M29,FIND("],",M29)+#REF!),M29)</f>
        <v>[effect:enemy_message, val1:1.4, val2:1.6]</v>
      </c>
      <c r="O29" s="61">
        <f t="shared" si="7"/>
        <v>9</v>
      </c>
      <c r="P29" s="61">
        <f t="shared" si="8"/>
        <v>22</v>
      </c>
      <c r="Q29" s="61" t="e">
        <f t="shared" si="9"/>
        <v>#VALUE!</v>
      </c>
      <c r="R29" s="61">
        <f t="shared" si="10"/>
        <v>32</v>
      </c>
      <c r="S29" s="61" t="str">
        <f>IFERROR(VLOOKUP(MID(N29,Q29,R29-Q29),[7]skilldef!$C:$D,2,FALSE),"-") &amp; " / " &amp; IFERROR(VLOOKUP(MID(N29,O29,P29-O29),[7]skilldef!$A:$B,2,FALSE),"-")</f>
        <v>- / -</v>
      </c>
      <c r="T29" s="46" t="str">
        <f t="shared" si="11"/>
        <v>none</v>
      </c>
      <c r="U29" s="61" t="e">
        <f t="shared" si="12"/>
        <v>#VALUE!</v>
      </c>
      <c r="V29" s="61">
        <f t="shared" si="13"/>
        <v>4</v>
      </c>
      <c r="W29" s="61" t="e">
        <f t="shared" si="14"/>
        <v>#VALUE!</v>
      </c>
      <c r="X29" s="61" t="e">
        <f t="shared" si="15"/>
        <v>#VALUE!</v>
      </c>
      <c r="Y29" s="61" t="str">
        <f>IFERROR(VLOOKUP(MID(T29,W29,X29-W29),[7]skilldef!$C:$D,2,FALSE),"-") &amp; " / " &amp; IFERROR(VLOOKUP(MID(T29,U29,V29-U29),[7]skilldef!$A:$B,2,FALSE),"-")</f>
        <v>- / -</v>
      </c>
      <c r="Z29" s="48"/>
      <c r="AA29" s="50"/>
      <c r="AB29" s="48"/>
    </row>
    <row r="30" spans="1:28" ht="38" customHeight="1" x14ac:dyDescent="0.15">
      <c r="A30" s="45">
        <v>13301529</v>
      </c>
      <c r="B30" s="45" t="s">
        <v>339</v>
      </c>
      <c r="C30" s="48">
        <v>3</v>
      </c>
      <c r="D30" s="48" t="s">
        <v>267</v>
      </c>
      <c r="E30" s="49" t="s">
        <v>312</v>
      </c>
      <c r="F30" s="49" t="s">
        <v>321</v>
      </c>
      <c r="G30" s="61" t="str">
        <f t="shared" si="0"/>
        <v>[effect:damage_anti_tribe, target:unit_all, tribe:samurai, val1:0.65, val2:0.15]</v>
      </c>
      <c r="H30" s="61">
        <f t="shared" si="1"/>
        <v>9</v>
      </c>
      <c r="I30" s="61">
        <f t="shared" si="2"/>
        <v>26</v>
      </c>
      <c r="J30" s="61">
        <f t="shared" si="3"/>
        <v>35</v>
      </c>
      <c r="K30" s="61">
        <f t="shared" si="4"/>
        <v>43</v>
      </c>
      <c r="L30" s="61" t="str">
        <f>IFERROR(VLOOKUP(MID(G30,J30,K30-J30),[7]skilldef!$C:$D,2,FALSE),"-") &amp; " / " &amp; IFERROR(VLOOKUP(MID(G30,H30,I30-H30),[7]skilldef!$A:$B,2,FALSE),"-")</f>
        <v>味方全体に / 種族キラー</v>
      </c>
      <c r="M30" s="61" t="str">
        <f t="shared" si="5"/>
        <v>[effect:degrade_unit, target:unit_all, turn:9, status:heal, val:0.25, animation:degrade_unit_all_heal],[effect:enemy_message, val1:1.4, val2:1.8]</v>
      </c>
      <c r="N30" s="46" t="str">
        <f>IFERROR(LEFT(M30,FIND("],",M30)+#REF!),M30)</f>
        <v>[effect:degrade_unit, target:unit_all, turn:9, status:heal, val:0.25, animation:degrade_unit_all_heal],[effect:enemy_message, val1:1.4, val2:1.8]</v>
      </c>
      <c r="O30" s="61">
        <f t="shared" si="7"/>
        <v>9</v>
      </c>
      <c r="P30" s="61">
        <f t="shared" si="8"/>
        <v>21</v>
      </c>
      <c r="Q30" s="61">
        <f t="shared" si="9"/>
        <v>30</v>
      </c>
      <c r="R30" s="61">
        <f t="shared" si="10"/>
        <v>38</v>
      </c>
      <c r="S30" s="61" t="str">
        <f>IFERROR(VLOOKUP(MID(N30,Q30,R30-Q30),[7]skilldef!$C:$D,2,FALSE),"-") &amp; " / " &amp; IFERROR(VLOOKUP(MID(N30,O30,P30-O30),[7]skilldef!$A:$B,2,FALSE),"-")</f>
        <v>味方全体に / ステータスDOWN</v>
      </c>
      <c r="T30" s="46" t="str">
        <f t="shared" si="11"/>
        <v>[effect:enemy_message, val1:1.4, val2:1.8]</v>
      </c>
      <c r="U30" s="61">
        <f t="shared" si="12"/>
        <v>9</v>
      </c>
      <c r="V30" s="61">
        <f t="shared" si="13"/>
        <v>22</v>
      </c>
      <c r="W30" s="61" t="e">
        <f t="shared" si="14"/>
        <v>#VALUE!</v>
      </c>
      <c r="X30" s="61">
        <f t="shared" si="15"/>
        <v>32</v>
      </c>
      <c r="Y30" s="61" t="str">
        <f>IFERROR(VLOOKUP(MID(T30,W30,X30-W30),[7]skilldef!$C:$D,2,FALSE),"-") &amp; " / " &amp; IFERROR(VLOOKUP(MID(T30,U30,V30-U30),[7]skilldef!$A:$B,2,FALSE),"-")</f>
        <v>- / -</v>
      </c>
      <c r="Z30" s="48"/>
      <c r="AA30" s="50"/>
      <c r="AB30" s="48"/>
    </row>
    <row r="31" spans="1:28" ht="38" customHeight="1" x14ac:dyDescent="0.15">
      <c r="A31" s="45">
        <v>13301530</v>
      </c>
      <c r="B31" s="45" t="s">
        <v>340</v>
      </c>
      <c r="C31" s="48">
        <v>3</v>
      </c>
      <c r="D31" s="48" t="s">
        <v>267</v>
      </c>
      <c r="E31" s="49" t="s">
        <v>316</v>
      </c>
      <c r="F31" s="49" t="s">
        <v>336</v>
      </c>
      <c r="G31" s="61" t="str">
        <f t="shared" ref="G31:G32" si="17">IFERROR(LEFT(B31,FIND("],",B31)),B31)</f>
        <v>[effect:enemy_counter, target:myself, invoke_condition:unit_all, counter_target:attacker, turn:-1, val:0.68, animation:enemy_counter]</v>
      </c>
      <c r="H31" s="61">
        <f t="shared" ref="H31:H32" si="18">FIND("effect:",G31)+7</f>
        <v>9</v>
      </c>
      <c r="I31" s="61">
        <f t="shared" ref="I31:I32" si="19">IFERROR(FIND(",",G31),LEN(G31))</f>
        <v>22</v>
      </c>
      <c r="J31" s="61">
        <f t="shared" ref="J31:J32" si="20">FIND("target:",G31)+7</f>
        <v>31</v>
      </c>
      <c r="K31" s="61">
        <f t="shared" ref="K31:K32" si="21">FIND(",",G31,I31+1)</f>
        <v>37</v>
      </c>
      <c r="L31" s="61" t="str">
        <f>IFERROR(VLOOKUP(MID(G31,J31,K31-J31),[7]skilldef!$C:$D,2,FALSE),"-") &amp; " / " &amp; IFERROR(VLOOKUP(MID(G31,H31,I31-H31),[7]skilldef!$A:$B,2,FALSE),"-")</f>
        <v>自分自身に / カウンター</v>
      </c>
      <c r="M31" s="61" t="str">
        <f t="shared" ref="M31:M32" si="22">IFERROR(RIGHT(B31,LEN(B31)-FIND("],",B31)-1),"none")</f>
        <v>[effect:sp_boost, target:unit_hp, val:10, animation:sp_boost_one03],[effect:enemy_message, val1:1.4, val2:2.2]</v>
      </c>
      <c r="N31" s="46" t="str">
        <f>IFERROR(LEFT(M31,FIND("],",M31)+S33),M31)</f>
        <v>[effect:sp_boost, target:unit_hp, val:10, animation:sp_boost_one03]</v>
      </c>
      <c r="O31" s="61">
        <f t="shared" ref="O31:O32" si="23">FIND("effect:",N31)+7</f>
        <v>9</v>
      </c>
      <c r="P31" s="61">
        <f t="shared" ref="P31:P32" si="24">IFERROR(FIND(",",N31),LEN(N31))</f>
        <v>17</v>
      </c>
      <c r="Q31" s="61">
        <f t="shared" ref="Q31:Q32" si="25">FIND("target:",N31)+7</f>
        <v>26</v>
      </c>
      <c r="R31" s="61">
        <f t="shared" ref="R31:R32" si="26">FIND(",",N31,P31+1)</f>
        <v>33</v>
      </c>
      <c r="S31" s="61" t="str">
        <f>IFERROR(VLOOKUP(MID(N31,Q31,R31-Q31),[7]skilldef!$C:$D,2,FALSE),"-") &amp; " / " &amp; IFERROR(VLOOKUP(MID(N31,O31,P31-O31),[7]skilldef!$A:$B,2,FALSE),"-")</f>
        <v>体力タイプの味方に / -</v>
      </c>
      <c r="T31" s="46" t="str">
        <f t="shared" ref="T31:T32" si="27">IFERROR(RIGHT(M31,LEN(M31)-FIND("],",M31)-1),"none")</f>
        <v>[effect:enemy_message, val1:1.4, val2:2.2]</v>
      </c>
      <c r="U31" s="61">
        <f t="shared" ref="U31:U32" si="28">FIND("effect:",T31)+7</f>
        <v>9</v>
      </c>
      <c r="V31" s="61">
        <f t="shared" ref="V31:V32" si="29">IFERROR(FIND(",",T31),LEN(T31))</f>
        <v>22</v>
      </c>
      <c r="W31" s="61" t="e">
        <f t="shared" ref="W31:W32" si="30">FIND("target:",T31)+7</f>
        <v>#VALUE!</v>
      </c>
      <c r="X31" s="61">
        <f t="shared" ref="X31:X32" si="31">FIND(",",T31,V31+1)</f>
        <v>32</v>
      </c>
      <c r="Y31" s="61" t="str">
        <f>IFERROR(VLOOKUP(MID(T31,W31,X31-W31),[7]skilldef!$C:$D,2,FALSE),"-") &amp; " / " &amp; IFERROR(VLOOKUP(MID(T31,U31,V31-U31),[7]skilldef!$A:$B,2,FALSE),"-")</f>
        <v>- / -</v>
      </c>
      <c r="Z31" s="48"/>
      <c r="AA31" s="50"/>
      <c r="AB31" s="48"/>
    </row>
    <row r="32" spans="1:28" ht="38" customHeight="1" x14ac:dyDescent="0.15">
      <c r="A32" s="45">
        <v>13301531</v>
      </c>
      <c r="B32" s="45" t="s">
        <v>331</v>
      </c>
      <c r="C32" s="48">
        <v>3</v>
      </c>
      <c r="D32" s="48" t="s">
        <v>267</v>
      </c>
      <c r="E32" s="49" t="s">
        <v>311</v>
      </c>
      <c r="F32" s="49" t="s">
        <v>313</v>
      </c>
      <c r="G32" s="61" t="str">
        <f t="shared" si="17"/>
        <v>[effect:rush, count:11, val:0.13]</v>
      </c>
      <c r="H32" s="61">
        <f t="shared" si="18"/>
        <v>9</v>
      </c>
      <c r="I32" s="61">
        <f t="shared" si="19"/>
        <v>13</v>
      </c>
      <c r="J32" s="61" t="e">
        <f t="shared" si="20"/>
        <v>#VALUE!</v>
      </c>
      <c r="K32" s="61">
        <f t="shared" si="21"/>
        <v>23</v>
      </c>
      <c r="L32" s="61" t="str">
        <f>IFERROR(VLOOKUP(MID(G32,J32,K32-J32),[7]skilldef!$C:$D,2,FALSE),"-") &amp; " / " &amp; IFERROR(VLOOKUP(MID(G32,H32,I32-H32),[7]skilldef!$A:$B,2,FALSE),"-")</f>
        <v>- / 連続攻撃</v>
      </c>
      <c r="M32" s="61" t="str">
        <f t="shared" si="22"/>
        <v>[effect:enemy_message, val1:1.4, val2:1.8]</v>
      </c>
      <c r="N32" s="46" t="str">
        <f>IFERROR(LEFT(M32,FIND("],",M32)+S34),M32)</f>
        <v>[effect:enemy_message, val1:1.4, val2:1.8]</v>
      </c>
      <c r="O32" s="61">
        <f t="shared" si="23"/>
        <v>9</v>
      </c>
      <c r="P32" s="61">
        <f t="shared" si="24"/>
        <v>22</v>
      </c>
      <c r="Q32" s="61" t="e">
        <f t="shared" si="25"/>
        <v>#VALUE!</v>
      </c>
      <c r="R32" s="61">
        <f t="shared" si="26"/>
        <v>32</v>
      </c>
      <c r="S32" s="61" t="str">
        <f>IFERROR(VLOOKUP(MID(N32,Q32,R32-Q32),[7]skilldef!$C:$D,2,FALSE),"-") &amp; " / " &amp; IFERROR(VLOOKUP(MID(N32,O32,P32-O32),[7]skilldef!$A:$B,2,FALSE),"-")</f>
        <v>- / -</v>
      </c>
      <c r="T32" s="46" t="str">
        <f t="shared" si="27"/>
        <v>none</v>
      </c>
      <c r="U32" s="61" t="e">
        <f t="shared" si="28"/>
        <v>#VALUE!</v>
      </c>
      <c r="V32" s="61">
        <f t="shared" si="29"/>
        <v>4</v>
      </c>
      <c r="W32" s="61" t="e">
        <f t="shared" si="30"/>
        <v>#VALUE!</v>
      </c>
      <c r="X32" s="61" t="e">
        <f t="shared" si="31"/>
        <v>#VALUE!</v>
      </c>
      <c r="Y32" s="61" t="str">
        <f>IFERROR(VLOOKUP(MID(T32,W32,X32-W32),[7]skilldef!$C:$D,2,FALSE),"-") &amp; " / " &amp; IFERROR(VLOOKUP(MID(T32,U32,V32-U32),[7]skilldef!$A:$B,2,FALSE),"-")</f>
        <v>- / -</v>
      </c>
      <c r="Z32" s="48"/>
      <c r="AA32" s="50"/>
      <c r="AB32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32"/>
  <sheetViews>
    <sheetView showGridLines="0" zoomScale="110" zoomScaleNormal="110" zoomScalePageLayoutView="110" workbookViewId="0">
      <pane ySplit="1" topLeftCell="A9" activePane="bottomLeft" state="frozenSplit"/>
      <selection pane="bottomLeft" activeCell="F33" sqref="F33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2" width="25.83203125" style="43" bestFit="1" customWidth="1"/>
    <col min="13" max="13" width="45.33203125" style="43" bestFit="1" customWidth="1"/>
    <col min="14" max="14" width="57.1640625" style="43" bestFit="1" customWidth="1"/>
    <col min="15" max="16384" width="12.83203125" style="43"/>
  </cols>
  <sheetData>
    <row r="1" spans="1:14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4" ht="21" customHeight="1" x14ac:dyDescent="0.15">
      <c r="A2" s="45">
        <v>13301501</v>
      </c>
      <c r="B2" s="45">
        <v>1</v>
      </c>
      <c r="C2" s="45" t="s">
        <v>88</v>
      </c>
      <c r="D2" s="45">
        <v>100</v>
      </c>
      <c r="E2" s="45" t="s">
        <v>88</v>
      </c>
      <c r="F2" s="45" t="s">
        <v>88</v>
      </c>
      <c r="G2" s="45">
        <v>1</v>
      </c>
      <c r="H2" s="45" t="s">
        <v>88</v>
      </c>
      <c r="I2" s="45" t="s">
        <v>88</v>
      </c>
      <c r="J2" s="46">
        <f t="shared" ref="J2:J30" si="0">D2</f>
        <v>100</v>
      </c>
      <c r="L2" s="49" t="s">
        <v>249</v>
      </c>
      <c r="M2" s="49" t="s">
        <v>250</v>
      </c>
      <c r="N2" s="48" t="s">
        <v>252</v>
      </c>
    </row>
    <row r="3" spans="1:14" ht="21" customHeight="1" x14ac:dyDescent="0.15">
      <c r="A3" s="45">
        <v>13301502</v>
      </c>
      <c r="B3" s="45">
        <v>0</v>
      </c>
      <c r="C3" s="45">
        <v>50</v>
      </c>
      <c r="D3" s="45">
        <v>50</v>
      </c>
      <c r="E3" s="45" t="s">
        <v>260</v>
      </c>
      <c r="F3" s="45" t="s">
        <v>260</v>
      </c>
      <c r="G3" s="45" t="s">
        <v>260</v>
      </c>
      <c r="H3" s="45" t="s">
        <v>260</v>
      </c>
      <c r="I3" s="45" t="s">
        <v>260</v>
      </c>
      <c r="J3" s="46">
        <f t="shared" si="0"/>
        <v>50</v>
      </c>
    </row>
    <row r="4" spans="1:14" ht="21" customHeight="1" x14ac:dyDescent="0.15">
      <c r="A4" s="45">
        <v>13301503</v>
      </c>
      <c r="B4" s="45">
        <v>0</v>
      </c>
      <c r="C4" s="45">
        <v>60</v>
      </c>
      <c r="D4" s="45">
        <v>100</v>
      </c>
      <c r="E4" s="45" t="s">
        <v>260</v>
      </c>
      <c r="F4" s="45" t="s">
        <v>260</v>
      </c>
      <c r="G4" s="45">
        <v>1</v>
      </c>
      <c r="H4" s="45">
        <v>3</v>
      </c>
      <c r="I4" s="45" t="s">
        <v>260</v>
      </c>
      <c r="J4" s="46">
        <f t="shared" si="0"/>
        <v>100</v>
      </c>
    </row>
    <row r="5" spans="1:14" ht="21" customHeight="1" x14ac:dyDescent="0.15">
      <c r="A5" s="45">
        <v>13301504</v>
      </c>
      <c r="B5" s="45">
        <v>1</v>
      </c>
      <c r="C5" s="45" t="s">
        <v>260</v>
      </c>
      <c r="D5" s="45">
        <v>100</v>
      </c>
      <c r="E5" s="45" t="s">
        <v>260</v>
      </c>
      <c r="F5" s="45" t="s">
        <v>260</v>
      </c>
      <c r="G5" s="45">
        <v>1</v>
      </c>
      <c r="H5" s="45" t="s">
        <v>260</v>
      </c>
      <c r="I5" s="45" t="s">
        <v>260</v>
      </c>
      <c r="J5" s="46">
        <f t="shared" si="0"/>
        <v>100</v>
      </c>
    </row>
    <row r="6" spans="1:14" ht="21" customHeight="1" x14ac:dyDescent="0.15">
      <c r="A6" s="45">
        <v>13301505</v>
      </c>
      <c r="B6" s="45">
        <v>0</v>
      </c>
      <c r="C6" s="45">
        <v>50</v>
      </c>
      <c r="D6" s="45">
        <v>50</v>
      </c>
      <c r="E6" s="45" t="s">
        <v>260</v>
      </c>
      <c r="F6" s="45" t="s">
        <v>260</v>
      </c>
      <c r="G6" s="45" t="s">
        <v>260</v>
      </c>
      <c r="H6" s="45" t="s">
        <v>260</v>
      </c>
      <c r="I6" s="45" t="s">
        <v>260</v>
      </c>
      <c r="J6" s="46">
        <f t="shared" si="0"/>
        <v>50</v>
      </c>
    </row>
    <row r="7" spans="1:14" ht="21" customHeight="1" x14ac:dyDescent="0.15">
      <c r="A7" s="45">
        <v>13301506</v>
      </c>
      <c r="B7" s="45">
        <v>0</v>
      </c>
      <c r="C7" s="45">
        <v>60</v>
      </c>
      <c r="D7" s="45">
        <v>100</v>
      </c>
      <c r="E7" s="45" t="s">
        <v>260</v>
      </c>
      <c r="F7" s="45" t="s">
        <v>260</v>
      </c>
      <c r="G7" s="45">
        <v>1</v>
      </c>
      <c r="H7" s="45">
        <v>3</v>
      </c>
      <c r="I7" s="45" t="s">
        <v>260</v>
      </c>
      <c r="J7" s="46">
        <f t="shared" si="0"/>
        <v>100</v>
      </c>
    </row>
    <row r="8" spans="1:14" ht="21" customHeight="1" x14ac:dyDescent="0.15">
      <c r="A8" s="45">
        <v>13301507</v>
      </c>
      <c r="B8" s="45">
        <v>1</v>
      </c>
      <c r="C8" s="45" t="s">
        <v>260</v>
      </c>
      <c r="D8" s="45">
        <v>100</v>
      </c>
      <c r="E8" s="45" t="s">
        <v>260</v>
      </c>
      <c r="F8" s="45" t="s">
        <v>260</v>
      </c>
      <c r="G8" s="45">
        <v>1</v>
      </c>
      <c r="H8" s="45" t="s">
        <v>260</v>
      </c>
      <c r="I8" s="45" t="s">
        <v>260</v>
      </c>
      <c r="J8" s="46">
        <f t="shared" si="0"/>
        <v>100</v>
      </c>
    </row>
    <row r="9" spans="1:14" ht="21" customHeight="1" x14ac:dyDescent="0.15">
      <c r="A9" s="45">
        <v>13301508</v>
      </c>
      <c r="B9" s="45">
        <v>0</v>
      </c>
      <c r="C9" s="45">
        <v>50</v>
      </c>
      <c r="D9" s="45">
        <v>100</v>
      </c>
      <c r="E9" s="45" t="s">
        <v>260</v>
      </c>
      <c r="F9" s="45" t="s">
        <v>260</v>
      </c>
      <c r="G9" s="45" t="s">
        <v>260</v>
      </c>
      <c r="H9" s="45" t="s">
        <v>260</v>
      </c>
      <c r="I9" s="45" t="s">
        <v>260</v>
      </c>
      <c r="J9" s="46">
        <f t="shared" si="0"/>
        <v>100</v>
      </c>
    </row>
    <row r="10" spans="1:14" ht="21" customHeight="1" x14ac:dyDescent="0.15">
      <c r="A10" s="45">
        <v>13301509</v>
      </c>
      <c r="B10" s="45">
        <v>0</v>
      </c>
      <c r="C10" s="45">
        <v>60</v>
      </c>
      <c r="D10" s="45">
        <v>100</v>
      </c>
      <c r="E10" s="45" t="s">
        <v>260</v>
      </c>
      <c r="F10" s="45" t="s">
        <v>260</v>
      </c>
      <c r="G10" s="45" t="s">
        <v>260</v>
      </c>
      <c r="H10" s="45">
        <v>3</v>
      </c>
      <c r="I10" s="45" t="s">
        <v>260</v>
      </c>
      <c r="J10" s="46">
        <f t="shared" si="0"/>
        <v>100</v>
      </c>
    </row>
    <row r="11" spans="1:14" ht="21" customHeight="1" x14ac:dyDescent="0.15">
      <c r="A11" s="45">
        <v>13301510</v>
      </c>
      <c r="B11" s="45">
        <v>0</v>
      </c>
      <c r="C11" s="45">
        <v>70</v>
      </c>
      <c r="D11" s="45">
        <v>100</v>
      </c>
      <c r="E11" s="45">
        <v>50</v>
      </c>
      <c r="F11" s="45" t="s">
        <v>260</v>
      </c>
      <c r="G11" s="45">
        <v>1</v>
      </c>
      <c r="H11" s="45">
        <v>1</v>
      </c>
      <c r="I11" s="45" t="s">
        <v>260</v>
      </c>
      <c r="J11" s="46">
        <f t="shared" si="0"/>
        <v>100</v>
      </c>
    </row>
    <row r="12" spans="1:14" ht="21" customHeight="1" x14ac:dyDescent="0.15">
      <c r="A12" s="45">
        <v>13301511</v>
      </c>
      <c r="B12" s="45">
        <v>0</v>
      </c>
      <c r="C12" s="45">
        <v>65</v>
      </c>
      <c r="D12" s="45">
        <v>100</v>
      </c>
      <c r="E12" s="45" t="s">
        <v>260</v>
      </c>
      <c r="F12" s="45">
        <v>95</v>
      </c>
      <c r="G12" s="45">
        <v>1</v>
      </c>
      <c r="H12" s="45">
        <v>1</v>
      </c>
      <c r="I12" s="45" t="s">
        <v>260</v>
      </c>
      <c r="J12" s="46">
        <f t="shared" si="0"/>
        <v>100</v>
      </c>
    </row>
    <row r="13" spans="1:14" ht="21" customHeight="1" x14ac:dyDescent="0.15">
      <c r="A13" s="45">
        <v>13301512</v>
      </c>
      <c r="B13" s="45">
        <v>1</v>
      </c>
      <c r="C13" s="45" t="s">
        <v>260</v>
      </c>
      <c r="D13" s="45">
        <v>100</v>
      </c>
      <c r="E13" s="45" t="s">
        <v>260</v>
      </c>
      <c r="F13" s="45" t="s">
        <v>260</v>
      </c>
      <c r="G13" s="45">
        <v>1</v>
      </c>
      <c r="H13" s="45" t="s">
        <v>260</v>
      </c>
      <c r="I13" s="45" t="s">
        <v>260</v>
      </c>
      <c r="J13" s="46">
        <f t="shared" si="0"/>
        <v>100</v>
      </c>
    </row>
    <row r="14" spans="1:14" ht="21" customHeight="1" x14ac:dyDescent="0.15">
      <c r="A14" s="45">
        <v>13301513</v>
      </c>
      <c r="B14" s="45">
        <v>0</v>
      </c>
      <c r="C14" s="45">
        <v>50</v>
      </c>
      <c r="D14" s="45">
        <v>70</v>
      </c>
      <c r="E14" s="45" t="s">
        <v>260</v>
      </c>
      <c r="F14" s="45" t="s">
        <v>260</v>
      </c>
      <c r="G14" s="45" t="s">
        <v>260</v>
      </c>
      <c r="H14" s="45" t="s">
        <v>260</v>
      </c>
      <c r="I14" s="45" t="s">
        <v>260</v>
      </c>
      <c r="J14" s="46">
        <f t="shared" si="0"/>
        <v>70</v>
      </c>
    </row>
    <row r="15" spans="1:14" ht="21" customHeight="1" x14ac:dyDescent="0.15">
      <c r="A15" s="45">
        <v>13301514</v>
      </c>
      <c r="B15" s="45">
        <v>0</v>
      </c>
      <c r="C15" s="45">
        <v>60</v>
      </c>
      <c r="D15" s="45">
        <v>100</v>
      </c>
      <c r="E15" s="45">
        <v>75</v>
      </c>
      <c r="F15" s="45" t="s">
        <v>260</v>
      </c>
      <c r="G15" s="45">
        <v>1</v>
      </c>
      <c r="H15" s="45" t="s">
        <v>260</v>
      </c>
      <c r="I15" s="45" t="s">
        <v>260</v>
      </c>
      <c r="J15" s="46">
        <f t="shared" si="0"/>
        <v>100</v>
      </c>
    </row>
    <row r="16" spans="1:14" ht="21" customHeight="1" x14ac:dyDescent="0.15">
      <c r="A16" s="45">
        <v>13301515</v>
      </c>
      <c r="B16" s="45">
        <v>0</v>
      </c>
      <c r="C16" s="45">
        <v>59</v>
      </c>
      <c r="D16" s="45">
        <v>100</v>
      </c>
      <c r="E16" s="45">
        <v>50</v>
      </c>
      <c r="F16" s="45" t="s">
        <v>260</v>
      </c>
      <c r="G16" s="45">
        <v>1</v>
      </c>
      <c r="H16" s="45" t="s">
        <v>260</v>
      </c>
      <c r="I16" s="45" t="s">
        <v>260</v>
      </c>
      <c r="J16" s="46">
        <f t="shared" si="0"/>
        <v>100</v>
      </c>
    </row>
    <row r="17" spans="1:10" ht="21" customHeight="1" x14ac:dyDescent="0.15">
      <c r="A17" s="45">
        <v>13301516</v>
      </c>
      <c r="B17" s="45">
        <v>0</v>
      </c>
      <c r="C17" s="45">
        <v>58</v>
      </c>
      <c r="D17" s="45">
        <v>100</v>
      </c>
      <c r="E17" s="45">
        <v>25</v>
      </c>
      <c r="F17" s="45" t="s">
        <v>260</v>
      </c>
      <c r="G17" s="45">
        <v>1</v>
      </c>
      <c r="H17" s="45" t="s">
        <v>260</v>
      </c>
      <c r="I17" s="45" t="s">
        <v>260</v>
      </c>
      <c r="J17" s="46">
        <f t="shared" si="0"/>
        <v>100</v>
      </c>
    </row>
    <row r="18" spans="1:10" ht="21" customHeight="1" x14ac:dyDescent="0.15">
      <c r="A18" s="115">
        <v>13301517</v>
      </c>
      <c r="B18" s="115">
        <v>1</v>
      </c>
      <c r="C18" s="115" t="s">
        <v>260</v>
      </c>
      <c r="D18" s="115">
        <v>100</v>
      </c>
      <c r="E18" s="115" t="s">
        <v>260</v>
      </c>
      <c r="F18" s="115" t="s">
        <v>260</v>
      </c>
      <c r="G18" s="115">
        <v>1</v>
      </c>
      <c r="H18" s="115" t="s">
        <v>260</v>
      </c>
      <c r="I18" s="115" t="s">
        <v>260</v>
      </c>
      <c r="J18" s="46">
        <f t="shared" si="0"/>
        <v>100</v>
      </c>
    </row>
    <row r="19" spans="1:10" ht="21" customHeight="1" x14ac:dyDescent="0.15">
      <c r="A19" s="115">
        <v>13301518</v>
      </c>
      <c r="B19" s="115">
        <v>0</v>
      </c>
      <c r="C19" s="115">
        <v>20</v>
      </c>
      <c r="D19" s="115">
        <v>100</v>
      </c>
      <c r="E19" s="115" t="s">
        <v>260</v>
      </c>
      <c r="F19" s="115" t="s">
        <v>260</v>
      </c>
      <c r="G19" s="115">
        <v>1</v>
      </c>
      <c r="H19" s="115">
        <v>3</v>
      </c>
      <c r="I19" s="115" t="s">
        <v>260</v>
      </c>
      <c r="J19" s="46">
        <f t="shared" si="0"/>
        <v>100</v>
      </c>
    </row>
    <row r="20" spans="1:10" ht="21" customHeight="1" x14ac:dyDescent="0.15">
      <c r="A20" s="115">
        <v>13301519</v>
      </c>
      <c r="B20" s="115">
        <v>1</v>
      </c>
      <c r="C20" s="115" t="s">
        <v>260</v>
      </c>
      <c r="D20" s="115">
        <v>100</v>
      </c>
      <c r="E20" s="115" t="s">
        <v>260</v>
      </c>
      <c r="F20" s="115" t="s">
        <v>260</v>
      </c>
      <c r="G20" s="115">
        <v>1</v>
      </c>
      <c r="H20" s="115" t="s">
        <v>260</v>
      </c>
      <c r="I20" s="115" t="s">
        <v>260</v>
      </c>
      <c r="J20" s="46">
        <f t="shared" si="0"/>
        <v>100</v>
      </c>
    </row>
    <row r="21" spans="1:10" ht="21" customHeight="1" x14ac:dyDescent="0.15">
      <c r="A21" s="115">
        <v>13301520</v>
      </c>
      <c r="B21" s="115">
        <v>0</v>
      </c>
      <c r="C21" s="115">
        <v>20</v>
      </c>
      <c r="D21" s="115">
        <v>100</v>
      </c>
      <c r="E21" s="115" t="s">
        <v>260</v>
      </c>
      <c r="F21" s="115" t="s">
        <v>260</v>
      </c>
      <c r="G21" s="115">
        <v>1</v>
      </c>
      <c r="H21" s="115">
        <v>4</v>
      </c>
      <c r="I21" s="115" t="s">
        <v>260</v>
      </c>
      <c r="J21" s="46">
        <f t="shared" si="0"/>
        <v>100</v>
      </c>
    </row>
    <row r="22" spans="1:10" ht="21" customHeight="1" x14ac:dyDescent="0.15">
      <c r="A22" s="115">
        <v>13301527</v>
      </c>
      <c r="B22" s="115">
        <v>1</v>
      </c>
      <c r="C22" s="115" t="s">
        <v>260</v>
      </c>
      <c r="D22" s="115">
        <v>100</v>
      </c>
      <c r="E22" s="115" t="s">
        <v>260</v>
      </c>
      <c r="F22" s="115" t="s">
        <v>260</v>
      </c>
      <c r="G22" s="115">
        <v>1</v>
      </c>
      <c r="H22" s="115" t="s">
        <v>260</v>
      </c>
      <c r="I22" s="115" t="s">
        <v>260</v>
      </c>
      <c r="J22" s="46">
        <f t="shared" si="0"/>
        <v>100</v>
      </c>
    </row>
    <row r="23" spans="1:10" ht="21" customHeight="1" x14ac:dyDescent="0.15">
      <c r="A23" s="115">
        <v>13301528</v>
      </c>
      <c r="B23" s="115">
        <v>0</v>
      </c>
      <c r="C23" s="115">
        <v>20</v>
      </c>
      <c r="D23" s="115">
        <v>100</v>
      </c>
      <c r="E23" s="115" t="s">
        <v>260</v>
      </c>
      <c r="F23" s="115" t="s">
        <v>260</v>
      </c>
      <c r="G23" s="115">
        <v>1</v>
      </c>
      <c r="H23" s="115">
        <v>4</v>
      </c>
      <c r="I23" s="115" t="s">
        <v>260</v>
      </c>
      <c r="J23" s="46">
        <f t="shared" si="0"/>
        <v>100</v>
      </c>
    </row>
    <row r="24" spans="1:10" ht="21" customHeight="1" x14ac:dyDescent="0.15">
      <c r="A24" s="112">
        <v>13301521</v>
      </c>
      <c r="B24" s="112">
        <v>1</v>
      </c>
      <c r="C24" s="112" t="s">
        <v>260</v>
      </c>
      <c r="D24" s="112">
        <v>100</v>
      </c>
      <c r="E24" s="112" t="s">
        <v>260</v>
      </c>
      <c r="F24" s="112" t="s">
        <v>260</v>
      </c>
      <c r="G24" s="112">
        <v>1</v>
      </c>
      <c r="H24" s="112" t="s">
        <v>260</v>
      </c>
      <c r="I24" s="112" t="s">
        <v>260</v>
      </c>
      <c r="J24" s="46">
        <f t="shared" si="0"/>
        <v>100</v>
      </c>
    </row>
    <row r="25" spans="1:10" ht="21" customHeight="1" x14ac:dyDescent="0.15">
      <c r="A25" s="112">
        <v>13301522</v>
      </c>
      <c r="B25" s="112">
        <v>0</v>
      </c>
      <c r="C25" s="112" t="s">
        <v>260</v>
      </c>
      <c r="D25" s="112">
        <v>100</v>
      </c>
      <c r="E25" s="112" t="s">
        <v>260</v>
      </c>
      <c r="F25" s="112" t="s">
        <v>260</v>
      </c>
      <c r="G25" s="112" t="s">
        <v>260</v>
      </c>
      <c r="H25" s="112" t="s">
        <v>260</v>
      </c>
      <c r="I25" s="112" t="s">
        <v>260</v>
      </c>
      <c r="J25" s="46">
        <f t="shared" si="0"/>
        <v>100</v>
      </c>
    </row>
    <row r="26" spans="1:10" ht="21" customHeight="1" x14ac:dyDescent="0.15">
      <c r="A26" s="112">
        <v>13301523</v>
      </c>
      <c r="B26" s="112">
        <v>1</v>
      </c>
      <c r="C26" s="112" t="s">
        <v>260</v>
      </c>
      <c r="D26" s="112">
        <v>100</v>
      </c>
      <c r="E26" s="112" t="s">
        <v>260</v>
      </c>
      <c r="F26" s="112" t="s">
        <v>260</v>
      </c>
      <c r="G26" s="112">
        <v>1</v>
      </c>
      <c r="H26" s="112" t="s">
        <v>260</v>
      </c>
      <c r="I26" s="112" t="s">
        <v>260</v>
      </c>
      <c r="J26" s="46">
        <f t="shared" si="0"/>
        <v>100</v>
      </c>
    </row>
    <row r="27" spans="1:10" ht="21" customHeight="1" x14ac:dyDescent="0.15">
      <c r="A27" s="112">
        <v>13301524</v>
      </c>
      <c r="B27" s="112">
        <v>0</v>
      </c>
      <c r="C27" s="112" t="s">
        <v>260</v>
      </c>
      <c r="D27" s="112">
        <v>100</v>
      </c>
      <c r="E27" s="112" t="s">
        <v>260</v>
      </c>
      <c r="F27" s="112" t="s">
        <v>260</v>
      </c>
      <c r="G27" s="112" t="s">
        <v>260</v>
      </c>
      <c r="H27" s="112" t="s">
        <v>260</v>
      </c>
      <c r="I27" s="112" t="s">
        <v>260</v>
      </c>
      <c r="J27" s="46">
        <f t="shared" si="0"/>
        <v>100</v>
      </c>
    </row>
    <row r="28" spans="1:10" ht="21" customHeight="1" x14ac:dyDescent="0.15">
      <c r="A28" s="112">
        <v>13301525</v>
      </c>
      <c r="B28" s="112">
        <v>1</v>
      </c>
      <c r="C28" s="112" t="s">
        <v>260</v>
      </c>
      <c r="D28" s="112">
        <v>100</v>
      </c>
      <c r="E28" s="112" t="s">
        <v>260</v>
      </c>
      <c r="F28" s="112" t="s">
        <v>260</v>
      </c>
      <c r="G28" s="112">
        <v>1</v>
      </c>
      <c r="H28" s="112" t="s">
        <v>260</v>
      </c>
      <c r="I28" s="112" t="s">
        <v>260</v>
      </c>
      <c r="J28" s="46">
        <f t="shared" si="0"/>
        <v>100</v>
      </c>
    </row>
    <row r="29" spans="1:10" ht="21" customHeight="1" x14ac:dyDescent="0.15">
      <c r="A29" s="112">
        <v>13301526</v>
      </c>
      <c r="B29" s="112">
        <v>0</v>
      </c>
      <c r="C29" s="112" t="s">
        <v>260</v>
      </c>
      <c r="D29" s="112">
        <v>100</v>
      </c>
      <c r="E29" s="112" t="s">
        <v>260</v>
      </c>
      <c r="F29" s="112" t="s">
        <v>260</v>
      </c>
      <c r="G29" s="112" t="s">
        <v>260</v>
      </c>
      <c r="H29" s="112" t="s">
        <v>260</v>
      </c>
      <c r="I29" s="112" t="s">
        <v>260</v>
      </c>
      <c r="J29" s="46">
        <f t="shared" si="0"/>
        <v>100</v>
      </c>
    </row>
    <row r="30" spans="1:10" ht="21" customHeight="1" x14ac:dyDescent="0.15">
      <c r="A30" s="45">
        <v>13301529</v>
      </c>
      <c r="B30" s="45">
        <v>0</v>
      </c>
      <c r="C30" s="45">
        <v>11</v>
      </c>
      <c r="D30" s="45">
        <v>68</v>
      </c>
      <c r="E30" s="45" t="s">
        <v>260</v>
      </c>
      <c r="F30" s="45" t="s">
        <v>260</v>
      </c>
      <c r="G30" s="45">
        <v>1</v>
      </c>
      <c r="H30" s="45" t="s">
        <v>260</v>
      </c>
      <c r="I30" s="45" t="s">
        <v>260</v>
      </c>
      <c r="J30" s="46">
        <f t="shared" si="0"/>
        <v>68</v>
      </c>
    </row>
    <row r="31" spans="1:10" ht="21" customHeight="1" x14ac:dyDescent="0.15">
      <c r="A31" s="45">
        <v>13301530</v>
      </c>
      <c r="B31" s="45">
        <v>0</v>
      </c>
      <c r="C31" s="45">
        <v>11</v>
      </c>
      <c r="D31" s="45">
        <v>32</v>
      </c>
      <c r="E31" s="45" t="s">
        <v>260</v>
      </c>
      <c r="F31" s="45" t="s">
        <v>260</v>
      </c>
      <c r="G31" s="45">
        <v>1</v>
      </c>
      <c r="H31" s="45" t="s">
        <v>260</v>
      </c>
      <c r="I31" s="45" t="s">
        <v>260</v>
      </c>
      <c r="J31" s="46">
        <f t="shared" ref="J31:J32" si="1">D31</f>
        <v>32</v>
      </c>
    </row>
    <row r="32" spans="1:10" ht="21" customHeight="1" x14ac:dyDescent="0.15">
      <c r="A32" s="45">
        <v>13301531</v>
      </c>
      <c r="B32" s="45">
        <v>0</v>
      </c>
      <c r="C32" s="45">
        <v>10</v>
      </c>
      <c r="D32" s="45">
        <v>100</v>
      </c>
      <c r="E32" s="45" t="s">
        <v>260</v>
      </c>
      <c r="F32" s="45" t="s">
        <v>260</v>
      </c>
      <c r="G32" s="45" t="s">
        <v>260</v>
      </c>
      <c r="H32" s="45" t="s">
        <v>260</v>
      </c>
      <c r="I32" s="45" t="s">
        <v>260</v>
      </c>
      <c r="J32" s="46">
        <f t="shared" si="1"/>
        <v>100</v>
      </c>
    </row>
  </sheetData>
  <autoFilter ref="A1:G1"/>
  <phoneticPr fontId="5"/>
  <conditionalFormatting sqref="K1:K30 K33:K1048576">
    <cfRule type="duplicateValues" dxfId="2" priority="22"/>
  </conditionalFormatting>
  <conditionalFormatting sqref="K31">
    <cfRule type="duplicateValues" dxfId="1" priority="2"/>
  </conditionalFormatting>
  <conditionalFormatting sqref="K3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E6" sqref="E6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3" t="s">
        <v>185</v>
      </c>
      <c r="B1" s="70" t="s">
        <v>186</v>
      </c>
      <c r="C1" s="74" t="s">
        <v>187</v>
      </c>
      <c r="D1" s="74" t="s">
        <v>33</v>
      </c>
      <c r="E1" s="70" t="s">
        <v>188</v>
      </c>
      <c r="F1" s="74" t="s">
        <v>189</v>
      </c>
      <c r="G1" s="74" t="s">
        <v>33</v>
      </c>
      <c r="H1" s="70" t="s">
        <v>190</v>
      </c>
      <c r="I1" s="87" t="s">
        <v>192</v>
      </c>
      <c r="J1" s="76" t="s">
        <v>125</v>
      </c>
      <c r="K1" s="75" t="s">
        <v>183</v>
      </c>
      <c r="L1" s="88" t="s">
        <v>182</v>
      </c>
      <c r="M1" s="77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>
      <selection activeCell="C11" sqref="C11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2" t="s">
        <v>148</v>
      </c>
      <c r="B1" s="62" t="s">
        <v>149</v>
      </c>
      <c r="C1" s="63" t="s">
        <v>150</v>
      </c>
      <c r="D1" s="69" t="s">
        <v>151</v>
      </c>
      <c r="E1" s="64" t="s">
        <v>152</v>
      </c>
      <c r="F1" s="62" t="s">
        <v>153</v>
      </c>
      <c r="G1" s="62" t="s">
        <v>154</v>
      </c>
      <c r="H1" s="62" t="s">
        <v>155</v>
      </c>
      <c r="I1" s="62" t="s">
        <v>156</v>
      </c>
      <c r="J1" s="62" t="s">
        <v>157</v>
      </c>
      <c r="K1" s="62" t="s">
        <v>158</v>
      </c>
      <c r="L1" s="62" t="s">
        <v>159</v>
      </c>
      <c r="M1" s="62" t="s">
        <v>160</v>
      </c>
      <c r="N1" s="62" t="s">
        <v>161</v>
      </c>
      <c r="O1" s="62" t="s">
        <v>162</v>
      </c>
      <c r="P1" s="62" t="s">
        <v>163</v>
      </c>
      <c r="Q1" s="62" t="s">
        <v>164</v>
      </c>
      <c r="R1" s="62" t="s">
        <v>165</v>
      </c>
    </row>
    <row r="2" spans="1:18" x14ac:dyDescent="0.15">
      <c r="A2" s="55">
        <v>13301</v>
      </c>
      <c r="B2" s="55">
        <v>6</v>
      </c>
      <c r="C2" s="68" t="str">
        <f>A2&amp; "_"&amp;B2</f>
        <v>13301_6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5">
        <v>1</v>
      </c>
      <c r="F2" s="55" t="s">
        <v>255</v>
      </c>
      <c r="G2" s="55">
        <v>123</v>
      </c>
      <c r="H2" s="55">
        <v>1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60</v>
      </c>
      <c r="Q2" s="55" t="s">
        <v>166</v>
      </c>
      <c r="R2" s="55" t="s">
        <v>167</v>
      </c>
    </row>
    <row r="3" spans="1:18" x14ac:dyDescent="0.15">
      <c r="A3" s="55">
        <v>13301</v>
      </c>
      <c r="B3" s="55">
        <v>6</v>
      </c>
      <c r="C3" s="68" t="str">
        <f t="shared" ref="C3:C8" si="0">A3&amp; "_"&amp;B3</f>
        <v>13301_6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5">
        <v>2</v>
      </c>
      <c r="F3" s="55" t="s">
        <v>255</v>
      </c>
      <c r="G3" s="55">
        <v>609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200</v>
      </c>
      <c r="Q3" s="55" t="s">
        <v>166</v>
      </c>
      <c r="R3" s="55" t="s">
        <v>167</v>
      </c>
    </row>
    <row r="4" spans="1:18" x14ac:dyDescent="0.15">
      <c r="A4" s="55">
        <v>13301</v>
      </c>
      <c r="B4" s="55">
        <v>6</v>
      </c>
      <c r="C4" s="68" t="str">
        <f t="shared" si="0"/>
        <v>13301_6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5">
        <v>3</v>
      </c>
      <c r="F4" s="55" t="s">
        <v>255</v>
      </c>
      <c r="G4" s="55">
        <v>613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60</v>
      </c>
      <c r="Q4" s="55" t="s">
        <v>166</v>
      </c>
      <c r="R4" s="55" t="s">
        <v>167</v>
      </c>
    </row>
    <row r="5" spans="1:18" x14ac:dyDescent="0.15">
      <c r="A5" s="55">
        <v>13301</v>
      </c>
      <c r="B5" s="55">
        <v>6</v>
      </c>
      <c r="C5" s="68" t="str">
        <f t="shared" si="0"/>
        <v>13301_6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5">
        <v>4</v>
      </c>
      <c r="F5" s="55" t="s">
        <v>255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40</v>
      </c>
      <c r="Q5" s="55" t="s">
        <v>166</v>
      </c>
      <c r="R5" s="55" t="s">
        <v>167</v>
      </c>
    </row>
    <row r="6" spans="1:18" x14ac:dyDescent="0.15">
      <c r="A6" s="55">
        <v>13301</v>
      </c>
      <c r="B6" s="55">
        <v>6</v>
      </c>
      <c r="C6" s="68" t="str">
        <f t="shared" ref="C6" si="1">A6&amp; "_"&amp;B6</f>
        <v>13301_6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5">
        <v>5</v>
      </c>
      <c r="F6" s="55" t="s">
        <v>255</v>
      </c>
      <c r="G6" s="55">
        <v>610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30</v>
      </c>
      <c r="Q6" s="55" t="s">
        <v>166</v>
      </c>
      <c r="R6" s="55" t="s">
        <v>167</v>
      </c>
    </row>
    <row r="7" spans="1:18" x14ac:dyDescent="0.15">
      <c r="A7" s="55">
        <v>13301</v>
      </c>
      <c r="B7" s="55">
        <v>6</v>
      </c>
      <c r="C7" s="68" t="str">
        <f t="shared" si="0"/>
        <v>13301_6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5">
        <v>6</v>
      </c>
      <c r="F7" s="55" t="s">
        <v>255</v>
      </c>
      <c r="G7" s="55">
        <v>338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20</v>
      </c>
      <c r="Q7" s="55" t="s">
        <v>166</v>
      </c>
      <c r="R7" s="55" t="s">
        <v>167</v>
      </c>
    </row>
    <row r="8" spans="1:18" x14ac:dyDescent="0.15">
      <c r="A8" s="55">
        <v>13301</v>
      </c>
      <c r="B8" s="55">
        <v>6</v>
      </c>
      <c r="C8" s="68" t="str">
        <f t="shared" si="0"/>
        <v>13301_6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5">
        <v>7</v>
      </c>
      <c r="F8" s="55" t="s">
        <v>255</v>
      </c>
      <c r="G8" s="55">
        <v>339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590</v>
      </c>
      <c r="Q8" s="55" t="s">
        <v>166</v>
      </c>
      <c r="R8" s="55" t="s">
        <v>167</v>
      </c>
    </row>
  </sheetData>
  <phoneticPr fontId="5"/>
  <dataValidations disablePrompts="1"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I10" sqref="I1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3" t="s">
        <v>185</v>
      </c>
      <c r="B1" s="70" t="s">
        <v>148</v>
      </c>
      <c r="C1" s="74" t="s">
        <v>187</v>
      </c>
      <c r="D1" s="74" t="s">
        <v>33</v>
      </c>
      <c r="E1" s="70" t="s">
        <v>188</v>
      </c>
      <c r="F1" s="74" t="s">
        <v>18</v>
      </c>
      <c r="G1" s="74" t="s">
        <v>33</v>
      </c>
      <c r="H1" s="70" t="s">
        <v>190</v>
      </c>
      <c r="I1" s="85" t="s">
        <v>191</v>
      </c>
      <c r="J1" s="87" t="s">
        <v>192</v>
      </c>
      <c r="K1" s="76" t="s">
        <v>125</v>
      </c>
      <c r="L1" s="75" t="s">
        <v>183</v>
      </c>
      <c r="M1" s="88" t="s">
        <v>182</v>
      </c>
      <c r="N1" s="77" t="s">
        <v>193</v>
      </c>
    </row>
    <row r="2" spans="1:14" ht="70" x14ac:dyDescent="0.15">
      <c r="A2" s="78" t="s">
        <v>194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6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>
        <v>1</v>
      </c>
      <c r="I2" s="86">
        <f t="shared" ref="I2:I5" si="0">ROW()-1</f>
        <v>1</v>
      </c>
      <c r="J2" s="102">
        <v>13301501</v>
      </c>
      <c r="K2" s="81" t="s">
        <v>195</v>
      </c>
      <c r="L2" s="83" t="s">
        <v>196</v>
      </c>
      <c r="M2" s="101" t="s">
        <v>292</v>
      </c>
      <c r="N2" s="55" t="s">
        <v>197</v>
      </c>
    </row>
    <row r="3" spans="1:14" ht="56" x14ac:dyDescent="0.15">
      <c r="A3" s="78" t="s">
        <v>194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6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>
        <v>1</v>
      </c>
      <c r="I3" s="86">
        <f t="shared" si="0"/>
        <v>2</v>
      </c>
      <c r="J3" s="102">
        <v>13301502</v>
      </c>
      <c r="K3" s="81" t="s">
        <v>195</v>
      </c>
      <c r="L3" s="83" t="s">
        <v>196</v>
      </c>
      <c r="M3" s="101" t="s">
        <v>256</v>
      </c>
      <c r="N3" s="55" t="s">
        <v>197</v>
      </c>
    </row>
    <row r="4" spans="1:14" ht="56" x14ac:dyDescent="0.15">
      <c r="A4" s="78" t="s">
        <v>194</v>
      </c>
      <c r="B4" s="79">
        <v>13301</v>
      </c>
      <c r="C4" s="80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0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1">
        <v>6</v>
      </c>
      <c r="F4" s="80" t="str">
        <f ca="1">VLOOKUP($B4&amp;"_"&amp;$E4,OFFSET([2]stages!$A$1,0,0,COUNTA([2]stages!$A:$A),MATCH(F$1,[2]stages!$2:$2,0)-MATCH("temp_stage",[2]stages!$2:$2,0)+1),MATCH(F$1,[2]stages!$2:$2,0)-MATCH("temp_stage",[2]stages!$2:$2,0)+1,FALSE)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4" s="80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2">
        <v>2</v>
      </c>
      <c r="I4" s="86">
        <f t="shared" si="0"/>
        <v>3</v>
      </c>
      <c r="J4" s="102">
        <v>13301503</v>
      </c>
      <c r="K4" s="81" t="s">
        <v>195</v>
      </c>
      <c r="L4" s="83" t="s">
        <v>196</v>
      </c>
      <c r="M4" s="101" t="s">
        <v>257</v>
      </c>
      <c r="N4" s="55" t="s">
        <v>197</v>
      </c>
    </row>
    <row r="5" spans="1:14" ht="56" x14ac:dyDescent="0.15">
      <c r="A5" s="78" t="s">
        <v>194</v>
      </c>
      <c r="B5" s="79">
        <v>13301</v>
      </c>
      <c r="C5" s="80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0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1">
        <v>6</v>
      </c>
      <c r="F5" s="80" t="str">
        <f ca="1">VLOOKUP($B5&amp;"_"&amp;$E5,OFFSET([2]stages!$A$1,0,0,COUNTA([2]stages!$A:$A),MATCH(F$1,[2]stages!$2:$2,0)-MATCH("temp_stage",[2]stages!$2:$2,0)+1),MATCH(F$1,[2]stages!$2:$2,0)-MATCH("temp_stage",[2]stages!$2:$2,0)+1,FALSE)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5" s="80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2">
        <v>2</v>
      </c>
      <c r="I5" s="86">
        <f t="shared" si="0"/>
        <v>4</v>
      </c>
      <c r="J5" s="102">
        <v>13301504</v>
      </c>
      <c r="K5" s="81" t="s">
        <v>195</v>
      </c>
      <c r="L5" s="83" t="s">
        <v>196</v>
      </c>
      <c r="M5" s="101" t="s">
        <v>258</v>
      </c>
      <c r="N5" s="55" t="s">
        <v>197</v>
      </c>
    </row>
    <row r="6" spans="1:14" ht="56" x14ac:dyDescent="0.15">
      <c r="A6" s="78" t="s">
        <v>194</v>
      </c>
      <c r="B6" s="79">
        <v>13301</v>
      </c>
      <c r="C6" s="80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0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1">
        <v>6</v>
      </c>
      <c r="F6" s="80" t="str">
        <f ca="1">VLOOKUP($B6&amp;"_"&amp;$E6,OFFSET([2]stages!$A$1,0,0,COUNTA([2]stages!$A:$A),MATCH(F$1,[2]stages!$2:$2,0)-MATCH("temp_stage",[2]stages!$2:$2,0)+1),MATCH(F$1,[2]stages!$2:$2,0)-MATCH("temp_stage",[2]stages!$2:$2,0)+1,FALSE)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6" s="80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2">
        <v>3</v>
      </c>
      <c r="I6" s="86">
        <v>5</v>
      </c>
      <c r="J6" s="102">
        <v>13301506</v>
      </c>
      <c r="K6" s="81" t="s">
        <v>195</v>
      </c>
      <c r="L6" s="83" t="s">
        <v>196</v>
      </c>
      <c r="M6" s="101" t="s">
        <v>259</v>
      </c>
      <c r="N6" s="55" t="s">
        <v>197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zoomScale="110" zoomScaleNormal="110" zoomScalePageLayoutView="110" workbookViewId="0">
      <pane ySplit="1" topLeftCell="A2" activePane="bottomLeft" state="frozen"/>
      <selection pane="bottomLeft" activeCell="D15" sqref="D1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209</v>
      </c>
      <c r="B1" s="91" t="s">
        <v>210</v>
      </c>
      <c r="C1" s="74" t="s">
        <v>211</v>
      </c>
      <c r="D1" s="74" t="s">
        <v>33</v>
      </c>
      <c r="E1" s="91" t="s">
        <v>212</v>
      </c>
      <c r="F1" s="74" t="s">
        <v>213</v>
      </c>
      <c r="G1" s="74" t="s">
        <v>33</v>
      </c>
      <c r="H1" s="91" t="s">
        <v>214</v>
      </c>
      <c r="I1" s="91" t="s">
        <v>215</v>
      </c>
      <c r="J1" s="91" t="s">
        <v>216</v>
      </c>
      <c r="K1" s="70" t="s">
        <v>217</v>
      </c>
      <c r="L1" s="70" t="s">
        <v>218</v>
      </c>
      <c r="M1" s="70" t="s">
        <v>154</v>
      </c>
      <c r="N1" s="74" t="s">
        <v>16</v>
      </c>
      <c r="O1" s="70" t="s">
        <v>219</v>
      </c>
      <c r="P1" s="70" t="s">
        <v>56</v>
      </c>
      <c r="Q1" s="70" t="s">
        <v>220</v>
      </c>
      <c r="R1" s="70" t="s">
        <v>38</v>
      </c>
      <c r="S1" s="70" t="s">
        <v>40</v>
      </c>
      <c r="T1" s="70" t="s">
        <v>42</v>
      </c>
      <c r="U1" s="70" t="s">
        <v>44</v>
      </c>
      <c r="V1" s="70" t="s">
        <v>46</v>
      </c>
      <c r="W1" s="70" t="s">
        <v>221</v>
      </c>
      <c r="X1" s="70" t="s">
        <v>222</v>
      </c>
    </row>
    <row r="2" spans="1:24" x14ac:dyDescent="0.15">
      <c r="A2" s="92" t="str">
        <f>B2&amp;"_"&amp;E2&amp;"_"&amp;H2&amp;"_"&amp;I2&amp;"_"&amp;J2</f>
        <v>13301_6_singleonly_clear_1</v>
      </c>
      <c r="B2" s="79">
        <v>13301</v>
      </c>
      <c r="C2" s="80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0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1">
        <v>6</v>
      </c>
      <c r="F2" s="80" t="str">
        <f ca="1">VLOOKUP($B2&amp;"_"&amp;$E2,OFFSET([2]stages!$A$1,0,0,COUNTA([2]stages!$A:$A),MATCH(F$1,[2]stages!$2:$2,0)-MATCH("temp_stage",[2]stages!$2:$2,0)+1),MATCH(F$1,[2]stages!$2:$2,0)-MATCH("temp_stage",[2]stages!$2:$2,0)+1,FALSE)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2" s="80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2" t="s">
        <v>253</v>
      </c>
      <c r="I2" s="81" t="s">
        <v>223</v>
      </c>
      <c r="J2" s="81">
        <v>1</v>
      </c>
      <c r="K2" s="81">
        <v>670</v>
      </c>
      <c r="L2" s="81" t="s">
        <v>254</v>
      </c>
      <c r="M2" s="81">
        <v>16000</v>
      </c>
      <c r="N2" s="93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1" t="s">
        <v>88</v>
      </c>
      <c r="P2" s="81">
        <v>1</v>
      </c>
      <c r="Q2" s="81">
        <v>1</v>
      </c>
      <c r="R2" s="81">
        <v>0</v>
      </c>
      <c r="S2" s="81">
        <v>0</v>
      </c>
      <c r="T2" s="81">
        <v>0</v>
      </c>
      <c r="U2" s="81">
        <v>0</v>
      </c>
      <c r="V2" s="81">
        <v>1</v>
      </c>
      <c r="W2" s="94" t="s">
        <v>224</v>
      </c>
      <c r="X2" s="95" t="s">
        <v>225</v>
      </c>
    </row>
    <row r="3" spans="1:24" x14ac:dyDescent="0.15">
      <c r="A3" s="92" t="str">
        <f>B3&amp;"_"&amp;E3&amp;"_"&amp;H3&amp;"_"&amp;I3&amp;"_"&amp;J3</f>
        <v>13301_6_singleonly_clear_2</v>
      </c>
      <c r="B3" s="79">
        <v>13301</v>
      </c>
      <c r="C3" s="80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0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1">
        <v>6</v>
      </c>
      <c r="F3" s="80" t="str">
        <f ca="1">VLOOKUP($B3&amp;"_"&amp;$E3,OFFSET([2]stages!$A$1,0,0,COUNTA([2]stages!$A:$A),MATCH(F$1,[2]stages!$2:$2,0)-MATCH("temp_stage",[2]stages!$2:$2,0)+1),MATCH(F$1,[2]stages!$2:$2,0)-MATCH("temp_stage",[2]stages!$2:$2,0)+1,FALSE)</f>
        <v>6階 コスト30以下ヒューマン限定</v>
      </c>
      <c r="G3" s="80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2" t="s">
        <v>253</v>
      </c>
      <c r="I3" s="81" t="s">
        <v>223</v>
      </c>
      <c r="J3" s="81">
        <v>2</v>
      </c>
      <c r="K3" s="81">
        <v>330</v>
      </c>
      <c r="L3" s="81" t="s">
        <v>254</v>
      </c>
      <c r="M3" s="81">
        <v>51000</v>
      </c>
      <c r="N3" s="93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1" t="s">
        <v>88</v>
      </c>
      <c r="P3" s="81">
        <v>1</v>
      </c>
      <c r="Q3" s="81">
        <v>1</v>
      </c>
      <c r="R3" s="81">
        <v>0</v>
      </c>
      <c r="S3" s="81">
        <v>0</v>
      </c>
      <c r="T3" s="81">
        <v>0</v>
      </c>
      <c r="U3" s="81">
        <v>0</v>
      </c>
      <c r="V3" s="81">
        <v>1</v>
      </c>
      <c r="W3" s="94" t="s">
        <v>224</v>
      </c>
      <c r="X3" s="95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stage_hints_complete</vt:lpstr>
      <vt:lpstr>bugbonuses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2016-11-14T00:59:30Z</dcterms:modified>
</cp:coreProperties>
</file>